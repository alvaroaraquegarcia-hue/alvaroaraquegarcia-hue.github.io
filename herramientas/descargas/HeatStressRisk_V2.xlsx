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worksheets/sheet101.xml" ContentType="application/vnd.openxmlformats-officedocument.spreadsheetml.worksheet+xml"/>
  <Override PartName="/xl/drawings/drawing_portada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xmlns:r="http://schemas.openxmlformats.org/officeDocument/2006/relationships" name="Portada" sheetId="9" r:id="rIdPortada"/>
    <sheet xmlns:r="http://schemas.openxmlformats.org/officeDocument/2006/relationships" name="Evaluación" sheetId="1" state="visible" r:id="rId1"/>
    <sheet xmlns:r="http://schemas.openxmlformats.org/officeDocument/2006/relationships" name="Datos de Referencia" sheetId="2" state="visible" r:id="rId2"/>
    <sheet xmlns:r="http://schemas.openxmlformats.org/officeDocument/2006/relationships" name="Análisis Detallado" sheetId="3" state="visible" r:id="rId3"/>
    <sheet xmlns:r="http://schemas.openxmlformats.org/officeDocument/2006/relationships" name="PHS" sheetId="4" state="visible" r:id="rId4"/>
    <sheet xmlns:r="http://schemas.openxmlformats.org/officeDocument/2006/relationships" name="Plan de Control" sheetId="5" state="visible" r:id="rId5"/>
    <sheet xmlns:r="http://schemas.openxmlformats.org/officeDocument/2006/relationships" name="Biblioteca de Controles" sheetId="6" state="visible" r:id="rId6"/>
    <sheet xmlns:r="http://schemas.openxmlformats.org/officeDocument/2006/relationships" name="Motor PHS" sheetId="7" state="visible" r:id="rId7"/>
    <sheet xmlns:r="http://schemas.openxmlformats.org/officeDocument/2006/relationships" name="Instrucciones" sheetId="8" state="visible" r:id="rId8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charset val="1"/>
      <family val="2"/>
      <color theme="1"/>
      <sz val="11"/>
    </font>
    <font>
      <name val="Calibri"/>
      <charset val="1"/>
      <b val="1"/>
      <color rgb="FFFFFFFF"/>
      <sz val="14"/>
    </font>
    <font>
      <name val="Calibri"/>
      <family val="2"/>
      <b val="1"/>
      <color theme="0"/>
      <sz val="11"/>
    </font>
    <font>
      <name val="Calibri"/>
      <family val="2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rgb="FFFFFFFF"/>
      <sz val="13"/>
    </font>
    <font>
      <name val="Calibri"/>
      <family val="2"/>
      <color theme="1"/>
      <sz val="13"/>
    </font>
    <font>
      <name val="Calibri"/>
      <family val="2"/>
      <b val="1"/>
      <sz val="10"/>
    </font>
    <font>
      <name val="Calibri"/>
      <charset val="1"/>
      <family val="2"/>
      <color theme="1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595959"/>
      <sz val="9"/>
    </font>
    <font>
      <name val="Calibri"/>
      <b val="1"/>
      <sz val="10"/>
    </font>
    <font>
      <name val="Calibri"/>
      <i val="1"/>
      <color rgb="007F7F7F"/>
      <sz val="9"/>
    </font>
    <font>
      <name val="Calibri"/>
      <b val="1"/>
      <color rgb="00FFFFFF"/>
      <sz val="13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4"/>
    </font>
  </fonts>
  <fills count="31">
    <fill>
      <patternFill/>
    </fill>
    <fill>
      <patternFill patternType="gray125"/>
    </fill>
    <fill>
      <patternFill patternType="solid">
        <fgColor rgb="FF4A9CC0"/>
        <bgColor indexed="64"/>
      </patternFill>
    </fill>
    <fill>
      <patternFill patternType="solid">
        <fgColor rgb="FF4A9CC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8F5E9"/>
        <bgColor rgb="FFF1F8E9"/>
      </patternFill>
    </fill>
    <fill>
      <patternFill patternType="solid">
        <fgColor rgb="FFFFE0B2"/>
        <bgColor rgb="FFFFF9C4"/>
      </patternFill>
    </fill>
    <fill>
      <patternFill patternType="solid">
        <fgColor rgb="FFFFF2CC"/>
        <bgColor indexed="64"/>
      </patternFill>
    </fill>
    <fill>
      <patternFill patternType="solid">
        <fgColor rgb="FFDCEEF5"/>
        <bgColor indexed="64"/>
      </patternFill>
    </fill>
    <fill>
      <patternFill patternType="solid">
        <fgColor rgb="FFDCEE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7199"/>
        <bgColor indexed="64"/>
      </patternFill>
    </fill>
    <fill>
      <patternFill patternType="solid">
        <fgColor rgb="FF007199"/>
        <bgColor indexed="64"/>
      </patternFill>
    </fill>
    <fill>
      <patternFill patternType="solid">
        <fgColor rgb="FFDCEEF5"/>
        <bgColor indexed="64"/>
      </patternFill>
    </fill>
    <fill>
      <patternFill patternType="solid">
        <fgColor rgb="FFDCEEF5"/>
        <bgColor indexed="64"/>
      </patternFill>
    </fill>
    <fill>
      <patternFill patternType="solid">
        <fgColor theme="2"/>
        <bgColor rgb="FF667EEA"/>
      </patternFill>
    </fill>
    <fill>
      <patternFill patternType="solid">
        <fgColor theme="2"/>
        <bgColor rgb="FFE8F5E9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1F8E9"/>
      </patternFill>
    </fill>
    <fill>
      <patternFill patternType="solid">
        <fgColor rgb="FF4A9CC0"/>
      </patternFill>
    </fill>
    <fill>
      <patternFill patternType="solid">
        <fgColor rgb="FF4A9CC0"/>
      </patternFill>
    </fill>
    <fill>
      <patternFill patternType="solid">
        <fgColor rgb="FFDCEEF5"/>
      </patternFill>
    </fill>
    <fill>
      <patternFill patternType="solid">
        <fgColor rgb="FFFFF2CC"/>
      </patternFill>
    </fill>
    <fill>
      <patternFill patternType="solid">
        <fgColor rgb="00E8F5E9"/>
      </patternFill>
    </fill>
    <fill>
      <patternFill patternType="solid">
        <fgColor rgb="00FFE0B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/>
    </xf>
    <xf numFmtId="0" fontId="2" fillId="13" borderId="0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1" fontId="3" fillId="11" borderId="1" applyAlignment="1" pivotButton="0" quotePrefix="0" xfId="0">
      <alignment horizontal="center" vertical="center"/>
    </xf>
    <xf numFmtId="164" fontId="3" fillId="12" borderId="1" applyAlignment="1" pivotButton="0" quotePrefix="0" xfId="0">
      <alignment horizontal="center" vertical="center"/>
    </xf>
    <xf numFmtId="1" fontId="3" fillId="12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1" fontId="3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6" fillId="2" borderId="0" pivotButton="0" quotePrefix="0" xfId="0"/>
    <xf numFmtId="0" fontId="7" fillId="0" borderId="0" pivotButton="0" quotePrefix="0" xfId="0"/>
    <xf numFmtId="0" fontId="5" fillId="0" borderId="1" pivotButton="0" quotePrefix="0" xfId="0"/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3" fillId="0" borderId="1" pivotButton="0" quotePrefix="0" xfId="0"/>
    <xf numFmtId="0" fontId="5" fillId="4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4" fontId="5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0" pivotButton="0" quotePrefix="0" xfId="0"/>
    <xf numFmtId="0" fontId="1" fillId="2" borderId="1" pivotButton="0" quotePrefix="0" xfId="0"/>
    <xf numFmtId="0" fontId="4" fillId="3" borderId="1" pivotButton="0" quotePrefix="0" xfId="0"/>
    <xf numFmtId="0" fontId="4" fillId="3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2" borderId="0" pivotButton="0" quotePrefix="0" xfId="0"/>
    <xf numFmtId="164" fontId="3" fillId="17" borderId="1" applyAlignment="1" pivotButton="0" quotePrefix="0" xfId="0">
      <alignment horizontal="center" vertical="center"/>
    </xf>
    <xf numFmtId="164" fontId="3" fillId="18" borderId="1" applyAlignment="1" pivotButton="0" quotePrefix="0" xfId="0">
      <alignment horizontal="center" vertical="center"/>
    </xf>
    <xf numFmtId="164" fontId="3" fillId="19" borderId="1" applyAlignment="1" pivotButton="0" quotePrefix="0" xfId="0">
      <alignment horizontal="center" vertical="center"/>
    </xf>
    <xf numFmtId="164" fontId="5" fillId="20" borderId="1" applyAlignment="1" pivotButton="0" quotePrefix="0" xfId="0">
      <alignment horizontal="center"/>
    </xf>
    <xf numFmtId="0" fontId="0" fillId="0" borderId="6" pivotButton="0" quotePrefix="0" xfId="0"/>
    <xf numFmtId="0" fontId="0" fillId="0" borderId="3" pivotButton="0" quotePrefix="0" xfId="0"/>
    <xf numFmtId="0" fontId="14" fillId="0" borderId="1" applyAlignment="1" pivotButton="0" quotePrefix="0" xfId="0">
      <alignment vertical="center"/>
    </xf>
    <xf numFmtId="0" fontId="10" fillId="22" borderId="7" applyAlignment="1" pivotButton="0" quotePrefix="0" xfId="0">
      <alignment horizontal="left" vertical="center"/>
    </xf>
    <xf numFmtId="0" fontId="0" fillId="22" borderId="7" pivotButton="0" quotePrefix="0" xfId="0"/>
    <xf numFmtId="0" fontId="11" fillId="0" borderId="7" applyAlignment="1" pivotButton="0" quotePrefix="0" xfId="0">
      <alignment vertical="center"/>
    </xf>
    <xf numFmtId="0" fontId="11" fillId="23" borderId="7" applyAlignment="1" pivotButton="0" quotePrefix="0" xfId="0">
      <alignment horizontal="center" vertical="center"/>
    </xf>
    <xf numFmtId="0" fontId="10" fillId="21" borderId="7" applyAlignment="1" pivotButton="0" quotePrefix="0" xfId="0">
      <alignment vertical="center"/>
    </xf>
    <xf numFmtId="0" fontId="10" fillId="21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0" fontId="11" fillId="21" borderId="7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0" fontId="13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11" fillId="24" borderId="7" applyAlignment="1" pivotButton="0" quotePrefix="0" xfId="0">
      <alignment horizontal="center" vertical="center"/>
    </xf>
    <xf numFmtId="164" fontId="11" fillId="24" borderId="7" applyAlignment="1" pivotButton="0" quotePrefix="0" xfId="0">
      <alignment horizontal="center" vertical="center"/>
    </xf>
    <xf numFmtId="164" fontId="11" fillId="25" borderId="7" applyAlignment="1" pivotButton="0" quotePrefix="0" xfId="0">
      <alignment horizontal="center" vertical="center"/>
    </xf>
    <xf numFmtId="164" fontId="11" fillId="26" borderId="7" applyAlignment="1" pivotButton="0" quotePrefix="0" xfId="0">
      <alignment horizontal="center" vertical="center"/>
    </xf>
    <xf numFmtId="0" fontId="13" fillId="27" borderId="7" applyAlignment="1" pivotButton="0" quotePrefix="0" xfId="0">
      <alignment horizontal="center" vertical="center"/>
    </xf>
    <xf numFmtId="0" fontId="18" fillId="21" borderId="7" applyAlignment="1" pivotButton="0" quotePrefix="0" xfId="0">
      <alignment horizontal="left" vertical="center"/>
    </xf>
    <xf numFmtId="0" fontId="0" fillId="21" borderId="7" pivotButton="0" quotePrefix="0" xfId="0"/>
    <xf numFmtId="164" fontId="11" fillId="30" borderId="7" applyAlignment="1" pivotButton="0" quotePrefix="0" xfId="0">
      <alignment horizontal="center" vertical="center"/>
    </xf>
    <xf numFmtId="2" fontId="11" fillId="30" borderId="7" applyAlignment="1" pivotButton="0" quotePrefix="0" xfId="0">
      <alignment horizontal="center" vertical="center"/>
    </xf>
    <xf numFmtId="0" fontId="11" fillId="30" borderId="7" applyAlignment="1" pivotButton="0" quotePrefix="0" xfId="0">
      <alignment horizontal="center" vertical="center"/>
    </xf>
    <xf numFmtId="0" fontId="11" fillId="25" borderId="7" applyAlignment="1" pivotButton="0" quotePrefix="0" xfId="0">
      <alignment horizontal="center" vertical="center"/>
    </xf>
    <xf numFmtId="1" fontId="11" fillId="30" borderId="7" applyAlignment="1" pivotButton="0" quotePrefix="0" xfId="0">
      <alignment horizontal="center" vertical="center"/>
    </xf>
    <xf numFmtId="1" fontId="11" fillId="25" borderId="7" applyAlignment="1" pivotButton="0" quotePrefix="0" xfId="0">
      <alignment horizontal="center" vertical="center"/>
    </xf>
    <xf numFmtId="0" fontId="11" fillId="25" borderId="7" applyAlignment="1" pivotButton="0" quotePrefix="0" xfId="0">
      <alignment horizontal="left" vertical="center"/>
    </xf>
    <xf numFmtId="0" fontId="0" fillId="0" borderId="7" pivotButton="0" quotePrefix="0" xfId="0"/>
    <xf numFmtId="2" fontId="11" fillId="25" borderId="7" applyAlignment="1" pivotButton="0" quotePrefix="0" xfId="0">
      <alignment horizontal="center" vertical="center"/>
    </xf>
    <xf numFmtId="1" fontId="13" fillId="25" borderId="7" applyAlignment="1" pivotButton="0" quotePrefix="0" xfId="0">
      <alignment horizontal="center" vertical="center"/>
    </xf>
    <xf numFmtId="0" fontId="13" fillId="27" borderId="7" applyAlignment="1" pivotButton="0" quotePrefix="0" xfId="0">
      <alignment horizontal="left" vertical="center" wrapText="1"/>
    </xf>
    <xf numFmtId="0" fontId="13" fillId="28" borderId="7" applyAlignment="1" pivotButton="0" quotePrefix="0" xfId="0">
      <alignment horizontal="center" vertical="center"/>
    </xf>
    <xf numFmtId="1" fontId="11" fillId="0" borderId="7" applyAlignment="1" pivotButton="0" quotePrefix="0" xfId="0">
      <alignment horizontal="center" vertical="center"/>
    </xf>
    <xf numFmtId="164" fontId="11" fillId="0" borderId="7" applyAlignment="1" pivotButton="0" quotePrefix="0" xfId="0">
      <alignment horizontal="center" vertical="center"/>
    </xf>
    <xf numFmtId="2" fontId="11" fillId="0" borderId="7" applyAlignment="1" pivotButton="0" quotePrefix="0" xfId="0">
      <alignment horizontal="center" vertical="center"/>
    </xf>
    <xf numFmtId="0" fontId="17" fillId="0" borderId="7" applyAlignment="1" pivotButton="0" quotePrefix="0" xfId="0">
      <alignment horizontal="left" vertical="center"/>
    </xf>
    <xf numFmtId="0" fontId="10" fillId="22" borderId="7" applyAlignment="1" pivotButton="0" quotePrefix="0" xfId="0">
      <alignment vertical="center"/>
    </xf>
    <xf numFmtId="0" fontId="10" fillId="22" borderId="7" applyAlignment="1" pivotButton="0" quotePrefix="0" xfId="0">
      <alignment horizontal="center" vertical="center"/>
    </xf>
    <xf numFmtId="0" fontId="11" fillId="30" borderId="7" applyAlignment="1" pivotButton="0" quotePrefix="0" xfId="0">
      <alignment horizontal="left" vertical="center"/>
    </xf>
    <xf numFmtId="0" fontId="17" fillId="0" borderId="7" applyAlignment="1" pivotButton="0" quotePrefix="0" xfId="0">
      <alignment vertical="center"/>
    </xf>
    <xf numFmtId="0" fontId="17" fillId="0" borderId="7" applyAlignment="1" pivotButton="0" quotePrefix="0" xfId="0">
      <alignment horizontal="center" vertical="center"/>
    </xf>
    <xf numFmtId="0" fontId="13" fillId="27" borderId="7" applyAlignment="1" pivotButton="0" quotePrefix="0" xfId="0">
      <alignment horizontal="left" vertical="center"/>
    </xf>
    <xf numFmtId="1" fontId="11" fillId="25" borderId="7" applyAlignment="1" pivotButton="0" quotePrefix="0" xfId="0">
      <alignment horizontal="left" vertical="center"/>
    </xf>
    <xf numFmtId="164" fontId="11" fillId="26" borderId="7" applyAlignment="1" pivotButton="0" quotePrefix="0" xfId="0">
      <alignment horizontal="left" vertical="center"/>
    </xf>
    <xf numFmtId="164" fontId="11" fillId="25" borderId="7" applyAlignment="1" pivotButton="0" quotePrefix="0" xfId="0">
      <alignment horizontal="left" vertical="center"/>
    </xf>
    <xf numFmtId="0" fontId="11" fillId="23" borderId="7" applyAlignment="1" pivotButton="0" quotePrefix="0" xfId="0">
      <alignment horizontal="left" vertical="center"/>
    </xf>
    <xf numFmtId="0" fontId="11" fillId="0" borderId="7" applyAlignment="1" pivotButton="0" quotePrefix="0" xfId="0">
      <alignment horizontal="center" vertical="top"/>
    </xf>
    <xf numFmtId="0" fontId="11" fillId="0" borderId="7" applyAlignment="1" pivotButton="0" quotePrefix="0" xfId="0">
      <alignment horizontal="left" vertical="top" wrapText="1"/>
    </xf>
    <xf numFmtId="0" fontId="15" fillId="21" borderId="7" applyAlignment="1" pivotButton="0" quotePrefix="0" xfId="0">
      <alignment horizontal="left" vertical="center"/>
    </xf>
    <xf numFmtId="0" fontId="10" fillId="22" borderId="7" applyAlignment="1" pivotButton="0" quotePrefix="0" xfId="0">
      <alignment horizontal="center" vertical="center" wrapText="1"/>
    </xf>
    <xf numFmtId="0" fontId="11" fillId="0" borderId="7" applyAlignment="1" pivotButton="0" quotePrefix="0" xfId="0">
      <alignment vertical="top" wrapText="1"/>
    </xf>
    <xf numFmtId="0" fontId="14" fillId="0" borderId="0" applyAlignment="1" pivotButton="0" quotePrefix="0" xfId="0">
      <alignment vertical="center"/>
    </xf>
    <xf numFmtId="0" fontId="11" fillId="0" borderId="7" applyAlignment="1" pivotButton="0" quotePrefix="0" xfId="0">
      <alignment vertical="center" wrapText="1"/>
    </xf>
    <xf numFmtId="0" fontId="16" fillId="28" borderId="7" applyAlignment="1" pivotButton="0" quotePrefix="0" xfId="0">
      <alignment horizontal="center" vertical="center"/>
    </xf>
    <xf numFmtId="2" fontId="17" fillId="0" borderId="7" applyAlignment="1" pivotButton="0" quotePrefix="0" xfId="0">
      <alignment horizontal="center" vertical="center"/>
    </xf>
    <xf numFmtId="0" fontId="17" fillId="29" borderId="7" applyAlignment="1" pivotButton="0" quotePrefix="0" xfId="0">
      <alignment horizontal="center" vertical="center"/>
    </xf>
    <xf numFmtId="0" fontId="13" fillId="0" borderId="0" pivotButton="0" quotePrefix="0" xfId="0"/>
    <xf numFmtId="0" fontId="11" fillId="0" borderId="0" pivotButton="0" quotePrefix="0" xfId="0"/>
  </cellXfs>
  <cellStyles count="1">
    <cellStyle name="Normal" xfId="0" builtinId="0"/>
  </cellStyles>
  <dxfs count="11">
    <dxf>
      <font>
        <b val="1"/>
        <color rgb="00595959"/>
      </font>
      <fill>
        <patternFill patternType="solid">
          <fgColor rgb="00D9D9D9"/>
          <bgColor rgb="00D9D9D9"/>
        </patternFill>
      </fill>
    </dxf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7F6000"/>
      </font>
      <fill>
        <patternFill patternType="solid">
          <fgColor rgb="00FFF59D"/>
          <bgColor rgb="00FFF59D"/>
        </patternFill>
      </fill>
    </dxf>
    <dxf>
      <font>
        <b val="1"/>
        <color rgb="008A4B00"/>
      </font>
      <fill>
        <patternFill patternType="solid">
          <fgColor rgb="00FFCC80"/>
          <bgColor rgb="00FFCC80"/>
        </patternFill>
      </fill>
    </dxf>
    <dxf>
      <font>
        <b val="1"/>
        <color rgb="007F0000"/>
      </font>
      <fill>
        <patternFill patternType="solid">
          <fgColor rgb="00EF9A9A"/>
          <bgColor rgb="00EF9A9A"/>
        </patternFill>
      </fill>
    </dxf>
    <dxf>
      <font>
        <b val="1"/>
        <color rgb="00FFFFFF"/>
      </font>
      <fill>
        <patternFill patternType="solid">
          <fgColor rgb="00B71C1C"/>
          <bgColor rgb="00B71C1C"/>
        </patternFill>
      </fill>
    </dxf>
    <dxf>
      <border/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E3F2FD"/>
          <bgColor rgb="00E3F2FD"/>
        </patternFill>
      </fill>
    </dxf>
    <dxf>
      <fill>
        <patternFill patternType="solid">
          <fgColor rgb="00FFF3E0"/>
          <bgColor rgb="00FFF3E0"/>
        </patternFill>
      </fill>
    </dxf>
    <dxf>
      <fill>
        <patternFill patternType="solid">
          <fgColor rgb="00F3E5F5"/>
          <bgColor rgb="00F3E5F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3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58ED5"/>
      <rgbColor rgb="FF9999FF"/>
      <rgbColor rgb="FF993366"/>
      <rgbColor rgb="FFFFF9C4"/>
      <rgbColor rgb="FFE3F2FD"/>
      <rgbColor rgb="FF660066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1F8E9"/>
      <rgbColor rgb="FFFFFF99"/>
      <rgbColor rgb="FF99CCFF"/>
      <rgbColor rgb="FFFF99CC"/>
      <rgbColor rgb="FFCC99FF"/>
      <rgbColor rgb="FFFFE0B2"/>
      <rgbColor rgb="FF667EEA"/>
      <rgbColor rgb="FF33CCCC"/>
      <rgbColor rgb="FF99CC00"/>
      <rgbColor rgb="FFFFCC00"/>
      <rgbColor rgb="FFFF9900"/>
      <rgbColor rgb="FFFF6600"/>
      <rgbColor rgb="FF764B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Relationship Id="rIdPortada" Type="http://schemas.openxmlformats.org/officeDocument/2006/relationships/worksheet" Target="worksheets/sheet101.xml"/></Relationships>
</file>

<file path=xl/drawings/_rels/drawing_portada.xml.rels><?xml version="1.0" encoding="UTF-8" standalone="yes"?><Relationships xmlns="http://schemas.openxmlformats.org/package/2006/relationships"><Relationship Id="rId1" Type="http://schemas.openxmlformats.org/officeDocument/2006/relationships/image" Target="../media/portada_scho.png"/></Relationships>
</file>

<file path=xl/drawings/drawing_portada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_portada.xml"/></Relationships>
</file>

<file path=xl/worksheets/sheet1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F29"/>
  <sheetViews>
    <sheetView zoomScaleNormal="100" workbookViewId="0" showGridLines="0">
      <selection activeCell="B4" sqref="B4:B8"/>
    </sheetView>
  </sheetViews>
  <sheetFormatPr baseColWidth="10" defaultColWidth="9.140625" defaultRowHeight="15"/>
  <cols>
    <col width="30" customWidth="1" min="1" max="1"/>
    <col width="30" customWidth="1" style="1" min="2" max="2"/>
    <col width="18" customWidth="1" min="3" max="6"/>
  </cols>
  <sheetData>
    <row r="1" ht="18.75" customHeight="1">
      <c r="A1" s="31" t="inlineStr">
        <is>
          <t>HeatStressRisk - Método de Evaluación (Método 1)</t>
        </is>
      </c>
      <c r="B1" s="40" t="n"/>
      <c r="C1" s="40" t="n"/>
      <c r="D1" s="40" t="n"/>
      <c r="E1" s="40" t="n"/>
      <c r="F1" s="41" t="n"/>
    </row>
    <row r="2">
      <c r="A2" s="16" t="n"/>
      <c r="B2" s="19" t="n"/>
      <c r="C2" s="16" t="n"/>
      <c r="D2" s="16" t="n"/>
      <c r="E2" s="16" t="n"/>
      <c r="F2" s="16" t="n"/>
    </row>
    <row r="3" ht="15" customHeight="1">
      <c r="A3" s="32" t="inlineStr">
        <is>
          <t>INSTRUCCIONES DE ENTRADA</t>
        </is>
      </c>
      <c r="B3" s="40" t="n"/>
      <c r="C3" s="40" t="n"/>
      <c r="D3" s="40" t="n"/>
      <c r="E3" s="40" t="n"/>
      <c r="F3" s="41" t="n"/>
    </row>
    <row r="4" ht="15" customHeight="1">
      <c r="A4" s="20" t="inlineStr">
        <is>
          <t>WBGT (°C)</t>
        </is>
      </c>
      <c r="B4" s="21" t="n"/>
      <c r="C4" s="42" t="inlineStr">
        <is>
          <t>°C (medido o estimado)</t>
        </is>
      </c>
      <c r="D4" s="16" t="n"/>
      <c r="E4" s="16" t="n"/>
      <c r="F4" s="16" t="n"/>
    </row>
    <row r="5" ht="15" customHeight="1">
      <c r="A5" s="20" t="inlineStr">
        <is>
          <t>Tasa Metabólica (W)</t>
        </is>
      </c>
      <c r="B5" s="21" t="n"/>
      <c r="C5" s="42" t="inlineStr">
        <is>
          <t>W (ver 'Datos de Referencia')</t>
        </is>
      </c>
      <c r="D5" s="16" t="n"/>
      <c r="E5" s="16" t="n"/>
      <c r="F5" s="16" t="n"/>
    </row>
    <row r="6" ht="15" customHeight="1">
      <c r="A6" s="20" t="inlineStr">
        <is>
          <t>Aclimatación</t>
        </is>
      </c>
      <c r="B6" s="21" t="n"/>
      <c r="C6" s="42" t="inlineStr">
        <is>
          <t>Lista desplegable</t>
        </is>
      </c>
      <c r="D6" s="16" t="n"/>
      <c r="E6" s="16" t="n"/>
      <c r="F6" s="16" t="n"/>
    </row>
    <row r="7" ht="15" customHeight="1">
      <c r="A7" s="20" t="inlineStr">
        <is>
          <t>CAV de Ropa (°C)</t>
        </is>
      </c>
      <c r="B7" s="21" t="n"/>
      <c r="C7" s="42" t="inlineStr">
        <is>
          <t>°C (ver 'Datos de Referencia')</t>
        </is>
      </c>
      <c r="D7" s="16" t="n"/>
      <c r="E7" s="16" t="n"/>
      <c r="F7" s="16" t="n"/>
    </row>
    <row r="8" ht="15" customHeight="1">
      <c r="A8" s="20" t="inlineStr">
        <is>
          <t>Patrón de Trabajo (%)</t>
        </is>
      </c>
      <c r="B8" s="21" t="n"/>
      <c r="C8" s="42" t="inlineStr">
        <is>
          <t>% del turno (informativo)</t>
        </is>
      </c>
      <c r="D8" s="16" t="n"/>
      <c r="E8" s="16" t="n"/>
      <c r="F8" s="16" t="n"/>
    </row>
    <row r="9">
      <c r="A9" s="16" t="n"/>
      <c r="B9" s="19" t="n"/>
      <c r="C9" s="16" t="n"/>
      <c r="D9" s="16" t="n"/>
      <c r="E9" s="16" t="n"/>
      <c r="F9" s="16" t="n"/>
    </row>
    <row r="10">
      <c r="A10" s="16" t="n"/>
      <c r="B10" s="19" t="n"/>
      <c r="C10" s="16" t="n"/>
      <c r="D10" s="16" t="n"/>
      <c r="E10" s="16" t="n"/>
      <c r="F10" s="16" t="n"/>
    </row>
    <row r="11" ht="15" customHeight="1">
      <c r="A11" s="32" t="inlineStr">
        <is>
          <t>RESULTADOS CALCULADOS</t>
        </is>
      </c>
      <c r="B11" s="40" t="n"/>
      <c r="C11" s="40" t="n"/>
      <c r="D11" s="40" t="n"/>
      <c r="E11" s="40" t="n"/>
      <c r="F11" s="41" t="n"/>
    </row>
    <row r="12" ht="15" customHeight="1">
      <c r="A12" s="16" t="inlineStr">
        <is>
          <t>TLV (°C-WBGT)</t>
        </is>
      </c>
      <c r="B12" s="22">
        <f>IF(N(B5)&gt;0,56.7-11.5*LOG10(B5),"")</f>
        <v/>
      </c>
      <c r="C12" s="16" t="n"/>
      <c r="D12" s="16" t="n"/>
      <c r="E12" s="16" t="n"/>
      <c r="F12" s="16" t="n"/>
    </row>
    <row r="13" ht="15" customHeight="1">
      <c r="A13" s="16" t="inlineStr">
        <is>
          <t>AL (°C-WBGT)</t>
        </is>
      </c>
      <c r="B13" s="22">
        <f>IF(N(B5)&gt;0,59.9-14.1*LOG10(B5),"")</f>
        <v/>
      </c>
      <c r="C13" s="16" t="n"/>
      <c r="D13" s="16" t="n"/>
      <c r="E13" s="16" t="n"/>
      <c r="F13" s="16" t="n"/>
    </row>
    <row r="14" ht="15" customHeight="1">
      <c r="A14" s="16" t="inlineStr">
        <is>
          <t>Aclimatación Ajuste (°C)</t>
        </is>
      </c>
      <c r="B14" s="22">
        <f>IF(B6="Aclimatado",0,-3)</f>
        <v/>
      </c>
      <c r="C14" s="16" t="n"/>
      <c r="D14" s="16" t="n"/>
      <c r="E14" s="16" t="n"/>
      <c r="F14" s="16" t="n"/>
    </row>
    <row r="15" ht="15" customHeight="1">
      <c r="A15" s="16" t="inlineStr">
        <is>
          <t>TLV Ajustado</t>
        </is>
      </c>
      <c r="B15" s="22">
        <f>IF(B12="","",B12+B14)</f>
        <v/>
      </c>
      <c r="C15" s="16" t="n"/>
      <c r="D15" s="16" t="n"/>
      <c r="E15" s="16" t="n"/>
      <c r="F15" s="16" t="n"/>
    </row>
    <row r="16" ht="15" customHeight="1">
      <c r="A16" s="16" t="inlineStr">
        <is>
          <t>AL Ajustado</t>
        </is>
      </c>
      <c r="B16" s="22">
        <f>IF(B13="","",B13+B14)</f>
        <v/>
      </c>
      <c r="C16" s="16" t="n"/>
      <c r="D16" s="16" t="n"/>
      <c r="E16" s="16" t="n"/>
      <c r="F16" s="16" t="n"/>
    </row>
    <row r="17" ht="15" customHeight="1">
      <c r="A17" s="16" t="inlineStr">
        <is>
          <t>WBGT Efectivo (con ropa)</t>
        </is>
      </c>
      <c r="B17" s="23">
        <f>IF(ISNUMBER(B4),B4+N(B7),"")</f>
        <v/>
      </c>
      <c r="C17" s="16" t="n"/>
      <c r="D17" s="16" t="n"/>
      <c r="E17" s="16" t="n"/>
      <c r="F17" s="16" t="n"/>
    </row>
    <row r="18">
      <c r="A18" s="16" t="n"/>
      <c r="B18" s="19" t="n"/>
      <c r="C18" s="16" t="n"/>
      <c r="D18" s="16" t="n"/>
      <c r="E18" s="16" t="n"/>
      <c r="F18" s="16" t="n"/>
    </row>
    <row r="19" ht="15" customHeight="1">
      <c r="A19" s="32" t="inlineStr">
        <is>
          <t>CLASIFICACIÓN DE SEVERIDAD</t>
        </is>
      </c>
      <c r="B19" s="40" t="n"/>
      <c r="C19" s="40" t="n"/>
      <c r="D19" s="40" t="n"/>
      <c r="E19" s="40" t="n"/>
      <c r="F19" s="41" t="n"/>
    </row>
    <row r="20" ht="15.75" customHeight="1">
      <c r="A20" s="16" t="inlineStr">
        <is>
          <t>Severidad</t>
        </is>
      </c>
      <c r="B20" s="24">
        <f>IF(OR(B15="",B17=""),"SIN DATOS",IF(B17&lt;B16,"ACEPTABLE",IF(B17&lt;B15,"PRECAUCIÓN",IF(B17&lt;B15+3,"MODERADO",IF(B17&lt;B15+6,"ALTO","EXTREMADAMENTE ALTO")))))</f>
        <v/>
      </c>
      <c r="C20" s="16" t="n"/>
      <c r="D20" s="16" t="n"/>
      <c r="E20" s="16" t="n"/>
      <c r="F20" s="16" t="n"/>
    </row>
    <row r="21">
      <c r="A21" s="16" t="n"/>
      <c r="B21" s="19" t="n"/>
      <c r="C21" s="16" t="n"/>
      <c r="D21" s="16" t="n"/>
      <c r="E21" s="16" t="n"/>
      <c r="F21" s="16" t="n"/>
    </row>
    <row r="22" ht="15" customHeight="1">
      <c r="A22" s="32" t="inlineStr">
        <is>
          <t>RECOMENDACIONES</t>
        </is>
      </c>
      <c r="B22" s="40" t="n"/>
      <c r="C22" s="40" t="n"/>
      <c r="D22" s="40" t="n"/>
      <c r="E22" s="40" t="n"/>
      <c r="F22" s="41" t="n"/>
    </row>
    <row r="23" ht="15" customHeight="1">
      <c r="A23" s="16" t="inlineStr">
        <is>
          <t>Nivel 1 (General)</t>
        </is>
      </c>
      <c r="B23" s="25" t="inlineStr">
        <is>
          <t>Siempre</t>
        </is>
      </c>
      <c r="C23" s="16" t="n"/>
      <c r="D23" s="16" t="n"/>
      <c r="E23" s="16" t="n"/>
      <c r="F23" s="16" t="n"/>
    </row>
    <row r="24" ht="15" customHeight="1">
      <c r="A24" s="16" t="inlineStr">
        <is>
          <t>Nivel 2 (Específico)</t>
        </is>
      </c>
      <c r="B24" s="25">
        <f>IF(B20="MODERADO","Sí",IF(B20="ALTO","Sí",IF(B20="EXTREMADAMENTE ALTO","Sí","No")))</f>
        <v/>
      </c>
      <c r="C24" s="16" t="n"/>
      <c r="D24" s="16" t="n"/>
      <c r="E24" s="16" t="n"/>
      <c r="F24" s="16" t="n"/>
    </row>
    <row r="25" ht="15" customHeight="1">
      <c r="A25" s="16" t="inlineStr">
        <is>
          <t>Nivel 3 (Monitoreo)</t>
        </is>
      </c>
      <c r="B25" s="25">
        <f>IF(B20="ALTO","Sí",IF(B20="EXTREMADAMENTE ALTO","Sí","No"))</f>
        <v/>
      </c>
      <c r="C25" s="16" t="n"/>
      <c r="D25" s="16" t="n"/>
      <c r="E25" s="16" t="n"/>
      <c r="F25" s="16" t="n"/>
    </row>
    <row r="27">
      <c r="A27" s="43" t="inlineStr">
        <is>
          <t>PLAN DE CONTROL Y PHS (NUEVO EN V2)</t>
        </is>
      </c>
      <c r="B27" s="44" t="n"/>
      <c r="C27" s="44" t="n"/>
      <c r="D27" s="44" t="n"/>
      <c r="E27" s="44" t="n"/>
      <c r="F27" s="44" t="n"/>
    </row>
    <row r="28">
      <c r="A28" s="45" t="inlineStr">
        <is>
          <t>Recomendaciones automáticas</t>
        </is>
      </c>
      <c r="B28" s="46" t="inlineStr">
        <is>
          <t>Hoja 'Plan de Control'</t>
        </is>
      </c>
    </row>
    <row r="29">
      <c r="A29" s="45" t="inlineStr">
        <is>
          <t>Tensión térmica predicha (PHS)</t>
        </is>
      </c>
      <c r="B29" s="46" t="inlineStr">
        <is>
          <t>Hoja 'PHS' (usa 'Análisis Detallado')</t>
        </is>
      </c>
    </row>
  </sheetData>
  <mergeCells count="6">
    <mergeCell ref="A11:F11"/>
    <mergeCell ref="A19:F19"/>
    <mergeCell ref="A1:F1"/>
    <mergeCell ref="A27:F27"/>
    <mergeCell ref="A22:F22"/>
    <mergeCell ref="A3:F3"/>
  </mergeCells>
  <conditionalFormatting sqref="B20">
    <cfRule type="expression" priority="1" dxfId="0" stopIfTrue="1">
      <formula>B20="SIN DATOS"</formula>
    </cfRule>
    <cfRule type="expression" priority="2" dxfId="1" stopIfTrue="1">
      <formula>B20="ACEPTABLE"</formula>
    </cfRule>
    <cfRule type="expression" priority="3" dxfId="2" stopIfTrue="1">
      <formula>B20="PRECAUCIÓN"</formula>
    </cfRule>
    <cfRule type="expression" priority="4" dxfId="3" stopIfTrue="1">
      <formula>B20="MODERADO"</formula>
    </cfRule>
    <cfRule type="expression" priority="5" dxfId="4" stopIfTrue="1">
      <formula>B20="ALTO"</formula>
    </cfRule>
    <cfRule type="expression" priority="6" dxfId="5" stopIfTrue="1">
      <formula>B20="EXTREMADAMENTE ALTO"</formula>
    </cfRule>
  </conditionalFormatting>
  <dataValidations count="1">
    <dataValidation sqref="B6" showDropDown="0" showInputMessage="0" showErrorMessage="0" allowBlank="1" type="list">
      <formula1>='Datos de Referencia'!$G$3:$G$6</formula1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2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37"/>
  <sheetViews>
    <sheetView zoomScaleNormal="100" workbookViewId="0" showGridLines="0">
      <selection activeCell="H11" sqref="H11"/>
    </sheetView>
  </sheetViews>
  <sheetFormatPr baseColWidth="10" defaultColWidth="9.140625" defaultRowHeight="15"/>
  <cols>
    <col width="28" customWidth="1" min="1" max="1"/>
    <col width="15" customWidth="1" style="1" min="2" max="2"/>
    <col width="20.85546875" customWidth="1" style="1" min="3" max="3"/>
    <col width="28" customWidth="1" style="1" min="4" max="4"/>
    <col width="15" customWidth="1" style="1" min="5" max="5"/>
    <col width="4" customWidth="1" min="6" max="6"/>
    <col width="46" customWidth="1" min="7" max="7"/>
    <col width="18" customWidth="1" min="8" max="8"/>
  </cols>
  <sheetData>
    <row r="1" ht="15.75" customHeight="1">
      <c r="A1" s="26" t="inlineStr">
        <is>
          <t>TASAS METABÓLICAS</t>
        </is>
      </c>
      <c r="B1" s="19" t="n"/>
      <c r="C1" s="19" t="n"/>
      <c r="D1" s="27" t="inlineStr">
        <is>
          <t>VALORES DE ROPA</t>
        </is>
      </c>
      <c r="E1" s="19" t="n"/>
    </row>
    <row r="2" ht="15" customHeight="1">
      <c r="A2" s="28" t="inlineStr">
        <is>
          <t>Categoría</t>
        </is>
      </c>
      <c r="B2" s="29" t="inlineStr">
        <is>
          <t>Tasa (W)</t>
        </is>
      </c>
      <c r="C2" s="19" t="n"/>
      <c r="D2" s="29" t="inlineStr">
        <is>
          <t>Tipo de Ropa</t>
        </is>
      </c>
      <c r="E2" s="29" t="inlineStr">
        <is>
          <t>CAV (°C)</t>
        </is>
      </c>
      <c r="G2" s="47" t="inlineStr">
        <is>
          <t>ESTADOS DE ACLIMATACIÓN</t>
        </is>
      </c>
      <c r="H2" s="48" t="inlineStr">
        <is>
          <t>Ajuste TLV/AL (°C)</t>
        </is>
      </c>
    </row>
    <row r="3" ht="15" customHeight="1">
      <c r="A3" s="16" t="inlineStr">
        <is>
          <t>Descanso (sentado)</t>
        </is>
      </c>
      <c r="B3" s="19" t="n">
        <v>115</v>
      </c>
      <c r="C3" s="19" t="n"/>
      <c r="D3" s="19" t="inlineStr">
        <is>
          <t>Estándar (mangas largas)</t>
        </is>
      </c>
      <c r="E3" s="19" t="n">
        <v>0</v>
      </c>
      <c r="G3" s="45" t="inlineStr">
        <is>
          <t>Aclimatado</t>
        </is>
      </c>
      <c r="H3" s="49" t="n">
        <v>0</v>
      </c>
    </row>
    <row r="4" ht="15" customHeight="1">
      <c r="A4" s="16" t="inlineStr">
        <is>
          <t>Trabajo Ligero</t>
        </is>
      </c>
      <c r="B4" s="19" t="n">
        <v>180</v>
      </c>
      <c r="C4" s="19" t="n"/>
      <c r="D4" s="19" t="inlineStr">
        <is>
          <t>Verano Ligero</t>
        </is>
      </c>
      <c r="E4" s="19" t="n">
        <v>-1</v>
      </c>
      <c r="G4" s="45" t="inlineStr">
        <is>
          <t>Parcialmente aclimatado (75%)</t>
        </is>
      </c>
      <c r="H4" s="49" t="n">
        <v>-3</v>
      </c>
    </row>
    <row r="5" ht="15" customHeight="1">
      <c r="A5" s="16" t="inlineStr">
        <is>
          <t>Ligero-Moderado</t>
        </is>
      </c>
      <c r="B5" s="19" t="n">
        <v>235</v>
      </c>
      <c r="C5" s="19" t="n"/>
      <c r="D5" s="19" t="inlineStr">
        <is>
          <t>Monos Ligeros</t>
        </is>
      </c>
      <c r="E5" s="19" t="n">
        <v>0.5</v>
      </c>
      <c r="G5" s="45" t="inlineStr">
        <is>
          <t>Parcialmente aclimatado (50%)</t>
        </is>
      </c>
      <c r="H5" s="49" t="n">
        <v>-3</v>
      </c>
    </row>
    <row r="6" ht="15" customHeight="1">
      <c r="A6" s="16" t="inlineStr">
        <is>
          <t>Moderado</t>
        </is>
      </c>
      <c r="B6" s="19" t="n">
        <v>300</v>
      </c>
      <c r="C6" s="19" t="n"/>
      <c r="D6" s="19" t="inlineStr">
        <is>
          <t>Protección Pesada</t>
        </is>
      </c>
      <c r="E6" s="19" t="n">
        <v>3</v>
      </c>
      <c r="G6" s="45" t="inlineStr">
        <is>
          <t>No aclimatado (25%)</t>
        </is>
      </c>
      <c r="H6" s="49" t="n">
        <v>-3</v>
      </c>
    </row>
    <row r="7" ht="15" customHeight="1">
      <c r="A7" s="16" t="inlineStr">
        <is>
          <t>Pesado</t>
        </is>
      </c>
      <c r="B7" s="19" t="n">
        <v>415</v>
      </c>
      <c r="C7" s="19" t="n"/>
      <c r="D7" s="19" t="inlineStr">
        <is>
          <t>Barrera de Vapor</t>
        </is>
      </c>
      <c r="E7" s="19" t="n">
        <v>10</v>
      </c>
      <c r="G7" s="50" t="inlineStr">
        <is>
          <t>La hoja aplica −3 °C a TLV y AL con cualquier estado distinto de 'Aclimatado' (criterio conservador). PHS lo interpreta como aclimatado (Sí/No).</t>
        </is>
      </c>
    </row>
    <row r="8" ht="15" customHeight="1">
      <c r="A8" s="16" t="inlineStr">
        <is>
          <t>Muy Pesado</t>
        </is>
      </c>
      <c r="B8" s="19" t="n">
        <v>520</v>
      </c>
      <c r="C8" s="19" t="n"/>
      <c r="D8" s="19" t="n"/>
      <c r="E8" s="19" t="n"/>
    </row>
    <row r="9" ht="15" customHeight="1">
      <c r="A9" s="16" t="n"/>
      <c r="B9" s="19" t="n"/>
      <c r="C9" s="19" t="n"/>
      <c r="D9" s="19" t="n"/>
      <c r="E9" s="19" t="n"/>
    </row>
    <row r="10">
      <c r="A10" s="16" t="n"/>
      <c r="B10" s="19" t="n"/>
      <c r="C10" s="19" t="n"/>
      <c r="D10" s="19" t="n"/>
      <c r="E10" s="19" t="n"/>
    </row>
    <row r="11">
      <c r="A11" s="16" t="n"/>
      <c r="B11" s="19" t="n"/>
      <c r="C11" s="19" t="n"/>
      <c r="D11" s="19" t="n"/>
      <c r="E11" s="19" t="n"/>
      <c r="G11" s="47" t="inlineStr">
        <is>
          <t>POSTURA (PHS)</t>
        </is>
      </c>
      <c r="H11" s="48" t="inlineStr"/>
    </row>
    <row r="12" ht="15.75" customHeight="1">
      <c r="A12" s="26" t="inlineStr">
        <is>
          <t>NIVELES DE SEVERIDAD</t>
        </is>
      </c>
      <c r="B12" s="19" t="n"/>
      <c r="C12" s="19" t="n"/>
      <c r="D12" s="19" t="n"/>
      <c r="E12" s="19" t="n"/>
      <c r="G12" s="45" t="inlineStr">
        <is>
          <t>De pie</t>
        </is>
      </c>
      <c r="H12" s="45" t="n"/>
    </row>
    <row r="13" ht="15" customHeight="1">
      <c r="A13" s="28" t="inlineStr">
        <is>
          <t>Nivel</t>
        </is>
      </c>
      <c r="B13" s="29" t="inlineStr">
        <is>
          <t>Rango</t>
        </is>
      </c>
      <c r="C13" s="29" t="inlineStr">
        <is>
          <t>Acción</t>
        </is>
      </c>
      <c r="D13" s="19" t="n"/>
      <c r="E13" s="19" t="n"/>
      <c r="G13" s="45" t="inlineStr">
        <is>
          <t>Sentado</t>
        </is>
      </c>
      <c r="H13" s="45" t="n"/>
    </row>
    <row r="14" ht="15" customHeight="1">
      <c r="A14" s="16" t="inlineStr">
        <is>
          <t>ACEPTABLE</t>
        </is>
      </c>
      <c r="B14" s="19" t="inlineStr">
        <is>
          <t>&lt;AL</t>
        </is>
      </c>
      <c r="C14" s="19" t="inlineStr">
        <is>
          <t>Conciencia General</t>
        </is>
      </c>
      <c r="D14" s="19" t="n"/>
      <c r="E14" s="19" t="n"/>
      <c r="G14" s="45" t="inlineStr">
        <is>
          <t>En cuclillas</t>
        </is>
      </c>
      <c r="H14" s="45" t="n"/>
    </row>
    <row r="15" ht="15" customHeight="1">
      <c r="A15" s="16" t="inlineStr">
        <is>
          <t>PRECAUCIÓN</t>
        </is>
      </c>
      <c r="B15" s="19" t="inlineStr">
        <is>
          <t>AL-TLV</t>
        </is>
      </c>
      <c r="C15" s="19" t="inlineStr">
        <is>
          <t>Nivel 1</t>
        </is>
      </c>
      <c r="D15" s="19" t="n"/>
      <c r="E15" s="19" t="n"/>
    </row>
    <row r="16" ht="15" customHeight="1">
      <c r="A16" s="16" t="inlineStr">
        <is>
          <t>MODERADO</t>
        </is>
      </c>
      <c r="B16" s="19" t="inlineStr">
        <is>
          <t>TLV a +3°C</t>
        </is>
      </c>
      <c r="C16" s="19" t="inlineStr">
        <is>
          <t>Nivel 1+2</t>
        </is>
      </c>
      <c r="D16" s="19" t="n"/>
      <c r="E16" s="19" t="n"/>
      <c r="G16" s="47" t="inlineStr">
        <is>
          <t>TIPO DE EXPOSICIÓN (Plan de Control)</t>
        </is>
      </c>
      <c r="H16" s="48" t="inlineStr"/>
    </row>
    <row r="17" ht="15" customHeight="1">
      <c r="A17" s="16" t="inlineStr">
        <is>
          <t>ALTO</t>
        </is>
      </c>
      <c r="B17" s="19" t="inlineStr">
        <is>
          <t>+3°C a +6°C</t>
        </is>
      </c>
      <c r="C17" s="19" t="inlineStr">
        <is>
          <t>Nivel 1+2+3</t>
        </is>
      </c>
      <c r="D17" s="19" t="n"/>
      <c r="E17" s="19" t="n"/>
      <c r="G17" s="45" t="inlineStr">
        <is>
          <t>Exterior con radiación solar</t>
        </is>
      </c>
      <c r="H17" s="45" t="n"/>
    </row>
    <row r="18" ht="15" customHeight="1">
      <c r="A18" s="16" t="inlineStr">
        <is>
          <t>EXTREMADAMENTE ALTO</t>
        </is>
      </c>
      <c r="B18" s="19" t="inlineStr">
        <is>
          <t>&gt;+6°C</t>
        </is>
      </c>
      <c r="C18" s="19" t="inlineStr">
        <is>
          <t>Todos los Niveles</t>
        </is>
      </c>
      <c r="D18" s="19" t="n"/>
      <c r="E18" s="19" t="n"/>
      <c r="G18" s="45" t="inlineStr">
        <is>
          <t>Interior con fuente radiante</t>
        </is>
      </c>
      <c r="H18" s="45" t="n"/>
    </row>
    <row r="19">
      <c r="G19" s="45" t="inlineStr">
        <is>
          <t>Interior sin fuente radiante</t>
        </is>
      </c>
      <c r="H19" s="45" t="n"/>
    </row>
    <row r="20">
      <c r="G20" s="45" t="inlineStr">
        <is>
          <t>Interior húmedo (vapor/procesos)</t>
        </is>
      </c>
      <c r="H20" s="45" t="n"/>
    </row>
    <row r="21">
      <c r="A21" s="47" t="inlineStr">
        <is>
          <t>LÍMITES DE VALIDEZ ISO 7933:2023 (PHS)</t>
        </is>
      </c>
      <c r="B21" s="51" t="n"/>
      <c r="C21" s="51" t="n"/>
    </row>
    <row r="22">
      <c r="A22" s="52" t="inlineStr">
        <is>
          <t>Variable</t>
        </is>
      </c>
      <c r="B22" s="53" t="inlineStr">
        <is>
          <t>Mín</t>
        </is>
      </c>
      <c r="C22" s="53" t="inlineStr">
        <is>
          <t>Máx</t>
        </is>
      </c>
      <c r="G22" s="47" t="inlineStr">
        <is>
          <t>SÍ / NO</t>
        </is>
      </c>
      <c r="H22" s="48" t="inlineStr"/>
    </row>
    <row r="23">
      <c r="A23" s="45" t="inlineStr">
        <is>
          <t>Temperatura de aire Tbs (°C)</t>
        </is>
      </c>
      <c r="B23" s="49" t="n">
        <v>15</v>
      </c>
      <c r="C23" s="49" t="n">
        <v>50</v>
      </c>
      <c r="G23" s="45" t="inlineStr">
        <is>
          <t>Sí</t>
        </is>
      </c>
      <c r="H23" s="45" t="n"/>
    </row>
    <row r="24">
      <c r="A24" s="45" t="inlineStr">
        <is>
          <t>Tr − Tbs (°C)</t>
        </is>
      </c>
      <c r="B24" s="49" t="n">
        <v>0</v>
      </c>
      <c r="C24" s="49" t="n">
        <v>60</v>
      </c>
      <c r="G24" s="45" t="inlineStr">
        <is>
          <t>No</t>
        </is>
      </c>
      <c r="H24" s="45" t="n"/>
    </row>
    <row r="25">
      <c r="A25" s="45" t="inlineStr">
        <is>
          <t>Velocidad del aire (m/s)</t>
        </is>
      </c>
      <c r="B25" s="49" t="n">
        <v>0</v>
      </c>
      <c r="C25" s="49" t="n">
        <v>3</v>
      </c>
    </row>
    <row r="26">
      <c r="A26" s="45" t="inlineStr">
        <is>
          <t>Presión de vapor Pa (kPa)</t>
        </is>
      </c>
      <c r="B26" s="49" t="n">
        <v>0.5</v>
      </c>
      <c r="C26" s="49" t="n">
        <v>4.5</v>
      </c>
    </row>
    <row r="27">
      <c r="A27" s="45" t="inlineStr">
        <is>
          <t>Tasa metabólica M (W/m²)</t>
        </is>
      </c>
      <c r="B27" s="49" t="n">
        <v>56</v>
      </c>
      <c r="C27" s="49" t="n">
        <v>250</v>
      </c>
    </row>
    <row r="28">
      <c r="A28" s="45" t="inlineStr">
        <is>
          <t>Aislamiento de ropa (clo)</t>
        </is>
      </c>
      <c r="B28" s="49" t="n">
        <v>0.1</v>
      </c>
      <c r="C28" s="49" t="n">
        <v>1</v>
      </c>
    </row>
    <row r="29" ht="26" customHeight="1">
      <c r="A29" s="50" t="inlineStr">
        <is>
          <t>Fuente: Anexo A de ISO 7933:2023, según la implementación de referencia de código abierto (pythermalcomfort 4.6.0).</t>
        </is>
      </c>
    </row>
    <row r="31">
      <c r="A31" s="47" t="inlineStr">
        <is>
          <t>AISLAMIENTO DE ROPA (clo) – orientativo</t>
        </is>
      </c>
      <c r="B31" s="51" t="n"/>
      <c r="C31" s="51" t="n"/>
    </row>
    <row r="32">
      <c r="A32" s="52" t="inlineStr">
        <is>
          <t>Conjunto de ropa</t>
        </is>
      </c>
      <c r="B32" s="53" t="inlineStr">
        <is>
          <t>clo</t>
        </is>
      </c>
    </row>
    <row r="33">
      <c r="A33" s="45" t="inlineStr">
        <is>
          <t>Pantalón corto y camisa manga corta</t>
        </is>
      </c>
      <c r="B33" s="49" t="n">
        <v>0.36</v>
      </c>
    </row>
    <row r="34">
      <c r="A34" s="45" t="inlineStr">
        <is>
          <t>Pantalón largo y camisa manga corta</t>
        </is>
      </c>
      <c r="B34" s="49" t="n">
        <v>0.57</v>
      </c>
    </row>
    <row r="35">
      <c r="A35" s="45" t="inlineStr">
        <is>
          <t>Pantalón largo y camisa manga larga</t>
        </is>
      </c>
      <c r="B35" s="49" t="n">
        <v>0.61</v>
      </c>
    </row>
    <row r="36">
      <c r="A36" s="45" t="inlineStr">
        <is>
          <t>Anterior + chaqueta</t>
        </is>
      </c>
      <c r="B36" s="49" t="n">
        <v>0.96</v>
      </c>
    </row>
    <row r="37" ht="38" customHeight="1">
      <c r="A37" s="50" t="inlineStr">
        <is>
          <t>Valores típicos ASHRAE 55 / ISO 9920 (incluyen ropa interior, medias y zapatos). Verifique con ISO 9920 o el fabricante para ropa de trabajo específica.</t>
        </is>
      </c>
    </row>
  </sheetData>
  <mergeCells count="3">
    <mergeCell ref="A29:C29"/>
    <mergeCell ref="A37:C37"/>
    <mergeCell ref="G7:H9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3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J28"/>
  <sheetViews>
    <sheetView zoomScaleNormal="100" workbookViewId="0" showGridLines="0">
      <selection activeCell="C18" sqref="C18"/>
    </sheetView>
  </sheetViews>
  <sheetFormatPr baseColWidth="10" defaultColWidth="9.140625" defaultRowHeight="17.25"/>
  <cols>
    <col width="50.28515625" customWidth="1" style="15" min="1" max="1"/>
    <col width="20.7109375" customWidth="1" style="1" min="2" max="2"/>
    <col width="18" customWidth="1" style="1" min="3" max="4"/>
    <col width="14" customWidth="1" min="4" max="4"/>
    <col width="22.7109375" customWidth="1" style="1" min="5" max="5"/>
    <col width="18" customWidth="1" style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18.75" customHeight="1">
      <c r="A1" s="14" t="inlineStr">
        <is>
          <t>HeatStressRisk - Método de Análisis Detallado</t>
        </is>
      </c>
      <c r="B1" s="12" t="n"/>
      <c r="C1" s="12" t="n"/>
      <c r="D1" s="12" t="n"/>
      <c r="E1" s="12" t="n"/>
      <c r="F1" s="12" t="n"/>
    </row>
    <row r="2">
      <c r="B2" s="12" t="n"/>
      <c r="C2" s="12" t="n"/>
      <c r="D2" s="12" t="n"/>
      <c r="E2" s="12" t="n"/>
      <c r="F2" s="12" t="n"/>
      <c r="G2" s="54" t="inlineStr">
        <is>
          <t>Datos ambientales para PHS (opcionales si no usa PHS)</t>
        </is>
      </c>
    </row>
    <row r="3" ht="15" customHeight="1">
      <c r="A3" s="4" t="inlineStr">
        <is>
          <t>DESGLOSE DE TAREAS</t>
        </is>
      </c>
      <c r="B3" s="3" t="inlineStr">
        <is>
          <t>ACTIVIDAD</t>
        </is>
      </c>
      <c r="C3" s="3" t="inlineStr">
        <is>
          <t>DURACION ( Hr )</t>
        </is>
      </c>
      <c r="D3" s="3" t="inlineStr">
        <is>
          <t>WBGT</t>
        </is>
      </c>
      <c r="E3" s="3" t="inlineStr">
        <is>
          <t>TASA METABOLICA (W)</t>
        </is>
      </c>
      <c r="F3" s="2" t="inlineStr">
        <is>
          <t>DURACION X WBGT</t>
        </is>
      </c>
      <c r="G3" s="3" t="inlineStr">
        <is>
          <t>Tbs (°C)</t>
        </is>
      </c>
      <c r="H3" s="3" t="inlineStr">
        <is>
          <t>Tg (°C)</t>
        </is>
      </c>
      <c r="I3" s="3" t="inlineStr">
        <is>
          <t>HR (%)</t>
        </is>
      </c>
      <c r="J3" s="3" t="inlineStr">
        <is>
          <t>Vel. aire (m/s)</t>
        </is>
      </c>
    </row>
    <row r="4" ht="15" customHeight="1">
      <c r="A4" s="5" t="n"/>
      <c r="B4" s="5" t="n"/>
      <c r="C4" s="6" t="n"/>
      <c r="D4" s="6" t="n"/>
      <c r="E4" s="7" t="n"/>
      <c r="F4" s="36">
        <f>C4*D4</f>
        <v/>
      </c>
      <c r="G4" s="6" t="n"/>
      <c r="H4" s="6" t="n"/>
      <c r="I4" s="6" t="n"/>
      <c r="J4" s="6" t="n"/>
    </row>
    <row r="5" ht="15" customHeight="1">
      <c r="A5" s="17" t="n"/>
      <c r="B5" s="17" t="n"/>
      <c r="C5" s="8" t="n"/>
      <c r="D5" s="8" t="n"/>
      <c r="E5" s="9" t="n"/>
      <c r="F5" s="37">
        <f>C5*D5</f>
        <v/>
      </c>
      <c r="G5" s="6" t="n"/>
      <c r="H5" s="6" t="n"/>
      <c r="I5" s="6" t="n"/>
      <c r="J5" s="6" t="n"/>
    </row>
    <row r="6" ht="15" customHeight="1">
      <c r="A6" s="17" t="n"/>
      <c r="B6" s="17" t="n"/>
      <c r="C6" s="8" t="n"/>
      <c r="D6" s="8" t="n"/>
      <c r="E6" s="9" t="n"/>
      <c r="F6" s="37">
        <f>C6*D6</f>
        <v/>
      </c>
      <c r="G6" s="6" t="n"/>
      <c r="H6" s="6" t="n"/>
      <c r="I6" s="6" t="n"/>
      <c r="J6" s="6" t="n"/>
    </row>
    <row r="7" ht="15" customHeight="1">
      <c r="A7" s="17" t="n"/>
      <c r="B7" s="17" t="n"/>
      <c r="C7" s="8" t="n"/>
      <c r="D7" s="8" t="n"/>
      <c r="E7" s="9" t="n"/>
      <c r="F7" s="37">
        <f>C7*D7</f>
        <v/>
      </c>
      <c r="G7" s="6" t="n"/>
      <c r="H7" s="6" t="n"/>
      <c r="I7" s="6" t="n"/>
      <c r="J7" s="6" t="n"/>
    </row>
    <row r="8" ht="15" customHeight="1">
      <c r="A8" s="17" t="n"/>
      <c r="B8" s="17" t="n"/>
      <c r="C8" s="8" t="n"/>
      <c r="D8" s="8" t="n"/>
      <c r="E8" s="9" t="n"/>
      <c r="F8" s="37">
        <f>C8*D8</f>
        <v/>
      </c>
      <c r="G8" s="6" t="n"/>
      <c r="H8" s="6" t="n"/>
      <c r="I8" s="6" t="n"/>
      <c r="J8" s="6" t="n"/>
    </row>
    <row r="9" ht="15" customHeight="1">
      <c r="A9" s="17" t="n"/>
      <c r="B9" s="17" t="n"/>
      <c r="C9" s="8" t="n"/>
      <c r="D9" s="8" t="n"/>
      <c r="E9" s="9" t="n"/>
      <c r="F9" s="37">
        <f>C9*D9</f>
        <v/>
      </c>
      <c r="G9" s="6" t="n"/>
      <c r="H9" s="6" t="n"/>
      <c r="I9" s="6" t="n"/>
      <c r="J9" s="6" t="n"/>
    </row>
    <row r="10" ht="15" customHeight="1">
      <c r="A10" s="17" t="n"/>
      <c r="B10" s="17" t="n"/>
      <c r="C10" s="8" t="n"/>
      <c r="D10" s="8" t="n"/>
      <c r="E10" s="9" t="n"/>
      <c r="F10" s="37">
        <f>C10*D10</f>
        <v/>
      </c>
      <c r="G10" s="6" t="n"/>
      <c r="H10" s="6" t="n"/>
      <c r="I10" s="6" t="n"/>
      <c r="J10" s="6" t="n"/>
    </row>
    <row r="11" ht="15" customHeight="1">
      <c r="A11" s="18" t="n"/>
      <c r="B11" s="18" t="n"/>
      <c r="C11" s="10" t="n"/>
      <c r="D11" s="10" t="n"/>
      <c r="E11" s="11" t="n"/>
      <c r="F11" s="38">
        <f>C11*D11</f>
        <v/>
      </c>
      <c r="G11" s="6" t="n"/>
      <c r="H11" s="6" t="n"/>
      <c r="I11" s="6" t="n"/>
      <c r="J11" s="6" t="n"/>
    </row>
    <row r="12" ht="15" customHeight="1">
      <c r="A12" s="55" t="inlineStr">
        <is>
          <t>PROMEDIOS PONDERADOS POR TIEMPO</t>
        </is>
      </c>
      <c r="B12" s="41" t="n"/>
      <c r="C12" s="13" t="n"/>
      <c r="D12" s="12" t="n"/>
      <c r="E12" s="12" t="n"/>
      <c r="F12" s="12" t="n"/>
    </row>
    <row r="13" ht="15" customHeight="1">
      <c r="A13" s="16" t="inlineStr">
        <is>
          <t>Duración Total (h)</t>
        </is>
      </c>
      <c r="B13" s="39">
        <f>SUM(C4:C11)</f>
        <v/>
      </c>
      <c r="C13" s="12" t="n"/>
      <c r="D13" s="12" t="n"/>
      <c r="E13" s="12" t="n"/>
      <c r="F13" s="12" t="n"/>
    </row>
    <row r="14" ht="15" customHeight="1">
      <c r="A14" s="16" t="inlineStr">
        <is>
          <t>PPA-WBGT (°C)</t>
        </is>
      </c>
      <c r="B14" s="39">
        <f>IF(B13&gt;0,SUM(F4:F11)/B13,0)</f>
        <v/>
      </c>
      <c r="C14" s="12" t="n"/>
      <c r="D14" s="12" t="n"/>
      <c r="E14" s="12" t="n"/>
      <c r="F14" s="12" t="n"/>
    </row>
    <row r="15" ht="15" customHeight="1">
      <c r="A15" s="16" t="inlineStr">
        <is>
          <t>PPA-Tasa Metabólica (W)</t>
        </is>
      </c>
      <c r="B15" s="39">
        <f>IF(B13&gt;0,SUMPRODUCT(C4:C11,E4:E11)/B13,0)</f>
        <v/>
      </c>
      <c r="C15" s="12" t="n"/>
      <c r="D15" s="12" t="n"/>
      <c r="E15" s="12" t="n"/>
      <c r="F15" s="12" t="n"/>
    </row>
    <row r="17">
      <c r="A17" s="55" t="inlineStr">
        <is>
          <t>CLASIFICACIÓN ACGIH (con promedios ponderados)</t>
        </is>
      </c>
      <c r="B17" s="55" t="n"/>
    </row>
    <row r="18">
      <c r="A18" s="45" t="inlineStr">
        <is>
          <t>Aclimatación</t>
        </is>
      </c>
      <c r="B18" s="56" t="n"/>
      <c r="C18" s="50" t="inlineStr">
        <is>
          <t>Se usan en la clasificación ACGIH y en PHS (aclimatación) y en el Plan de Control.</t>
        </is>
      </c>
    </row>
    <row r="19">
      <c r="A19" s="45" t="inlineStr">
        <is>
          <t>CAV de Ropa (°C)</t>
        </is>
      </c>
      <c r="B19" s="57" t="n"/>
    </row>
    <row r="20">
      <c r="A20" s="45" t="inlineStr">
        <is>
          <t>TLV (°C-WBGT) con PPA-M</t>
        </is>
      </c>
      <c r="B20" s="58">
        <f>IF(N(B15)&gt;0,56.7-11.5*LOG10(B15),"")</f>
        <v/>
      </c>
    </row>
    <row r="21">
      <c r="A21" s="45" t="inlineStr">
        <is>
          <t>AL (°C-WBGT) con PPA-M</t>
        </is>
      </c>
      <c r="B21" s="58">
        <f>IF(N(B15)&gt;0,59.9-14.1*LOG10(B15),"")</f>
        <v/>
      </c>
    </row>
    <row r="22">
      <c r="A22" s="45" t="inlineStr">
        <is>
          <t>Aclimatación Ajuste (°C)</t>
        </is>
      </c>
      <c r="B22" s="58">
        <f>IF(B18="Aclimatado",0,-3)</f>
        <v/>
      </c>
    </row>
    <row r="23">
      <c r="A23" s="45" t="inlineStr">
        <is>
          <t>TLV Ajustado</t>
        </is>
      </c>
      <c r="B23" s="58">
        <f>IF(B20="","",B20+B22)</f>
        <v/>
      </c>
    </row>
    <row r="24">
      <c r="A24" s="45" t="inlineStr">
        <is>
          <t>AL Ajustado</t>
        </is>
      </c>
      <c r="B24" s="58">
        <f>IF(B21="","",B21+B22)</f>
        <v/>
      </c>
    </row>
    <row r="25">
      <c r="A25" s="45" t="inlineStr">
        <is>
          <t>WBGT Efectivo (PPA-WBGT + CAV)</t>
        </is>
      </c>
      <c r="B25" s="59">
        <f>IF(AND(B13&gt;0,COUNT(D4:D11)&gt;0),B14+N(B19),"")</f>
        <v/>
      </c>
    </row>
    <row r="26">
      <c r="A26" s="45" t="inlineStr">
        <is>
          <t>Severidad</t>
        </is>
      </c>
      <c r="B26" s="60">
        <f>IF(OR(B23="",B25=""),"SIN DATOS",IF(B25&lt;B24,"ACEPTABLE",IF(B25&lt;B23,"PRECAUCIÓN",IF(B25&lt;B23+3,"MODERADO",IF(B25&lt;B23+6,"ALTO","EXTREMADAMENTE ALTO")))))</f>
        <v/>
      </c>
    </row>
    <row r="27">
      <c r="A27" s="45" t="inlineStr">
        <is>
          <t>Nivel 2 (Específico)</t>
        </is>
      </c>
      <c r="B27" s="46">
        <f>IF(OR(B26="MODERADO",B26="ALTO",B26="EXTREMADAMENTE ALTO"),"Sí","No")</f>
        <v/>
      </c>
    </row>
    <row r="28">
      <c r="A28" s="45" t="inlineStr">
        <is>
          <t>Nivel 3 (Monitoreo)</t>
        </is>
      </c>
      <c r="B28" s="46">
        <f>IF(OR(B26="ALTO",B26="EXTREMADAMENTE ALTO"),"Sí","No")</f>
        <v/>
      </c>
    </row>
  </sheetData>
  <mergeCells count="5">
    <mergeCell ref="C20:F21"/>
    <mergeCell ref="G2:J2"/>
    <mergeCell ref="A17:B17"/>
    <mergeCell ref="C18:F19"/>
    <mergeCell ref="A12:B12"/>
  </mergeCells>
  <conditionalFormatting sqref="B26">
    <cfRule type="expression" priority="1" dxfId="0" stopIfTrue="1">
      <formula>B26="SIN DATOS"</formula>
    </cfRule>
    <cfRule type="expression" priority="2" dxfId="1" stopIfTrue="1">
      <formula>B26="ACEPTABLE"</formula>
    </cfRule>
    <cfRule type="expression" priority="3" dxfId="2" stopIfTrue="1">
      <formula>B26="PRECAUCIÓN"</formula>
    </cfRule>
    <cfRule type="expression" priority="4" dxfId="3" stopIfTrue="1">
      <formula>B26="MODERADO"</formula>
    </cfRule>
    <cfRule type="expression" priority="5" dxfId="4" stopIfTrue="1">
      <formula>B26="ALTO"</formula>
    </cfRule>
    <cfRule type="expression" priority="6" dxfId="5" stopIfTrue="1">
      <formula>B26="EXTREMADAMENTE ALTO"</formula>
    </cfRule>
  </conditionalFormatting>
  <dataValidations count="1">
    <dataValidation sqref="B18" showDropDown="0" showInputMessage="0" showErrorMessage="0" allowBlank="1" type="list">
      <formula1>='Datos de Referencia'!$G$3:$G$6</formula1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4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48"/>
  <sheetViews>
    <sheetView workbookViewId="0" showGridLines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6" customWidth="1" min="8" max="8"/>
  </cols>
  <sheetData>
    <row r="1" ht="18.75" customHeight="1">
      <c r="A1" s="61" t="inlineStr">
        <is>
          <t>HeatStressRisk – Tensión Térmica Predicha (PHS, ISO 7933:2023)</t>
        </is>
      </c>
      <c r="B1" s="62" t="n"/>
      <c r="C1" s="62" t="n"/>
      <c r="D1" s="62" t="n"/>
      <c r="E1" s="62" t="n"/>
      <c r="F1" s="62" t="n"/>
      <c r="G1" s="62" t="n"/>
      <c r="H1" s="62" t="n"/>
    </row>
    <row r="2" ht="30" customHeight="1">
      <c r="A2" s="50" t="inlineStr">
        <is>
          <t>Simula minuto a minuto la temperatura rectal y la pérdida de agua de una persona promedio para la secuencia de tareas de la hoja 'Análisis Detallado' (columnas C, E y G–J). Para una exposición homogénea use una sola fila (p. ej., 8 h).</t>
        </is>
      </c>
    </row>
    <row r="4">
      <c r="A4" s="43" t="inlineStr">
        <is>
          <t>PARÁMETROS DEL TRABAJADOR Y DE LA ROPA (celdas amarillas)</t>
        </is>
      </c>
      <c r="B4" s="44" t="n"/>
      <c r="C4" s="44" t="n"/>
      <c r="D4" s="44" t="n"/>
      <c r="E4" s="44" t="n"/>
      <c r="F4" s="44" t="n"/>
      <c r="G4" s="44" t="n"/>
      <c r="H4" s="44" t="n"/>
    </row>
    <row r="5">
      <c r="A5" s="45" t="inlineStr">
        <is>
          <t>Peso corporal (kg)</t>
        </is>
      </c>
      <c r="B5" s="63" t="n">
        <v>75</v>
      </c>
      <c r="C5" s="50" t="inlineStr">
        <is>
          <t>Referencia ISO 7933: 75 kg. Ajuste a su población.</t>
        </is>
      </c>
    </row>
    <row r="6">
      <c r="A6" s="45" t="inlineStr">
        <is>
          <t>Estatura (m)</t>
        </is>
      </c>
      <c r="B6" s="64" t="n">
        <v>1.8</v>
      </c>
      <c r="C6" s="50" t="inlineStr">
        <is>
          <t>Referencia ISO 7933: 1.80 m.</t>
        </is>
      </c>
    </row>
    <row r="7">
      <c r="A7" s="45" t="inlineStr">
        <is>
          <t>Postura</t>
        </is>
      </c>
      <c r="B7" s="65" t="inlineStr">
        <is>
          <t>De pie</t>
        </is>
      </c>
      <c r="C7" s="50" t="inlineStr">
        <is>
          <t>Lista desplegable.</t>
        </is>
      </c>
    </row>
    <row r="8">
      <c r="A8" s="45" t="inlineStr">
        <is>
          <t>Aclimatación</t>
        </is>
      </c>
      <c r="B8" s="66">
        <f>IF('Análisis Detallado'!B18="","",'Análisis Detallado'!B18)</f>
        <v/>
      </c>
      <c r="C8" s="50" t="inlineStr">
        <is>
          <t>Se toma de la hoja 'Análisis Detallado' (celda B18). Se interpreta como aclimatado solo si dice 'Aclimatado'.</t>
        </is>
      </c>
    </row>
    <row r="9">
      <c r="A9" s="45" t="inlineStr">
        <is>
          <t>Aislamiento de la ropa (clo)</t>
        </is>
      </c>
      <c r="B9" s="64" t="n">
        <v>0.6</v>
      </c>
      <c r="C9" s="50" t="inlineStr">
        <is>
          <t>Ver tabla en 'Datos de Referencia'. Con CAV ≥ 3 °C use un clo mayor. Rango válido 0.1–1.0.</t>
        </is>
      </c>
    </row>
    <row r="10">
      <c r="A10" s="45" t="inlineStr">
        <is>
          <t>Velocidad de caminata (m/s)</t>
        </is>
      </c>
      <c r="B10" s="64" t="n">
        <v>0</v>
      </c>
      <c r="C10" s="50" t="inlineStr">
        <is>
          <t>0 = estimada automáticamente a partir de la tasa metabólica (según la norma).</t>
        </is>
      </c>
    </row>
    <row r="11">
      <c r="A11" s="45" t="inlineStr">
        <is>
          <t>Diámetro del globo (mm)</t>
        </is>
      </c>
      <c r="B11" s="67" t="n">
        <v>150</v>
      </c>
      <c r="C11" s="50" t="inlineStr">
        <is>
          <t>Para calcular Tr desde Tg (ISO 7726). Globo estándar 150 mm; globos pequeños 50–75 mm.</t>
        </is>
      </c>
    </row>
    <row r="12">
      <c r="A12" s="45" t="inlineStr">
        <is>
          <t>Emisividad del globo</t>
        </is>
      </c>
      <c r="B12" s="64" t="n">
        <v>0.95</v>
      </c>
      <c r="C12" s="50" t="inlineStr">
        <is>
          <t>Globo negro ≈ 0.95.</t>
        </is>
      </c>
    </row>
    <row r="14">
      <c r="A14" s="43" t="inlineStr">
        <is>
          <t>ESTADO DEL ANÁLISIS</t>
        </is>
      </c>
      <c r="B14" s="44" t="n"/>
      <c r="C14" s="44" t="n"/>
      <c r="D14" s="44" t="n"/>
      <c r="E14" s="44" t="n"/>
      <c r="F14" s="44" t="n"/>
      <c r="G14" s="44" t="n"/>
      <c r="H14" s="44" t="n"/>
    </row>
    <row r="15">
      <c r="A15" s="45" t="inlineStr">
        <is>
          <t>Duración total simulada (min)</t>
        </is>
      </c>
      <c r="B15" s="68">
        <f>'Motor PHS'!B25</f>
        <v/>
      </c>
      <c r="C15" s="50" t="inlineStr">
        <is>
          <t>Suma de las duraciones de 'Análisis Detallado'. Máximo 720 min (12 h).</t>
        </is>
      </c>
    </row>
    <row r="16">
      <c r="A16" s="45" t="inlineStr">
        <is>
          <t>Estado de los datos</t>
        </is>
      </c>
      <c r="B16" s="69">
        <f>IF('Motor PHS'!B25=0,"Sin tareas: ingrese duración, tasa metabólica y condiciones ambientales en 'Análisis Detallado'.",IF('Motor PHS'!B25&gt;720,"La duración total excede 720 min (12 h): reduzca la secuencia.",IF('Motor PHS'!B39&gt;0,"Faltan datos en: "&amp;IF(AND('Motor PHS'!E61=1,'Motor PHS'!F61=0),"T1 ","")&amp;IF(AND('Motor PHS'!E62=1,'Motor PHS'!F62=0),"T2 ","")&amp;IF(AND('Motor PHS'!E63=1,'Motor PHS'!F63=0),"T3 ","")&amp;IF(AND('Motor PHS'!E64=1,'Motor PHS'!F64=0),"T4 ","")&amp;IF(AND('Motor PHS'!E65=1,'Motor PHS'!F65=0),"T5 ","")&amp;IF(AND('Motor PHS'!E66=1,'Motor PHS'!F66=0),"T6 ","")&amp;IF(AND('Motor PHS'!E67=1,'Motor PHS'!F67=0),"T7 ","")&amp;IF(AND('Motor PHS'!E68=1,'Motor PHS'!F68=0),"T8 ","")&amp;"(complete duración, Tbs, Tg, HR, v y M).",IF(OR(N(B5)&lt;=0,N(B6)&lt;=0),"Complete peso y estatura.","Datos completos"))))</f>
        <v/>
      </c>
      <c r="C16" s="70" t="n"/>
      <c r="D16" s="70" t="n"/>
      <c r="E16" s="70" t="n"/>
      <c r="F16" s="70" t="n"/>
      <c r="G16" s="70" t="n"/>
      <c r="H16" s="70" t="n"/>
    </row>
    <row r="17">
      <c r="A17" s="45" t="inlineStr">
        <is>
          <t>Validez según ISO 7933:2023</t>
        </is>
      </c>
      <c r="B17" s="69">
        <f>IF('Motor PHS'!B45=0,"—",IF('Motor PHS'!B45=3,"NO APLICABLE: "&amp;IF('Motor PHS'!B41&gt;0,"variables fuera del rango de validez en alguna tarea (ver detalle). ","")&amp;IF('Motor PHS'!B42=0,"Aislamiento de ropa fuera de 0.1–1.0 clo. ","")&amp;IF('Motor PHS'!B43=1,"Ropa con barrera de vapor: PHS no aplica. ",""),IF('Motor PHS'!B45=2,"Válido con advertencia: tareas con M &lt; 56 W/m² (límite inferior de la norma; típico de reposo).","Dentro del rango de validez")))</f>
        <v/>
      </c>
      <c r="C17" s="70" t="n"/>
      <c r="D17" s="70" t="n"/>
      <c r="E17" s="70" t="n"/>
      <c r="F17" s="70" t="n"/>
      <c r="G17" s="70" t="n"/>
      <c r="H17" s="70" t="n"/>
    </row>
    <row r="19">
      <c r="A19" s="43" t="inlineStr">
        <is>
          <t>RESULTADOS PHS</t>
        </is>
      </c>
      <c r="B19" s="44" t="n"/>
      <c r="C19" s="44" t="n"/>
      <c r="D19" s="44" t="n"/>
      <c r="E19" s="44" t="n"/>
      <c r="F19" s="44" t="n"/>
      <c r="G19" s="44" t="n"/>
      <c r="H19" s="44" t="n"/>
    </row>
    <row r="20">
      <c r="A20" s="45" t="inlineStr">
        <is>
          <t>Temperatura rectal al final de la exposición (°C)</t>
        </is>
      </c>
      <c r="B20" s="58">
        <f>IF(OR('Motor PHS'!B45=1,'Motor PHS'!B45=2),'Motor PHS'!B52,"")</f>
        <v/>
      </c>
      <c r="C20" s="50" t="inlineStr">
        <is>
          <t>Límite de referencia ISO 7933: 38.0 °C.</t>
        </is>
      </c>
    </row>
    <row r="21">
      <c r="A21" s="45" t="inlineStr">
        <is>
          <t>Temperatura rectal máxima alcanzada (°C)</t>
        </is>
      </c>
      <c r="B21" s="58">
        <f>IF(OR('Motor PHS'!B45=1,'Motor PHS'!B45=2),'Motor PHS'!B53,"")</f>
        <v/>
      </c>
      <c r="C21" s="50" t="inlineStr"/>
    </row>
    <row r="22">
      <c r="A22" s="45" t="inlineStr">
        <is>
          <t>Pérdida de agua total estimada (g)</t>
        </is>
      </c>
      <c r="B22" s="68">
        <f>IF(OR('Motor PHS'!B45=1,'Motor PHS'!B45=2),'Motor PHS'!B54,"")</f>
        <v/>
      </c>
      <c r="C22" s="50" t="inlineStr">
        <is>
          <t>Incluye sudor y evaporación respiratoria.</t>
        </is>
      </c>
    </row>
    <row r="23">
      <c r="A23" s="45" t="inlineStr">
        <is>
          <t>Pérdida de agua (% del peso corporal)</t>
        </is>
      </c>
      <c r="B23" s="58">
        <f>IF(OR('Motor PHS'!B45=1,'Motor PHS'!B45=2),'Motor PHS'!B57,"")</f>
        <v/>
      </c>
      <c r="C23" s="50" t="inlineStr">
        <is>
          <t>Límite de referencia: 5 % con hidratación libre.</t>
        </is>
      </c>
    </row>
    <row r="24">
      <c r="A24" s="45" t="inlineStr">
        <is>
          <t>Pérdida de agua promedio (L/h)</t>
        </is>
      </c>
      <c r="B24" s="71">
        <f>IF(OR('Motor PHS'!B45=1,'Motor PHS'!B45=2),'Motor PHS'!B56,"")</f>
        <v/>
      </c>
      <c r="C24" s="50" t="inlineStr">
        <is>
          <t>Ingesta oral recomendada ≈ 1.4 L/h como máximo.</t>
        </is>
      </c>
    </row>
    <row r="25">
      <c r="A25" s="45" t="inlineStr">
        <is>
          <t>Tiempo hasta Tre ≥ 38 °C – Dlim,Tre (min)</t>
        </is>
      </c>
      <c r="B25" s="68">
        <f>IF(OR('Motor PHS'!B45=1,'Motor PHS'!B45=2),IF('Motor PHS'!B48=1,'Motor PHS'!B46,"No alcanzado"),"")</f>
        <v/>
      </c>
      <c r="C25" s="50" t="inlineStr"/>
    </row>
    <row r="26">
      <c r="A26" s="45" t="inlineStr">
        <is>
          <t>Tiempo hasta pérdida de agua límite – Dlim,agua (min)</t>
        </is>
      </c>
      <c r="B26" s="68">
        <f>IF(OR('Motor PHS'!B45=1,'Motor PHS'!B45=2),IF('Motor PHS'!B49=1,'Motor PHS'!B47,"No alcanzado"),"")</f>
        <v/>
      </c>
      <c r="C26" s="50" t="inlineStr"/>
    </row>
    <row r="27">
      <c r="A27" s="45" t="inlineStr">
        <is>
          <t>Tiempo máximo de exposición – Dlim (min)</t>
        </is>
      </c>
      <c r="B27" s="72">
        <f>IF(OR('Motor PHS'!B45=1,'Motor PHS'!B45=2),'Motor PHS'!B50,"")</f>
        <v/>
      </c>
      <c r="C27" s="50" t="inlineStr">
        <is>
          <t>Menor de los dos tiempos, o la duración total si no se alcanzan.</t>
        </is>
      </c>
    </row>
    <row r="28">
      <c r="A28" s="45" t="inlineStr">
        <is>
          <t>Factor limitante</t>
        </is>
      </c>
      <c r="B28" s="66">
        <f>IF(OR('Motor PHS'!B45=1,'Motor PHS'!B45=2),IF(AND('Motor PHS'!B48=0,'Motor PHS'!B49=0),"Ninguno (límites no alcanzados)",IF(AND('Motor PHS'!B48=1,OR('Motor PHS'!B49=0,'Motor PHS'!B46&lt;='Motor PHS'!B47)),"Temperatura rectal","Pérdida de agua")),"")</f>
        <v/>
      </c>
      <c r="C28" s="70" t="n"/>
    </row>
    <row r="29" ht="32" customHeight="1">
      <c r="A29" s="52" t="inlineStr">
        <is>
          <t>CONCLUSIÓN PHS</t>
        </is>
      </c>
      <c r="B29" s="73">
        <f>IF('Motor PHS'!B45=0,"Sin resultados: complete los datos indicados arriba.",IF('Motor PHS'!B45=3,"NO APLICABLE: PHS no debe interpretarse con estos datos (ver validez).",IF('Motor PHS'!B51=1,"LÍMITE ALCANZADO a los "&amp;'Motor PHS'!B50&amp;" min de exposición continua (factor limitante: "&amp;B28&amp;"). La exposición no es tolerable durante los "&amp;'Motor PHS'!B25&amp;" min simulados.","TOLERABLE: no se alcanzan los límites de temperatura rectal ni de pérdida de agua durante los "&amp;'Motor PHS'!B25&amp;" min simulados (Tre máx. "&amp;ROUND('Motor PHS'!B53,1)&amp;" °C).")))</f>
        <v/>
      </c>
      <c r="C29" s="70" t="n"/>
      <c r="D29" s="70" t="n"/>
      <c r="E29" s="70" t="n"/>
      <c r="F29" s="70" t="n"/>
      <c r="G29" s="70" t="n"/>
      <c r="H29" s="70" t="n"/>
    </row>
    <row r="31">
      <c r="A31" s="43" t="inlineStr">
        <is>
          <t>DETALLE POR TAREA (desde 'Análisis Detallado')</t>
        </is>
      </c>
      <c r="B31" s="44" t="n"/>
      <c r="C31" s="44" t="n"/>
      <c r="D31" s="44" t="n"/>
      <c r="E31" s="44" t="n"/>
      <c r="F31" s="44" t="n"/>
      <c r="G31" s="44" t="n"/>
      <c r="H31" s="44" t="n"/>
    </row>
    <row r="32">
      <c r="A32" s="74" t="inlineStr">
        <is>
          <t>Tarea</t>
        </is>
      </c>
      <c r="B32" s="74" t="inlineStr">
        <is>
          <t>Duración (min)</t>
        </is>
      </c>
      <c r="C32" s="74" t="inlineStr">
        <is>
          <t>Tr (°C)</t>
        </is>
      </c>
      <c r="D32" s="74" t="inlineStr">
        <is>
          <t>Pa (kPa)</t>
        </is>
      </c>
      <c r="E32" s="74" t="inlineStr">
        <is>
          <t>M (W/m²)</t>
        </is>
      </c>
      <c r="F32" s="74" t="inlineStr">
        <is>
          <t>Validez ISO 7933</t>
        </is>
      </c>
      <c r="G32" s="70" t="n"/>
      <c r="H32" s="70" t="n"/>
    </row>
    <row r="33">
      <c r="A33" s="45">
        <f>IF('Motor PHS'!E61=1,"T1 – "&amp;'Motor PHS'!B61,"")</f>
        <v/>
      </c>
      <c r="B33" s="75">
        <f>IF('Motor PHS'!E61=1,'Motor PHS'!C61,"")</f>
        <v/>
      </c>
      <c r="C33" s="76">
        <f>IF('Motor PHS'!E61=1,IF('Motor PHS'!F61=1,'Motor PHS'!L61,""),"")</f>
        <v/>
      </c>
      <c r="D33" s="77">
        <f>IF('Motor PHS'!E61=1,IF('Motor PHS'!F61=1,'Motor PHS'!M61,""),"")</f>
        <v/>
      </c>
      <c r="E33" s="75">
        <f>IF('Motor PHS'!E61=1,IF('Motor PHS'!F61=1,'Motor PHS'!N61,""),"")</f>
        <v/>
      </c>
      <c r="F33" s="78">
        <f>'Motor PHS'!AQ61</f>
        <v/>
      </c>
      <c r="G33" s="70" t="n"/>
      <c r="H33" s="70" t="n"/>
    </row>
    <row r="34">
      <c r="A34" s="45">
        <f>IF('Motor PHS'!E62=1,"T2 – "&amp;'Motor PHS'!B62,"")</f>
        <v/>
      </c>
      <c r="B34" s="75">
        <f>IF('Motor PHS'!E62=1,'Motor PHS'!C62,"")</f>
        <v/>
      </c>
      <c r="C34" s="76">
        <f>IF('Motor PHS'!E62=1,IF('Motor PHS'!F62=1,'Motor PHS'!L62,""),"")</f>
        <v/>
      </c>
      <c r="D34" s="77">
        <f>IF('Motor PHS'!E62=1,IF('Motor PHS'!F62=1,'Motor PHS'!M62,""),"")</f>
        <v/>
      </c>
      <c r="E34" s="75">
        <f>IF('Motor PHS'!E62=1,IF('Motor PHS'!F62=1,'Motor PHS'!N62,""),"")</f>
        <v/>
      </c>
      <c r="F34" s="78">
        <f>'Motor PHS'!AQ62</f>
        <v/>
      </c>
      <c r="G34" s="70" t="n"/>
      <c r="H34" s="70" t="n"/>
    </row>
    <row r="35">
      <c r="A35" s="45">
        <f>IF('Motor PHS'!E63=1,"T3 – "&amp;'Motor PHS'!B63,"")</f>
        <v/>
      </c>
      <c r="B35" s="75">
        <f>IF('Motor PHS'!E63=1,'Motor PHS'!C63,"")</f>
        <v/>
      </c>
      <c r="C35" s="76">
        <f>IF('Motor PHS'!E63=1,IF('Motor PHS'!F63=1,'Motor PHS'!L63,""),"")</f>
        <v/>
      </c>
      <c r="D35" s="77">
        <f>IF('Motor PHS'!E63=1,IF('Motor PHS'!F63=1,'Motor PHS'!M63,""),"")</f>
        <v/>
      </c>
      <c r="E35" s="75">
        <f>IF('Motor PHS'!E63=1,IF('Motor PHS'!F63=1,'Motor PHS'!N63,""),"")</f>
        <v/>
      </c>
      <c r="F35" s="78">
        <f>'Motor PHS'!AQ63</f>
        <v/>
      </c>
      <c r="G35" s="70" t="n"/>
      <c r="H35" s="70" t="n"/>
    </row>
    <row r="36">
      <c r="A36" s="45">
        <f>IF('Motor PHS'!E64=1,"T4 – "&amp;'Motor PHS'!B64,"")</f>
        <v/>
      </c>
      <c r="B36" s="75">
        <f>IF('Motor PHS'!E64=1,'Motor PHS'!C64,"")</f>
        <v/>
      </c>
      <c r="C36" s="76">
        <f>IF('Motor PHS'!E64=1,IF('Motor PHS'!F64=1,'Motor PHS'!L64,""),"")</f>
        <v/>
      </c>
      <c r="D36" s="77">
        <f>IF('Motor PHS'!E64=1,IF('Motor PHS'!F64=1,'Motor PHS'!M64,""),"")</f>
        <v/>
      </c>
      <c r="E36" s="75">
        <f>IF('Motor PHS'!E64=1,IF('Motor PHS'!F64=1,'Motor PHS'!N64,""),"")</f>
        <v/>
      </c>
      <c r="F36" s="78">
        <f>'Motor PHS'!AQ64</f>
        <v/>
      </c>
      <c r="G36" s="70" t="n"/>
      <c r="H36" s="70" t="n"/>
    </row>
    <row r="37">
      <c r="A37" s="45">
        <f>IF('Motor PHS'!E65=1,"T5 – "&amp;'Motor PHS'!B65,"")</f>
        <v/>
      </c>
      <c r="B37" s="75">
        <f>IF('Motor PHS'!E65=1,'Motor PHS'!C65,"")</f>
        <v/>
      </c>
      <c r="C37" s="76">
        <f>IF('Motor PHS'!E65=1,IF('Motor PHS'!F65=1,'Motor PHS'!L65,""),"")</f>
        <v/>
      </c>
      <c r="D37" s="77">
        <f>IF('Motor PHS'!E65=1,IF('Motor PHS'!F65=1,'Motor PHS'!M65,""),"")</f>
        <v/>
      </c>
      <c r="E37" s="75">
        <f>IF('Motor PHS'!E65=1,IF('Motor PHS'!F65=1,'Motor PHS'!N65,""),"")</f>
        <v/>
      </c>
      <c r="F37" s="78">
        <f>'Motor PHS'!AQ65</f>
        <v/>
      </c>
      <c r="G37" s="70" t="n"/>
      <c r="H37" s="70" t="n"/>
    </row>
    <row r="38">
      <c r="A38" s="45">
        <f>IF('Motor PHS'!E66=1,"T6 – "&amp;'Motor PHS'!B66,"")</f>
        <v/>
      </c>
      <c r="B38" s="75">
        <f>IF('Motor PHS'!E66=1,'Motor PHS'!C66,"")</f>
        <v/>
      </c>
      <c r="C38" s="76">
        <f>IF('Motor PHS'!E66=1,IF('Motor PHS'!F66=1,'Motor PHS'!L66,""),"")</f>
        <v/>
      </c>
      <c r="D38" s="77">
        <f>IF('Motor PHS'!E66=1,IF('Motor PHS'!F66=1,'Motor PHS'!M66,""),"")</f>
        <v/>
      </c>
      <c r="E38" s="75">
        <f>IF('Motor PHS'!E66=1,IF('Motor PHS'!F66=1,'Motor PHS'!N66,""),"")</f>
        <v/>
      </c>
      <c r="F38" s="78">
        <f>'Motor PHS'!AQ66</f>
        <v/>
      </c>
      <c r="G38" s="70" t="n"/>
      <c r="H38" s="70" t="n"/>
    </row>
    <row r="39">
      <c r="A39" s="45">
        <f>IF('Motor PHS'!E67=1,"T7 – "&amp;'Motor PHS'!B67,"")</f>
        <v/>
      </c>
      <c r="B39" s="75">
        <f>IF('Motor PHS'!E67=1,'Motor PHS'!C67,"")</f>
        <v/>
      </c>
      <c r="C39" s="76">
        <f>IF('Motor PHS'!E67=1,IF('Motor PHS'!F67=1,'Motor PHS'!L67,""),"")</f>
        <v/>
      </c>
      <c r="D39" s="77">
        <f>IF('Motor PHS'!E67=1,IF('Motor PHS'!F67=1,'Motor PHS'!M67,""),"")</f>
        <v/>
      </c>
      <c r="E39" s="75">
        <f>IF('Motor PHS'!E67=1,IF('Motor PHS'!F67=1,'Motor PHS'!N67,""),"")</f>
        <v/>
      </c>
      <c r="F39" s="78">
        <f>'Motor PHS'!AQ67</f>
        <v/>
      </c>
      <c r="G39" s="70" t="n"/>
      <c r="H39" s="70" t="n"/>
    </row>
    <row r="40">
      <c r="A40" s="45">
        <f>IF('Motor PHS'!E68=1,"T8 – "&amp;'Motor PHS'!B68,"")</f>
        <v/>
      </c>
      <c r="B40" s="75">
        <f>IF('Motor PHS'!E68=1,'Motor PHS'!C68,"")</f>
        <v/>
      </c>
      <c r="C40" s="76">
        <f>IF('Motor PHS'!E68=1,IF('Motor PHS'!F68=1,'Motor PHS'!L68,""),"")</f>
        <v/>
      </c>
      <c r="D40" s="77">
        <f>IF('Motor PHS'!E68=1,IF('Motor PHS'!F68=1,'Motor PHS'!M68,""),"")</f>
        <v/>
      </c>
      <c r="E40" s="75">
        <f>IF('Motor PHS'!E68=1,IF('Motor PHS'!F68=1,'Motor PHS'!N68,""),"")</f>
        <v/>
      </c>
      <c r="F40" s="78">
        <f>'Motor PHS'!AQ68</f>
        <v/>
      </c>
      <c r="G40" s="70" t="n"/>
      <c r="H40" s="70" t="n"/>
    </row>
    <row r="42">
      <c r="A42" s="43" t="inlineStr">
        <is>
          <t>NOTAS Y LIMITACIONES</t>
        </is>
      </c>
      <c r="B42" s="44" t="n"/>
      <c r="C42" s="44" t="n"/>
      <c r="D42" s="44" t="n"/>
      <c r="E42" s="44" t="n"/>
      <c r="F42" s="44" t="n"/>
      <c r="G42" s="44" t="n"/>
      <c r="H42" s="44" t="n"/>
    </row>
    <row r="43" ht="28" customHeight="1">
      <c r="A43" s="50" t="inlineStr">
        <is>
          <t>• Modelo: ISO 7933:2023 (Predicted Heat Strain). Las ecuaciones siguen la implementación de referencia de código abierto pythermalcomfort 4.6.0; hidratación libre (ingesta permitida) y temperatura rectal inicial de 36.8 °C.</t>
        </is>
      </c>
    </row>
    <row r="44" ht="28" customHeight="1">
      <c r="A44" s="50" t="inlineStr">
        <is>
          <t>• Tr se calcula a partir de Tg, Tbs y velocidad del aire (ISO 7726) y Pa a partir de Tbs y HR. La tasa metabólica en W se convierte a W/m² con la superficie corporal (DuBois).</t>
        </is>
      </c>
    </row>
    <row r="45" ht="28" customHeight="1">
      <c r="A45" s="50" t="inlineStr">
        <is>
          <t>• No aplica a ropa de protección especial (reflectiva total, enfriamiento activo o ventilación, monos impermeables o con barrera de vapor).</t>
        </is>
      </c>
    </row>
    <row r="46" ht="28" customHeight="1">
      <c r="A46" s="50" t="inlineStr">
        <is>
          <t>• Describe a una persona promedio, sana y apta para el trabajo; no predice la respuesta individual. El resultado requiere interpretación por un profesional.</t>
        </is>
      </c>
    </row>
    <row r="47" ht="28" customHeight="1">
      <c r="A47" s="50" t="inlineStr">
        <is>
          <t>• El modelo no incorpora corrección por presión barométrica (altitud); interprete con cautela en sitios de gran altitud.</t>
        </is>
      </c>
    </row>
    <row r="48" ht="28" customHeight="1">
      <c r="A48" s="50" t="inlineStr">
        <is>
          <t>• Rangos de validez (tabla en 'Datos de Referencia'): Tbs 15–50 °C; Tr−Tbs 0–60 °C; v 0–3 m/s; Pa 0.5–4.5 kPa; M 56–250 W/m²; ropa 0.1–1.0 clo. Trabajo muy pesado (520 W) supera 250 W/m² en la mayoría de las personas: use ACGIH y monitoreo fisiológico.</t>
        </is>
      </c>
    </row>
  </sheetData>
  <mergeCells count="44">
    <mergeCell ref="C25:H25"/>
    <mergeCell ref="C26:H26"/>
    <mergeCell ref="C10:H10"/>
    <mergeCell ref="A48:H48"/>
    <mergeCell ref="F36:H36"/>
    <mergeCell ref="F33:H33"/>
    <mergeCell ref="C22:H22"/>
    <mergeCell ref="C9:H9"/>
    <mergeCell ref="F32:H32"/>
    <mergeCell ref="F35:H35"/>
    <mergeCell ref="A1:H1"/>
    <mergeCell ref="C12:H12"/>
    <mergeCell ref="A45:H45"/>
    <mergeCell ref="C21:H21"/>
    <mergeCell ref="C11:H11"/>
    <mergeCell ref="F38:H38"/>
    <mergeCell ref="C27:H27"/>
    <mergeCell ref="C23:H23"/>
    <mergeCell ref="C8:H8"/>
    <mergeCell ref="B16:H16"/>
    <mergeCell ref="A46:H46"/>
    <mergeCell ref="F37:H37"/>
    <mergeCell ref="C7:H7"/>
    <mergeCell ref="F39:H39"/>
    <mergeCell ref="C28:H28"/>
    <mergeCell ref="A2:H2"/>
    <mergeCell ref="B28:C28"/>
    <mergeCell ref="A42:H42"/>
    <mergeCell ref="A14:H14"/>
    <mergeCell ref="A47:H47"/>
    <mergeCell ref="C15:H15"/>
    <mergeCell ref="F34:H34"/>
    <mergeCell ref="A4:H4"/>
    <mergeCell ref="C6:H6"/>
    <mergeCell ref="C24:H24"/>
    <mergeCell ref="B17:H17"/>
    <mergeCell ref="A43:H43"/>
    <mergeCell ref="C5:H5"/>
    <mergeCell ref="F40:H40"/>
    <mergeCell ref="A19:H19"/>
    <mergeCell ref="B29:H29"/>
    <mergeCell ref="A44:H44"/>
    <mergeCell ref="C20:H20"/>
    <mergeCell ref="A31:H31"/>
  </mergeCells>
  <conditionalFormatting sqref="B29">
    <cfRule type="expression" priority="1" dxfId="4" stopIfTrue="1">
      <formula>LEFT($B$29,6)="LÍMITE"</formula>
    </cfRule>
    <cfRule type="expression" priority="2" dxfId="4" stopIfTrue="1">
      <formula>LEFT($B$29,12)="NO APLICABLE"</formula>
    </cfRule>
    <cfRule type="expression" priority="3" dxfId="1" stopIfTrue="1">
      <formula>LEFT($B$29,9)="TOLERABLE"</formula>
    </cfRule>
  </conditionalFormatting>
  <dataValidations count="1">
    <dataValidation sqref="B7" showDropDown="0" showInputMessage="0" showErrorMessage="0" allowBlank="0" type="list">
      <formula1>='Datos de Referencia'!$G$12:$G$14</formula1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5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H61"/>
  <sheetViews>
    <sheetView workbookViewId="0" showGridLines="0">
      <selection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110" customWidth="1" min="4" max="4"/>
    <col width="3" customWidth="1" min="5" max="5"/>
    <col width="16" customWidth="1" min="6" max="6"/>
    <col width="9" customWidth="1" min="7" max="7"/>
    <col width="46" customWidth="1" min="8" max="8"/>
  </cols>
  <sheetData>
    <row r="1" ht="18.75" customHeight="1">
      <c r="A1" s="61" t="inlineStr">
        <is>
          <t>HeatStressRisk – Plan de Control Automático</t>
        </is>
      </c>
      <c r="B1" s="62" t="n"/>
      <c r="C1" s="62" t="n"/>
      <c r="D1" s="62" t="n"/>
    </row>
    <row r="2" ht="28" customHeight="1">
      <c r="A2" s="50" t="inlineStr">
        <is>
          <t>Genera recomendaciones a partir de la severidad ACGIH y, si está disponible, de PHS. Las reglas se pueden editar en la hoja 'Biblioteca de Controles'. Es una ayuda para el profesional: la decisión final es del higienista/SST responsable.</t>
        </is>
      </c>
    </row>
    <row r="4">
      <c r="A4" s="43" t="inlineStr">
        <is>
          <t>ENTRADAS (celdas amarillas)</t>
        </is>
      </c>
      <c r="B4" s="44" t="n"/>
      <c r="C4" s="44" t="n"/>
      <c r="D4" s="44" t="n"/>
      <c r="F4" s="79" t="inlineStr">
        <is>
          <t>CONDICIONES EVALUADAS</t>
        </is>
      </c>
      <c r="G4" s="80" t="inlineStr">
        <is>
          <t>Cumple</t>
        </is>
      </c>
      <c r="H4" s="79" t="inlineStr">
        <is>
          <t>Descripción</t>
        </is>
      </c>
    </row>
    <row r="5">
      <c r="A5" s="45" t="inlineStr">
        <is>
          <t>Fuente de la evaluación ACGIH</t>
        </is>
      </c>
      <c r="B5" s="70" t="n"/>
      <c r="C5" s="70" t="n"/>
      <c r="D5" s="81" t="inlineStr">
        <is>
          <t>Evaluación (Método 1)</t>
        </is>
      </c>
      <c r="F5" s="82" t="inlineStr">
        <is>
          <t>S</t>
        </is>
      </c>
      <c r="G5" s="83">
        <f>1</f>
        <v/>
      </c>
      <c r="H5" s="82" t="inlineStr">
        <is>
          <t>Siempre</t>
        </is>
      </c>
    </row>
    <row r="6">
      <c r="A6" s="45" t="inlineStr">
        <is>
          <t>Tipo de exposición</t>
        </is>
      </c>
      <c r="B6" s="70" t="n"/>
      <c r="C6" s="70" t="n"/>
      <c r="D6" s="81" t="inlineStr">
        <is>
          <t>Exterior con radiación solar</t>
        </is>
      </c>
      <c r="F6" s="82" t="inlineStr">
        <is>
          <t>EXT</t>
        </is>
      </c>
      <c r="G6" s="83">
        <f>IF($D$6='Datos de Referencia'!$G$17,1,0)</f>
        <v/>
      </c>
      <c r="H6" s="82" t="inlineStr">
        <is>
          <t>Exterior con radiación solar</t>
        </is>
      </c>
    </row>
    <row r="7">
      <c r="A7" s="45" t="inlineStr">
        <is>
          <t>¿Hay trabajadores susceptibles o embarazadas?</t>
        </is>
      </c>
      <c r="B7" s="70" t="n"/>
      <c r="C7" s="70" t="n"/>
      <c r="D7" s="81" t="inlineStr">
        <is>
          <t>No</t>
        </is>
      </c>
      <c r="F7" s="82" t="inlineStr">
        <is>
          <t>RAD</t>
        </is>
      </c>
      <c r="G7" s="83">
        <f>IF($D$6='Datos de Referencia'!$G$18,1,0)</f>
        <v/>
      </c>
      <c r="H7" s="82" t="inlineStr">
        <is>
          <t>Interior con fuente radiante</t>
        </is>
      </c>
    </row>
    <row r="8">
      <c r="F8" s="82" t="inlineStr">
        <is>
          <t>INT</t>
        </is>
      </c>
      <c r="G8" s="83">
        <f>IF($D$6='Datos de Referencia'!$G$19,1,0)</f>
        <v/>
      </c>
      <c r="H8" s="82" t="inlineStr">
        <is>
          <t>Interior sin fuente radiante</t>
        </is>
      </c>
    </row>
    <row r="9">
      <c r="A9" s="43" t="inlineStr">
        <is>
          <t>RESULTADO DE LA EVALUACIÓN (automático)</t>
        </is>
      </c>
      <c r="B9" s="44" t="n"/>
      <c r="C9" s="44" t="n"/>
      <c r="D9" s="44" t="n"/>
      <c r="F9" s="82" t="inlineStr">
        <is>
          <t>HUM</t>
        </is>
      </c>
      <c r="G9" s="83">
        <f>IF($D$6='Datos de Referencia'!$G$20,1,0)</f>
        <v/>
      </c>
      <c r="H9" s="82" t="inlineStr">
        <is>
          <t>Interior húmedo (vapor/procesos)</t>
        </is>
      </c>
    </row>
    <row r="10">
      <c r="A10" s="45" t="inlineStr">
        <is>
          <t>Severidad ACGIH</t>
        </is>
      </c>
      <c r="B10" s="70" t="n"/>
      <c r="C10" s="70" t="n"/>
      <c r="D10" s="84">
        <f>IF($D$5="Análisis Detallado",'Análisis Detallado'!B26,Evaluación!B20)</f>
        <v/>
      </c>
      <c r="F10" s="82" t="inlineStr">
        <is>
          <t>INTERIOR</t>
        </is>
      </c>
      <c r="G10" s="83">
        <f>IF(OR(G7=1,G8=1,G9=1),1,0)</f>
        <v/>
      </c>
      <c r="H10" s="82" t="inlineStr">
        <is>
          <t>Cualquier ambiente interior</t>
        </is>
      </c>
    </row>
    <row r="11">
      <c r="A11" s="45" t="inlineStr">
        <is>
          <t>Nivel de severidad (0 = sin datos; 1 a 5)</t>
        </is>
      </c>
      <c r="B11" s="70" t="n"/>
      <c r="C11" s="70" t="n"/>
      <c r="D11" s="85">
        <f>IF(D10="ACEPTABLE",1,IF(D10="PRECAUCIÓN",2,IF(D10="MODERADO",3,IF(D10="ALTO",4,IF(D10="EXTREMADAMENTE ALTO",5,0)))))</f>
        <v/>
      </c>
      <c r="F11" s="82" t="inlineStr">
        <is>
          <t>RADIANTE</t>
        </is>
      </c>
      <c r="G11" s="83">
        <f>IF(OR(G6=1,G7=1),1,0)</f>
        <v/>
      </c>
      <c r="H11" s="82" t="inlineStr">
        <is>
          <t>Carga de calor radiante (exterior o fuente radiante)</t>
        </is>
      </c>
    </row>
    <row r="12">
      <c r="A12" s="45" t="inlineStr">
        <is>
          <t>WBGT efectivo (°C)</t>
        </is>
      </c>
      <c r="B12" s="70" t="n"/>
      <c r="C12" s="70" t="n"/>
      <c r="D12" s="86">
        <f>IF($D$5="Análisis Detallado",'Análisis Detallado'!B25,Evaluación!B17)</f>
        <v/>
      </c>
      <c r="F12" s="82" t="inlineStr">
        <is>
          <t>NOACL</t>
        </is>
      </c>
      <c r="G12" s="83">
        <f>IF(D17="",0,IF(D17="Aclimatado",0,1))</f>
        <v/>
      </c>
      <c r="H12" s="82" t="inlineStr">
        <is>
          <t>Trabajadores no (o parcialmente) aclimatados</t>
        </is>
      </c>
    </row>
    <row r="13">
      <c r="A13" s="45" t="inlineStr">
        <is>
          <t>TLV ajustado (°C)</t>
        </is>
      </c>
      <c r="B13" s="70" t="n"/>
      <c r="C13" s="70" t="n"/>
      <c r="D13" s="87">
        <f>IF($D$5="Análisis Detallado",'Análisis Detallado'!B23,Evaluación!B15)</f>
        <v/>
      </c>
      <c r="F13" s="82" t="inlineStr">
        <is>
          <t>ROPA</t>
        </is>
      </c>
      <c r="G13" s="83">
        <f>IF(N(D18)&gt;=3,1,0)</f>
        <v/>
      </c>
      <c r="H13" s="82" t="inlineStr">
        <is>
          <t>CAV ≥ 3 °C (ropa que restringe la disipación de calor)</t>
        </is>
      </c>
    </row>
    <row r="14">
      <c r="A14" s="45" t="inlineStr">
        <is>
          <t>AL ajustado (°C)</t>
        </is>
      </c>
      <c r="B14" s="70" t="n"/>
      <c r="C14" s="70" t="n"/>
      <c r="D14" s="87">
        <f>IF($D$5="Análisis Detallado",'Análisis Detallado'!B24,Evaluación!B16)</f>
        <v/>
      </c>
      <c r="F14" s="82" t="inlineStr">
        <is>
          <t>BARRERA</t>
        </is>
      </c>
      <c r="G14" s="83">
        <f>IF(N(D18)&gt;=10,1,0)</f>
        <v/>
      </c>
      <c r="H14" s="82" t="inlineStr">
        <is>
          <t>CAV ≥ 10 °C (barrera de vapor)</t>
        </is>
      </c>
    </row>
    <row r="15">
      <c r="A15" s="45" t="inlineStr">
        <is>
          <t>Diferencia WBGT efectivo − TLV ajustado (°C)</t>
        </is>
      </c>
      <c r="B15" s="70" t="n"/>
      <c r="C15" s="70" t="n"/>
      <c r="D15" s="87">
        <f>IF(AND(ISNUMBER(D12),ISNUMBER(D13)),D12-D13,"")</f>
        <v/>
      </c>
      <c r="F15" s="82" t="inlineStr">
        <is>
          <t>MET</t>
        </is>
      </c>
      <c r="G15" s="83">
        <f>IF(N(D16)&gt;=300,1,0)</f>
        <v/>
      </c>
      <c r="H15" s="82" t="inlineStr">
        <is>
          <t>Tasa metabólica ≥ 300 W</t>
        </is>
      </c>
    </row>
    <row r="16">
      <c r="A16" s="45" t="inlineStr">
        <is>
          <t>Tasa metabólica (W)</t>
        </is>
      </c>
      <c r="B16" s="70" t="n"/>
      <c r="C16" s="70" t="n"/>
      <c r="D16" s="85">
        <f>IF($D$5="Análisis Detallado",'Análisis Detallado'!B15,Evaluación!B5)</f>
        <v/>
      </c>
      <c r="F16" s="82" t="inlineStr">
        <is>
          <t>SUSC</t>
        </is>
      </c>
      <c r="G16" s="83">
        <f>IF(D7="Sí",1,0)</f>
        <v/>
      </c>
      <c r="H16" s="82" t="inlineStr">
        <is>
          <t>Trabajadores susceptibles o embarazadas</t>
        </is>
      </c>
    </row>
    <row r="17">
      <c r="A17" s="45" t="inlineStr">
        <is>
          <t>Aclimatación</t>
        </is>
      </c>
      <c r="B17" s="70" t="n"/>
      <c r="C17" s="70" t="n"/>
      <c r="D17" s="69">
        <f>IF($D$5="Análisis Detallado",'Análisis Detallado'!B18,Evaluación!B6)&amp;""</f>
        <v/>
      </c>
      <c r="F17" s="82" t="inlineStr">
        <is>
          <t>PHS_OK</t>
        </is>
      </c>
      <c r="G17" s="83">
        <f>IF(OR('Motor PHS'!B45=1,'Motor PHS'!B45=2),1,0)</f>
        <v/>
      </c>
      <c r="H17" s="82" t="inlineStr">
        <is>
          <t>PHS disponible y válido</t>
        </is>
      </c>
    </row>
    <row r="18">
      <c r="A18" s="45" t="inlineStr">
        <is>
          <t>CAV de ropa (°C)</t>
        </is>
      </c>
      <c r="B18" s="70" t="n"/>
      <c r="C18" s="70" t="n"/>
      <c r="D18" s="87">
        <f>IF($D$5="Análisis Detallado",'Análisis Detallado'!B19,Evaluación!B7)</f>
        <v/>
      </c>
      <c r="F18" s="82" t="inlineStr">
        <is>
          <t>PHS_LIM</t>
        </is>
      </c>
      <c r="G18" s="83">
        <f>'Motor PHS'!B51</f>
        <v/>
      </c>
      <c r="H18" s="82" t="inlineStr">
        <is>
          <t>PHS: límite fisiológico alcanzado</t>
        </is>
      </c>
    </row>
    <row r="19">
      <c r="A19" s="45" t="inlineStr">
        <is>
          <t>Controles requeridos según severidad</t>
        </is>
      </c>
      <c r="B19" s="70" t="n"/>
      <c r="C19" s="70" t="n"/>
      <c r="D19" s="88">
        <f>IF(D11=0,"Sin datos",IF(D11=1,"Conciencia general",IF(D11=2,"Nivel 1",IF(D11=3,"Niveles 1 + 2",IF(D11=4,"Niveles 1 + 2 + 3","Todos los niveles + acción urgente")))))</f>
        <v/>
      </c>
      <c r="F19" s="82" t="inlineStr">
        <is>
          <t>PHS_SW_HIGH</t>
        </is>
      </c>
      <c r="G19" s="83">
        <f>IF(AND(G17=1,N('Motor PHS'!B56)&gt;1.4),1,0)</f>
        <v/>
      </c>
      <c r="H19" s="82" t="inlineStr">
        <is>
          <t>PHS: pérdida de agua &gt; 1.4 L/h</t>
        </is>
      </c>
    </row>
    <row r="20">
      <c r="A20" s="45" t="inlineStr">
        <is>
          <t>Resultado PHS (ISO 7933:2023)</t>
        </is>
      </c>
      <c r="B20" s="70" t="n"/>
      <c r="C20" s="70" t="n"/>
      <c r="D20" s="88">
        <f>IF('Motor PHS'!B45=0,"Sin resultados PHS (ver hoja PHS)",IF('Motor PHS'!B45=3,"PHS no aplicable (ver hoja PHS)",IF('Motor PHS'!B51=1,"PHS: límite fisiológico a los "&amp;'Motor PHS'!B50&amp;" min de "&amp;'Motor PHS'!B25&amp;" min","PHS: exposición tolerable durante "&amp;'Motor PHS'!B25&amp;" min")))</f>
        <v/>
      </c>
    </row>
    <row r="22">
      <c r="A22" s="43" t="inlineStr">
        <is>
          <t>RESUMEN</t>
        </is>
      </c>
      <c r="B22" s="44" t="n"/>
      <c r="C22" s="44" t="n"/>
      <c r="D22" s="44" t="n"/>
    </row>
    <row r="23" ht="34" customHeight="1">
      <c r="A23" s="73">
        <f>IF(D11=0,"Complete la evaluación ACGIH (hoja 'Evaluación' o 'Análisis Detallado') para generar el plan completo. Si ya ejecutó PHS, sus recomendaciones se muestran abajo.","Severidad "&amp;D10&amp;": WBGT efectivo "&amp;ROUND(D12,1)&amp;" °C frente a TLV ajustado "&amp;ROUND(D13,1)&amp;" °C ("&amp;IF(D15&gt;=0,"+","")&amp;ROUND(D15,1)&amp;" °C). Controles requeridos: "&amp;D19&amp;". "&amp;D20&amp;".")</f>
        <v/>
      </c>
      <c r="B23" s="70" t="n"/>
      <c r="C23" s="70" t="n"/>
      <c r="D23" s="70" t="n"/>
    </row>
    <row r="25">
      <c r="A25" s="43" t="inlineStr">
        <is>
          <t>PLAN DE CONTROL RECOMENDADO</t>
        </is>
      </c>
      <c r="B25" s="44" t="n"/>
      <c r="C25" s="44" t="n"/>
      <c r="D25" s="44" t="n"/>
    </row>
    <row r="26">
      <c r="A26" s="74" t="inlineStr">
        <is>
          <t>N°</t>
        </is>
      </c>
      <c r="B26" s="74" t="inlineStr">
        <is>
          <t>Nivel</t>
        </is>
      </c>
      <c r="C26" s="74" t="inlineStr">
        <is>
          <t>Tipo de control</t>
        </is>
      </c>
      <c r="D26" s="74" t="inlineStr">
        <is>
          <t>Recomendación</t>
        </is>
      </c>
    </row>
    <row r="27" ht="42" customHeight="1">
      <c r="A27" s="89">
        <f>IF(1&lt;=COUNTIF('Biblioteca de Controles'!$H$5:$H$37,1),1,"")</f>
        <v/>
      </c>
      <c r="B27" s="90">
        <f>IF($A27="","",INDEX('Biblioteca de Controles'!$B$5:$B$37,MATCH($A27,'Biblioteca de Controles'!$I$5:$I$37,0)))</f>
        <v/>
      </c>
      <c r="C27" s="90">
        <f>IF($A27="","",INDEX('Biblioteca de Controles'!$C$5:$C$37,MATCH($A27,'Biblioteca de Controles'!$I$5:$I$37,0)))</f>
        <v/>
      </c>
      <c r="D27" s="90">
        <f>IF($A27="","",INDEX('Biblioteca de Controles'!$D$5:$D$37,MATCH($A27,'Biblioteca de Controles'!$I$5:$I$37,0)))</f>
        <v/>
      </c>
    </row>
    <row r="28" ht="42" customHeight="1">
      <c r="A28" s="89">
        <f>IF(2&lt;=COUNTIF('Biblioteca de Controles'!$H$5:$H$37,1),2,"")</f>
        <v/>
      </c>
      <c r="B28" s="90">
        <f>IF($A28="","",INDEX('Biblioteca de Controles'!$B$5:$B$37,MATCH($A28,'Biblioteca de Controles'!$I$5:$I$37,0)))</f>
        <v/>
      </c>
      <c r="C28" s="90">
        <f>IF($A28="","",INDEX('Biblioteca de Controles'!$C$5:$C$37,MATCH($A28,'Biblioteca de Controles'!$I$5:$I$37,0)))</f>
        <v/>
      </c>
      <c r="D28" s="90">
        <f>IF($A28="","",INDEX('Biblioteca de Controles'!$D$5:$D$37,MATCH($A28,'Biblioteca de Controles'!$I$5:$I$37,0)))</f>
        <v/>
      </c>
    </row>
    <row r="29" ht="42" customHeight="1">
      <c r="A29" s="89">
        <f>IF(3&lt;=COUNTIF('Biblioteca de Controles'!$H$5:$H$37,1),3,"")</f>
        <v/>
      </c>
      <c r="B29" s="90">
        <f>IF($A29="","",INDEX('Biblioteca de Controles'!$B$5:$B$37,MATCH($A29,'Biblioteca de Controles'!$I$5:$I$37,0)))</f>
        <v/>
      </c>
      <c r="C29" s="90">
        <f>IF($A29="","",INDEX('Biblioteca de Controles'!$C$5:$C$37,MATCH($A29,'Biblioteca de Controles'!$I$5:$I$37,0)))</f>
        <v/>
      </c>
      <c r="D29" s="90">
        <f>IF($A29="","",INDEX('Biblioteca de Controles'!$D$5:$D$37,MATCH($A29,'Biblioteca de Controles'!$I$5:$I$37,0)))</f>
        <v/>
      </c>
    </row>
    <row r="30" ht="42" customHeight="1">
      <c r="A30" s="89">
        <f>IF(4&lt;=COUNTIF('Biblioteca de Controles'!$H$5:$H$37,1),4,"")</f>
        <v/>
      </c>
      <c r="B30" s="90">
        <f>IF($A30="","",INDEX('Biblioteca de Controles'!$B$5:$B$37,MATCH($A30,'Biblioteca de Controles'!$I$5:$I$37,0)))</f>
        <v/>
      </c>
      <c r="C30" s="90">
        <f>IF($A30="","",INDEX('Biblioteca de Controles'!$C$5:$C$37,MATCH($A30,'Biblioteca de Controles'!$I$5:$I$37,0)))</f>
        <v/>
      </c>
      <c r="D30" s="90">
        <f>IF($A30="","",INDEX('Biblioteca de Controles'!$D$5:$D$37,MATCH($A30,'Biblioteca de Controles'!$I$5:$I$37,0)))</f>
        <v/>
      </c>
    </row>
    <row r="31" ht="42" customHeight="1">
      <c r="A31" s="89">
        <f>IF(5&lt;=COUNTIF('Biblioteca de Controles'!$H$5:$H$37,1),5,"")</f>
        <v/>
      </c>
      <c r="B31" s="90">
        <f>IF($A31="","",INDEX('Biblioteca de Controles'!$B$5:$B$37,MATCH($A31,'Biblioteca de Controles'!$I$5:$I$37,0)))</f>
        <v/>
      </c>
      <c r="C31" s="90">
        <f>IF($A31="","",INDEX('Biblioteca de Controles'!$C$5:$C$37,MATCH($A31,'Biblioteca de Controles'!$I$5:$I$37,0)))</f>
        <v/>
      </c>
      <c r="D31" s="90">
        <f>IF($A31="","",INDEX('Biblioteca de Controles'!$D$5:$D$37,MATCH($A31,'Biblioteca de Controles'!$I$5:$I$37,0)))</f>
        <v/>
      </c>
    </row>
    <row r="32" ht="42" customHeight="1">
      <c r="A32" s="89">
        <f>IF(6&lt;=COUNTIF('Biblioteca de Controles'!$H$5:$H$37,1),6,"")</f>
        <v/>
      </c>
      <c r="B32" s="90">
        <f>IF($A32="","",INDEX('Biblioteca de Controles'!$B$5:$B$37,MATCH($A32,'Biblioteca de Controles'!$I$5:$I$37,0)))</f>
        <v/>
      </c>
      <c r="C32" s="90">
        <f>IF($A32="","",INDEX('Biblioteca de Controles'!$C$5:$C$37,MATCH($A32,'Biblioteca de Controles'!$I$5:$I$37,0)))</f>
        <v/>
      </c>
      <c r="D32" s="90">
        <f>IF($A32="","",INDEX('Biblioteca de Controles'!$D$5:$D$37,MATCH($A32,'Biblioteca de Controles'!$I$5:$I$37,0)))</f>
        <v/>
      </c>
    </row>
    <row r="33" ht="42" customHeight="1">
      <c r="A33" s="89">
        <f>IF(7&lt;=COUNTIF('Biblioteca de Controles'!$H$5:$H$37,1),7,"")</f>
        <v/>
      </c>
      <c r="B33" s="90">
        <f>IF($A33="","",INDEX('Biblioteca de Controles'!$B$5:$B$37,MATCH($A33,'Biblioteca de Controles'!$I$5:$I$37,0)))</f>
        <v/>
      </c>
      <c r="C33" s="90">
        <f>IF($A33="","",INDEX('Biblioteca de Controles'!$C$5:$C$37,MATCH($A33,'Biblioteca de Controles'!$I$5:$I$37,0)))</f>
        <v/>
      </c>
      <c r="D33" s="90">
        <f>IF($A33="","",INDEX('Biblioteca de Controles'!$D$5:$D$37,MATCH($A33,'Biblioteca de Controles'!$I$5:$I$37,0)))</f>
        <v/>
      </c>
    </row>
    <row r="34" ht="42" customHeight="1">
      <c r="A34" s="89">
        <f>IF(8&lt;=COUNTIF('Biblioteca de Controles'!$H$5:$H$37,1),8,"")</f>
        <v/>
      </c>
      <c r="B34" s="90">
        <f>IF($A34="","",INDEX('Biblioteca de Controles'!$B$5:$B$37,MATCH($A34,'Biblioteca de Controles'!$I$5:$I$37,0)))</f>
        <v/>
      </c>
      <c r="C34" s="90">
        <f>IF($A34="","",INDEX('Biblioteca de Controles'!$C$5:$C$37,MATCH($A34,'Biblioteca de Controles'!$I$5:$I$37,0)))</f>
        <v/>
      </c>
      <c r="D34" s="90">
        <f>IF($A34="","",INDEX('Biblioteca de Controles'!$D$5:$D$37,MATCH($A34,'Biblioteca de Controles'!$I$5:$I$37,0)))</f>
        <v/>
      </c>
    </row>
    <row r="35" ht="42" customHeight="1">
      <c r="A35" s="89">
        <f>IF(9&lt;=COUNTIF('Biblioteca de Controles'!$H$5:$H$37,1),9,"")</f>
        <v/>
      </c>
      <c r="B35" s="90">
        <f>IF($A35="","",INDEX('Biblioteca de Controles'!$B$5:$B$37,MATCH($A35,'Biblioteca de Controles'!$I$5:$I$37,0)))</f>
        <v/>
      </c>
      <c r="C35" s="90">
        <f>IF($A35="","",INDEX('Biblioteca de Controles'!$C$5:$C$37,MATCH($A35,'Biblioteca de Controles'!$I$5:$I$37,0)))</f>
        <v/>
      </c>
      <c r="D35" s="90">
        <f>IF($A35="","",INDEX('Biblioteca de Controles'!$D$5:$D$37,MATCH($A35,'Biblioteca de Controles'!$I$5:$I$37,0)))</f>
        <v/>
      </c>
    </row>
    <row r="36" ht="42" customHeight="1">
      <c r="A36" s="89">
        <f>IF(10&lt;=COUNTIF('Biblioteca de Controles'!$H$5:$H$37,1),10,"")</f>
        <v/>
      </c>
      <c r="B36" s="90">
        <f>IF($A36="","",INDEX('Biblioteca de Controles'!$B$5:$B$37,MATCH($A36,'Biblioteca de Controles'!$I$5:$I$37,0)))</f>
        <v/>
      </c>
      <c r="C36" s="90">
        <f>IF($A36="","",INDEX('Biblioteca de Controles'!$C$5:$C$37,MATCH($A36,'Biblioteca de Controles'!$I$5:$I$37,0)))</f>
        <v/>
      </c>
      <c r="D36" s="90">
        <f>IF($A36="","",INDEX('Biblioteca de Controles'!$D$5:$D$37,MATCH($A36,'Biblioteca de Controles'!$I$5:$I$37,0)))</f>
        <v/>
      </c>
    </row>
    <row r="37" ht="42" customHeight="1">
      <c r="A37" s="89">
        <f>IF(11&lt;=COUNTIF('Biblioteca de Controles'!$H$5:$H$37,1),11,"")</f>
        <v/>
      </c>
      <c r="B37" s="90">
        <f>IF($A37="","",INDEX('Biblioteca de Controles'!$B$5:$B$37,MATCH($A37,'Biblioteca de Controles'!$I$5:$I$37,0)))</f>
        <v/>
      </c>
      <c r="C37" s="90">
        <f>IF($A37="","",INDEX('Biblioteca de Controles'!$C$5:$C$37,MATCH($A37,'Biblioteca de Controles'!$I$5:$I$37,0)))</f>
        <v/>
      </c>
      <c r="D37" s="90">
        <f>IF($A37="","",INDEX('Biblioteca de Controles'!$D$5:$D$37,MATCH($A37,'Biblioteca de Controles'!$I$5:$I$37,0)))</f>
        <v/>
      </c>
    </row>
    <row r="38" ht="42" customHeight="1">
      <c r="A38" s="89">
        <f>IF(12&lt;=COUNTIF('Biblioteca de Controles'!$H$5:$H$37,1),12,"")</f>
        <v/>
      </c>
      <c r="B38" s="90">
        <f>IF($A38="","",INDEX('Biblioteca de Controles'!$B$5:$B$37,MATCH($A38,'Biblioteca de Controles'!$I$5:$I$37,0)))</f>
        <v/>
      </c>
      <c r="C38" s="90">
        <f>IF($A38="","",INDEX('Biblioteca de Controles'!$C$5:$C$37,MATCH($A38,'Biblioteca de Controles'!$I$5:$I$37,0)))</f>
        <v/>
      </c>
      <c r="D38" s="90">
        <f>IF($A38="","",INDEX('Biblioteca de Controles'!$D$5:$D$37,MATCH($A38,'Biblioteca de Controles'!$I$5:$I$37,0)))</f>
        <v/>
      </c>
    </row>
    <row r="39" ht="42" customHeight="1">
      <c r="A39" s="89">
        <f>IF(13&lt;=COUNTIF('Biblioteca de Controles'!$H$5:$H$37,1),13,"")</f>
        <v/>
      </c>
      <c r="B39" s="90">
        <f>IF($A39="","",INDEX('Biblioteca de Controles'!$B$5:$B$37,MATCH($A39,'Biblioteca de Controles'!$I$5:$I$37,0)))</f>
        <v/>
      </c>
      <c r="C39" s="90">
        <f>IF($A39="","",INDEX('Biblioteca de Controles'!$C$5:$C$37,MATCH($A39,'Biblioteca de Controles'!$I$5:$I$37,0)))</f>
        <v/>
      </c>
      <c r="D39" s="90">
        <f>IF($A39="","",INDEX('Biblioteca de Controles'!$D$5:$D$37,MATCH($A39,'Biblioteca de Controles'!$I$5:$I$37,0)))</f>
        <v/>
      </c>
    </row>
    <row r="40" ht="42" customHeight="1">
      <c r="A40" s="89">
        <f>IF(14&lt;=COUNTIF('Biblioteca de Controles'!$H$5:$H$37,1),14,"")</f>
        <v/>
      </c>
      <c r="B40" s="90">
        <f>IF($A40="","",INDEX('Biblioteca de Controles'!$B$5:$B$37,MATCH($A40,'Biblioteca de Controles'!$I$5:$I$37,0)))</f>
        <v/>
      </c>
      <c r="C40" s="90">
        <f>IF($A40="","",INDEX('Biblioteca de Controles'!$C$5:$C$37,MATCH($A40,'Biblioteca de Controles'!$I$5:$I$37,0)))</f>
        <v/>
      </c>
      <c r="D40" s="90">
        <f>IF($A40="","",INDEX('Biblioteca de Controles'!$D$5:$D$37,MATCH($A40,'Biblioteca de Controles'!$I$5:$I$37,0)))</f>
        <v/>
      </c>
    </row>
    <row r="41" ht="42" customHeight="1">
      <c r="A41" s="89">
        <f>IF(15&lt;=COUNTIF('Biblioteca de Controles'!$H$5:$H$37,1),15,"")</f>
        <v/>
      </c>
      <c r="B41" s="90">
        <f>IF($A41="","",INDEX('Biblioteca de Controles'!$B$5:$B$37,MATCH($A41,'Biblioteca de Controles'!$I$5:$I$37,0)))</f>
        <v/>
      </c>
      <c r="C41" s="90">
        <f>IF($A41="","",INDEX('Biblioteca de Controles'!$C$5:$C$37,MATCH($A41,'Biblioteca de Controles'!$I$5:$I$37,0)))</f>
        <v/>
      </c>
      <c r="D41" s="90">
        <f>IF($A41="","",INDEX('Biblioteca de Controles'!$D$5:$D$37,MATCH($A41,'Biblioteca de Controles'!$I$5:$I$37,0)))</f>
        <v/>
      </c>
    </row>
    <row r="42" ht="42" customHeight="1">
      <c r="A42" s="89">
        <f>IF(16&lt;=COUNTIF('Biblioteca de Controles'!$H$5:$H$37,1),16,"")</f>
        <v/>
      </c>
      <c r="B42" s="90">
        <f>IF($A42="","",INDEX('Biblioteca de Controles'!$B$5:$B$37,MATCH($A42,'Biblioteca de Controles'!$I$5:$I$37,0)))</f>
        <v/>
      </c>
      <c r="C42" s="90">
        <f>IF($A42="","",INDEX('Biblioteca de Controles'!$C$5:$C$37,MATCH($A42,'Biblioteca de Controles'!$I$5:$I$37,0)))</f>
        <v/>
      </c>
      <c r="D42" s="90">
        <f>IF($A42="","",INDEX('Biblioteca de Controles'!$D$5:$D$37,MATCH($A42,'Biblioteca de Controles'!$I$5:$I$37,0)))</f>
        <v/>
      </c>
    </row>
    <row r="43" ht="42" customHeight="1">
      <c r="A43" s="89">
        <f>IF(17&lt;=COUNTIF('Biblioteca de Controles'!$H$5:$H$37,1),17,"")</f>
        <v/>
      </c>
      <c r="B43" s="90">
        <f>IF($A43="","",INDEX('Biblioteca de Controles'!$B$5:$B$37,MATCH($A43,'Biblioteca de Controles'!$I$5:$I$37,0)))</f>
        <v/>
      </c>
      <c r="C43" s="90">
        <f>IF($A43="","",INDEX('Biblioteca de Controles'!$C$5:$C$37,MATCH($A43,'Biblioteca de Controles'!$I$5:$I$37,0)))</f>
        <v/>
      </c>
      <c r="D43" s="90">
        <f>IF($A43="","",INDEX('Biblioteca de Controles'!$D$5:$D$37,MATCH($A43,'Biblioteca de Controles'!$I$5:$I$37,0)))</f>
        <v/>
      </c>
    </row>
    <row r="44" ht="42" customHeight="1">
      <c r="A44" s="89">
        <f>IF(18&lt;=COUNTIF('Biblioteca de Controles'!$H$5:$H$37,1),18,"")</f>
        <v/>
      </c>
      <c r="B44" s="90">
        <f>IF($A44="","",INDEX('Biblioteca de Controles'!$B$5:$B$37,MATCH($A44,'Biblioteca de Controles'!$I$5:$I$37,0)))</f>
        <v/>
      </c>
      <c r="C44" s="90">
        <f>IF($A44="","",INDEX('Biblioteca de Controles'!$C$5:$C$37,MATCH($A44,'Biblioteca de Controles'!$I$5:$I$37,0)))</f>
        <v/>
      </c>
      <c r="D44" s="90">
        <f>IF($A44="","",INDEX('Biblioteca de Controles'!$D$5:$D$37,MATCH($A44,'Biblioteca de Controles'!$I$5:$I$37,0)))</f>
        <v/>
      </c>
    </row>
    <row r="45" ht="42" customHeight="1">
      <c r="A45" s="89">
        <f>IF(19&lt;=COUNTIF('Biblioteca de Controles'!$H$5:$H$37,1),19,"")</f>
        <v/>
      </c>
      <c r="B45" s="90">
        <f>IF($A45="","",INDEX('Biblioteca de Controles'!$B$5:$B$37,MATCH($A45,'Biblioteca de Controles'!$I$5:$I$37,0)))</f>
        <v/>
      </c>
      <c r="C45" s="90">
        <f>IF($A45="","",INDEX('Biblioteca de Controles'!$C$5:$C$37,MATCH($A45,'Biblioteca de Controles'!$I$5:$I$37,0)))</f>
        <v/>
      </c>
      <c r="D45" s="90">
        <f>IF($A45="","",INDEX('Biblioteca de Controles'!$D$5:$D$37,MATCH($A45,'Biblioteca de Controles'!$I$5:$I$37,0)))</f>
        <v/>
      </c>
    </row>
    <row r="46" ht="42" customHeight="1">
      <c r="A46" s="89">
        <f>IF(20&lt;=COUNTIF('Biblioteca de Controles'!$H$5:$H$37,1),20,"")</f>
        <v/>
      </c>
      <c r="B46" s="90">
        <f>IF($A46="","",INDEX('Biblioteca de Controles'!$B$5:$B$37,MATCH($A46,'Biblioteca de Controles'!$I$5:$I$37,0)))</f>
        <v/>
      </c>
      <c r="C46" s="90">
        <f>IF($A46="","",INDEX('Biblioteca de Controles'!$C$5:$C$37,MATCH($A46,'Biblioteca de Controles'!$I$5:$I$37,0)))</f>
        <v/>
      </c>
      <c r="D46" s="90">
        <f>IF($A46="","",INDEX('Biblioteca de Controles'!$D$5:$D$37,MATCH($A46,'Biblioteca de Controles'!$I$5:$I$37,0)))</f>
        <v/>
      </c>
    </row>
    <row r="47" ht="42" customHeight="1">
      <c r="A47" s="89">
        <f>IF(21&lt;=COUNTIF('Biblioteca de Controles'!$H$5:$H$37,1),21,"")</f>
        <v/>
      </c>
      <c r="B47" s="90">
        <f>IF($A47="","",INDEX('Biblioteca de Controles'!$B$5:$B$37,MATCH($A47,'Biblioteca de Controles'!$I$5:$I$37,0)))</f>
        <v/>
      </c>
      <c r="C47" s="90">
        <f>IF($A47="","",INDEX('Biblioteca de Controles'!$C$5:$C$37,MATCH($A47,'Biblioteca de Controles'!$I$5:$I$37,0)))</f>
        <v/>
      </c>
      <c r="D47" s="90">
        <f>IF($A47="","",INDEX('Biblioteca de Controles'!$D$5:$D$37,MATCH($A47,'Biblioteca de Controles'!$I$5:$I$37,0)))</f>
        <v/>
      </c>
    </row>
    <row r="48" ht="42" customHeight="1">
      <c r="A48" s="89">
        <f>IF(22&lt;=COUNTIF('Biblioteca de Controles'!$H$5:$H$37,1),22,"")</f>
        <v/>
      </c>
      <c r="B48" s="90">
        <f>IF($A48="","",INDEX('Biblioteca de Controles'!$B$5:$B$37,MATCH($A48,'Biblioteca de Controles'!$I$5:$I$37,0)))</f>
        <v/>
      </c>
      <c r="C48" s="90">
        <f>IF($A48="","",INDEX('Biblioteca de Controles'!$C$5:$C$37,MATCH($A48,'Biblioteca de Controles'!$I$5:$I$37,0)))</f>
        <v/>
      </c>
      <c r="D48" s="90">
        <f>IF($A48="","",INDEX('Biblioteca de Controles'!$D$5:$D$37,MATCH($A48,'Biblioteca de Controles'!$I$5:$I$37,0)))</f>
        <v/>
      </c>
    </row>
    <row r="49" ht="42" customHeight="1">
      <c r="A49" s="89">
        <f>IF(23&lt;=COUNTIF('Biblioteca de Controles'!$H$5:$H$37,1),23,"")</f>
        <v/>
      </c>
      <c r="B49" s="90">
        <f>IF($A49="","",INDEX('Biblioteca de Controles'!$B$5:$B$37,MATCH($A49,'Biblioteca de Controles'!$I$5:$I$37,0)))</f>
        <v/>
      </c>
      <c r="C49" s="90">
        <f>IF($A49="","",INDEX('Biblioteca de Controles'!$C$5:$C$37,MATCH($A49,'Biblioteca de Controles'!$I$5:$I$37,0)))</f>
        <v/>
      </c>
      <c r="D49" s="90">
        <f>IF($A49="","",INDEX('Biblioteca de Controles'!$D$5:$D$37,MATCH($A49,'Biblioteca de Controles'!$I$5:$I$37,0)))</f>
        <v/>
      </c>
    </row>
    <row r="50" ht="42" customHeight="1">
      <c r="A50" s="89">
        <f>IF(24&lt;=COUNTIF('Biblioteca de Controles'!$H$5:$H$37,1),24,"")</f>
        <v/>
      </c>
      <c r="B50" s="90">
        <f>IF($A50="","",INDEX('Biblioteca de Controles'!$B$5:$B$37,MATCH($A50,'Biblioteca de Controles'!$I$5:$I$37,0)))</f>
        <v/>
      </c>
      <c r="C50" s="90">
        <f>IF($A50="","",INDEX('Biblioteca de Controles'!$C$5:$C$37,MATCH($A50,'Biblioteca de Controles'!$I$5:$I$37,0)))</f>
        <v/>
      </c>
      <c r="D50" s="90">
        <f>IF($A50="","",INDEX('Biblioteca de Controles'!$D$5:$D$37,MATCH($A50,'Biblioteca de Controles'!$I$5:$I$37,0)))</f>
        <v/>
      </c>
    </row>
    <row r="51" ht="42" customHeight="1">
      <c r="A51" s="89">
        <f>IF(25&lt;=COUNTIF('Biblioteca de Controles'!$H$5:$H$37,1),25,"")</f>
        <v/>
      </c>
      <c r="B51" s="90">
        <f>IF($A51="","",INDEX('Biblioteca de Controles'!$B$5:$B$37,MATCH($A51,'Biblioteca de Controles'!$I$5:$I$37,0)))</f>
        <v/>
      </c>
      <c r="C51" s="90">
        <f>IF($A51="","",INDEX('Biblioteca de Controles'!$C$5:$C$37,MATCH($A51,'Biblioteca de Controles'!$I$5:$I$37,0)))</f>
        <v/>
      </c>
      <c r="D51" s="90">
        <f>IF($A51="","",INDEX('Biblioteca de Controles'!$D$5:$D$37,MATCH($A51,'Biblioteca de Controles'!$I$5:$I$37,0)))</f>
        <v/>
      </c>
    </row>
    <row r="52" ht="42" customHeight="1">
      <c r="A52" s="89">
        <f>IF(26&lt;=COUNTIF('Biblioteca de Controles'!$H$5:$H$37,1),26,"")</f>
        <v/>
      </c>
      <c r="B52" s="90">
        <f>IF($A52="","",INDEX('Biblioteca de Controles'!$B$5:$B$37,MATCH($A52,'Biblioteca de Controles'!$I$5:$I$37,0)))</f>
        <v/>
      </c>
      <c r="C52" s="90">
        <f>IF($A52="","",INDEX('Biblioteca de Controles'!$C$5:$C$37,MATCH($A52,'Biblioteca de Controles'!$I$5:$I$37,0)))</f>
        <v/>
      </c>
      <c r="D52" s="90">
        <f>IF($A52="","",INDEX('Biblioteca de Controles'!$D$5:$D$37,MATCH($A52,'Biblioteca de Controles'!$I$5:$I$37,0)))</f>
        <v/>
      </c>
    </row>
    <row r="53" ht="42" customHeight="1">
      <c r="A53" s="89">
        <f>IF(27&lt;=COUNTIF('Biblioteca de Controles'!$H$5:$H$37,1),27,"")</f>
        <v/>
      </c>
      <c r="B53" s="90">
        <f>IF($A53="","",INDEX('Biblioteca de Controles'!$B$5:$B$37,MATCH($A53,'Biblioteca de Controles'!$I$5:$I$37,0)))</f>
        <v/>
      </c>
      <c r="C53" s="90">
        <f>IF($A53="","",INDEX('Biblioteca de Controles'!$C$5:$C$37,MATCH($A53,'Biblioteca de Controles'!$I$5:$I$37,0)))</f>
        <v/>
      </c>
      <c r="D53" s="90">
        <f>IF($A53="","",INDEX('Biblioteca de Controles'!$D$5:$D$37,MATCH($A53,'Biblioteca de Controles'!$I$5:$I$37,0)))</f>
        <v/>
      </c>
    </row>
    <row r="54" ht="42" customHeight="1">
      <c r="A54" s="89">
        <f>IF(28&lt;=COUNTIF('Biblioteca de Controles'!$H$5:$H$37,1),28,"")</f>
        <v/>
      </c>
      <c r="B54" s="90">
        <f>IF($A54="","",INDEX('Biblioteca de Controles'!$B$5:$B$37,MATCH($A54,'Biblioteca de Controles'!$I$5:$I$37,0)))</f>
        <v/>
      </c>
      <c r="C54" s="90">
        <f>IF($A54="","",INDEX('Biblioteca de Controles'!$C$5:$C$37,MATCH($A54,'Biblioteca de Controles'!$I$5:$I$37,0)))</f>
        <v/>
      </c>
      <c r="D54" s="90">
        <f>IF($A54="","",INDEX('Biblioteca de Controles'!$D$5:$D$37,MATCH($A54,'Biblioteca de Controles'!$I$5:$I$37,0)))</f>
        <v/>
      </c>
    </row>
    <row r="55" ht="42" customHeight="1">
      <c r="A55" s="89">
        <f>IF(29&lt;=COUNTIF('Biblioteca de Controles'!$H$5:$H$37,1),29,"")</f>
        <v/>
      </c>
      <c r="B55" s="90">
        <f>IF($A55="","",INDEX('Biblioteca de Controles'!$B$5:$B$37,MATCH($A55,'Biblioteca de Controles'!$I$5:$I$37,0)))</f>
        <v/>
      </c>
      <c r="C55" s="90">
        <f>IF($A55="","",INDEX('Biblioteca de Controles'!$C$5:$C$37,MATCH($A55,'Biblioteca de Controles'!$I$5:$I$37,0)))</f>
        <v/>
      </c>
      <c r="D55" s="90">
        <f>IF($A55="","",INDEX('Biblioteca de Controles'!$D$5:$D$37,MATCH($A55,'Biblioteca de Controles'!$I$5:$I$37,0)))</f>
        <v/>
      </c>
    </row>
    <row r="56" ht="42" customHeight="1">
      <c r="A56" s="89">
        <f>IF(30&lt;=COUNTIF('Biblioteca de Controles'!$H$5:$H$37,1),30,"")</f>
        <v/>
      </c>
      <c r="B56" s="90">
        <f>IF($A56="","",INDEX('Biblioteca de Controles'!$B$5:$B$37,MATCH($A56,'Biblioteca de Controles'!$I$5:$I$37,0)))</f>
        <v/>
      </c>
      <c r="C56" s="90">
        <f>IF($A56="","",INDEX('Biblioteca de Controles'!$C$5:$C$37,MATCH($A56,'Biblioteca de Controles'!$I$5:$I$37,0)))</f>
        <v/>
      </c>
      <c r="D56" s="90">
        <f>IF($A56="","",INDEX('Biblioteca de Controles'!$D$5:$D$37,MATCH($A56,'Biblioteca de Controles'!$I$5:$I$37,0)))</f>
        <v/>
      </c>
    </row>
    <row r="57" ht="42" customHeight="1">
      <c r="A57" s="89">
        <f>IF(31&lt;=COUNTIF('Biblioteca de Controles'!$H$5:$H$37,1),31,"")</f>
        <v/>
      </c>
      <c r="B57" s="90">
        <f>IF($A57="","",INDEX('Biblioteca de Controles'!$B$5:$B$37,MATCH($A57,'Biblioteca de Controles'!$I$5:$I$37,0)))</f>
        <v/>
      </c>
      <c r="C57" s="90">
        <f>IF($A57="","",INDEX('Biblioteca de Controles'!$C$5:$C$37,MATCH($A57,'Biblioteca de Controles'!$I$5:$I$37,0)))</f>
        <v/>
      </c>
      <c r="D57" s="90">
        <f>IF($A57="","",INDEX('Biblioteca de Controles'!$D$5:$D$37,MATCH($A57,'Biblioteca de Controles'!$I$5:$I$37,0)))</f>
        <v/>
      </c>
    </row>
    <row r="58" ht="42" customHeight="1">
      <c r="A58" s="89">
        <f>IF(32&lt;=COUNTIF('Biblioteca de Controles'!$H$5:$H$37,1),32,"")</f>
        <v/>
      </c>
      <c r="B58" s="90">
        <f>IF($A58="","",INDEX('Biblioteca de Controles'!$B$5:$B$37,MATCH($A58,'Biblioteca de Controles'!$I$5:$I$37,0)))</f>
        <v/>
      </c>
      <c r="C58" s="90">
        <f>IF($A58="","",INDEX('Biblioteca de Controles'!$C$5:$C$37,MATCH($A58,'Biblioteca de Controles'!$I$5:$I$37,0)))</f>
        <v/>
      </c>
      <c r="D58" s="90">
        <f>IF($A58="","",INDEX('Biblioteca de Controles'!$D$5:$D$37,MATCH($A58,'Biblioteca de Controles'!$I$5:$I$37,0)))</f>
        <v/>
      </c>
    </row>
    <row r="59" ht="42" customHeight="1">
      <c r="A59" s="89">
        <f>IF(33&lt;=COUNTIF('Biblioteca de Controles'!$H$5:$H$37,1),33,"")</f>
        <v/>
      </c>
      <c r="B59" s="90">
        <f>IF($A59="","",INDEX('Biblioteca de Controles'!$B$5:$B$37,MATCH($A59,'Biblioteca de Controles'!$I$5:$I$37,0)))</f>
        <v/>
      </c>
      <c r="C59" s="90">
        <f>IF($A59="","",INDEX('Biblioteca de Controles'!$C$5:$C$37,MATCH($A59,'Biblioteca de Controles'!$I$5:$I$37,0)))</f>
        <v/>
      </c>
      <c r="D59" s="90">
        <f>IF($A59="","",INDEX('Biblioteca de Controles'!$D$5:$D$37,MATCH($A59,'Biblioteca de Controles'!$I$5:$I$37,0)))</f>
        <v/>
      </c>
    </row>
    <row r="61" ht="28" customHeight="1">
      <c r="A61" s="50" t="inlineStr">
        <is>
          <t>Aviso: las recomendaciones son orientativas y se generan a partir de reglas editables; no sustituyen el criterio del profesional en higiene ocupacional ni la evaluación médica. Referencias: ACGIH (Heat Stress and Strain), ISO 7933:2023, NIOSH (2016).</t>
        </is>
      </c>
    </row>
  </sheetData>
  <mergeCells count="22">
    <mergeCell ref="A23:D23"/>
    <mergeCell ref="A22:D22"/>
    <mergeCell ref="A4:D4"/>
    <mergeCell ref="A18:C18"/>
    <mergeCell ref="A12:C12"/>
    <mergeCell ref="A9:D9"/>
    <mergeCell ref="A5:C5"/>
    <mergeCell ref="A14:C14"/>
    <mergeCell ref="A17:C17"/>
    <mergeCell ref="A20:C20"/>
    <mergeCell ref="A10:C10"/>
    <mergeCell ref="A1:D1"/>
    <mergeCell ref="A13:C13"/>
    <mergeCell ref="A19:C19"/>
    <mergeCell ref="A61:D61"/>
    <mergeCell ref="A25:D25"/>
    <mergeCell ref="A15:C15"/>
    <mergeCell ref="A11:C11"/>
    <mergeCell ref="A6:C6"/>
    <mergeCell ref="A2:D2"/>
    <mergeCell ref="A7:C7"/>
    <mergeCell ref="A16:C16"/>
  </mergeCells>
  <conditionalFormatting sqref="D10">
    <cfRule type="expression" priority="1" dxfId="0" stopIfTrue="1">
      <formula>D10="SIN DATOS"</formula>
    </cfRule>
    <cfRule type="expression" priority="2" dxfId="1" stopIfTrue="1">
      <formula>D10="ACEPTABLE"</formula>
    </cfRule>
    <cfRule type="expression" priority="3" dxfId="2" stopIfTrue="1">
      <formula>D10="PRECAUCIÓN"</formula>
    </cfRule>
    <cfRule type="expression" priority="4" dxfId="3" stopIfTrue="1">
      <formula>D10="MODERADO"</formula>
    </cfRule>
    <cfRule type="expression" priority="5" dxfId="4" stopIfTrue="1">
      <formula>D10="ALTO"</formula>
    </cfRule>
    <cfRule type="expression" priority="6" dxfId="5" stopIfTrue="1">
      <formula>D10="EXTREMADAMENTE ALTO"</formula>
    </cfRule>
  </conditionalFormatting>
  <conditionalFormatting sqref="A27:D59">
    <cfRule type="expression" priority="7" dxfId="6" stopIfTrue="1">
      <formula>$A27=""</formula>
    </cfRule>
  </conditionalFormatting>
  <conditionalFormatting sqref="B27:B59">
    <cfRule type="expression" priority="8" dxfId="7">
      <formula>LEFT($B27,19)="Prioridad inmediata"</formula>
    </cfRule>
    <cfRule type="expression" priority="9" dxfId="8">
      <formula>LEFT($B27,7)="Nivel 1"</formula>
    </cfRule>
    <cfRule type="expression" priority="10" dxfId="9">
      <formula>LEFT($B27,7)="Nivel 2"</formula>
    </cfRule>
    <cfRule type="expression" priority="11" dxfId="10">
      <formula>LEFT($B27,7)="Nivel 3"</formula>
    </cfRule>
  </conditionalFormatting>
  <dataValidations count="3">
    <dataValidation sqref="D5" showDropDown="0" showInputMessage="0" showErrorMessage="0" allowBlank="0" type="list">
      <formula1>"Evaluación (Método 1),Análisis Detallado"</formula1>
    </dataValidation>
    <dataValidation sqref="D6" showDropDown="0" showInputMessage="0" showErrorMessage="0" allowBlank="1" type="list">
      <formula1>='Datos de Referencia'!$G$17:$G$20</formula1>
    </dataValidation>
    <dataValidation sqref="D7" showDropDown="0" showInputMessage="0" showErrorMessage="0" allowBlank="0" type="list">
      <formula1>='Datos de Referencia'!$G$23:$G$24</formula1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6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I37"/>
  <sheetViews>
    <sheetView workbookViewId="0" showGridLines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110" customWidth="1" min="4" max="4"/>
    <col width="9" customWidth="1" min="5" max="5"/>
    <col width="13" customWidth="1" min="6" max="6"/>
    <col width="13" customWidth="1" min="7" max="7"/>
    <col width="9" customWidth="1" min="8" max="8"/>
    <col width="9" customWidth="1" min="9" max="9"/>
  </cols>
  <sheetData>
    <row r="1">
      <c r="A1" s="91" t="inlineStr">
        <is>
          <t>Biblioteca de Controles – reglas del Plan de Control (editable)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</row>
    <row r="2" ht="40" customHeight="1">
      <c r="A2" s="50" t="inlineStr">
        <is>
          <t>Cada fila es una recomendación. Se incluye en el plan cuando la severidad ACGIH ≥ 'Sev. mín.' y se cumplen las condiciones 1 y 2 (códigos de la hoja 'Plan de Control', columna F). Puede editar textos, agregar filas al final (copie las fórmulas de H e I) o cambiar los umbrales. Las celdas que empiezan con = son recomendaciones dinámicas.</t>
        </is>
      </c>
    </row>
    <row r="4">
      <c r="A4" s="92" t="inlineStr">
        <is>
          <t>#</t>
        </is>
      </c>
      <c r="B4" s="92" t="inlineStr">
        <is>
          <t>Nivel</t>
        </is>
      </c>
      <c r="C4" s="92" t="inlineStr">
        <is>
          <t>Tipo de control</t>
        </is>
      </c>
      <c r="D4" s="92" t="inlineStr">
        <is>
          <t>Recomendación</t>
        </is>
      </c>
      <c r="E4" s="92" t="inlineStr">
        <is>
          <t>Sev. mín.</t>
        </is>
      </c>
      <c r="F4" s="92" t="inlineStr">
        <is>
          <t>Condición 1</t>
        </is>
      </c>
      <c r="G4" s="92" t="inlineStr">
        <is>
          <t>Condición 2</t>
        </is>
      </c>
      <c r="H4" s="92" t="inlineStr">
        <is>
          <t>Aplica</t>
        </is>
      </c>
      <c r="I4" s="92" t="inlineStr">
        <is>
          <t>N° en plan</t>
        </is>
      </c>
    </row>
    <row r="5" ht="44.5" customHeight="1">
      <c r="A5" s="49" t="n">
        <v>1</v>
      </c>
      <c r="B5" s="93" t="inlineStr">
        <is>
          <t>Prioridad inmediata</t>
        </is>
      </c>
      <c r="C5" s="93" t="inlineStr">
        <is>
          <t>Tiempo de exposición (PHS)</t>
        </is>
      </c>
      <c r="D5" s="93">
        <f>"PHS: el modelo estima que se alcanza el límite fisiológico ("&amp;PHS!$B$28&amp;") a los "&amp;'Motor PHS'!$B$50&amp;" min de exposición continua, antes de completar los "&amp;'Motor PHS'!$B$25&amp;" min evaluados. Limite la exposición continua a un máximo de "&amp;'Motor PHS'!$B$50&amp;" min y programe recuperación en un área fresca antes de reanudar la tarea."</f>
        <v/>
      </c>
      <c r="E5" s="65" t="n">
        <v>0</v>
      </c>
      <c r="F5" s="65" t="inlineStr">
        <is>
          <t>PHS_LIM</t>
        </is>
      </c>
      <c r="G5" s="65" t="inlineStr">
        <is>
          <t>S</t>
        </is>
      </c>
      <c r="H5" s="49">
        <f>IF(AND('Plan de Control'!$D$11&gt;=E5,IFERROR(INDEX('Plan de Control'!$G$5:$G$19,MATCH(F5,'Plan de Control'!$F$5:$F$19,0)),0)=1,IFERROR(INDEX('Plan de Control'!$G$5:$G$19,MATCH(G5,'Plan de Control'!$F$5:$F$19,0)),0)=1),1,0)</f>
        <v/>
      </c>
      <c r="I5" s="49">
        <f>IF(H5=1,COUNTIF(H$5:H5,1),0)</f>
        <v/>
      </c>
    </row>
    <row r="6" ht="44.5" customHeight="1">
      <c r="A6" s="49" t="n">
        <v>2</v>
      </c>
      <c r="B6" s="93" t="inlineStr">
        <is>
          <t>Prioridad inmediata</t>
        </is>
      </c>
      <c r="C6" s="93" t="inlineStr">
        <is>
          <t>Riesgo extremo</t>
        </is>
      </c>
      <c r="D6" s="93" t="inlineStr">
        <is>
          <t>Riesgo EXTREMADAMENTE ALTO: suspender o restringir la tarea hasta implementar controles de ingeniería significativos (rediseño del proceso, aislamiento de la fuente de calor, enfriamiento). Sin mejoras sustanciales la exposición puede ser insostenible; si debe continuar, solo con exposiciones cortas, enfriamiento intercalado y supervisión médica continua.</t>
        </is>
      </c>
      <c r="E6" s="65" t="n">
        <v>5</v>
      </c>
      <c r="F6" s="65" t="inlineStr">
        <is>
          <t>S</t>
        </is>
      </c>
      <c r="G6" s="65" t="inlineStr">
        <is>
          <t>S</t>
        </is>
      </c>
      <c r="H6" s="49">
        <f>IF(AND('Plan de Control'!$D$11&gt;=E6,IFERROR(INDEX('Plan de Control'!$G$5:$G$19,MATCH(F6,'Plan de Control'!$F$5:$F$19,0)),0)=1,IFERROR(INDEX('Plan de Control'!$G$5:$G$19,MATCH(G6,'Plan de Control'!$F$5:$F$19,0)),0)=1),1,0)</f>
        <v/>
      </c>
      <c r="I6" s="49">
        <f>IF(H6=1,COUNTIF(H$5:H6,1),0)</f>
        <v/>
      </c>
    </row>
    <row r="7" ht="31" customHeight="1">
      <c r="A7" s="49" t="n">
        <v>3</v>
      </c>
      <c r="B7" s="93" t="inlineStr">
        <is>
          <t>Prioridad inmediata</t>
        </is>
      </c>
      <c r="C7" s="93" t="inlineStr">
        <is>
          <t>Eliminación / Sustitución</t>
        </is>
      </c>
      <c r="D7" s="93" t="inlineStr">
        <is>
          <t>Evaluar eliminar o sustituir la exposición: automatización o teleoperación, mecanización, prefabricación en áreas frescas, o reprogramar trabajos no urgentes (p. ej., mantenimiento con equipos fríos o durante paradas de planta).</t>
        </is>
      </c>
      <c r="E7" s="65" t="n">
        <v>4</v>
      </c>
      <c r="F7" s="65" t="inlineStr">
        <is>
          <t>S</t>
        </is>
      </c>
      <c r="G7" s="65" t="inlineStr">
        <is>
          <t>S</t>
        </is>
      </c>
      <c r="H7" s="49">
        <f>IF(AND('Plan de Control'!$D$11&gt;=E7,IFERROR(INDEX('Plan de Control'!$G$5:$G$19,MATCH(F7,'Plan de Control'!$F$5:$F$19,0)),0)=1,IFERROR(INDEX('Plan de Control'!$G$5:$G$19,MATCH(G7,'Plan de Control'!$F$5:$F$19,0)),0)=1),1,0)</f>
        <v/>
      </c>
      <c r="I7" s="49">
        <f>IF(H7=1,COUNTIF(H$5:H7,1),0)</f>
        <v/>
      </c>
    </row>
    <row r="8" ht="31" customHeight="1">
      <c r="A8" s="49" t="n">
        <v>4</v>
      </c>
      <c r="B8" s="93" t="inlineStr">
        <is>
          <t>Prioridad inmediata</t>
        </is>
      </c>
      <c r="C8" s="93" t="inlineStr">
        <is>
          <t>EPP / Ropa</t>
        </is>
      </c>
      <c r="D8" s="93" t="inlineStr">
        <is>
          <t>Ropa con barrera de vapor (CAV ≥ 10 °C): limite su uso a lo estrictamente necesario, con tiempos de exposición cortos, enfriamiento personal (chalecos o prendas enfriadas) y monitoreo fisiológico. El modelo PHS no aplica a este tipo de ropa.</t>
        </is>
      </c>
      <c r="E8" s="65" t="n">
        <v>1</v>
      </c>
      <c r="F8" s="65" t="inlineStr">
        <is>
          <t>BARRERA</t>
        </is>
      </c>
      <c r="G8" s="65" t="inlineStr">
        <is>
          <t>S</t>
        </is>
      </c>
      <c r="H8" s="49">
        <f>IF(AND('Plan de Control'!$D$11&gt;=E8,IFERROR(INDEX('Plan de Control'!$G$5:$G$19,MATCH(F8,'Plan de Control'!$F$5:$F$19,0)),0)=1,IFERROR(INDEX('Plan de Control'!$G$5:$G$19,MATCH(G8,'Plan de Control'!$F$5:$F$19,0)),0)=1),1,0)</f>
        <v/>
      </c>
      <c r="I8" s="49">
        <f>IF(H8=1,COUNTIF(H$5:H8,1),0)</f>
        <v/>
      </c>
    </row>
    <row r="9" ht="31" customHeight="1">
      <c r="A9" s="49" t="n">
        <v>5</v>
      </c>
      <c r="B9" s="93" t="inlineStr">
        <is>
          <t>Nivel 1 – General</t>
        </is>
      </c>
      <c r="C9" s="93" t="inlineStr">
        <is>
          <t>Gestión</t>
        </is>
      </c>
      <c r="D9" s="93" t="inlineStr">
        <is>
          <t>Establecer o mantener un Programa de Gestión de Estrés Térmico (PGET) documentado: responsables, mediciones de línea base, controles por nivel, capacitación, vigilancia médica y respuesta a emergencias.</t>
        </is>
      </c>
      <c r="E9" s="65" t="n">
        <v>2</v>
      </c>
      <c r="F9" s="65" t="inlineStr">
        <is>
          <t>S</t>
        </is>
      </c>
      <c r="G9" s="65" t="inlineStr">
        <is>
          <t>S</t>
        </is>
      </c>
      <c r="H9" s="49">
        <f>IF(AND('Plan de Control'!$D$11&gt;=E9,IFERROR(INDEX('Plan de Control'!$G$5:$G$19,MATCH(F9,'Plan de Control'!$F$5:$F$19,0)),0)=1,IFERROR(INDEX('Plan de Control'!$G$5:$G$19,MATCH(G9,'Plan de Control'!$F$5:$F$19,0)),0)=1),1,0)</f>
        <v/>
      </c>
      <c r="I9" s="49">
        <f>IF(H9=1,COUNTIF(H$5:H9,1),0)</f>
        <v/>
      </c>
    </row>
    <row r="10" ht="31" customHeight="1">
      <c r="A10" s="49" t="n">
        <v>6</v>
      </c>
      <c r="B10" s="93" t="inlineStr">
        <is>
          <t>Nivel 1 – General</t>
        </is>
      </c>
      <c r="C10" s="93" t="inlineStr">
        <is>
          <t>Medición</t>
        </is>
      </c>
      <c r="D10" s="93" t="inlineStr">
        <is>
          <t>Medir el WBGT en el puesto de trabajo con instrumento calibrado (verificación anual) en los períodos pico de calor y ante cambios de proceso o de estación; registrar hora, lugar y condiciones climáticas.</t>
        </is>
      </c>
      <c r="E10" s="65" t="n">
        <v>2</v>
      </c>
      <c r="F10" s="65" t="inlineStr">
        <is>
          <t>S</t>
        </is>
      </c>
      <c r="G10" s="65" t="inlineStr">
        <is>
          <t>S</t>
        </is>
      </c>
      <c r="H10" s="49">
        <f>IF(AND('Plan de Control'!$D$11&gt;=E10,IFERROR(INDEX('Plan de Control'!$G$5:$G$19,MATCH(F10,'Plan de Control'!$F$5:$F$19,0)),0)=1,IFERROR(INDEX('Plan de Control'!$G$5:$G$19,MATCH(G10,'Plan de Control'!$F$5:$F$19,0)),0)=1),1,0)</f>
        <v/>
      </c>
      <c r="I10" s="49">
        <f>IF(H10=1,COUNTIF(H$5:H10,1),0)</f>
        <v/>
      </c>
    </row>
    <row r="11" ht="31" customHeight="1">
      <c r="A11" s="49" t="n">
        <v>7</v>
      </c>
      <c r="B11" s="93" t="inlineStr">
        <is>
          <t>Nivel 1 – General</t>
        </is>
      </c>
      <c r="C11" s="93" t="inlineStr">
        <is>
          <t>Hidratación</t>
        </is>
      </c>
      <c r="D11" s="93" t="inlineStr">
        <is>
          <t>Disponer de agua potable fresca, accesible y sin límite en el puesto de trabajo; promover el consumo periódico (≈ 1 vaso de 200–250 mL cada 15–20 min) sin superar ≈ 1.4 L/h.</t>
        </is>
      </c>
      <c r="E11" s="65" t="n">
        <v>1</v>
      </c>
      <c r="F11" s="65" t="inlineStr">
        <is>
          <t>S</t>
        </is>
      </c>
      <c r="G11" s="65" t="inlineStr">
        <is>
          <t>S</t>
        </is>
      </c>
      <c r="H11" s="49">
        <f>IF(AND('Plan de Control'!$D$11&gt;=E11,IFERROR(INDEX('Plan de Control'!$G$5:$G$19,MATCH(F11,'Plan de Control'!$F$5:$F$19,0)),0)=1,IFERROR(INDEX('Plan de Control'!$G$5:$G$19,MATCH(G11,'Plan de Control'!$F$5:$F$19,0)),0)=1),1,0)</f>
        <v/>
      </c>
      <c r="I11" s="49">
        <f>IF(H11=1,COUNTIF(H$5:H11,1),0)</f>
        <v/>
      </c>
    </row>
    <row r="12" ht="28" customHeight="1">
      <c r="A12" s="49" t="n">
        <v>8</v>
      </c>
      <c r="B12" s="93" t="inlineStr">
        <is>
          <t>Nivel 1 – General</t>
        </is>
      </c>
      <c r="C12" s="93" t="inlineStr">
        <is>
          <t>Administrativo</t>
        </is>
      </c>
      <c r="D12" s="93" t="inlineStr">
        <is>
          <t>Establecer pausas frecuentes en un área fresca, sombreada o climatizada cercana al puesto de trabajo (idealmente &lt; 28 °C).</t>
        </is>
      </c>
      <c r="E12" s="65" t="n">
        <v>2</v>
      </c>
      <c r="F12" s="65" t="inlineStr">
        <is>
          <t>S</t>
        </is>
      </c>
      <c r="G12" s="65" t="inlineStr">
        <is>
          <t>S</t>
        </is>
      </c>
      <c r="H12" s="49">
        <f>IF(AND('Plan de Control'!$D$11&gt;=E12,IFERROR(INDEX('Plan de Control'!$G$5:$G$19,MATCH(F12,'Plan de Control'!$F$5:$F$19,0)),0)=1,IFERROR(INDEX('Plan de Control'!$G$5:$G$19,MATCH(G12,'Plan de Control'!$F$5:$F$19,0)),0)=1),1,0)</f>
        <v/>
      </c>
      <c r="I12" s="49">
        <f>IF(H12=1,COUNTIF(H$5:H12,1),0)</f>
        <v/>
      </c>
    </row>
    <row r="13" ht="31" customHeight="1">
      <c r="A13" s="49" t="n">
        <v>9</v>
      </c>
      <c r="B13" s="93" t="inlineStr">
        <is>
          <t>Nivel 1 – General</t>
        </is>
      </c>
      <c r="C13" s="93" t="inlineStr">
        <is>
          <t>Aclimatación</t>
        </is>
      </c>
      <c r="D13" s="93" t="inlineStr">
        <is>
          <t>Aplicar protocolo de aclimatación a trabajadores nuevos o que retornan tras una ausencia prolongada: 20 % de la carga de trabajo el día 1 y aumento de 20 % por día hasta llegar al 100 % (5 días).</t>
        </is>
      </c>
      <c r="E13" s="65" t="n">
        <v>1</v>
      </c>
      <c r="F13" s="65" t="inlineStr">
        <is>
          <t>NOACL</t>
        </is>
      </c>
      <c r="G13" s="65" t="inlineStr">
        <is>
          <t>S</t>
        </is>
      </c>
      <c r="H13" s="49">
        <f>IF(AND('Plan de Control'!$D$11&gt;=E13,IFERROR(INDEX('Plan de Control'!$G$5:$G$19,MATCH(F13,'Plan de Control'!$F$5:$F$19,0)),0)=1,IFERROR(INDEX('Plan de Control'!$G$5:$G$19,MATCH(G13,'Plan de Control'!$F$5:$F$19,0)),0)=1),1,0)</f>
        <v/>
      </c>
      <c r="I13" s="49">
        <f>IF(H13=1,COUNTIF(H$5:H13,1),0)</f>
        <v/>
      </c>
    </row>
    <row r="14" ht="31" customHeight="1">
      <c r="A14" s="49" t="n">
        <v>10</v>
      </c>
      <c r="B14" s="93" t="inlineStr">
        <is>
          <t>Nivel 1 – General</t>
        </is>
      </c>
      <c r="C14" s="93" t="inlineStr">
        <is>
          <t>Capacitación</t>
        </is>
      </c>
      <c r="D14" s="93" t="inlineStr">
        <is>
          <t>Capacitar a trabajadores y supervisores en reconocimiento de la enfermedad por calor (calambres, agotamiento, golpe de calor), primeros auxilios y sistema de compañeros; actualizar la capacitación cada año.</t>
        </is>
      </c>
      <c r="E14" s="65" t="n">
        <v>1</v>
      </c>
      <c r="F14" s="65" t="inlineStr">
        <is>
          <t>S</t>
        </is>
      </c>
      <c r="G14" s="65" t="inlineStr">
        <is>
          <t>S</t>
        </is>
      </c>
      <c r="H14" s="49">
        <f>IF(AND('Plan de Control'!$D$11&gt;=E14,IFERROR(INDEX('Plan de Control'!$G$5:$G$19,MATCH(F14,'Plan de Control'!$F$5:$F$19,0)),0)=1,IFERROR(INDEX('Plan de Control'!$G$5:$G$19,MATCH(G14,'Plan de Control'!$F$5:$F$19,0)),0)=1),1,0)</f>
        <v/>
      </c>
      <c r="I14" s="49">
        <f>IF(H14=1,COUNTIF(H$5:H14,1),0)</f>
        <v/>
      </c>
    </row>
    <row r="15" ht="31" customHeight="1">
      <c r="A15" s="49" t="n">
        <v>11</v>
      </c>
      <c r="B15" s="93" t="inlineStr">
        <is>
          <t>Nivel 1 – General</t>
        </is>
      </c>
      <c r="C15" s="93" t="inlineStr">
        <is>
          <t>Vigilancia de síntomas</t>
        </is>
      </c>
      <c r="D15" s="93" t="inlineStr">
        <is>
          <t>Vigilar durante la jornada los síntomas tempranos (fatiga, mareo, náuseas, cefalea) mediante supervisores y sistema de compañeros.</t>
        </is>
      </c>
      <c r="E15" s="65" t="n">
        <v>2</v>
      </c>
      <c r="F15" s="65" t="inlineStr">
        <is>
          <t>S</t>
        </is>
      </c>
      <c r="G15" s="65" t="inlineStr">
        <is>
          <t>S</t>
        </is>
      </c>
      <c r="H15" s="49">
        <f>IF(AND('Plan de Control'!$D$11&gt;=E15,IFERROR(INDEX('Plan de Control'!$G$5:$G$19,MATCH(F15,'Plan de Control'!$F$5:$F$19,0)),0)=1,IFERROR(INDEX('Plan de Control'!$G$5:$G$19,MATCH(G15,'Plan de Control'!$F$5:$F$19,0)),0)=1),1,0)</f>
        <v/>
      </c>
      <c r="I15" s="49">
        <f>IF(H15=1,COUNTIF(H$5:H15,1),0)</f>
        <v/>
      </c>
    </row>
    <row r="16" ht="31" customHeight="1">
      <c r="A16" s="49" t="n">
        <v>12</v>
      </c>
      <c r="B16" s="93" t="inlineStr">
        <is>
          <t>Nivel 1 – General</t>
        </is>
      </c>
      <c r="C16" s="93" t="inlineStr">
        <is>
          <t>Vigilancia médica</t>
        </is>
      </c>
      <c r="D16" s="93" t="inlineStr">
        <is>
          <t>Evaluación médica de ingreso y periódica con énfasis en factores de riesgo (edad, condiciones cardiovasculares o metabólicas, medicamentos, enfermedad reciente, hidratación) dentro de un programa de vigilancia médica.</t>
        </is>
      </c>
      <c r="E16" s="65" t="n">
        <v>2</v>
      </c>
      <c r="F16" s="65" t="inlineStr">
        <is>
          <t>S</t>
        </is>
      </c>
      <c r="G16" s="65" t="inlineStr">
        <is>
          <t>S</t>
        </is>
      </c>
      <c r="H16" s="49">
        <f>IF(AND('Plan de Control'!$D$11&gt;=E16,IFERROR(INDEX('Plan de Control'!$G$5:$G$19,MATCH(F16,'Plan de Control'!$F$5:$F$19,0)),0)=1,IFERROR(INDEX('Plan de Control'!$G$5:$G$19,MATCH(G16,'Plan de Control'!$F$5:$F$19,0)),0)=1),1,0)</f>
        <v/>
      </c>
      <c r="I16" s="49">
        <f>IF(H16=1,COUNTIF(H$5:H16,1),0)</f>
        <v/>
      </c>
    </row>
    <row r="17" ht="31" customHeight="1">
      <c r="A17" s="49" t="n">
        <v>13</v>
      </c>
      <c r="B17" s="93" t="inlineStr">
        <is>
          <t>Nivel 1 – General</t>
        </is>
      </c>
      <c r="C17" s="93" t="inlineStr">
        <is>
          <t>Emergencia</t>
        </is>
      </c>
      <c r="D17" s="93" t="inlineStr">
        <is>
          <t>Contar con procedimiento de emergencia para golpe de calor: enfriamiento inmediato (inmersión en agua fría o compresas de hielo), llamado a servicios de emergencia, comunicación en campo y agua con electrolitos preposicionada.</t>
        </is>
      </c>
      <c r="E17" s="65" t="n">
        <v>2</v>
      </c>
      <c r="F17" s="65" t="inlineStr">
        <is>
          <t>S</t>
        </is>
      </c>
      <c r="G17" s="65" t="inlineStr">
        <is>
          <t>S</t>
        </is>
      </c>
      <c r="H17" s="49">
        <f>IF(AND('Plan de Control'!$D$11&gt;=E17,IFERROR(INDEX('Plan de Control'!$G$5:$G$19,MATCH(F17,'Plan de Control'!$F$5:$F$19,0)),0)=1,IFERROR(INDEX('Plan de Control'!$G$5:$G$19,MATCH(G17,'Plan de Control'!$F$5:$F$19,0)),0)=1),1,0)</f>
        <v/>
      </c>
      <c r="I17" s="49">
        <f>IF(H17=1,COUNTIF(H$5:H17,1),0)</f>
        <v/>
      </c>
    </row>
    <row r="18" ht="44.5" customHeight="1">
      <c r="A18" s="49" t="n">
        <v>14</v>
      </c>
      <c r="B18" s="93" t="inlineStr">
        <is>
          <t>Nivel 1 – General</t>
        </is>
      </c>
      <c r="C18" s="93" t="inlineStr">
        <is>
          <t>Hidratación (PHS)</t>
        </is>
      </c>
      <c r="D18" s="93">
        <f>"Pérdida de agua estimada por PHS: "&amp;ROUND('Motor PHS'!$B$55,1)&amp;" L en "&amp;'Motor PHS'!$B$25&amp;" min (≈ "&amp;ROUND('Motor PHS'!$B$56,1)&amp;" L/h). Use este valor para planificar la disponibilidad de agua por turno."</f>
        <v/>
      </c>
      <c r="E18" s="65" t="n">
        <v>0</v>
      </c>
      <c r="F18" s="65" t="inlineStr">
        <is>
          <t>PHS_OK</t>
        </is>
      </c>
      <c r="G18" s="65" t="inlineStr">
        <is>
          <t>S</t>
        </is>
      </c>
      <c r="H18" s="49">
        <f>IF(AND('Plan de Control'!$D$11&gt;=E18,IFERROR(INDEX('Plan de Control'!$G$5:$G$19,MATCH(F18,'Plan de Control'!$F$5:$F$19,0)),0)=1,IFERROR(INDEX('Plan de Control'!$G$5:$G$19,MATCH(G18,'Plan de Control'!$F$5:$F$19,0)),0)=1),1,0)</f>
        <v/>
      </c>
      <c r="I18" s="49">
        <f>IF(H18=1,COUNTIF(H$5:H18,1),0)</f>
        <v/>
      </c>
    </row>
    <row r="19" ht="44.5" customHeight="1">
      <c r="A19" s="49" t="n">
        <v>15</v>
      </c>
      <c r="B19" s="93" t="inlineStr">
        <is>
          <t>Nivel 1 – General</t>
        </is>
      </c>
      <c r="C19" s="93" t="inlineStr">
        <is>
          <t>Hidratación (PHS)</t>
        </is>
      </c>
      <c r="D19" s="93">
        <f>"La pérdida de agua estimada ("&amp;ROUND('Motor PHS'!$B$56,1)&amp;" L/h) supera la ingesta oral recomendada (≈ 1.4 L/h): la reposición completa no es viable. Reduzca la carga térmica o alterne exposición y recuperación en área fresca."</f>
        <v/>
      </c>
      <c r="E19" s="65" t="n">
        <v>0</v>
      </c>
      <c r="F19" s="65" t="inlineStr">
        <is>
          <t>PHS_SW_HIGH</t>
        </is>
      </c>
      <c r="G19" s="65" t="inlineStr">
        <is>
          <t>S</t>
        </is>
      </c>
      <c r="H19" s="49">
        <f>IF(AND('Plan de Control'!$D$11&gt;=E19,IFERROR(INDEX('Plan de Control'!$G$5:$G$19,MATCH(F19,'Plan de Control'!$F$5:$F$19,0)),0)=1,IFERROR(INDEX('Plan de Control'!$G$5:$G$19,MATCH(G19,'Plan de Control'!$F$5:$F$19,0)),0)=1),1,0)</f>
        <v/>
      </c>
      <c r="I19" s="49">
        <f>IF(H19=1,COUNTIF(H$5:H19,1),0)</f>
        <v/>
      </c>
    </row>
    <row r="20" ht="28" customHeight="1">
      <c r="A20" s="49" t="n">
        <v>16</v>
      </c>
      <c r="B20" s="93" t="inlineStr">
        <is>
          <t>Nivel 2 – Específico</t>
        </is>
      </c>
      <c r="C20" s="93" t="inlineStr">
        <is>
          <t>Ingeniería</t>
        </is>
      </c>
      <c r="D20" s="93" t="inlineStr">
        <is>
          <t>Proveer sombra (toldos, carpas, cubiertas) en el frente de trabajo y en las áreas de descanso para labores a la intemperie.</t>
        </is>
      </c>
      <c r="E20" s="65" t="n">
        <v>3</v>
      </c>
      <c r="F20" s="65" t="inlineStr">
        <is>
          <t>EXT</t>
        </is>
      </c>
      <c r="G20" s="65" t="inlineStr">
        <is>
          <t>S</t>
        </is>
      </c>
      <c r="H20" s="49">
        <f>IF(AND('Plan de Control'!$D$11&gt;=E20,IFERROR(INDEX('Plan de Control'!$G$5:$G$19,MATCH(F20,'Plan de Control'!$F$5:$F$19,0)),0)=1,IFERROR(INDEX('Plan de Control'!$G$5:$G$19,MATCH(G20,'Plan de Control'!$F$5:$F$19,0)),0)=1),1,0)</f>
        <v/>
      </c>
      <c r="I20" s="49">
        <f>IF(H20=1,COUNTIF(H$5:H20,1),0)</f>
        <v/>
      </c>
    </row>
    <row r="21" ht="31" customHeight="1">
      <c r="A21" s="49" t="n">
        <v>17</v>
      </c>
      <c r="B21" s="93" t="inlineStr">
        <is>
          <t>Nivel 2 – Específico</t>
        </is>
      </c>
      <c r="C21" s="93" t="inlineStr">
        <is>
          <t>Ingeniería</t>
        </is>
      </c>
      <c r="D21" s="93" t="inlineStr">
        <is>
          <t>Instalar apantallamiento o barreras reflectivas y aislamiento en fuentes de calor radiante (hornos, calderas, superficies calientes); aumentar la distancia entre el trabajador y la fuente.</t>
        </is>
      </c>
      <c r="E21" s="65" t="n">
        <v>3</v>
      </c>
      <c r="F21" s="65" t="inlineStr">
        <is>
          <t>RAD</t>
        </is>
      </c>
      <c r="G21" s="65" t="inlineStr">
        <is>
          <t>S</t>
        </is>
      </c>
      <c r="H21" s="49">
        <f>IF(AND('Plan de Control'!$D$11&gt;=E21,IFERROR(INDEX('Plan de Control'!$G$5:$G$19,MATCH(F21,'Plan de Control'!$F$5:$F$19,0)),0)=1,IFERROR(INDEX('Plan de Control'!$G$5:$G$19,MATCH(G21,'Plan de Control'!$F$5:$F$19,0)),0)=1),1,0)</f>
        <v/>
      </c>
      <c r="I21" s="49">
        <f>IF(H21=1,COUNTIF(H$5:H21,1),0)</f>
        <v/>
      </c>
    </row>
    <row r="22" ht="28" customHeight="1">
      <c r="A22" s="49" t="n">
        <v>18</v>
      </c>
      <c r="B22" s="93" t="inlineStr">
        <is>
          <t>Nivel 2 – Específico</t>
        </is>
      </c>
      <c r="C22" s="93" t="inlineStr">
        <is>
          <t>Ingeniería</t>
        </is>
      </c>
      <c r="D22" s="93" t="inlineStr">
        <is>
          <t>Mejorar la ventilación general y usar extracción localizada en la fuente de calor o humedad.</t>
        </is>
      </c>
      <c r="E22" s="65" t="n">
        <v>3</v>
      </c>
      <c r="F22" s="65" t="inlineStr">
        <is>
          <t>INTERIOR</t>
        </is>
      </c>
      <c r="G22" s="65" t="inlineStr">
        <is>
          <t>S</t>
        </is>
      </c>
      <c r="H22" s="49">
        <f>IF(AND('Plan de Control'!$D$11&gt;=E22,IFERROR(INDEX('Plan de Control'!$G$5:$G$19,MATCH(F22,'Plan de Control'!$F$5:$F$19,0)),0)=1,IFERROR(INDEX('Plan de Control'!$G$5:$G$19,MATCH(G22,'Plan de Control'!$F$5:$F$19,0)),0)=1),1,0)</f>
        <v/>
      </c>
      <c r="I22" s="49">
        <f>IF(H22=1,COUNTIF(H$5:H22,1),0)</f>
        <v/>
      </c>
    </row>
    <row r="23" ht="44.5" customHeight="1">
      <c r="A23" s="49" t="n">
        <v>19</v>
      </c>
      <c r="B23" s="93" t="inlineStr">
        <is>
          <t>Nivel 2 – Específico</t>
        </is>
      </c>
      <c r="C23" s="93" t="inlineStr">
        <is>
          <t>Ingeniería</t>
        </is>
      </c>
      <c r="D23" s="93" t="inlineStr">
        <is>
          <t>Proporcionar enfriamiento del aire (aire acondicionado o enfriamiento evaporativo cuando la humedad lo permita) o enfriamiento localizado y ventiladores. Con aire cercano o por encima de la temperatura de la piel (≈ 35 °C) los ventiladores pueden no proteger: priorice enfriar el aire.</t>
        </is>
      </c>
      <c r="E23" s="65" t="n">
        <v>3</v>
      </c>
      <c r="F23" s="65" t="inlineStr">
        <is>
          <t>INTERIOR</t>
        </is>
      </c>
      <c r="G23" s="65" t="inlineStr">
        <is>
          <t>S</t>
        </is>
      </c>
      <c r="H23" s="49">
        <f>IF(AND('Plan de Control'!$D$11&gt;=E23,IFERROR(INDEX('Plan de Control'!$G$5:$G$19,MATCH(F23,'Plan de Control'!$F$5:$F$19,0)),0)=1,IFERROR(INDEX('Plan de Control'!$G$5:$G$19,MATCH(G23,'Plan de Control'!$F$5:$F$19,0)),0)=1),1,0)</f>
        <v/>
      </c>
      <c r="I23" s="49">
        <f>IF(H23=1,COUNTIF(H$5:H23,1),0)</f>
        <v/>
      </c>
    </row>
    <row r="24" ht="31" customHeight="1">
      <c r="A24" s="49" t="n">
        <v>20</v>
      </c>
      <c r="B24" s="93" t="inlineStr">
        <is>
          <t>Nivel 2 – Específico</t>
        </is>
      </c>
      <c r="C24" s="93" t="inlineStr">
        <is>
          <t>Ingeniería</t>
        </is>
      </c>
      <c r="D24" s="93" t="inlineStr">
        <is>
          <t>Controlar fuentes de vapor y humedad (fugas de vapor, procesos húmedos) y deshumidificar cuando sea viable: con alta humedad la evaporación del sudor es limitada y el enfriamiento del cuerpo es menos eficaz.</t>
        </is>
      </c>
      <c r="E24" s="65" t="n">
        <v>3</v>
      </c>
      <c r="F24" s="65" t="inlineStr">
        <is>
          <t>HUM</t>
        </is>
      </c>
      <c r="G24" s="65" t="inlineStr">
        <is>
          <t>S</t>
        </is>
      </c>
      <c r="H24" s="49">
        <f>IF(AND('Plan de Control'!$D$11&gt;=E24,IFERROR(INDEX('Plan de Control'!$G$5:$G$19,MATCH(F24,'Plan de Control'!$F$5:$F$19,0)),0)=1,IFERROR(INDEX('Plan de Control'!$G$5:$G$19,MATCH(G24,'Plan de Control'!$F$5:$F$19,0)),0)=1),1,0)</f>
        <v/>
      </c>
      <c r="I24" s="49">
        <f>IF(H24=1,COUNTIF(H$5:H24,1),0)</f>
        <v/>
      </c>
    </row>
    <row r="25" ht="31" customHeight="1">
      <c r="A25" s="49" t="n">
        <v>21</v>
      </c>
      <c r="B25" s="93" t="inlineStr">
        <is>
          <t>Nivel 2 – Específico</t>
        </is>
      </c>
      <c r="C25" s="93" t="inlineStr">
        <is>
          <t>Ingeniería</t>
        </is>
      </c>
      <c r="D25" s="93" t="inlineStr">
        <is>
          <t>Reducir la carga metabólica mediante diseño del trabajo: mecanización, ayudas para levantar y transportar, herramientas apropiadas y reducción de las demandas físicas donde sea factible.</t>
        </is>
      </c>
      <c r="E25" s="65" t="n">
        <v>3</v>
      </c>
      <c r="F25" s="65" t="inlineStr">
        <is>
          <t>S</t>
        </is>
      </c>
      <c r="G25" s="65" t="inlineStr">
        <is>
          <t>S</t>
        </is>
      </c>
      <c r="H25" s="49">
        <f>IF(AND('Plan de Control'!$D$11&gt;=E25,IFERROR(INDEX('Plan de Control'!$G$5:$G$19,MATCH(F25,'Plan de Control'!$F$5:$F$19,0)),0)=1,IFERROR(INDEX('Plan de Control'!$G$5:$G$19,MATCH(G25,'Plan de Control'!$F$5:$F$19,0)),0)=1),1,0)</f>
        <v/>
      </c>
      <c r="I25" s="49">
        <f>IF(H25=1,COUNTIF(H$5:H25,1),0)</f>
        <v/>
      </c>
    </row>
    <row r="26" ht="31" customHeight="1">
      <c r="A26" s="49" t="n">
        <v>22</v>
      </c>
      <c r="B26" s="93" t="inlineStr">
        <is>
          <t>Nivel 2 – Específico</t>
        </is>
      </c>
      <c r="C26" s="93" t="inlineStr">
        <is>
          <t>Administrativo</t>
        </is>
      </c>
      <c r="D26" s="93" t="inlineStr">
        <is>
          <t>Programar las tareas más pesadas en las horas de menor carga térmica (iniciar más temprano o más tarde) y alternarlas con tareas más frías.</t>
        </is>
      </c>
      <c r="E26" s="65" t="n">
        <v>3</v>
      </c>
      <c r="F26" s="65" t="inlineStr">
        <is>
          <t>EXT</t>
        </is>
      </c>
      <c r="G26" s="65" t="inlineStr">
        <is>
          <t>S</t>
        </is>
      </c>
      <c r="H26" s="49">
        <f>IF(AND('Plan de Control'!$D$11&gt;=E26,IFERROR(INDEX('Plan de Control'!$G$5:$G$19,MATCH(F26,'Plan de Control'!$F$5:$F$19,0)),0)=1,IFERROR(INDEX('Plan de Control'!$G$5:$G$19,MATCH(G26,'Plan de Control'!$F$5:$F$19,0)),0)=1),1,0)</f>
        <v/>
      </c>
      <c r="I26" s="49">
        <f>IF(H26=1,COUNTIF(H$5:H26,1),0)</f>
        <v/>
      </c>
    </row>
    <row r="27" ht="28" customHeight="1">
      <c r="A27" s="49" t="n">
        <v>23</v>
      </c>
      <c r="B27" s="93" t="inlineStr">
        <is>
          <t>Nivel 2 – Específico</t>
        </is>
      </c>
      <c r="C27" s="93" t="inlineStr">
        <is>
          <t>Administrativo</t>
        </is>
      </c>
      <c r="D27" s="93" t="inlineStr">
        <is>
          <t>Acortar la duración de los ciclos trabajo-descanso y rotar a los trabajadores entre ambientes calurosos y frescos.</t>
        </is>
      </c>
      <c r="E27" s="65" t="n">
        <v>3</v>
      </c>
      <c r="F27" s="65" t="inlineStr">
        <is>
          <t>S</t>
        </is>
      </c>
      <c r="G27" s="65" t="inlineStr">
        <is>
          <t>S</t>
        </is>
      </c>
      <c r="H27" s="49">
        <f>IF(AND('Plan de Control'!$D$11&gt;=E27,IFERROR(INDEX('Plan de Control'!$G$5:$G$19,MATCH(F27,'Plan de Control'!$F$5:$F$19,0)),0)=1,IFERROR(INDEX('Plan de Control'!$G$5:$G$19,MATCH(G27,'Plan de Control'!$F$5:$F$19,0)),0)=1),1,0)</f>
        <v/>
      </c>
      <c r="I27" s="49">
        <f>IF(H27=1,COUNTIF(H$5:H27,1),0)</f>
        <v/>
      </c>
    </row>
    <row r="28" ht="31" customHeight="1">
      <c r="A28" s="49" t="n">
        <v>24</v>
      </c>
      <c r="B28" s="93" t="inlineStr">
        <is>
          <t>Nivel 2 – Específico</t>
        </is>
      </c>
      <c r="C28" s="93" t="inlineStr">
        <is>
          <t>Administrativo</t>
        </is>
      </c>
      <c r="D28" s="93" t="inlineStr">
        <is>
          <t>Reforzar la supervisión y el monitoreo: verificar el cumplimiento de pausas, la disponibilidad de agua y la aparición de síntomas.</t>
        </is>
      </c>
      <c r="E28" s="65" t="n">
        <v>3</v>
      </c>
      <c r="F28" s="65" t="inlineStr">
        <is>
          <t>S</t>
        </is>
      </c>
      <c r="G28" s="65" t="inlineStr">
        <is>
          <t>S</t>
        </is>
      </c>
      <c r="H28" s="49">
        <f>IF(AND('Plan de Control'!$D$11&gt;=E28,IFERROR(INDEX('Plan de Control'!$G$5:$G$19,MATCH(F28,'Plan de Control'!$F$5:$F$19,0)),0)=1,IFERROR(INDEX('Plan de Control'!$G$5:$G$19,MATCH(G28,'Plan de Control'!$F$5:$F$19,0)),0)=1),1,0)</f>
        <v/>
      </c>
      <c r="I28" s="49">
        <f>IF(H28=1,COUNTIF(H$5:H28,1),0)</f>
        <v/>
      </c>
    </row>
    <row r="29" ht="31" customHeight="1">
      <c r="A29" s="49" t="n">
        <v>25</v>
      </c>
      <c r="B29" s="93" t="inlineStr">
        <is>
          <t>Nivel 2 – Específico</t>
        </is>
      </c>
      <c r="C29" s="93" t="inlineStr">
        <is>
          <t>Administrativo</t>
        </is>
      </c>
      <c r="D29" s="93" t="inlineStr">
        <is>
          <t>Alta demanda metabólica (≥ 300 W): distribuir el esfuerzo entre más personas, permitir ritmos de trabajo autorregulados y evitar picos de esfuerzo continuo.</t>
        </is>
      </c>
      <c r="E29" s="65" t="n">
        <v>2</v>
      </c>
      <c r="F29" s="65" t="inlineStr">
        <is>
          <t>MET</t>
        </is>
      </c>
      <c r="G29" s="65" t="inlineStr">
        <is>
          <t>S</t>
        </is>
      </c>
      <c r="H29" s="49">
        <f>IF(AND('Plan de Control'!$D$11&gt;=E29,IFERROR(INDEX('Plan de Control'!$G$5:$G$19,MATCH(F29,'Plan de Control'!$F$5:$F$19,0)),0)=1,IFERROR(INDEX('Plan de Control'!$G$5:$G$19,MATCH(G29,'Plan de Control'!$F$5:$F$19,0)),0)=1),1,0)</f>
        <v/>
      </c>
      <c r="I29" s="49">
        <f>IF(H29=1,COUNTIF(H$5:H29,1),0)</f>
        <v/>
      </c>
    </row>
    <row r="30" ht="28" customHeight="1">
      <c r="A30" s="49" t="n">
        <v>26</v>
      </c>
      <c r="B30" s="93" t="inlineStr">
        <is>
          <t>Nivel 2 – Específico</t>
        </is>
      </c>
      <c r="C30" s="93" t="inlineStr">
        <is>
          <t>Vigilancia médica</t>
        </is>
      </c>
      <c r="D30" s="93" t="inlineStr">
        <is>
          <t>Aumentar la frecuencia de la vigilancia médica y priorizar la revisión de los trabajadores más expuestos o susceptibles.</t>
        </is>
      </c>
      <c r="E30" s="65" t="n">
        <v>3</v>
      </c>
      <c r="F30" s="65" t="inlineStr">
        <is>
          <t>S</t>
        </is>
      </c>
      <c r="G30" s="65" t="inlineStr">
        <is>
          <t>S</t>
        </is>
      </c>
      <c r="H30" s="49">
        <f>IF(AND('Plan de Control'!$D$11&gt;=E30,IFERROR(INDEX('Plan de Control'!$G$5:$G$19,MATCH(F30,'Plan de Control'!$F$5:$F$19,0)),0)=1,IFERROR(INDEX('Plan de Control'!$G$5:$G$19,MATCH(G30,'Plan de Control'!$F$5:$F$19,0)),0)=1),1,0)</f>
        <v/>
      </c>
      <c r="I30" s="49">
        <f>IF(H30=1,COUNTIF(H$5:H30,1),0)</f>
        <v/>
      </c>
    </row>
    <row r="31" ht="28" customHeight="1">
      <c r="A31" s="49" t="n">
        <v>27</v>
      </c>
      <c r="B31" s="93" t="inlineStr">
        <is>
          <t>Nivel 2 – Específico</t>
        </is>
      </c>
      <c r="C31" s="93" t="inlineStr">
        <is>
          <t>EPP / Ropa</t>
        </is>
      </c>
      <c r="D31" s="93" t="inlineStr">
        <is>
          <t>Usar ropa reflectante o de color claro y protección facial/ocular para reducir la carga de calor radiante.</t>
        </is>
      </c>
      <c r="E31" s="65" t="n">
        <v>3</v>
      </c>
      <c r="F31" s="65" t="inlineStr">
        <is>
          <t>RADIANTE</t>
        </is>
      </c>
      <c r="G31" s="65" t="inlineStr">
        <is>
          <t>S</t>
        </is>
      </c>
      <c r="H31" s="49">
        <f>IF(AND('Plan de Control'!$D$11&gt;=E31,IFERROR(INDEX('Plan de Control'!$G$5:$G$19,MATCH(F31,'Plan de Control'!$F$5:$F$19,0)),0)=1,IFERROR(INDEX('Plan de Control'!$G$5:$G$19,MATCH(G31,'Plan de Control'!$F$5:$F$19,0)),0)=1),1,0)</f>
        <v/>
      </c>
      <c r="I31" s="49">
        <f>IF(H31=1,COUNTIF(H$5:H31,1),0)</f>
        <v/>
      </c>
    </row>
    <row r="32" ht="31" customHeight="1">
      <c r="A32" s="49" t="n">
        <v>28</v>
      </c>
      <c r="B32" s="93" t="inlineStr">
        <is>
          <t>Nivel 2 – Específico</t>
        </is>
      </c>
      <c r="C32" s="93" t="inlineStr">
        <is>
          <t>EPP / Ropa</t>
        </is>
      </c>
      <c r="D32" s="93" t="inlineStr">
        <is>
          <t>Revisar la ropa y el EPP (CAV ≥ 3 °C): preferir telas ligeras y transpirables; retirar capas, capuchas o EPP que no sean indispensables; considerar prendas o chalecos de enfriamiento si el proceso exige ropa de protección.</t>
        </is>
      </c>
      <c r="E32" s="65" t="n">
        <v>2</v>
      </c>
      <c r="F32" s="65" t="inlineStr">
        <is>
          <t>ROPA</t>
        </is>
      </c>
      <c r="G32" s="65" t="inlineStr">
        <is>
          <t>S</t>
        </is>
      </c>
      <c r="H32" s="49">
        <f>IF(AND('Plan de Control'!$D$11&gt;=E32,IFERROR(INDEX('Plan de Control'!$G$5:$G$19,MATCH(F32,'Plan de Control'!$F$5:$F$19,0)),0)=1,IFERROR(INDEX('Plan de Control'!$G$5:$G$19,MATCH(G32,'Plan de Control'!$F$5:$F$19,0)),0)=1),1,0)</f>
        <v/>
      </c>
      <c r="I32" s="49">
        <f>IF(H32=1,COUNTIF(H$5:H32,1),0)</f>
        <v/>
      </c>
    </row>
    <row r="33" ht="31" customHeight="1">
      <c r="A33" s="49" t="n">
        <v>29</v>
      </c>
      <c r="B33" s="93" t="inlineStr">
        <is>
          <t>Nivel 2 – Específico</t>
        </is>
      </c>
      <c r="C33" s="93" t="inlineStr">
        <is>
          <t>Aclimatación</t>
        </is>
      </c>
      <c r="D33" s="93" t="inlineStr">
        <is>
          <t>No asignar tareas de alta exigencia a trabajadores no aclimatados hasta completar el protocolo (esta evaluación ya aplica −3 °C a TLV y AL).</t>
        </is>
      </c>
      <c r="E33" s="65" t="n">
        <v>2</v>
      </c>
      <c r="F33" s="65" t="inlineStr">
        <is>
          <t>NOACL</t>
        </is>
      </c>
      <c r="G33" s="65" t="inlineStr">
        <is>
          <t>S</t>
        </is>
      </c>
      <c r="H33" s="49">
        <f>IF(AND('Plan de Control'!$D$11&gt;=E33,IFERROR(INDEX('Plan de Control'!$G$5:$G$19,MATCH(F33,'Plan de Control'!$F$5:$F$19,0)),0)=1,IFERROR(INDEX('Plan de Control'!$G$5:$G$19,MATCH(G33,'Plan de Control'!$F$5:$F$19,0)),0)=1),1,0)</f>
        <v/>
      </c>
      <c r="I33" s="49">
        <f>IF(H33=1,COUNTIF(H$5:H33,1),0)</f>
        <v/>
      </c>
    </row>
    <row r="34" ht="44.5" customHeight="1">
      <c r="A34" s="49" t="n">
        <v>30</v>
      </c>
      <c r="B34" s="93" t="inlineStr">
        <is>
          <t>Nivel 2 – Específico</t>
        </is>
      </c>
      <c r="C34" s="93" t="inlineStr">
        <is>
          <t>Trabajadores susceptibles</t>
        </is>
      </c>
      <c r="D34" s="93" t="inlineStr">
        <is>
          <t>Trabajadores susceptibles (edad &gt; 45 años, obesidad, condiciones cardiovasculares o metabólicas, medicamentos, enfermedad reciente, deshidratación, fatiga) o embarazadas: adoptar límites más conservadores, ciclos trabajo-descanso más cortos, tareas más frías, monitoreo más frecuente y evaluación médica específica.</t>
        </is>
      </c>
      <c r="E34" s="65" t="n">
        <v>1</v>
      </c>
      <c r="F34" s="65" t="inlineStr">
        <is>
          <t>SUSC</t>
        </is>
      </c>
      <c r="G34" s="65" t="inlineStr">
        <is>
          <t>S</t>
        </is>
      </c>
      <c r="H34" s="49">
        <f>IF(AND('Plan de Control'!$D$11&gt;=E34,IFERROR(INDEX('Plan de Control'!$G$5:$G$19,MATCH(F34,'Plan de Control'!$F$5:$F$19,0)),0)=1,IFERROR(INDEX('Plan de Control'!$G$5:$G$19,MATCH(G34,'Plan de Control'!$F$5:$F$19,0)),0)=1),1,0)</f>
        <v/>
      </c>
      <c r="I34" s="49">
        <f>IF(H34=1,COUNTIF(H$5:H34,1),0)</f>
        <v/>
      </c>
    </row>
    <row r="35" ht="31" customHeight="1">
      <c r="A35" s="49" t="n">
        <v>31</v>
      </c>
      <c r="B35" s="93" t="inlineStr">
        <is>
          <t>Nivel 3 – Monitoreo</t>
        </is>
      </c>
      <c r="C35" s="93" t="inlineStr">
        <is>
          <t>Monitoreo fisiológico</t>
        </is>
      </c>
      <c r="D35" s="93" t="inlineStr">
        <is>
          <t>Implementar monitoreo fisiológico individual durante la exposición (frecuencia cardíaca y/o temperatura central) por personal capacitado, con mediciones de línea base previas.</t>
        </is>
      </c>
      <c r="E35" s="65" t="n">
        <v>4</v>
      </c>
      <c r="F35" s="65" t="inlineStr">
        <is>
          <t>S</t>
        </is>
      </c>
      <c r="G35" s="65" t="inlineStr">
        <is>
          <t>S</t>
        </is>
      </c>
      <c r="H35" s="49">
        <f>IF(AND('Plan de Control'!$D$11&gt;=E35,IFERROR(INDEX('Plan de Control'!$G$5:$G$19,MATCH(F35,'Plan de Control'!$F$5:$F$19,0)),0)=1,IFERROR(INDEX('Plan de Control'!$G$5:$G$19,MATCH(G35,'Plan de Control'!$F$5:$F$19,0)),0)=1),1,0)</f>
        <v/>
      </c>
      <c r="I35" s="49">
        <f>IF(H35=1,COUNTIF(H$5:H35,1),0)</f>
        <v/>
      </c>
    </row>
    <row r="36" ht="44.5" customHeight="1">
      <c r="A36" s="49" t="n">
        <v>32</v>
      </c>
      <c r="B36" s="93" t="inlineStr">
        <is>
          <t>Nivel 3 – Monitoreo</t>
        </is>
      </c>
      <c r="C36" s="93" t="inlineStr">
        <is>
          <t>Criterios de suspensión</t>
        </is>
      </c>
      <c r="D36" s="93" t="inlineStr">
        <is>
          <t>Criterios ACGIH para suspender el trabajo: frecuencia cardíaca sostenida (varios minutos) &gt; 180 − edad (lpm); temperatura central &gt; 38.5 °C en trabajadores aclimatados y seleccionados médicamente, o &gt; 38.0 °C en no aclimatados; frecuencia cardíaca de recuperación &gt; 120 lpm un minuto después del esfuerzo pico; o fatiga súbita y severa, náuseas, mareo o aturdimiento.</t>
        </is>
      </c>
      <c r="E36" s="65" t="n">
        <v>4</v>
      </c>
      <c r="F36" s="65" t="inlineStr">
        <is>
          <t>S</t>
        </is>
      </c>
      <c r="G36" s="65" t="inlineStr">
        <is>
          <t>S</t>
        </is>
      </c>
      <c r="H36" s="49">
        <f>IF(AND('Plan de Control'!$D$11&gt;=E36,IFERROR(INDEX('Plan de Control'!$G$5:$G$19,MATCH(F36,'Plan de Control'!$F$5:$F$19,0)),0)=1,IFERROR(INDEX('Plan de Control'!$G$5:$G$19,MATCH(G36,'Plan de Control'!$F$5:$F$19,0)),0)=1),1,0)</f>
        <v/>
      </c>
      <c r="I36" s="49">
        <f>IF(H36=1,COUNTIF(H$5:H36,1),0)</f>
        <v/>
      </c>
    </row>
    <row r="37" ht="31" customHeight="1">
      <c r="A37" s="49" t="n">
        <v>33</v>
      </c>
      <c r="B37" s="93" t="inlineStr">
        <is>
          <t>Nivel 3 – Monitoreo</t>
        </is>
      </c>
      <c r="C37" s="93" t="inlineStr">
        <is>
          <t>Criterios de suspensión</t>
        </is>
      </c>
      <c r="D37" s="93" t="inlineStr">
        <is>
          <t>DETENER el trabajo y llevar al trabajador a un área fresca ante cualquier criterio anterior; el supervisor no debe permitir que continúe aunque el trabajador lo solicite. Proporcionar evaluación médica, documentar el incidente y revisar los controles.</t>
        </is>
      </c>
      <c r="E37" s="65" t="n">
        <v>4</v>
      </c>
      <c r="F37" s="65" t="inlineStr">
        <is>
          <t>S</t>
        </is>
      </c>
      <c r="G37" s="65" t="inlineStr">
        <is>
          <t>S</t>
        </is>
      </c>
      <c r="H37" s="49">
        <f>IF(AND('Plan de Control'!$D$11&gt;=E37,IFERROR(INDEX('Plan de Control'!$G$5:$G$19,MATCH(F37,'Plan de Control'!$F$5:$F$19,0)),0)=1,IFERROR(INDEX('Plan de Control'!$G$5:$G$19,MATCH(G37,'Plan de Control'!$F$5:$F$19,0)),0)=1),1,0)</f>
        <v/>
      </c>
      <c r="I37" s="49">
        <f>IF(H37=1,COUNTIF(H$5:H37,1),0)</f>
        <v/>
      </c>
    </row>
  </sheetData>
  <mergeCells count="2">
    <mergeCell ref="A1:I1"/>
    <mergeCell ref="A2:I2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7.xml><?xml version="1.0" encoding="utf-8"?>
<worksheet xmlns="http://schemas.openxmlformats.org/spreadsheetml/2006/main">
  <sheetPr>
    <tabColor rgb="FF007199"/>
    <outlinePr summaryBelow="1" summaryRight="1"/>
    <pageSetUpPr/>
  </sheetPr>
  <dimension ref="A1:AX79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>
      <c r="A1" s="91" t="inlineStr">
        <is>
          <t>Motor PHS – ISO 7933:2023 (cálculo minuto a minuto)</t>
        </is>
      </c>
      <c r="B1" s="62" t="n"/>
      <c r="C1" s="62" t="n"/>
      <c r="D1" s="62" t="n"/>
      <c r="E1" s="62" t="n"/>
      <c r="F1" s="62" t="n"/>
      <c r="G1" s="62" t="n"/>
      <c r="H1" s="62" t="n"/>
    </row>
    <row r="2" ht="28" customHeight="1">
      <c r="A2" s="50" t="inlineStr">
        <is>
          <t>Hoja de cálculo interna: no edite. Los datos se ingresan en 'Análisis Detallado' y 'PHS'. Ecuaciones según la implementación de referencia de ISO 7933:2023 (pythermalcomfort 4.6.0). Máx. 720 min.</t>
        </is>
      </c>
    </row>
    <row r="3">
      <c r="A3" s="79" t="inlineStr">
        <is>
          <t>PARÁMETROS GLOBALES</t>
        </is>
      </c>
      <c r="B3" s="80" t="inlineStr">
        <is>
          <t>Valor</t>
        </is>
      </c>
      <c r="C3" s="79" t="inlineStr">
        <is>
          <t>Nota</t>
        </is>
      </c>
    </row>
    <row r="4">
      <c r="A4" s="45" t="inlineStr">
        <is>
          <t>Peso (kg)</t>
        </is>
      </c>
      <c r="B4" s="49">
        <f>IF(N(PHS!B5)&gt;0,PHS!B5,75)</f>
        <v/>
      </c>
      <c r="C4" s="94" t="inlineStr">
        <is>
          <t>Si está vacío se usa 75 kg</t>
        </is>
      </c>
    </row>
    <row r="5">
      <c r="A5" s="45" t="inlineStr">
        <is>
          <t>Estatura (m)</t>
        </is>
      </c>
      <c r="B5" s="49">
        <f>IF(N(PHS!B6)&gt;0,PHS!B6,1.8)</f>
        <v/>
      </c>
      <c r="C5" s="94" t="inlineStr">
        <is>
          <t>Si está vacío se usa 1.80 m</t>
        </is>
      </c>
    </row>
    <row r="6">
      <c r="A6" s="45" t="inlineStr">
        <is>
          <t>Superficie corporal DuBois (m²)</t>
        </is>
      </c>
      <c r="B6" s="49">
        <f>0.202*B4^0.425*B5^0.725</f>
        <v/>
      </c>
      <c r="C6" s="94" t="inlineStr"/>
    </row>
    <row r="7">
      <c r="A7" s="45" t="inlineStr">
        <is>
          <t>Calor específico corporal (W·min/m²/°C)</t>
        </is>
      </c>
      <c r="B7" s="49">
        <f>58.15*B4/B6</f>
        <v/>
      </c>
      <c r="C7" s="94" t="inlineStr">
        <is>
          <t>58.15 W/m² por met</t>
        </is>
      </c>
    </row>
    <row r="8">
      <c r="A8" s="45" t="inlineStr">
        <is>
          <t>Postura</t>
        </is>
      </c>
      <c r="B8" s="49">
        <f>PHS!B7</f>
        <v/>
      </c>
      <c r="C8" s="94" t="inlineStr"/>
    </row>
    <row r="9">
      <c r="A9" s="45" t="inlineStr">
        <is>
          <t>Área radiante (fracción DuBois)</t>
        </is>
      </c>
      <c r="B9" s="49">
        <f>IF(B8="Sentado",0.7,IF(B8="En cuclillas",0.67,0.77))</f>
        <v/>
      </c>
      <c r="C9" s="94" t="inlineStr">
        <is>
          <t>De pie 0.77; sentado 0.70; en cuclillas 0.67</t>
        </is>
      </c>
    </row>
    <row r="10">
      <c r="A10" s="45" t="inlineStr">
        <is>
          <t>Aclimatado (1/0)</t>
        </is>
      </c>
      <c r="B10" s="49">
        <f>IF(PHS!B8="Aclimatado",1,0)</f>
        <v/>
      </c>
      <c r="C10" s="94" t="inlineStr"/>
    </row>
    <row r="11">
      <c r="A11" s="45" t="inlineStr">
        <is>
          <t>Sudoración máxima (W/m²)</t>
        </is>
      </c>
      <c r="B11" s="49">
        <f>IF(B10=1,500,400)</f>
        <v/>
      </c>
      <c r="C11" s="94" t="inlineStr">
        <is>
          <t>ISO 7933:2023</t>
        </is>
      </c>
    </row>
    <row r="12">
      <c r="A12" s="45" t="inlineStr">
        <is>
          <t>Humedad de piel máxima</t>
        </is>
      </c>
      <c r="B12" s="49">
        <f>IF(B10=1,1,0.85)</f>
        <v/>
      </c>
      <c r="C12" s="94" t="inlineStr"/>
    </row>
    <row r="13">
      <c r="A13" s="45" t="inlineStr">
        <is>
          <t>Aislamiento de ropa clo</t>
        </is>
      </c>
      <c r="B13" s="49">
        <f>IF(AND(ISNUMBER(PHS!B9),N(PHS!B9)&gt;0),PHS!B9,0.6)</f>
        <v/>
      </c>
      <c r="C13" s="94" t="inlineStr"/>
    </row>
    <row r="14">
      <c r="A14" s="45" t="inlineStr">
        <is>
          <t>Factor de área de ropa fcl</t>
        </is>
      </c>
      <c r="B14" s="49">
        <f>1+0.28*B13</f>
        <v/>
      </c>
      <c r="C14" s="94" t="inlineStr">
        <is>
          <t>ISO 7933:2023</t>
        </is>
      </c>
    </row>
    <row r="15">
      <c r="A15" s="45" t="inlineStr">
        <is>
          <t>Aislamiento estático total (m²K/W)</t>
        </is>
      </c>
      <c r="B15" s="49">
        <f>B13*0.155+0.111/B14</f>
        <v/>
      </c>
      <c r="C15" s="94" t="inlineStr"/>
    </row>
    <row r="16">
      <c r="A16" s="45" t="inlineStr">
        <is>
          <t>Índice de permeabilidad estática i_mst</t>
        </is>
      </c>
      <c r="B16" s="49" t="n">
        <v>0.38</v>
      </c>
      <c r="C16" s="94" t="inlineStr">
        <is>
          <t>Valor por defecto</t>
        </is>
      </c>
    </row>
    <row r="17">
      <c r="A17" s="45" t="inlineStr">
        <is>
          <t>Fracción de área con ropa reflectiva a_p</t>
        </is>
      </c>
      <c r="B17" s="49" t="n">
        <v>0.54</v>
      </c>
      <c r="C17" s="94" t="inlineStr">
        <is>
          <t>Valor por defecto</t>
        </is>
      </c>
    </row>
    <row r="18">
      <c r="A18" s="45" t="inlineStr">
        <is>
          <t>Coeficiente de reflexión f_r</t>
        </is>
      </c>
      <c r="B18" s="49" t="n">
        <v>0.42</v>
      </c>
      <c r="C18" s="94" t="inlineStr">
        <is>
          <t>Valor por defecto (2023)</t>
        </is>
      </c>
    </row>
    <row r="19">
      <c r="A19" s="45" t="inlineStr">
        <is>
          <t>f_cl_r</t>
        </is>
      </c>
      <c r="B19" s="49">
        <f>(1-B17)*0.97+B17*(1-B18)</f>
        <v/>
      </c>
      <c r="C19" s="94" t="inlineStr"/>
    </row>
    <row r="20">
      <c r="A20" s="45" t="inlineStr">
        <is>
          <t>Constante radiativa</t>
        </is>
      </c>
      <c r="B20" s="49">
        <f>5.67E-8*B9</f>
        <v/>
      </c>
      <c r="C20" s="94" t="inlineStr"/>
    </row>
    <row r="21">
      <c r="A21" s="45" t="inlineStr">
        <is>
          <t>Pérdida de agua máx. tolerable (g)</t>
        </is>
      </c>
      <c r="B21" s="49">
        <f>0.05*B4*1000</f>
        <v/>
      </c>
      <c r="C21" s="94" t="inlineStr">
        <is>
          <t>5 % del peso, hidratación libre</t>
        </is>
      </c>
    </row>
    <row r="22">
      <c r="A22" s="45" t="inlineStr">
        <is>
          <t>Velocidad de caminata ingresada (m/s)</t>
        </is>
      </c>
      <c r="B22" s="49">
        <f>N(PHS!B10)</f>
        <v/>
      </c>
      <c r="C22" s="94" t="inlineStr">
        <is>
          <t>0 = estimada</t>
        </is>
      </c>
    </row>
    <row r="23">
      <c r="A23" s="45" t="inlineStr">
        <is>
          <t>Diámetro del globo (m)</t>
        </is>
      </c>
      <c r="B23" s="49">
        <f>IF(N(PHS!B11)&gt;0,PHS!B11/1000,0.15)</f>
        <v/>
      </c>
      <c r="C23" s="94" t="inlineStr"/>
    </row>
    <row r="24">
      <c r="A24" s="45" t="inlineStr">
        <is>
          <t>Emisividad del globo</t>
        </is>
      </c>
      <c r="B24" s="49">
        <f>IF(N(PHS!B12)&gt;0,PHS!B12,0.95)</f>
        <v/>
      </c>
      <c r="C24" s="94" t="inlineStr"/>
    </row>
    <row r="25">
      <c r="A25" s="45" t="inlineStr">
        <is>
          <t>Duración total (min)</t>
        </is>
      </c>
      <c r="B25" s="49">
        <f>SUM(C61:C68)</f>
        <v/>
      </c>
      <c r="C25" s="94" t="inlineStr">
        <is>
          <t>Suma de tareas</t>
        </is>
      </c>
    </row>
    <row r="26">
      <c r="A26" s="45" t="inlineStr">
        <is>
          <t>Constante exp(-1/10) (Tcr eq.)</t>
        </is>
      </c>
      <c r="B26" s="49">
        <f>EXP(-1/10)</f>
        <v/>
      </c>
      <c r="C26" s="94" t="inlineStr"/>
    </row>
    <row r="27">
      <c r="A27" s="45" t="inlineStr">
        <is>
          <t>Constante exp(-1/3) (Tsk)</t>
        </is>
      </c>
      <c r="B27" s="49">
        <f>EXP(-1/3)</f>
        <v/>
      </c>
      <c r="C27" s="94" t="inlineStr"/>
    </row>
    <row r="28">
      <c r="A28" s="45" t="inlineStr">
        <is>
          <t>Constante exp(-1/10) (sudor)</t>
        </is>
      </c>
      <c r="B28" s="49">
        <f>EXP(-1/10)</f>
        <v/>
      </c>
      <c r="C28" s="94" t="inlineStr"/>
    </row>
    <row r="29">
      <c r="A29" s="45" t="inlineStr">
        <is>
          <t>Tsk inicial (°C)</t>
        </is>
      </c>
      <c r="B29" s="49" t="n">
        <v>34.1</v>
      </c>
      <c r="C29" s="94" t="inlineStr"/>
    </row>
    <row r="30">
      <c r="A30" s="45" t="inlineStr">
        <is>
          <t>Tcr inicial (°C)</t>
        </is>
      </c>
      <c r="B30" s="49" t="n">
        <v>36.8</v>
      </c>
      <c r="C30" s="94" t="inlineStr"/>
    </row>
    <row r="31">
      <c r="A31" s="45" t="inlineStr">
        <is>
          <t>Tre inicial (°C)</t>
        </is>
      </c>
      <c r="B31" s="49" t="n">
        <v>36.8</v>
      </c>
      <c r="C31" s="94" t="inlineStr"/>
    </row>
    <row r="32">
      <c r="A32" s="45" t="inlineStr">
        <is>
          <t>Tcr_eq inicial (°C)</t>
        </is>
      </c>
      <c r="B32" s="49" t="n">
        <v>36.8</v>
      </c>
      <c r="C32" s="94" t="inlineStr"/>
    </row>
    <row r="33">
      <c r="A33" s="45" t="inlineStr">
        <is>
          <t>Peso Tsk/Tcr inicial</t>
        </is>
      </c>
      <c r="B33" s="49" t="n">
        <v>0.3</v>
      </c>
      <c r="C33" s="94" t="inlineStr"/>
    </row>
    <row r="34">
      <c r="A34" s="45" t="inlineStr">
        <is>
          <t>Sudoración inicial (W/m²)</t>
        </is>
      </c>
      <c r="B34" s="49" t="n">
        <v>0</v>
      </c>
      <c r="C34" s="94" t="inlineStr"/>
    </row>
    <row r="35">
      <c r="A35" s="45" t="inlineStr">
        <is>
          <t>Carga evaporativa inicial</t>
        </is>
      </c>
      <c r="B35" s="49" t="n">
        <v>0</v>
      </c>
      <c r="C35" s="94" t="inlineStr"/>
    </row>
    <row r="36">
      <c r="A36" s="45" t="inlineStr">
        <is>
          <t>Límite de Tre (°C)</t>
        </is>
      </c>
      <c r="B36" s="49" t="n">
        <v>38</v>
      </c>
      <c r="C36" s="94" t="inlineStr">
        <is>
          <t>ISO 7933</t>
        </is>
      </c>
    </row>
    <row r="38" ht="15" customHeight="1">
      <c r="A38" s="95" t="inlineStr">
        <is>
          <t>Tareas usadas</t>
        </is>
      </c>
      <c r="B38" s="75">
        <f>SUM($E$61:$E$68)</f>
        <v/>
      </c>
    </row>
    <row r="39" ht="15" customHeight="1">
      <c r="A39" s="95" t="inlineStr">
        <is>
          <t>Tareas con datos incompletos</t>
        </is>
      </c>
      <c r="B39" s="75">
        <f>SUMPRODUCT(($E$61:$E$68=1)*($F$61:$F$68=0))</f>
        <v/>
      </c>
    </row>
    <row r="40" ht="15" customHeight="1">
      <c r="A40" s="95" t="inlineStr">
        <is>
          <t>Datos completos y válidos para simular (1/0)</t>
        </is>
      </c>
      <c r="B40" s="75">
        <f>IF(AND(B25&gt;0,B39=0,B25&lt;=720,N(PHS!B5)&gt;0,N(PHS!B6)&gt;0),1,0)</f>
        <v/>
      </c>
    </row>
    <row r="41" ht="15" customHeight="1">
      <c r="A41" s="95" t="inlineStr">
        <is>
          <t>Tareas fuera de rango ISO 7933</t>
        </is>
      </c>
      <c r="B41" s="75">
        <f>SUMPRODUCT(($E$61:$E$68=1)*($F$61:$F$68=1)*(1-$AP$61:$AP$68))</f>
        <v/>
      </c>
    </row>
    <row r="42" ht="15" customHeight="1">
      <c r="A42" s="95" t="inlineStr">
        <is>
          <t>Clo dentro de rango (1/0)</t>
        </is>
      </c>
      <c r="B42" s="75">
        <f>IF(AND(ISNUMBER(PHS!B9),N(PHS!B9)&gt;='Datos de Referencia'!B28,N(PHS!B9)&lt;='Datos de Referencia'!C28),1,0)</f>
        <v/>
      </c>
    </row>
    <row r="43" ht="15" customHeight="1">
      <c r="A43" s="95" t="inlineStr">
        <is>
          <t>Ropa con barrera de vapor (CAV ≥ 10) (1/0)</t>
        </is>
      </c>
      <c r="B43" s="75">
        <f>IF(N('Análisis Detallado'!B19)&gt;=10,1,0)</f>
        <v/>
      </c>
    </row>
    <row r="44" ht="15" customHeight="1">
      <c r="A44" s="95" t="inlineStr">
        <is>
          <t>Tareas con M &lt; 56 W/m² (advertencia)</t>
        </is>
      </c>
      <c r="B44" s="75">
        <f>SUMPRODUCT(($E$61:$E$68=1)*($F$61:$F$68=1)*(1-$AO$61:$AO$68))</f>
        <v/>
      </c>
    </row>
    <row r="45" ht="26" customHeight="1">
      <c r="A45" s="95" t="inlineStr">
        <is>
          <t>Estado (0 sin datos, 1 válido, 2 válido con advertencia, 3 no aplicable)</t>
        </is>
      </c>
      <c r="B45" s="75">
        <f>IF(B40=0,0,IF(OR(B41&gt;0,B42=0,B43=1),3,IF(B44&gt;0,2,1)))</f>
        <v/>
      </c>
    </row>
    <row r="46" ht="15" customHeight="1">
      <c r="A46" s="95" t="inlineStr">
        <is>
          <t>Primer minuto con Tre ≥ 38 °C</t>
        </is>
      </c>
      <c r="B46" s="75">
        <f>IFERROR(MATCH(1,$AW$74:$AW$793,0),0)</f>
        <v/>
      </c>
    </row>
    <row r="47" ht="26" customHeight="1">
      <c r="A47" s="95" t="inlineStr">
        <is>
          <t>Primer minuto con pérdida de agua ≥ límite</t>
        </is>
      </c>
      <c r="B47" s="75">
        <f>IFERROR(MATCH(1,$AX$74:$AX$793,0),0)</f>
        <v/>
      </c>
    </row>
    <row r="48" ht="26" customHeight="1">
      <c r="A48" s="95" t="inlineStr">
        <is>
          <t>Tre límite alcanzada dentro de la exposición (1/0)</t>
        </is>
      </c>
      <c r="B48" s="75">
        <f>IF(AND(B46&gt;0,B46&lt;=B25),1,0)</f>
        <v/>
      </c>
    </row>
    <row r="49" ht="26" customHeight="1">
      <c r="A49" s="95" t="inlineStr">
        <is>
          <t>Pérdida de agua límite alcanzada dentro de la exposición (1/0)</t>
        </is>
      </c>
      <c r="B49" s="75">
        <f>IF(AND(B47&gt;0,B47&lt;=B25),1,0)</f>
        <v/>
      </c>
    </row>
    <row r="50" ht="15" customHeight="1">
      <c r="A50" s="95" t="inlineStr">
        <is>
          <t>Dlim: tiempo máximo de exposición (min)</t>
        </is>
      </c>
      <c r="B50" s="75">
        <f>IF(B25&gt;0,MIN(IF(B48=1,B46,B25),IF(B49=1,B47,B25)),0)</f>
        <v/>
      </c>
    </row>
    <row r="51" ht="15" customHeight="1">
      <c r="A51" s="95" t="inlineStr">
        <is>
          <t>Límite fisiológico alcanzado (1/0)</t>
        </is>
      </c>
      <c r="B51" s="75">
        <f>IF(AND(OR(B45=1,B45=2),OR(B48=1,B49=1)),1,0)</f>
        <v/>
      </c>
    </row>
    <row r="52" ht="15" customHeight="1">
      <c r="A52" s="95" t="inlineStr">
        <is>
          <t>Tre al final (°C)</t>
        </is>
      </c>
      <c r="B52" s="77">
        <f>IF(B25&gt;0,INDEX($AT$74:$AT$793,MIN(B25,720)),0)</f>
        <v/>
      </c>
    </row>
    <row r="53" ht="15" customHeight="1">
      <c r="A53" s="95" t="inlineStr">
        <is>
          <t>Tre máxima (°C)</t>
        </is>
      </c>
      <c r="B53" s="77">
        <f>IF(B25&gt;0,SUMPRODUCT(MAX(($A$74:$A$793&lt;=B25)*$AT$74:$AT$793)),0)</f>
        <v/>
      </c>
    </row>
    <row r="54" ht="15" customHeight="1">
      <c r="A54" s="95" t="inlineStr">
        <is>
          <t>Pérdida de agua total (g)</t>
        </is>
      </c>
      <c r="B54" s="77">
        <f>IF(B25&gt;0,INDEX($AV$74:$AV$793,MIN(B25,720)),0)</f>
        <v/>
      </c>
    </row>
    <row r="55" ht="15" customHeight="1">
      <c r="A55" s="95" t="inlineStr">
        <is>
          <t>Pérdida de agua total (L)</t>
        </is>
      </c>
      <c r="B55" s="77">
        <f>B54/1000</f>
        <v/>
      </c>
    </row>
    <row r="56" ht="15" customHeight="1">
      <c r="A56" s="95" t="inlineStr">
        <is>
          <t>Pérdida de agua promedio (L/h)</t>
        </is>
      </c>
      <c r="B56" s="77">
        <f>IF(B25&gt;0,B55/(B25/60),0)</f>
        <v/>
      </c>
    </row>
    <row r="57" ht="15" customHeight="1">
      <c r="A57" s="95" t="inlineStr">
        <is>
          <t>Pérdida de agua (% del peso)</t>
        </is>
      </c>
      <c r="B57" s="77">
        <f>B54/(B4*1000)*100</f>
        <v/>
      </c>
    </row>
    <row r="59">
      <c r="A59" s="79" t="inlineStr">
        <is>
          <t>TAREAS (desde 'Análisis Detallado')</t>
        </is>
      </c>
    </row>
    <row r="60">
      <c r="A60" s="96" t="inlineStr">
        <is>
          <t>#</t>
        </is>
      </c>
      <c r="B60" s="96" t="inlineStr">
        <is>
          <t>Actividad</t>
        </is>
      </c>
      <c r="C60" s="96" t="inlineStr">
        <is>
          <t>Dur. (min)</t>
        </is>
      </c>
      <c r="D60" s="96" t="inlineStr">
        <is>
          <t>Inicio (min)</t>
        </is>
      </c>
      <c r="E60" s="96" t="inlineStr">
        <is>
          <t>Usada</t>
        </is>
      </c>
      <c r="F60" s="96" t="inlineStr">
        <is>
          <t>Completa</t>
        </is>
      </c>
      <c r="G60" s="96" t="inlineStr">
        <is>
          <t>Tbs</t>
        </is>
      </c>
      <c r="H60" s="96" t="inlineStr">
        <is>
          <t>Tg</t>
        </is>
      </c>
      <c r="I60" s="96" t="inlineStr">
        <is>
          <t>HR</t>
        </is>
      </c>
      <c r="J60" s="96" t="inlineStr">
        <is>
          <t>v</t>
        </is>
      </c>
      <c r="K60" s="96" t="inlineStr">
        <is>
          <t>M (W)</t>
        </is>
      </c>
      <c r="L60" s="96" t="inlineStr">
        <is>
          <t>Tr</t>
        </is>
      </c>
      <c r="M60" s="96" t="inlineStr">
        <is>
          <t>Pa</t>
        </is>
      </c>
      <c r="N60" s="96" t="inlineStr">
        <is>
          <t>M (W/m²)</t>
        </is>
      </c>
      <c r="O60" s="96" t="inlineStr">
        <is>
          <t>walk</t>
        </is>
      </c>
      <c r="P60" s="96" t="inlineStr">
        <is>
          <t>v_r</t>
        </is>
      </c>
      <c r="Q60" s="96" t="inlineStr">
        <is>
          <t>v_ux</t>
        </is>
      </c>
      <c r="R60" s="96" t="inlineStr">
        <is>
          <t>w_ux</t>
        </is>
      </c>
      <c r="S60" s="96" t="inlineStr">
        <is>
          <t>corr_cl</t>
        </is>
      </c>
      <c r="T60" s="96" t="inlineStr">
        <is>
          <t>corr_ia</t>
        </is>
      </c>
      <c r="U60" s="96" t="inlineStr">
        <is>
          <t>corr_tot</t>
        </is>
      </c>
      <c r="V60" s="96" t="inlineStr">
        <is>
          <t>i_tot_dyn</t>
        </is>
      </c>
      <c r="W60" s="96" t="inlineStr">
        <is>
          <t>i_a_dyn</t>
        </is>
      </c>
      <c r="X60" s="96" t="inlineStr">
        <is>
          <t>i_cl_dyn</t>
        </is>
      </c>
      <c r="Y60" s="96" t="inlineStr">
        <is>
          <t>corr_e</t>
        </is>
      </c>
      <c r="Z60" s="96" t="inlineStr">
        <is>
          <t>im_dyn</t>
        </is>
      </c>
      <c r="AA60" s="96" t="inlineStr">
        <is>
          <t>r_t_dyn</t>
        </is>
      </c>
      <c r="AB60" s="96" t="inlineStr">
        <is>
          <t>t_exp</t>
        </is>
      </c>
      <c r="AC60" s="96" t="inlineStr">
        <is>
          <t>c_res</t>
        </is>
      </c>
      <c r="AD60" s="96" t="inlineStr">
        <is>
          <t>e_res</t>
        </is>
      </c>
      <c r="AE60" s="96" t="inlineStr">
        <is>
          <t>z</t>
        </is>
      </c>
      <c r="AF60" s="96" t="inlineStr">
        <is>
          <t>hc_dyn</t>
        </is>
      </c>
      <c r="AG60" s="96" t="inlineStr">
        <is>
          <t>Tcr_eq(M)</t>
        </is>
      </c>
      <c r="AH60" s="96" t="inlineStr">
        <is>
          <t>Tsk_eq cl base</t>
        </is>
      </c>
      <c r="AI60" s="96" t="inlineStr">
        <is>
          <t>Tsk_eq nu base</t>
        </is>
      </c>
      <c r="AJ60" s="96" t="inlineStr">
        <is>
          <t>ok Tbs</t>
        </is>
      </c>
      <c r="AK60" s="96" t="inlineStr">
        <is>
          <t>ok Tr-Tbs</t>
        </is>
      </c>
      <c r="AL60" s="96" t="inlineStr">
        <is>
          <t>ok v</t>
        </is>
      </c>
      <c r="AM60" s="96" t="inlineStr">
        <is>
          <t>ok Pa</t>
        </is>
      </c>
      <c r="AN60" s="96" t="inlineStr">
        <is>
          <t>ok M≤250</t>
        </is>
      </c>
      <c r="AO60" s="96" t="inlineStr">
        <is>
          <t>ok M≥56</t>
        </is>
      </c>
      <c r="AP60" s="96" t="inlineStr">
        <is>
          <t>válido</t>
        </is>
      </c>
      <c r="AQ60" s="96" t="inlineStr">
        <is>
          <t>Mensaje</t>
        </is>
      </c>
    </row>
    <row r="61">
      <c r="A61" s="83" t="n">
        <v>1</v>
      </c>
      <c r="B61" s="83">
        <f>IF('Análisis Detallado'!B4="","",'Análisis Detallado'!B4)</f>
        <v/>
      </c>
      <c r="C61" s="83">
        <f>IF(N('Análisis Detallado'!C4)&gt;0,ROUND('Análisis Detallado'!C4*60,0),0)</f>
        <v/>
      </c>
      <c r="D61" s="83">
        <f>SUM($C$61:C61)-C61</f>
        <v/>
      </c>
      <c r="E61" s="83">
        <f>IF(C61&gt;0,1,0)</f>
        <v/>
      </c>
      <c r="F61" s="83">
        <f>IF(C61&gt;0,IF(AND(ISNUMBER('Análisis Detallado'!G4),ISNUMBER('Análisis Detallado'!H4),ISNUMBER('Análisis Detallado'!I4),ISNUMBER('Análisis Detallado'!J4),ISNUMBER('Análisis Detallado'!E4)),IF(AND('Análisis Detallado'!E4&gt;0,'Análisis Detallado'!I4&gt;=0,'Análisis Detallado'!I4&lt;=100,'Análisis Detallado'!J4&gt;=0),1,0),0),0)</f>
        <v/>
      </c>
      <c r="G61" s="97">
        <f>IF(F61=1,'Análisis Detallado'!G4,25)</f>
        <v/>
      </c>
      <c r="H61" s="97">
        <f>IF(F61=1,'Análisis Detallado'!H4,25)</f>
        <v/>
      </c>
      <c r="I61" s="83">
        <f>IF(F61=1,'Análisis Detallado'!I4,50)</f>
        <v/>
      </c>
      <c r="J61" s="83">
        <f>IF(F61=1,'Análisis Detallado'!J4,0.3)</f>
        <v/>
      </c>
      <c r="K61" s="97">
        <f>IF(F61=1,'Análisis Detallado'!E4,115)</f>
        <v/>
      </c>
      <c r="L61" s="97">
        <f>((H61+273)^4+MAX(6.3*J61^0.6/$B$23^0.4,1.4*(ABS(H61-G61)/$B$23)^0.25)*(H61-G61)/($B$24*0.0000000567))^0.25-273</f>
        <v/>
      </c>
      <c r="M61" s="97">
        <f>0.6105*EXP(17.27*G61/(G61+237.3))*I61/100</f>
        <v/>
      </c>
      <c r="N61" s="97">
        <f>K61/$B$6</f>
        <v/>
      </c>
      <c r="O61" s="83">
        <f>IF($B$22&gt;0,$B$22,MIN(0.0052*(N61-58),0.7))</f>
        <v/>
      </c>
      <c r="P61" s="83">
        <f>IF($B$22&gt;0,IF(J61&lt;$B$22,$B$22,J61),J61)</f>
        <v/>
      </c>
      <c r="Q61" s="83">
        <f>MIN(P61,3)</f>
        <v/>
      </c>
      <c r="R61" s="83">
        <f>MIN(O61,1.5)</f>
        <v/>
      </c>
      <c r="S61" s="83">
        <f>MIN(1.044*EXP((0.066*Q61-0.398)*Q61+(0.094*R61-0.378)*R61),1)</f>
        <v/>
      </c>
      <c r="T61" s="83">
        <f>MIN(EXP((0.047*P61-0.472)*P61+(0.117*R61-0.342)*R61),1)</f>
        <v/>
      </c>
      <c r="U61" s="83">
        <f>IF($B$13&lt;=0.6,((0.6-$B$13)*T61+$B$13*S61)/0.6,S61)</f>
        <v/>
      </c>
      <c r="V61" s="83">
        <f>$B$15*U61</f>
        <v/>
      </c>
      <c r="W61" s="83">
        <f>T61*0.111</f>
        <v/>
      </c>
      <c r="X61" s="83">
        <f>V61-W61/$B$14</f>
        <v/>
      </c>
      <c r="Y61" s="83">
        <f>(2.6*U61-6.5)*U61+4.9</f>
        <v/>
      </c>
      <c r="Z61" s="83">
        <f>MIN($B$16*Y61,0.9)</f>
        <v/>
      </c>
      <c r="AA61" s="83">
        <f>V61/Z61/16.7</f>
        <v/>
      </c>
      <c r="AB61" s="83">
        <f>28.56+0.115*G61+0.641*M61</f>
        <v/>
      </c>
      <c r="AC61" s="83">
        <f>0.001516*N61*(AB61-G61)</f>
        <v/>
      </c>
      <c r="AD61" s="83">
        <f>0.00127*N61*(59.34+0.53*G61-11.63*M61)</f>
        <v/>
      </c>
      <c r="AE61" s="83">
        <f>IF(P61&gt;1,8.7*P61^0.6,3.5+5.2*P61)</f>
        <v/>
      </c>
      <c r="AF61" s="83">
        <f>MAX(2.38*ABS((L61+0.1)-G61)^0.25,AE61)</f>
        <v/>
      </c>
      <c r="AG61" s="83">
        <f>0.0036*N61+36.6</f>
        <v/>
      </c>
      <c r="AH61" s="83">
        <f>12.165+0.02017*G61+0.04361*L61+0.19354*M61-0.25315*J61+0.005346*N61</f>
        <v/>
      </c>
      <c r="AI61" s="83">
        <f>7.191+0.064*G61+0.061*L61+0.198*M61-0.348*J61</f>
        <v/>
      </c>
      <c r="AJ61" s="83">
        <f>IF(AND(G61&gt;='Datos de Referencia'!$B$23,G61&lt;='Datos de Referencia'!$C$23),1,0)</f>
        <v/>
      </c>
      <c r="AK61" s="83">
        <f>IF(AND(L61-G61&gt;='Datos de Referencia'!$B$24,L61-G61&lt;='Datos de Referencia'!$C$24),1,0)</f>
        <v/>
      </c>
      <c r="AL61" s="83">
        <f>IF(AND(J61&gt;='Datos de Referencia'!$B$25,J61&lt;='Datos de Referencia'!$C$25),1,0)</f>
        <v/>
      </c>
      <c r="AM61" s="83">
        <f>IF(AND(M61&gt;='Datos de Referencia'!$B$26,M61&lt;='Datos de Referencia'!$C$26),1,0)</f>
        <v/>
      </c>
      <c r="AN61" s="83">
        <f>IF(N61&lt;='Datos de Referencia'!$C$27,1,0)</f>
        <v/>
      </c>
      <c r="AO61" s="83">
        <f>IF(N61&gt;='Datos de Referencia'!$B$27,1,0)</f>
        <v/>
      </c>
      <c r="AP61" s="83">
        <f>AJ61*AK61*AL61*AM61*AN61</f>
        <v/>
      </c>
      <c r="AQ61" s="83">
        <f>IF(E61=0,"",IF(F61=0,"Datos incompletos",IF(AP61=0,"Fuera de rango ISO 7933: "&amp;IF(AJ61=0,"Tbs ","")&amp;IF(AK61=0,"Tr-Tbs ","")&amp;IF(AL61=0,"v ","")&amp;IF(AM61=0,"Pa ","")&amp;IF(AN61=0,"M&gt;250 W/m² ",""),IF(AO61=0,"M&lt;56 W/m² (advertencia)","OK"))))</f>
        <v/>
      </c>
    </row>
    <row r="62">
      <c r="A62" s="83" t="n">
        <v>2</v>
      </c>
      <c r="B62" s="83">
        <f>IF('Análisis Detallado'!B5="","",'Análisis Detallado'!B5)</f>
        <v/>
      </c>
      <c r="C62" s="83">
        <f>IF(N('Análisis Detallado'!C5)&gt;0,ROUND('Análisis Detallado'!C5*60,0),0)</f>
        <v/>
      </c>
      <c r="D62" s="83">
        <f>SUM($C$61:C62)-C62</f>
        <v/>
      </c>
      <c r="E62" s="83">
        <f>IF(C62&gt;0,1,0)</f>
        <v/>
      </c>
      <c r="F62" s="83">
        <f>IF(C62&gt;0,IF(AND(ISNUMBER('Análisis Detallado'!G5),ISNUMBER('Análisis Detallado'!H5),ISNUMBER('Análisis Detallado'!I5),ISNUMBER('Análisis Detallado'!J5),ISNUMBER('Análisis Detallado'!E5)),IF(AND('Análisis Detallado'!E5&gt;0,'Análisis Detallado'!I5&gt;=0,'Análisis Detallado'!I5&lt;=100,'Análisis Detallado'!J5&gt;=0),1,0),0),0)</f>
        <v/>
      </c>
      <c r="G62" s="97">
        <f>IF(F62=1,'Análisis Detallado'!G5,25)</f>
        <v/>
      </c>
      <c r="H62" s="97">
        <f>IF(F62=1,'Análisis Detallado'!H5,25)</f>
        <v/>
      </c>
      <c r="I62" s="83">
        <f>IF(F62=1,'Análisis Detallado'!I5,50)</f>
        <v/>
      </c>
      <c r="J62" s="83">
        <f>IF(F62=1,'Análisis Detallado'!J5,0.3)</f>
        <v/>
      </c>
      <c r="K62" s="97">
        <f>IF(F62=1,'Análisis Detallado'!E5,115)</f>
        <v/>
      </c>
      <c r="L62" s="97">
        <f>((H62+273)^4+MAX(6.3*J62^0.6/$B$23^0.4,1.4*(ABS(H62-G62)/$B$23)^0.25)*(H62-G62)/($B$24*0.0000000567))^0.25-273</f>
        <v/>
      </c>
      <c r="M62" s="97">
        <f>0.6105*EXP(17.27*G62/(G62+237.3))*I62/100</f>
        <v/>
      </c>
      <c r="N62" s="97">
        <f>K62/$B$6</f>
        <v/>
      </c>
      <c r="O62" s="83">
        <f>IF($B$22&gt;0,$B$22,MIN(0.0052*(N62-58),0.7))</f>
        <v/>
      </c>
      <c r="P62" s="83">
        <f>IF($B$22&gt;0,IF(J62&lt;$B$22,$B$22,J62),J62)</f>
        <v/>
      </c>
      <c r="Q62" s="83">
        <f>MIN(P62,3)</f>
        <v/>
      </c>
      <c r="R62" s="83">
        <f>MIN(O62,1.5)</f>
        <v/>
      </c>
      <c r="S62" s="83">
        <f>MIN(1.044*EXP((0.066*Q62-0.398)*Q62+(0.094*R62-0.378)*R62),1)</f>
        <v/>
      </c>
      <c r="T62" s="83">
        <f>MIN(EXP((0.047*P62-0.472)*P62+(0.117*R62-0.342)*R62),1)</f>
        <v/>
      </c>
      <c r="U62" s="83">
        <f>IF($B$13&lt;=0.6,((0.6-$B$13)*T62+$B$13*S62)/0.6,S62)</f>
        <v/>
      </c>
      <c r="V62" s="83">
        <f>$B$15*U62</f>
        <v/>
      </c>
      <c r="W62" s="83">
        <f>T62*0.111</f>
        <v/>
      </c>
      <c r="X62" s="83">
        <f>V62-W62/$B$14</f>
        <v/>
      </c>
      <c r="Y62" s="83">
        <f>(2.6*U62-6.5)*U62+4.9</f>
        <v/>
      </c>
      <c r="Z62" s="83">
        <f>MIN($B$16*Y62,0.9)</f>
        <v/>
      </c>
      <c r="AA62" s="83">
        <f>V62/Z62/16.7</f>
        <v/>
      </c>
      <c r="AB62" s="83">
        <f>28.56+0.115*G62+0.641*M62</f>
        <v/>
      </c>
      <c r="AC62" s="83">
        <f>0.001516*N62*(AB62-G62)</f>
        <v/>
      </c>
      <c r="AD62" s="83">
        <f>0.00127*N62*(59.34+0.53*G62-11.63*M62)</f>
        <v/>
      </c>
      <c r="AE62" s="83">
        <f>IF(P62&gt;1,8.7*P62^0.6,3.5+5.2*P62)</f>
        <v/>
      </c>
      <c r="AF62" s="83">
        <f>MAX(2.38*ABS((L62+0.1)-G62)^0.25,AE62)</f>
        <v/>
      </c>
      <c r="AG62" s="83">
        <f>0.0036*N62+36.6</f>
        <v/>
      </c>
      <c r="AH62" s="83">
        <f>12.165+0.02017*G62+0.04361*L62+0.19354*M62-0.25315*J62+0.005346*N62</f>
        <v/>
      </c>
      <c r="AI62" s="83">
        <f>7.191+0.064*G62+0.061*L62+0.198*M62-0.348*J62</f>
        <v/>
      </c>
      <c r="AJ62" s="83">
        <f>IF(AND(G62&gt;='Datos de Referencia'!$B$23,G62&lt;='Datos de Referencia'!$C$23),1,0)</f>
        <v/>
      </c>
      <c r="AK62" s="83">
        <f>IF(AND(L62-G62&gt;='Datos de Referencia'!$B$24,L62-G62&lt;='Datos de Referencia'!$C$24),1,0)</f>
        <v/>
      </c>
      <c r="AL62" s="83">
        <f>IF(AND(J62&gt;='Datos de Referencia'!$B$25,J62&lt;='Datos de Referencia'!$C$25),1,0)</f>
        <v/>
      </c>
      <c r="AM62" s="83">
        <f>IF(AND(M62&gt;='Datos de Referencia'!$B$26,M62&lt;='Datos de Referencia'!$C$26),1,0)</f>
        <v/>
      </c>
      <c r="AN62" s="83">
        <f>IF(N62&lt;='Datos de Referencia'!$C$27,1,0)</f>
        <v/>
      </c>
      <c r="AO62" s="83">
        <f>IF(N62&gt;='Datos de Referencia'!$B$27,1,0)</f>
        <v/>
      </c>
      <c r="AP62" s="83">
        <f>AJ62*AK62*AL62*AM62*AN62</f>
        <v/>
      </c>
      <c r="AQ62" s="83">
        <f>IF(E62=0,"",IF(F62=0,"Datos incompletos",IF(AP62=0,"Fuera de rango ISO 7933: "&amp;IF(AJ62=0,"Tbs ","")&amp;IF(AK62=0,"Tr-Tbs ","")&amp;IF(AL62=0,"v ","")&amp;IF(AM62=0,"Pa ","")&amp;IF(AN62=0,"M&gt;250 W/m² ",""),IF(AO62=0,"M&lt;56 W/m² (advertencia)","OK"))))</f>
        <v/>
      </c>
    </row>
    <row r="63">
      <c r="A63" s="83" t="n">
        <v>3</v>
      </c>
      <c r="B63" s="83">
        <f>IF('Análisis Detallado'!B6="","",'Análisis Detallado'!B6)</f>
        <v/>
      </c>
      <c r="C63" s="83">
        <f>IF(N('Análisis Detallado'!C6)&gt;0,ROUND('Análisis Detallado'!C6*60,0),0)</f>
        <v/>
      </c>
      <c r="D63" s="83">
        <f>SUM($C$61:C63)-C63</f>
        <v/>
      </c>
      <c r="E63" s="83">
        <f>IF(C63&gt;0,1,0)</f>
        <v/>
      </c>
      <c r="F63" s="83">
        <f>IF(C63&gt;0,IF(AND(ISNUMBER('Análisis Detallado'!G6),ISNUMBER('Análisis Detallado'!H6),ISNUMBER('Análisis Detallado'!I6),ISNUMBER('Análisis Detallado'!J6),ISNUMBER('Análisis Detallado'!E6)),IF(AND('Análisis Detallado'!E6&gt;0,'Análisis Detallado'!I6&gt;=0,'Análisis Detallado'!I6&lt;=100,'Análisis Detallado'!J6&gt;=0),1,0),0),0)</f>
        <v/>
      </c>
      <c r="G63" s="97">
        <f>IF(F63=1,'Análisis Detallado'!G6,25)</f>
        <v/>
      </c>
      <c r="H63" s="97">
        <f>IF(F63=1,'Análisis Detallado'!H6,25)</f>
        <v/>
      </c>
      <c r="I63" s="83">
        <f>IF(F63=1,'Análisis Detallado'!I6,50)</f>
        <v/>
      </c>
      <c r="J63" s="83">
        <f>IF(F63=1,'Análisis Detallado'!J6,0.3)</f>
        <v/>
      </c>
      <c r="K63" s="97">
        <f>IF(F63=1,'Análisis Detallado'!E6,115)</f>
        <v/>
      </c>
      <c r="L63" s="97">
        <f>((H63+273)^4+MAX(6.3*J63^0.6/$B$23^0.4,1.4*(ABS(H63-G63)/$B$23)^0.25)*(H63-G63)/($B$24*0.0000000567))^0.25-273</f>
        <v/>
      </c>
      <c r="M63" s="97">
        <f>0.6105*EXP(17.27*G63/(G63+237.3))*I63/100</f>
        <v/>
      </c>
      <c r="N63" s="97">
        <f>K63/$B$6</f>
        <v/>
      </c>
      <c r="O63" s="83">
        <f>IF($B$22&gt;0,$B$22,MIN(0.0052*(N63-58),0.7))</f>
        <v/>
      </c>
      <c r="P63" s="83">
        <f>IF($B$22&gt;0,IF(J63&lt;$B$22,$B$22,J63),J63)</f>
        <v/>
      </c>
      <c r="Q63" s="83">
        <f>MIN(P63,3)</f>
        <v/>
      </c>
      <c r="R63" s="83">
        <f>MIN(O63,1.5)</f>
        <v/>
      </c>
      <c r="S63" s="83">
        <f>MIN(1.044*EXP((0.066*Q63-0.398)*Q63+(0.094*R63-0.378)*R63),1)</f>
        <v/>
      </c>
      <c r="T63" s="83">
        <f>MIN(EXP((0.047*P63-0.472)*P63+(0.117*R63-0.342)*R63),1)</f>
        <v/>
      </c>
      <c r="U63" s="83">
        <f>IF($B$13&lt;=0.6,((0.6-$B$13)*T63+$B$13*S63)/0.6,S63)</f>
        <v/>
      </c>
      <c r="V63" s="83">
        <f>$B$15*U63</f>
        <v/>
      </c>
      <c r="W63" s="83">
        <f>T63*0.111</f>
        <v/>
      </c>
      <c r="X63" s="83">
        <f>V63-W63/$B$14</f>
        <v/>
      </c>
      <c r="Y63" s="83">
        <f>(2.6*U63-6.5)*U63+4.9</f>
        <v/>
      </c>
      <c r="Z63" s="83">
        <f>MIN($B$16*Y63,0.9)</f>
        <v/>
      </c>
      <c r="AA63" s="83">
        <f>V63/Z63/16.7</f>
        <v/>
      </c>
      <c r="AB63" s="83">
        <f>28.56+0.115*G63+0.641*M63</f>
        <v/>
      </c>
      <c r="AC63" s="83">
        <f>0.001516*N63*(AB63-G63)</f>
        <v/>
      </c>
      <c r="AD63" s="83">
        <f>0.00127*N63*(59.34+0.53*G63-11.63*M63)</f>
        <v/>
      </c>
      <c r="AE63" s="83">
        <f>IF(P63&gt;1,8.7*P63^0.6,3.5+5.2*P63)</f>
        <v/>
      </c>
      <c r="AF63" s="83">
        <f>MAX(2.38*ABS((L63+0.1)-G63)^0.25,AE63)</f>
        <v/>
      </c>
      <c r="AG63" s="83">
        <f>0.0036*N63+36.6</f>
        <v/>
      </c>
      <c r="AH63" s="83">
        <f>12.165+0.02017*G63+0.04361*L63+0.19354*M63-0.25315*J63+0.005346*N63</f>
        <v/>
      </c>
      <c r="AI63" s="83">
        <f>7.191+0.064*G63+0.061*L63+0.198*M63-0.348*J63</f>
        <v/>
      </c>
      <c r="AJ63" s="83">
        <f>IF(AND(G63&gt;='Datos de Referencia'!$B$23,G63&lt;='Datos de Referencia'!$C$23),1,0)</f>
        <v/>
      </c>
      <c r="AK63" s="83">
        <f>IF(AND(L63-G63&gt;='Datos de Referencia'!$B$24,L63-G63&lt;='Datos de Referencia'!$C$24),1,0)</f>
        <v/>
      </c>
      <c r="AL63" s="83">
        <f>IF(AND(J63&gt;='Datos de Referencia'!$B$25,J63&lt;='Datos de Referencia'!$C$25),1,0)</f>
        <v/>
      </c>
      <c r="AM63" s="83">
        <f>IF(AND(M63&gt;='Datos de Referencia'!$B$26,M63&lt;='Datos de Referencia'!$C$26),1,0)</f>
        <v/>
      </c>
      <c r="AN63" s="83">
        <f>IF(N63&lt;='Datos de Referencia'!$C$27,1,0)</f>
        <v/>
      </c>
      <c r="AO63" s="83">
        <f>IF(N63&gt;='Datos de Referencia'!$B$27,1,0)</f>
        <v/>
      </c>
      <c r="AP63" s="83">
        <f>AJ63*AK63*AL63*AM63*AN63</f>
        <v/>
      </c>
      <c r="AQ63" s="83">
        <f>IF(E63=0,"",IF(F63=0,"Datos incompletos",IF(AP63=0,"Fuera de rango ISO 7933: "&amp;IF(AJ63=0,"Tbs ","")&amp;IF(AK63=0,"Tr-Tbs ","")&amp;IF(AL63=0,"v ","")&amp;IF(AM63=0,"Pa ","")&amp;IF(AN63=0,"M&gt;250 W/m² ",""),IF(AO63=0,"M&lt;56 W/m² (advertencia)","OK"))))</f>
        <v/>
      </c>
    </row>
    <row r="64">
      <c r="A64" s="83" t="n">
        <v>4</v>
      </c>
      <c r="B64" s="83">
        <f>IF('Análisis Detallado'!B7="","",'Análisis Detallado'!B7)</f>
        <v/>
      </c>
      <c r="C64" s="83">
        <f>IF(N('Análisis Detallado'!C7)&gt;0,ROUND('Análisis Detallado'!C7*60,0),0)</f>
        <v/>
      </c>
      <c r="D64" s="83">
        <f>SUM($C$61:C64)-C64</f>
        <v/>
      </c>
      <c r="E64" s="83">
        <f>IF(C64&gt;0,1,0)</f>
        <v/>
      </c>
      <c r="F64" s="83">
        <f>IF(C64&gt;0,IF(AND(ISNUMBER('Análisis Detallado'!G7),ISNUMBER('Análisis Detallado'!H7),ISNUMBER('Análisis Detallado'!I7),ISNUMBER('Análisis Detallado'!J7),ISNUMBER('Análisis Detallado'!E7)),IF(AND('Análisis Detallado'!E7&gt;0,'Análisis Detallado'!I7&gt;=0,'Análisis Detallado'!I7&lt;=100,'Análisis Detallado'!J7&gt;=0),1,0),0),0)</f>
        <v/>
      </c>
      <c r="G64" s="97">
        <f>IF(F64=1,'Análisis Detallado'!G7,25)</f>
        <v/>
      </c>
      <c r="H64" s="97">
        <f>IF(F64=1,'Análisis Detallado'!H7,25)</f>
        <v/>
      </c>
      <c r="I64" s="83">
        <f>IF(F64=1,'Análisis Detallado'!I7,50)</f>
        <v/>
      </c>
      <c r="J64" s="83">
        <f>IF(F64=1,'Análisis Detallado'!J7,0.3)</f>
        <v/>
      </c>
      <c r="K64" s="97">
        <f>IF(F64=1,'Análisis Detallado'!E7,115)</f>
        <v/>
      </c>
      <c r="L64" s="97">
        <f>((H64+273)^4+MAX(6.3*J64^0.6/$B$23^0.4,1.4*(ABS(H64-G64)/$B$23)^0.25)*(H64-G64)/($B$24*0.0000000567))^0.25-273</f>
        <v/>
      </c>
      <c r="M64" s="97">
        <f>0.6105*EXP(17.27*G64/(G64+237.3))*I64/100</f>
        <v/>
      </c>
      <c r="N64" s="97">
        <f>K64/$B$6</f>
        <v/>
      </c>
      <c r="O64" s="83">
        <f>IF($B$22&gt;0,$B$22,MIN(0.0052*(N64-58),0.7))</f>
        <v/>
      </c>
      <c r="P64" s="83">
        <f>IF($B$22&gt;0,IF(J64&lt;$B$22,$B$22,J64),J64)</f>
        <v/>
      </c>
      <c r="Q64" s="83">
        <f>MIN(P64,3)</f>
        <v/>
      </c>
      <c r="R64" s="83">
        <f>MIN(O64,1.5)</f>
        <v/>
      </c>
      <c r="S64" s="83">
        <f>MIN(1.044*EXP((0.066*Q64-0.398)*Q64+(0.094*R64-0.378)*R64),1)</f>
        <v/>
      </c>
      <c r="T64" s="83">
        <f>MIN(EXP((0.047*P64-0.472)*P64+(0.117*R64-0.342)*R64),1)</f>
        <v/>
      </c>
      <c r="U64" s="83">
        <f>IF($B$13&lt;=0.6,((0.6-$B$13)*T64+$B$13*S64)/0.6,S64)</f>
        <v/>
      </c>
      <c r="V64" s="83">
        <f>$B$15*U64</f>
        <v/>
      </c>
      <c r="W64" s="83">
        <f>T64*0.111</f>
        <v/>
      </c>
      <c r="X64" s="83">
        <f>V64-W64/$B$14</f>
        <v/>
      </c>
      <c r="Y64" s="83">
        <f>(2.6*U64-6.5)*U64+4.9</f>
        <v/>
      </c>
      <c r="Z64" s="83">
        <f>MIN($B$16*Y64,0.9)</f>
        <v/>
      </c>
      <c r="AA64" s="83">
        <f>V64/Z64/16.7</f>
        <v/>
      </c>
      <c r="AB64" s="83">
        <f>28.56+0.115*G64+0.641*M64</f>
        <v/>
      </c>
      <c r="AC64" s="83">
        <f>0.001516*N64*(AB64-G64)</f>
        <v/>
      </c>
      <c r="AD64" s="83">
        <f>0.00127*N64*(59.34+0.53*G64-11.63*M64)</f>
        <v/>
      </c>
      <c r="AE64" s="83">
        <f>IF(P64&gt;1,8.7*P64^0.6,3.5+5.2*P64)</f>
        <v/>
      </c>
      <c r="AF64" s="83">
        <f>MAX(2.38*ABS((L64+0.1)-G64)^0.25,AE64)</f>
        <v/>
      </c>
      <c r="AG64" s="83">
        <f>0.0036*N64+36.6</f>
        <v/>
      </c>
      <c r="AH64" s="83">
        <f>12.165+0.02017*G64+0.04361*L64+0.19354*M64-0.25315*J64+0.005346*N64</f>
        <v/>
      </c>
      <c r="AI64" s="83">
        <f>7.191+0.064*G64+0.061*L64+0.198*M64-0.348*J64</f>
        <v/>
      </c>
      <c r="AJ64" s="83">
        <f>IF(AND(G64&gt;='Datos de Referencia'!$B$23,G64&lt;='Datos de Referencia'!$C$23),1,0)</f>
        <v/>
      </c>
      <c r="AK64" s="83">
        <f>IF(AND(L64-G64&gt;='Datos de Referencia'!$B$24,L64-G64&lt;='Datos de Referencia'!$C$24),1,0)</f>
        <v/>
      </c>
      <c r="AL64" s="83">
        <f>IF(AND(J64&gt;='Datos de Referencia'!$B$25,J64&lt;='Datos de Referencia'!$C$25),1,0)</f>
        <v/>
      </c>
      <c r="AM64" s="83">
        <f>IF(AND(M64&gt;='Datos de Referencia'!$B$26,M64&lt;='Datos de Referencia'!$C$26),1,0)</f>
        <v/>
      </c>
      <c r="AN64" s="83">
        <f>IF(N64&lt;='Datos de Referencia'!$C$27,1,0)</f>
        <v/>
      </c>
      <c r="AO64" s="83">
        <f>IF(N64&gt;='Datos de Referencia'!$B$27,1,0)</f>
        <v/>
      </c>
      <c r="AP64" s="83">
        <f>AJ64*AK64*AL64*AM64*AN64</f>
        <v/>
      </c>
      <c r="AQ64" s="83">
        <f>IF(E64=0,"",IF(F64=0,"Datos incompletos",IF(AP64=0,"Fuera de rango ISO 7933: "&amp;IF(AJ64=0,"Tbs ","")&amp;IF(AK64=0,"Tr-Tbs ","")&amp;IF(AL64=0,"v ","")&amp;IF(AM64=0,"Pa ","")&amp;IF(AN64=0,"M&gt;250 W/m² ",""),IF(AO64=0,"M&lt;56 W/m² (advertencia)","OK"))))</f>
        <v/>
      </c>
    </row>
    <row r="65">
      <c r="A65" s="83" t="n">
        <v>5</v>
      </c>
      <c r="B65" s="83">
        <f>IF('Análisis Detallado'!B8="","",'Análisis Detallado'!B8)</f>
        <v/>
      </c>
      <c r="C65" s="83">
        <f>IF(N('Análisis Detallado'!C8)&gt;0,ROUND('Análisis Detallado'!C8*60,0),0)</f>
        <v/>
      </c>
      <c r="D65" s="83">
        <f>SUM($C$61:C65)-C65</f>
        <v/>
      </c>
      <c r="E65" s="83">
        <f>IF(C65&gt;0,1,0)</f>
        <v/>
      </c>
      <c r="F65" s="83">
        <f>IF(C65&gt;0,IF(AND(ISNUMBER('Análisis Detallado'!G8),ISNUMBER('Análisis Detallado'!H8),ISNUMBER('Análisis Detallado'!I8),ISNUMBER('Análisis Detallado'!J8),ISNUMBER('Análisis Detallado'!E8)),IF(AND('Análisis Detallado'!E8&gt;0,'Análisis Detallado'!I8&gt;=0,'Análisis Detallado'!I8&lt;=100,'Análisis Detallado'!J8&gt;=0),1,0),0),0)</f>
        <v/>
      </c>
      <c r="G65" s="97">
        <f>IF(F65=1,'Análisis Detallado'!G8,25)</f>
        <v/>
      </c>
      <c r="H65" s="97">
        <f>IF(F65=1,'Análisis Detallado'!H8,25)</f>
        <v/>
      </c>
      <c r="I65" s="83">
        <f>IF(F65=1,'Análisis Detallado'!I8,50)</f>
        <v/>
      </c>
      <c r="J65" s="83">
        <f>IF(F65=1,'Análisis Detallado'!J8,0.3)</f>
        <v/>
      </c>
      <c r="K65" s="97">
        <f>IF(F65=1,'Análisis Detallado'!E8,115)</f>
        <v/>
      </c>
      <c r="L65" s="97">
        <f>((H65+273)^4+MAX(6.3*J65^0.6/$B$23^0.4,1.4*(ABS(H65-G65)/$B$23)^0.25)*(H65-G65)/($B$24*0.0000000567))^0.25-273</f>
        <v/>
      </c>
      <c r="M65" s="97">
        <f>0.6105*EXP(17.27*G65/(G65+237.3))*I65/100</f>
        <v/>
      </c>
      <c r="N65" s="97">
        <f>K65/$B$6</f>
        <v/>
      </c>
      <c r="O65" s="83">
        <f>IF($B$22&gt;0,$B$22,MIN(0.0052*(N65-58),0.7))</f>
        <v/>
      </c>
      <c r="P65" s="83">
        <f>IF($B$22&gt;0,IF(J65&lt;$B$22,$B$22,J65),J65)</f>
        <v/>
      </c>
      <c r="Q65" s="83">
        <f>MIN(P65,3)</f>
        <v/>
      </c>
      <c r="R65" s="83">
        <f>MIN(O65,1.5)</f>
        <v/>
      </c>
      <c r="S65" s="83">
        <f>MIN(1.044*EXP((0.066*Q65-0.398)*Q65+(0.094*R65-0.378)*R65),1)</f>
        <v/>
      </c>
      <c r="T65" s="83">
        <f>MIN(EXP((0.047*P65-0.472)*P65+(0.117*R65-0.342)*R65),1)</f>
        <v/>
      </c>
      <c r="U65" s="83">
        <f>IF($B$13&lt;=0.6,((0.6-$B$13)*T65+$B$13*S65)/0.6,S65)</f>
        <v/>
      </c>
      <c r="V65" s="83">
        <f>$B$15*U65</f>
        <v/>
      </c>
      <c r="W65" s="83">
        <f>T65*0.111</f>
        <v/>
      </c>
      <c r="X65" s="83">
        <f>V65-W65/$B$14</f>
        <v/>
      </c>
      <c r="Y65" s="83">
        <f>(2.6*U65-6.5)*U65+4.9</f>
        <v/>
      </c>
      <c r="Z65" s="83">
        <f>MIN($B$16*Y65,0.9)</f>
        <v/>
      </c>
      <c r="AA65" s="83">
        <f>V65/Z65/16.7</f>
        <v/>
      </c>
      <c r="AB65" s="83">
        <f>28.56+0.115*G65+0.641*M65</f>
        <v/>
      </c>
      <c r="AC65" s="83">
        <f>0.001516*N65*(AB65-G65)</f>
        <v/>
      </c>
      <c r="AD65" s="83">
        <f>0.00127*N65*(59.34+0.53*G65-11.63*M65)</f>
        <v/>
      </c>
      <c r="AE65" s="83">
        <f>IF(P65&gt;1,8.7*P65^0.6,3.5+5.2*P65)</f>
        <v/>
      </c>
      <c r="AF65" s="83">
        <f>MAX(2.38*ABS((L65+0.1)-G65)^0.25,AE65)</f>
        <v/>
      </c>
      <c r="AG65" s="83">
        <f>0.0036*N65+36.6</f>
        <v/>
      </c>
      <c r="AH65" s="83">
        <f>12.165+0.02017*G65+0.04361*L65+0.19354*M65-0.25315*J65+0.005346*N65</f>
        <v/>
      </c>
      <c r="AI65" s="83">
        <f>7.191+0.064*G65+0.061*L65+0.198*M65-0.348*J65</f>
        <v/>
      </c>
      <c r="AJ65" s="83">
        <f>IF(AND(G65&gt;='Datos de Referencia'!$B$23,G65&lt;='Datos de Referencia'!$C$23),1,0)</f>
        <v/>
      </c>
      <c r="AK65" s="83">
        <f>IF(AND(L65-G65&gt;='Datos de Referencia'!$B$24,L65-G65&lt;='Datos de Referencia'!$C$24),1,0)</f>
        <v/>
      </c>
      <c r="AL65" s="83">
        <f>IF(AND(J65&gt;='Datos de Referencia'!$B$25,J65&lt;='Datos de Referencia'!$C$25),1,0)</f>
        <v/>
      </c>
      <c r="AM65" s="83">
        <f>IF(AND(M65&gt;='Datos de Referencia'!$B$26,M65&lt;='Datos de Referencia'!$C$26),1,0)</f>
        <v/>
      </c>
      <c r="AN65" s="83">
        <f>IF(N65&lt;='Datos de Referencia'!$C$27,1,0)</f>
        <v/>
      </c>
      <c r="AO65" s="83">
        <f>IF(N65&gt;='Datos de Referencia'!$B$27,1,0)</f>
        <v/>
      </c>
      <c r="AP65" s="83">
        <f>AJ65*AK65*AL65*AM65*AN65</f>
        <v/>
      </c>
      <c r="AQ65" s="83">
        <f>IF(E65=0,"",IF(F65=0,"Datos incompletos",IF(AP65=0,"Fuera de rango ISO 7933: "&amp;IF(AJ65=0,"Tbs ","")&amp;IF(AK65=0,"Tr-Tbs ","")&amp;IF(AL65=0,"v ","")&amp;IF(AM65=0,"Pa ","")&amp;IF(AN65=0,"M&gt;250 W/m² ",""),IF(AO65=0,"M&lt;56 W/m² (advertencia)","OK"))))</f>
        <v/>
      </c>
    </row>
    <row r="66">
      <c r="A66" s="83" t="n">
        <v>6</v>
      </c>
      <c r="B66" s="83">
        <f>IF('Análisis Detallado'!B9="","",'Análisis Detallado'!B9)</f>
        <v/>
      </c>
      <c r="C66" s="83">
        <f>IF(N('Análisis Detallado'!C9)&gt;0,ROUND('Análisis Detallado'!C9*60,0),0)</f>
        <v/>
      </c>
      <c r="D66" s="83">
        <f>SUM($C$61:C66)-C66</f>
        <v/>
      </c>
      <c r="E66" s="83">
        <f>IF(C66&gt;0,1,0)</f>
        <v/>
      </c>
      <c r="F66" s="83">
        <f>IF(C66&gt;0,IF(AND(ISNUMBER('Análisis Detallado'!G9),ISNUMBER('Análisis Detallado'!H9),ISNUMBER('Análisis Detallado'!I9),ISNUMBER('Análisis Detallado'!J9),ISNUMBER('Análisis Detallado'!E9)),IF(AND('Análisis Detallado'!E9&gt;0,'Análisis Detallado'!I9&gt;=0,'Análisis Detallado'!I9&lt;=100,'Análisis Detallado'!J9&gt;=0),1,0),0),0)</f>
        <v/>
      </c>
      <c r="G66" s="97">
        <f>IF(F66=1,'Análisis Detallado'!G9,25)</f>
        <v/>
      </c>
      <c r="H66" s="97">
        <f>IF(F66=1,'Análisis Detallado'!H9,25)</f>
        <v/>
      </c>
      <c r="I66" s="83">
        <f>IF(F66=1,'Análisis Detallado'!I9,50)</f>
        <v/>
      </c>
      <c r="J66" s="83">
        <f>IF(F66=1,'Análisis Detallado'!J9,0.3)</f>
        <v/>
      </c>
      <c r="K66" s="97">
        <f>IF(F66=1,'Análisis Detallado'!E9,115)</f>
        <v/>
      </c>
      <c r="L66" s="97">
        <f>((H66+273)^4+MAX(6.3*J66^0.6/$B$23^0.4,1.4*(ABS(H66-G66)/$B$23)^0.25)*(H66-G66)/($B$24*0.0000000567))^0.25-273</f>
        <v/>
      </c>
      <c r="M66" s="97">
        <f>0.6105*EXP(17.27*G66/(G66+237.3))*I66/100</f>
        <v/>
      </c>
      <c r="N66" s="97">
        <f>K66/$B$6</f>
        <v/>
      </c>
      <c r="O66" s="83">
        <f>IF($B$22&gt;0,$B$22,MIN(0.0052*(N66-58),0.7))</f>
        <v/>
      </c>
      <c r="P66" s="83">
        <f>IF($B$22&gt;0,IF(J66&lt;$B$22,$B$22,J66),J66)</f>
        <v/>
      </c>
      <c r="Q66" s="83">
        <f>MIN(P66,3)</f>
        <v/>
      </c>
      <c r="R66" s="83">
        <f>MIN(O66,1.5)</f>
        <v/>
      </c>
      <c r="S66" s="83">
        <f>MIN(1.044*EXP((0.066*Q66-0.398)*Q66+(0.094*R66-0.378)*R66),1)</f>
        <v/>
      </c>
      <c r="T66" s="83">
        <f>MIN(EXP((0.047*P66-0.472)*P66+(0.117*R66-0.342)*R66),1)</f>
        <v/>
      </c>
      <c r="U66" s="83">
        <f>IF($B$13&lt;=0.6,((0.6-$B$13)*T66+$B$13*S66)/0.6,S66)</f>
        <v/>
      </c>
      <c r="V66" s="83">
        <f>$B$15*U66</f>
        <v/>
      </c>
      <c r="W66" s="83">
        <f>T66*0.111</f>
        <v/>
      </c>
      <c r="X66" s="83">
        <f>V66-W66/$B$14</f>
        <v/>
      </c>
      <c r="Y66" s="83">
        <f>(2.6*U66-6.5)*U66+4.9</f>
        <v/>
      </c>
      <c r="Z66" s="83">
        <f>MIN($B$16*Y66,0.9)</f>
        <v/>
      </c>
      <c r="AA66" s="83">
        <f>V66/Z66/16.7</f>
        <v/>
      </c>
      <c r="AB66" s="83">
        <f>28.56+0.115*G66+0.641*M66</f>
        <v/>
      </c>
      <c r="AC66" s="83">
        <f>0.001516*N66*(AB66-G66)</f>
        <v/>
      </c>
      <c r="AD66" s="83">
        <f>0.00127*N66*(59.34+0.53*G66-11.63*M66)</f>
        <v/>
      </c>
      <c r="AE66" s="83">
        <f>IF(P66&gt;1,8.7*P66^0.6,3.5+5.2*P66)</f>
        <v/>
      </c>
      <c r="AF66" s="83">
        <f>MAX(2.38*ABS((L66+0.1)-G66)^0.25,AE66)</f>
        <v/>
      </c>
      <c r="AG66" s="83">
        <f>0.0036*N66+36.6</f>
        <v/>
      </c>
      <c r="AH66" s="83">
        <f>12.165+0.02017*G66+0.04361*L66+0.19354*M66-0.25315*J66+0.005346*N66</f>
        <v/>
      </c>
      <c r="AI66" s="83">
        <f>7.191+0.064*G66+0.061*L66+0.198*M66-0.348*J66</f>
        <v/>
      </c>
      <c r="AJ66" s="83">
        <f>IF(AND(G66&gt;='Datos de Referencia'!$B$23,G66&lt;='Datos de Referencia'!$C$23),1,0)</f>
        <v/>
      </c>
      <c r="AK66" s="83">
        <f>IF(AND(L66-G66&gt;='Datos de Referencia'!$B$24,L66-G66&lt;='Datos de Referencia'!$C$24),1,0)</f>
        <v/>
      </c>
      <c r="AL66" s="83">
        <f>IF(AND(J66&gt;='Datos de Referencia'!$B$25,J66&lt;='Datos de Referencia'!$C$25),1,0)</f>
        <v/>
      </c>
      <c r="AM66" s="83">
        <f>IF(AND(M66&gt;='Datos de Referencia'!$B$26,M66&lt;='Datos de Referencia'!$C$26),1,0)</f>
        <v/>
      </c>
      <c r="AN66" s="83">
        <f>IF(N66&lt;='Datos de Referencia'!$C$27,1,0)</f>
        <v/>
      </c>
      <c r="AO66" s="83">
        <f>IF(N66&gt;='Datos de Referencia'!$B$27,1,0)</f>
        <v/>
      </c>
      <c r="AP66" s="83">
        <f>AJ66*AK66*AL66*AM66*AN66</f>
        <v/>
      </c>
      <c r="AQ66" s="83">
        <f>IF(E66=0,"",IF(F66=0,"Datos incompletos",IF(AP66=0,"Fuera de rango ISO 7933: "&amp;IF(AJ66=0,"Tbs ","")&amp;IF(AK66=0,"Tr-Tbs ","")&amp;IF(AL66=0,"v ","")&amp;IF(AM66=0,"Pa ","")&amp;IF(AN66=0,"M&gt;250 W/m² ",""),IF(AO66=0,"M&lt;56 W/m² (advertencia)","OK"))))</f>
        <v/>
      </c>
    </row>
    <row r="67">
      <c r="A67" s="83" t="n">
        <v>7</v>
      </c>
      <c r="B67" s="83">
        <f>IF('Análisis Detallado'!B10="","",'Análisis Detallado'!B10)</f>
        <v/>
      </c>
      <c r="C67" s="83">
        <f>IF(N('Análisis Detallado'!C10)&gt;0,ROUND('Análisis Detallado'!C10*60,0),0)</f>
        <v/>
      </c>
      <c r="D67" s="83">
        <f>SUM($C$61:C67)-C67</f>
        <v/>
      </c>
      <c r="E67" s="83">
        <f>IF(C67&gt;0,1,0)</f>
        <v/>
      </c>
      <c r="F67" s="83">
        <f>IF(C67&gt;0,IF(AND(ISNUMBER('Análisis Detallado'!G10),ISNUMBER('Análisis Detallado'!H10),ISNUMBER('Análisis Detallado'!I10),ISNUMBER('Análisis Detallado'!J10),ISNUMBER('Análisis Detallado'!E10)),IF(AND('Análisis Detallado'!E10&gt;0,'Análisis Detallado'!I10&gt;=0,'Análisis Detallado'!I10&lt;=100,'Análisis Detallado'!J10&gt;=0),1,0),0),0)</f>
        <v/>
      </c>
      <c r="G67" s="97">
        <f>IF(F67=1,'Análisis Detallado'!G10,25)</f>
        <v/>
      </c>
      <c r="H67" s="97">
        <f>IF(F67=1,'Análisis Detallado'!H10,25)</f>
        <v/>
      </c>
      <c r="I67" s="83">
        <f>IF(F67=1,'Análisis Detallado'!I10,50)</f>
        <v/>
      </c>
      <c r="J67" s="83">
        <f>IF(F67=1,'Análisis Detallado'!J10,0.3)</f>
        <v/>
      </c>
      <c r="K67" s="97">
        <f>IF(F67=1,'Análisis Detallado'!E10,115)</f>
        <v/>
      </c>
      <c r="L67" s="97">
        <f>((H67+273)^4+MAX(6.3*J67^0.6/$B$23^0.4,1.4*(ABS(H67-G67)/$B$23)^0.25)*(H67-G67)/($B$24*0.0000000567))^0.25-273</f>
        <v/>
      </c>
      <c r="M67" s="97">
        <f>0.6105*EXP(17.27*G67/(G67+237.3))*I67/100</f>
        <v/>
      </c>
      <c r="N67" s="97">
        <f>K67/$B$6</f>
        <v/>
      </c>
      <c r="O67" s="83">
        <f>IF($B$22&gt;0,$B$22,MIN(0.0052*(N67-58),0.7))</f>
        <v/>
      </c>
      <c r="P67" s="83">
        <f>IF($B$22&gt;0,IF(J67&lt;$B$22,$B$22,J67),J67)</f>
        <v/>
      </c>
      <c r="Q67" s="83">
        <f>MIN(P67,3)</f>
        <v/>
      </c>
      <c r="R67" s="83">
        <f>MIN(O67,1.5)</f>
        <v/>
      </c>
      <c r="S67" s="83">
        <f>MIN(1.044*EXP((0.066*Q67-0.398)*Q67+(0.094*R67-0.378)*R67),1)</f>
        <v/>
      </c>
      <c r="T67" s="83">
        <f>MIN(EXP((0.047*P67-0.472)*P67+(0.117*R67-0.342)*R67),1)</f>
        <v/>
      </c>
      <c r="U67" s="83">
        <f>IF($B$13&lt;=0.6,((0.6-$B$13)*T67+$B$13*S67)/0.6,S67)</f>
        <v/>
      </c>
      <c r="V67" s="83">
        <f>$B$15*U67</f>
        <v/>
      </c>
      <c r="W67" s="83">
        <f>T67*0.111</f>
        <v/>
      </c>
      <c r="X67" s="83">
        <f>V67-W67/$B$14</f>
        <v/>
      </c>
      <c r="Y67" s="83">
        <f>(2.6*U67-6.5)*U67+4.9</f>
        <v/>
      </c>
      <c r="Z67" s="83">
        <f>MIN($B$16*Y67,0.9)</f>
        <v/>
      </c>
      <c r="AA67" s="83">
        <f>V67/Z67/16.7</f>
        <v/>
      </c>
      <c r="AB67" s="83">
        <f>28.56+0.115*G67+0.641*M67</f>
        <v/>
      </c>
      <c r="AC67" s="83">
        <f>0.001516*N67*(AB67-G67)</f>
        <v/>
      </c>
      <c r="AD67" s="83">
        <f>0.00127*N67*(59.34+0.53*G67-11.63*M67)</f>
        <v/>
      </c>
      <c r="AE67" s="83">
        <f>IF(P67&gt;1,8.7*P67^0.6,3.5+5.2*P67)</f>
        <v/>
      </c>
      <c r="AF67" s="83">
        <f>MAX(2.38*ABS((L67+0.1)-G67)^0.25,AE67)</f>
        <v/>
      </c>
      <c r="AG67" s="83">
        <f>0.0036*N67+36.6</f>
        <v/>
      </c>
      <c r="AH67" s="83">
        <f>12.165+0.02017*G67+0.04361*L67+0.19354*M67-0.25315*J67+0.005346*N67</f>
        <v/>
      </c>
      <c r="AI67" s="83">
        <f>7.191+0.064*G67+0.061*L67+0.198*M67-0.348*J67</f>
        <v/>
      </c>
      <c r="AJ67" s="83">
        <f>IF(AND(G67&gt;='Datos de Referencia'!$B$23,G67&lt;='Datos de Referencia'!$C$23),1,0)</f>
        <v/>
      </c>
      <c r="AK67" s="83">
        <f>IF(AND(L67-G67&gt;='Datos de Referencia'!$B$24,L67-G67&lt;='Datos de Referencia'!$C$24),1,0)</f>
        <v/>
      </c>
      <c r="AL67" s="83">
        <f>IF(AND(J67&gt;='Datos de Referencia'!$B$25,J67&lt;='Datos de Referencia'!$C$25),1,0)</f>
        <v/>
      </c>
      <c r="AM67" s="83">
        <f>IF(AND(M67&gt;='Datos de Referencia'!$B$26,M67&lt;='Datos de Referencia'!$C$26),1,0)</f>
        <v/>
      </c>
      <c r="AN67" s="83">
        <f>IF(N67&lt;='Datos de Referencia'!$C$27,1,0)</f>
        <v/>
      </c>
      <c r="AO67" s="83">
        <f>IF(N67&gt;='Datos de Referencia'!$B$27,1,0)</f>
        <v/>
      </c>
      <c r="AP67" s="83">
        <f>AJ67*AK67*AL67*AM67*AN67</f>
        <v/>
      </c>
      <c r="AQ67" s="83">
        <f>IF(E67=0,"",IF(F67=0,"Datos incompletos",IF(AP67=0,"Fuera de rango ISO 7933: "&amp;IF(AJ67=0,"Tbs ","")&amp;IF(AK67=0,"Tr-Tbs ","")&amp;IF(AL67=0,"v ","")&amp;IF(AM67=0,"Pa ","")&amp;IF(AN67=0,"M&gt;250 W/m² ",""),IF(AO67=0,"M&lt;56 W/m² (advertencia)","OK"))))</f>
        <v/>
      </c>
    </row>
    <row r="68">
      <c r="A68" s="83" t="n">
        <v>8</v>
      </c>
      <c r="B68" s="83">
        <f>IF('Análisis Detallado'!B11="","",'Análisis Detallado'!B11)</f>
        <v/>
      </c>
      <c r="C68" s="83">
        <f>IF(N('Análisis Detallado'!C11)&gt;0,ROUND('Análisis Detallado'!C11*60,0),0)</f>
        <v/>
      </c>
      <c r="D68" s="83">
        <f>SUM($C$61:C68)-C68</f>
        <v/>
      </c>
      <c r="E68" s="83">
        <f>IF(C68&gt;0,1,0)</f>
        <v/>
      </c>
      <c r="F68" s="83">
        <f>IF(C68&gt;0,IF(AND(ISNUMBER('Análisis Detallado'!G11),ISNUMBER('Análisis Detallado'!H11),ISNUMBER('Análisis Detallado'!I11),ISNUMBER('Análisis Detallado'!J11),ISNUMBER('Análisis Detallado'!E11)),IF(AND('Análisis Detallado'!E11&gt;0,'Análisis Detallado'!I11&gt;=0,'Análisis Detallado'!I11&lt;=100,'Análisis Detallado'!J11&gt;=0),1,0),0),0)</f>
        <v/>
      </c>
      <c r="G68" s="97">
        <f>IF(F68=1,'Análisis Detallado'!G11,25)</f>
        <v/>
      </c>
      <c r="H68" s="97">
        <f>IF(F68=1,'Análisis Detallado'!H11,25)</f>
        <v/>
      </c>
      <c r="I68" s="83">
        <f>IF(F68=1,'Análisis Detallado'!I11,50)</f>
        <v/>
      </c>
      <c r="J68" s="83">
        <f>IF(F68=1,'Análisis Detallado'!J11,0.3)</f>
        <v/>
      </c>
      <c r="K68" s="97">
        <f>IF(F68=1,'Análisis Detallado'!E11,115)</f>
        <v/>
      </c>
      <c r="L68" s="97">
        <f>((H68+273)^4+MAX(6.3*J68^0.6/$B$23^0.4,1.4*(ABS(H68-G68)/$B$23)^0.25)*(H68-G68)/($B$24*0.0000000567))^0.25-273</f>
        <v/>
      </c>
      <c r="M68" s="97">
        <f>0.6105*EXP(17.27*G68/(G68+237.3))*I68/100</f>
        <v/>
      </c>
      <c r="N68" s="97">
        <f>K68/$B$6</f>
        <v/>
      </c>
      <c r="O68" s="83">
        <f>IF($B$22&gt;0,$B$22,MIN(0.0052*(N68-58),0.7))</f>
        <v/>
      </c>
      <c r="P68" s="83">
        <f>IF($B$22&gt;0,IF(J68&lt;$B$22,$B$22,J68),J68)</f>
        <v/>
      </c>
      <c r="Q68" s="83">
        <f>MIN(P68,3)</f>
        <v/>
      </c>
      <c r="R68" s="83">
        <f>MIN(O68,1.5)</f>
        <v/>
      </c>
      <c r="S68" s="83">
        <f>MIN(1.044*EXP((0.066*Q68-0.398)*Q68+(0.094*R68-0.378)*R68),1)</f>
        <v/>
      </c>
      <c r="T68" s="83">
        <f>MIN(EXP((0.047*P68-0.472)*P68+(0.117*R68-0.342)*R68),1)</f>
        <v/>
      </c>
      <c r="U68" s="83">
        <f>IF($B$13&lt;=0.6,((0.6-$B$13)*T68+$B$13*S68)/0.6,S68)</f>
        <v/>
      </c>
      <c r="V68" s="83">
        <f>$B$15*U68</f>
        <v/>
      </c>
      <c r="W68" s="83">
        <f>T68*0.111</f>
        <v/>
      </c>
      <c r="X68" s="83">
        <f>V68-W68/$B$14</f>
        <v/>
      </c>
      <c r="Y68" s="83">
        <f>(2.6*U68-6.5)*U68+4.9</f>
        <v/>
      </c>
      <c r="Z68" s="83">
        <f>MIN($B$16*Y68,0.9)</f>
        <v/>
      </c>
      <c r="AA68" s="83">
        <f>V68/Z68/16.7</f>
        <v/>
      </c>
      <c r="AB68" s="83">
        <f>28.56+0.115*G68+0.641*M68</f>
        <v/>
      </c>
      <c r="AC68" s="83">
        <f>0.001516*N68*(AB68-G68)</f>
        <v/>
      </c>
      <c r="AD68" s="83">
        <f>0.00127*N68*(59.34+0.53*G68-11.63*M68)</f>
        <v/>
      </c>
      <c r="AE68" s="83">
        <f>IF(P68&gt;1,8.7*P68^0.6,3.5+5.2*P68)</f>
        <v/>
      </c>
      <c r="AF68" s="83">
        <f>MAX(2.38*ABS((L68+0.1)-G68)^0.25,AE68)</f>
        <v/>
      </c>
      <c r="AG68" s="83">
        <f>0.0036*N68+36.6</f>
        <v/>
      </c>
      <c r="AH68" s="83">
        <f>12.165+0.02017*G68+0.04361*L68+0.19354*M68-0.25315*J68+0.005346*N68</f>
        <v/>
      </c>
      <c r="AI68" s="83">
        <f>7.191+0.064*G68+0.061*L68+0.198*M68-0.348*J68</f>
        <v/>
      </c>
      <c r="AJ68" s="83">
        <f>IF(AND(G68&gt;='Datos de Referencia'!$B$23,G68&lt;='Datos de Referencia'!$C$23),1,0)</f>
        <v/>
      </c>
      <c r="AK68" s="83">
        <f>IF(AND(L68-G68&gt;='Datos de Referencia'!$B$24,L68-G68&lt;='Datos de Referencia'!$C$24),1,0)</f>
        <v/>
      </c>
      <c r="AL68" s="83">
        <f>IF(AND(J68&gt;='Datos de Referencia'!$B$25,J68&lt;='Datos de Referencia'!$C$25),1,0)</f>
        <v/>
      </c>
      <c r="AM68" s="83">
        <f>IF(AND(M68&gt;='Datos de Referencia'!$B$26,M68&lt;='Datos de Referencia'!$C$26),1,0)</f>
        <v/>
      </c>
      <c r="AN68" s="83">
        <f>IF(N68&lt;='Datos de Referencia'!$C$27,1,0)</f>
        <v/>
      </c>
      <c r="AO68" s="83">
        <f>IF(N68&gt;='Datos de Referencia'!$B$27,1,0)</f>
        <v/>
      </c>
      <c r="AP68" s="83">
        <f>AJ68*AK68*AL68*AM68*AN68</f>
        <v/>
      </c>
      <c r="AQ68" s="83">
        <f>IF(E68=0,"",IF(F68=0,"Datos incompletos",IF(AP68=0,"Fuera de rango ISO 7933: "&amp;IF(AJ68=0,"Tbs ","")&amp;IF(AK68=0,"Tr-Tbs ","")&amp;IF(AL68=0,"v ","")&amp;IF(AM68=0,"Pa ","")&amp;IF(AN68=0,"M&gt;250 W/m² ",""),IF(AO68=0,"M&lt;56 W/m² (advertencia)","OK"))))</f>
        <v/>
      </c>
    </row>
    <row r="71">
      <c r="A71" s="79" t="inlineStr">
        <is>
          <t>SIMULACIÓN MINUTO A MINUTO</t>
        </is>
      </c>
    </row>
    <row r="72">
      <c r="A72" s="96" t="inlineStr">
        <is>
          <t>t (min)</t>
        </is>
      </c>
      <c r="B72" s="96" t="inlineStr">
        <is>
          <t>tarea</t>
        </is>
      </c>
      <c r="C72" s="96" t="inlineStr">
        <is>
          <t>Tbs</t>
        </is>
      </c>
      <c r="D72" s="96" t="inlineStr">
        <is>
          <t>Tr</t>
        </is>
      </c>
      <c r="E72" s="96" t="inlineStr">
        <is>
          <t>Pa</t>
        </is>
      </c>
      <c r="F72" s="96" t="inlineStr">
        <is>
          <t>M W/m²</t>
        </is>
      </c>
      <c r="G72" s="96" t="inlineStr">
        <is>
          <t>r_t_dyn</t>
        </is>
      </c>
      <c r="H72" s="96" t="inlineStr">
        <is>
          <t>i_cl_dyn</t>
        </is>
      </c>
      <c r="I72" s="96" t="inlineStr">
        <is>
          <t>hc_dyn</t>
        </is>
      </c>
      <c r="J72" s="96" t="inlineStr">
        <is>
          <t>c_res</t>
        </is>
      </c>
      <c r="K72" s="96" t="inlineStr">
        <is>
          <t>e_res</t>
        </is>
      </c>
      <c r="L72" s="96" t="inlineStr">
        <is>
          <t>Tcr_eq(M)</t>
        </is>
      </c>
      <c r="M72" s="96" t="inlineStr">
        <is>
          <t>clb</t>
        </is>
      </c>
      <c r="N72" s="96" t="inlineStr">
        <is>
          <t>nub</t>
        </is>
      </c>
      <c r="O72" s="96" t="inlineStr">
        <is>
          <t>Tcr_eq</t>
        </is>
      </c>
      <c r="P72" s="96" t="inlineStr">
        <is>
          <t>d_stored_eq</t>
        </is>
      </c>
      <c r="Q72" s="96" t="inlineStr">
        <is>
          <t>Tsk_eq cl</t>
        </is>
      </c>
      <c r="R72" s="96" t="inlineStr">
        <is>
          <t>Tsk_eq nu</t>
        </is>
      </c>
      <c r="S72" s="96" t="inlineStr">
        <is>
          <t>Tsk_eq</t>
        </is>
      </c>
      <c r="T72" s="96" t="inlineStr">
        <is>
          <t>Tsk</t>
        </is>
      </c>
      <c r="U72" s="96" t="inlineStr">
        <is>
          <t>p_sk</t>
        </is>
      </c>
      <c r="V72" s="96" t="inlineStr">
        <is>
          <t>Tcl 1</t>
        </is>
      </c>
      <c r="W72" s="96" t="inlineStr">
        <is>
          <t>Tcl 2</t>
        </is>
      </c>
      <c r="X72" s="96" t="inlineStr">
        <is>
          <t>Tcl 3</t>
        </is>
      </c>
      <c r="Y72" s="96" t="inlineStr">
        <is>
          <t>Tcl 4</t>
        </is>
      </c>
      <c r="Z72" s="96" t="inlineStr">
        <is>
          <t>h_r</t>
        </is>
      </c>
      <c r="AA72" s="96" t="inlineStr">
        <is>
          <t>conv</t>
        </is>
      </c>
      <c r="AB72" s="96" t="inlineStr">
        <is>
          <t>rad</t>
        </is>
      </c>
      <c r="AC72" s="96" t="inlineStr">
        <is>
          <t>e_max</t>
        </is>
      </c>
      <c r="AD72" s="96" t="inlineStr">
        <is>
          <t>e_req</t>
        </is>
      </c>
      <c r="AE72" s="96" t="inlineStr">
        <is>
          <t>w_req</t>
        </is>
      </c>
      <c r="AF72" s="96" t="inlineStr">
        <is>
          <t>sw_req</t>
        </is>
      </c>
      <c r="AG72" s="96" t="inlineStr">
        <is>
          <t>sudor</t>
        </is>
      </c>
      <c r="AH72" s="96" t="inlineStr">
        <is>
          <t>e_max*</t>
        </is>
      </c>
      <c r="AI72" s="96" t="inlineStr">
        <is>
          <t>k</t>
        </is>
      </c>
      <c r="AJ72" s="96" t="inlineStr">
        <is>
          <t>wp</t>
        </is>
      </c>
      <c r="AK72" s="96" t="inlineStr">
        <is>
          <t>e_p</t>
        </is>
      </c>
      <c r="AL72" s="96" t="inlineStr">
        <is>
          <t>e_req*</t>
        </is>
      </c>
      <c r="AM72" s="96" t="inlineStr">
        <is>
          <t>d_storage</t>
        </is>
      </c>
      <c r="AN72" s="96" t="inlineStr">
        <is>
          <t>Tcr 1</t>
        </is>
      </c>
      <c r="AO72" s="96" t="inlineStr">
        <is>
          <t>Tcr 2</t>
        </is>
      </c>
      <c r="AP72" s="96" t="inlineStr">
        <is>
          <t>Tcr 3</t>
        </is>
      </c>
      <c r="AQ72" s="96" t="inlineStr">
        <is>
          <t>Tcr 4</t>
        </is>
      </c>
      <c r="AR72" s="96" t="inlineStr">
        <is>
          <t>Tcr</t>
        </is>
      </c>
      <c r="AS72" s="96" t="inlineStr">
        <is>
          <t>peso Tsk/Tcr</t>
        </is>
      </c>
      <c r="AT72" s="96" t="inlineStr">
        <is>
          <t>Tre</t>
        </is>
      </c>
      <c r="AU72" s="96" t="inlineStr">
        <is>
          <t>carga evap.</t>
        </is>
      </c>
      <c r="AV72" s="96" t="inlineStr">
        <is>
          <t>pérdida agua (g)</t>
        </is>
      </c>
      <c r="AW72" s="96" t="inlineStr">
        <is>
          <t>Tre≥38</t>
        </is>
      </c>
      <c r="AX72" s="96" t="inlineStr">
        <is>
          <t>pérdida≥lím.</t>
        </is>
      </c>
    </row>
    <row r="73">
      <c r="A73" s="98" t="n">
        <v>0</v>
      </c>
      <c r="B73" s="98" t="n"/>
      <c r="C73" s="98" t="n"/>
      <c r="D73" s="98" t="n"/>
      <c r="E73" s="98" t="n"/>
      <c r="F73" s="98" t="n"/>
      <c r="G73" s="98" t="n"/>
      <c r="H73" s="98" t="n"/>
      <c r="I73" s="98" t="n"/>
      <c r="J73" s="98" t="n"/>
      <c r="K73" s="98" t="n"/>
      <c r="L73" s="98" t="n"/>
      <c r="M73" s="98" t="n"/>
      <c r="N73" s="98" t="n"/>
      <c r="O73" s="98">
        <f>$B$32</f>
        <v/>
      </c>
      <c r="P73" s="98" t="n"/>
      <c r="Q73" s="98" t="n"/>
      <c r="R73" s="98" t="n"/>
      <c r="S73" s="98" t="n"/>
      <c r="T73" s="98">
        <f>$B$29</f>
        <v/>
      </c>
      <c r="U73" s="98" t="n"/>
      <c r="V73" s="98" t="n"/>
      <c r="W73" s="98" t="n"/>
      <c r="X73" s="98" t="n"/>
      <c r="Y73" s="98" t="n"/>
      <c r="Z73" s="98" t="n"/>
      <c r="AA73" s="98" t="n"/>
      <c r="AB73" s="98" t="n"/>
      <c r="AC73" s="98" t="n"/>
      <c r="AD73" s="98" t="n"/>
      <c r="AE73" s="98" t="n"/>
      <c r="AF73" s="98" t="n"/>
      <c r="AG73" s="98">
        <f>$B$34</f>
        <v/>
      </c>
      <c r="AH73" s="98" t="n"/>
      <c r="AI73" s="98" t="n"/>
      <c r="AJ73" s="98" t="n"/>
      <c r="AK73" s="98" t="n"/>
      <c r="AL73" s="98" t="n"/>
      <c r="AM73" s="98" t="n"/>
      <c r="AN73" s="98" t="n"/>
      <c r="AO73" s="98" t="n"/>
      <c r="AP73" s="98" t="n"/>
      <c r="AQ73" s="98" t="n"/>
      <c r="AR73" s="98">
        <f>$B$30</f>
        <v/>
      </c>
      <c r="AS73" s="98">
        <f>$B$33</f>
        <v/>
      </c>
      <c r="AT73" s="98">
        <f>$B$31</f>
        <v/>
      </c>
      <c r="AU73" s="98">
        <f>$B$35</f>
        <v/>
      </c>
      <c r="AV73" s="98" t="n"/>
      <c r="AW73" s="98" t="n"/>
      <c r="AX73" s="98" t="n"/>
    </row>
    <row r="74">
      <c r="A74" t="n">
        <v>1</v>
      </c>
      <c r="B74">
        <f>MATCH(A74-1,$D$61:$D$68,1)</f>
        <v/>
      </c>
      <c r="C74">
        <f>INDEX($G$61:$G$68,B74)</f>
        <v/>
      </c>
      <c r="D74">
        <f>INDEX($L$61:$L$68,B74)</f>
        <v/>
      </c>
      <c r="E74">
        <f>INDEX($M$61:$M$68,B74)</f>
        <v/>
      </c>
      <c r="F74">
        <f>INDEX($N$61:$N$68,B74)</f>
        <v/>
      </c>
      <c r="G74">
        <f>INDEX($AA$61:$AA$68,B74)</f>
        <v/>
      </c>
      <c r="H74">
        <f>INDEX($X$61:$X$68,B74)</f>
        <v/>
      </c>
      <c r="I74">
        <f>INDEX($AF$61:$AF$68,B74)</f>
        <v/>
      </c>
      <c r="J74">
        <f>INDEX($AC$61:$AC$68,B74)</f>
        <v/>
      </c>
      <c r="K74">
        <f>INDEX($AD$61:$AD$68,B74)</f>
        <v/>
      </c>
      <c r="L74">
        <f>INDEX($AG$61:$AG$68,B74)</f>
        <v/>
      </c>
      <c r="M74">
        <f>INDEX($AH$61:$AH$68,B74)</f>
        <v/>
      </c>
      <c r="N74">
        <f>INDEX($AI$61:$AI$68,B74)</f>
        <v/>
      </c>
      <c r="O74">
        <f>O73*$B$26+L74*(1-$B$26)</f>
        <v/>
      </c>
      <c r="P74">
        <f>$B$7*(O74-O73)*(1-AS73)</f>
        <v/>
      </c>
      <c r="Q74">
        <f>M74+0.51274*AT73</f>
        <v/>
      </c>
      <c r="R74">
        <f>N74+0.616*AT73</f>
        <v/>
      </c>
      <c r="S74">
        <f>IF($B$13&gt;=0.6,Q74,IF($B$13&lt;=0.2,R74,R74+2.5*(Q74-R74)*($B$13-0.2)))</f>
        <v/>
      </c>
      <c r="T74">
        <f>IF(A74=1,S74,T73*$B$27+S74*(1-$B$27))</f>
        <v/>
      </c>
      <c r="U74">
        <f>0.6105*EXP(17.27*T74/(T74+237.3))</f>
        <v/>
      </c>
      <c r="V74">
        <f>($B$14*(I74*C74+IF(ABS((D74+0.1)-D74)&lt;0.000000001,4*$B$19*$B$20*(D74+273)^3,$B$19*$B$20*(((D74+0.1)+273)^4-(D74+273)^4)/((D74+0.1)-D74))*D74)+T74/H74)/($B$14*(I74+IF(ABS((D74+0.1)-D74)&lt;0.000000001,4*$B$19*$B$20*(D74+273)^3,$B$19*$B$20*(((D74+0.1)+273)^4-(D74+273)^4)/((D74+0.1)-D74)))+1/H74)</f>
        <v/>
      </c>
      <c r="W74">
        <f>($B$14*(I74*C74+IF(ABS(V74-D74)&lt;0.000000001,4*$B$19*$B$20*(D74+273)^3,$B$19*$B$20*((V74+273)^4-(D74+273)^4)/(V74-D74))*D74)+T74/H74)/($B$14*(I74+IF(ABS(V74-D74)&lt;0.000000001,4*$B$19*$B$20*(D74+273)^3,$B$19*$B$20*((V74+273)^4-(D74+273)^4)/(V74-D74)))+1/H74)</f>
        <v/>
      </c>
      <c r="X74">
        <f>($B$14*(I74*C74+IF(ABS(W74-D74)&lt;0.000000001,4*$B$19*$B$20*(D74+273)^3,$B$19*$B$20*((W74+273)^4-(D74+273)^4)/(W74-D74))*D74)+T74/H74)/($B$14*(I74+IF(ABS(W74-D74)&lt;0.000000001,4*$B$19*$B$20*(D74+273)^3,$B$19*$B$20*((W74+273)^4-(D74+273)^4)/(W74-D74)))+1/H74)</f>
        <v/>
      </c>
      <c r="Y74">
        <f>($B$14*(I74*C74+IF(ABS(X74-D74)&lt;0.000000001,4*$B$19*$B$20*(D74+273)^3,$B$19*$B$20*((X74+273)^4-(D74+273)^4)/(X74-D74))*D74)+T74/H74)/($B$14*(I74+IF(ABS(X74-D74)&lt;0.000000001,4*$B$19*$B$20*(D74+273)^3,$B$19*$B$20*((X74+273)^4-(D74+273)^4)/(X74-D74)))+1/H74)</f>
        <v/>
      </c>
      <c r="Z74">
        <f>IF(ABS(Y74-D74)&lt;0.000000001,4*$B$19*$B$20*(D74+273)^3,$B$19*$B$20*((Y74+273)^4-(D74+273)^4)/(Y74-D74))</f>
        <v/>
      </c>
      <c r="AA74">
        <f>$B$14*I74*(Y74-C74)</f>
        <v/>
      </c>
      <c r="AB74">
        <f>$B$14*Z74*(Y74-D74)</f>
        <v/>
      </c>
      <c r="AC74">
        <f>IF((U74-E74)/G74=0,0.001,(U74-E74)/G74)</f>
        <v/>
      </c>
      <c r="AD74">
        <f>F74-P74-J74-K74-AA74-AB74</f>
        <v/>
      </c>
      <c r="AE74">
        <f>AD74/AC74</f>
        <v/>
      </c>
      <c r="AF74">
        <f>IF(AD74&lt;=0,0,IF(AC74&lt;=0,$B$11,IF(AE74&gt;=1.7,$B$11,MIN(AD74/MAX(0.05,IF(AE74&gt;1,(2-AE74)^2/2,1-AE74^2/2)),$B$11))))</f>
        <v/>
      </c>
      <c r="AG74">
        <f>AG73*$B$28+AF74*(1-$B$28)</f>
        <v/>
      </c>
      <c r="AH74">
        <f>IF(AND(AD74&gt;0,AC74&lt;=0),0,AC74)</f>
        <v/>
      </c>
      <c r="AI74">
        <f>AH74/MAX(AG74,0.000001)</f>
        <v/>
      </c>
      <c r="AJ74">
        <f>MIN(IF(AI74&gt;=0.5,-AI74+SQRT(AI74^2+2),1),$B$12)</f>
        <v/>
      </c>
      <c r="AK74">
        <f>IF(AG74&lt;=0,0,AJ74*AH74)</f>
        <v/>
      </c>
      <c r="AL74">
        <f>IF(AD74&lt;=0,0,AD74)</f>
        <v/>
      </c>
      <c r="AM74">
        <f>AL74-AK74+P74</f>
        <v/>
      </c>
      <c r="AN74">
        <f>((AM74/$B$7+T73*AS73/2-T74*MAX(0.1,MIN(0.3,0.3-0.09*(AR73-36.8)))/2)+AR73*(1-AS73/2))/(1-MAX(0.1,MIN(0.3,0.3-0.09*(AR73-36.8)))/2)</f>
        <v/>
      </c>
      <c r="AO74">
        <f>((AM74/$B$7+T73*AS73/2-T74*MAX(0.1,MIN(0.3,0.3-0.09*(AN74-36.8)))/2)+AR73*(1-AS73/2))/(1-MAX(0.1,MIN(0.3,0.3-0.09*(AN74-36.8)))/2)</f>
        <v/>
      </c>
      <c r="AP74">
        <f>((AM74/$B$7+T73*AS73/2-T74*MAX(0.1,MIN(0.3,0.3-0.09*(AO74-36.8)))/2)+AR73*(1-AS73/2))/(1-MAX(0.1,MIN(0.3,0.3-0.09*(AO74-36.8)))/2)</f>
        <v/>
      </c>
      <c r="AQ74">
        <f>((AM74/$B$7+T73*AS73/2-T74*MAX(0.1,MIN(0.3,0.3-0.09*(AP74-36.8)))/2)+AR73*(1-AS73/2))/(1-MAX(0.1,MIN(0.3,0.3-0.09*(AP74-36.8)))/2)</f>
        <v/>
      </c>
      <c r="AR74">
        <f>((AM74/$B$7+T73*AS73/2-T74*MAX(0.1,MIN(0.3,0.3-0.09*(AQ74-36.8)))/2)+AR73*(1-AS73/2))/(1-MAX(0.1,MIN(0.3,0.3-0.09*(AQ74-36.8)))/2)</f>
        <v/>
      </c>
      <c r="AS74">
        <f>MAX(0.1,MIN(0.3,0.3-0.09*(AR74-36.8)))</f>
        <v/>
      </c>
      <c r="AT74">
        <f>AT73+(2*AR74-1.962*AT73-1.31)/9</f>
        <v/>
      </c>
      <c r="AU74">
        <f>AU73+AG74+K74</f>
        <v/>
      </c>
      <c r="AV74">
        <f>AU74*2.67*$B$6/1.8/60</f>
        <v/>
      </c>
      <c r="AW74">
        <f>IF(AT74&gt;=$B$36,1,0)</f>
        <v/>
      </c>
      <c r="AX74">
        <f>IF(AV74&gt;=$B$21,1,0)</f>
        <v/>
      </c>
    </row>
    <row r="75">
      <c r="A75" t="n">
        <v>2</v>
      </c>
      <c r="B75">
        <f>MATCH(A75-1,$D$61:$D$68,1)</f>
        <v/>
      </c>
      <c r="C75">
        <f>INDEX($G$61:$G$68,B75)</f>
        <v/>
      </c>
      <c r="D75">
        <f>INDEX($L$61:$L$68,B75)</f>
        <v/>
      </c>
      <c r="E75">
        <f>INDEX($M$61:$M$68,B75)</f>
        <v/>
      </c>
      <c r="F75">
        <f>INDEX($N$61:$N$68,B75)</f>
        <v/>
      </c>
      <c r="G75">
        <f>INDEX($AA$61:$AA$68,B75)</f>
        <v/>
      </c>
      <c r="H75">
        <f>INDEX($X$61:$X$68,B75)</f>
        <v/>
      </c>
      <c r="I75">
        <f>INDEX($AF$61:$AF$68,B75)</f>
        <v/>
      </c>
      <c r="J75">
        <f>INDEX($AC$61:$AC$68,B75)</f>
        <v/>
      </c>
      <c r="K75">
        <f>INDEX($AD$61:$AD$68,B75)</f>
        <v/>
      </c>
      <c r="L75">
        <f>INDEX($AG$61:$AG$68,B75)</f>
        <v/>
      </c>
      <c r="M75">
        <f>INDEX($AH$61:$AH$68,B75)</f>
        <v/>
      </c>
      <c r="N75">
        <f>INDEX($AI$61:$AI$68,B75)</f>
        <v/>
      </c>
      <c r="O75">
        <f>O74*$B$26+L75*(1-$B$26)</f>
        <v/>
      </c>
      <c r="P75">
        <f>$B$7*(O75-O74)*(1-AS74)</f>
        <v/>
      </c>
      <c r="Q75">
        <f>M75+0.51274*AT74</f>
        <v/>
      </c>
      <c r="R75">
        <f>N75+0.616*AT74</f>
        <v/>
      </c>
      <c r="S75">
        <f>IF($B$13&gt;=0.6,Q75,IF($B$13&lt;=0.2,R75,R75+2.5*(Q75-R75)*($B$13-0.2)))</f>
        <v/>
      </c>
      <c r="T75">
        <f>IF(A75=1,S75,T74*$B$27+S75*(1-$B$27))</f>
        <v/>
      </c>
      <c r="U75">
        <f>0.6105*EXP(17.27*T75/(T75+237.3))</f>
        <v/>
      </c>
      <c r="V75">
        <f>($B$14*(I75*C75+IF(ABS((D75+0.1)-D75)&lt;0.000000001,4*$B$19*$B$20*(D75+273)^3,$B$19*$B$20*(((D75+0.1)+273)^4-(D75+273)^4)/((D75+0.1)-D75))*D75)+T75/H75)/($B$14*(I75+IF(ABS((D75+0.1)-D75)&lt;0.000000001,4*$B$19*$B$20*(D75+273)^3,$B$19*$B$20*(((D75+0.1)+273)^4-(D75+273)^4)/((D75+0.1)-D75)))+1/H75)</f>
        <v/>
      </c>
      <c r="W75">
        <f>($B$14*(I75*C75+IF(ABS(V75-D75)&lt;0.000000001,4*$B$19*$B$20*(D75+273)^3,$B$19*$B$20*((V75+273)^4-(D75+273)^4)/(V75-D75))*D75)+T75/H75)/($B$14*(I75+IF(ABS(V75-D75)&lt;0.000000001,4*$B$19*$B$20*(D75+273)^3,$B$19*$B$20*((V75+273)^4-(D75+273)^4)/(V75-D75)))+1/H75)</f>
        <v/>
      </c>
      <c r="X75">
        <f>($B$14*(I75*C75+IF(ABS(W75-D75)&lt;0.000000001,4*$B$19*$B$20*(D75+273)^3,$B$19*$B$20*((W75+273)^4-(D75+273)^4)/(W75-D75))*D75)+T75/H75)/($B$14*(I75+IF(ABS(W75-D75)&lt;0.000000001,4*$B$19*$B$20*(D75+273)^3,$B$19*$B$20*((W75+273)^4-(D75+273)^4)/(W75-D75)))+1/H75)</f>
        <v/>
      </c>
      <c r="Y75">
        <f>($B$14*(I75*C75+IF(ABS(X75-D75)&lt;0.000000001,4*$B$19*$B$20*(D75+273)^3,$B$19*$B$20*((X75+273)^4-(D75+273)^4)/(X75-D75))*D75)+T75/H75)/($B$14*(I75+IF(ABS(X75-D75)&lt;0.000000001,4*$B$19*$B$20*(D75+273)^3,$B$19*$B$20*((X75+273)^4-(D75+273)^4)/(X75-D75)))+1/H75)</f>
        <v/>
      </c>
      <c r="Z75">
        <f>IF(ABS(Y75-D75)&lt;0.000000001,4*$B$19*$B$20*(D75+273)^3,$B$19*$B$20*((Y75+273)^4-(D75+273)^4)/(Y75-D75))</f>
        <v/>
      </c>
      <c r="AA75">
        <f>$B$14*I75*(Y75-C75)</f>
        <v/>
      </c>
      <c r="AB75">
        <f>$B$14*Z75*(Y75-D75)</f>
        <v/>
      </c>
      <c r="AC75">
        <f>IF((U75-E75)/G75=0,0.001,(U75-E75)/G75)</f>
        <v/>
      </c>
      <c r="AD75">
        <f>F75-P75-J75-K75-AA75-AB75</f>
        <v/>
      </c>
      <c r="AE75">
        <f>AD75/AC75</f>
        <v/>
      </c>
      <c r="AF75">
        <f>IF(AD75&lt;=0,0,IF(AC75&lt;=0,$B$11,IF(AE75&gt;=1.7,$B$11,MIN(AD75/MAX(0.05,IF(AE75&gt;1,(2-AE75)^2/2,1-AE75^2/2)),$B$11))))</f>
        <v/>
      </c>
      <c r="AG75">
        <f>AG74*$B$28+AF75*(1-$B$28)</f>
        <v/>
      </c>
      <c r="AH75">
        <f>IF(AND(AD75&gt;0,AC75&lt;=0),0,AC75)</f>
        <v/>
      </c>
      <c r="AI75">
        <f>AH75/MAX(AG75,0.000001)</f>
        <v/>
      </c>
      <c r="AJ75">
        <f>MIN(IF(AI75&gt;=0.5,-AI75+SQRT(AI75^2+2),1),$B$12)</f>
        <v/>
      </c>
      <c r="AK75">
        <f>IF(AG75&lt;=0,0,AJ75*AH75)</f>
        <v/>
      </c>
      <c r="AL75">
        <f>IF(AD75&lt;=0,0,AD75)</f>
        <v/>
      </c>
      <c r="AM75">
        <f>AL75-AK75+P75</f>
        <v/>
      </c>
      <c r="AN75">
        <f>((AM75/$B$7+T74*AS74/2-T75*MAX(0.1,MIN(0.3,0.3-0.09*(AR74-36.8)))/2)+AR74*(1-AS74/2))/(1-MAX(0.1,MIN(0.3,0.3-0.09*(AR74-36.8)))/2)</f>
        <v/>
      </c>
      <c r="AO75">
        <f>((AM75/$B$7+T74*AS74/2-T75*MAX(0.1,MIN(0.3,0.3-0.09*(AN75-36.8)))/2)+AR74*(1-AS74/2))/(1-MAX(0.1,MIN(0.3,0.3-0.09*(AN75-36.8)))/2)</f>
        <v/>
      </c>
      <c r="AP75">
        <f>((AM75/$B$7+T74*AS74/2-T75*MAX(0.1,MIN(0.3,0.3-0.09*(AO75-36.8)))/2)+AR74*(1-AS74/2))/(1-MAX(0.1,MIN(0.3,0.3-0.09*(AO75-36.8)))/2)</f>
        <v/>
      </c>
      <c r="AQ75">
        <f>((AM75/$B$7+T74*AS74/2-T75*MAX(0.1,MIN(0.3,0.3-0.09*(AP75-36.8)))/2)+AR74*(1-AS74/2))/(1-MAX(0.1,MIN(0.3,0.3-0.09*(AP75-36.8)))/2)</f>
        <v/>
      </c>
      <c r="AR75">
        <f>((AM75/$B$7+T74*AS74/2-T75*MAX(0.1,MIN(0.3,0.3-0.09*(AQ75-36.8)))/2)+AR74*(1-AS74/2))/(1-MAX(0.1,MIN(0.3,0.3-0.09*(AQ75-36.8)))/2)</f>
        <v/>
      </c>
      <c r="AS75">
        <f>MAX(0.1,MIN(0.3,0.3-0.09*(AR75-36.8)))</f>
        <v/>
      </c>
      <c r="AT75">
        <f>AT74+(2*AR75-1.962*AT74-1.31)/9</f>
        <v/>
      </c>
      <c r="AU75">
        <f>AU74+AG75+K75</f>
        <v/>
      </c>
      <c r="AV75">
        <f>AU75*2.67*$B$6/1.8/60</f>
        <v/>
      </c>
      <c r="AW75">
        <f>IF(AT75&gt;=$B$36,1,0)</f>
        <v/>
      </c>
      <c r="AX75">
        <f>IF(AV75&gt;=$B$21,1,0)</f>
        <v/>
      </c>
    </row>
    <row r="76">
      <c r="A76" t="n">
        <v>3</v>
      </c>
      <c r="B76">
        <f>MATCH(A76-1,$D$61:$D$68,1)</f>
        <v/>
      </c>
      <c r="C76">
        <f>INDEX($G$61:$G$68,B76)</f>
        <v/>
      </c>
      <c r="D76">
        <f>INDEX($L$61:$L$68,B76)</f>
        <v/>
      </c>
      <c r="E76">
        <f>INDEX($M$61:$M$68,B76)</f>
        <v/>
      </c>
      <c r="F76">
        <f>INDEX($N$61:$N$68,B76)</f>
        <v/>
      </c>
      <c r="G76">
        <f>INDEX($AA$61:$AA$68,B76)</f>
        <v/>
      </c>
      <c r="H76">
        <f>INDEX($X$61:$X$68,B76)</f>
        <v/>
      </c>
      <c r="I76">
        <f>INDEX($AF$61:$AF$68,B76)</f>
        <v/>
      </c>
      <c r="J76">
        <f>INDEX($AC$61:$AC$68,B76)</f>
        <v/>
      </c>
      <c r="K76">
        <f>INDEX($AD$61:$AD$68,B76)</f>
        <v/>
      </c>
      <c r="L76">
        <f>INDEX($AG$61:$AG$68,B76)</f>
        <v/>
      </c>
      <c r="M76">
        <f>INDEX($AH$61:$AH$68,B76)</f>
        <v/>
      </c>
      <c r="N76">
        <f>INDEX($AI$61:$AI$68,B76)</f>
        <v/>
      </c>
      <c r="O76">
        <f>O75*$B$26+L76*(1-$B$26)</f>
        <v/>
      </c>
      <c r="P76">
        <f>$B$7*(O76-O75)*(1-AS75)</f>
        <v/>
      </c>
      <c r="Q76">
        <f>M76+0.51274*AT75</f>
        <v/>
      </c>
      <c r="R76">
        <f>N76+0.616*AT75</f>
        <v/>
      </c>
      <c r="S76">
        <f>IF($B$13&gt;=0.6,Q76,IF($B$13&lt;=0.2,R76,R76+2.5*(Q76-R76)*($B$13-0.2)))</f>
        <v/>
      </c>
      <c r="T76">
        <f>IF(A76=1,S76,T75*$B$27+S76*(1-$B$27))</f>
        <v/>
      </c>
      <c r="U76">
        <f>0.6105*EXP(17.27*T76/(T76+237.3))</f>
        <v/>
      </c>
      <c r="V76">
        <f>($B$14*(I76*C76+IF(ABS((D76+0.1)-D76)&lt;0.000000001,4*$B$19*$B$20*(D76+273)^3,$B$19*$B$20*(((D76+0.1)+273)^4-(D76+273)^4)/((D76+0.1)-D76))*D76)+T76/H76)/($B$14*(I76+IF(ABS((D76+0.1)-D76)&lt;0.000000001,4*$B$19*$B$20*(D76+273)^3,$B$19*$B$20*(((D76+0.1)+273)^4-(D76+273)^4)/((D76+0.1)-D76)))+1/H76)</f>
        <v/>
      </c>
      <c r="W76">
        <f>($B$14*(I76*C76+IF(ABS(V76-D76)&lt;0.000000001,4*$B$19*$B$20*(D76+273)^3,$B$19*$B$20*((V76+273)^4-(D76+273)^4)/(V76-D76))*D76)+T76/H76)/($B$14*(I76+IF(ABS(V76-D76)&lt;0.000000001,4*$B$19*$B$20*(D76+273)^3,$B$19*$B$20*((V76+273)^4-(D76+273)^4)/(V76-D76)))+1/H76)</f>
        <v/>
      </c>
      <c r="X76">
        <f>($B$14*(I76*C76+IF(ABS(W76-D76)&lt;0.000000001,4*$B$19*$B$20*(D76+273)^3,$B$19*$B$20*((W76+273)^4-(D76+273)^4)/(W76-D76))*D76)+T76/H76)/($B$14*(I76+IF(ABS(W76-D76)&lt;0.000000001,4*$B$19*$B$20*(D76+273)^3,$B$19*$B$20*((W76+273)^4-(D76+273)^4)/(W76-D76)))+1/H76)</f>
        <v/>
      </c>
      <c r="Y76">
        <f>($B$14*(I76*C76+IF(ABS(X76-D76)&lt;0.000000001,4*$B$19*$B$20*(D76+273)^3,$B$19*$B$20*((X76+273)^4-(D76+273)^4)/(X76-D76))*D76)+T76/H76)/($B$14*(I76+IF(ABS(X76-D76)&lt;0.000000001,4*$B$19*$B$20*(D76+273)^3,$B$19*$B$20*((X76+273)^4-(D76+273)^4)/(X76-D76)))+1/H76)</f>
        <v/>
      </c>
      <c r="Z76">
        <f>IF(ABS(Y76-D76)&lt;0.000000001,4*$B$19*$B$20*(D76+273)^3,$B$19*$B$20*((Y76+273)^4-(D76+273)^4)/(Y76-D76))</f>
        <v/>
      </c>
      <c r="AA76">
        <f>$B$14*I76*(Y76-C76)</f>
        <v/>
      </c>
      <c r="AB76">
        <f>$B$14*Z76*(Y76-D76)</f>
        <v/>
      </c>
      <c r="AC76">
        <f>IF((U76-E76)/G76=0,0.001,(U76-E76)/G76)</f>
        <v/>
      </c>
      <c r="AD76">
        <f>F76-P76-J76-K76-AA76-AB76</f>
        <v/>
      </c>
      <c r="AE76">
        <f>AD76/AC76</f>
        <v/>
      </c>
      <c r="AF76">
        <f>IF(AD76&lt;=0,0,IF(AC76&lt;=0,$B$11,IF(AE76&gt;=1.7,$B$11,MIN(AD76/MAX(0.05,IF(AE76&gt;1,(2-AE76)^2/2,1-AE76^2/2)),$B$11))))</f>
        <v/>
      </c>
      <c r="AG76">
        <f>AG75*$B$28+AF76*(1-$B$28)</f>
        <v/>
      </c>
      <c r="AH76">
        <f>IF(AND(AD76&gt;0,AC76&lt;=0),0,AC76)</f>
        <v/>
      </c>
      <c r="AI76">
        <f>AH76/MAX(AG76,0.000001)</f>
        <v/>
      </c>
      <c r="AJ76">
        <f>MIN(IF(AI76&gt;=0.5,-AI76+SQRT(AI76^2+2),1),$B$12)</f>
        <v/>
      </c>
      <c r="AK76">
        <f>IF(AG76&lt;=0,0,AJ76*AH76)</f>
        <v/>
      </c>
      <c r="AL76">
        <f>IF(AD76&lt;=0,0,AD76)</f>
        <v/>
      </c>
      <c r="AM76">
        <f>AL76-AK76+P76</f>
        <v/>
      </c>
      <c r="AN76">
        <f>((AM76/$B$7+T75*AS75/2-T76*MAX(0.1,MIN(0.3,0.3-0.09*(AR75-36.8)))/2)+AR75*(1-AS75/2))/(1-MAX(0.1,MIN(0.3,0.3-0.09*(AR75-36.8)))/2)</f>
        <v/>
      </c>
      <c r="AO76">
        <f>((AM76/$B$7+T75*AS75/2-T76*MAX(0.1,MIN(0.3,0.3-0.09*(AN76-36.8)))/2)+AR75*(1-AS75/2))/(1-MAX(0.1,MIN(0.3,0.3-0.09*(AN76-36.8)))/2)</f>
        <v/>
      </c>
      <c r="AP76">
        <f>((AM76/$B$7+T75*AS75/2-T76*MAX(0.1,MIN(0.3,0.3-0.09*(AO76-36.8)))/2)+AR75*(1-AS75/2))/(1-MAX(0.1,MIN(0.3,0.3-0.09*(AO76-36.8)))/2)</f>
        <v/>
      </c>
      <c r="AQ76">
        <f>((AM76/$B$7+T75*AS75/2-T76*MAX(0.1,MIN(0.3,0.3-0.09*(AP76-36.8)))/2)+AR75*(1-AS75/2))/(1-MAX(0.1,MIN(0.3,0.3-0.09*(AP76-36.8)))/2)</f>
        <v/>
      </c>
      <c r="AR76">
        <f>((AM76/$B$7+T75*AS75/2-T76*MAX(0.1,MIN(0.3,0.3-0.09*(AQ76-36.8)))/2)+AR75*(1-AS75/2))/(1-MAX(0.1,MIN(0.3,0.3-0.09*(AQ76-36.8)))/2)</f>
        <v/>
      </c>
      <c r="AS76">
        <f>MAX(0.1,MIN(0.3,0.3-0.09*(AR76-36.8)))</f>
        <v/>
      </c>
      <c r="AT76">
        <f>AT75+(2*AR76-1.962*AT75-1.31)/9</f>
        <v/>
      </c>
      <c r="AU76">
        <f>AU75+AG76+K76</f>
        <v/>
      </c>
      <c r="AV76">
        <f>AU76*2.67*$B$6/1.8/60</f>
        <v/>
      </c>
      <c r="AW76">
        <f>IF(AT76&gt;=$B$36,1,0)</f>
        <v/>
      </c>
      <c r="AX76">
        <f>IF(AV76&gt;=$B$21,1,0)</f>
        <v/>
      </c>
    </row>
    <row r="77">
      <c r="A77" t="n">
        <v>4</v>
      </c>
      <c r="B77">
        <f>MATCH(A77-1,$D$61:$D$68,1)</f>
        <v/>
      </c>
      <c r="C77">
        <f>INDEX($G$61:$G$68,B77)</f>
        <v/>
      </c>
      <c r="D77">
        <f>INDEX($L$61:$L$68,B77)</f>
        <v/>
      </c>
      <c r="E77">
        <f>INDEX($M$61:$M$68,B77)</f>
        <v/>
      </c>
      <c r="F77">
        <f>INDEX($N$61:$N$68,B77)</f>
        <v/>
      </c>
      <c r="G77">
        <f>INDEX($AA$61:$AA$68,B77)</f>
        <v/>
      </c>
      <c r="H77">
        <f>INDEX($X$61:$X$68,B77)</f>
        <v/>
      </c>
      <c r="I77">
        <f>INDEX($AF$61:$AF$68,B77)</f>
        <v/>
      </c>
      <c r="J77">
        <f>INDEX($AC$61:$AC$68,B77)</f>
        <v/>
      </c>
      <c r="K77">
        <f>INDEX($AD$61:$AD$68,B77)</f>
        <v/>
      </c>
      <c r="L77">
        <f>INDEX($AG$61:$AG$68,B77)</f>
        <v/>
      </c>
      <c r="M77">
        <f>INDEX($AH$61:$AH$68,B77)</f>
        <v/>
      </c>
      <c r="N77">
        <f>INDEX($AI$61:$AI$68,B77)</f>
        <v/>
      </c>
      <c r="O77">
        <f>O76*$B$26+L77*(1-$B$26)</f>
        <v/>
      </c>
      <c r="P77">
        <f>$B$7*(O77-O76)*(1-AS76)</f>
        <v/>
      </c>
      <c r="Q77">
        <f>M77+0.51274*AT76</f>
        <v/>
      </c>
      <c r="R77">
        <f>N77+0.616*AT76</f>
        <v/>
      </c>
      <c r="S77">
        <f>IF($B$13&gt;=0.6,Q77,IF($B$13&lt;=0.2,R77,R77+2.5*(Q77-R77)*($B$13-0.2)))</f>
        <v/>
      </c>
      <c r="T77">
        <f>IF(A77=1,S77,T76*$B$27+S77*(1-$B$27))</f>
        <v/>
      </c>
      <c r="U77">
        <f>0.6105*EXP(17.27*T77/(T77+237.3))</f>
        <v/>
      </c>
      <c r="V77">
        <f>($B$14*(I77*C77+IF(ABS((D77+0.1)-D77)&lt;0.000000001,4*$B$19*$B$20*(D77+273)^3,$B$19*$B$20*(((D77+0.1)+273)^4-(D77+273)^4)/((D77+0.1)-D77))*D77)+T77/H77)/($B$14*(I77+IF(ABS((D77+0.1)-D77)&lt;0.000000001,4*$B$19*$B$20*(D77+273)^3,$B$19*$B$20*(((D77+0.1)+273)^4-(D77+273)^4)/((D77+0.1)-D77)))+1/H77)</f>
        <v/>
      </c>
      <c r="W77">
        <f>($B$14*(I77*C77+IF(ABS(V77-D77)&lt;0.000000001,4*$B$19*$B$20*(D77+273)^3,$B$19*$B$20*((V77+273)^4-(D77+273)^4)/(V77-D77))*D77)+T77/H77)/($B$14*(I77+IF(ABS(V77-D77)&lt;0.000000001,4*$B$19*$B$20*(D77+273)^3,$B$19*$B$20*((V77+273)^4-(D77+273)^4)/(V77-D77)))+1/H77)</f>
        <v/>
      </c>
      <c r="X77">
        <f>($B$14*(I77*C77+IF(ABS(W77-D77)&lt;0.000000001,4*$B$19*$B$20*(D77+273)^3,$B$19*$B$20*((W77+273)^4-(D77+273)^4)/(W77-D77))*D77)+T77/H77)/($B$14*(I77+IF(ABS(W77-D77)&lt;0.000000001,4*$B$19*$B$20*(D77+273)^3,$B$19*$B$20*((W77+273)^4-(D77+273)^4)/(W77-D77)))+1/H77)</f>
        <v/>
      </c>
      <c r="Y77">
        <f>($B$14*(I77*C77+IF(ABS(X77-D77)&lt;0.000000001,4*$B$19*$B$20*(D77+273)^3,$B$19*$B$20*((X77+273)^4-(D77+273)^4)/(X77-D77))*D77)+T77/H77)/($B$14*(I77+IF(ABS(X77-D77)&lt;0.000000001,4*$B$19*$B$20*(D77+273)^3,$B$19*$B$20*((X77+273)^4-(D77+273)^4)/(X77-D77)))+1/H77)</f>
        <v/>
      </c>
      <c r="Z77">
        <f>IF(ABS(Y77-D77)&lt;0.000000001,4*$B$19*$B$20*(D77+273)^3,$B$19*$B$20*((Y77+273)^4-(D77+273)^4)/(Y77-D77))</f>
        <v/>
      </c>
      <c r="AA77">
        <f>$B$14*I77*(Y77-C77)</f>
        <v/>
      </c>
      <c r="AB77">
        <f>$B$14*Z77*(Y77-D77)</f>
        <v/>
      </c>
      <c r="AC77">
        <f>IF((U77-E77)/G77=0,0.001,(U77-E77)/G77)</f>
        <v/>
      </c>
      <c r="AD77">
        <f>F77-P77-J77-K77-AA77-AB77</f>
        <v/>
      </c>
      <c r="AE77">
        <f>AD77/AC77</f>
        <v/>
      </c>
      <c r="AF77">
        <f>IF(AD77&lt;=0,0,IF(AC77&lt;=0,$B$11,IF(AE77&gt;=1.7,$B$11,MIN(AD77/MAX(0.05,IF(AE77&gt;1,(2-AE77)^2/2,1-AE77^2/2)),$B$11))))</f>
        <v/>
      </c>
      <c r="AG77">
        <f>AG76*$B$28+AF77*(1-$B$28)</f>
        <v/>
      </c>
      <c r="AH77">
        <f>IF(AND(AD77&gt;0,AC77&lt;=0),0,AC77)</f>
        <v/>
      </c>
      <c r="AI77">
        <f>AH77/MAX(AG77,0.000001)</f>
        <v/>
      </c>
      <c r="AJ77">
        <f>MIN(IF(AI77&gt;=0.5,-AI77+SQRT(AI77^2+2),1),$B$12)</f>
        <v/>
      </c>
      <c r="AK77">
        <f>IF(AG77&lt;=0,0,AJ77*AH77)</f>
        <v/>
      </c>
      <c r="AL77">
        <f>IF(AD77&lt;=0,0,AD77)</f>
        <v/>
      </c>
      <c r="AM77">
        <f>AL77-AK77+P77</f>
        <v/>
      </c>
      <c r="AN77">
        <f>((AM77/$B$7+T76*AS76/2-T77*MAX(0.1,MIN(0.3,0.3-0.09*(AR76-36.8)))/2)+AR76*(1-AS76/2))/(1-MAX(0.1,MIN(0.3,0.3-0.09*(AR76-36.8)))/2)</f>
        <v/>
      </c>
      <c r="AO77">
        <f>((AM77/$B$7+T76*AS76/2-T77*MAX(0.1,MIN(0.3,0.3-0.09*(AN77-36.8)))/2)+AR76*(1-AS76/2))/(1-MAX(0.1,MIN(0.3,0.3-0.09*(AN77-36.8)))/2)</f>
        <v/>
      </c>
      <c r="AP77">
        <f>((AM77/$B$7+T76*AS76/2-T77*MAX(0.1,MIN(0.3,0.3-0.09*(AO77-36.8)))/2)+AR76*(1-AS76/2))/(1-MAX(0.1,MIN(0.3,0.3-0.09*(AO77-36.8)))/2)</f>
        <v/>
      </c>
      <c r="AQ77">
        <f>((AM77/$B$7+T76*AS76/2-T77*MAX(0.1,MIN(0.3,0.3-0.09*(AP77-36.8)))/2)+AR76*(1-AS76/2))/(1-MAX(0.1,MIN(0.3,0.3-0.09*(AP77-36.8)))/2)</f>
        <v/>
      </c>
      <c r="AR77">
        <f>((AM77/$B$7+T76*AS76/2-T77*MAX(0.1,MIN(0.3,0.3-0.09*(AQ77-36.8)))/2)+AR76*(1-AS76/2))/(1-MAX(0.1,MIN(0.3,0.3-0.09*(AQ77-36.8)))/2)</f>
        <v/>
      </c>
      <c r="AS77">
        <f>MAX(0.1,MIN(0.3,0.3-0.09*(AR77-36.8)))</f>
        <v/>
      </c>
      <c r="AT77">
        <f>AT76+(2*AR77-1.962*AT76-1.31)/9</f>
        <v/>
      </c>
      <c r="AU77">
        <f>AU76+AG77+K77</f>
        <v/>
      </c>
      <c r="AV77">
        <f>AU77*2.67*$B$6/1.8/60</f>
        <v/>
      </c>
      <c r="AW77">
        <f>IF(AT77&gt;=$B$36,1,0)</f>
        <v/>
      </c>
      <c r="AX77">
        <f>IF(AV77&gt;=$B$21,1,0)</f>
        <v/>
      </c>
    </row>
    <row r="78">
      <c r="A78" t="n">
        <v>5</v>
      </c>
      <c r="B78">
        <f>MATCH(A78-1,$D$61:$D$68,1)</f>
        <v/>
      </c>
      <c r="C78">
        <f>INDEX($G$61:$G$68,B78)</f>
        <v/>
      </c>
      <c r="D78">
        <f>INDEX($L$61:$L$68,B78)</f>
        <v/>
      </c>
      <c r="E78">
        <f>INDEX($M$61:$M$68,B78)</f>
        <v/>
      </c>
      <c r="F78">
        <f>INDEX($N$61:$N$68,B78)</f>
        <v/>
      </c>
      <c r="G78">
        <f>INDEX($AA$61:$AA$68,B78)</f>
        <v/>
      </c>
      <c r="H78">
        <f>INDEX($X$61:$X$68,B78)</f>
        <v/>
      </c>
      <c r="I78">
        <f>INDEX($AF$61:$AF$68,B78)</f>
        <v/>
      </c>
      <c r="J78">
        <f>INDEX($AC$61:$AC$68,B78)</f>
        <v/>
      </c>
      <c r="K78">
        <f>INDEX($AD$61:$AD$68,B78)</f>
        <v/>
      </c>
      <c r="L78">
        <f>INDEX($AG$61:$AG$68,B78)</f>
        <v/>
      </c>
      <c r="M78">
        <f>INDEX($AH$61:$AH$68,B78)</f>
        <v/>
      </c>
      <c r="N78">
        <f>INDEX($AI$61:$AI$68,B78)</f>
        <v/>
      </c>
      <c r="O78">
        <f>O77*$B$26+L78*(1-$B$26)</f>
        <v/>
      </c>
      <c r="P78">
        <f>$B$7*(O78-O77)*(1-AS77)</f>
        <v/>
      </c>
      <c r="Q78">
        <f>M78+0.51274*AT77</f>
        <v/>
      </c>
      <c r="R78">
        <f>N78+0.616*AT77</f>
        <v/>
      </c>
      <c r="S78">
        <f>IF($B$13&gt;=0.6,Q78,IF($B$13&lt;=0.2,R78,R78+2.5*(Q78-R78)*($B$13-0.2)))</f>
        <v/>
      </c>
      <c r="T78">
        <f>IF(A78=1,S78,T77*$B$27+S78*(1-$B$27))</f>
        <v/>
      </c>
      <c r="U78">
        <f>0.6105*EXP(17.27*T78/(T78+237.3))</f>
        <v/>
      </c>
      <c r="V78">
        <f>($B$14*(I78*C78+IF(ABS((D78+0.1)-D78)&lt;0.000000001,4*$B$19*$B$20*(D78+273)^3,$B$19*$B$20*(((D78+0.1)+273)^4-(D78+273)^4)/((D78+0.1)-D78))*D78)+T78/H78)/($B$14*(I78+IF(ABS((D78+0.1)-D78)&lt;0.000000001,4*$B$19*$B$20*(D78+273)^3,$B$19*$B$20*(((D78+0.1)+273)^4-(D78+273)^4)/((D78+0.1)-D78)))+1/H78)</f>
        <v/>
      </c>
      <c r="W78">
        <f>($B$14*(I78*C78+IF(ABS(V78-D78)&lt;0.000000001,4*$B$19*$B$20*(D78+273)^3,$B$19*$B$20*((V78+273)^4-(D78+273)^4)/(V78-D78))*D78)+T78/H78)/($B$14*(I78+IF(ABS(V78-D78)&lt;0.000000001,4*$B$19*$B$20*(D78+273)^3,$B$19*$B$20*((V78+273)^4-(D78+273)^4)/(V78-D78)))+1/H78)</f>
        <v/>
      </c>
      <c r="X78">
        <f>($B$14*(I78*C78+IF(ABS(W78-D78)&lt;0.000000001,4*$B$19*$B$20*(D78+273)^3,$B$19*$B$20*((W78+273)^4-(D78+273)^4)/(W78-D78))*D78)+T78/H78)/($B$14*(I78+IF(ABS(W78-D78)&lt;0.000000001,4*$B$19*$B$20*(D78+273)^3,$B$19*$B$20*((W78+273)^4-(D78+273)^4)/(W78-D78)))+1/H78)</f>
        <v/>
      </c>
      <c r="Y78">
        <f>($B$14*(I78*C78+IF(ABS(X78-D78)&lt;0.000000001,4*$B$19*$B$20*(D78+273)^3,$B$19*$B$20*((X78+273)^4-(D78+273)^4)/(X78-D78))*D78)+T78/H78)/($B$14*(I78+IF(ABS(X78-D78)&lt;0.000000001,4*$B$19*$B$20*(D78+273)^3,$B$19*$B$20*((X78+273)^4-(D78+273)^4)/(X78-D78)))+1/H78)</f>
        <v/>
      </c>
      <c r="Z78">
        <f>IF(ABS(Y78-D78)&lt;0.000000001,4*$B$19*$B$20*(D78+273)^3,$B$19*$B$20*((Y78+273)^4-(D78+273)^4)/(Y78-D78))</f>
        <v/>
      </c>
      <c r="AA78">
        <f>$B$14*I78*(Y78-C78)</f>
        <v/>
      </c>
      <c r="AB78">
        <f>$B$14*Z78*(Y78-D78)</f>
        <v/>
      </c>
      <c r="AC78">
        <f>IF((U78-E78)/G78=0,0.001,(U78-E78)/G78)</f>
        <v/>
      </c>
      <c r="AD78">
        <f>F78-P78-J78-K78-AA78-AB78</f>
        <v/>
      </c>
      <c r="AE78">
        <f>AD78/AC78</f>
        <v/>
      </c>
      <c r="AF78">
        <f>IF(AD78&lt;=0,0,IF(AC78&lt;=0,$B$11,IF(AE78&gt;=1.7,$B$11,MIN(AD78/MAX(0.05,IF(AE78&gt;1,(2-AE78)^2/2,1-AE78^2/2)),$B$11))))</f>
        <v/>
      </c>
      <c r="AG78">
        <f>AG77*$B$28+AF78*(1-$B$28)</f>
        <v/>
      </c>
      <c r="AH78">
        <f>IF(AND(AD78&gt;0,AC78&lt;=0),0,AC78)</f>
        <v/>
      </c>
      <c r="AI78">
        <f>AH78/MAX(AG78,0.000001)</f>
        <v/>
      </c>
      <c r="AJ78">
        <f>MIN(IF(AI78&gt;=0.5,-AI78+SQRT(AI78^2+2),1),$B$12)</f>
        <v/>
      </c>
      <c r="AK78">
        <f>IF(AG78&lt;=0,0,AJ78*AH78)</f>
        <v/>
      </c>
      <c r="AL78">
        <f>IF(AD78&lt;=0,0,AD78)</f>
        <v/>
      </c>
      <c r="AM78">
        <f>AL78-AK78+P78</f>
        <v/>
      </c>
      <c r="AN78">
        <f>((AM78/$B$7+T77*AS77/2-T78*MAX(0.1,MIN(0.3,0.3-0.09*(AR77-36.8)))/2)+AR77*(1-AS77/2))/(1-MAX(0.1,MIN(0.3,0.3-0.09*(AR77-36.8)))/2)</f>
        <v/>
      </c>
      <c r="AO78">
        <f>((AM78/$B$7+T77*AS77/2-T78*MAX(0.1,MIN(0.3,0.3-0.09*(AN78-36.8)))/2)+AR77*(1-AS77/2))/(1-MAX(0.1,MIN(0.3,0.3-0.09*(AN78-36.8)))/2)</f>
        <v/>
      </c>
      <c r="AP78">
        <f>((AM78/$B$7+T77*AS77/2-T78*MAX(0.1,MIN(0.3,0.3-0.09*(AO78-36.8)))/2)+AR77*(1-AS77/2))/(1-MAX(0.1,MIN(0.3,0.3-0.09*(AO78-36.8)))/2)</f>
        <v/>
      </c>
      <c r="AQ78">
        <f>((AM78/$B$7+T77*AS77/2-T78*MAX(0.1,MIN(0.3,0.3-0.09*(AP78-36.8)))/2)+AR77*(1-AS77/2))/(1-MAX(0.1,MIN(0.3,0.3-0.09*(AP78-36.8)))/2)</f>
        <v/>
      </c>
      <c r="AR78">
        <f>((AM78/$B$7+T77*AS77/2-T78*MAX(0.1,MIN(0.3,0.3-0.09*(AQ78-36.8)))/2)+AR77*(1-AS77/2))/(1-MAX(0.1,MIN(0.3,0.3-0.09*(AQ78-36.8)))/2)</f>
        <v/>
      </c>
      <c r="AS78">
        <f>MAX(0.1,MIN(0.3,0.3-0.09*(AR78-36.8)))</f>
        <v/>
      </c>
      <c r="AT78">
        <f>AT77+(2*AR78-1.962*AT77-1.31)/9</f>
        <v/>
      </c>
      <c r="AU78">
        <f>AU77+AG78+K78</f>
        <v/>
      </c>
      <c r="AV78">
        <f>AU78*2.67*$B$6/1.8/60</f>
        <v/>
      </c>
      <c r="AW78">
        <f>IF(AT78&gt;=$B$36,1,0)</f>
        <v/>
      </c>
      <c r="AX78">
        <f>IF(AV78&gt;=$B$21,1,0)</f>
        <v/>
      </c>
    </row>
    <row r="79">
      <c r="A79" t="n">
        <v>6</v>
      </c>
      <c r="B79">
        <f>MATCH(A79-1,$D$61:$D$68,1)</f>
        <v/>
      </c>
      <c r="C79">
        <f>INDEX($G$61:$G$68,B79)</f>
        <v/>
      </c>
      <c r="D79">
        <f>INDEX($L$61:$L$68,B79)</f>
        <v/>
      </c>
      <c r="E79">
        <f>INDEX($M$61:$M$68,B79)</f>
        <v/>
      </c>
      <c r="F79">
        <f>INDEX($N$61:$N$68,B79)</f>
        <v/>
      </c>
      <c r="G79">
        <f>INDEX($AA$61:$AA$68,B79)</f>
        <v/>
      </c>
      <c r="H79">
        <f>INDEX($X$61:$X$68,B79)</f>
        <v/>
      </c>
      <c r="I79">
        <f>INDEX($AF$61:$AF$68,B79)</f>
        <v/>
      </c>
      <c r="J79">
        <f>INDEX($AC$61:$AC$68,B79)</f>
        <v/>
      </c>
      <c r="K79">
        <f>INDEX($AD$61:$AD$68,B79)</f>
        <v/>
      </c>
      <c r="L79">
        <f>INDEX($AG$61:$AG$68,B79)</f>
        <v/>
      </c>
      <c r="M79">
        <f>INDEX($AH$61:$AH$68,B79)</f>
        <v/>
      </c>
      <c r="N79">
        <f>INDEX($AI$61:$AI$68,B79)</f>
        <v/>
      </c>
      <c r="O79">
        <f>O78*$B$26+L79*(1-$B$26)</f>
        <v/>
      </c>
      <c r="P79">
        <f>$B$7*(O79-O78)*(1-AS78)</f>
        <v/>
      </c>
      <c r="Q79">
        <f>M79+0.51274*AT78</f>
        <v/>
      </c>
      <c r="R79">
        <f>N79+0.616*AT78</f>
        <v/>
      </c>
      <c r="S79">
        <f>IF($B$13&gt;=0.6,Q79,IF($B$13&lt;=0.2,R79,R79+2.5*(Q79-R79)*($B$13-0.2)))</f>
        <v/>
      </c>
      <c r="T79">
        <f>IF(A79=1,S79,T78*$B$27+S79*(1-$B$27))</f>
        <v/>
      </c>
      <c r="U79">
        <f>0.6105*EXP(17.27*T79/(T79+237.3))</f>
        <v/>
      </c>
      <c r="V79">
        <f>($B$14*(I79*C79+IF(ABS((D79+0.1)-D79)&lt;0.000000001,4*$B$19*$B$20*(D79+273)^3,$B$19*$B$20*(((D79+0.1)+273)^4-(D79+273)^4)/((D79+0.1)-D79))*D79)+T79/H79)/($B$14*(I79+IF(ABS((D79+0.1)-D79)&lt;0.000000001,4*$B$19*$B$20*(D79+273)^3,$B$19*$B$20*(((D79+0.1)+273)^4-(D79+273)^4)/((D79+0.1)-D79)))+1/H79)</f>
        <v/>
      </c>
      <c r="W79">
        <f>($B$14*(I79*C79+IF(ABS(V79-D79)&lt;0.000000001,4*$B$19*$B$20*(D79+273)^3,$B$19*$B$20*((V79+273)^4-(D79+273)^4)/(V79-D79))*D79)+T79/H79)/($B$14*(I79+IF(ABS(V79-D79)&lt;0.000000001,4*$B$19*$B$20*(D79+273)^3,$B$19*$B$20*((V79+273)^4-(D79+273)^4)/(V79-D79)))+1/H79)</f>
        <v/>
      </c>
      <c r="X79">
        <f>($B$14*(I79*C79+IF(ABS(W79-D79)&lt;0.000000001,4*$B$19*$B$20*(D79+273)^3,$B$19*$B$20*((W79+273)^4-(D79+273)^4)/(W79-D79))*D79)+T79/H79)/($B$14*(I79+IF(ABS(W79-D79)&lt;0.000000001,4*$B$19*$B$20*(D79+273)^3,$B$19*$B$20*((W79+273)^4-(D79+273)^4)/(W79-D79)))+1/H79)</f>
        <v/>
      </c>
      <c r="Y79">
        <f>($B$14*(I79*C79+IF(ABS(X79-D79)&lt;0.000000001,4*$B$19*$B$20*(D79+273)^3,$B$19*$B$20*((X79+273)^4-(D79+273)^4)/(X79-D79))*D79)+T79/H79)/($B$14*(I79+IF(ABS(X79-D79)&lt;0.000000001,4*$B$19*$B$20*(D79+273)^3,$B$19*$B$20*((X79+273)^4-(D79+273)^4)/(X79-D79)))+1/H79)</f>
        <v/>
      </c>
      <c r="Z79">
        <f>IF(ABS(Y79-D79)&lt;0.000000001,4*$B$19*$B$20*(D79+273)^3,$B$19*$B$20*((Y79+273)^4-(D79+273)^4)/(Y79-D79))</f>
        <v/>
      </c>
      <c r="AA79">
        <f>$B$14*I79*(Y79-C79)</f>
        <v/>
      </c>
      <c r="AB79">
        <f>$B$14*Z79*(Y79-D79)</f>
        <v/>
      </c>
      <c r="AC79">
        <f>IF((U79-E79)/G79=0,0.001,(U79-E79)/G79)</f>
        <v/>
      </c>
      <c r="AD79">
        <f>F79-P79-J79-K79-AA79-AB79</f>
        <v/>
      </c>
      <c r="AE79">
        <f>AD79/AC79</f>
        <v/>
      </c>
      <c r="AF79">
        <f>IF(AD79&lt;=0,0,IF(AC79&lt;=0,$B$11,IF(AE79&gt;=1.7,$B$11,MIN(AD79/MAX(0.05,IF(AE79&gt;1,(2-AE79)^2/2,1-AE79^2/2)),$B$11))))</f>
        <v/>
      </c>
      <c r="AG79">
        <f>AG78*$B$28+AF79*(1-$B$28)</f>
        <v/>
      </c>
      <c r="AH79">
        <f>IF(AND(AD79&gt;0,AC79&lt;=0),0,AC79)</f>
        <v/>
      </c>
      <c r="AI79">
        <f>AH79/MAX(AG79,0.000001)</f>
        <v/>
      </c>
      <c r="AJ79">
        <f>MIN(IF(AI79&gt;=0.5,-AI79+SQRT(AI79^2+2),1),$B$12)</f>
        <v/>
      </c>
      <c r="AK79">
        <f>IF(AG79&lt;=0,0,AJ79*AH79)</f>
        <v/>
      </c>
      <c r="AL79">
        <f>IF(AD79&lt;=0,0,AD79)</f>
        <v/>
      </c>
      <c r="AM79">
        <f>AL79-AK79+P79</f>
        <v/>
      </c>
      <c r="AN79">
        <f>((AM79/$B$7+T78*AS78/2-T79*MAX(0.1,MIN(0.3,0.3-0.09*(AR78-36.8)))/2)+AR78*(1-AS78/2))/(1-MAX(0.1,MIN(0.3,0.3-0.09*(AR78-36.8)))/2)</f>
        <v/>
      </c>
      <c r="AO79">
        <f>((AM79/$B$7+T78*AS78/2-T79*MAX(0.1,MIN(0.3,0.3-0.09*(AN79-36.8)))/2)+AR78*(1-AS78/2))/(1-MAX(0.1,MIN(0.3,0.3-0.09*(AN79-36.8)))/2)</f>
        <v/>
      </c>
      <c r="AP79">
        <f>((AM79/$B$7+T78*AS78/2-T79*MAX(0.1,MIN(0.3,0.3-0.09*(AO79-36.8)))/2)+AR78*(1-AS78/2))/(1-MAX(0.1,MIN(0.3,0.3-0.09*(AO79-36.8)))/2)</f>
        <v/>
      </c>
      <c r="AQ79">
        <f>((AM79/$B$7+T78*AS78/2-T79*MAX(0.1,MIN(0.3,0.3-0.09*(AP79-36.8)))/2)+AR78*(1-AS78/2))/(1-MAX(0.1,MIN(0.3,0.3-0.09*(AP79-36.8)))/2)</f>
        <v/>
      </c>
      <c r="AR79">
        <f>((AM79/$B$7+T78*AS78/2-T79*MAX(0.1,MIN(0.3,0.3-0.09*(AQ79-36.8)))/2)+AR78*(1-AS78/2))/(1-MAX(0.1,MIN(0.3,0.3-0.09*(AQ79-36.8)))/2)</f>
        <v/>
      </c>
      <c r="AS79">
        <f>MAX(0.1,MIN(0.3,0.3-0.09*(AR79-36.8)))</f>
        <v/>
      </c>
      <c r="AT79">
        <f>AT78+(2*AR79-1.962*AT78-1.31)/9</f>
        <v/>
      </c>
      <c r="AU79">
        <f>AU78+AG79+K79</f>
        <v/>
      </c>
      <c r="AV79">
        <f>AU79*2.67*$B$6/1.8/60</f>
        <v/>
      </c>
      <c r="AW79">
        <f>IF(AT79&gt;=$B$36,1,0)</f>
        <v/>
      </c>
      <c r="AX79">
        <f>IF(AV79&gt;=$B$21,1,0)</f>
        <v/>
      </c>
    </row>
    <row r="80">
      <c r="A80" t="n">
        <v>7</v>
      </c>
      <c r="B80">
        <f>MATCH(A80-1,$D$61:$D$68,1)</f>
        <v/>
      </c>
      <c r="C80">
        <f>INDEX($G$61:$G$68,B80)</f>
        <v/>
      </c>
      <c r="D80">
        <f>INDEX($L$61:$L$68,B80)</f>
        <v/>
      </c>
      <c r="E80">
        <f>INDEX($M$61:$M$68,B80)</f>
        <v/>
      </c>
      <c r="F80">
        <f>INDEX($N$61:$N$68,B80)</f>
        <v/>
      </c>
      <c r="G80">
        <f>INDEX($AA$61:$AA$68,B80)</f>
        <v/>
      </c>
      <c r="H80">
        <f>INDEX($X$61:$X$68,B80)</f>
        <v/>
      </c>
      <c r="I80">
        <f>INDEX($AF$61:$AF$68,B80)</f>
        <v/>
      </c>
      <c r="J80">
        <f>INDEX($AC$61:$AC$68,B80)</f>
        <v/>
      </c>
      <c r="K80">
        <f>INDEX($AD$61:$AD$68,B80)</f>
        <v/>
      </c>
      <c r="L80">
        <f>INDEX($AG$61:$AG$68,B80)</f>
        <v/>
      </c>
      <c r="M80">
        <f>INDEX($AH$61:$AH$68,B80)</f>
        <v/>
      </c>
      <c r="N80">
        <f>INDEX($AI$61:$AI$68,B80)</f>
        <v/>
      </c>
      <c r="O80">
        <f>O79*$B$26+L80*(1-$B$26)</f>
        <v/>
      </c>
      <c r="P80">
        <f>$B$7*(O80-O79)*(1-AS79)</f>
        <v/>
      </c>
      <c r="Q80">
        <f>M80+0.51274*AT79</f>
        <v/>
      </c>
      <c r="R80">
        <f>N80+0.616*AT79</f>
        <v/>
      </c>
      <c r="S80">
        <f>IF($B$13&gt;=0.6,Q80,IF($B$13&lt;=0.2,R80,R80+2.5*(Q80-R80)*($B$13-0.2)))</f>
        <v/>
      </c>
      <c r="T80">
        <f>IF(A80=1,S80,T79*$B$27+S80*(1-$B$27))</f>
        <v/>
      </c>
      <c r="U80">
        <f>0.6105*EXP(17.27*T80/(T80+237.3))</f>
        <v/>
      </c>
      <c r="V80">
        <f>($B$14*(I80*C80+IF(ABS((D80+0.1)-D80)&lt;0.000000001,4*$B$19*$B$20*(D80+273)^3,$B$19*$B$20*(((D80+0.1)+273)^4-(D80+273)^4)/((D80+0.1)-D80))*D80)+T80/H80)/($B$14*(I80+IF(ABS((D80+0.1)-D80)&lt;0.000000001,4*$B$19*$B$20*(D80+273)^3,$B$19*$B$20*(((D80+0.1)+273)^4-(D80+273)^4)/((D80+0.1)-D80)))+1/H80)</f>
        <v/>
      </c>
      <c r="W80">
        <f>($B$14*(I80*C80+IF(ABS(V80-D80)&lt;0.000000001,4*$B$19*$B$20*(D80+273)^3,$B$19*$B$20*((V80+273)^4-(D80+273)^4)/(V80-D80))*D80)+T80/H80)/($B$14*(I80+IF(ABS(V80-D80)&lt;0.000000001,4*$B$19*$B$20*(D80+273)^3,$B$19*$B$20*((V80+273)^4-(D80+273)^4)/(V80-D80)))+1/H80)</f>
        <v/>
      </c>
      <c r="X80">
        <f>($B$14*(I80*C80+IF(ABS(W80-D80)&lt;0.000000001,4*$B$19*$B$20*(D80+273)^3,$B$19*$B$20*((W80+273)^4-(D80+273)^4)/(W80-D80))*D80)+T80/H80)/($B$14*(I80+IF(ABS(W80-D80)&lt;0.000000001,4*$B$19*$B$20*(D80+273)^3,$B$19*$B$20*((W80+273)^4-(D80+273)^4)/(W80-D80)))+1/H80)</f>
        <v/>
      </c>
      <c r="Y80">
        <f>($B$14*(I80*C80+IF(ABS(X80-D80)&lt;0.000000001,4*$B$19*$B$20*(D80+273)^3,$B$19*$B$20*((X80+273)^4-(D80+273)^4)/(X80-D80))*D80)+T80/H80)/($B$14*(I80+IF(ABS(X80-D80)&lt;0.000000001,4*$B$19*$B$20*(D80+273)^3,$B$19*$B$20*((X80+273)^4-(D80+273)^4)/(X80-D80)))+1/H80)</f>
        <v/>
      </c>
      <c r="Z80">
        <f>IF(ABS(Y80-D80)&lt;0.000000001,4*$B$19*$B$20*(D80+273)^3,$B$19*$B$20*((Y80+273)^4-(D80+273)^4)/(Y80-D80))</f>
        <v/>
      </c>
      <c r="AA80">
        <f>$B$14*I80*(Y80-C80)</f>
        <v/>
      </c>
      <c r="AB80">
        <f>$B$14*Z80*(Y80-D80)</f>
        <v/>
      </c>
      <c r="AC80">
        <f>IF((U80-E80)/G80=0,0.001,(U80-E80)/G80)</f>
        <v/>
      </c>
      <c r="AD80">
        <f>F80-P80-J80-K80-AA80-AB80</f>
        <v/>
      </c>
      <c r="AE80">
        <f>AD80/AC80</f>
        <v/>
      </c>
      <c r="AF80">
        <f>IF(AD80&lt;=0,0,IF(AC80&lt;=0,$B$11,IF(AE80&gt;=1.7,$B$11,MIN(AD80/MAX(0.05,IF(AE80&gt;1,(2-AE80)^2/2,1-AE80^2/2)),$B$11))))</f>
        <v/>
      </c>
      <c r="AG80">
        <f>AG79*$B$28+AF80*(1-$B$28)</f>
        <v/>
      </c>
      <c r="AH80">
        <f>IF(AND(AD80&gt;0,AC80&lt;=0),0,AC80)</f>
        <v/>
      </c>
      <c r="AI80">
        <f>AH80/MAX(AG80,0.000001)</f>
        <v/>
      </c>
      <c r="AJ80">
        <f>MIN(IF(AI80&gt;=0.5,-AI80+SQRT(AI80^2+2),1),$B$12)</f>
        <v/>
      </c>
      <c r="AK80">
        <f>IF(AG80&lt;=0,0,AJ80*AH80)</f>
        <v/>
      </c>
      <c r="AL80">
        <f>IF(AD80&lt;=0,0,AD80)</f>
        <v/>
      </c>
      <c r="AM80">
        <f>AL80-AK80+P80</f>
        <v/>
      </c>
      <c r="AN80">
        <f>((AM80/$B$7+T79*AS79/2-T80*MAX(0.1,MIN(0.3,0.3-0.09*(AR79-36.8)))/2)+AR79*(1-AS79/2))/(1-MAX(0.1,MIN(0.3,0.3-0.09*(AR79-36.8)))/2)</f>
        <v/>
      </c>
      <c r="AO80">
        <f>((AM80/$B$7+T79*AS79/2-T80*MAX(0.1,MIN(0.3,0.3-0.09*(AN80-36.8)))/2)+AR79*(1-AS79/2))/(1-MAX(0.1,MIN(0.3,0.3-0.09*(AN80-36.8)))/2)</f>
        <v/>
      </c>
      <c r="AP80">
        <f>((AM80/$B$7+T79*AS79/2-T80*MAX(0.1,MIN(0.3,0.3-0.09*(AO80-36.8)))/2)+AR79*(1-AS79/2))/(1-MAX(0.1,MIN(0.3,0.3-0.09*(AO80-36.8)))/2)</f>
        <v/>
      </c>
      <c r="AQ80">
        <f>((AM80/$B$7+T79*AS79/2-T80*MAX(0.1,MIN(0.3,0.3-0.09*(AP80-36.8)))/2)+AR79*(1-AS79/2))/(1-MAX(0.1,MIN(0.3,0.3-0.09*(AP80-36.8)))/2)</f>
        <v/>
      </c>
      <c r="AR80">
        <f>((AM80/$B$7+T79*AS79/2-T80*MAX(0.1,MIN(0.3,0.3-0.09*(AQ80-36.8)))/2)+AR79*(1-AS79/2))/(1-MAX(0.1,MIN(0.3,0.3-0.09*(AQ80-36.8)))/2)</f>
        <v/>
      </c>
      <c r="AS80">
        <f>MAX(0.1,MIN(0.3,0.3-0.09*(AR80-36.8)))</f>
        <v/>
      </c>
      <c r="AT80">
        <f>AT79+(2*AR80-1.962*AT79-1.31)/9</f>
        <v/>
      </c>
      <c r="AU80">
        <f>AU79+AG80+K80</f>
        <v/>
      </c>
      <c r="AV80">
        <f>AU80*2.67*$B$6/1.8/60</f>
        <v/>
      </c>
      <c r="AW80">
        <f>IF(AT80&gt;=$B$36,1,0)</f>
        <v/>
      </c>
      <c r="AX80">
        <f>IF(AV80&gt;=$B$21,1,0)</f>
        <v/>
      </c>
    </row>
    <row r="81">
      <c r="A81" t="n">
        <v>8</v>
      </c>
      <c r="B81">
        <f>MATCH(A81-1,$D$61:$D$68,1)</f>
        <v/>
      </c>
      <c r="C81">
        <f>INDEX($G$61:$G$68,B81)</f>
        <v/>
      </c>
      <c r="D81">
        <f>INDEX($L$61:$L$68,B81)</f>
        <v/>
      </c>
      <c r="E81">
        <f>INDEX($M$61:$M$68,B81)</f>
        <v/>
      </c>
      <c r="F81">
        <f>INDEX($N$61:$N$68,B81)</f>
        <v/>
      </c>
      <c r="G81">
        <f>INDEX($AA$61:$AA$68,B81)</f>
        <v/>
      </c>
      <c r="H81">
        <f>INDEX($X$61:$X$68,B81)</f>
        <v/>
      </c>
      <c r="I81">
        <f>INDEX($AF$61:$AF$68,B81)</f>
        <v/>
      </c>
      <c r="J81">
        <f>INDEX($AC$61:$AC$68,B81)</f>
        <v/>
      </c>
      <c r="K81">
        <f>INDEX($AD$61:$AD$68,B81)</f>
        <v/>
      </c>
      <c r="L81">
        <f>INDEX($AG$61:$AG$68,B81)</f>
        <v/>
      </c>
      <c r="M81">
        <f>INDEX($AH$61:$AH$68,B81)</f>
        <v/>
      </c>
      <c r="N81">
        <f>INDEX($AI$61:$AI$68,B81)</f>
        <v/>
      </c>
      <c r="O81">
        <f>O80*$B$26+L81*(1-$B$26)</f>
        <v/>
      </c>
      <c r="P81">
        <f>$B$7*(O81-O80)*(1-AS80)</f>
        <v/>
      </c>
      <c r="Q81">
        <f>M81+0.51274*AT80</f>
        <v/>
      </c>
      <c r="R81">
        <f>N81+0.616*AT80</f>
        <v/>
      </c>
      <c r="S81">
        <f>IF($B$13&gt;=0.6,Q81,IF($B$13&lt;=0.2,R81,R81+2.5*(Q81-R81)*($B$13-0.2)))</f>
        <v/>
      </c>
      <c r="T81">
        <f>IF(A81=1,S81,T80*$B$27+S81*(1-$B$27))</f>
        <v/>
      </c>
      <c r="U81">
        <f>0.6105*EXP(17.27*T81/(T81+237.3))</f>
        <v/>
      </c>
      <c r="V81">
        <f>($B$14*(I81*C81+IF(ABS((D81+0.1)-D81)&lt;0.000000001,4*$B$19*$B$20*(D81+273)^3,$B$19*$B$20*(((D81+0.1)+273)^4-(D81+273)^4)/((D81+0.1)-D81))*D81)+T81/H81)/($B$14*(I81+IF(ABS((D81+0.1)-D81)&lt;0.000000001,4*$B$19*$B$20*(D81+273)^3,$B$19*$B$20*(((D81+0.1)+273)^4-(D81+273)^4)/((D81+0.1)-D81)))+1/H81)</f>
        <v/>
      </c>
      <c r="W81">
        <f>($B$14*(I81*C81+IF(ABS(V81-D81)&lt;0.000000001,4*$B$19*$B$20*(D81+273)^3,$B$19*$B$20*((V81+273)^4-(D81+273)^4)/(V81-D81))*D81)+T81/H81)/($B$14*(I81+IF(ABS(V81-D81)&lt;0.000000001,4*$B$19*$B$20*(D81+273)^3,$B$19*$B$20*((V81+273)^4-(D81+273)^4)/(V81-D81)))+1/H81)</f>
        <v/>
      </c>
      <c r="X81">
        <f>($B$14*(I81*C81+IF(ABS(W81-D81)&lt;0.000000001,4*$B$19*$B$20*(D81+273)^3,$B$19*$B$20*((W81+273)^4-(D81+273)^4)/(W81-D81))*D81)+T81/H81)/($B$14*(I81+IF(ABS(W81-D81)&lt;0.000000001,4*$B$19*$B$20*(D81+273)^3,$B$19*$B$20*((W81+273)^4-(D81+273)^4)/(W81-D81)))+1/H81)</f>
        <v/>
      </c>
      <c r="Y81">
        <f>($B$14*(I81*C81+IF(ABS(X81-D81)&lt;0.000000001,4*$B$19*$B$20*(D81+273)^3,$B$19*$B$20*((X81+273)^4-(D81+273)^4)/(X81-D81))*D81)+T81/H81)/($B$14*(I81+IF(ABS(X81-D81)&lt;0.000000001,4*$B$19*$B$20*(D81+273)^3,$B$19*$B$20*((X81+273)^4-(D81+273)^4)/(X81-D81)))+1/H81)</f>
        <v/>
      </c>
      <c r="Z81">
        <f>IF(ABS(Y81-D81)&lt;0.000000001,4*$B$19*$B$20*(D81+273)^3,$B$19*$B$20*((Y81+273)^4-(D81+273)^4)/(Y81-D81))</f>
        <v/>
      </c>
      <c r="AA81">
        <f>$B$14*I81*(Y81-C81)</f>
        <v/>
      </c>
      <c r="AB81">
        <f>$B$14*Z81*(Y81-D81)</f>
        <v/>
      </c>
      <c r="AC81">
        <f>IF((U81-E81)/G81=0,0.001,(U81-E81)/G81)</f>
        <v/>
      </c>
      <c r="AD81">
        <f>F81-P81-J81-K81-AA81-AB81</f>
        <v/>
      </c>
      <c r="AE81">
        <f>AD81/AC81</f>
        <v/>
      </c>
      <c r="AF81">
        <f>IF(AD81&lt;=0,0,IF(AC81&lt;=0,$B$11,IF(AE81&gt;=1.7,$B$11,MIN(AD81/MAX(0.05,IF(AE81&gt;1,(2-AE81)^2/2,1-AE81^2/2)),$B$11))))</f>
        <v/>
      </c>
      <c r="AG81">
        <f>AG80*$B$28+AF81*(1-$B$28)</f>
        <v/>
      </c>
      <c r="AH81">
        <f>IF(AND(AD81&gt;0,AC81&lt;=0),0,AC81)</f>
        <v/>
      </c>
      <c r="AI81">
        <f>AH81/MAX(AG81,0.000001)</f>
        <v/>
      </c>
      <c r="AJ81">
        <f>MIN(IF(AI81&gt;=0.5,-AI81+SQRT(AI81^2+2),1),$B$12)</f>
        <v/>
      </c>
      <c r="AK81">
        <f>IF(AG81&lt;=0,0,AJ81*AH81)</f>
        <v/>
      </c>
      <c r="AL81">
        <f>IF(AD81&lt;=0,0,AD81)</f>
        <v/>
      </c>
      <c r="AM81">
        <f>AL81-AK81+P81</f>
        <v/>
      </c>
      <c r="AN81">
        <f>((AM81/$B$7+T80*AS80/2-T81*MAX(0.1,MIN(0.3,0.3-0.09*(AR80-36.8)))/2)+AR80*(1-AS80/2))/(1-MAX(0.1,MIN(0.3,0.3-0.09*(AR80-36.8)))/2)</f>
        <v/>
      </c>
      <c r="AO81">
        <f>((AM81/$B$7+T80*AS80/2-T81*MAX(0.1,MIN(0.3,0.3-0.09*(AN81-36.8)))/2)+AR80*(1-AS80/2))/(1-MAX(0.1,MIN(0.3,0.3-0.09*(AN81-36.8)))/2)</f>
        <v/>
      </c>
      <c r="AP81">
        <f>((AM81/$B$7+T80*AS80/2-T81*MAX(0.1,MIN(0.3,0.3-0.09*(AO81-36.8)))/2)+AR80*(1-AS80/2))/(1-MAX(0.1,MIN(0.3,0.3-0.09*(AO81-36.8)))/2)</f>
        <v/>
      </c>
      <c r="AQ81">
        <f>((AM81/$B$7+T80*AS80/2-T81*MAX(0.1,MIN(0.3,0.3-0.09*(AP81-36.8)))/2)+AR80*(1-AS80/2))/(1-MAX(0.1,MIN(0.3,0.3-0.09*(AP81-36.8)))/2)</f>
        <v/>
      </c>
      <c r="AR81">
        <f>((AM81/$B$7+T80*AS80/2-T81*MAX(0.1,MIN(0.3,0.3-0.09*(AQ81-36.8)))/2)+AR80*(1-AS80/2))/(1-MAX(0.1,MIN(0.3,0.3-0.09*(AQ81-36.8)))/2)</f>
        <v/>
      </c>
      <c r="AS81">
        <f>MAX(0.1,MIN(0.3,0.3-0.09*(AR81-36.8)))</f>
        <v/>
      </c>
      <c r="AT81">
        <f>AT80+(2*AR81-1.962*AT80-1.31)/9</f>
        <v/>
      </c>
      <c r="AU81">
        <f>AU80+AG81+K81</f>
        <v/>
      </c>
      <c r="AV81">
        <f>AU81*2.67*$B$6/1.8/60</f>
        <v/>
      </c>
      <c r="AW81">
        <f>IF(AT81&gt;=$B$36,1,0)</f>
        <v/>
      </c>
      <c r="AX81">
        <f>IF(AV81&gt;=$B$21,1,0)</f>
        <v/>
      </c>
    </row>
    <row r="82">
      <c r="A82" t="n">
        <v>9</v>
      </c>
      <c r="B82">
        <f>MATCH(A82-1,$D$61:$D$68,1)</f>
        <v/>
      </c>
      <c r="C82">
        <f>INDEX($G$61:$G$68,B82)</f>
        <v/>
      </c>
      <c r="D82">
        <f>INDEX($L$61:$L$68,B82)</f>
        <v/>
      </c>
      <c r="E82">
        <f>INDEX($M$61:$M$68,B82)</f>
        <v/>
      </c>
      <c r="F82">
        <f>INDEX($N$61:$N$68,B82)</f>
        <v/>
      </c>
      <c r="G82">
        <f>INDEX($AA$61:$AA$68,B82)</f>
        <v/>
      </c>
      <c r="H82">
        <f>INDEX($X$61:$X$68,B82)</f>
        <v/>
      </c>
      <c r="I82">
        <f>INDEX($AF$61:$AF$68,B82)</f>
        <v/>
      </c>
      <c r="J82">
        <f>INDEX($AC$61:$AC$68,B82)</f>
        <v/>
      </c>
      <c r="K82">
        <f>INDEX($AD$61:$AD$68,B82)</f>
        <v/>
      </c>
      <c r="L82">
        <f>INDEX($AG$61:$AG$68,B82)</f>
        <v/>
      </c>
      <c r="M82">
        <f>INDEX($AH$61:$AH$68,B82)</f>
        <v/>
      </c>
      <c r="N82">
        <f>INDEX($AI$61:$AI$68,B82)</f>
        <v/>
      </c>
      <c r="O82">
        <f>O81*$B$26+L82*(1-$B$26)</f>
        <v/>
      </c>
      <c r="P82">
        <f>$B$7*(O82-O81)*(1-AS81)</f>
        <v/>
      </c>
      <c r="Q82">
        <f>M82+0.51274*AT81</f>
        <v/>
      </c>
      <c r="R82">
        <f>N82+0.616*AT81</f>
        <v/>
      </c>
      <c r="S82">
        <f>IF($B$13&gt;=0.6,Q82,IF($B$13&lt;=0.2,R82,R82+2.5*(Q82-R82)*($B$13-0.2)))</f>
        <v/>
      </c>
      <c r="T82">
        <f>IF(A82=1,S82,T81*$B$27+S82*(1-$B$27))</f>
        <v/>
      </c>
      <c r="U82">
        <f>0.6105*EXP(17.27*T82/(T82+237.3))</f>
        <v/>
      </c>
      <c r="V82">
        <f>($B$14*(I82*C82+IF(ABS((D82+0.1)-D82)&lt;0.000000001,4*$B$19*$B$20*(D82+273)^3,$B$19*$B$20*(((D82+0.1)+273)^4-(D82+273)^4)/((D82+0.1)-D82))*D82)+T82/H82)/($B$14*(I82+IF(ABS((D82+0.1)-D82)&lt;0.000000001,4*$B$19*$B$20*(D82+273)^3,$B$19*$B$20*(((D82+0.1)+273)^4-(D82+273)^4)/((D82+0.1)-D82)))+1/H82)</f>
        <v/>
      </c>
      <c r="W82">
        <f>($B$14*(I82*C82+IF(ABS(V82-D82)&lt;0.000000001,4*$B$19*$B$20*(D82+273)^3,$B$19*$B$20*((V82+273)^4-(D82+273)^4)/(V82-D82))*D82)+T82/H82)/($B$14*(I82+IF(ABS(V82-D82)&lt;0.000000001,4*$B$19*$B$20*(D82+273)^3,$B$19*$B$20*((V82+273)^4-(D82+273)^4)/(V82-D82)))+1/H82)</f>
        <v/>
      </c>
      <c r="X82">
        <f>($B$14*(I82*C82+IF(ABS(W82-D82)&lt;0.000000001,4*$B$19*$B$20*(D82+273)^3,$B$19*$B$20*((W82+273)^4-(D82+273)^4)/(W82-D82))*D82)+T82/H82)/($B$14*(I82+IF(ABS(W82-D82)&lt;0.000000001,4*$B$19*$B$20*(D82+273)^3,$B$19*$B$20*((W82+273)^4-(D82+273)^4)/(W82-D82)))+1/H82)</f>
        <v/>
      </c>
      <c r="Y82">
        <f>($B$14*(I82*C82+IF(ABS(X82-D82)&lt;0.000000001,4*$B$19*$B$20*(D82+273)^3,$B$19*$B$20*((X82+273)^4-(D82+273)^4)/(X82-D82))*D82)+T82/H82)/($B$14*(I82+IF(ABS(X82-D82)&lt;0.000000001,4*$B$19*$B$20*(D82+273)^3,$B$19*$B$20*((X82+273)^4-(D82+273)^4)/(X82-D82)))+1/H82)</f>
        <v/>
      </c>
      <c r="Z82">
        <f>IF(ABS(Y82-D82)&lt;0.000000001,4*$B$19*$B$20*(D82+273)^3,$B$19*$B$20*((Y82+273)^4-(D82+273)^4)/(Y82-D82))</f>
        <v/>
      </c>
      <c r="AA82">
        <f>$B$14*I82*(Y82-C82)</f>
        <v/>
      </c>
      <c r="AB82">
        <f>$B$14*Z82*(Y82-D82)</f>
        <v/>
      </c>
      <c r="AC82">
        <f>IF((U82-E82)/G82=0,0.001,(U82-E82)/G82)</f>
        <v/>
      </c>
      <c r="AD82">
        <f>F82-P82-J82-K82-AA82-AB82</f>
        <v/>
      </c>
      <c r="AE82">
        <f>AD82/AC82</f>
        <v/>
      </c>
      <c r="AF82">
        <f>IF(AD82&lt;=0,0,IF(AC82&lt;=0,$B$11,IF(AE82&gt;=1.7,$B$11,MIN(AD82/MAX(0.05,IF(AE82&gt;1,(2-AE82)^2/2,1-AE82^2/2)),$B$11))))</f>
        <v/>
      </c>
      <c r="AG82">
        <f>AG81*$B$28+AF82*(1-$B$28)</f>
        <v/>
      </c>
      <c r="AH82">
        <f>IF(AND(AD82&gt;0,AC82&lt;=0),0,AC82)</f>
        <v/>
      </c>
      <c r="AI82">
        <f>AH82/MAX(AG82,0.000001)</f>
        <v/>
      </c>
      <c r="AJ82">
        <f>MIN(IF(AI82&gt;=0.5,-AI82+SQRT(AI82^2+2),1),$B$12)</f>
        <v/>
      </c>
      <c r="AK82">
        <f>IF(AG82&lt;=0,0,AJ82*AH82)</f>
        <v/>
      </c>
      <c r="AL82">
        <f>IF(AD82&lt;=0,0,AD82)</f>
        <v/>
      </c>
      <c r="AM82">
        <f>AL82-AK82+P82</f>
        <v/>
      </c>
      <c r="AN82">
        <f>((AM82/$B$7+T81*AS81/2-T82*MAX(0.1,MIN(0.3,0.3-0.09*(AR81-36.8)))/2)+AR81*(1-AS81/2))/(1-MAX(0.1,MIN(0.3,0.3-0.09*(AR81-36.8)))/2)</f>
        <v/>
      </c>
      <c r="AO82">
        <f>((AM82/$B$7+T81*AS81/2-T82*MAX(0.1,MIN(0.3,0.3-0.09*(AN82-36.8)))/2)+AR81*(1-AS81/2))/(1-MAX(0.1,MIN(0.3,0.3-0.09*(AN82-36.8)))/2)</f>
        <v/>
      </c>
      <c r="AP82">
        <f>((AM82/$B$7+T81*AS81/2-T82*MAX(0.1,MIN(0.3,0.3-0.09*(AO82-36.8)))/2)+AR81*(1-AS81/2))/(1-MAX(0.1,MIN(0.3,0.3-0.09*(AO82-36.8)))/2)</f>
        <v/>
      </c>
      <c r="AQ82">
        <f>((AM82/$B$7+T81*AS81/2-T82*MAX(0.1,MIN(0.3,0.3-0.09*(AP82-36.8)))/2)+AR81*(1-AS81/2))/(1-MAX(0.1,MIN(0.3,0.3-0.09*(AP82-36.8)))/2)</f>
        <v/>
      </c>
      <c r="AR82">
        <f>((AM82/$B$7+T81*AS81/2-T82*MAX(0.1,MIN(0.3,0.3-0.09*(AQ82-36.8)))/2)+AR81*(1-AS81/2))/(1-MAX(0.1,MIN(0.3,0.3-0.09*(AQ82-36.8)))/2)</f>
        <v/>
      </c>
      <c r="AS82">
        <f>MAX(0.1,MIN(0.3,0.3-0.09*(AR82-36.8)))</f>
        <v/>
      </c>
      <c r="AT82">
        <f>AT81+(2*AR82-1.962*AT81-1.31)/9</f>
        <v/>
      </c>
      <c r="AU82">
        <f>AU81+AG82+K82</f>
        <v/>
      </c>
      <c r="AV82">
        <f>AU82*2.67*$B$6/1.8/60</f>
        <v/>
      </c>
      <c r="AW82">
        <f>IF(AT82&gt;=$B$36,1,0)</f>
        <v/>
      </c>
      <c r="AX82">
        <f>IF(AV82&gt;=$B$21,1,0)</f>
        <v/>
      </c>
    </row>
    <row r="83">
      <c r="A83" t="n">
        <v>10</v>
      </c>
      <c r="B83">
        <f>MATCH(A83-1,$D$61:$D$68,1)</f>
        <v/>
      </c>
      <c r="C83">
        <f>INDEX($G$61:$G$68,B83)</f>
        <v/>
      </c>
      <c r="D83">
        <f>INDEX($L$61:$L$68,B83)</f>
        <v/>
      </c>
      <c r="E83">
        <f>INDEX($M$61:$M$68,B83)</f>
        <v/>
      </c>
      <c r="F83">
        <f>INDEX($N$61:$N$68,B83)</f>
        <v/>
      </c>
      <c r="G83">
        <f>INDEX($AA$61:$AA$68,B83)</f>
        <v/>
      </c>
      <c r="H83">
        <f>INDEX($X$61:$X$68,B83)</f>
        <v/>
      </c>
      <c r="I83">
        <f>INDEX($AF$61:$AF$68,B83)</f>
        <v/>
      </c>
      <c r="J83">
        <f>INDEX($AC$61:$AC$68,B83)</f>
        <v/>
      </c>
      <c r="K83">
        <f>INDEX($AD$61:$AD$68,B83)</f>
        <v/>
      </c>
      <c r="L83">
        <f>INDEX($AG$61:$AG$68,B83)</f>
        <v/>
      </c>
      <c r="M83">
        <f>INDEX($AH$61:$AH$68,B83)</f>
        <v/>
      </c>
      <c r="N83">
        <f>INDEX($AI$61:$AI$68,B83)</f>
        <v/>
      </c>
      <c r="O83">
        <f>O82*$B$26+L83*(1-$B$26)</f>
        <v/>
      </c>
      <c r="P83">
        <f>$B$7*(O83-O82)*(1-AS82)</f>
        <v/>
      </c>
      <c r="Q83">
        <f>M83+0.51274*AT82</f>
        <v/>
      </c>
      <c r="R83">
        <f>N83+0.616*AT82</f>
        <v/>
      </c>
      <c r="S83">
        <f>IF($B$13&gt;=0.6,Q83,IF($B$13&lt;=0.2,R83,R83+2.5*(Q83-R83)*($B$13-0.2)))</f>
        <v/>
      </c>
      <c r="T83">
        <f>IF(A83=1,S83,T82*$B$27+S83*(1-$B$27))</f>
        <v/>
      </c>
      <c r="U83">
        <f>0.6105*EXP(17.27*T83/(T83+237.3))</f>
        <v/>
      </c>
      <c r="V83">
        <f>($B$14*(I83*C83+IF(ABS((D83+0.1)-D83)&lt;0.000000001,4*$B$19*$B$20*(D83+273)^3,$B$19*$B$20*(((D83+0.1)+273)^4-(D83+273)^4)/((D83+0.1)-D83))*D83)+T83/H83)/($B$14*(I83+IF(ABS((D83+0.1)-D83)&lt;0.000000001,4*$B$19*$B$20*(D83+273)^3,$B$19*$B$20*(((D83+0.1)+273)^4-(D83+273)^4)/((D83+0.1)-D83)))+1/H83)</f>
        <v/>
      </c>
      <c r="W83">
        <f>($B$14*(I83*C83+IF(ABS(V83-D83)&lt;0.000000001,4*$B$19*$B$20*(D83+273)^3,$B$19*$B$20*((V83+273)^4-(D83+273)^4)/(V83-D83))*D83)+T83/H83)/($B$14*(I83+IF(ABS(V83-D83)&lt;0.000000001,4*$B$19*$B$20*(D83+273)^3,$B$19*$B$20*((V83+273)^4-(D83+273)^4)/(V83-D83)))+1/H83)</f>
        <v/>
      </c>
      <c r="X83">
        <f>($B$14*(I83*C83+IF(ABS(W83-D83)&lt;0.000000001,4*$B$19*$B$20*(D83+273)^3,$B$19*$B$20*((W83+273)^4-(D83+273)^4)/(W83-D83))*D83)+T83/H83)/($B$14*(I83+IF(ABS(W83-D83)&lt;0.000000001,4*$B$19*$B$20*(D83+273)^3,$B$19*$B$20*((W83+273)^4-(D83+273)^4)/(W83-D83)))+1/H83)</f>
        <v/>
      </c>
      <c r="Y83">
        <f>($B$14*(I83*C83+IF(ABS(X83-D83)&lt;0.000000001,4*$B$19*$B$20*(D83+273)^3,$B$19*$B$20*((X83+273)^4-(D83+273)^4)/(X83-D83))*D83)+T83/H83)/($B$14*(I83+IF(ABS(X83-D83)&lt;0.000000001,4*$B$19*$B$20*(D83+273)^3,$B$19*$B$20*((X83+273)^4-(D83+273)^4)/(X83-D83)))+1/H83)</f>
        <v/>
      </c>
      <c r="Z83">
        <f>IF(ABS(Y83-D83)&lt;0.000000001,4*$B$19*$B$20*(D83+273)^3,$B$19*$B$20*((Y83+273)^4-(D83+273)^4)/(Y83-D83))</f>
        <v/>
      </c>
      <c r="AA83">
        <f>$B$14*I83*(Y83-C83)</f>
        <v/>
      </c>
      <c r="AB83">
        <f>$B$14*Z83*(Y83-D83)</f>
        <v/>
      </c>
      <c r="AC83">
        <f>IF((U83-E83)/G83=0,0.001,(U83-E83)/G83)</f>
        <v/>
      </c>
      <c r="AD83">
        <f>F83-P83-J83-K83-AA83-AB83</f>
        <v/>
      </c>
      <c r="AE83">
        <f>AD83/AC83</f>
        <v/>
      </c>
      <c r="AF83">
        <f>IF(AD83&lt;=0,0,IF(AC83&lt;=0,$B$11,IF(AE83&gt;=1.7,$B$11,MIN(AD83/MAX(0.05,IF(AE83&gt;1,(2-AE83)^2/2,1-AE83^2/2)),$B$11))))</f>
        <v/>
      </c>
      <c r="AG83">
        <f>AG82*$B$28+AF83*(1-$B$28)</f>
        <v/>
      </c>
      <c r="AH83">
        <f>IF(AND(AD83&gt;0,AC83&lt;=0),0,AC83)</f>
        <v/>
      </c>
      <c r="AI83">
        <f>AH83/MAX(AG83,0.000001)</f>
        <v/>
      </c>
      <c r="AJ83">
        <f>MIN(IF(AI83&gt;=0.5,-AI83+SQRT(AI83^2+2),1),$B$12)</f>
        <v/>
      </c>
      <c r="AK83">
        <f>IF(AG83&lt;=0,0,AJ83*AH83)</f>
        <v/>
      </c>
      <c r="AL83">
        <f>IF(AD83&lt;=0,0,AD83)</f>
        <v/>
      </c>
      <c r="AM83">
        <f>AL83-AK83+P83</f>
        <v/>
      </c>
      <c r="AN83">
        <f>((AM83/$B$7+T82*AS82/2-T83*MAX(0.1,MIN(0.3,0.3-0.09*(AR82-36.8)))/2)+AR82*(1-AS82/2))/(1-MAX(0.1,MIN(0.3,0.3-0.09*(AR82-36.8)))/2)</f>
        <v/>
      </c>
      <c r="AO83">
        <f>((AM83/$B$7+T82*AS82/2-T83*MAX(0.1,MIN(0.3,0.3-0.09*(AN83-36.8)))/2)+AR82*(1-AS82/2))/(1-MAX(0.1,MIN(0.3,0.3-0.09*(AN83-36.8)))/2)</f>
        <v/>
      </c>
      <c r="AP83">
        <f>((AM83/$B$7+T82*AS82/2-T83*MAX(0.1,MIN(0.3,0.3-0.09*(AO83-36.8)))/2)+AR82*(1-AS82/2))/(1-MAX(0.1,MIN(0.3,0.3-0.09*(AO83-36.8)))/2)</f>
        <v/>
      </c>
      <c r="AQ83">
        <f>((AM83/$B$7+T82*AS82/2-T83*MAX(0.1,MIN(0.3,0.3-0.09*(AP83-36.8)))/2)+AR82*(1-AS82/2))/(1-MAX(0.1,MIN(0.3,0.3-0.09*(AP83-36.8)))/2)</f>
        <v/>
      </c>
      <c r="AR83">
        <f>((AM83/$B$7+T82*AS82/2-T83*MAX(0.1,MIN(0.3,0.3-0.09*(AQ83-36.8)))/2)+AR82*(1-AS82/2))/(1-MAX(0.1,MIN(0.3,0.3-0.09*(AQ83-36.8)))/2)</f>
        <v/>
      </c>
      <c r="AS83">
        <f>MAX(0.1,MIN(0.3,0.3-0.09*(AR83-36.8)))</f>
        <v/>
      </c>
      <c r="AT83">
        <f>AT82+(2*AR83-1.962*AT82-1.31)/9</f>
        <v/>
      </c>
      <c r="AU83">
        <f>AU82+AG83+K83</f>
        <v/>
      </c>
      <c r="AV83">
        <f>AU83*2.67*$B$6/1.8/60</f>
        <v/>
      </c>
      <c r="AW83">
        <f>IF(AT83&gt;=$B$36,1,0)</f>
        <v/>
      </c>
      <c r="AX83">
        <f>IF(AV83&gt;=$B$21,1,0)</f>
        <v/>
      </c>
    </row>
    <row r="84">
      <c r="A84" t="n">
        <v>11</v>
      </c>
      <c r="B84">
        <f>MATCH(A84-1,$D$61:$D$68,1)</f>
        <v/>
      </c>
      <c r="C84">
        <f>INDEX($G$61:$G$68,B84)</f>
        <v/>
      </c>
      <c r="D84">
        <f>INDEX($L$61:$L$68,B84)</f>
        <v/>
      </c>
      <c r="E84">
        <f>INDEX($M$61:$M$68,B84)</f>
        <v/>
      </c>
      <c r="F84">
        <f>INDEX($N$61:$N$68,B84)</f>
        <v/>
      </c>
      <c r="G84">
        <f>INDEX($AA$61:$AA$68,B84)</f>
        <v/>
      </c>
      <c r="H84">
        <f>INDEX($X$61:$X$68,B84)</f>
        <v/>
      </c>
      <c r="I84">
        <f>INDEX($AF$61:$AF$68,B84)</f>
        <v/>
      </c>
      <c r="J84">
        <f>INDEX($AC$61:$AC$68,B84)</f>
        <v/>
      </c>
      <c r="K84">
        <f>INDEX($AD$61:$AD$68,B84)</f>
        <v/>
      </c>
      <c r="L84">
        <f>INDEX($AG$61:$AG$68,B84)</f>
        <v/>
      </c>
      <c r="M84">
        <f>INDEX($AH$61:$AH$68,B84)</f>
        <v/>
      </c>
      <c r="N84">
        <f>INDEX($AI$61:$AI$68,B84)</f>
        <v/>
      </c>
      <c r="O84">
        <f>O83*$B$26+L84*(1-$B$26)</f>
        <v/>
      </c>
      <c r="P84">
        <f>$B$7*(O84-O83)*(1-AS83)</f>
        <v/>
      </c>
      <c r="Q84">
        <f>M84+0.51274*AT83</f>
        <v/>
      </c>
      <c r="R84">
        <f>N84+0.616*AT83</f>
        <v/>
      </c>
      <c r="S84">
        <f>IF($B$13&gt;=0.6,Q84,IF($B$13&lt;=0.2,R84,R84+2.5*(Q84-R84)*($B$13-0.2)))</f>
        <v/>
      </c>
      <c r="T84">
        <f>IF(A84=1,S84,T83*$B$27+S84*(1-$B$27))</f>
        <v/>
      </c>
      <c r="U84">
        <f>0.6105*EXP(17.27*T84/(T84+237.3))</f>
        <v/>
      </c>
      <c r="V84">
        <f>($B$14*(I84*C84+IF(ABS((D84+0.1)-D84)&lt;0.000000001,4*$B$19*$B$20*(D84+273)^3,$B$19*$B$20*(((D84+0.1)+273)^4-(D84+273)^4)/((D84+0.1)-D84))*D84)+T84/H84)/($B$14*(I84+IF(ABS((D84+0.1)-D84)&lt;0.000000001,4*$B$19*$B$20*(D84+273)^3,$B$19*$B$20*(((D84+0.1)+273)^4-(D84+273)^4)/((D84+0.1)-D84)))+1/H84)</f>
        <v/>
      </c>
      <c r="W84">
        <f>($B$14*(I84*C84+IF(ABS(V84-D84)&lt;0.000000001,4*$B$19*$B$20*(D84+273)^3,$B$19*$B$20*((V84+273)^4-(D84+273)^4)/(V84-D84))*D84)+T84/H84)/($B$14*(I84+IF(ABS(V84-D84)&lt;0.000000001,4*$B$19*$B$20*(D84+273)^3,$B$19*$B$20*((V84+273)^4-(D84+273)^4)/(V84-D84)))+1/H84)</f>
        <v/>
      </c>
      <c r="X84">
        <f>($B$14*(I84*C84+IF(ABS(W84-D84)&lt;0.000000001,4*$B$19*$B$20*(D84+273)^3,$B$19*$B$20*((W84+273)^4-(D84+273)^4)/(W84-D84))*D84)+T84/H84)/($B$14*(I84+IF(ABS(W84-D84)&lt;0.000000001,4*$B$19*$B$20*(D84+273)^3,$B$19*$B$20*((W84+273)^4-(D84+273)^4)/(W84-D84)))+1/H84)</f>
        <v/>
      </c>
      <c r="Y84">
        <f>($B$14*(I84*C84+IF(ABS(X84-D84)&lt;0.000000001,4*$B$19*$B$20*(D84+273)^3,$B$19*$B$20*((X84+273)^4-(D84+273)^4)/(X84-D84))*D84)+T84/H84)/($B$14*(I84+IF(ABS(X84-D84)&lt;0.000000001,4*$B$19*$B$20*(D84+273)^3,$B$19*$B$20*((X84+273)^4-(D84+273)^4)/(X84-D84)))+1/H84)</f>
        <v/>
      </c>
      <c r="Z84">
        <f>IF(ABS(Y84-D84)&lt;0.000000001,4*$B$19*$B$20*(D84+273)^3,$B$19*$B$20*((Y84+273)^4-(D84+273)^4)/(Y84-D84))</f>
        <v/>
      </c>
      <c r="AA84">
        <f>$B$14*I84*(Y84-C84)</f>
        <v/>
      </c>
      <c r="AB84">
        <f>$B$14*Z84*(Y84-D84)</f>
        <v/>
      </c>
      <c r="AC84">
        <f>IF((U84-E84)/G84=0,0.001,(U84-E84)/G84)</f>
        <v/>
      </c>
      <c r="AD84">
        <f>F84-P84-J84-K84-AA84-AB84</f>
        <v/>
      </c>
      <c r="AE84">
        <f>AD84/AC84</f>
        <v/>
      </c>
      <c r="AF84">
        <f>IF(AD84&lt;=0,0,IF(AC84&lt;=0,$B$11,IF(AE84&gt;=1.7,$B$11,MIN(AD84/MAX(0.05,IF(AE84&gt;1,(2-AE84)^2/2,1-AE84^2/2)),$B$11))))</f>
        <v/>
      </c>
      <c r="AG84">
        <f>AG83*$B$28+AF84*(1-$B$28)</f>
        <v/>
      </c>
      <c r="AH84">
        <f>IF(AND(AD84&gt;0,AC84&lt;=0),0,AC84)</f>
        <v/>
      </c>
      <c r="AI84">
        <f>AH84/MAX(AG84,0.000001)</f>
        <v/>
      </c>
      <c r="AJ84">
        <f>MIN(IF(AI84&gt;=0.5,-AI84+SQRT(AI84^2+2),1),$B$12)</f>
        <v/>
      </c>
      <c r="AK84">
        <f>IF(AG84&lt;=0,0,AJ84*AH84)</f>
        <v/>
      </c>
      <c r="AL84">
        <f>IF(AD84&lt;=0,0,AD84)</f>
        <v/>
      </c>
      <c r="AM84">
        <f>AL84-AK84+P84</f>
        <v/>
      </c>
      <c r="AN84">
        <f>((AM84/$B$7+T83*AS83/2-T84*MAX(0.1,MIN(0.3,0.3-0.09*(AR83-36.8)))/2)+AR83*(1-AS83/2))/(1-MAX(0.1,MIN(0.3,0.3-0.09*(AR83-36.8)))/2)</f>
        <v/>
      </c>
      <c r="AO84">
        <f>((AM84/$B$7+T83*AS83/2-T84*MAX(0.1,MIN(0.3,0.3-0.09*(AN84-36.8)))/2)+AR83*(1-AS83/2))/(1-MAX(0.1,MIN(0.3,0.3-0.09*(AN84-36.8)))/2)</f>
        <v/>
      </c>
      <c r="AP84">
        <f>((AM84/$B$7+T83*AS83/2-T84*MAX(0.1,MIN(0.3,0.3-0.09*(AO84-36.8)))/2)+AR83*(1-AS83/2))/(1-MAX(0.1,MIN(0.3,0.3-0.09*(AO84-36.8)))/2)</f>
        <v/>
      </c>
      <c r="AQ84">
        <f>((AM84/$B$7+T83*AS83/2-T84*MAX(0.1,MIN(0.3,0.3-0.09*(AP84-36.8)))/2)+AR83*(1-AS83/2))/(1-MAX(0.1,MIN(0.3,0.3-0.09*(AP84-36.8)))/2)</f>
        <v/>
      </c>
      <c r="AR84">
        <f>((AM84/$B$7+T83*AS83/2-T84*MAX(0.1,MIN(0.3,0.3-0.09*(AQ84-36.8)))/2)+AR83*(1-AS83/2))/(1-MAX(0.1,MIN(0.3,0.3-0.09*(AQ84-36.8)))/2)</f>
        <v/>
      </c>
      <c r="AS84">
        <f>MAX(0.1,MIN(0.3,0.3-0.09*(AR84-36.8)))</f>
        <v/>
      </c>
      <c r="AT84">
        <f>AT83+(2*AR84-1.962*AT83-1.31)/9</f>
        <v/>
      </c>
      <c r="AU84">
        <f>AU83+AG84+K84</f>
        <v/>
      </c>
      <c r="AV84">
        <f>AU84*2.67*$B$6/1.8/60</f>
        <v/>
      </c>
      <c r="AW84">
        <f>IF(AT84&gt;=$B$36,1,0)</f>
        <v/>
      </c>
      <c r="AX84">
        <f>IF(AV84&gt;=$B$21,1,0)</f>
        <v/>
      </c>
    </row>
    <row r="85">
      <c r="A85" t="n">
        <v>12</v>
      </c>
      <c r="B85">
        <f>MATCH(A85-1,$D$61:$D$68,1)</f>
        <v/>
      </c>
      <c r="C85">
        <f>INDEX($G$61:$G$68,B85)</f>
        <v/>
      </c>
      <c r="D85">
        <f>INDEX($L$61:$L$68,B85)</f>
        <v/>
      </c>
      <c r="E85">
        <f>INDEX($M$61:$M$68,B85)</f>
        <v/>
      </c>
      <c r="F85">
        <f>INDEX($N$61:$N$68,B85)</f>
        <v/>
      </c>
      <c r="G85">
        <f>INDEX($AA$61:$AA$68,B85)</f>
        <v/>
      </c>
      <c r="H85">
        <f>INDEX($X$61:$X$68,B85)</f>
        <v/>
      </c>
      <c r="I85">
        <f>INDEX($AF$61:$AF$68,B85)</f>
        <v/>
      </c>
      <c r="J85">
        <f>INDEX($AC$61:$AC$68,B85)</f>
        <v/>
      </c>
      <c r="K85">
        <f>INDEX($AD$61:$AD$68,B85)</f>
        <v/>
      </c>
      <c r="L85">
        <f>INDEX($AG$61:$AG$68,B85)</f>
        <v/>
      </c>
      <c r="M85">
        <f>INDEX($AH$61:$AH$68,B85)</f>
        <v/>
      </c>
      <c r="N85">
        <f>INDEX($AI$61:$AI$68,B85)</f>
        <v/>
      </c>
      <c r="O85">
        <f>O84*$B$26+L85*(1-$B$26)</f>
        <v/>
      </c>
      <c r="P85">
        <f>$B$7*(O85-O84)*(1-AS84)</f>
        <v/>
      </c>
      <c r="Q85">
        <f>M85+0.51274*AT84</f>
        <v/>
      </c>
      <c r="R85">
        <f>N85+0.616*AT84</f>
        <v/>
      </c>
      <c r="S85">
        <f>IF($B$13&gt;=0.6,Q85,IF($B$13&lt;=0.2,R85,R85+2.5*(Q85-R85)*($B$13-0.2)))</f>
        <v/>
      </c>
      <c r="T85">
        <f>IF(A85=1,S85,T84*$B$27+S85*(1-$B$27))</f>
        <v/>
      </c>
      <c r="U85">
        <f>0.6105*EXP(17.27*T85/(T85+237.3))</f>
        <v/>
      </c>
      <c r="V85">
        <f>($B$14*(I85*C85+IF(ABS((D85+0.1)-D85)&lt;0.000000001,4*$B$19*$B$20*(D85+273)^3,$B$19*$B$20*(((D85+0.1)+273)^4-(D85+273)^4)/((D85+0.1)-D85))*D85)+T85/H85)/($B$14*(I85+IF(ABS((D85+0.1)-D85)&lt;0.000000001,4*$B$19*$B$20*(D85+273)^3,$B$19*$B$20*(((D85+0.1)+273)^4-(D85+273)^4)/((D85+0.1)-D85)))+1/H85)</f>
        <v/>
      </c>
      <c r="W85">
        <f>($B$14*(I85*C85+IF(ABS(V85-D85)&lt;0.000000001,4*$B$19*$B$20*(D85+273)^3,$B$19*$B$20*((V85+273)^4-(D85+273)^4)/(V85-D85))*D85)+T85/H85)/($B$14*(I85+IF(ABS(V85-D85)&lt;0.000000001,4*$B$19*$B$20*(D85+273)^3,$B$19*$B$20*((V85+273)^4-(D85+273)^4)/(V85-D85)))+1/H85)</f>
        <v/>
      </c>
      <c r="X85">
        <f>($B$14*(I85*C85+IF(ABS(W85-D85)&lt;0.000000001,4*$B$19*$B$20*(D85+273)^3,$B$19*$B$20*((W85+273)^4-(D85+273)^4)/(W85-D85))*D85)+T85/H85)/($B$14*(I85+IF(ABS(W85-D85)&lt;0.000000001,4*$B$19*$B$20*(D85+273)^3,$B$19*$B$20*((W85+273)^4-(D85+273)^4)/(W85-D85)))+1/H85)</f>
        <v/>
      </c>
      <c r="Y85">
        <f>($B$14*(I85*C85+IF(ABS(X85-D85)&lt;0.000000001,4*$B$19*$B$20*(D85+273)^3,$B$19*$B$20*((X85+273)^4-(D85+273)^4)/(X85-D85))*D85)+T85/H85)/($B$14*(I85+IF(ABS(X85-D85)&lt;0.000000001,4*$B$19*$B$20*(D85+273)^3,$B$19*$B$20*((X85+273)^4-(D85+273)^4)/(X85-D85)))+1/H85)</f>
        <v/>
      </c>
      <c r="Z85">
        <f>IF(ABS(Y85-D85)&lt;0.000000001,4*$B$19*$B$20*(D85+273)^3,$B$19*$B$20*((Y85+273)^4-(D85+273)^4)/(Y85-D85))</f>
        <v/>
      </c>
      <c r="AA85">
        <f>$B$14*I85*(Y85-C85)</f>
        <v/>
      </c>
      <c r="AB85">
        <f>$B$14*Z85*(Y85-D85)</f>
        <v/>
      </c>
      <c r="AC85">
        <f>IF((U85-E85)/G85=0,0.001,(U85-E85)/G85)</f>
        <v/>
      </c>
      <c r="AD85">
        <f>F85-P85-J85-K85-AA85-AB85</f>
        <v/>
      </c>
      <c r="AE85">
        <f>AD85/AC85</f>
        <v/>
      </c>
      <c r="AF85">
        <f>IF(AD85&lt;=0,0,IF(AC85&lt;=0,$B$11,IF(AE85&gt;=1.7,$B$11,MIN(AD85/MAX(0.05,IF(AE85&gt;1,(2-AE85)^2/2,1-AE85^2/2)),$B$11))))</f>
        <v/>
      </c>
      <c r="AG85">
        <f>AG84*$B$28+AF85*(1-$B$28)</f>
        <v/>
      </c>
      <c r="AH85">
        <f>IF(AND(AD85&gt;0,AC85&lt;=0),0,AC85)</f>
        <v/>
      </c>
      <c r="AI85">
        <f>AH85/MAX(AG85,0.000001)</f>
        <v/>
      </c>
      <c r="AJ85">
        <f>MIN(IF(AI85&gt;=0.5,-AI85+SQRT(AI85^2+2),1),$B$12)</f>
        <v/>
      </c>
      <c r="AK85">
        <f>IF(AG85&lt;=0,0,AJ85*AH85)</f>
        <v/>
      </c>
      <c r="AL85">
        <f>IF(AD85&lt;=0,0,AD85)</f>
        <v/>
      </c>
      <c r="AM85">
        <f>AL85-AK85+P85</f>
        <v/>
      </c>
      <c r="AN85">
        <f>((AM85/$B$7+T84*AS84/2-T85*MAX(0.1,MIN(0.3,0.3-0.09*(AR84-36.8)))/2)+AR84*(1-AS84/2))/(1-MAX(0.1,MIN(0.3,0.3-0.09*(AR84-36.8)))/2)</f>
        <v/>
      </c>
      <c r="AO85">
        <f>((AM85/$B$7+T84*AS84/2-T85*MAX(0.1,MIN(0.3,0.3-0.09*(AN85-36.8)))/2)+AR84*(1-AS84/2))/(1-MAX(0.1,MIN(0.3,0.3-0.09*(AN85-36.8)))/2)</f>
        <v/>
      </c>
      <c r="AP85">
        <f>((AM85/$B$7+T84*AS84/2-T85*MAX(0.1,MIN(0.3,0.3-0.09*(AO85-36.8)))/2)+AR84*(1-AS84/2))/(1-MAX(0.1,MIN(0.3,0.3-0.09*(AO85-36.8)))/2)</f>
        <v/>
      </c>
      <c r="AQ85">
        <f>((AM85/$B$7+T84*AS84/2-T85*MAX(0.1,MIN(0.3,0.3-0.09*(AP85-36.8)))/2)+AR84*(1-AS84/2))/(1-MAX(0.1,MIN(0.3,0.3-0.09*(AP85-36.8)))/2)</f>
        <v/>
      </c>
      <c r="AR85">
        <f>((AM85/$B$7+T84*AS84/2-T85*MAX(0.1,MIN(0.3,0.3-0.09*(AQ85-36.8)))/2)+AR84*(1-AS84/2))/(1-MAX(0.1,MIN(0.3,0.3-0.09*(AQ85-36.8)))/2)</f>
        <v/>
      </c>
      <c r="AS85">
        <f>MAX(0.1,MIN(0.3,0.3-0.09*(AR85-36.8)))</f>
        <v/>
      </c>
      <c r="AT85">
        <f>AT84+(2*AR85-1.962*AT84-1.31)/9</f>
        <v/>
      </c>
      <c r="AU85">
        <f>AU84+AG85+K85</f>
        <v/>
      </c>
      <c r="AV85">
        <f>AU85*2.67*$B$6/1.8/60</f>
        <v/>
      </c>
      <c r="AW85">
        <f>IF(AT85&gt;=$B$36,1,0)</f>
        <v/>
      </c>
      <c r="AX85">
        <f>IF(AV85&gt;=$B$21,1,0)</f>
        <v/>
      </c>
    </row>
    <row r="86">
      <c r="A86" t="n">
        <v>13</v>
      </c>
      <c r="B86">
        <f>MATCH(A86-1,$D$61:$D$68,1)</f>
        <v/>
      </c>
      <c r="C86">
        <f>INDEX($G$61:$G$68,B86)</f>
        <v/>
      </c>
      <c r="D86">
        <f>INDEX($L$61:$L$68,B86)</f>
        <v/>
      </c>
      <c r="E86">
        <f>INDEX($M$61:$M$68,B86)</f>
        <v/>
      </c>
      <c r="F86">
        <f>INDEX($N$61:$N$68,B86)</f>
        <v/>
      </c>
      <c r="G86">
        <f>INDEX($AA$61:$AA$68,B86)</f>
        <v/>
      </c>
      <c r="H86">
        <f>INDEX($X$61:$X$68,B86)</f>
        <v/>
      </c>
      <c r="I86">
        <f>INDEX($AF$61:$AF$68,B86)</f>
        <v/>
      </c>
      <c r="J86">
        <f>INDEX($AC$61:$AC$68,B86)</f>
        <v/>
      </c>
      <c r="K86">
        <f>INDEX($AD$61:$AD$68,B86)</f>
        <v/>
      </c>
      <c r="L86">
        <f>INDEX($AG$61:$AG$68,B86)</f>
        <v/>
      </c>
      <c r="M86">
        <f>INDEX($AH$61:$AH$68,B86)</f>
        <v/>
      </c>
      <c r="N86">
        <f>INDEX($AI$61:$AI$68,B86)</f>
        <v/>
      </c>
      <c r="O86">
        <f>O85*$B$26+L86*(1-$B$26)</f>
        <v/>
      </c>
      <c r="P86">
        <f>$B$7*(O86-O85)*(1-AS85)</f>
        <v/>
      </c>
      <c r="Q86">
        <f>M86+0.51274*AT85</f>
        <v/>
      </c>
      <c r="R86">
        <f>N86+0.616*AT85</f>
        <v/>
      </c>
      <c r="S86">
        <f>IF($B$13&gt;=0.6,Q86,IF($B$13&lt;=0.2,R86,R86+2.5*(Q86-R86)*($B$13-0.2)))</f>
        <v/>
      </c>
      <c r="T86">
        <f>IF(A86=1,S86,T85*$B$27+S86*(1-$B$27))</f>
        <v/>
      </c>
      <c r="U86">
        <f>0.6105*EXP(17.27*T86/(T86+237.3))</f>
        <v/>
      </c>
      <c r="V86">
        <f>($B$14*(I86*C86+IF(ABS((D86+0.1)-D86)&lt;0.000000001,4*$B$19*$B$20*(D86+273)^3,$B$19*$B$20*(((D86+0.1)+273)^4-(D86+273)^4)/((D86+0.1)-D86))*D86)+T86/H86)/($B$14*(I86+IF(ABS((D86+0.1)-D86)&lt;0.000000001,4*$B$19*$B$20*(D86+273)^3,$B$19*$B$20*(((D86+0.1)+273)^4-(D86+273)^4)/((D86+0.1)-D86)))+1/H86)</f>
        <v/>
      </c>
      <c r="W86">
        <f>($B$14*(I86*C86+IF(ABS(V86-D86)&lt;0.000000001,4*$B$19*$B$20*(D86+273)^3,$B$19*$B$20*((V86+273)^4-(D86+273)^4)/(V86-D86))*D86)+T86/H86)/($B$14*(I86+IF(ABS(V86-D86)&lt;0.000000001,4*$B$19*$B$20*(D86+273)^3,$B$19*$B$20*((V86+273)^4-(D86+273)^4)/(V86-D86)))+1/H86)</f>
        <v/>
      </c>
      <c r="X86">
        <f>($B$14*(I86*C86+IF(ABS(W86-D86)&lt;0.000000001,4*$B$19*$B$20*(D86+273)^3,$B$19*$B$20*((W86+273)^4-(D86+273)^4)/(W86-D86))*D86)+T86/H86)/($B$14*(I86+IF(ABS(W86-D86)&lt;0.000000001,4*$B$19*$B$20*(D86+273)^3,$B$19*$B$20*((W86+273)^4-(D86+273)^4)/(W86-D86)))+1/H86)</f>
        <v/>
      </c>
      <c r="Y86">
        <f>($B$14*(I86*C86+IF(ABS(X86-D86)&lt;0.000000001,4*$B$19*$B$20*(D86+273)^3,$B$19*$B$20*((X86+273)^4-(D86+273)^4)/(X86-D86))*D86)+T86/H86)/($B$14*(I86+IF(ABS(X86-D86)&lt;0.000000001,4*$B$19*$B$20*(D86+273)^3,$B$19*$B$20*((X86+273)^4-(D86+273)^4)/(X86-D86)))+1/H86)</f>
        <v/>
      </c>
      <c r="Z86">
        <f>IF(ABS(Y86-D86)&lt;0.000000001,4*$B$19*$B$20*(D86+273)^3,$B$19*$B$20*((Y86+273)^4-(D86+273)^4)/(Y86-D86))</f>
        <v/>
      </c>
      <c r="AA86">
        <f>$B$14*I86*(Y86-C86)</f>
        <v/>
      </c>
      <c r="AB86">
        <f>$B$14*Z86*(Y86-D86)</f>
        <v/>
      </c>
      <c r="AC86">
        <f>IF((U86-E86)/G86=0,0.001,(U86-E86)/G86)</f>
        <v/>
      </c>
      <c r="AD86">
        <f>F86-P86-J86-K86-AA86-AB86</f>
        <v/>
      </c>
      <c r="AE86">
        <f>AD86/AC86</f>
        <v/>
      </c>
      <c r="AF86">
        <f>IF(AD86&lt;=0,0,IF(AC86&lt;=0,$B$11,IF(AE86&gt;=1.7,$B$11,MIN(AD86/MAX(0.05,IF(AE86&gt;1,(2-AE86)^2/2,1-AE86^2/2)),$B$11))))</f>
        <v/>
      </c>
      <c r="AG86">
        <f>AG85*$B$28+AF86*(1-$B$28)</f>
        <v/>
      </c>
      <c r="AH86">
        <f>IF(AND(AD86&gt;0,AC86&lt;=0),0,AC86)</f>
        <v/>
      </c>
      <c r="AI86">
        <f>AH86/MAX(AG86,0.000001)</f>
        <v/>
      </c>
      <c r="AJ86">
        <f>MIN(IF(AI86&gt;=0.5,-AI86+SQRT(AI86^2+2),1),$B$12)</f>
        <v/>
      </c>
      <c r="AK86">
        <f>IF(AG86&lt;=0,0,AJ86*AH86)</f>
        <v/>
      </c>
      <c r="AL86">
        <f>IF(AD86&lt;=0,0,AD86)</f>
        <v/>
      </c>
      <c r="AM86">
        <f>AL86-AK86+P86</f>
        <v/>
      </c>
      <c r="AN86">
        <f>((AM86/$B$7+T85*AS85/2-T86*MAX(0.1,MIN(0.3,0.3-0.09*(AR85-36.8)))/2)+AR85*(1-AS85/2))/(1-MAX(0.1,MIN(0.3,0.3-0.09*(AR85-36.8)))/2)</f>
        <v/>
      </c>
      <c r="AO86">
        <f>((AM86/$B$7+T85*AS85/2-T86*MAX(0.1,MIN(0.3,0.3-0.09*(AN86-36.8)))/2)+AR85*(1-AS85/2))/(1-MAX(0.1,MIN(0.3,0.3-0.09*(AN86-36.8)))/2)</f>
        <v/>
      </c>
      <c r="AP86">
        <f>((AM86/$B$7+T85*AS85/2-T86*MAX(0.1,MIN(0.3,0.3-0.09*(AO86-36.8)))/2)+AR85*(1-AS85/2))/(1-MAX(0.1,MIN(0.3,0.3-0.09*(AO86-36.8)))/2)</f>
        <v/>
      </c>
      <c r="AQ86">
        <f>((AM86/$B$7+T85*AS85/2-T86*MAX(0.1,MIN(0.3,0.3-0.09*(AP86-36.8)))/2)+AR85*(1-AS85/2))/(1-MAX(0.1,MIN(0.3,0.3-0.09*(AP86-36.8)))/2)</f>
        <v/>
      </c>
      <c r="AR86">
        <f>((AM86/$B$7+T85*AS85/2-T86*MAX(0.1,MIN(0.3,0.3-0.09*(AQ86-36.8)))/2)+AR85*(1-AS85/2))/(1-MAX(0.1,MIN(0.3,0.3-0.09*(AQ86-36.8)))/2)</f>
        <v/>
      </c>
      <c r="AS86">
        <f>MAX(0.1,MIN(0.3,0.3-0.09*(AR86-36.8)))</f>
        <v/>
      </c>
      <c r="AT86">
        <f>AT85+(2*AR86-1.962*AT85-1.31)/9</f>
        <v/>
      </c>
      <c r="AU86">
        <f>AU85+AG86+K86</f>
        <v/>
      </c>
      <c r="AV86">
        <f>AU86*2.67*$B$6/1.8/60</f>
        <v/>
      </c>
      <c r="AW86">
        <f>IF(AT86&gt;=$B$36,1,0)</f>
        <v/>
      </c>
      <c r="AX86">
        <f>IF(AV86&gt;=$B$21,1,0)</f>
        <v/>
      </c>
    </row>
    <row r="87">
      <c r="A87" t="n">
        <v>14</v>
      </c>
      <c r="B87">
        <f>MATCH(A87-1,$D$61:$D$68,1)</f>
        <v/>
      </c>
      <c r="C87">
        <f>INDEX($G$61:$G$68,B87)</f>
        <v/>
      </c>
      <c r="D87">
        <f>INDEX($L$61:$L$68,B87)</f>
        <v/>
      </c>
      <c r="E87">
        <f>INDEX($M$61:$M$68,B87)</f>
        <v/>
      </c>
      <c r="F87">
        <f>INDEX($N$61:$N$68,B87)</f>
        <v/>
      </c>
      <c r="G87">
        <f>INDEX($AA$61:$AA$68,B87)</f>
        <v/>
      </c>
      <c r="H87">
        <f>INDEX($X$61:$X$68,B87)</f>
        <v/>
      </c>
      <c r="I87">
        <f>INDEX($AF$61:$AF$68,B87)</f>
        <v/>
      </c>
      <c r="J87">
        <f>INDEX($AC$61:$AC$68,B87)</f>
        <v/>
      </c>
      <c r="K87">
        <f>INDEX($AD$61:$AD$68,B87)</f>
        <v/>
      </c>
      <c r="L87">
        <f>INDEX($AG$61:$AG$68,B87)</f>
        <v/>
      </c>
      <c r="M87">
        <f>INDEX($AH$61:$AH$68,B87)</f>
        <v/>
      </c>
      <c r="N87">
        <f>INDEX($AI$61:$AI$68,B87)</f>
        <v/>
      </c>
      <c r="O87">
        <f>O86*$B$26+L87*(1-$B$26)</f>
        <v/>
      </c>
      <c r="P87">
        <f>$B$7*(O87-O86)*(1-AS86)</f>
        <v/>
      </c>
      <c r="Q87">
        <f>M87+0.51274*AT86</f>
        <v/>
      </c>
      <c r="R87">
        <f>N87+0.616*AT86</f>
        <v/>
      </c>
      <c r="S87">
        <f>IF($B$13&gt;=0.6,Q87,IF($B$13&lt;=0.2,R87,R87+2.5*(Q87-R87)*($B$13-0.2)))</f>
        <v/>
      </c>
      <c r="T87">
        <f>IF(A87=1,S87,T86*$B$27+S87*(1-$B$27))</f>
        <v/>
      </c>
      <c r="U87">
        <f>0.6105*EXP(17.27*T87/(T87+237.3))</f>
        <v/>
      </c>
      <c r="V87">
        <f>($B$14*(I87*C87+IF(ABS((D87+0.1)-D87)&lt;0.000000001,4*$B$19*$B$20*(D87+273)^3,$B$19*$B$20*(((D87+0.1)+273)^4-(D87+273)^4)/((D87+0.1)-D87))*D87)+T87/H87)/($B$14*(I87+IF(ABS((D87+0.1)-D87)&lt;0.000000001,4*$B$19*$B$20*(D87+273)^3,$B$19*$B$20*(((D87+0.1)+273)^4-(D87+273)^4)/((D87+0.1)-D87)))+1/H87)</f>
        <v/>
      </c>
      <c r="W87">
        <f>($B$14*(I87*C87+IF(ABS(V87-D87)&lt;0.000000001,4*$B$19*$B$20*(D87+273)^3,$B$19*$B$20*((V87+273)^4-(D87+273)^4)/(V87-D87))*D87)+T87/H87)/($B$14*(I87+IF(ABS(V87-D87)&lt;0.000000001,4*$B$19*$B$20*(D87+273)^3,$B$19*$B$20*((V87+273)^4-(D87+273)^4)/(V87-D87)))+1/H87)</f>
        <v/>
      </c>
      <c r="X87">
        <f>($B$14*(I87*C87+IF(ABS(W87-D87)&lt;0.000000001,4*$B$19*$B$20*(D87+273)^3,$B$19*$B$20*((W87+273)^4-(D87+273)^4)/(W87-D87))*D87)+T87/H87)/($B$14*(I87+IF(ABS(W87-D87)&lt;0.000000001,4*$B$19*$B$20*(D87+273)^3,$B$19*$B$20*((W87+273)^4-(D87+273)^4)/(W87-D87)))+1/H87)</f>
        <v/>
      </c>
      <c r="Y87">
        <f>($B$14*(I87*C87+IF(ABS(X87-D87)&lt;0.000000001,4*$B$19*$B$20*(D87+273)^3,$B$19*$B$20*((X87+273)^4-(D87+273)^4)/(X87-D87))*D87)+T87/H87)/($B$14*(I87+IF(ABS(X87-D87)&lt;0.000000001,4*$B$19*$B$20*(D87+273)^3,$B$19*$B$20*((X87+273)^4-(D87+273)^4)/(X87-D87)))+1/H87)</f>
        <v/>
      </c>
      <c r="Z87">
        <f>IF(ABS(Y87-D87)&lt;0.000000001,4*$B$19*$B$20*(D87+273)^3,$B$19*$B$20*((Y87+273)^4-(D87+273)^4)/(Y87-D87))</f>
        <v/>
      </c>
      <c r="AA87">
        <f>$B$14*I87*(Y87-C87)</f>
        <v/>
      </c>
      <c r="AB87">
        <f>$B$14*Z87*(Y87-D87)</f>
        <v/>
      </c>
      <c r="AC87">
        <f>IF((U87-E87)/G87=0,0.001,(U87-E87)/G87)</f>
        <v/>
      </c>
      <c r="AD87">
        <f>F87-P87-J87-K87-AA87-AB87</f>
        <v/>
      </c>
      <c r="AE87">
        <f>AD87/AC87</f>
        <v/>
      </c>
      <c r="AF87">
        <f>IF(AD87&lt;=0,0,IF(AC87&lt;=0,$B$11,IF(AE87&gt;=1.7,$B$11,MIN(AD87/MAX(0.05,IF(AE87&gt;1,(2-AE87)^2/2,1-AE87^2/2)),$B$11))))</f>
        <v/>
      </c>
      <c r="AG87">
        <f>AG86*$B$28+AF87*(1-$B$28)</f>
        <v/>
      </c>
      <c r="AH87">
        <f>IF(AND(AD87&gt;0,AC87&lt;=0),0,AC87)</f>
        <v/>
      </c>
      <c r="AI87">
        <f>AH87/MAX(AG87,0.000001)</f>
        <v/>
      </c>
      <c r="AJ87">
        <f>MIN(IF(AI87&gt;=0.5,-AI87+SQRT(AI87^2+2),1),$B$12)</f>
        <v/>
      </c>
      <c r="AK87">
        <f>IF(AG87&lt;=0,0,AJ87*AH87)</f>
        <v/>
      </c>
      <c r="AL87">
        <f>IF(AD87&lt;=0,0,AD87)</f>
        <v/>
      </c>
      <c r="AM87">
        <f>AL87-AK87+P87</f>
        <v/>
      </c>
      <c r="AN87">
        <f>((AM87/$B$7+T86*AS86/2-T87*MAX(0.1,MIN(0.3,0.3-0.09*(AR86-36.8)))/2)+AR86*(1-AS86/2))/(1-MAX(0.1,MIN(0.3,0.3-0.09*(AR86-36.8)))/2)</f>
        <v/>
      </c>
      <c r="AO87">
        <f>((AM87/$B$7+T86*AS86/2-T87*MAX(0.1,MIN(0.3,0.3-0.09*(AN87-36.8)))/2)+AR86*(1-AS86/2))/(1-MAX(0.1,MIN(0.3,0.3-0.09*(AN87-36.8)))/2)</f>
        <v/>
      </c>
      <c r="AP87">
        <f>((AM87/$B$7+T86*AS86/2-T87*MAX(0.1,MIN(0.3,0.3-0.09*(AO87-36.8)))/2)+AR86*(1-AS86/2))/(1-MAX(0.1,MIN(0.3,0.3-0.09*(AO87-36.8)))/2)</f>
        <v/>
      </c>
      <c r="AQ87">
        <f>((AM87/$B$7+T86*AS86/2-T87*MAX(0.1,MIN(0.3,0.3-0.09*(AP87-36.8)))/2)+AR86*(1-AS86/2))/(1-MAX(0.1,MIN(0.3,0.3-0.09*(AP87-36.8)))/2)</f>
        <v/>
      </c>
      <c r="AR87">
        <f>((AM87/$B$7+T86*AS86/2-T87*MAX(0.1,MIN(0.3,0.3-0.09*(AQ87-36.8)))/2)+AR86*(1-AS86/2))/(1-MAX(0.1,MIN(0.3,0.3-0.09*(AQ87-36.8)))/2)</f>
        <v/>
      </c>
      <c r="AS87">
        <f>MAX(0.1,MIN(0.3,0.3-0.09*(AR87-36.8)))</f>
        <v/>
      </c>
      <c r="AT87">
        <f>AT86+(2*AR87-1.962*AT86-1.31)/9</f>
        <v/>
      </c>
      <c r="AU87">
        <f>AU86+AG87+K87</f>
        <v/>
      </c>
      <c r="AV87">
        <f>AU87*2.67*$B$6/1.8/60</f>
        <v/>
      </c>
      <c r="AW87">
        <f>IF(AT87&gt;=$B$36,1,0)</f>
        <v/>
      </c>
      <c r="AX87">
        <f>IF(AV87&gt;=$B$21,1,0)</f>
        <v/>
      </c>
    </row>
    <row r="88">
      <c r="A88" t="n">
        <v>15</v>
      </c>
      <c r="B88">
        <f>MATCH(A88-1,$D$61:$D$68,1)</f>
        <v/>
      </c>
      <c r="C88">
        <f>INDEX($G$61:$G$68,B88)</f>
        <v/>
      </c>
      <c r="D88">
        <f>INDEX($L$61:$L$68,B88)</f>
        <v/>
      </c>
      <c r="E88">
        <f>INDEX($M$61:$M$68,B88)</f>
        <v/>
      </c>
      <c r="F88">
        <f>INDEX($N$61:$N$68,B88)</f>
        <v/>
      </c>
      <c r="G88">
        <f>INDEX($AA$61:$AA$68,B88)</f>
        <v/>
      </c>
      <c r="H88">
        <f>INDEX($X$61:$X$68,B88)</f>
        <v/>
      </c>
      <c r="I88">
        <f>INDEX($AF$61:$AF$68,B88)</f>
        <v/>
      </c>
      <c r="J88">
        <f>INDEX($AC$61:$AC$68,B88)</f>
        <v/>
      </c>
      <c r="K88">
        <f>INDEX($AD$61:$AD$68,B88)</f>
        <v/>
      </c>
      <c r="L88">
        <f>INDEX($AG$61:$AG$68,B88)</f>
        <v/>
      </c>
      <c r="M88">
        <f>INDEX($AH$61:$AH$68,B88)</f>
        <v/>
      </c>
      <c r="N88">
        <f>INDEX($AI$61:$AI$68,B88)</f>
        <v/>
      </c>
      <c r="O88">
        <f>O87*$B$26+L88*(1-$B$26)</f>
        <v/>
      </c>
      <c r="P88">
        <f>$B$7*(O88-O87)*(1-AS87)</f>
        <v/>
      </c>
      <c r="Q88">
        <f>M88+0.51274*AT87</f>
        <v/>
      </c>
      <c r="R88">
        <f>N88+0.616*AT87</f>
        <v/>
      </c>
      <c r="S88">
        <f>IF($B$13&gt;=0.6,Q88,IF($B$13&lt;=0.2,R88,R88+2.5*(Q88-R88)*($B$13-0.2)))</f>
        <v/>
      </c>
      <c r="T88">
        <f>IF(A88=1,S88,T87*$B$27+S88*(1-$B$27))</f>
        <v/>
      </c>
      <c r="U88">
        <f>0.6105*EXP(17.27*T88/(T88+237.3))</f>
        <v/>
      </c>
      <c r="V88">
        <f>($B$14*(I88*C88+IF(ABS((D88+0.1)-D88)&lt;0.000000001,4*$B$19*$B$20*(D88+273)^3,$B$19*$B$20*(((D88+0.1)+273)^4-(D88+273)^4)/((D88+0.1)-D88))*D88)+T88/H88)/($B$14*(I88+IF(ABS((D88+0.1)-D88)&lt;0.000000001,4*$B$19*$B$20*(D88+273)^3,$B$19*$B$20*(((D88+0.1)+273)^4-(D88+273)^4)/((D88+0.1)-D88)))+1/H88)</f>
        <v/>
      </c>
      <c r="W88">
        <f>($B$14*(I88*C88+IF(ABS(V88-D88)&lt;0.000000001,4*$B$19*$B$20*(D88+273)^3,$B$19*$B$20*((V88+273)^4-(D88+273)^4)/(V88-D88))*D88)+T88/H88)/($B$14*(I88+IF(ABS(V88-D88)&lt;0.000000001,4*$B$19*$B$20*(D88+273)^3,$B$19*$B$20*((V88+273)^4-(D88+273)^4)/(V88-D88)))+1/H88)</f>
        <v/>
      </c>
      <c r="X88">
        <f>($B$14*(I88*C88+IF(ABS(W88-D88)&lt;0.000000001,4*$B$19*$B$20*(D88+273)^3,$B$19*$B$20*((W88+273)^4-(D88+273)^4)/(W88-D88))*D88)+T88/H88)/($B$14*(I88+IF(ABS(W88-D88)&lt;0.000000001,4*$B$19*$B$20*(D88+273)^3,$B$19*$B$20*((W88+273)^4-(D88+273)^4)/(W88-D88)))+1/H88)</f>
        <v/>
      </c>
      <c r="Y88">
        <f>($B$14*(I88*C88+IF(ABS(X88-D88)&lt;0.000000001,4*$B$19*$B$20*(D88+273)^3,$B$19*$B$20*((X88+273)^4-(D88+273)^4)/(X88-D88))*D88)+T88/H88)/($B$14*(I88+IF(ABS(X88-D88)&lt;0.000000001,4*$B$19*$B$20*(D88+273)^3,$B$19*$B$20*((X88+273)^4-(D88+273)^4)/(X88-D88)))+1/H88)</f>
        <v/>
      </c>
      <c r="Z88">
        <f>IF(ABS(Y88-D88)&lt;0.000000001,4*$B$19*$B$20*(D88+273)^3,$B$19*$B$20*((Y88+273)^4-(D88+273)^4)/(Y88-D88))</f>
        <v/>
      </c>
      <c r="AA88">
        <f>$B$14*I88*(Y88-C88)</f>
        <v/>
      </c>
      <c r="AB88">
        <f>$B$14*Z88*(Y88-D88)</f>
        <v/>
      </c>
      <c r="AC88">
        <f>IF((U88-E88)/G88=0,0.001,(U88-E88)/G88)</f>
        <v/>
      </c>
      <c r="AD88">
        <f>F88-P88-J88-K88-AA88-AB88</f>
        <v/>
      </c>
      <c r="AE88">
        <f>AD88/AC88</f>
        <v/>
      </c>
      <c r="AF88">
        <f>IF(AD88&lt;=0,0,IF(AC88&lt;=0,$B$11,IF(AE88&gt;=1.7,$B$11,MIN(AD88/MAX(0.05,IF(AE88&gt;1,(2-AE88)^2/2,1-AE88^2/2)),$B$11))))</f>
        <v/>
      </c>
      <c r="AG88">
        <f>AG87*$B$28+AF88*(1-$B$28)</f>
        <v/>
      </c>
      <c r="AH88">
        <f>IF(AND(AD88&gt;0,AC88&lt;=0),0,AC88)</f>
        <v/>
      </c>
      <c r="AI88">
        <f>AH88/MAX(AG88,0.000001)</f>
        <v/>
      </c>
      <c r="AJ88">
        <f>MIN(IF(AI88&gt;=0.5,-AI88+SQRT(AI88^2+2),1),$B$12)</f>
        <v/>
      </c>
      <c r="AK88">
        <f>IF(AG88&lt;=0,0,AJ88*AH88)</f>
        <v/>
      </c>
      <c r="AL88">
        <f>IF(AD88&lt;=0,0,AD88)</f>
        <v/>
      </c>
      <c r="AM88">
        <f>AL88-AK88+P88</f>
        <v/>
      </c>
      <c r="AN88">
        <f>((AM88/$B$7+T87*AS87/2-T88*MAX(0.1,MIN(0.3,0.3-0.09*(AR87-36.8)))/2)+AR87*(1-AS87/2))/(1-MAX(0.1,MIN(0.3,0.3-0.09*(AR87-36.8)))/2)</f>
        <v/>
      </c>
      <c r="AO88">
        <f>((AM88/$B$7+T87*AS87/2-T88*MAX(0.1,MIN(0.3,0.3-0.09*(AN88-36.8)))/2)+AR87*(1-AS87/2))/(1-MAX(0.1,MIN(0.3,0.3-0.09*(AN88-36.8)))/2)</f>
        <v/>
      </c>
      <c r="AP88">
        <f>((AM88/$B$7+T87*AS87/2-T88*MAX(0.1,MIN(0.3,0.3-0.09*(AO88-36.8)))/2)+AR87*(1-AS87/2))/(1-MAX(0.1,MIN(0.3,0.3-0.09*(AO88-36.8)))/2)</f>
        <v/>
      </c>
      <c r="AQ88">
        <f>((AM88/$B$7+T87*AS87/2-T88*MAX(0.1,MIN(0.3,0.3-0.09*(AP88-36.8)))/2)+AR87*(1-AS87/2))/(1-MAX(0.1,MIN(0.3,0.3-0.09*(AP88-36.8)))/2)</f>
        <v/>
      </c>
      <c r="AR88">
        <f>((AM88/$B$7+T87*AS87/2-T88*MAX(0.1,MIN(0.3,0.3-0.09*(AQ88-36.8)))/2)+AR87*(1-AS87/2))/(1-MAX(0.1,MIN(0.3,0.3-0.09*(AQ88-36.8)))/2)</f>
        <v/>
      </c>
      <c r="AS88">
        <f>MAX(0.1,MIN(0.3,0.3-0.09*(AR88-36.8)))</f>
        <v/>
      </c>
      <c r="AT88">
        <f>AT87+(2*AR88-1.962*AT87-1.31)/9</f>
        <v/>
      </c>
      <c r="AU88">
        <f>AU87+AG88+K88</f>
        <v/>
      </c>
      <c r="AV88">
        <f>AU88*2.67*$B$6/1.8/60</f>
        <v/>
      </c>
      <c r="AW88">
        <f>IF(AT88&gt;=$B$36,1,0)</f>
        <v/>
      </c>
      <c r="AX88">
        <f>IF(AV88&gt;=$B$21,1,0)</f>
        <v/>
      </c>
    </row>
    <row r="89">
      <c r="A89" t="n">
        <v>16</v>
      </c>
      <c r="B89">
        <f>MATCH(A89-1,$D$61:$D$68,1)</f>
        <v/>
      </c>
      <c r="C89">
        <f>INDEX($G$61:$G$68,B89)</f>
        <v/>
      </c>
      <c r="D89">
        <f>INDEX($L$61:$L$68,B89)</f>
        <v/>
      </c>
      <c r="E89">
        <f>INDEX($M$61:$M$68,B89)</f>
        <v/>
      </c>
      <c r="F89">
        <f>INDEX($N$61:$N$68,B89)</f>
        <v/>
      </c>
      <c r="G89">
        <f>INDEX($AA$61:$AA$68,B89)</f>
        <v/>
      </c>
      <c r="H89">
        <f>INDEX($X$61:$X$68,B89)</f>
        <v/>
      </c>
      <c r="I89">
        <f>INDEX($AF$61:$AF$68,B89)</f>
        <v/>
      </c>
      <c r="J89">
        <f>INDEX($AC$61:$AC$68,B89)</f>
        <v/>
      </c>
      <c r="K89">
        <f>INDEX($AD$61:$AD$68,B89)</f>
        <v/>
      </c>
      <c r="L89">
        <f>INDEX($AG$61:$AG$68,B89)</f>
        <v/>
      </c>
      <c r="M89">
        <f>INDEX($AH$61:$AH$68,B89)</f>
        <v/>
      </c>
      <c r="N89">
        <f>INDEX($AI$61:$AI$68,B89)</f>
        <v/>
      </c>
      <c r="O89">
        <f>O88*$B$26+L89*(1-$B$26)</f>
        <v/>
      </c>
      <c r="P89">
        <f>$B$7*(O89-O88)*(1-AS88)</f>
        <v/>
      </c>
      <c r="Q89">
        <f>M89+0.51274*AT88</f>
        <v/>
      </c>
      <c r="R89">
        <f>N89+0.616*AT88</f>
        <v/>
      </c>
      <c r="S89">
        <f>IF($B$13&gt;=0.6,Q89,IF($B$13&lt;=0.2,R89,R89+2.5*(Q89-R89)*($B$13-0.2)))</f>
        <v/>
      </c>
      <c r="T89">
        <f>IF(A89=1,S89,T88*$B$27+S89*(1-$B$27))</f>
        <v/>
      </c>
      <c r="U89">
        <f>0.6105*EXP(17.27*T89/(T89+237.3))</f>
        <v/>
      </c>
      <c r="V89">
        <f>($B$14*(I89*C89+IF(ABS((D89+0.1)-D89)&lt;0.000000001,4*$B$19*$B$20*(D89+273)^3,$B$19*$B$20*(((D89+0.1)+273)^4-(D89+273)^4)/((D89+0.1)-D89))*D89)+T89/H89)/($B$14*(I89+IF(ABS((D89+0.1)-D89)&lt;0.000000001,4*$B$19*$B$20*(D89+273)^3,$B$19*$B$20*(((D89+0.1)+273)^4-(D89+273)^4)/((D89+0.1)-D89)))+1/H89)</f>
        <v/>
      </c>
      <c r="W89">
        <f>($B$14*(I89*C89+IF(ABS(V89-D89)&lt;0.000000001,4*$B$19*$B$20*(D89+273)^3,$B$19*$B$20*((V89+273)^4-(D89+273)^4)/(V89-D89))*D89)+T89/H89)/($B$14*(I89+IF(ABS(V89-D89)&lt;0.000000001,4*$B$19*$B$20*(D89+273)^3,$B$19*$B$20*((V89+273)^4-(D89+273)^4)/(V89-D89)))+1/H89)</f>
        <v/>
      </c>
      <c r="X89">
        <f>($B$14*(I89*C89+IF(ABS(W89-D89)&lt;0.000000001,4*$B$19*$B$20*(D89+273)^3,$B$19*$B$20*((W89+273)^4-(D89+273)^4)/(W89-D89))*D89)+T89/H89)/($B$14*(I89+IF(ABS(W89-D89)&lt;0.000000001,4*$B$19*$B$20*(D89+273)^3,$B$19*$B$20*((W89+273)^4-(D89+273)^4)/(W89-D89)))+1/H89)</f>
        <v/>
      </c>
      <c r="Y89">
        <f>($B$14*(I89*C89+IF(ABS(X89-D89)&lt;0.000000001,4*$B$19*$B$20*(D89+273)^3,$B$19*$B$20*((X89+273)^4-(D89+273)^4)/(X89-D89))*D89)+T89/H89)/($B$14*(I89+IF(ABS(X89-D89)&lt;0.000000001,4*$B$19*$B$20*(D89+273)^3,$B$19*$B$20*((X89+273)^4-(D89+273)^4)/(X89-D89)))+1/H89)</f>
        <v/>
      </c>
      <c r="Z89">
        <f>IF(ABS(Y89-D89)&lt;0.000000001,4*$B$19*$B$20*(D89+273)^3,$B$19*$B$20*((Y89+273)^4-(D89+273)^4)/(Y89-D89))</f>
        <v/>
      </c>
      <c r="AA89">
        <f>$B$14*I89*(Y89-C89)</f>
        <v/>
      </c>
      <c r="AB89">
        <f>$B$14*Z89*(Y89-D89)</f>
        <v/>
      </c>
      <c r="AC89">
        <f>IF((U89-E89)/G89=0,0.001,(U89-E89)/G89)</f>
        <v/>
      </c>
      <c r="AD89">
        <f>F89-P89-J89-K89-AA89-AB89</f>
        <v/>
      </c>
      <c r="AE89">
        <f>AD89/AC89</f>
        <v/>
      </c>
      <c r="AF89">
        <f>IF(AD89&lt;=0,0,IF(AC89&lt;=0,$B$11,IF(AE89&gt;=1.7,$B$11,MIN(AD89/MAX(0.05,IF(AE89&gt;1,(2-AE89)^2/2,1-AE89^2/2)),$B$11))))</f>
        <v/>
      </c>
      <c r="AG89">
        <f>AG88*$B$28+AF89*(1-$B$28)</f>
        <v/>
      </c>
      <c r="AH89">
        <f>IF(AND(AD89&gt;0,AC89&lt;=0),0,AC89)</f>
        <v/>
      </c>
      <c r="AI89">
        <f>AH89/MAX(AG89,0.000001)</f>
        <v/>
      </c>
      <c r="AJ89">
        <f>MIN(IF(AI89&gt;=0.5,-AI89+SQRT(AI89^2+2),1),$B$12)</f>
        <v/>
      </c>
      <c r="AK89">
        <f>IF(AG89&lt;=0,0,AJ89*AH89)</f>
        <v/>
      </c>
      <c r="AL89">
        <f>IF(AD89&lt;=0,0,AD89)</f>
        <v/>
      </c>
      <c r="AM89">
        <f>AL89-AK89+P89</f>
        <v/>
      </c>
      <c r="AN89">
        <f>((AM89/$B$7+T88*AS88/2-T89*MAX(0.1,MIN(0.3,0.3-0.09*(AR88-36.8)))/2)+AR88*(1-AS88/2))/(1-MAX(0.1,MIN(0.3,0.3-0.09*(AR88-36.8)))/2)</f>
        <v/>
      </c>
      <c r="AO89">
        <f>((AM89/$B$7+T88*AS88/2-T89*MAX(0.1,MIN(0.3,0.3-0.09*(AN89-36.8)))/2)+AR88*(1-AS88/2))/(1-MAX(0.1,MIN(0.3,0.3-0.09*(AN89-36.8)))/2)</f>
        <v/>
      </c>
      <c r="AP89">
        <f>((AM89/$B$7+T88*AS88/2-T89*MAX(0.1,MIN(0.3,0.3-0.09*(AO89-36.8)))/2)+AR88*(1-AS88/2))/(1-MAX(0.1,MIN(0.3,0.3-0.09*(AO89-36.8)))/2)</f>
        <v/>
      </c>
      <c r="AQ89">
        <f>((AM89/$B$7+T88*AS88/2-T89*MAX(0.1,MIN(0.3,0.3-0.09*(AP89-36.8)))/2)+AR88*(1-AS88/2))/(1-MAX(0.1,MIN(0.3,0.3-0.09*(AP89-36.8)))/2)</f>
        <v/>
      </c>
      <c r="AR89">
        <f>((AM89/$B$7+T88*AS88/2-T89*MAX(0.1,MIN(0.3,0.3-0.09*(AQ89-36.8)))/2)+AR88*(1-AS88/2))/(1-MAX(0.1,MIN(0.3,0.3-0.09*(AQ89-36.8)))/2)</f>
        <v/>
      </c>
      <c r="AS89">
        <f>MAX(0.1,MIN(0.3,0.3-0.09*(AR89-36.8)))</f>
        <v/>
      </c>
      <c r="AT89">
        <f>AT88+(2*AR89-1.962*AT88-1.31)/9</f>
        <v/>
      </c>
      <c r="AU89">
        <f>AU88+AG89+K89</f>
        <v/>
      </c>
      <c r="AV89">
        <f>AU89*2.67*$B$6/1.8/60</f>
        <v/>
      </c>
      <c r="AW89">
        <f>IF(AT89&gt;=$B$36,1,0)</f>
        <v/>
      </c>
      <c r="AX89">
        <f>IF(AV89&gt;=$B$21,1,0)</f>
        <v/>
      </c>
    </row>
    <row r="90">
      <c r="A90" t="n">
        <v>17</v>
      </c>
      <c r="B90">
        <f>MATCH(A90-1,$D$61:$D$68,1)</f>
        <v/>
      </c>
      <c r="C90">
        <f>INDEX($G$61:$G$68,B90)</f>
        <v/>
      </c>
      <c r="D90">
        <f>INDEX($L$61:$L$68,B90)</f>
        <v/>
      </c>
      <c r="E90">
        <f>INDEX($M$61:$M$68,B90)</f>
        <v/>
      </c>
      <c r="F90">
        <f>INDEX($N$61:$N$68,B90)</f>
        <v/>
      </c>
      <c r="G90">
        <f>INDEX($AA$61:$AA$68,B90)</f>
        <v/>
      </c>
      <c r="H90">
        <f>INDEX($X$61:$X$68,B90)</f>
        <v/>
      </c>
      <c r="I90">
        <f>INDEX($AF$61:$AF$68,B90)</f>
        <v/>
      </c>
      <c r="J90">
        <f>INDEX($AC$61:$AC$68,B90)</f>
        <v/>
      </c>
      <c r="K90">
        <f>INDEX($AD$61:$AD$68,B90)</f>
        <v/>
      </c>
      <c r="L90">
        <f>INDEX($AG$61:$AG$68,B90)</f>
        <v/>
      </c>
      <c r="M90">
        <f>INDEX($AH$61:$AH$68,B90)</f>
        <v/>
      </c>
      <c r="N90">
        <f>INDEX($AI$61:$AI$68,B90)</f>
        <v/>
      </c>
      <c r="O90">
        <f>O89*$B$26+L90*(1-$B$26)</f>
        <v/>
      </c>
      <c r="P90">
        <f>$B$7*(O90-O89)*(1-AS89)</f>
        <v/>
      </c>
      <c r="Q90">
        <f>M90+0.51274*AT89</f>
        <v/>
      </c>
      <c r="R90">
        <f>N90+0.616*AT89</f>
        <v/>
      </c>
      <c r="S90">
        <f>IF($B$13&gt;=0.6,Q90,IF($B$13&lt;=0.2,R90,R90+2.5*(Q90-R90)*($B$13-0.2)))</f>
        <v/>
      </c>
      <c r="T90">
        <f>IF(A90=1,S90,T89*$B$27+S90*(1-$B$27))</f>
        <v/>
      </c>
      <c r="U90">
        <f>0.6105*EXP(17.27*T90/(T90+237.3))</f>
        <v/>
      </c>
      <c r="V90">
        <f>($B$14*(I90*C90+IF(ABS((D90+0.1)-D90)&lt;0.000000001,4*$B$19*$B$20*(D90+273)^3,$B$19*$B$20*(((D90+0.1)+273)^4-(D90+273)^4)/((D90+0.1)-D90))*D90)+T90/H90)/($B$14*(I90+IF(ABS((D90+0.1)-D90)&lt;0.000000001,4*$B$19*$B$20*(D90+273)^3,$B$19*$B$20*(((D90+0.1)+273)^4-(D90+273)^4)/((D90+0.1)-D90)))+1/H90)</f>
        <v/>
      </c>
      <c r="W90">
        <f>($B$14*(I90*C90+IF(ABS(V90-D90)&lt;0.000000001,4*$B$19*$B$20*(D90+273)^3,$B$19*$B$20*((V90+273)^4-(D90+273)^4)/(V90-D90))*D90)+T90/H90)/($B$14*(I90+IF(ABS(V90-D90)&lt;0.000000001,4*$B$19*$B$20*(D90+273)^3,$B$19*$B$20*((V90+273)^4-(D90+273)^4)/(V90-D90)))+1/H90)</f>
        <v/>
      </c>
      <c r="X90">
        <f>($B$14*(I90*C90+IF(ABS(W90-D90)&lt;0.000000001,4*$B$19*$B$20*(D90+273)^3,$B$19*$B$20*((W90+273)^4-(D90+273)^4)/(W90-D90))*D90)+T90/H90)/($B$14*(I90+IF(ABS(W90-D90)&lt;0.000000001,4*$B$19*$B$20*(D90+273)^3,$B$19*$B$20*((W90+273)^4-(D90+273)^4)/(W90-D90)))+1/H90)</f>
        <v/>
      </c>
      <c r="Y90">
        <f>($B$14*(I90*C90+IF(ABS(X90-D90)&lt;0.000000001,4*$B$19*$B$20*(D90+273)^3,$B$19*$B$20*((X90+273)^4-(D90+273)^4)/(X90-D90))*D90)+T90/H90)/($B$14*(I90+IF(ABS(X90-D90)&lt;0.000000001,4*$B$19*$B$20*(D90+273)^3,$B$19*$B$20*((X90+273)^4-(D90+273)^4)/(X90-D90)))+1/H90)</f>
        <v/>
      </c>
      <c r="Z90">
        <f>IF(ABS(Y90-D90)&lt;0.000000001,4*$B$19*$B$20*(D90+273)^3,$B$19*$B$20*((Y90+273)^4-(D90+273)^4)/(Y90-D90))</f>
        <v/>
      </c>
      <c r="AA90">
        <f>$B$14*I90*(Y90-C90)</f>
        <v/>
      </c>
      <c r="AB90">
        <f>$B$14*Z90*(Y90-D90)</f>
        <v/>
      </c>
      <c r="AC90">
        <f>IF((U90-E90)/G90=0,0.001,(U90-E90)/G90)</f>
        <v/>
      </c>
      <c r="AD90">
        <f>F90-P90-J90-K90-AA90-AB90</f>
        <v/>
      </c>
      <c r="AE90">
        <f>AD90/AC90</f>
        <v/>
      </c>
      <c r="AF90">
        <f>IF(AD90&lt;=0,0,IF(AC90&lt;=0,$B$11,IF(AE90&gt;=1.7,$B$11,MIN(AD90/MAX(0.05,IF(AE90&gt;1,(2-AE90)^2/2,1-AE90^2/2)),$B$11))))</f>
        <v/>
      </c>
      <c r="AG90">
        <f>AG89*$B$28+AF90*(1-$B$28)</f>
        <v/>
      </c>
      <c r="AH90">
        <f>IF(AND(AD90&gt;0,AC90&lt;=0),0,AC90)</f>
        <v/>
      </c>
      <c r="AI90">
        <f>AH90/MAX(AG90,0.000001)</f>
        <v/>
      </c>
      <c r="AJ90">
        <f>MIN(IF(AI90&gt;=0.5,-AI90+SQRT(AI90^2+2),1),$B$12)</f>
        <v/>
      </c>
      <c r="AK90">
        <f>IF(AG90&lt;=0,0,AJ90*AH90)</f>
        <v/>
      </c>
      <c r="AL90">
        <f>IF(AD90&lt;=0,0,AD90)</f>
        <v/>
      </c>
      <c r="AM90">
        <f>AL90-AK90+P90</f>
        <v/>
      </c>
      <c r="AN90">
        <f>((AM90/$B$7+T89*AS89/2-T90*MAX(0.1,MIN(0.3,0.3-0.09*(AR89-36.8)))/2)+AR89*(1-AS89/2))/(1-MAX(0.1,MIN(0.3,0.3-0.09*(AR89-36.8)))/2)</f>
        <v/>
      </c>
      <c r="AO90">
        <f>((AM90/$B$7+T89*AS89/2-T90*MAX(0.1,MIN(0.3,0.3-0.09*(AN90-36.8)))/2)+AR89*(1-AS89/2))/(1-MAX(0.1,MIN(0.3,0.3-0.09*(AN90-36.8)))/2)</f>
        <v/>
      </c>
      <c r="AP90">
        <f>((AM90/$B$7+T89*AS89/2-T90*MAX(0.1,MIN(0.3,0.3-0.09*(AO90-36.8)))/2)+AR89*(1-AS89/2))/(1-MAX(0.1,MIN(0.3,0.3-0.09*(AO90-36.8)))/2)</f>
        <v/>
      </c>
      <c r="AQ90">
        <f>((AM90/$B$7+T89*AS89/2-T90*MAX(0.1,MIN(0.3,0.3-0.09*(AP90-36.8)))/2)+AR89*(1-AS89/2))/(1-MAX(0.1,MIN(0.3,0.3-0.09*(AP90-36.8)))/2)</f>
        <v/>
      </c>
      <c r="AR90">
        <f>((AM90/$B$7+T89*AS89/2-T90*MAX(0.1,MIN(0.3,0.3-0.09*(AQ90-36.8)))/2)+AR89*(1-AS89/2))/(1-MAX(0.1,MIN(0.3,0.3-0.09*(AQ90-36.8)))/2)</f>
        <v/>
      </c>
      <c r="AS90">
        <f>MAX(0.1,MIN(0.3,0.3-0.09*(AR90-36.8)))</f>
        <v/>
      </c>
      <c r="AT90">
        <f>AT89+(2*AR90-1.962*AT89-1.31)/9</f>
        <v/>
      </c>
      <c r="AU90">
        <f>AU89+AG90+K90</f>
        <v/>
      </c>
      <c r="AV90">
        <f>AU90*2.67*$B$6/1.8/60</f>
        <v/>
      </c>
      <c r="AW90">
        <f>IF(AT90&gt;=$B$36,1,0)</f>
        <v/>
      </c>
      <c r="AX90">
        <f>IF(AV90&gt;=$B$21,1,0)</f>
        <v/>
      </c>
    </row>
    <row r="91">
      <c r="A91" t="n">
        <v>18</v>
      </c>
      <c r="B91">
        <f>MATCH(A91-1,$D$61:$D$68,1)</f>
        <v/>
      </c>
      <c r="C91">
        <f>INDEX($G$61:$G$68,B91)</f>
        <v/>
      </c>
      <c r="D91">
        <f>INDEX($L$61:$L$68,B91)</f>
        <v/>
      </c>
      <c r="E91">
        <f>INDEX($M$61:$M$68,B91)</f>
        <v/>
      </c>
      <c r="F91">
        <f>INDEX($N$61:$N$68,B91)</f>
        <v/>
      </c>
      <c r="G91">
        <f>INDEX($AA$61:$AA$68,B91)</f>
        <v/>
      </c>
      <c r="H91">
        <f>INDEX($X$61:$X$68,B91)</f>
        <v/>
      </c>
      <c r="I91">
        <f>INDEX($AF$61:$AF$68,B91)</f>
        <v/>
      </c>
      <c r="J91">
        <f>INDEX($AC$61:$AC$68,B91)</f>
        <v/>
      </c>
      <c r="K91">
        <f>INDEX($AD$61:$AD$68,B91)</f>
        <v/>
      </c>
      <c r="L91">
        <f>INDEX($AG$61:$AG$68,B91)</f>
        <v/>
      </c>
      <c r="M91">
        <f>INDEX($AH$61:$AH$68,B91)</f>
        <v/>
      </c>
      <c r="N91">
        <f>INDEX($AI$61:$AI$68,B91)</f>
        <v/>
      </c>
      <c r="O91">
        <f>O90*$B$26+L91*(1-$B$26)</f>
        <v/>
      </c>
      <c r="P91">
        <f>$B$7*(O91-O90)*(1-AS90)</f>
        <v/>
      </c>
      <c r="Q91">
        <f>M91+0.51274*AT90</f>
        <v/>
      </c>
      <c r="R91">
        <f>N91+0.616*AT90</f>
        <v/>
      </c>
      <c r="S91">
        <f>IF($B$13&gt;=0.6,Q91,IF($B$13&lt;=0.2,R91,R91+2.5*(Q91-R91)*($B$13-0.2)))</f>
        <v/>
      </c>
      <c r="T91">
        <f>IF(A91=1,S91,T90*$B$27+S91*(1-$B$27))</f>
        <v/>
      </c>
      <c r="U91">
        <f>0.6105*EXP(17.27*T91/(T91+237.3))</f>
        <v/>
      </c>
      <c r="V91">
        <f>($B$14*(I91*C91+IF(ABS((D91+0.1)-D91)&lt;0.000000001,4*$B$19*$B$20*(D91+273)^3,$B$19*$B$20*(((D91+0.1)+273)^4-(D91+273)^4)/((D91+0.1)-D91))*D91)+T91/H91)/($B$14*(I91+IF(ABS((D91+0.1)-D91)&lt;0.000000001,4*$B$19*$B$20*(D91+273)^3,$B$19*$B$20*(((D91+0.1)+273)^4-(D91+273)^4)/((D91+0.1)-D91)))+1/H91)</f>
        <v/>
      </c>
      <c r="W91">
        <f>($B$14*(I91*C91+IF(ABS(V91-D91)&lt;0.000000001,4*$B$19*$B$20*(D91+273)^3,$B$19*$B$20*((V91+273)^4-(D91+273)^4)/(V91-D91))*D91)+T91/H91)/($B$14*(I91+IF(ABS(V91-D91)&lt;0.000000001,4*$B$19*$B$20*(D91+273)^3,$B$19*$B$20*((V91+273)^4-(D91+273)^4)/(V91-D91)))+1/H91)</f>
        <v/>
      </c>
      <c r="X91">
        <f>($B$14*(I91*C91+IF(ABS(W91-D91)&lt;0.000000001,4*$B$19*$B$20*(D91+273)^3,$B$19*$B$20*((W91+273)^4-(D91+273)^4)/(W91-D91))*D91)+T91/H91)/($B$14*(I91+IF(ABS(W91-D91)&lt;0.000000001,4*$B$19*$B$20*(D91+273)^3,$B$19*$B$20*((W91+273)^4-(D91+273)^4)/(W91-D91)))+1/H91)</f>
        <v/>
      </c>
      <c r="Y91">
        <f>($B$14*(I91*C91+IF(ABS(X91-D91)&lt;0.000000001,4*$B$19*$B$20*(D91+273)^3,$B$19*$B$20*((X91+273)^4-(D91+273)^4)/(X91-D91))*D91)+T91/H91)/($B$14*(I91+IF(ABS(X91-D91)&lt;0.000000001,4*$B$19*$B$20*(D91+273)^3,$B$19*$B$20*((X91+273)^4-(D91+273)^4)/(X91-D91)))+1/H91)</f>
        <v/>
      </c>
      <c r="Z91">
        <f>IF(ABS(Y91-D91)&lt;0.000000001,4*$B$19*$B$20*(D91+273)^3,$B$19*$B$20*((Y91+273)^4-(D91+273)^4)/(Y91-D91))</f>
        <v/>
      </c>
      <c r="AA91">
        <f>$B$14*I91*(Y91-C91)</f>
        <v/>
      </c>
      <c r="AB91">
        <f>$B$14*Z91*(Y91-D91)</f>
        <v/>
      </c>
      <c r="AC91">
        <f>IF((U91-E91)/G91=0,0.001,(U91-E91)/G91)</f>
        <v/>
      </c>
      <c r="AD91">
        <f>F91-P91-J91-K91-AA91-AB91</f>
        <v/>
      </c>
      <c r="AE91">
        <f>AD91/AC91</f>
        <v/>
      </c>
      <c r="AF91">
        <f>IF(AD91&lt;=0,0,IF(AC91&lt;=0,$B$11,IF(AE91&gt;=1.7,$B$11,MIN(AD91/MAX(0.05,IF(AE91&gt;1,(2-AE91)^2/2,1-AE91^2/2)),$B$11))))</f>
        <v/>
      </c>
      <c r="AG91">
        <f>AG90*$B$28+AF91*(1-$B$28)</f>
        <v/>
      </c>
      <c r="AH91">
        <f>IF(AND(AD91&gt;0,AC91&lt;=0),0,AC91)</f>
        <v/>
      </c>
      <c r="AI91">
        <f>AH91/MAX(AG91,0.000001)</f>
        <v/>
      </c>
      <c r="AJ91">
        <f>MIN(IF(AI91&gt;=0.5,-AI91+SQRT(AI91^2+2),1),$B$12)</f>
        <v/>
      </c>
      <c r="AK91">
        <f>IF(AG91&lt;=0,0,AJ91*AH91)</f>
        <v/>
      </c>
      <c r="AL91">
        <f>IF(AD91&lt;=0,0,AD91)</f>
        <v/>
      </c>
      <c r="AM91">
        <f>AL91-AK91+P91</f>
        <v/>
      </c>
      <c r="AN91">
        <f>((AM91/$B$7+T90*AS90/2-T91*MAX(0.1,MIN(0.3,0.3-0.09*(AR90-36.8)))/2)+AR90*(1-AS90/2))/(1-MAX(0.1,MIN(0.3,0.3-0.09*(AR90-36.8)))/2)</f>
        <v/>
      </c>
      <c r="AO91">
        <f>((AM91/$B$7+T90*AS90/2-T91*MAX(0.1,MIN(0.3,0.3-0.09*(AN91-36.8)))/2)+AR90*(1-AS90/2))/(1-MAX(0.1,MIN(0.3,0.3-0.09*(AN91-36.8)))/2)</f>
        <v/>
      </c>
      <c r="AP91">
        <f>((AM91/$B$7+T90*AS90/2-T91*MAX(0.1,MIN(0.3,0.3-0.09*(AO91-36.8)))/2)+AR90*(1-AS90/2))/(1-MAX(0.1,MIN(0.3,0.3-0.09*(AO91-36.8)))/2)</f>
        <v/>
      </c>
      <c r="AQ91">
        <f>((AM91/$B$7+T90*AS90/2-T91*MAX(0.1,MIN(0.3,0.3-0.09*(AP91-36.8)))/2)+AR90*(1-AS90/2))/(1-MAX(0.1,MIN(0.3,0.3-0.09*(AP91-36.8)))/2)</f>
        <v/>
      </c>
      <c r="AR91">
        <f>((AM91/$B$7+T90*AS90/2-T91*MAX(0.1,MIN(0.3,0.3-0.09*(AQ91-36.8)))/2)+AR90*(1-AS90/2))/(1-MAX(0.1,MIN(0.3,0.3-0.09*(AQ91-36.8)))/2)</f>
        <v/>
      </c>
      <c r="AS91">
        <f>MAX(0.1,MIN(0.3,0.3-0.09*(AR91-36.8)))</f>
        <v/>
      </c>
      <c r="AT91">
        <f>AT90+(2*AR91-1.962*AT90-1.31)/9</f>
        <v/>
      </c>
      <c r="AU91">
        <f>AU90+AG91+K91</f>
        <v/>
      </c>
      <c r="AV91">
        <f>AU91*2.67*$B$6/1.8/60</f>
        <v/>
      </c>
      <c r="AW91">
        <f>IF(AT91&gt;=$B$36,1,0)</f>
        <v/>
      </c>
      <c r="AX91">
        <f>IF(AV91&gt;=$B$21,1,0)</f>
        <v/>
      </c>
    </row>
    <row r="92">
      <c r="A92" t="n">
        <v>19</v>
      </c>
      <c r="B92">
        <f>MATCH(A92-1,$D$61:$D$68,1)</f>
        <v/>
      </c>
      <c r="C92">
        <f>INDEX($G$61:$G$68,B92)</f>
        <v/>
      </c>
      <c r="D92">
        <f>INDEX($L$61:$L$68,B92)</f>
        <v/>
      </c>
      <c r="E92">
        <f>INDEX($M$61:$M$68,B92)</f>
        <v/>
      </c>
      <c r="F92">
        <f>INDEX($N$61:$N$68,B92)</f>
        <v/>
      </c>
      <c r="G92">
        <f>INDEX($AA$61:$AA$68,B92)</f>
        <v/>
      </c>
      <c r="H92">
        <f>INDEX($X$61:$X$68,B92)</f>
        <v/>
      </c>
      <c r="I92">
        <f>INDEX($AF$61:$AF$68,B92)</f>
        <v/>
      </c>
      <c r="J92">
        <f>INDEX($AC$61:$AC$68,B92)</f>
        <v/>
      </c>
      <c r="K92">
        <f>INDEX($AD$61:$AD$68,B92)</f>
        <v/>
      </c>
      <c r="L92">
        <f>INDEX($AG$61:$AG$68,B92)</f>
        <v/>
      </c>
      <c r="M92">
        <f>INDEX($AH$61:$AH$68,B92)</f>
        <v/>
      </c>
      <c r="N92">
        <f>INDEX($AI$61:$AI$68,B92)</f>
        <v/>
      </c>
      <c r="O92">
        <f>O91*$B$26+L92*(1-$B$26)</f>
        <v/>
      </c>
      <c r="P92">
        <f>$B$7*(O92-O91)*(1-AS91)</f>
        <v/>
      </c>
      <c r="Q92">
        <f>M92+0.51274*AT91</f>
        <v/>
      </c>
      <c r="R92">
        <f>N92+0.616*AT91</f>
        <v/>
      </c>
      <c r="S92">
        <f>IF($B$13&gt;=0.6,Q92,IF($B$13&lt;=0.2,R92,R92+2.5*(Q92-R92)*($B$13-0.2)))</f>
        <v/>
      </c>
      <c r="T92">
        <f>IF(A92=1,S92,T91*$B$27+S92*(1-$B$27))</f>
        <v/>
      </c>
      <c r="U92">
        <f>0.6105*EXP(17.27*T92/(T92+237.3))</f>
        <v/>
      </c>
      <c r="V92">
        <f>($B$14*(I92*C92+IF(ABS((D92+0.1)-D92)&lt;0.000000001,4*$B$19*$B$20*(D92+273)^3,$B$19*$B$20*(((D92+0.1)+273)^4-(D92+273)^4)/((D92+0.1)-D92))*D92)+T92/H92)/($B$14*(I92+IF(ABS((D92+0.1)-D92)&lt;0.000000001,4*$B$19*$B$20*(D92+273)^3,$B$19*$B$20*(((D92+0.1)+273)^4-(D92+273)^4)/((D92+0.1)-D92)))+1/H92)</f>
        <v/>
      </c>
      <c r="W92">
        <f>($B$14*(I92*C92+IF(ABS(V92-D92)&lt;0.000000001,4*$B$19*$B$20*(D92+273)^3,$B$19*$B$20*((V92+273)^4-(D92+273)^4)/(V92-D92))*D92)+T92/H92)/($B$14*(I92+IF(ABS(V92-D92)&lt;0.000000001,4*$B$19*$B$20*(D92+273)^3,$B$19*$B$20*((V92+273)^4-(D92+273)^4)/(V92-D92)))+1/H92)</f>
        <v/>
      </c>
      <c r="X92">
        <f>($B$14*(I92*C92+IF(ABS(W92-D92)&lt;0.000000001,4*$B$19*$B$20*(D92+273)^3,$B$19*$B$20*((W92+273)^4-(D92+273)^4)/(W92-D92))*D92)+T92/H92)/($B$14*(I92+IF(ABS(W92-D92)&lt;0.000000001,4*$B$19*$B$20*(D92+273)^3,$B$19*$B$20*((W92+273)^4-(D92+273)^4)/(W92-D92)))+1/H92)</f>
        <v/>
      </c>
      <c r="Y92">
        <f>($B$14*(I92*C92+IF(ABS(X92-D92)&lt;0.000000001,4*$B$19*$B$20*(D92+273)^3,$B$19*$B$20*((X92+273)^4-(D92+273)^4)/(X92-D92))*D92)+T92/H92)/($B$14*(I92+IF(ABS(X92-D92)&lt;0.000000001,4*$B$19*$B$20*(D92+273)^3,$B$19*$B$20*((X92+273)^4-(D92+273)^4)/(X92-D92)))+1/H92)</f>
        <v/>
      </c>
      <c r="Z92">
        <f>IF(ABS(Y92-D92)&lt;0.000000001,4*$B$19*$B$20*(D92+273)^3,$B$19*$B$20*((Y92+273)^4-(D92+273)^4)/(Y92-D92))</f>
        <v/>
      </c>
      <c r="AA92">
        <f>$B$14*I92*(Y92-C92)</f>
        <v/>
      </c>
      <c r="AB92">
        <f>$B$14*Z92*(Y92-D92)</f>
        <v/>
      </c>
      <c r="AC92">
        <f>IF((U92-E92)/G92=0,0.001,(U92-E92)/G92)</f>
        <v/>
      </c>
      <c r="AD92">
        <f>F92-P92-J92-K92-AA92-AB92</f>
        <v/>
      </c>
      <c r="AE92">
        <f>AD92/AC92</f>
        <v/>
      </c>
      <c r="AF92">
        <f>IF(AD92&lt;=0,0,IF(AC92&lt;=0,$B$11,IF(AE92&gt;=1.7,$B$11,MIN(AD92/MAX(0.05,IF(AE92&gt;1,(2-AE92)^2/2,1-AE92^2/2)),$B$11))))</f>
        <v/>
      </c>
      <c r="AG92">
        <f>AG91*$B$28+AF92*(1-$B$28)</f>
        <v/>
      </c>
      <c r="AH92">
        <f>IF(AND(AD92&gt;0,AC92&lt;=0),0,AC92)</f>
        <v/>
      </c>
      <c r="AI92">
        <f>AH92/MAX(AG92,0.000001)</f>
        <v/>
      </c>
      <c r="AJ92">
        <f>MIN(IF(AI92&gt;=0.5,-AI92+SQRT(AI92^2+2),1),$B$12)</f>
        <v/>
      </c>
      <c r="AK92">
        <f>IF(AG92&lt;=0,0,AJ92*AH92)</f>
        <v/>
      </c>
      <c r="AL92">
        <f>IF(AD92&lt;=0,0,AD92)</f>
        <v/>
      </c>
      <c r="AM92">
        <f>AL92-AK92+P92</f>
        <v/>
      </c>
      <c r="AN92">
        <f>((AM92/$B$7+T91*AS91/2-T92*MAX(0.1,MIN(0.3,0.3-0.09*(AR91-36.8)))/2)+AR91*(1-AS91/2))/(1-MAX(0.1,MIN(0.3,0.3-0.09*(AR91-36.8)))/2)</f>
        <v/>
      </c>
      <c r="AO92">
        <f>((AM92/$B$7+T91*AS91/2-T92*MAX(0.1,MIN(0.3,0.3-0.09*(AN92-36.8)))/2)+AR91*(1-AS91/2))/(1-MAX(0.1,MIN(0.3,0.3-0.09*(AN92-36.8)))/2)</f>
        <v/>
      </c>
      <c r="AP92">
        <f>((AM92/$B$7+T91*AS91/2-T92*MAX(0.1,MIN(0.3,0.3-0.09*(AO92-36.8)))/2)+AR91*(1-AS91/2))/(1-MAX(0.1,MIN(0.3,0.3-0.09*(AO92-36.8)))/2)</f>
        <v/>
      </c>
      <c r="AQ92">
        <f>((AM92/$B$7+T91*AS91/2-T92*MAX(0.1,MIN(0.3,0.3-0.09*(AP92-36.8)))/2)+AR91*(1-AS91/2))/(1-MAX(0.1,MIN(0.3,0.3-0.09*(AP92-36.8)))/2)</f>
        <v/>
      </c>
      <c r="AR92">
        <f>((AM92/$B$7+T91*AS91/2-T92*MAX(0.1,MIN(0.3,0.3-0.09*(AQ92-36.8)))/2)+AR91*(1-AS91/2))/(1-MAX(0.1,MIN(0.3,0.3-0.09*(AQ92-36.8)))/2)</f>
        <v/>
      </c>
      <c r="AS92">
        <f>MAX(0.1,MIN(0.3,0.3-0.09*(AR92-36.8)))</f>
        <v/>
      </c>
      <c r="AT92">
        <f>AT91+(2*AR92-1.962*AT91-1.31)/9</f>
        <v/>
      </c>
      <c r="AU92">
        <f>AU91+AG92+K92</f>
        <v/>
      </c>
      <c r="AV92">
        <f>AU92*2.67*$B$6/1.8/60</f>
        <v/>
      </c>
      <c r="AW92">
        <f>IF(AT92&gt;=$B$36,1,0)</f>
        <v/>
      </c>
      <c r="AX92">
        <f>IF(AV92&gt;=$B$21,1,0)</f>
        <v/>
      </c>
    </row>
    <row r="93">
      <c r="A93" t="n">
        <v>20</v>
      </c>
      <c r="B93">
        <f>MATCH(A93-1,$D$61:$D$68,1)</f>
        <v/>
      </c>
      <c r="C93">
        <f>INDEX($G$61:$G$68,B93)</f>
        <v/>
      </c>
      <c r="D93">
        <f>INDEX($L$61:$L$68,B93)</f>
        <v/>
      </c>
      <c r="E93">
        <f>INDEX($M$61:$M$68,B93)</f>
        <v/>
      </c>
      <c r="F93">
        <f>INDEX($N$61:$N$68,B93)</f>
        <v/>
      </c>
      <c r="G93">
        <f>INDEX($AA$61:$AA$68,B93)</f>
        <v/>
      </c>
      <c r="H93">
        <f>INDEX($X$61:$X$68,B93)</f>
        <v/>
      </c>
      <c r="I93">
        <f>INDEX($AF$61:$AF$68,B93)</f>
        <v/>
      </c>
      <c r="J93">
        <f>INDEX($AC$61:$AC$68,B93)</f>
        <v/>
      </c>
      <c r="K93">
        <f>INDEX($AD$61:$AD$68,B93)</f>
        <v/>
      </c>
      <c r="L93">
        <f>INDEX($AG$61:$AG$68,B93)</f>
        <v/>
      </c>
      <c r="M93">
        <f>INDEX($AH$61:$AH$68,B93)</f>
        <v/>
      </c>
      <c r="N93">
        <f>INDEX($AI$61:$AI$68,B93)</f>
        <v/>
      </c>
      <c r="O93">
        <f>O92*$B$26+L93*(1-$B$26)</f>
        <v/>
      </c>
      <c r="P93">
        <f>$B$7*(O93-O92)*(1-AS92)</f>
        <v/>
      </c>
      <c r="Q93">
        <f>M93+0.51274*AT92</f>
        <v/>
      </c>
      <c r="R93">
        <f>N93+0.616*AT92</f>
        <v/>
      </c>
      <c r="S93">
        <f>IF($B$13&gt;=0.6,Q93,IF($B$13&lt;=0.2,R93,R93+2.5*(Q93-R93)*($B$13-0.2)))</f>
        <v/>
      </c>
      <c r="T93">
        <f>IF(A93=1,S93,T92*$B$27+S93*(1-$B$27))</f>
        <v/>
      </c>
      <c r="U93">
        <f>0.6105*EXP(17.27*T93/(T93+237.3))</f>
        <v/>
      </c>
      <c r="V93">
        <f>($B$14*(I93*C93+IF(ABS((D93+0.1)-D93)&lt;0.000000001,4*$B$19*$B$20*(D93+273)^3,$B$19*$B$20*(((D93+0.1)+273)^4-(D93+273)^4)/((D93+0.1)-D93))*D93)+T93/H93)/($B$14*(I93+IF(ABS((D93+0.1)-D93)&lt;0.000000001,4*$B$19*$B$20*(D93+273)^3,$B$19*$B$20*(((D93+0.1)+273)^4-(D93+273)^4)/((D93+0.1)-D93)))+1/H93)</f>
        <v/>
      </c>
      <c r="W93">
        <f>($B$14*(I93*C93+IF(ABS(V93-D93)&lt;0.000000001,4*$B$19*$B$20*(D93+273)^3,$B$19*$B$20*((V93+273)^4-(D93+273)^4)/(V93-D93))*D93)+T93/H93)/($B$14*(I93+IF(ABS(V93-D93)&lt;0.000000001,4*$B$19*$B$20*(D93+273)^3,$B$19*$B$20*((V93+273)^4-(D93+273)^4)/(V93-D93)))+1/H93)</f>
        <v/>
      </c>
      <c r="X93">
        <f>($B$14*(I93*C93+IF(ABS(W93-D93)&lt;0.000000001,4*$B$19*$B$20*(D93+273)^3,$B$19*$B$20*((W93+273)^4-(D93+273)^4)/(W93-D93))*D93)+T93/H93)/($B$14*(I93+IF(ABS(W93-D93)&lt;0.000000001,4*$B$19*$B$20*(D93+273)^3,$B$19*$B$20*((W93+273)^4-(D93+273)^4)/(W93-D93)))+1/H93)</f>
        <v/>
      </c>
      <c r="Y93">
        <f>($B$14*(I93*C93+IF(ABS(X93-D93)&lt;0.000000001,4*$B$19*$B$20*(D93+273)^3,$B$19*$B$20*((X93+273)^4-(D93+273)^4)/(X93-D93))*D93)+T93/H93)/($B$14*(I93+IF(ABS(X93-D93)&lt;0.000000001,4*$B$19*$B$20*(D93+273)^3,$B$19*$B$20*((X93+273)^4-(D93+273)^4)/(X93-D93)))+1/H93)</f>
        <v/>
      </c>
      <c r="Z93">
        <f>IF(ABS(Y93-D93)&lt;0.000000001,4*$B$19*$B$20*(D93+273)^3,$B$19*$B$20*((Y93+273)^4-(D93+273)^4)/(Y93-D93))</f>
        <v/>
      </c>
      <c r="AA93">
        <f>$B$14*I93*(Y93-C93)</f>
        <v/>
      </c>
      <c r="AB93">
        <f>$B$14*Z93*(Y93-D93)</f>
        <v/>
      </c>
      <c r="AC93">
        <f>IF((U93-E93)/G93=0,0.001,(U93-E93)/G93)</f>
        <v/>
      </c>
      <c r="AD93">
        <f>F93-P93-J93-K93-AA93-AB93</f>
        <v/>
      </c>
      <c r="AE93">
        <f>AD93/AC93</f>
        <v/>
      </c>
      <c r="AF93">
        <f>IF(AD93&lt;=0,0,IF(AC93&lt;=0,$B$11,IF(AE93&gt;=1.7,$B$11,MIN(AD93/MAX(0.05,IF(AE93&gt;1,(2-AE93)^2/2,1-AE93^2/2)),$B$11))))</f>
        <v/>
      </c>
      <c r="AG93">
        <f>AG92*$B$28+AF93*(1-$B$28)</f>
        <v/>
      </c>
      <c r="AH93">
        <f>IF(AND(AD93&gt;0,AC93&lt;=0),0,AC93)</f>
        <v/>
      </c>
      <c r="AI93">
        <f>AH93/MAX(AG93,0.000001)</f>
        <v/>
      </c>
      <c r="AJ93">
        <f>MIN(IF(AI93&gt;=0.5,-AI93+SQRT(AI93^2+2),1),$B$12)</f>
        <v/>
      </c>
      <c r="AK93">
        <f>IF(AG93&lt;=0,0,AJ93*AH93)</f>
        <v/>
      </c>
      <c r="AL93">
        <f>IF(AD93&lt;=0,0,AD93)</f>
        <v/>
      </c>
      <c r="AM93">
        <f>AL93-AK93+P93</f>
        <v/>
      </c>
      <c r="AN93">
        <f>((AM93/$B$7+T92*AS92/2-T93*MAX(0.1,MIN(0.3,0.3-0.09*(AR92-36.8)))/2)+AR92*(1-AS92/2))/(1-MAX(0.1,MIN(0.3,0.3-0.09*(AR92-36.8)))/2)</f>
        <v/>
      </c>
      <c r="AO93">
        <f>((AM93/$B$7+T92*AS92/2-T93*MAX(0.1,MIN(0.3,0.3-0.09*(AN93-36.8)))/2)+AR92*(1-AS92/2))/(1-MAX(0.1,MIN(0.3,0.3-0.09*(AN93-36.8)))/2)</f>
        <v/>
      </c>
      <c r="AP93">
        <f>((AM93/$B$7+T92*AS92/2-T93*MAX(0.1,MIN(0.3,0.3-0.09*(AO93-36.8)))/2)+AR92*(1-AS92/2))/(1-MAX(0.1,MIN(0.3,0.3-0.09*(AO93-36.8)))/2)</f>
        <v/>
      </c>
      <c r="AQ93">
        <f>((AM93/$B$7+T92*AS92/2-T93*MAX(0.1,MIN(0.3,0.3-0.09*(AP93-36.8)))/2)+AR92*(1-AS92/2))/(1-MAX(0.1,MIN(0.3,0.3-0.09*(AP93-36.8)))/2)</f>
        <v/>
      </c>
      <c r="AR93">
        <f>((AM93/$B$7+T92*AS92/2-T93*MAX(0.1,MIN(0.3,0.3-0.09*(AQ93-36.8)))/2)+AR92*(1-AS92/2))/(1-MAX(0.1,MIN(0.3,0.3-0.09*(AQ93-36.8)))/2)</f>
        <v/>
      </c>
      <c r="AS93">
        <f>MAX(0.1,MIN(0.3,0.3-0.09*(AR93-36.8)))</f>
        <v/>
      </c>
      <c r="AT93">
        <f>AT92+(2*AR93-1.962*AT92-1.31)/9</f>
        <v/>
      </c>
      <c r="AU93">
        <f>AU92+AG93+K93</f>
        <v/>
      </c>
      <c r="AV93">
        <f>AU93*2.67*$B$6/1.8/60</f>
        <v/>
      </c>
      <c r="AW93">
        <f>IF(AT93&gt;=$B$36,1,0)</f>
        <v/>
      </c>
      <c r="AX93">
        <f>IF(AV93&gt;=$B$21,1,0)</f>
        <v/>
      </c>
    </row>
    <row r="94">
      <c r="A94" t="n">
        <v>21</v>
      </c>
      <c r="B94">
        <f>MATCH(A94-1,$D$61:$D$68,1)</f>
        <v/>
      </c>
      <c r="C94">
        <f>INDEX($G$61:$G$68,B94)</f>
        <v/>
      </c>
      <c r="D94">
        <f>INDEX($L$61:$L$68,B94)</f>
        <v/>
      </c>
      <c r="E94">
        <f>INDEX($M$61:$M$68,B94)</f>
        <v/>
      </c>
      <c r="F94">
        <f>INDEX($N$61:$N$68,B94)</f>
        <v/>
      </c>
      <c r="G94">
        <f>INDEX($AA$61:$AA$68,B94)</f>
        <v/>
      </c>
      <c r="H94">
        <f>INDEX($X$61:$X$68,B94)</f>
        <v/>
      </c>
      <c r="I94">
        <f>INDEX($AF$61:$AF$68,B94)</f>
        <v/>
      </c>
      <c r="J94">
        <f>INDEX($AC$61:$AC$68,B94)</f>
        <v/>
      </c>
      <c r="K94">
        <f>INDEX($AD$61:$AD$68,B94)</f>
        <v/>
      </c>
      <c r="L94">
        <f>INDEX($AG$61:$AG$68,B94)</f>
        <v/>
      </c>
      <c r="M94">
        <f>INDEX($AH$61:$AH$68,B94)</f>
        <v/>
      </c>
      <c r="N94">
        <f>INDEX($AI$61:$AI$68,B94)</f>
        <v/>
      </c>
      <c r="O94">
        <f>O93*$B$26+L94*(1-$B$26)</f>
        <v/>
      </c>
      <c r="P94">
        <f>$B$7*(O94-O93)*(1-AS93)</f>
        <v/>
      </c>
      <c r="Q94">
        <f>M94+0.51274*AT93</f>
        <v/>
      </c>
      <c r="R94">
        <f>N94+0.616*AT93</f>
        <v/>
      </c>
      <c r="S94">
        <f>IF($B$13&gt;=0.6,Q94,IF($B$13&lt;=0.2,R94,R94+2.5*(Q94-R94)*($B$13-0.2)))</f>
        <v/>
      </c>
      <c r="T94">
        <f>IF(A94=1,S94,T93*$B$27+S94*(1-$B$27))</f>
        <v/>
      </c>
      <c r="U94">
        <f>0.6105*EXP(17.27*T94/(T94+237.3))</f>
        <v/>
      </c>
      <c r="V94">
        <f>($B$14*(I94*C94+IF(ABS((D94+0.1)-D94)&lt;0.000000001,4*$B$19*$B$20*(D94+273)^3,$B$19*$B$20*(((D94+0.1)+273)^4-(D94+273)^4)/((D94+0.1)-D94))*D94)+T94/H94)/($B$14*(I94+IF(ABS((D94+0.1)-D94)&lt;0.000000001,4*$B$19*$B$20*(D94+273)^3,$B$19*$B$20*(((D94+0.1)+273)^4-(D94+273)^4)/((D94+0.1)-D94)))+1/H94)</f>
        <v/>
      </c>
      <c r="W94">
        <f>($B$14*(I94*C94+IF(ABS(V94-D94)&lt;0.000000001,4*$B$19*$B$20*(D94+273)^3,$B$19*$B$20*((V94+273)^4-(D94+273)^4)/(V94-D94))*D94)+T94/H94)/($B$14*(I94+IF(ABS(V94-D94)&lt;0.000000001,4*$B$19*$B$20*(D94+273)^3,$B$19*$B$20*((V94+273)^4-(D94+273)^4)/(V94-D94)))+1/H94)</f>
        <v/>
      </c>
      <c r="X94">
        <f>($B$14*(I94*C94+IF(ABS(W94-D94)&lt;0.000000001,4*$B$19*$B$20*(D94+273)^3,$B$19*$B$20*((W94+273)^4-(D94+273)^4)/(W94-D94))*D94)+T94/H94)/($B$14*(I94+IF(ABS(W94-D94)&lt;0.000000001,4*$B$19*$B$20*(D94+273)^3,$B$19*$B$20*((W94+273)^4-(D94+273)^4)/(W94-D94)))+1/H94)</f>
        <v/>
      </c>
      <c r="Y94">
        <f>($B$14*(I94*C94+IF(ABS(X94-D94)&lt;0.000000001,4*$B$19*$B$20*(D94+273)^3,$B$19*$B$20*((X94+273)^4-(D94+273)^4)/(X94-D94))*D94)+T94/H94)/($B$14*(I94+IF(ABS(X94-D94)&lt;0.000000001,4*$B$19*$B$20*(D94+273)^3,$B$19*$B$20*((X94+273)^4-(D94+273)^4)/(X94-D94)))+1/H94)</f>
        <v/>
      </c>
      <c r="Z94">
        <f>IF(ABS(Y94-D94)&lt;0.000000001,4*$B$19*$B$20*(D94+273)^3,$B$19*$B$20*((Y94+273)^4-(D94+273)^4)/(Y94-D94))</f>
        <v/>
      </c>
      <c r="AA94">
        <f>$B$14*I94*(Y94-C94)</f>
        <v/>
      </c>
      <c r="AB94">
        <f>$B$14*Z94*(Y94-D94)</f>
        <v/>
      </c>
      <c r="AC94">
        <f>IF((U94-E94)/G94=0,0.001,(U94-E94)/G94)</f>
        <v/>
      </c>
      <c r="AD94">
        <f>F94-P94-J94-K94-AA94-AB94</f>
        <v/>
      </c>
      <c r="AE94">
        <f>AD94/AC94</f>
        <v/>
      </c>
      <c r="AF94">
        <f>IF(AD94&lt;=0,0,IF(AC94&lt;=0,$B$11,IF(AE94&gt;=1.7,$B$11,MIN(AD94/MAX(0.05,IF(AE94&gt;1,(2-AE94)^2/2,1-AE94^2/2)),$B$11))))</f>
        <v/>
      </c>
      <c r="AG94">
        <f>AG93*$B$28+AF94*(1-$B$28)</f>
        <v/>
      </c>
      <c r="AH94">
        <f>IF(AND(AD94&gt;0,AC94&lt;=0),0,AC94)</f>
        <v/>
      </c>
      <c r="AI94">
        <f>AH94/MAX(AG94,0.000001)</f>
        <v/>
      </c>
      <c r="AJ94">
        <f>MIN(IF(AI94&gt;=0.5,-AI94+SQRT(AI94^2+2),1),$B$12)</f>
        <v/>
      </c>
      <c r="AK94">
        <f>IF(AG94&lt;=0,0,AJ94*AH94)</f>
        <v/>
      </c>
      <c r="AL94">
        <f>IF(AD94&lt;=0,0,AD94)</f>
        <v/>
      </c>
      <c r="AM94">
        <f>AL94-AK94+P94</f>
        <v/>
      </c>
      <c r="AN94">
        <f>((AM94/$B$7+T93*AS93/2-T94*MAX(0.1,MIN(0.3,0.3-0.09*(AR93-36.8)))/2)+AR93*(1-AS93/2))/(1-MAX(0.1,MIN(0.3,0.3-0.09*(AR93-36.8)))/2)</f>
        <v/>
      </c>
      <c r="AO94">
        <f>((AM94/$B$7+T93*AS93/2-T94*MAX(0.1,MIN(0.3,0.3-0.09*(AN94-36.8)))/2)+AR93*(1-AS93/2))/(1-MAX(0.1,MIN(0.3,0.3-0.09*(AN94-36.8)))/2)</f>
        <v/>
      </c>
      <c r="AP94">
        <f>((AM94/$B$7+T93*AS93/2-T94*MAX(0.1,MIN(0.3,0.3-0.09*(AO94-36.8)))/2)+AR93*(1-AS93/2))/(1-MAX(0.1,MIN(0.3,0.3-0.09*(AO94-36.8)))/2)</f>
        <v/>
      </c>
      <c r="AQ94">
        <f>((AM94/$B$7+T93*AS93/2-T94*MAX(0.1,MIN(0.3,0.3-0.09*(AP94-36.8)))/2)+AR93*(1-AS93/2))/(1-MAX(0.1,MIN(0.3,0.3-0.09*(AP94-36.8)))/2)</f>
        <v/>
      </c>
      <c r="AR94">
        <f>((AM94/$B$7+T93*AS93/2-T94*MAX(0.1,MIN(0.3,0.3-0.09*(AQ94-36.8)))/2)+AR93*(1-AS93/2))/(1-MAX(0.1,MIN(0.3,0.3-0.09*(AQ94-36.8)))/2)</f>
        <v/>
      </c>
      <c r="AS94">
        <f>MAX(0.1,MIN(0.3,0.3-0.09*(AR94-36.8)))</f>
        <v/>
      </c>
      <c r="AT94">
        <f>AT93+(2*AR94-1.962*AT93-1.31)/9</f>
        <v/>
      </c>
      <c r="AU94">
        <f>AU93+AG94+K94</f>
        <v/>
      </c>
      <c r="AV94">
        <f>AU94*2.67*$B$6/1.8/60</f>
        <v/>
      </c>
      <c r="AW94">
        <f>IF(AT94&gt;=$B$36,1,0)</f>
        <v/>
      </c>
      <c r="AX94">
        <f>IF(AV94&gt;=$B$21,1,0)</f>
        <v/>
      </c>
    </row>
    <row r="95">
      <c r="A95" t="n">
        <v>22</v>
      </c>
      <c r="B95">
        <f>MATCH(A95-1,$D$61:$D$68,1)</f>
        <v/>
      </c>
      <c r="C95">
        <f>INDEX($G$61:$G$68,B95)</f>
        <v/>
      </c>
      <c r="D95">
        <f>INDEX($L$61:$L$68,B95)</f>
        <v/>
      </c>
      <c r="E95">
        <f>INDEX($M$61:$M$68,B95)</f>
        <v/>
      </c>
      <c r="F95">
        <f>INDEX($N$61:$N$68,B95)</f>
        <v/>
      </c>
      <c r="G95">
        <f>INDEX($AA$61:$AA$68,B95)</f>
        <v/>
      </c>
      <c r="H95">
        <f>INDEX($X$61:$X$68,B95)</f>
        <v/>
      </c>
      <c r="I95">
        <f>INDEX($AF$61:$AF$68,B95)</f>
        <v/>
      </c>
      <c r="J95">
        <f>INDEX($AC$61:$AC$68,B95)</f>
        <v/>
      </c>
      <c r="K95">
        <f>INDEX($AD$61:$AD$68,B95)</f>
        <v/>
      </c>
      <c r="L95">
        <f>INDEX($AG$61:$AG$68,B95)</f>
        <v/>
      </c>
      <c r="M95">
        <f>INDEX($AH$61:$AH$68,B95)</f>
        <v/>
      </c>
      <c r="N95">
        <f>INDEX($AI$61:$AI$68,B95)</f>
        <v/>
      </c>
      <c r="O95">
        <f>O94*$B$26+L95*(1-$B$26)</f>
        <v/>
      </c>
      <c r="P95">
        <f>$B$7*(O95-O94)*(1-AS94)</f>
        <v/>
      </c>
      <c r="Q95">
        <f>M95+0.51274*AT94</f>
        <v/>
      </c>
      <c r="R95">
        <f>N95+0.616*AT94</f>
        <v/>
      </c>
      <c r="S95">
        <f>IF($B$13&gt;=0.6,Q95,IF($B$13&lt;=0.2,R95,R95+2.5*(Q95-R95)*($B$13-0.2)))</f>
        <v/>
      </c>
      <c r="T95">
        <f>IF(A95=1,S95,T94*$B$27+S95*(1-$B$27))</f>
        <v/>
      </c>
      <c r="U95">
        <f>0.6105*EXP(17.27*T95/(T95+237.3))</f>
        <v/>
      </c>
      <c r="V95">
        <f>($B$14*(I95*C95+IF(ABS((D95+0.1)-D95)&lt;0.000000001,4*$B$19*$B$20*(D95+273)^3,$B$19*$B$20*(((D95+0.1)+273)^4-(D95+273)^4)/((D95+0.1)-D95))*D95)+T95/H95)/($B$14*(I95+IF(ABS((D95+0.1)-D95)&lt;0.000000001,4*$B$19*$B$20*(D95+273)^3,$B$19*$B$20*(((D95+0.1)+273)^4-(D95+273)^4)/((D95+0.1)-D95)))+1/H95)</f>
        <v/>
      </c>
      <c r="W95">
        <f>($B$14*(I95*C95+IF(ABS(V95-D95)&lt;0.000000001,4*$B$19*$B$20*(D95+273)^3,$B$19*$B$20*((V95+273)^4-(D95+273)^4)/(V95-D95))*D95)+T95/H95)/($B$14*(I95+IF(ABS(V95-D95)&lt;0.000000001,4*$B$19*$B$20*(D95+273)^3,$B$19*$B$20*((V95+273)^4-(D95+273)^4)/(V95-D95)))+1/H95)</f>
        <v/>
      </c>
      <c r="X95">
        <f>($B$14*(I95*C95+IF(ABS(W95-D95)&lt;0.000000001,4*$B$19*$B$20*(D95+273)^3,$B$19*$B$20*((W95+273)^4-(D95+273)^4)/(W95-D95))*D95)+T95/H95)/($B$14*(I95+IF(ABS(W95-D95)&lt;0.000000001,4*$B$19*$B$20*(D95+273)^3,$B$19*$B$20*((W95+273)^4-(D95+273)^4)/(W95-D95)))+1/H95)</f>
        <v/>
      </c>
      <c r="Y95">
        <f>($B$14*(I95*C95+IF(ABS(X95-D95)&lt;0.000000001,4*$B$19*$B$20*(D95+273)^3,$B$19*$B$20*((X95+273)^4-(D95+273)^4)/(X95-D95))*D95)+T95/H95)/($B$14*(I95+IF(ABS(X95-D95)&lt;0.000000001,4*$B$19*$B$20*(D95+273)^3,$B$19*$B$20*((X95+273)^4-(D95+273)^4)/(X95-D95)))+1/H95)</f>
        <v/>
      </c>
      <c r="Z95">
        <f>IF(ABS(Y95-D95)&lt;0.000000001,4*$B$19*$B$20*(D95+273)^3,$B$19*$B$20*((Y95+273)^4-(D95+273)^4)/(Y95-D95))</f>
        <v/>
      </c>
      <c r="AA95">
        <f>$B$14*I95*(Y95-C95)</f>
        <v/>
      </c>
      <c r="AB95">
        <f>$B$14*Z95*(Y95-D95)</f>
        <v/>
      </c>
      <c r="AC95">
        <f>IF((U95-E95)/G95=0,0.001,(U95-E95)/G95)</f>
        <v/>
      </c>
      <c r="AD95">
        <f>F95-P95-J95-K95-AA95-AB95</f>
        <v/>
      </c>
      <c r="AE95">
        <f>AD95/AC95</f>
        <v/>
      </c>
      <c r="AF95">
        <f>IF(AD95&lt;=0,0,IF(AC95&lt;=0,$B$11,IF(AE95&gt;=1.7,$B$11,MIN(AD95/MAX(0.05,IF(AE95&gt;1,(2-AE95)^2/2,1-AE95^2/2)),$B$11))))</f>
        <v/>
      </c>
      <c r="AG95">
        <f>AG94*$B$28+AF95*(1-$B$28)</f>
        <v/>
      </c>
      <c r="AH95">
        <f>IF(AND(AD95&gt;0,AC95&lt;=0),0,AC95)</f>
        <v/>
      </c>
      <c r="AI95">
        <f>AH95/MAX(AG95,0.000001)</f>
        <v/>
      </c>
      <c r="AJ95">
        <f>MIN(IF(AI95&gt;=0.5,-AI95+SQRT(AI95^2+2),1),$B$12)</f>
        <v/>
      </c>
      <c r="AK95">
        <f>IF(AG95&lt;=0,0,AJ95*AH95)</f>
        <v/>
      </c>
      <c r="AL95">
        <f>IF(AD95&lt;=0,0,AD95)</f>
        <v/>
      </c>
      <c r="AM95">
        <f>AL95-AK95+P95</f>
        <v/>
      </c>
      <c r="AN95">
        <f>((AM95/$B$7+T94*AS94/2-T95*MAX(0.1,MIN(0.3,0.3-0.09*(AR94-36.8)))/2)+AR94*(1-AS94/2))/(1-MAX(0.1,MIN(0.3,0.3-0.09*(AR94-36.8)))/2)</f>
        <v/>
      </c>
      <c r="AO95">
        <f>((AM95/$B$7+T94*AS94/2-T95*MAX(0.1,MIN(0.3,0.3-0.09*(AN95-36.8)))/2)+AR94*(1-AS94/2))/(1-MAX(0.1,MIN(0.3,0.3-0.09*(AN95-36.8)))/2)</f>
        <v/>
      </c>
      <c r="AP95">
        <f>((AM95/$B$7+T94*AS94/2-T95*MAX(0.1,MIN(0.3,0.3-0.09*(AO95-36.8)))/2)+AR94*(1-AS94/2))/(1-MAX(0.1,MIN(0.3,0.3-0.09*(AO95-36.8)))/2)</f>
        <v/>
      </c>
      <c r="AQ95">
        <f>((AM95/$B$7+T94*AS94/2-T95*MAX(0.1,MIN(0.3,0.3-0.09*(AP95-36.8)))/2)+AR94*(1-AS94/2))/(1-MAX(0.1,MIN(0.3,0.3-0.09*(AP95-36.8)))/2)</f>
        <v/>
      </c>
      <c r="AR95">
        <f>((AM95/$B$7+T94*AS94/2-T95*MAX(0.1,MIN(0.3,0.3-0.09*(AQ95-36.8)))/2)+AR94*(1-AS94/2))/(1-MAX(0.1,MIN(0.3,0.3-0.09*(AQ95-36.8)))/2)</f>
        <v/>
      </c>
      <c r="AS95">
        <f>MAX(0.1,MIN(0.3,0.3-0.09*(AR95-36.8)))</f>
        <v/>
      </c>
      <c r="AT95">
        <f>AT94+(2*AR95-1.962*AT94-1.31)/9</f>
        <v/>
      </c>
      <c r="AU95">
        <f>AU94+AG95+K95</f>
        <v/>
      </c>
      <c r="AV95">
        <f>AU95*2.67*$B$6/1.8/60</f>
        <v/>
      </c>
      <c r="AW95">
        <f>IF(AT95&gt;=$B$36,1,0)</f>
        <v/>
      </c>
      <c r="AX95">
        <f>IF(AV95&gt;=$B$21,1,0)</f>
        <v/>
      </c>
    </row>
    <row r="96">
      <c r="A96" t="n">
        <v>23</v>
      </c>
      <c r="B96">
        <f>MATCH(A96-1,$D$61:$D$68,1)</f>
        <v/>
      </c>
      <c r="C96">
        <f>INDEX($G$61:$G$68,B96)</f>
        <v/>
      </c>
      <c r="D96">
        <f>INDEX($L$61:$L$68,B96)</f>
        <v/>
      </c>
      <c r="E96">
        <f>INDEX($M$61:$M$68,B96)</f>
        <v/>
      </c>
      <c r="F96">
        <f>INDEX($N$61:$N$68,B96)</f>
        <v/>
      </c>
      <c r="G96">
        <f>INDEX($AA$61:$AA$68,B96)</f>
        <v/>
      </c>
      <c r="H96">
        <f>INDEX($X$61:$X$68,B96)</f>
        <v/>
      </c>
      <c r="I96">
        <f>INDEX($AF$61:$AF$68,B96)</f>
        <v/>
      </c>
      <c r="J96">
        <f>INDEX($AC$61:$AC$68,B96)</f>
        <v/>
      </c>
      <c r="K96">
        <f>INDEX($AD$61:$AD$68,B96)</f>
        <v/>
      </c>
      <c r="L96">
        <f>INDEX($AG$61:$AG$68,B96)</f>
        <v/>
      </c>
      <c r="M96">
        <f>INDEX($AH$61:$AH$68,B96)</f>
        <v/>
      </c>
      <c r="N96">
        <f>INDEX($AI$61:$AI$68,B96)</f>
        <v/>
      </c>
      <c r="O96">
        <f>O95*$B$26+L96*(1-$B$26)</f>
        <v/>
      </c>
      <c r="P96">
        <f>$B$7*(O96-O95)*(1-AS95)</f>
        <v/>
      </c>
      <c r="Q96">
        <f>M96+0.51274*AT95</f>
        <v/>
      </c>
      <c r="R96">
        <f>N96+0.616*AT95</f>
        <v/>
      </c>
      <c r="S96">
        <f>IF($B$13&gt;=0.6,Q96,IF($B$13&lt;=0.2,R96,R96+2.5*(Q96-R96)*($B$13-0.2)))</f>
        <v/>
      </c>
      <c r="T96">
        <f>IF(A96=1,S96,T95*$B$27+S96*(1-$B$27))</f>
        <v/>
      </c>
      <c r="U96">
        <f>0.6105*EXP(17.27*T96/(T96+237.3))</f>
        <v/>
      </c>
      <c r="V96">
        <f>($B$14*(I96*C96+IF(ABS((D96+0.1)-D96)&lt;0.000000001,4*$B$19*$B$20*(D96+273)^3,$B$19*$B$20*(((D96+0.1)+273)^4-(D96+273)^4)/((D96+0.1)-D96))*D96)+T96/H96)/($B$14*(I96+IF(ABS((D96+0.1)-D96)&lt;0.000000001,4*$B$19*$B$20*(D96+273)^3,$B$19*$B$20*(((D96+0.1)+273)^4-(D96+273)^4)/((D96+0.1)-D96)))+1/H96)</f>
        <v/>
      </c>
      <c r="W96">
        <f>($B$14*(I96*C96+IF(ABS(V96-D96)&lt;0.000000001,4*$B$19*$B$20*(D96+273)^3,$B$19*$B$20*((V96+273)^4-(D96+273)^4)/(V96-D96))*D96)+T96/H96)/($B$14*(I96+IF(ABS(V96-D96)&lt;0.000000001,4*$B$19*$B$20*(D96+273)^3,$B$19*$B$20*((V96+273)^4-(D96+273)^4)/(V96-D96)))+1/H96)</f>
        <v/>
      </c>
      <c r="X96">
        <f>($B$14*(I96*C96+IF(ABS(W96-D96)&lt;0.000000001,4*$B$19*$B$20*(D96+273)^3,$B$19*$B$20*((W96+273)^4-(D96+273)^4)/(W96-D96))*D96)+T96/H96)/($B$14*(I96+IF(ABS(W96-D96)&lt;0.000000001,4*$B$19*$B$20*(D96+273)^3,$B$19*$B$20*((W96+273)^4-(D96+273)^4)/(W96-D96)))+1/H96)</f>
        <v/>
      </c>
      <c r="Y96">
        <f>($B$14*(I96*C96+IF(ABS(X96-D96)&lt;0.000000001,4*$B$19*$B$20*(D96+273)^3,$B$19*$B$20*((X96+273)^4-(D96+273)^4)/(X96-D96))*D96)+T96/H96)/($B$14*(I96+IF(ABS(X96-D96)&lt;0.000000001,4*$B$19*$B$20*(D96+273)^3,$B$19*$B$20*((X96+273)^4-(D96+273)^4)/(X96-D96)))+1/H96)</f>
        <v/>
      </c>
      <c r="Z96">
        <f>IF(ABS(Y96-D96)&lt;0.000000001,4*$B$19*$B$20*(D96+273)^3,$B$19*$B$20*((Y96+273)^4-(D96+273)^4)/(Y96-D96))</f>
        <v/>
      </c>
      <c r="AA96">
        <f>$B$14*I96*(Y96-C96)</f>
        <v/>
      </c>
      <c r="AB96">
        <f>$B$14*Z96*(Y96-D96)</f>
        <v/>
      </c>
      <c r="AC96">
        <f>IF((U96-E96)/G96=0,0.001,(U96-E96)/G96)</f>
        <v/>
      </c>
      <c r="AD96">
        <f>F96-P96-J96-K96-AA96-AB96</f>
        <v/>
      </c>
      <c r="AE96">
        <f>AD96/AC96</f>
        <v/>
      </c>
      <c r="AF96">
        <f>IF(AD96&lt;=0,0,IF(AC96&lt;=0,$B$11,IF(AE96&gt;=1.7,$B$11,MIN(AD96/MAX(0.05,IF(AE96&gt;1,(2-AE96)^2/2,1-AE96^2/2)),$B$11))))</f>
        <v/>
      </c>
      <c r="AG96">
        <f>AG95*$B$28+AF96*(1-$B$28)</f>
        <v/>
      </c>
      <c r="AH96">
        <f>IF(AND(AD96&gt;0,AC96&lt;=0),0,AC96)</f>
        <v/>
      </c>
      <c r="AI96">
        <f>AH96/MAX(AG96,0.000001)</f>
        <v/>
      </c>
      <c r="AJ96">
        <f>MIN(IF(AI96&gt;=0.5,-AI96+SQRT(AI96^2+2),1),$B$12)</f>
        <v/>
      </c>
      <c r="AK96">
        <f>IF(AG96&lt;=0,0,AJ96*AH96)</f>
        <v/>
      </c>
      <c r="AL96">
        <f>IF(AD96&lt;=0,0,AD96)</f>
        <v/>
      </c>
      <c r="AM96">
        <f>AL96-AK96+P96</f>
        <v/>
      </c>
      <c r="AN96">
        <f>((AM96/$B$7+T95*AS95/2-T96*MAX(0.1,MIN(0.3,0.3-0.09*(AR95-36.8)))/2)+AR95*(1-AS95/2))/(1-MAX(0.1,MIN(0.3,0.3-0.09*(AR95-36.8)))/2)</f>
        <v/>
      </c>
      <c r="AO96">
        <f>((AM96/$B$7+T95*AS95/2-T96*MAX(0.1,MIN(0.3,0.3-0.09*(AN96-36.8)))/2)+AR95*(1-AS95/2))/(1-MAX(0.1,MIN(0.3,0.3-0.09*(AN96-36.8)))/2)</f>
        <v/>
      </c>
      <c r="AP96">
        <f>((AM96/$B$7+T95*AS95/2-T96*MAX(0.1,MIN(0.3,0.3-0.09*(AO96-36.8)))/2)+AR95*(1-AS95/2))/(1-MAX(0.1,MIN(0.3,0.3-0.09*(AO96-36.8)))/2)</f>
        <v/>
      </c>
      <c r="AQ96">
        <f>((AM96/$B$7+T95*AS95/2-T96*MAX(0.1,MIN(0.3,0.3-0.09*(AP96-36.8)))/2)+AR95*(1-AS95/2))/(1-MAX(0.1,MIN(0.3,0.3-0.09*(AP96-36.8)))/2)</f>
        <v/>
      </c>
      <c r="AR96">
        <f>((AM96/$B$7+T95*AS95/2-T96*MAX(0.1,MIN(0.3,0.3-0.09*(AQ96-36.8)))/2)+AR95*(1-AS95/2))/(1-MAX(0.1,MIN(0.3,0.3-0.09*(AQ96-36.8)))/2)</f>
        <v/>
      </c>
      <c r="AS96">
        <f>MAX(0.1,MIN(0.3,0.3-0.09*(AR96-36.8)))</f>
        <v/>
      </c>
      <c r="AT96">
        <f>AT95+(2*AR96-1.962*AT95-1.31)/9</f>
        <v/>
      </c>
      <c r="AU96">
        <f>AU95+AG96+K96</f>
        <v/>
      </c>
      <c r="AV96">
        <f>AU96*2.67*$B$6/1.8/60</f>
        <v/>
      </c>
      <c r="AW96">
        <f>IF(AT96&gt;=$B$36,1,0)</f>
        <v/>
      </c>
      <c r="AX96">
        <f>IF(AV96&gt;=$B$21,1,0)</f>
        <v/>
      </c>
    </row>
    <row r="97">
      <c r="A97" t="n">
        <v>24</v>
      </c>
      <c r="B97">
        <f>MATCH(A97-1,$D$61:$D$68,1)</f>
        <v/>
      </c>
      <c r="C97">
        <f>INDEX($G$61:$G$68,B97)</f>
        <v/>
      </c>
      <c r="D97">
        <f>INDEX($L$61:$L$68,B97)</f>
        <v/>
      </c>
      <c r="E97">
        <f>INDEX($M$61:$M$68,B97)</f>
        <v/>
      </c>
      <c r="F97">
        <f>INDEX($N$61:$N$68,B97)</f>
        <v/>
      </c>
      <c r="G97">
        <f>INDEX($AA$61:$AA$68,B97)</f>
        <v/>
      </c>
      <c r="H97">
        <f>INDEX($X$61:$X$68,B97)</f>
        <v/>
      </c>
      <c r="I97">
        <f>INDEX($AF$61:$AF$68,B97)</f>
        <v/>
      </c>
      <c r="J97">
        <f>INDEX($AC$61:$AC$68,B97)</f>
        <v/>
      </c>
      <c r="K97">
        <f>INDEX($AD$61:$AD$68,B97)</f>
        <v/>
      </c>
      <c r="L97">
        <f>INDEX($AG$61:$AG$68,B97)</f>
        <v/>
      </c>
      <c r="M97">
        <f>INDEX($AH$61:$AH$68,B97)</f>
        <v/>
      </c>
      <c r="N97">
        <f>INDEX($AI$61:$AI$68,B97)</f>
        <v/>
      </c>
      <c r="O97">
        <f>O96*$B$26+L97*(1-$B$26)</f>
        <v/>
      </c>
      <c r="P97">
        <f>$B$7*(O97-O96)*(1-AS96)</f>
        <v/>
      </c>
      <c r="Q97">
        <f>M97+0.51274*AT96</f>
        <v/>
      </c>
      <c r="R97">
        <f>N97+0.616*AT96</f>
        <v/>
      </c>
      <c r="S97">
        <f>IF($B$13&gt;=0.6,Q97,IF($B$13&lt;=0.2,R97,R97+2.5*(Q97-R97)*($B$13-0.2)))</f>
        <v/>
      </c>
      <c r="T97">
        <f>IF(A97=1,S97,T96*$B$27+S97*(1-$B$27))</f>
        <v/>
      </c>
      <c r="U97">
        <f>0.6105*EXP(17.27*T97/(T97+237.3))</f>
        <v/>
      </c>
      <c r="V97">
        <f>($B$14*(I97*C97+IF(ABS((D97+0.1)-D97)&lt;0.000000001,4*$B$19*$B$20*(D97+273)^3,$B$19*$B$20*(((D97+0.1)+273)^4-(D97+273)^4)/((D97+0.1)-D97))*D97)+T97/H97)/($B$14*(I97+IF(ABS((D97+0.1)-D97)&lt;0.000000001,4*$B$19*$B$20*(D97+273)^3,$B$19*$B$20*(((D97+0.1)+273)^4-(D97+273)^4)/((D97+0.1)-D97)))+1/H97)</f>
        <v/>
      </c>
      <c r="W97">
        <f>($B$14*(I97*C97+IF(ABS(V97-D97)&lt;0.000000001,4*$B$19*$B$20*(D97+273)^3,$B$19*$B$20*((V97+273)^4-(D97+273)^4)/(V97-D97))*D97)+T97/H97)/($B$14*(I97+IF(ABS(V97-D97)&lt;0.000000001,4*$B$19*$B$20*(D97+273)^3,$B$19*$B$20*((V97+273)^4-(D97+273)^4)/(V97-D97)))+1/H97)</f>
        <v/>
      </c>
      <c r="X97">
        <f>($B$14*(I97*C97+IF(ABS(W97-D97)&lt;0.000000001,4*$B$19*$B$20*(D97+273)^3,$B$19*$B$20*((W97+273)^4-(D97+273)^4)/(W97-D97))*D97)+T97/H97)/($B$14*(I97+IF(ABS(W97-D97)&lt;0.000000001,4*$B$19*$B$20*(D97+273)^3,$B$19*$B$20*((W97+273)^4-(D97+273)^4)/(W97-D97)))+1/H97)</f>
        <v/>
      </c>
      <c r="Y97">
        <f>($B$14*(I97*C97+IF(ABS(X97-D97)&lt;0.000000001,4*$B$19*$B$20*(D97+273)^3,$B$19*$B$20*((X97+273)^4-(D97+273)^4)/(X97-D97))*D97)+T97/H97)/($B$14*(I97+IF(ABS(X97-D97)&lt;0.000000001,4*$B$19*$B$20*(D97+273)^3,$B$19*$B$20*((X97+273)^4-(D97+273)^4)/(X97-D97)))+1/H97)</f>
        <v/>
      </c>
      <c r="Z97">
        <f>IF(ABS(Y97-D97)&lt;0.000000001,4*$B$19*$B$20*(D97+273)^3,$B$19*$B$20*((Y97+273)^4-(D97+273)^4)/(Y97-D97))</f>
        <v/>
      </c>
      <c r="AA97">
        <f>$B$14*I97*(Y97-C97)</f>
        <v/>
      </c>
      <c r="AB97">
        <f>$B$14*Z97*(Y97-D97)</f>
        <v/>
      </c>
      <c r="AC97">
        <f>IF((U97-E97)/G97=0,0.001,(U97-E97)/G97)</f>
        <v/>
      </c>
      <c r="AD97">
        <f>F97-P97-J97-K97-AA97-AB97</f>
        <v/>
      </c>
      <c r="AE97">
        <f>AD97/AC97</f>
        <v/>
      </c>
      <c r="AF97">
        <f>IF(AD97&lt;=0,0,IF(AC97&lt;=0,$B$11,IF(AE97&gt;=1.7,$B$11,MIN(AD97/MAX(0.05,IF(AE97&gt;1,(2-AE97)^2/2,1-AE97^2/2)),$B$11))))</f>
        <v/>
      </c>
      <c r="AG97">
        <f>AG96*$B$28+AF97*(1-$B$28)</f>
        <v/>
      </c>
      <c r="AH97">
        <f>IF(AND(AD97&gt;0,AC97&lt;=0),0,AC97)</f>
        <v/>
      </c>
      <c r="AI97">
        <f>AH97/MAX(AG97,0.000001)</f>
        <v/>
      </c>
      <c r="AJ97">
        <f>MIN(IF(AI97&gt;=0.5,-AI97+SQRT(AI97^2+2),1),$B$12)</f>
        <v/>
      </c>
      <c r="AK97">
        <f>IF(AG97&lt;=0,0,AJ97*AH97)</f>
        <v/>
      </c>
      <c r="AL97">
        <f>IF(AD97&lt;=0,0,AD97)</f>
        <v/>
      </c>
      <c r="AM97">
        <f>AL97-AK97+P97</f>
        <v/>
      </c>
      <c r="AN97">
        <f>((AM97/$B$7+T96*AS96/2-T97*MAX(0.1,MIN(0.3,0.3-0.09*(AR96-36.8)))/2)+AR96*(1-AS96/2))/(1-MAX(0.1,MIN(0.3,0.3-0.09*(AR96-36.8)))/2)</f>
        <v/>
      </c>
      <c r="AO97">
        <f>((AM97/$B$7+T96*AS96/2-T97*MAX(0.1,MIN(0.3,0.3-0.09*(AN97-36.8)))/2)+AR96*(1-AS96/2))/(1-MAX(0.1,MIN(0.3,0.3-0.09*(AN97-36.8)))/2)</f>
        <v/>
      </c>
      <c r="AP97">
        <f>((AM97/$B$7+T96*AS96/2-T97*MAX(0.1,MIN(0.3,0.3-0.09*(AO97-36.8)))/2)+AR96*(1-AS96/2))/(1-MAX(0.1,MIN(0.3,0.3-0.09*(AO97-36.8)))/2)</f>
        <v/>
      </c>
      <c r="AQ97">
        <f>((AM97/$B$7+T96*AS96/2-T97*MAX(0.1,MIN(0.3,0.3-0.09*(AP97-36.8)))/2)+AR96*(1-AS96/2))/(1-MAX(0.1,MIN(0.3,0.3-0.09*(AP97-36.8)))/2)</f>
        <v/>
      </c>
      <c r="AR97">
        <f>((AM97/$B$7+T96*AS96/2-T97*MAX(0.1,MIN(0.3,0.3-0.09*(AQ97-36.8)))/2)+AR96*(1-AS96/2))/(1-MAX(0.1,MIN(0.3,0.3-0.09*(AQ97-36.8)))/2)</f>
        <v/>
      </c>
      <c r="AS97">
        <f>MAX(0.1,MIN(0.3,0.3-0.09*(AR97-36.8)))</f>
        <v/>
      </c>
      <c r="AT97">
        <f>AT96+(2*AR97-1.962*AT96-1.31)/9</f>
        <v/>
      </c>
      <c r="AU97">
        <f>AU96+AG97+K97</f>
        <v/>
      </c>
      <c r="AV97">
        <f>AU97*2.67*$B$6/1.8/60</f>
        <v/>
      </c>
      <c r="AW97">
        <f>IF(AT97&gt;=$B$36,1,0)</f>
        <v/>
      </c>
      <c r="AX97">
        <f>IF(AV97&gt;=$B$21,1,0)</f>
        <v/>
      </c>
    </row>
    <row r="98">
      <c r="A98" t="n">
        <v>25</v>
      </c>
      <c r="B98">
        <f>MATCH(A98-1,$D$61:$D$68,1)</f>
        <v/>
      </c>
      <c r="C98">
        <f>INDEX($G$61:$G$68,B98)</f>
        <v/>
      </c>
      <c r="D98">
        <f>INDEX($L$61:$L$68,B98)</f>
        <v/>
      </c>
      <c r="E98">
        <f>INDEX($M$61:$M$68,B98)</f>
        <v/>
      </c>
      <c r="F98">
        <f>INDEX($N$61:$N$68,B98)</f>
        <v/>
      </c>
      <c r="G98">
        <f>INDEX($AA$61:$AA$68,B98)</f>
        <v/>
      </c>
      <c r="H98">
        <f>INDEX($X$61:$X$68,B98)</f>
        <v/>
      </c>
      <c r="I98">
        <f>INDEX($AF$61:$AF$68,B98)</f>
        <v/>
      </c>
      <c r="J98">
        <f>INDEX($AC$61:$AC$68,B98)</f>
        <v/>
      </c>
      <c r="K98">
        <f>INDEX($AD$61:$AD$68,B98)</f>
        <v/>
      </c>
      <c r="L98">
        <f>INDEX($AG$61:$AG$68,B98)</f>
        <v/>
      </c>
      <c r="M98">
        <f>INDEX($AH$61:$AH$68,B98)</f>
        <v/>
      </c>
      <c r="N98">
        <f>INDEX($AI$61:$AI$68,B98)</f>
        <v/>
      </c>
      <c r="O98">
        <f>O97*$B$26+L98*(1-$B$26)</f>
        <v/>
      </c>
      <c r="P98">
        <f>$B$7*(O98-O97)*(1-AS97)</f>
        <v/>
      </c>
      <c r="Q98">
        <f>M98+0.51274*AT97</f>
        <v/>
      </c>
      <c r="R98">
        <f>N98+0.616*AT97</f>
        <v/>
      </c>
      <c r="S98">
        <f>IF($B$13&gt;=0.6,Q98,IF($B$13&lt;=0.2,R98,R98+2.5*(Q98-R98)*($B$13-0.2)))</f>
        <v/>
      </c>
      <c r="T98">
        <f>IF(A98=1,S98,T97*$B$27+S98*(1-$B$27))</f>
        <v/>
      </c>
      <c r="U98">
        <f>0.6105*EXP(17.27*T98/(T98+237.3))</f>
        <v/>
      </c>
      <c r="V98">
        <f>($B$14*(I98*C98+IF(ABS((D98+0.1)-D98)&lt;0.000000001,4*$B$19*$B$20*(D98+273)^3,$B$19*$B$20*(((D98+0.1)+273)^4-(D98+273)^4)/((D98+0.1)-D98))*D98)+T98/H98)/($B$14*(I98+IF(ABS((D98+0.1)-D98)&lt;0.000000001,4*$B$19*$B$20*(D98+273)^3,$B$19*$B$20*(((D98+0.1)+273)^4-(D98+273)^4)/((D98+0.1)-D98)))+1/H98)</f>
        <v/>
      </c>
      <c r="W98">
        <f>($B$14*(I98*C98+IF(ABS(V98-D98)&lt;0.000000001,4*$B$19*$B$20*(D98+273)^3,$B$19*$B$20*((V98+273)^4-(D98+273)^4)/(V98-D98))*D98)+T98/H98)/($B$14*(I98+IF(ABS(V98-D98)&lt;0.000000001,4*$B$19*$B$20*(D98+273)^3,$B$19*$B$20*((V98+273)^4-(D98+273)^4)/(V98-D98)))+1/H98)</f>
        <v/>
      </c>
      <c r="X98">
        <f>($B$14*(I98*C98+IF(ABS(W98-D98)&lt;0.000000001,4*$B$19*$B$20*(D98+273)^3,$B$19*$B$20*((W98+273)^4-(D98+273)^4)/(W98-D98))*D98)+T98/H98)/($B$14*(I98+IF(ABS(W98-D98)&lt;0.000000001,4*$B$19*$B$20*(D98+273)^3,$B$19*$B$20*((W98+273)^4-(D98+273)^4)/(W98-D98)))+1/H98)</f>
        <v/>
      </c>
      <c r="Y98">
        <f>($B$14*(I98*C98+IF(ABS(X98-D98)&lt;0.000000001,4*$B$19*$B$20*(D98+273)^3,$B$19*$B$20*((X98+273)^4-(D98+273)^4)/(X98-D98))*D98)+T98/H98)/($B$14*(I98+IF(ABS(X98-D98)&lt;0.000000001,4*$B$19*$B$20*(D98+273)^3,$B$19*$B$20*((X98+273)^4-(D98+273)^4)/(X98-D98)))+1/H98)</f>
        <v/>
      </c>
      <c r="Z98">
        <f>IF(ABS(Y98-D98)&lt;0.000000001,4*$B$19*$B$20*(D98+273)^3,$B$19*$B$20*((Y98+273)^4-(D98+273)^4)/(Y98-D98))</f>
        <v/>
      </c>
      <c r="AA98">
        <f>$B$14*I98*(Y98-C98)</f>
        <v/>
      </c>
      <c r="AB98">
        <f>$B$14*Z98*(Y98-D98)</f>
        <v/>
      </c>
      <c r="AC98">
        <f>IF((U98-E98)/G98=0,0.001,(U98-E98)/G98)</f>
        <v/>
      </c>
      <c r="AD98">
        <f>F98-P98-J98-K98-AA98-AB98</f>
        <v/>
      </c>
      <c r="AE98">
        <f>AD98/AC98</f>
        <v/>
      </c>
      <c r="AF98">
        <f>IF(AD98&lt;=0,0,IF(AC98&lt;=0,$B$11,IF(AE98&gt;=1.7,$B$11,MIN(AD98/MAX(0.05,IF(AE98&gt;1,(2-AE98)^2/2,1-AE98^2/2)),$B$11))))</f>
        <v/>
      </c>
      <c r="AG98">
        <f>AG97*$B$28+AF98*(1-$B$28)</f>
        <v/>
      </c>
      <c r="AH98">
        <f>IF(AND(AD98&gt;0,AC98&lt;=0),0,AC98)</f>
        <v/>
      </c>
      <c r="AI98">
        <f>AH98/MAX(AG98,0.000001)</f>
        <v/>
      </c>
      <c r="AJ98">
        <f>MIN(IF(AI98&gt;=0.5,-AI98+SQRT(AI98^2+2),1),$B$12)</f>
        <v/>
      </c>
      <c r="AK98">
        <f>IF(AG98&lt;=0,0,AJ98*AH98)</f>
        <v/>
      </c>
      <c r="AL98">
        <f>IF(AD98&lt;=0,0,AD98)</f>
        <v/>
      </c>
      <c r="AM98">
        <f>AL98-AK98+P98</f>
        <v/>
      </c>
      <c r="AN98">
        <f>((AM98/$B$7+T97*AS97/2-T98*MAX(0.1,MIN(0.3,0.3-0.09*(AR97-36.8)))/2)+AR97*(1-AS97/2))/(1-MAX(0.1,MIN(0.3,0.3-0.09*(AR97-36.8)))/2)</f>
        <v/>
      </c>
      <c r="AO98">
        <f>((AM98/$B$7+T97*AS97/2-T98*MAX(0.1,MIN(0.3,0.3-0.09*(AN98-36.8)))/2)+AR97*(1-AS97/2))/(1-MAX(0.1,MIN(0.3,0.3-0.09*(AN98-36.8)))/2)</f>
        <v/>
      </c>
      <c r="AP98">
        <f>((AM98/$B$7+T97*AS97/2-T98*MAX(0.1,MIN(0.3,0.3-0.09*(AO98-36.8)))/2)+AR97*(1-AS97/2))/(1-MAX(0.1,MIN(0.3,0.3-0.09*(AO98-36.8)))/2)</f>
        <v/>
      </c>
      <c r="AQ98">
        <f>((AM98/$B$7+T97*AS97/2-T98*MAX(0.1,MIN(0.3,0.3-0.09*(AP98-36.8)))/2)+AR97*(1-AS97/2))/(1-MAX(0.1,MIN(0.3,0.3-0.09*(AP98-36.8)))/2)</f>
        <v/>
      </c>
      <c r="AR98">
        <f>((AM98/$B$7+T97*AS97/2-T98*MAX(0.1,MIN(0.3,0.3-0.09*(AQ98-36.8)))/2)+AR97*(1-AS97/2))/(1-MAX(0.1,MIN(0.3,0.3-0.09*(AQ98-36.8)))/2)</f>
        <v/>
      </c>
      <c r="AS98">
        <f>MAX(0.1,MIN(0.3,0.3-0.09*(AR98-36.8)))</f>
        <v/>
      </c>
      <c r="AT98">
        <f>AT97+(2*AR98-1.962*AT97-1.31)/9</f>
        <v/>
      </c>
      <c r="AU98">
        <f>AU97+AG98+K98</f>
        <v/>
      </c>
      <c r="AV98">
        <f>AU98*2.67*$B$6/1.8/60</f>
        <v/>
      </c>
      <c r="AW98">
        <f>IF(AT98&gt;=$B$36,1,0)</f>
        <v/>
      </c>
      <c r="AX98">
        <f>IF(AV98&gt;=$B$21,1,0)</f>
        <v/>
      </c>
    </row>
    <row r="99">
      <c r="A99" t="n">
        <v>26</v>
      </c>
      <c r="B99">
        <f>MATCH(A99-1,$D$61:$D$68,1)</f>
        <v/>
      </c>
      <c r="C99">
        <f>INDEX($G$61:$G$68,B99)</f>
        <v/>
      </c>
      <c r="D99">
        <f>INDEX($L$61:$L$68,B99)</f>
        <v/>
      </c>
      <c r="E99">
        <f>INDEX($M$61:$M$68,B99)</f>
        <v/>
      </c>
      <c r="F99">
        <f>INDEX($N$61:$N$68,B99)</f>
        <v/>
      </c>
      <c r="G99">
        <f>INDEX($AA$61:$AA$68,B99)</f>
        <v/>
      </c>
      <c r="H99">
        <f>INDEX($X$61:$X$68,B99)</f>
        <v/>
      </c>
      <c r="I99">
        <f>INDEX($AF$61:$AF$68,B99)</f>
        <v/>
      </c>
      <c r="J99">
        <f>INDEX($AC$61:$AC$68,B99)</f>
        <v/>
      </c>
      <c r="K99">
        <f>INDEX($AD$61:$AD$68,B99)</f>
        <v/>
      </c>
      <c r="L99">
        <f>INDEX($AG$61:$AG$68,B99)</f>
        <v/>
      </c>
      <c r="M99">
        <f>INDEX($AH$61:$AH$68,B99)</f>
        <v/>
      </c>
      <c r="N99">
        <f>INDEX($AI$61:$AI$68,B99)</f>
        <v/>
      </c>
      <c r="O99">
        <f>O98*$B$26+L99*(1-$B$26)</f>
        <v/>
      </c>
      <c r="P99">
        <f>$B$7*(O99-O98)*(1-AS98)</f>
        <v/>
      </c>
      <c r="Q99">
        <f>M99+0.51274*AT98</f>
        <v/>
      </c>
      <c r="R99">
        <f>N99+0.616*AT98</f>
        <v/>
      </c>
      <c r="S99">
        <f>IF($B$13&gt;=0.6,Q99,IF($B$13&lt;=0.2,R99,R99+2.5*(Q99-R99)*($B$13-0.2)))</f>
        <v/>
      </c>
      <c r="T99">
        <f>IF(A99=1,S99,T98*$B$27+S99*(1-$B$27))</f>
        <v/>
      </c>
      <c r="U99">
        <f>0.6105*EXP(17.27*T99/(T99+237.3))</f>
        <v/>
      </c>
      <c r="V99">
        <f>($B$14*(I99*C99+IF(ABS((D99+0.1)-D99)&lt;0.000000001,4*$B$19*$B$20*(D99+273)^3,$B$19*$B$20*(((D99+0.1)+273)^4-(D99+273)^4)/((D99+0.1)-D99))*D99)+T99/H99)/($B$14*(I99+IF(ABS((D99+0.1)-D99)&lt;0.000000001,4*$B$19*$B$20*(D99+273)^3,$B$19*$B$20*(((D99+0.1)+273)^4-(D99+273)^4)/((D99+0.1)-D99)))+1/H99)</f>
        <v/>
      </c>
      <c r="W99">
        <f>($B$14*(I99*C99+IF(ABS(V99-D99)&lt;0.000000001,4*$B$19*$B$20*(D99+273)^3,$B$19*$B$20*((V99+273)^4-(D99+273)^4)/(V99-D99))*D99)+T99/H99)/($B$14*(I99+IF(ABS(V99-D99)&lt;0.000000001,4*$B$19*$B$20*(D99+273)^3,$B$19*$B$20*((V99+273)^4-(D99+273)^4)/(V99-D99)))+1/H99)</f>
        <v/>
      </c>
      <c r="X99">
        <f>($B$14*(I99*C99+IF(ABS(W99-D99)&lt;0.000000001,4*$B$19*$B$20*(D99+273)^3,$B$19*$B$20*((W99+273)^4-(D99+273)^4)/(W99-D99))*D99)+T99/H99)/($B$14*(I99+IF(ABS(W99-D99)&lt;0.000000001,4*$B$19*$B$20*(D99+273)^3,$B$19*$B$20*((W99+273)^4-(D99+273)^4)/(W99-D99)))+1/H99)</f>
        <v/>
      </c>
      <c r="Y99">
        <f>($B$14*(I99*C99+IF(ABS(X99-D99)&lt;0.000000001,4*$B$19*$B$20*(D99+273)^3,$B$19*$B$20*((X99+273)^4-(D99+273)^4)/(X99-D99))*D99)+T99/H99)/($B$14*(I99+IF(ABS(X99-D99)&lt;0.000000001,4*$B$19*$B$20*(D99+273)^3,$B$19*$B$20*((X99+273)^4-(D99+273)^4)/(X99-D99)))+1/H99)</f>
        <v/>
      </c>
      <c r="Z99">
        <f>IF(ABS(Y99-D99)&lt;0.000000001,4*$B$19*$B$20*(D99+273)^3,$B$19*$B$20*((Y99+273)^4-(D99+273)^4)/(Y99-D99))</f>
        <v/>
      </c>
      <c r="AA99">
        <f>$B$14*I99*(Y99-C99)</f>
        <v/>
      </c>
      <c r="AB99">
        <f>$B$14*Z99*(Y99-D99)</f>
        <v/>
      </c>
      <c r="AC99">
        <f>IF((U99-E99)/G99=0,0.001,(U99-E99)/G99)</f>
        <v/>
      </c>
      <c r="AD99">
        <f>F99-P99-J99-K99-AA99-AB99</f>
        <v/>
      </c>
      <c r="AE99">
        <f>AD99/AC99</f>
        <v/>
      </c>
      <c r="AF99">
        <f>IF(AD99&lt;=0,0,IF(AC99&lt;=0,$B$11,IF(AE99&gt;=1.7,$B$11,MIN(AD99/MAX(0.05,IF(AE99&gt;1,(2-AE99)^2/2,1-AE99^2/2)),$B$11))))</f>
        <v/>
      </c>
      <c r="AG99">
        <f>AG98*$B$28+AF99*(1-$B$28)</f>
        <v/>
      </c>
      <c r="AH99">
        <f>IF(AND(AD99&gt;0,AC99&lt;=0),0,AC99)</f>
        <v/>
      </c>
      <c r="AI99">
        <f>AH99/MAX(AG99,0.000001)</f>
        <v/>
      </c>
      <c r="AJ99">
        <f>MIN(IF(AI99&gt;=0.5,-AI99+SQRT(AI99^2+2),1),$B$12)</f>
        <v/>
      </c>
      <c r="AK99">
        <f>IF(AG99&lt;=0,0,AJ99*AH99)</f>
        <v/>
      </c>
      <c r="AL99">
        <f>IF(AD99&lt;=0,0,AD99)</f>
        <v/>
      </c>
      <c r="AM99">
        <f>AL99-AK99+P99</f>
        <v/>
      </c>
      <c r="AN99">
        <f>((AM99/$B$7+T98*AS98/2-T99*MAX(0.1,MIN(0.3,0.3-0.09*(AR98-36.8)))/2)+AR98*(1-AS98/2))/(1-MAX(0.1,MIN(0.3,0.3-0.09*(AR98-36.8)))/2)</f>
        <v/>
      </c>
      <c r="AO99">
        <f>((AM99/$B$7+T98*AS98/2-T99*MAX(0.1,MIN(0.3,0.3-0.09*(AN99-36.8)))/2)+AR98*(1-AS98/2))/(1-MAX(0.1,MIN(0.3,0.3-0.09*(AN99-36.8)))/2)</f>
        <v/>
      </c>
      <c r="AP99">
        <f>((AM99/$B$7+T98*AS98/2-T99*MAX(0.1,MIN(0.3,0.3-0.09*(AO99-36.8)))/2)+AR98*(1-AS98/2))/(1-MAX(0.1,MIN(0.3,0.3-0.09*(AO99-36.8)))/2)</f>
        <v/>
      </c>
      <c r="AQ99">
        <f>((AM99/$B$7+T98*AS98/2-T99*MAX(0.1,MIN(0.3,0.3-0.09*(AP99-36.8)))/2)+AR98*(1-AS98/2))/(1-MAX(0.1,MIN(0.3,0.3-0.09*(AP99-36.8)))/2)</f>
        <v/>
      </c>
      <c r="AR99">
        <f>((AM99/$B$7+T98*AS98/2-T99*MAX(0.1,MIN(0.3,0.3-0.09*(AQ99-36.8)))/2)+AR98*(1-AS98/2))/(1-MAX(0.1,MIN(0.3,0.3-0.09*(AQ99-36.8)))/2)</f>
        <v/>
      </c>
      <c r="AS99">
        <f>MAX(0.1,MIN(0.3,0.3-0.09*(AR99-36.8)))</f>
        <v/>
      </c>
      <c r="AT99">
        <f>AT98+(2*AR99-1.962*AT98-1.31)/9</f>
        <v/>
      </c>
      <c r="AU99">
        <f>AU98+AG99+K99</f>
        <v/>
      </c>
      <c r="AV99">
        <f>AU99*2.67*$B$6/1.8/60</f>
        <v/>
      </c>
      <c r="AW99">
        <f>IF(AT99&gt;=$B$36,1,0)</f>
        <v/>
      </c>
      <c r="AX99">
        <f>IF(AV99&gt;=$B$21,1,0)</f>
        <v/>
      </c>
    </row>
    <row r="100">
      <c r="A100" t="n">
        <v>27</v>
      </c>
      <c r="B100">
        <f>MATCH(A100-1,$D$61:$D$68,1)</f>
        <v/>
      </c>
      <c r="C100">
        <f>INDEX($G$61:$G$68,B100)</f>
        <v/>
      </c>
      <c r="D100">
        <f>INDEX($L$61:$L$68,B100)</f>
        <v/>
      </c>
      <c r="E100">
        <f>INDEX($M$61:$M$68,B100)</f>
        <v/>
      </c>
      <c r="F100">
        <f>INDEX($N$61:$N$68,B100)</f>
        <v/>
      </c>
      <c r="G100">
        <f>INDEX($AA$61:$AA$68,B100)</f>
        <v/>
      </c>
      <c r="H100">
        <f>INDEX($X$61:$X$68,B100)</f>
        <v/>
      </c>
      <c r="I100">
        <f>INDEX($AF$61:$AF$68,B100)</f>
        <v/>
      </c>
      <c r="J100">
        <f>INDEX($AC$61:$AC$68,B100)</f>
        <v/>
      </c>
      <c r="K100">
        <f>INDEX($AD$61:$AD$68,B100)</f>
        <v/>
      </c>
      <c r="L100">
        <f>INDEX($AG$61:$AG$68,B100)</f>
        <v/>
      </c>
      <c r="M100">
        <f>INDEX($AH$61:$AH$68,B100)</f>
        <v/>
      </c>
      <c r="N100">
        <f>INDEX($AI$61:$AI$68,B100)</f>
        <v/>
      </c>
      <c r="O100">
        <f>O99*$B$26+L100*(1-$B$26)</f>
        <v/>
      </c>
      <c r="P100">
        <f>$B$7*(O100-O99)*(1-AS99)</f>
        <v/>
      </c>
      <c r="Q100">
        <f>M100+0.51274*AT99</f>
        <v/>
      </c>
      <c r="R100">
        <f>N100+0.616*AT99</f>
        <v/>
      </c>
      <c r="S100">
        <f>IF($B$13&gt;=0.6,Q100,IF($B$13&lt;=0.2,R100,R100+2.5*(Q100-R100)*($B$13-0.2)))</f>
        <v/>
      </c>
      <c r="T100">
        <f>IF(A100=1,S100,T99*$B$27+S100*(1-$B$27))</f>
        <v/>
      </c>
      <c r="U100">
        <f>0.6105*EXP(17.27*T100/(T100+237.3))</f>
        <v/>
      </c>
      <c r="V100">
        <f>($B$14*(I100*C100+IF(ABS((D100+0.1)-D100)&lt;0.000000001,4*$B$19*$B$20*(D100+273)^3,$B$19*$B$20*(((D100+0.1)+273)^4-(D100+273)^4)/((D100+0.1)-D100))*D100)+T100/H100)/($B$14*(I100+IF(ABS((D100+0.1)-D100)&lt;0.000000001,4*$B$19*$B$20*(D100+273)^3,$B$19*$B$20*(((D100+0.1)+273)^4-(D100+273)^4)/((D100+0.1)-D100)))+1/H100)</f>
        <v/>
      </c>
      <c r="W100">
        <f>($B$14*(I100*C100+IF(ABS(V100-D100)&lt;0.000000001,4*$B$19*$B$20*(D100+273)^3,$B$19*$B$20*((V100+273)^4-(D100+273)^4)/(V100-D100))*D100)+T100/H100)/($B$14*(I100+IF(ABS(V100-D100)&lt;0.000000001,4*$B$19*$B$20*(D100+273)^3,$B$19*$B$20*((V100+273)^4-(D100+273)^4)/(V100-D100)))+1/H100)</f>
        <v/>
      </c>
      <c r="X100">
        <f>($B$14*(I100*C100+IF(ABS(W100-D100)&lt;0.000000001,4*$B$19*$B$20*(D100+273)^3,$B$19*$B$20*((W100+273)^4-(D100+273)^4)/(W100-D100))*D100)+T100/H100)/($B$14*(I100+IF(ABS(W100-D100)&lt;0.000000001,4*$B$19*$B$20*(D100+273)^3,$B$19*$B$20*((W100+273)^4-(D100+273)^4)/(W100-D100)))+1/H100)</f>
        <v/>
      </c>
      <c r="Y100">
        <f>($B$14*(I100*C100+IF(ABS(X100-D100)&lt;0.000000001,4*$B$19*$B$20*(D100+273)^3,$B$19*$B$20*((X100+273)^4-(D100+273)^4)/(X100-D100))*D100)+T100/H100)/($B$14*(I100+IF(ABS(X100-D100)&lt;0.000000001,4*$B$19*$B$20*(D100+273)^3,$B$19*$B$20*((X100+273)^4-(D100+273)^4)/(X100-D100)))+1/H100)</f>
        <v/>
      </c>
      <c r="Z100">
        <f>IF(ABS(Y100-D100)&lt;0.000000001,4*$B$19*$B$20*(D100+273)^3,$B$19*$B$20*((Y100+273)^4-(D100+273)^4)/(Y100-D100))</f>
        <v/>
      </c>
      <c r="AA100">
        <f>$B$14*I100*(Y100-C100)</f>
        <v/>
      </c>
      <c r="AB100">
        <f>$B$14*Z100*(Y100-D100)</f>
        <v/>
      </c>
      <c r="AC100">
        <f>IF((U100-E100)/G100=0,0.001,(U100-E100)/G100)</f>
        <v/>
      </c>
      <c r="AD100">
        <f>F100-P100-J100-K100-AA100-AB100</f>
        <v/>
      </c>
      <c r="AE100">
        <f>AD100/AC100</f>
        <v/>
      </c>
      <c r="AF100">
        <f>IF(AD100&lt;=0,0,IF(AC100&lt;=0,$B$11,IF(AE100&gt;=1.7,$B$11,MIN(AD100/MAX(0.05,IF(AE100&gt;1,(2-AE100)^2/2,1-AE100^2/2)),$B$11))))</f>
        <v/>
      </c>
      <c r="AG100">
        <f>AG99*$B$28+AF100*(1-$B$28)</f>
        <v/>
      </c>
      <c r="AH100">
        <f>IF(AND(AD100&gt;0,AC100&lt;=0),0,AC100)</f>
        <v/>
      </c>
      <c r="AI100">
        <f>AH100/MAX(AG100,0.000001)</f>
        <v/>
      </c>
      <c r="AJ100">
        <f>MIN(IF(AI100&gt;=0.5,-AI100+SQRT(AI100^2+2),1),$B$12)</f>
        <v/>
      </c>
      <c r="AK100">
        <f>IF(AG100&lt;=0,0,AJ100*AH100)</f>
        <v/>
      </c>
      <c r="AL100">
        <f>IF(AD100&lt;=0,0,AD100)</f>
        <v/>
      </c>
      <c r="AM100">
        <f>AL100-AK100+P100</f>
        <v/>
      </c>
      <c r="AN100">
        <f>((AM100/$B$7+T99*AS99/2-T100*MAX(0.1,MIN(0.3,0.3-0.09*(AR99-36.8)))/2)+AR99*(1-AS99/2))/(1-MAX(0.1,MIN(0.3,0.3-0.09*(AR99-36.8)))/2)</f>
        <v/>
      </c>
      <c r="AO100">
        <f>((AM100/$B$7+T99*AS99/2-T100*MAX(0.1,MIN(0.3,0.3-0.09*(AN100-36.8)))/2)+AR99*(1-AS99/2))/(1-MAX(0.1,MIN(0.3,0.3-0.09*(AN100-36.8)))/2)</f>
        <v/>
      </c>
      <c r="AP100">
        <f>((AM100/$B$7+T99*AS99/2-T100*MAX(0.1,MIN(0.3,0.3-0.09*(AO100-36.8)))/2)+AR99*(1-AS99/2))/(1-MAX(0.1,MIN(0.3,0.3-0.09*(AO100-36.8)))/2)</f>
        <v/>
      </c>
      <c r="AQ100">
        <f>((AM100/$B$7+T99*AS99/2-T100*MAX(0.1,MIN(0.3,0.3-0.09*(AP100-36.8)))/2)+AR99*(1-AS99/2))/(1-MAX(0.1,MIN(0.3,0.3-0.09*(AP100-36.8)))/2)</f>
        <v/>
      </c>
      <c r="AR100">
        <f>((AM100/$B$7+T99*AS99/2-T100*MAX(0.1,MIN(0.3,0.3-0.09*(AQ100-36.8)))/2)+AR99*(1-AS99/2))/(1-MAX(0.1,MIN(0.3,0.3-0.09*(AQ100-36.8)))/2)</f>
        <v/>
      </c>
      <c r="AS100">
        <f>MAX(0.1,MIN(0.3,0.3-0.09*(AR100-36.8)))</f>
        <v/>
      </c>
      <c r="AT100">
        <f>AT99+(2*AR100-1.962*AT99-1.31)/9</f>
        <v/>
      </c>
      <c r="AU100">
        <f>AU99+AG100+K100</f>
        <v/>
      </c>
      <c r="AV100">
        <f>AU100*2.67*$B$6/1.8/60</f>
        <v/>
      </c>
      <c r="AW100">
        <f>IF(AT100&gt;=$B$36,1,0)</f>
        <v/>
      </c>
      <c r="AX100">
        <f>IF(AV100&gt;=$B$21,1,0)</f>
        <v/>
      </c>
    </row>
    <row r="101">
      <c r="A101" t="n">
        <v>28</v>
      </c>
      <c r="B101">
        <f>MATCH(A101-1,$D$61:$D$68,1)</f>
        <v/>
      </c>
      <c r="C101">
        <f>INDEX($G$61:$G$68,B101)</f>
        <v/>
      </c>
      <c r="D101">
        <f>INDEX($L$61:$L$68,B101)</f>
        <v/>
      </c>
      <c r="E101">
        <f>INDEX($M$61:$M$68,B101)</f>
        <v/>
      </c>
      <c r="F101">
        <f>INDEX($N$61:$N$68,B101)</f>
        <v/>
      </c>
      <c r="G101">
        <f>INDEX($AA$61:$AA$68,B101)</f>
        <v/>
      </c>
      <c r="H101">
        <f>INDEX($X$61:$X$68,B101)</f>
        <v/>
      </c>
      <c r="I101">
        <f>INDEX($AF$61:$AF$68,B101)</f>
        <v/>
      </c>
      <c r="J101">
        <f>INDEX($AC$61:$AC$68,B101)</f>
        <v/>
      </c>
      <c r="K101">
        <f>INDEX($AD$61:$AD$68,B101)</f>
        <v/>
      </c>
      <c r="L101">
        <f>INDEX($AG$61:$AG$68,B101)</f>
        <v/>
      </c>
      <c r="M101">
        <f>INDEX($AH$61:$AH$68,B101)</f>
        <v/>
      </c>
      <c r="N101">
        <f>INDEX($AI$61:$AI$68,B101)</f>
        <v/>
      </c>
      <c r="O101">
        <f>O100*$B$26+L101*(1-$B$26)</f>
        <v/>
      </c>
      <c r="P101">
        <f>$B$7*(O101-O100)*(1-AS100)</f>
        <v/>
      </c>
      <c r="Q101">
        <f>M101+0.51274*AT100</f>
        <v/>
      </c>
      <c r="R101">
        <f>N101+0.616*AT100</f>
        <v/>
      </c>
      <c r="S101">
        <f>IF($B$13&gt;=0.6,Q101,IF($B$13&lt;=0.2,R101,R101+2.5*(Q101-R101)*($B$13-0.2)))</f>
        <v/>
      </c>
      <c r="T101">
        <f>IF(A101=1,S101,T100*$B$27+S101*(1-$B$27))</f>
        <v/>
      </c>
      <c r="U101">
        <f>0.6105*EXP(17.27*T101/(T101+237.3))</f>
        <v/>
      </c>
      <c r="V101">
        <f>($B$14*(I101*C101+IF(ABS((D101+0.1)-D101)&lt;0.000000001,4*$B$19*$B$20*(D101+273)^3,$B$19*$B$20*(((D101+0.1)+273)^4-(D101+273)^4)/((D101+0.1)-D101))*D101)+T101/H101)/($B$14*(I101+IF(ABS((D101+0.1)-D101)&lt;0.000000001,4*$B$19*$B$20*(D101+273)^3,$B$19*$B$20*(((D101+0.1)+273)^4-(D101+273)^4)/((D101+0.1)-D101)))+1/H101)</f>
        <v/>
      </c>
      <c r="W101">
        <f>($B$14*(I101*C101+IF(ABS(V101-D101)&lt;0.000000001,4*$B$19*$B$20*(D101+273)^3,$B$19*$B$20*((V101+273)^4-(D101+273)^4)/(V101-D101))*D101)+T101/H101)/($B$14*(I101+IF(ABS(V101-D101)&lt;0.000000001,4*$B$19*$B$20*(D101+273)^3,$B$19*$B$20*((V101+273)^4-(D101+273)^4)/(V101-D101)))+1/H101)</f>
        <v/>
      </c>
      <c r="X101">
        <f>($B$14*(I101*C101+IF(ABS(W101-D101)&lt;0.000000001,4*$B$19*$B$20*(D101+273)^3,$B$19*$B$20*((W101+273)^4-(D101+273)^4)/(W101-D101))*D101)+T101/H101)/($B$14*(I101+IF(ABS(W101-D101)&lt;0.000000001,4*$B$19*$B$20*(D101+273)^3,$B$19*$B$20*((W101+273)^4-(D101+273)^4)/(W101-D101)))+1/H101)</f>
        <v/>
      </c>
      <c r="Y101">
        <f>($B$14*(I101*C101+IF(ABS(X101-D101)&lt;0.000000001,4*$B$19*$B$20*(D101+273)^3,$B$19*$B$20*((X101+273)^4-(D101+273)^4)/(X101-D101))*D101)+T101/H101)/($B$14*(I101+IF(ABS(X101-D101)&lt;0.000000001,4*$B$19*$B$20*(D101+273)^3,$B$19*$B$20*((X101+273)^4-(D101+273)^4)/(X101-D101)))+1/H101)</f>
        <v/>
      </c>
      <c r="Z101">
        <f>IF(ABS(Y101-D101)&lt;0.000000001,4*$B$19*$B$20*(D101+273)^3,$B$19*$B$20*((Y101+273)^4-(D101+273)^4)/(Y101-D101))</f>
        <v/>
      </c>
      <c r="AA101">
        <f>$B$14*I101*(Y101-C101)</f>
        <v/>
      </c>
      <c r="AB101">
        <f>$B$14*Z101*(Y101-D101)</f>
        <v/>
      </c>
      <c r="AC101">
        <f>IF((U101-E101)/G101=0,0.001,(U101-E101)/G101)</f>
        <v/>
      </c>
      <c r="AD101">
        <f>F101-P101-J101-K101-AA101-AB101</f>
        <v/>
      </c>
      <c r="AE101">
        <f>AD101/AC101</f>
        <v/>
      </c>
      <c r="AF101">
        <f>IF(AD101&lt;=0,0,IF(AC101&lt;=0,$B$11,IF(AE101&gt;=1.7,$B$11,MIN(AD101/MAX(0.05,IF(AE101&gt;1,(2-AE101)^2/2,1-AE101^2/2)),$B$11))))</f>
        <v/>
      </c>
      <c r="AG101">
        <f>AG100*$B$28+AF101*(1-$B$28)</f>
        <v/>
      </c>
      <c r="AH101">
        <f>IF(AND(AD101&gt;0,AC101&lt;=0),0,AC101)</f>
        <v/>
      </c>
      <c r="AI101">
        <f>AH101/MAX(AG101,0.000001)</f>
        <v/>
      </c>
      <c r="AJ101">
        <f>MIN(IF(AI101&gt;=0.5,-AI101+SQRT(AI101^2+2),1),$B$12)</f>
        <v/>
      </c>
      <c r="AK101">
        <f>IF(AG101&lt;=0,0,AJ101*AH101)</f>
        <v/>
      </c>
      <c r="AL101">
        <f>IF(AD101&lt;=0,0,AD101)</f>
        <v/>
      </c>
      <c r="AM101">
        <f>AL101-AK101+P101</f>
        <v/>
      </c>
      <c r="AN101">
        <f>((AM101/$B$7+T100*AS100/2-T101*MAX(0.1,MIN(0.3,0.3-0.09*(AR100-36.8)))/2)+AR100*(1-AS100/2))/(1-MAX(0.1,MIN(0.3,0.3-0.09*(AR100-36.8)))/2)</f>
        <v/>
      </c>
      <c r="AO101">
        <f>((AM101/$B$7+T100*AS100/2-T101*MAX(0.1,MIN(0.3,0.3-0.09*(AN101-36.8)))/2)+AR100*(1-AS100/2))/(1-MAX(0.1,MIN(0.3,0.3-0.09*(AN101-36.8)))/2)</f>
        <v/>
      </c>
      <c r="AP101">
        <f>((AM101/$B$7+T100*AS100/2-T101*MAX(0.1,MIN(0.3,0.3-0.09*(AO101-36.8)))/2)+AR100*(1-AS100/2))/(1-MAX(0.1,MIN(0.3,0.3-0.09*(AO101-36.8)))/2)</f>
        <v/>
      </c>
      <c r="AQ101">
        <f>((AM101/$B$7+T100*AS100/2-T101*MAX(0.1,MIN(0.3,0.3-0.09*(AP101-36.8)))/2)+AR100*(1-AS100/2))/(1-MAX(0.1,MIN(0.3,0.3-0.09*(AP101-36.8)))/2)</f>
        <v/>
      </c>
      <c r="AR101">
        <f>((AM101/$B$7+T100*AS100/2-T101*MAX(0.1,MIN(0.3,0.3-0.09*(AQ101-36.8)))/2)+AR100*(1-AS100/2))/(1-MAX(0.1,MIN(0.3,0.3-0.09*(AQ101-36.8)))/2)</f>
        <v/>
      </c>
      <c r="AS101">
        <f>MAX(0.1,MIN(0.3,0.3-0.09*(AR101-36.8)))</f>
        <v/>
      </c>
      <c r="AT101">
        <f>AT100+(2*AR101-1.962*AT100-1.31)/9</f>
        <v/>
      </c>
      <c r="AU101">
        <f>AU100+AG101+K101</f>
        <v/>
      </c>
      <c r="AV101">
        <f>AU101*2.67*$B$6/1.8/60</f>
        <v/>
      </c>
      <c r="AW101">
        <f>IF(AT101&gt;=$B$36,1,0)</f>
        <v/>
      </c>
      <c r="AX101">
        <f>IF(AV101&gt;=$B$21,1,0)</f>
        <v/>
      </c>
    </row>
    <row r="102">
      <c r="A102" t="n">
        <v>29</v>
      </c>
      <c r="B102">
        <f>MATCH(A102-1,$D$61:$D$68,1)</f>
        <v/>
      </c>
      <c r="C102">
        <f>INDEX($G$61:$G$68,B102)</f>
        <v/>
      </c>
      <c r="D102">
        <f>INDEX($L$61:$L$68,B102)</f>
        <v/>
      </c>
      <c r="E102">
        <f>INDEX($M$61:$M$68,B102)</f>
        <v/>
      </c>
      <c r="F102">
        <f>INDEX($N$61:$N$68,B102)</f>
        <v/>
      </c>
      <c r="G102">
        <f>INDEX($AA$61:$AA$68,B102)</f>
        <v/>
      </c>
      <c r="H102">
        <f>INDEX($X$61:$X$68,B102)</f>
        <v/>
      </c>
      <c r="I102">
        <f>INDEX($AF$61:$AF$68,B102)</f>
        <v/>
      </c>
      <c r="J102">
        <f>INDEX($AC$61:$AC$68,B102)</f>
        <v/>
      </c>
      <c r="K102">
        <f>INDEX($AD$61:$AD$68,B102)</f>
        <v/>
      </c>
      <c r="L102">
        <f>INDEX($AG$61:$AG$68,B102)</f>
        <v/>
      </c>
      <c r="M102">
        <f>INDEX($AH$61:$AH$68,B102)</f>
        <v/>
      </c>
      <c r="N102">
        <f>INDEX($AI$61:$AI$68,B102)</f>
        <v/>
      </c>
      <c r="O102">
        <f>O101*$B$26+L102*(1-$B$26)</f>
        <v/>
      </c>
      <c r="P102">
        <f>$B$7*(O102-O101)*(1-AS101)</f>
        <v/>
      </c>
      <c r="Q102">
        <f>M102+0.51274*AT101</f>
        <v/>
      </c>
      <c r="R102">
        <f>N102+0.616*AT101</f>
        <v/>
      </c>
      <c r="S102">
        <f>IF($B$13&gt;=0.6,Q102,IF($B$13&lt;=0.2,R102,R102+2.5*(Q102-R102)*($B$13-0.2)))</f>
        <v/>
      </c>
      <c r="T102">
        <f>IF(A102=1,S102,T101*$B$27+S102*(1-$B$27))</f>
        <v/>
      </c>
      <c r="U102">
        <f>0.6105*EXP(17.27*T102/(T102+237.3))</f>
        <v/>
      </c>
      <c r="V102">
        <f>($B$14*(I102*C102+IF(ABS((D102+0.1)-D102)&lt;0.000000001,4*$B$19*$B$20*(D102+273)^3,$B$19*$B$20*(((D102+0.1)+273)^4-(D102+273)^4)/((D102+0.1)-D102))*D102)+T102/H102)/($B$14*(I102+IF(ABS((D102+0.1)-D102)&lt;0.000000001,4*$B$19*$B$20*(D102+273)^3,$B$19*$B$20*(((D102+0.1)+273)^4-(D102+273)^4)/((D102+0.1)-D102)))+1/H102)</f>
        <v/>
      </c>
      <c r="W102">
        <f>($B$14*(I102*C102+IF(ABS(V102-D102)&lt;0.000000001,4*$B$19*$B$20*(D102+273)^3,$B$19*$B$20*((V102+273)^4-(D102+273)^4)/(V102-D102))*D102)+T102/H102)/($B$14*(I102+IF(ABS(V102-D102)&lt;0.000000001,4*$B$19*$B$20*(D102+273)^3,$B$19*$B$20*((V102+273)^4-(D102+273)^4)/(V102-D102)))+1/H102)</f>
        <v/>
      </c>
      <c r="X102">
        <f>($B$14*(I102*C102+IF(ABS(W102-D102)&lt;0.000000001,4*$B$19*$B$20*(D102+273)^3,$B$19*$B$20*((W102+273)^4-(D102+273)^4)/(W102-D102))*D102)+T102/H102)/($B$14*(I102+IF(ABS(W102-D102)&lt;0.000000001,4*$B$19*$B$20*(D102+273)^3,$B$19*$B$20*((W102+273)^4-(D102+273)^4)/(W102-D102)))+1/H102)</f>
        <v/>
      </c>
      <c r="Y102">
        <f>($B$14*(I102*C102+IF(ABS(X102-D102)&lt;0.000000001,4*$B$19*$B$20*(D102+273)^3,$B$19*$B$20*((X102+273)^4-(D102+273)^4)/(X102-D102))*D102)+T102/H102)/($B$14*(I102+IF(ABS(X102-D102)&lt;0.000000001,4*$B$19*$B$20*(D102+273)^3,$B$19*$B$20*((X102+273)^4-(D102+273)^4)/(X102-D102)))+1/H102)</f>
        <v/>
      </c>
      <c r="Z102">
        <f>IF(ABS(Y102-D102)&lt;0.000000001,4*$B$19*$B$20*(D102+273)^3,$B$19*$B$20*((Y102+273)^4-(D102+273)^4)/(Y102-D102))</f>
        <v/>
      </c>
      <c r="AA102">
        <f>$B$14*I102*(Y102-C102)</f>
        <v/>
      </c>
      <c r="AB102">
        <f>$B$14*Z102*(Y102-D102)</f>
        <v/>
      </c>
      <c r="AC102">
        <f>IF((U102-E102)/G102=0,0.001,(U102-E102)/G102)</f>
        <v/>
      </c>
      <c r="AD102">
        <f>F102-P102-J102-K102-AA102-AB102</f>
        <v/>
      </c>
      <c r="AE102">
        <f>AD102/AC102</f>
        <v/>
      </c>
      <c r="AF102">
        <f>IF(AD102&lt;=0,0,IF(AC102&lt;=0,$B$11,IF(AE102&gt;=1.7,$B$11,MIN(AD102/MAX(0.05,IF(AE102&gt;1,(2-AE102)^2/2,1-AE102^2/2)),$B$11))))</f>
        <v/>
      </c>
      <c r="AG102">
        <f>AG101*$B$28+AF102*(1-$B$28)</f>
        <v/>
      </c>
      <c r="AH102">
        <f>IF(AND(AD102&gt;0,AC102&lt;=0),0,AC102)</f>
        <v/>
      </c>
      <c r="AI102">
        <f>AH102/MAX(AG102,0.000001)</f>
        <v/>
      </c>
      <c r="AJ102">
        <f>MIN(IF(AI102&gt;=0.5,-AI102+SQRT(AI102^2+2),1),$B$12)</f>
        <v/>
      </c>
      <c r="AK102">
        <f>IF(AG102&lt;=0,0,AJ102*AH102)</f>
        <v/>
      </c>
      <c r="AL102">
        <f>IF(AD102&lt;=0,0,AD102)</f>
        <v/>
      </c>
      <c r="AM102">
        <f>AL102-AK102+P102</f>
        <v/>
      </c>
      <c r="AN102">
        <f>((AM102/$B$7+T101*AS101/2-T102*MAX(0.1,MIN(0.3,0.3-0.09*(AR101-36.8)))/2)+AR101*(1-AS101/2))/(1-MAX(0.1,MIN(0.3,0.3-0.09*(AR101-36.8)))/2)</f>
        <v/>
      </c>
      <c r="AO102">
        <f>((AM102/$B$7+T101*AS101/2-T102*MAX(0.1,MIN(0.3,0.3-0.09*(AN102-36.8)))/2)+AR101*(1-AS101/2))/(1-MAX(0.1,MIN(0.3,0.3-0.09*(AN102-36.8)))/2)</f>
        <v/>
      </c>
      <c r="AP102">
        <f>((AM102/$B$7+T101*AS101/2-T102*MAX(0.1,MIN(0.3,0.3-0.09*(AO102-36.8)))/2)+AR101*(1-AS101/2))/(1-MAX(0.1,MIN(0.3,0.3-0.09*(AO102-36.8)))/2)</f>
        <v/>
      </c>
      <c r="AQ102">
        <f>((AM102/$B$7+T101*AS101/2-T102*MAX(0.1,MIN(0.3,0.3-0.09*(AP102-36.8)))/2)+AR101*(1-AS101/2))/(1-MAX(0.1,MIN(0.3,0.3-0.09*(AP102-36.8)))/2)</f>
        <v/>
      </c>
      <c r="AR102">
        <f>((AM102/$B$7+T101*AS101/2-T102*MAX(0.1,MIN(0.3,0.3-0.09*(AQ102-36.8)))/2)+AR101*(1-AS101/2))/(1-MAX(0.1,MIN(0.3,0.3-0.09*(AQ102-36.8)))/2)</f>
        <v/>
      </c>
      <c r="AS102">
        <f>MAX(0.1,MIN(0.3,0.3-0.09*(AR102-36.8)))</f>
        <v/>
      </c>
      <c r="AT102">
        <f>AT101+(2*AR102-1.962*AT101-1.31)/9</f>
        <v/>
      </c>
      <c r="AU102">
        <f>AU101+AG102+K102</f>
        <v/>
      </c>
      <c r="AV102">
        <f>AU102*2.67*$B$6/1.8/60</f>
        <v/>
      </c>
      <c r="AW102">
        <f>IF(AT102&gt;=$B$36,1,0)</f>
        <v/>
      </c>
      <c r="AX102">
        <f>IF(AV102&gt;=$B$21,1,0)</f>
        <v/>
      </c>
    </row>
    <row r="103">
      <c r="A103" t="n">
        <v>30</v>
      </c>
      <c r="B103">
        <f>MATCH(A103-1,$D$61:$D$68,1)</f>
        <v/>
      </c>
      <c r="C103">
        <f>INDEX($G$61:$G$68,B103)</f>
        <v/>
      </c>
      <c r="D103">
        <f>INDEX($L$61:$L$68,B103)</f>
        <v/>
      </c>
      <c r="E103">
        <f>INDEX($M$61:$M$68,B103)</f>
        <v/>
      </c>
      <c r="F103">
        <f>INDEX($N$61:$N$68,B103)</f>
        <v/>
      </c>
      <c r="G103">
        <f>INDEX($AA$61:$AA$68,B103)</f>
        <v/>
      </c>
      <c r="H103">
        <f>INDEX($X$61:$X$68,B103)</f>
        <v/>
      </c>
      <c r="I103">
        <f>INDEX($AF$61:$AF$68,B103)</f>
        <v/>
      </c>
      <c r="J103">
        <f>INDEX($AC$61:$AC$68,B103)</f>
        <v/>
      </c>
      <c r="K103">
        <f>INDEX($AD$61:$AD$68,B103)</f>
        <v/>
      </c>
      <c r="L103">
        <f>INDEX($AG$61:$AG$68,B103)</f>
        <v/>
      </c>
      <c r="M103">
        <f>INDEX($AH$61:$AH$68,B103)</f>
        <v/>
      </c>
      <c r="N103">
        <f>INDEX($AI$61:$AI$68,B103)</f>
        <v/>
      </c>
      <c r="O103">
        <f>O102*$B$26+L103*(1-$B$26)</f>
        <v/>
      </c>
      <c r="P103">
        <f>$B$7*(O103-O102)*(1-AS102)</f>
        <v/>
      </c>
      <c r="Q103">
        <f>M103+0.51274*AT102</f>
        <v/>
      </c>
      <c r="R103">
        <f>N103+0.616*AT102</f>
        <v/>
      </c>
      <c r="S103">
        <f>IF($B$13&gt;=0.6,Q103,IF($B$13&lt;=0.2,R103,R103+2.5*(Q103-R103)*($B$13-0.2)))</f>
        <v/>
      </c>
      <c r="T103">
        <f>IF(A103=1,S103,T102*$B$27+S103*(1-$B$27))</f>
        <v/>
      </c>
      <c r="U103">
        <f>0.6105*EXP(17.27*T103/(T103+237.3))</f>
        <v/>
      </c>
      <c r="V103">
        <f>($B$14*(I103*C103+IF(ABS((D103+0.1)-D103)&lt;0.000000001,4*$B$19*$B$20*(D103+273)^3,$B$19*$B$20*(((D103+0.1)+273)^4-(D103+273)^4)/((D103+0.1)-D103))*D103)+T103/H103)/($B$14*(I103+IF(ABS((D103+0.1)-D103)&lt;0.000000001,4*$B$19*$B$20*(D103+273)^3,$B$19*$B$20*(((D103+0.1)+273)^4-(D103+273)^4)/((D103+0.1)-D103)))+1/H103)</f>
        <v/>
      </c>
      <c r="W103">
        <f>($B$14*(I103*C103+IF(ABS(V103-D103)&lt;0.000000001,4*$B$19*$B$20*(D103+273)^3,$B$19*$B$20*((V103+273)^4-(D103+273)^4)/(V103-D103))*D103)+T103/H103)/($B$14*(I103+IF(ABS(V103-D103)&lt;0.000000001,4*$B$19*$B$20*(D103+273)^3,$B$19*$B$20*((V103+273)^4-(D103+273)^4)/(V103-D103)))+1/H103)</f>
        <v/>
      </c>
      <c r="X103">
        <f>($B$14*(I103*C103+IF(ABS(W103-D103)&lt;0.000000001,4*$B$19*$B$20*(D103+273)^3,$B$19*$B$20*((W103+273)^4-(D103+273)^4)/(W103-D103))*D103)+T103/H103)/($B$14*(I103+IF(ABS(W103-D103)&lt;0.000000001,4*$B$19*$B$20*(D103+273)^3,$B$19*$B$20*((W103+273)^4-(D103+273)^4)/(W103-D103)))+1/H103)</f>
        <v/>
      </c>
      <c r="Y103">
        <f>($B$14*(I103*C103+IF(ABS(X103-D103)&lt;0.000000001,4*$B$19*$B$20*(D103+273)^3,$B$19*$B$20*((X103+273)^4-(D103+273)^4)/(X103-D103))*D103)+T103/H103)/($B$14*(I103+IF(ABS(X103-D103)&lt;0.000000001,4*$B$19*$B$20*(D103+273)^3,$B$19*$B$20*((X103+273)^4-(D103+273)^4)/(X103-D103)))+1/H103)</f>
        <v/>
      </c>
      <c r="Z103">
        <f>IF(ABS(Y103-D103)&lt;0.000000001,4*$B$19*$B$20*(D103+273)^3,$B$19*$B$20*((Y103+273)^4-(D103+273)^4)/(Y103-D103))</f>
        <v/>
      </c>
      <c r="AA103">
        <f>$B$14*I103*(Y103-C103)</f>
        <v/>
      </c>
      <c r="AB103">
        <f>$B$14*Z103*(Y103-D103)</f>
        <v/>
      </c>
      <c r="AC103">
        <f>IF((U103-E103)/G103=0,0.001,(U103-E103)/G103)</f>
        <v/>
      </c>
      <c r="AD103">
        <f>F103-P103-J103-K103-AA103-AB103</f>
        <v/>
      </c>
      <c r="AE103">
        <f>AD103/AC103</f>
        <v/>
      </c>
      <c r="AF103">
        <f>IF(AD103&lt;=0,0,IF(AC103&lt;=0,$B$11,IF(AE103&gt;=1.7,$B$11,MIN(AD103/MAX(0.05,IF(AE103&gt;1,(2-AE103)^2/2,1-AE103^2/2)),$B$11))))</f>
        <v/>
      </c>
      <c r="AG103">
        <f>AG102*$B$28+AF103*(1-$B$28)</f>
        <v/>
      </c>
      <c r="AH103">
        <f>IF(AND(AD103&gt;0,AC103&lt;=0),0,AC103)</f>
        <v/>
      </c>
      <c r="AI103">
        <f>AH103/MAX(AG103,0.000001)</f>
        <v/>
      </c>
      <c r="AJ103">
        <f>MIN(IF(AI103&gt;=0.5,-AI103+SQRT(AI103^2+2),1),$B$12)</f>
        <v/>
      </c>
      <c r="AK103">
        <f>IF(AG103&lt;=0,0,AJ103*AH103)</f>
        <v/>
      </c>
      <c r="AL103">
        <f>IF(AD103&lt;=0,0,AD103)</f>
        <v/>
      </c>
      <c r="AM103">
        <f>AL103-AK103+P103</f>
        <v/>
      </c>
      <c r="AN103">
        <f>((AM103/$B$7+T102*AS102/2-T103*MAX(0.1,MIN(0.3,0.3-0.09*(AR102-36.8)))/2)+AR102*(1-AS102/2))/(1-MAX(0.1,MIN(0.3,0.3-0.09*(AR102-36.8)))/2)</f>
        <v/>
      </c>
      <c r="AO103">
        <f>((AM103/$B$7+T102*AS102/2-T103*MAX(0.1,MIN(0.3,0.3-0.09*(AN103-36.8)))/2)+AR102*(1-AS102/2))/(1-MAX(0.1,MIN(0.3,0.3-0.09*(AN103-36.8)))/2)</f>
        <v/>
      </c>
      <c r="AP103">
        <f>((AM103/$B$7+T102*AS102/2-T103*MAX(0.1,MIN(0.3,0.3-0.09*(AO103-36.8)))/2)+AR102*(1-AS102/2))/(1-MAX(0.1,MIN(0.3,0.3-0.09*(AO103-36.8)))/2)</f>
        <v/>
      </c>
      <c r="AQ103">
        <f>((AM103/$B$7+T102*AS102/2-T103*MAX(0.1,MIN(0.3,0.3-0.09*(AP103-36.8)))/2)+AR102*(1-AS102/2))/(1-MAX(0.1,MIN(0.3,0.3-0.09*(AP103-36.8)))/2)</f>
        <v/>
      </c>
      <c r="AR103">
        <f>((AM103/$B$7+T102*AS102/2-T103*MAX(0.1,MIN(0.3,0.3-0.09*(AQ103-36.8)))/2)+AR102*(1-AS102/2))/(1-MAX(0.1,MIN(0.3,0.3-0.09*(AQ103-36.8)))/2)</f>
        <v/>
      </c>
      <c r="AS103">
        <f>MAX(0.1,MIN(0.3,0.3-0.09*(AR103-36.8)))</f>
        <v/>
      </c>
      <c r="AT103">
        <f>AT102+(2*AR103-1.962*AT102-1.31)/9</f>
        <v/>
      </c>
      <c r="AU103">
        <f>AU102+AG103+K103</f>
        <v/>
      </c>
      <c r="AV103">
        <f>AU103*2.67*$B$6/1.8/60</f>
        <v/>
      </c>
      <c r="AW103">
        <f>IF(AT103&gt;=$B$36,1,0)</f>
        <v/>
      </c>
      <c r="AX103">
        <f>IF(AV103&gt;=$B$21,1,0)</f>
        <v/>
      </c>
    </row>
    <row r="104">
      <c r="A104" t="n">
        <v>31</v>
      </c>
      <c r="B104">
        <f>MATCH(A104-1,$D$61:$D$68,1)</f>
        <v/>
      </c>
      <c r="C104">
        <f>INDEX($G$61:$G$68,B104)</f>
        <v/>
      </c>
      <c r="D104">
        <f>INDEX($L$61:$L$68,B104)</f>
        <v/>
      </c>
      <c r="E104">
        <f>INDEX($M$61:$M$68,B104)</f>
        <v/>
      </c>
      <c r="F104">
        <f>INDEX($N$61:$N$68,B104)</f>
        <v/>
      </c>
      <c r="G104">
        <f>INDEX($AA$61:$AA$68,B104)</f>
        <v/>
      </c>
      <c r="H104">
        <f>INDEX($X$61:$X$68,B104)</f>
        <v/>
      </c>
      <c r="I104">
        <f>INDEX($AF$61:$AF$68,B104)</f>
        <v/>
      </c>
      <c r="J104">
        <f>INDEX($AC$61:$AC$68,B104)</f>
        <v/>
      </c>
      <c r="K104">
        <f>INDEX($AD$61:$AD$68,B104)</f>
        <v/>
      </c>
      <c r="L104">
        <f>INDEX($AG$61:$AG$68,B104)</f>
        <v/>
      </c>
      <c r="M104">
        <f>INDEX($AH$61:$AH$68,B104)</f>
        <v/>
      </c>
      <c r="N104">
        <f>INDEX($AI$61:$AI$68,B104)</f>
        <v/>
      </c>
      <c r="O104">
        <f>O103*$B$26+L104*(1-$B$26)</f>
        <v/>
      </c>
      <c r="P104">
        <f>$B$7*(O104-O103)*(1-AS103)</f>
        <v/>
      </c>
      <c r="Q104">
        <f>M104+0.51274*AT103</f>
        <v/>
      </c>
      <c r="R104">
        <f>N104+0.616*AT103</f>
        <v/>
      </c>
      <c r="S104">
        <f>IF($B$13&gt;=0.6,Q104,IF($B$13&lt;=0.2,R104,R104+2.5*(Q104-R104)*($B$13-0.2)))</f>
        <v/>
      </c>
      <c r="T104">
        <f>IF(A104=1,S104,T103*$B$27+S104*(1-$B$27))</f>
        <v/>
      </c>
      <c r="U104">
        <f>0.6105*EXP(17.27*T104/(T104+237.3))</f>
        <v/>
      </c>
      <c r="V104">
        <f>($B$14*(I104*C104+IF(ABS((D104+0.1)-D104)&lt;0.000000001,4*$B$19*$B$20*(D104+273)^3,$B$19*$B$20*(((D104+0.1)+273)^4-(D104+273)^4)/((D104+0.1)-D104))*D104)+T104/H104)/($B$14*(I104+IF(ABS((D104+0.1)-D104)&lt;0.000000001,4*$B$19*$B$20*(D104+273)^3,$B$19*$B$20*(((D104+0.1)+273)^4-(D104+273)^4)/((D104+0.1)-D104)))+1/H104)</f>
        <v/>
      </c>
      <c r="W104">
        <f>($B$14*(I104*C104+IF(ABS(V104-D104)&lt;0.000000001,4*$B$19*$B$20*(D104+273)^3,$B$19*$B$20*((V104+273)^4-(D104+273)^4)/(V104-D104))*D104)+T104/H104)/($B$14*(I104+IF(ABS(V104-D104)&lt;0.000000001,4*$B$19*$B$20*(D104+273)^3,$B$19*$B$20*((V104+273)^4-(D104+273)^4)/(V104-D104)))+1/H104)</f>
        <v/>
      </c>
      <c r="X104">
        <f>($B$14*(I104*C104+IF(ABS(W104-D104)&lt;0.000000001,4*$B$19*$B$20*(D104+273)^3,$B$19*$B$20*((W104+273)^4-(D104+273)^4)/(W104-D104))*D104)+T104/H104)/($B$14*(I104+IF(ABS(W104-D104)&lt;0.000000001,4*$B$19*$B$20*(D104+273)^3,$B$19*$B$20*((W104+273)^4-(D104+273)^4)/(W104-D104)))+1/H104)</f>
        <v/>
      </c>
      <c r="Y104">
        <f>($B$14*(I104*C104+IF(ABS(X104-D104)&lt;0.000000001,4*$B$19*$B$20*(D104+273)^3,$B$19*$B$20*((X104+273)^4-(D104+273)^4)/(X104-D104))*D104)+T104/H104)/($B$14*(I104+IF(ABS(X104-D104)&lt;0.000000001,4*$B$19*$B$20*(D104+273)^3,$B$19*$B$20*((X104+273)^4-(D104+273)^4)/(X104-D104)))+1/H104)</f>
        <v/>
      </c>
      <c r="Z104">
        <f>IF(ABS(Y104-D104)&lt;0.000000001,4*$B$19*$B$20*(D104+273)^3,$B$19*$B$20*((Y104+273)^4-(D104+273)^4)/(Y104-D104))</f>
        <v/>
      </c>
      <c r="AA104">
        <f>$B$14*I104*(Y104-C104)</f>
        <v/>
      </c>
      <c r="AB104">
        <f>$B$14*Z104*(Y104-D104)</f>
        <v/>
      </c>
      <c r="AC104">
        <f>IF((U104-E104)/G104=0,0.001,(U104-E104)/G104)</f>
        <v/>
      </c>
      <c r="AD104">
        <f>F104-P104-J104-K104-AA104-AB104</f>
        <v/>
      </c>
      <c r="AE104">
        <f>AD104/AC104</f>
        <v/>
      </c>
      <c r="AF104">
        <f>IF(AD104&lt;=0,0,IF(AC104&lt;=0,$B$11,IF(AE104&gt;=1.7,$B$11,MIN(AD104/MAX(0.05,IF(AE104&gt;1,(2-AE104)^2/2,1-AE104^2/2)),$B$11))))</f>
        <v/>
      </c>
      <c r="AG104">
        <f>AG103*$B$28+AF104*(1-$B$28)</f>
        <v/>
      </c>
      <c r="AH104">
        <f>IF(AND(AD104&gt;0,AC104&lt;=0),0,AC104)</f>
        <v/>
      </c>
      <c r="AI104">
        <f>AH104/MAX(AG104,0.000001)</f>
        <v/>
      </c>
      <c r="AJ104">
        <f>MIN(IF(AI104&gt;=0.5,-AI104+SQRT(AI104^2+2),1),$B$12)</f>
        <v/>
      </c>
      <c r="AK104">
        <f>IF(AG104&lt;=0,0,AJ104*AH104)</f>
        <v/>
      </c>
      <c r="AL104">
        <f>IF(AD104&lt;=0,0,AD104)</f>
        <v/>
      </c>
      <c r="AM104">
        <f>AL104-AK104+P104</f>
        <v/>
      </c>
      <c r="AN104">
        <f>((AM104/$B$7+T103*AS103/2-T104*MAX(0.1,MIN(0.3,0.3-0.09*(AR103-36.8)))/2)+AR103*(1-AS103/2))/(1-MAX(0.1,MIN(0.3,0.3-0.09*(AR103-36.8)))/2)</f>
        <v/>
      </c>
      <c r="AO104">
        <f>((AM104/$B$7+T103*AS103/2-T104*MAX(0.1,MIN(0.3,0.3-0.09*(AN104-36.8)))/2)+AR103*(1-AS103/2))/(1-MAX(0.1,MIN(0.3,0.3-0.09*(AN104-36.8)))/2)</f>
        <v/>
      </c>
      <c r="AP104">
        <f>((AM104/$B$7+T103*AS103/2-T104*MAX(0.1,MIN(0.3,0.3-0.09*(AO104-36.8)))/2)+AR103*(1-AS103/2))/(1-MAX(0.1,MIN(0.3,0.3-0.09*(AO104-36.8)))/2)</f>
        <v/>
      </c>
      <c r="AQ104">
        <f>((AM104/$B$7+T103*AS103/2-T104*MAX(0.1,MIN(0.3,0.3-0.09*(AP104-36.8)))/2)+AR103*(1-AS103/2))/(1-MAX(0.1,MIN(0.3,0.3-0.09*(AP104-36.8)))/2)</f>
        <v/>
      </c>
      <c r="AR104">
        <f>((AM104/$B$7+T103*AS103/2-T104*MAX(0.1,MIN(0.3,0.3-0.09*(AQ104-36.8)))/2)+AR103*(1-AS103/2))/(1-MAX(0.1,MIN(0.3,0.3-0.09*(AQ104-36.8)))/2)</f>
        <v/>
      </c>
      <c r="AS104">
        <f>MAX(0.1,MIN(0.3,0.3-0.09*(AR104-36.8)))</f>
        <v/>
      </c>
      <c r="AT104">
        <f>AT103+(2*AR104-1.962*AT103-1.31)/9</f>
        <v/>
      </c>
      <c r="AU104">
        <f>AU103+AG104+K104</f>
        <v/>
      </c>
      <c r="AV104">
        <f>AU104*2.67*$B$6/1.8/60</f>
        <v/>
      </c>
      <c r="AW104">
        <f>IF(AT104&gt;=$B$36,1,0)</f>
        <v/>
      </c>
      <c r="AX104">
        <f>IF(AV104&gt;=$B$21,1,0)</f>
        <v/>
      </c>
    </row>
    <row r="105">
      <c r="A105" t="n">
        <v>32</v>
      </c>
      <c r="B105">
        <f>MATCH(A105-1,$D$61:$D$68,1)</f>
        <v/>
      </c>
      <c r="C105">
        <f>INDEX($G$61:$G$68,B105)</f>
        <v/>
      </c>
      <c r="D105">
        <f>INDEX($L$61:$L$68,B105)</f>
        <v/>
      </c>
      <c r="E105">
        <f>INDEX($M$61:$M$68,B105)</f>
        <v/>
      </c>
      <c r="F105">
        <f>INDEX($N$61:$N$68,B105)</f>
        <v/>
      </c>
      <c r="G105">
        <f>INDEX($AA$61:$AA$68,B105)</f>
        <v/>
      </c>
      <c r="H105">
        <f>INDEX($X$61:$X$68,B105)</f>
        <v/>
      </c>
      <c r="I105">
        <f>INDEX($AF$61:$AF$68,B105)</f>
        <v/>
      </c>
      <c r="J105">
        <f>INDEX($AC$61:$AC$68,B105)</f>
        <v/>
      </c>
      <c r="K105">
        <f>INDEX($AD$61:$AD$68,B105)</f>
        <v/>
      </c>
      <c r="L105">
        <f>INDEX($AG$61:$AG$68,B105)</f>
        <v/>
      </c>
      <c r="M105">
        <f>INDEX($AH$61:$AH$68,B105)</f>
        <v/>
      </c>
      <c r="N105">
        <f>INDEX($AI$61:$AI$68,B105)</f>
        <v/>
      </c>
      <c r="O105">
        <f>O104*$B$26+L105*(1-$B$26)</f>
        <v/>
      </c>
      <c r="P105">
        <f>$B$7*(O105-O104)*(1-AS104)</f>
        <v/>
      </c>
      <c r="Q105">
        <f>M105+0.51274*AT104</f>
        <v/>
      </c>
      <c r="R105">
        <f>N105+0.616*AT104</f>
        <v/>
      </c>
      <c r="S105">
        <f>IF($B$13&gt;=0.6,Q105,IF($B$13&lt;=0.2,R105,R105+2.5*(Q105-R105)*($B$13-0.2)))</f>
        <v/>
      </c>
      <c r="T105">
        <f>IF(A105=1,S105,T104*$B$27+S105*(1-$B$27))</f>
        <v/>
      </c>
      <c r="U105">
        <f>0.6105*EXP(17.27*T105/(T105+237.3))</f>
        <v/>
      </c>
      <c r="V105">
        <f>($B$14*(I105*C105+IF(ABS((D105+0.1)-D105)&lt;0.000000001,4*$B$19*$B$20*(D105+273)^3,$B$19*$B$20*(((D105+0.1)+273)^4-(D105+273)^4)/((D105+0.1)-D105))*D105)+T105/H105)/($B$14*(I105+IF(ABS((D105+0.1)-D105)&lt;0.000000001,4*$B$19*$B$20*(D105+273)^3,$B$19*$B$20*(((D105+0.1)+273)^4-(D105+273)^4)/((D105+0.1)-D105)))+1/H105)</f>
        <v/>
      </c>
      <c r="W105">
        <f>($B$14*(I105*C105+IF(ABS(V105-D105)&lt;0.000000001,4*$B$19*$B$20*(D105+273)^3,$B$19*$B$20*((V105+273)^4-(D105+273)^4)/(V105-D105))*D105)+T105/H105)/($B$14*(I105+IF(ABS(V105-D105)&lt;0.000000001,4*$B$19*$B$20*(D105+273)^3,$B$19*$B$20*((V105+273)^4-(D105+273)^4)/(V105-D105)))+1/H105)</f>
        <v/>
      </c>
      <c r="X105">
        <f>($B$14*(I105*C105+IF(ABS(W105-D105)&lt;0.000000001,4*$B$19*$B$20*(D105+273)^3,$B$19*$B$20*((W105+273)^4-(D105+273)^4)/(W105-D105))*D105)+T105/H105)/($B$14*(I105+IF(ABS(W105-D105)&lt;0.000000001,4*$B$19*$B$20*(D105+273)^3,$B$19*$B$20*((W105+273)^4-(D105+273)^4)/(W105-D105)))+1/H105)</f>
        <v/>
      </c>
      <c r="Y105">
        <f>($B$14*(I105*C105+IF(ABS(X105-D105)&lt;0.000000001,4*$B$19*$B$20*(D105+273)^3,$B$19*$B$20*((X105+273)^4-(D105+273)^4)/(X105-D105))*D105)+T105/H105)/($B$14*(I105+IF(ABS(X105-D105)&lt;0.000000001,4*$B$19*$B$20*(D105+273)^3,$B$19*$B$20*((X105+273)^4-(D105+273)^4)/(X105-D105)))+1/H105)</f>
        <v/>
      </c>
      <c r="Z105">
        <f>IF(ABS(Y105-D105)&lt;0.000000001,4*$B$19*$B$20*(D105+273)^3,$B$19*$B$20*((Y105+273)^4-(D105+273)^4)/(Y105-D105))</f>
        <v/>
      </c>
      <c r="AA105">
        <f>$B$14*I105*(Y105-C105)</f>
        <v/>
      </c>
      <c r="AB105">
        <f>$B$14*Z105*(Y105-D105)</f>
        <v/>
      </c>
      <c r="AC105">
        <f>IF((U105-E105)/G105=0,0.001,(U105-E105)/G105)</f>
        <v/>
      </c>
      <c r="AD105">
        <f>F105-P105-J105-K105-AA105-AB105</f>
        <v/>
      </c>
      <c r="AE105">
        <f>AD105/AC105</f>
        <v/>
      </c>
      <c r="AF105">
        <f>IF(AD105&lt;=0,0,IF(AC105&lt;=0,$B$11,IF(AE105&gt;=1.7,$B$11,MIN(AD105/MAX(0.05,IF(AE105&gt;1,(2-AE105)^2/2,1-AE105^2/2)),$B$11))))</f>
        <v/>
      </c>
      <c r="AG105">
        <f>AG104*$B$28+AF105*(1-$B$28)</f>
        <v/>
      </c>
      <c r="AH105">
        <f>IF(AND(AD105&gt;0,AC105&lt;=0),0,AC105)</f>
        <v/>
      </c>
      <c r="AI105">
        <f>AH105/MAX(AG105,0.000001)</f>
        <v/>
      </c>
      <c r="AJ105">
        <f>MIN(IF(AI105&gt;=0.5,-AI105+SQRT(AI105^2+2),1),$B$12)</f>
        <v/>
      </c>
      <c r="AK105">
        <f>IF(AG105&lt;=0,0,AJ105*AH105)</f>
        <v/>
      </c>
      <c r="AL105">
        <f>IF(AD105&lt;=0,0,AD105)</f>
        <v/>
      </c>
      <c r="AM105">
        <f>AL105-AK105+P105</f>
        <v/>
      </c>
      <c r="AN105">
        <f>((AM105/$B$7+T104*AS104/2-T105*MAX(0.1,MIN(0.3,0.3-0.09*(AR104-36.8)))/2)+AR104*(1-AS104/2))/(1-MAX(0.1,MIN(0.3,0.3-0.09*(AR104-36.8)))/2)</f>
        <v/>
      </c>
      <c r="AO105">
        <f>((AM105/$B$7+T104*AS104/2-T105*MAX(0.1,MIN(0.3,0.3-0.09*(AN105-36.8)))/2)+AR104*(1-AS104/2))/(1-MAX(0.1,MIN(0.3,0.3-0.09*(AN105-36.8)))/2)</f>
        <v/>
      </c>
      <c r="AP105">
        <f>((AM105/$B$7+T104*AS104/2-T105*MAX(0.1,MIN(0.3,0.3-0.09*(AO105-36.8)))/2)+AR104*(1-AS104/2))/(1-MAX(0.1,MIN(0.3,0.3-0.09*(AO105-36.8)))/2)</f>
        <v/>
      </c>
      <c r="AQ105">
        <f>((AM105/$B$7+T104*AS104/2-T105*MAX(0.1,MIN(0.3,0.3-0.09*(AP105-36.8)))/2)+AR104*(1-AS104/2))/(1-MAX(0.1,MIN(0.3,0.3-0.09*(AP105-36.8)))/2)</f>
        <v/>
      </c>
      <c r="AR105">
        <f>((AM105/$B$7+T104*AS104/2-T105*MAX(0.1,MIN(0.3,0.3-0.09*(AQ105-36.8)))/2)+AR104*(1-AS104/2))/(1-MAX(0.1,MIN(0.3,0.3-0.09*(AQ105-36.8)))/2)</f>
        <v/>
      </c>
      <c r="AS105">
        <f>MAX(0.1,MIN(0.3,0.3-0.09*(AR105-36.8)))</f>
        <v/>
      </c>
      <c r="AT105">
        <f>AT104+(2*AR105-1.962*AT104-1.31)/9</f>
        <v/>
      </c>
      <c r="AU105">
        <f>AU104+AG105+K105</f>
        <v/>
      </c>
      <c r="AV105">
        <f>AU105*2.67*$B$6/1.8/60</f>
        <v/>
      </c>
      <c r="AW105">
        <f>IF(AT105&gt;=$B$36,1,0)</f>
        <v/>
      </c>
      <c r="AX105">
        <f>IF(AV105&gt;=$B$21,1,0)</f>
        <v/>
      </c>
    </row>
    <row r="106">
      <c r="A106" t="n">
        <v>33</v>
      </c>
      <c r="B106">
        <f>MATCH(A106-1,$D$61:$D$68,1)</f>
        <v/>
      </c>
      <c r="C106">
        <f>INDEX($G$61:$G$68,B106)</f>
        <v/>
      </c>
      <c r="D106">
        <f>INDEX($L$61:$L$68,B106)</f>
        <v/>
      </c>
      <c r="E106">
        <f>INDEX($M$61:$M$68,B106)</f>
        <v/>
      </c>
      <c r="F106">
        <f>INDEX($N$61:$N$68,B106)</f>
        <v/>
      </c>
      <c r="G106">
        <f>INDEX($AA$61:$AA$68,B106)</f>
        <v/>
      </c>
      <c r="H106">
        <f>INDEX($X$61:$X$68,B106)</f>
        <v/>
      </c>
      <c r="I106">
        <f>INDEX($AF$61:$AF$68,B106)</f>
        <v/>
      </c>
      <c r="J106">
        <f>INDEX($AC$61:$AC$68,B106)</f>
        <v/>
      </c>
      <c r="K106">
        <f>INDEX($AD$61:$AD$68,B106)</f>
        <v/>
      </c>
      <c r="L106">
        <f>INDEX($AG$61:$AG$68,B106)</f>
        <v/>
      </c>
      <c r="M106">
        <f>INDEX($AH$61:$AH$68,B106)</f>
        <v/>
      </c>
      <c r="N106">
        <f>INDEX($AI$61:$AI$68,B106)</f>
        <v/>
      </c>
      <c r="O106">
        <f>O105*$B$26+L106*(1-$B$26)</f>
        <v/>
      </c>
      <c r="P106">
        <f>$B$7*(O106-O105)*(1-AS105)</f>
        <v/>
      </c>
      <c r="Q106">
        <f>M106+0.51274*AT105</f>
        <v/>
      </c>
      <c r="R106">
        <f>N106+0.616*AT105</f>
        <v/>
      </c>
      <c r="S106">
        <f>IF($B$13&gt;=0.6,Q106,IF($B$13&lt;=0.2,R106,R106+2.5*(Q106-R106)*($B$13-0.2)))</f>
        <v/>
      </c>
      <c r="T106">
        <f>IF(A106=1,S106,T105*$B$27+S106*(1-$B$27))</f>
        <v/>
      </c>
      <c r="U106">
        <f>0.6105*EXP(17.27*T106/(T106+237.3))</f>
        <v/>
      </c>
      <c r="V106">
        <f>($B$14*(I106*C106+IF(ABS((D106+0.1)-D106)&lt;0.000000001,4*$B$19*$B$20*(D106+273)^3,$B$19*$B$20*(((D106+0.1)+273)^4-(D106+273)^4)/((D106+0.1)-D106))*D106)+T106/H106)/($B$14*(I106+IF(ABS((D106+0.1)-D106)&lt;0.000000001,4*$B$19*$B$20*(D106+273)^3,$B$19*$B$20*(((D106+0.1)+273)^4-(D106+273)^4)/((D106+0.1)-D106)))+1/H106)</f>
        <v/>
      </c>
      <c r="W106">
        <f>($B$14*(I106*C106+IF(ABS(V106-D106)&lt;0.000000001,4*$B$19*$B$20*(D106+273)^3,$B$19*$B$20*((V106+273)^4-(D106+273)^4)/(V106-D106))*D106)+T106/H106)/($B$14*(I106+IF(ABS(V106-D106)&lt;0.000000001,4*$B$19*$B$20*(D106+273)^3,$B$19*$B$20*((V106+273)^4-(D106+273)^4)/(V106-D106)))+1/H106)</f>
        <v/>
      </c>
      <c r="X106">
        <f>($B$14*(I106*C106+IF(ABS(W106-D106)&lt;0.000000001,4*$B$19*$B$20*(D106+273)^3,$B$19*$B$20*((W106+273)^4-(D106+273)^4)/(W106-D106))*D106)+T106/H106)/($B$14*(I106+IF(ABS(W106-D106)&lt;0.000000001,4*$B$19*$B$20*(D106+273)^3,$B$19*$B$20*((W106+273)^4-(D106+273)^4)/(W106-D106)))+1/H106)</f>
        <v/>
      </c>
      <c r="Y106">
        <f>($B$14*(I106*C106+IF(ABS(X106-D106)&lt;0.000000001,4*$B$19*$B$20*(D106+273)^3,$B$19*$B$20*((X106+273)^4-(D106+273)^4)/(X106-D106))*D106)+T106/H106)/($B$14*(I106+IF(ABS(X106-D106)&lt;0.000000001,4*$B$19*$B$20*(D106+273)^3,$B$19*$B$20*((X106+273)^4-(D106+273)^4)/(X106-D106)))+1/H106)</f>
        <v/>
      </c>
      <c r="Z106">
        <f>IF(ABS(Y106-D106)&lt;0.000000001,4*$B$19*$B$20*(D106+273)^3,$B$19*$B$20*((Y106+273)^4-(D106+273)^4)/(Y106-D106))</f>
        <v/>
      </c>
      <c r="AA106">
        <f>$B$14*I106*(Y106-C106)</f>
        <v/>
      </c>
      <c r="AB106">
        <f>$B$14*Z106*(Y106-D106)</f>
        <v/>
      </c>
      <c r="AC106">
        <f>IF((U106-E106)/G106=0,0.001,(U106-E106)/G106)</f>
        <v/>
      </c>
      <c r="AD106">
        <f>F106-P106-J106-K106-AA106-AB106</f>
        <v/>
      </c>
      <c r="AE106">
        <f>AD106/AC106</f>
        <v/>
      </c>
      <c r="AF106">
        <f>IF(AD106&lt;=0,0,IF(AC106&lt;=0,$B$11,IF(AE106&gt;=1.7,$B$11,MIN(AD106/MAX(0.05,IF(AE106&gt;1,(2-AE106)^2/2,1-AE106^2/2)),$B$11))))</f>
        <v/>
      </c>
      <c r="AG106">
        <f>AG105*$B$28+AF106*(1-$B$28)</f>
        <v/>
      </c>
      <c r="AH106">
        <f>IF(AND(AD106&gt;0,AC106&lt;=0),0,AC106)</f>
        <v/>
      </c>
      <c r="AI106">
        <f>AH106/MAX(AG106,0.000001)</f>
        <v/>
      </c>
      <c r="AJ106">
        <f>MIN(IF(AI106&gt;=0.5,-AI106+SQRT(AI106^2+2),1),$B$12)</f>
        <v/>
      </c>
      <c r="AK106">
        <f>IF(AG106&lt;=0,0,AJ106*AH106)</f>
        <v/>
      </c>
      <c r="AL106">
        <f>IF(AD106&lt;=0,0,AD106)</f>
        <v/>
      </c>
      <c r="AM106">
        <f>AL106-AK106+P106</f>
        <v/>
      </c>
      <c r="AN106">
        <f>((AM106/$B$7+T105*AS105/2-T106*MAX(0.1,MIN(0.3,0.3-0.09*(AR105-36.8)))/2)+AR105*(1-AS105/2))/(1-MAX(0.1,MIN(0.3,0.3-0.09*(AR105-36.8)))/2)</f>
        <v/>
      </c>
      <c r="AO106">
        <f>((AM106/$B$7+T105*AS105/2-T106*MAX(0.1,MIN(0.3,0.3-0.09*(AN106-36.8)))/2)+AR105*(1-AS105/2))/(1-MAX(0.1,MIN(0.3,0.3-0.09*(AN106-36.8)))/2)</f>
        <v/>
      </c>
      <c r="AP106">
        <f>((AM106/$B$7+T105*AS105/2-T106*MAX(0.1,MIN(0.3,0.3-0.09*(AO106-36.8)))/2)+AR105*(1-AS105/2))/(1-MAX(0.1,MIN(0.3,0.3-0.09*(AO106-36.8)))/2)</f>
        <v/>
      </c>
      <c r="AQ106">
        <f>((AM106/$B$7+T105*AS105/2-T106*MAX(0.1,MIN(0.3,0.3-0.09*(AP106-36.8)))/2)+AR105*(1-AS105/2))/(1-MAX(0.1,MIN(0.3,0.3-0.09*(AP106-36.8)))/2)</f>
        <v/>
      </c>
      <c r="AR106">
        <f>((AM106/$B$7+T105*AS105/2-T106*MAX(0.1,MIN(0.3,0.3-0.09*(AQ106-36.8)))/2)+AR105*(1-AS105/2))/(1-MAX(0.1,MIN(0.3,0.3-0.09*(AQ106-36.8)))/2)</f>
        <v/>
      </c>
      <c r="AS106">
        <f>MAX(0.1,MIN(0.3,0.3-0.09*(AR106-36.8)))</f>
        <v/>
      </c>
      <c r="AT106">
        <f>AT105+(2*AR106-1.962*AT105-1.31)/9</f>
        <v/>
      </c>
      <c r="AU106">
        <f>AU105+AG106+K106</f>
        <v/>
      </c>
      <c r="AV106">
        <f>AU106*2.67*$B$6/1.8/60</f>
        <v/>
      </c>
      <c r="AW106">
        <f>IF(AT106&gt;=$B$36,1,0)</f>
        <v/>
      </c>
      <c r="AX106">
        <f>IF(AV106&gt;=$B$21,1,0)</f>
        <v/>
      </c>
    </row>
    <row r="107">
      <c r="A107" t="n">
        <v>34</v>
      </c>
      <c r="B107">
        <f>MATCH(A107-1,$D$61:$D$68,1)</f>
        <v/>
      </c>
      <c r="C107">
        <f>INDEX($G$61:$G$68,B107)</f>
        <v/>
      </c>
      <c r="D107">
        <f>INDEX($L$61:$L$68,B107)</f>
        <v/>
      </c>
      <c r="E107">
        <f>INDEX($M$61:$M$68,B107)</f>
        <v/>
      </c>
      <c r="F107">
        <f>INDEX($N$61:$N$68,B107)</f>
        <v/>
      </c>
      <c r="G107">
        <f>INDEX($AA$61:$AA$68,B107)</f>
        <v/>
      </c>
      <c r="H107">
        <f>INDEX($X$61:$X$68,B107)</f>
        <v/>
      </c>
      <c r="I107">
        <f>INDEX($AF$61:$AF$68,B107)</f>
        <v/>
      </c>
      <c r="J107">
        <f>INDEX($AC$61:$AC$68,B107)</f>
        <v/>
      </c>
      <c r="K107">
        <f>INDEX($AD$61:$AD$68,B107)</f>
        <v/>
      </c>
      <c r="L107">
        <f>INDEX($AG$61:$AG$68,B107)</f>
        <v/>
      </c>
      <c r="M107">
        <f>INDEX($AH$61:$AH$68,B107)</f>
        <v/>
      </c>
      <c r="N107">
        <f>INDEX($AI$61:$AI$68,B107)</f>
        <v/>
      </c>
      <c r="O107">
        <f>O106*$B$26+L107*(1-$B$26)</f>
        <v/>
      </c>
      <c r="P107">
        <f>$B$7*(O107-O106)*(1-AS106)</f>
        <v/>
      </c>
      <c r="Q107">
        <f>M107+0.51274*AT106</f>
        <v/>
      </c>
      <c r="R107">
        <f>N107+0.616*AT106</f>
        <v/>
      </c>
      <c r="S107">
        <f>IF($B$13&gt;=0.6,Q107,IF($B$13&lt;=0.2,R107,R107+2.5*(Q107-R107)*($B$13-0.2)))</f>
        <v/>
      </c>
      <c r="T107">
        <f>IF(A107=1,S107,T106*$B$27+S107*(1-$B$27))</f>
        <v/>
      </c>
      <c r="U107">
        <f>0.6105*EXP(17.27*T107/(T107+237.3))</f>
        <v/>
      </c>
      <c r="V107">
        <f>($B$14*(I107*C107+IF(ABS((D107+0.1)-D107)&lt;0.000000001,4*$B$19*$B$20*(D107+273)^3,$B$19*$B$20*(((D107+0.1)+273)^4-(D107+273)^4)/((D107+0.1)-D107))*D107)+T107/H107)/($B$14*(I107+IF(ABS((D107+0.1)-D107)&lt;0.000000001,4*$B$19*$B$20*(D107+273)^3,$B$19*$B$20*(((D107+0.1)+273)^4-(D107+273)^4)/((D107+0.1)-D107)))+1/H107)</f>
        <v/>
      </c>
      <c r="W107">
        <f>($B$14*(I107*C107+IF(ABS(V107-D107)&lt;0.000000001,4*$B$19*$B$20*(D107+273)^3,$B$19*$B$20*((V107+273)^4-(D107+273)^4)/(V107-D107))*D107)+T107/H107)/($B$14*(I107+IF(ABS(V107-D107)&lt;0.000000001,4*$B$19*$B$20*(D107+273)^3,$B$19*$B$20*((V107+273)^4-(D107+273)^4)/(V107-D107)))+1/H107)</f>
        <v/>
      </c>
      <c r="X107">
        <f>($B$14*(I107*C107+IF(ABS(W107-D107)&lt;0.000000001,4*$B$19*$B$20*(D107+273)^3,$B$19*$B$20*((W107+273)^4-(D107+273)^4)/(W107-D107))*D107)+T107/H107)/($B$14*(I107+IF(ABS(W107-D107)&lt;0.000000001,4*$B$19*$B$20*(D107+273)^3,$B$19*$B$20*((W107+273)^4-(D107+273)^4)/(W107-D107)))+1/H107)</f>
        <v/>
      </c>
      <c r="Y107">
        <f>($B$14*(I107*C107+IF(ABS(X107-D107)&lt;0.000000001,4*$B$19*$B$20*(D107+273)^3,$B$19*$B$20*((X107+273)^4-(D107+273)^4)/(X107-D107))*D107)+T107/H107)/($B$14*(I107+IF(ABS(X107-D107)&lt;0.000000001,4*$B$19*$B$20*(D107+273)^3,$B$19*$B$20*((X107+273)^4-(D107+273)^4)/(X107-D107)))+1/H107)</f>
        <v/>
      </c>
      <c r="Z107">
        <f>IF(ABS(Y107-D107)&lt;0.000000001,4*$B$19*$B$20*(D107+273)^3,$B$19*$B$20*((Y107+273)^4-(D107+273)^4)/(Y107-D107))</f>
        <v/>
      </c>
      <c r="AA107">
        <f>$B$14*I107*(Y107-C107)</f>
        <v/>
      </c>
      <c r="AB107">
        <f>$B$14*Z107*(Y107-D107)</f>
        <v/>
      </c>
      <c r="AC107">
        <f>IF((U107-E107)/G107=0,0.001,(U107-E107)/G107)</f>
        <v/>
      </c>
      <c r="AD107">
        <f>F107-P107-J107-K107-AA107-AB107</f>
        <v/>
      </c>
      <c r="AE107">
        <f>AD107/AC107</f>
        <v/>
      </c>
      <c r="AF107">
        <f>IF(AD107&lt;=0,0,IF(AC107&lt;=0,$B$11,IF(AE107&gt;=1.7,$B$11,MIN(AD107/MAX(0.05,IF(AE107&gt;1,(2-AE107)^2/2,1-AE107^2/2)),$B$11))))</f>
        <v/>
      </c>
      <c r="AG107">
        <f>AG106*$B$28+AF107*(1-$B$28)</f>
        <v/>
      </c>
      <c r="AH107">
        <f>IF(AND(AD107&gt;0,AC107&lt;=0),0,AC107)</f>
        <v/>
      </c>
      <c r="AI107">
        <f>AH107/MAX(AG107,0.000001)</f>
        <v/>
      </c>
      <c r="AJ107">
        <f>MIN(IF(AI107&gt;=0.5,-AI107+SQRT(AI107^2+2),1),$B$12)</f>
        <v/>
      </c>
      <c r="AK107">
        <f>IF(AG107&lt;=0,0,AJ107*AH107)</f>
        <v/>
      </c>
      <c r="AL107">
        <f>IF(AD107&lt;=0,0,AD107)</f>
        <v/>
      </c>
      <c r="AM107">
        <f>AL107-AK107+P107</f>
        <v/>
      </c>
      <c r="AN107">
        <f>((AM107/$B$7+T106*AS106/2-T107*MAX(0.1,MIN(0.3,0.3-0.09*(AR106-36.8)))/2)+AR106*(1-AS106/2))/(1-MAX(0.1,MIN(0.3,0.3-0.09*(AR106-36.8)))/2)</f>
        <v/>
      </c>
      <c r="AO107">
        <f>((AM107/$B$7+T106*AS106/2-T107*MAX(0.1,MIN(0.3,0.3-0.09*(AN107-36.8)))/2)+AR106*(1-AS106/2))/(1-MAX(0.1,MIN(0.3,0.3-0.09*(AN107-36.8)))/2)</f>
        <v/>
      </c>
      <c r="AP107">
        <f>((AM107/$B$7+T106*AS106/2-T107*MAX(0.1,MIN(0.3,0.3-0.09*(AO107-36.8)))/2)+AR106*(1-AS106/2))/(1-MAX(0.1,MIN(0.3,0.3-0.09*(AO107-36.8)))/2)</f>
        <v/>
      </c>
      <c r="AQ107">
        <f>((AM107/$B$7+T106*AS106/2-T107*MAX(0.1,MIN(0.3,0.3-0.09*(AP107-36.8)))/2)+AR106*(1-AS106/2))/(1-MAX(0.1,MIN(0.3,0.3-0.09*(AP107-36.8)))/2)</f>
        <v/>
      </c>
      <c r="AR107">
        <f>((AM107/$B$7+T106*AS106/2-T107*MAX(0.1,MIN(0.3,0.3-0.09*(AQ107-36.8)))/2)+AR106*(1-AS106/2))/(1-MAX(0.1,MIN(0.3,0.3-0.09*(AQ107-36.8)))/2)</f>
        <v/>
      </c>
      <c r="AS107">
        <f>MAX(0.1,MIN(0.3,0.3-0.09*(AR107-36.8)))</f>
        <v/>
      </c>
      <c r="AT107">
        <f>AT106+(2*AR107-1.962*AT106-1.31)/9</f>
        <v/>
      </c>
      <c r="AU107">
        <f>AU106+AG107+K107</f>
        <v/>
      </c>
      <c r="AV107">
        <f>AU107*2.67*$B$6/1.8/60</f>
        <v/>
      </c>
      <c r="AW107">
        <f>IF(AT107&gt;=$B$36,1,0)</f>
        <v/>
      </c>
      <c r="AX107">
        <f>IF(AV107&gt;=$B$21,1,0)</f>
        <v/>
      </c>
    </row>
    <row r="108">
      <c r="A108" t="n">
        <v>35</v>
      </c>
      <c r="B108">
        <f>MATCH(A108-1,$D$61:$D$68,1)</f>
        <v/>
      </c>
      <c r="C108">
        <f>INDEX($G$61:$G$68,B108)</f>
        <v/>
      </c>
      <c r="D108">
        <f>INDEX($L$61:$L$68,B108)</f>
        <v/>
      </c>
      <c r="E108">
        <f>INDEX($M$61:$M$68,B108)</f>
        <v/>
      </c>
      <c r="F108">
        <f>INDEX($N$61:$N$68,B108)</f>
        <v/>
      </c>
      <c r="G108">
        <f>INDEX($AA$61:$AA$68,B108)</f>
        <v/>
      </c>
      <c r="H108">
        <f>INDEX($X$61:$X$68,B108)</f>
        <v/>
      </c>
      <c r="I108">
        <f>INDEX($AF$61:$AF$68,B108)</f>
        <v/>
      </c>
      <c r="J108">
        <f>INDEX($AC$61:$AC$68,B108)</f>
        <v/>
      </c>
      <c r="K108">
        <f>INDEX($AD$61:$AD$68,B108)</f>
        <v/>
      </c>
      <c r="L108">
        <f>INDEX($AG$61:$AG$68,B108)</f>
        <v/>
      </c>
      <c r="M108">
        <f>INDEX($AH$61:$AH$68,B108)</f>
        <v/>
      </c>
      <c r="N108">
        <f>INDEX($AI$61:$AI$68,B108)</f>
        <v/>
      </c>
      <c r="O108">
        <f>O107*$B$26+L108*(1-$B$26)</f>
        <v/>
      </c>
      <c r="P108">
        <f>$B$7*(O108-O107)*(1-AS107)</f>
        <v/>
      </c>
      <c r="Q108">
        <f>M108+0.51274*AT107</f>
        <v/>
      </c>
      <c r="R108">
        <f>N108+0.616*AT107</f>
        <v/>
      </c>
      <c r="S108">
        <f>IF($B$13&gt;=0.6,Q108,IF($B$13&lt;=0.2,R108,R108+2.5*(Q108-R108)*($B$13-0.2)))</f>
        <v/>
      </c>
      <c r="T108">
        <f>IF(A108=1,S108,T107*$B$27+S108*(1-$B$27))</f>
        <v/>
      </c>
      <c r="U108">
        <f>0.6105*EXP(17.27*T108/(T108+237.3))</f>
        <v/>
      </c>
      <c r="V108">
        <f>($B$14*(I108*C108+IF(ABS((D108+0.1)-D108)&lt;0.000000001,4*$B$19*$B$20*(D108+273)^3,$B$19*$B$20*(((D108+0.1)+273)^4-(D108+273)^4)/((D108+0.1)-D108))*D108)+T108/H108)/($B$14*(I108+IF(ABS((D108+0.1)-D108)&lt;0.000000001,4*$B$19*$B$20*(D108+273)^3,$B$19*$B$20*(((D108+0.1)+273)^4-(D108+273)^4)/((D108+0.1)-D108)))+1/H108)</f>
        <v/>
      </c>
      <c r="W108">
        <f>($B$14*(I108*C108+IF(ABS(V108-D108)&lt;0.000000001,4*$B$19*$B$20*(D108+273)^3,$B$19*$B$20*((V108+273)^4-(D108+273)^4)/(V108-D108))*D108)+T108/H108)/($B$14*(I108+IF(ABS(V108-D108)&lt;0.000000001,4*$B$19*$B$20*(D108+273)^3,$B$19*$B$20*((V108+273)^4-(D108+273)^4)/(V108-D108)))+1/H108)</f>
        <v/>
      </c>
      <c r="X108">
        <f>($B$14*(I108*C108+IF(ABS(W108-D108)&lt;0.000000001,4*$B$19*$B$20*(D108+273)^3,$B$19*$B$20*((W108+273)^4-(D108+273)^4)/(W108-D108))*D108)+T108/H108)/($B$14*(I108+IF(ABS(W108-D108)&lt;0.000000001,4*$B$19*$B$20*(D108+273)^3,$B$19*$B$20*((W108+273)^4-(D108+273)^4)/(W108-D108)))+1/H108)</f>
        <v/>
      </c>
      <c r="Y108">
        <f>($B$14*(I108*C108+IF(ABS(X108-D108)&lt;0.000000001,4*$B$19*$B$20*(D108+273)^3,$B$19*$B$20*((X108+273)^4-(D108+273)^4)/(X108-D108))*D108)+T108/H108)/($B$14*(I108+IF(ABS(X108-D108)&lt;0.000000001,4*$B$19*$B$20*(D108+273)^3,$B$19*$B$20*((X108+273)^4-(D108+273)^4)/(X108-D108)))+1/H108)</f>
        <v/>
      </c>
      <c r="Z108">
        <f>IF(ABS(Y108-D108)&lt;0.000000001,4*$B$19*$B$20*(D108+273)^3,$B$19*$B$20*((Y108+273)^4-(D108+273)^4)/(Y108-D108))</f>
        <v/>
      </c>
      <c r="AA108">
        <f>$B$14*I108*(Y108-C108)</f>
        <v/>
      </c>
      <c r="AB108">
        <f>$B$14*Z108*(Y108-D108)</f>
        <v/>
      </c>
      <c r="AC108">
        <f>IF((U108-E108)/G108=0,0.001,(U108-E108)/G108)</f>
        <v/>
      </c>
      <c r="AD108">
        <f>F108-P108-J108-K108-AA108-AB108</f>
        <v/>
      </c>
      <c r="AE108">
        <f>AD108/AC108</f>
        <v/>
      </c>
      <c r="AF108">
        <f>IF(AD108&lt;=0,0,IF(AC108&lt;=0,$B$11,IF(AE108&gt;=1.7,$B$11,MIN(AD108/MAX(0.05,IF(AE108&gt;1,(2-AE108)^2/2,1-AE108^2/2)),$B$11))))</f>
        <v/>
      </c>
      <c r="AG108">
        <f>AG107*$B$28+AF108*(1-$B$28)</f>
        <v/>
      </c>
      <c r="AH108">
        <f>IF(AND(AD108&gt;0,AC108&lt;=0),0,AC108)</f>
        <v/>
      </c>
      <c r="AI108">
        <f>AH108/MAX(AG108,0.000001)</f>
        <v/>
      </c>
      <c r="AJ108">
        <f>MIN(IF(AI108&gt;=0.5,-AI108+SQRT(AI108^2+2),1),$B$12)</f>
        <v/>
      </c>
      <c r="AK108">
        <f>IF(AG108&lt;=0,0,AJ108*AH108)</f>
        <v/>
      </c>
      <c r="AL108">
        <f>IF(AD108&lt;=0,0,AD108)</f>
        <v/>
      </c>
      <c r="AM108">
        <f>AL108-AK108+P108</f>
        <v/>
      </c>
      <c r="AN108">
        <f>((AM108/$B$7+T107*AS107/2-T108*MAX(0.1,MIN(0.3,0.3-0.09*(AR107-36.8)))/2)+AR107*(1-AS107/2))/(1-MAX(0.1,MIN(0.3,0.3-0.09*(AR107-36.8)))/2)</f>
        <v/>
      </c>
      <c r="AO108">
        <f>((AM108/$B$7+T107*AS107/2-T108*MAX(0.1,MIN(0.3,0.3-0.09*(AN108-36.8)))/2)+AR107*(1-AS107/2))/(1-MAX(0.1,MIN(0.3,0.3-0.09*(AN108-36.8)))/2)</f>
        <v/>
      </c>
      <c r="AP108">
        <f>((AM108/$B$7+T107*AS107/2-T108*MAX(0.1,MIN(0.3,0.3-0.09*(AO108-36.8)))/2)+AR107*(1-AS107/2))/(1-MAX(0.1,MIN(0.3,0.3-0.09*(AO108-36.8)))/2)</f>
        <v/>
      </c>
      <c r="AQ108">
        <f>((AM108/$B$7+T107*AS107/2-T108*MAX(0.1,MIN(0.3,0.3-0.09*(AP108-36.8)))/2)+AR107*(1-AS107/2))/(1-MAX(0.1,MIN(0.3,0.3-0.09*(AP108-36.8)))/2)</f>
        <v/>
      </c>
      <c r="AR108">
        <f>((AM108/$B$7+T107*AS107/2-T108*MAX(0.1,MIN(0.3,0.3-0.09*(AQ108-36.8)))/2)+AR107*(1-AS107/2))/(1-MAX(0.1,MIN(0.3,0.3-0.09*(AQ108-36.8)))/2)</f>
        <v/>
      </c>
      <c r="AS108">
        <f>MAX(0.1,MIN(0.3,0.3-0.09*(AR108-36.8)))</f>
        <v/>
      </c>
      <c r="AT108">
        <f>AT107+(2*AR108-1.962*AT107-1.31)/9</f>
        <v/>
      </c>
      <c r="AU108">
        <f>AU107+AG108+K108</f>
        <v/>
      </c>
      <c r="AV108">
        <f>AU108*2.67*$B$6/1.8/60</f>
        <v/>
      </c>
      <c r="AW108">
        <f>IF(AT108&gt;=$B$36,1,0)</f>
        <v/>
      </c>
      <c r="AX108">
        <f>IF(AV108&gt;=$B$21,1,0)</f>
        <v/>
      </c>
    </row>
    <row r="109">
      <c r="A109" t="n">
        <v>36</v>
      </c>
      <c r="B109">
        <f>MATCH(A109-1,$D$61:$D$68,1)</f>
        <v/>
      </c>
      <c r="C109">
        <f>INDEX($G$61:$G$68,B109)</f>
        <v/>
      </c>
      <c r="D109">
        <f>INDEX($L$61:$L$68,B109)</f>
        <v/>
      </c>
      <c r="E109">
        <f>INDEX($M$61:$M$68,B109)</f>
        <v/>
      </c>
      <c r="F109">
        <f>INDEX($N$61:$N$68,B109)</f>
        <v/>
      </c>
      <c r="G109">
        <f>INDEX($AA$61:$AA$68,B109)</f>
        <v/>
      </c>
      <c r="H109">
        <f>INDEX($X$61:$X$68,B109)</f>
        <v/>
      </c>
      <c r="I109">
        <f>INDEX($AF$61:$AF$68,B109)</f>
        <v/>
      </c>
      <c r="J109">
        <f>INDEX($AC$61:$AC$68,B109)</f>
        <v/>
      </c>
      <c r="K109">
        <f>INDEX($AD$61:$AD$68,B109)</f>
        <v/>
      </c>
      <c r="L109">
        <f>INDEX($AG$61:$AG$68,B109)</f>
        <v/>
      </c>
      <c r="M109">
        <f>INDEX($AH$61:$AH$68,B109)</f>
        <v/>
      </c>
      <c r="N109">
        <f>INDEX($AI$61:$AI$68,B109)</f>
        <v/>
      </c>
      <c r="O109">
        <f>O108*$B$26+L109*(1-$B$26)</f>
        <v/>
      </c>
      <c r="P109">
        <f>$B$7*(O109-O108)*(1-AS108)</f>
        <v/>
      </c>
      <c r="Q109">
        <f>M109+0.51274*AT108</f>
        <v/>
      </c>
      <c r="R109">
        <f>N109+0.616*AT108</f>
        <v/>
      </c>
      <c r="S109">
        <f>IF($B$13&gt;=0.6,Q109,IF($B$13&lt;=0.2,R109,R109+2.5*(Q109-R109)*($B$13-0.2)))</f>
        <v/>
      </c>
      <c r="T109">
        <f>IF(A109=1,S109,T108*$B$27+S109*(1-$B$27))</f>
        <v/>
      </c>
      <c r="U109">
        <f>0.6105*EXP(17.27*T109/(T109+237.3))</f>
        <v/>
      </c>
      <c r="V109">
        <f>($B$14*(I109*C109+IF(ABS((D109+0.1)-D109)&lt;0.000000001,4*$B$19*$B$20*(D109+273)^3,$B$19*$B$20*(((D109+0.1)+273)^4-(D109+273)^4)/((D109+0.1)-D109))*D109)+T109/H109)/($B$14*(I109+IF(ABS((D109+0.1)-D109)&lt;0.000000001,4*$B$19*$B$20*(D109+273)^3,$B$19*$B$20*(((D109+0.1)+273)^4-(D109+273)^4)/((D109+0.1)-D109)))+1/H109)</f>
        <v/>
      </c>
      <c r="W109">
        <f>($B$14*(I109*C109+IF(ABS(V109-D109)&lt;0.000000001,4*$B$19*$B$20*(D109+273)^3,$B$19*$B$20*((V109+273)^4-(D109+273)^4)/(V109-D109))*D109)+T109/H109)/($B$14*(I109+IF(ABS(V109-D109)&lt;0.000000001,4*$B$19*$B$20*(D109+273)^3,$B$19*$B$20*((V109+273)^4-(D109+273)^4)/(V109-D109)))+1/H109)</f>
        <v/>
      </c>
      <c r="X109">
        <f>($B$14*(I109*C109+IF(ABS(W109-D109)&lt;0.000000001,4*$B$19*$B$20*(D109+273)^3,$B$19*$B$20*((W109+273)^4-(D109+273)^4)/(W109-D109))*D109)+T109/H109)/($B$14*(I109+IF(ABS(W109-D109)&lt;0.000000001,4*$B$19*$B$20*(D109+273)^3,$B$19*$B$20*((W109+273)^4-(D109+273)^4)/(W109-D109)))+1/H109)</f>
        <v/>
      </c>
      <c r="Y109">
        <f>($B$14*(I109*C109+IF(ABS(X109-D109)&lt;0.000000001,4*$B$19*$B$20*(D109+273)^3,$B$19*$B$20*((X109+273)^4-(D109+273)^4)/(X109-D109))*D109)+T109/H109)/($B$14*(I109+IF(ABS(X109-D109)&lt;0.000000001,4*$B$19*$B$20*(D109+273)^3,$B$19*$B$20*((X109+273)^4-(D109+273)^4)/(X109-D109)))+1/H109)</f>
        <v/>
      </c>
      <c r="Z109">
        <f>IF(ABS(Y109-D109)&lt;0.000000001,4*$B$19*$B$20*(D109+273)^3,$B$19*$B$20*((Y109+273)^4-(D109+273)^4)/(Y109-D109))</f>
        <v/>
      </c>
      <c r="AA109">
        <f>$B$14*I109*(Y109-C109)</f>
        <v/>
      </c>
      <c r="AB109">
        <f>$B$14*Z109*(Y109-D109)</f>
        <v/>
      </c>
      <c r="AC109">
        <f>IF((U109-E109)/G109=0,0.001,(U109-E109)/G109)</f>
        <v/>
      </c>
      <c r="AD109">
        <f>F109-P109-J109-K109-AA109-AB109</f>
        <v/>
      </c>
      <c r="AE109">
        <f>AD109/AC109</f>
        <v/>
      </c>
      <c r="AF109">
        <f>IF(AD109&lt;=0,0,IF(AC109&lt;=0,$B$11,IF(AE109&gt;=1.7,$B$11,MIN(AD109/MAX(0.05,IF(AE109&gt;1,(2-AE109)^2/2,1-AE109^2/2)),$B$11))))</f>
        <v/>
      </c>
      <c r="AG109">
        <f>AG108*$B$28+AF109*(1-$B$28)</f>
        <v/>
      </c>
      <c r="AH109">
        <f>IF(AND(AD109&gt;0,AC109&lt;=0),0,AC109)</f>
        <v/>
      </c>
      <c r="AI109">
        <f>AH109/MAX(AG109,0.000001)</f>
        <v/>
      </c>
      <c r="AJ109">
        <f>MIN(IF(AI109&gt;=0.5,-AI109+SQRT(AI109^2+2),1),$B$12)</f>
        <v/>
      </c>
      <c r="AK109">
        <f>IF(AG109&lt;=0,0,AJ109*AH109)</f>
        <v/>
      </c>
      <c r="AL109">
        <f>IF(AD109&lt;=0,0,AD109)</f>
        <v/>
      </c>
      <c r="AM109">
        <f>AL109-AK109+P109</f>
        <v/>
      </c>
      <c r="AN109">
        <f>((AM109/$B$7+T108*AS108/2-T109*MAX(0.1,MIN(0.3,0.3-0.09*(AR108-36.8)))/2)+AR108*(1-AS108/2))/(1-MAX(0.1,MIN(0.3,0.3-0.09*(AR108-36.8)))/2)</f>
        <v/>
      </c>
      <c r="AO109">
        <f>((AM109/$B$7+T108*AS108/2-T109*MAX(0.1,MIN(0.3,0.3-0.09*(AN109-36.8)))/2)+AR108*(1-AS108/2))/(1-MAX(0.1,MIN(0.3,0.3-0.09*(AN109-36.8)))/2)</f>
        <v/>
      </c>
      <c r="AP109">
        <f>((AM109/$B$7+T108*AS108/2-T109*MAX(0.1,MIN(0.3,0.3-0.09*(AO109-36.8)))/2)+AR108*(1-AS108/2))/(1-MAX(0.1,MIN(0.3,0.3-0.09*(AO109-36.8)))/2)</f>
        <v/>
      </c>
      <c r="AQ109">
        <f>((AM109/$B$7+T108*AS108/2-T109*MAX(0.1,MIN(0.3,0.3-0.09*(AP109-36.8)))/2)+AR108*(1-AS108/2))/(1-MAX(0.1,MIN(0.3,0.3-0.09*(AP109-36.8)))/2)</f>
        <v/>
      </c>
      <c r="AR109">
        <f>((AM109/$B$7+T108*AS108/2-T109*MAX(0.1,MIN(0.3,0.3-0.09*(AQ109-36.8)))/2)+AR108*(1-AS108/2))/(1-MAX(0.1,MIN(0.3,0.3-0.09*(AQ109-36.8)))/2)</f>
        <v/>
      </c>
      <c r="AS109">
        <f>MAX(0.1,MIN(0.3,0.3-0.09*(AR109-36.8)))</f>
        <v/>
      </c>
      <c r="AT109">
        <f>AT108+(2*AR109-1.962*AT108-1.31)/9</f>
        <v/>
      </c>
      <c r="AU109">
        <f>AU108+AG109+K109</f>
        <v/>
      </c>
      <c r="AV109">
        <f>AU109*2.67*$B$6/1.8/60</f>
        <v/>
      </c>
      <c r="AW109">
        <f>IF(AT109&gt;=$B$36,1,0)</f>
        <v/>
      </c>
      <c r="AX109">
        <f>IF(AV109&gt;=$B$21,1,0)</f>
        <v/>
      </c>
    </row>
    <row r="110">
      <c r="A110" t="n">
        <v>37</v>
      </c>
      <c r="B110">
        <f>MATCH(A110-1,$D$61:$D$68,1)</f>
        <v/>
      </c>
      <c r="C110">
        <f>INDEX($G$61:$G$68,B110)</f>
        <v/>
      </c>
      <c r="D110">
        <f>INDEX($L$61:$L$68,B110)</f>
        <v/>
      </c>
      <c r="E110">
        <f>INDEX($M$61:$M$68,B110)</f>
        <v/>
      </c>
      <c r="F110">
        <f>INDEX($N$61:$N$68,B110)</f>
        <v/>
      </c>
      <c r="G110">
        <f>INDEX($AA$61:$AA$68,B110)</f>
        <v/>
      </c>
      <c r="H110">
        <f>INDEX($X$61:$X$68,B110)</f>
        <v/>
      </c>
      <c r="I110">
        <f>INDEX($AF$61:$AF$68,B110)</f>
        <v/>
      </c>
      <c r="J110">
        <f>INDEX($AC$61:$AC$68,B110)</f>
        <v/>
      </c>
      <c r="K110">
        <f>INDEX($AD$61:$AD$68,B110)</f>
        <v/>
      </c>
      <c r="L110">
        <f>INDEX($AG$61:$AG$68,B110)</f>
        <v/>
      </c>
      <c r="M110">
        <f>INDEX($AH$61:$AH$68,B110)</f>
        <v/>
      </c>
      <c r="N110">
        <f>INDEX($AI$61:$AI$68,B110)</f>
        <v/>
      </c>
      <c r="O110">
        <f>O109*$B$26+L110*(1-$B$26)</f>
        <v/>
      </c>
      <c r="P110">
        <f>$B$7*(O110-O109)*(1-AS109)</f>
        <v/>
      </c>
      <c r="Q110">
        <f>M110+0.51274*AT109</f>
        <v/>
      </c>
      <c r="R110">
        <f>N110+0.616*AT109</f>
        <v/>
      </c>
      <c r="S110">
        <f>IF($B$13&gt;=0.6,Q110,IF($B$13&lt;=0.2,R110,R110+2.5*(Q110-R110)*($B$13-0.2)))</f>
        <v/>
      </c>
      <c r="T110">
        <f>IF(A110=1,S110,T109*$B$27+S110*(1-$B$27))</f>
        <v/>
      </c>
      <c r="U110">
        <f>0.6105*EXP(17.27*T110/(T110+237.3))</f>
        <v/>
      </c>
      <c r="V110">
        <f>($B$14*(I110*C110+IF(ABS((D110+0.1)-D110)&lt;0.000000001,4*$B$19*$B$20*(D110+273)^3,$B$19*$B$20*(((D110+0.1)+273)^4-(D110+273)^4)/((D110+0.1)-D110))*D110)+T110/H110)/($B$14*(I110+IF(ABS((D110+0.1)-D110)&lt;0.000000001,4*$B$19*$B$20*(D110+273)^3,$B$19*$B$20*(((D110+0.1)+273)^4-(D110+273)^4)/((D110+0.1)-D110)))+1/H110)</f>
        <v/>
      </c>
      <c r="W110">
        <f>($B$14*(I110*C110+IF(ABS(V110-D110)&lt;0.000000001,4*$B$19*$B$20*(D110+273)^3,$B$19*$B$20*((V110+273)^4-(D110+273)^4)/(V110-D110))*D110)+T110/H110)/($B$14*(I110+IF(ABS(V110-D110)&lt;0.000000001,4*$B$19*$B$20*(D110+273)^3,$B$19*$B$20*((V110+273)^4-(D110+273)^4)/(V110-D110)))+1/H110)</f>
        <v/>
      </c>
      <c r="X110">
        <f>($B$14*(I110*C110+IF(ABS(W110-D110)&lt;0.000000001,4*$B$19*$B$20*(D110+273)^3,$B$19*$B$20*((W110+273)^4-(D110+273)^4)/(W110-D110))*D110)+T110/H110)/($B$14*(I110+IF(ABS(W110-D110)&lt;0.000000001,4*$B$19*$B$20*(D110+273)^3,$B$19*$B$20*((W110+273)^4-(D110+273)^4)/(W110-D110)))+1/H110)</f>
        <v/>
      </c>
      <c r="Y110">
        <f>($B$14*(I110*C110+IF(ABS(X110-D110)&lt;0.000000001,4*$B$19*$B$20*(D110+273)^3,$B$19*$B$20*((X110+273)^4-(D110+273)^4)/(X110-D110))*D110)+T110/H110)/($B$14*(I110+IF(ABS(X110-D110)&lt;0.000000001,4*$B$19*$B$20*(D110+273)^3,$B$19*$B$20*((X110+273)^4-(D110+273)^4)/(X110-D110)))+1/H110)</f>
        <v/>
      </c>
      <c r="Z110">
        <f>IF(ABS(Y110-D110)&lt;0.000000001,4*$B$19*$B$20*(D110+273)^3,$B$19*$B$20*((Y110+273)^4-(D110+273)^4)/(Y110-D110))</f>
        <v/>
      </c>
      <c r="AA110">
        <f>$B$14*I110*(Y110-C110)</f>
        <v/>
      </c>
      <c r="AB110">
        <f>$B$14*Z110*(Y110-D110)</f>
        <v/>
      </c>
      <c r="AC110">
        <f>IF((U110-E110)/G110=0,0.001,(U110-E110)/G110)</f>
        <v/>
      </c>
      <c r="AD110">
        <f>F110-P110-J110-K110-AA110-AB110</f>
        <v/>
      </c>
      <c r="AE110">
        <f>AD110/AC110</f>
        <v/>
      </c>
      <c r="AF110">
        <f>IF(AD110&lt;=0,0,IF(AC110&lt;=0,$B$11,IF(AE110&gt;=1.7,$B$11,MIN(AD110/MAX(0.05,IF(AE110&gt;1,(2-AE110)^2/2,1-AE110^2/2)),$B$11))))</f>
        <v/>
      </c>
      <c r="AG110">
        <f>AG109*$B$28+AF110*(1-$B$28)</f>
        <v/>
      </c>
      <c r="AH110">
        <f>IF(AND(AD110&gt;0,AC110&lt;=0),0,AC110)</f>
        <v/>
      </c>
      <c r="AI110">
        <f>AH110/MAX(AG110,0.000001)</f>
        <v/>
      </c>
      <c r="AJ110">
        <f>MIN(IF(AI110&gt;=0.5,-AI110+SQRT(AI110^2+2),1),$B$12)</f>
        <v/>
      </c>
      <c r="AK110">
        <f>IF(AG110&lt;=0,0,AJ110*AH110)</f>
        <v/>
      </c>
      <c r="AL110">
        <f>IF(AD110&lt;=0,0,AD110)</f>
        <v/>
      </c>
      <c r="AM110">
        <f>AL110-AK110+P110</f>
        <v/>
      </c>
      <c r="AN110">
        <f>((AM110/$B$7+T109*AS109/2-T110*MAX(0.1,MIN(0.3,0.3-0.09*(AR109-36.8)))/2)+AR109*(1-AS109/2))/(1-MAX(0.1,MIN(0.3,0.3-0.09*(AR109-36.8)))/2)</f>
        <v/>
      </c>
      <c r="AO110">
        <f>((AM110/$B$7+T109*AS109/2-T110*MAX(0.1,MIN(0.3,0.3-0.09*(AN110-36.8)))/2)+AR109*(1-AS109/2))/(1-MAX(0.1,MIN(0.3,0.3-0.09*(AN110-36.8)))/2)</f>
        <v/>
      </c>
      <c r="AP110">
        <f>((AM110/$B$7+T109*AS109/2-T110*MAX(0.1,MIN(0.3,0.3-0.09*(AO110-36.8)))/2)+AR109*(1-AS109/2))/(1-MAX(0.1,MIN(0.3,0.3-0.09*(AO110-36.8)))/2)</f>
        <v/>
      </c>
      <c r="AQ110">
        <f>((AM110/$B$7+T109*AS109/2-T110*MAX(0.1,MIN(0.3,0.3-0.09*(AP110-36.8)))/2)+AR109*(1-AS109/2))/(1-MAX(0.1,MIN(0.3,0.3-0.09*(AP110-36.8)))/2)</f>
        <v/>
      </c>
      <c r="AR110">
        <f>((AM110/$B$7+T109*AS109/2-T110*MAX(0.1,MIN(0.3,0.3-0.09*(AQ110-36.8)))/2)+AR109*(1-AS109/2))/(1-MAX(0.1,MIN(0.3,0.3-0.09*(AQ110-36.8)))/2)</f>
        <v/>
      </c>
      <c r="AS110">
        <f>MAX(0.1,MIN(0.3,0.3-0.09*(AR110-36.8)))</f>
        <v/>
      </c>
      <c r="AT110">
        <f>AT109+(2*AR110-1.962*AT109-1.31)/9</f>
        <v/>
      </c>
      <c r="AU110">
        <f>AU109+AG110+K110</f>
        <v/>
      </c>
      <c r="AV110">
        <f>AU110*2.67*$B$6/1.8/60</f>
        <v/>
      </c>
      <c r="AW110">
        <f>IF(AT110&gt;=$B$36,1,0)</f>
        <v/>
      </c>
      <c r="AX110">
        <f>IF(AV110&gt;=$B$21,1,0)</f>
        <v/>
      </c>
    </row>
    <row r="111">
      <c r="A111" t="n">
        <v>38</v>
      </c>
      <c r="B111">
        <f>MATCH(A111-1,$D$61:$D$68,1)</f>
        <v/>
      </c>
      <c r="C111">
        <f>INDEX($G$61:$G$68,B111)</f>
        <v/>
      </c>
      <c r="D111">
        <f>INDEX($L$61:$L$68,B111)</f>
        <v/>
      </c>
      <c r="E111">
        <f>INDEX($M$61:$M$68,B111)</f>
        <v/>
      </c>
      <c r="F111">
        <f>INDEX($N$61:$N$68,B111)</f>
        <v/>
      </c>
      <c r="G111">
        <f>INDEX($AA$61:$AA$68,B111)</f>
        <v/>
      </c>
      <c r="H111">
        <f>INDEX($X$61:$X$68,B111)</f>
        <v/>
      </c>
      <c r="I111">
        <f>INDEX($AF$61:$AF$68,B111)</f>
        <v/>
      </c>
      <c r="J111">
        <f>INDEX($AC$61:$AC$68,B111)</f>
        <v/>
      </c>
      <c r="K111">
        <f>INDEX($AD$61:$AD$68,B111)</f>
        <v/>
      </c>
      <c r="L111">
        <f>INDEX($AG$61:$AG$68,B111)</f>
        <v/>
      </c>
      <c r="M111">
        <f>INDEX($AH$61:$AH$68,B111)</f>
        <v/>
      </c>
      <c r="N111">
        <f>INDEX($AI$61:$AI$68,B111)</f>
        <v/>
      </c>
      <c r="O111">
        <f>O110*$B$26+L111*(1-$B$26)</f>
        <v/>
      </c>
      <c r="P111">
        <f>$B$7*(O111-O110)*(1-AS110)</f>
        <v/>
      </c>
      <c r="Q111">
        <f>M111+0.51274*AT110</f>
        <v/>
      </c>
      <c r="R111">
        <f>N111+0.616*AT110</f>
        <v/>
      </c>
      <c r="S111">
        <f>IF($B$13&gt;=0.6,Q111,IF($B$13&lt;=0.2,R111,R111+2.5*(Q111-R111)*($B$13-0.2)))</f>
        <v/>
      </c>
      <c r="T111">
        <f>IF(A111=1,S111,T110*$B$27+S111*(1-$B$27))</f>
        <v/>
      </c>
      <c r="U111">
        <f>0.6105*EXP(17.27*T111/(T111+237.3))</f>
        <v/>
      </c>
      <c r="V111">
        <f>($B$14*(I111*C111+IF(ABS((D111+0.1)-D111)&lt;0.000000001,4*$B$19*$B$20*(D111+273)^3,$B$19*$B$20*(((D111+0.1)+273)^4-(D111+273)^4)/((D111+0.1)-D111))*D111)+T111/H111)/($B$14*(I111+IF(ABS((D111+0.1)-D111)&lt;0.000000001,4*$B$19*$B$20*(D111+273)^3,$B$19*$B$20*(((D111+0.1)+273)^4-(D111+273)^4)/((D111+0.1)-D111)))+1/H111)</f>
        <v/>
      </c>
      <c r="W111">
        <f>($B$14*(I111*C111+IF(ABS(V111-D111)&lt;0.000000001,4*$B$19*$B$20*(D111+273)^3,$B$19*$B$20*((V111+273)^4-(D111+273)^4)/(V111-D111))*D111)+T111/H111)/($B$14*(I111+IF(ABS(V111-D111)&lt;0.000000001,4*$B$19*$B$20*(D111+273)^3,$B$19*$B$20*((V111+273)^4-(D111+273)^4)/(V111-D111)))+1/H111)</f>
        <v/>
      </c>
      <c r="X111">
        <f>($B$14*(I111*C111+IF(ABS(W111-D111)&lt;0.000000001,4*$B$19*$B$20*(D111+273)^3,$B$19*$B$20*((W111+273)^4-(D111+273)^4)/(W111-D111))*D111)+T111/H111)/($B$14*(I111+IF(ABS(W111-D111)&lt;0.000000001,4*$B$19*$B$20*(D111+273)^3,$B$19*$B$20*((W111+273)^4-(D111+273)^4)/(W111-D111)))+1/H111)</f>
        <v/>
      </c>
      <c r="Y111">
        <f>($B$14*(I111*C111+IF(ABS(X111-D111)&lt;0.000000001,4*$B$19*$B$20*(D111+273)^3,$B$19*$B$20*((X111+273)^4-(D111+273)^4)/(X111-D111))*D111)+T111/H111)/($B$14*(I111+IF(ABS(X111-D111)&lt;0.000000001,4*$B$19*$B$20*(D111+273)^3,$B$19*$B$20*((X111+273)^4-(D111+273)^4)/(X111-D111)))+1/H111)</f>
        <v/>
      </c>
      <c r="Z111">
        <f>IF(ABS(Y111-D111)&lt;0.000000001,4*$B$19*$B$20*(D111+273)^3,$B$19*$B$20*((Y111+273)^4-(D111+273)^4)/(Y111-D111))</f>
        <v/>
      </c>
      <c r="AA111">
        <f>$B$14*I111*(Y111-C111)</f>
        <v/>
      </c>
      <c r="AB111">
        <f>$B$14*Z111*(Y111-D111)</f>
        <v/>
      </c>
      <c r="AC111">
        <f>IF((U111-E111)/G111=0,0.001,(U111-E111)/G111)</f>
        <v/>
      </c>
      <c r="AD111">
        <f>F111-P111-J111-K111-AA111-AB111</f>
        <v/>
      </c>
      <c r="AE111">
        <f>AD111/AC111</f>
        <v/>
      </c>
      <c r="AF111">
        <f>IF(AD111&lt;=0,0,IF(AC111&lt;=0,$B$11,IF(AE111&gt;=1.7,$B$11,MIN(AD111/MAX(0.05,IF(AE111&gt;1,(2-AE111)^2/2,1-AE111^2/2)),$B$11))))</f>
        <v/>
      </c>
      <c r="AG111">
        <f>AG110*$B$28+AF111*(1-$B$28)</f>
        <v/>
      </c>
      <c r="AH111">
        <f>IF(AND(AD111&gt;0,AC111&lt;=0),0,AC111)</f>
        <v/>
      </c>
      <c r="AI111">
        <f>AH111/MAX(AG111,0.000001)</f>
        <v/>
      </c>
      <c r="AJ111">
        <f>MIN(IF(AI111&gt;=0.5,-AI111+SQRT(AI111^2+2),1),$B$12)</f>
        <v/>
      </c>
      <c r="AK111">
        <f>IF(AG111&lt;=0,0,AJ111*AH111)</f>
        <v/>
      </c>
      <c r="AL111">
        <f>IF(AD111&lt;=0,0,AD111)</f>
        <v/>
      </c>
      <c r="AM111">
        <f>AL111-AK111+P111</f>
        <v/>
      </c>
      <c r="AN111">
        <f>((AM111/$B$7+T110*AS110/2-T111*MAX(0.1,MIN(0.3,0.3-0.09*(AR110-36.8)))/2)+AR110*(1-AS110/2))/(1-MAX(0.1,MIN(0.3,0.3-0.09*(AR110-36.8)))/2)</f>
        <v/>
      </c>
      <c r="AO111">
        <f>((AM111/$B$7+T110*AS110/2-T111*MAX(0.1,MIN(0.3,0.3-0.09*(AN111-36.8)))/2)+AR110*(1-AS110/2))/(1-MAX(0.1,MIN(0.3,0.3-0.09*(AN111-36.8)))/2)</f>
        <v/>
      </c>
      <c r="AP111">
        <f>((AM111/$B$7+T110*AS110/2-T111*MAX(0.1,MIN(0.3,0.3-0.09*(AO111-36.8)))/2)+AR110*(1-AS110/2))/(1-MAX(0.1,MIN(0.3,0.3-0.09*(AO111-36.8)))/2)</f>
        <v/>
      </c>
      <c r="AQ111">
        <f>((AM111/$B$7+T110*AS110/2-T111*MAX(0.1,MIN(0.3,0.3-0.09*(AP111-36.8)))/2)+AR110*(1-AS110/2))/(1-MAX(0.1,MIN(0.3,0.3-0.09*(AP111-36.8)))/2)</f>
        <v/>
      </c>
      <c r="AR111">
        <f>((AM111/$B$7+T110*AS110/2-T111*MAX(0.1,MIN(0.3,0.3-0.09*(AQ111-36.8)))/2)+AR110*(1-AS110/2))/(1-MAX(0.1,MIN(0.3,0.3-0.09*(AQ111-36.8)))/2)</f>
        <v/>
      </c>
      <c r="AS111">
        <f>MAX(0.1,MIN(0.3,0.3-0.09*(AR111-36.8)))</f>
        <v/>
      </c>
      <c r="AT111">
        <f>AT110+(2*AR111-1.962*AT110-1.31)/9</f>
        <v/>
      </c>
      <c r="AU111">
        <f>AU110+AG111+K111</f>
        <v/>
      </c>
      <c r="AV111">
        <f>AU111*2.67*$B$6/1.8/60</f>
        <v/>
      </c>
      <c r="AW111">
        <f>IF(AT111&gt;=$B$36,1,0)</f>
        <v/>
      </c>
      <c r="AX111">
        <f>IF(AV111&gt;=$B$21,1,0)</f>
        <v/>
      </c>
    </row>
    <row r="112">
      <c r="A112" t="n">
        <v>39</v>
      </c>
      <c r="B112">
        <f>MATCH(A112-1,$D$61:$D$68,1)</f>
        <v/>
      </c>
      <c r="C112">
        <f>INDEX($G$61:$G$68,B112)</f>
        <v/>
      </c>
      <c r="D112">
        <f>INDEX($L$61:$L$68,B112)</f>
        <v/>
      </c>
      <c r="E112">
        <f>INDEX($M$61:$M$68,B112)</f>
        <v/>
      </c>
      <c r="F112">
        <f>INDEX($N$61:$N$68,B112)</f>
        <v/>
      </c>
      <c r="G112">
        <f>INDEX($AA$61:$AA$68,B112)</f>
        <v/>
      </c>
      <c r="H112">
        <f>INDEX($X$61:$X$68,B112)</f>
        <v/>
      </c>
      <c r="I112">
        <f>INDEX($AF$61:$AF$68,B112)</f>
        <v/>
      </c>
      <c r="J112">
        <f>INDEX($AC$61:$AC$68,B112)</f>
        <v/>
      </c>
      <c r="K112">
        <f>INDEX($AD$61:$AD$68,B112)</f>
        <v/>
      </c>
      <c r="L112">
        <f>INDEX($AG$61:$AG$68,B112)</f>
        <v/>
      </c>
      <c r="M112">
        <f>INDEX($AH$61:$AH$68,B112)</f>
        <v/>
      </c>
      <c r="N112">
        <f>INDEX($AI$61:$AI$68,B112)</f>
        <v/>
      </c>
      <c r="O112">
        <f>O111*$B$26+L112*(1-$B$26)</f>
        <v/>
      </c>
      <c r="P112">
        <f>$B$7*(O112-O111)*(1-AS111)</f>
        <v/>
      </c>
      <c r="Q112">
        <f>M112+0.51274*AT111</f>
        <v/>
      </c>
      <c r="R112">
        <f>N112+0.616*AT111</f>
        <v/>
      </c>
      <c r="S112">
        <f>IF($B$13&gt;=0.6,Q112,IF($B$13&lt;=0.2,R112,R112+2.5*(Q112-R112)*($B$13-0.2)))</f>
        <v/>
      </c>
      <c r="T112">
        <f>IF(A112=1,S112,T111*$B$27+S112*(1-$B$27))</f>
        <v/>
      </c>
      <c r="U112">
        <f>0.6105*EXP(17.27*T112/(T112+237.3))</f>
        <v/>
      </c>
      <c r="V112">
        <f>($B$14*(I112*C112+IF(ABS((D112+0.1)-D112)&lt;0.000000001,4*$B$19*$B$20*(D112+273)^3,$B$19*$B$20*(((D112+0.1)+273)^4-(D112+273)^4)/((D112+0.1)-D112))*D112)+T112/H112)/($B$14*(I112+IF(ABS((D112+0.1)-D112)&lt;0.000000001,4*$B$19*$B$20*(D112+273)^3,$B$19*$B$20*(((D112+0.1)+273)^4-(D112+273)^4)/((D112+0.1)-D112)))+1/H112)</f>
        <v/>
      </c>
      <c r="W112">
        <f>($B$14*(I112*C112+IF(ABS(V112-D112)&lt;0.000000001,4*$B$19*$B$20*(D112+273)^3,$B$19*$B$20*((V112+273)^4-(D112+273)^4)/(V112-D112))*D112)+T112/H112)/($B$14*(I112+IF(ABS(V112-D112)&lt;0.000000001,4*$B$19*$B$20*(D112+273)^3,$B$19*$B$20*((V112+273)^4-(D112+273)^4)/(V112-D112)))+1/H112)</f>
        <v/>
      </c>
      <c r="X112">
        <f>($B$14*(I112*C112+IF(ABS(W112-D112)&lt;0.000000001,4*$B$19*$B$20*(D112+273)^3,$B$19*$B$20*((W112+273)^4-(D112+273)^4)/(W112-D112))*D112)+T112/H112)/($B$14*(I112+IF(ABS(W112-D112)&lt;0.000000001,4*$B$19*$B$20*(D112+273)^3,$B$19*$B$20*((W112+273)^4-(D112+273)^4)/(W112-D112)))+1/H112)</f>
        <v/>
      </c>
      <c r="Y112">
        <f>($B$14*(I112*C112+IF(ABS(X112-D112)&lt;0.000000001,4*$B$19*$B$20*(D112+273)^3,$B$19*$B$20*((X112+273)^4-(D112+273)^4)/(X112-D112))*D112)+T112/H112)/($B$14*(I112+IF(ABS(X112-D112)&lt;0.000000001,4*$B$19*$B$20*(D112+273)^3,$B$19*$B$20*((X112+273)^4-(D112+273)^4)/(X112-D112)))+1/H112)</f>
        <v/>
      </c>
      <c r="Z112">
        <f>IF(ABS(Y112-D112)&lt;0.000000001,4*$B$19*$B$20*(D112+273)^3,$B$19*$B$20*((Y112+273)^4-(D112+273)^4)/(Y112-D112))</f>
        <v/>
      </c>
      <c r="AA112">
        <f>$B$14*I112*(Y112-C112)</f>
        <v/>
      </c>
      <c r="AB112">
        <f>$B$14*Z112*(Y112-D112)</f>
        <v/>
      </c>
      <c r="AC112">
        <f>IF((U112-E112)/G112=0,0.001,(U112-E112)/G112)</f>
        <v/>
      </c>
      <c r="AD112">
        <f>F112-P112-J112-K112-AA112-AB112</f>
        <v/>
      </c>
      <c r="AE112">
        <f>AD112/AC112</f>
        <v/>
      </c>
      <c r="AF112">
        <f>IF(AD112&lt;=0,0,IF(AC112&lt;=0,$B$11,IF(AE112&gt;=1.7,$B$11,MIN(AD112/MAX(0.05,IF(AE112&gt;1,(2-AE112)^2/2,1-AE112^2/2)),$B$11))))</f>
        <v/>
      </c>
      <c r="AG112">
        <f>AG111*$B$28+AF112*(1-$B$28)</f>
        <v/>
      </c>
      <c r="AH112">
        <f>IF(AND(AD112&gt;0,AC112&lt;=0),0,AC112)</f>
        <v/>
      </c>
      <c r="AI112">
        <f>AH112/MAX(AG112,0.000001)</f>
        <v/>
      </c>
      <c r="AJ112">
        <f>MIN(IF(AI112&gt;=0.5,-AI112+SQRT(AI112^2+2),1),$B$12)</f>
        <v/>
      </c>
      <c r="AK112">
        <f>IF(AG112&lt;=0,0,AJ112*AH112)</f>
        <v/>
      </c>
      <c r="AL112">
        <f>IF(AD112&lt;=0,0,AD112)</f>
        <v/>
      </c>
      <c r="AM112">
        <f>AL112-AK112+P112</f>
        <v/>
      </c>
      <c r="AN112">
        <f>((AM112/$B$7+T111*AS111/2-T112*MAX(0.1,MIN(0.3,0.3-0.09*(AR111-36.8)))/2)+AR111*(1-AS111/2))/(1-MAX(0.1,MIN(0.3,0.3-0.09*(AR111-36.8)))/2)</f>
        <v/>
      </c>
      <c r="AO112">
        <f>((AM112/$B$7+T111*AS111/2-T112*MAX(0.1,MIN(0.3,0.3-0.09*(AN112-36.8)))/2)+AR111*(1-AS111/2))/(1-MAX(0.1,MIN(0.3,0.3-0.09*(AN112-36.8)))/2)</f>
        <v/>
      </c>
      <c r="AP112">
        <f>((AM112/$B$7+T111*AS111/2-T112*MAX(0.1,MIN(0.3,0.3-0.09*(AO112-36.8)))/2)+AR111*(1-AS111/2))/(1-MAX(0.1,MIN(0.3,0.3-0.09*(AO112-36.8)))/2)</f>
        <v/>
      </c>
      <c r="AQ112">
        <f>((AM112/$B$7+T111*AS111/2-T112*MAX(0.1,MIN(0.3,0.3-0.09*(AP112-36.8)))/2)+AR111*(1-AS111/2))/(1-MAX(0.1,MIN(0.3,0.3-0.09*(AP112-36.8)))/2)</f>
        <v/>
      </c>
      <c r="AR112">
        <f>((AM112/$B$7+T111*AS111/2-T112*MAX(0.1,MIN(0.3,0.3-0.09*(AQ112-36.8)))/2)+AR111*(1-AS111/2))/(1-MAX(0.1,MIN(0.3,0.3-0.09*(AQ112-36.8)))/2)</f>
        <v/>
      </c>
      <c r="AS112">
        <f>MAX(0.1,MIN(0.3,0.3-0.09*(AR112-36.8)))</f>
        <v/>
      </c>
      <c r="AT112">
        <f>AT111+(2*AR112-1.962*AT111-1.31)/9</f>
        <v/>
      </c>
      <c r="AU112">
        <f>AU111+AG112+K112</f>
        <v/>
      </c>
      <c r="AV112">
        <f>AU112*2.67*$B$6/1.8/60</f>
        <v/>
      </c>
      <c r="AW112">
        <f>IF(AT112&gt;=$B$36,1,0)</f>
        <v/>
      </c>
      <c r="AX112">
        <f>IF(AV112&gt;=$B$21,1,0)</f>
        <v/>
      </c>
    </row>
    <row r="113">
      <c r="A113" t="n">
        <v>40</v>
      </c>
      <c r="B113">
        <f>MATCH(A113-1,$D$61:$D$68,1)</f>
        <v/>
      </c>
      <c r="C113">
        <f>INDEX($G$61:$G$68,B113)</f>
        <v/>
      </c>
      <c r="D113">
        <f>INDEX($L$61:$L$68,B113)</f>
        <v/>
      </c>
      <c r="E113">
        <f>INDEX($M$61:$M$68,B113)</f>
        <v/>
      </c>
      <c r="F113">
        <f>INDEX($N$61:$N$68,B113)</f>
        <v/>
      </c>
      <c r="G113">
        <f>INDEX($AA$61:$AA$68,B113)</f>
        <v/>
      </c>
      <c r="H113">
        <f>INDEX($X$61:$X$68,B113)</f>
        <v/>
      </c>
      <c r="I113">
        <f>INDEX($AF$61:$AF$68,B113)</f>
        <v/>
      </c>
      <c r="J113">
        <f>INDEX($AC$61:$AC$68,B113)</f>
        <v/>
      </c>
      <c r="K113">
        <f>INDEX($AD$61:$AD$68,B113)</f>
        <v/>
      </c>
      <c r="L113">
        <f>INDEX($AG$61:$AG$68,B113)</f>
        <v/>
      </c>
      <c r="M113">
        <f>INDEX($AH$61:$AH$68,B113)</f>
        <v/>
      </c>
      <c r="N113">
        <f>INDEX($AI$61:$AI$68,B113)</f>
        <v/>
      </c>
      <c r="O113">
        <f>O112*$B$26+L113*(1-$B$26)</f>
        <v/>
      </c>
      <c r="P113">
        <f>$B$7*(O113-O112)*(1-AS112)</f>
        <v/>
      </c>
      <c r="Q113">
        <f>M113+0.51274*AT112</f>
        <v/>
      </c>
      <c r="R113">
        <f>N113+0.616*AT112</f>
        <v/>
      </c>
      <c r="S113">
        <f>IF($B$13&gt;=0.6,Q113,IF($B$13&lt;=0.2,R113,R113+2.5*(Q113-R113)*($B$13-0.2)))</f>
        <v/>
      </c>
      <c r="T113">
        <f>IF(A113=1,S113,T112*$B$27+S113*(1-$B$27))</f>
        <v/>
      </c>
      <c r="U113">
        <f>0.6105*EXP(17.27*T113/(T113+237.3))</f>
        <v/>
      </c>
      <c r="V113">
        <f>($B$14*(I113*C113+IF(ABS((D113+0.1)-D113)&lt;0.000000001,4*$B$19*$B$20*(D113+273)^3,$B$19*$B$20*(((D113+0.1)+273)^4-(D113+273)^4)/((D113+0.1)-D113))*D113)+T113/H113)/($B$14*(I113+IF(ABS((D113+0.1)-D113)&lt;0.000000001,4*$B$19*$B$20*(D113+273)^3,$B$19*$B$20*(((D113+0.1)+273)^4-(D113+273)^4)/((D113+0.1)-D113)))+1/H113)</f>
        <v/>
      </c>
      <c r="W113">
        <f>($B$14*(I113*C113+IF(ABS(V113-D113)&lt;0.000000001,4*$B$19*$B$20*(D113+273)^3,$B$19*$B$20*((V113+273)^4-(D113+273)^4)/(V113-D113))*D113)+T113/H113)/($B$14*(I113+IF(ABS(V113-D113)&lt;0.000000001,4*$B$19*$B$20*(D113+273)^3,$B$19*$B$20*((V113+273)^4-(D113+273)^4)/(V113-D113)))+1/H113)</f>
        <v/>
      </c>
      <c r="X113">
        <f>($B$14*(I113*C113+IF(ABS(W113-D113)&lt;0.000000001,4*$B$19*$B$20*(D113+273)^3,$B$19*$B$20*((W113+273)^4-(D113+273)^4)/(W113-D113))*D113)+T113/H113)/($B$14*(I113+IF(ABS(W113-D113)&lt;0.000000001,4*$B$19*$B$20*(D113+273)^3,$B$19*$B$20*((W113+273)^4-(D113+273)^4)/(W113-D113)))+1/H113)</f>
        <v/>
      </c>
      <c r="Y113">
        <f>($B$14*(I113*C113+IF(ABS(X113-D113)&lt;0.000000001,4*$B$19*$B$20*(D113+273)^3,$B$19*$B$20*((X113+273)^4-(D113+273)^4)/(X113-D113))*D113)+T113/H113)/($B$14*(I113+IF(ABS(X113-D113)&lt;0.000000001,4*$B$19*$B$20*(D113+273)^3,$B$19*$B$20*((X113+273)^4-(D113+273)^4)/(X113-D113)))+1/H113)</f>
        <v/>
      </c>
      <c r="Z113">
        <f>IF(ABS(Y113-D113)&lt;0.000000001,4*$B$19*$B$20*(D113+273)^3,$B$19*$B$20*((Y113+273)^4-(D113+273)^4)/(Y113-D113))</f>
        <v/>
      </c>
      <c r="AA113">
        <f>$B$14*I113*(Y113-C113)</f>
        <v/>
      </c>
      <c r="AB113">
        <f>$B$14*Z113*(Y113-D113)</f>
        <v/>
      </c>
      <c r="AC113">
        <f>IF((U113-E113)/G113=0,0.001,(U113-E113)/G113)</f>
        <v/>
      </c>
      <c r="AD113">
        <f>F113-P113-J113-K113-AA113-AB113</f>
        <v/>
      </c>
      <c r="AE113">
        <f>AD113/AC113</f>
        <v/>
      </c>
      <c r="AF113">
        <f>IF(AD113&lt;=0,0,IF(AC113&lt;=0,$B$11,IF(AE113&gt;=1.7,$B$11,MIN(AD113/MAX(0.05,IF(AE113&gt;1,(2-AE113)^2/2,1-AE113^2/2)),$B$11))))</f>
        <v/>
      </c>
      <c r="AG113">
        <f>AG112*$B$28+AF113*(1-$B$28)</f>
        <v/>
      </c>
      <c r="AH113">
        <f>IF(AND(AD113&gt;0,AC113&lt;=0),0,AC113)</f>
        <v/>
      </c>
      <c r="AI113">
        <f>AH113/MAX(AG113,0.000001)</f>
        <v/>
      </c>
      <c r="AJ113">
        <f>MIN(IF(AI113&gt;=0.5,-AI113+SQRT(AI113^2+2),1),$B$12)</f>
        <v/>
      </c>
      <c r="AK113">
        <f>IF(AG113&lt;=0,0,AJ113*AH113)</f>
        <v/>
      </c>
      <c r="AL113">
        <f>IF(AD113&lt;=0,0,AD113)</f>
        <v/>
      </c>
      <c r="AM113">
        <f>AL113-AK113+P113</f>
        <v/>
      </c>
      <c r="AN113">
        <f>((AM113/$B$7+T112*AS112/2-T113*MAX(0.1,MIN(0.3,0.3-0.09*(AR112-36.8)))/2)+AR112*(1-AS112/2))/(1-MAX(0.1,MIN(0.3,0.3-0.09*(AR112-36.8)))/2)</f>
        <v/>
      </c>
      <c r="AO113">
        <f>((AM113/$B$7+T112*AS112/2-T113*MAX(0.1,MIN(0.3,0.3-0.09*(AN113-36.8)))/2)+AR112*(1-AS112/2))/(1-MAX(0.1,MIN(0.3,0.3-0.09*(AN113-36.8)))/2)</f>
        <v/>
      </c>
      <c r="AP113">
        <f>((AM113/$B$7+T112*AS112/2-T113*MAX(0.1,MIN(0.3,0.3-0.09*(AO113-36.8)))/2)+AR112*(1-AS112/2))/(1-MAX(0.1,MIN(0.3,0.3-0.09*(AO113-36.8)))/2)</f>
        <v/>
      </c>
      <c r="AQ113">
        <f>((AM113/$B$7+T112*AS112/2-T113*MAX(0.1,MIN(0.3,0.3-0.09*(AP113-36.8)))/2)+AR112*(1-AS112/2))/(1-MAX(0.1,MIN(0.3,0.3-0.09*(AP113-36.8)))/2)</f>
        <v/>
      </c>
      <c r="AR113">
        <f>((AM113/$B$7+T112*AS112/2-T113*MAX(0.1,MIN(0.3,0.3-0.09*(AQ113-36.8)))/2)+AR112*(1-AS112/2))/(1-MAX(0.1,MIN(0.3,0.3-0.09*(AQ113-36.8)))/2)</f>
        <v/>
      </c>
      <c r="AS113">
        <f>MAX(0.1,MIN(0.3,0.3-0.09*(AR113-36.8)))</f>
        <v/>
      </c>
      <c r="AT113">
        <f>AT112+(2*AR113-1.962*AT112-1.31)/9</f>
        <v/>
      </c>
      <c r="AU113">
        <f>AU112+AG113+K113</f>
        <v/>
      </c>
      <c r="AV113">
        <f>AU113*2.67*$B$6/1.8/60</f>
        <v/>
      </c>
      <c r="AW113">
        <f>IF(AT113&gt;=$B$36,1,0)</f>
        <v/>
      </c>
      <c r="AX113">
        <f>IF(AV113&gt;=$B$21,1,0)</f>
        <v/>
      </c>
    </row>
    <row r="114">
      <c r="A114" t="n">
        <v>41</v>
      </c>
      <c r="B114">
        <f>MATCH(A114-1,$D$61:$D$68,1)</f>
        <v/>
      </c>
      <c r="C114">
        <f>INDEX($G$61:$G$68,B114)</f>
        <v/>
      </c>
      <c r="D114">
        <f>INDEX($L$61:$L$68,B114)</f>
        <v/>
      </c>
      <c r="E114">
        <f>INDEX($M$61:$M$68,B114)</f>
        <v/>
      </c>
      <c r="F114">
        <f>INDEX($N$61:$N$68,B114)</f>
        <v/>
      </c>
      <c r="G114">
        <f>INDEX($AA$61:$AA$68,B114)</f>
        <v/>
      </c>
      <c r="H114">
        <f>INDEX($X$61:$X$68,B114)</f>
        <v/>
      </c>
      <c r="I114">
        <f>INDEX($AF$61:$AF$68,B114)</f>
        <v/>
      </c>
      <c r="J114">
        <f>INDEX($AC$61:$AC$68,B114)</f>
        <v/>
      </c>
      <c r="K114">
        <f>INDEX($AD$61:$AD$68,B114)</f>
        <v/>
      </c>
      <c r="L114">
        <f>INDEX($AG$61:$AG$68,B114)</f>
        <v/>
      </c>
      <c r="M114">
        <f>INDEX($AH$61:$AH$68,B114)</f>
        <v/>
      </c>
      <c r="N114">
        <f>INDEX($AI$61:$AI$68,B114)</f>
        <v/>
      </c>
      <c r="O114">
        <f>O113*$B$26+L114*(1-$B$26)</f>
        <v/>
      </c>
      <c r="P114">
        <f>$B$7*(O114-O113)*(1-AS113)</f>
        <v/>
      </c>
      <c r="Q114">
        <f>M114+0.51274*AT113</f>
        <v/>
      </c>
      <c r="R114">
        <f>N114+0.616*AT113</f>
        <v/>
      </c>
      <c r="S114">
        <f>IF($B$13&gt;=0.6,Q114,IF($B$13&lt;=0.2,R114,R114+2.5*(Q114-R114)*($B$13-0.2)))</f>
        <v/>
      </c>
      <c r="T114">
        <f>IF(A114=1,S114,T113*$B$27+S114*(1-$B$27))</f>
        <v/>
      </c>
      <c r="U114">
        <f>0.6105*EXP(17.27*T114/(T114+237.3))</f>
        <v/>
      </c>
      <c r="V114">
        <f>($B$14*(I114*C114+IF(ABS((D114+0.1)-D114)&lt;0.000000001,4*$B$19*$B$20*(D114+273)^3,$B$19*$B$20*(((D114+0.1)+273)^4-(D114+273)^4)/((D114+0.1)-D114))*D114)+T114/H114)/($B$14*(I114+IF(ABS((D114+0.1)-D114)&lt;0.000000001,4*$B$19*$B$20*(D114+273)^3,$B$19*$B$20*(((D114+0.1)+273)^4-(D114+273)^4)/((D114+0.1)-D114)))+1/H114)</f>
        <v/>
      </c>
      <c r="W114">
        <f>($B$14*(I114*C114+IF(ABS(V114-D114)&lt;0.000000001,4*$B$19*$B$20*(D114+273)^3,$B$19*$B$20*((V114+273)^4-(D114+273)^4)/(V114-D114))*D114)+T114/H114)/($B$14*(I114+IF(ABS(V114-D114)&lt;0.000000001,4*$B$19*$B$20*(D114+273)^3,$B$19*$B$20*((V114+273)^4-(D114+273)^4)/(V114-D114)))+1/H114)</f>
        <v/>
      </c>
      <c r="X114">
        <f>($B$14*(I114*C114+IF(ABS(W114-D114)&lt;0.000000001,4*$B$19*$B$20*(D114+273)^3,$B$19*$B$20*((W114+273)^4-(D114+273)^4)/(W114-D114))*D114)+T114/H114)/($B$14*(I114+IF(ABS(W114-D114)&lt;0.000000001,4*$B$19*$B$20*(D114+273)^3,$B$19*$B$20*((W114+273)^4-(D114+273)^4)/(W114-D114)))+1/H114)</f>
        <v/>
      </c>
      <c r="Y114">
        <f>($B$14*(I114*C114+IF(ABS(X114-D114)&lt;0.000000001,4*$B$19*$B$20*(D114+273)^3,$B$19*$B$20*((X114+273)^4-(D114+273)^4)/(X114-D114))*D114)+T114/H114)/($B$14*(I114+IF(ABS(X114-D114)&lt;0.000000001,4*$B$19*$B$20*(D114+273)^3,$B$19*$B$20*((X114+273)^4-(D114+273)^4)/(X114-D114)))+1/H114)</f>
        <v/>
      </c>
      <c r="Z114">
        <f>IF(ABS(Y114-D114)&lt;0.000000001,4*$B$19*$B$20*(D114+273)^3,$B$19*$B$20*((Y114+273)^4-(D114+273)^4)/(Y114-D114))</f>
        <v/>
      </c>
      <c r="AA114">
        <f>$B$14*I114*(Y114-C114)</f>
        <v/>
      </c>
      <c r="AB114">
        <f>$B$14*Z114*(Y114-D114)</f>
        <v/>
      </c>
      <c r="AC114">
        <f>IF((U114-E114)/G114=0,0.001,(U114-E114)/G114)</f>
        <v/>
      </c>
      <c r="AD114">
        <f>F114-P114-J114-K114-AA114-AB114</f>
        <v/>
      </c>
      <c r="AE114">
        <f>AD114/AC114</f>
        <v/>
      </c>
      <c r="AF114">
        <f>IF(AD114&lt;=0,0,IF(AC114&lt;=0,$B$11,IF(AE114&gt;=1.7,$B$11,MIN(AD114/MAX(0.05,IF(AE114&gt;1,(2-AE114)^2/2,1-AE114^2/2)),$B$11))))</f>
        <v/>
      </c>
      <c r="AG114">
        <f>AG113*$B$28+AF114*(1-$B$28)</f>
        <v/>
      </c>
      <c r="AH114">
        <f>IF(AND(AD114&gt;0,AC114&lt;=0),0,AC114)</f>
        <v/>
      </c>
      <c r="AI114">
        <f>AH114/MAX(AG114,0.000001)</f>
        <v/>
      </c>
      <c r="AJ114">
        <f>MIN(IF(AI114&gt;=0.5,-AI114+SQRT(AI114^2+2),1),$B$12)</f>
        <v/>
      </c>
      <c r="AK114">
        <f>IF(AG114&lt;=0,0,AJ114*AH114)</f>
        <v/>
      </c>
      <c r="AL114">
        <f>IF(AD114&lt;=0,0,AD114)</f>
        <v/>
      </c>
      <c r="AM114">
        <f>AL114-AK114+P114</f>
        <v/>
      </c>
      <c r="AN114">
        <f>((AM114/$B$7+T113*AS113/2-T114*MAX(0.1,MIN(0.3,0.3-0.09*(AR113-36.8)))/2)+AR113*(1-AS113/2))/(1-MAX(0.1,MIN(0.3,0.3-0.09*(AR113-36.8)))/2)</f>
        <v/>
      </c>
      <c r="AO114">
        <f>((AM114/$B$7+T113*AS113/2-T114*MAX(0.1,MIN(0.3,0.3-0.09*(AN114-36.8)))/2)+AR113*(1-AS113/2))/(1-MAX(0.1,MIN(0.3,0.3-0.09*(AN114-36.8)))/2)</f>
        <v/>
      </c>
      <c r="AP114">
        <f>((AM114/$B$7+T113*AS113/2-T114*MAX(0.1,MIN(0.3,0.3-0.09*(AO114-36.8)))/2)+AR113*(1-AS113/2))/(1-MAX(0.1,MIN(0.3,0.3-0.09*(AO114-36.8)))/2)</f>
        <v/>
      </c>
      <c r="AQ114">
        <f>((AM114/$B$7+T113*AS113/2-T114*MAX(0.1,MIN(0.3,0.3-0.09*(AP114-36.8)))/2)+AR113*(1-AS113/2))/(1-MAX(0.1,MIN(0.3,0.3-0.09*(AP114-36.8)))/2)</f>
        <v/>
      </c>
      <c r="AR114">
        <f>((AM114/$B$7+T113*AS113/2-T114*MAX(0.1,MIN(0.3,0.3-0.09*(AQ114-36.8)))/2)+AR113*(1-AS113/2))/(1-MAX(0.1,MIN(0.3,0.3-0.09*(AQ114-36.8)))/2)</f>
        <v/>
      </c>
      <c r="AS114">
        <f>MAX(0.1,MIN(0.3,0.3-0.09*(AR114-36.8)))</f>
        <v/>
      </c>
      <c r="AT114">
        <f>AT113+(2*AR114-1.962*AT113-1.31)/9</f>
        <v/>
      </c>
      <c r="AU114">
        <f>AU113+AG114+K114</f>
        <v/>
      </c>
      <c r="AV114">
        <f>AU114*2.67*$B$6/1.8/60</f>
        <v/>
      </c>
      <c r="AW114">
        <f>IF(AT114&gt;=$B$36,1,0)</f>
        <v/>
      </c>
      <c r="AX114">
        <f>IF(AV114&gt;=$B$21,1,0)</f>
        <v/>
      </c>
    </row>
    <row r="115">
      <c r="A115" t="n">
        <v>42</v>
      </c>
      <c r="B115">
        <f>MATCH(A115-1,$D$61:$D$68,1)</f>
        <v/>
      </c>
      <c r="C115">
        <f>INDEX($G$61:$G$68,B115)</f>
        <v/>
      </c>
      <c r="D115">
        <f>INDEX($L$61:$L$68,B115)</f>
        <v/>
      </c>
      <c r="E115">
        <f>INDEX($M$61:$M$68,B115)</f>
        <v/>
      </c>
      <c r="F115">
        <f>INDEX($N$61:$N$68,B115)</f>
        <v/>
      </c>
      <c r="G115">
        <f>INDEX($AA$61:$AA$68,B115)</f>
        <v/>
      </c>
      <c r="H115">
        <f>INDEX($X$61:$X$68,B115)</f>
        <v/>
      </c>
      <c r="I115">
        <f>INDEX($AF$61:$AF$68,B115)</f>
        <v/>
      </c>
      <c r="J115">
        <f>INDEX($AC$61:$AC$68,B115)</f>
        <v/>
      </c>
      <c r="K115">
        <f>INDEX($AD$61:$AD$68,B115)</f>
        <v/>
      </c>
      <c r="L115">
        <f>INDEX($AG$61:$AG$68,B115)</f>
        <v/>
      </c>
      <c r="M115">
        <f>INDEX($AH$61:$AH$68,B115)</f>
        <v/>
      </c>
      <c r="N115">
        <f>INDEX($AI$61:$AI$68,B115)</f>
        <v/>
      </c>
      <c r="O115">
        <f>O114*$B$26+L115*(1-$B$26)</f>
        <v/>
      </c>
      <c r="P115">
        <f>$B$7*(O115-O114)*(1-AS114)</f>
        <v/>
      </c>
      <c r="Q115">
        <f>M115+0.51274*AT114</f>
        <v/>
      </c>
      <c r="R115">
        <f>N115+0.616*AT114</f>
        <v/>
      </c>
      <c r="S115">
        <f>IF($B$13&gt;=0.6,Q115,IF($B$13&lt;=0.2,R115,R115+2.5*(Q115-R115)*($B$13-0.2)))</f>
        <v/>
      </c>
      <c r="T115">
        <f>IF(A115=1,S115,T114*$B$27+S115*(1-$B$27))</f>
        <v/>
      </c>
      <c r="U115">
        <f>0.6105*EXP(17.27*T115/(T115+237.3))</f>
        <v/>
      </c>
      <c r="V115">
        <f>($B$14*(I115*C115+IF(ABS((D115+0.1)-D115)&lt;0.000000001,4*$B$19*$B$20*(D115+273)^3,$B$19*$B$20*(((D115+0.1)+273)^4-(D115+273)^4)/((D115+0.1)-D115))*D115)+T115/H115)/($B$14*(I115+IF(ABS((D115+0.1)-D115)&lt;0.000000001,4*$B$19*$B$20*(D115+273)^3,$B$19*$B$20*(((D115+0.1)+273)^4-(D115+273)^4)/((D115+0.1)-D115)))+1/H115)</f>
        <v/>
      </c>
      <c r="W115">
        <f>($B$14*(I115*C115+IF(ABS(V115-D115)&lt;0.000000001,4*$B$19*$B$20*(D115+273)^3,$B$19*$B$20*((V115+273)^4-(D115+273)^4)/(V115-D115))*D115)+T115/H115)/($B$14*(I115+IF(ABS(V115-D115)&lt;0.000000001,4*$B$19*$B$20*(D115+273)^3,$B$19*$B$20*((V115+273)^4-(D115+273)^4)/(V115-D115)))+1/H115)</f>
        <v/>
      </c>
      <c r="X115">
        <f>($B$14*(I115*C115+IF(ABS(W115-D115)&lt;0.000000001,4*$B$19*$B$20*(D115+273)^3,$B$19*$B$20*((W115+273)^4-(D115+273)^4)/(W115-D115))*D115)+T115/H115)/($B$14*(I115+IF(ABS(W115-D115)&lt;0.000000001,4*$B$19*$B$20*(D115+273)^3,$B$19*$B$20*((W115+273)^4-(D115+273)^4)/(W115-D115)))+1/H115)</f>
        <v/>
      </c>
      <c r="Y115">
        <f>($B$14*(I115*C115+IF(ABS(X115-D115)&lt;0.000000001,4*$B$19*$B$20*(D115+273)^3,$B$19*$B$20*((X115+273)^4-(D115+273)^4)/(X115-D115))*D115)+T115/H115)/($B$14*(I115+IF(ABS(X115-D115)&lt;0.000000001,4*$B$19*$B$20*(D115+273)^3,$B$19*$B$20*((X115+273)^4-(D115+273)^4)/(X115-D115)))+1/H115)</f>
        <v/>
      </c>
      <c r="Z115">
        <f>IF(ABS(Y115-D115)&lt;0.000000001,4*$B$19*$B$20*(D115+273)^3,$B$19*$B$20*((Y115+273)^4-(D115+273)^4)/(Y115-D115))</f>
        <v/>
      </c>
      <c r="AA115">
        <f>$B$14*I115*(Y115-C115)</f>
        <v/>
      </c>
      <c r="AB115">
        <f>$B$14*Z115*(Y115-D115)</f>
        <v/>
      </c>
      <c r="AC115">
        <f>IF((U115-E115)/G115=0,0.001,(U115-E115)/G115)</f>
        <v/>
      </c>
      <c r="AD115">
        <f>F115-P115-J115-K115-AA115-AB115</f>
        <v/>
      </c>
      <c r="AE115">
        <f>AD115/AC115</f>
        <v/>
      </c>
      <c r="AF115">
        <f>IF(AD115&lt;=0,0,IF(AC115&lt;=0,$B$11,IF(AE115&gt;=1.7,$B$11,MIN(AD115/MAX(0.05,IF(AE115&gt;1,(2-AE115)^2/2,1-AE115^2/2)),$B$11))))</f>
        <v/>
      </c>
      <c r="AG115">
        <f>AG114*$B$28+AF115*(1-$B$28)</f>
        <v/>
      </c>
      <c r="AH115">
        <f>IF(AND(AD115&gt;0,AC115&lt;=0),0,AC115)</f>
        <v/>
      </c>
      <c r="AI115">
        <f>AH115/MAX(AG115,0.000001)</f>
        <v/>
      </c>
      <c r="AJ115">
        <f>MIN(IF(AI115&gt;=0.5,-AI115+SQRT(AI115^2+2),1),$B$12)</f>
        <v/>
      </c>
      <c r="AK115">
        <f>IF(AG115&lt;=0,0,AJ115*AH115)</f>
        <v/>
      </c>
      <c r="AL115">
        <f>IF(AD115&lt;=0,0,AD115)</f>
        <v/>
      </c>
      <c r="AM115">
        <f>AL115-AK115+P115</f>
        <v/>
      </c>
      <c r="AN115">
        <f>((AM115/$B$7+T114*AS114/2-T115*MAX(0.1,MIN(0.3,0.3-0.09*(AR114-36.8)))/2)+AR114*(1-AS114/2))/(1-MAX(0.1,MIN(0.3,0.3-0.09*(AR114-36.8)))/2)</f>
        <v/>
      </c>
      <c r="AO115">
        <f>((AM115/$B$7+T114*AS114/2-T115*MAX(0.1,MIN(0.3,0.3-0.09*(AN115-36.8)))/2)+AR114*(1-AS114/2))/(1-MAX(0.1,MIN(0.3,0.3-0.09*(AN115-36.8)))/2)</f>
        <v/>
      </c>
      <c r="AP115">
        <f>((AM115/$B$7+T114*AS114/2-T115*MAX(0.1,MIN(0.3,0.3-0.09*(AO115-36.8)))/2)+AR114*(1-AS114/2))/(1-MAX(0.1,MIN(0.3,0.3-0.09*(AO115-36.8)))/2)</f>
        <v/>
      </c>
      <c r="AQ115">
        <f>((AM115/$B$7+T114*AS114/2-T115*MAX(0.1,MIN(0.3,0.3-0.09*(AP115-36.8)))/2)+AR114*(1-AS114/2))/(1-MAX(0.1,MIN(0.3,0.3-0.09*(AP115-36.8)))/2)</f>
        <v/>
      </c>
      <c r="AR115">
        <f>((AM115/$B$7+T114*AS114/2-T115*MAX(0.1,MIN(0.3,0.3-0.09*(AQ115-36.8)))/2)+AR114*(1-AS114/2))/(1-MAX(0.1,MIN(0.3,0.3-0.09*(AQ115-36.8)))/2)</f>
        <v/>
      </c>
      <c r="AS115">
        <f>MAX(0.1,MIN(0.3,0.3-0.09*(AR115-36.8)))</f>
        <v/>
      </c>
      <c r="AT115">
        <f>AT114+(2*AR115-1.962*AT114-1.31)/9</f>
        <v/>
      </c>
      <c r="AU115">
        <f>AU114+AG115+K115</f>
        <v/>
      </c>
      <c r="AV115">
        <f>AU115*2.67*$B$6/1.8/60</f>
        <v/>
      </c>
      <c r="AW115">
        <f>IF(AT115&gt;=$B$36,1,0)</f>
        <v/>
      </c>
      <c r="AX115">
        <f>IF(AV115&gt;=$B$21,1,0)</f>
        <v/>
      </c>
    </row>
    <row r="116">
      <c r="A116" t="n">
        <v>43</v>
      </c>
      <c r="B116">
        <f>MATCH(A116-1,$D$61:$D$68,1)</f>
        <v/>
      </c>
      <c r="C116">
        <f>INDEX($G$61:$G$68,B116)</f>
        <v/>
      </c>
      <c r="D116">
        <f>INDEX($L$61:$L$68,B116)</f>
        <v/>
      </c>
      <c r="E116">
        <f>INDEX($M$61:$M$68,B116)</f>
        <v/>
      </c>
      <c r="F116">
        <f>INDEX($N$61:$N$68,B116)</f>
        <v/>
      </c>
      <c r="G116">
        <f>INDEX($AA$61:$AA$68,B116)</f>
        <v/>
      </c>
      <c r="H116">
        <f>INDEX($X$61:$X$68,B116)</f>
        <v/>
      </c>
      <c r="I116">
        <f>INDEX($AF$61:$AF$68,B116)</f>
        <v/>
      </c>
      <c r="J116">
        <f>INDEX($AC$61:$AC$68,B116)</f>
        <v/>
      </c>
      <c r="K116">
        <f>INDEX($AD$61:$AD$68,B116)</f>
        <v/>
      </c>
      <c r="L116">
        <f>INDEX($AG$61:$AG$68,B116)</f>
        <v/>
      </c>
      <c r="M116">
        <f>INDEX($AH$61:$AH$68,B116)</f>
        <v/>
      </c>
      <c r="N116">
        <f>INDEX($AI$61:$AI$68,B116)</f>
        <v/>
      </c>
      <c r="O116">
        <f>O115*$B$26+L116*(1-$B$26)</f>
        <v/>
      </c>
      <c r="P116">
        <f>$B$7*(O116-O115)*(1-AS115)</f>
        <v/>
      </c>
      <c r="Q116">
        <f>M116+0.51274*AT115</f>
        <v/>
      </c>
      <c r="R116">
        <f>N116+0.616*AT115</f>
        <v/>
      </c>
      <c r="S116">
        <f>IF($B$13&gt;=0.6,Q116,IF($B$13&lt;=0.2,R116,R116+2.5*(Q116-R116)*($B$13-0.2)))</f>
        <v/>
      </c>
      <c r="T116">
        <f>IF(A116=1,S116,T115*$B$27+S116*(1-$B$27))</f>
        <v/>
      </c>
      <c r="U116">
        <f>0.6105*EXP(17.27*T116/(T116+237.3))</f>
        <v/>
      </c>
      <c r="V116">
        <f>($B$14*(I116*C116+IF(ABS((D116+0.1)-D116)&lt;0.000000001,4*$B$19*$B$20*(D116+273)^3,$B$19*$B$20*(((D116+0.1)+273)^4-(D116+273)^4)/((D116+0.1)-D116))*D116)+T116/H116)/($B$14*(I116+IF(ABS((D116+0.1)-D116)&lt;0.000000001,4*$B$19*$B$20*(D116+273)^3,$B$19*$B$20*(((D116+0.1)+273)^4-(D116+273)^4)/((D116+0.1)-D116)))+1/H116)</f>
        <v/>
      </c>
      <c r="W116">
        <f>($B$14*(I116*C116+IF(ABS(V116-D116)&lt;0.000000001,4*$B$19*$B$20*(D116+273)^3,$B$19*$B$20*((V116+273)^4-(D116+273)^4)/(V116-D116))*D116)+T116/H116)/($B$14*(I116+IF(ABS(V116-D116)&lt;0.000000001,4*$B$19*$B$20*(D116+273)^3,$B$19*$B$20*((V116+273)^4-(D116+273)^4)/(V116-D116)))+1/H116)</f>
        <v/>
      </c>
      <c r="X116">
        <f>($B$14*(I116*C116+IF(ABS(W116-D116)&lt;0.000000001,4*$B$19*$B$20*(D116+273)^3,$B$19*$B$20*((W116+273)^4-(D116+273)^4)/(W116-D116))*D116)+T116/H116)/($B$14*(I116+IF(ABS(W116-D116)&lt;0.000000001,4*$B$19*$B$20*(D116+273)^3,$B$19*$B$20*((W116+273)^4-(D116+273)^4)/(W116-D116)))+1/H116)</f>
        <v/>
      </c>
      <c r="Y116">
        <f>($B$14*(I116*C116+IF(ABS(X116-D116)&lt;0.000000001,4*$B$19*$B$20*(D116+273)^3,$B$19*$B$20*((X116+273)^4-(D116+273)^4)/(X116-D116))*D116)+T116/H116)/($B$14*(I116+IF(ABS(X116-D116)&lt;0.000000001,4*$B$19*$B$20*(D116+273)^3,$B$19*$B$20*((X116+273)^4-(D116+273)^4)/(X116-D116)))+1/H116)</f>
        <v/>
      </c>
      <c r="Z116">
        <f>IF(ABS(Y116-D116)&lt;0.000000001,4*$B$19*$B$20*(D116+273)^3,$B$19*$B$20*((Y116+273)^4-(D116+273)^4)/(Y116-D116))</f>
        <v/>
      </c>
      <c r="AA116">
        <f>$B$14*I116*(Y116-C116)</f>
        <v/>
      </c>
      <c r="AB116">
        <f>$B$14*Z116*(Y116-D116)</f>
        <v/>
      </c>
      <c r="AC116">
        <f>IF((U116-E116)/G116=0,0.001,(U116-E116)/G116)</f>
        <v/>
      </c>
      <c r="AD116">
        <f>F116-P116-J116-K116-AA116-AB116</f>
        <v/>
      </c>
      <c r="AE116">
        <f>AD116/AC116</f>
        <v/>
      </c>
      <c r="AF116">
        <f>IF(AD116&lt;=0,0,IF(AC116&lt;=0,$B$11,IF(AE116&gt;=1.7,$B$11,MIN(AD116/MAX(0.05,IF(AE116&gt;1,(2-AE116)^2/2,1-AE116^2/2)),$B$11))))</f>
        <v/>
      </c>
      <c r="AG116">
        <f>AG115*$B$28+AF116*(1-$B$28)</f>
        <v/>
      </c>
      <c r="AH116">
        <f>IF(AND(AD116&gt;0,AC116&lt;=0),0,AC116)</f>
        <v/>
      </c>
      <c r="AI116">
        <f>AH116/MAX(AG116,0.000001)</f>
        <v/>
      </c>
      <c r="AJ116">
        <f>MIN(IF(AI116&gt;=0.5,-AI116+SQRT(AI116^2+2),1),$B$12)</f>
        <v/>
      </c>
      <c r="AK116">
        <f>IF(AG116&lt;=0,0,AJ116*AH116)</f>
        <v/>
      </c>
      <c r="AL116">
        <f>IF(AD116&lt;=0,0,AD116)</f>
        <v/>
      </c>
      <c r="AM116">
        <f>AL116-AK116+P116</f>
        <v/>
      </c>
      <c r="AN116">
        <f>((AM116/$B$7+T115*AS115/2-T116*MAX(0.1,MIN(0.3,0.3-0.09*(AR115-36.8)))/2)+AR115*(1-AS115/2))/(1-MAX(0.1,MIN(0.3,0.3-0.09*(AR115-36.8)))/2)</f>
        <v/>
      </c>
      <c r="AO116">
        <f>((AM116/$B$7+T115*AS115/2-T116*MAX(0.1,MIN(0.3,0.3-0.09*(AN116-36.8)))/2)+AR115*(1-AS115/2))/(1-MAX(0.1,MIN(0.3,0.3-0.09*(AN116-36.8)))/2)</f>
        <v/>
      </c>
      <c r="AP116">
        <f>((AM116/$B$7+T115*AS115/2-T116*MAX(0.1,MIN(0.3,0.3-0.09*(AO116-36.8)))/2)+AR115*(1-AS115/2))/(1-MAX(0.1,MIN(0.3,0.3-0.09*(AO116-36.8)))/2)</f>
        <v/>
      </c>
      <c r="AQ116">
        <f>((AM116/$B$7+T115*AS115/2-T116*MAX(0.1,MIN(0.3,0.3-0.09*(AP116-36.8)))/2)+AR115*(1-AS115/2))/(1-MAX(0.1,MIN(0.3,0.3-0.09*(AP116-36.8)))/2)</f>
        <v/>
      </c>
      <c r="AR116">
        <f>((AM116/$B$7+T115*AS115/2-T116*MAX(0.1,MIN(0.3,0.3-0.09*(AQ116-36.8)))/2)+AR115*(1-AS115/2))/(1-MAX(0.1,MIN(0.3,0.3-0.09*(AQ116-36.8)))/2)</f>
        <v/>
      </c>
      <c r="AS116">
        <f>MAX(0.1,MIN(0.3,0.3-0.09*(AR116-36.8)))</f>
        <v/>
      </c>
      <c r="AT116">
        <f>AT115+(2*AR116-1.962*AT115-1.31)/9</f>
        <v/>
      </c>
      <c r="AU116">
        <f>AU115+AG116+K116</f>
        <v/>
      </c>
      <c r="AV116">
        <f>AU116*2.67*$B$6/1.8/60</f>
        <v/>
      </c>
      <c r="AW116">
        <f>IF(AT116&gt;=$B$36,1,0)</f>
        <v/>
      </c>
      <c r="AX116">
        <f>IF(AV116&gt;=$B$21,1,0)</f>
        <v/>
      </c>
    </row>
    <row r="117">
      <c r="A117" t="n">
        <v>44</v>
      </c>
      <c r="B117">
        <f>MATCH(A117-1,$D$61:$D$68,1)</f>
        <v/>
      </c>
      <c r="C117">
        <f>INDEX($G$61:$G$68,B117)</f>
        <v/>
      </c>
      <c r="D117">
        <f>INDEX($L$61:$L$68,B117)</f>
        <v/>
      </c>
      <c r="E117">
        <f>INDEX($M$61:$M$68,B117)</f>
        <v/>
      </c>
      <c r="F117">
        <f>INDEX($N$61:$N$68,B117)</f>
        <v/>
      </c>
      <c r="G117">
        <f>INDEX($AA$61:$AA$68,B117)</f>
        <v/>
      </c>
      <c r="H117">
        <f>INDEX($X$61:$X$68,B117)</f>
        <v/>
      </c>
      <c r="I117">
        <f>INDEX($AF$61:$AF$68,B117)</f>
        <v/>
      </c>
      <c r="J117">
        <f>INDEX($AC$61:$AC$68,B117)</f>
        <v/>
      </c>
      <c r="K117">
        <f>INDEX($AD$61:$AD$68,B117)</f>
        <v/>
      </c>
      <c r="L117">
        <f>INDEX($AG$61:$AG$68,B117)</f>
        <v/>
      </c>
      <c r="M117">
        <f>INDEX($AH$61:$AH$68,B117)</f>
        <v/>
      </c>
      <c r="N117">
        <f>INDEX($AI$61:$AI$68,B117)</f>
        <v/>
      </c>
      <c r="O117">
        <f>O116*$B$26+L117*(1-$B$26)</f>
        <v/>
      </c>
      <c r="P117">
        <f>$B$7*(O117-O116)*(1-AS116)</f>
        <v/>
      </c>
      <c r="Q117">
        <f>M117+0.51274*AT116</f>
        <v/>
      </c>
      <c r="R117">
        <f>N117+0.616*AT116</f>
        <v/>
      </c>
      <c r="S117">
        <f>IF($B$13&gt;=0.6,Q117,IF($B$13&lt;=0.2,R117,R117+2.5*(Q117-R117)*($B$13-0.2)))</f>
        <v/>
      </c>
      <c r="T117">
        <f>IF(A117=1,S117,T116*$B$27+S117*(1-$B$27))</f>
        <v/>
      </c>
      <c r="U117">
        <f>0.6105*EXP(17.27*T117/(T117+237.3))</f>
        <v/>
      </c>
      <c r="V117">
        <f>($B$14*(I117*C117+IF(ABS((D117+0.1)-D117)&lt;0.000000001,4*$B$19*$B$20*(D117+273)^3,$B$19*$B$20*(((D117+0.1)+273)^4-(D117+273)^4)/((D117+0.1)-D117))*D117)+T117/H117)/($B$14*(I117+IF(ABS((D117+0.1)-D117)&lt;0.000000001,4*$B$19*$B$20*(D117+273)^3,$B$19*$B$20*(((D117+0.1)+273)^4-(D117+273)^4)/((D117+0.1)-D117)))+1/H117)</f>
        <v/>
      </c>
      <c r="W117">
        <f>($B$14*(I117*C117+IF(ABS(V117-D117)&lt;0.000000001,4*$B$19*$B$20*(D117+273)^3,$B$19*$B$20*((V117+273)^4-(D117+273)^4)/(V117-D117))*D117)+T117/H117)/($B$14*(I117+IF(ABS(V117-D117)&lt;0.000000001,4*$B$19*$B$20*(D117+273)^3,$B$19*$B$20*((V117+273)^4-(D117+273)^4)/(V117-D117)))+1/H117)</f>
        <v/>
      </c>
      <c r="X117">
        <f>($B$14*(I117*C117+IF(ABS(W117-D117)&lt;0.000000001,4*$B$19*$B$20*(D117+273)^3,$B$19*$B$20*((W117+273)^4-(D117+273)^4)/(W117-D117))*D117)+T117/H117)/($B$14*(I117+IF(ABS(W117-D117)&lt;0.000000001,4*$B$19*$B$20*(D117+273)^3,$B$19*$B$20*((W117+273)^4-(D117+273)^4)/(W117-D117)))+1/H117)</f>
        <v/>
      </c>
      <c r="Y117">
        <f>($B$14*(I117*C117+IF(ABS(X117-D117)&lt;0.000000001,4*$B$19*$B$20*(D117+273)^3,$B$19*$B$20*((X117+273)^4-(D117+273)^4)/(X117-D117))*D117)+T117/H117)/($B$14*(I117+IF(ABS(X117-D117)&lt;0.000000001,4*$B$19*$B$20*(D117+273)^3,$B$19*$B$20*((X117+273)^4-(D117+273)^4)/(X117-D117)))+1/H117)</f>
        <v/>
      </c>
      <c r="Z117">
        <f>IF(ABS(Y117-D117)&lt;0.000000001,4*$B$19*$B$20*(D117+273)^3,$B$19*$B$20*((Y117+273)^4-(D117+273)^4)/(Y117-D117))</f>
        <v/>
      </c>
      <c r="AA117">
        <f>$B$14*I117*(Y117-C117)</f>
        <v/>
      </c>
      <c r="AB117">
        <f>$B$14*Z117*(Y117-D117)</f>
        <v/>
      </c>
      <c r="AC117">
        <f>IF((U117-E117)/G117=0,0.001,(U117-E117)/G117)</f>
        <v/>
      </c>
      <c r="AD117">
        <f>F117-P117-J117-K117-AA117-AB117</f>
        <v/>
      </c>
      <c r="AE117">
        <f>AD117/AC117</f>
        <v/>
      </c>
      <c r="AF117">
        <f>IF(AD117&lt;=0,0,IF(AC117&lt;=0,$B$11,IF(AE117&gt;=1.7,$B$11,MIN(AD117/MAX(0.05,IF(AE117&gt;1,(2-AE117)^2/2,1-AE117^2/2)),$B$11))))</f>
        <v/>
      </c>
      <c r="AG117">
        <f>AG116*$B$28+AF117*(1-$B$28)</f>
        <v/>
      </c>
      <c r="AH117">
        <f>IF(AND(AD117&gt;0,AC117&lt;=0),0,AC117)</f>
        <v/>
      </c>
      <c r="AI117">
        <f>AH117/MAX(AG117,0.000001)</f>
        <v/>
      </c>
      <c r="AJ117">
        <f>MIN(IF(AI117&gt;=0.5,-AI117+SQRT(AI117^2+2),1),$B$12)</f>
        <v/>
      </c>
      <c r="AK117">
        <f>IF(AG117&lt;=0,0,AJ117*AH117)</f>
        <v/>
      </c>
      <c r="AL117">
        <f>IF(AD117&lt;=0,0,AD117)</f>
        <v/>
      </c>
      <c r="AM117">
        <f>AL117-AK117+P117</f>
        <v/>
      </c>
      <c r="AN117">
        <f>((AM117/$B$7+T116*AS116/2-T117*MAX(0.1,MIN(0.3,0.3-0.09*(AR116-36.8)))/2)+AR116*(1-AS116/2))/(1-MAX(0.1,MIN(0.3,0.3-0.09*(AR116-36.8)))/2)</f>
        <v/>
      </c>
      <c r="AO117">
        <f>((AM117/$B$7+T116*AS116/2-T117*MAX(0.1,MIN(0.3,0.3-0.09*(AN117-36.8)))/2)+AR116*(1-AS116/2))/(1-MAX(0.1,MIN(0.3,0.3-0.09*(AN117-36.8)))/2)</f>
        <v/>
      </c>
      <c r="AP117">
        <f>((AM117/$B$7+T116*AS116/2-T117*MAX(0.1,MIN(0.3,0.3-0.09*(AO117-36.8)))/2)+AR116*(1-AS116/2))/(1-MAX(0.1,MIN(0.3,0.3-0.09*(AO117-36.8)))/2)</f>
        <v/>
      </c>
      <c r="AQ117">
        <f>((AM117/$B$7+T116*AS116/2-T117*MAX(0.1,MIN(0.3,0.3-0.09*(AP117-36.8)))/2)+AR116*(1-AS116/2))/(1-MAX(0.1,MIN(0.3,0.3-0.09*(AP117-36.8)))/2)</f>
        <v/>
      </c>
      <c r="AR117">
        <f>((AM117/$B$7+T116*AS116/2-T117*MAX(0.1,MIN(0.3,0.3-0.09*(AQ117-36.8)))/2)+AR116*(1-AS116/2))/(1-MAX(0.1,MIN(0.3,0.3-0.09*(AQ117-36.8)))/2)</f>
        <v/>
      </c>
      <c r="AS117">
        <f>MAX(0.1,MIN(0.3,0.3-0.09*(AR117-36.8)))</f>
        <v/>
      </c>
      <c r="AT117">
        <f>AT116+(2*AR117-1.962*AT116-1.31)/9</f>
        <v/>
      </c>
      <c r="AU117">
        <f>AU116+AG117+K117</f>
        <v/>
      </c>
      <c r="AV117">
        <f>AU117*2.67*$B$6/1.8/60</f>
        <v/>
      </c>
      <c r="AW117">
        <f>IF(AT117&gt;=$B$36,1,0)</f>
        <v/>
      </c>
      <c r="AX117">
        <f>IF(AV117&gt;=$B$21,1,0)</f>
        <v/>
      </c>
    </row>
    <row r="118">
      <c r="A118" t="n">
        <v>45</v>
      </c>
      <c r="B118">
        <f>MATCH(A118-1,$D$61:$D$68,1)</f>
        <v/>
      </c>
      <c r="C118">
        <f>INDEX($G$61:$G$68,B118)</f>
        <v/>
      </c>
      <c r="D118">
        <f>INDEX($L$61:$L$68,B118)</f>
        <v/>
      </c>
      <c r="E118">
        <f>INDEX($M$61:$M$68,B118)</f>
        <v/>
      </c>
      <c r="F118">
        <f>INDEX($N$61:$N$68,B118)</f>
        <v/>
      </c>
      <c r="G118">
        <f>INDEX($AA$61:$AA$68,B118)</f>
        <v/>
      </c>
      <c r="H118">
        <f>INDEX($X$61:$X$68,B118)</f>
        <v/>
      </c>
      <c r="I118">
        <f>INDEX($AF$61:$AF$68,B118)</f>
        <v/>
      </c>
      <c r="J118">
        <f>INDEX($AC$61:$AC$68,B118)</f>
        <v/>
      </c>
      <c r="K118">
        <f>INDEX($AD$61:$AD$68,B118)</f>
        <v/>
      </c>
      <c r="L118">
        <f>INDEX($AG$61:$AG$68,B118)</f>
        <v/>
      </c>
      <c r="M118">
        <f>INDEX($AH$61:$AH$68,B118)</f>
        <v/>
      </c>
      <c r="N118">
        <f>INDEX($AI$61:$AI$68,B118)</f>
        <v/>
      </c>
      <c r="O118">
        <f>O117*$B$26+L118*(1-$B$26)</f>
        <v/>
      </c>
      <c r="P118">
        <f>$B$7*(O118-O117)*(1-AS117)</f>
        <v/>
      </c>
      <c r="Q118">
        <f>M118+0.51274*AT117</f>
        <v/>
      </c>
      <c r="R118">
        <f>N118+0.616*AT117</f>
        <v/>
      </c>
      <c r="S118">
        <f>IF($B$13&gt;=0.6,Q118,IF($B$13&lt;=0.2,R118,R118+2.5*(Q118-R118)*($B$13-0.2)))</f>
        <v/>
      </c>
      <c r="T118">
        <f>IF(A118=1,S118,T117*$B$27+S118*(1-$B$27))</f>
        <v/>
      </c>
      <c r="U118">
        <f>0.6105*EXP(17.27*T118/(T118+237.3))</f>
        <v/>
      </c>
      <c r="V118">
        <f>($B$14*(I118*C118+IF(ABS((D118+0.1)-D118)&lt;0.000000001,4*$B$19*$B$20*(D118+273)^3,$B$19*$B$20*(((D118+0.1)+273)^4-(D118+273)^4)/((D118+0.1)-D118))*D118)+T118/H118)/($B$14*(I118+IF(ABS((D118+0.1)-D118)&lt;0.000000001,4*$B$19*$B$20*(D118+273)^3,$B$19*$B$20*(((D118+0.1)+273)^4-(D118+273)^4)/((D118+0.1)-D118)))+1/H118)</f>
        <v/>
      </c>
      <c r="W118">
        <f>($B$14*(I118*C118+IF(ABS(V118-D118)&lt;0.000000001,4*$B$19*$B$20*(D118+273)^3,$B$19*$B$20*((V118+273)^4-(D118+273)^4)/(V118-D118))*D118)+T118/H118)/($B$14*(I118+IF(ABS(V118-D118)&lt;0.000000001,4*$B$19*$B$20*(D118+273)^3,$B$19*$B$20*((V118+273)^4-(D118+273)^4)/(V118-D118)))+1/H118)</f>
        <v/>
      </c>
      <c r="X118">
        <f>($B$14*(I118*C118+IF(ABS(W118-D118)&lt;0.000000001,4*$B$19*$B$20*(D118+273)^3,$B$19*$B$20*((W118+273)^4-(D118+273)^4)/(W118-D118))*D118)+T118/H118)/($B$14*(I118+IF(ABS(W118-D118)&lt;0.000000001,4*$B$19*$B$20*(D118+273)^3,$B$19*$B$20*((W118+273)^4-(D118+273)^4)/(W118-D118)))+1/H118)</f>
        <v/>
      </c>
      <c r="Y118">
        <f>($B$14*(I118*C118+IF(ABS(X118-D118)&lt;0.000000001,4*$B$19*$B$20*(D118+273)^3,$B$19*$B$20*((X118+273)^4-(D118+273)^4)/(X118-D118))*D118)+T118/H118)/($B$14*(I118+IF(ABS(X118-D118)&lt;0.000000001,4*$B$19*$B$20*(D118+273)^3,$B$19*$B$20*((X118+273)^4-(D118+273)^4)/(X118-D118)))+1/H118)</f>
        <v/>
      </c>
      <c r="Z118">
        <f>IF(ABS(Y118-D118)&lt;0.000000001,4*$B$19*$B$20*(D118+273)^3,$B$19*$B$20*((Y118+273)^4-(D118+273)^4)/(Y118-D118))</f>
        <v/>
      </c>
      <c r="AA118">
        <f>$B$14*I118*(Y118-C118)</f>
        <v/>
      </c>
      <c r="AB118">
        <f>$B$14*Z118*(Y118-D118)</f>
        <v/>
      </c>
      <c r="AC118">
        <f>IF((U118-E118)/G118=0,0.001,(U118-E118)/G118)</f>
        <v/>
      </c>
      <c r="AD118">
        <f>F118-P118-J118-K118-AA118-AB118</f>
        <v/>
      </c>
      <c r="AE118">
        <f>AD118/AC118</f>
        <v/>
      </c>
      <c r="AF118">
        <f>IF(AD118&lt;=0,0,IF(AC118&lt;=0,$B$11,IF(AE118&gt;=1.7,$B$11,MIN(AD118/MAX(0.05,IF(AE118&gt;1,(2-AE118)^2/2,1-AE118^2/2)),$B$11))))</f>
        <v/>
      </c>
      <c r="AG118">
        <f>AG117*$B$28+AF118*(1-$B$28)</f>
        <v/>
      </c>
      <c r="AH118">
        <f>IF(AND(AD118&gt;0,AC118&lt;=0),0,AC118)</f>
        <v/>
      </c>
      <c r="AI118">
        <f>AH118/MAX(AG118,0.000001)</f>
        <v/>
      </c>
      <c r="AJ118">
        <f>MIN(IF(AI118&gt;=0.5,-AI118+SQRT(AI118^2+2),1),$B$12)</f>
        <v/>
      </c>
      <c r="AK118">
        <f>IF(AG118&lt;=0,0,AJ118*AH118)</f>
        <v/>
      </c>
      <c r="AL118">
        <f>IF(AD118&lt;=0,0,AD118)</f>
        <v/>
      </c>
      <c r="AM118">
        <f>AL118-AK118+P118</f>
        <v/>
      </c>
      <c r="AN118">
        <f>((AM118/$B$7+T117*AS117/2-T118*MAX(0.1,MIN(0.3,0.3-0.09*(AR117-36.8)))/2)+AR117*(1-AS117/2))/(1-MAX(0.1,MIN(0.3,0.3-0.09*(AR117-36.8)))/2)</f>
        <v/>
      </c>
      <c r="AO118">
        <f>((AM118/$B$7+T117*AS117/2-T118*MAX(0.1,MIN(0.3,0.3-0.09*(AN118-36.8)))/2)+AR117*(1-AS117/2))/(1-MAX(0.1,MIN(0.3,0.3-0.09*(AN118-36.8)))/2)</f>
        <v/>
      </c>
      <c r="AP118">
        <f>((AM118/$B$7+T117*AS117/2-T118*MAX(0.1,MIN(0.3,0.3-0.09*(AO118-36.8)))/2)+AR117*(1-AS117/2))/(1-MAX(0.1,MIN(0.3,0.3-0.09*(AO118-36.8)))/2)</f>
        <v/>
      </c>
      <c r="AQ118">
        <f>((AM118/$B$7+T117*AS117/2-T118*MAX(0.1,MIN(0.3,0.3-0.09*(AP118-36.8)))/2)+AR117*(1-AS117/2))/(1-MAX(0.1,MIN(0.3,0.3-0.09*(AP118-36.8)))/2)</f>
        <v/>
      </c>
      <c r="AR118">
        <f>((AM118/$B$7+T117*AS117/2-T118*MAX(0.1,MIN(0.3,0.3-0.09*(AQ118-36.8)))/2)+AR117*(1-AS117/2))/(1-MAX(0.1,MIN(0.3,0.3-0.09*(AQ118-36.8)))/2)</f>
        <v/>
      </c>
      <c r="AS118">
        <f>MAX(0.1,MIN(0.3,0.3-0.09*(AR118-36.8)))</f>
        <v/>
      </c>
      <c r="AT118">
        <f>AT117+(2*AR118-1.962*AT117-1.31)/9</f>
        <v/>
      </c>
      <c r="AU118">
        <f>AU117+AG118+K118</f>
        <v/>
      </c>
      <c r="AV118">
        <f>AU118*2.67*$B$6/1.8/60</f>
        <v/>
      </c>
      <c r="AW118">
        <f>IF(AT118&gt;=$B$36,1,0)</f>
        <v/>
      </c>
      <c r="AX118">
        <f>IF(AV118&gt;=$B$21,1,0)</f>
        <v/>
      </c>
    </row>
    <row r="119">
      <c r="A119" t="n">
        <v>46</v>
      </c>
      <c r="B119">
        <f>MATCH(A119-1,$D$61:$D$68,1)</f>
        <v/>
      </c>
      <c r="C119">
        <f>INDEX($G$61:$G$68,B119)</f>
        <v/>
      </c>
      <c r="D119">
        <f>INDEX($L$61:$L$68,B119)</f>
        <v/>
      </c>
      <c r="E119">
        <f>INDEX($M$61:$M$68,B119)</f>
        <v/>
      </c>
      <c r="F119">
        <f>INDEX($N$61:$N$68,B119)</f>
        <v/>
      </c>
      <c r="G119">
        <f>INDEX($AA$61:$AA$68,B119)</f>
        <v/>
      </c>
      <c r="H119">
        <f>INDEX($X$61:$X$68,B119)</f>
        <v/>
      </c>
      <c r="I119">
        <f>INDEX($AF$61:$AF$68,B119)</f>
        <v/>
      </c>
      <c r="J119">
        <f>INDEX($AC$61:$AC$68,B119)</f>
        <v/>
      </c>
      <c r="K119">
        <f>INDEX($AD$61:$AD$68,B119)</f>
        <v/>
      </c>
      <c r="L119">
        <f>INDEX($AG$61:$AG$68,B119)</f>
        <v/>
      </c>
      <c r="M119">
        <f>INDEX($AH$61:$AH$68,B119)</f>
        <v/>
      </c>
      <c r="N119">
        <f>INDEX($AI$61:$AI$68,B119)</f>
        <v/>
      </c>
      <c r="O119">
        <f>O118*$B$26+L119*(1-$B$26)</f>
        <v/>
      </c>
      <c r="P119">
        <f>$B$7*(O119-O118)*(1-AS118)</f>
        <v/>
      </c>
      <c r="Q119">
        <f>M119+0.51274*AT118</f>
        <v/>
      </c>
      <c r="R119">
        <f>N119+0.616*AT118</f>
        <v/>
      </c>
      <c r="S119">
        <f>IF($B$13&gt;=0.6,Q119,IF($B$13&lt;=0.2,R119,R119+2.5*(Q119-R119)*($B$13-0.2)))</f>
        <v/>
      </c>
      <c r="T119">
        <f>IF(A119=1,S119,T118*$B$27+S119*(1-$B$27))</f>
        <v/>
      </c>
      <c r="U119">
        <f>0.6105*EXP(17.27*T119/(T119+237.3))</f>
        <v/>
      </c>
      <c r="V119">
        <f>($B$14*(I119*C119+IF(ABS((D119+0.1)-D119)&lt;0.000000001,4*$B$19*$B$20*(D119+273)^3,$B$19*$B$20*(((D119+0.1)+273)^4-(D119+273)^4)/((D119+0.1)-D119))*D119)+T119/H119)/($B$14*(I119+IF(ABS((D119+0.1)-D119)&lt;0.000000001,4*$B$19*$B$20*(D119+273)^3,$B$19*$B$20*(((D119+0.1)+273)^4-(D119+273)^4)/((D119+0.1)-D119)))+1/H119)</f>
        <v/>
      </c>
      <c r="W119">
        <f>($B$14*(I119*C119+IF(ABS(V119-D119)&lt;0.000000001,4*$B$19*$B$20*(D119+273)^3,$B$19*$B$20*((V119+273)^4-(D119+273)^4)/(V119-D119))*D119)+T119/H119)/($B$14*(I119+IF(ABS(V119-D119)&lt;0.000000001,4*$B$19*$B$20*(D119+273)^3,$B$19*$B$20*((V119+273)^4-(D119+273)^4)/(V119-D119)))+1/H119)</f>
        <v/>
      </c>
      <c r="X119">
        <f>($B$14*(I119*C119+IF(ABS(W119-D119)&lt;0.000000001,4*$B$19*$B$20*(D119+273)^3,$B$19*$B$20*((W119+273)^4-(D119+273)^4)/(W119-D119))*D119)+T119/H119)/($B$14*(I119+IF(ABS(W119-D119)&lt;0.000000001,4*$B$19*$B$20*(D119+273)^3,$B$19*$B$20*((W119+273)^4-(D119+273)^4)/(W119-D119)))+1/H119)</f>
        <v/>
      </c>
      <c r="Y119">
        <f>($B$14*(I119*C119+IF(ABS(X119-D119)&lt;0.000000001,4*$B$19*$B$20*(D119+273)^3,$B$19*$B$20*((X119+273)^4-(D119+273)^4)/(X119-D119))*D119)+T119/H119)/($B$14*(I119+IF(ABS(X119-D119)&lt;0.000000001,4*$B$19*$B$20*(D119+273)^3,$B$19*$B$20*((X119+273)^4-(D119+273)^4)/(X119-D119)))+1/H119)</f>
        <v/>
      </c>
      <c r="Z119">
        <f>IF(ABS(Y119-D119)&lt;0.000000001,4*$B$19*$B$20*(D119+273)^3,$B$19*$B$20*((Y119+273)^4-(D119+273)^4)/(Y119-D119))</f>
        <v/>
      </c>
      <c r="AA119">
        <f>$B$14*I119*(Y119-C119)</f>
        <v/>
      </c>
      <c r="AB119">
        <f>$B$14*Z119*(Y119-D119)</f>
        <v/>
      </c>
      <c r="AC119">
        <f>IF((U119-E119)/G119=0,0.001,(U119-E119)/G119)</f>
        <v/>
      </c>
      <c r="AD119">
        <f>F119-P119-J119-K119-AA119-AB119</f>
        <v/>
      </c>
      <c r="AE119">
        <f>AD119/AC119</f>
        <v/>
      </c>
      <c r="AF119">
        <f>IF(AD119&lt;=0,0,IF(AC119&lt;=0,$B$11,IF(AE119&gt;=1.7,$B$11,MIN(AD119/MAX(0.05,IF(AE119&gt;1,(2-AE119)^2/2,1-AE119^2/2)),$B$11))))</f>
        <v/>
      </c>
      <c r="AG119">
        <f>AG118*$B$28+AF119*(1-$B$28)</f>
        <v/>
      </c>
      <c r="AH119">
        <f>IF(AND(AD119&gt;0,AC119&lt;=0),0,AC119)</f>
        <v/>
      </c>
      <c r="AI119">
        <f>AH119/MAX(AG119,0.000001)</f>
        <v/>
      </c>
      <c r="AJ119">
        <f>MIN(IF(AI119&gt;=0.5,-AI119+SQRT(AI119^2+2),1),$B$12)</f>
        <v/>
      </c>
      <c r="AK119">
        <f>IF(AG119&lt;=0,0,AJ119*AH119)</f>
        <v/>
      </c>
      <c r="AL119">
        <f>IF(AD119&lt;=0,0,AD119)</f>
        <v/>
      </c>
      <c r="AM119">
        <f>AL119-AK119+P119</f>
        <v/>
      </c>
      <c r="AN119">
        <f>((AM119/$B$7+T118*AS118/2-T119*MAX(0.1,MIN(0.3,0.3-0.09*(AR118-36.8)))/2)+AR118*(1-AS118/2))/(1-MAX(0.1,MIN(0.3,0.3-0.09*(AR118-36.8)))/2)</f>
        <v/>
      </c>
      <c r="AO119">
        <f>((AM119/$B$7+T118*AS118/2-T119*MAX(0.1,MIN(0.3,0.3-0.09*(AN119-36.8)))/2)+AR118*(1-AS118/2))/(1-MAX(0.1,MIN(0.3,0.3-0.09*(AN119-36.8)))/2)</f>
        <v/>
      </c>
      <c r="AP119">
        <f>((AM119/$B$7+T118*AS118/2-T119*MAX(0.1,MIN(0.3,0.3-0.09*(AO119-36.8)))/2)+AR118*(1-AS118/2))/(1-MAX(0.1,MIN(0.3,0.3-0.09*(AO119-36.8)))/2)</f>
        <v/>
      </c>
      <c r="AQ119">
        <f>((AM119/$B$7+T118*AS118/2-T119*MAX(0.1,MIN(0.3,0.3-0.09*(AP119-36.8)))/2)+AR118*(1-AS118/2))/(1-MAX(0.1,MIN(0.3,0.3-0.09*(AP119-36.8)))/2)</f>
        <v/>
      </c>
      <c r="AR119">
        <f>((AM119/$B$7+T118*AS118/2-T119*MAX(0.1,MIN(0.3,0.3-0.09*(AQ119-36.8)))/2)+AR118*(1-AS118/2))/(1-MAX(0.1,MIN(0.3,0.3-0.09*(AQ119-36.8)))/2)</f>
        <v/>
      </c>
      <c r="AS119">
        <f>MAX(0.1,MIN(0.3,0.3-0.09*(AR119-36.8)))</f>
        <v/>
      </c>
      <c r="AT119">
        <f>AT118+(2*AR119-1.962*AT118-1.31)/9</f>
        <v/>
      </c>
      <c r="AU119">
        <f>AU118+AG119+K119</f>
        <v/>
      </c>
      <c r="AV119">
        <f>AU119*2.67*$B$6/1.8/60</f>
        <v/>
      </c>
      <c r="AW119">
        <f>IF(AT119&gt;=$B$36,1,0)</f>
        <v/>
      </c>
      <c r="AX119">
        <f>IF(AV119&gt;=$B$21,1,0)</f>
        <v/>
      </c>
    </row>
    <row r="120">
      <c r="A120" t="n">
        <v>47</v>
      </c>
      <c r="B120">
        <f>MATCH(A120-1,$D$61:$D$68,1)</f>
        <v/>
      </c>
      <c r="C120">
        <f>INDEX($G$61:$G$68,B120)</f>
        <v/>
      </c>
      <c r="D120">
        <f>INDEX($L$61:$L$68,B120)</f>
        <v/>
      </c>
      <c r="E120">
        <f>INDEX($M$61:$M$68,B120)</f>
        <v/>
      </c>
      <c r="F120">
        <f>INDEX($N$61:$N$68,B120)</f>
        <v/>
      </c>
      <c r="G120">
        <f>INDEX($AA$61:$AA$68,B120)</f>
        <v/>
      </c>
      <c r="H120">
        <f>INDEX($X$61:$X$68,B120)</f>
        <v/>
      </c>
      <c r="I120">
        <f>INDEX($AF$61:$AF$68,B120)</f>
        <v/>
      </c>
      <c r="J120">
        <f>INDEX($AC$61:$AC$68,B120)</f>
        <v/>
      </c>
      <c r="K120">
        <f>INDEX($AD$61:$AD$68,B120)</f>
        <v/>
      </c>
      <c r="L120">
        <f>INDEX($AG$61:$AG$68,B120)</f>
        <v/>
      </c>
      <c r="M120">
        <f>INDEX($AH$61:$AH$68,B120)</f>
        <v/>
      </c>
      <c r="N120">
        <f>INDEX($AI$61:$AI$68,B120)</f>
        <v/>
      </c>
      <c r="O120">
        <f>O119*$B$26+L120*(1-$B$26)</f>
        <v/>
      </c>
      <c r="P120">
        <f>$B$7*(O120-O119)*(1-AS119)</f>
        <v/>
      </c>
      <c r="Q120">
        <f>M120+0.51274*AT119</f>
        <v/>
      </c>
      <c r="R120">
        <f>N120+0.616*AT119</f>
        <v/>
      </c>
      <c r="S120">
        <f>IF($B$13&gt;=0.6,Q120,IF($B$13&lt;=0.2,R120,R120+2.5*(Q120-R120)*($B$13-0.2)))</f>
        <v/>
      </c>
      <c r="T120">
        <f>IF(A120=1,S120,T119*$B$27+S120*(1-$B$27))</f>
        <v/>
      </c>
      <c r="U120">
        <f>0.6105*EXP(17.27*T120/(T120+237.3))</f>
        <v/>
      </c>
      <c r="V120">
        <f>($B$14*(I120*C120+IF(ABS((D120+0.1)-D120)&lt;0.000000001,4*$B$19*$B$20*(D120+273)^3,$B$19*$B$20*(((D120+0.1)+273)^4-(D120+273)^4)/((D120+0.1)-D120))*D120)+T120/H120)/($B$14*(I120+IF(ABS((D120+0.1)-D120)&lt;0.000000001,4*$B$19*$B$20*(D120+273)^3,$B$19*$B$20*(((D120+0.1)+273)^4-(D120+273)^4)/((D120+0.1)-D120)))+1/H120)</f>
        <v/>
      </c>
      <c r="W120">
        <f>($B$14*(I120*C120+IF(ABS(V120-D120)&lt;0.000000001,4*$B$19*$B$20*(D120+273)^3,$B$19*$B$20*((V120+273)^4-(D120+273)^4)/(V120-D120))*D120)+T120/H120)/($B$14*(I120+IF(ABS(V120-D120)&lt;0.000000001,4*$B$19*$B$20*(D120+273)^3,$B$19*$B$20*((V120+273)^4-(D120+273)^4)/(V120-D120)))+1/H120)</f>
        <v/>
      </c>
      <c r="X120">
        <f>($B$14*(I120*C120+IF(ABS(W120-D120)&lt;0.000000001,4*$B$19*$B$20*(D120+273)^3,$B$19*$B$20*((W120+273)^4-(D120+273)^4)/(W120-D120))*D120)+T120/H120)/($B$14*(I120+IF(ABS(W120-D120)&lt;0.000000001,4*$B$19*$B$20*(D120+273)^3,$B$19*$B$20*((W120+273)^4-(D120+273)^4)/(W120-D120)))+1/H120)</f>
        <v/>
      </c>
      <c r="Y120">
        <f>($B$14*(I120*C120+IF(ABS(X120-D120)&lt;0.000000001,4*$B$19*$B$20*(D120+273)^3,$B$19*$B$20*((X120+273)^4-(D120+273)^4)/(X120-D120))*D120)+T120/H120)/($B$14*(I120+IF(ABS(X120-D120)&lt;0.000000001,4*$B$19*$B$20*(D120+273)^3,$B$19*$B$20*((X120+273)^4-(D120+273)^4)/(X120-D120)))+1/H120)</f>
        <v/>
      </c>
      <c r="Z120">
        <f>IF(ABS(Y120-D120)&lt;0.000000001,4*$B$19*$B$20*(D120+273)^3,$B$19*$B$20*((Y120+273)^4-(D120+273)^4)/(Y120-D120))</f>
        <v/>
      </c>
      <c r="AA120">
        <f>$B$14*I120*(Y120-C120)</f>
        <v/>
      </c>
      <c r="AB120">
        <f>$B$14*Z120*(Y120-D120)</f>
        <v/>
      </c>
      <c r="AC120">
        <f>IF((U120-E120)/G120=0,0.001,(U120-E120)/G120)</f>
        <v/>
      </c>
      <c r="AD120">
        <f>F120-P120-J120-K120-AA120-AB120</f>
        <v/>
      </c>
      <c r="AE120">
        <f>AD120/AC120</f>
        <v/>
      </c>
      <c r="AF120">
        <f>IF(AD120&lt;=0,0,IF(AC120&lt;=0,$B$11,IF(AE120&gt;=1.7,$B$11,MIN(AD120/MAX(0.05,IF(AE120&gt;1,(2-AE120)^2/2,1-AE120^2/2)),$B$11))))</f>
        <v/>
      </c>
      <c r="AG120">
        <f>AG119*$B$28+AF120*(1-$B$28)</f>
        <v/>
      </c>
      <c r="AH120">
        <f>IF(AND(AD120&gt;0,AC120&lt;=0),0,AC120)</f>
        <v/>
      </c>
      <c r="AI120">
        <f>AH120/MAX(AG120,0.000001)</f>
        <v/>
      </c>
      <c r="AJ120">
        <f>MIN(IF(AI120&gt;=0.5,-AI120+SQRT(AI120^2+2),1),$B$12)</f>
        <v/>
      </c>
      <c r="AK120">
        <f>IF(AG120&lt;=0,0,AJ120*AH120)</f>
        <v/>
      </c>
      <c r="AL120">
        <f>IF(AD120&lt;=0,0,AD120)</f>
        <v/>
      </c>
      <c r="AM120">
        <f>AL120-AK120+P120</f>
        <v/>
      </c>
      <c r="AN120">
        <f>((AM120/$B$7+T119*AS119/2-T120*MAX(0.1,MIN(0.3,0.3-0.09*(AR119-36.8)))/2)+AR119*(1-AS119/2))/(1-MAX(0.1,MIN(0.3,0.3-0.09*(AR119-36.8)))/2)</f>
        <v/>
      </c>
      <c r="AO120">
        <f>((AM120/$B$7+T119*AS119/2-T120*MAX(0.1,MIN(0.3,0.3-0.09*(AN120-36.8)))/2)+AR119*(1-AS119/2))/(1-MAX(0.1,MIN(0.3,0.3-0.09*(AN120-36.8)))/2)</f>
        <v/>
      </c>
      <c r="AP120">
        <f>((AM120/$B$7+T119*AS119/2-T120*MAX(0.1,MIN(0.3,0.3-0.09*(AO120-36.8)))/2)+AR119*(1-AS119/2))/(1-MAX(0.1,MIN(0.3,0.3-0.09*(AO120-36.8)))/2)</f>
        <v/>
      </c>
      <c r="AQ120">
        <f>((AM120/$B$7+T119*AS119/2-T120*MAX(0.1,MIN(0.3,0.3-0.09*(AP120-36.8)))/2)+AR119*(1-AS119/2))/(1-MAX(0.1,MIN(0.3,0.3-0.09*(AP120-36.8)))/2)</f>
        <v/>
      </c>
      <c r="AR120">
        <f>((AM120/$B$7+T119*AS119/2-T120*MAX(0.1,MIN(0.3,0.3-0.09*(AQ120-36.8)))/2)+AR119*(1-AS119/2))/(1-MAX(0.1,MIN(0.3,0.3-0.09*(AQ120-36.8)))/2)</f>
        <v/>
      </c>
      <c r="AS120">
        <f>MAX(0.1,MIN(0.3,0.3-0.09*(AR120-36.8)))</f>
        <v/>
      </c>
      <c r="AT120">
        <f>AT119+(2*AR120-1.962*AT119-1.31)/9</f>
        <v/>
      </c>
      <c r="AU120">
        <f>AU119+AG120+K120</f>
        <v/>
      </c>
      <c r="AV120">
        <f>AU120*2.67*$B$6/1.8/60</f>
        <v/>
      </c>
      <c r="AW120">
        <f>IF(AT120&gt;=$B$36,1,0)</f>
        <v/>
      </c>
      <c r="AX120">
        <f>IF(AV120&gt;=$B$21,1,0)</f>
        <v/>
      </c>
    </row>
    <row r="121">
      <c r="A121" t="n">
        <v>48</v>
      </c>
      <c r="B121">
        <f>MATCH(A121-1,$D$61:$D$68,1)</f>
        <v/>
      </c>
      <c r="C121">
        <f>INDEX($G$61:$G$68,B121)</f>
        <v/>
      </c>
      <c r="D121">
        <f>INDEX($L$61:$L$68,B121)</f>
        <v/>
      </c>
      <c r="E121">
        <f>INDEX($M$61:$M$68,B121)</f>
        <v/>
      </c>
      <c r="F121">
        <f>INDEX($N$61:$N$68,B121)</f>
        <v/>
      </c>
      <c r="G121">
        <f>INDEX($AA$61:$AA$68,B121)</f>
        <v/>
      </c>
      <c r="H121">
        <f>INDEX($X$61:$X$68,B121)</f>
        <v/>
      </c>
      <c r="I121">
        <f>INDEX($AF$61:$AF$68,B121)</f>
        <v/>
      </c>
      <c r="J121">
        <f>INDEX($AC$61:$AC$68,B121)</f>
        <v/>
      </c>
      <c r="K121">
        <f>INDEX($AD$61:$AD$68,B121)</f>
        <v/>
      </c>
      <c r="L121">
        <f>INDEX($AG$61:$AG$68,B121)</f>
        <v/>
      </c>
      <c r="M121">
        <f>INDEX($AH$61:$AH$68,B121)</f>
        <v/>
      </c>
      <c r="N121">
        <f>INDEX($AI$61:$AI$68,B121)</f>
        <v/>
      </c>
      <c r="O121">
        <f>O120*$B$26+L121*(1-$B$26)</f>
        <v/>
      </c>
      <c r="P121">
        <f>$B$7*(O121-O120)*(1-AS120)</f>
        <v/>
      </c>
      <c r="Q121">
        <f>M121+0.51274*AT120</f>
        <v/>
      </c>
      <c r="R121">
        <f>N121+0.616*AT120</f>
        <v/>
      </c>
      <c r="S121">
        <f>IF($B$13&gt;=0.6,Q121,IF($B$13&lt;=0.2,R121,R121+2.5*(Q121-R121)*($B$13-0.2)))</f>
        <v/>
      </c>
      <c r="T121">
        <f>IF(A121=1,S121,T120*$B$27+S121*(1-$B$27))</f>
        <v/>
      </c>
      <c r="U121">
        <f>0.6105*EXP(17.27*T121/(T121+237.3))</f>
        <v/>
      </c>
      <c r="V121">
        <f>($B$14*(I121*C121+IF(ABS((D121+0.1)-D121)&lt;0.000000001,4*$B$19*$B$20*(D121+273)^3,$B$19*$B$20*(((D121+0.1)+273)^4-(D121+273)^4)/((D121+0.1)-D121))*D121)+T121/H121)/($B$14*(I121+IF(ABS((D121+0.1)-D121)&lt;0.000000001,4*$B$19*$B$20*(D121+273)^3,$B$19*$B$20*(((D121+0.1)+273)^4-(D121+273)^4)/((D121+0.1)-D121)))+1/H121)</f>
        <v/>
      </c>
      <c r="W121">
        <f>($B$14*(I121*C121+IF(ABS(V121-D121)&lt;0.000000001,4*$B$19*$B$20*(D121+273)^3,$B$19*$B$20*((V121+273)^4-(D121+273)^4)/(V121-D121))*D121)+T121/H121)/($B$14*(I121+IF(ABS(V121-D121)&lt;0.000000001,4*$B$19*$B$20*(D121+273)^3,$B$19*$B$20*((V121+273)^4-(D121+273)^4)/(V121-D121)))+1/H121)</f>
        <v/>
      </c>
      <c r="X121">
        <f>($B$14*(I121*C121+IF(ABS(W121-D121)&lt;0.000000001,4*$B$19*$B$20*(D121+273)^3,$B$19*$B$20*((W121+273)^4-(D121+273)^4)/(W121-D121))*D121)+T121/H121)/($B$14*(I121+IF(ABS(W121-D121)&lt;0.000000001,4*$B$19*$B$20*(D121+273)^3,$B$19*$B$20*((W121+273)^4-(D121+273)^4)/(W121-D121)))+1/H121)</f>
        <v/>
      </c>
      <c r="Y121">
        <f>($B$14*(I121*C121+IF(ABS(X121-D121)&lt;0.000000001,4*$B$19*$B$20*(D121+273)^3,$B$19*$B$20*((X121+273)^4-(D121+273)^4)/(X121-D121))*D121)+T121/H121)/($B$14*(I121+IF(ABS(X121-D121)&lt;0.000000001,4*$B$19*$B$20*(D121+273)^3,$B$19*$B$20*((X121+273)^4-(D121+273)^4)/(X121-D121)))+1/H121)</f>
        <v/>
      </c>
      <c r="Z121">
        <f>IF(ABS(Y121-D121)&lt;0.000000001,4*$B$19*$B$20*(D121+273)^3,$B$19*$B$20*((Y121+273)^4-(D121+273)^4)/(Y121-D121))</f>
        <v/>
      </c>
      <c r="AA121">
        <f>$B$14*I121*(Y121-C121)</f>
        <v/>
      </c>
      <c r="AB121">
        <f>$B$14*Z121*(Y121-D121)</f>
        <v/>
      </c>
      <c r="AC121">
        <f>IF((U121-E121)/G121=0,0.001,(U121-E121)/G121)</f>
        <v/>
      </c>
      <c r="AD121">
        <f>F121-P121-J121-K121-AA121-AB121</f>
        <v/>
      </c>
      <c r="AE121">
        <f>AD121/AC121</f>
        <v/>
      </c>
      <c r="AF121">
        <f>IF(AD121&lt;=0,0,IF(AC121&lt;=0,$B$11,IF(AE121&gt;=1.7,$B$11,MIN(AD121/MAX(0.05,IF(AE121&gt;1,(2-AE121)^2/2,1-AE121^2/2)),$B$11))))</f>
        <v/>
      </c>
      <c r="AG121">
        <f>AG120*$B$28+AF121*(1-$B$28)</f>
        <v/>
      </c>
      <c r="AH121">
        <f>IF(AND(AD121&gt;0,AC121&lt;=0),0,AC121)</f>
        <v/>
      </c>
      <c r="AI121">
        <f>AH121/MAX(AG121,0.000001)</f>
        <v/>
      </c>
      <c r="AJ121">
        <f>MIN(IF(AI121&gt;=0.5,-AI121+SQRT(AI121^2+2),1),$B$12)</f>
        <v/>
      </c>
      <c r="AK121">
        <f>IF(AG121&lt;=0,0,AJ121*AH121)</f>
        <v/>
      </c>
      <c r="AL121">
        <f>IF(AD121&lt;=0,0,AD121)</f>
        <v/>
      </c>
      <c r="AM121">
        <f>AL121-AK121+P121</f>
        <v/>
      </c>
      <c r="AN121">
        <f>((AM121/$B$7+T120*AS120/2-T121*MAX(0.1,MIN(0.3,0.3-0.09*(AR120-36.8)))/2)+AR120*(1-AS120/2))/(1-MAX(0.1,MIN(0.3,0.3-0.09*(AR120-36.8)))/2)</f>
        <v/>
      </c>
      <c r="AO121">
        <f>((AM121/$B$7+T120*AS120/2-T121*MAX(0.1,MIN(0.3,0.3-0.09*(AN121-36.8)))/2)+AR120*(1-AS120/2))/(1-MAX(0.1,MIN(0.3,0.3-0.09*(AN121-36.8)))/2)</f>
        <v/>
      </c>
      <c r="AP121">
        <f>((AM121/$B$7+T120*AS120/2-T121*MAX(0.1,MIN(0.3,0.3-0.09*(AO121-36.8)))/2)+AR120*(1-AS120/2))/(1-MAX(0.1,MIN(0.3,0.3-0.09*(AO121-36.8)))/2)</f>
        <v/>
      </c>
      <c r="AQ121">
        <f>((AM121/$B$7+T120*AS120/2-T121*MAX(0.1,MIN(0.3,0.3-0.09*(AP121-36.8)))/2)+AR120*(1-AS120/2))/(1-MAX(0.1,MIN(0.3,0.3-0.09*(AP121-36.8)))/2)</f>
        <v/>
      </c>
      <c r="AR121">
        <f>((AM121/$B$7+T120*AS120/2-T121*MAX(0.1,MIN(0.3,0.3-0.09*(AQ121-36.8)))/2)+AR120*(1-AS120/2))/(1-MAX(0.1,MIN(0.3,0.3-0.09*(AQ121-36.8)))/2)</f>
        <v/>
      </c>
      <c r="AS121">
        <f>MAX(0.1,MIN(0.3,0.3-0.09*(AR121-36.8)))</f>
        <v/>
      </c>
      <c r="AT121">
        <f>AT120+(2*AR121-1.962*AT120-1.31)/9</f>
        <v/>
      </c>
      <c r="AU121">
        <f>AU120+AG121+K121</f>
        <v/>
      </c>
      <c r="AV121">
        <f>AU121*2.67*$B$6/1.8/60</f>
        <v/>
      </c>
      <c r="AW121">
        <f>IF(AT121&gt;=$B$36,1,0)</f>
        <v/>
      </c>
      <c r="AX121">
        <f>IF(AV121&gt;=$B$21,1,0)</f>
        <v/>
      </c>
    </row>
    <row r="122">
      <c r="A122" t="n">
        <v>49</v>
      </c>
      <c r="B122">
        <f>MATCH(A122-1,$D$61:$D$68,1)</f>
        <v/>
      </c>
      <c r="C122">
        <f>INDEX($G$61:$G$68,B122)</f>
        <v/>
      </c>
      <c r="D122">
        <f>INDEX($L$61:$L$68,B122)</f>
        <v/>
      </c>
      <c r="E122">
        <f>INDEX($M$61:$M$68,B122)</f>
        <v/>
      </c>
      <c r="F122">
        <f>INDEX($N$61:$N$68,B122)</f>
        <v/>
      </c>
      <c r="G122">
        <f>INDEX($AA$61:$AA$68,B122)</f>
        <v/>
      </c>
      <c r="H122">
        <f>INDEX($X$61:$X$68,B122)</f>
        <v/>
      </c>
      <c r="I122">
        <f>INDEX($AF$61:$AF$68,B122)</f>
        <v/>
      </c>
      <c r="J122">
        <f>INDEX($AC$61:$AC$68,B122)</f>
        <v/>
      </c>
      <c r="K122">
        <f>INDEX($AD$61:$AD$68,B122)</f>
        <v/>
      </c>
      <c r="L122">
        <f>INDEX($AG$61:$AG$68,B122)</f>
        <v/>
      </c>
      <c r="M122">
        <f>INDEX($AH$61:$AH$68,B122)</f>
        <v/>
      </c>
      <c r="N122">
        <f>INDEX($AI$61:$AI$68,B122)</f>
        <v/>
      </c>
      <c r="O122">
        <f>O121*$B$26+L122*(1-$B$26)</f>
        <v/>
      </c>
      <c r="P122">
        <f>$B$7*(O122-O121)*(1-AS121)</f>
        <v/>
      </c>
      <c r="Q122">
        <f>M122+0.51274*AT121</f>
        <v/>
      </c>
      <c r="R122">
        <f>N122+0.616*AT121</f>
        <v/>
      </c>
      <c r="S122">
        <f>IF($B$13&gt;=0.6,Q122,IF($B$13&lt;=0.2,R122,R122+2.5*(Q122-R122)*($B$13-0.2)))</f>
        <v/>
      </c>
      <c r="T122">
        <f>IF(A122=1,S122,T121*$B$27+S122*(1-$B$27))</f>
        <v/>
      </c>
      <c r="U122">
        <f>0.6105*EXP(17.27*T122/(T122+237.3))</f>
        <v/>
      </c>
      <c r="V122">
        <f>($B$14*(I122*C122+IF(ABS((D122+0.1)-D122)&lt;0.000000001,4*$B$19*$B$20*(D122+273)^3,$B$19*$B$20*(((D122+0.1)+273)^4-(D122+273)^4)/((D122+0.1)-D122))*D122)+T122/H122)/($B$14*(I122+IF(ABS((D122+0.1)-D122)&lt;0.000000001,4*$B$19*$B$20*(D122+273)^3,$B$19*$B$20*(((D122+0.1)+273)^4-(D122+273)^4)/((D122+0.1)-D122)))+1/H122)</f>
        <v/>
      </c>
      <c r="W122">
        <f>($B$14*(I122*C122+IF(ABS(V122-D122)&lt;0.000000001,4*$B$19*$B$20*(D122+273)^3,$B$19*$B$20*((V122+273)^4-(D122+273)^4)/(V122-D122))*D122)+T122/H122)/($B$14*(I122+IF(ABS(V122-D122)&lt;0.000000001,4*$B$19*$B$20*(D122+273)^3,$B$19*$B$20*((V122+273)^4-(D122+273)^4)/(V122-D122)))+1/H122)</f>
        <v/>
      </c>
      <c r="X122">
        <f>($B$14*(I122*C122+IF(ABS(W122-D122)&lt;0.000000001,4*$B$19*$B$20*(D122+273)^3,$B$19*$B$20*((W122+273)^4-(D122+273)^4)/(W122-D122))*D122)+T122/H122)/($B$14*(I122+IF(ABS(W122-D122)&lt;0.000000001,4*$B$19*$B$20*(D122+273)^3,$B$19*$B$20*((W122+273)^4-(D122+273)^4)/(W122-D122)))+1/H122)</f>
        <v/>
      </c>
      <c r="Y122">
        <f>($B$14*(I122*C122+IF(ABS(X122-D122)&lt;0.000000001,4*$B$19*$B$20*(D122+273)^3,$B$19*$B$20*((X122+273)^4-(D122+273)^4)/(X122-D122))*D122)+T122/H122)/($B$14*(I122+IF(ABS(X122-D122)&lt;0.000000001,4*$B$19*$B$20*(D122+273)^3,$B$19*$B$20*((X122+273)^4-(D122+273)^4)/(X122-D122)))+1/H122)</f>
        <v/>
      </c>
      <c r="Z122">
        <f>IF(ABS(Y122-D122)&lt;0.000000001,4*$B$19*$B$20*(D122+273)^3,$B$19*$B$20*((Y122+273)^4-(D122+273)^4)/(Y122-D122))</f>
        <v/>
      </c>
      <c r="AA122">
        <f>$B$14*I122*(Y122-C122)</f>
        <v/>
      </c>
      <c r="AB122">
        <f>$B$14*Z122*(Y122-D122)</f>
        <v/>
      </c>
      <c r="AC122">
        <f>IF((U122-E122)/G122=0,0.001,(U122-E122)/G122)</f>
        <v/>
      </c>
      <c r="AD122">
        <f>F122-P122-J122-K122-AA122-AB122</f>
        <v/>
      </c>
      <c r="AE122">
        <f>AD122/AC122</f>
        <v/>
      </c>
      <c r="AF122">
        <f>IF(AD122&lt;=0,0,IF(AC122&lt;=0,$B$11,IF(AE122&gt;=1.7,$B$11,MIN(AD122/MAX(0.05,IF(AE122&gt;1,(2-AE122)^2/2,1-AE122^2/2)),$B$11))))</f>
        <v/>
      </c>
      <c r="AG122">
        <f>AG121*$B$28+AF122*(1-$B$28)</f>
        <v/>
      </c>
      <c r="AH122">
        <f>IF(AND(AD122&gt;0,AC122&lt;=0),0,AC122)</f>
        <v/>
      </c>
      <c r="AI122">
        <f>AH122/MAX(AG122,0.000001)</f>
        <v/>
      </c>
      <c r="AJ122">
        <f>MIN(IF(AI122&gt;=0.5,-AI122+SQRT(AI122^2+2),1),$B$12)</f>
        <v/>
      </c>
      <c r="AK122">
        <f>IF(AG122&lt;=0,0,AJ122*AH122)</f>
        <v/>
      </c>
      <c r="AL122">
        <f>IF(AD122&lt;=0,0,AD122)</f>
        <v/>
      </c>
      <c r="AM122">
        <f>AL122-AK122+P122</f>
        <v/>
      </c>
      <c r="AN122">
        <f>((AM122/$B$7+T121*AS121/2-T122*MAX(0.1,MIN(0.3,0.3-0.09*(AR121-36.8)))/2)+AR121*(1-AS121/2))/(1-MAX(0.1,MIN(0.3,0.3-0.09*(AR121-36.8)))/2)</f>
        <v/>
      </c>
      <c r="AO122">
        <f>((AM122/$B$7+T121*AS121/2-T122*MAX(0.1,MIN(0.3,0.3-0.09*(AN122-36.8)))/2)+AR121*(1-AS121/2))/(1-MAX(0.1,MIN(0.3,0.3-0.09*(AN122-36.8)))/2)</f>
        <v/>
      </c>
      <c r="AP122">
        <f>((AM122/$B$7+T121*AS121/2-T122*MAX(0.1,MIN(0.3,0.3-0.09*(AO122-36.8)))/2)+AR121*(1-AS121/2))/(1-MAX(0.1,MIN(0.3,0.3-0.09*(AO122-36.8)))/2)</f>
        <v/>
      </c>
      <c r="AQ122">
        <f>((AM122/$B$7+T121*AS121/2-T122*MAX(0.1,MIN(0.3,0.3-0.09*(AP122-36.8)))/2)+AR121*(1-AS121/2))/(1-MAX(0.1,MIN(0.3,0.3-0.09*(AP122-36.8)))/2)</f>
        <v/>
      </c>
      <c r="AR122">
        <f>((AM122/$B$7+T121*AS121/2-T122*MAX(0.1,MIN(0.3,0.3-0.09*(AQ122-36.8)))/2)+AR121*(1-AS121/2))/(1-MAX(0.1,MIN(0.3,0.3-0.09*(AQ122-36.8)))/2)</f>
        <v/>
      </c>
      <c r="AS122">
        <f>MAX(0.1,MIN(0.3,0.3-0.09*(AR122-36.8)))</f>
        <v/>
      </c>
      <c r="AT122">
        <f>AT121+(2*AR122-1.962*AT121-1.31)/9</f>
        <v/>
      </c>
      <c r="AU122">
        <f>AU121+AG122+K122</f>
        <v/>
      </c>
      <c r="AV122">
        <f>AU122*2.67*$B$6/1.8/60</f>
        <v/>
      </c>
      <c r="AW122">
        <f>IF(AT122&gt;=$B$36,1,0)</f>
        <v/>
      </c>
      <c r="AX122">
        <f>IF(AV122&gt;=$B$21,1,0)</f>
        <v/>
      </c>
    </row>
    <row r="123">
      <c r="A123" t="n">
        <v>50</v>
      </c>
      <c r="B123">
        <f>MATCH(A123-1,$D$61:$D$68,1)</f>
        <v/>
      </c>
      <c r="C123">
        <f>INDEX($G$61:$G$68,B123)</f>
        <v/>
      </c>
      <c r="D123">
        <f>INDEX($L$61:$L$68,B123)</f>
        <v/>
      </c>
      <c r="E123">
        <f>INDEX($M$61:$M$68,B123)</f>
        <v/>
      </c>
      <c r="F123">
        <f>INDEX($N$61:$N$68,B123)</f>
        <v/>
      </c>
      <c r="G123">
        <f>INDEX($AA$61:$AA$68,B123)</f>
        <v/>
      </c>
      <c r="H123">
        <f>INDEX($X$61:$X$68,B123)</f>
        <v/>
      </c>
      <c r="I123">
        <f>INDEX($AF$61:$AF$68,B123)</f>
        <v/>
      </c>
      <c r="J123">
        <f>INDEX($AC$61:$AC$68,B123)</f>
        <v/>
      </c>
      <c r="K123">
        <f>INDEX($AD$61:$AD$68,B123)</f>
        <v/>
      </c>
      <c r="L123">
        <f>INDEX($AG$61:$AG$68,B123)</f>
        <v/>
      </c>
      <c r="M123">
        <f>INDEX($AH$61:$AH$68,B123)</f>
        <v/>
      </c>
      <c r="N123">
        <f>INDEX($AI$61:$AI$68,B123)</f>
        <v/>
      </c>
      <c r="O123">
        <f>O122*$B$26+L123*(1-$B$26)</f>
        <v/>
      </c>
      <c r="P123">
        <f>$B$7*(O123-O122)*(1-AS122)</f>
        <v/>
      </c>
      <c r="Q123">
        <f>M123+0.51274*AT122</f>
        <v/>
      </c>
      <c r="R123">
        <f>N123+0.616*AT122</f>
        <v/>
      </c>
      <c r="S123">
        <f>IF($B$13&gt;=0.6,Q123,IF($B$13&lt;=0.2,R123,R123+2.5*(Q123-R123)*($B$13-0.2)))</f>
        <v/>
      </c>
      <c r="T123">
        <f>IF(A123=1,S123,T122*$B$27+S123*(1-$B$27))</f>
        <v/>
      </c>
      <c r="U123">
        <f>0.6105*EXP(17.27*T123/(T123+237.3))</f>
        <v/>
      </c>
      <c r="V123">
        <f>($B$14*(I123*C123+IF(ABS((D123+0.1)-D123)&lt;0.000000001,4*$B$19*$B$20*(D123+273)^3,$B$19*$B$20*(((D123+0.1)+273)^4-(D123+273)^4)/((D123+0.1)-D123))*D123)+T123/H123)/($B$14*(I123+IF(ABS((D123+0.1)-D123)&lt;0.000000001,4*$B$19*$B$20*(D123+273)^3,$B$19*$B$20*(((D123+0.1)+273)^4-(D123+273)^4)/((D123+0.1)-D123)))+1/H123)</f>
        <v/>
      </c>
      <c r="W123">
        <f>($B$14*(I123*C123+IF(ABS(V123-D123)&lt;0.000000001,4*$B$19*$B$20*(D123+273)^3,$B$19*$B$20*((V123+273)^4-(D123+273)^4)/(V123-D123))*D123)+T123/H123)/($B$14*(I123+IF(ABS(V123-D123)&lt;0.000000001,4*$B$19*$B$20*(D123+273)^3,$B$19*$B$20*((V123+273)^4-(D123+273)^4)/(V123-D123)))+1/H123)</f>
        <v/>
      </c>
      <c r="X123">
        <f>($B$14*(I123*C123+IF(ABS(W123-D123)&lt;0.000000001,4*$B$19*$B$20*(D123+273)^3,$B$19*$B$20*((W123+273)^4-(D123+273)^4)/(W123-D123))*D123)+T123/H123)/($B$14*(I123+IF(ABS(W123-D123)&lt;0.000000001,4*$B$19*$B$20*(D123+273)^3,$B$19*$B$20*((W123+273)^4-(D123+273)^4)/(W123-D123)))+1/H123)</f>
        <v/>
      </c>
      <c r="Y123">
        <f>($B$14*(I123*C123+IF(ABS(X123-D123)&lt;0.000000001,4*$B$19*$B$20*(D123+273)^3,$B$19*$B$20*((X123+273)^4-(D123+273)^4)/(X123-D123))*D123)+T123/H123)/($B$14*(I123+IF(ABS(X123-D123)&lt;0.000000001,4*$B$19*$B$20*(D123+273)^3,$B$19*$B$20*((X123+273)^4-(D123+273)^4)/(X123-D123)))+1/H123)</f>
        <v/>
      </c>
      <c r="Z123">
        <f>IF(ABS(Y123-D123)&lt;0.000000001,4*$B$19*$B$20*(D123+273)^3,$B$19*$B$20*((Y123+273)^4-(D123+273)^4)/(Y123-D123))</f>
        <v/>
      </c>
      <c r="AA123">
        <f>$B$14*I123*(Y123-C123)</f>
        <v/>
      </c>
      <c r="AB123">
        <f>$B$14*Z123*(Y123-D123)</f>
        <v/>
      </c>
      <c r="AC123">
        <f>IF((U123-E123)/G123=0,0.001,(U123-E123)/G123)</f>
        <v/>
      </c>
      <c r="AD123">
        <f>F123-P123-J123-K123-AA123-AB123</f>
        <v/>
      </c>
      <c r="AE123">
        <f>AD123/AC123</f>
        <v/>
      </c>
      <c r="AF123">
        <f>IF(AD123&lt;=0,0,IF(AC123&lt;=0,$B$11,IF(AE123&gt;=1.7,$B$11,MIN(AD123/MAX(0.05,IF(AE123&gt;1,(2-AE123)^2/2,1-AE123^2/2)),$B$11))))</f>
        <v/>
      </c>
      <c r="AG123">
        <f>AG122*$B$28+AF123*(1-$B$28)</f>
        <v/>
      </c>
      <c r="AH123">
        <f>IF(AND(AD123&gt;0,AC123&lt;=0),0,AC123)</f>
        <v/>
      </c>
      <c r="AI123">
        <f>AH123/MAX(AG123,0.000001)</f>
        <v/>
      </c>
      <c r="AJ123">
        <f>MIN(IF(AI123&gt;=0.5,-AI123+SQRT(AI123^2+2),1),$B$12)</f>
        <v/>
      </c>
      <c r="AK123">
        <f>IF(AG123&lt;=0,0,AJ123*AH123)</f>
        <v/>
      </c>
      <c r="AL123">
        <f>IF(AD123&lt;=0,0,AD123)</f>
        <v/>
      </c>
      <c r="AM123">
        <f>AL123-AK123+P123</f>
        <v/>
      </c>
      <c r="AN123">
        <f>((AM123/$B$7+T122*AS122/2-T123*MAX(0.1,MIN(0.3,0.3-0.09*(AR122-36.8)))/2)+AR122*(1-AS122/2))/(1-MAX(0.1,MIN(0.3,0.3-0.09*(AR122-36.8)))/2)</f>
        <v/>
      </c>
      <c r="AO123">
        <f>((AM123/$B$7+T122*AS122/2-T123*MAX(0.1,MIN(0.3,0.3-0.09*(AN123-36.8)))/2)+AR122*(1-AS122/2))/(1-MAX(0.1,MIN(0.3,0.3-0.09*(AN123-36.8)))/2)</f>
        <v/>
      </c>
      <c r="AP123">
        <f>((AM123/$B$7+T122*AS122/2-T123*MAX(0.1,MIN(0.3,0.3-0.09*(AO123-36.8)))/2)+AR122*(1-AS122/2))/(1-MAX(0.1,MIN(0.3,0.3-0.09*(AO123-36.8)))/2)</f>
        <v/>
      </c>
      <c r="AQ123">
        <f>((AM123/$B$7+T122*AS122/2-T123*MAX(0.1,MIN(0.3,0.3-0.09*(AP123-36.8)))/2)+AR122*(1-AS122/2))/(1-MAX(0.1,MIN(0.3,0.3-0.09*(AP123-36.8)))/2)</f>
        <v/>
      </c>
      <c r="AR123">
        <f>((AM123/$B$7+T122*AS122/2-T123*MAX(0.1,MIN(0.3,0.3-0.09*(AQ123-36.8)))/2)+AR122*(1-AS122/2))/(1-MAX(0.1,MIN(0.3,0.3-0.09*(AQ123-36.8)))/2)</f>
        <v/>
      </c>
      <c r="AS123">
        <f>MAX(0.1,MIN(0.3,0.3-0.09*(AR123-36.8)))</f>
        <v/>
      </c>
      <c r="AT123">
        <f>AT122+(2*AR123-1.962*AT122-1.31)/9</f>
        <v/>
      </c>
      <c r="AU123">
        <f>AU122+AG123+K123</f>
        <v/>
      </c>
      <c r="AV123">
        <f>AU123*2.67*$B$6/1.8/60</f>
        <v/>
      </c>
      <c r="AW123">
        <f>IF(AT123&gt;=$B$36,1,0)</f>
        <v/>
      </c>
      <c r="AX123">
        <f>IF(AV123&gt;=$B$21,1,0)</f>
        <v/>
      </c>
    </row>
    <row r="124">
      <c r="A124" t="n">
        <v>51</v>
      </c>
      <c r="B124">
        <f>MATCH(A124-1,$D$61:$D$68,1)</f>
        <v/>
      </c>
      <c r="C124">
        <f>INDEX($G$61:$G$68,B124)</f>
        <v/>
      </c>
      <c r="D124">
        <f>INDEX($L$61:$L$68,B124)</f>
        <v/>
      </c>
      <c r="E124">
        <f>INDEX($M$61:$M$68,B124)</f>
        <v/>
      </c>
      <c r="F124">
        <f>INDEX($N$61:$N$68,B124)</f>
        <v/>
      </c>
      <c r="G124">
        <f>INDEX($AA$61:$AA$68,B124)</f>
        <v/>
      </c>
      <c r="H124">
        <f>INDEX($X$61:$X$68,B124)</f>
        <v/>
      </c>
      <c r="I124">
        <f>INDEX($AF$61:$AF$68,B124)</f>
        <v/>
      </c>
      <c r="J124">
        <f>INDEX($AC$61:$AC$68,B124)</f>
        <v/>
      </c>
      <c r="K124">
        <f>INDEX($AD$61:$AD$68,B124)</f>
        <v/>
      </c>
      <c r="L124">
        <f>INDEX($AG$61:$AG$68,B124)</f>
        <v/>
      </c>
      <c r="M124">
        <f>INDEX($AH$61:$AH$68,B124)</f>
        <v/>
      </c>
      <c r="N124">
        <f>INDEX($AI$61:$AI$68,B124)</f>
        <v/>
      </c>
      <c r="O124">
        <f>O123*$B$26+L124*(1-$B$26)</f>
        <v/>
      </c>
      <c r="P124">
        <f>$B$7*(O124-O123)*(1-AS123)</f>
        <v/>
      </c>
      <c r="Q124">
        <f>M124+0.51274*AT123</f>
        <v/>
      </c>
      <c r="R124">
        <f>N124+0.616*AT123</f>
        <v/>
      </c>
      <c r="S124">
        <f>IF($B$13&gt;=0.6,Q124,IF($B$13&lt;=0.2,R124,R124+2.5*(Q124-R124)*($B$13-0.2)))</f>
        <v/>
      </c>
      <c r="T124">
        <f>IF(A124=1,S124,T123*$B$27+S124*(1-$B$27))</f>
        <v/>
      </c>
      <c r="U124">
        <f>0.6105*EXP(17.27*T124/(T124+237.3))</f>
        <v/>
      </c>
      <c r="V124">
        <f>($B$14*(I124*C124+IF(ABS((D124+0.1)-D124)&lt;0.000000001,4*$B$19*$B$20*(D124+273)^3,$B$19*$B$20*(((D124+0.1)+273)^4-(D124+273)^4)/((D124+0.1)-D124))*D124)+T124/H124)/($B$14*(I124+IF(ABS((D124+0.1)-D124)&lt;0.000000001,4*$B$19*$B$20*(D124+273)^3,$B$19*$B$20*(((D124+0.1)+273)^4-(D124+273)^4)/((D124+0.1)-D124)))+1/H124)</f>
        <v/>
      </c>
      <c r="W124">
        <f>($B$14*(I124*C124+IF(ABS(V124-D124)&lt;0.000000001,4*$B$19*$B$20*(D124+273)^3,$B$19*$B$20*((V124+273)^4-(D124+273)^4)/(V124-D124))*D124)+T124/H124)/($B$14*(I124+IF(ABS(V124-D124)&lt;0.000000001,4*$B$19*$B$20*(D124+273)^3,$B$19*$B$20*((V124+273)^4-(D124+273)^4)/(V124-D124)))+1/H124)</f>
        <v/>
      </c>
      <c r="X124">
        <f>($B$14*(I124*C124+IF(ABS(W124-D124)&lt;0.000000001,4*$B$19*$B$20*(D124+273)^3,$B$19*$B$20*((W124+273)^4-(D124+273)^4)/(W124-D124))*D124)+T124/H124)/($B$14*(I124+IF(ABS(W124-D124)&lt;0.000000001,4*$B$19*$B$20*(D124+273)^3,$B$19*$B$20*((W124+273)^4-(D124+273)^4)/(W124-D124)))+1/H124)</f>
        <v/>
      </c>
      <c r="Y124">
        <f>($B$14*(I124*C124+IF(ABS(X124-D124)&lt;0.000000001,4*$B$19*$B$20*(D124+273)^3,$B$19*$B$20*((X124+273)^4-(D124+273)^4)/(X124-D124))*D124)+T124/H124)/($B$14*(I124+IF(ABS(X124-D124)&lt;0.000000001,4*$B$19*$B$20*(D124+273)^3,$B$19*$B$20*((X124+273)^4-(D124+273)^4)/(X124-D124)))+1/H124)</f>
        <v/>
      </c>
      <c r="Z124">
        <f>IF(ABS(Y124-D124)&lt;0.000000001,4*$B$19*$B$20*(D124+273)^3,$B$19*$B$20*((Y124+273)^4-(D124+273)^4)/(Y124-D124))</f>
        <v/>
      </c>
      <c r="AA124">
        <f>$B$14*I124*(Y124-C124)</f>
        <v/>
      </c>
      <c r="AB124">
        <f>$B$14*Z124*(Y124-D124)</f>
        <v/>
      </c>
      <c r="AC124">
        <f>IF((U124-E124)/G124=0,0.001,(U124-E124)/G124)</f>
        <v/>
      </c>
      <c r="AD124">
        <f>F124-P124-J124-K124-AA124-AB124</f>
        <v/>
      </c>
      <c r="AE124">
        <f>AD124/AC124</f>
        <v/>
      </c>
      <c r="AF124">
        <f>IF(AD124&lt;=0,0,IF(AC124&lt;=0,$B$11,IF(AE124&gt;=1.7,$B$11,MIN(AD124/MAX(0.05,IF(AE124&gt;1,(2-AE124)^2/2,1-AE124^2/2)),$B$11))))</f>
        <v/>
      </c>
      <c r="AG124">
        <f>AG123*$B$28+AF124*(1-$B$28)</f>
        <v/>
      </c>
      <c r="AH124">
        <f>IF(AND(AD124&gt;0,AC124&lt;=0),0,AC124)</f>
        <v/>
      </c>
      <c r="AI124">
        <f>AH124/MAX(AG124,0.000001)</f>
        <v/>
      </c>
      <c r="AJ124">
        <f>MIN(IF(AI124&gt;=0.5,-AI124+SQRT(AI124^2+2),1),$B$12)</f>
        <v/>
      </c>
      <c r="AK124">
        <f>IF(AG124&lt;=0,0,AJ124*AH124)</f>
        <v/>
      </c>
      <c r="AL124">
        <f>IF(AD124&lt;=0,0,AD124)</f>
        <v/>
      </c>
      <c r="AM124">
        <f>AL124-AK124+P124</f>
        <v/>
      </c>
      <c r="AN124">
        <f>((AM124/$B$7+T123*AS123/2-T124*MAX(0.1,MIN(0.3,0.3-0.09*(AR123-36.8)))/2)+AR123*(1-AS123/2))/(1-MAX(0.1,MIN(0.3,0.3-0.09*(AR123-36.8)))/2)</f>
        <v/>
      </c>
      <c r="AO124">
        <f>((AM124/$B$7+T123*AS123/2-T124*MAX(0.1,MIN(0.3,0.3-0.09*(AN124-36.8)))/2)+AR123*(1-AS123/2))/(1-MAX(0.1,MIN(0.3,0.3-0.09*(AN124-36.8)))/2)</f>
        <v/>
      </c>
      <c r="AP124">
        <f>((AM124/$B$7+T123*AS123/2-T124*MAX(0.1,MIN(0.3,0.3-0.09*(AO124-36.8)))/2)+AR123*(1-AS123/2))/(1-MAX(0.1,MIN(0.3,0.3-0.09*(AO124-36.8)))/2)</f>
        <v/>
      </c>
      <c r="AQ124">
        <f>((AM124/$B$7+T123*AS123/2-T124*MAX(0.1,MIN(0.3,0.3-0.09*(AP124-36.8)))/2)+AR123*(1-AS123/2))/(1-MAX(0.1,MIN(0.3,0.3-0.09*(AP124-36.8)))/2)</f>
        <v/>
      </c>
      <c r="AR124">
        <f>((AM124/$B$7+T123*AS123/2-T124*MAX(0.1,MIN(0.3,0.3-0.09*(AQ124-36.8)))/2)+AR123*(1-AS123/2))/(1-MAX(0.1,MIN(0.3,0.3-0.09*(AQ124-36.8)))/2)</f>
        <v/>
      </c>
      <c r="AS124">
        <f>MAX(0.1,MIN(0.3,0.3-0.09*(AR124-36.8)))</f>
        <v/>
      </c>
      <c r="AT124">
        <f>AT123+(2*AR124-1.962*AT123-1.31)/9</f>
        <v/>
      </c>
      <c r="AU124">
        <f>AU123+AG124+K124</f>
        <v/>
      </c>
      <c r="AV124">
        <f>AU124*2.67*$B$6/1.8/60</f>
        <v/>
      </c>
      <c r="AW124">
        <f>IF(AT124&gt;=$B$36,1,0)</f>
        <v/>
      </c>
      <c r="AX124">
        <f>IF(AV124&gt;=$B$21,1,0)</f>
        <v/>
      </c>
    </row>
    <row r="125">
      <c r="A125" t="n">
        <v>52</v>
      </c>
      <c r="B125">
        <f>MATCH(A125-1,$D$61:$D$68,1)</f>
        <v/>
      </c>
      <c r="C125">
        <f>INDEX($G$61:$G$68,B125)</f>
        <v/>
      </c>
      <c r="D125">
        <f>INDEX($L$61:$L$68,B125)</f>
        <v/>
      </c>
      <c r="E125">
        <f>INDEX($M$61:$M$68,B125)</f>
        <v/>
      </c>
      <c r="F125">
        <f>INDEX($N$61:$N$68,B125)</f>
        <v/>
      </c>
      <c r="G125">
        <f>INDEX($AA$61:$AA$68,B125)</f>
        <v/>
      </c>
      <c r="H125">
        <f>INDEX($X$61:$X$68,B125)</f>
        <v/>
      </c>
      <c r="I125">
        <f>INDEX($AF$61:$AF$68,B125)</f>
        <v/>
      </c>
      <c r="J125">
        <f>INDEX($AC$61:$AC$68,B125)</f>
        <v/>
      </c>
      <c r="K125">
        <f>INDEX($AD$61:$AD$68,B125)</f>
        <v/>
      </c>
      <c r="L125">
        <f>INDEX($AG$61:$AG$68,B125)</f>
        <v/>
      </c>
      <c r="M125">
        <f>INDEX($AH$61:$AH$68,B125)</f>
        <v/>
      </c>
      <c r="N125">
        <f>INDEX($AI$61:$AI$68,B125)</f>
        <v/>
      </c>
      <c r="O125">
        <f>O124*$B$26+L125*(1-$B$26)</f>
        <v/>
      </c>
      <c r="P125">
        <f>$B$7*(O125-O124)*(1-AS124)</f>
        <v/>
      </c>
      <c r="Q125">
        <f>M125+0.51274*AT124</f>
        <v/>
      </c>
      <c r="R125">
        <f>N125+0.616*AT124</f>
        <v/>
      </c>
      <c r="S125">
        <f>IF($B$13&gt;=0.6,Q125,IF($B$13&lt;=0.2,R125,R125+2.5*(Q125-R125)*($B$13-0.2)))</f>
        <v/>
      </c>
      <c r="T125">
        <f>IF(A125=1,S125,T124*$B$27+S125*(1-$B$27))</f>
        <v/>
      </c>
      <c r="U125">
        <f>0.6105*EXP(17.27*T125/(T125+237.3))</f>
        <v/>
      </c>
      <c r="V125">
        <f>($B$14*(I125*C125+IF(ABS((D125+0.1)-D125)&lt;0.000000001,4*$B$19*$B$20*(D125+273)^3,$B$19*$B$20*(((D125+0.1)+273)^4-(D125+273)^4)/((D125+0.1)-D125))*D125)+T125/H125)/($B$14*(I125+IF(ABS((D125+0.1)-D125)&lt;0.000000001,4*$B$19*$B$20*(D125+273)^3,$B$19*$B$20*(((D125+0.1)+273)^4-(D125+273)^4)/((D125+0.1)-D125)))+1/H125)</f>
        <v/>
      </c>
      <c r="W125">
        <f>($B$14*(I125*C125+IF(ABS(V125-D125)&lt;0.000000001,4*$B$19*$B$20*(D125+273)^3,$B$19*$B$20*((V125+273)^4-(D125+273)^4)/(V125-D125))*D125)+T125/H125)/($B$14*(I125+IF(ABS(V125-D125)&lt;0.000000001,4*$B$19*$B$20*(D125+273)^3,$B$19*$B$20*((V125+273)^4-(D125+273)^4)/(V125-D125)))+1/H125)</f>
        <v/>
      </c>
      <c r="X125">
        <f>($B$14*(I125*C125+IF(ABS(W125-D125)&lt;0.000000001,4*$B$19*$B$20*(D125+273)^3,$B$19*$B$20*((W125+273)^4-(D125+273)^4)/(W125-D125))*D125)+T125/H125)/($B$14*(I125+IF(ABS(W125-D125)&lt;0.000000001,4*$B$19*$B$20*(D125+273)^3,$B$19*$B$20*((W125+273)^4-(D125+273)^4)/(W125-D125)))+1/H125)</f>
        <v/>
      </c>
      <c r="Y125">
        <f>($B$14*(I125*C125+IF(ABS(X125-D125)&lt;0.000000001,4*$B$19*$B$20*(D125+273)^3,$B$19*$B$20*((X125+273)^4-(D125+273)^4)/(X125-D125))*D125)+T125/H125)/($B$14*(I125+IF(ABS(X125-D125)&lt;0.000000001,4*$B$19*$B$20*(D125+273)^3,$B$19*$B$20*((X125+273)^4-(D125+273)^4)/(X125-D125)))+1/H125)</f>
        <v/>
      </c>
      <c r="Z125">
        <f>IF(ABS(Y125-D125)&lt;0.000000001,4*$B$19*$B$20*(D125+273)^3,$B$19*$B$20*((Y125+273)^4-(D125+273)^4)/(Y125-D125))</f>
        <v/>
      </c>
      <c r="AA125">
        <f>$B$14*I125*(Y125-C125)</f>
        <v/>
      </c>
      <c r="AB125">
        <f>$B$14*Z125*(Y125-D125)</f>
        <v/>
      </c>
      <c r="AC125">
        <f>IF((U125-E125)/G125=0,0.001,(U125-E125)/G125)</f>
        <v/>
      </c>
      <c r="AD125">
        <f>F125-P125-J125-K125-AA125-AB125</f>
        <v/>
      </c>
      <c r="AE125">
        <f>AD125/AC125</f>
        <v/>
      </c>
      <c r="AF125">
        <f>IF(AD125&lt;=0,0,IF(AC125&lt;=0,$B$11,IF(AE125&gt;=1.7,$B$11,MIN(AD125/MAX(0.05,IF(AE125&gt;1,(2-AE125)^2/2,1-AE125^2/2)),$B$11))))</f>
        <v/>
      </c>
      <c r="AG125">
        <f>AG124*$B$28+AF125*(1-$B$28)</f>
        <v/>
      </c>
      <c r="AH125">
        <f>IF(AND(AD125&gt;0,AC125&lt;=0),0,AC125)</f>
        <v/>
      </c>
      <c r="AI125">
        <f>AH125/MAX(AG125,0.000001)</f>
        <v/>
      </c>
      <c r="AJ125">
        <f>MIN(IF(AI125&gt;=0.5,-AI125+SQRT(AI125^2+2),1),$B$12)</f>
        <v/>
      </c>
      <c r="AK125">
        <f>IF(AG125&lt;=0,0,AJ125*AH125)</f>
        <v/>
      </c>
      <c r="AL125">
        <f>IF(AD125&lt;=0,0,AD125)</f>
        <v/>
      </c>
      <c r="AM125">
        <f>AL125-AK125+P125</f>
        <v/>
      </c>
      <c r="AN125">
        <f>((AM125/$B$7+T124*AS124/2-T125*MAX(0.1,MIN(0.3,0.3-0.09*(AR124-36.8)))/2)+AR124*(1-AS124/2))/(1-MAX(0.1,MIN(0.3,0.3-0.09*(AR124-36.8)))/2)</f>
        <v/>
      </c>
      <c r="AO125">
        <f>((AM125/$B$7+T124*AS124/2-T125*MAX(0.1,MIN(0.3,0.3-0.09*(AN125-36.8)))/2)+AR124*(1-AS124/2))/(1-MAX(0.1,MIN(0.3,0.3-0.09*(AN125-36.8)))/2)</f>
        <v/>
      </c>
      <c r="AP125">
        <f>((AM125/$B$7+T124*AS124/2-T125*MAX(0.1,MIN(0.3,0.3-0.09*(AO125-36.8)))/2)+AR124*(1-AS124/2))/(1-MAX(0.1,MIN(0.3,0.3-0.09*(AO125-36.8)))/2)</f>
        <v/>
      </c>
      <c r="AQ125">
        <f>((AM125/$B$7+T124*AS124/2-T125*MAX(0.1,MIN(0.3,0.3-0.09*(AP125-36.8)))/2)+AR124*(1-AS124/2))/(1-MAX(0.1,MIN(0.3,0.3-0.09*(AP125-36.8)))/2)</f>
        <v/>
      </c>
      <c r="AR125">
        <f>((AM125/$B$7+T124*AS124/2-T125*MAX(0.1,MIN(0.3,0.3-0.09*(AQ125-36.8)))/2)+AR124*(1-AS124/2))/(1-MAX(0.1,MIN(0.3,0.3-0.09*(AQ125-36.8)))/2)</f>
        <v/>
      </c>
      <c r="AS125">
        <f>MAX(0.1,MIN(0.3,0.3-0.09*(AR125-36.8)))</f>
        <v/>
      </c>
      <c r="AT125">
        <f>AT124+(2*AR125-1.962*AT124-1.31)/9</f>
        <v/>
      </c>
      <c r="AU125">
        <f>AU124+AG125+K125</f>
        <v/>
      </c>
      <c r="AV125">
        <f>AU125*2.67*$B$6/1.8/60</f>
        <v/>
      </c>
      <c r="AW125">
        <f>IF(AT125&gt;=$B$36,1,0)</f>
        <v/>
      </c>
      <c r="AX125">
        <f>IF(AV125&gt;=$B$21,1,0)</f>
        <v/>
      </c>
    </row>
    <row r="126">
      <c r="A126" t="n">
        <v>53</v>
      </c>
      <c r="B126">
        <f>MATCH(A126-1,$D$61:$D$68,1)</f>
        <v/>
      </c>
      <c r="C126">
        <f>INDEX($G$61:$G$68,B126)</f>
        <v/>
      </c>
      <c r="D126">
        <f>INDEX($L$61:$L$68,B126)</f>
        <v/>
      </c>
      <c r="E126">
        <f>INDEX($M$61:$M$68,B126)</f>
        <v/>
      </c>
      <c r="F126">
        <f>INDEX($N$61:$N$68,B126)</f>
        <v/>
      </c>
      <c r="G126">
        <f>INDEX($AA$61:$AA$68,B126)</f>
        <v/>
      </c>
      <c r="H126">
        <f>INDEX($X$61:$X$68,B126)</f>
        <v/>
      </c>
      <c r="I126">
        <f>INDEX($AF$61:$AF$68,B126)</f>
        <v/>
      </c>
      <c r="J126">
        <f>INDEX($AC$61:$AC$68,B126)</f>
        <v/>
      </c>
      <c r="K126">
        <f>INDEX($AD$61:$AD$68,B126)</f>
        <v/>
      </c>
      <c r="L126">
        <f>INDEX($AG$61:$AG$68,B126)</f>
        <v/>
      </c>
      <c r="M126">
        <f>INDEX($AH$61:$AH$68,B126)</f>
        <v/>
      </c>
      <c r="N126">
        <f>INDEX($AI$61:$AI$68,B126)</f>
        <v/>
      </c>
      <c r="O126">
        <f>O125*$B$26+L126*(1-$B$26)</f>
        <v/>
      </c>
      <c r="P126">
        <f>$B$7*(O126-O125)*(1-AS125)</f>
        <v/>
      </c>
      <c r="Q126">
        <f>M126+0.51274*AT125</f>
        <v/>
      </c>
      <c r="R126">
        <f>N126+0.616*AT125</f>
        <v/>
      </c>
      <c r="S126">
        <f>IF($B$13&gt;=0.6,Q126,IF($B$13&lt;=0.2,R126,R126+2.5*(Q126-R126)*($B$13-0.2)))</f>
        <v/>
      </c>
      <c r="T126">
        <f>IF(A126=1,S126,T125*$B$27+S126*(1-$B$27))</f>
        <v/>
      </c>
      <c r="U126">
        <f>0.6105*EXP(17.27*T126/(T126+237.3))</f>
        <v/>
      </c>
      <c r="V126">
        <f>($B$14*(I126*C126+IF(ABS((D126+0.1)-D126)&lt;0.000000001,4*$B$19*$B$20*(D126+273)^3,$B$19*$B$20*(((D126+0.1)+273)^4-(D126+273)^4)/((D126+0.1)-D126))*D126)+T126/H126)/($B$14*(I126+IF(ABS((D126+0.1)-D126)&lt;0.000000001,4*$B$19*$B$20*(D126+273)^3,$B$19*$B$20*(((D126+0.1)+273)^4-(D126+273)^4)/((D126+0.1)-D126)))+1/H126)</f>
        <v/>
      </c>
      <c r="W126">
        <f>($B$14*(I126*C126+IF(ABS(V126-D126)&lt;0.000000001,4*$B$19*$B$20*(D126+273)^3,$B$19*$B$20*((V126+273)^4-(D126+273)^4)/(V126-D126))*D126)+T126/H126)/($B$14*(I126+IF(ABS(V126-D126)&lt;0.000000001,4*$B$19*$B$20*(D126+273)^3,$B$19*$B$20*((V126+273)^4-(D126+273)^4)/(V126-D126)))+1/H126)</f>
        <v/>
      </c>
      <c r="X126">
        <f>($B$14*(I126*C126+IF(ABS(W126-D126)&lt;0.000000001,4*$B$19*$B$20*(D126+273)^3,$B$19*$B$20*((W126+273)^4-(D126+273)^4)/(W126-D126))*D126)+T126/H126)/($B$14*(I126+IF(ABS(W126-D126)&lt;0.000000001,4*$B$19*$B$20*(D126+273)^3,$B$19*$B$20*((W126+273)^4-(D126+273)^4)/(W126-D126)))+1/H126)</f>
        <v/>
      </c>
      <c r="Y126">
        <f>($B$14*(I126*C126+IF(ABS(X126-D126)&lt;0.000000001,4*$B$19*$B$20*(D126+273)^3,$B$19*$B$20*((X126+273)^4-(D126+273)^4)/(X126-D126))*D126)+T126/H126)/($B$14*(I126+IF(ABS(X126-D126)&lt;0.000000001,4*$B$19*$B$20*(D126+273)^3,$B$19*$B$20*((X126+273)^4-(D126+273)^4)/(X126-D126)))+1/H126)</f>
        <v/>
      </c>
      <c r="Z126">
        <f>IF(ABS(Y126-D126)&lt;0.000000001,4*$B$19*$B$20*(D126+273)^3,$B$19*$B$20*((Y126+273)^4-(D126+273)^4)/(Y126-D126))</f>
        <v/>
      </c>
      <c r="AA126">
        <f>$B$14*I126*(Y126-C126)</f>
        <v/>
      </c>
      <c r="AB126">
        <f>$B$14*Z126*(Y126-D126)</f>
        <v/>
      </c>
      <c r="AC126">
        <f>IF((U126-E126)/G126=0,0.001,(U126-E126)/G126)</f>
        <v/>
      </c>
      <c r="AD126">
        <f>F126-P126-J126-K126-AA126-AB126</f>
        <v/>
      </c>
      <c r="AE126">
        <f>AD126/AC126</f>
        <v/>
      </c>
      <c r="AF126">
        <f>IF(AD126&lt;=0,0,IF(AC126&lt;=0,$B$11,IF(AE126&gt;=1.7,$B$11,MIN(AD126/MAX(0.05,IF(AE126&gt;1,(2-AE126)^2/2,1-AE126^2/2)),$B$11))))</f>
        <v/>
      </c>
      <c r="AG126">
        <f>AG125*$B$28+AF126*(1-$B$28)</f>
        <v/>
      </c>
      <c r="AH126">
        <f>IF(AND(AD126&gt;0,AC126&lt;=0),0,AC126)</f>
        <v/>
      </c>
      <c r="AI126">
        <f>AH126/MAX(AG126,0.000001)</f>
        <v/>
      </c>
      <c r="AJ126">
        <f>MIN(IF(AI126&gt;=0.5,-AI126+SQRT(AI126^2+2),1),$B$12)</f>
        <v/>
      </c>
      <c r="AK126">
        <f>IF(AG126&lt;=0,0,AJ126*AH126)</f>
        <v/>
      </c>
      <c r="AL126">
        <f>IF(AD126&lt;=0,0,AD126)</f>
        <v/>
      </c>
      <c r="AM126">
        <f>AL126-AK126+P126</f>
        <v/>
      </c>
      <c r="AN126">
        <f>((AM126/$B$7+T125*AS125/2-T126*MAX(0.1,MIN(0.3,0.3-0.09*(AR125-36.8)))/2)+AR125*(1-AS125/2))/(1-MAX(0.1,MIN(0.3,0.3-0.09*(AR125-36.8)))/2)</f>
        <v/>
      </c>
      <c r="AO126">
        <f>((AM126/$B$7+T125*AS125/2-T126*MAX(0.1,MIN(0.3,0.3-0.09*(AN126-36.8)))/2)+AR125*(1-AS125/2))/(1-MAX(0.1,MIN(0.3,0.3-0.09*(AN126-36.8)))/2)</f>
        <v/>
      </c>
      <c r="AP126">
        <f>((AM126/$B$7+T125*AS125/2-T126*MAX(0.1,MIN(0.3,0.3-0.09*(AO126-36.8)))/2)+AR125*(1-AS125/2))/(1-MAX(0.1,MIN(0.3,0.3-0.09*(AO126-36.8)))/2)</f>
        <v/>
      </c>
      <c r="AQ126">
        <f>((AM126/$B$7+T125*AS125/2-T126*MAX(0.1,MIN(0.3,0.3-0.09*(AP126-36.8)))/2)+AR125*(1-AS125/2))/(1-MAX(0.1,MIN(0.3,0.3-0.09*(AP126-36.8)))/2)</f>
        <v/>
      </c>
      <c r="AR126">
        <f>((AM126/$B$7+T125*AS125/2-T126*MAX(0.1,MIN(0.3,0.3-0.09*(AQ126-36.8)))/2)+AR125*(1-AS125/2))/(1-MAX(0.1,MIN(0.3,0.3-0.09*(AQ126-36.8)))/2)</f>
        <v/>
      </c>
      <c r="AS126">
        <f>MAX(0.1,MIN(0.3,0.3-0.09*(AR126-36.8)))</f>
        <v/>
      </c>
      <c r="AT126">
        <f>AT125+(2*AR126-1.962*AT125-1.31)/9</f>
        <v/>
      </c>
      <c r="AU126">
        <f>AU125+AG126+K126</f>
        <v/>
      </c>
      <c r="AV126">
        <f>AU126*2.67*$B$6/1.8/60</f>
        <v/>
      </c>
      <c r="AW126">
        <f>IF(AT126&gt;=$B$36,1,0)</f>
        <v/>
      </c>
      <c r="AX126">
        <f>IF(AV126&gt;=$B$21,1,0)</f>
        <v/>
      </c>
    </row>
    <row r="127">
      <c r="A127" t="n">
        <v>54</v>
      </c>
      <c r="B127">
        <f>MATCH(A127-1,$D$61:$D$68,1)</f>
        <v/>
      </c>
      <c r="C127">
        <f>INDEX($G$61:$G$68,B127)</f>
        <v/>
      </c>
      <c r="D127">
        <f>INDEX($L$61:$L$68,B127)</f>
        <v/>
      </c>
      <c r="E127">
        <f>INDEX($M$61:$M$68,B127)</f>
        <v/>
      </c>
      <c r="F127">
        <f>INDEX($N$61:$N$68,B127)</f>
        <v/>
      </c>
      <c r="G127">
        <f>INDEX($AA$61:$AA$68,B127)</f>
        <v/>
      </c>
      <c r="H127">
        <f>INDEX($X$61:$X$68,B127)</f>
        <v/>
      </c>
      <c r="I127">
        <f>INDEX($AF$61:$AF$68,B127)</f>
        <v/>
      </c>
      <c r="J127">
        <f>INDEX($AC$61:$AC$68,B127)</f>
        <v/>
      </c>
      <c r="K127">
        <f>INDEX($AD$61:$AD$68,B127)</f>
        <v/>
      </c>
      <c r="L127">
        <f>INDEX($AG$61:$AG$68,B127)</f>
        <v/>
      </c>
      <c r="M127">
        <f>INDEX($AH$61:$AH$68,B127)</f>
        <v/>
      </c>
      <c r="N127">
        <f>INDEX($AI$61:$AI$68,B127)</f>
        <v/>
      </c>
      <c r="O127">
        <f>O126*$B$26+L127*(1-$B$26)</f>
        <v/>
      </c>
      <c r="P127">
        <f>$B$7*(O127-O126)*(1-AS126)</f>
        <v/>
      </c>
      <c r="Q127">
        <f>M127+0.51274*AT126</f>
        <v/>
      </c>
      <c r="R127">
        <f>N127+0.616*AT126</f>
        <v/>
      </c>
      <c r="S127">
        <f>IF($B$13&gt;=0.6,Q127,IF($B$13&lt;=0.2,R127,R127+2.5*(Q127-R127)*($B$13-0.2)))</f>
        <v/>
      </c>
      <c r="T127">
        <f>IF(A127=1,S127,T126*$B$27+S127*(1-$B$27))</f>
        <v/>
      </c>
      <c r="U127">
        <f>0.6105*EXP(17.27*T127/(T127+237.3))</f>
        <v/>
      </c>
      <c r="V127">
        <f>($B$14*(I127*C127+IF(ABS((D127+0.1)-D127)&lt;0.000000001,4*$B$19*$B$20*(D127+273)^3,$B$19*$B$20*(((D127+0.1)+273)^4-(D127+273)^4)/((D127+0.1)-D127))*D127)+T127/H127)/($B$14*(I127+IF(ABS((D127+0.1)-D127)&lt;0.000000001,4*$B$19*$B$20*(D127+273)^3,$B$19*$B$20*(((D127+0.1)+273)^4-(D127+273)^4)/((D127+0.1)-D127)))+1/H127)</f>
        <v/>
      </c>
      <c r="W127">
        <f>($B$14*(I127*C127+IF(ABS(V127-D127)&lt;0.000000001,4*$B$19*$B$20*(D127+273)^3,$B$19*$B$20*((V127+273)^4-(D127+273)^4)/(V127-D127))*D127)+T127/H127)/($B$14*(I127+IF(ABS(V127-D127)&lt;0.000000001,4*$B$19*$B$20*(D127+273)^3,$B$19*$B$20*((V127+273)^4-(D127+273)^4)/(V127-D127)))+1/H127)</f>
        <v/>
      </c>
      <c r="X127">
        <f>($B$14*(I127*C127+IF(ABS(W127-D127)&lt;0.000000001,4*$B$19*$B$20*(D127+273)^3,$B$19*$B$20*((W127+273)^4-(D127+273)^4)/(W127-D127))*D127)+T127/H127)/($B$14*(I127+IF(ABS(W127-D127)&lt;0.000000001,4*$B$19*$B$20*(D127+273)^3,$B$19*$B$20*((W127+273)^4-(D127+273)^4)/(W127-D127)))+1/H127)</f>
        <v/>
      </c>
      <c r="Y127">
        <f>($B$14*(I127*C127+IF(ABS(X127-D127)&lt;0.000000001,4*$B$19*$B$20*(D127+273)^3,$B$19*$B$20*((X127+273)^4-(D127+273)^4)/(X127-D127))*D127)+T127/H127)/($B$14*(I127+IF(ABS(X127-D127)&lt;0.000000001,4*$B$19*$B$20*(D127+273)^3,$B$19*$B$20*((X127+273)^4-(D127+273)^4)/(X127-D127)))+1/H127)</f>
        <v/>
      </c>
      <c r="Z127">
        <f>IF(ABS(Y127-D127)&lt;0.000000001,4*$B$19*$B$20*(D127+273)^3,$B$19*$B$20*((Y127+273)^4-(D127+273)^4)/(Y127-D127))</f>
        <v/>
      </c>
      <c r="AA127">
        <f>$B$14*I127*(Y127-C127)</f>
        <v/>
      </c>
      <c r="AB127">
        <f>$B$14*Z127*(Y127-D127)</f>
        <v/>
      </c>
      <c r="AC127">
        <f>IF((U127-E127)/G127=0,0.001,(U127-E127)/G127)</f>
        <v/>
      </c>
      <c r="AD127">
        <f>F127-P127-J127-K127-AA127-AB127</f>
        <v/>
      </c>
      <c r="AE127">
        <f>AD127/AC127</f>
        <v/>
      </c>
      <c r="AF127">
        <f>IF(AD127&lt;=0,0,IF(AC127&lt;=0,$B$11,IF(AE127&gt;=1.7,$B$11,MIN(AD127/MAX(0.05,IF(AE127&gt;1,(2-AE127)^2/2,1-AE127^2/2)),$B$11))))</f>
        <v/>
      </c>
      <c r="AG127">
        <f>AG126*$B$28+AF127*(1-$B$28)</f>
        <v/>
      </c>
      <c r="AH127">
        <f>IF(AND(AD127&gt;0,AC127&lt;=0),0,AC127)</f>
        <v/>
      </c>
      <c r="AI127">
        <f>AH127/MAX(AG127,0.000001)</f>
        <v/>
      </c>
      <c r="AJ127">
        <f>MIN(IF(AI127&gt;=0.5,-AI127+SQRT(AI127^2+2),1),$B$12)</f>
        <v/>
      </c>
      <c r="AK127">
        <f>IF(AG127&lt;=0,0,AJ127*AH127)</f>
        <v/>
      </c>
      <c r="AL127">
        <f>IF(AD127&lt;=0,0,AD127)</f>
        <v/>
      </c>
      <c r="AM127">
        <f>AL127-AK127+P127</f>
        <v/>
      </c>
      <c r="AN127">
        <f>((AM127/$B$7+T126*AS126/2-T127*MAX(0.1,MIN(0.3,0.3-0.09*(AR126-36.8)))/2)+AR126*(1-AS126/2))/(1-MAX(0.1,MIN(0.3,0.3-0.09*(AR126-36.8)))/2)</f>
        <v/>
      </c>
      <c r="AO127">
        <f>((AM127/$B$7+T126*AS126/2-T127*MAX(0.1,MIN(0.3,0.3-0.09*(AN127-36.8)))/2)+AR126*(1-AS126/2))/(1-MAX(0.1,MIN(0.3,0.3-0.09*(AN127-36.8)))/2)</f>
        <v/>
      </c>
      <c r="AP127">
        <f>((AM127/$B$7+T126*AS126/2-T127*MAX(0.1,MIN(0.3,0.3-0.09*(AO127-36.8)))/2)+AR126*(1-AS126/2))/(1-MAX(0.1,MIN(0.3,0.3-0.09*(AO127-36.8)))/2)</f>
        <v/>
      </c>
      <c r="AQ127">
        <f>((AM127/$B$7+T126*AS126/2-T127*MAX(0.1,MIN(0.3,0.3-0.09*(AP127-36.8)))/2)+AR126*(1-AS126/2))/(1-MAX(0.1,MIN(0.3,0.3-0.09*(AP127-36.8)))/2)</f>
        <v/>
      </c>
      <c r="AR127">
        <f>((AM127/$B$7+T126*AS126/2-T127*MAX(0.1,MIN(0.3,0.3-0.09*(AQ127-36.8)))/2)+AR126*(1-AS126/2))/(1-MAX(0.1,MIN(0.3,0.3-0.09*(AQ127-36.8)))/2)</f>
        <v/>
      </c>
      <c r="AS127">
        <f>MAX(0.1,MIN(0.3,0.3-0.09*(AR127-36.8)))</f>
        <v/>
      </c>
      <c r="AT127">
        <f>AT126+(2*AR127-1.962*AT126-1.31)/9</f>
        <v/>
      </c>
      <c r="AU127">
        <f>AU126+AG127+K127</f>
        <v/>
      </c>
      <c r="AV127">
        <f>AU127*2.67*$B$6/1.8/60</f>
        <v/>
      </c>
      <c r="AW127">
        <f>IF(AT127&gt;=$B$36,1,0)</f>
        <v/>
      </c>
      <c r="AX127">
        <f>IF(AV127&gt;=$B$21,1,0)</f>
        <v/>
      </c>
    </row>
    <row r="128">
      <c r="A128" t="n">
        <v>55</v>
      </c>
      <c r="B128">
        <f>MATCH(A128-1,$D$61:$D$68,1)</f>
        <v/>
      </c>
      <c r="C128">
        <f>INDEX($G$61:$G$68,B128)</f>
        <v/>
      </c>
      <c r="D128">
        <f>INDEX($L$61:$L$68,B128)</f>
        <v/>
      </c>
      <c r="E128">
        <f>INDEX($M$61:$M$68,B128)</f>
        <v/>
      </c>
      <c r="F128">
        <f>INDEX($N$61:$N$68,B128)</f>
        <v/>
      </c>
      <c r="G128">
        <f>INDEX($AA$61:$AA$68,B128)</f>
        <v/>
      </c>
      <c r="H128">
        <f>INDEX($X$61:$X$68,B128)</f>
        <v/>
      </c>
      <c r="I128">
        <f>INDEX($AF$61:$AF$68,B128)</f>
        <v/>
      </c>
      <c r="J128">
        <f>INDEX($AC$61:$AC$68,B128)</f>
        <v/>
      </c>
      <c r="K128">
        <f>INDEX($AD$61:$AD$68,B128)</f>
        <v/>
      </c>
      <c r="L128">
        <f>INDEX($AG$61:$AG$68,B128)</f>
        <v/>
      </c>
      <c r="M128">
        <f>INDEX($AH$61:$AH$68,B128)</f>
        <v/>
      </c>
      <c r="N128">
        <f>INDEX($AI$61:$AI$68,B128)</f>
        <v/>
      </c>
      <c r="O128">
        <f>O127*$B$26+L128*(1-$B$26)</f>
        <v/>
      </c>
      <c r="P128">
        <f>$B$7*(O128-O127)*(1-AS127)</f>
        <v/>
      </c>
      <c r="Q128">
        <f>M128+0.51274*AT127</f>
        <v/>
      </c>
      <c r="R128">
        <f>N128+0.616*AT127</f>
        <v/>
      </c>
      <c r="S128">
        <f>IF($B$13&gt;=0.6,Q128,IF($B$13&lt;=0.2,R128,R128+2.5*(Q128-R128)*($B$13-0.2)))</f>
        <v/>
      </c>
      <c r="T128">
        <f>IF(A128=1,S128,T127*$B$27+S128*(1-$B$27))</f>
        <v/>
      </c>
      <c r="U128">
        <f>0.6105*EXP(17.27*T128/(T128+237.3))</f>
        <v/>
      </c>
      <c r="V128">
        <f>($B$14*(I128*C128+IF(ABS((D128+0.1)-D128)&lt;0.000000001,4*$B$19*$B$20*(D128+273)^3,$B$19*$B$20*(((D128+0.1)+273)^4-(D128+273)^4)/((D128+0.1)-D128))*D128)+T128/H128)/($B$14*(I128+IF(ABS((D128+0.1)-D128)&lt;0.000000001,4*$B$19*$B$20*(D128+273)^3,$B$19*$B$20*(((D128+0.1)+273)^4-(D128+273)^4)/((D128+0.1)-D128)))+1/H128)</f>
        <v/>
      </c>
      <c r="W128">
        <f>($B$14*(I128*C128+IF(ABS(V128-D128)&lt;0.000000001,4*$B$19*$B$20*(D128+273)^3,$B$19*$B$20*((V128+273)^4-(D128+273)^4)/(V128-D128))*D128)+T128/H128)/($B$14*(I128+IF(ABS(V128-D128)&lt;0.000000001,4*$B$19*$B$20*(D128+273)^3,$B$19*$B$20*((V128+273)^4-(D128+273)^4)/(V128-D128)))+1/H128)</f>
        <v/>
      </c>
      <c r="X128">
        <f>($B$14*(I128*C128+IF(ABS(W128-D128)&lt;0.000000001,4*$B$19*$B$20*(D128+273)^3,$B$19*$B$20*((W128+273)^4-(D128+273)^4)/(W128-D128))*D128)+T128/H128)/($B$14*(I128+IF(ABS(W128-D128)&lt;0.000000001,4*$B$19*$B$20*(D128+273)^3,$B$19*$B$20*((W128+273)^4-(D128+273)^4)/(W128-D128)))+1/H128)</f>
        <v/>
      </c>
      <c r="Y128">
        <f>($B$14*(I128*C128+IF(ABS(X128-D128)&lt;0.000000001,4*$B$19*$B$20*(D128+273)^3,$B$19*$B$20*((X128+273)^4-(D128+273)^4)/(X128-D128))*D128)+T128/H128)/($B$14*(I128+IF(ABS(X128-D128)&lt;0.000000001,4*$B$19*$B$20*(D128+273)^3,$B$19*$B$20*((X128+273)^4-(D128+273)^4)/(X128-D128)))+1/H128)</f>
        <v/>
      </c>
      <c r="Z128">
        <f>IF(ABS(Y128-D128)&lt;0.000000001,4*$B$19*$B$20*(D128+273)^3,$B$19*$B$20*((Y128+273)^4-(D128+273)^4)/(Y128-D128))</f>
        <v/>
      </c>
      <c r="AA128">
        <f>$B$14*I128*(Y128-C128)</f>
        <v/>
      </c>
      <c r="AB128">
        <f>$B$14*Z128*(Y128-D128)</f>
        <v/>
      </c>
      <c r="AC128">
        <f>IF((U128-E128)/G128=0,0.001,(U128-E128)/G128)</f>
        <v/>
      </c>
      <c r="AD128">
        <f>F128-P128-J128-K128-AA128-AB128</f>
        <v/>
      </c>
      <c r="AE128">
        <f>AD128/AC128</f>
        <v/>
      </c>
      <c r="AF128">
        <f>IF(AD128&lt;=0,0,IF(AC128&lt;=0,$B$11,IF(AE128&gt;=1.7,$B$11,MIN(AD128/MAX(0.05,IF(AE128&gt;1,(2-AE128)^2/2,1-AE128^2/2)),$B$11))))</f>
        <v/>
      </c>
      <c r="AG128">
        <f>AG127*$B$28+AF128*(1-$B$28)</f>
        <v/>
      </c>
      <c r="AH128">
        <f>IF(AND(AD128&gt;0,AC128&lt;=0),0,AC128)</f>
        <v/>
      </c>
      <c r="AI128">
        <f>AH128/MAX(AG128,0.000001)</f>
        <v/>
      </c>
      <c r="AJ128">
        <f>MIN(IF(AI128&gt;=0.5,-AI128+SQRT(AI128^2+2),1),$B$12)</f>
        <v/>
      </c>
      <c r="AK128">
        <f>IF(AG128&lt;=0,0,AJ128*AH128)</f>
        <v/>
      </c>
      <c r="AL128">
        <f>IF(AD128&lt;=0,0,AD128)</f>
        <v/>
      </c>
      <c r="AM128">
        <f>AL128-AK128+P128</f>
        <v/>
      </c>
      <c r="AN128">
        <f>((AM128/$B$7+T127*AS127/2-T128*MAX(0.1,MIN(0.3,0.3-0.09*(AR127-36.8)))/2)+AR127*(1-AS127/2))/(1-MAX(0.1,MIN(0.3,0.3-0.09*(AR127-36.8)))/2)</f>
        <v/>
      </c>
      <c r="AO128">
        <f>((AM128/$B$7+T127*AS127/2-T128*MAX(0.1,MIN(0.3,0.3-0.09*(AN128-36.8)))/2)+AR127*(1-AS127/2))/(1-MAX(0.1,MIN(0.3,0.3-0.09*(AN128-36.8)))/2)</f>
        <v/>
      </c>
      <c r="AP128">
        <f>((AM128/$B$7+T127*AS127/2-T128*MAX(0.1,MIN(0.3,0.3-0.09*(AO128-36.8)))/2)+AR127*(1-AS127/2))/(1-MAX(0.1,MIN(0.3,0.3-0.09*(AO128-36.8)))/2)</f>
        <v/>
      </c>
      <c r="AQ128">
        <f>((AM128/$B$7+T127*AS127/2-T128*MAX(0.1,MIN(0.3,0.3-0.09*(AP128-36.8)))/2)+AR127*(1-AS127/2))/(1-MAX(0.1,MIN(0.3,0.3-0.09*(AP128-36.8)))/2)</f>
        <v/>
      </c>
      <c r="AR128">
        <f>((AM128/$B$7+T127*AS127/2-T128*MAX(0.1,MIN(0.3,0.3-0.09*(AQ128-36.8)))/2)+AR127*(1-AS127/2))/(1-MAX(0.1,MIN(0.3,0.3-0.09*(AQ128-36.8)))/2)</f>
        <v/>
      </c>
      <c r="AS128">
        <f>MAX(0.1,MIN(0.3,0.3-0.09*(AR128-36.8)))</f>
        <v/>
      </c>
      <c r="AT128">
        <f>AT127+(2*AR128-1.962*AT127-1.31)/9</f>
        <v/>
      </c>
      <c r="AU128">
        <f>AU127+AG128+K128</f>
        <v/>
      </c>
      <c r="AV128">
        <f>AU128*2.67*$B$6/1.8/60</f>
        <v/>
      </c>
      <c r="AW128">
        <f>IF(AT128&gt;=$B$36,1,0)</f>
        <v/>
      </c>
      <c r="AX128">
        <f>IF(AV128&gt;=$B$21,1,0)</f>
        <v/>
      </c>
    </row>
    <row r="129">
      <c r="A129" t="n">
        <v>56</v>
      </c>
      <c r="B129">
        <f>MATCH(A129-1,$D$61:$D$68,1)</f>
        <v/>
      </c>
      <c r="C129">
        <f>INDEX($G$61:$G$68,B129)</f>
        <v/>
      </c>
      <c r="D129">
        <f>INDEX($L$61:$L$68,B129)</f>
        <v/>
      </c>
      <c r="E129">
        <f>INDEX($M$61:$M$68,B129)</f>
        <v/>
      </c>
      <c r="F129">
        <f>INDEX($N$61:$N$68,B129)</f>
        <v/>
      </c>
      <c r="G129">
        <f>INDEX($AA$61:$AA$68,B129)</f>
        <v/>
      </c>
      <c r="H129">
        <f>INDEX($X$61:$X$68,B129)</f>
        <v/>
      </c>
      <c r="I129">
        <f>INDEX($AF$61:$AF$68,B129)</f>
        <v/>
      </c>
      <c r="J129">
        <f>INDEX($AC$61:$AC$68,B129)</f>
        <v/>
      </c>
      <c r="K129">
        <f>INDEX($AD$61:$AD$68,B129)</f>
        <v/>
      </c>
      <c r="L129">
        <f>INDEX($AG$61:$AG$68,B129)</f>
        <v/>
      </c>
      <c r="M129">
        <f>INDEX($AH$61:$AH$68,B129)</f>
        <v/>
      </c>
      <c r="N129">
        <f>INDEX($AI$61:$AI$68,B129)</f>
        <v/>
      </c>
      <c r="O129">
        <f>O128*$B$26+L129*(1-$B$26)</f>
        <v/>
      </c>
      <c r="P129">
        <f>$B$7*(O129-O128)*(1-AS128)</f>
        <v/>
      </c>
      <c r="Q129">
        <f>M129+0.51274*AT128</f>
        <v/>
      </c>
      <c r="R129">
        <f>N129+0.616*AT128</f>
        <v/>
      </c>
      <c r="S129">
        <f>IF($B$13&gt;=0.6,Q129,IF($B$13&lt;=0.2,R129,R129+2.5*(Q129-R129)*($B$13-0.2)))</f>
        <v/>
      </c>
      <c r="T129">
        <f>IF(A129=1,S129,T128*$B$27+S129*(1-$B$27))</f>
        <v/>
      </c>
      <c r="U129">
        <f>0.6105*EXP(17.27*T129/(T129+237.3))</f>
        <v/>
      </c>
      <c r="V129">
        <f>($B$14*(I129*C129+IF(ABS((D129+0.1)-D129)&lt;0.000000001,4*$B$19*$B$20*(D129+273)^3,$B$19*$B$20*(((D129+0.1)+273)^4-(D129+273)^4)/((D129+0.1)-D129))*D129)+T129/H129)/($B$14*(I129+IF(ABS((D129+0.1)-D129)&lt;0.000000001,4*$B$19*$B$20*(D129+273)^3,$B$19*$B$20*(((D129+0.1)+273)^4-(D129+273)^4)/((D129+0.1)-D129)))+1/H129)</f>
        <v/>
      </c>
      <c r="W129">
        <f>($B$14*(I129*C129+IF(ABS(V129-D129)&lt;0.000000001,4*$B$19*$B$20*(D129+273)^3,$B$19*$B$20*((V129+273)^4-(D129+273)^4)/(V129-D129))*D129)+T129/H129)/($B$14*(I129+IF(ABS(V129-D129)&lt;0.000000001,4*$B$19*$B$20*(D129+273)^3,$B$19*$B$20*((V129+273)^4-(D129+273)^4)/(V129-D129)))+1/H129)</f>
        <v/>
      </c>
      <c r="X129">
        <f>($B$14*(I129*C129+IF(ABS(W129-D129)&lt;0.000000001,4*$B$19*$B$20*(D129+273)^3,$B$19*$B$20*((W129+273)^4-(D129+273)^4)/(W129-D129))*D129)+T129/H129)/($B$14*(I129+IF(ABS(W129-D129)&lt;0.000000001,4*$B$19*$B$20*(D129+273)^3,$B$19*$B$20*((W129+273)^4-(D129+273)^4)/(W129-D129)))+1/H129)</f>
        <v/>
      </c>
      <c r="Y129">
        <f>($B$14*(I129*C129+IF(ABS(X129-D129)&lt;0.000000001,4*$B$19*$B$20*(D129+273)^3,$B$19*$B$20*((X129+273)^4-(D129+273)^4)/(X129-D129))*D129)+T129/H129)/($B$14*(I129+IF(ABS(X129-D129)&lt;0.000000001,4*$B$19*$B$20*(D129+273)^3,$B$19*$B$20*((X129+273)^4-(D129+273)^4)/(X129-D129)))+1/H129)</f>
        <v/>
      </c>
      <c r="Z129">
        <f>IF(ABS(Y129-D129)&lt;0.000000001,4*$B$19*$B$20*(D129+273)^3,$B$19*$B$20*((Y129+273)^4-(D129+273)^4)/(Y129-D129))</f>
        <v/>
      </c>
      <c r="AA129">
        <f>$B$14*I129*(Y129-C129)</f>
        <v/>
      </c>
      <c r="AB129">
        <f>$B$14*Z129*(Y129-D129)</f>
        <v/>
      </c>
      <c r="AC129">
        <f>IF((U129-E129)/G129=0,0.001,(U129-E129)/G129)</f>
        <v/>
      </c>
      <c r="AD129">
        <f>F129-P129-J129-K129-AA129-AB129</f>
        <v/>
      </c>
      <c r="AE129">
        <f>AD129/AC129</f>
        <v/>
      </c>
      <c r="AF129">
        <f>IF(AD129&lt;=0,0,IF(AC129&lt;=0,$B$11,IF(AE129&gt;=1.7,$B$11,MIN(AD129/MAX(0.05,IF(AE129&gt;1,(2-AE129)^2/2,1-AE129^2/2)),$B$11))))</f>
        <v/>
      </c>
      <c r="AG129">
        <f>AG128*$B$28+AF129*(1-$B$28)</f>
        <v/>
      </c>
      <c r="AH129">
        <f>IF(AND(AD129&gt;0,AC129&lt;=0),0,AC129)</f>
        <v/>
      </c>
      <c r="AI129">
        <f>AH129/MAX(AG129,0.000001)</f>
        <v/>
      </c>
      <c r="AJ129">
        <f>MIN(IF(AI129&gt;=0.5,-AI129+SQRT(AI129^2+2),1),$B$12)</f>
        <v/>
      </c>
      <c r="AK129">
        <f>IF(AG129&lt;=0,0,AJ129*AH129)</f>
        <v/>
      </c>
      <c r="AL129">
        <f>IF(AD129&lt;=0,0,AD129)</f>
        <v/>
      </c>
      <c r="AM129">
        <f>AL129-AK129+P129</f>
        <v/>
      </c>
      <c r="AN129">
        <f>((AM129/$B$7+T128*AS128/2-T129*MAX(0.1,MIN(0.3,0.3-0.09*(AR128-36.8)))/2)+AR128*(1-AS128/2))/(1-MAX(0.1,MIN(0.3,0.3-0.09*(AR128-36.8)))/2)</f>
        <v/>
      </c>
      <c r="AO129">
        <f>((AM129/$B$7+T128*AS128/2-T129*MAX(0.1,MIN(0.3,0.3-0.09*(AN129-36.8)))/2)+AR128*(1-AS128/2))/(1-MAX(0.1,MIN(0.3,0.3-0.09*(AN129-36.8)))/2)</f>
        <v/>
      </c>
      <c r="AP129">
        <f>((AM129/$B$7+T128*AS128/2-T129*MAX(0.1,MIN(0.3,0.3-0.09*(AO129-36.8)))/2)+AR128*(1-AS128/2))/(1-MAX(0.1,MIN(0.3,0.3-0.09*(AO129-36.8)))/2)</f>
        <v/>
      </c>
      <c r="AQ129">
        <f>((AM129/$B$7+T128*AS128/2-T129*MAX(0.1,MIN(0.3,0.3-0.09*(AP129-36.8)))/2)+AR128*(1-AS128/2))/(1-MAX(0.1,MIN(0.3,0.3-0.09*(AP129-36.8)))/2)</f>
        <v/>
      </c>
      <c r="AR129">
        <f>((AM129/$B$7+T128*AS128/2-T129*MAX(0.1,MIN(0.3,0.3-0.09*(AQ129-36.8)))/2)+AR128*(1-AS128/2))/(1-MAX(0.1,MIN(0.3,0.3-0.09*(AQ129-36.8)))/2)</f>
        <v/>
      </c>
      <c r="AS129">
        <f>MAX(0.1,MIN(0.3,0.3-0.09*(AR129-36.8)))</f>
        <v/>
      </c>
      <c r="AT129">
        <f>AT128+(2*AR129-1.962*AT128-1.31)/9</f>
        <v/>
      </c>
      <c r="AU129">
        <f>AU128+AG129+K129</f>
        <v/>
      </c>
      <c r="AV129">
        <f>AU129*2.67*$B$6/1.8/60</f>
        <v/>
      </c>
      <c r="AW129">
        <f>IF(AT129&gt;=$B$36,1,0)</f>
        <v/>
      </c>
      <c r="AX129">
        <f>IF(AV129&gt;=$B$21,1,0)</f>
        <v/>
      </c>
    </row>
    <row r="130">
      <c r="A130" t="n">
        <v>57</v>
      </c>
      <c r="B130">
        <f>MATCH(A130-1,$D$61:$D$68,1)</f>
        <v/>
      </c>
      <c r="C130">
        <f>INDEX($G$61:$G$68,B130)</f>
        <v/>
      </c>
      <c r="D130">
        <f>INDEX($L$61:$L$68,B130)</f>
        <v/>
      </c>
      <c r="E130">
        <f>INDEX($M$61:$M$68,B130)</f>
        <v/>
      </c>
      <c r="F130">
        <f>INDEX($N$61:$N$68,B130)</f>
        <v/>
      </c>
      <c r="G130">
        <f>INDEX($AA$61:$AA$68,B130)</f>
        <v/>
      </c>
      <c r="H130">
        <f>INDEX($X$61:$X$68,B130)</f>
        <v/>
      </c>
      <c r="I130">
        <f>INDEX($AF$61:$AF$68,B130)</f>
        <v/>
      </c>
      <c r="J130">
        <f>INDEX($AC$61:$AC$68,B130)</f>
        <v/>
      </c>
      <c r="K130">
        <f>INDEX($AD$61:$AD$68,B130)</f>
        <v/>
      </c>
      <c r="L130">
        <f>INDEX($AG$61:$AG$68,B130)</f>
        <v/>
      </c>
      <c r="M130">
        <f>INDEX($AH$61:$AH$68,B130)</f>
        <v/>
      </c>
      <c r="N130">
        <f>INDEX($AI$61:$AI$68,B130)</f>
        <v/>
      </c>
      <c r="O130">
        <f>O129*$B$26+L130*(1-$B$26)</f>
        <v/>
      </c>
      <c r="P130">
        <f>$B$7*(O130-O129)*(1-AS129)</f>
        <v/>
      </c>
      <c r="Q130">
        <f>M130+0.51274*AT129</f>
        <v/>
      </c>
      <c r="R130">
        <f>N130+0.616*AT129</f>
        <v/>
      </c>
      <c r="S130">
        <f>IF($B$13&gt;=0.6,Q130,IF($B$13&lt;=0.2,R130,R130+2.5*(Q130-R130)*($B$13-0.2)))</f>
        <v/>
      </c>
      <c r="T130">
        <f>IF(A130=1,S130,T129*$B$27+S130*(1-$B$27))</f>
        <v/>
      </c>
      <c r="U130">
        <f>0.6105*EXP(17.27*T130/(T130+237.3))</f>
        <v/>
      </c>
      <c r="V130">
        <f>($B$14*(I130*C130+IF(ABS((D130+0.1)-D130)&lt;0.000000001,4*$B$19*$B$20*(D130+273)^3,$B$19*$B$20*(((D130+0.1)+273)^4-(D130+273)^4)/((D130+0.1)-D130))*D130)+T130/H130)/($B$14*(I130+IF(ABS((D130+0.1)-D130)&lt;0.000000001,4*$B$19*$B$20*(D130+273)^3,$B$19*$B$20*(((D130+0.1)+273)^4-(D130+273)^4)/((D130+0.1)-D130)))+1/H130)</f>
        <v/>
      </c>
      <c r="W130">
        <f>($B$14*(I130*C130+IF(ABS(V130-D130)&lt;0.000000001,4*$B$19*$B$20*(D130+273)^3,$B$19*$B$20*((V130+273)^4-(D130+273)^4)/(V130-D130))*D130)+T130/H130)/($B$14*(I130+IF(ABS(V130-D130)&lt;0.000000001,4*$B$19*$B$20*(D130+273)^3,$B$19*$B$20*((V130+273)^4-(D130+273)^4)/(V130-D130)))+1/H130)</f>
        <v/>
      </c>
      <c r="X130">
        <f>($B$14*(I130*C130+IF(ABS(W130-D130)&lt;0.000000001,4*$B$19*$B$20*(D130+273)^3,$B$19*$B$20*((W130+273)^4-(D130+273)^4)/(W130-D130))*D130)+T130/H130)/($B$14*(I130+IF(ABS(W130-D130)&lt;0.000000001,4*$B$19*$B$20*(D130+273)^3,$B$19*$B$20*((W130+273)^4-(D130+273)^4)/(W130-D130)))+1/H130)</f>
        <v/>
      </c>
      <c r="Y130">
        <f>($B$14*(I130*C130+IF(ABS(X130-D130)&lt;0.000000001,4*$B$19*$B$20*(D130+273)^3,$B$19*$B$20*((X130+273)^4-(D130+273)^4)/(X130-D130))*D130)+T130/H130)/($B$14*(I130+IF(ABS(X130-D130)&lt;0.000000001,4*$B$19*$B$20*(D130+273)^3,$B$19*$B$20*((X130+273)^4-(D130+273)^4)/(X130-D130)))+1/H130)</f>
        <v/>
      </c>
      <c r="Z130">
        <f>IF(ABS(Y130-D130)&lt;0.000000001,4*$B$19*$B$20*(D130+273)^3,$B$19*$B$20*((Y130+273)^4-(D130+273)^4)/(Y130-D130))</f>
        <v/>
      </c>
      <c r="AA130">
        <f>$B$14*I130*(Y130-C130)</f>
        <v/>
      </c>
      <c r="AB130">
        <f>$B$14*Z130*(Y130-D130)</f>
        <v/>
      </c>
      <c r="AC130">
        <f>IF((U130-E130)/G130=0,0.001,(U130-E130)/G130)</f>
        <v/>
      </c>
      <c r="AD130">
        <f>F130-P130-J130-K130-AA130-AB130</f>
        <v/>
      </c>
      <c r="AE130">
        <f>AD130/AC130</f>
        <v/>
      </c>
      <c r="AF130">
        <f>IF(AD130&lt;=0,0,IF(AC130&lt;=0,$B$11,IF(AE130&gt;=1.7,$B$11,MIN(AD130/MAX(0.05,IF(AE130&gt;1,(2-AE130)^2/2,1-AE130^2/2)),$B$11))))</f>
        <v/>
      </c>
      <c r="AG130">
        <f>AG129*$B$28+AF130*(1-$B$28)</f>
        <v/>
      </c>
      <c r="AH130">
        <f>IF(AND(AD130&gt;0,AC130&lt;=0),0,AC130)</f>
        <v/>
      </c>
      <c r="AI130">
        <f>AH130/MAX(AG130,0.000001)</f>
        <v/>
      </c>
      <c r="AJ130">
        <f>MIN(IF(AI130&gt;=0.5,-AI130+SQRT(AI130^2+2),1),$B$12)</f>
        <v/>
      </c>
      <c r="AK130">
        <f>IF(AG130&lt;=0,0,AJ130*AH130)</f>
        <v/>
      </c>
      <c r="AL130">
        <f>IF(AD130&lt;=0,0,AD130)</f>
        <v/>
      </c>
      <c r="AM130">
        <f>AL130-AK130+P130</f>
        <v/>
      </c>
      <c r="AN130">
        <f>((AM130/$B$7+T129*AS129/2-T130*MAX(0.1,MIN(0.3,0.3-0.09*(AR129-36.8)))/2)+AR129*(1-AS129/2))/(1-MAX(0.1,MIN(0.3,0.3-0.09*(AR129-36.8)))/2)</f>
        <v/>
      </c>
      <c r="AO130">
        <f>((AM130/$B$7+T129*AS129/2-T130*MAX(0.1,MIN(0.3,0.3-0.09*(AN130-36.8)))/2)+AR129*(1-AS129/2))/(1-MAX(0.1,MIN(0.3,0.3-0.09*(AN130-36.8)))/2)</f>
        <v/>
      </c>
      <c r="AP130">
        <f>((AM130/$B$7+T129*AS129/2-T130*MAX(0.1,MIN(0.3,0.3-0.09*(AO130-36.8)))/2)+AR129*(1-AS129/2))/(1-MAX(0.1,MIN(0.3,0.3-0.09*(AO130-36.8)))/2)</f>
        <v/>
      </c>
      <c r="AQ130">
        <f>((AM130/$B$7+T129*AS129/2-T130*MAX(0.1,MIN(0.3,0.3-0.09*(AP130-36.8)))/2)+AR129*(1-AS129/2))/(1-MAX(0.1,MIN(0.3,0.3-0.09*(AP130-36.8)))/2)</f>
        <v/>
      </c>
      <c r="AR130">
        <f>((AM130/$B$7+T129*AS129/2-T130*MAX(0.1,MIN(0.3,0.3-0.09*(AQ130-36.8)))/2)+AR129*(1-AS129/2))/(1-MAX(0.1,MIN(0.3,0.3-0.09*(AQ130-36.8)))/2)</f>
        <v/>
      </c>
      <c r="AS130">
        <f>MAX(0.1,MIN(0.3,0.3-0.09*(AR130-36.8)))</f>
        <v/>
      </c>
      <c r="AT130">
        <f>AT129+(2*AR130-1.962*AT129-1.31)/9</f>
        <v/>
      </c>
      <c r="AU130">
        <f>AU129+AG130+K130</f>
        <v/>
      </c>
      <c r="AV130">
        <f>AU130*2.67*$B$6/1.8/60</f>
        <v/>
      </c>
      <c r="AW130">
        <f>IF(AT130&gt;=$B$36,1,0)</f>
        <v/>
      </c>
      <c r="AX130">
        <f>IF(AV130&gt;=$B$21,1,0)</f>
        <v/>
      </c>
    </row>
    <row r="131">
      <c r="A131" t="n">
        <v>58</v>
      </c>
      <c r="B131">
        <f>MATCH(A131-1,$D$61:$D$68,1)</f>
        <v/>
      </c>
      <c r="C131">
        <f>INDEX($G$61:$G$68,B131)</f>
        <v/>
      </c>
      <c r="D131">
        <f>INDEX($L$61:$L$68,B131)</f>
        <v/>
      </c>
      <c r="E131">
        <f>INDEX($M$61:$M$68,B131)</f>
        <v/>
      </c>
      <c r="F131">
        <f>INDEX($N$61:$N$68,B131)</f>
        <v/>
      </c>
      <c r="G131">
        <f>INDEX($AA$61:$AA$68,B131)</f>
        <v/>
      </c>
      <c r="H131">
        <f>INDEX($X$61:$X$68,B131)</f>
        <v/>
      </c>
      <c r="I131">
        <f>INDEX($AF$61:$AF$68,B131)</f>
        <v/>
      </c>
      <c r="J131">
        <f>INDEX($AC$61:$AC$68,B131)</f>
        <v/>
      </c>
      <c r="K131">
        <f>INDEX($AD$61:$AD$68,B131)</f>
        <v/>
      </c>
      <c r="L131">
        <f>INDEX($AG$61:$AG$68,B131)</f>
        <v/>
      </c>
      <c r="M131">
        <f>INDEX($AH$61:$AH$68,B131)</f>
        <v/>
      </c>
      <c r="N131">
        <f>INDEX($AI$61:$AI$68,B131)</f>
        <v/>
      </c>
      <c r="O131">
        <f>O130*$B$26+L131*(1-$B$26)</f>
        <v/>
      </c>
      <c r="P131">
        <f>$B$7*(O131-O130)*(1-AS130)</f>
        <v/>
      </c>
      <c r="Q131">
        <f>M131+0.51274*AT130</f>
        <v/>
      </c>
      <c r="R131">
        <f>N131+0.616*AT130</f>
        <v/>
      </c>
      <c r="S131">
        <f>IF($B$13&gt;=0.6,Q131,IF($B$13&lt;=0.2,R131,R131+2.5*(Q131-R131)*($B$13-0.2)))</f>
        <v/>
      </c>
      <c r="T131">
        <f>IF(A131=1,S131,T130*$B$27+S131*(1-$B$27))</f>
        <v/>
      </c>
      <c r="U131">
        <f>0.6105*EXP(17.27*T131/(T131+237.3))</f>
        <v/>
      </c>
      <c r="V131">
        <f>($B$14*(I131*C131+IF(ABS((D131+0.1)-D131)&lt;0.000000001,4*$B$19*$B$20*(D131+273)^3,$B$19*$B$20*(((D131+0.1)+273)^4-(D131+273)^4)/((D131+0.1)-D131))*D131)+T131/H131)/($B$14*(I131+IF(ABS((D131+0.1)-D131)&lt;0.000000001,4*$B$19*$B$20*(D131+273)^3,$B$19*$B$20*(((D131+0.1)+273)^4-(D131+273)^4)/((D131+0.1)-D131)))+1/H131)</f>
        <v/>
      </c>
      <c r="W131">
        <f>($B$14*(I131*C131+IF(ABS(V131-D131)&lt;0.000000001,4*$B$19*$B$20*(D131+273)^3,$B$19*$B$20*((V131+273)^4-(D131+273)^4)/(V131-D131))*D131)+T131/H131)/($B$14*(I131+IF(ABS(V131-D131)&lt;0.000000001,4*$B$19*$B$20*(D131+273)^3,$B$19*$B$20*((V131+273)^4-(D131+273)^4)/(V131-D131)))+1/H131)</f>
        <v/>
      </c>
      <c r="X131">
        <f>($B$14*(I131*C131+IF(ABS(W131-D131)&lt;0.000000001,4*$B$19*$B$20*(D131+273)^3,$B$19*$B$20*((W131+273)^4-(D131+273)^4)/(W131-D131))*D131)+T131/H131)/($B$14*(I131+IF(ABS(W131-D131)&lt;0.000000001,4*$B$19*$B$20*(D131+273)^3,$B$19*$B$20*((W131+273)^4-(D131+273)^4)/(W131-D131)))+1/H131)</f>
        <v/>
      </c>
      <c r="Y131">
        <f>($B$14*(I131*C131+IF(ABS(X131-D131)&lt;0.000000001,4*$B$19*$B$20*(D131+273)^3,$B$19*$B$20*((X131+273)^4-(D131+273)^4)/(X131-D131))*D131)+T131/H131)/($B$14*(I131+IF(ABS(X131-D131)&lt;0.000000001,4*$B$19*$B$20*(D131+273)^3,$B$19*$B$20*((X131+273)^4-(D131+273)^4)/(X131-D131)))+1/H131)</f>
        <v/>
      </c>
      <c r="Z131">
        <f>IF(ABS(Y131-D131)&lt;0.000000001,4*$B$19*$B$20*(D131+273)^3,$B$19*$B$20*((Y131+273)^4-(D131+273)^4)/(Y131-D131))</f>
        <v/>
      </c>
      <c r="AA131">
        <f>$B$14*I131*(Y131-C131)</f>
        <v/>
      </c>
      <c r="AB131">
        <f>$B$14*Z131*(Y131-D131)</f>
        <v/>
      </c>
      <c r="AC131">
        <f>IF((U131-E131)/G131=0,0.001,(U131-E131)/G131)</f>
        <v/>
      </c>
      <c r="AD131">
        <f>F131-P131-J131-K131-AA131-AB131</f>
        <v/>
      </c>
      <c r="AE131">
        <f>AD131/AC131</f>
        <v/>
      </c>
      <c r="AF131">
        <f>IF(AD131&lt;=0,0,IF(AC131&lt;=0,$B$11,IF(AE131&gt;=1.7,$B$11,MIN(AD131/MAX(0.05,IF(AE131&gt;1,(2-AE131)^2/2,1-AE131^2/2)),$B$11))))</f>
        <v/>
      </c>
      <c r="AG131">
        <f>AG130*$B$28+AF131*(1-$B$28)</f>
        <v/>
      </c>
      <c r="AH131">
        <f>IF(AND(AD131&gt;0,AC131&lt;=0),0,AC131)</f>
        <v/>
      </c>
      <c r="AI131">
        <f>AH131/MAX(AG131,0.000001)</f>
        <v/>
      </c>
      <c r="AJ131">
        <f>MIN(IF(AI131&gt;=0.5,-AI131+SQRT(AI131^2+2),1),$B$12)</f>
        <v/>
      </c>
      <c r="AK131">
        <f>IF(AG131&lt;=0,0,AJ131*AH131)</f>
        <v/>
      </c>
      <c r="AL131">
        <f>IF(AD131&lt;=0,0,AD131)</f>
        <v/>
      </c>
      <c r="AM131">
        <f>AL131-AK131+P131</f>
        <v/>
      </c>
      <c r="AN131">
        <f>((AM131/$B$7+T130*AS130/2-T131*MAX(0.1,MIN(0.3,0.3-0.09*(AR130-36.8)))/2)+AR130*(1-AS130/2))/(1-MAX(0.1,MIN(0.3,0.3-0.09*(AR130-36.8)))/2)</f>
        <v/>
      </c>
      <c r="AO131">
        <f>((AM131/$B$7+T130*AS130/2-T131*MAX(0.1,MIN(0.3,0.3-0.09*(AN131-36.8)))/2)+AR130*(1-AS130/2))/(1-MAX(0.1,MIN(0.3,0.3-0.09*(AN131-36.8)))/2)</f>
        <v/>
      </c>
      <c r="AP131">
        <f>((AM131/$B$7+T130*AS130/2-T131*MAX(0.1,MIN(0.3,0.3-0.09*(AO131-36.8)))/2)+AR130*(1-AS130/2))/(1-MAX(0.1,MIN(0.3,0.3-0.09*(AO131-36.8)))/2)</f>
        <v/>
      </c>
      <c r="AQ131">
        <f>((AM131/$B$7+T130*AS130/2-T131*MAX(0.1,MIN(0.3,0.3-0.09*(AP131-36.8)))/2)+AR130*(1-AS130/2))/(1-MAX(0.1,MIN(0.3,0.3-0.09*(AP131-36.8)))/2)</f>
        <v/>
      </c>
      <c r="AR131">
        <f>((AM131/$B$7+T130*AS130/2-T131*MAX(0.1,MIN(0.3,0.3-0.09*(AQ131-36.8)))/2)+AR130*(1-AS130/2))/(1-MAX(0.1,MIN(0.3,0.3-0.09*(AQ131-36.8)))/2)</f>
        <v/>
      </c>
      <c r="AS131">
        <f>MAX(0.1,MIN(0.3,0.3-0.09*(AR131-36.8)))</f>
        <v/>
      </c>
      <c r="AT131">
        <f>AT130+(2*AR131-1.962*AT130-1.31)/9</f>
        <v/>
      </c>
      <c r="AU131">
        <f>AU130+AG131+K131</f>
        <v/>
      </c>
      <c r="AV131">
        <f>AU131*2.67*$B$6/1.8/60</f>
        <v/>
      </c>
      <c r="AW131">
        <f>IF(AT131&gt;=$B$36,1,0)</f>
        <v/>
      </c>
      <c r="AX131">
        <f>IF(AV131&gt;=$B$21,1,0)</f>
        <v/>
      </c>
    </row>
    <row r="132">
      <c r="A132" t="n">
        <v>59</v>
      </c>
      <c r="B132">
        <f>MATCH(A132-1,$D$61:$D$68,1)</f>
        <v/>
      </c>
      <c r="C132">
        <f>INDEX($G$61:$G$68,B132)</f>
        <v/>
      </c>
      <c r="D132">
        <f>INDEX($L$61:$L$68,B132)</f>
        <v/>
      </c>
      <c r="E132">
        <f>INDEX($M$61:$M$68,B132)</f>
        <v/>
      </c>
      <c r="F132">
        <f>INDEX($N$61:$N$68,B132)</f>
        <v/>
      </c>
      <c r="G132">
        <f>INDEX($AA$61:$AA$68,B132)</f>
        <v/>
      </c>
      <c r="H132">
        <f>INDEX($X$61:$X$68,B132)</f>
        <v/>
      </c>
      <c r="I132">
        <f>INDEX($AF$61:$AF$68,B132)</f>
        <v/>
      </c>
      <c r="J132">
        <f>INDEX($AC$61:$AC$68,B132)</f>
        <v/>
      </c>
      <c r="K132">
        <f>INDEX($AD$61:$AD$68,B132)</f>
        <v/>
      </c>
      <c r="L132">
        <f>INDEX($AG$61:$AG$68,B132)</f>
        <v/>
      </c>
      <c r="M132">
        <f>INDEX($AH$61:$AH$68,B132)</f>
        <v/>
      </c>
      <c r="N132">
        <f>INDEX($AI$61:$AI$68,B132)</f>
        <v/>
      </c>
      <c r="O132">
        <f>O131*$B$26+L132*(1-$B$26)</f>
        <v/>
      </c>
      <c r="P132">
        <f>$B$7*(O132-O131)*(1-AS131)</f>
        <v/>
      </c>
      <c r="Q132">
        <f>M132+0.51274*AT131</f>
        <v/>
      </c>
      <c r="R132">
        <f>N132+0.616*AT131</f>
        <v/>
      </c>
      <c r="S132">
        <f>IF($B$13&gt;=0.6,Q132,IF($B$13&lt;=0.2,R132,R132+2.5*(Q132-R132)*($B$13-0.2)))</f>
        <v/>
      </c>
      <c r="T132">
        <f>IF(A132=1,S132,T131*$B$27+S132*(1-$B$27))</f>
        <v/>
      </c>
      <c r="U132">
        <f>0.6105*EXP(17.27*T132/(T132+237.3))</f>
        <v/>
      </c>
      <c r="V132">
        <f>($B$14*(I132*C132+IF(ABS((D132+0.1)-D132)&lt;0.000000001,4*$B$19*$B$20*(D132+273)^3,$B$19*$B$20*(((D132+0.1)+273)^4-(D132+273)^4)/((D132+0.1)-D132))*D132)+T132/H132)/($B$14*(I132+IF(ABS((D132+0.1)-D132)&lt;0.000000001,4*$B$19*$B$20*(D132+273)^3,$B$19*$B$20*(((D132+0.1)+273)^4-(D132+273)^4)/((D132+0.1)-D132)))+1/H132)</f>
        <v/>
      </c>
      <c r="W132">
        <f>($B$14*(I132*C132+IF(ABS(V132-D132)&lt;0.000000001,4*$B$19*$B$20*(D132+273)^3,$B$19*$B$20*((V132+273)^4-(D132+273)^4)/(V132-D132))*D132)+T132/H132)/($B$14*(I132+IF(ABS(V132-D132)&lt;0.000000001,4*$B$19*$B$20*(D132+273)^3,$B$19*$B$20*((V132+273)^4-(D132+273)^4)/(V132-D132)))+1/H132)</f>
        <v/>
      </c>
      <c r="X132">
        <f>($B$14*(I132*C132+IF(ABS(W132-D132)&lt;0.000000001,4*$B$19*$B$20*(D132+273)^3,$B$19*$B$20*((W132+273)^4-(D132+273)^4)/(W132-D132))*D132)+T132/H132)/($B$14*(I132+IF(ABS(W132-D132)&lt;0.000000001,4*$B$19*$B$20*(D132+273)^3,$B$19*$B$20*((W132+273)^4-(D132+273)^4)/(W132-D132)))+1/H132)</f>
        <v/>
      </c>
      <c r="Y132">
        <f>($B$14*(I132*C132+IF(ABS(X132-D132)&lt;0.000000001,4*$B$19*$B$20*(D132+273)^3,$B$19*$B$20*((X132+273)^4-(D132+273)^4)/(X132-D132))*D132)+T132/H132)/($B$14*(I132+IF(ABS(X132-D132)&lt;0.000000001,4*$B$19*$B$20*(D132+273)^3,$B$19*$B$20*((X132+273)^4-(D132+273)^4)/(X132-D132)))+1/H132)</f>
        <v/>
      </c>
      <c r="Z132">
        <f>IF(ABS(Y132-D132)&lt;0.000000001,4*$B$19*$B$20*(D132+273)^3,$B$19*$B$20*((Y132+273)^4-(D132+273)^4)/(Y132-D132))</f>
        <v/>
      </c>
      <c r="AA132">
        <f>$B$14*I132*(Y132-C132)</f>
        <v/>
      </c>
      <c r="AB132">
        <f>$B$14*Z132*(Y132-D132)</f>
        <v/>
      </c>
      <c r="AC132">
        <f>IF((U132-E132)/G132=0,0.001,(U132-E132)/G132)</f>
        <v/>
      </c>
      <c r="AD132">
        <f>F132-P132-J132-K132-AA132-AB132</f>
        <v/>
      </c>
      <c r="AE132">
        <f>AD132/AC132</f>
        <v/>
      </c>
      <c r="AF132">
        <f>IF(AD132&lt;=0,0,IF(AC132&lt;=0,$B$11,IF(AE132&gt;=1.7,$B$11,MIN(AD132/MAX(0.05,IF(AE132&gt;1,(2-AE132)^2/2,1-AE132^2/2)),$B$11))))</f>
        <v/>
      </c>
      <c r="AG132">
        <f>AG131*$B$28+AF132*(1-$B$28)</f>
        <v/>
      </c>
      <c r="AH132">
        <f>IF(AND(AD132&gt;0,AC132&lt;=0),0,AC132)</f>
        <v/>
      </c>
      <c r="AI132">
        <f>AH132/MAX(AG132,0.000001)</f>
        <v/>
      </c>
      <c r="AJ132">
        <f>MIN(IF(AI132&gt;=0.5,-AI132+SQRT(AI132^2+2),1),$B$12)</f>
        <v/>
      </c>
      <c r="AK132">
        <f>IF(AG132&lt;=0,0,AJ132*AH132)</f>
        <v/>
      </c>
      <c r="AL132">
        <f>IF(AD132&lt;=0,0,AD132)</f>
        <v/>
      </c>
      <c r="AM132">
        <f>AL132-AK132+P132</f>
        <v/>
      </c>
      <c r="AN132">
        <f>((AM132/$B$7+T131*AS131/2-T132*MAX(0.1,MIN(0.3,0.3-0.09*(AR131-36.8)))/2)+AR131*(1-AS131/2))/(1-MAX(0.1,MIN(0.3,0.3-0.09*(AR131-36.8)))/2)</f>
        <v/>
      </c>
      <c r="AO132">
        <f>((AM132/$B$7+T131*AS131/2-T132*MAX(0.1,MIN(0.3,0.3-0.09*(AN132-36.8)))/2)+AR131*(1-AS131/2))/(1-MAX(0.1,MIN(0.3,0.3-0.09*(AN132-36.8)))/2)</f>
        <v/>
      </c>
      <c r="AP132">
        <f>((AM132/$B$7+T131*AS131/2-T132*MAX(0.1,MIN(0.3,0.3-0.09*(AO132-36.8)))/2)+AR131*(1-AS131/2))/(1-MAX(0.1,MIN(0.3,0.3-0.09*(AO132-36.8)))/2)</f>
        <v/>
      </c>
      <c r="AQ132">
        <f>((AM132/$B$7+T131*AS131/2-T132*MAX(0.1,MIN(0.3,0.3-0.09*(AP132-36.8)))/2)+AR131*(1-AS131/2))/(1-MAX(0.1,MIN(0.3,0.3-0.09*(AP132-36.8)))/2)</f>
        <v/>
      </c>
      <c r="AR132">
        <f>((AM132/$B$7+T131*AS131/2-T132*MAX(0.1,MIN(0.3,0.3-0.09*(AQ132-36.8)))/2)+AR131*(1-AS131/2))/(1-MAX(0.1,MIN(0.3,0.3-0.09*(AQ132-36.8)))/2)</f>
        <v/>
      </c>
      <c r="AS132">
        <f>MAX(0.1,MIN(0.3,0.3-0.09*(AR132-36.8)))</f>
        <v/>
      </c>
      <c r="AT132">
        <f>AT131+(2*AR132-1.962*AT131-1.31)/9</f>
        <v/>
      </c>
      <c r="AU132">
        <f>AU131+AG132+K132</f>
        <v/>
      </c>
      <c r="AV132">
        <f>AU132*2.67*$B$6/1.8/60</f>
        <v/>
      </c>
      <c r="AW132">
        <f>IF(AT132&gt;=$B$36,1,0)</f>
        <v/>
      </c>
      <c r="AX132">
        <f>IF(AV132&gt;=$B$21,1,0)</f>
        <v/>
      </c>
    </row>
    <row r="133">
      <c r="A133" t="n">
        <v>60</v>
      </c>
      <c r="B133">
        <f>MATCH(A133-1,$D$61:$D$68,1)</f>
        <v/>
      </c>
      <c r="C133">
        <f>INDEX($G$61:$G$68,B133)</f>
        <v/>
      </c>
      <c r="D133">
        <f>INDEX($L$61:$L$68,B133)</f>
        <v/>
      </c>
      <c r="E133">
        <f>INDEX($M$61:$M$68,B133)</f>
        <v/>
      </c>
      <c r="F133">
        <f>INDEX($N$61:$N$68,B133)</f>
        <v/>
      </c>
      <c r="G133">
        <f>INDEX($AA$61:$AA$68,B133)</f>
        <v/>
      </c>
      <c r="H133">
        <f>INDEX($X$61:$X$68,B133)</f>
        <v/>
      </c>
      <c r="I133">
        <f>INDEX($AF$61:$AF$68,B133)</f>
        <v/>
      </c>
      <c r="J133">
        <f>INDEX($AC$61:$AC$68,B133)</f>
        <v/>
      </c>
      <c r="K133">
        <f>INDEX($AD$61:$AD$68,B133)</f>
        <v/>
      </c>
      <c r="L133">
        <f>INDEX($AG$61:$AG$68,B133)</f>
        <v/>
      </c>
      <c r="M133">
        <f>INDEX($AH$61:$AH$68,B133)</f>
        <v/>
      </c>
      <c r="N133">
        <f>INDEX($AI$61:$AI$68,B133)</f>
        <v/>
      </c>
      <c r="O133">
        <f>O132*$B$26+L133*(1-$B$26)</f>
        <v/>
      </c>
      <c r="P133">
        <f>$B$7*(O133-O132)*(1-AS132)</f>
        <v/>
      </c>
      <c r="Q133">
        <f>M133+0.51274*AT132</f>
        <v/>
      </c>
      <c r="R133">
        <f>N133+0.616*AT132</f>
        <v/>
      </c>
      <c r="S133">
        <f>IF($B$13&gt;=0.6,Q133,IF($B$13&lt;=0.2,R133,R133+2.5*(Q133-R133)*($B$13-0.2)))</f>
        <v/>
      </c>
      <c r="T133">
        <f>IF(A133=1,S133,T132*$B$27+S133*(1-$B$27))</f>
        <v/>
      </c>
      <c r="U133">
        <f>0.6105*EXP(17.27*T133/(T133+237.3))</f>
        <v/>
      </c>
      <c r="V133">
        <f>($B$14*(I133*C133+IF(ABS((D133+0.1)-D133)&lt;0.000000001,4*$B$19*$B$20*(D133+273)^3,$B$19*$B$20*(((D133+0.1)+273)^4-(D133+273)^4)/((D133+0.1)-D133))*D133)+T133/H133)/($B$14*(I133+IF(ABS((D133+0.1)-D133)&lt;0.000000001,4*$B$19*$B$20*(D133+273)^3,$B$19*$B$20*(((D133+0.1)+273)^4-(D133+273)^4)/((D133+0.1)-D133)))+1/H133)</f>
        <v/>
      </c>
      <c r="W133">
        <f>($B$14*(I133*C133+IF(ABS(V133-D133)&lt;0.000000001,4*$B$19*$B$20*(D133+273)^3,$B$19*$B$20*((V133+273)^4-(D133+273)^4)/(V133-D133))*D133)+T133/H133)/($B$14*(I133+IF(ABS(V133-D133)&lt;0.000000001,4*$B$19*$B$20*(D133+273)^3,$B$19*$B$20*((V133+273)^4-(D133+273)^4)/(V133-D133)))+1/H133)</f>
        <v/>
      </c>
      <c r="X133">
        <f>($B$14*(I133*C133+IF(ABS(W133-D133)&lt;0.000000001,4*$B$19*$B$20*(D133+273)^3,$B$19*$B$20*((W133+273)^4-(D133+273)^4)/(W133-D133))*D133)+T133/H133)/($B$14*(I133+IF(ABS(W133-D133)&lt;0.000000001,4*$B$19*$B$20*(D133+273)^3,$B$19*$B$20*((W133+273)^4-(D133+273)^4)/(W133-D133)))+1/H133)</f>
        <v/>
      </c>
      <c r="Y133">
        <f>($B$14*(I133*C133+IF(ABS(X133-D133)&lt;0.000000001,4*$B$19*$B$20*(D133+273)^3,$B$19*$B$20*((X133+273)^4-(D133+273)^4)/(X133-D133))*D133)+T133/H133)/($B$14*(I133+IF(ABS(X133-D133)&lt;0.000000001,4*$B$19*$B$20*(D133+273)^3,$B$19*$B$20*((X133+273)^4-(D133+273)^4)/(X133-D133)))+1/H133)</f>
        <v/>
      </c>
      <c r="Z133">
        <f>IF(ABS(Y133-D133)&lt;0.000000001,4*$B$19*$B$20*(D133+273)^3,$B$19*$B$20*((Y133+273)^4-(D133+273)^4)/(Y133-D133))</f>
        <v/>
      </c>
      <c r="AA133">
        <f>$B$14*I133*(Y133-C133)</f>
        <v/>
      </c>
      <c r="AB133">
        <f>$B$14*Z133*(Y133-D133)</f>
        <v/>
      </c>
      <c r="AC133">
        <f>IF((U133-E133)/G133=0,0.001,(U133-E133)/G133)</f>
        <v/>
      </c>
      <c r="AD133">
        <f>F133-P133-J133-K133-AA133-AB133</f>
        <v/>
      </c>
      <c r="AE133">
        <f>AD133/AC133</f>
        <v/>
      </c>
      <c r="AF133">
        <f>IF(AD133&lt;=0,0,IF(AC133&lt;=0,$B$11,IF(AE133&gt;=1.7,$B$11,MIN(AD133/MAX(0.05,IF(AE133&gt;1,(2-AE133)^2/2,1-AE133^2/2)),$B$11))))</f>
        <v/>
      </c>
      <c r="AG133">
        <f>AG132*$B$28+AF133*(1-$B$28)</f>
        <v/>
      </c>
      <c r="AH133">
        <f>IF(AND(AD133&gt;0,AC133&lt;=0),0,AC133)</f>
        <v/>
      </c>
      <c r="AI133">
        <f>AH133/MAX(AG133,0.000001)</f>
        <v/>
      </c>
      <c r="AJ133">
        <f>MIN(IF(AI133&gt;=0.5,-AI133+SQRT(AI133^2+2),1),$B$12)</f>
        <v/>
      </c>
      <c r="AK133">
        <f>IF(AG133&lt;=0,0,AJ133*AH133)</f>
        <v/>
      </c>
      <c r="AL133">
        <f>IF(AD133&lt;=0,0,AD133)</f>
        <v/>
      </c>
      <c r="AM133">
        <f>AL133-AK133+P133</f>
        <v/>
      </c>
      <c r="AN133">
        <f>((AM133/$B$7+T132*AS132/2-T133*MAX(0.1,MIN(0.3,0.3-0.09*(AR132-36.8)))/2)+AR132*(1-AS132/2))/(1-MAX(0.1,MIN(0.3,0.3-0.09*(AR132-36.8)))/2)</f>
        <v/>
      </c>
      <c r="AO133">
        <f>((AM133/$B$7+T132*AS132/2-T133*MAX(0.1,MIN(0.3,0.3-0.09*(AN133-36.8)))/2)+AR132*(1-AS132/2))/(1-MAX(0.1,MIN(0.3,0.3-0.09*(AN133-36.8)))/2)</f>
        <v/>
      </c>
      <c r="AP133">
        <f>((AM133/$B$7+T132*AS132/2-T133*MAX(0.1,MIN(0.3,0.3-0.09*(AO133-36.8)))/2)+AR132*(1-AS132/2))/(1-MAX(0.1,MIN(0.3,0.3-0.09*(AO133-36.8)))/2)</f>
        <v/>
      </c>
      <c r="AQ133">
        <f>((AM133/$B$7+T132*AS132/2-T133*MAX(0.1,MIN(0.3,0.3-0.09*(AP133-36.8)))/2)+AR132*(1-AS132/2))/(1-MAX(0.1,MIN(0.3,0.3-0.09*(AP133-36.8)))/2)</f>
        <v/>
      </c>
      <c r="AR133">
        <f>((AM133/$B$7+T132*AS132/2-T133*MAX(0.1,MIN(0.3,0.3-0.09*(AQ133-36.8)))/2)+AR132*(1-AS132/2))/(1-MAX(0.1,MIN(0.3,0.3-0.09*(AQ133-36.8)))/2)</f>
        <v/>
      </c>
      <c r="AS133">
        <f>MAX(0.1,MIN(0.3,0.3-0.09*(AR133-36.8)))</f>
        <v/>
      </c>
      <c r="AT133">
        <f>AT132+(2*AR133-1.962*AT132-1.31)/9</f>
        <v/>
      </c>
      <c r="AU133">
        <f>AU132+AG133+K133</f>
        <v/>
      </c>
      <c r="AV133">
        <f>AU133*2.67*$B$6/1.8/60</f>
        <v/>
      </c>
      <c r="AW133">
        <f>IF(AT133&gt;=$B$36,1,0)</f>
        <v/>
      </c>
      <c r="AX133">
        <f>IF(AV133&gt;=$B$21,1,0)</f>
        <v/>
      </c>
    </row>
    <row r="134">
      <c r="A134" t="n">
        <v>61</v>
      </c>
      <c r="B134">
        <f>MATCH(A134-1,$D$61:$D$68,1)</f>
        <v/>
      </c>
      <c r="C134">
        <f>INDEX($G$61:$G$68,B134)</f>
        <v/>
      </c>
      <c r="D134">
        <f>INDEX($L$61:$L$68,B134)</f>
        <v/>
      </c>
      <c r="E134">
        <f>INDEX($M$61:$M$68,B134)</f>
        <v/>
      </c>
      <c r="F134">
        <f>INDEX($N$61:$N$68,B134)</f>
        <v/>
      </c>
      <c r="G134">
        <f>INDEX($AA$61:$AA$68,B134)</f>
        <v/>
      </c>
      <c r="H134">
        <f>INDEX($X$61:$X$68,B134)</f>
        <v/>
      </c>
      <c r="I134">
        <f>INDEX($AF$61:$AF$68,B134)</f>
        <v/>
      </c>
      <c r="J134">
        <f>INDEX($AC$61:$AC$68,B134)</f>
        <v/>
      </c>
      <c r="K134">
        <f>INDEX($AD$61:$AD$68,B134)</f>
        <v/>
      </c>
      <c r="L134">
        <f>INDEX($AG$61:$AG$68,B134)</f>
        <v/>
      </c>
      <c r="M134">
        <f>INDEX($AH$61:$AH$68,B134)</f>
        <v/>
      </c>
      <c r="N134">
        <f>INDEX($AI$61:$AI$68,B134)</f>
        <v/>
      </c>
      <c r="O134">
        <f>O133*$B$26+L134*(1-$B$26)</f>
        <v/>
      </c>
      <c r="P134">
        <f>$B$7*(O134-O133)*(1-AS133)</f>
        <v/>
      </c>
      <c r="Q134">
        <f>M134+0.51274*AT133</f>
        <v/>
      </c>
      <c r="R134">
        <f>N134+0.616*AT133</f>
        <v/>
      </c>
      <c r="S134">
        <f>IF($B$13&gt;=0.6,Q134,IF($B$13&lt;=0.2,R134,R134+2.5*(Q134-R134)*($B$13-0.2)))</f>
        <v/>
      </c>
      <c r="T134">
        <f>IF(A134=1,S134,T133*$B$27+S134*(1-$B$27))</f>
        <v/>
      </c>
      <c r="U134">
        <f>0.6105*EXP(17.27*T134/(T134+237.3))</f>
        <v/>
      </c>
      <c r="V134">
        <f>($B$14*(I134*C134+IF(ABS((D134+0.1)-D134)&lt;0.000000001,4*$B$19*$B$20*(D134+273)^3,$B$19*$B$20*(((D134+0.1)+273)^4-(D134+273)^4)/((D134+0.1)-D134))*D134)+T134/H134)/($B$14*(I134+IF(ABS((D134+0.1)-D134)&lt;0.000000001,4*$B$19*$B$20*(D134+273)^3,$B$19*$B$20*(((D134+0.1)+273)^4-(D134+273)^4)/((D134+0.1)-D134)))+1/H134)</f>
        <v/>
      </c>
      <c r="W134">
        <f>($B$14*(I134*C134+IF(ABS(V134-D134)&lt;0.000000001,4*$B$19*$B$20*(D134+273)^3,$B$19*$B$20*((V134+273)^4-(D134+273)^4)/(V134-D134))*D134)+T134/H134)/($B$14*(I134+IF(ABS(V134-D134)&lt;0.000000001,4*$B$19*$B$20*(D134+273)^3,$B$19*$B$20*((V134+273)^4-(D134+273)^4)/(V134-D134)))+1/H134)</f>
        <v/>
      </c>
      <c r="X134">
        <f>($B$14*(I134*C134+IF(ABS(W134-D134)&lt;0.000000001,4*$B$19*$B$20*(D134+273)^3,$B$19*$B$20*((W134+273)^4-(D134+273)^4)/(W134-D134))*D134)+T134/H134)/($B$14*(I134+IF(ABS(W134-D134)&lt;0.000000001,4*$B$19*$B$20*(D134+273)^3,$B$19*$B$20*((W134+273)^4-(D134+273)^4)/(W134-D134)))+1/H134)</f>
        <v/>
      </c>
      <c r="Y134">
        <f>($B$14*(I134*C134+IF(ABS(X134-D134)&lt;0.000000001,4*$B$19*$B$20*(D134+273)^3,$B$19*$B$20*((X134+273)^4-(D134+273)^4)/(X134-D134))*D134)+T134/H134)/($B$14*(I134+IF(ABS(X134-D134)&lt;0.000000001,4*$B$19*$B$20*(D134+273)^3,$B$19*$B$20*((X134+273)^4-(D134+273)^4)/(X134-D134)))+1/H134)</f>
        <v/>
      </c>
      <c r="Z134">
        <f>IF(ABS(Y134-D134)&lt;0.000000001,4*$B$19*$B$20*(D134+273)^3,$B$19*$B$20*((Y134+273)^4-(D134+273)^4)/(Y134-D134))</f>
        <v/>
      </c>
      <c r="AA134">
        <f>$B$14*I134*(Y134-C134)</f>
        <v/>
      </c>
      <c r="AB134">
        <f>$B$14*Z134*(Y134-D134)</f>
        <v/>
      </c>
      <c r="AC134">
        <f>IF((U134-E134)/G134=0,0.001,(U134-E134)/G134)</f>
        <v/>
      </c>
      <c r="AD134">
        <f>F134-P134-J134-K134-AA134-AB134</f>
        <v/>
      </c>
      <c r="AE134">
        <f>AD134/AC134</f>
        <v/>
      </c>
      <c r="AF134">
        <f>IF(AD134&lt;=0,0,IF(AC134&lt;=0,$B$11,IF(AE134&gt;=1.7,$B$11,MIN(AD134/MAX(0.05,IF(AE134&gt;1,(2-AE134)^2/2,1-AE134^2/2)),$B$11))))</f>
        <v/>
      </c>
      <c r="AG134">
        <f>AG133*$B$28+AF134*(1-$B$28)</f>
        <v/>
      </c>
      <c r="AH134">
        <f>IF(AND(AD134&gt;0,AC134&lt;=0),0,AC134)</f>
        <v/>
      </c>
      <c r="AI134">
        <f>AH134/MAX(AG134,0.000001)</f>
        <v/>
      </c>
      <c r="AJ134">
        <f>MIN(IF(AI134&gt;=0.5,-AI134+SQRT(AI134^2+2),1),$B$12)</f>
        <v/>
      </c>
      <c r="AK134">
        <f>IF(AG134&lt;=0,0,AJ134*AH134)</f>
        <v/>
      </c>
      <c r="AL134">
        <f>IF(AD134&lt;=0,0,AD134)</f>
        <v/>
      </c>
      <c r="AM134">
        <f>AL134-AK134+P134</f>
        <v/>
      </c>
      <c r="AN134">
        <f>((AM134/$B$7+T133*AS133/2-T134*MAX(0.1,MIN(0.3,0.3-0.09*(AR133-36.8)))/2)+AR133*(1-AS133/2))/(1-MAX(0.1,MIN(0.3,0.3-0.09*(AR133-36.8)))/2)</f>
        <v/>
      </c>
      <c r="AO134">
        <f>((AM134/$B$7+T133*AS133/2-T134*MAX(0.1,MIN(0.3,0.3-0.09*(AN134-36.8)))/2)+AR133*(1-AS133/2))/(1-MAX(0.1,MIN(0.3,0.3-0.09*(AN134-36.8)))/2)</f>
        <v/>
      </c>
      <c r="AP134">
        <f>((AM134/$B$7+T133*AS133/2-T134*MAX(0.1,MIN(0.3,0.3-0.09*(AO134-36.8)))/2)+AR133*(1-AS133/2))/(1-MAX(0.1,MIN(0.3,0.3-0.09*(AO134-36.8)))/2)</f>
        <v/>
      </c>
      <c r="AQ134">
        <f>((AM134/$B$7+T133*AS133/2-T134*MAX(0.1,MIN(0.3,0.3-0.09*(AP134-36.8)))/2)+AR133*(1-AS133/2))/(1-MAX(0.1,MIN(0.3,0.3-0.09*(AP134-36.8)))/2)</f>
        <v/>
      </c>
      <c r="AR134">
        <f>((AM134/$B$7+T133*AS133/2-T134*MAX(0.1,MIN(0.3,0.3-0.09*(AQ134-36.8)))/2)+AR133*(1-AS133/2))/(1-MAX(0.1,MIN(0.3,0.3-0.09*(AQ134-36.8)))/2)</f>
        <v/>
      </c>
      <c r="AS134">
        <f>MAX(0.1,MIN(0.3,0.3-0.09*(AR134-36.8)))</f>
        <v/>
      </c>
      <c r="AT134">
        <f>AT133+(2*AR134-1.962*AT133-1.31)/9</f>
        <v/>
      </c>
      <c r="AU134">
        <f>AU133+AG134+K134</f>
        <v/>
      </c>
      <c r="AV134">
        <f>AU134*2.67*$B$6/1.8/60</f>
        <v/>
      </c>
      <c r="AW134">
        <f>IF(AT134&gt;=$B$36,1,0)</f>
        <v/>
      </c>
      <c r="AX134">
        <f>IF(AV134&gt;=$B$21,1,0)</f>
        <v/>
      </c>
    </row>
    <row r="135">
      <c r="A135" t="n">
        <v>62</v>
      </c>
      <c r="B135">
        <f>MATCH(A135-1,$D$61:$D$68,1)</f>
        <v/>
      </c>
      <c r="C135">
        <f>INDEX($G$61:$G$68,B135)</f>
        <v/>
      </c>
      <c r="D135">
        <f>INDEX($L$61:$L$68,B135)</f>
        <v/>
      </c>
      <c r="E135">
        <f>INDEX($M$61:$M$68,B135)</f>
        <v/>
      </c>
      <c r="F135">
        <f>INDEX($N$61:$N$68,B135)</f>
        <v/>
      </c>
      <c r="G135">
        <f>INDEX($AA$61:$AA$68,B135)</f>
        <v/>
      </c>
      <c r="H135">
        <f>INDEX($X$61:$X$68,B135)</f>
        <v/>
      </c>
      <c r="I135">
        <f>INDEX($AF$61:$AF$68,B135)</f>
        <v/>
      </c>
      <c r="J135">
        <f>INDEX($AC$61:$AC$68,B135)</f>
        <v/>
      </c>
      <c r="K135">
        <f>INDEX($AD$61:$AD$68,B135)</f>
        <v/>
      </c>
      <c r="L135">
        <f>INDEX($AG$61:$AG$68,B135)</f>
        <v/>
      </c>
      <c r="M135">
        <f>INDEX($AH$61:$AH$68,B135)</f>
        <v/>
      </c>
      <c r="N135">
        <f>INDEX($AI$61:$AI$68,B135)</f>
        <v/>
      </c>
      <c r="O135">
        <f>O134*$B$26+L135*(1-$B$26)</f>
        <v/>
      </c>
      <c r="P135">
        <f>$B$7*(O135-O134)*(1-AS134)</f>
        <v/>
      </c>
      <c r="Q135">
        <f>M135+0.51274*AT134</f>
        <v/>
      </c>
      <c r="R135">
        <f>N135+0.616*AT134</f>
        <v/>
      </c>
      <c r="S135">
        <f>IF($B$13&gt;=0.6,Q135,IF($B$13&lt;=0.2,R135,R135+2.5*(Q135-R135)*($B$13-0.2)))</f>
        <v/>
      </c>
      <c r="T135">
        <f>IF(A135=1,S135,T134*$B$27+S135*(1-$B$27))</f>
        <v/>
      </c>
      <c r="U135">
        <f>0.6105*EXP(17.27*T135/(T135+237.3))</f>
        <v/>
      </c>
      <c r="V135">
        <f>($B$14*(I135*C135+IF(ABS((D135+0.1)-D135)&lt;0.000000001,4*$B$19*$B$20*(D135+273)^3,$B$19*$B$20*(((D135+0.1)+273)^4-(D135+273)^4)/((D135+0.1)-D135))*D135)+T135/H135)/($B$14*(I135+IF(ABS((D135+0.1)-D135)&lt;0.000000001,4*$B$19*$B$20*(D135+273)^3,$B$19*$B$20*(((D135+0.1)+273)^4-(D135+273)^4)/((D135+0.1)-D135)))+1/H135)</f>
        <v/>
      </c>
      <c r="W135">
        <f>($B$14*(I135*C135+IF(ABS(V135-D135)&lt;0.000000001,4*$B$19*$B$20*(D135+273)^3,$B$19*$B$20*((V135+273)^4-(D135+273)^4)/(V135-D135))*D135)+T135/H135)/($B$14*(I135+IF(ABS(V135-D135)&lt;0.000000001,4*$B$19*$B$20*(D135+273)^3,$B$19*$B$20*((V135+273)^4-(D135+273)^4)/(V135-D135)))+1/H135)</f>
        <v/>
      </c>
      <c r="X135">
        <f>($B$14*(I135*C135+IF(ABS(W135-D135)&lt;0.000000001,4*$B$19*$B$20*(D135+273)^3,$B$19*$B$20*((W135+273)^4-(D135+273)^4)/(W135-D135))*D135)+T135/H135)/($B$14*(I135+IF(ABS(W135-D135)&lt;0.000000001,4*$B$19*$B$20*(D135+273)^3,$B$19*$B$20*((W135+273)^4-(D135+273)^4)/(W135-D135)))+1/H135)</f>
        <v/>
      </c>
      <c r="Y135">
        <f>($B$14*(I135*C135+IF(ABS(X135-D135)&lt;0.000000001,4*$B$19*$B$20*(D135+273)^3,$B$19*$B$20*((X135+273)^4-(D135+273)^4)/(X135-D135))*D135)+T135/H135)/($B$14*(I135+IF(ABS(X135-D135)&lt;0.000000001,4*$B$19*$B$20*(D135+273)^3,$B$19*$B$20*((X135+273)^4-(D135+273)^4)/(X135-D135)))+1/H135)</f>
        <v/>
      </c>
      <c r="Z135">
        <f>IF(ABS(Y135-D135)&lt;0.000000001,4*$B$19*$B$20*(D135+273)^3,$B$19*$B$20*((Y135+273)^4-(D135+273)^4)/(Y135-D135))</f>
        <v/>
      </c>
      <c r="AA135">
        <f>$B$14*I135*(Y135-C135)</f>
        <v/>
      </c>
      <c r="AB135">
        <f>$B$14*Z135*(Y135-D135)</f>
        <v/>
      </c>
      <c r="AC135">
        <f>IF((U135-E135)/G135=0,0.001,(U135-E135)/G135)</f>
        <v/>
      </c>
      <c r="AD135">
        <f>F135-P135-J135-K135-AA135-AB135</f>
        <v/>
      </c>
      <c r="AE135">
        <f>AD135/AC135</f>
        <v/>
      </c>
      <c r="AF135">
        <f>IF(AD135&lt;=0,0,IF(AC135&lt;=0,$B$11,IF(AE135&gt;=1.7,$B$11,MIN(AD135/MAX(0.05,IF(AE135&gt;1,(2-AE135)^2/2,1-AE135^2/2)),$B$11))))</f>
        <v/>
      </c>
      <c r="AG135">
        <f>AG134*$B$28+AF135*(1-$B$28)</f>
        <v/>
      </c>
      <c r="AH135">
        <f>IF(AND(AD135&gt;0,AC135&lt;=0),0,AC135)</f>
        <v/>
      </c>
      <c r="AI135">
        <f>AH135/MAX(AG135,0.000001)</f>
        <v/>
      </c>
      <c r="AJ135">
        <f>MIN(IF(AI135&gt;=0.5,-AI135+SQRT(AI135^2+2),1),$B$12)</f>
        <v/>
      </c>
      <c r="AK135">
        <f>IF(AG135&lt;=0,0,AJ135*AH135)</f>
        <v/>
      </c>
      <c r="AL135">
        <f>IF(AD135&lt;=0,0,AD135)</f>
        <v/>
      </c>
      <c r="AM135">
        <f>AL135-AK135+P135</f>
        <v/>
      </c>
      <c r="AN135">
        <f>((AM135/$B$7+T134*AS134/2-T135*MAX(0.1,MIN(0.3,0.3-0.09*(AR134-36.8)))/2)+AR134*(1-AS134/2))/(1-MAX(0.1,MIN(0.3,0.3-0.09*(AR134-36.8)))/2)</f>
        <v/>
      </c>
      <c r="AO135">
        <f>((AM135/$B$7+T134*AS134/2-T135*MAX(0.1,MIN(0.3,0.3-0.09*(AN135-36.8)))/2)+AR134*(1-AS134/2))/(1-MAX(0.1,MIN(0.3,0.3-0.09*(AN135-36.8)))/2)</f>
        <v/>
      </c>
      <c r="AP135">
        <f>((AM135/$B$7+T134*AS134/2-T135*MAX(0.1,MIN(0.3,0.3-0.09*(AO135-36.8)))/2)+AR134*(1-AS134/2))/(1-MAX(0.1,MIN(0.3,0.3-0.09*(AO135-36.8)))/2)</f>
        <v/>
      </c>
      <c r="AQ135">
        <f>((AM135/$B$7+T134*AS134/2-T135*MAX(0.1,MIN(0.3,0.3-0.09*(AP135-36.8)))/2)+AR134*(1-AS134/2))/(1-MAX(0.1,MIN(0.3,0.3-0.09*(AP135-36.8)))/2)</f>
        <v/>
      </c>
      <c r="AR135">
        <f>((AM135/$B$7+T134*AS134/2-T135*MAX(0.1,MIN(0.3,0.3-0.09*(AQ135-36.8)))/2)+AR134*(1-AS134/2))/(1-MAX(0.1,MIN(0.3,0.3-0.09*(AQ135-36.8)))/2)</f>
        <v/>
      </c>
      <c r="AS135">
        <f>MAX(0.1,MIN(0.3,0.3-0.09*(AR135-36.8)))</f>
        <v/>
      </c>
      <c r="AT135">
        <f>AT134+(2*AR135-1.962*AT134-1.31)/9</f>
        <v/>
      </c>
      <c r="AU135">
        <f>AU134+AG135+K135</f>
        <v/>
      </c>
      <c r="AV135">
        <f>AU135*2.67*$B$6/1.8/60</f>
        <v/>
      </c>
      <c r="AW135">
        <f>IF(AT135&gt;=$B$36,1,0)</f>
        <v/>
      </c>
      <c r="AX135">
        <f>IF(AV135&gt;=$B$21,1,0)</f>
        <v/>
      </c>
    </row>
    <row r="136">
      <c r="A136" t="n">
        <v>63</v>
      </c>
      <c r="B136">
        <f>MATCH(A136-1,$D$61:$D$68,1)</f>
        <v/>
      </c>
      <c r="C136">
        <f>INDEX($G$61:$G$68,B136)</f>
        <v/>
      </c>
      <c r="D136">
        <f>INDEX($L$61:$L$68,B136)</f>
        <v/>
      </c>
      <c r="E136">
        <f>INDEX($M$61:$M$68,B136)</f>
        <v/>
      </c>
      <c r="F136">
        <f>INDEX($N$61:$N$68,B136)</f>
        <v/>
      </c>
      <c r="G136">
        <f>INDEX($AA$61:$AA$68,B136)</f>
        <v/>
      </c>
      <c r="H136">
        <f>INDEX($X$61:$X$68,B136)</f>
        <v/>
      </c>
      <c r="I136">
        <f>INDEX($AF$61:$AF$68,B136)</f>
        <v/>
      </c>
      <c r="J136">
        <f>INDEX($AC$61:$AC$68,B136)</f>
        <v/>
      </c>
      <c r="K136">
        <f>INDEX($AD$61:$AD$68,B136)</f>
        <v/>
      </c>
      <c r="L136">
        <f>INDEX($AG$61:$AG$68,B136)</f>
        <v/>
      </c>
      <c r="M136">
        <f>INDEX($AH$61:$AH$68,B136)</f>
        <v/>
      </c>
      <c r="N136">
        <f>INDEX($AI$61:$AI$68,B136)</f>
        <v/>
      </c>
      <c r="O136">
        <f>O135*$B$26+L136*(1-$B$26)</f>
        <v/>
      </c>
      <c r="P136">
        <f>$B$7*(O136-O135)*(1-AS135)</f>
        <v/>
      </c>
      <c r="Q136">
        <f>M136+0.51274*AT135</f>
        <v/>
      </c>
      <c r="R136">
        <f>N136+0.616*AT135</f>
        <v/>
      </c>
      <c r="S136">
        <f>IF($B$13&gt;=0.6,Q136,IF($B$13&lt;=0.2,R136,R136+2.5*(Q136-R136)*($B$13-0.2)))</f>
        <v/>
      </c>
      <c r="T136">
        <f>IF(A136=1,S136,T135*$B$27+S136*(1-$B$27))</f>
        <v/>
      </c>
      <c r="U136">
        <f>0.6105*EXP(17.27*T136/(T136+237.3))</f>
        <v/>
      </c>
      <c r="V136">
        <f>($B$14*(I136*C136+IF(ABS((D136+0.1)-D136)&lt;0.000000001,4*$B$19*$B$20*(D136+273)^3,$B$19*$B$20*(((D136+0.1)+273)^4-(D136+273)^4)/((D136+0.1)-D136))*D136)+T136/H136)/($B$14*(I136+IF(ABS((D136+0.1)-D136)&lt;0.000000001,4*$B$19*$B$20*(D136+273)^3,$B$19*$B$20*(((D136+0.1)+273)^4-(D136+273)^4)/((D136+0.1)-D136)))+1/H136)</f>
        <v/>
      </c>
      <c r="W136">
        <f>($B$14*(I136*C136+IF(ABS(V136-D136)&lt;0.000000001,4*$B$19*$B$20*(D136+273)^3,$B$19*$B$20*((V136+273)^4-(D136+273)^4)/(V136-D136))*D136)+T136/H136)/($B$14*(I136+IF(ABS(V136-D136)&lt;0.000000001,4*$B$19*$B$20*(D136+273)^3,$B$19*$B$20*((V136+273)^4-(D136+273)^4)/(V136-D136)))+1/H136)</f>
        <v/>
      </c>
      <c r="X136">
        <f>($B$14*(I136*C136+IF(ABS(W136-D136)&lt;0.000000001,4*$B$19*$B$20*(D136+273)^3,$B$19*$B$20*((W136+273)^4-(D136+273)^4)/(W136-D136))*D136)+T136/H136)/($B$14*(I136+IF(ABS(W136-D136)&lt;0.000000001,4*$B$19*$B$20*(D136+273)^3,$B$19*$B$20*((W136+273)^4-(D136+273)^4)/(W136-D136)))+1/H136)</f>
        <v/>
      </c>
      <c r="Y136">
        <f>($B$14*(I136*C136+IF(ABS(X136-D136)&lt;0.000000001,4*$B$19*$B$20*(D136+273)^3,$B$19*$B$20*((X136+273)^4-(D136+273)^4)/(X136-D136))*D136)+T136/H136)/($B$14*(I136+IF(ABS(X136-D136)&lt;0.000000001,4*$B$19*$B$20*(D136+273)^3,$B$19*$B$20*((X136+273)^4-(D136+273)^4)/(X136-D136)))+1/H136)</f>
        <v/>
      </c>
      <c r="Z136">
        <f>IF(ABS(Y136-D136)&lt;0.000000001,4*$B$19*$B$20*(D136+273)^3,$B$19*$B$20*((Y136+273)^4-(D136+273)^4)/(Y136-D136))</f>
        <v/>
      </c>
      <c r="AA136">
        <f>$B$14*I136*(Y136-C136)</f>
        <v/>
      </c>
      <c r="AB136">
        <f>$B$14*Z136*(Y136-D136)</f>
        <v/>
      </c>
      <c r="AC136">
        <f>IF((U136-E136)/G136=0,0.001,(U136-E136)/G136)</f>
        <v/>
      </c>
      <c r="AD136">
        <f>F136-P136-J136-K136-AA136-AB136</f>
        <v/>
      </c>
      <c r="AE136">
        <f>AD136/AC136</f>
        <v/>
      </c>
      <c r="AF136">
        <f>IF(AD136&lt;=0,0,IF(AC136&lt;=0,$B$11,IF(AE136&gt;=1.7,$B$11,MIN(AD136/MAX(0.05,IF(AE136&gt;1,(2-AE136)^2/2,1-AE136^2/2)),$B$11))))</f>
        <v/>
      </c>
      <c r="AG136">
        <f>AG135*$B$28+AF136*(1-$B$28)</f>
        <v/>
      </c>
      <c r="AH136">
        <f>IF(AND(AD136&gt;0,AC136&lt;=0),0,AC136)</f>
        <v/>
      </c>
      <c r="AI136">
        <f>AH136/MAX(AG136,0.000001)</f>
        <v/>
      </c>
      <c r="AJ136">
        <f>MIN(IF(AI136&gt;=0.5,-AI136+SQRT(AI136^2+2),1),$B$12)</f>
        <v/>
      </c>
      <c r="AK136">
        <f>IF(AG136&lt;=0,0,AJ136*AH136)</f>
        <v/>
      </c>
      <c r="AL136">
        <f>IF(AD136&lt;=0,0,AD136)</f>
        <v/>
      </c>
      <c r="AM136">
        <f>AL136-AK136+P136</f>
        <v/>
      </c>
      <c r="AN136">
        <f>((AM136/$B$7+T135*AS135/2-T136*MAX(0.1,MIN(0.3,0.3-0.09*(AR135-36.8)))/2)+AR135*(1-AS135/2))/(1-MAX(0.1,MIN(0.3,0.3-0.09*(AR135-36.8)))/2)</f>
        <v/>
      </c>
      <c r="AO136">
        <f>((AM136/$B$7+T135*AS135/2-T136*MAX(0.1,MIN(0.3,0.3-0.09*(AN136-36.8)))/2)+AR135*(1-AS135/2))/(1-MAX(0.1,MIN(0.3,0.3-0.09*(AN136-36.8)))/2)</f>
        <v/>
      </c>
      <c r="AP136">
        <f>((AM136/$B$7+T135*AS135/2-T136*MAX(0.1,MIN(0.3,0.3-0.09*(AO136-36.8)))/2)+AR135*(1-AS135/2))/(1-MAX(0.1,MIN(0.3,0.3-0.09*(AO136-36.8)))/2)</f>
        <v/>
      </c>
      <c r="AQ136">
        <f>((AM136/$B$7+T135*AS135/2-T136*MAX(0.1,MIN(0.3,0.3-0.09*(AP136-36.8)))/2)+AR135*(1-AS135/2))/(1-MAX(0.1,MIN(0.3,0.3-0.09*(AP136-36.8)))/2)</f>
        <v/>
      </c>
      <c r="AR136">
        <f>((AM136/$B$7+T135*AS135/2-T136*MAX(0.1,MIN(0.3,0.3-0.09*(AQ136-36.8)))/2)+AR135*(1-AS135/2))/(1-MAX(0.1,MIN(0.3,0.3-0.09*(AQ136-36.8)))/2)</f>
        <v/>
      </c>
      <c r="AS136">
        <f>MAX(0.1,MIN(0.3,0.3-0.09*(AR136-36.8)))</f>
        <v/>
      </c>
      <c r="AT136">
        <f>AT135+(2*AR136-1.962*AT135-1.31)/9</f>
        <v/>
      </c>
      <c r="AU136">
        <f>AU135+AG136+K136</f>
        <v/>
      </c>
      <c r="AV136">
        <f>AU136*2.67*$B$6/1.8/60</f>
        <v/>
      </c>
      <c r="AW136">
        <f>IF(AT136&gt;=$B$36,1,0)</f>
        <v/>
      </c>
      <c r="AX136">
        <f>IF(AV136&gt;=$B$21,1,0)</f>
        <v/>
      </c>
    </row>
    <row r="137">
      <c r="A137" t="n">
        <v>64</v>
      </c>
      <c r="B137">
        <f>MATCH(A137-1,$D$61:$D$68,1)</f>
        <v/>
      </c>
      <c r="C137">
        <f>INDEX($G$61:$G$68,B137)</f>
        <v/>
      </c>
      <c r="D137">
        <f>INDEX($L$61:$L$68,B137)</f>
        <v/>
      </c>
      <c r="E137">
        <f>INDEX($M$61:$M$68,B137)</f>
        <v/>
      </c>
      <c r="F137">
        <f>INDEX($N$61:$N$68,B137)</f>
        <v/>
      </c>
      <c r="G137">
        <f>INDEX($AA$61:$AA$68,B137)</f>
        <v/>
      </c>
      <c r="H137">
        <f>INDEX($X$61:$X$68,B137)</f>
        <v/>
      </c>
      <c r="I137">
        <f>INDEX($AF$61:$AF$68,B137)</f>
        <v/>
      </c>
      <c r="J137">
        <f>INDEX($AC$61:$AC$68,B137)</f>
        <v/>
      </c>
      <c r="K137">
        <f>INDEX($AD$61:$AD$68,B137)</f>
        <v/>
      </c>
      <c r="L137">
        <f>INDEX($AG$61:$AG$68,B137)</f>
        <v/>
      </c>
      <c r="M137">
        <f>INDEX($AH$61:$AH$68,B137)</f>
        <v/>
      </c>
      <c r="N137">
        <f>INDEX($AI$61:$AI$68,B137)</f>
        <v/>
      </c>
      <c r="O137">
        <f>O136*$B$26+L137*(1-$B$26)</f>
        <v/>
      </c>
      <c r="P137">
        <f>$B$7*(O137-O136)*(1-AS136)</f>
        <v/>
      </c>
      <c r="Q137">
        <f>M137+0.51274*AT136</f>
        <v/>
      </c>
      <c r="R137">
        <f>N137+0.616*AT136</f>
        <v/>
      </c>
      <c r="S137">
        <f>IF($B$13&gt;=0.6,Q137,IF($B$13&lt;=0.2,R137,R137+2.5*(Q137-R137)*($B$13-0.2)))</f>
        <v/>
      </c>
      <c r="T137">
        <f>IF(A137=1,S137,T136*$B$27+S137*(1-$B$27))</f>
        <v/>
      </c>
      <c r="U137">
        <f>0.6105*EXP(17.27*T137/(T137+237.3))</f>
        <v/>
      </c>
      <c r="V137">
        <f>($B$14*(I137*C137+IF(ABS((D137+0.1)-D137)&lt;0.000000001,4*$B$19*$B$20*(D137+273)^3,$B$19*$B$20*(((D137+0.1)+273)^4-(D137+273)^4)/((D137+0.1)-D137))*D137)+T137/H137)/($B$14*(I137+IF(ABS((D137+0.1)-D137)&lt;0.000000001,4*$B$19*$B$20*(D137+273)^3,$B$19*$B$20*(((D137+0.1)+273)^4-(D137+273)^4)/((D137+0.1)-D137)))+1/H137)</f>
        <v/>
      </c>
      <c r="W137">
        <f>($B$14*(I137*C137+IF(ABS(V137-D137)&lt;0.000000001,4*$B$19*$B$20*(D137+273)^3,$B$19*$B$20*((V137+273)^4-(D137+273)^4)/(V137-D137))*D137)+T137/H137)/($B$14*(I137+IF(ABS(V137-D137)&lt;0.000000001,4*$B$19*$B$20*(D137+273)^3,$B$19*$B$20*((V137+273)^4-(D137+273)^4)/(V137-D137)))+1/H137)</f>
        <v/>
      </c>
      <c r="X137">
        <f>($B$14*(I137*C137+IF(ABS(W137-D137)&lt;0.000000001,4*$B$19*$B$20*(D137+273)^3,$B$19*$B$20*((W137+273)^4-(D137+273)^4)/(W137-D137))*D137)+T137/H137)/($B$14*(I137+IF(ABS(W137-D137)&lt;0.000000001,4*$B$19*$B$20*(D137+273)^3,$B$19*$B$20*((W137+273)^4-(D137+273)^4)/(W137-D137)))+1/H137)</f>
        <v/>
      </c>
      <c r="Y137">
        <f>($B$14*(I137*C137+IF(ABS(X137-D137)&lt;0.000000001,4*$B$19*$B$20*(D137+273)^3,$B$19*$B$20*((X137+273)^4-(D137+273)^4)/(X137-D137))*D137)+T137/H137)/($B$14*(I137+IF(ABS(X137-D137)&lt;0.000000001,4*$B$19*$B$20*(D137+273)^3,$B$19*$B$20*((X137+273)^4-(D137+273)^4)/(X137-D137)))+1/H137)</f>
        <v/>
      </c>
      <c r="Z137">
        <f>IF(ABS(Y137-D137)&lt;0.000000001,4*$B$19*$B$20*(D137+273)^3,$B$19*$B$20*((Y137+273)^4-(D137+273)^4)/(Y137-D137))</f>
        <v/>
      </c>
      <c r="AA137">
        <f>$B$14*I137*(Y137-C137)</f>
        <v/>
      </c>
      <c r="AB137">
        <f>$B$14*Z137*(Y137-D137)</f>
        <v/>
      </c>
      <c r="AC137">
        <f>IF((U137-E137)/G137=0,0.001,(U137-E137)/G137)</f>
        <v/>
      </c>
      <c r="AD137">
        <f>F137-P137-J137-K137-AA137-AB137</f>
        <v/>
      </c>
      <c r="AE137">
        <f>AD137/AC137</f>
        <v/>
      </c>
      <c r="AF137">
        <f>IF(AD137&lt;=0,0,IF(AC137&lt;=0,$B$11,IF(AE137&gt;=1.7,$B$11,MIN(AD137/MAX(0.05,IF(AE137&gt;1,(2-AE137)^2/2,1-AE137^2/2)),$B$11))))</f>
        <v/>
      </c>
      <c r="AG137">
        <f>AG136*$B$28+AF137*(1-$B$28)</f>
        <v/>
      </c>
      <c r="AH137">
        <f>IF(AND(AD137&gt;0,AC137&lt;=0),0,AC137)</f>
        <v/>
      </c>
      <c r="AI137">
        <f>AH137/MAX(AG137,0.000001)</f>
        <v/>
      </c>
      <c r="AJ137">
        <f>MIN(IF(AI137&gt;=0.5,-AI137+SQRT(AI137^2+2),1),$B$12)</f>
        <v/>
      </c>
      <c r="AK137">
        <f>IF(AG137&lt;=0,0,AJ137*AH137)</f>
        <v/>
      </c>
      <c r="AL137">
        <f>IF(AD137&lt;=0,0,AD137)</f>
        <v/>
      </c>
      <c r="AM137">
        <f>AL137-AK137+P137</f>
        <v/>
      </c>
      <c r="AN137">
        <f>((AM137/$B$7+T136*AS136/2-T137*MAX(0.1,MIN(0.3,0.3-0.09*(AR136-36.8)))/2)+AR136*(1-AS136/2))/(1-MAX(0.1,MIN(0.3,0.3-0.09*(AR136-36.8)))/2)</f>
        <v/>
      </c>
      <c r="AO137">
        <f>((AM137/$B$7+T136*AS136/2-T137*MAX(0.1,MIN(0.3,0.3-0.09*(AN137-36.8)))/2)+AR136*(1-AS136/2))/(1-MAX(0.1,MIN(0.3,0.3-0.09*(AN137-36.8)))/2)</f>
        <v/>
      </c>
      <c r="AP137">
        <f>((AM137/$B$7+T136*AS136/2-T137*MAX(0.1,MIN(0.3,0.3-0.09*(AO137-36.8)))/2)+AR136*(1-AS136/2))/(1-MAX(0.1,MIN(0.3,0.3-0.09*(AO137-36.8)))/2)</f>
        <v/>
      </c>
      <c r="AQ137">
        <f>((AM137/$B$7+T136*AS136/2-T137*MAX(0.1,MIN(0.3,0.3-0.09*(AP137-36.8)))/2)+AR136*(1-AS136/2))/(1-MAX(0.1,MIN(0.3,0.3-0.09*(AP137-36.8)))/2)</f>
        <v/>
      </c>
      <c r="AR137">
        <f>((AM137/$B$7+T136*AS136/2-T137*MAX(0.1,MIN(0.3,0.3-0.09*(AQ137-36.8)))/2)+AR136*(1-AS136/2))/(1-MAX(0.1,MIN(0.3,0.3-0.09*(AQ137-36.8)))/2)</f>
        <v/>
      </c>
      <c r="AS137">
        <f>MAX(0.1,MIN(0.3,0.3-0.09*(AR137-36.8)))</f>
        <v/>
      </c>
      <c r="AT137">
        <f>AT136+(2*AR137-1.962*AT136-1.31)/9</f>
        <v/>
      </c>
      <c r="AU137">
        <f>AU136+AG137+K137</f>
        <v/>
      </c>
      <c r="AV137">
        <f>AU137*2.67*$B$6/1.8/60</f>
        <v/>
      </c>
      <c r="AW137">
        <f>IF(AT137&gt;=$B$36,1,0)</f>
        <v/>
      </c>
      <c r="AX137">
        <f>IF(AV137&gt;=$B$21,1,0)</f>
        <v/>
      </c>
    </row>
    <row r="138">
      <c r="A138" t="n">
        <v>65</v>
      </c>
      <c r="B138">
        <f>MATCH(A138-1,$D$61:$D$68,1)</f>
        <v/>
      </c>
      <c r="C138">
        <f>INDEX($G$61:$G$68,B138)</f>
        <v/>
      </c>
      <c r="D138">
        <f>INDEX($L$61:$L$68,B138)</f>
        <v/>
      </c>
      <c r="E138">
        <f>INDEX($M$61:$M$68,B138)</f>
        <v/>
      </c>
      <c r="F138">
        <f>INDEX($N$61:$N$68,B138)</f>
        <v/>
      </c>
      <c r="G138">
        <f>INDEX($AA$61:$AA$68,B138)</f>
        <v/>
      </c>
      <c r="H138">
        <f>INDEX($X$61:$X$68,B138)</f>
        <v/>
      </c>
      <c r="I138">
        <f>INDEX($AF$61:$AF$68,B138)</f>
        <v/>
      </c>
      <c r="J138">
        <f>INDEX($AC$61:$AC$68,B138)</f>
        <v/>
      </c>
      <c r="K138">
        <f>INDEX($AD$61:$AD$68,B138)</f>
        <v/>
      </c>
      <c r="L138">
        <f>INDEX($AG$61:$AG$68,B138)</f>
        <v/>
      </c>
      <c r="M138">
        <f>INDEX($AH$61:$AH$68,B138)</f>
        <v/>
      </c>
      <c r="N138">
        <f>INDEX($AI$61:$AI$68,B138)</f>
        <v/>
      </c>
      <c r="O138">
        <f>O137*$B$26+L138*(1-$B$26)</f>
        <v/>
      </c>
      <c r="P138">
        <f>$B$7*(O138-O137)*(1-AS137)</f>
        <v/>
      </c>
      <c r="Q138">
        <f>M138+0.51274*AT137</f>
        <v/>
      </c>
      <c r="R138">
        <f>N138+0.616*AT137</f>
        <v/>
      </c>
      <c r="S138">
        <f>IF($B$13&gt;=0.6,Q138,IF($B$13&lt;=0.2,R138,R138+2.5*(Q138-R138)*($B$13-0.2)))</f>
        <v/>
      </c>
      <c r="T138">
        <f>IF(A138=1,S138,T137*$B$27+S138*(1-$B$27))</f>
        <v/>
      </c>
      <c r="U138">
        <f>0.6105*EXP(17.27*T138/(T138+237.3))</f>
        <v/>
      </c>
      <c r="V138">
        <f>($B$14*(I138*C138+IF(ABS((D138+0.1)-D138)&lt;0.000000001,4*$B$19*$B$20*(D138+273)^3,$B$19*$B$20*(((D138+0.1)+273)^4-(D138+273)^4)/((D138+0.1)-D138))*D138)+T138/H138)/($B$14*(I138+IF(ABS((D138+0.1)-D138)&lt;0.000000001,4*$B$19*$B$20*(D138+273)^3,$B$19*$B$20*(((D138+0.1)+273)^4-(D138+273)^4)/((D138+0.1)-D138)))+1/H138)</f>
        <v/>
      </c>
      <c r="W138">
        <f>($B$14*(I138*C138+IF(ABS(V138-D138)&lt;0.000000001,4*$B$19*$B$20*(D138+273)^3,$B$19*$B$20*((V138+273)^4-(D138+273)^4)/(V138-D138))*D138)+T138/H138)/($B$14*(I138+IF(ABS(V138-D138)&lt;0.000000001,4*$B$19*$B$20*(D138+273)^3,$B$19*$B$20*((V138+273)^4-(D138+273)^4)/(V138-D138)))+1/H138)</f>
        <v/>
      </c>
      <c r="X138">
        <f>($B$14*(I138*C138+IF(ABS(W138-D138)&lt;0.000000001,4*$B$19*$B$20*(D138+273)^3,$B$19*$B$20*((W138+273)^4-(D138+273)^4)/(W138-D138))*D138)+T138/H138)/($B$14*(I138+IF(ABS(W138-D138)&lt;0.000000001,4*$B$19*$B$20*(D138+273)^3,$B$19*$B$20*((W138+273)^4-(D138+273)^4)/(W138-D138)))+1/H138)</f>
        <v/>
      </c>
      <c r="Y138">
        <f>($B$14*(I138*C138+IF(ABS(X138-D138)&lt;0.000000001,4*$B$19*$B$20*(D138+273)^3,$B$19*$B$20*((X138+273)^4-(D138+273)^4)/(X138-D138))*D138)+T138/H138)/($B$14*(I138+IF(ABS(X138-D138)&lt;0.000000001,4*$B$19*$B$20*(D138+273)^3,$B$19*$B$20*((X138+273)^4-(D138+273)^4)/(X138-D138)))+1/H138)</f>
        <v/>
      </c>
      <c r="Z138">
        <f>IF(ABS(Y138-D138)&lt;0.000000001,4*$B$19*$B$20*(D138+273)^3,$B$19*$B$20*((Y138+273)^4-(D138+273)^4)/(Y138-D138))</f>
        <v/>
      </c>
      <c r="AA138">
        <f>$B$14*I138*(Y138-C138)</f>
        <v/>
      </c>
      <c r="AB138">
        <f>$B$14*Z138*(Y138-D138)</f>
        <v/>
      </c>
      <c r="AC138">
        <f>IF((U138-E138)/G138=0,0.001,(U138-E138)/G138)</f>
        <v/>
      </c>
      <c r="AD138">
        <f>F138-P138-J138-K138-AA138-AB138</f>
        <v/>
      </c>
      <c r="AE138">
        <f>AD138/AC138</f>
        <v/>
      </c>
      <c r="AF138">
        <f>IF(AD138&lt;=0,0,IF(AC138&lt;=0,$B$11,IF(AE138&gt;=1.7,$B$11,MIN(AD138/MAX(0.05,IF(AE138&gt;1,(2-AE138)^2/2,1-AE138^2/2)),$B$11))))</f>
        <v/>
      </c>
      <c r="AG138">
        <f>AG137*$B$28+AF138*(1-$B$28)</f>
        <v/>
      </c>
      <c r="AH138">
        <f>IF(AND(AD138&gt;0,AC138&lt;=0),0,AC138)</f>
        <v/>
      </c>
      <c r="AI138">
        <f>AH138/MAX(AG138,0.000001)</f>
        <v/>
      </c>
      <c r="AJ138">
        <f>MIN(IF(AI138&gt;=0.5,-AI138+SQRT(AI138^2+2),1),$B$12)</f>
        <v/>
      </c>
      <c r="AK138">
        <f>IF(AG138&lt;=0,0,AJ138*AH138)</f>
        <v/>
      </c>
      <c r="AL138">
        <f>IF(AD138&lt;=0,0,AD138)</f>
        <v/>
      </c>
      <c r="AM138">
        <f>AL138-AK138+P138</f>
        <v/>
      </c>
      <c r="AN138">
        <f>((AM138/$B$7+T137*AS137/2-T138*MAX(0.1,MIN(0.3,0.3-0.09*(AR137-36.8)))/2)+AR137*(1-AS137/2))/(1-MAX(0.1,MIN(0.3,0.3-0.09*(AR137-36.8)))/2)</f>
        <v/>
      </c>
      <c r="AO138">
        <f>((AM138/$B$7+T137*AS137/2-T138*MAX(0.1,MIN(0.3,0.3-0.09*(AN138-36.8)))/2)+AR137*(1-AS137/2))/(1-MAX(0.1,MIN(0.3,0.3-0.09*(AN138-36.8)))/2)</f>
        <v/>
      </c>
      <c r="AP138">
        <f>((AM138/$B$7+T137*AS137/2-T138*MAX(0.1,MIN(0.3,0.3-0.09*(AO138-36.8)))/2)+AR137*(1-AS137/2))/(1-MAX(0.1,MIN(0.3,0.3-0.09*(AO138-36.8)))/2)</f>
        <v/>
      </c>
      <c r="AQ138">
        <f>((AM138/$B$7+T137*AS137/2-T138*MAX(0.1,MIN(0.3,0.3-0.09*(AP138-36.8)))/2)+AR137*(1-AS137/2))/(1-MAX(0.1,MIN(0.3,0.3-0.09*(AP138-36.8)))/2)</f>
        <v/>
      </c>
      <c r="AR138">
        <f>((AM138/$B$7+T137*AS137/2-T138*MAX(0.1,MIN(0.3,0.3-0.09*(AQ138-36.8)))/2)+AR137*(1-AS137/2))/(1-MAX(0.1,MIN(0.3,0.3-0.09*(AQ138-36.8)))/2)</f>
        <v/>
      </c>
      <c r="AS138">
        <f>MAX(0.1,MIN(0.3,0.3-0.09*(AR138-36.8)))</f>
        <v/>
      </c>
      <c r="AT138">
        <f>AT137+(2*AR138-1.962*AT137-1.31)/9</f>
        <v/>
      </c>
      <c r="AU138">
        <f>AU137+AG138+K138</f>
        <v/>
      </c>
      <c r="AV138">
        <f>AU138*2.67*$B$6/1.8/60</f>
        <v/>
      </c>
      <c r="AW138">
        <f>IF(AT138&gt;=$B$36,1,0)</f>
        <v/>
      </c>
      <c r="AX138">
        <f>IF(AV138&gt;=$B$21,1,0)</f>
        <v/>
      </c>
    </row>
    <row r="139">
      <c r="A139" t="n">
        <v>66</v>
      </c>
      <c r="B139">
        <f>MATCH(A139-1,$D$61:$D$68,1)</f>
        <v/>
      </c>
      <c r="C139">
        <f>INDEX($G$61:$G$68,B139)</f>
        <v/>
      </c>
      <c r="D139">
        <f>INDEX($L$61:$L$68,B139)</f>
        <v/>
      </c>
      <c r="E139">
        <f>INDEX($M$61:$M$68,B139)</f>
        <v/>
      </c>
      <c r="F139">
        <f>INDEX($N$61:$N$68,B139)</f>
        <v/>
      </c>
      <c r="G139">
        <f>INDEX($AA$61:$AA$68,B139)</f>
        <v/>
      </c>
      <c r="H139">
        <f>INDEX($X$61:$X$68,B139)</f>
        <v/>
      </c>
      <c r="I139">
        <f>INDEX($AF$61:$AF$68,B139)</f>
        <v/>
      </c>
      <c r="J139">
        <f>INDEX($AC$61:$AC$68,B139)</f>
        <v/>
      </c>
      <c r="K139">
        <f>INDEX($AD$61:$AD$68,B139)</f>
        <v/>
      </c>
      <c r="L139">
        <f>INDEX($AG$61:$AG$68,B139)</f>
        <v/>
      </c>
      <c r="M139">
        <f>INDEX($AH$61:$AH$68,B139)</f>
        <v/>
      </c>
      <c r="N139">
        <f>INDEX($AI$61:$AI$68,B139)</f>
        <v/>
      </c>
      <c r="O139">
        <f>O138*$B$26+L139*(1-$B$26)</f>
        <v/>
      </c>
      <c r="P139">
        <f>$B$7*(O139-O138)*(1-AS138)</f>
        <v/>
      </c>
      <c r="Q139">
        <f>M139+0.51274*AT138</f>
        <v/>
      </c>
      <c r="R139">
        <f>N139+0.616*AT138</f>
        <v/>
      </c>
      <c r="S139">
        <f>IF($B$13&gt;=0.6,Q139,IF($B$13&lt;=0.2,R139,R139+2.5*(Q139-R139)*($B$13-0.2)))</f>
        <v/>
      </c>
      <c r="T139">
        <f>IF(A139=1,S139,T138*$B$27+S139*(1-$B$27))</f>
        <v/>
      </c>
      <c r="U139">
        <f>0.6105*EXP(17.27*T139/(T139+237.3))</f>
        <v/>
      </c>
      <c r="V139">
        <f>($B$14*(I139*C139+IF(ABS((D139+0.1)-D139)&lt;0.000000001,4*$B$19*$B$20*(D139+273)^3,$B$19*$B$20*(((D139+0.1)+273)^4-(D139+273)^4)/((D139+0.1)-D139))*D139)+T139/H139)/($B$14*(I139+IF(ABS((D139+0.1)-D139)&lt;0.000000001,4*$B$19*$B$20*(D139+273)^3,$B$19*$B$20*(((D139+0.1)+273)^4-(D139+273)^4)/((D139+0.1)-D139)))+1/H139)</f>
        <v/>
      </c>
      <c r="W139">
        <f>($B$14*(I139*C139+IF(ABS(V139-D139)&lt;0.000000001,4*$B$19*$B$20*(D139+273)^3,$B$19*$B$20*((V139+273)^4-(D139+273)^4)/(V139-D139))*D139)+T139/H139)/($B$14*(I139+IF(ABS(V139-D139)&lt;0.000000001,4*$B$19*$B$20*(D139+273)^3,$B$19*$B$20*((V139+273)^4-(D139+273)^4)/(V139-D139)))+1/H139)</f>
        <v/>
      </c>
      <c r="X139">
        <f>($B$14*(I139*C139+IF(ABS(W139-D139)&lt;0.000000001,4*$B$19*$B$20*(D139+273)^3,$B$19*$B$20*((W139+273)^4-(D139+273)^4)/(W139-D139))*D139)+T139/H139)/($B$14*(I139+IF(ABS(W139-D139)&lt;0.000000001,4*$B$19*$B$20*(D139+273)^3,$B$19*$B$20*((W139+273)^4-(D139+273)^4)/(W139-D139)))+1/H139)</f>
        <v/>
      </c>
      <c r="Y139">
        <f>($B$14*(I139*C139+IF(ABS(X139-D139)&lt;0.000000001,4*$B$19*$B$20*(D139+273)^3,$B$19*$B$20*((X139+273)^4-(D139+273)^4)/(X139-D139))*D139)+T139/H139)/($B$14*(I139+IF(ABS(X139-D139)&lt;0.000000001,4*$B$19*$B$20*(D139+273)^3,$B$19*$B$20*((X139+273)^4-(D139+273)^4)/(X139-D139)))+1/H139)</f>
        <v/>
      </c>
      <c r="Z139">
        <f>IF(ABS(Y139-D139)&lt;0.000000001,4*$B$19*$B$20*(D139+273)^3,$B$19*$B$20*((Y139+273)^4-(D139+273)^4)/(Y139-D139))</f>
        <v/>
      </c>
      <c r="AA139">
        <f>$B$14*I139*(Y139-C139)</f>
        <v/>
      </c>
      <c r="AB139">
        <f>$B$14*Z139*(Y139-D139)</f>
        <v/>
      </c>
      <c r="AC139">
        <f>IF((U139-E139)/G139=0,0.001,(U139-E139)/G139)</f>
        <v/>
      </c>
      <c r="AD139">
        <f>F139-P139-J139-K139-AA139-AB139</f>
        <v/>
      </c>
      <c r="AE139">
        <f>AD139/AC139</f>
        <v/>
      </c>
      <c r="AF139">
        <f>IF(AD139&lt;=0,0,IF(AC139&lt;=0,$B$11,IF(AE139&gt;=1.7,$B$11,MIN(AD139/MAX(0.05,IF(AE139&gt;1,(2-AE139)^2/2,1-AE139^2/2)),$B$11))))</f>
        <v/>
      </c>
      <c r="AG139">
        <f>AG138*$B$28+AF139*(1-$B$28)</f>
        <v/>
      </c>
      <c r="AH139">
        <f>IF(AND(AD139&gt;0,AC139&lt;=0),0,AC139)</f>
        <v/>
      </c>
      <c r="AI139">
        <f>AH139/MAX(AG139,0.000001)</f>
        <v/>
      </c>
      <c r="AJ139">
        <f>MIN(IF(AI139&gt;=0.5,-AI139+SQRT(AI139^2+2),1),$B$12)</f>
        <v/>
      </c>
      <c r="AK139">
        <f>IF(AG139&lt;=0,0,AJ139*AH139)</f>
        <v/>
      </c>
      <c r="AL139">
        <f>IF(AD139&lt;=0,0,AD139)</f>
        <v/>
      </c>
      <c r="AM139">
        <f>AL139-AK139+P139</f>
        <v/>
      </c>
      <c r="AN139">
        <f>((AM139/$B$7+T138*AS138/2-T139*MAX(0.1,MIN(0.3,0.3-0.09*(AR138-36.8)))/2)+AR138*(1-AS138/2))/(1-MAX(0.1,MIN(0.3,0.3-0.09*(AR138-36.8)))/2)</f>
        <v/>
      </c>
      <c r="AO139">
        <f>((AM139/$B$7+T138*AS138/2-T139*MAX(0.1,MIN(0.3,0.3-0.09*(AN139-36.8)))/2)+AR138*(1-AS138/2))/(1-MAX(0.1,MIN(0.3,0.3-0.09*(AN139-36.8)))/2)</f>
        <v/>
      </c>
      <c r="AP139">
        <f>((AM139/$B$7+T138*AS138/2-T139*MAX(0.1,MIN(0.3,0.3-0.09*(AO139-36.8)))/2)+AR138*(1-AS138/2))/(1-MAX(0.1,MIN(0.3,0.3-0.09*(AO139-36.8)))/2)</f>
        <v/>
      </c>
      <c r="AQ139">
        <f>((AM139/$B$7+T138*AS138/2-T139*MAX(0.1,MIN(0.3,0.3-0.09*(AP139-36.8)))/2)+AR138*(1-AS138/2))/(1-MAX(0.1,MIN(0.3,0.3-0.09*(AP139-36.8)))/2)</f>
        <v/>
      </c>
      <c r="AR139">
        <f>((AM139/$B$7+T138*AS138/2-T139*MAX(0.1,MIN(0.3,0.3-0.09*(AQ139-36.8)))/2)+AR138*(1-AS138/2))/(1-MAX(0.1,MIN(0.3,0.3-0.09*(AQ139-36.8)))/2)</f>
        <v/>
      </c>
      <c r="AS139">
        <f>MAX(0.1,MIN(0.3,0.3-0.09*(AR139-36.8)))</f>
        <v/>
      </c>
      <c r="AT139">
        <f>AT138+(2*AR139-1.962*AT138-1.31)/9</f>
        <v/>
      </c>
      <c r="AU139">
        <f>AU138+AG139+K139</f>
        <v/>
      </c>
      <c r="AV139">
        <f>AU139*2.67*$B$6/1.8/60</f>
        <v/>
      </c>
      <c r="AW139">
        <f>IF(AT139&gt;=$B$36,1,0)</f>
        <v/>
      </c>
      <c r="AX139">
        <f>IF(AV139&gt;=$B$21,1,0)</f>
        <v/>
      </c>
    </row>
    <row r="140">
      <c r="A140" t="n">
        <v>67</v>
      </c>
      <c r="B140">
        <f>MATCH(A140-1,$D$61:$D$68,1)</f>
        <v/>
      </c>
      <c r="C140">
        <f>INDEX($G$61:$G$68,B140)</f>
        <v/>
      </c>
      <c r="D140">
        <f>INDEX($L$61:$L$68,B140)</f>
        <v/>
      </c>
      <c r="E140">
        <f>INDEX($M$61:$M$68,B140)</f>
        <v/>
      </c>
      <c r="F140">
        <f>INDEX($N$61:$N$68,B140)</f>
        <v/>
      </c>
      <c r="G140">
        <f>INDEX($AA$61:$AA$68,B140)</f>
        <v/>
      </c>
      <c r="H140">
        <f>INDEX($X$61:$X$68,B140)</f>
        <v/>
      </c>
      <c r="I140">
        <f>INDEX($AF$61:$AF$68,B140)</f>
        <v/>
      </c>
      <c r="J140">
        <f>INDEX($AC$61:$AC$68,B140)</f>
        <v/>
      </c>
      <c r="K140">
        <f>INDEX($AD$61:$AD$68,B140)</f>
        <v/>
      </c>
      <c r="L140">
        <f>INDEX($AG$61:$AG$68,B140)</f>
        <v/>
      </c>
      <c r="M140">
        <f>INDEX($AH$61:$AH$68,B140)</f>
        <v/>
      </c>
      <c r="N140">
        <f>INDEX($AI$61:$AI$68,B140)</f>
        <v/>
      </c>
      <c r="O140">
        <f>O139*$B$26+L140*(1-$B$26)</f>
        <v/>
      </c>
      <c r="P140">
        <f>$B$7*(O140-O139)*(1-AS139)</f>
        <v/>
      </c>
      <c r="Q140">
        <f>M140+0.51274*AT139</f>
        <v/>
      </c>
      <c r="R140">
        <f>N140+0.616*AT139</f>
        <v/>
      </c>
      <c r="S140">
        <f>IF($B$13&gt;=0.6,Q140,IF($B$13&lt;=0.2,R140,R140+2.5*(Q140-R140)*($B$13-0.2)))</f>
        <v/>
      </c>
      <c r="T140">
        <f>IF(A140=1,S140,T139*$B$27+S140*(1-$B$27))</f>
        <v/>
      </c>
      <c r="U140">
        <f>0.6105*EXP(17.27*T140/(T140+237.3))</f>
        <v/>
      </c>
      <c r="V140">
        <f>($B$14*(I140*C140+IF(ABS((D140+0.1)-D140)&lt;0.000000001,4*$B$19*$B$20*(D140+273)^3,$B$19*$B$20*(((D140+0.1)+273)^4-(D140+273)^4)/((D140+0.1)-D140))*D140)+T140/H140)/($B$14*(I140+IF(ABS((D140+0.1)-D140)&lt;0.000000001,4*$B$19*$B$20*(D140+273)^3,$B$19*$B$20*(((D140+0.1)+273)^4-(D140+273)^4)/((D140+0.1)-D140)))+1/H140)</f>
        <v/>
      </c>
      <c r="W140">
        <f>($B$14*(I140*C140+IF(ABS(V140-D140)&lt;0.000000001,4*$B$19*$B$20*(D140+273)^3,$B$19*$B$20*((V140+273)^4-(D140+273)^4)/(V140-D140))*D140)+T140/H140)/($B$14*(I140+IF(ABS(V140-D140)&lt;0.000000001,4*$B$19*$B$20*(D140+273)^3,$B$19*$B$20*((V140+273)^4-(D140+273)^4)/(V140-D140)))+1/H140)</f>
        <v/>
      </c>
      <c r="X140">
        <f>($B$14*(I140*C140+IF(ABS(W140-D140)&lt;0.000000001,4*$B$19*$B$20*(D140+273)^3,$B$19*$B$20*((W140+273)^4-(D140+273)^4)/(W140-D140))*D140)+T140/H140)/($B$14*(I140+IF(ABS(W140-D140)&lt;0.000000001,4*$B$19*$B$20*(D140+273)^3,$B$19*$B$20*((W140+273)^4-(D140+273)^4)/(W140-D140)))+1/H140)</f>
        <v/>
      </c>
      <c r="Y140">
        <f>($B$14*(I140*C140+IF(ABS(X140-D140)&lt;0.000000001,4*$B$19*$B$20*(D140+273)^3,$B$19*$B$20*((X140+273)^4-(D140+273)^4)/(X140-D140))*D140)+T140/H140)/($B$14*(I140+IF(ABS(X140-D140)&lt;0.000000001,4*$B$19*$B$20*(D140+273)^3,$B$19*$B$20*((X140+273)^4-(D140+273)^4)/(X140-D140)))+1/H140)</f>
        <v/>
      </c>
      <c r="Z140">
        <f>IF(ABS(Y140-D140)&lt;0.000000001,4*$B$19*$B$20*(D140+273)^3,$B$19*$B$20*((Y140+273)^4-(D140+273)^4)/(Y140-D140))</f>
        <v/>
      </c>
      <c r="AA140">
        <f>$B$14*I140*(Y140-C140)</f>
        <v/>
      </c>
      <c r="AB140">
        <f>$B$14*Z140*(Y140-D140)</f>
        <v/>
      </c>
      <c r="AC140">
        <f>IF((U140-E140)/G140=0,0.001,(U140-E140)/G140)</f>
        <v/>
      </c>
      <c r="AD140">
        <f>F140-P140-J140-K140-AA140-AB140</f>
        <v/>
      </c>
      <c r="AE140">
        <f>AD140/AC140</f>
        <v/>
      </c>
      <c r="AF140">
        <f>IF(AD140&lt;=0,0,IF(AC140&lt;=0,$B$11,IF(AE140&gt;=1.7,$B$11,MIN(AD140/MAX(0.05,IF(AE140&gt;1,(2-AE140)^2/2,1-AE140^2/2)),$B$11))))</f>
        <v/>
      </c>
      <c r="AG140">
        <f>AG139*$B$28+AF140*(1-$B$28)</f>
        <v/>
      </c>
      <c r="AH140">
        <f>IF(AND(AD140&gt;0,AC140&lt;=0),0,AC140)</f>
        <v/>
      </c>
      <c r="AI140">
        <f>AH140/MAX(AG140,0.000001)</f>
        <v/>
      </c>
      <c r="AJ140">
        <f>MIN(IF(AI140&gt;=0.5,-AI140+SQRT(AI140^2+2),1),$B$12)</f>
        <v/>
      </c>
      <c r="AK140">
        <f>IF(AG140&lt;=0,0,AJ140*AH140)</f>
        <v/>
      </c>
      <c r="AL140">
        <f>IF(AD140&lt;=0,0,AD140)</f>
        <v/>
      </c>
      <c r="AM140">
        <f>AL140-AK140+P140</f>
        <v/>
      </c>
      <c r="AN140">
        <f>((AM140/$B$7+T139*AS139/2-T140*MAX(0.1,MIN(0.3,0.3-0.09*(AR139-36.8)))/2)+AR139*(1-AS139/2))/(1-MAX(0.1,MIN(0.3,0.3-0.09*(AR139-36.8)))/2)</f>
        <v/>
      </c>
      <c r="AO140">
        <f>((AM140/$B$7+T139*AS139/2-T140*MAX(0.1,MIN(0.3,0.3-0.09*(AN140-36.8)))/2)+AR139*(1-AS139/2))/(1-MAX(0.1,MIN(0.3,0.3-0.09*(AN140-36.8)))/2)</f>
        <v/>
      </c>
      <c r="AP140">
        <f>((AM140/$B$7+T139*AS139/2-T140*MAX(0.1,MIN(0.3,0.3-0.09*(AO140-36.8)))/2)+AR139*(1-AS139/2))/(1-MAX(0.1,MIN(0.3,0.3-0.09*(AO140-36.8)))/2)</f>
        <v/>
      </c>
      <c r="AQ140">
        <f>((AM140/$B$7+T139*AS139/2-T140*MAX(0.1,MIN(0.3,0.3-0.09*(AP140-36.8)))/2)+AR139*(1-AS139/2))/(1-MAX(0.1,MIN(0.3,0.3-0.09*(AP140-36.8)))/2)</f>
        <v/>
      </c>
      <c r="AR140">
        <f>((AM140/$B$7+T139*AS139/2-T140*MAX(0.1,MIN(0.3,0.3-0.09*(AQ140-36.8)))/2)+AR139*(1-AS139/2))/(1-MAX(0.1,MIN(0.3,0.3-0.09*(AQ140-36.8)))/2)</f>
        <v/>
      </c>
      <c r="AS140">
        <f>MAX(0.1,MIN(0.3,0.3-0.09*(AR140-36.8)))</f>
        <v/>
      </c>
      <c r="AT140">
        <f>AT139+(2*AR140-1.962*AT139-1.31)/9</f>
        <v/>
      </c>
      <c r="AU140">
        <f>AU139+AG140+K140</f>
        <v/>
      </c>
      <c r="AV140">
        <f>AU140*2.67*$B$6/1.8/60</f>
        <v/>
      </c>
      <c r="AW140">
        <f>IF(AT140&gt;=$B$36,1,0)</f>
        <v/>
      </c>
      <c r="AX140">
        <f>IF(AV140&gt;=$B$21,1,0)</f>
        <v/>
      </c>
    </row>
    <row r="141">
      <c r="A141" t="n">
        <v>68</v>
      </c>
      <c r="B141">
        <f>MATCH(A141-1,$D$61:$D$68,1)</f>
        <v/>
      </c>
      <c r="C141">
        <f>INDEX($G$61:$G$68,B141)</f>
        <v/>
      </c>
      <c r="D141">
        <f>INDEX($L$61:$L$68,B141)</f>
        <v/>
      </c>
      <c r="E141">
        <f>INDEX($M$61:$M$68,B141)</f>
        <v/>
      </c>
      <c r="F141">
        <f>INDEX($N$61:$N$68,B141)</f>
        <v/>
      </c>
      <c r="G141">
        <f>INDEX($AA$61:$AA$68,B141)</f>
        <v/>
      </c>
      <c r="H141">
        <f>INDEX($X$61:$X$68,B141)</f>
        <v/>
      </c>
      <c r="I141">
        <f>INDEX($AF$61:$AF$68,B141)</f>
        <v/>
      </c>
      <c r="J141">
        <f>INDEX($AC$61:$AC$68,B141)</f>
        <v/>
      </c>
      <c r="K141">
        <f>INDEX($AD$61:$AD$68,B141)</f>
        <v/>
      </c>
      <c r="L141">
        <f>INDEX($AG$61:$AG$68,B141)</f>
        <v/>
      </c>
      <c r="M141">
        <f>INDEX($AH$61:$AH$68,B141)</f>
        <v/>
      </c>
      <c r="N141">
        <f>INDEX($AI$61:$AI$68,B141)</f>
        <v/>
      </c>
      <c r="O141">
        <f>O140*$B$26+L141*(1-$B$26)</f>
        <v/>
      </c>
      <c r="P141">
        <f>$B$7*(O141-O140)*(1-AS140)</f>
        <v/>
      </c>
      <c r="Q141">
        <f>M141+0.51274*AT140</f>
        <v/>
      </c>
      <c r="R141">
        <f>N141+0.616*AT140</f>
        <v/>
      </c>
      <c r="S141">
        <f>IF($B$13&gt;=0.6,Q141,IF($B$13&lt;=0.2,R141,R141+2.5*(Q141-R141)*($B$13-0.2)))</f>
        <v/>
      </c>
      <c r="T141">
        <f>IF(A141=1,S141,T140*$B$27+S141*(1-$B$27))</f>
        <v/>
      </c>
      <c r="U141">
        <f>0.6105*EXP(17.27*T141/(T141+237.3))</f>
        <v/>
      </c>
      <c r="V141">
        <f>($B$14*(I141*C141+IF(ABS((D141+0.1)-D141)&lt;0.000000001,4*$B$19*$B$20*(D141+273)^3,$B$19*$B$20*(((D141+0.1)+273)^4-(D141+273)^4)/((D141+0.1)-D141))*D141)+T141/H141)/($B$14*(I141+IF(ABS((D141+0.1)-D141)&lt;0.000000001,4*$B$19*$B$20*(D141+273)^3,$B$19*$B$20*(((D141+0.1)+273)^4-(D141+273)^4)/((D141+0.1)-D141)))+1/H141)</f>
        <v/>
      </c>
      <c r="W141">
        <f>($B$14*(I141*C141+IF(ABS(V141-D141)&lt;0.000000001,4*$B$19*$B$20*(D141+273)^3,$B$19*$B$20*((V141+273)^4-(D141+273)^4)/(V141-D141))*D141)+T141/H141)/($B$14*(I141+IF(ABS(V141-D141)&lt;0.000000001,4*$B$19*$B$20*(D141+273)^3,$B$19*$B$20*((V141+273)^4-(D141+273)^4)/(V141-D141)))+1/H141)</f>
        <v/>
      </c>
      <c r="X141">
        <f>($B$14*(I141*C141+IF(ABS(W141-D141)&lt;0.000000001,4*$B$19*$B$20*(D141+273)^3,$B$19*$B$20*((W141+273)^4-(D141+273)^4)/(W141-D141))*D141)+T141/H141)/($B$14*(I141+IF(ABS(W141-D141)&lt;0.000000001,4*$B$19*$B$20*(D141+273)^3,$B$19*$B$20*((W141+273)^4-(D141+273)^4)/(W141-D141)))+1/H141)</f>
        <v/>
      </c>
      <c r="Y141">
        <f>($B$14*(I141*C141+IF(ABS(X141-D141)&lt;0.000000001,4*$B$19*$B$20*(D141+273)^3,$B$19*$B$20*((X141+273)^4-(D141+273)^4)/(X141-D141))*D141)+T141/H141)/($B$14*(I141+IF(ABS(X141-D141)&lt;0.000000001,4*$B$19*$B$20*(D141+273)^3,$B$19*$B$20*((X141+273)^4-(D141+273)^4)/(X141-D141)))+1/H141)</f>
        <v/>
      </c>
      <c r="Z141">
        <f>IF(ABS(Y141-D141)&lt;0.000000001,4*$B$19*$B$20*(D141+273)^3,$B$19*$B$20*((Y141+273)^4-(D141+273)^4)/(Y141-D141))</f>
        <v/>
      </c>
      <c r="AA141">
        <f>$B$14*I141*(Y141-C141)</f>
        <v/>
      </c>
      <c r="AB141">
        <f>$B$14*Z141*(Y141-D141)</f>
        <v/>
      </c>
      <c r="AC141">
        <f>IF((U141-E141)/G141=0,0.001,(U141-E141)/G141)</f>
        <v/>
      </c>
      <c r="AD141">
        <f>F141-P141-J141-K141-AA141-AB141</f>
        <v/>
      </c>
      <c r="AE141">
        <f>AD141/AC141</f>
        <v/>
      </c>
      <c r="AF141">
        <f>IF(AD141&lt;=0,0,IF(AC141&lt;=0,$B$11,IF(AE141&gt;=1.7,$B$11,MIN(AD141/MAX(0.05,IF(AE141&gt;1,(2-AE141)^2/2,1-AE141^2/2)),$B$11))))</f>
        <v/>
      </c>
      <c r="AG141">
        <f>AG140*$B$28+AF141*(1-$B$28)</f>
        <v/>
      </c>
      <c r="AH141">
        <f>IF(AND(AD141&gt;0,AC141&lt;=0),0,AC141)</f>
        <v/>
      </c>
      <c r="AI141">
        <f>AH141/MAX(AG141,0.000001)</f>
        <v/>
      </c>
      <c r="AJ141">
        <f>MIN(IF(AI141&gt;=0.5,-AI141+SQRT(AI141^2+2),1),$B$12)</f>
        <v/>
      </c>
      <c r="AK141">
        <f>IF(AG141&lt;=0,0,AJ141*AH141)</f>
        <v/>
      </c>
      <c r="AL141">
        <f>IF(AD141&lt;=0,0,AD141)</f>
        <v/>
      </c>
      <c r="AM141">
        <f>AL141-AK141+P141</f>
        <v/>
      </c>
      <c r="AN141">
        <f>((AM141/$B$7+T140*AS140/2-T141*MAX(0.1,MIN(0.3,0.3-0.09*(AR140-36.8)))/2)+AR140*(1-AS140/2))/(1-MAX(0.1,MIN(0.3,0.3-0.09*(AR140-36.8)))/2)</f>
        <v/>
      </c>
      <c r="AO141">
        <f>((AM141/$B$7+T140*AS140/2-T141*MAX(0.1,MIN(0.3,0.3-0.09*(AN141-36.8)))/2)+AR140*(1-AS140/2))/(1-MAX(0.1,MIN(0.3,0.3-0.09*(AN141-36.8)))/2)</f>
        <v/>
      </c>
      <c r="AP141">
        <f>((AM141/$B$7+T140*AS140/2-T141*MAX(0.1,MIN(0.3,0.3-0.09*(AO141-36.8)))/2)+AR140*(1-AS140/2))/(1-MAX(0.1,MIN(0.3,0.3-0.09*(AO141-36.8)))/2)</f>
        <v/>
      </c>
      <c r="AQ141">
        <f>((AM141/$B$7+T140*AS140/2-T141*MAX(0.1,MIN(0.3,0.3-0.09*(AP141-36.8)))/2)+AR140*(1-AS140/2))/(1-MAX(0.1,MIN(0.3,0.3-0.09*(AP141-36.8)))/2)</f>
        <v/>
      </c>
      <c r="AR141">
        <f>((AM141/$B$7+T140*AS140/2-T141*MAX(0.1,MIN(0.3,0.3-0.09*(AQ141-36.8)))/2)+AR140*(1-AS140/2))/(1-MAX(0.1,MIN(0.3,0.3-0.09*(AQ141-36.8)))/2)</f>
        <v/>
      </c>
      <c r="AS141">
        <f>MAX(0.1,MIN(0.3,0.3-0.09*(AR141-36.8)))</f>
        <v/>
      </c>
      <c r="AT141">
        <f>AT140+(2*AR141-1.962*AT140-1.31)/9</f>
        <v/>
      </c>
      <c r="AU141">
        <f>AU140+AG141+K141</f>
        <v/>
      </c>
      <c r="AV141">
        <f>AU141*2.67*$B$6/1.8/60</f>
        <v/>
      </c>
      <c r="AW141">
        <f>IF(AT141&gt;=$B$36,1,0)</f>
        <v/>
      </c>
      <c r="AX141">
        <f>IF(AV141&gt;=$B$21,1,0)</f>
        <v/>
      </c>
    </row>
    <row r="142">
      <c r="A142" t="n">
        <v>69</v>
      </c>
      <c r="B142">
        <f>MATCH(A142-1,$D$61:$D$68,1)</f>
        <v/>
      </c>
      <c r="C142">
        <f>INDEX($G$61:$G$68,B142)</f>
        <v/>
      </c>
      <c r="D142">
        <f>INDEX($L$61:$L$68,B142)</f>
        <v/>
      </c>
      <c r="E142">
        <f>INDEX($M$61:$M$68,B142)</f>
        <v/>
      </c>
      <c r="F142">
        <f>INDEX($N$61:$N$68,B142)</f>
        <v/>
      </c>
      <c r="G142">
        <f>INDEX($AA$61:$AA$68,B142)</f>
        <v/>
      </c>
      <c r="H142">
        <f>INDEX($X$61:$X$68,B142)</f>
        <v/>
      </c>
      <c r="I142">
        <f>INDEX($AF$61:$AF$68,B142)</f>
        <v/>
      </c>
      <c r="J142">
        <f>INDEX($AC$61:$AC$68,B142)</f>
        <v/>
      </c>
      <c r="K142">
        <f>INDEX($AD$61:$AD$68,B142)</f>
        <v/>
      </c>
      <c r="L142">
        <f>INDEX($AG$61:$AG$68,B142)</f>
        <v/>
      </c>
      <c r="M142">
        <f>INDEX($AH$61:$AH$68,B142)</f>
        <v/>
      </c>
      <c r="N142">
        <f>INDEX($AI$61:$AI$68,B142)</f>
        <v/>
      </c>
      <c r="O142">
        <f>O141*$B$26+L142*(1-$B$26)</f>
        <v/>
      </c>
      <c r="P142">
        <f>$B$7*(O142-O141)*(1-AS141)</f>
        <v/>
      </c>
      <c r="Q142">
        <f>M142+0.51274*AT141</f>
        <v/>
      </c>
      <c r="R142">
        <f>N142+0.616*AT141</f>
        <v/>
      </c>
      <c r="S142">
        <f>IF($B$13&gt;=0.6,Q142,IF($B$13&lt;=0.2,R142,R142+2.5*(Q142-R142)*($B$13-0.2)))</f>
        <v/>
      </c>
      <c r="T142">
        <f>IF(A142=1,S142,T141*$B$27+S142*(1-$B$27))</f>
        <v/>
      </c>
      <c r="U142">
        <f>0.6105*EXP(17.27*T142/(T142+237.3))</f>
        <v/>
      </c>
      <c r="V142">
        <f>($B$14*(I142*C142+IF(ABS((D142+0.1)-D142)&lt;0.000000001,4*$B$19*$B$20*(D142+273)^3,$B$19*$B$20*(((D142+0.1)+273)^4-(D142+273)^4)/((D142+0.1)-D142))*D142)+T142/H142)/($B$14*(I142+IF(ABS((D142+0.1)-D142)&lt;0.000000001,4*$B$19*$B$20*(D142+273)^3,$B$19*$B$20*(((D142+0.1)+273)^4-(D142+273)^4)/((D142+0.1)-D142)))+1/H142)</f>
        <v/>
      </c>
      <c r="W142">
        <f>($B$14*(I142*C142+IF(ABS(V142-D142)&lt;0.000000001,4*$B$19*$B$20*(D142+273)^3,$B$19*$B$20*((V142+273)^4-(D142+273)^4)/(V142-D142))*D142)+T142/H142)/($B$14*(I142+IF(ABS(V142-D142)&lt;0.000000001,4*$B$19*$B$20*(D142+273)^3,$B$19*$B$20*((V142+273)^4-(D142+273)^4)/(V142-D142)))+1/H142)</f>
        <v/>
      </c>
      <c r="X142">
        <f>($B$14*(I142*C142+IF(ABS(W142-D142)&lt;0.000000001,4*$B$19*$B$20*(D142+273)^3,$B$19*$B$20*((W142+273)^4-(D142+273)^4)/(W142-D142))*D142)+T142/H142)/($B$14*(I142+IF(ABS(W142-D142)&lt;0.000000001,4*$B$19*$B$20*(D142+273)^3,$B$19*$B$20*((W142+273)^4-(D142+273)^4)/(W142-D142)))+1/H142)</f>
        <v/>
      </c>
      <c r="Y142">
        <f>($B$14*(I142*C142+IF(ABS(X142-D142)&lt;0.000000001,4*$B$19*$B$20*(D142+273)^3,$B$19*$B$20*((X142+273)^4-(D142+273)^4)/(X142-D142))*D142)+T142/H142)/($B$14*(I142+IF(ABS(X142-D142)&lt;0.000000001,4*$B$19*$B$20*(D142+273)^3,$B$19*$B$20*((X142+273)^4-(D142+273)^4)/(X142-D142)))+1/H142)</f>
        <v/>
      </c>
      <c r="Z142">
        <f>IF(ABS(Y142-D142)&lt;0.000000001,4*$B$19*$B$20*(D142+273)^3,$B$19*$B$20*((Y142+273)^4-(D142+273)^4)/(Y142-D142))</f>
        <v/>
      </c>
      <c r="AA142">
        <f>$B$14*I142*(Y142-C142)</f>
        <v/>
      </c>
      <c r="AB142">
        <f>$B$14*Z142*(Y142-D142)</f>
        <v/>
      </c>
      <c r="AC142">
        <f>IF((U142-E142)/G142=0,0.001,(U142-E142)/G142)</f>
        <v/>
      </c>
      <c r="AD142">
        <f>F142-P142-J142-K142-AA142-AB142</f>
        <v/>
      </c>
      <c r="AE142">
        <f>AD142/AC142</f>
        <v/>
      </c>
      <c r="AF142">
        <f>IF(AD142&lt;=0,0,IF(AC142&lt;=0,$B$11,IF(AE142&gt;=1.7,$B$11,MIN(AD142/MAX(0.05,IF(AE142&gt;1,(2-AE142)^2/2,1-AE142^2/2)),$B$11))))</f>
        <v/>
      </c>
      <c r="AG142">
        <f>AG141*$B$28+AF142*(1-$B$28)</f>
        <v/>
      </c>
      <c r="AH142">
        <f>IF(AND(AD142&gt;0,AC142&lt;=0),0,AC142)</f>
        <v/>
      </c>
      <c r="AI142">
        <f>AH142/MAX(AG142,0.000001)</f>
        <v/>
      </c>
      <c r="AJ142">
        <f>MIN(IF(AI142&gt;=0.5,-AI142+SQRT(AI142^2+2),1),$B$12)</f>
        <v/>
      </c>
      <c r="AK142">
        <f>IF(AG142&lt;=0,0,AJ142*AH142)</f>
        <v/>
      </c>
      <c r="AL142">
        <f>IF(AD142&lt;=0,0,AD142)</f>
        <v/>
      </c>
      <c r="AM142">
        <f>AL142-AK142+P142</f>
        <v/>
      </c>
      <c r="AN142">
        <f>((AM142/$B$7+T141*AS141/2-T142*MAX(0.1,MIN(0.3,0.3-0.09*(AR141-36.8)))/2)+AR141*(1-AS141/2))/(1-MAX(0.1,MIN(0.3,0.3-0.09*(AR141-36.8)))/2)</f>
        <v/>
      </c>
      <c r="AO142">
        <f>((AM142/$B$7+T141*AS141/2-T142*MAX(0.1,MIN(0.3,0.3-0.09*(AN142-36.8)))/2)+AR141*(1-AS141/2))/(1-MAX(0.1,MIN(0.3,0.3-0.09*(AN142-36.8)))/2)</f>
        <v/>
      </c>
      <c r="AP142">
        <f>((AM142/$B$7+T141*AS141/2-T142*MAX(0.1,MIN(0.3,0.3-0.09*(AO142-36.8)))/2)+AR141*(1-AS141/2))/(1-MAX(0.1,MIN(0.3,0.3-0.09*(AO142-36.8)))/2)</f>
        <v/>
      </c>
      <c r="AQ142">
        <f>((AM142/$B$7+T141*AS141/2-T142*MAX(0.1,MIN(0.3,0.3-0.09*(AP142-36.8)))/2)+AR141*(1-AS141/2))/(1-MAX(0.1,MIN(0.3,0.3-0.09*(AP142-36.8)))/2)</f>
        <v/>
      </c>
      <c r="AR142">
        <f>((AM142/$B$7+T141*AS141/2-T142*MAX(0.1,MIN(0.3,0.3-0.09*(AQ142-36.8)))/2)+AR141*(1-AS141/2))/(1-MAX(0.1,MIN(0.3,0.3-0.09*(AQ142-36.8)))/2)</f>
        <v/>
      </c>
      <c r="AS142">
        <f>MAX(0.1,MIN(0.3,0.3-0.09*(AR142-36.8)))</f>
        <v/>
      </c>
      <c r="AT142">
        <f>AT141+(2*AR142-1.962*AT141-1.31)/9</f>
        <v/>
      </c>
      <c r="AU142">
        <f>AU141+AG142+K142</f>
        <v/>
      </c>
      <c r="AV142">
        <f>AU142*2.67*$B$6/1.8/60</f>
        <v/>
      </c>
      <c r="AW142">
        <f>IF(AT142&gt;=$B$36,1,0)</f>
        <v/>
      </c>
      <c r="AX142">
        <f>IF(AV142&gt;=$B$21,1,0)</f>
        <v/>
      </c>
    </row>
    <row r="143">
      <c r="A143" t="n">
        <v>70</v>
      </c>
      <c r="B143">
        <f>MATCH(A143-1,$D$61:$D$68,1)</f>
        <v/>
      </c>
      <c r="C143">
        <f>INDEX($G$61:$G$68,B143)</f>
        <v/>
      </c>
      <c r="D143">
        <f>INDEX($L$61:$L$68,B143)</f>
        <v/>
      </c>
      <c r="E143">
        <f>INDEX($M$61:$M$68,B143)</f>
        <v/>
      </c>
      <c r="F143">
        <f>INDEX($N$61:$N$68,B143)</f>
        <v/>
      </c>
      <c r="G143">
        <f>INDEX($AA$61:$AA$68,B143)</f>
        <v/>
      </c>
      <c r="H143">
        <f>INDEX($X$61:$X$68,B143)</f>
        <v/>
      </c>
      <c r="I143">
        <f>INDEX($AF$61:$AF$68,B143)</f>
        <v/>
      </c>
      <c r="J143">
        <f>INDEX($AC$61:$AC$68,B143)</f>
        <v/>
      </c>
      <c r="K143">
        <f>INDEX($AD$61:$AD$68,B143)</f>
        <v/>
      </c>
      <c r="L143">
        <f>INDEX($AG$61:$AG$68,B143)</f>
        <v/>
      </c>
      <c r="M143">
        <f>INDEX($AH$61:$AH$68,B143)</f>
        <v/>
      </c>
      <c r="N143">
        <f>INDEX($AI$61:$AI$68,B143)</f>
        <v/>
      </c>
      <c r="O143">
        <f>O142*$B$26+L143*(1-$B$26)</f>
        <v/>
      </c>
      <c r="P143">
        <f>$B$7*(O143-O142)*(1-AS142)</f>
        <v/>
      </c>
      <c r="Q143">
        <f>M143+0.51274*AT142</f>
        <v/>
      </c>
      <c r="R143">
        <f>N143+0.616*AT142</f>
        <v/>
      </c>
      <c r="S143">
        <f>IF($B$13&gt;=0.6,Q143,IF($B$13&lt;=0.2,R143,R143+2.5*(Q143-R143)*($B$13-0.2)))</f>
        <v/>
      </c>
      <c r="T143">
        <f>IF(A143=1,S143,T142*$B$27+S143*(1-$B$27))</f>
        <v/>
      </c>
      <c r="U143">
        <f>0.6105*EXP(17.27*T143/(T143+237.3))</f>
        <v/>
      </c>
      <c r="V143">
        <f>($B$14*(I143*C143+IF(ABS((D143+0.1)-D143)&lt;0.000000001,4*$B$19*$B$20*(D143+273)^3,$B$19*$B$20*(((D143+0.1)+273)^4-(D143+273)^4)/((D143+0.1)-D143))*D143)+T143/H143)/($B$14*(I143+IF(ABS((D143+0.1)-D143)&lt;0.000000001,4*$B$19*$B$20*(D143+273)^3,$B$19*$B$20*(((D143+0.1)+273)^4-(D143+273)^4)/((D143+0.1)-D143)))+1/H143)</f>
        <v/>
      </c>
      <c r="W143">
        <f>($B$14*(I143*C143+IF(ABS(V143-D143)&lt;0.000000001,4*$B$19*$B$20*(D143+273)^3,$B$19*$B$20*((V143+273)^4-(D143+273)^4)/(V143-D143))*D143)+T143/H143)/($B$14*(I143+IF(ABS(V143-D143)&lt;0.000000001,4*$B$19*$B$20*(D143+273)^3,$B$19*$B$20*((V143+273)^4-(D143+273)^4)/(V143-D143)))+1/H143)</f>
        <v/>
      </c>
      <c r="X143">
        <f>($B$14*(I143*C143+IF(ABS(W143-D143)&lt;0.000000001,4*$B$19*$B$20*(D143+273)^3,$B$19*$B$20*((W143+273)^4-(D143+273)^4)/(W143-D143))*D143)+T143/H143)/($B$14*(I143+IF(ABS(W143-D143)&lt;0.000000001,4*$B$19*$B$20*(D143+273)^3,$B$19*$B$20*((W143+273)^4-(D143+273)^4)/(W143-D143)))+1/H143)</f>
        <v/>
      </c>
      <c r="Y143">
        <f>($B$14*(I143*C143+IF(ABS(X143-D143)&lt;0.000000001,4*$B$19*$B$20*(D143+273)^3,$B$19*$B$20*((X143+273)^4-(D143+273)^4)/(X143-D143))*D143)+T143/H143)/($B$14*(I143+IF(ABS(X143-D143)&lt;0.000000001,4*$B$19*$B$20*(D143+273)^3,$B$19*$B$20*((X143+273)^4-(D143+273)^4)/(X143-D143)))+1/H143)</f>
        <v/>
      </c>
      <c r="Z143">
        <f>IF(ABS(Y143-D143)&lt;0.000000001,4*$B$19*$B$20*(D143+273)^3,$B$19*$B$20*((Y143+273)^4-(D143+273)^4)/(Y143-D143))</f>
        <v/>
      </c>
      <c r="AA143">
        <f>$B$14*I143*(Y143-C143)</f>
        <v/>
      </c>
      <c r="AB143">
        <f>$B$14*Z143*(Y143-D143)</f>
        <v/>
      </c>
      <c r="AC143">
        <f>IF((U143-E143)/G143=0,0.001,(U143-E143)/G143)</f>
        <v/>
      </c>
      <c r="AD143">
        <f>F143-P143-J143-K143-AA143-AB143</f>
        <v/>
      </c>
      <c r="AE143">
        <f>AD143/AC143</f>
        <v/>
      </c>
      <c r="AF143">
        <f>IF(AD143&lt;=0,0,IF(AC143&lt;=0,$B$11,IF(AE143&gt;=1.7,$B$11,MIN(AD143/MAX(0.05,IF(AE143&gt;1,(2-AE143)^2/2,1-AE143^2/2)),$B$11))))</f>
        <v/>
      </c>
      <c r="AG143">
        <f>AG142*$B$28+AF143*(1-$B$28)</f>
        <v/>
      </c>
      <c r="AH143">
        <f>IF(AND(AD143&gt;0,AC143&lt;=0),0,AC143)</f>
        <v/>
      </c>
      <c r="AI143">
        <f>AH143/MAX(AG143,0.000001)</f>
        <v/>
      </c>
      <c r="AJ143">
        <f>MIN(IF(AI143&gt;=0.5,-AI143+SQRT(AI143^2+2),1),$B$12)</f>
        <v/>
      </c>
      <c r="AK143">
        <f>IF(AG143&lt;=0,0,AJ143*AH143)</f>
        <v/>
      </c>
      <c r="AL143">
        <f>IF(AD143&lt;=0,0,AD143)</f>
        <v/>
      </c>
      <c r="AM143">
        <f>AL143-AK143+P143</f>
        <v/>
      </c>
      <c r="AN143">
        <f>((AM143/$B$7+T142*AS142/2-T143*MAX(0.1,MIN(0.3,0.3-0.09*(AR142-36.8)))/2)+AR142*(1-AS142/2))/(1-MAX(0.1,MIN(0.3,0.3-0.09*(AR142-36.8)))/2)</f>
        <v/>
      </c>
      <c r="AO143">
        <f>((AM143/$B$7+T142*AS142/2-T143*MAX(0.1,MIN(0.3,0.3-0.09*(AN143-36.8)))/2)+AR142*(1-AS142/2))/(1-MAX(0.1,MIN(0.3,0.3-0.09*(AN143-36.8)))/2)</f>
        <v/>
      </c>
      <c r="AP143">
        <f>((AM143/$B$7+T142*AS142/2-T143*MAX(0.1,MIN(0.3,0.3-0.09*(AO143-36.8)))/2)+AR142*(1-AS142/2))/(1-MAX(0.1,MIN(0.3,0.3-0.09*(AO143-36.8)))/2)</f>
        <v/>
      </c>
      <c r="AQ143">
        <f>((AM143/$B$7+T142*AS142/2-T143*MAX(0.1,MIN(0.3,0.3-0.09*(AP143-36.8)))/2)+AR142*(1-AS142/2))/(1-MAX(0.1,MIN(0.3,0.3-0.09*(AP143-36.8)))/2)</f>
        <v/>
      </c>
      <c r="AR143">
        <f>((AM143/$B$7+T142*AS142/2-T143*MAX(0.1,MIN(0.3,0.3-0.09*(AQ143-36.8)))/2)+AR142*(1-AS142/2))/(1-MAX(0.1,MIN(0.3,0.3-0.09*(AQ143-36.8)))/2)</f>
        <v/>
      </c>
      <c r="AS143">
        <f>MAX(0.1,MIN(0.3,0.3-0.09*(AR143-36.8)))</f>
        <v/>
      </c>
      <c r="AT143">
        <f>AT142+(2*AR143-1.962*AT142-1.31)/9</f>
        <v/>
      </c>
      <c r="AU143">
        <f>AU142+AG143+K143</f>
        <v/>
      </c>
      <c r="AV143">
        <f>AU143*2.67*$B$6/1.8/60</f>
        <v/>
      </c>
      <c r="AW143">
        <f>IF(AT143&gt;=$B$36,1,0)</f>
        <v/>
      </c>
      <c r="AX143">
        <f>IF(AV143&gt;=$B$21,1,0)</f>
        <v/>
      </c>
    </row>
    <row r="144">
      <c r="A144" t="n">
        <v>71</v>
      </c>
      <c r="B144">
        <f>MATCH(A144-1,$D$61:$D$68,1)</f>
        <v/>
      </c>
      <c r="C144">
        <f>INDEX($G$61:$G$68,B144)</f>
        <v/>
      </c>
      <c r="D144">
        <f>INDEX($L$61:$L$68,B144)</f>
        <v/>
      </c>
      <c r="E144">
        <f>INDEX($M$61:$M$68,B144)</f>
        <v/>
      </c>
      <c r="F144">
        <f>INDEX($N$61:$N$68,B144)</f>
        <v/>
      </c>
      <c r="G144">
        <f>INDEX($AA$61:$AA$68,B144)</f>
        <v/>
      </c>
      <c r="H144">
        <f>INDEX($X$61:$X$68,B144)</f>
        <v/>
      </c>
      <c r="I144">
        <f>INDEX($AF$61:$AF$68,B144)</f>
        <v/>
      </c>
      <c r="J144">
        <f>INDEX($AC$61:$AC$68,B144)</f>
        <v/>
      </c>
      <c r="K144">
        <f>INDEX($AD$61:$AD$68,B144)</f>
        <v/>
      </c>
      <c r="L144">
        <f>INDEX($AG$61:$AG$68,B144)</f>
        <v/>
      </c>
      <c r="M144">
        <f>INDEX($AH$61:$AH$68,B144)</f>
        <v/>
      </c>
      <c r="N144">
        <f>INDEX($AI$61:$AI$68,B144)</f>
        <v/>
      </c>
      <c r="O144">
        <f>O143*$B$26+L144*(1-$B$26)</f>
        <v/>
      </c>
      <c r="P144">
        <f>$B$7*(O144-O143)*(1-AS143)</f>
        <v/>
      </c>
      <c r="Q144">
        <f>M144+0.51274*AT143</f>
        <v/>
      </c>
      <c r="R144">
        <f>N144+0.616*AT143</f>
        <v/>
      </c>
      <c r="S144">
        <f>IF($B$13&gt;=0.6,Q144,IF($B$13&lt;=0.2,R144,R144+2.5*(Q144-R144)*($B$13-0.2)))</f>
        <v/>
      </c>
      <c r="T144">
        <f>IF(A144=1,S144,T143*$B$27+S144*(1-$B$27))</f>
        <v/>
      </c>
      <c r="U144">
        <f>0.6105*EXP(17.27*T144/(T144+237.3))</f>
        <v/>
      </c>
      <c r="V144">
        <f>($B$14*(I144*C144+IF(ABS((D144+0.1)-D144)&lt;0.000000001,4*$B$19*$B$20*(D144+273)^3,$B$19*$B$20*(((D144+0.1)+273)^4-(D144+273)^4)/((D144+0.1)-D144))*D144)+T144/H144)/($B$14*(I144+IF(ABS((D144+0.1)-D144)&lt;0.000000001,4*$B$19*$B$20*(D144+273)^3,$B$19*$B$20*(((D144+0.1)+273)^4-(D144+273)^4)/((D144+0.1)-D144)))+1/H144)</f>
        <v/>
      </c>
      <c r="W144">
        <f>($B$14*(I144*C144+IF(ABS(V144-D144)&lt;0.000000001,4*$B$19*$B$20*(D144+273)^3,$B$19*$B$20*((V144+273)^4-(D144+273)^4)/(V144-D144))*D144)+T144/H144)/($B$14*(I144+IF(ABS(V144-D144)&lt;0.000000001,4*$B$19*$B$20*(D144+273)^3,$B$19*$B$20*((V144+273)^4-(D144+273)^4)/(V144-D144)))+1/H144)</f>
        <v/>
      </c>
      <c r="X144">
        <f>($B$14*(I144*C144+IF(ABS(W144-D144)&lt;0.000000001,4*$B$19*$B$20*(D144+273)^3,$B$19*$B$20*((W144+273)^4-(D144+273)^4)/(W144-D144))*D144)+T144/H144)/($B$14*(I144+IF(ABS(W144-D144)&lt;0.000000001,4*$B$19*$B$20*(D144+273)^3,$B$19*$B$20*((W144+273)^4-(D144+273)^4)/(W144-D144)))+1/H144)</f>
        <v/>
      </c>
      <c r="Y144">
        <f>($B$14*(I144*C144+IF(ABS(X144-D144)&lt;0.000000001,4*$B$19*$B$20*(D144+273)^3,$B$19*$B$20*((X144+273)^4-(D144+273)^4)/(X144-D144))*D144)+T144/H144)/($B$14*(I144+IF(ABS(X144-D144)&lt;0.000000001,4*$B$19*$B$20*(D144+273)^3,$B$19*$B$20*((X144+273)^4-(D144+273)^4)/(X144-D144)))+1/H144)</f>
        <v/>
      </c>
      <c r="Z144">
        <f>IF(ABS(Y144-D144)&lt;0.000000001,4*$B$19*$B$20*(D144+273)^3,$B$19*$B$20*((Y144+273)^4-(D144+273)^4)/(Y144-D144))</f>
        <v/>
      </c>
      <c r="AA144">
        <f>$B$14*I144*(Y144-C144)</f>
        <v/>
      </c>
      <c r="AB144">
        <f>$B$14*Z144*(Y144-D144)</f>
        <v/>
      </c>
      <c r="AC144">
        <f>IF((U144-E144)/G144=0,0.001,(U144-E144)/G144)</f>
        <v/>
      </c>
      <c r="AD144">
        <f>F144-P144-J144-K144-AA144-AB144</f>
        <v/>
      </c>
      <c r="AE144">
        <f>AD144/AC144</f>
        <v/>
      </c>
      <c r="AF144">
        <f>IF(AD144&lt;=0,0,IF(AC144&lt;=0,$B$11,IF(AE144&gt;=1.7,$B$11,MIN(AD144/MAX(0.05,IF(AE144&gt;1,(2-AE144)^2/2,1-AE144^2/2)),$B$11))))</f>
        <v/>
      </c>
      <c r="AG144">
        <f>AG143*$B$28+AF144*(1-$B$28)</f>
        <v/>
      </c>
      <c r="AH144">
        <f>IF(AND(AD144&gt;0,AC144&lt;=0),0,AC144)</f>
        <v/>
      </c>
      <c r="AI144">
        <f>AH144/MAX(AG144,0.000001)</f>
        <v/>
      </c>
      <c r="AJ144">
        <f>MIN(IF(AI144&gt;=0.5,-AI144+SQRT(AI144^2+2),1),$B$12)</f>
        <v/>
      </c>
      <c r="AK144">
        <f>IF(AG144&lt;=0,0,AJ144*AH144)</f>
        <v/>
      </c>
      <c r="AL144">
        <f>IF(AD144&lt;=0,0,AD144)</f>
        <v/>
      </c>
      <c r="AM144">
        <f>AL144-AK144+P144</f>
        <v/>
      </c>
      <c r="AN144">
        <f>((AM144/$B$7+T143*AS143/2-T144*MAX(0.1,MIN(0.3,0.3-0.09*(AR143-36.8)))/2)+AR143*(1-AS143/2))/(1-MAX(0.1,MIN(0.3,0.3-0.09*(AR143-36.8)))/2)</f>
        <v/>
      </c>
      <c r="AO144">
        <f>((AM144/$B$7+T143*AS143/2-T144*MAX(0.1,MIN(0.3,0.3-0.09*(AN144-36.8)))/2)+AR143*(1-AS143/2))/(1-MAX(0.1,MIN(0.3,0.3-0.09*(AN144-36.8)))/2)</f>
        <v/>
      </c>
      <c r="AP144">
        <f>((AM144/$B$7+T143*AS143/2-T144*MAX(0.1,MIN(0.3,0.3-0.09*(AO144-36.8)))/2)+AR143*(1-AS143/2))/(1-MAX(0.1,MIN(0.3,0.3-0.09*(AO144-36.8)))/2)</f>
        <v/>
      </c>
      <c r="AQ144">
        <f>((AM144/$B$7+T143*AS143/2-T144*MAX(0.1,MIN(0.3,0.3-0.09*(AP144-36.8)))/2)+AR143*(1-AS143/2))/(1-MAX(0.1,MIN(0.3,0.3-0.09*(AP144-36.8)))/2)</f>
        <v/>
      </c>
      <c r="AR144">
        <f>((AM144/$B$7+T143*AS143/2-T144*MAX(0.1,MIN(0.3,0.3-0.09*(AQ144-36.8)))/2)+AR143*(1-AS143/2))/(1-MAX(0.1,MIN(0.3,0.3-0.09*(AQ144-36.8)))/2)</f>
        <v/>
      </c>
      <c r="AS144">
        <f>MAX(0.1,MIN(0.3,0.3-0.09*(AR144-36.8)))</f>
        <v/>
      </c>
      <c r="AT144">
        <f>AT143+(2*AR144-1.962*AT143-1.31)/9</f>
        <v/>
      </c>
      <c r="AU144">
        <f>AU143+AG144+K144</f>
        <v/>
      </c>
      <c r="AV144">
        <f>AU144*2.67*$B$6/1.8/60</f>
        <v/>
      </c>
      <c r="AW144">
        <f>IF(AT144&gt;=$B$36,1,0)</f>
        <v/>
      </c>
      <c r="AX144">
        <f>IF(AV144&gt;=$B$21,1,0)</f>
        <v/>
      </c>
    </row>
    <row r="145">
      <c r="A145" t="n">
        <v>72</v>
      </c>
      <c r="B145">
        <f>MATCH(A145-1,$D$61:$D$68,1)</f>
        <v/>
      </c>
      <c r="C145">
        <f>INDEX($G$61:$G$68,B145)</f>
        <v/>
      </c>
      <c r="D145">
        <f>INDEX($L$61:$L$68,B145)</f>
        <v/>
      </c>
      <c r="E145">
        <f>INDEX($M$61:$M$68,B145)</f>
        <v/>
      </c>
      <c r="F145">
        <f>INDEX($N$61:$N$68,B145)</f>
        <v/>
      </c>
      <c r="G145">
        <f>INDEX($AA$61:$AA$68,B145)</f>
        <v/>
      </c>
      <c r="H145">
        <f>INDEX($X$61:$X$68,B145)</f>
        <v/>
      </c>
      <c r="I145">
        <f>INDEX($AF$61:$AF$68,B145)</f>
        <v/>
      </c>
      <c r="J145">
        <f>INDEX($AC$61:$AC$68,B145)</f>
        <v/>
      </c>
      <c r="K145">
        <f>INDEX($AD$61:$AD$68,B145)</f>
        <v/>
      </c>
      <c r="L145">
        <f>INDEX($AG$61:$AG$68,B145)</f>
        <v/>
      </c>
      <c r="M145">
        <f>INDEX($AH$61:$AH$68,B145)</f>
        <v/>
      </c>
      <c r="N145">
        <f>INDEX($AI$61:$AI$68,B145)</f>
        <v/>
      </c>
      <c r="O145">
        <f>O144*$B$26+L145*(1-$B$26)</f>
        <v/>
      </c>
      <c r="P145">
        <f>$B$7*(O145-O144)*(1-AS144)</f>
        <v/>
      </c>
      <c r="Q145">
        <f>M145+0.51274*AT144</f>
        <v/>
      </c>
      <c r="R145">
        <f>N145+0.616*AT144</f>
        <v/>
      </c>
      <c r="S145">
        <f>IF($B$13&gt;=0.6,Q145,IF($B$13&lt;=0.2,R145,R145+2.5*(Q145-R145)*($B$13-0.2)))</f>
        <v/>
      </c>
      <c r="T145">
        <f>IF(A145=1,S145,T144*$B$27+S145*(1-$B$27))</f>
        <v/>
      </c>
      <c r="U145">
        <f>0.6105*EXP(17.27*T145/(T145+237.3))</f>
        <v/>
      </c>
      <c r="V145">
        <f>($B$14*(I145*C145+IF(ABS((D145+0.1)-D145)&lt;0.000000001,4*$B$19*$B$20*(D145+273)^3,$B$19*$B$20*(((D145+0.1)+273)^4-(D145+273)^4)/((D145+0.1)-D145))*D145)+T145/H145)/($B$14*(I145+IF(ABS((D145+0.1)-D145)&lt;0.000000001,4*$B$19*$B$20*(D145+273)^3,$B$19*$B$20*(((D145+0.1)+273)^4-(D145+273)^4)/((D145+0.1)-D145)))+1/H145)</f>
        <v/>
      </c>
      <c r="W145">
        <f>($B$14*(I145*C145+IF(ABS(V145-D145)&lt;0.000000001,4*$B$19*$B$20*(D145+273)^3,$B$19*$B$20*((V145+273)^4-(D145+273)^4)/(V145-D145))*D145)+T145/H145)/($B$14*(I145+IF(ABS(V145-D145)&lt;0.000000001,4*$B$19*$B$20*(D145+273)^3,$B$19*$B$20*((V145+273)^4-(D145+273)^4)/(V145-D145)))+1/H145)</f>
        <v/>
      </c>
      <c r="X145">
        <f>($B$14*(I145*C145+IF(ABS(W145-D145)&lt;0.000000001,4*$B$19*$B$20*(D145+273)^3,$B$19*$B$20*((W145+273)^4-(D145+273)^4)/(W145-D145))*D145)+T145/H145)/($B$14*(I145+IF(ABS(W145-D145)&lt;0.000000001,4*$B$19*$B$20*(D145+273)^3,$B$19*$B$20*((W145+273)^4-(D145+273)^4)/(W145-D145)))+1/H145)</f>
        <v/>
      </c>
      <c r="Y145">
        <f>($B$14*(I145*C145+IF(ABS(X145-D145)&lt;0.000000001,4*$B$19*$B$20*(D145+273)^3,$B$19*$B$20*((X145+273)^4-(D145+273)^4)/(X145-D145))*D145)+T145/H145)/($B$14*(I145+IF(ABS(X145-D145)&lt;0.000000001,4*$B$19*$B$20*(D145+273)^3,$B$19*$B$20*((X145+273)^4-(D145+273)^4)/(X145-D145)))+1/H145)</f>
        <v/>
      </c>
      <c r="Z145">
        <f>IF(ABS(Y145-D145)&lt;0.000000001,4*$B$19*$B$20*(D145+273)^3,$B$19*$B$20*((Y145+273)^4-(D145+273)^4)/(Y145-D145))</f>
        <v/>
      </c>
      <c r="AA145">
        <f>$B$14*I145*(Y145-C145)</f>
        <v/>
      </c>
      <c r="AB145">
        <f>$B$14*Z145*(Y145-D145)</f>
        <v/>
      </c>
      <c r="AC145">
        <f>IF((U145-E145)/G145=0,0.001,(U145-E145)/G145)</f>
        <v/>
      </c>
      <c r="AD145">
        <f>F145-P145-J145-K145-AA145-AB145</f>
        <v/>
      </c>
      <c r="AE145">
        <f>AD145/AC145</f>
        <v/>
      </c>
      <c r="AF145">
        <f>IF(AD145&lt;=0,0,IF(AC145&lt;=0,$B$11,IF(AE145&gt;=1.7,$B$11,MIN(AD145/MAX(0.05,IF(AE145&gt;1,(2-AE145)^2/2,1-AE145^2/2)),$B$11))))</f>
        <v/>
      </c>
      <c r="AG145">
        <f>AG144*$B$28+AF145*(1-$B$28)</f>
        <v/>
      </c>
      <c r="AH145">
        <f>IF(AND(AD145&gt;0,AC145&lt;=0),0,AC145)</f>
        <v/>
      </c>
      <c r="AI145">
        <f>AH145/MAX(AG145,0.000001)</f>
        <v/>
      </c>
      <c r="AJ145">
        <f>MIN(IF(AI145&gt;=0.5,-AI145+SQRT(AI145^2+2),1),$B$12)</f>
        <v/>
      </c>
      <c r="AK145">
        <f>IF(AG145&lt;=0,0,AJ145*AH145)</f>
        <v/>
      </c>
      <c r="AL145">
        <f>IF(AD145&lt;=0,0,AD145)</f>
        <v/>
      </c>
      <c r="AM145">
        <f>AL145-AK145+P145</f>
        <v/>
      </c>
      <c r="AN145">
        <f>((AM145/$B$7+T144*AS144/2-T145*MAX(0.1,MIN(0.3,0.3-0.09*(AR144-36.8)))/2)+AR144*(1-AS144/2))/(1-MAX(0.1,MIN(0.3,0.3-0.09*(AR144-36.8)))/2)</f>
        <v/>
      </c>
      <c r="AO145">
        <f>((AM145/$B$7+T144*AS144/2-T145*MAX(0.1,MIN(0.3,0.3-0.09*(AN145-36.8)))/2)+AR144*(1-AS144/2))/(1-MAX(0.1,MIN(0.3,0.3-0.09*(AN145-36.8)))/2)</f>
        <v/>
      </c>
      <c r="AP145">
        <f>((AM145/$B$7+T144*AS144/2-T145*MAX(0.1,MIN(0.3,0.3-0.09*(AO145-36.8)))/2)+AR144*(1-AS144/2))/(1-MAX(0.1,MIN(0.3,0.3-0.09*(AO145-36.8)))/2)</f>
        <v/>
      </c>
      <c r="AQ145">
        <f>((AM145/$B$7+T144*AS144/2-T145*MAX(0.1,MIN(0.3,0.3-0.09*(AP145-36.8)))/2)+AR144*(1-AS144/2))/(1-MAX(0.1,MIN(0.3,0.3-0.09*(AP145-36.8)))/2)</f>
        <v/>
      </c>
      <c r="AR145">
        <f>((AM145/$B$7+T144*AS144/2-T145*MAX(0.1,MIN(0.3,0.3-0.09*(AQ145-36.8)))/2)+AR144*(1-AS144/2))/(1-MAX(0.1,MIN(0.3,0.3-0.09*(AQ145-36.8)))/2)</f>
        <v/>
      </c>
      <c r="AS145">
        <f>MAX(0.1,MIN(0.3,0.3-0.09*(AR145-36.8)))</f>
        <v/>
      </c>
      <c r="AT145">
        <f>AT144+(2*AR145-1.962*AT144-1.31)/9</f>
        <v/>
      </c>
      <c r="AU145">
        <f>AU144+AG145+K145</f>
        <v/>
      </c>
      <c r="AV145">
        <f>AU145*2.67*$B$6/1.8/60</f>
        <v/>
      </c>
      <c r="AW145">
        <f>IF(AT145&gt;=$B$36,1,0)</f>
        <v/>
      </c>
      <c r="AX145">
        <f>IF(AV145&gt;=$B$21,1,0)</f>
        <v/>
      </c>
    </row>
    <row r="146">
      <c r="A146" t="n">
        <v>73</v>
      </c>
      <c r="B146">
        <f>MATCH(A146-1,$D$61:$D$68,1)</f>
        <v/>
      </c>
      <c r="C146">
        <f>INDEX($G$61:$G$68,B146)</f>
        <v/>
      </c>
      <c r="D146">
        <f>INDEX($L$61:$L$68,B146)</f>
        <v/>
      </c>
      <c r="E146">
        <f>INDEX($M$61:$M$68,B146)</f>
        <v/>
      </c>
      <c r="F146">
        <f>INDEX($N$61:$N$68,B146)</f>
        <v/>
      </c>
      <c r="G146">
        <f>INDEX($AA$61:$AA$68,B146)</f>
        <v/>
      </c>
      <c r="H146">
        <f>INDEX($X$61:$X$68,B146)</f>
        <v/>
      </c>
      <c r="I146">
        <f>INDEX($AF$61:$AF$68,B146)</f>
        <v/>
      </c>
      <c r="J146">
        <f>INDEX($AC$61:$AC$68,B146)</f>
        <v/>
      </c>
      <c r="K146">
        <f>INDEX($AD$61:$AD$68,B146)</f>
        <v/>
      </c>
      <c r="L146">
        <f>INDEX($AG$61:$AG$68,B146)</f>
        <v/>
      </c>
      <c r="M146">
        <f>INDEX($AH$61:$AH$68,B146)</f>
        <v/>
      </c>
      <c r="N146">
        <f>INDEX($AI$61:$AI$68,B146)</f>
        <v/>
      </c>
      <c r="O146">
        <f>O145*$B$26+L146*(1-$B$26)</f>
        <v/>
      </c>
      <c r="P146">
        <f>$B$7*(O146-O145)*(1-AS145)</f>
        <v/>
      </c>
      <c r="Q146">
        <f>M146+0.51274*AT145</f>
        <v/>
      </c>
      <c r="R146">
        <f>N146+0.616*AT145</f>
        <v/>
      </c>
      <c r="S146">
        <f>IF($B$13&gt;=0.6,Q146,IF($B$13&lt;=0.2,R146,R146+2.5*(Q146-R146)*($B$13-0.2)))</f>
        <v/>
      </c>
      <c r="T146">
        <f>IF(A146=1,S146,T145*$B$27+S146*(1-$B$27))</f>
        <v/>
      </c>
      <c r="U146">
        <f>0.6105*EXP(17.27*T146/(T146+237.3))</f>
        <v/>
      </c>
      <c r="V146">
        <f>($B$14*(I146*C146+IF(ABS((D146+0.1)-D146)&lt;0.000000001,4*$B$19*$B$20*(D146+273)^3,$B$19*$B$20*(((D146+0.1)+273)^4-(D146+273)^4)/((D146+0.1)-D146))*D146)+T146/H146)/($B$14*(I146+IF(ABS((D146+0.1)-D146)&lt;0.000000001,4*$B$19*$B$20*(D146+273)^3,$B$19*$B$20*(((D146+0.1)+273)^4-(D146+273)^4)/((D146+0.1)-D146)))+1/H146)</f>
        <v/>
      </c>
      <c r="W146">
        <f>($B$14*(I146*C146+IF(ABS(V146-D146)&lt;0.000000001,4*$B$19*$B$20*(D146+273)^3,$B$19*$B$20*((V146+273)^4-(D146+273)^4)/(V146-D146))*D146)+T146/H146)/($B$14*(I146+IF(ABS(V146-D146)&lt;0.000000001,4*$B$19*$B$20*(D146+273)^3,$B$19*$B$20*((V146+273)^4-(D146+273)^4)/(V146-D146)))+1/H146)</f>
        <v/>
      </c>
      <c r="X146">
        <f>($B$14*(I146*C146+IF(ABS(W146-D146)&lt;0.000000001,4*$B$19*$B$20*(D146+273)^3,$B$19*$B$20*((W146+273)^4-(D146+273)^4)/(W146-D146))*D146)+T146/H146)/($B$14*(I146+IF(ABS(W146-D146)&lt;0.000000001,4*$B$19*$B$20*(D146+273)^3,$B$19*$B$20*((W146+273)^4-(D146+273)^4)/(W146-D146)))+1/H146)</f>
        <v/>
      </c>
      <c r="Y146">
        <f>($B$14*(I146*C146+IF(ABS(X146-D146)&lt;0.000000001,4*$B$19*$B$20*(D146+273)^3,$B$19*$B$20*((X146+273)^4-(D146+273)^4)/(X146-D146))*D146)+T146/H146)/($B$14*(I146+IF(ABS(X146-D146)&lt;0.000000001,4*$B$19*$B$20*(D146+273)^3,$B$19*$B$20*((X146+273)^4-(D146+273)^4)/(X146-D146)))+1/H146)</f>
        <v/>
      </c>
      <c r="Z146">
        <f>IF(ABS(Y146-D146)&lt;0.000000001,4*$B$19*$B$20*(D146+273)^3,$B$19*$B$20*((Y146+273)^4-(D146+273)^4)/(Y146-D146))</f>
        <v/>
      </c>
      <c r="AA146">
        <f>$B$14*I146*(Y146-C146)</f>
        <v/>
      </c>
      <c r="AB146">
        <f>$B$14*Z146*(Y146-D146)</f>
        <v/>
      </c>
      <c r="AC146">
        <f>IF((U146-E146)/G146=0,0.001,(U146-E146)/G146)</f>
        <v/>
      </c>
      <c r="AD146">
        <f>F146-P146-J146-K146-AA146-AB146</f>
        <v/>
      </c>
      <c r="AE146">
        <f>AD146/AC146</f>
        <v/>
      </c>
      <c r="AF146">
        <f>IF(AD146&lt;=0,0,IF(AC146&lt;=0,$B$11,IF(AE146&gt;=1.7,$B$11,MIN(AD146/MAX(0.05,IF(AE146&gt;1,(2-AE146)^2/2,1-AE146^2/2)),$B$11))))</f>
        <v/>
      </c>
      <c r="AG146">
        <f>AG145*$B$28+AF146*(1-$B$28)</f>
        <v/>
      </c>
      <c r="AH146">
        <f>IF(AND(AD146&gt;0,AC146&lt;=0),0,AC146)</f>
        <v/>
      </c>
      <c r="AI146">
        <f>AH146/MAX(AG146,0.000001)</f>
        <v/>
      </c>
      <c r="AJ146">
        <f>MIN(IF(AI146&gt;=0.5,-AI146+SQRT(AI146^2+2),1),$B$12)</f>
        <v/>
      </c>
      <c r="AK146">
        <f>IF(AG146&lt;=0,0,AJ146*AH146)</f>
        <v/>
      </c>
      <c r="AL146">
        <f>IF(AD146&lt;=0,0,AD146)</f>
        <v/>
      </c>
      <c r="AM146">
        <f>AL146-AK146+P146</f>
        <v/>
      </c>
      <c r="AN146">
        <f>((AM146/$B$7+T145*AS145/2-T146*MAX(0.1,MIN(0.3,0.3-0.09*(AR145-36.8)))/2)+AR145*(1-AS145/2))/(1-MAX(0.1,MIN(0.3,0.3-0.09*(AR145-36.8)))/2)</f>
        <v/>
      </c>
      <c r="AO146">
        <f>((AM146/$B$7+T145*AS145/2-T146*MAX(0.1,MIN(0.3,0.3-0.09*(AN146-36.8)))/2)+AR145*(1-AS145/2))/(1-MAX(0.1,MIN(0.3,0.3-0.09*(AN146-36.8)))/2)</f>
        <v/>
      </c>
      <c r="AP146">
        <f>((AM146/$B$7+T145*AS145/2-T146*MAX(0.1,MIN(0.3,0.3-0.09*(AO146-36.8)))/2)+AR145*(1-AS145/2))/(1-MAX(0.1,MIN(0.3,0.3-0.09*(AO146-36.8)))/2)</f>
        <v/>
      </c>
      <c r="AQ146">
        <f>((AM146/$B$7+T145*AS145/2-T146*MAX(0.1,MIN(0.3,0.3-0.09*(AP146-36.8)))/2)+AR145*(1-AS145/2))/(1-MAX(0.1,MIN(0.3,0.3-0.09*(AP146-36.8)))/2)</f>
        <v/>
      </c>
      <c r="AR146">
        <f>((AM146/$B$7+T145*AS145/2-T146*MAX(0.1,MIN(0.3,0.3-0.09*(AQ146-36.8)))/2)+AR145*(1-AS145/2))/(1-MAX(0.1,MIN(0.3,0.3-0.09*(AQ146-36.8)))/2)</f>
        <v/>
      </c>
      <c r="AS146">
        <f>MAX(0.1,MIN(0.3,0.3-0.09*(AR146-36.8)))</f>
        <v/>
      </c>
      <c r="AT146">
        <f>AT145+(2*AR146-1.962*AT145-1.31)/9</f>
        <v/>
      </c>
      <c r="AU146">
        <f>AU145+AG146+K146</f>
        <v/>
      </c>
      <c r="AV146">
        <f>AU146*2.67*$B$6/1.8/60</f>
        <v/>
      </c>
      <c r="AW146">
        <f>IF(AT146&gt;=$B$36,1,0)</f>
        <v/>
      </c>
      <c r="AX146">
        <f>IF(AV146&gt;=$B$21,1,0)</f>
        <v/>
      </c>
    </row>
    <row r="147">
      <c r="A147" t="n">
        <v>74</v>
      </c>
      <c r="B147">
        <f>MATCH(A147-1,$D$61:$D$68,1)</f>
        <v/>
      </c>
      <c r="C147">
        <f>INDEX($G$61:$G$68,B147)</f>
        <v/>
      </c>
      <c r="D147">
        <f>INDEX($L$61:$L$68,B147)</f>
        <v/>
      </c>
      <c r="E147">
        <f>INDEX($M$61:$M$68,B147)</f>
        <v/>
      </c>
      <c r="F147">
        <f>INDEX($N$61:$N$68,B147)</f>
        <v/>
      </c>
      <c r="G147">
        <f>INDEX($AA$61:$AA$68,B147)</f>
        <v/>
      </c>
      <c r="H147">
        <f>INDEX($X$61:$X$68,B147)</f>
        <v/>
      </c>
      <c r="I147">
        <f>INDEX($AF$61:$AF$68,B147)</f>
        <v/>
      </c>
      <c r="J147">
        <f>INDEX($AC$61:$AC$68,B147)</f>
        <v/>
      </c>
      <c r="K147">
        <f>INDEX($AD$61:$AD$68,B147)</f>
        <v/>
      </c>
      <c r="L147">
        <f>INDEX($AG$61:$AG$68,B147)</f>
        <v/>
      </c>
      <c r="M147">
        <f>INDEX($AH$61:$AH$68,B147)</f>
        <v/>
      </c>
      <c r="N147">
        <f>INDEX($AI$61:$AI$68,B147)</f>
        <v/>
      </c>
      <c r="O147">
        <f>O146*$B$26+L147*(1-$B$26)</f>
        <v/>
      </c>
      <c r="P147">
        <f>$B$7*(O147-O146)*(1-AS146)</f>
        <v/>
      </c>
      <c r="Q147">
        <f>M147+0.51274*AT146</f>
        <v/>
      </c>
      <c r="R147">
        <f>N147+0.616*AT146</f>
        <v/>
      </c>
      <c r="S147">
        <f>IF($B$13&gt;=0.6,Q147,IF($B$13&lt;=0.2,R147,R147+2.5*(Q147-R147)*($B$13-0.2)))</f>
        <v/>
      </c>
      <c r="T147">
        <f>IF(A147=1,S147,T146*$B$27+S147*(1-$B$27))</f>
        <v/>
      </c>
      <c r="U147">
        <f>0.6105*EXP(17.27*T147/(T147+237.3))</f>
        <v/>
      </c>
      <c r="V147">
        <f>($B$14*(I147*C147+IF(ABS((D147+0.1)-D147)&lt;0.000000001,4*$B$19*$B$20*(D147+273)^3,$B$19*$B$20*(((D147+0.1)+273)^4-(D147+273)^4)/((D147+0.1)-D147))*D147)+T147/H147)/($B$14*(I147+IF(ABS((D147+0.1)-D147)&lt;0.000000001,4*$B$19*$B$20*(D147+273)^3,$B$19*$B$20*(((D147+0.1)+273)^4-(D147+273)^4)/((D147+0.1)-D147)))+1/H147)</f>
        <v/>
      </c>
      <c r="W147">
        <f>($B$14*(I147*C147+IF(ABS(V147-D147)&lt;0.000000001,4*$B$19*$B$20*(D147+273)^3,$B$19*$B$20*((V147+273)^4-(D147+273)^4)/(V147-D147))*D147)+T147/H147)/($B$14*(I147+IF(ABS(V147-D147)&lt;0.000000001,4*$B$19*$B$20*(D147+273)^3,$B$19*$B$20*((V147+273)^4-(D147+273)^4)/(V147-D147)))+1/H147)</f>
        <v/>
      </c>
      <c r="X147">
        <f>($B$14*(I147*C147+IF(ABS(W147-D147)&lt;0.000000001,4*$B$19*$B$20*(D147+273)^3,$B$19*$B$20*((W147+273)^4-(D147+273)^4)/(W147-D147))*D147)+T147/H147)/($B$14*(I147+IF(ABS(W147-D147)&lt;0.000000001,4*$B$19*$B$20*(D147+273)^3,$B$19*$B$20*((W147+273)^4-(D147+273)^4)/(W147-D147)))+1/H147)</f>
        <v/>
      </c>
      <c r="Y147">
        <f>($B$14*(I147*C147+IF(ABS(X147-D147)&lt;0.000000001,4*$B$19*$B$20*(D147+273)^3,$B$19*$B$20*((X147+273)^4-(D147+273)^4)/(X147-D147))*D147)+T147/H147)/($B$14*(I147+IF(ABS(X147-D147)&lt;0.000000001,4*$B$19*$B$20*(D147+273)^3,$B$19*$B$20*((X147+273)^4-(D147+273)^4)/(X147-D147)))+1/H147)</f>
        <v/>
      </c>
      <c r="Z147">
        <f>IF(ABS(Y147-D147)&lt;0.000000001,4*$B$19*$B$20*(D147+273)^3,$B$19*$B$20*((Y147+273)^4-(D147+273)^4)/(Y147-D147))</f>
        <v/>
      </c>
      <c r="AA147">
        <f>$B$14*I147*(Y147-C147)</f>
        <v/>
      </c>
      <c r="AB147">
        <f>$B$14*Z147*(Y147-D147)</f>
        <v/>
      </c>
      <c r="AC147">
        <f>IF((U147-E147)/G147=0,0.001,(U147-E147)/G147)</f>
        <v/>
      </c>
      <c r="AD147">
        <f>F147-P147-J147-K147-AA147-AB147</f>
        <v/>
      </c>
      <c r="AE147">
        <f>AD147/AC147</f>
        <v/>
      </c>
      <c r="AF147">
        <f>IF(AD147&lt;=0,0,IF(AC147&lt;=0,$B$11,IF(AE147&gt;=1.7,$B$11,MIN(AD147/MAX(0.05,IF(AE147&gt;1,(2-AE147)^2/2,1-AE147^2/2)),$B$11))))</f>
        <v/>
      </c>
      <c r="AG147">
        <f>AG146*$B$28+AF147*(1-$B$28)</f>
        <v/>
      </c>
      <c r="AH147">
        <f>IF(AND(AD147&gt;0,AC147&lt;=0),0,AC147)</f>
        <v/>
      </c>
      <c r="AI147">
        <f>AH147/MAX(AG147,0.000001)</f>
        <v/>
      </c>
      <c r="AJ147">
        <f>MIN(IF(AI147&gt;=0.5,-AI147+SQRT(AI147^2+2),1),$B$12)</f>
        <v/>
      </c>
      <c r="AK147">
        <f>IF(AG147&lt;=0,0,AJ147*AH147)</f>
        <v/>
      </c>
      <c r="AL147">
        <f>IF(AD147&lt;=0,0,AD147)</f>
        <v/>
      </c>
      <c r="AM147">
        <f>AL147-AK147+P147</f>
        <v/>
      </c>
      <c r="AN147">
        <f>((AM147/$B$7+T146*AS146/2-T147*MAX(0.1,MIN(0.3,0.3-0.09*(AR146-36.8)))/2)+AR146*(1-AS146/2))/(1-MAX(0.1,MIN(0.3,0.3-0.09*(AR146-36.8)))/2)</f>
        <v/>
      </c>
      <c r="AO147">
        <f>((AM147/$B$7+T146*AS146/2-T147*MAX(0.1,MIN(0.3,0.3-0.09*(AN147-36.8)))/2)+AR146*(1-AS146/2))/(1-MAX(0.1,MIN(0.3,0.3-0.09*(AN147-36.8)))/2)</f>
        <v/>
      </c>
      <c r="AP147">
        <f>((AM147/$B$7+T146*AS146/2-T147*MAX(0.1,MIN(0.3,0.3-0.09*(AO147-36.8)))/2)+AR146*(1-AS146/2))/(1-MAX(0.1,MIN(0.3,0.3-0.09*(AO147-36.8)))/2)</f>
        <v/>
      </c>
      <c r="AQ147">
        <f>((AM147/$B$7+T146*AS146/2-T147*MAX(0.1,MIN(0.3,0.3-0.09*(AP147-36.8)))/2)+AR146*(1-AS146/2))/(1-MAX(0.1,MIN(0.3,0.3-0.09*(AP147-36.8)))/2)</f>
        <v/>
      </c>
      <c r="AR147">
        <f>((AM147/$B$7+T146*AS146/2-T147*MAX(0.1,MIN(0.3,0.3-0.09*(AQ147-36.8)))/2)+AR146*(1-AS146/2))/(1-MAX(0.1,MIN(0.3,0.3-0.09*(AQ147-36.8)))/2)</f>
        <v/>
      </c>
      <c r="AS147">
        <f>MAX(0.1,MIN(0.3,0.3-0.09*(AR147-36.8)))</f>
        <v/>
      </c>
      <c r="AT147">
        <f>AT146+(2*AR147-1.962*AT146-1.31)/9</f>
        <v/>
      </c>
      <c r="AU147">
        <f>AU146+AG147+K147</f>
        <v/>
      </c>
      <c r="AV147">
        <f>AU147*2.67*$B$6/1.8/60</f>
        <v/>
      </c>
      <c r="AW147">
        <f>IF(AT147&gt;=$B$36,1,0)</f>
        <v/>
      </c>
      <c r="AX147">
        <f>IF(AV147&gt;=$B$21,1,0)</f>
        <v/>
      </c>
    </row>
    <row r="148">
      <c r="A148" t="n">
        <v>75</v>
      </c>
      <c r="B148">
        <f>MATCH(A148-1,$D$61:$D$68,1)</f>
        <v/>
      </c>
      <c r="C148">
        <f>INDEX($G$61:$G$68,B148)</f>
        <v/>
      </c>
      <c r="D148">
        <f>INDEX($L$61:$L$68,B148)</f>
        <v/>
      </c>
      <c r="E148">
        <f>INDEX($M$61:$M$68,B148)</f>
        <v/>
      </c>
      <c r="F148">
        <f>INDEX($N$61:$N$68,B148)</f>
        <v/>
      </c>
      <c r="G148">
        <f>INDEX($AA$61:$AA$68,B148)</f>
        <v/>
      </c>
      <c r="H148">
        <f>INDEX($X$61:$X$68,B148)</f>
        <v/>
      </c>
      <c r="I148">
        <f>INDEX($AF$61:$AF$68,B148)</f>
        <v/>
      </c>
      <c r="J148">
        <f>INDEX($AC$61:$AC$68,B148)</f>
        <v/>
      </c>
      <c r="K148">
        <f>INDEX($AD$61:$AD$68,B148)</f>
        <v/>
      </c>
      <c r="L148">
        <f>INDEX($AG$61:$AG$68,B148)</f>
        <v/>
      </c>
      <c r="M148">
        <f>INDEX($AH$61:$AH$68,B148)</f>
        <v/>
      </c>
      <c r="N148">
        <f>INDEX($AI$61:$AI$68,B148)</f>
        <v/>
      </c>
      <c r="O148">
        <f>O147*$B$26+L148*(1-$B$26)</f>
        <v/>
      </c>
      <c r="P148">
        <f>$B$7*(O148-O147)*(1-AS147)</f>
        <v/>
      </c>
      <c r="Q148">
        <f>M148+0.51274*AT147</f>
        <v/>
      </c>
      <c r="R148">
        <f>N148+0.616*AT147</f>
        <v/>
      </c>
      <c r="S148">
        <f>IF($B$13&gt;=0.6,Q148,IF($B$13&lt;=0.2,R148,R148+2.5*(Q148-R148)*($B$13-0.2)))</f>
        <v/>
      </c>
      <c r="T148">
        <f>IF(A148=1,S148,T147*$B$27+S148*(1-$B$27))</f>
        <v/>
      </c>
      <c r="U148">
        <f>0.6105*EXP(17.27*T148/(T148+237.3))</f>
        <v/>
      </c>
      <c r="V148">
        <f>($B$14*(I148*C148+IF(ABS((D148+0.1)-D148)&lt;0.000000001,4*$B$19*$B$20*(D148+273)^3,$B$19*$B$20*(((D148+0.1)+273)^4-(D148+273)^4)/((D148+0.1)-D148))*D148)+T148/H148)/($B$14*(I148+IF(ABS((D148+0.1)-D148)&lt;0.000000001,4*$B$19*$B$20*(D148+273)^3,$B$19*$B$20*(((D148+0.1)+273)^4-(D148+273)^4)/((D148+0.1)-D148)))+1/H148)</f>
        <v/>
      </c>
      <c r="W148">
        <f>($B$14*(I148*C148+IF(ABS(V148-D148)&lt;0.000000001,4*$B$19*$B$20*(D148+273)^3,$B$19*$B$20*((V148+273)^4-(D148+273)^4)/(V148-D148))*D148)+T148/H148)/($B$14*(I148+IF(ABS(V148-D148)&lt;0.000000001,4*$B$19*$B$20*(D148+273)^3,$B$19*$B$20*((V148+273)^4-(D148+273)^4)/(V148-D148)))+1/H148)</f>
        <v/>
      </c>
      <c r="X148">
        <f>($B$14*(I148*C148+IF(ABS(W148-D148)&lt;0.000000001,4*$B$19*$B$20*(D148+273)^3,$B$19*$B$20*((W148+273)^4-(D148+273)^4)/(W148-D148))*D148)+T148/H148)/($B$14*(I148+IF(ABS(W148-D148)&lt;0.000000001,4*$B$19*$B$20*(D148+273)^3,$B$19*$B$20*((W148+273)^4-(D148+273)^4)/(W148-D148)))+1/H148)</f>
        <v/>
      </c>
      <c r="Y148">
        <f>($B$14*(I148*C148+IF(ABS(X148-D148)&lt;0.000000001,4*$B$19*$B$20*(D148+273)^3,$B$19*$B$20*((X148+273)^4-(D148+273)^4)/(X148-D148))*D148)+T148/H148)/($B$14*(I148+IF(ABS(X148-D148)&lt;0.000000001,4*$B$19*$B$20*(D148+273)^3,$B$19*$B$20*((X148+273)^4-(D148+273)^4)/(X148-D148)))+1/H148)</f>
        <v/>
      </c>
      <c r="Z148">
        <f>IF(ABS(Y148-D148)&lt;0.000000001,4*$B$19*$B$20*(D148+273)^3,$B$19*$B$20*((Y148+273)^4-(D148+273)^4)/(Y148-D148))</f>
        <v/>
      </c>
      <c r="AA148">
        <f>$B$14*I148*(Y148-C148)</f>
        <v/>
      </c>
      <c r="AB148">
        <f>$B$14*Z148*(Y148-D148)</f>
        <v/>
      </c>
      <c r="AC148">
        <f>IF((U148-E148)/G148=0,0.001,(U148-E148)/G148)</f>
        <v/>
      </c>
      <c r="AD148">
        <f>F148-P148-J148-K148-AA148-AB148</f>
        <v/>
      </c>
      <c r="AE148">
        <f>AD148/AC148</f>
        <v/>
      </c>
      <c r="AF148">
        <f>IF(AD148&lt;=0,0,IF(AC148&lt;=0,$B$11,IF(AE148&gt;=1.7,$B$11,MIN(AD148/MAX(0.05,IF(AE148&gt;1,(2-AE148)^2/2,1-AE148^2/2)),$B$11))))</f>
        <v/>
      </c>
      <c r="AG148">
        <f>AG147*$B$28+AF148*(1-$B$28)</f>
        <v/>
      </c>
      <c r="AH148">
        <f>IF(AND(AD148&gt;0,AC148&lt;=0),0,AC148)</f>
        <v/>
      </c>
      <c r="AI148">
        <f>AH148/MAX(AG148,0.000001)</f>
        <v/>
      </c>
      <c r="AJ148">
        <f>MIN(IF(AI148&gt;=0.5,-AI148+SQRT(AI148^2+2),1),$B$12)</f>
        <v/>
      </c>
      <c r="AK148">
        <f>IF(AG148&lt;=0,0,AJ148*AH148)</f>
        <v/>
      </c>
      <c r="AL148">
        <f>IF(AD148&lt;=0,0,AD148)</f>
        <v/>
      </c>
      <c r="AM148">
        <f>AL148-AK148+P148</f>
        <v/>
      </c>
      <c r="AN148">
        <f>((AM148/$B$7+T147*AS147/2-T148*MAX(0.1,MIN(0.3,0.3-0.09*(AR147-36.8)))/2)+AR147*(1-AS147/2))/(1-MAX(0.1,MIN(0.3,0.3-0.09*(AR147-36.8)))/2)</f>
        <v/>
      </c>
      <c r="AO148">
        <f>((AM148/$B$7+T147*AS147/2-T148*MAX(0.1,MIN(0.3,0.3-0.09*(AN148-36.8)))/2)+AR147*(1-AS147/2))/(1-MAX(0.1,MIN(0.3,0.3-0.09*(AN148-36.8)))/2)</f>
        <v/>
      </c>
      <c r="AP148">
        <f>((AM148/$B$7+T147*AS147/2-T148*MAX(0.1,MIN(0.3,0.3-0.09*(AO148-36.8)))/2)+AR147*(1-AS147/2))/(1-MAX(0.1,MIN(0.3,0.3-0.09*(AO148-36.8)))/2)</f>
        <v/>
      </c>
      <c r="AQ148">
        <f>((AM148/$B$7+T147*AS147/2-T148*MAX(0.1,MIN(0.3,0.3-0.09*(AP148-36.8)))/2)+AR147*(1-AS147/2))/(1-MAX(0.1,MIN(0.3,0.3-0.09*(AP148-36.8)))/2)</f>
        <v/>
      </c>
      <c r="AR148">
        <f>((AM148/$B$7+T147*AS147/2-T148*MAX(0.1,MIN(0.3,0.3-0.09*(AQ148-36.8)))/2)+AR147*(1-AS147/2))/(1-MAX(0.1,MIN(0.3,0.3-0.09*(AQ148-36.8)))/2)</f>
        <v/>
      </c>
      <c r="AS148">
        <f>MAX(0.1,MIN(0.3,0.3-0.09*(AR148-36.8)))</f>
        <v/>
      </c>
      <c r="AT148">
        <f>AT147+(2*AR148-1.962*AT147-1.31)/9</f>
        <v/>
      </c>
      <c r="AU148">
        <f>AU147+AG148+K148</f>
        <v/>
      </c>
      <c r="AV148">
        <f>AU148*2.67*$B$6/1.8/60</f>
        <v/>
      </c>
      <c r="AW148">
        <f>IF(AT148&gt;=$B$36,1,0)</f>
        <v/>
      </c>
      <c r="AX148">
        <f>IF(AV148&gt;=$B$21,1,0)</f>
        <v/>
      </c>
    </row>
    <row r="149">
      <c r="A149" t="n">
        <v>76</v>
      </c>
      <c r="B149">
        <f>MATCH(A149-1,$D$61:$D$68,1)</f>
        <v/>
      </c>
      <c r="C149">
        <f>INDEX($G$61:$G$68,B149)</f>
        <v/>
      </c>
      <c r="D149">
        <f>INDEX($L$61:$L$68,B149)</f>
        <v/>
      </c>
      <c r="E149">
        <f>INDEX($M$61:$M$68,B149)</f>
        <v/>
      </c>
      <c r="F149">
        <f>INDEX($N$61:$N$68,B149)</f>
        <v/>
      </c>
      <c r="G149">
        <f>INDEX($AA$61:$AA$68,B149)</f>
        <v/>
      </c>
      <c r="H149">
        <f>INDEX($X$61:$X$68,B149)</f>
        <v/>
      </c>
      <c r="I149">
        <f>INDEX($AF$61:$AF$68,B149)</f>
        <v/>
      </c>
      <c r="J149">
        <f>INDEX($AC$61:$AC$68,B149)</f>
        <v/>
      </c>
      <c r="K149">
        <f>INDEX($AD$61:$AD$68,B149)</f>
        <v/>
      </c>
      <c r="L149">
        <f>INDEX($AG$61:$AG$68,B149)</f>
        <v/>
      </c>
      <c r="M149">
        <f>INDEX($AH$61:$AH$68,B149)</f>
        <v/>
      </c>
      <c r="N149">
        <f>INDEX($AI$61:$AI$68,B149)</f>
        <v/>
      </c>
      <c r="O149">
        <f>O148*$B$26+L149*(1-$B$26)</f>
        <v/>
      </c>
      <c r="P149">
        <f>$B$7*(O149-O148)*(1-AS148)</f>
        <v/>
      </c>
      <c r="Q149">
        <f>M149+0.51274*AT148</f>
        <v/>
      </c>
      <c r="R149">
        <f>N149+0.616*AT148</f>
        <v/>
      </c>
      <c r="S149">
        <f>IF($B$13&gt;=0.6,Q149,IF($B$13&lt;=0.2,R149,R149+2.5*(Q149-R149)*($B$13-0.2)))</f>
        <v/>
      </c>
      <c r="T149">
        <f>IF(A149=1,S149,T148*$B$27+S149*(1-$B$27))</f>
        <v/>
      </c>
      <c r="U149">
        <f>0.6105*EXP(17.27*T149/(T149+237.3))</f>
        <v/>
      </c>
      <c r="V149">
        <f>($B$14*(I149*C149+IF(ABS((D149+0.1)-D149)&lt;0.000000001,4*$B$19*$B$20*(D149+273)^3,$B$19*$B$20*(((D149+0.1)+273)^4-(D149+273)^4)/((D149+0.1)-D149))*D149)+T149/H149)/($B$14*(I149+IF(ABS((D149+0.1)-D149)&lt;0.000000001,4*$B$19*$B$20*(D149+273)^3,$B$19*$B$20*(((D149+0.1)+273)^4-(D149+273)^4)/((D149+0.1)-D149)))+1/H149)</f>
        <v/>
      </c>
      <c r="W149">
        <f>($B$14*(I149*C149+IF(ABS(V149-D149)&lt;0.000000001,4*$B$19*$B$20*(D149+273)^3,$B$19*$B$20*((V149+273)^4-(D149+273)^4)/(V149-D149))*D149)+T149/H149)/($B$14*(I149+IF(ABS(V149-D149)&lt;0.000000001,4*$B$19*$B$20*(D149+273)^3,$B$19*$B$20*((V149+273)^4-(D149+273)^4)/(V149-D149)))+1/H149)</f>
        <v/>
      </c>
      <c r="X149">
        <f>($B$14*(I149*C149+IF(ABS(W149-D149)&lt;0.000000001,4*$B$19*$B$20*(D149+273)^3,$B$19*$B$20*((W149+273)^4-(D149+273)^4)/(W149-D149))*D149)+T149/H149)/($B$14*(I149+IF(ABS(W149-D149)&lt;0.000000001,4*$B$19*$B$20*(D149+273)^3,$B$19*$B$20*((W149+273)^4-(D149+273)^4)/(W149-D149)))+1/H149)</f>
        <v/>
      </c>
      <c r="Y149">
        <f>($B$14*(I149*C149+IF(ABS(X149-D149)&lt;0.000000001,4*$B$19*$B$20*(D149+273)^3,$B$19*$B$20*((X149+273)^4-(D149+273)^4)/(X149-D149))*D149)+T149/H149)/($B$14*(I149+IF(ABS(X149-D149)&lt;0.000000001,4*$B$19*$B$20*(D149+273)^3,$B$19*$B$20*((X149+273)^4-(D149+273)^4)/(X149-D149)))+1/H149)</f>
        <v/>
      </c>
      <c r="Z149">
        <f>IF(ABS(Y149-D149)&lt;0.000000001,4*$B$19*$B$20*(D149+273)^3,$B$19*$B$20*((Y149+273)^4-(D149+273)^4)/(Y149-D149))</f>
        <v/>
      </c>
      <c r="AA149">
        <f>$B$14*I149*(Y149-C149)</f>
        <v/>
      </c>
      <c r="AB149">
        <f>$B$14*Z149*(Y149-D149)</f>
        <v/>
      </c>
      <c r="AC149">
        <f>IF((U149-E149)/G149=0,0.001,(U149-E149)/G149)</f>
        <v/>
      </c>
      <c r="AD149">
        <f>F149-P149-J149-K149-AA149-AB149</f>
        <v/>
      </c>
      <c r="AE149">
        <f>AD149/AC149</f>
        <v/>
      </c>
      <c r="AF149">
        <f>IF(AD149&lt;=0,0,IF(AC149&lt;=0,$B$11,IF(AE149&gt;=1.7,$B$11,MIN(AD149/MAX(0.05,IF(AE149&gt;1,(2-AE149)^2/2,1-AE149^2/2)),$B$11))))</f>
        <v/>
      </c>
      <c r="AG149">
        <f>AG148*$B$28+AF149*(1-$B$28)</f>
        <v/>
      </c>
      <c r="AH149">
        <f>IF(AND(AD149&gt;0,AC149&lt;=0),0,AC149)</f>
        <v/>
      </c>
      <c r="AI149">
        <f>AH149/MAX(AG149,0.000001)</f>
        <v/>
      </c>
      <c r="AJ149">
        <f>MIN(IF(AI149&gt;=0.5,-AI149+SQRT(AI149^2+2),1),$B$12)</f>
        <v/>
      </c>
      <c r="AK149">
        <f>IF(AG149&lt;=0,0,AJ149*AH149)</f>
        <v/>
      </c>
      <c r="AL149">
        <f>IF(AD149&lt;=0,0,AD149)</f>
        <v/>
      </c>
      <c r="AM149">
        <f>AL149-AK149+P149</f>
        <v/>
      </c>
      <c r="AN149">
        <f>((AM149/$B$7+T148*AS148/2-T149*MAX(0.1,MIN(0.3,0.3-0.09*(AR148-36.8)))/2)+AR148*(1-AS148/2))/(1-MAX(0.1,MIN(0.3,0.3-0.09*(AR148-36.8)))/2)</f>
        <v/>
      </c>
      <c r="AO149">
        <f>((AM149/$B$7+T148*AS148/2-T149*MAX(0.1,MIN(0.3,0.3-0.09*(AN149-36.8)))/2)+AR148*(1-AS148/2))/(1-MAX(0.1,MIN(0.3,0.3-0.09*(AN149-36.8)))/2)</f>
        <v/>
      </c>
      <c r="AP149">
        <f>((AM149/$B$7+T148*AS148/2-T149*MAX(0.1,MIN(0.3,0.3-0.09*(AO149-36.8)))/2)+AR148*(1-AS148/2))/(1-MAX(0.1,MIN(0.3,0.3-0.09*(AO149-36.8)))/2)</f>
        <v/>
      </c>
      <c r="AQ149">
        <f>((AM149/$B$7+T148*AS148/2-T149*MAX(0.1,MIN(0.3,0.3-0.09*(AP149-36.8)))/2)+AR148*(1-AS148/2))/(1-MAX(0.1,MIN(0.3,0.3-0.09*(AP149-36.8)))/2)</f>
        <v/>
      </c>
      <c r="AR149">
        <f>((AM149/$B$7+T148*AS148/2-T149*MAX(0.1,MIN(0.3,0.3-0.09*(AQ149-36.8)))/2)+AR148*(1-AS148/2))/(1-MAX(0.1,MIN(0.3,0.3-0.09*(AQ149-36.8)))/2)</f>
        <v/>
      </c>
      <c r="AS149">
        <f>MAX(0.1,MIN(0.3,0.3-0.09*(AR149-36.8)))</f>
        <v/>
      </c>
      <c r="AT149">
        <f>AT148+(2*AR149-1.962*AT148-1.31)/9</f>
        <v/>
      </c>
      <c r="AU149">
        <f>AU148+AG149+K149</f>
        <v/>
      </c>
      <c r="AV149">
        <f>AU149*2.67*$B$6/1.8/60</f>
        <v/>
      </c>
      <c r="AW149">
        <f>IF(AT149&gt;=$B$36,1,0)</f>
        <v/>
      </c>
      <c r="AX149">
        <f>IF(AV149&gt;=$B$21,1,0)</f>
        <v/>
      </c>
    </row>
    <row r="150">
      <c r="A150" t="n">
        <v>77</v>
      </c>
      <c r="B150">
        <f>MATCH(A150-1,$D$61:$D$68,1)</f>
        <v/>
      </c>
      <c r="C150">
        <f>INDEX($G$61:$G$68,B150)</f>
        <v/>
      </c>
      <c r="D150">
        <f>INDEX($L$61:$L$68,B150)</f>
        <v/>
      </c>
      <c r="E150">
        <f>INDEX($M$61:$M$68,B150)</f>
        <v/>
      </c>
      <c r="F150">
        <f>INDEX($N$61:$N$68,B150)</f>
        <v/>
      </c>
      <c r="G150">
        <f>INDEX($AA$61:$AA$68,B150)</f>
        <v/>
      </c>
      <c r="H150">
        <f>INDEX($X$61:$X$68,B150)</f>
        <v/>
      </c>
      <c r="I150">
        <f>INDEX($AF$61:$AF$68,B150)</f>
        <v/>
      </c>
      <c r="J150">
        <f>INDEX($AC$61:$AC$68,B150)</f>
        <v/>
      </c>
      <c r="K150">
        <f>INDEX($AD$61:$AD$68,B150)</f>
        <v/>
      </c>
      <c r="L150">
        <f>INDEX($AG$61:$AG$68,B150)</f>
        <v/>
      </c>
      <c r="M150">
        <f>INDEX($AH$61:$AH$68,B150)</f>
        <v/>
      </c>
      <c r="N150">
        <f>INDEX($AI$61:$AI$68,B150)</f>
        <v/>
      </c>
      <c r="O150">
        <f>O149*$B$26+L150*(1-$B$26)</f>
        <v/>
      </c>
      <c r="P150">
        <f>$B$7*(O150-O149)*(1-AS149)</f>
        <v/>
      </c>
      <c r="Q150">
        <f>M150+0.51274*AT149</f>
        <v/>
      </c>
      <c r="R150">
        <f>N150+0.616*AT149</f>
        <v/>
      </c>
      <c r="S150">
        <f>IF($B$13&gt;=0.6,Q150,IF($B$13&lt;=0.2,R150,R150+2.5*(Q150-R150)*($B$13-0.2)))</f>
        <v/>
      </c>
      <c r="T150">
        <f>IF(A150=1,S150,T149*$B$27+S150*(1-$B$27))</f>
        <v/>
      </c>
      <c r="U150">
        <f>0.6105*EXP(17.27*T150/(T150+237.3))</f>
        <v/>
      </c>
      <c r="V150">
        <f>($B$14*(I150*C150+IF(ABS((D150+0.1)-D150)&lt;0.000000001,4*$B$19*$B$20*(D150+273)^3,$B$19*$B$20*(((D150+0.1)+273)^4-(D150+273)^4)/((D150+0.1)-D150))*D150)+T150/H150)/($B$14*(I150+IF(ABS((D150+0.1)-D150)&lt;0.000000001,4*$B$19*$B$20*(D150+273)^3,$B$19*$B$20*(((D150+0.1)+273)^4-(D150+273)^4)/((D150+0.1)-D150)))+1/H150)</f>
        <v/>
      </c>
      <c r="W150">
        <f>($B$14*(I150*C150+IF(ABS(V150-D150)&lt;0.000000001,4*$B$19*$B$20*(D150+273)^3,$B$19*$B$20*((V150+273)^4-(D150+273)^4)/(V150-D150))*D150)+T150/H150)/($B$14*(I150+IF(ABS(V150-D150)&lt;0.000000001,4*$B$19*$B$20*(D150+273)^3,$B$19*$B$20*((V150+273)^4-(D150+273)^4)/(V150-D150)))+1/H150)</f>
        <v/>
      </c>
      <c r="X150">
        <f>($B$14*(I150*C150+IF(ABS(W150-D150)&lt;0.000000001,4*$B$19*$B$20*(D150+273)^3,$B$19*$B$20*((W150+273)^4-(D150+273)^4)/(W150-D150))*D150)+T150/H150)/($B$14*(I150+IF(ABS(W150-D150)&lt;0.000000001,4*$B$19*$B$20*(D150+273)^3,$B$19*$B$20*((W150+273)^4-(D150+273)^4)/(W150-D150)))+1/H150)</f>
        <v/>
      </c>
      <c r="Y150">
        <f>($B$14*(I150*C150+IF(ABS(X150-D150)&lt;0.000000001,4*$B$19*$B$20*(D150+273)^3,$B$19*$B$20*((X150+273)^4-(D150+273)^4)/(X150-D150))*D150)+T150/H150)/($B$14*(I150+IF(ABS(X150-D150)&lt;0.000000001,4*$B$19*$B$20*(D150+273)^3,$B$19*$B$20*((X150+273)^4-(D150+273)^4)/(X150-D150)))+1/H150)</f>
        <v/>
      </c>
      <c r="Z150">
        <f>IF(ABS(Y150-D150)&lt;0.000000001,4*$B$19*$B$20*(D150+273)^3,$B$19*$B$20*((Y150+273)^4-(D150+273)^4)/(Y150-D150))</f>
        <v/>
      </c>
      <c r="AA150">
        <f>$B$14*I150*(Y150-C150)</f>
        <v/>
      </c>
      <c r="AB150">
        <f>$B$14*Z150*(Y150-D150)</f>
        <v/>
      </c>
      <c r="AC150">
        <f>IF((U150-E150)/G150=0,0.001,(U150-E150)/G150)</f>
        <v/>
      </c>
      <c r="AD150">
        <f>F150-P150-J150-K150-AA150-AB150</f>
        <v/>
      </c>
      <c r="AE150">
        <f>AD150/AC150</f>
        <v/>
      </c>
      <c r="AF150">
        <f>IF(AD150&lt;=0,0,IF(AC150&lt;=0,$B$11,IF(AE150&gt;=1.7,$B$11,MIN(AD150/MAX(0.05,IF(AE150&gt;1,(2-AE150)^2/2,1-AE150^2/2)),$B$11))))</f>
        <v/>
      </c>
      <c r="AG150">
        <f>AG149*$B$28+AF150*(1-$B$28)</f>
        <v/>
      </c>
      <c r="AH150">
        <f>IF(AND(AD150&gt;0,AC150&lt;=0),0,AC150)</f>
        <v/>
      </c>
      <c r="AI150">
        <f>AH150/MAX(AG150,0.000001)</f>
        <v/>
      </c>
      <c r="AJ150">
        <f>MIN(IF(AI150&gt;=0.5,-AI150+SQRT(AI150^2+2),1),$B$12)</f>
        <v/>
      </c>
      <c r="AK150">
        <f>IF(AG150&lt;=0,0,AJ150*AH150)</f>
        <v/>
      </c>
      <c r="AL150">
        <f>IF(AD150&lt;=0,0,AD150)</f>
        <v/>
      </c>
      <c r="AM150">
        <f>AL150-AK150+P150</f>
        <v/>
      </c>
      <c r="AN150">
        <f>((AM150/$B$7+T149*AS149/2-T150*MAX(0.1,MIN(0.3,0.3-0.09*(AR149-36.8)))/2)+AR149*(1-AS149/2))/(1-MAX(0.1,MIN(0.3,0.3-0.09*(AR149-36.8)))/2)</f>
        <v/>
      </c>
      <c r="AO150">
        <f>((AM150/$B$7+T149*AS149/2-T150*MAX(0.1,MIN(0.3,0.3-0.09*(AN150-36.8)))/2)+AR149*(1-AS149/2))/(1-MAX(0.1,MIN(0.3,0.3-0.09*(AN150-36.8)))/2)</f>
        <v/>
      </c>
      <c r="AP150">
        <f>((AM150/$B$7+T149*AS149/2-T150*MAX(0.1,MIN(0.3,0.3-0.09*(AO150-36.8)))/2)+AR149*(1-AS149/2))/(1-MAX(0.1,MIN(0.3,0.3-0.09*(AO150-36.8)))/2)</f>
        <v/>
      </c>
      <c r="AQ150">
        <f>((AM150/$B$7+T149*AS149/2-T150*MAX(0.1,MIN(0.3,0.3-0.09*(AP150-36.8)))/2)+AR149*(1-AS149/2))/(1-MAX(0.1,MIN(0.3,0.3-0.09*(AP150-36.8)))/2)</f>
        <v/>
      </c>
      <c r="AR150">
        <f>((AM150/$B$7+T149*AS149/2-T150*MAX(0.1,MIN(0.3,0.3-0.09*(AQ150-36.8)))/2)+AR149*(1-AS149/2))/(1-MAX(0.1,MIN(0.3,0.3-0.09*(AQ150-36.8)))/2)</f>
        <v/>
      </c>
      <c r="AS150">
        <f>MAX(0.1,MIN(0.3,0.3-0.09*(AR150-36.8)))</f>
        <v/>
      </c>
      <c r="AT150">
        <f>AT149+(2*AR150-1.962*AT149-1.31)/9</f>
        <v/>
      </c>
      <c r="AU150">
        <f>AU149+AG150+K150</f>
        <v/>
      </c>
      <c r="AV150">
        <f>AU150*2.67*$B$6/1.8/60</f>
        <v/>
      </c>
      <c r="AW150">
        <f>IF(AT150&gt;=$B$36,1,0)</f>
        <v/>
      </c>
      <c r="AX150">
        <f>IF(AV150&gt;=$B$21,1,0)</f>
        <v/>
      </c>
    </row>
    <row r="151">
      <c r="A151" t="n">
        <v>78</v>
      </c>
      <c r="B151">
        <f>MATCH(A151-1,$D$61:$D$68,1)</f>
        <v/>
      </c>
      <c r="C151">
        <f>INDEX($G$61:$G$68,B151)</f>
        <v/>
      </c>
      <c r="D151">
        <f>INDEX($L$61:$L$68,B151)</f>
        <v/>
      </c>
      <c r="E151">
        <f>INDEX($M$61:$M$68,B151)</f>
        <v/>
      </c>
      <c r="F151">
        <f>INDEX($N$61:$N$68,B151)</f>
        <v/>
      </c>
      <c r="G151">
        <f>INDEX($AA$61:$AA$68,B151)</f>
        <v/>
      </c>
      <c r="H151">
        <f>INDEX($X$61:$X$68,B151)</f>
        <v/>
      </c>
      <c r="I151">
        <f>INDEX($AF$61:$AF$68,B151)</f>
        <v/>
      </c>
      <c r="J151">
        <f>INDEX($AC$61:$AC$68,B151)</f>
        <v/>
      </c>
      <c r="K151">
        <f>INDEX($AD$61:$AD$68,B151)</f>
        <v/>
      </c>
      <c r="L151">
        <f>INDEX($AG$61:$AG$68,B151)</f>
        <v/>
      </c>
      <c r="M151">
        <f>INDEX($AH$61:$AH$68,B151)</f>
        <v/>
      </c>
      <c r="N151">
        <f>INDEX($AI$61:$AI$68,B151)</f>
        <v/>
      </c>
      <c r="O151">
        <f>O150*$B$26+L151*(1-$B$26)</f>
        <v/>
      </c>
      <c r="P151">
        <f>$B$7*(O151-O150)*(1-AS150)</f>
        <v/>
      </c>
      <c r="Q151">
        <f>M151+0.51274*AT150</f>
        <v/>
      </c>
      <c r="R151">
        <f>N151+0.616*AT150</f>
        <v/>
      </c>
      <c r="S151">
        <f>IF($B$13&gt;=0.6,Q151,IF($B$13&lt;=0.2,R151,R151+2.5*(Q151-R151)*($B$13-0.2)))</f>
        <v/>
      </c>
      <c r="T151">
        <f>IF(A151=1,S151,T150*$B$27+S151*(1-$B$27))</f>
        <v/>
      </c>
      <c r="U151">
        <f>0.6105*EXP(17.27*T151/(T151+237.3))</f>
        <v/>
      </c>
      <c r="V151">
        <f>($B$14*(I151*C151+IF(ABS((D151+0.1)-D151)&lt;0.000000001,4*$B$19*$B$20*(D151+273)^3,$B$19*$B$20*(((D151+0.1)+273)^4-(D151+273)^4)/((D151+0.1)-D151))*D151)+T151/H151)/($B$14*(I151+IF(ABS((D151+0.1)-D151)&lt;0.000000001,4*$B$19*$B$20*(D151+273)^3,$B$19*$B$20*(((D151+0.1)+273)^4-(D151+273)^4)/((D151+0.1)-D151)))+1/H151)</f>
        <v/>
      </c>
      <c r="W151">
        <f>($B$14*(I151*C151+IF(ABS(V151-D151)&lt;0.000000001,4*$B$19*$B$20*(D151+273)^3,$B$19*$B$20*((V151+273)^4-(D151+273)^4)/(V151-D151))*D151)+T151/H151)/($B$14*(I151+IF(ABS(V151-D151)&lt;0.000000001,4*$B$19*$B$20*(D151+273)^3,$B$19*$B$20*((V151+273)^4-(D151+273)^4)/(V151-D151)))+1/H151)</f>
        <v/>
      </c>
      <c r="X151">
        <f>($B$14*(I151*C151+IF(ABS(W151-D151)&lt;0.000000001,4*$B$19*$B$20*(D151+273)^3,$B$19*$B$20*((W151+273)^4-(D151+273)^4)/(W151-D151))*D151)+T151/H151)/($B$14*(I151+IF(ABS(W151-D151)&lt;0.000000001,4*$B$19*$B$20*(D151+273)^3,$B$19*$B$20*((W151+273)^4-(D151+273)^4)/(W151-D151)))+1/H151)</f>
        <v/>
      </c>
      <c r="Y151">
        <f>($B$14*(I151*C151+IF(ABS(X151-D151)&lt;0.000000001,4*$B$19*$B$20*(D151+273)^3,$B$19*$B$20*((X151+273)^4-(D151+273)^4)/(X151-D151))*D151)+T151/H151)/($B$14*(I151+IF(ABS(X151-D151)&lt;0.000000001,4*$B$19*$B$20*(D151+273)^3,$B$19*$B$20*((X151+273)^4-(D151+273)^4)/(X151-D151)))+1/H151)</f>
        <v/>
      </c>
      <c r="Z151">
        <f>IF(ABS(Y151-D151)&lt;0.000000001,4*$B$19*$B$20*(D151+273)^3,$B$19*$B$20*((Y151+273)^4-(D151+273)^4)/(Y151-D151))</f>
        <v/>
      </c>
      <c r="AA151">
        <f>$B$14*I151*(Y151-C151)</f>
        <v/>
      </c>
      <c r="AB151">
        <f>$B$14*Z151*(Y151-D151)</f>
        <v/>
      </c>
      <c r="AC151">
        <f>IF((U151-E151)/G151=0,0.001,(U151-E151)/G151)</f>
        <v/>
      </c>
      <c r="AD151">
        <f>F151-P151-J151-K151-AA151-AB151</f>
        <v/>
      </c>
      <c r="AE151">
        <f>AD151/AC151</f>
        <v/>
      </c>
      <c r="AF151">
        <f>IF(AD151&lt;=0,0,IF(AC151&lt;=0,$B$11,IF(AE151&gt;=1.7,$B$11,MIN(AD151/MAX(0.05,IF(AE151&gt;1,(2-AE151)^2/2,1-AE151^2/2)),$B$11))))</f>
        <v/>
      </c>
      <c r="AG151">
        <f>AG150*$B$28+AF151*(1-$B$28)</f>
        <v/>
      </c>
      <c r="AH151">
        <f>IF(AND(AD151&gt;0,AC151&lt;=0),0,AC151)</f>
        <v/>
      </c>
      <c r="AI151">
        <f>AH151/MAX(AG151,0.000001)</f>
        <v/>
      </c>
      <c r="AJ151">
        <f>MIN(IF(AI151&gt;=0.5,-AI151+SQRT(AI151^2+2),1),$B$12)</f>
        <v/>
      </c>
      <c r="AK151">
        <f>IF(AG151&lt;=0,0,AJ151*AH151)</f>
        <v/>
      </c>
      <c r="AL151">
        <f>IF(AD151&lt;=0,0,AD151)</f>
        <v/>
      </c>
      <c r="AM151">
        <f>AL151-AK151+P151</f>
        <v/>
      </c>
      <c r="AN151">
        <f>((AM151/$B$7+T150*AS150/2-T151*MAX(0.1,MIN(0.3,0.3-0.09*(AR150-36.8)))/2)+AR150*(1-AS150/2))/(1-MAX(0.1,MIN(0.3,0.3-0.09*(AR150-36.8)))/2)</f>
        <v/>
      </c>
      <c r="AO151">
        <f>((AM151/$B$7+T150*AS150/2-T151*MAX(0.1,MIN(0.3,0.3-0.09*(AN151-36.8)))/2)+AR150*(1-AS150/2))/(1-MAX(0.1,MIN(0.3,0.3-0.09*(AN151-36.8)))/2)</f>
        <v/>
      </c>
      <c r="AP151">
        <f>((AM151/$B$7+T150*AS150/2-T151*MAX(0.1,MIN(0.3,0.3-0.09*(AO151-36.8)))/2)+AR150*(1-AS150/2))/(1-MAX(0.1,MIN(0.3,0.3-0.09*(AO151-36.8)))/2)</f>
        <v/>
      </c>
      <c r="AQ151">
        <f>((AM151/$B$7+T150*AS150/2-T151*MAX(0.1,MIN(0.3,0.3-0.09*(AP151-36.8)))/2)+AR150*(1-AS150/2))/(1-MAX(0.1,MIN(0.3,0.3-0.09*(AP151-36.8)))/2)</f>
        <v/>
      </c>
      <c r="AR151">
        <f>((AM151/$B$7+T150*AS150/2-T151*MAX(0.1,MIN(0.3,0.3-0.09*(AQ151-36.8)))/2)+AR150*(1-AS150/2))/(1-MAX(0.1,MIN(0.3,0.3-0.09*(AQ151-36.8)))/2)</f>
        <v/>
      </c>
      <c r="AS151">
        <f>MAX(0.1,MIN(0.3,0.3-0.09*(AR151-36.8)))</f>
        <v/>
      </c>
      <c r="AT151">
        <f>AT150+(2*AR151-1.962*AT150-1.31)/9</f>
        <v/>
      </c>
      <c r="AU151">
        <f>AU150+AG151+K151</f>
        <v/>
      </c>
      <c r="AV151">
        <f>AU151*2.67*$B$6/1.8/60</f>
        <v/>
      </c>
      <c r="AW151">
        <f>IF(AT151&gt;=$B$36,1,0)</f>
        <v/>
      </c>
      <c r="AX151">
        <f>IF(AV151&gt;=$B$21,1,0)</f>
        <v/>
      </c>
    </row>
    <row r="152">
      <c r="A152" t="n">
        <v>79</v>
      </c>
      <c r="B152">
        <f>MATCH(A152-1,$D$61:$D$68,1)</f>
        <v/>
      </c>
      <c r="C152">
        <f>INDEX($G$61:$G$68,B152)</f>
        <v/>
      </c>
      <c r="D152">
        <f>INDEX($L$61:$L$68,B152)</f>
        <v/>
      </c>
      <c r="E152">
        <f>INDEX($M$61:$M$68,B152)</f>
        <v/>
      </c>
      <c r="F152">
        <f>INDEX($N$61:$N$68,B152)</f>
        <v/>
      </c>
      <c r="G152">
        <f>INDEX($AA$61:$AA$68,B152)</f>
        <v/>
      </c>
      <c r="H152">
        <f>INDEX($X$61:$X$68,B152)</f>
        <v/>
      </c>
      <c r="I152">
        <f>INDEX($AF$61:$AF$68,B152)</f>
        <v/>
      </c>
      <c r="J152">
        <f>INDEX($AC$61:$AC$68,B152)</f>
        <v/>
      </c>
      <c r="K152">
        <f>INDEX($AD$61:$AD$68,B152)</f>
        <v/>
      </c>
      <c r="L152">
        <f>INDEX($AG$61:$AG$68,B152)</f>
        <v/>
      </c>
      <c r="M152">
        <f>INDEX($AH$61:$AH$68,B152)</f>
        <v/>
      </c>
      <c r="N152">
        <f>INDEX($AI$61:$AI$68,B152)</f>
        <v/>
      </c>
      <c r="O152">
        <f>O151*$B$26+L152*(1-$B$26)</f>
        <v/>
      </c>
      <c r="P152">
        <f>$B$7*(O152-O151)*(1-AS151)</f>
        <v/>
      </c>
      <c r="Q152">
        <f>M152+0.51274*AT151</f>
        <v/>
      </c>
      <c r="R152">
        <f>N152+0.616*AT151</f>
        <v/>
      </c>
      <c r="S152">
        <f>IF($B$13&gt;=0.6,Q152,IF($B$13&lt;=0.2,R152,R152+2.5*(Q152-R152)*($B$13-0.2)))</f>
        <v/>
      </c>
      <c r="T152">
        <f>IF(A152=1,S152,T151*$B$27+S152*(1-$B$27))</f>
        <v/>
      </c>
      <c r="U152">
        <f>0.6105*EXP(17.27*T152/(T152+237.3))</f>
        <v/>
      </c>
      <c r="V152">
        <f>($B$14*(I152*C152+IF(ABS((D152+0.1)-D152)&lt;0.000000001,4*$B$19*$B$20*(D152+273)^3,$B$19*$B$20*(((D152+0.1)+273)^4-(D152+273)^4)/((D152+0.1)-D152))*D152)+T152/H152)/($B$14*(I152+IF(ABS((D152+0.1)-D152)&lt;0.000000001,4*$B$19*$B$20*(D152+273)^3,$B$19*$B$20*(((D152+0.1)+273)^4-(D152+273)^4)/((D152+0.1)-D152)))+1/H152)</f>
        <v/>
      </c>
      <c r="W152">
        <f>($B$14*(I152*C152+IF(ABS(V152-D152)&lt;0.000000001,4*$B$19*$B$20*(D152+273)^3,$B$19*$B$20*((V152+273)^4-(D152+273)^4)/(V152-D152))*D152)+T152/H152)/($B$14*(I152+IF(ABS(V152-D152)&lt;0.000000001,4*$B$19*$B$20*(D152+273)^3,$B$19*$B$20*((V152+273)^4-(D152+273)^4)/(V152-D152)))+1/H152)</f>
        <v/>
      </c>
      <c r="X152">
        <f>($B$14*(I152*C152+IF(ABS(W152-D152)&lt;0.000000001,4*$B$19*$B$20*(D152+273)^3,$B$19*$B$20*((W152+273)^4-(D152+273)^4)/(W152-D152))*D152)+T152/H152)/($B$14*(I152+IF(ABS(W152-D152)&lt;0.000000001,4*$B$19*$B$20*(D152+273)^3,$B$19*$B$20*((W152+273)^4-(D152+273)^4)/(W152-D152)))+1/H152)</f>
        <v/>
      </c>
      <c r="Y152">
        <f>($B$14*(I152*C152+IF(ABS(X152-D152)&lt;0.000000001,4*$B$19*$B$20*(D152+273)^3,$B$19*$B$20*((X152+273)^4-(D152+273)^4)/(X152-D152))*D152)+T152/H152)/($B$14*(I152+IF(ABS(X152-D152)&lt;0.000000001,4*$B$19*$B$20*(D152+273)^3,$B$19*$B$20*((X152+273)^4-(D152+273)^4)/(X152-D152)))+1/H152)</f>
        <v/>
      </c>
      <c r="Z152">
        <f>IF(ABS(Y152-D152)&lt;0.000000001,4*$B$19*$B$20*(D152+273)^3,$B$19*$B$20*((Y152+273)^4-(D152+273)^4)/(Y152-D152))</f>
        <v/>
      </c>
      <c r="AA152">
        <f>$B$14*I152*(Y152-C152)</f>
        <v/>
      </c>
      <c r="AB152">
        <f>$B$14*Z152*(Y152-D152)</f>
        <v/>
      </c>
      <c r="AC152">
        <f>IF((U152-E152)/G152=0,0.001,(U152-E152)/G152)</f>
        <v/>
      </c>
      <c r="AD152">
        <f>F152-P152-J152-K152-AA152-AB152</f>
        <v/>
      </c>
      <c r="AE152">
        <f>AD152/AC152</f>
        <v/>
      </c>
      <c r="AF152">
        <f>IF(AD152&lt;=0,0,IF(AC152&lt;=0,$B$11,IF(AE152&gt;=1.7,$B$11,MIN(AD152/MAX(0.05,IF(AE152&gt;1,(2-AE152)^2/2,1-AE152^2/2)),$B$11))))</f>
        <v/>
      </c>
      <c r="AG152">
        <f>AG151*$B$28+AF152*(1-$B$28)</f>
        <v/>
      </c>
      <c r="AH152">
        <f>IF(AND(AD152&gt;0,AC152&lt;=0),0,AC152)</f>
        <v/>
      </c>
      <c r="AI152">
        <f>AH152/MAX(AG152,0.000001)</f>
        <v/>
      </c>
      <c r="AJ152">
        <f>MIN(IF(AI152&gt;=0.5,-AI152+SQRT(AI152^2+2),1),$B$12)</f>
        <v/>
      </c>
      <c r="AK152">
        <f>IF(AG152&lt;=0,0,AJ152*AH152)</f>
        <v/>
      </c>
      <c r="AL152">
        <f>IF(AD152&lt;=0,0,AD152)</f>
        <v/>
      </c>
      <c r="AM152">
        <f>AL152-AK152+P152</f>
        <v/>
      </c>
      <c r="AN152">
        <f>((AM152/$B$7+T151*AS151/2-T152*MAX(0.1,MIN(0.3,0.3-0.09*(AR151-36.8)))/2)+AR151*(1-AS151/2))/(1-MAX(0.1,MIN(0.3,0.3-0.09*(AR151-36.8)))/2)</f>
        <v/>
      </c>
      <c r="AO152">
        <f>((AM152/$B$7+T151*AS151/2-T152*MAX(0.1,MIN(0.3,0.3-0.09*(AN152-36.8)))/2)+AR151*(1-AS151/2))/(1-MAX(0.1,MIN(0.3,0.3-0.09*(AN152-36.8)))/2)</f>
        <v/>
      </c>
      <c r="AP152">
        <f>((AM152/$B$7+T151*AS151/2-T152*MAX(0.1,MIN(0.3,0.3-0.09*(AO152-36.8)))/2)+AR151*(1-AS151/2))/(1-MAX(0.1,MIN(0.3,0.3-0.09*(AO152-36.8)))/2)</f>
        <v/>
      </c>
      <c r="AQ152">
        <f>((AM152/$B$7+T151*AS151/2-T152*MAX(0.1,MIN(0.3,0.3-0.09*(AP152-36.8)))/2)+AR151*(1-AS151/2))/(1-MAX(0.1,MIN(0.3,0.3-0.09*(AP152-36.8)))/2)</f>
        <v/>
      </c>
      <c r="AR152">
        <f>((AM152/$B$7+T151*AS151/2-T152*MAX(0.1,MIN(0.3,0.3-0.09*(AQ152-36.8)))/2)+AR151*(1-AS151/2))/(1-MAX(0.1,MIN(0.3,0.3-0.09*(AQ152-36.8)))/2)</f>
        <v/>
      </c>
      <c r="AS152">
        <f>MAX(0.1,MIN(0.3,0.3-0.09*(AR152-36.8)))</f>
        <v/>
      </c>
      <c r="AT152">
        <f>AT151+(2*AR152-1.962*AT151-1.31)/9</f>
        <v/>
      </c>
      <c r="AU152">
        <f>AU151+AG152+K152</f>
        <v/>
      </c>
      <c r="AV152">
        <f>AU152*2.67*$B$6/1.8/60</f>
        <v/>
      </c>
      <c r="AW152">
        <f>IF(AT152&gt;=$B$36,1,0)</f>
        <v/>
      </c>
      <c r="AX152">
        <f>IF(AV152&gt;=$B$21,1,0)</f>
        <v/>
      </c>
    </row>
    <row r="153">
      <c r="A153" t="n">
        <v>80</v>
      </c>
      <c r="B153">
        <f>MATCH(A153-1,$D$61:$D$68,1)</f>
        <v/>
      </c>
      <c r="C153">
        <f>INDEX($G$61:$G$68,B153)</f>
        <v/>
      </c>
      <c r="D153">
        <f>INDEX($L$61:$L$68,B153)</f>
        <v/>
      </c>
      <c r="E153">
        <f>INDEX($M$61:$M$68,B153)</f>
        <v/>
      </c>
      <c r="F153">
        <f>INDEX($N$61:$N$68,B153)</f>
        <v/>
      </c>
      <c r="G153">
        <f>INDEX($AA$61:$AA$68,B153)</f>
        <v/>
      </c>
      <c r="H153">
        <f>INDEX($X$61:$X$68,B153)</f>
        <v/>
      </c>
      <c r="I153">
        <f>INDEX($AF$61:$AF$68,B153)</f>
        <v/>
      </c>
      <c r="J153">
        <f>INDEX($AC$61:$AC$68,B153)</f>
        <v/>
      </c>
      <c r="K153">
        <f>INDEX($AD$61:$AD$68,B153)</f>
        <v/>
      </c>
      <c r="L153">
        <f>INDEX($AG$61:$AG$68,B153)</f>
        <v/>
      </c>
      <c r="M153">
        <f>INDEX($AH$61:$AH$68,B153)</f>
        <v/>
      </c>
      <c r="N153">
        <f>INDEX($AI$61:$AI$68,B153)</f>
        <v/>
      </c>
      <c r="O153">
        <f>O152*$B$26+L153*(1-$B$26)</f>
        <v/>
      </c>
      <c r="P153">
        <f>$B$7*(O153-O152)*(1-AS152)</f>
        <v/>
      </c>
      <c r="Q153">
        <f>M153+0.51274*AT152</f>
        <v/>
      </c>
      <c r="R153">
        <f>N153+0.616*AT152</f>
        <v/>
      </c>
      <c r="S153">
        <f>IF($B$13&gt;=0.6,Q153,IF($B$13&lt;=0.2,R153,R153+2.5*(Q153-R153)*($B$13-0.2)))</f>
        <v/>
      </c>
      <c r="T153">
        <f>IF(A153=1,S153,T152*$B$27+S153*(1-$B$27))</f>
        <v/>
      </c>
      <c r="U153">
        <f>0.6105*EXP(17.27*T153/(T153+237.3))</f>
        <v/>
      </c>
      <c r="V153">
        <f>($B$14*(I153*C153+IF(ABS((D153+0.1)-D153)&lt;0.000000001,4*$B$19*$B$20*(D153+273)^3,$B$19*$B$20*(((D153+0.1)+273)^4-(D153+273)^4)/((D153+0.1)-D153))*D153)+T153/H153)/($B$14*(I153+IF(ABS((D153+0.1)-D153)&lt;0.000000001,4*$B$19*$B$20*(D153+273)^3,$B$19*$B$20*(((D153+0.1)+273)^4-(D153+273)^4)/((D153+0.1)-D153)))+1/H153)</f>
        <v/>
      </c>
      <c r="W153">
        <f>($B$14*(I153*C153+IF(ABS(V153-D153)&lt;0.000000001,4*$B$19*$B$20*(D153+273)^3,$B$19*$B$20*((V153+273)^4-(D153+273)^4)/(V153-D153))*D153)+T153/H153)/($B$14*(I153+IF(ABS(V153-D153)&lt;0.000000001,4*$B$19*$B$20*(D153+273)^3,$B$19*$B$20*((V153+273)^4-(D153+273)^4)/(V153-D153)))+1/H153)</f>
        <v/>
      </c>
      <c r="X153">
        <f>($B$14*(I153*C153+IF(ABS(W153-D153)&lt;0.000000001,4*$B$19*$B$20*(D153+273)^3,$B$19*$B$20*((W153+273)^4-(D153+273)^4)/(W153-D153))*D153)+T153/H153)/($B$14*(I153+IF(ABS(W153-D153)&lt;0.000000001,4*$B$19*$B$20*(D153+273)^3,$B$19*$B$20*((W153+273)^4-(D153+273)^4)/(W153-D153)))+1/H153)</f>
        <v/>
      </c>
      <c r="Y153">
        <f>($B$14*(I153*C153+IF(ABS(X153-D153)&lt;0.000000001,4*$B$19*$B$20*(D153+273)^3,$B$19*$B$20*((X153+273)^4-(D153+273)^4)/(X153-D153))*D153)+T153/H153)/($B$14*(I153+IF(ABS(X153-D153)&lt;0.000000001,4*$B$19*$B$20*(D153+273)^3,$B$19*$B$20*((X153+273)^4-(D153+273)^4)/(X153-D153)))+1/H153)</f>
        <v/>
      </c>
      <c r="Z153">
        <f>IF(ABS(Y153-D153)&lt;0.000000001,4*$B$19*$B$20*(D153+273)^3,$B$19*$B$20*((Y153+273)^4-(D153+273)^4)/(Y153-D153))</f>
        <v/>
      </c>
      <c r="AA153">
        <f>$B$14*I153*(Y153-C153)</f>
        <v/>
      </c>
      <c r="AB153">
        <f>$B$14*Z153*(Y153-D153)</f>
        <v/>
      </c>
      <c r="AC153">
        <f>IF((U153-E153)/G153=0,0.001,(U153-E153)/G153)</f>
        <v/>
      </c>
      <c r="AD153">
        <f>F153-P153-J153-K153-AA153-AB153</f>
        <v/>
      </c>
      <c r="AE153">
        <f>AD153/AC153</f>
        <v/>
      </c>
      <c r="AF153">
        <f>IF(AD153&lt;=0,0,IF(AC153&lt;=0,$B$11,IF(AE153&gt;=1.7,$B$11,MIN(AD153/MAX(0.05,IF(AE153&gt;1,(2-AE153)^2/2,1-AE153^2/2)),$B$11))))</f>
        <v/>
      </c>
      <c r="AG153">
        <f>AG152*$B$28+AF153*(1-$B$28)</f>
        <v/>
      </c>
      <c r="AH153">
        <f>IF(AND(AD153&gt;0,AC153&lt;=0),0,AC153)</f>
        <v/>
      </c>
      <c r="AI153">
        <f>AH153/MAX(AG153,0.000001)</f>
        <v/>
      </c>
      <c r="AJ153">
        <f>MIN(IF(AI153&gt;=0.5,-AI153+SQRT(AI153^2+2),1),$B$12)</f>
        <v/>
      </c>
      <c r="AK153">
        <f>IF(AG153&lt;=0,0,AJ153*AH153)</f>
        <v/>
      </c>
      <c r="AL153">
        <f>IF(AD153&lt;=0,0,AD153)</f>
        <v/>
      </c>
      <c r="AM153">
        <f>AL153-AK153+P153</f>
        <v/>
      </c>
      <c r="AN153">
        <f>((AM153/$B$7+T152*AS152/2-T153*MAX(0.1,MIN(0.3,0.3-0.09*(AR152-36.8)))/2)+AR152*(1-AS152/2))/(1-MAX(0.1,MIN(0.3,0.3-0.09*(AR152-36.8)))/2)</f>
        <v/>
      </c>
      <c r="AO153">
        <f>((AM153/$B$7+T152*AS152/2-T153*MAX(0.1,MIN(0.3,0.3-0.09*(AN153-36.8)))/2)+AR152*(1-AS152/2))/(1-MAX(0.1,MIN(0.3,0.3-0.09*(AN153-36.8)))/2)</f>
        <v/>
      </c>
      <c r="AP153">
        <f>((AM153/$B$7+T152*AS152/2-T153*MAX(0.1,MIN(0.3,0.3-0.09*(AO153-36.8)))/2)+AR152*(1-AS152/2))/(1-MAX(0.1,MIN(0.3,0.3-0.09*(AO153-36.8)))/2)</f>
        <v/>
      </c>
      <c r="AQ153">
        <f>((AM153/$B$7+T152*AS152/2-T153*MAX(0.1,MIN(0.3,0.3-0.09*(AP153-36.8)))/2)+AR152*(1-AS152/2))/(1-MAX(0.1,MIN(0.3,0.3-0.09*(AP153-36.8)))/2)</f>
        <v/>
      </c>
      <c r="AR153">
        <f>((AM153/$B$7+T152*AS152/2-T153*MAX(0.1,MIN(0.3,0.3-0.09*(AQ153-36.8)))/2)+AR152*(1-AS152/2))/(1-MAX(0.1,MIN(0.3,0.3-0.09*(AQ153-36.8)))/2)</f>
        <v/>
      </c>
      <c r="AS153">
        <f>MAX(0.1,MIN(0.3,0.3-0.09*(AR153-36.8)))</f>
        <v/>
      </c>
      <c r="AT153">
        <f>AT152+(2*AR153-1.962*AT152-1.31)/9</f>
        <v/>
      </c>
      <c r="AU153">
        <f>AU152+AG153+K153</f>
        <v/>
      </c>
      <c r="AV153">
        <f>AU153*2.67*$B$6/1.8/60</f>
        <v/>
      </c>
      <c r="AW153">
        <f>IF(AT153&gt;=$B$36,1,0)</f>
        <v/>
      </c>
      <c r="AX153">
        <f>IF(AV153&gt;=$B$21,1,0)</f>
        <v/>
      </c>
    </row>
    <row r="154">
      <c r="A154" t="n">
        <v>81</v>
      </c>
      <c r="B154">
        <f>MATCH(A154-1,$D$61:$D$68,1)</f>
        <v/>
      </c>
      <c r="C154">
        <f>INDEX($G$61:$G$68,B154)</f>
        <v/>
      </c>
      <c r="D154">
        <f>INDEX($L$61:$L$68,B154)</f>
        <v/>
      </c>
      <c r="E154">
        <f>INDEX($M$61:$M$68,B154)</f>
        <v/>
      </c>
      <c r="F154">
        <f>INDEX($N$61:$N$68,B154)</f>
        <v/>
      </c>
      <c r="G154">
        <f>INDEX($AA$61:$AA$68,B154)</f>
        <v/>
      </c>
      <c r="H154">
        <f>INDEX($X$61:$X$68,B154)</f>
        <v/>
      </c>
      <c r="I154">
        <f>INDEX($AF$61:$AF$68,B154)</f>
        <v/>
      </c>
      <c r="J154">
        <f>INDEX($AC$61:$AC$68,B154)</f>
        <v/>
      </c>
      <c r="K154">
        <f>INDEX($AD$61:$AD$68,B154)</f>
        <v/>
      </c>
      <c r="L154">
        <f>INDEX($AG$61:$AG$68,B154)</f>
        <v/>
      </c>
      <c r="M154">
        <f>INDEX($AH$61:$AH$68,B154)</f>
        <v/>
      </c>
      <c r="N154">
        <f>INDEX($AI$61:$AI$68,B154)</f>
        <v/>
      </c>
      <c r="O154">
        <f>O153*$B$26+L154*(1-$B$26)</f>
        <v/>
      </c>
      <c r="P154">
        <f>$B$7*(O154-O153)*(1-AS153)</f>
        <v/>
      </c>
      <c r="Q154">
        <f>M154+0.51274*AT153</f>
        <v/>
      </c>
      <c r="R154">
        <f>N154+0.616*AT153</f>
        <v/>
      </c>
      <c r="S154">
        <f>IF($B$13&gt;=0.6,Q154,IF($B$13&lt;=0.2,R154,R154+2.5*(Q154-R154)*($B$13-0.2)))</f>
        <v/>
      </c>
      <c r="T154">
        <f>IF(A154=1,S154,T153*$B$27+S154*(1-$B$27))</f>
        <v/>
      </c>
      <c r="U154">
        <f>0.6105*EXP(17.27*T154/(T154+237.3))</f>
        <v/>
      </c>
      <c r="V154">
        <f>($B$14*(I154*C154+IF(ABS((D154+0.1)-D154)&lt;0.000000001,4*$B$19*$B$20*(D154+273)^3,$B$19*$B$20*(((D154+0.1)+273)^4-(D154+273)^4)/((D154+0.1)-D154))*D154)+T154/H154)/($B$14*(I154+IF(ABS((D154+0.1)-D154)&lt;0.000000001,4*$B$19*$B$20*(D154+273)^3,$B$19*$B$20*(((D154+0.1)+273)^4-(D154+273)^4)/((D154+0.1)-D154)))+1/H154)</f>
        <v/>
      </c>
      <c r="W154">
        <f>($B$14*(I154*C154+IF(ABS(V154-D154)&lt;0.000000001,4*$B$19*$B$20*(D154+273)^3,$B$19*$B$20*((V154+273)^4-(D154+273)^4)/(V154-D154))*D154)+T154/H154)/($B$14*(I154+IF(ABS(V154-D154)&lt;0.000000001,4*$B$19*$B$20*(D154+273)^3,$B$19*$B$20*((V154+273)^4-(D154+273)^4)/(V154-D154)))+1/H154)</f>
        <v/>
      </c>
      <c r="X154">
        <f>($B$14*(I154*C154+IF(ABS(W154-D154)&lt;0.000000001,4*$B$19*$B$20*(D154+273)^3,$B$19*$B$20*((W154+273)^4-(D154+273)^4)/(W154-D154))*D154)+T154/H154)/($B$14*(I154+IF(ABS(W154-D154)&lt;0.000000001,4*$B$19*$B$20*(D154+273)^3,$B$19*$B$20*((W154+273)^4-(D154+273)^4)/(W154-D154)))+1/H154)</f>
        <v/>
      </c>
      <c r="Y154">
        <f>($B$14*(I154*C154+IF(ABS(X154-D154)&lt;0.000000001,4*$B$19*$B$20*(D154+273)^3,$B$19*$B$20*((X154+273)^4-(D154+273)^4)/(X154-D154))*D154)+T154/H154)/($B$14*(I154+IF(ABS(X154-D154)&lt;0.000000001,4*$B$19*$B$20*(D154+273)^3,$B$19*$B$20*((X154+273)^4-(D154+273)^4)/(X154-D154)))+1/H154)</f>
        <v/>
      </c>
      <c r="Z154">
        <f>IF(ABS(Y154-D154)&lt;0.000000001,4*$B$19*$B$20*(D154+273)^3,$B$19*$B$20*((Y154+273)^4-(D154+273)^4)/(Y154-D154))</f>
        <v/>
      </c>
      <c r="AA154">
        <f>$B$14*I154*(Y154-C154)</f>
        <v/>
      </c>
      <c r="AB154">
        <f>$B$14*Z154*(Y154-D154)</f>
        <v/>
      </c>
      <c r="AC154">
        <f>IF((U154-E154)/G154=0,0.001,(U154-E154)/G154)</f>
        <v/>
      </c>
      <c r="AD154">
        <f>F154-P154-J154-K154-AA154-AB154</f>
        <v/>
      </c>
      <c r="AE154">
        <f>AD154/AC154</f>
        <v/>
      </c>
      <c r="AF154">
        <f>IF(AD154&lt;=0,0,IF(AC154&lt;=0,$B$11,IF(AE154&gt;=1.7,$B$11,MIN(AD154/MAX(0.05,IF(AE154&gt;1,(2-AE154)^2/2,1-AE154^2/2)),$B$11))))</f>
        <v/>
      </c>
      <c r="AG154">
        <f>AG153*$B$28+AF154*(1-$B$28)</f>
        <v/>
      </c>
      <c r="AH154">
        <f>IF(AND(AD154&gt;0,AC154&lt;=0),0,AC154)</f>
        <v/>
      </c>
      <c r="AI154">
        <f>AH154/MAX(AG154,0.000001)</f>
        <v/>
      </c>
      <c r="AJ154">
        <f>MIN(IF(AI154&gt;=0.5,-AI154+SQRT(AI154^2+2),1),$B$12)</f>
        <v/>
      </c>
      <c r="AK154">
        <f>IF(AG154&lt;=0,0,AJ154*AH154)</f>
        <v/>
      </c>
      <c r="AL154">
        <f>IF(AD154&lt;=0,0,AD154)</f>
        <v/>
      </c>
      <c r="AM154">
        <f>AL154-AK154+P154</f>
        <v/>
      </c>
      <c r="AN154">
        <f>((AM154/$B$7+T153*AS153/2-T154*MAX(0.1,MIN(0.3,0.3-0.09*(AR153-36.8)))/2)+AR153*(1-AS153/2))/(1-MAX(0.1,MIN(0.3,0.3-0.09*(AR153-36.8)))/2)</f>
        <v/>
      </c>
      <c r="AO154">
        <f>((AM154/$B$7+T153*AS153/2-T154*MAX(0.1,MIN(0.3,0.3-0.09*(AN154-36.8)))/2)+AR153*(1-AS153/2))/(1-MAX(0.1,MIN(0.3,0.3-0.09*(AN154-36.8)))/2)</f>
        <v/>
      </c>
      <c r="AP154">
        <f>((AM154/$B$7+T153*AS153/2-T154*MAX(0.1,MIN(0.3,0.3-0.09*(AO154-36.8)))/2)+AR153*(1-AS153/2))/(1-MAX(0.1,MIN(0.3,0.3-0.09*(AO154-36.8)))/2)</f>
        <v/>
      </c>
      <c r="AQ154">
        <f>((AM154/$B$7+T153*AS153/2-T154*MAX(0.1,MIN(0.3,0.3-0.09*(AP154-36.8)))/2)+AR153*(1-AS153/2))/(1-MAX(0.1,MIN(0.3,0.3-0.09*(AP154-36.8)))/2)</f>
        <v/>
      </c>
      <c r="AR154">
        <f>((AM154/$B$7+T153*AS153/2-T154*MAX(0.1,MIN(0.3,0.3-0.09*(AQ154-36.8)))/2)+AR153*(1-AS153/2))/(1-MAX(0.1,MIN(0.3,0.3-0.09*(AQ154-36.8)))/2)</f>
        <v/>
      </c>
      <c r="AS154">
        <f>MAX(0.1,MIN(0.3,0.3-0.09*(AR154-36.8)))</f>
        <v/>
      </c>
      <c r="AT154">
        <f>AT153+(2*AR154-1.962*AT153-1.31)/9</f>
        <v/>
      </c>
      <c r="AU154">
        <f>AU153+AG154+K154</f>
        <v/>
      </c>
      <c r="AV154">
        <f>AU154*2.67*$B$6/1.8/60</f>
        <v/>
      </c>
      <c r="AW154">
        <f>IF(AT154&gt;=$B$36,1,0)</f>
        <v/>
      </c>
      <c r="AX154">
        <f>IF(AV154&gt;=$B$21,1,0)</f>
        <v/>
      </c>
    </row>
    <row r="155">
      <c r="A155" t="n">
        <v>82</v>
      </c>
      <c r="B155">
        <f>MATCH(A155-1,$D$61:$D$68,1)</f>
        <v/>
      </c>
      <c r="C155">
        <f>INDEX($G$61:$G$68,B155)</f>
        <v/>
      </c>
      <c r="D155">
        <f>INDEX($L$61:$L$68,B155)</f>
        <v/>
      </c>
      <c r="E155">
        <f>INDEX($M$61:$M$68,B155)</f>
        <v/>
      </c>
      <c r="F155">
        <f>INDEX($N$61:$N$68,B155)</f>
        <v/>
      </c>
      <c r="G155">
        <f>INDEX($AA$61:$AA$68,B155)</f>
        <v/>
      </c>
      <c r="H155">
        <f>INDEX($X$61:$X$68,B155)</f>
        <v/>
      </c>
      <c r="I155">
        <f>INDEX($AF$61:$AF$68,B155)</f>
        <v/>
      </c>
      <c r="J155">
        <f>INDEX($AC$61:$AC$68,B155)</f>
        <v/>
      </c>
      <c r="K155">
        <f>INDEX($AD$61:$AD$68,B155)</f>
        <v/>
      </c>
      <c r="L155">
        <f>INDEX($AG$61:$AG$68,B155)</f>
        <v/>
      </c>
      <c r="M155">
        <f>INDEX($AH$61:$AH$68,B155)</f>
        <v/>
      </c>
      <c r="N155">
        <f>INDEX($AI$61:$AI$68,B155)</f>
        <v/>
      </c>
      <c r="O155">
        <f>O154*$B$26+L155*(1-$B$26)</f>
        <v/>
      </c>
      <c r="P155">
        <f>$B$7*(O155-O154)*(1-AS154)</f>
        <v/>
      </c>
      <c r="Q155">
        <f>M155+0.51274*AT154</f>
        <v/>
      </c>
      <c r="R155">
        <f>N155+0.616*AT154</f>
        <v/>
      </c>
      <c r="S155">
        <f>IF($B$13&gt;=0.6,Q155,IF($B$13&lt;=0.2,R155,R155+2.5*(Q155-R155)*($B$13-0.2)))</f>
        <v/>
      </c>
      <c r="T155">
        <f>IF(A155=1,S155,T154*$B$27+S155*(1-$B$27))</f>
        <v/>
      </c>
      <c r="U155">
        <f>0.6105*EXP(17.27*T155/(T155+237.3))</f>
        <v/>
      </c>
      <c r="V155">
        <f>($B$14*(I155*C155+IF(ABS((D155+0.1)-D155)&lt;0.000000001,4*$B$19*$B$20*(D155+273)^3,$B$19*$B$20*(((D155+0.1)+273)^4-(D155+273)^4)/((D155+0.1)-D155))*D155)+T155/H155)/($B$14*(I155+IF(ABS((D155+0.1)-D155)&lt;0.000000001,4*$B$19*$B$20*(D155+273)^3,$B$19*$B$20*(((D155+0.1)+273)^4-(D155+273)^4)/((D155+0.1)-D155)))+1/H155)</f>
        <v/>
      </c>
      <c r="W155">
        <f>($B$14*(I155*C155+IF(ABS(V155-D155)&lt;0.000000001,4*$B$19*$B$20*(D155+273)^3,$B$19*$B$20*((V155+273)^4-(D155+273)^4)/(V155-D155))*D155)+T155/H155)/($B$14*(I155+IF(ABS(V155-D155)&lt;0.000000001,4*$B$19*$B$20*(D155+273)^3,$B$19*$B$20*((V155+273)^4-(D155+273)^4)/(V155-D155)))+1/H155)</f>
        <v/>
      </c>
      <c r="X155">
        <f>($B$14*(I155*C155+IF(ABS(W155-D155)&lt;0.000000001,4*$B$19*$B$20*(D155+273)^3,$B$19*$B$20*((W155+273)^4-(D155+273)^4)/(W155-D155))*D155)+T155/H155)/($B$14*(I155+IF(ABS(W155-D155)&lt;0.000000001,4*$B$19*$B$20*(D155+273)^3,$B$19*$B$20*((W155+273)^4-(D155+273)^4)/(W155-D155)))+1/H155)</f>
        <v/>
      </c>
      <c r="Y155">
        <f>($B$14*(I155*C155+IF(ABS(X155-D155)&lt;0.000000001,4*$B$19*$B$20*(D155+273)^3,$B$19*$B$20*((X155+273)^4-(D155+273)^4)/(X155-D155))*D155)+T155/H155)/($B$14*(I155+IF(ABS(X155-D155)&lt;0.000000001,4*$B$19*$B$20*(D155+273)^3,$B$19*$B$20*((X155+273)^4-(D155+273)^4)/(X155-D155)))+1/H155)</f>
        <v/>
      </c>
      <c r="Z155">
        <f>IF(ABS(Y155-D155)&lt;0.000000001,4*$B$19*$B$20*(D155+273)^3,$B$19*$B$20*((Y155+273)^4-(D155+273)^4)/(Y155-D155))</f>
        <v/>
      </c>
      <c r="AA155">
        <f>$B$14*I155*(Y155-C155)</f>
        <v/>
      </c>
      <c r="AB155">
        <f>$B$14*Z155*(Y155-D155)</f>
        <v/>
      </c>
      <c r="AC155">
        <f>IF((U155-E155)/G155=0,0.001,(U155-E155)/G155)</f>
        <v/>
      </c>
      <c r="AD155">
        <f>F155-P155-J155-K155-AA155-AB155</f>
        <v/>
      </c>
      <c r="AE155">
        <f>AD155/AC155</f>
        <v/>
      </c>
      <c r="AF155">
        <f>IF(AD155&lt;=0,0,IF(AC155&lt;=0,$B$11,IF(AE155&gt;=1.7,$B$11,MIN(AD155/MAX(0.05,IF(AE155&gt;1,(2-AE155)^2/2,1-AE155^2/2)),$B$11))))</f>
        <v/>
      </c>
      <c r="AG155">
        <f>AG154*$B$28+AF155*(1-$B$28)</f>
        <v/>
      </c>
      <c r="AH155">
        <f>IF(AND(AD155&gt;0,AC155&lt;=0),0,AC155)</f>
        <v/>
      </c>
      <c r="AI155">
        <f>AH155/MAX(AG155,0.000001)</f>
        <v/>
      </c>
      <c r="AJ155">
        <f>MIN(IF(AI155&gt;=0.5,-AI155+SQRT(AI155^2+2),1),$B$12)</f>
        <v/>
      </c>
      <c r="AK155">
        <f>IF(AG155&lt;=0,0,AJ155*AH155)</f>
        <v/>
      </c>
      <c r="AL155">
        <f>IF(AD155&lt;=0,0,AD155)</f>
        <v/>
      </c>
      <c r="AM155">
        <f>AL155-AK155+P155</f>
        <v/>
      </c>
      <c r="AN155">
        <f>((AM155/$B$7+T154*AS154/2-T155*MAX(0.1,MIN(0.3,0.3-0.09*(AR154-36.8)))/2)+AR154*(1-AS154/2))/(1-MAX(0.1,MIN(0.3,0.3-0.09*(AR154-36.8)))/2)</f>
        <v/>
      </c>
      <c r="AO155">
        <f>((AM155/$B$7+T154*AS154/2-T155*MAX(0.1,MIN(0.3,0.3-0.09*(AN155-36.8)))/2)+AR154*(1-AS154/2))/(1-MAX(0.1,MIN(0.3,0.3-0.09*(AN155-36.8)))/2)</f>
        <v/>
      </c>
      <c r="AP155">
        <f>((AM155/$B$7+T154*AS154/2-T155*MAX(0.1,MIN(0.3,0.3-0.09*(AO155-36.8)))/2)+AR154*(1-AS154/2))/(1-MAX(0.1,MIN(0.3,0.3-0.09*(AO155-36.8)))/2)</f>
        <v/>
      </c>
      <c r="AQ155">
        <f>((AM155/$B$7+T154*AS154/2-T155*MAX(0.1,MIN(0.3,0.3-0.09*(AP155-36.8)))/2)+AR154*(1-AS154/2))/(1-MAX(0.1,MIN(0.3,0.3-0.09*(AP155-36.8)))/2)</f>
        <v/>
      </c>
      <c r="AR155">
        <f>((AM155/$B$7+T154*AS154/2-T155*MAX(0.1,MIN(0.3,0.3-0.09*(AQ155-36.8)))/2)+AR154*(1-AS154/2))/(1-MAX(0.1,MIN(0.3,0.3-0.09*(AQ155-36.8)))/2)</f>
        <v/>
      </c>
      <c r="AS155">
        <f>MAX(0.1,MIN(0.3,0.3-0.09*(AR155-36.8)))</f>
        <v/>
      </c>
      <c r="AT155">
        <f>AT154+(2*AR155-1.962*AT154-1.31)/9</f>
        <v/>
      </c>
      <c r="AU155">
        <f>AU154+AG155+K155</f>
        <v/>
      </c>
      <c r="AV155">
        <f>AU155*2.67*$B$6/1.8/60</f>
        <v/>
      </c>
      <c r="AW155">
        <f>IF(AT155&gt;=$B$36,1,0)</f>
        <v/>
      </c>
      <c r="AX155">
        <f>IF(AV155&gt;=$B$21,1,0)</f>
        <v/>
      </c>
    </row>
    <row r="156">
      <c r="A156" t="n">
        <v>83</v>
      </c>
      <c r="B156">
        <f>MATCH(A156-1,$D$61:$D$68,1)</f>
        <v/>
      </c>
      <c r="C156">
        <f>INDEX($G$61:$G$68,B156)</f>
        <v/>
      </c>
      <c r="D156">
        <f>INDEX($L$61:$L$68,B156)</f>
        <v/>
      </c>
      <c r="E156">
        <f>INDEX($M$61:$M$68,B156)</f>
        <v/>
      </c>
      <c r="F156">
        <f>INDEX($N$61:$N$68,B156)</f>
        <v/>
      </c>
      <c r="G156">
        <f>INDEX($AA$61:$AA$68,B156)</f>
        <v/>
      </c>
      <c r="H156">
        <f>INDEX($X$61:$X$68,B156)</f>
        <v/>
      </c>
      <c r="I156">
        <f>INDEX($AF$61:$AF$68,B156)</f>
        <v/>
      </c>
      <c r="J156">
        <f>INDEX($AC$61:$AC$68,B156)</f>
        <v/>
      </c>
      <c r="K156">
        <f>INDEX($AD$61:$AD$68,B156)</f>
        <v/>
      </c>
      <c r="L156">
        <f>INDEX($AG$61:$AG$68,B156)</f>
        <v/>
      </c>
      <c r="M156">
        <f>INDEX($AH$61:$AH$68,B156)</f>
        <v/>
      </c>
      <c r="N156">
        <f>INDEX($AI$61:$AI$68,B156)</f>
        <v/>
      </c>
      <c r="O156">
        <f>O155*$B$26+L156*(1-$B$26)</f>
        <v/>
      </c>
      <c r="P156">
        <f>$B$7*(O156-O155)*(1-AS155)</f>
        <v/>
      </c>
      <c r="Q156">
        <f>M156+0.51274*AT155</f>
        <v/>
      </c>
      <c r="R156">
        <f>N156+0.616*AT155</f>
        <v/>
      </c>
      <c r="S156">
        <f>IF($B$13&gt;=0.6,Q156,IF($B$13&lt;=0.2,R156,R156+2.5*(Q156-R156)*($B$13-0.2)))</f>
        <v/>
      </c>
      <c r="T156">
        <f>IF(A156=1,S156,T155*$B$27+S156*(1-$B$27))</f>
        <v/>
      </c>
      <c r="U156">
        <f>0.6105*EXP(17.27*T156/(T156+237.3))</f>
        <v/>
      </c>
      <c r="V156">
        <f>($B$14*(I156*C156+IF(ABS((D156+0.1)-D156)&lt;0.000000001,4*$B$19*$B$20*(D156+273)^3,$B$19*$B$20*(((D156+0.1)+273)^4-(D156+273)^4)/((D156+0.1)-D156))*D156)+T156/H156)/($B$14*(I156+IF(ABS((D156+0.1)-D156)&lt;0.000000001,4*$B$19*$B$20*(D156+273)^3,$B$19*$B$20*(((D156+0.1)+273)^4-(D156+273)^4)/((D156+0.1)-D156)))+1/H156)</f>
        <v/>
      </c>
      <c r="W156">
        <f>($B$14*(I156*C156+IF(ABS(V156-D156)&lt;0.000000001,4*$B$19*$B$20*(D156+273)^3,$B$19*$B$20*((V156+273)^4-(D156+273)^4)/(V156-D156))*D156)+T156/H156)/($B$14*(I156+IF(ABS(V156-D156)&lt;0.000000001,4*$B$19*$B$20*(D156+273)^3,$B$19*$B$20*((V156+273)^4-(D156+273)^4)/(V156-D156)))+1/H156)</f>
        <v/>
      </c>
      <c r="X156">
        <f>($B$14*(I156*C156+IF(ABS(W156-D156)&lt;0.000000001,4*$B$19*$B$20*(D156+273)^3,$B$19*$B$20*((W156+273)^4-(D156+273)^4)/(W156-D156))*D156)+T156/H156)/($B$14*(I156+IF(ABS(W156-D156)&lt;0.000000001,4*$B$19*$B$20*(D156+273)^3,$B$19*$B$20*((W156+273)^4-(D156+273)^4)/(W156-D156)))+1/H156)</f>
        <v/>
      </c>
      <c r="Y156">
        <f>($B$14*(I156*C156+IF(ABS(X156-D156)&lt;0.000000001,4*$B$19*$B$20*(D156+273)^3,$B$19*$B$20*((X156+273)^4-(D156+273)^4)/(X156-D156))*D156)+T156/H156)/($B$14*(I156+IF(ABS(X156-D156)&lt;0.000000001,4*$B$19*$B$20*(D156+273)^3,$B$19*$B$20*((X156+273)^4-(D156+273)^4)/(X156-D156)))+1/H156)</f>
        <v/>
      </c>
      <c r="Z156">
        <f>IF(ABS(Y156-D156)&lt;0.000000001,4*$B$19*$B$20*(D156+273)^3,$B$19*$B$20*((Y156+273)^4-(D156+273)^4)/(Y156-D156))</f>
        <v/>
      </c>
      <c r="AA156">
        <f>$B$14*I156*(Y156-C156)</f>
        <v/>
      </c>
      <c r="AB156">
        <f>$B$14*Z156*(Y156-D156)</f>
        <v/>
      </c>
      <c r="AC156">
        <f>IF((U156-E156)/G156=0,0.001,(U156-E156)/G156)</f>
        <v/>
      </c>
      <c r="AD156">
        <f>F156-P156-J156-K156-AA156-AB156</f>
        <v/>
      </c>
      <c r="AE156">
        <f>AD156/AC156</f>
        <v/>
      </c>
      <c r="AF156">
        <f>IF(AD156&lt;=0,0,IF(AC156&lt;=0,$B$11,IF(AE156&gt;=1.7,$B$11,MIN(AD156/MAX(0.05,IF(AE156&gt;1,(2-AE156)^2/2,1-AE156^2/2)),$B$11))))</f>
        <v/>
      </c>
      <c r="AG156">
        <f>AG155*$B$28+AF156*(1-$B$28)</f>
        <v/>
      </c>
      <c r="AH156">
        <f>IF(AND(AD156&gt;0,AC156&lt;=0),0,AC156)</f>
        <v/>
      </c>
      <c r="AI156">
        <f>AH156/MAX(AG156,0.000001)</f>
        <v/>
      </c>
      <c r="AJ156">
        <f>MIN(IF(AI156&gt;=0.5,-AI156+SQRT(AI156^2+2),1),$B$12)</f>
        <v/>
      </c>
      <c r="AK156">
        <f>IF(AG156&lt;=0,0,AJ156*AH156)</f>
        <v/>
      </c>
      <c r="AL156">
        <f>IF(AD156&lt;=0,0,AD156)</f>
        <v/>
      </c>
      <c r="AM156">
        <f>AL156-AK156+P156</f>
        <v/>
      </c>
      <c r="AN156">
        <f>((AM156/$B$7+T155*AS155/2-T156*MAX(0.1,MIN(0.3,0.3-0.09*(AR155-36.8)))/2)+AR155*(1-AS155/2))/(1-MAX(0.1,MIN(0.3,0.3-0.09*(AR155-36.8)))/2)</f>
        <v/>
      </c>
      <c r="AO156">
        <f>((AM156/$B$7+T155*AS155/2-T156*MAX(0.1,MIN(0.3,0.3-0.09*(AN156-36.8)))/2)+AR155*(1-AS155/2))/(1-MAX(0.1,MIN(0.3,0.3-0.09*(AN156-36.8)))/2)</f>
        <v/>
      </c>
      <c r="AP156">
        <f>((AM156/$B$7+T155*AS155/2-T156*MAX(0.1,MIN(0.3,0.3-0.09*(AO156-36.8)))/2)+AR155*(1-AS155/2))/(1-MAX(0.1,MIN(0.3,0.3-0.09*(AO156-36.8)))/2)</f>
        <v/>
      </c>
      <c r="AQ156">
        <f>((AM156/$B$7+T155*AS155/2-T156*MAX(0.1,MIN(0.3,0.3-0.09*(AP156-36.8)))/2)+AR155*(1-AS155/2))/(1-MAX(0.1,MIN(0.3,0.3-0.09*(AP156-36.8)))/2)</f>
        <v/>
      </c>
      <c r="AR156">
        <f>((AM156/$B$7+T155*AS155/2-T156*MAX(0.1,MIN(0.3,0.3-0.09*(AQ156-36.8)))/2)+AR155*(1-AS155/2))/(1-MAX(0.1,MIN(0.3,0.3-0.09*(AQ156-36.8)))/2)</f>
        <v/>
      </c>
      <c r="AS156">
        <f>MAX(0.1,MIN(0.3,0.3-0.09*(AR156-36.8)))</f>
        <v/>
      </c>
      <c r="AT156">
        <f>AT155+(2*AR156-1.962*AT155-1.31)/9</f>
        <v/>
      </c>
      <c r="AU156">
        <f>AU155+AG156+K156</f>
        <v/>
      </c>
      <c r="AV156">
        <f>AU156*2.67*$B$6/1.8/60</f>
        <v/>
      </c>
      <c r="AW156">
        <f>IF(AT156&gt;=$B$36,1,0)</f>
        <v/>
      </c>
      <c r="AX156">
        <f>IF(AV156&gt;=$B$21,1,0)</f>
        <v/>
      </c>
    </row>
    <row r="157">
      <c r="A157" t="n">
        <v>84</v>
      </c>
      <c r="B157">
        <f>MATCH(A157-1,$D$61:$D$68,1)</f>
        <v/>
      </c>
      <c r="C157">
        <f>INDEX($G$61:$G$68,B157)</f>
        <v/>
      </c>
      <c r="D157">
        <f>INDEX($L$61:$L$68,B157)</f>
        <v/>
      </c>
      <c r="E157">
        <f>INDEX($M$61:$M$68,B157)</f>
        <v/>
      </c>
      <c r="F157">
        <f>INDEX($N$61:$N$68,B157)</f>
        <v/>
      </c>
      <c r="G157">
        <f>INDEX($AA$61:$AA$68,B157)</f>
        <v/>
      </c>
      <c r="H157">
        <f>INDEX($X$61:$X$68,B157)</f>
        <v/>
      </c>
      <c r="I157">
        <f>INDEX($AF$61:$AF$68,B157)</f>
        <v/>
      </c>
      <c r="J157">
        <f>INDEX($AC$61:$AC$68,B157)</f>
        <v/>
      </c>
      <c r="K157">
        <f>INDEX($AD$61:$AD$68,B157)</f>
        <v/>
      </c>
      <c r="L157">
        <f>INDEX($AG$61:$AG$68,B157)</f>
        <v/>
      </c>
      <c r="M157">
        <f>INDEX($AH$61:$AH$68,B157)</f>
        <v/>
      </c>
      <c r="N157">
        <f>INDEX($AI$61:$AI$68,B157)</f>
        <v/>
      </c>
      <c r="O157">
        <f>O156*$B$26+L157*(1-$B$26)</f>
        <v/>
      </c>
      <c r="P157">
        <f>$B$7*(O157-O156)*(1-AS156)</f>
        <v/>
      </c>
      <c r="Q157">
        <f>M157+0.51274*AT156</f>
        <v/>
      </c>
      <c r="R157">
        <f>N157+0.616*AT156</f>
        <v/>
      </c>
      <c r="S157">
        <f>IF($B$13&gt;=0.6,Q157,IF($B$13&lt;=0.2,R157,R157+2.5*(Q157-R157)*($B$13-0.2)))</f>
        <v/>
      </c>
      <c r="T157">
        <f>IF(A157=1,S157,T156*$B$27+S157*(1-$B$27))</f>
        <v/>
      </c>
      <c r="U157">
        <f>0.6105*EXP(17.27*T157/(T157+237.3))</f>
        <v/>
      </c>
      <c r="V157">
        <f>($B$14*(I157*C157+IF(ABS((D157+0.1)-D157)&lt;0.000000001,4*$B$19*$B$20*(D157+273)^3,$B$19*$B$20*(((D157+0.1)+273)^4-(D157+273)^4)/((D157+0.1)-D157))*D157)+T157/H157)/($B$14*(I157+IF(ABS((D157+0.1)-D157)&lt;0.000000001,4*$B$19*$B$20*(D157+273)^3,$B$19*$B$20*(((D157+0.1)+273)^4-(D157+273)^4)/((D157+0.1)-D157)))+1/H157)</f>
        <v/>
      </c>
      <c r="W157">
        <f>($B$14*(I157*C157+IF(ABS(V157-D157)&lt;0.000000001,4*$B$19*$B$20*(D157+273)^3,$B$19*$B$20*((V157+273)^4-(D157+273)^4)/(V157-D157))*D157)+T157/H157)/($B$14*(I157+IF(ABS(V157-D157)&lt;0.000000001,4*$B$19*$B$20*(D157+273)^3,$B$19*$B$20*((V157+273)^4-(D157+273)^4)/(V157-D157)))+1/H157)</f>
        <v/>
      </c>
      <c r="X157">
        <f>($B$14*(I157*C157+IF(ABS(W157-D157)&lt;0.000000001,4*$B$19*$B$20*(D157+273)^3,$B$19*$B$20*((W157+273)^4-(D157+273)^4)/(W157-D157))*D157)+T157/H157)/($B$14*(I157+IF(ABS(W157-D157)&lt;0.000000001,4*$B$19*$B$20*(D157+273)^3,$B$19*$B$20*((W157+273)^4-(D157+273)^4)/(W157-D157)))+1/H157)</f>
        <v/>
      </c>
      <c r="Y157">
        <f>($B$14*(I157*C157+IF(ABS(X157-D157)&lt;0.000000001,4*$B$19*$B$20*(D157+273)^3,$B$19*$B$20*((X157+273)^4-(D157+273)^4)/(X157-D157))*D157)+T157/H157)/($B$14*(I157+IF(ABS(X157-D157)&lt;0.000000001,4*$B$19*$B$20*(D157+273)^3,$B$19*$B$20*((X157+273)^4-(D157+273)^4)/(X157-D157)))+1/H157)</f>
        <v/>
      </c>
      <c r="Z157">
        <f>IF(ABS(Y157-D157)&lt;0.000000001,4*$B$19*$B$20*(D157+273)^3,$B$19*$B$20*((Y157+273)^4-(D157+273)^4)/(Y157-D157))</f>
        <v/>
      </c>
      <c r="AA157">
        <f>$B$14*I157*(Y157-C157)</f>
        <v/>
      </c>
      <c r="AB157">
        <f>$B$14*Z157*(Y157-D157)</f>
        <v/>
      </c>
      <c r="AC157">
        <f>IF((U157-E157)/G157=0,0.001,(U157-E157)/G157)</f>
        <v/>
      </c>
      <c r="AD157">
        <f>F157-P157-J157-K157-AA157-AB157</f>
        <v/>
      </c>
      <c r="AE157">
        <f>AD157/AC157</f>
        <v/>
      </c>
      <c r="AF157">
        <f>IF(AD157&lt;=0,0,IF(AC157&lt;=0,$B$11,IF(AE157&gt;=1.7,$B$11,MIN(AD157/MAX(0.05,IF(AE157&gt;1,(2-AE157)^2/2,1-AE157^2/2)),$B$11))))</f>
        <v/>
      </c>
      <c r="AG157">
        <f>AG156*$B$28+AF157*(1-$B$28)</f>
        <v/>
      </c>
      <c r="AH157">
        <f>IF(AND(AD157&gt;0,AC157&lt;=0),0,AC157)</f>
        <v/>
      </c>
      <c r="AI157">
        <f>AH157/MAX(AG157,0.000001)</f>
        <v/>
      </c>
      <c r="AJ157">
        <f>MIN(IF(AI157&gt;=0.5,-AI157+SQRT(AI157^2+2),1),$B$12)</f>
        <v/>
      </c>
      <c r="AK157">
        <f>IF(AG157&lt;=0,0,AJ157*AH157)</f>
        <v/>
      </c>
      <c r="AL157">
        <f>IF(AD157&lt;=0,0,AD157)</f>
        <v/>
      </c>
      <c r="AM157">
        <f>AL157-AK157+P157</f>
        <v/>
      </c>
      <c r="AN157">
        <f>((AM157/$B$7+T156*AS156/2-T157*MAX(0.1,MIN(0.3,0.3-0.09*(AR156-36.8)))/2)+AR156*(1-AS156/2))/(1-MAX(0.1,MIN(0.3,0.3-0.09*(AR156-36.8)))/2)</f>
        <v/>
      </c>
      <c r="AO157">
        <f>((AM157/$B$7+T156*AS156/2-T157*MAX(0.1,MIN(0.3,0.3-0.09*(AN157-36.8)))/2)+AR156*(1-AS156/2))/(1-MAX(0.1,MIN(0.3,0.3-0.09*(AN157-36.8)))/2)</f>
        <v/>
      </c>
      <c r="AP157">
        <f>((AM157/$B$7+T156*AS156/2-T157*MAX(0.1,MIN(0.3,0.3-0.09*(AO157-36.8)))/2)+AR156*(1-AS156/2))/(1-MAX(0.1,MIN(0.3,0.3-0.09*(AO157-36.8)))/2)</f>
        <v/>
      </c>
      <c r="AQ157">
        <f>((AM157/$B$7+T156*AS156/2-T157*MAX(0.1,MIN(0.3,0.3-0.09*(AP157-36.8)))/2)+AR156*(1-AS156/2))/(1-MAX(0.1,MIN(0.3,0.3-0.09*(AP157-36.8)))/2)</f>
        <v/>
      </c>
      <c r="AR157">
        <f>((AM157/$B$7+T156*AS156/2-T157*MAX(0.1,MIN(0.3,0.3-0.09*(AQ157-36.8)))/2)+AR156*(1-AS156/2))/(1-MAX(0.1,MIN(0.3,0.3-0.09*(AQ157-36.8)))/2)</f>
        <v/>
      </c>
      <c r="AS157">
        <f>MAX(0.1,MIN(0.3,0.3-0.09*(AR157-36.8)))</f>
        <v/>
      </c>
      <c r="AT157">
        <f>AT156+(2*AR157-1.962*AT156-1.31)/9</f>
        <v/>
      </c>
      <c r="AU157">
        <f>AU156+AG157+K157</f>
        <v/>
      </c>
      <c r="AV157">
        <f>AU157*2.67*$B$6/1.8/60</f>
        <v/>
      </c>
      <c r="AW157">
        <f>IF(AT157&gt;=$B$36,1,0)</f>
        <v/>
      </c>
      <c r="AX157">
        <f>IF(AV157&gt;=$B$21,1,0)</f>
        <v/>
      </c>
    </row>
    <row r="158">
      <c r="A158" t="n">
        <v>85</v>
      </c>
      <c r="B158">
        <f>MATCH(A158-1,$D$61:$D$68,1)</f>
        <v/>
      </c>
      <c r="C158">
        <f>INDEX($G$61:$G$68,B158)</f>
        <v/>
      </c>
      <c r="D158">
        <f>INDEX($L$61:$L$68,B158)</f>
        <v/>
      </c>
      <c r="E158">
        <f>INDEX($M$61:$M$68,B158)</f>
        <v/>
      </c>
      <c r="F158">
        <f>INDEX($N$61:$N$68,B158)</f>
        <v/>
      </c>
      <c r="G158">
        <f>INDEX($AA$61:$AA$68,B158)</f>
        <v/>
      </c>
      <c r="H158">
        <f>INDEX($X$61:$X$68,B158)</f>
        <v/>
      </c>
      <c r="I158">
        <f>INDEX($AF$61:$AF$68,B158)</f>
        <v/>
      </c>
      <c r="J158">
        <f>INDEX($AC$61:$AC$68,B158)</f>
        <v/>
      </c>
      <c r="K158">
        <f>INDEX($AD$61:$AD$68,B158)</f>
        <v/>
      </c>
      <c r="L158">
        <f>INDEX($AG$61:$AG$68,B158)</f>
        <v/>
      </c>
      <c r="M158">
        <f>INDEX($AH$61:$AH$68,B158)</f>
        <v/>
      </c>
      <c r="N158">
        <f>INDEX($AI$61:$AI$68,B158)</f>
        <v/>
      </c>
      <c r="O158">
        <f>O157*$B$26+L158*(1-$B$26)</f>
        <v/>
      </c>
      <c r="P158">
        <f>$B$7*(O158-O157)*(1-AS157)</f>
        <v/>
      </c>
      <c r="Q158">
        <f>M158+0.51274*AT157</f>
        <v/>
      </c>
      <c r="R158">
        <f>N158+0.616*AT157</f>
        <v/>
      </c>
      <c r="S158">
        <f>IF($B$13&gt;=0.6,Q158,IF($B$13&lt;=0.2,R158,R158+2.5*(Q158-R158)*($B$13-0.2)))</f>
        <v/>
      </c>
      <c r="T158">
        <f>IF(A158=1,S158,T157*$B$27+S158*(1-$B$27))</f>
        <v/>
      </c>
      <c r="U158">
        <f>0.6105*EXP(17.27*T158/(T158+237.3))</f>
        <v/>
      </c>
      <c r="V158">
        <f>($B$14*(I158*C158+IF(ABS((D158+0.1)-D158)&lt;0.000000001,4*$B$19*$B$20*(D158+273)^3,$B$19*$B$20*(((D158+0.1)+273)^4-(D158+273)^4)/((D158+0.1)-D158))*D158)+T158/H158)/($B$14*(I158+IF(ABS((D158+0.1)-D158)&lt;0.000000001,4*$B$19*$B$20*(D158+273)^3,$B$19*$B$20*(((D158+0.1)+273)^4-(D158+273)^4)/((D158+0.1)-D158)))+1/H158)</f>
        <v/>
      </c>
      <c r="W158">
        <f>($B$14*(I158*C158+IF(ABS(V158-D158)&lt;0.000000001,4*$B$19*$B$20*(D158+273)^3,$B$19*$B$20*((V158+273)^4-(D158+273)^4)/(V158-D158))*D158)+T158/H158)/($B$14*(I158+IF(ABS(V158-D158)&lt;0.000000001,4*$B$19*$B$20*(D158+273)^3,$B$19*$B$20*((V158+273)^4-(D158+273)^4)/(V158-D158)))+1/H158)</f>
        <v/>
      </c>
      <c r="X158">
        <f>($B$14*(I158*C158+IF(ABS(W158-D158)&lt;0.000000001,4*$B$19*$B$20*(D158+273)^3,$B$19*$B$20*((W158+273)^4-(D158+273)^4)/(W158-D158))*D158)+T158/H158)/($B$14*(I158+IF(ABS(W158-D158)&lt;0.000000001,4*$B$19*$B$20*(D158+273)^3,$B$19*$B$20*((W158+273)^4-(D158+273)^4)/(W158-D158)))+1/H158)</f>
        <v/>
      </c>
      <c r="Y158">
        <f>($B$14*(I158*C158+IF(ABS(X158-D158)&lt;0.000000001,4*$B$19*$B$20*(D158+273)^3,$B$19*$B$20*((X158+273)^4-(D158+273)^4)/(X158-D158))*D158)+T158/H158)/($B$14*(I158+IF(ABS(X158-D158)&lt;0.000000001,4*$B$19*$B$20*(D158+273)^3,$B$19*$B$20*((X158+273)^4-(D158+273)^4)/(X158-D158)))+1/H158)</f>
        <v/>
      </c>
      <c r="Z158">
        <f>IF(ABS(Y158-D158)&lt;0.000000001,4*$B$19*$B$20*(D158+273)^3,$B$19*$B$20*((Y158+273)^4-(D158+273)^4)/(Y158-D158))</f>
        <v/>
      </c>
      <c r="AA158">
        <f>$B$14*I158*(Y158-C158)</f>
        <v/>
      </c>
      <c r="AB158">
        <f>$B$14*Z158*(Y158-D158)</f>
        <v/>
      </c>
      <c r="AC158">
        <f>IF((U158-E158)/G158=0,0.001,(U158-E158)/G158)</f>
        <v/>
      </c>
      <c r="AD158">
        <f>F158-P158-J158-K158-AA158-AB158</f>
        <v/>
      </c>
      <c r="AE158">
        <f>AD158/AC158</f>
        <v/>
      </c>
      <c r="AF158">
        <f>IF(AD158&lt;=0,0,IF(AC158&lt;=0,$B$11,IF(AE158&gt;=1.7,$B$11,MIN(AD158/MAX(0.05,IF(AE158&gt;1,(2-AE158)^2/2,1-AE158^2/2)),$B$11))))</f>
        <v/>
      </c>
      <c r="AG158">
        <f>AG157*$B$28+AF158*(1-$B$28)</f>
        <v/>
      </c>
      <c r="AH158">
        <f>IF(AND(AD158&gt;0,AC158&lt;=0),0,AC158)</f>
        <v/>
      </c>
      <c r="AI158">
        <f>AH158/MAX(AG158,0.000001)</f>
        <v/>
      </c>
      <c r="AJ158">
        <f>MIN(IF(AI158&gt;=0.5,-AI158+SQRT(AI158^2+2),1),$B$12)</f>
        <v/>
      </c>
      <c r="AK158">
        <f>IF(AG158&lt;=0,0,AJ158*AH158)</f>
        <v/>
      </c>
      <c r="AL158">
        <f>IF(AD158&lt;=0,0,AD158)</f>
        <v/>
      </c>
      <c r="AM158">
        <f>AL158-AK158+P158</f>
        <v/>
      </c>
      <c r="AN158">
        <f>((AM158/$B$7+T157*AS157/2-T158*MAX(0.1,MIN(0.3,0.3-0.09*(AR157-36.8)))/2)+AR157*(1-AS157/2))/(1-MAX(0.1,MIN(0.3,0.3-0.09*(AR157-36.8)))/2)</f>
        <v/>
      </c>
      <c r="AO158">
        <f>((AM158/$B$7+T157*AS157/2-T158*MAX(0.1,MIN(0.3,0.3-0.09*(AN158-36.8)))/2)+AR157*(1-AS157/2))/(1-MAX(0.1,MIN(0.3,0.3-0.09*(AN158-36.8)))/2)</f>
        <v/>
      </c>
      <c r="AP158">
        <f>((AM158/$B$7+T157*AS157/2-T158*MAX(0.1,MIN(0.3,0.3-0.09*(AO158-36.8)))/2)+AR157*(1-AS157/2))/(1-MAX(0.1,MIN(0.3,0.3-0.09*(AO158-36.8)))/2)</f>
        <v/>
      </c>
      <c r="AQ158">
        <f>((AM158/$B$7+T157*AS157/2-T158*MAX(0.1,MIN(0.3,0.3-0.09*(AP158-36.8)))/2)+AR157*(1-AS157/2))/(1-MAX(0.1,MIN(0.3,0.3-0.09*(AP158-36.8)))/2)</f>
        <v/>
      </c>
      <c r="AR158">
        <f>((AM158/$B$7+T157*AS157/2-T158*MAX(0.1,MIN(0.3,0.3-0.09*(AQ158-36.8)))/2)+AR157*(1-AS157/2))/(1-MAX(0.1,MIN(0.3,0.3-0.09*(AQ158-36.8)))/2)</f>
        <v/>
      </c>
      <c r="AS158">
        <f>MAX(0.1,MIN(0.3,0.3-0.09*(AR158-36.8)))</f>
        <v/>
      </c>
      <c r="AT158">
        <f>AT157+(2*AR158-1.962*AT157-1.31)/9</f>
        <v/>
      </c>
      <c r="AU158">
        <f>AU157+AG158+K158</f>
        <v/>
      </c>
      <c r="AV158">
        <f>AU158*2.67*$B$6/1.8/60</f>
        <v/>
      </c>
      <c r="AW158">
        <f>IF(AT158&gt;=$B$36,1,0)</f>
        <v/>
      </c>
      <c r="AX158">
        <f>IF(AV158&gt;=$B$21,1,0)</f>
        <v/>
      </c>
    </row>
    <row r="159">
      <c r="A159" t="n">
        <v>86</v>
      </c>
      <c r="B159">
        <f>MATCH(A159-1,$D$61:$D$68,1)</f>
        <v/>
      </c>
      <c r="C159">
        <f>INDEX($G$61:$G$68,B159)</f>
        <v/>
      </c>
      <c r="D159">
        <f>INDEX($L$61:$L$68,B159)</f>
        <v/>
      </c>
      <c r="E159">
        <f>INDEX($M$61:$M$68,B159)</f>
        <v/>
      </c>
      <c r="F159">
        <f>INDEX($N$61:$N$68,B159)</f>
        <v/>
      </c>
      <c r="G159">
        <f>INDEX($AA$61:$AA$68,B159)</f>
        <v/>
      </c>
      <c r="H159">
        <f>INDEX($X$61:$X$68,B159)</f>
        <v/>
      </c>
      <c r="I159">
        <f>INDEX($AF$61:$AF$68,B159)</f>
        <v/>
      </c>
      <c r="J159">
        <f>INDEX($AC$61:$AC$68,B159)</f>
        <v/>
      </c>
      <c r="K159">
        <f>INDEX($AD$61:$AD$68,B159)</f>
        <v/>
      </c>
      <c r="L159">
        <f>INDEX($AG$61:$AG$68,B159)</f>
        <v/>
      </c>
      <c r="M159">
        <f>INDEX($AH$61:$AH$68,B159)</f>
        <v/>
      </c>
      <c r="N159">
        <f>INDEX($AI$61:$AI$68,B159)</f>
        <v/>
      </c>
      <c r="O159">
        <f>O158*$B$26+L159*(1-$B$26)</f>
        <v/>
      </c>
      <c r="P159">
        <f>$B$7*(O159-O158)*(1-AS158)</f>
        <v/>
      </c>
      <c r="Q159">
        <f>M159+0.51274*AT158</f>
        <v/>
      </c>
      <c r="R159">
        <f>N159+0.616*AT158</f>
        <v/>
      </c>
      <c r="S159">
        <f>IF($B$13&gt;=0.6,Q159,IF($B$13&lt;=0.2,R159,R159+2.5*(Q159-R159)*($B$13-0.2)))</f>
        <v/>
      </c>
      <c r="T159">
        <f>IF(A159=1,S159,T158*$B$27+S159*(1-$B$27))</f>
        <v/>
      </c>
      <c r="U159">
        <f>0.6105*EXP(17.27*T159/(T159+237.3))</f>
        <v/>
      </c>
      <c r="V159">
        <f>($B$14*(I159*C159+IF(ABS((D159+0.1)-D159)&lt;0.000000001,4*$B$19*$B$20*(D159+273)^3,$B$19*$B$20*(((D159+0.1)+273)^4-(D159+273)^4)/((D159+0.1)-D159))*D159)+T159/H159)/($B$14*(I159+IF(ABS((D159+0.1)-D159)&lt;0.000000001,4*$B$19*$B$20*(D159+273)^3,$B$19*$B$20*(((D159+0.1)+273)^4-(D159+273)^4)/((D159+0.1)-D159)))+1/H159)</f>
        <v/>
      </c>
      <c r="W159">
        <f>($B$14*(I159*C159+IF(ABS(V159-D159)&lt;0.000000001,4*$B$19*$B$20*(D159+273)^3,$B$19*$B$20*((V159+273)^4-(D159+273)^4)/(V159-D159))*D159)+T159/H159)/($B$14*(I159+IF(ABS(V159-D159)&lt;0.000000001,4*$B$19*$B$20*(D159+273)^3,$B$19*$B$20*((V159+273)^4-(D159+273)^4)/(V159-D159)))+1/H159)</f>
        <v/>
      </c>
      <c r="X159">
        <f>($B$14*(I159*C159+IF(ABS(W159-D159)&lt;0.000000001,4*$B$19*$B$20*(D159+273)^3,$B$19*$B$20*((W159+273)^4-(D159+273)^4)/(W159-D159))*D159)+T159/H159)/($B$14*(I159+IF(ABS(W159-D159)&lt;0.000000001,4*$B$19*$B$20*(D159+273)^3,$B$19*$B$20*((W159+273)^4-(D159+273)^4)/(W159-D159)))+1/H159)</f>
        <v/>
      </c>
      <c r="Y159">
        <f>($B$14*(I159*C159+IF(ABS(X159-D159)&lt;0.000000001,4*$B$19*$B$20*(D159+273)^3,$B$19*$B$20*((X159+273)^4-(D159+273)^4)/(X159-D159))*D159)+T159/H159)/($B$14*(I159+IF(ABS(X159-D159)&lt;0.000000001,4*$B$19*$B$20*(D159+273)^3,$B$19*$B$20*((X159+273)^4-(D159+273)^4)/(X159-D159)))+1/H159)</f>
        <v/>
      </c>
      <c r="Z159">
        <f>IF(ABS(Y159-D159)&lt;0.000000001,4*$B$19*$B$20*(D159+273)^3,$B$19*$B$20*((Y159+273)^4-(D159+273)^4)/(Y159-D159))</f>
        <v/>
      </c>
      <c r="AA159">
        <f>$B$14*I159*(Y159-C159)</f>
        <v/>
      </c>
      <c r="AB159">
        <f>$B$14*Z159*(Y159-D159)</f>
        <v/>
      </c>
      <c r="AC159">
        <f>IF((U159-E159)/G159=0,0.001,(U159-E159)/G159)</f>
        <v/>
      </c>
      <c r="AD159">
        <f>F159-P159-J159-K159-AA159-AB159</f>
        <v/>
      </c>
      <c r="AE159">
        <f>AD159/AC159</f>
        <v/>
      </c>
      <c r="AF159">
        <f>IF(AD159&lt;=0,0,IF(AC159&lt;=0,$B$11,IF(AE159&gt;=1.7,$B$11,MIN(AD159/MAX(0.05,IF(AE159&gt;1,(2-AE159)^2/2,1-AE159^2/2)),$B$11))))</f>
        <v/>
      </c>
      <c r="AG159">
        <f>AG158*$B$28+AF159*(1-$B$28)</f>
        <v/>
      </c>
      <c r="AH159">
        <f>IF(AND(AD159&gt;0,AC159&lt;=0),0,AC159)</f>
        <v/>
      </c>
      <c r="AI159">
        <f>AH159/MAX(AG159,0.000001)</f>
        <v/>
      </c>
      <c r="AJ159">
        <f>MIN(IF(AI159&gt;=0.5,-AI159+SQRT(AI159^2+2),1),$B$12)</f>
        <v/>
      </c>
      <c r="AK159">
        <f>IF(AG159&lt;=0,0,AJ159*AH159)</f>
        <v/>
      </c>
      <c r="AL159">
        <f>IF(AD159&lt;=0,0,AD159)</f>
        <v/>
      </c>
      <c r="AM159">
        <f>AL159-AK159+P159</f>
        <v/>
      </c>
      <c r="AN159">
        <f>((AM159/$B$7+T158*AS158/2-T159*MAX(0.1,MIN(0.3,0.3-0.09*(AR158-36.8)))/2)+AR158*(1-AS158/2))/(1-MAX(0.1,MIN(0.3,0.3-0.09*(AR158-36.8)))/2)</f>
        <v/>
      </c>
      <c r="AO159">
        <f>((AM159/$B$7+T158*AS158/2-T159*MAX(0.1,MIN(0.3,0.3-0.09*(AN159-36.8)))/2)+AR158*(1-AS158/2))/(1-MAX(0.1,MIN(0.3,0.3-0.09*(AN159-36.8)))/2)</f>
        <v/>
      </c>
      <c r="AP159">
        <f>((AM159/$B$7+T158*AS158/2-T159*MAX(0.1,MIN(0.3,0.3-0.09*(AO159-36.8)))/2)+AR158*(1-AS158/2))/(1-MAX(0.1,MIN(0.3,0.3-0.09*(AO159-36.8)))/2)</f>
        <v/>
      </c>
      <c r="AQ159">
        <f>((AM159/$B$7+T158*AS158/2-T159*MAX(0.1,MIN(0.3,0.3-0.09*(AP159-36.8)))/2)+AR158*(1-AS158/2))/(1-MAX(0.1,MIN(0.3,0.3-0.09*(AP159-36.8)))/2)</f>
        <v/>
      </c>
      <c r="AR159">
        <f>((AM159/$B$7+T158*AS158/2-T159*MAX(0.1,MIN(0.3,0.3-0.09*(AQ159-36.8)))/2)+AR158*(1-AS158/2))/(1-MAX(0.1,MIN(0.3,0.3-0.09*(AQ159-36.8)))/2)</f>
        <v/>
      </c>
      <c r="AS159">
        <f>MAX(0.1,MIN(0.3,0.3-0.09*(AR159-36.8)))</f>
        <v/>
      </c>
      <c r="AT159">
        <f>AT158+(2*AR159-1.962*AT158-1.31)/9</f>
        <v/>
      </c>
      <c r="AU159">
        <f>AU158+AG159+K159</f>
        <v/>
      </c>
      <c r="AV159">
        <f>AU159*2.67*$B$6/1.8/60</f>
        <v/>
      </c>
      <c r="AW159">
        <f>IF(AT159&gt;=$B$36,1,0)</f>
        <v/>
      </c>
      <c r="AX159">
        <f>IF(AV159&gt;=$B$21,1,0)</f>
        <v/>
      </c>
    </row>
    <row r="160">
      <c r="A160" t="n">
        <v>87</v>
      </c>
      <c r="B160">
        <f>MATCH(A160-1,$D$61:$D$68,1)</f>
        <v/>
      </c>
      <c r="C160">
        <f>INDEX($G$61:$G$68,B160)</f>
        <v/>
      </c>
      <c r="D160">
        <f>INDEX($L$61:$L$68,B160)</f>
        <v/>
      </c>
      <c r="E160">
        <f>INDEX($M$61:$M$68,B160)</f>
        <v/>
      </c>
      <c r="F160">
        <f>INDEX($N$61:$N$68,B160)</f>
        <v/>
      </c>
      <c r="G160">
        <f>INDEX($AA$61:$AA$68,B160)</f>
        <v/>
      </c>
      <c r="H160">
        <f>INDEX($X$61:$X$68,B160)</f>
        <v/>
      </c>
      <c r="I160">
        <f>INDEX($AF$61:$AF$68,B160)</f>
        <v/>
      </c>
      <c r="J160">
        <f>INDEX($AC$61:$AC$68,B160)</f>
        <v/>
      </c>
      <c r="K160">
        <f>INDEX($AD$61:$AD$68,B160)</f>
        <v/>
      </c>
      <c r="L160">
        <f>INDEX($AG$61:$AG$68,B160)</f>
        <v/>
      </c>
      <c r="M160">
        <f>INDEX($AH$61:$AH$68,B160)</f>
        <v/>
      </c>
      <c r="N160">
        <f>INDEX($AI$61:$AI$68,B160)</f>
        <v/>
      </c>
      <c r="O160">
        <f>O159*$B$26+L160*(1-$B$26)</f>
        <v/>
      </c>
      <c r="P160">
        <f>$B$7*(O160-O159)*(1-AS159)</f>
        <v/>
      </c>
      <c r="Q160">
        <f>M160+0.51274*AT159</f>
        <v/>
      </c>
      <c r="R160">
        <f>N160+0.616*AT159</f>
        <v/>
      </c>
      <c r="S160">
        <f>IF($B$13&gt;=0.6,Q160,IF($B$13&lt;=0.2,R160,R160+2.5*(Q160-R160)*($B$13-0.2)))</f>
        <v/>
      </c>
      <c r="T160">
        <f>IF(A160=1,S160,T159*$B$27+S160*(1-$B$27))</f>
        <v/>
      </c>
      <c r="U160">
        <f>0.6105*EXP(17.27*T160/(T160+237.3))</f>
        <v/>
      </c>
      <c r="V160">
        <f>($B$14*(I160*C160+IF(ABS((D160+0.1)-D160)&lt;0.000000001,4*$B$19*$B$20*(D160+273)^3,$B$19*$B$20*(((D160+0.1)+273)^4-(D160+273)^4)/((D160+0.1)-D160))*D160)+T160/H160)/($B$14*(I160+IF(ABS((D160+0.1)-D160)&lt;0.000000001,4*$B$19*$B$20*(D160+273)^3,$B$19*$B$20*(((D160+0.1)+273)^4-(D160+273)^4)/((D160+0.1)-D160)))+1/H160)</f>
        <v/>
      </c>
      <c r="W160">
        <f>($B$14*(I160*C160+IF(ABS(V160-D160)&lt;0.000000001,4*$B$19*$B$20*(D160+273)^3,$B$19*$B$20*((V160+273)^4-(D160+273)^4)/(V160-D160))*D160)+T160/H160)/($B$14*(I160+IF(ABS(V160-D160)&lt;0.000000001,4*$B$19*$B$20*(D160+273)^3,$B$19*$B$20*((V160+273)^4-(D160+273)^4)/(V160-D160)))+1/H160)</f>
        <v/>
      </c>
      <c r="X160">
        <f>($B$14*(I160*C160+IF(ABS(W160-D160)&lt;0.000000001,4*$B$19*$B$20*(D160+273)^3,$B$19*$B$20*((W160+273)^4-(D160+273)^4)/(W160-D160))*D160)+T160/H160)/($B$14*(I160+IF(ABS(W160-D160)&lt;0.000000001,4*$B$19*$B$20*(D160+273)^3,$B$19*$B$20*((W160+273)^4-(D160+273)^4)/(W160-D160)))+1/H160)</f>
        <v/>
      </c>
      <c r="Y160">
        <f>($B$14*(I160*C160+IF(ABS(X160-D160)&lt;0.000000001,4*$B$19*$B$20*(D160+273)^3,$B$19*$B$20*((X160+273)^4-(D160+273)^4)/(X160-D160))*D160)+T160/H160)/($B$14*(I160+IF(ABS(X160-D160)&lt;0.000000001,4*$B$19*$B$20*(D160+273)^3,$B$19*$B$20*((X160+273)^4-(D160+273)^4)/(X160-D160)))+1/H160)</f>
        <v/>
      </c>
      <c r="Z160">
        <f>IF(ABS(Y160-D160)&lt;0.000000001,4*$B$19*$B$20*(D160+273)^3,$B$19*$B$20*((Y160+273)^4-(D160+273)^4)/(Y160-D160))</f>
        <v/>
      </c>
      <c r="AA160">
        <f>$B$14*I160*(Y160-C160)</f>
        <v/>
      </c>
      <c r="AB160">
        <f>$B$14*Z160*(Y160-D160)</f>
        <v/>
      </c>
      <c r="AC160">
        <f>IF((U160-E160)/G160=0,0.001,(U160-E160)/G160)</f>
        <v/>
      </c>
      <c r="AD160">
        <f>F160-P160-J160-K160-AA160-AB160</f>
        <v/>
      </c>
      <c r="AE160">
        <f>AD160/AC160</f>
        <v/>
      </c>
      <c r="AF160">
        <f>IF(AD160&lt;=0,0,IF(AC160&lt;=0,$B$11,IF(AE160&gt;=1.7,$B$11,MIN(AD160/MAX(0.05,IF(AE160&gt;1,(2-AE160)^2/2,1-AE160^2/2)),$B$11))))</f>
        <v/>
      </c>
      <c r="AG160">
        <f>AG159*$B$28+AF160*(1-$B$28)</f>
        <v/>
      </c>
      <c r="AH160">
        <f>IF(AND(AD160&gt;0,AC160&lt;=0),0,AC160)</f>
        <v/>
      </c>
      <c r="AI160">
        <f>AH160/MAX(AG160,0.000001)</f>
        <v/>
      </c>
      <c r="AJ160">
        <f>MIN(IF(AI160&gt;=0.5,-AI160+SQRT(AI160^2+2),1),$B$12)</f>
        <v/>
      </c>
      <c r="AK160">
        <f>IF(AG160&lt;=0,0,AJ160*AH160)</f>
        <v/>
      </c>
      <c r="AL160">
        <f>IF(AD160&lt;=0,0,AD160)</f>
        <v/>
      </c>
      <c r="AM160">
        <f>AL160-AK160+P160</f>
        <v/>
      </c>
      <c r="AN160">
        <f>((AM160/$B$7+T159*AS159/2-T160*MAX(0.1,MIN(0.3,0.3-0.09*(AR159-36.8)))/2)+AR159*(1-AS159/2))/(1-MAX(0.1,MIN(0.3,0.3-0.09*(AR159-36.8)))/2)</f>
        <v/>
      </c>
      <c r="AO160">
        <f>((AM160/$B$7+T159*AS159/2-T160*MAX(0.1,MIN(0.3,0.3-0.09*(AN160-36.8)))/2)+AR159*(1-AS159/2))/(1-MAX(0.1,MIN(0.3,0.3-0.09*(AN160-36.8)))/2)</f>
        <v/>
      </c>
      <c r="AP160">
        <f>((AM160/$B$7+T159*AS159/2-T160*MAX(0.1,MIN(0.3,0.3-0.09*(AO160-36.8)))/2)+AR159*(1-AS159/2))/(1-MAX(0.1,MIN(0.3,0.3-0.09*(AO160-36.8)))/2)</f>
        <v/>
      </c>
      <c r="AQ160">
        <f>((AM160/$B$7+T159*AS159/2-T160*MAX(0.1,MIN(0.3,0.3-0.09*(AP160-36.8)))/2)+AR159*(1-AS159/2))/(1-MAX(0.1,MIN(0.3,0.3-0.09*(AP160-36.8)))/2)</f>
        <v/>
      </c>
      <c r="AR160">
        <f>((AM160/$B$7+T159*AS159/2-T160*MAX(0.1,MIN(0.3,0.3-0.09*(AQ160-36.8)))/2)+AR159*(1-AS159/2))/(1-MAX(0.1,MIN(0.3,0.3-0.09*(AQ160-36.8)))/2)</f>
        <v/>
      </c>
      <c r="AS160">
        <f>MAX(0.1,MIN(0.3,0.3-0.09*(AR160-36.8)))</f>
        <v/>
      </c>
      <c r="AT160">
        <f>AT159+(2*AR160-1.962*AT159-1.31)/9</f>
        <v/>
      </c>
      <c r="AU160">
        <f>AU159+AG160+K160</f>
        <v/>
      </c>
      <c r="AV160">
        <f>AU160*2.67*$B$6/1.8/60</f>
        <v/>
      </c>
      <c r="AW160">
        <f>IF(AT160&gt;=$B$36,1,0)</f>
        <v/>
      </c>
      <c r="AX160">
        <f>IF(AV160&gt;=$B$21,1,0)</f>
        <v/>
      </c>
    </row>
    <row r="161">
      <c r="A161" t="n">
        <v>88</v>
      </c>
      <c r="B161">
        <f>MATCH(A161-1,$D$61:$D$68,1)</f>
        <v/>
      </c>
      <c r="C161">
        <f>INDEX($G$61:$G$68,B161)</f>
        <v/>
      </c>
      <c r="D161">
        <f>INDEX($L$61:$L$68,B161)</f>
        <v/>
      </c>
      <c r="E161">
        <f>INDEX($M$61:$M$68,B161)</f>
        <v/>
      </c>
      <c r="F161">
        <f>INDEX($N$61:$N$68,B161)</f>
        <v/>
      </c>
      <c r="G161">
        <f>INDEX($AA$61:$AA$68,B161)</f>
        <v/>
      </c>
      <c r="H161">
        <f>INDEX($X$61:$X$68,B161)</f>
        <v/>
      </c>
      <c r="I161">
        <f>INDEX($AF$61:$AF$68,B161)</f>
        <v/>
      </c>
      <c r="J161">
        <f>INDEX($AC$61:$AC$68,B161)</f>
        <v/>
      </c>
      <c r="K161">
        <f>INDEX($AD$61:$AD$68,B161)</f>
        <v/>
      </c>
      <c r="L161">
        <f>INDEX($AG$61:$AG$68,B161)</f>
        <v/>
      </c>
      <c r="M161">
        <f>INDEX($AH$61:$AH$68,B161)</f>
        <v/>
      </c>
      <c r="N161">
        <f>INDEX($AI$61:$AI$68,B161)</f>
        <v/>
      </c>
      <c r="O161">
        <f>O160*$B$26+L161*(1-$B$26)</f>
        <v/>
      </c>
      <c r="P161">
        <f>$B$7*(O161-O160)*(1-AS160)</f>
        <v/>
      </c>
      <c r="Q161">
        <f>M161+0.51274*AT160</f>
        <v/>
      </c>
      <c r="R161">
        <f>N161+0.616*AT160</f>
        <v/>
      </c>
      <c r="S161">
        <f>IF($B$13&gt;=0.6,Q161,IF($B$13&lt;=0.2,R161,R161+2.5*(Q161-R161)*($B$13-0.2)))</f>
        <v/>
      </c>
      <c r="T161">
        <f>IF(A161=1,S161,T160*$B$27+S161*(1-$B$27))</f>
        <v/>
      </c>
      <c r="U161">
        <f>0.6105*EXP(17.27*T161/(T161+237.3))</f>
        <v/>
      </c>
      <c r="V161">
        <f>($B$14*(I161*C161+IF(ABS((D161+0.1)-D161)&lt;0.000000001,4*$B$19*$B$20*(D161+273)^3,$B$19*$B$20*(((D161+0.1)+273)^4-(D161+273)^4)/((D161+0.1)-D161))*D161)+T161/H161)/($B$14*(I161+IF(ABS((D161+0.1)-D161)&lt;0.000000001,4*$B$19*$B$20*(D161+273)^3,$B$19*$B$20*(((D161+0.1)+273)^4-(D161+273)^4)/((D161+0.1)-D161)))+1/H161)</f>
        <v/>
      </c>
      <c r="W161">
        <f>($B$14*(I161*C161+IF(ABS(V161-D161)&lt;0.000000001,4*$B$19*$B$20*(D161+273)^3,$B$19*$B$20*((V161+273)^4-(D161+273)^4)/(V161-D161))*D161)+T161/H161)/($B$14*(I161+IF(ABS(V161-D161)&lt;0.000000001,4*$B$19*$B$20*(D161+273)^3,$B$19*$B$20*((V161+273)^4-(D161+273)^4)/(V161-D161)))+1/H161)</f>
        <v/>
      </c>
      <c r="X161">
        <f>($B$14*(I161*C161+IF(ABS(W161-D161)&lt;0.000000001,4*$B$19*$B$20*(D161+273)^3,$B$19*$B$20*((W161+273)^4-(D161+273)^4)/(W161-D161))*D161)+T161/H161)/($B$14*(I161+IF(ABS(W161-D161)&lt;0.000000001,4*$B$19*$B$20*(D161+273)^3,$B$19*$B$20*((W161+273)^4-(D161+273)^4)/(W161-D161)))+1/H161)</f>
        <v/>
      </c>
      <c r="Y161">
        <f>($B$14*(I161*C161+IF(ABS(X161-D161)&lt;0.000000001,4*$B$19*$B$20*(D161+273)^3,$B$19*$B$20*((X161+273)^4-(D161+273)^4)/(X161-D161))*D161)+T161/H161)/($B$14*(I161+IF(ABS(X161-D161)&lt;0.000000001,4*$B$19*$B$20*(D161+273)^3,$B$19*$B$20*((X161+273)^4-(D161+273)^4)/(X161-D161)))+1/H161)</f>
        <v/>
      </c>
      <c r="Z161">
        <f>IF(ABS(Y161-D161)&lt;0.000000001,4*$B$19*$B$20*(D161+273)^3,$B$19*$B$20*((Y161+273)^4-(D161+273)^4)/(Y161-D161))</f>
        <v/>
      </c>
      <c r="AA161">
        <f>$B$14*I161*(Y161-C161)</f>
        <v/>
      </c>
      <c r="AB161">
        <f>$B$14*Z161*(Y161-D161)</f>
        <v/>
      </c>
      <c r="AC161">
        <f>IF((U161-E161)/G161=0,0.001,(U161-E161)/G161)</f>
        <v/>
      </c>
      <c r="AD161">
        <f>F161-P161-J161-K161-AA161-AB161</f>
        <v/>
      </c>
      <c r="AE161">
        <f>AD161/AC161</f>
        <v/>
      </c>
      <c r="AF161">
        <f>IF(AD161&lt;=0,0,IF(AC161&lt;=0,$B$11,IF(AE161&gt;=1.7,$B$11,MIN(AD161/MAX(0.05,IF(AE161&gt;1,(2-AE161)^2/2,1-AE161^2/2)),$B$11))))</f>
        <v/>
      </c>
      <c r="AG161">
        <f>AG160*$B$28+AF161*(1-$B$28)</f>
        <v/>
      </c>
      <c r="AH161">
        <f>IF(AND(AD161&gt;0,AC161&lt;=0),0,AC161)</f>
        <v/>
      </c>
      <c r="AI161">
        <f>AH161/MAX(AG161,0.000001)</f>
        <v/>
      </c>
      <c r="AJ161">
        <f>MIN(IF(AI161&gt;=0.5,-AI161+SQRT(AI161^2+2),1),$B$12)</f>
        <v/>
      </c>
      <c r="AK161">
        <f>IF(AG161&lt;=0,0,AJ161*AH161)</f>
        <v/>
      </c>
      <c r="AL161">
        <f>IF(AD161&lt;=0,0,AD161)</f>
        <v/>
      </c>
      <c r="AM161">
        <f>AL161-AK161+P161</f>
        <v/>
      </c>
      <c r="AN161">
        <f>((AM161/$B$7+T160*AS160/2-T161*MAX(0.1,MIN(0.3,0.3-0.09*(AR160-36.8)))/2)+AR160*(1-AS160/2))/(1-MAX(0.1,MIN(0.3,0.3-0.09*(AR160-36.8)))/2)</f>
        <v/>
      </c>
      <c r="AO161">
        <f>((AM161/$B$7+T160*AS160/2-T161*MAX(0.1,MIN(0.3,0.3-0.09*(AN161-36.8)))/2)+AR160*(1-AS160/2))/(1-MAX(0.1,MIN(0.3,0.3-0.09*(AN161-36.8)))/2)</f>
        <v/>
      </c>
      <c r="AP161">
        <f>((AM161/$B$7+T160*AS160/2-T161*MAX(0.1,MIN(0.3,0.3-0.09*(AO161-36.8)))/2)+AR160*(1-AS160/2))/(1-MAX(0.1,MIN(0.3,0.3-0.09*(AO161-36.8)))/2)</f>
        <v/>
      </c>
      <c r="AQ161">
        <f>((AM161/$B$7+T160*AS160/2-T161*MAX(0.1,MIN(0.3,0.3-0.09*(AP161-36.8)))/2)+AR160*(1-AS160/2))/(1-MAX(0.1,MIN(0.3,0.3-0.09*(AP161-36.8)))/2)</f>
        <v/>
      </c>
      <c r="AR161">
        <f>((AM161/$B$7+T160*AS160/2-T161*MAX(0.1,MIN(0.3,0.3-0.09*(AQ161-36.8)))/2)+AR160*(1-AS160/2))/(1-MAX(0.1,MIN(0.3,0.3-0.09*(AQ161-36.8)))/2)</f>
        <v/>
      </c>
      <c r="AS161">
        <f>MAX(0.1,MIN(0.3,0.3-0.09*(AR161-36.8)))</f>
        <v/>
      </c>
      <c r="AT161">
        <f>AT160+(2*AR161-1.962*AT160-1.31)/9</f>
        <v/>
      </c>
      <c r="AU161">
        <f>AU160+AG161+K161</f>
        <v/>
      </c>
      <c r="AV161">
        <f>AU161*2.67*$B$6/1.8/60</f>
        <v/>
      </c>
      <c r="AW161">
        <f>IF(AT161&gt;=$B$36,1,0)</f>
        <v/>
      </c>
      <c r="AX161">
        <f>IF(AV161&gt;=$B$21,1,0)</f>
        <v/>
      </c>
    </row>
    <row r="162">
      <c r="A162" t="n">
        <v>89</v>
      </c>
      <c r="B162">
        <f>MATCH(A162-1,$D$61:$D$68,1)</f>
        <v/>
      </c>
      <c r="C162">
        <f>INDEX($G$61:$G$68,B162)</f>
        <v/>
      </c>
      <c r="D162">
        <f>INDEX($L$61:$L$68,B162)</f>
        <v/>
      </c>
      <c r="E162">
        <f>INDEX($M$61:$M$68,B162)</f>
        <v/>
      </c>
      <c r="F162">
        <f>INDEX($N$61:$N$68,B162)</f>
        <v/>
      </c>
      <c r="G162">
        <f>INDEX($AA$61:$AA$68,B162)</f>
        <v/>
      </c>
      <c r="H162">
        <f>INDEX($X$61:$X$68,B162)</f>
        <v/>
      </c>
      <c r="I162">
        <f>INDEX($AF$61:$AF$68,B162)</f>
        <v/>
      </c>
      <c r="J162">
        <f>INDEX($AC$61:$AC$68,B162)</f>
        <v/>
      </c>
      <c r="K162">
        <f>INDEX($AD$61:$AD$68,B162)</f>
        <v/>
      </c>
      <c r="L162">
        <f>INDEX($AG$61:$AG$68,B162)</f>
        <v/>
      </c>
      <c r="M162">
        <f>INDEX($AH$61:$AH$68,B162)</f>
        <v/>
      </c>
      <c r="N162">
        <f>INDEX($AI$61:$AI$68,B162)</f>
        <v/>
      </c>
      <c r="O162">
        <f>O161*$B$26+L162*(1-$B$26)</f>
        <v/>
      </c>
      <c r="P162">
        <f>$B$7*(O162-O161)*(1-AS161)</f>
        <v/>
      </c>
      <c r="Q162">
        <f>M162+0.51274*AT161</f>
        <v/>
      </c>
      <c r="R162">
        <f>N162+0.616*AT161</f>
        <v/>
      </c>
      <c r="S162">
        <f>IF($B$13&gt;=0.6,Q162,IF($B$13&lt;=0.2,R162,R162+2.5*(Q162-R162)*($B$13-0.2)))</f>
        <v/>
      </c>
      <c r="T162">
        <f>IF(A162=1,S162,T161*$B$27+S162*(1-$B$27))</f>
        <v/>
      </c>
      <c r="U162">
        <f>0.6105*EXP(17.27*T162/(T162+237.3))</f>
        <v/>
      </c>
      <c r="V162">
        <f>($B$14*(I162*C162+IF(ABS((D162+0.1)-D162)&lt;0.000000001,4*$B$19*$B$20*(D162+273)^3,$B$19*$B$20*(((D162+0.1)+273)^4-(D162+273)^4)/((D162+0.1)-D162))*D162)+T162/H162)/($B$14*(I162+IF(ABS((D162+0.1)-D162)&lt;0.000000001,4*$B$19*$B$20*(D162+273)^3,$B$19*$B$20*(((D162+0.1)+273)^4-(D162+273)^4)/((D162+0.1)-D162)))+1/H162)</f>
        <v/>
      </c>
      <c r="W162">
        <f>($B$14*(I162*C162+IF(ABS(V162-D162)&lt;0.000000001,4*$B$19*$B$20*(D162+273)^3,$B$19*$B$20*((V162+273)^4-(D162+273)^4)/(V162-D162))*D162)+T162/H162)/($B$14*(I162+IF(ABS(V162-D162)&lt;0.000000001,4*$B$19*$B$20*(D162+273)^3,$B$19*$B$20*((V162+273)^4-(D162+273)^4)/(V162-D162)))+1/H162)</f>
        <v/>
      </c>
      <c r="X162">
        <f>($B$14*(I162*C162+IF(ABS(W162-D162)&lt;0.000000001,4*$B$19*$B$20*(D162+273)^3,$B$19*$B$20*((W162+273)^4-(D162+273)^4)/(W162-D162))*D162)+T162/H162)/($B$14*(I162+IF(ABS(W162-D162)&lt;0.000000001,4*$B$19*$B$20*(D162+273)^3,$B$19*$B$20*((W162+273)^4-(D162+273)^4)/(W162-D162)))+1/H162)</f>
        <v/>
      </c>
      <c r="Y162">
        <f>($B$14*(I162*C162+IF(ABS(X162-D162)&lt;0.000000001,4*$B$19*$B$20*(D162+273)^3,$B$19*$B$20*((X162+273)^4-(D162+273)^4)/(X162-D162))*D162)+T162/H162)/($B$14*(I162+IF(ABS(X162-D162)&lt;0.000000001,4*$B$19*$B$20*(D162+273)^3,$B$19*$B$20*((X162+273)^4-(D162+273)^4)/(X162-D162)))+1/H162)</f>
        <v/>
      </c>
      <c r="Z162">
        <f>IF(ABS(Y162-D162)&lt;0.000000001,4*$B$19*$B$20*(D162+273)^3,$B$19*$B$20*((Y162+273)^4-(D162+273)^4)/(Y162-D162))</f>
        <v/>
      </c>
      <c r="AA162">
        <f>$B$14*I162*(Y162-C162)</f>
        <v/>
      </c>
      <c r="AB162">
        <f>$B$14*Z162*(Y162-D162)</f>
        <v/>
      </c>
      <c r="AC162">
        <f>IF((U162-E162)/G162=0,0.001,(U162-E162)/G162)</f>
        <v/>
      </c>
      <c r="AD162">
        <f>F162-P162-J162-K162-AA162-AB162</f>
        <v/>
      </c>
      <c r="AE162">
        <f>AD162/AC162</f>
        <v/>
      </c>
      <c r="AF162">
        <f>IF(AD162&lt;=0,0,IF(AC162&lt;=0,$B$11,IF(AE162&gt;=1.7,$B$11,MIN(AD162/MAX(0.05,IF(AE162&gt;1,(2-AE162)^2/2,1-AE162^2/2)),$B$11))))</f>
        <v/>
      </c>
      <c r="AG162">
        <f>AG161*$B$28+AF162*(1-$B$28)</f>
        <v/>
      </c>
      <c r="AH162">
        <f>IF(AND(AD162&gt;0,AC162&lt;=0),0,AC162)</f>
        <v/>
      </c>
      <c r="AI162">
        <f>AH162/MAX(AG162,0.000001)</f>
        <v/>
      </c>
      <c r="AJ162">
        <f>MIN(IF(AI162&gt;=0.5,-AI162+SQRT(AI162^2+2),1),$B$12)</f>
        <v/>
      </c>
      <c r="AK162">
        <f>IF(AG162&lt;=0,0,AJ162*AH162)</f>
        <v/>
      </c>
      <c r="AL162">
        <f>IF(AD162&lt;=0,0,AD162)</f>
        <v/>
      </c>
      <c r="AM162">
        <f>AL162-AK162+P162</f>
        <v/>
      </c>
      <c r="AN162">
        <f>((AM162/$B$7+T161*AS161/2-T162*MAX(0.1,MIN(0.3,0.3-0.09*(AR161-36.8)))/2)+AR161*(1-AS161/2))/(1-MAX(0.1,MIN(0.3,0.3-0.09*(AR161-36.8)))/2)</f>
        <v/>
      </c>
      <c r="AO162">
        <f>((AM162/$B$7+T161*AS161/2-T162*MAX(0.1,MIN(0.3,0.3-0.09*(AN162-36.8)))/2)+AR161*(1-AS161/2))/(1-MAX(0.1,MIN(0.3,0.3-0.09*(AN162-36.8)))/2)</f>
        <v/>
      </c>
      <c r="AP162">
        <f>((AM162/$B$7+T161*AS161/2-T162*MAX(0.1,MIN(0.3,0.3-0.09*(AO162-36.8)))/2)+AR161*(1-AS161/2))/(1-MAX(0.1,MIN(0.3,0.3-0.09*(AO162-36.8)))/2)</f>
        <v/>
      </c>
      <c r="AQ162">
        <f>((AM162/$B$7+T161*AS161/2-T162*MAX(0.1,MIN(0.3,0.3-0.09*(AP162-36.8)))/2)+AR161*(1-AS161/2))/(1-MAX(0.1,MIN(0.3,0.3-0.09*(AP162-36.8)))/2)</f>
        <v/>
      </c>
      <c r="AR162">
        <f>((AM162/$B$7+T161*AS161/2-T162*MAX(0.1,MIN(0.3,0.3-0.09*(AQ162-36.8)))/2)+AR161*(1-AS161/2))/(1-MAX(0.1,MIN(0.3,0.3-0.09*(AQ162-36.8)))/2)</f>
        <v/>
      </c>
      <c r="AS162">
        <f>MAX(0.1,MIN(0.3,0.3-0.09*(AR162-36.8)))</f>
        <v/>
      </c>
      <c r="AT162">
        <f>AT161+(2*AR162-1.962*AT161-1.31)/9</f>
        <v/>
      </c>
      <c r="AU162">
        <f>AU161+AG162+K162</f>
        <v/>
      </c>
      <c r="AV162">
        <f>AU162*2.67*$B$6/1.8/60</f>
        <v/>
      </c>
      <c r="AW162">
        <f>IF(AT162&gt;=$B$36,1,0)</f>
        <v/>
      </c>
      <c r="AX162">
        <f>IF(AV162&gt;=$B$21,1,0)</f>
        <v/>
      </c>
    </row>
    <row r="163">
      <c r="A163" t="n">
        <v>90</v>
      </c>
      <c r="B163">
        <f>MATCH(A163-1,$D$61:$D$68,1)</f>
        <v/>
      </c>
      <c r="C163">
        <f>INDEX($G$61:$G$68,B163)</f>
        <v/>
      </c>
      <c r="D163">
        <f>INDEX($L$61:$L$68,B163)</f>
        <v/>
      </c>
      <c r="E163">
        <f>INDEX($M$61:$M$68,B163)</f>
        <v/>
      </c>
      <c r="F163">
        <f>INDEX($N$61:$N$68,B163)</f>
        <v/>
      </c>
      <c r="G163">
        <f>INDEX($AA$61:$AA$68,B163)</f>
        <v/>
      </c>
      <c r="H163">
        <f>INDEX($X$61:$X$68,B163)</f>
        <v/>
      </c>
      <c r="I163">
        <f>INDEX($AF$61:$AF$68,B163)</f>
        <v/>
      </c>
      <c r="J163">
        <f>INDEX($AC$61:$AC$68,B163)</f>
        <v/>
      </c>
      <c r="K163">
        <f>INDEX($AD$61:$AD$68,B163)</f>
        <v/>
      </c>
      <c r="L163">
        <f>INDEX($AG$61:$AG$68,B163)</f>
        <v/>
      </c>
      <c r="M163">
        <f>INDEX($AH$61:$AH$68,B163)</f>
        <v/>
      </c>
      <c r="N163">
        <f>INDEX($AI$61:$AI$68,B163)</f>
        <v/>
      </c>
      <c r="O163">
        <f>O162*$B$26+L163*(1-$B$26)</f>
        <v/>
      </c>
      <c r="P163">
        <f>$B$7*(O163-O162)*(1-AS162)</f>
        <v/>
      </c>
      <c r="Q163">
        <f>M163+0.51274*AT162</f>
        <v/>
      </c>
      <c r="R163">
        <f>N163+0.616*AT162</f>
        <v/>
      </c>
      <c r="S163">
        <f>IF($B$13&gt;=0.6,Q163,IF($B$13&lt;=0.2,R163,R163+2.5*(Q163-R163)*($B$13-0.2)))</f>
        <v/>
      </c>
      <c r="T163">
        <f>IF(A163=1,S163,T162*$B$27+S163*(1-$B$27))</f>
        <v/>
      </c>
      <c r="U163">
        <f>0.6105*EXP(17.27*T163/(T163+237.3))</f>
        <v/>
      </c>
      <c r="V163">
        <f>($B$14*(I163*C163+IF(ABS((D163+0.1)-D163)&lt;0.000000001,4*$B$19*$B$20*(D163+273)^3,$B$19*$B$20*(((D163+0.1)+273)^4-(D163+273)^4)/((D163+0.1)-D163))*D163)+T163/H163)/($B$14*(I163+IF(ABS((D163+0.1)-D163)&lt;0.000000001,4*$B$19*$B$20*(D163+273)^3,$B$19*$B$20*(((D163+0.1)+273)^4-(D163+273)^4)/((D163+0.1)-D163)))+1/H163)</f>
        <v/>
      </c>
      <c r="W163">
        <f>($B$14*(I163*C163+IF(ABS(V163-D163)&lt;0.000000001,4*$B$19*$B$20*(D163+273)^3,$B$19*$B$20*((V163+273)^4-(D163+273)^4)/(V163-D163))*D163)+T163/H163)/($B$14*(I163+IF(ABS(V163-D163)&lt;0.000000001,4*$B$19*$B$20*(D163+273)^3,$B$19*$B$20*((V163+273)^4-(D163+273)^4)/(V163-D163)))+1/H163)</f>
        <v/>
      </c>
      <c r="X163">
        <f>($B$14*(I163*C163+IF(ABS(W163-D163)&lt;0.000000001,4*$B$19*$B$20*(D163+273)^3,$B$19*$B$20*((W163+273)^4-(D163+273)^4)/(W163-D163))*D163)+T163/H163)/($B$14*(I163+IF(ABS(W163-D163)&lt;0.000000001,4*$B$19*$B$20*(D163+273)^3,$B$19*$B$20*((W163+273)^4-(D163+273)^4)/(W163-D163)))+1/H163)</f>
        <v/>
      </c>
      <c r="Y163">
        <f>($B$14*(I163*C163+IF(ABS(X163-D163)&lt;0.000000001,4*$B$19*$B$20*(D163+273)^3,$B$19*$B$20*((X163+273)^4-(D163+273)^4)/(X163-D163))*D163)+T163/H163)/($B$14*(I163+IF(ABS(X163-D163)&lt;0.000000001,4*$B$19*$B$20*(D163+273)^3,$B$19*$B$20*((X163+273)^4-(D163+273)^4)/(X163-D163)))+1/H163)</f>
        <v/>
      </c>
      <c r="Z163">
        <f>IF(ABS(Y163-D163)&lt;0.000000001,4*$B$19*$B$20*(D163+273)^3,$B$19*$B$20*((Y163+273)^4-(D163+273)^4)/(Y163-D163))</f>
        <v/>
      </c>
      <c r="AA163">
        <f>$B$14*I163*(Y163-C163)</f>
        <v/>
      </c>
      <c r="AB163">
        <f>$B$14*Z163*(Y163-D163)</f>
        <v/>
      </c>
      <c r="AC163">
        <f>IF((U163-E163)/G163=0,0.001,(U163-E163)/G163)</f>
        <v/>
      </c>
      <c r="AD163">
        <f>F163-P163-J163-K163-AA163-AB163</f>
        <v/>
      </c>
      <c r="AE163">
        <f>AD163/AC163</f>
        <v/>
      </c>
      <c r="AF163">
        <f>IF(AD163&lt;=0,0,IF(AC163&lt;=0,$B$11,IF(AE163&gt;=1.7,$B$11,MIN(AD163/MAX(0.05,IF(AE163&gt;1,(2-AE163)^2/2,1-AE163^2/2)),$B$11))))</f>
        <v/>
      </c>
      <c r="AG163">
        <f>AG162*$B$28+AF163*(1-$B$28)</f>
        <v/>
      </c>
      <c r="AH163">
        <f>IF(AND(AD163&gt;0,AC163&lt;=0),0,AC163)</f>
        <v/>
      </c>
      <c r="AI163">
        <f>AH163/MAX(AG163,0.000001)</f>
        <v/>
      </c>
      <c r="AJ163">
        <f>MIN(IF(AI163&gt;=0.5,-AI163+SQRT(AI163^2+2),1),$B$12)</f>
        <v/>
      </c>
      <c r="AK163">
        <f>IF(AG163&lt;=0,0,AJ163*AH163)</f>
        <v/>
      </c>
      <c r="AL163">
        <f>IF(AD163&lt;=0,0,AD163)</f>
        <v/>
      </c>
      <c r="AM163">
        <f>AL163-AK163+P163</f>
        <v/>
      </c>
      <c r="AN163">
        <f>((AM163/$B$7+T162*AS162/2-T163*MAX(0.1,MIN(0.3,0.3-0.09*(AR162-36.8)))/2)+AR162*(1-AS162/2))/(1-MAX(0.1,MIN(0.3,0.3-0.09*(AR162-36.8)))/2)</f>
        <v/>
      </c>
      <c r="AO163">
        <f>((AM163/$B$7+T162*AS162/2-T163*MAX(0.1,MIN(0.3,0.3-0.09*(AN163-36.8)))/2)+AR162*(1-AS162/2))/(1-MAX(0.1,MIN(0.3,0.3-0.09*(AN163-36.8)))/2)</f>
        <v/>
      </c>
      <c r="AP163">
        <f>((AM163/$B$7+T162*AS162/2-T163*MAX(0.1,MIN(0.3,0.3-0.09*(AO163-36.8)))/2)+AR162*(1-AS162/2))/(1-MAX(0.1,MIN(0.3,0.3-0.09*(AO163-36.8)))/2)</f>
        <v/>
      </c>
      <c r="AQ163">
        <f>((AM163/$B$7+T162*AS162/2-T163*MAX(0.1,MIN(0.3,0.3-0.09*(AP163-36.8)))/2)+AR162*(1-AS162/2))/(1-MAX(0.1,MIN(0.3,0.3-0.09*(AP163-36.8)))/2)</f>
        <v/>
      </c>
      <c r="AR163">
        <f>((AM163/$B$7+T162*AS162/2-T163*MAX(0.1,MIN(0.3,0.3-0.09*(AQ163-36.8)))/2)+AR162*(1-AS162/2))/(1-MAX(0.1,MIN(0.3,0.3-0.09*(AQ163-36.8)))/2)</f>
        <v/>
      </c>
      <c r="AS163">
        <f>MAX(0.1,MIN(0.3,0.3-0.09*(AR163-36.8)))</f>
        <v/>
      </c>
      <c r="AT163">
        <f>AT162+(2*AR163-1.962*AT162-1.31)/9</f>
        <v/>
      </c>
      <c r="AU163">
        <f>AU162+AG163+K163</f>
        <v/>
      </c>
      <c r="AV163">
        <f>AU163*2.67*$B$6/1.8/60</f>
        <v/>
      </c>
      <c r="AW163">
        <f>IF(AT163&gt;=$B$36,1,0)</f>
        <v/>
      </c>
      <c r="AX163">
        <f>IF(AV163&gt;=$B$21,1,0)</f>
        <v/>
      </c>
    </row>
    <row r="164">
      <c r="A164" t="n">
        <v>91</v>
      </c>
      <c r="B164">
        <f>MATCH(A164-1,$D$61:$D$68,1)</f>
        <v/>
      </c>
      <c r="C164">
        <f>INDEX($G$61:$G$68,B164)</f>
        <v/>
      </c>
      <c r="D164">
        <f>INDEX($L$61:$L$68,B164)</f>
        <v/>
      </c>
      <c r="E164">
        <f>INDEX($M$61:$M$68,B164)</f>
        <v/>
      </c>
      <c r="F164">
        <f>INDEX($N$61:$N$68,B164)</f>
        <v/>
      </c>
      <c r="G164">
        <f>INDEX($AA$61:$AA$68,B164)</f>
        <v/>
      </c>
      <c r="H164">
        <f>INDEX($X$61:$X$68,B164)</f>
        <v/>
      </c>
      <c r="I164">
        <f>INDEX($AF$61:$AF$68,B164)</f>
        <v/>
      </c>
      <c r="J164">
        <f>INDEX($AC$61:$AC$68,B164)</f>
        <v/>
      </c>
      <c r="K164">
        <f>INDEX($AD$61:$AD$68,B164)</f>
        <v/>
      </c>
      <c r="L164">
        <f>INDEX($AG$61:$AG$68,B164)</f>
        <v/>
      </c>
      <c r="M164">
        <f>INDEX($AH$61:$AH$68,B164)</f>
        <v/>
      </c>
      <c r="N164">
        <f>INDEX($AI$61:$AI$68,B164)</f>
        <v/>
      </c>
      <c r="O164">
        <f>O163*$B$26+L164*(1-$B$26)</f>
        <v/>
      </c>
      <c r="P164">
        <f>$B$7*(O164-O163)*(1-AS163)</f>
        <v/>
      </c>
      <c r="Q164">
        <f>M164+0.51274*AT163</f>
        <v/>
      </c>
      <c r="R164">
        <f>N164+0.616*AT163</f>
        <v/>
      </c>
      <c r="S164">
        <f>IF($B$13&gt;=0.6,Q164,IF($B$13&lt;=0.2,R164,R164+2.5*(Q164-R164)*($B$13-0.2)))</f>
        <v/>
      </c>
      <c r="T164">
        <f>IF(A164=1,S164,T163*$B$27+S164*(1-$B$27))</f>
        <v/>
      </c>
      <c r="U164">
        <f>0.6105*EXP(17.27*T164/(T164+237.3))</f>
        <v/>
      </c>
      <c r="V164">
        <f>($B$14*(I164*C164+IF(ABS((D164+0.1)-D164)&lt;0.000000001,4*$B$19*$B$20*(D164+273)^3,$B$19*$B$20*(((D164+0.1)+273)^4-(D164+273)^4)/((D164+0.1)-D164))*D164)+T164/H164)/($B$14*(I164+IF(ABS((D164+0.1)-D164)&lt;0.000000001,4*$B$19*$B$20*(D164+273)^3,$B$19*$B$20*(((D164+0.1)+273)^4-(D164+273)^4)/((D164+0.1)-D164)))+1/H164)</f>
        <v/>
      </c>
      <c r="W164">
        <f>($B$14*(I164*C164+IF(ABS(V164-D164)&lt;0.000000001,4*$B$19*$B$20*(D164+273)^3,$B$19*$B$20*((V164+273)^4-(D164+273)^4)/(V164-D164))*D164)+T164/H164)/($B$14*(I164+IF(ABS(V164-D164)&lt;0.000000001,4*$B$19*$B$20*(D164+273)^3,$B$19*$B$20*((V164+273)^4-(D164+273)^4)/(V164-D164)))+1/H164)</f>
        <v/>
      </c>
      <c r="X164">
        <f>($B$14*(I164*C164+IF(ABS(W164-D164)&lt;0.000000001,4*$B$19*$B$20*(D164+273)^3,$B$19*$B$20*((W164+273)^4-(D164+273)^4)/(W164-D164))*D164)+T164/H164)/($B$14*(I164+IF(ABS(W164-D164)&lt;0.000000001,4*$B$19*$B$20*(D164+273)^3,$B$19*$B$20*((W164+273)^4-(D164+273)^4)/(W164-D164)))+1/H164)</f>
        <v/>
      </c>
      <c r="Y164">
        <f>($B$14*(I164*C164+IF(ABS(X164-D164)&lt;0.000000001,4*$B$19*$B$20*(D164+273)^3,$B$19*$B$20*((X164+273)^4-(D164+273)^4)/(X164-D164))*D164)+T164/H164)/($B$14*(I164+IF(ABS(X164-D164)&lt;0.000000001,4*$B$19*$B$20*(D164+273)^3,$B$19*$B$20*((X164+273)^4-(D164+273)^4)/(X164-D164)))+1/H164)</f>
        <v/>
      </c>
      <c r="Z164">
        <f>IF(ABS(Y164-D164)&lt;0.000000001,4*$B$19*$B$20*(D164+273)^3,$B$19*$B$20*((Y164+273)^4-(D164+273)^4)/(Y164-D164))</f>
        <v/>
      </c>
      <c r="AA164">
        <f>$B$14*I164*(Y164-C164)</f>
        <v/>
      </c>
      <c r="AB164">
        <f>$B$14*Z164*(Y164-D164)</f>
        <v/>
      </c>
      <c r="AC164">
        <f>IF((U164-E164)/G164=0,0.001,(U164-E164)/G164)</f>
        <v/>
      </c>
      <c r="AD164">
        <f>F164-P164-J164-K164-AA164-AB164</f>
        <v/>
      </c>
      <c r="AE164">
        <f>AD164/AC164</f>
        <v/>
      </c>
      <c r="AF164">
        <f>IF(AD164&lt;=0,0,IF(AC164&lt;=0,$B$11,IF(AE164&gt;=1.7,$B$11,MIN(AD164/MAX(0.05,IF(AE164&gt;1,(2-AE164)^2/2,1-AE164^2/2)),$B$11))))</f>
        <v/>
      </c>
      <c r="AG164">
        <f>AG163*$B$28+AF164*(1-$B$28)</f>
        <v/>
      </c>
      <c r="AH164">
        <f>IF(AND(AD164&gt;0,AC164&lt;=0),0,AC164)</f>
        <v/>
      </c>
      <c r="AI164">
        <f>AH164/MAX(AG164,0.000001)</f>
        <v/>
      </c>
      <c r="AJ164">
        <f>MIN(IF(AI164&gt;=0.5,-AI164+SQRT(AI164^2+2),1),$B$12)</f>
        <v/>
      </c>
      <c r="AK164">
        <f>IF(AG164&lt;=0,0,AJ164*AH164)</f>
        <v/>
      </c>
      <c r="AL164">
        <f>IF(AD164&lt;=0,0,AD164)</f>
        <v/>
      </c>
      <c r="AM164">
        <f>AL164-AK164+P164</f>
        <v/>
      </c>
      <c r="AN164">
        <f>((AM164/$B$7+T163*AS163/2-T164*MAX(0.1,MIN(0.3,0.3-0.09*(AR163-36.8)))/2)+AR163*(1-AS163/2))/(1-MAX(0.1,MIN(0.3,0.3-0.09*(AR163-36.8)))/2)</f>
        <v/>
      </c>
      <c r="AO164">
        <f>((AM164/$B$7+T163*AS163/2-T164*MAX(0.1,MIN(0.3,0.3-0.09*(AN164-36.8)))/2)+AR163*(1-AS163/2))/(1-MAX(0.1,MIN(0.3,0.3-0.09*(AN164-36.8)))/2)</f>
        <v/>
      </c>
      <c r="AP164">
        <f>((AM164/$B$7+T163*AS163/2-T164*MAX(0.1,MIN(0.3,0.3-0.09*(AO164-36.8)))/2)+AR163*(1-AS163/2))/(1-MAX(0.1,MIN(0.3,0.3-0.09*(AO164-36.8)))/2)</f>
        <v/>
      </c>
      <c r="AQ164">
        <f>((AM164/$B$7+T163*AS163/2-T164*MAX(0.1,MIN(0.3,0.3-0.09*(AP164-36.8)))/2)+AR163*(1-AS163/2))/(1-MAX(0.1,MIN(0.3,0.3-0.09*(AP164-36.8)))/2)</f>
        <v/>
      </c>
      <c r="AR164">
        <f>((AM164/$B$7+T163*AS163/2-T164*MAX(0.1,MIN(0.3,0.3-0.09*(AQ164-36.8)))/2)+AR163*(1-AS163/2))/(1-MAX(0.1,MIN(0.3,0.3-0.09*(AQ164-36.8)))/2)</f>
        <v/>
      </c>
      <c r="AS164">
        <f>MAX(0.1,MIN(0.3,0.3-0.09*(AR164-36.8)))</f>
        <v/>
      </c>
      <c r="AT164">
        <f>AT163+(2*AR164-1.962*AT163-1.31)/9</f>
        <v/>
      </c>
      <c r="AU164">
        <f>AU163+AG164+K164</f>
        <v/>
      </c>
      <c r="AV164">
        <f>AU164*2.67*$B$6/1.8/60</f>
        <v/>
      </c>
      <c r="AW164">
        <f>IF(AT164&gt;=$B$36,1,0)</f>
        <v/>
      </c>
      <c r="AX164">
        <f>IF(AV164&gt;=$B$21,1,0)</f>
        <v/>
      </c>
    </row>
    <row r="165">
      <c r="A165" t="n">
        <v>92</v>
      </c>
      <c r="B165">
        <f>MATCH(A165-1,$D$61:$D$68,1)</f>
        <v/>
      </c>
      <c r="C165">
        <f>INDEX($G$61:$G$68,B165)</f>
        <v/>
      </c>
      <c r="D165">
        <f>INDEX($L$61:$L$68,B165)</f>
        <v/>
      </c>
      <c r="E165">
        <f>INDEX($M$61:$M$68,B165)</f>
        <v/>
      </c>
      <c r="F165">
        <f>INDEX($N$61:$N$68,B165)</f>
        <v/>
      </c>
      <c r="G165">
        <f>INDEX($AA$61:$AA$68,B165)</f>
        <v/>
      </c>
      <c r="H165">
        <f>INDEX($X$61:$X$68,B165)</f>
        <v/>
      </c>
      <c r="I165">
        <f>INDEX($AF$61:$AF$68,B165)</f>
        <v/>
      </c>
      <c r="J165">
        <f>INDEX($AC$61:$AC$68,B165)</f>
        <v/>
      </c>
      <c r="K165">
        <f>INDEX($AD$61:$AD$68,B165)</f>
        <v/>
      </c>
      <c r="L165">
        <f>INDEX($AG$61:$AG$68,B165)</f>
        <v/>
      </c>
      <c r="M165">
        <f>INDEX($AH$61:$AH$68,B165)</f>
        <v/>
      </c>
      <c r="N165">
        <f>INDEX($AI$61:$AI$68,B165)</f>
        <v/>
      </c>
      <c r="O165">
        <f>O164*$B$26+L165*(1-$B$26)</f>
        <v/>
      </c>
      <c r="P165">
        <f>$B$7*(O165-O164)*(1-AS164)</f>
        <v/>
      </c>
      <c r="Q165">
        <f>M165+0.51274*AT164</f>
        <v/>
      </c>
      <c r="R165">
        <f>N165+0.616*AT164</f>
        <v/>
      </c>
      <c r="S165">
        <f>IF($B$13&gt;=0.6,Q165,IF($B$13&lt;=0.2,R165,R165+2.5*(Q165-R165)*($B$13-0.2)))</f>
        <v/>
      </c>
      <c r="T165">
        <f>IF(A165=1,S165,T164*$B$27+S165*(1-$B$27))</f>
        <v/>
      </c>
      <c r="U165">
        <f>0.6105*EXP(17.27*T165/(T165+237.3))</f>
        <v/>
      </c>
      <c r="V165">
        <f>($B$14*(I165*C165+IF(ABS((D165+0.1)-D165)&lt;0.000000001,4*$B$19*$B$20*(D165+273)^3,$B$19*$B$20*(((D165+0.1)+273)^4-(D165+273)^4)/((D165+0.1)-D165))*D165)+T165/H165)/($B$14*(I165+IF(ABS((D165+0.1)-D165)&lt;0.000000001,4*$B$19*$B$20*(D165+273)^3,$B$19*$B$20*(((D165+0.1)+273)^4-(D165+273)^4)/((D165+0.1)-D165)))+1/H165)</f>
        <v/>
      </c>
      <c r="W165">
        <f>($B$14*(I165*C165+IF(ABS(V165-D165)&lt;0.000000001,4*$B$19*$B$20*(D165+273)^3,$B$19*$B$20*((V165+273)^4-(D165+273)^4)/(V165-D165))*D165)+T165/H165)/($B$14*(I165+IF(ABS(V165-D165)&lt;0.000000001,4*$B$19*$B$20*(D165+273)^3,$B$19*$B$20*((V165+273)^4-(D165+273)^4)/(V165-D165)))+1/H165)</f>
        <v/>
      </c>
      <c r="X165">
        <f>($B$14*(I165*C165+IF(ABS(W165-D165)&lt;0.000000001,4*$B$19*$B$20*(D165+273)^3,$B$19*$B$20*((W165+273)^4-(D165+273)^4)/(W165-D165))*D165)+T165/H165)/($B$14*(I165+IF(ABS(W165-D165)&lt;0.000000001,4*$B$19*$B$20*(D165+273)^3,$B$19*$B$20*((W165+273)^4-(D165+273)^4)/(W165-D165)))+1/H165)</f>
        <v/>
      </c>
      <c r="Y165">
        <f>($B$14*(I165*C165+IF(ABS(X165-D165)&lt;0.000000001,4*$B$19*$B$20*(D165+273)^3,$B$19*$B$20*((X165+273)^4-(D165+273)^4)/(X165-D165))*D165)+T165/H165)/($B$14*(I165+IF(ABS(X165-D165)&lt;0.000000001,4*$B$19*$B$20*(D165+273)^3,$B$19*$B$20*((X165+273)^4-(D165+273)^4)/(X165-D165)))+1/H165)</f>
        <v/>
      </c>
      <c r="Z165">
        <f>IF(ABS(Y165-D165)&lt;0.000000001,4*$B$19*$B$20*(D165+273)^3,$B$19*$B$20*((Y165+273)^4-(D165+273)^4)/(Y165-D165))</f>
        <v/>
      </c>
      <c r="AA165">
        <f>$B$14*I165*(Y165-C165)</f>
        <v/>
      </c>
      <c r="AB165">
        <f>$B$14*Z165*(Y165-D165)</f>
        <v/>
      </c>
      <c r="AC165">
        <f>IF((U165-E165)/G165=0,0.001,(U165-E165)/G165)</f>
        <v/>
      </c>
      <c r="AD165">
        <f>F165-P165-J165-K165-AA165-AB165</f>
        <v/>
      </c>
      <c r="AE165">
        <f>AD165/AC165</f>
        <v/>
      </c>
      <c r="AF165">
        <f>IF(AD165&lt;=0,0,IF(AC165&lt;=0,$B$11,IF(AE165&gt;=1.7,$B$11,MIN(AD165/MAX(0.05,IF(AE165&gt;1,(2-AE165)^2/2,1-AE165^2/2)),$B$11))))</f>
        <v/>
      </c>
      <c r="AG165">
        <f>AG164*$B$28+AF165*(1-$B$28)</f>
        <v/>
      </c>
      <c r="AH165">
        <f>IF(AND(AD165&gt;0,AC165&lt;=0),0,AC165)</f>
        <v/>
      </c>
      <c r="AI165">
        <f>AH165/MAX(AG165,0.000001)</f>
        <v/>
      </c>
      <c r="AJ165">
        <f>MIN(IF(AI165&gt;=0.5,-AI165+SQRT(AI165^2+2),1),$B$12)</f>
        <v/>
      </c>
      <c r="AK165">
        <f>IF(AG165&lt;=0,0,AJ165*AH165)</f>
        <v/>
      </c>
      <c r="AL165">
        <f>IF(AD165&lt;=0,0,AD165)</f>
        <v/>
      </c>
      <c r="AM165">
        <f>AL165-AK165+P165</f>
        <v/>
      </c>
      <c r="AN165">
        <f>((AM165/$B$7+T164*AS164/2-T165*MAX(0.1,MIN(0.3,0.3-0.09*(AR164-36.8)))/2)+AR164*(1-AS164/2))/(1-MAX(0.1,MIN(0.3,0.3-0.09*(AR164-36.8)))/2)</f>
        <v/>
      </c>
      <c r="AO165">
        <f>((AM165/$B$7+T164*AS164/2-T165*MAX(0.1,MIN(0.3,0.3-0.09*(AN165-36.8)))/2)+AR164*(1-AS164/2))/(1-MAX(0.1,MIN(0.3,0.3-0.09*(AN165-36.8)))/2)</f>
        <v/>
      </c>
      <c r="AP165">
        <f>((AM165/$B$7+T164*AS164/2-T165*MAX(0.1,MIN(0.3,0.3-0.09*(AO165-36.8)))/2)+AR164*(1-AS164/2))/(1-MAX(0.1,MIN(0.3,0.3-0.09*(AO165-36.8)))/2)</f>
        <v/>
      </c>
      <c r="AQ165">
        <f>((AM165/$B$7+T164*AS164/2-T165*MAX(0.1,MIN(0.3,0.3-0.09*(AP165-36.8)))/2)+AR164*(1-AS164/2))/(1-MAX(0.1,MIN(0.3,0.3-0.09*(AP165-36.8)))/2)</f>
        <v/>
      </c>
      <c r="AR165">
        <f>((AM165/$B$7+T164*AS164/2-T165*MAX(0.1,MIN(0.3,0.3-0.09*(AQ165-36.8)))/2)+AR164*(1-AS164/2))/(1-MAX(0.1,MIN(0.3,0.3-0.09*(AQ165-36.8)))/2)</f>
        <v/>
      </c>
      <c r="AS165">
        <f>MAX(0.1,MIN(0.3,0.3-0.09*(AR165-36.8)))</f>
        <v/>
      </c>
      <c r="AT165">
        <f>AT164+(2*AR165-1.962*AT164-1.31)/9</f>
        <v/>
      </c>
      <c r="AU165">
        <f>AU164+AG165+K165</f>
        <v/>
      </c>
      <c r="AV165">
        <f>AU165*2.67*$B$6/1.8/60</f>
        <v/>
      </c>
      <c r="AW165">
        <f>IF(AT165&gt;=$B$36,1,0)</f>
        <v/>
      </c>
      <c r="AX165">
        <f>IF(AV165&gt;=$B$21,1,0)</f>
        <v/>
      </c>
    </row>
    <row r="166">
      <c r="A166" t="n">
        <v>93</v>
      </c>
      <c r="B166">
        <f>MATCH(A166-1,$D$61:$D$68,1)</f>
        <v/>
      </c>
      <c r="C166">
        <f>INDEX($G$61:$G$68,B166)</f>
        <v/>
      </c>
      <c r="D166">
        <f>INDEX($L$61:$L$68,B166)</f>
        <v/>
      </c>
      <c r="E166">
        <f>INDEX($M$61:$M$68,B166)</f>
        <v/>
      </c>
      <c r="F166">
        <f>INDEX($N$61:$N$68,B166)</f>
        <v/>
      </c>
      <c r="G166">
        <f>INDEX($AA$61:$AA$68,B166)</f>
        <v/>
      </c>
      <c r="H166">
        <f>INDEX($X$61:$X$68,B166)</f>
        <v/>
      </c>
      <c r="I166">
        <f>INDEX($AF$61:$AF$68,B166)</f>
        <v/>
      </c>
      <c r="J166">
        <f>INDEX($AC$61:$AC$68,B166)</f>
        <v/>
      </c>
      <c r="K166">
        <f>INDEX($AD$61:$AD$68,B166)</f>
        <v/>
      </c>
      <c r="L166">
        <f>INDEX($AG$61:$AG$68,B166)</f>
        <v/>
      </c>
      <c r="M166">
        <f>INDEX($AH$61:$AH$68,B166)</f>
        <v/>
      </c>
      <c r="N166">
        <f>INDEX($AI$61:$AI$68,B166)</f>
        <v/>
      </c>
      <c r="O166">
        <f>O165*$B$26+L166*(1-$B$26)</f>
        <v/>
      </c>
      <c r="P166">
        <f>$B$7*(O166-O165)*(1-AS165)</f>
        <v/>
      </c>
      <c r="Q166">
        <f>M166+0.51274*AT165</f>
        <v/>
      </c>
      <c r="R166">
        <f>N166+0.616*AT165</f>
        <v/>
      </c>
      <c r="S166">
        <f>IF($B$13&gt;=0.6,Q166,IF($B$13&lt;=0.2,R166,R166+2.5*(Q166-R166)*($B$13-0.2)))</f>
        <v/>
      </c>
      <c r="T166">
        <f>IF(A166=1,S166,T165*$B$27+S166*(1-$B$27))</f>
        <v/>
      </c>
      <c r="U166">
        <f>0.6105*EXP(17.27*T166/(T166+237.3))</f>
        <v/>
      </c>
      <c r="V166">
        <f>($B$14*(I166*C166+IF(ABS((D166+0.1)-D166)&lt;0.000000001,4*$B$19*$B$20*(D166+273)^3,$B$19*$B$20*(((D166+0.1)+273)^4-(D166+273)^4)/((D166+0.1)-D166))*D166)+T166/H166)/($B$14*(I166+IF(ABS((D166+0.1)-D166)&lt;0.000000001,4*$B$19*$B$20*(D166+273)^3,$B$19*$B$20*(((D166+0.1)+273)^4-(D166+273)^4)/((D166+0.1)-D166)))+1/H166)</f>
        <v/>
      </c>
      <c r="W166">
        <f>($B$14*(I166*C166+IF(ABS(V166-D166)&lt;0.000000001,4*$B$19*$B$20*(D166+273)^3,$B$19*$B$20*((V166+273)^4-(D166+273)^4)/(V166-D166))*D166)+T166/H166)/($B$14*(I166+IF(ABS(V166-D166)&lt;0.000000001,4*$B$19*$B$20*(D166+273)^3,$B$19*$B$20*((V166+273)^4-(D166+273)^4)/(V166-D166)))+1/H166)</f>
        <v/>
      </c>
      <c r="X166">
        <f>($B$14*(I166*C166+IF(ABS(W166-D166)&lt;0.000000001,4*$B$19*$B$20*(D166+273)^3,$B$19*$B$20*((W166+273)^4-(D166+273)^4)/(W166-D166))*D166)+T166/H166)/($B$14*(I166+IF(ABS(W166-D166)&lt;0.000000001,4*$B$19*$B$20*(D166+273)^3,$B$19*$B$20*((W166+273)^4-(D166+273)^4)/(W166-D166)))+1/H166)</f>
        <v/>
      </c>
      <c r="Y166">
        <f>($B$14*(I166*C166+IF(ABS(X166-D166)&lt;0.000000001,4*$B$19*$B$20*(D166+273)^3,$B$19*$B$20*((X166+273)^4-(D166+273)^4)/(X166-D166))*D166)+T166/H166)/($B$14*(I166+IF(ABS(X166-D166)&lt;0.000000001,4*$B$19*$B$20*(D166+273)^3,$B$19*$B$20*((X166+273)^4-(D166+273)^4)/(X166-D166)))+1/H166)</f>
        <v/>
      </c>
      <c r="Z166">
        <f>IF(ABS(Y166-D166)&lt;0.000000001,4*$B$19*$B$20*(D166+273)^3,$B$19*$B$20*((Y166+273)^4-(D166+273)^4)/(Y166-D166))</f>
        <v/>
      </c>
      <c r="AA166">
        <f>$B$14*I166*(Y166-C166)</f>
        <v/>
      </c>
      <c r="AB166">
        <f>$B$14*Z166*(Y166-D166)</f>
        <v/>
      </c>
      <c r="AC166">
        <f>IF((U166-E166)/G166=0,0.001,(U166-E166)/G166)</f>
        <v/>
      </c>
      <c r="AD166">
        <f>F166-P166-J166-K166-AA166-AB166</f>
        <v/>
      </c>
      <c r="AE166">
        <f>AD166/AC166</f>
        <v/>
      </c>
      <c r="AF166">
        <f>IF(AD166&lt;=0,0,IF(AC166&lt;=0,$B$11,IF(AE166&gt;=1.7,$B$11,MIN(AD166/MAX(0.05,IF(AE166&gt;1,(2-AE166)^2/2,1-AE166^2/2)),$B$11))))</f>
        <v/>
      </c>
      <c r="AG166">
        <f>AG165*$B$28+AF166*(1-$B$28)</f>
        <v/>
      </c>
      <c r="AH166">
        <f>IF(AND(AD166&gt;0,AC166&lt;=0),0,AC166)</f>
        <v/>
      </c>
      <c r="AI166">
        <f>AH166/MAX(AG166,0.000001)</f>
        <v/>
      </c>
      <c r="AJ166">
        <f>MIN(IF(AI166&gt;=0.5,-AI166+SQRT(AI166^2+2),1),$B$12)</f>
        <v/>
      </c>
      <c r="AK166">
        <f>IF(AG166&lt;=0,0,AJ166*AH166)</f>
        <v/>
      </c>
      <c r="AL166">
        <f>IF(AD166&lt;=0,0,AD166)</f>
        <v/>
      </c>
      <c r="AM166">
        <f>AL166-AK166+P166</f>
        <v/>
      </c>
      <c r="AN166">
        <f>((AM166/$B$7+T165*AS165/2-T166*MAX(0.1,MIN(0.3,0.3-0.09*(AR165-36.8)))/2)+AR165*(1-AS165/2))/(1-MAX(0.1,MIN(0.3,0.3-0.09*(AR165-36.8)))/2)</f>
        <v/>
      </c>
      <c r="AO166">
        <f>((AM166/$B$7+T165*AS165/2-T166*MAX(0.1,MIN(0.3,0.3-0.09*(AN166-36.8)))/2)+AR165*(1-AS165/2))/(1-MAX(0.1,MIN(0.3,0.3-0.09*(AN166-36.8)))/2)</f>
        <v/>
      </c>
      <c r="AP166">
        <f>((AM166/$B$7+T165*AS165/2-T166*MAX(0.1,MIN(0.3,0.3-0.09*(AO166-36.8)))/2)+AR165*(1-AS165/2))/(1-MAX(0.1,MIN(0.3,0.3-0.09*(AO166-36.8)))/2)</f>
        <v/>
      </c>
      <c r="AQ166">
        <f>((AM166/$B$7+T165*AS165/2-T166*MAX(0.1,MIN(0.3,0.3-0.09*(AP166-36.8)))/2)+AR165*(1-AS165/2))/(1-MAX(0.1,MIN(0.3,0.3-0.09*(AP166-36.8)))/2)</f>
        <v/>
      </c>
      <c r="AR166">
        <f>((AM166/$B$7+T165*AS165/2-T166*MAX(0.1,MIN(0.3,0.3-0.09*(AQ166-36.8)))/2)+AR165*(1-AS165/2))/(1-MAX(0.1,MIN(0.3,0.3-0.09*(AQ166-36.8)))/2)</f>
        <v/>
      </c>
      <c r="AS166">
        <f>MAX(0.1,MIN(0.3,0.3-0.09*(AR166-36.8)))</f>
        <v/>
      </c>
      <c r="AT166">
        <f>AT165+(2*AR166-1.962*AT165-1.31)/9</f>
        <v/>
      </c>
      <c r="AU166">
        <f>AU165+AG166+K166</f>
        <v/>
      </c>
      <c r="AV166">
        <f>AU166*2.67*$B$6/1.8/60</f>
        <v/>
      </c>
      <c r="AW166">
        <f>IF(AT166&gt;=$B$36,1,0)</f>
        <v/>
      </c>
      <c r="AX166">
        <f>IF(AV166&gt;=$B$21,1,0)</f>
        <v/>
      </c>
    </row>
    <row r="167">
      <c r="A167" t="n">
        <v>94</v>
      </c>
      <c r="B167">
        <f>MATCH(A167-1,$D$61:$D$68,1)</f>
        <v/>
      </c>
      <c r="C167">
        <f>INDEX($G$61:$G$68,B167)</f>
        <v/>
      </c>
      <c r="D167">
        <f>INDEX($L$61:$L$68,B167)</f>
        <v/>
      </c>
      <c r="E167">
        <f>INDEX($M$61:$M$68,B167)</f>
        <v/>
      </c>
      <c r="F167">
        <f>INDEX($N$61:$N$68,B167)</f>
        <v/>
      </c>
      <c r="G167">
        <f>INDEX($AA$61:$AA$68,B167)</f>
        <v/>
      </c>
      <c r="H167">
        <f>INDEX($X$61:$X$68,B167)</f>
        <v/>
      </c>
      <c r="I167">
        <f>INDEX($AF$61:$AF$68,B167)</f>
        <v/>
      </c>
      <c r="J167">
        <f>INDEX($AC$61:$AC$68,B167)</f>
        <v/>
      </c>
      <c r="K167">
        <f>INDEX($AD$61:$AD$68,B167)</f>
        <v/>
      </c>
      <c r="L167">
        <f>INDEX($AG$61:$AG$68,B167)</f>
        <v/>
      </c>
      <c r="M167">
        <f>INDEX($AH$61:$AH$68,B167)</f>
        <v/>
      </c>
      <c r="N167">
        <f>INDEX($AI$61:$AI$68,B167)</f>
        <v/>
      </c>
      <c r="O167">
        <f>O166*$B$26+L167*(1-$B$26)</f>
        <v/>
      </c>
      <c r="P167">
        <f>$B$7*(O167-O166)*(1-AS166)</f>
        <v/>
      </c>
      <c r="Q167">
        <f>M167+0.51274*AT166</f>
        <v/>
      </c>
      <c r="R167">
        <f>N167+0.616*AT166</f>
        <v/>
      </c>
      <c r="S167">
        <f>IF($B$13&gt;=0.6,Q167,IF($B$13&lt;=0.2,R167,R167+2.5*(Q167-R167)*($B$13-0.2)))</f>
        <v/>
      </c>
      <c r="T167">
        <f>IF(A167=1,S167,T166*$B$27+S167*(1-$B$27))</f>
        <v/>
      </c>
      <c r="U167">
        <f>0.6105*EXP(17.27*T167/(T167+237.3))</f>
        <v/>
      </c>
      <c r="V167">
        <f>($B$14*(I167*C167+IF(ABS((D167+0.1)-D167)&lt;0.000000001,4*$B$19*$B$20*(D167+273)^3,$B$19*$B$20*(((D167+0.1)+273)^4-(D167+273)^4)/((D167+0.1)-D167))*D167)+T167/H167)/($B$14*(I167+IF(ABS((D167+0.1)-D167)&lt;0.000000001,4*$B$19*$B$20*(D167+273)^3,$B$19*$B$20*(((D167+0.1)+273)^4-(D167+273)^4)/((D167+0.1)-D167)))+1/H167)</f>
        <v/>
      </c>
      <c r="W167">
        <f>($B$14*(I167*C167+IF(ABS(V167-D167)&lt;0.000000001,4*$B$19*$B$20*(D167+273)^3,$B$19*$B$20*((V167+273)^4-(D167+273)^4)/(V167-D167))*D167)+T167/H167)/($B$14*(I167+IF(ABS(V167-D167)&lt;0.000000001,4*$B$19*$B$20*(D167+273)^3,$B$19*$B$20*((V167+273)^4-(D167+273)^4)/(V167-D167)))+1/H167)</f>
        <v/>
      </c>
      <c r="X167">
        <f>($B$14*(I167*C167+IF(ABS(W167-D167)&lt;0.000000001,4*$B$19*$B$20*(D167+273)^3,$B$19*$B$20*((W167+273)^4-(D167+273)^4)/(W167-D167))*D167)+T167/H167)/($B$14*(I167+IF(ABS(W167-D167)&lt;0.000000001,4*$B$19*$B$20*(D167+273)^3,$B$19*$B$20*((W167+273)^4-(D167+273)^4)/(W167-D167)))+1/H167)</f>
        <v/>
      </c>
      <c r="Y167">
        <f>($B$14*(I167*C167+IF(ABS(X167-D167)&lt;0.000000001,4*$B$19*$B$20*(D167+273)^3,$B$19*$B$20*((X167+273)^4-(D167+273)^4)/(X167-D167))*D167)+T167/H167)/($B$14*(I167+IF(ABS(X167-D167)&lt;0.000000001,4*$B$19*$B$20*(D167+273)^3,$B$19*$B$20*((X167+273)^4-(D167+273)^4)/(X167-D167)))+1/H167)</f>
        <v/>
      </c>
      <c r="Z167">
        <f>IF(ABS(Y167-D167)&lt;0.000000001,4*$B$19*$B$20*(D167+273)^3,$B$19*$B$20*((Y167+273)^4-(D167+273)^4)/(Y167-D167))</f>
        <v/>
      </c>
      <c r="AA167">
        <f>$B$14*I167*(Y167-C167)</f>
        <v/>
      </c>
      <c r="AB167">
        <f>$B$14*Z167*(Y167-D167)</f>
        <v/>
      </c>
      <c r="AC167">
        <f>IF((U167-E167)/G167=0,0.001,(U167-E167)/G167)</f>
        <v/>
      </c>
      <c r="AD167">
        <f>F167-P167-J167-K167-AA167-AB167</f>
        <v/>
      </c>
      <c r="AE167">
        <f>AD167/AC167</f>
        <v/>
      </c>
      <c r="AF167">
        <f>IF(AD167&lt;=0,0,IF(AC167&lt;=0,$B$11,IF(AE167&gt;=1.7,$B$11,MIN(AD167/MAX(0.05,IF(AE167&gt;1,(2-AE167)^2/2,1-AE167^2/2)),$B$11))))</f>
        <v/>
      </c>
      <c r="AG167">
        <f>AG166*$B$28+AF167*(1-$B$28)</f>
        <v/>
      </c>
      <c r="AH167">
        <f>IF(AND(AD167&gt;0,AC167&lt;=0),0,AC167)</f>
        <v/>
      </c>
      <c r="AI167">
        <f>AH167/MAX(AG167,0.000001)</f>
        <v/>
      </c>
      <c r="AJ167">
        <f>MIN(IF(AI167&gt;=0.5,-AI167+SQRT(AI167^2+2),1),$B$12)</f>
        <v/>
      </c>
      <c r="AK167">
        <f>IF(AG167&lt;=0,0,AJ167*AH167)</f>
        <v/>
      </c>
      <c r="AL167">
        <f>IF(AD167&lt;=0,0,AD167)</f>
        <v/>
      </c>
      <c r="AM167">
        <f>AL167-AK167+P167</f>
        <v/>
      </c>
      <c r="AN167">
        <f>((AM167/$B$7+T166*AS166/2-T167*MAX(0.1,MIN(0.3,0.3-0.09*(AR166-36.8)))/2)+AR166*(1-AS166/2))/(1-MAX(0.1,MIN(0.3,0.3-0.09*(AR166-36.8)))/2)</f>
        <v/>
      </c>
      <c r="AO167">
        <f>((AM167/$B$7+T166*AS166/2-T167*MAX(0.1,MIN(0.3,0.3-0.09*(AN167-36.8)))/2)+AR166*(1-AS166/2))/(1-MAX(0.1,MIN(0.3,0.3-0.09*(AN167-36.8)))/2)</f>
        <v/>
      </c>
      <c r="AP167">
        <f>((AM167/$B$7+T166*AS166/2-T167*MAX(0.1,MIN(0.3,0.3-0.09*(AO167-36.8)))/2)+AR166*(1-AS166/2))/(1-MAX(0.1,MIN(0.3,0.3-0.09*(AO167-36.8)))/2)</f>
        <v/>
      </c>
      <c r="AQ167">
        <f>((AM167/$B$7+T166*AS166/2-T167*MAX(0.1,MIN(0.3,0.3-0.09*(AP167-36.8)))/2)+AR166*(1-AS166/2))/(1-MAX(0.1,MIN(0.3,0.3-0.09*(AP167-36.8)))/2)</f>
        <v/>
      </c>
      <c r="AR167">
        <f>((AM167/$B$7+T166*AS166/2-T167*MAX(0.1,MIN(0.3,0.3-0.09*(AQ167-36.8)))/2)+AR166*(1-AS166/2))/(1-MAX(0.1,MIN(0.3,0.3-0.09*(AQ167-36.8)))/2)</f>
        <v/>
      </c>
      <c r="AS167">
        <f>MAX(0.1,MIN(0.3,0.3-0.09*(AR167-36.8)))</f>
        <v/>
      </c>
      <c r="AT167">
        <f>AT166+(2*AR167-1.962*AT166-1.31)/9</f>
        <v/>
      </c>
      <c r="AU167">
        <f>AU166+AG167+K167</f>
        <v/>
      </c>
      <c r="AV167">
        <f>AU167*2.67*$B$6/1.8/60</f>
        <v/>
      </c>
      <c r="AW167">
        <f>IF(AT167&gt;=$B$36,1,0)</f>
        <v/>
      </c>
      <c r="AX167">
        <f>IF(AV167&gt;=$B$21,1,0)</f>
        <v/>
      </c>
    </row>
    <row r="168">
      <c r="A168" t="n">
        <v>95</v>
      </c>
      <c r="B168">
        <f>MATCH(A168-1,$D$61:$D$68,1)</f>
        <v/>
      </c>
      <c r="C168">
        <f>INDEX($G$61:$G$68,B168)</f>
        <v/>
      </c>
      <c r="D168">
        <f>INDEX($L$61:$L$68,B168)</f>
        <v/>
      </c>
      <c r="E168">
        <f>INDEX($M$61:$M$68,B168)</f>
        <v/>
      </c>
      <c r="F168">
        <f>INDEX($N$61:$N$68,B168)</f>
        <v/>
      </c>
      <c r="G168">
        <f>INDEX($AA$61:$AA$68,B168)</f>
        <v/>
      </c>
      <c r="H168">
        <f>INDEX($X$61:$X$68,B168)</f>
        <v/>
      </c>
      <c r="I168">
        <f>INDEX($AF$61:$AF$68,B168)</f>
        <v/>
      </c>
      <c r="J168">
        <f>INDEX($AC$61:$AC$68,B168)</f>
        <v/>
      </c>
      <c r="K168">
        <f>INDEX($AD$61:$AD$68,B168)</f>
        <v/>
      </c>
      <c r="L168">
        <f>INDEX($AG$61:$AG$68,B168)</f>
        <v/>
      </c>
      <c r="M168">
        <f>INDEX($AH$61:$AH$68,B168)</f>
        <v/>
      </c>
      <c r="N168">
        <f>INDEX($AI$61:$AI$68,B168)</f>
        <v/>
      </c>
      <c r="O168">
        <f>O167*$B$26+L168*(1-$B$26)</f>
        <v/>
      </c>
      <c r="P168">
        <f>$B$7*(O168-O167)*(1-AS167)</f>
        <v/>
      </c>
      <c r="Q168">
        <f>M168+0.51274*AT167</f>
        <v/>
      </c>
      <c r="R168">
        <f>N168+0.616*AT167</f>
        <v/>
      </c>
      <c r="S168">
        <f>IF($B$13&gt;=0.6,Q168,IF($B$13&lt;=0.2,R168,R168+2.5*(Q168-R168)*($B$13-0.2)))</f>
        <v/>
      </c>
      <c r="T168">
        <f>IF(A168=1,S168,T167*$B$27+S168*(1-$B$27))</f>
        <v/>
      </c>
      <c r="U168">
        <f>0.6105*EXP(17.27*T168/(T168+237.3))</f>
        <v/>
      </c>
      <c r="V168">
        <f>($B$14*(I168*C168+IF(ABS((D168+0.1)-D168)&lt;0.000000001,4*$B$19*$B$20*(D168+273)^3,$B$19*$B$20*(((D168+0.1)+273)^4-(D168+273)^4)/((D168+0.1)-D168))*D168)+T168/H168)/($B$14*(I168+IF(ABS((D168+0.1)-D168)&lt;0.000000001,4*$B$19*$B$20*(D168+273)^3,$B$19*$B$20*(((D168+0.1)+273)^4-(D168+273)^4)/((D168+0.1)-D168)))+1/H168)</f>
        <v/>
      </c>
      <c r="W168">
        <f>($B$14*(I168*C168+IF(ABS(V168-D168)&lt;0.000000001,4*$B$19*$B$20*(D168+273)^3,$B$19*$B$20*((V168+273)^4-(D168+273)^4)/(V168-D168))*D168)+T168/H168)/($B$14*(I168+IF(ABS(V168-D168)&lt;0.000000001,4*$B$19*$B$20*(D168+273)^3,$B$19*$B$20*((V168+273)^4-(D168+273)^4)/(V168-D168)))+1/H168)</f>
        <v/>
      </c>
      <c r="X168">
        <f>($B$14*(I168*C168+IF(ABS(W168-D168)&lt;0.000000001,4*$B$19*$B$20*(D168+273)^3,$B$19*$B$20*((W168+273)^4-(D168+273)^4)/(W168-D168))*D168)+T168/H168)/($B$14*(I168+IF(ABS(W168-D168)&lt;0.000000001,4*$B$19*$B$20*(D168+273)^3,$B$19*$B$20*((W168+273)^4-(D168+273)^4)/(W168-D168)))+1/H168)</f>
        <v/>
      </c>
      <c r="Y168">
        <f>($B$14*(I168*C168+IF(ABS(X168-D168)&lt;0.000000001,4*$B$19*$B$20*(D168+273)^3,$B$19*$B$20*((X168+273)^4-(D168+273)^4)/(X168-D168))*D168)+T168/H168)/($B$14*(I168+IF(ABS(X168-D168)&lt;0.000000001,4*$B$19*$B$20*(D168+273)^3,$B$19*$B$20*((X168+273)^4-(D168+273)^4)/(X168-D168)))+1/H168)</f>
        <v/>
      </c>
      <c r="Z168">
        <f>IF(ABS(Y168-D168)&lt;0.000000001,4*$B$19*$B$20*(D168+273)^3,$B$19*$B$20*((Y168+273)^4-(D168+273)^4)/(Y168-D168))</f>
        <v/>
      </c>
      <c r="AA168">
        <f>$B$14*I168*(Y168-C168)</f>
        <v/>
      </c>
      <c r="AB168">
        <f>$B$14*Z168*(Y168-D168)</f>
        <v/>
      </c>
      <c r="AC168">
        <f>IF((U168-E168)/G168=0,0.001,(U168-E168)/G168)</f>
        <v/>
      </c>
      <c r="AD168">
        <f>F168-P168-J168-K168-AA168-AB168</f>
        <v/>
      </c>
      <c r="AE168">
        <f>AD168/AC168</f>
        <v/>
      </c>
      <c r="AF168">
        <f>IF(AD168&lt;=0,0,IF(AC168&lt;=0,$B$11,IF(AE168&gt;=1.7,$B$11,MIN(AD168/MAX(0.05,IF(AE168&gt;1,(2-AE168)^2/2,1-AE168^2/2)),$B$11))))</f>
        <v/>
      </c>
      <c r="AG168">
        <f>AG167*$B$28+AF168*(1-$B$28)</f>
        <v/>
      </c>
      <c r="AH168">
        <f>IF(AND(AD168&gt;0,AC168&lt;=0),0,AC168)</f>
        <v/>
      </c>
      <c r="AI168">
        <f>AH168/MAX(AG168,0.000001)</f>
        <v/>
      </c>
      <c r="AJ168">
        <f>MIN(IF(AI168&gt;=0.5,-AI168+SQRT(AI168^2+2),1),$B$12)</f>
        <v/>
      </c>
      <c r="AK168">
        <f>IF(AG168&lt;=0,0,AJ168*AH168)</f>
        <v/>
      </c>
      <c r="AL168">
        <f>IF(AD168&lt;=0,0,AD168)</f>
        <v/>
      </c>
      <c r="AM168">
        <f>AL168-AK168+P168</f>
        <v/>
      </c>
      <c r="AN168">
        <f>((AM168/$B$7+T167*AS167/2-T168*MAX(0.1,MIN(0.3,0.3-0.09*(AR167-36.8)))/2)+AR167*(1-AS167/2))/(1-MAX(0.1,MIN(0.3,0.3-0.09*(AR167-36.8)))/2)</f>
        <v/>
      </c>
      <c r="AO168">
        <f>((AM168/$B$7+T167*AS167/2-T168*MAX(0.1,MIN(0.3,0.3-0.09*(AN168-36.8)))/2)+AR167*(1-AS167/2))/(1-MAX(0.1,MIN(0.3,0.3-0.09*(AN168-36.8)))/2)</f>
        <v/>
      </c>
      <c r="AP168">
        <f>((AM168/$B$7+T167*AS167/2-T168*MAX(0.1,MIN(0.3,0.3-0.09*(AO168-36.8)))/2)+AR167*(1-AS167/2))/(1-MAX(0.1,MIN(0.3,0.3-0.09*(AO168-36.8)))/2)</f>
        <v/>
      </c>
      <c r="AQ168">
        <f>((AM168/$B$7+T167*AS167/2-T168*MAX(0.1,MIN(0.3,0.3-0.09*(AP168-36.8)))/2)+AR167*(1-AS167/2))/(1-MAX(0.1,MIN(0.3,0.3-0.09*(AP168-36.8)))/2)</f>
        <v/>
      </c>
      <c r="AR168">
        <f>((AM168/$B$7+T167*AS167/2-T168*MAX(0.1,MIN(0.3,0.3-0.09*(AQ168-36.8)))/2)+AR167*(1-AS167/2))/(1-MAX(0.1,MIN(0.3,0.3-0.09*(AQ168-36.8)))/2)</f>
        <v/>
      </c>
      <c r="AS168">
        <f>MAX(0.1,MIN(0.3,0.3-0.09*(AR168-36.8)))</f>
        <v/>
      </c>
      <c r="AT168">
        <f>AT167+(2*AR168-1.962*AT167-1.31)/9</f>
        <v/>
      </c>
      <c r="AU168">
        <f>AU167+AG168+K168</f>
        <v/>
      </c>
      <c r="AV168">
        <f>AU168*2.67*$B$6/1.8/60</f>
        <v/>
      </c>
      <c r="AW168">
        <f>IF(AT168&gt;=$B$36,1,0)</f>
        <v/>
      </c>
      <c r="AX168">
        <f>IF(AV168&gt;=$B$21,1,0)</f>
        <v/>
      </c>
    </row>
    <row r="169">
      <c r="A169" t="n">
        <v>96</v>
      </c>
      <c r="B169">
        <f>MATCH(A169-1,$D$61:$D$68,1)</f>
        <v/>
      </c>
      <c r="C169">
        <f>INDEX($G$61:$G$68,B169)</f>
        <v/>
      </c>
      <c r="D169">
        <f>INDEX($L$61:$L$68,B169)</f>
        <v/>
      </c>
      <c r="E169">
        <f>INDEX($M$61:$M$68,B169)</f>
        <v/>
      </c>
      <c r="F169">
        <f>INDEX($N$61:$N$68,B169)</f>
        <v/>
      </c>
      <c r="G169">
        <f>INDEX($AA$61:$AA$68,B169)</f>
        <v/>
      </c>
      <c r="H169">
        <f>INDEX($X$61:$X$68,B169)</f>
        <v/>
      </c>
      <c r="I169">
        <f>INDEX($AF$61:$AF$68,B169)</f>
        <v/>
      </c>
      <c r="J169">
        <f>INDEX($AC$61:$AC$68,B169)</f>
        <v/>
      </c>
      <c r="K169">
        <f>INDEX($AD$61:$AD$68,B169)</f>
        <v/>
      </c>
      <c r="L169">
        <f>INDEX($AG$61:$AG$68,B169)</f>
        <v/>
      </c>
      <c r="M169">
        <f>INDEX($AH$61:$AH$68,B169)</f>
        <v/>
      </c>
      <c r="N169">
        <f>INDEX($AI$61:$AI$68,B169)</f>
        <v/>
      </c>
      <c r="O169">
        <f>O168*$B$26+L169*(1-$B$26)</f>
        <v/>
      </c>
      <c r="P169">
        <f>$B$7*(O169-O168)*(1-AS168)</f>
        <v/>
      </c>
      <c r="Q169">
        <f>M169+0.51274*AT168</f>
        <v/>
      </c>
      <c r="R169">
        <f>N169+0.616*AT168</f>
        <v/>
      </c>
      <c r="S169">
        <f>IF($B$13&gt;=0.6,Q169,IF($B$13&lt;=0.2,R169,R169+2.5*(Q169-R169)*($B$13-0.2)))</f>
        <v/>
      </c>
      <c r="T169">
        <f>IF(A169=1,S169,T168*$B$27+S169*(1-$B$27))</f>
        <v/>
      </c>
      <c r="U169">
        <f>0.6105*EXP(17.27*T169/(T169+237.3))</f>
        <v/>
      </c>
      <c r="V169">
        <f>($B$14*(I169*C169+IF(ABS((D169+0.1)-D169)&lt;0.000000001,4*$B$19*$B$20*(D169+273)^3,$B$19*$B$20*(((D169+0.1)+273)^4-(D169+273)^4)/((D169+0.1)-D169))*D169)+T169/H169)/($B$14*(I169+IF(ABS((D169+0.1)-D169)&lt;0.000000001,4*$B$19*$B$20*(D169+273)^3,$B$19*$B$20*(((D169+0.1)+273)^4-(D169+273)^4)/((D169+0.1)-D169)))+1/H169)</f>
        <v/>
      </c>
      <c r="W169">
        <f>($B$14*(I169*C169+IF(ABS(V169-D169)&lt;0.000000001,4*$B$19*$B$20*(D169+273)^3,$B$19*$B$20*((V169+273)^4-(D169+273)^4)/(V169-D169))*D169)+T169/H169)/($B$14*(I169+IF(ABS(V169-D169)&lt;0.000000001,4*$B$19*$B$20*(D169+273)^3,$B$19*$B$20*((V169+273)^4-(D169+273)^4)/(V169-D169)))+1/H169)</f>
        <v/>
      </c>
      <c r="X169">
        <f>($B$14*(I169*C169+IF(ABS(W169-D169)&lt;0.000000001,4*$B$19*$B$20*(D169+273)^3,$B$19*$B$20*((W169+273)^4-(D169+273)^4)/(W169-D169))*D169)+T169/H169)/($B$14*(I169+IF(ABS(W169-D169)&lt;0.000000001,4*$B$19*$B$20*(D169+273)^3,$B$19*$B$20*((W169+273)^4-(D169+273)^4)/(W169-D169)))+1/H169)</f>
        <v/>
      </c>
      <c r="Y169">
        <f>($B$14*(I169*C169+IF(ABS(X169-D169)&lt;0.000000001,4*$B$19*$B$20*(D169+273)^3,$B$19*$B$20*((X169+273)^4-(D169+273)^4)/(X169-D169))*D169)+T169/H169)/($B$14*(I169+IF(ABS(X169-D169)&lt;0.000000001,4*$B$19*$B$20*(D169+273)^3,$B$19*$B$20*((X169+273)^4-(D169+273)^4)/(X169-D169)))+1/H169)</f>
        <v/>
      </c>
      <c r="Z169">
        <f>IF(ABS(Y169-D169)&lt;0.000000001,4*$B$19*$B$20*(D169+273)^3,$B$19*$B$20*((Y169+273)^4-(D169+273)^4)/(Y169-D169))</f>
        <v/>
      </c>
      <c r="AA169">
        <f>$B$14*I169*(Y169-C169)</f>
        <v/>
      </c>
      <c r="AB169">
        <f>$B$14*Z169*(Y169-D169)</f>
        <v/>
      </c>
      <c r="AC169">
        <f>IF((U169-E169)/G169=0,0.001,(U169-E169)/G169)</f>
        <v/>
      </c>
      <c r="AD169">
        <f>F169-P169-J169-K169-AA169-AB169</f>
        <v/>
      </c>
      <c r="AE169">
        <f>AD169/AC169</f>
        <v/>
      </c>
      <c r="AF169">
        <f>IF(AD169&lt;=0,0,IF(AC169&lt;=0,$B$11,IF(AE169&gt;=1.7,$B$11,MIN(AD169/MAX(0.05,IF(AE169&gt;1,(2-AE169)^2/2,1-AE169^2/2)),$B$11))))</f>
        <v/>
      </c>
      <c r="AG169">
        <f>AG168*$B$28+AF169*(1-$B$28)</f>
        <v/>
      </c>
      <c r="AH169">
        <f>IF(AND(AD169&gt;0,AC169&lt;=0),0,AC169)</f>
        <v/>
      </c>
      <c r="AI169">
        <f>AH169/MAX(AG169,0.000001)</f>
        <v/>
      </c>
      <c r="AJ169">
        <f>MIN(IF(AI169&gt;=0.5,-AI169+SQRT(AI169^2+2),1),$B$12)</f>
        <v/>
      </c>
      <c r="AK169">
        <f>IF(AG169&lt;=0,0,AJ169*AH169)</f>
        <v/>
      </c>
      <c r="AL169">
        <f>IF(AD169&lt;=0,0,AD169)</f>
        <v/>
      </c>
      <c r="AM169">
        <f>AL169-AK169+P169</f>
        <v/>
      </c>
      <c r="AN169">
        <f>((AM169/$B$7+T168*AS168/2-T169*MAX(0.1,MIN(0.3,0.3-0.09*(AR168-36.8)))/2)+AR168*(1-AS168/2))/(1-MAX(0.1,MIN(0.3,0.3-0.09*(AR168-36.8)))/2)</f>
        <v/>
      </c>
      <c r="AO169">
        <f>((AM169/$B$7+T168*AS168/2-T169*MAX(0.1,MIN(0.3,0.3-0.09*(AN169-36.8)))/2)+AR168*(1-AS168/2))/(1-MAX(0.1,MIN(0.3,0.3-0.09*(AN169-36.8)))/2)</f>
        <v/>
      </c>
      <c r="AP169">
        <f>((AM169/$B$7+T168*AS168/2-T169*MAX(0.1,MIN(0.3,0.3-0.09*(AO169-36.8)))/2)+AR168*(1-AS168/2))/(1-MAX(0.1,MIN(0.3,0.3-0.09*(AO169-36.8)))/2)</f>
        <v/>
      </c>
      <c r="AQ169">
        <f>((AM169/$B$7+T168*AS168/2-T169*MAX(0.1,MIN(0.3,0.3-0.09*(AP169-36.8)))/2)+AR168*(1-AS168/2))/(1-MAX(0.1,MIN(0.3,0.3-0.09*(AP169-36.8)))/2)</f>
        <v/>
      </c>
      <c r="AR169">
        <f>((AM169/$B$7+T168*AS168/2-T169*MAX(0.1,MIN(0.3,0.3-0.09*(AQ169-36.8)))/2)+AR168*(1-AS168/2))/(1-MAX(0.1,MIN(0.3,0.3-0.09*(AQ169-36.8)))/2)</f>
        <v/>
      </c>
      <c r="AS169">
        <f>MAX(0.1,MIN(0.3,0.3-0.09*(AR169-36.8)))</f>
        <v/>
      </c>
      <c r="AT169">
        <f>AT168+(2*AR169-1.962*AT168-1.31)/9</f>
        <v/>
      </c>
      <c r="AU169">
        <f>AU168+AG169+K169</f>
        <v/>
      </c>
      <c r="AV169">
        <f>AU169*2.67*$B$6/1.8/60</f>
        <v/>
      </c>
      <c r="AW169">
        <f>IF(AT169&gt;=$B$36,1,0)</f>
        <v/>
      </c>
      <c r="AX169">
        <f>IF(AV169&gt;=$B$21,1,0)</f>
        <v/>
      </c>
    </row>
    <row r="170">
      <c r="A170" t="n">
        <v>97</v>
      </c>
      <c r="B170">
        <f>MATCH(A170-1,$D$61:$D$68,1)</f>
        <v/>
      </c>
      <c r="C170">
        <f>INDEX($G$61:$G$68,B170)</f>
        <v/>
      </c>
      <c r="D170">
        <f>INDEX($L$61:$L$68,B170)</f>
        <v/>
      </c>
      <c r="E170">
        <f>INDEX($M$61:$M$68,B170)</f>
        <v/>
      </c>
      <c r="F170">
        <f>INDEX($N$61:$N$68,B170)</f>
        <v/>
      </c>
      <c r="G170">
        <f>INDEX($AA$61:$AA$68,B170)</f>
        <v/>
      </c>
      <c r="H170">
        <f>INDEX($X$61:$X$68,B170)</f>
        <v/>
      </c>
      <c r="I170">
        <f>INDEX($AF$61:$AF$68,B170)</f>
        <v/>
      </c>
      <c r="J170">
        <f>INDEX($AC$61:$AC$68,B170)</f>
        <v/>
      </c>
      <c r="K170">
        <f>INDEX($AD$61:$AD$68,B170)</f>
        <v/>
      </c>
      <c r="L170">
        <f>INDEX($AG$61:$AG$68,B170)</f>
        <v/>
      </c>
      <c r="M170">
        <f>INDEX($AH$61:$AH$68,B170)</f>
        <v/>
      </c>
      <c r="N170">
        <f>INDEX($AI$61:$AI$68,B170)</f>
        <v/>
      </c>
      <c r="O170">
        <f>O169*$B$26+L170*(1-$B$26)</f>
        <v/>
      </c>
      <c r="P170">
        <f>$B$7*(O170-O169)*(1-AS169)</f>
        <v/>
      </c>
      <c r="Q170">
        <f>M170+0.51274*AT169</f>
        <v/>
      </c>
      <c r="R170">
        <f>N170+0.616*AT169</f>
        <v/>
      </c>
      <c r="S170">
        <f>IF($B$13&gt;=0.6,Q170,IF($B$13&lt;=0.2,R170,R170+2.5*(Q170-R170)*($B$13-0.2)))</f>
        <v/>
      </c>
      <c r="T170">
        <f>IF(A170=1,S170,T169*$B$27+S170*(1-$B$27))</f>
        <v/>
      </c>
      <c r="U170">
        <f>0.6105*EXP(17.27*T170/(T170+237.3))</f>
        <v/>
      </c>
      <c r="V170">
        <f>($B$14*(I170*C170+IF(ABS((D170+0.1)-D170)&lt;0.000000001,4*$B$19*$B$20*(D170+273)^3,$B$19*$B$20*(((D170+0.1)+273)^4-(D170+273)^4)/((D170+0.1)-D170))*D170)+T170/H170)/($B$14*(I170+IF(ABS((D170+0.1)-D170)&lt;0.000000001,4*$B$19*$B$20*(D170+273)^3,$B$19*$B$20*(((D170+0.1)+273)^4-(D170+273)^4)/((D170+0.1)-D170)))+1/H170)</f>
        <v/>
      </c>
      <c r="W170">
        <f>($B$14*(I170*C170+IF(ABS(V170-D170)&lt;0.000000001,4*$B$19*$B$20*(D170+273)^3,$B$19*$B$20*((V170+273)^4-(D170+273)^4)/(V170-D170))*D170)+T170/H170)/($B$14*(I170+IF(ABS(V170-D170)&lt;0.000000001,4*$B$19*$B$20*(D170+273)^3,$B$19*$B$20*((V170+273)^4-(D170+273)^4)/(V170-D170)))+1/H170)</f>
        <v/>
      </c>
      <c r="X170">
        <f>($B$14*(I170*C170+IF(ABS(W170-D170)&lt;0.000000001,4*$B$19*$B$20*(D170+273)^3,$B$19*$B$20*((W170+273)^4-(D170+273)^4)/(W170-D170))*D170)+T170/H170)/($B$14*(I170+IF(ABS(W170-D170)&lt;0.000000001,4*$B$19*$B$20*(D170+273)^3,$B$19*$B$20*((W170+273)^4-(D170+273)^4)/(W170-D170)))+1/H170)</f>
        <v/>
      </c>
      <c r="Y170">
        <f>($B$14*(I170*C170+IF(ABS(X170-D170)&lt;0.000000001,4*$B$19*$B$20*(D170+273)^3,$B$19*$B$20*((X170+273)^4-(D170+273)^4)/(X170-D170))*D170)+T170/H170)/($B$14*(I170+IF(ABS(X170-D170)&lt;0.000000001,4*$B$19*$B$20*(D170+273)^3,$B$19*$B$20*((X170+273)^4-(D170+273)^4)/(X170-D170)))+1/H170)</f>
        <v/>
      </c>
      <c r="Z170">
        <f>IF(ABS(Y170-D170)&lt;0.000000001,4*$B$19*$B$20*(D170+273)^3,$B$19*$B$20*((Y170+273)^4-(D170+273)^4)/(Y170-D170))</f>
        <v/>
      </c>
      <c r="AA170">
        <f>$B$14*I170*(Y170-C170)</f>
        <v/>
      </c>
      <c r="AB170">
        <f>$B$14*Z170*(Y170-D170)</f>
        <v/>
      </c>
      <c r="AC170">
        <f>IF((U170-E170)/G170=0,0.001,(U170-E170)/G170)</f>
        <v/>
      </c>
      <c r="AD170">
        <f>F170-P170-J170-K170-AA170-AB170</f>
        <v/>
      </c>
      <c r="AE170">
        <f>AD170/AC170</f>
        <v/>
      </c>
      <c r="AF170">
        <f>IF(AD170&lt;=0,0,IF(AC170&lt;=0,$B$11,IF(AE170&gt;=1.7,$B$11,MIN(AD170/MAX(0.05,IF(AE170&gt;1,(2-AE170)^2/2,1-AE170^2/2)),$B$11))))</f>
        <v/>
      </c>
      <c r="AG170">
        <f>AG169*$B$28+AF170*(1-$B$28)</f>
        <v/>
      </c>
      <c r="AH170">
        <f>IF(AND(AD170&gt;0,AC170&lt;=0),0,AC170)</f>
        <v/>
      </c>
      <c r="AI170">
        <f>AH170/MAX(AG170,0.000001)</f>
        <v/>
      </c>
      <c r="AJ170">
        <f>MIN(IF(AI170&gt;=0.5,-AI170+SQRT(AI170^2+2),1),$B$12)</f>
        <v/>
      </c>
      <c r="AK170">
        <f>IF(AG170&lt;=0,0,AJ170*AH170)</f>
        <v/>
      </c>
      <c r="AL170">
        <f>IF(AD170&lt;=0,0,AD170)</f>
        <v/>
      </c>
      <c r="AM170">
        <f>AL170-AK170+P170</f>
        <v/>
      </c>
      <c r="AN170">
        <f>((AM170/$B$7+T169*AS169/2-T170*MAX(0.1,MIN(0.3,0.3-0.09*(AR169-36.8)))/2)+AR169*(1-AS169/2))/(1-MAX(0.1,MIN(0.3,0.3-0.09*(AR169-36.8)))/2)</f>
        <v/>
      </c>
      <c r="AO170">
        <f>((AM170/$B$7+T169*AS169/2-T170*MAX(0.1,MIN(0.3,0.3-0.09*(AN170-36.8)))/2)+AR169*(1-AS169/2))/(1-MAX(0.1,MIN(0.3,0.3-0.09*(AN170-36.8)))/2)</f>
        <v/>
      </c>
      <c r="AP170">
        <f>((AM170/$B$7+T169*AS169/2-T170*MAX(0.1,MIN(0.3,0.3-0.09*(AO170-36.8)))/2)+AR169*(1-AS169/2))/(1-MAX(0.1,MIN(0.3,0.3-0.09*(AO170-36.8)))/2)</f>
        <v/>
      </c>
      <c r="AQ170">
        <f>((AM170/$B$7+T169*AS169/2-T170*MAX(0.1,MIN(0.3,0.3-0.09*(AP170-36.8)))/2)+AR169*(1-AS169/2))/(1-MAX(0.1,MIN(0.3,0.3-0.09*(AP170-36.8)))/2)</f>
        <v/>
      </c>
      <c r="AR170">
        <f>((AM170/$B$7+T169*AS169/2-T170*MAX(0.1,MIN(0.3,0.3-0.09*(AQ170-36.8)))/2)+AR169*(1-AS169/2))/(1-MAX(0.1,MIN(0.3,0.3-0.09*(AQ170-36.8)))/2)</f>
        <v/>
      </c>
      <c r="AS170">
        <f>MAX(0.1,MIN(0.3,0.3-0.09*(AR170-36.8)))</f>
        <v/>
      </c>
      <c r="AT170">
        <f>AT169+(2*AR170-1.962*AT169-1.31)/9</f>
        <v/>
      </c>
      <c r="AU170">
        <f>AU169+AG170+K170</f>
        <v/>
      </c>
      <c r="AV170">
        <f>AU170*2.67*$B$6/1.8/60</f>
        <v/>
      </c>
      <c r="AW170">
        <f>IF(AT170&gt;=$B$36,1,0)</f>
        <v/>
      </c>
      <c r="AX170">
        <f>IF(AV170&gt;=$B$21,1,0)</f>
        <v/>
      </c>
    </row>
    <row r="171">
      <c r="A171" t="n">
        <v>98</v>
      </c>
      <c r="B171">
        <f>MATCH(A171-1,$D$61:$D$68,1)</f>
        <v/>
      </c>
      <c r="C171">
        <f>INDEX($G$61:$G$68,B171)</f>
        <v/>
      </c>
      <c r="D171">
        <f>INDEX($L$61:$L$68,B171)</f>
        <v/>
      </c>
      <c r="E171">
        <f>INDEX($M$61:$M$68,B171)</f>
        <v/>
      </c>
      <c r="F171">
        <f>INDEX($N$61:$N$68,B171)</f>
        <v/>
      </c>
      <c r="G171">
        <f>INDEX($AA$61:$AA$68,B171)</f>
        <v/>
      </c>
      <c r="H171">
        <f>INDEX($X$61:$X$68,B171)</f>
        <v/>
      </c>
      <c r="I171">
        <f>INDEX($AF$61:$AF$68,B171)</f>
        <v/>
      </c>
      <c r="J171">
        <f>INDEX($AC$61:$AC$68,B171)</f>
        <v/>
      </c>
      <c r="K171">
        <f>INDEX($AD$61:$AD$68,B171)</f>
        <v/>
      </c>
      <c r="L171">
        <f>INDEX($AG$61:$AG$68,B171)</f>
        <v/>
      </c>
      <c r="M171">
        <f>INDEX($AH$61:$AH$68,B171)</f>
        <v/>
      </c>
      <c r="N171">
        <f>INDEX($AI$61:$AI$68,B171)</f>
        <v/>
      </c>
      <c r="O171">
        <f>O170*$B$26+L171*(1-$B$26)</f>
        <v/>
      </c>
      <c r="P171">
        <f>$B$7*(O171-O170)*(1-AS170)</f>
        <v/>
      </c>
      <c r="Q171">
        <f>M171+0.51274*AT170</f>
        <v/>
      </c>
      <c r="R171">
        <f>N171+0.616*AT170</f>
        <v/>
      </c>
      <c r="S171">
        <f>IF($B$13&gt;=0.6,Q171,IF($B$13&lt;=0.2,R171,R171+2.5*(Q171-R171)*($B$13-0.2)))</f>
        <v/>
      </c>
      <c r="T171">
        <f>IF(A171=1,S171,T170*$B$27+S171*(1-$B$27))</f>
        <v/>
      </c>
      <c r="U171">
        <f>0.6105*EXP(17.27*T171/(T171+237.3))</f>
        <v/>
      </c>
      <c r="V171">
        <f>($B$14*(I171*C171+IF(ABS((D171+0.1)-D171)&lt;0.000000001,4*$B$19*$B$20*(D171+273)^3,$B$19*$B$20*(((D171+0.1)+273)^4-(D171+273)^4)/((D171+0.1)-D171))*D171)+T171/H171)/($B$14*(I171+IF(ABS((D171+0.1)-D171)&lt;0.000000001,4*$B$19*$B$20*(D171+273)^3,$B$19*$B$20*(((D171+0.1)+273)^4-(D171+273)^4)/((D171+0.1)-D171)))+1/H171)</f>
        <v/>
      </c>
      <c r="W171">
        <f>($B$14*(I171*C171+IF(ABS(V171-D171)&lt;0.000000001,4*$B$19*$B$20*(D171+273)^3,$B$19*$B$20*((V171+273)^4-(D171+273)^4)/(V171-D171))*D171)+T171/H171)/($B$14*(I171+IF(ABS(V171-D171)&lt;0.000000001,4*$B$19*$B$20*(D171+273)^3,$B$19*$B$20*((V171+273)^4-(D171+273)^4)/(V171-D171)))+1/H171)</f>
        <v/>
      </c>
      <c r="X171">
        <f>($B$14*(I171*C171+IF(ABS(W171-D171)&lt;0.000000001,4*$B$19*$B$20*(D171+273)^3,$B$19*$B$20*((W171+273)^4-(D171+273)^4)/(W171-D171))*D171)+T171/H171)/($B$14*(I171+IF(ABS(W171-D171)&lt;0.000000001,4*$B$19*$B$20*(D171+273)^3,$B$19*$B$20*((W171+273)^4-(D171+273)^4)/(W171-D171)))+1/H171)</f>
        <v/>
      </c>
      <c r="Y171">
        <f>($B$14*(I171*C171+IF(ABS(X171-D171)&lt;0.000000001,4*$B$19*$B$20*(D171+273)^3,$B$19*$B$20*((X171+273)^4-(D171+273)^4)/(X171-D171))*D171)+T171/H171)/($B$14*(I171+IF(ABS(X171-D171)&lt;0.000000001,4*$B$19*$B$20*(D171+273)^3,$B$19*$B$20*((X171+273)^4-(D171+273)^4)/(X171-D171)))+1/H171)</f>
        <v/>
      </c>
      <c r="Z171">
        <f>IF(ABS(Y171-D171)&lt;0.000000001,4*$B$19*$B$20*(D171+273)^3,$B$19*$B$20*((Y171+273)^4-(D171+273)^4)/(Y171-D171))</f>
        <v/>
      </c>
      <c r="AA171">
        <f>$B$14*I171*(Y171-C171)</f>
        <v/>
      </c>
      <c r="AB171">
        <f>$B$14*Z171*(Y171-D171)</f>
        <v/>
      </c>
      <c r="AC171">
        <f>IF((U171-E171)/G171=0,0.001,(U171-E171)/G171)</f>
        <v/>
      </c>
      <c r="AD171">
        <f>F171-P171-J171-K171-AA171-AB171</f>
        <v/>
      </c>
      <c r="AE171">
        <f>AD171/AC171</f>
        <v/>
      </c>
      <c r="AF171">
        <f>IF(AD171&lt;=0,0,IF(AC171&lt;=0,$B$11,IF(AE171&gt;=1.7,$B$11,MIN(AD171/MAX(0.05,IF(AE171&gt;1,(2-AE171)^2/2,1-AE171^2/2)),$B$11))))</f>
        <v/>
      </c>
      <c r="AG171">
        <f>AG170*$B$28+AF171*(1-$B$28)</f>
        <v/>
      </c>
      <c r="AH171">
        <f>IF(AND(AD171&gt;0,AC171&lt;=0),0,AC171)</f>
        <v/>
      </c>
      <c r="AI171">
        <f>AH171/MAX(AG171,0.000001)</f>
        <v/>
      </c>
      <c r="AJ171">
        <f>MIN(IF(AI171&gt;=0.5,-AI171+SQRT(AI171^2+2),1),$B$12)</f>
        <v/>
      </c>
      <c r="AK171">
        <f>IF(AG171&lt;=0,0,AJ171*AH171)</f>
        <v/>
      </c>
      <c r="AL171">
        <f>IF(AD171&lt;=0,0,AD171)</f>
        <v/>
      </c>
      <c r="AM171">
        <f>AL171-AK171+P171</f>
        <v/>
      </c>
      <c r="AN171">
        <f>((AM171/$B$7+T170*AS170/2-T171*MAX(0.1,MIN(0.3,0.3-0.09*(AR170-36.8)))/2)+AR170*(1-AS170/2))/(1-MAX(0.1,MIN(0.3,0.3-0.09*(AR170-36.8)))/2)</f>
        <v/>
      </c>
      <c r="AO171">
        <f>((AM171/$B$7+T170*AS170/2-T171*MAX(0.1,MIN(0.3,0.3-0.09*(AN171-36.8)))/2)+AR170*(1-AS170/2))/(1-MAX(0.1,MIN(0.3,0.3-0.09*(AN171-36.8)))/2)</f>
        <v/>
      </c>
      <c r="AP171">
        <f>((AM171/$B$7+T170*AS170/2-T171*MAX(0.1,MIN(0.3,0.3-0.09*(AO171-36.8)))/2)+AR170*(1-AS170/2))/(1-MAX(0.1,MIN(0.3,0.3-0.09*(AO171-36.8)))/2)</f>
        <v/>
      </c>
      <c r="AQ171">
        <f>((AM171/$B$7+T170*AS170/2-T171*MAX(0.1,MIN(0.3,0.3-0.09*(AP171-36.8)))/2)+AR170*(1-AS170/2))/(1-MAX(0.1,MIN(0.3,0.3-0.09*(AP171-36.8)))/2)</f>
        <v/>
      </c>
      <c r="AR171">
        <f>((AM171/$B$7+T170*AS170/2-T171*MAX(0.1,MIN(0.3,0.3-0.09*(AQ171-36.8)))/2)+AR170*(1-AS170/2))/(1-MAX(0.1,MIN(0.3,0.3-0.09*(AQ171-36.8)))/2)</f>
        <v/>
      </c>
      <c r="AS171">
        <f>MAX(0.1,MIN(0.3,0.3-0.09*(AR171-36.8)))</f>
        <v/>
      </c>
      <c r="AT171">
        <f>AT170+(2*AR171-1.962*AT170-1.31)/9</f>
        <v/>
      </c>
      <c r="AU171">
        <f>AU170+AG171+K171</f>
        <v/>
      </c>
      <c r="AV171">
        <f>AU171*2.67*$B$6/1.8/60</f>
        <v/>
      </c>
      <c r="AW171">
        <f>IF(AT171&gt;=$B$36,1,0)</f>
        <v/>
      </c>
      <c r="AX171">
        <f>IF(AV171&gt;=$B$21,1,0)</f>
        <v/>
      </c>
    </row>
    <row r="172">
      <c r="A172" t="n">
        <v>99</v>
      </c>
      <c r="B172">
        <f>MATCH(A172-1,$D$61:$D$68,1)</f>
        <v/>
      </c>
      <c r="C172">
        <f>INDEX($G$61:$G$68,B172)</f>
        <v/>
      </c>
      <c r="D172">
        <f>INDEX($L$61:$L$68,B172)</f>
        <v/>
      </c>
      <c r="E172">
        <f>INDEX($M$61:$M$68,B172)</f>
        <v/>
      </c>
      <c r="F172">
        <f>INDEX($N$61:$N$68,B172)</f>
        <v/>
      </c>
      <c r="G172">
        <f>INDEX($AA$61:$AA$68,B172)</f>
        <v/>
      </c>
      <c r="H172">
        <f>INDEX($X$61:$X$68,B172)</f>
        <v/>
      </c>
      <c r="I172">
        <f>INDEX($AF$61:$AF$68,B172)</f>
        <v/>
      </c>
      <c r="J172">
        <f>INDEX($AC$61:$AC$68,B172)</f>
        <v/>
      </c>
      <c r="K172">
        <f>INDEX($AD$61:$AD$68,B172)</f>
        <v/>
      </c>
      <c r="L172">
        <f>INDEX($AG$61:$AG$68,B172)</f>
        <v/>
      </c>
      <c r="M172">
        <f>INDEX($AH$61:$AH$68,B172)</f>
        <v/>
      </c>
      <c r="N172">
        <f>INDEX($AI$61:$AI$68,B172)</f>
        <v/>
      </c>
      <c r="O172">
        <f>O171*$B$26+L172*(1-$B$26)</f>
        <v/>
      </c>
      <c r="P172">
        <f>$B$7*(O172-O171)*(1-AS171)</f>
        <v/>
      </c>
      <c r="Q172">
        <f>M172+0.51274*AT171</f>
        <v/>
      </c>
      <c r="R172">
        <f>N172+0.616*AT171</f>
        <v/>
      </c>
      <c r="S172">
        <f>IF($B$13&gt;=0.6,Q172,IF($B$13&lt;=0.2,R172,R172+2.5*(Q172-R172)*($B$13-0.2)))</f>
        <v/>
      </c>
      <c r="T172">
        <f>IF(A172=1,S172,T171*$B$27+S172*(1-$B$27))</f>
        <v/>
      </c>
      <c r="U172">
        <f>0.6105*EXP(17.27*T172/(T172+237.3))</f>
        <v/>
      </c>
      <c r="V172">
        <f>($B$14*(I172*C172+IF(ABS((D172+0.1)-D172)&lt;0.000000001,4*$B$19*$B$20*(D172+273)^3,$B$19*$B$20*(((D172+0.1)+273)^4-(D172+273)^4)/((D172+0.1)-D172))*D172)+T172/H172)/($B$14*(I172+IF(ABS((D172+0.1)-D172)&lt;0.000000001,4*$B$19*$B$20*(D172+273)^3,$B$19*$B$20*(((D172+0.1)+273)^4-(D172+273)^4)/((D172+0.1)-D172)))+1/H172)</f>
        <v/>
      </c>
      <c r="W172">
        <f>($B$14*(I172*C172+IF(ABS(V172-D172)&lt;0.000000001,4*$B$19*$B$20*(D172+273)^3,$B$19*$B$20*((V172+273)^4-(D172+273)^4)/(V172-D172))*D172)+T172/H172)/($B$14*(I172+IF(ABS(V172-D172)&lt;0.000000001,4*$B$19*$B$20*(D172+273)^3,$B$19*$B$20*((V172+273)^4-(D172+273)^4)/(V172-D172)))+1/H172)</f>
        <v/>
      </c>
      <c r="X172">
        <f>($B$14*(I172*C172+IF(ABS(W172-D172)&lt;0.000000001,4*$B$19*$B$20*(D172+273)^3,$B$19*$B$20*((W172+273)^4-(D172+273)^4)/(W172-D172))*D172)+T172/H172)/($B$14*(I172+IF(ABS(W172-D172)&lt;0.000000001,4*$B$19*$B$20*(D172+273)^3,$B$19*$B$20*((W172+273)^4-(D172+273)^4)/(W172-D172)))+1/H172)</f>
        <v/>
      </c>
      <c r="Y172">
        <f>($B$14*(I172*C172+IF(ABS(X172-D172)&lt;0.000000001,4*$B$19*$B$20*(D172+273)^3,$B$19*$B$20*((X172+273)^4-(D172+273)^4)/(X172-D172))*D172)+T172/H172)/($B$14*(I172+IF(ABS(X172-D172)&lt;0.000000001,4*$B$19*$B$20*(D172+273)^3,$B$19*$B$20*((X172+273)^4-(D172+273)^4)/(X172-D172)))+1/H172)</f>
        <v/>
      </c>
      <c r="Z172">
        <f>IF(ABS(Y172-D172)&lt;0.000000001,4*$B$19*$B$20*(D172+273)^3,$B$19*$B$20*((Y172+273)^4-(D172+273)^4)/(Y172-D172))</f>
        <v/>
      </c>
      <c r="AA172">
        <f>$B$14*I172*(Y172-C172)</f>
        <v/>
      </c>
      <c r="AB172">
        <f>$B$14*Z172*(Y172-D172)</f>
        <v/>
      </c>
      <c r="AC172">
        <f>IF((U172-E172)/G172=0,0.001,(U172-E172)/G172)</f>
        <v/>
      </c>
      <c r="AD172">
        <f>F172-P172-J172-K172-AA172-AB172</f>
        <v/>
      </c>
      <c r="AE172">
        <f>AD172/AC172</f>
        <v/>
      </c>
      <c r="AF172">
        <f>IF(AD172&lt;=0,0,IF(AC172&lt;=0,$B$11,IF(AE172&gt;=1.7,$B$11,MIN(AD172/MAX(0.05,IF(AE172&gt;1,(2-AE172)^2/2,1-AE172^2/2)),$B$11))))</f>
        <v/>
      </c>
      <c r="AG172">
        <f>AG171*$B$28+AF172*(1-$B$28)</f>
        <v/>
      </c>
      <c r="AH172">
        <f>IF(AND(AD172&gt;0,AC172&lt;=0),0,AC172)</f>
        <v/>
      </c>
      <c r="AI172">
        <f>AH172/MAX(AG172,0.000001)</f>
        <v/>
      </c>
      <c r="AJ172">
        <f>MIN(IF(AI172&gt;=0.5,-AI172+SQRT(AI172^2+2),1),$B$12)</f>
        <v/>
      </c>
      <c r="AK172">
        <f>IF(AG172&lt;=0,0,AJ172*AH172)</f>
        <v/>
      </c>
      <c r="AL172">
        <f>IF(AD172&lt;=0,0,AD172)</f>
        <v/>
      </c>
      <c r="AM172">
        <f>AL172-AK172+P172</f>
        <v/>
      </c>
      <c r="AN172">
        <f>((AM172/$B$7+T171*AS171/2-T172*MAX(0.1,MIN(0.3,0.3-0.09*(AR171-36.8)))/2)+AR171*(1-AS171/2))/(1-MAX(0.1,MIN(0.3,0.3-0.09*(AR171-36.8)))/2)</f>
        <v/>
      </c>
      <c r="AO172">
        <f>((AM172/$B$7+T171*AS171/2-T172*MAX(0.1,MIN(0.3,0.3-0.09*(AN172-36.8)))/2)+AR171*(1-AS171/2))/(1-MAX(0.1,MIN(0.3,0.3-0.09*(AN172-36.8)))/2)</f>
        <v/>
      </c>
      <c r="AP172">
        <f>((AM172/$B$7+T171*AS171/2-T172*MAX(0.1,MIN(0.3,0.3-0.09*(AO172-36.8)))/2)+AR171*(1-AS171/2))/(1-MAX(0.1,MIN(0.3,0.3-0.09*(AO172-36.8)))/2)</f>
        <v/>
      </c>
      <c r="AQ172">
        <f>((AM172/$B$7+T171*AS171/2-T172*MAX(0.1,MIN(0.3,0.3-0.09*(AP172-36.8)))/2)+AR171*(1-AS171/2))/(1-MAX(0.1,MIN(0.3,0.3-0.09*(AP172-36.8)))/2)</f>
        <v/>
      </c>
      <c r="AR172">
        <f>((AM172/$B$7+T171*AS171/2-T172*MAX(0.1,MIN(0.3,0.3-0.09*(AQ172-36.8)))/2)+AR171*(1-AS171/2))/(1-MAX(0.1,MIN(0.3,0.3-0.09*(AQ172-36.8)))/2)</f>
        <v/>
      </c>
      <c r="AS172">
        <f>MAX(0.1,MIN(0.3,0.3-0.09*(AR172-36.8)))</f>
        <v/>
      </c>
      <c r="AT172">
        <f>AT171+(2*AR172-1.962*AT171-1.31)/9</f>
        <v/>
      </c>
      <c r="AU172">
        <f>AU171+AG172+K172</f>
        <v/>
      </c>
      <c r="AV172">
        <f>AU172*2.67*$B$6/1.8/60</f>
        <v/>
      </c>
      <c r="AW172">
        <f>IF(AT172&gt;=$B$36,1,0)</f>
        <v/>
      </c>
      <c r="AX172">
        <f>IF(AV172&gt;=$B$21,1,0)</f>
        <v/>
      </c>
    </row>
    <row r="173">
      <c r="A173" t="n">
        <v>100</v>
      </c>
      <c r="B173">
        <f>MATCH(A173-1,$D$61:$D$68,1)</f>
        <v/>
      </c>
      <c r="C173">
        <f>INDEX($G$61:$G$68,B173)</f>
        <v/>
      </c>
      <c r="D173">
        <f>INDEX($L$61:$L$68,B173)</f>
        <v/>
      </c>
      <c r="E173">
        <f>INDEX($M$61:$M$68,B173)</f>
        <v/>
      </c>
      <c r="F173">
        <f>INDEX($N$61:$N$68,B173)</f>
        <v/>
      </c>
      <c r="G173">
        <f>INDEX($AA$61:$AA$68,B173)</f>
        <v/>
      </c>
      <c r="H173">
        <f>INDEX($X$61:$X$68,B173)</f>
        <v/>
      </c>
      <c r="I173">
        <f>INDEX($AF$61:$AF$68,B173)</f>
        <v/>
      </c>
      <c r="J173">
        <f>INDEX($AC$61:$AC$68,B173)</f>
        <v/>
      </c>
      <c r="K173">
        <f>INDEX($AD$61:$AD$68,B173)</f>
        <v/>
      </c>
      <c r="L173">
        <f>INDEX($AG$61:$AG$68,B173)</f>
        <v/>
      </c>
      <c r="M173">
        <f>INDEX($AH$61:$AH$68,B173)</f>
        <v/>
      </c>
      <c r="N173">
        <f>INDEX($AI$61:$AI$68,B173)</f>
        <v/>
      </c>
      <c r="O173">
        <f>O172*$B$26+L173*(1-$B$26)</f>
        <v/>
      </c>
      <c r="P173">
        <f>$B$7*(O173-O172)*(1-AS172)</f>
        <v/>
      </c>
      <c r="Q173">
        <f>M173+0.51274*AT172</f>
        <v/>
      </c>
      <c r="R173">
        <f>N173+0.616*AT172</f>
        <v/>
      </c>
      <c r="S173">
        <f>IF($B$13&gt;=0.6,Q173,IF($B$13&lt;=0.2,R173,R173+2.5*(Q173-R173)*($B$13-0.2)))</f>
        <v/>
      </c>
      <c r="T173">
        <f>IF(A173=1,S173,T172*$B$27+S173*(1-$B$27))</f>
        <v/>
      </c>
      <c r="U173">
        <f>0.6105*EXP(17.27*T173/(T173+237.3))</f>
        <v/>
      </c>
      <c r="V173">
        <f>($B$14*(I173*C173+IF(ABS((D173+0.1)-D173)&lt;0.000000001,4*$B$19*$B$20*(D173+273)^3,$B$19*$B$20*(((D173+0.1)+273)^4-(D173+273)^4)/((D173+0.1)-D173))*D173)+T173/H173)/($B$14*(I173+IF(ABS((D173+0.1)-D173)&lt;0.000000001,4*$B$19*$B$20*(D173+273)^3,$B$19*$B$20*(((D173+0.1)+273)^4-(D173+273)^4)/((D173+0.1)-D173)))+1/H173)</f>
        <v/>
      </c>
      <c r="W173">
        <f>($B$14*(I173*C173+IF(ABS(V173-D173)&lt;0.000000001,4*$B$19*$B$20*(D173+273)^3,$B$19*$B$20*((V173+273)^4-(D173+273)^4)/(V173-D173))*D173)+T173/H173)/($B$14*(I173+IF(ABS(V173-D173)&lt;0.000000001,4*$B$19*$B$20*(D173+273)^3,$B$19*$B$20*((V173+273)^4-(D173+273)^4)/(V173-D173)))+1/H173)</f>
        <v/>
      </c>
      <c r="X173">
        <f>($B$14*(I173*C173+IF(ABS(W173-D173)&lt;0.000000001,4*$B$19*$B$20*(D173+273)^3,$B$19*$B$20*((W173+273)^4-(D173+273)^4)/(W173-D173))*D173)+T173/H173)/($B$14*(I173+IF(ABS(W173-D173)&lt;0.000000001,4*$B$19*$B$20*(D173+273)^3,$B$19*$B$20*((W173+273)^4-(D173+273)^4)/(W173-D173)))+1/H173)</f>
        <v/>
      </c>
      <c r="Y173">
        <f>($B$14*(I173*C173+IF(ABS(X173-D173)&lt;0.000000001,4*$B$19*$B$20*(D173+273)^3,$B$19*$B$20*((X173+273)^4-(D173+273)^4)/(X173-D173))*D173)+T173/H173)/($B$14*(I173+IF(ABS(X173-D173)&lt;0.000000001,4*$B$19*$B$20*(D173+273)^3,$B$19*$B$20*((X173+273)^4-(D173+273)^4)/(X173-D173)))+1/H173)</f>
        <v/>
      </c>
      <c r="Z173">
        <f>IF(ABS(Y173-D173)&lt;0.000000001,4*$B$19*$B$20*(D173+273)^3,$B$19*$B$20*((Y173+273)^4-(D173+273)^4)/(Y173-D173))</f>
        <v/>
      </c>
      <c r="AA173">
        <f>$B$14*I173*(Y173-C173)</f>
        <v/>
      </c>
      <c r="AB173">
        <f>$B$14*Z173*(Y173-D173)</f>
        <v/>
      </c>
      <c r="AC173">
        <f>IF((U173-E173)/G173=0,0.001,(U173-E173)/G173)</f>
        <v/>
      </c>
      <c r="AD173">
        <f>F173-P173-J173-K173-AA173-AB173</f>
        <v/>
      </c>
      <c r="AE173">
        <f>AD173/AC173</f>
        <v/>
      </c>
      <c r="AF173">
        <f>IF(AD173&lt;=0,0,IF(AC173&lt;=0,$B$11,IF(AE173&gt;=1.7,$B$11,MIN(AD173/MAX(0.05,IF(AE173&gt;1,(2-AE173)^2/2,1-AE173^2/2)),$B$11))))</f>
        <v/>
      </c>
      <c r="AG173">
        <f>AG172*$B$28+AF173*(1-$B$28)</f>
        <v/>
      </c>
      <c r="AH173">
        <f>IF(AND(AD173&gt;0,AC173&lt;=0),0,AC173)</f>
        <v/>
      </c>
      <c r="AI173">
        <f>AH173/MAX(AG173,0.000001)</f>
        <v/>
      </c>
      <c r="AJ173">
        <f>MIN(IF(AI173&gt;=0.5,-AI173+SQRT(AI173^2+2),1),$B$12)</f>
        <v/>
      </c>
      <c r="AK173">
        <f>IF(AG173&lt;=0,0,AJ173*AH173)</f>
        <v/>
      </c>
      <c r="AL173">
        <f>IF(AD173&lt;=0,0,AD173)</f>
        <v/>
      </c>
      <c r="AM173">
        <f>AL173-AK173+P173</f>
        <v/>
      </c>
      <c r="AN173">
        <f>((AM173/$B$7+T172*AS172/2-T173*MAX(0.1,MIN(0.3,0.3-0.09*(AR172-36.8)))/2)+AR172*(1-AS172/2))/(1-MAX(0.1,MIN(0.3,0.3-0.09*(AR172-36.8)))/2)</f>
        <v/>
      </c>
      <c r="AO173">
        <f>((AM173/$B$7+T172*AS172/2-T173*MAX(0.1,MIN(0.3,0.3-0.09*(AN173-36.8)))/2)+AR172*(1-AS172/2))/(1-MAX(0.1,MIN(0.3,0.3-0.09*(AN173-36.8)))/2)</f>
        <v/>
      </c>
      <c r="AP173">
        <f>((AM173/$B$7+T172*AS172/2-T173*MAX(0.1,MIN(0.3,0.3-0.09*(AO173-36.8)))/2)+AR172*(1-AS172/2))/(1-MAX(0.1,MIN(0.3,0.3-0.09*(AO173-36.8)))/2)</f>
        <v/>
      </c>
      <c r="AQ173">
        <f>((AM173/$B$7+T172*AS172/2-T173*MAX(0.1,MIN(0.3,0.3-0.09*(AP173-36.8)))/2)+AR172*(1-AS172/2))/(1-MAX(0.1,MIN(0.3,0.3-0.09*(AP173-36.8)))/2)</f>
        <v/>
      </c>
      <c r="AR173">
        <f>((AM173/$B$7+T172*AS172/2-T173*MAX(0.1,MIN(0.3,0.3-0.09*(AQ173-36.8)))/2)+AR172*(1-AS172/2))/(1-MAX(0.1,MIN(0.3,0.3-0.09*(AQ173-36.8)))/2)</f>
        <v/>
      </c>
      <c r="AS173">
        <f>MAX(0.1,MIN(0.3,0.3-0.09*(AR173-36.8)))</f>
        <v/>
      </c>
      <c r="AT173">
        <f>AT172+(2*AR173-1.962*AT172-1.31)/9</f>
        <v/>
      </c>
      <c r="AU173">
        <f>AU172+AG173+K173</f>
        <v/>
      </c>
      <c r="AV173">
        <f>AU173*2.67*$B$6/1.8/60</f>
        <v/>
      </c>
      <c r="AW173">
        <f>IF(AT173&gt;=$B$36,1,0)</f>
        <v/>
      </c>
      <c r="AX173">
        <f>IF(AV173&gt;=$B$21,1,0)</f>
        <v/>
      </c>
    </row>
    <row r="174">
      <c r="A174" t="n">
        <v>101</v>
      </c>
      <c r="B174">
        <f>MATCH(A174-1,$D$61:$D$68,1)</f>
        <v/>
      </c>
      <c r="C174">
        <f>INDEX($G$61:$G$68,B174)</f>
        <v/>
      </c>
      <c r="D174">
        <f>INDEX($L$61:$L$68,B174)</f>
        <v/>
      </c>
      <c r="E174">
        <f>INDEX($M$61:$M$68,B174)</f>
        <v/>
      </c>
      <c r="F174">
        <f>INDEX($N$61:$N$68,B174)</f>
        <v/>
      </c>
      <c r="G174">
        <f>INDEX($AA$61:$AA$68,B174)</f>
        <v/>
      </c>
      <c r="H174">
        <f>INDEX($X$61:$X$68,B174)</f>
        <v/>
      </c>
      <c r="I174">
        <f>INDEX($AF$61:$AF$68,B174)</f>
        <v/>
      </c>
      <c r="J174">
        <f>INDEX($AC$61:$AC$68,B174)</f>
        <v/>
      </c>
      <c r="K174">
        <f>INDEX($AD$61:$AD$68,B174)</f>
        <v/>
      </c>
      <c r="L174">
        <f>INDEX($AG$61:$AG$68,B174)</f>
        <v/>
      </c>
      <c r="M174">
        <f>INDEX($AH$61:$AH$68,B174)</f>
        <v/>
      </c>
      <c r="N174">
        <f>INDEX($AI$61:$AI$68,B174)</f>
        <v/>
      </c>
      <c r="O174">
        <f>O173*$B$26+L174*(1-$B$26)</f>
        <v/>
      </c>
      <c r="P174">
        <f>$B$7*(O174-O173)*(1-AS173)</f>
        <v/>
      </c>
      <c r="Q174">
        <f>M174+0.51274*AT173</f>
        <v/>
      </c>
      <c r="R174">
        <f>N174+0.616*AT173</f>
        <v/>
      </c>
      <c r="S174">
        <f>IF($B$13&gt;=0.6,Q174,IF($B$13&lt;=0.2,R174,R174+2.5*(Q174-R174)*($B$13-0.2)))</f>
        <v/>
      </c>
      <c r="T174">
        <f>IF(A174=1,S174,T173*$B$27+S174*(1-$B$27))</f>
        <v/>
      </c>
      <c r="U174">
        <f>0.6105*EXP(17.27*T174/(T174+237.3))</f>
        <v/>
      </c>
      <c r="V174">
        <f>($B$14*(I174*C174+IF(ABS((D174+0.1)-D174)&lt;0.000000001,4*$B$19*$B$20*(D174+273)^3,$B$19*$B$20*(((D174+0.1)+273)^4-(D174+273)^4)/((D174+0.1)-D174))*D174)+T174/H174)/($B$14*(I174+IF(ABS((D174+0.1)-D174)&lt;0.000000001,4*$B$19*$B$20*(D174+273)^3,$B$19*$B$20*(((D174+0.1)+273)^4-(D174+273)^4)/((D174+0.1)-D174)))+1/H174)</f>
        <v/>
      </c>
      <c r="W174">
        <f>($B$14*(I174*C174+IF(ABS(V174-D174)&lt;0.000000001,4*$B$19*$B$20*(D174+273)^3,$B$19*$B$20*((V174+273)^4-(D174+273)^4)/(V174-D174))*D174)+T174/H174)/($B$14*(I174+IF(ABS(V174-D174)&lt;0.000000001,4*$B$19*$B$20*(D174+273)^3,$B$19*$B$20*((V174+273)^4-(D174+273)^4)/(V174-D174)))+1/H174)</f>
        <v/>
      </c>
      <c r="X174">
        <f>($B$14*(I174*C174+IF(ABS(W174-D174)&lt;0.000000001,4*$B$19*$B$20*(D174+273)^3,$B$19*$B$20*((W174+273)^4-(D174+273)^4)/(W174-D174))*D174)+T174/H174)/($B$14*(I174+IF(ABS(W174-D174)&lt;0.000000001,4*$B$19*$B$20*(D174+273)^3,$B$19*$B$20*((W174+273)^4-(D174+273)^4)/(W174-D174)))+1/H174)</f>
        <v/>
      </c>
      <c r="Y174">
        <f>($B$14*(I174*C174+IF(ABS(X174-D174)&lt;0.000000001,4*$B$19*$B$20*(D174+273)^3,$B$19*$B$20*((X174+273)^4-(D174+273)^4)/(X174-D174))*D174)+T174/H174)/($B$14*(I174+IF(ABS(X174-D174)&lt;0.000000001,4*$B$19*$B$20*(D174+273)^3,$B$19*$B$20*((X174+273)^4-(D174+273)^4)/(X174-D174)))+1/H174)</f>
        <v/>
      </c>
      <c r="Z174">
        <f>IF(ABS(Y174-D174)&lt;0.000000001,4*$B$19*$B$20*(D174+273)^3,$B$19*$B$20*((Y174+273)^4-(D174+273)^4)/(Y174-D174))</f>
        <v/>
      </c>
      <c r="AA174">
        <f>$B$14*I174*(Y174-C174)</f>
        <v/>
      </c>
      <c r="AB174">
        <f>$B$14*Z174*(Y174-D174)</f>
        <v/>
      </c>
      <c r="AC174">
        <f>IF((U174-E174)/G174=0,0.001,(U174-E174)/G174)</f>
        <v/>
      </c>
      <c r="AD174">
        <f>F174-P174-J174-K174-AA174-AB174</f>
        <v/>
      </c>
      <c r="AE174">
        <f>AD174/AC174</f>
        <v/>
      </c>
      <c r="AF174">
        <f>IF(AD174&lt;=0,0,IF(AC174&lt;=0,$B$11,IF(AE174&gt;=1.7,$B$11,MIN(AD174/MAX(0.05,IF(AE174&gt;1,(2-AE174)^2/2,1-AE174^2/2)),$B$11))))</f>
        <v/>
      </c>
      <c r="AG174">
        <f>AG173*$B$28+AF174*(1-$B$28)</f>
        <v/>
      </c>
      <c r="AH174">
        <f>IF(AND(AD174&gt;0,AC174&lt;=0),0,AC174)</f>
        <v/>
      </c>
      <c r="AI174">
        <f>AH174/MAX(AG174,0.000001)</f>
        <v/>
      </c>
      <c r="AJ174">
        <f>MIN(IF(AI174&gt;=0.5,-AI174+SQRT(AI174^2+2),1),$B$12)</f>
        <v/>
      </c>
      <c r="AK174">
        <f>IF(AG174&lt;=0,0,AJ174*AH174)</f>
        <v/>
      </c>
      <c r="AL174">
        <f>IF(AD174&lt;=0,0,AD174)</f>
        <v/>
      </c>
      <c r="AM174">
        <f>AL174-AK174+P174</f>
        <v/>
      </c>
      <c r="AN174">
        <f>((AM174/$B$7+T173*AS173/2-T174*MAX(0.1,MIN(0.3,0.3-0.09*(AR173-36.8)))/2)+AR173*(1-AS173/2))/(1-MAX(0.1,MIN(0.3,0.3-0.09*(AR173-36.8)))/2)</f>
        <v/>
      </c>
      <c r="AO174">
        <f>((AM174/$B$7+T173*AS173/2-T174*MAX(0.1,MIN(0.3,0.3-0.09*(AN174-36.8)))/2)+AR173*(1-AS173/2))/(1-MAX(0.1,MIN(0.3,0.3-0.09*(AN174-36.8)))/2)</f>
        <v/>
      </c>
      <c r="AP174">
        <f>((AM174/$B$7+T173*AS173/2-T174*MAX(0.1,MIN(0.3,0.3-0.09*(AO174-36.8)))/2)+AR173*(1-AS173/2))/(1-MAX(0.1,MIN(0.3,0.3-0.09*(AO174-36.8)))/2)</f>
        <v/>
      </c>
      <c r="AQ174">
        <f>((AM174/$B$7+T173*AS173/2-T174*MAX(0.1,MIN(0.3,0.3-0.09*(AP174-36.8)))/2)+AR173*(1-AS173/2))/(1-MAX(0.1,MIN(0.3,0.3-0.09*(AP174-36.8)))/2)</f>
        <v/>
      </c>
      <c r="AR174">
        <f>((AM174/$B$7+T173*AS173/2-T174*MAX(0.1,MIN(0.3,0.3-0.09*(AQ174-36.8)))/2)+AR173*(1-AS173/2))/(1-MAX(0.1,MIN(0.3,0.3-0.09*(AQ174-36.8)))/2)</f>
        <v/>
      </c>
      <c r="AS174">
        <f>MAX(0.1,MIN(0.3,0.3-0.09*(AR174-36.8)))</f>
        <v/>
      </c>
      <c r="AT174">
        <f>AT173+(2*AR174-1.962*AT173-1.31)/9</f>
        <v/>
      </c>
      <c r="AU174">
        <f>AU173+AG174+K174</f>
        <v/>
      </c>
      <c r="AV174">
        <f>AU174*2.67*$B$6/1.8/60</f>
        <v/>
      </c>
      <c r="AW174">
        <f>IF(AT174&gt;=$B$36,1,0)</f>
        <v/>
      </c>
      <c r="AX174">
        <f>IF(AV174&gt;=$B$21,1,0)</f>
        <v/>
      </c>
    </row>
    <row r="175">
      <c r="A175" t="n">
        <v>102</v>
      </c>
      <c r="B175">
        <f>MATCH(A175-1,$D$61:$D$68,1)</f>
        <v/>
      </c>
      <c r="C175">
        <f>INDEX($G$61:$G$68,B175)</f>
        <v/>
      </c>
      <c r="D175">
        <f>INDEX($L$61:$L$68,B175)</f>
        <v/>
      </c>
      <c r="E175">
        <f>INDEX($M$61:$M$68,B175)</f>
        <v/>
      </c>
      <c r="F175">
        <f>INDEX($N$61:$N$68,B175)</f>
        <v/>
      </c>
      <c r="G175">
        <f>INDEX($AA$61:$AA$68,B175)</f>
        <v/>
      </c>
      <c r="H175">
        <f>INDEX($X$61:$X$68,B175)</f>
        <v/>
      </c>
      <c r="I175">
        <f>INDEX($AF$61:$AF$68,B175)</f>
        <v/>
      </c>
      <c r="J175">
        <f>INDEX($AC$61:$AC$68,B175)</f>
        <v/>
      </c>
      <c r="K175">
        <f>INDEX($AD$61:$AD$68,B175)</f>
        <v/>
      </c>
      <c r="L175">
        <f>INDEX($AG$61:$AG$68,B175)</f>
        <v/>
      </c>
      <c r="M175">
        <f>INDEX($AH$61:$AH$68,B175)</f>
        <v/>
      </c>
      <c r="N175">
        <f>INDEX($AI$61:$AI$68,B175)</f>
        <v/>
      </c>
      <c r="O175">
        <f>O174*$B$26+L175*(1-$B$26)</f>
        <v/>
      </c>
      <c r="P175">
        <f>$B$7*(O175-O174)*(1-AS174)</f>
        <v/>
      </c>
      <c r="Q175">
        <f>M175+0.51274*AT174</f>
        <v/>
      </c>
      <c r="R175">
        <f>N175+0.616*AT174</f>
        <v/>
      </c>
      <c r="S175">
        <f>IF($B$13&gt;=0.6,Q175,IF($B$13&lt;=0.2,R175,R175+2.5*(Q175-R175)*($B$13-0.2)))</f>
        <v/>
      </c>
      <c r="T175">
        <f>IF(A175=1,S175,T174*$B$27+S175*(1-$B$27))</f>
        <v/>
      </c>
      <c r="U175">
        <f>0.6105*EXP(17.27*T175/(T175+237.3))</f>
        <v/>
      </c>
      <c r="V175">
        <f>($B$14*(I175*C175+IF(ABS((D175+0.1)-D175)&lt;0.000000001,4*$B$19*$B$20*(D175+273)^3,$B$19*$B$20*(((D175+0.1)+273)^4-(D175+273)^4)/((D175+0.1)-D175))*D175)+T175/H175)/($B$14*(I175+IF(ABS((D175+0.1)-D175)&lt;0.000000001,4*$B$19*$B$20*(D175+273)^3,$B$19*$B$20*(((D175+0.1)+273)^4-(D175+273)^4)/((D175+0.1)-D175)))+1/H175)</f>
        <v/>
      </c>
      <c r="W175">
        <f>($B$14*(I175*C175+IF(ABS(V175-D175)&lt;0.000000001,4*$B$19*$B$20*(D175+273)^3,$B$19*$B$20*((V175+273)^4-(D175+273)^4)/(V175-D175))*D175)+T175/H175)/($B$14*(I175+IF(ABS(V175-D175)&lt;0.000000001,4*$B$19*$B$20*(D175+273)^3,$B$19*$B$20*((V175+273)^4-(D175+273)^4)/(V175-D175)))+1/H175)</f>
        <v/>
      </c>
      <c r="X175">
        <f>($B$14*(I175*C175+IF(ABS(W175-D175)&lt;0.000000001,4*$B$19*$B$20*(D175+273)^3,$B$19*$B$20*((W175+273)^4-(D175+273)^4)/(W175-D175))*D175)+T175/H175)/($B$14*(I175+IF(ABS(W175-D175)&lt;0.000000001,4*$B$19*$B$20*(D175+273)^3,$B$19*$B$20*((W175+273)^4-(D175+273)^4)/(W175-D175)))+1/H175)</f>
        <v/>
      </c>
      <c r="Y175">
        <f>($B$14*(I175*C175+IF(ABS(X175-D175)&lt;0.000000001,4*$B$19*$B$20*(D175+273)^3,$B$19*$B$20*((X175+273)^4-(D175+273)^4)/(X175-D175))*D175)+T175/H175)/($B$14*(I175+IF(ABS(X175-D175)&lt;0.000000001,4*$B$19*$B$20*(D175+273)^3,$B$19*$B$20*((X175+273)^4-(D175+273)^4)/(X175-D175)))+1/H175)</f>
        <v/>
      </c>
      <c r="Z175">
        <f>IF(ABS(Y175-D175)&lt;0.000000001,4*$B$19*$B$20*(D175+273)^3,$B$19*$B$20*((Y175+273)^4-(D175+273)^4)/(Y175-D175))</f>
        <v/>
      </c>
      <c r="AA175">
        <f>$B$14*I175*(Y175-C175)</f>
        <v/>
      </c>
      <c r="AB175">
        <f>$B$14*Z175*(Y175-D175)</f>
        <v/>
      </c>
      <c r="AC175">
        <f>IF((U175-E175)/G175=0,0.001,(U175-E175)/G175)</f>
        <v/>
      </c>
      <c r="AD175">
        <f>F175-P175-J175-K175-AA175-AB175</f>
        <v/>
      </c>
      <c r="AE175">
        <f>AD175/AC175</f>
        <v/>
      </c>
      <c r="AF175">
        <f>IF(AD175&lt;=0,0,IF(AC175&lt;=0,$B$11,IF(AE175&gt;=1.7,$B$11,MIN(AD175/MAX(0.05,IF(AE175&gt;1,(2-AE175)^2/2,1-AE175^2/2)),$B$11))))</f>
        <v/>
      </c>
      <c r="AG175">
        <f>AG174*$B$28+AF175*(1-$B$28)</f>
        <v/>
      </c>
      <c r="AH175">
        <f>IF(AND(AD175&gt;0,AC175&lt;=0),0,AC175)</f>
        <v/>
      </c>
      <c r="AI175">
        <f>AH175/MAX(AG175,0.000001)</f>
        <v/>
      </c>
      <c r="AJ175">
        <f>MIN(IF(AI175&gt;=0.5,-AI175+SQRT(AI175^2+2),1),$B$12)</f>
        <v/>
      </c>
      <c r="AK175">
        <f>IF(AG175&lt;=0,0,AJ175*AH175)</f>
        <v/>
      </c>
      <c r="AL175">
        <f>IF(AD175&lt;=0,0,AD175)</f>
        <v/>
      </c>
      <c r="AM175">
        <f>AL175-AK175+P175</f>
        <v/>
      </c>
      <c r="AN175">
        <f>((AM175/$B$7+T174*AS174/2-T175*MAX(0.1,MIN(0.3,0.3-0.09*(AR174-36.8)))/2)+AR174*(1-AS174/2))/(1-MAX(0.1,MIN(0.3,0.3-0.09*(AR174-36.8)))/2)</f>
        <v/>
      </c>
      <c r="AO175">
        <f>((AM175/$B$7+T174*AS174/2-T175*MAX(0.1,MIN(0.3,0.3-0.09*(AN175-36.8)))/2)+AR174*(1-AS174/2))/(1-MAX(0.1,MIN(0.3,0.3-0.09*(AN175-36.8)))/2)</f>
        <v/>
      </c>
      <c r="AP175">
        <f>((AM175/$B$7+T174*AS174/2-T175*MAX(0.1,MIN(0.3,0.3-0.09*(AO175-36.8)))/2)+AR174*(1-AS174/2))/(1-MAX(0.1,MIN(0.3,0.3-0.09*(AO175-36.8)))/2)</f>
        <v/>
      </c>
      <c r="AQ175">
        <f>((AM175/$B$7+T174*AS174/2-T175*MAX(0.1,MIN(0.3,0.3-0.09*(AP175-36.8)))/2)+AR174*(1-AS174/2))/(1-MAX(0.1,MIN(0.3,0.3-0.09*(AP175-36.8)))/2)</f>
        <v/>
      </c>
      <c r="AR175">
        <f>((AM175/$B$7+T174*AS174/2-T175*MAX(0.1,MIN(0.3,0.3-0.09*(AQ175-36.8)))/2)+AR174*(1-AS174/2))/(1-MAX(0.1,MIN(0.3,0.3-0.09*(AQ175-36.8)))/2)</f>
        <v/>
      </c>
      <c r="AS175">
        <f>MAX(0.1,MIN(0.3,0.3-0.09*(AR175-36.8)))</f>
        <v/>
      </c>
      <c r="AT175">
        <f>AT174+(2*AR175-1.962*AT174-1.31)/9</f>
        <v/>
      </c>
      <c r="AU175">
        <f>AU174+AG175+K175</f>
        <v/>
      </c>
      <c r="AV175">
        <f>AU175*2.67*$B$6/1.8/60</f>
        <v/>
      </c>
      <c r="AW175">
        <f>IF(AT175&gt;=$B$36,1,0)</f>
        <v/>
      </c>
      <c r="AX175">
        <f>IF(AV175&gt;=$B$21,1,0)</f>
        <v/>
      </c>
    </row>
    <row r="176">
      <c r="A176" t="n">
        <v>103</v>
      </c>
      <c r="B176">
        <f>MATCH(A176-1,$D$61:$D$68,1)</f>
        <v/>
      </c>
      <c r="C176">
        <f>INDEX($G$61:$G$68,B176)</f>
        <v/>
      </c>
      <c r="D176">
        <f>INDEX($L$61:$L$68,B176)</f>
        <v/>
      </c>
      <c r="E176">
        <f>INDEX($M$61:$M$68,B176)</f>
        <v/>
      </c>
      <c r="F176">
        <f>INDEX($N$61:$N$68,B176)</f>
        <v/>
      </c>
      <c r="G176">
        <f>INDEX($AA$61:$AA$68,B176)</f>
        <v/>
      </c>
      <c r="H176">
        <f>INDEX($X$61:$X$68,B176)</f>
        <v/>
      </c>
      <c r="I176">
        <f>INDEX($AF$61:$AF$68,B176)</f>
        <v/>
      </c>
      <c r="J176">
        <f>INDEX($AC$61:$AC$68,B176)</f>
        <v/>
      </c>
      <c r="K176">
        <f>INDEX($AD$61:$AD$68,B176)</f>
        <v/>
      </c>
      <c r="L176">
        <f>INDEX($AG$61:$AG$68,B176)</f>
        <v/>
      </c>
      <c r="M176">
        <f>INDEX($AH$61:$AH$68,B176)</f>
        <v/>
      </c>
      <c r="N176">
        <f>INDEX($AI$61:$AI$68,B176)</f>
        <v/>
      </c>
      <c r="O176">
        <f>O175*$B$26+L176*(1-$B$26)</f>
        <v/>
      </c>
      <c r="P176">
        <f>$B$7*(O176-O175)*(1-AS175)</f>
        <v/>
      </c>
      <c r="Q176">
        <f>M176+0.51274*AT175</f>
        <v/>
      </c>
      <c r="R176">
        <f>N176+0.616*AT175</f>
        <v/>
      </c>
      <c r="S176">
        <f>IF($B$13&gt;=0.6,Q176,IF($B$13&lt;=0.2,R176,R176+2.5*(Q176-R176)*($B$13-0.2)))</f>
        <v/>
      </c>
      <c r="T176">
        <f>IF(A176=1,S176,T175*$B$27+S176*(1-$B$27))</f>
        <v/>
      </c>
      <c r="U176">
        <f>0.6105*EXP(17.27*T176/(T176+237.3))</f>
        <v/>
      </c>
      <c r="V176">
        <f>($B$14*(I176*C176+IF(ABS((D176+0.1)-D176)&lt;0.000000001,4*$B$19*$B$20*(D176+273)^3,$B$19*$B$20*(((D176+0.1)+273)^4-(D176+273)^4)/((D176+0.1)-D176))*D176)+T176/H176)/($B$14*(I176+IF(ABS((D176+0.1)-D176)&lt;0.000000001,4*$B$19*$B$20*(D176+273)^3,$B$19*$B$20*(((D176+0.1)+273)^4-(D176+273)^4)/((D176+0.1)-D176)))+1/H176)</f>
        <v/>
      </c>
      <c r="W176">
        <f>($B$14*(I176*C176+IF(ABS(V176-D176)&lt;0.000000001,4*$B$19*$B$20*(D176+273)^3,$B$19*$B$20*((V176+273)^4-(D176+273)^4)/(V176-D176))*D176)+T176/H176)/($B$14*(I176+IF(ABS(V176-D176)&lt;0.000000001,4*$B$19*$B$20*(D176+273)^3,$B$19*$B$20*((V176+273)^4-(D176+273)^4)/(V176-D176)))+1/H176)</f>
        <v/>
      </c>
      <c r="X176">
        <f>($B$14*(I176*C176+IF(ABS(W176-D176)&lt;0.000000001,4*$B$19*$B$20*(D176+273)^3,$B$19*$B$20*((W176+273)^4-(D176+273)^4)/(W176-D176))*D176)+T176/H176)/($B$14*(I176+IF(ABS(W176-D176)&lt;0.000000001,4*$B$19*$B$20*(D176+273)^3,$B$19*$B$20*((W176+273)^4-(D176+273)^4)/(W176-D176)))+1/H176)</f>
        <v/>
      </c>
      <c r="Y176">
        <f>($B$14*(I176*C176+IF(ABS(X176-D176)&lt;0.000000001,4*$B$19*$B$20*(D176+273)^3,$B$19*$B$20*((X176+273)^4-(D176+273)^4)/(X176-D176))*D176)+T176/H176)/($B$14*(I176+IF(ABS(X176-D176)&lt;0.000000001,4*$B$19*$B$20*(D176+273)^3,$B$19*$B$20*((X176+273)^4-(D176+273)^4)/(X176-D176)))+1/H176)</f>
        <v/>
      </c>
      <c r="Z176">
        <f>IF(ABS(Y176-D176)&lt;0.000000001,4*$B$19*$B$20*(D176+273)^3,$B$19*$B$20*((Y176+273)^4-(D176+273)^4)/(Y176-D176))</f>
        <v/>
      </c>
      <c r="AA176">
        <f>$B$14*I176*(Y176-C176)</f>
        <v/>
      </c>
      <c r="AB176">
        <f>$B$14*Z176*(Y176-D176)</f>
        <v/>
      </c>
      <c r="AC176">
        <f>IF((U176-E176)/G176=0,0.001,(U176-E176)/G176)</f>
        <v/>
      </c>
      <c r="AD176">
        <f>F176-P176-J176-K176-AA176-AB176</f>
        <v/>
      </c>
      <c r="AE176">
        <f>AD176/AC176</f>
        <v/>
      </c>
      <c r="AF176">
        <f>IF(AD176&lt;=0,0,IF(AC176&lt;=0,$B$11,IF(AE176&gt;=1.7,$B$11,MIN(AD176/MAX(0.05,IF(AE176&gt;1,(2-AE176)^2/2,1-AE176^2/2)),$B$11))))</f>
        <v/>
      </c>
      <c r="AG176">
        <f>AG175*$B$28+AF176*(1-$B$28)</f>
        <v/>
      </c>
      <c r="AH176">
        <f>IF(AND(AD176&gt;0,AC176&lt;=0),0,AC176)</f>
        <v/>
      </c>
      <c r="AI176">
        <f>AH176/MAX(AG176,0.000001)</f>
        <v/>
      </c>
      <c r="AJ176">
        <f>MIN(IF(AI176&gt;=0.5,-AI176+SQRT(AI176^2+2),1),$B$12)</f>
        <v/>
      </c>
      <c r="AK176">
        <f>IF(AG176&lt;=0,0,AJ176*AH176)</f>
        <v/>
      </c>
      <c r="AL176">
        <f>IF(AD176&lt;=0,0,AD176)</f>
        <v/>
      </c>
      <c r="AM176">
        <f>AL176-AK176+P176</f>
        <v/>
      </c>
      <c r="AN176">
        <f>((AM176/$B$7+T175*AS175/2-T176*MAX(0.1,MIN(0.3,0.3-0.09*(AR175-36.8)))/2)+AR175*(1-AS175/2))/(1-MAX(0.1,MIN(0.3,0.3-0.09*(AR175-36.8)))/2)</f>
        <v/>
      </c>
      <c r="AO176">
        <f>((AM176/$B$7+T175*AS175/2-T176*MAX(0.1,MIN(0.3,0.3-0.09*(AN176-36.8)))/2)+AR175*(1-AS175/2))/(1-MAX(0.1,MIN(0.3,0.3-0.09*(AN176-36.8)))/2)</f>
        <v/>
      </c>
      <c r="AP176">
        <f>((AM176/$B$7+T175*AS175/2-T176*MAX(0.1,MIN(0.3,0.3-0.09*(AO176-36.8)))/2)+AR175*(1-AS175/2))/(1-MAX(0.1,MIN(0.3,0.3-0.09*(AO176-36.8)))/2)</f>
        <v/>
      </c>
      <c r="AQ176">
        <f>((AM176/$B$7+T175*AS175/2-T176*MAX(0.1,MIN(0.3,0.3-0.09*(AP176-36.8)))/2)+AR175*(1-AS175/2))/(1-MAX(0.1,MIN(0.3,0.3-0.09*(AP176-36.8)))/2)</f>
        <v/>
      </c>
      <c r="AR176">
        <f>((AM176/$B$7+T175*AS175/2-T176*MAX(0.1,MIN(0.3,0.3-0.09*(AQ176-36.8)))/2)+AR175*(1-AS175/2))/(1-MAX(0.1,MIN(0.3,0.3-0.09*(AQ176-36.8)))/2)</f>
        <v/>
      </c>
      <c r="AS176">
        <f>MAX(0.1,MIN(0.3,0.3-0.09*(AR176-36.8)))</f>
        <v/>
      </c>
      <c r="AT176">
        <f>AT175+(2*AR176-1.962*AT175-1.31)/9</f>
        <v/>
      </c>
      <c r="AU176">
        <f>AU175+AG176+K176</f>
        <v/>
      </c>
      <c r="AV176">
        <f>AU176*2.67*$B$6/1.8/60</f>
        <v/>
      </c>
      <c r="AW176">
        <f>IF(AT176&gt;=$B$36,1,0)</f>
        <v/>
      </c>
      <c r="AX176">
        <f>IF(AV176&gt;=$B$21,1,0)</f>
        <v/>
      </c>
    </row>
    <row r="177">
      <c r="A177" t="n">
        <v>104</v>
      </c>
      <c r="B177">
        <f>MATCH(A177-1,$D$61:$D$68,1)</f>
        <v/>
      </c>
      <c r="C177">
        <f>INDEX($G$61:$G$68,B177)</f>
        <v/>
      </c>
      <c r="D177">
        <f>INDEX($L$61:$L$68,B177)</f>
        <v/>
      </c>
      <c r="E177">
        <f>INDEX($M$61:$M$68,B177)</f>
        <v/>
      </c>
      <c r="F177">
        <f>INDEX($N$61:$N$68,B177)</f>
        <v/>
      </c>
      <c r="G177">
        <f>INDEX($AA$61:$AA$68,B177)</f>
        <v/>
      </c>
      <c r="H177">
        <f>INDEX($X$61:$X$68,B177)</f>
        <v/>
      </c>
      <c r="I177">
        <f>INDEX($AF$61:$AF$68,B177)</f>
        <v/>
      </c>
      <c r="J177">
        <f>INDEX($AC$61:$AC$68,B177)</f>
        <v/>
      </c>
      <c r="K177">
        <f>INDEX($AD$61:$AD$68,B177)</f>
        <v/>
      </c>
      <c r="L177">
        <f>INDEX($AG$61:$AG$68,B177)</f>
        <v/>
      </c>
      <c r="M177">
        <f>INDEX($AH$61:$AH$68,B177)</f>
        <v/>
      </c>
      <c r="N177">
        <f>INDEX($AI$61:$AI$68,B177)</f>
        <v/>
      </c>
      <c r="O177">
        <f>O176*$B$26+L177*(1-$B$26)</f>
        <v/>
      </c>
      <c r="P177">
        <f>$B$7*(O177-O176)*(1-AS176)</f>
        <v/>
      </c>
      <c r="Q177">
        <f>M177+0.51274*AT176</f>
        <v/>
      </c>
      <c r="R177">
        <f>N177+0.616*AT176</f>
        <v/>
      </c>
      <c r="S177">
        <f>IF($B$13&gt;=0.6,Q177,IF($B$13&lt;=0.2,R177,R177+2.5*(Q177-R177)*($B$13-0.2)))</f>
        <v/>
      </c>
      <c r="T177">
        <f>IF(A177=1,S177,T176*$B$27+S177*(1-$B$27))</f>
        <v/>
      </c>
      <c r="U177">
        <f>0.6105*EXP(17.27*T177/(T177+237.3))</f>
        <v/>
      </c>
      <c r="V177">
        <f>($B$14*(I177*C177+IF(ABS((D177+0.1)-D177)&lt;0.000000001,4*$B$19*$B$20*(D177+273)^3,$B$19*$B$20*(((D177+0.1)+273)^4-(D177+273)^4)/((D177+0.1)-D177))*D177)+T177/H177)/($B$14*(I177+IF(ABS((D177+0.1)-D177)&lt;0.000000001,4*$B$19*$B$20*(D177+273)^3,$B$19*$B$20*(((D177+0.1)+273)^4-(D177+273)^4)/((D177+0.1)-D177)))+1/H177)</f>
        <v/>
      </c>
      <c r="W177">
        <f>($B$14*(I177*C177+IF(ABS(V177-D177)&lt;0.000000001,4*$B$19*$B$20*(D177+273)^3,$B$19*$B$20*((V177+273)^4-(D177+273)^4)/(V177-D177))*D177)+T177/H177)/($B$14*(I177+IF(ABS(V177-D177)&lt;0.000000001,4*$B$19*$B$20*(D177+273)^3,$B$19*$B$20*((V177+273)^4-(D177+273)^4)/(V177-D177)))+1/H177)</f>
        <v/>
      </c>
      <c r="X177">
        <f>($B$14*(I177*C177+IF(ABS(W177-D177)&lt;0.000000001,4*$B$19*$B$20*(D177+273)^3,$B$19*$B$20*((W177+273)^4-(D177+273)^4)/(W177-D177))*D177)+T177/H177)/($B$14*(I177+IF(ABS(W177-D177)&lt;0.000000001,4*$B$19*$B$20*(D177+273)^3,$B$19*$B$20*((W177+273)^4-(D177+273)^4)/(W177-D177)))+1/H177)</f>
        <v/>
      </c>
      <c r="Y177">
        <f>($B$14*(I177*C177+IF(ABS(X177-D177)&lt;0.000000001,4*$B$19*$B$20*(D177+273)^3,$B$19*$B$20*((X177+273)^4-(D177+273)^4)/(X177-D177))*D177)+T177/H177)/($B$14*(I177+IF(ABS(X177-D177)&lt;0.000000001,4*$B$19*$B$20*(D177+273)^3,$B$19*$B$20*((X177+273)^4-(D177+273)^4)/(X177-D177)))+1/H177)</f>
        <v/>
      </c>
      <c r="Z177">
        <f>IF(ABS(Y177-D177)&lt;0.000000001,4*$B$19*$B$20*(D177+273)^3,$B$19*$B$20*((Y177+273)^4-(D177+273)^4)/(Y177-D177))</f>
        <v/>
      </c>
      <c r="AA177">
        <f>$B$14*I177*(Y177-C177)</f>
        <v/>
      </c>
      <c r="AB177">
        <f>$B$14*Z177*(Y177-D177)</f>
        <v/>
      </c>
      <c r="AC177">
        <f>IF((U177-E177)/G177=0,0.001,(U177-E177)/G177)</f>
        <v/>
      </c>
      <c r="AD177">
        <f>F177-P177-J177-K177-AA177-AB177</f>
        <v/>
      </c>
      <c r="AE177">
        <f>AD177/AC177</f>
        <v/>
      </c>
      <c r="AF177">
        <f>IF(AD177&lt;=0,0,IF(AC177&lt;=0,$B$11,IF(AE177&gt;=1.7,$B$11,MIN(AD177/MAX(0.05,IF(AE177&gt;1,(2-AE177)^2/2,1-AE177^2/2)),$B$11))))</f>
        <v/>
      </c>
      <c r="AG177">
        <f>AG176*$B$28+AF177*(1-$B$28)</f>
        <v/>
      </c>
      <c r="AH177">
        <f>IF(AND(AD177&gt;0,AC177&lt;=0),0,AC177)</f>
        <v/>
      </c>
      <c r="AI177">
        <f>AH177/MAX(AG177,0.000001)</f>
        <v/>
      </c>
      <c r="AJ177">
        <f>MIN(IF(AI177&gt;=0.5,-AI177+SQRT(AI177^2+2),1),$B$12)</f>
        <v/>
      </c>
      <c r="AK177">
        <f>IF(AG177&lt;=0,0,AJ177*AH177)</f>
        <v/>
      </c>
      <c r="AL177">
        <f>IF(AD177&lt;=0,0,AD177)</f>
        <v/>
      </c>
      <c r="AM177">
        <f>AL177-AK177+P177</f>
        <v/>
      </c>
      <c r="AN177">
        <f>((AM177/$B$7+T176*AS176/2-T177*MAX(0.1,MIN(0.3,0.3-0.09*(AR176-36.8)))/2)+AR176*(1-AS176/2))/(1-MAX(0.1,MIN(0.3,0.3-0.09*(AR176-36.8)))/2)</f>
        <v/>
      </c>
      <c r="AO177">
        <f>((AM177/$B$7+T176*AS176/2-T177*MAX(0.1,MIN(0.3,0.3-0.09*(AN177-36.8)))/2)+AR176*(1-AS176/2))/(1-MAX(0.1,MIN(0.3,0.3-0.09*(AN177-36.8)))/2)</f>
        <v/>
      </c>
      <c r="AP177">
        <f>((AM177/$B$7+T176*AS176/2-T177*MAX(0.1,MIN(0.3,0.3-0.09*(AO177-36.8)))/2)+AR176*(1-AS176/2))/(1-MAX(0.1,MIN(0.3,0.3-0.09*(AO177-36.8)))/2)</f>
        <v/>
      </c>
      <c r="AQ177">
        <f>((AM177/$B$7+T176*AS176/2-T177*MAX(0.1,MIN(0.3,0.3-0.09*(AP177-36.8)))/2)+AR176*(1-AS176/2))/(1-MAX(0.1,MIN(0.3,0.3-0.09*(AP177-36.8)))/2)</f>
        <v/>
      </c>
      <c r="AR177">
        <f>((AM177/$B$7+T176*AS176/2-T177*MAX(0.1,MIN(0.3,0.3-0.09*(AQ177-36.8)))/2)+AR176*(1-AS176/2))/(1-MAX(0.1,MIN(0.3,0.3-0.09*(AQ177-36.8)))/2)</f>
        <v/>
      </c>
      <c r="AS177">
        <f>MAX(0.1,MIN(0.3,0.3-0.09*(AR177-36.8)))</f>
        <v/>
      </c>
      <c r="AT177">
        <f>AT176+(2*AR177-1.962*AT176-1.31)/9</f>
        <v/>
      </c>
      <c r="AU177">
        <f>AU176+AG177+K177</f>
        <v/>
      </c>
      <c r="AV177">
        <f>AU177*2.67*$B$6/1.8/60</f>
        <v/>
      </c>
      <c r="AW177">
        <f>IF(AT177&gt;=$B$36,1,0)</f>
        <v/>
      </c>
      <c r="AX177">
        <f>IF(AV177&gt;=$B$21,1,0)</f>
        <v/>
      </c>
    </row>
    <row r="178">
      <c r="A178" t="n">
        <v>105</v>
      </c>
      <c r="B178">
        <f>MATCH(A178-1,$D$61:$D$68,1)</f>
        <v/>
      </c>
      <c r="C178">
        <f>INDEX($G$61:$G$68,B178)</f>
        <v/>
      </c>
      <c r="D178">
        <f>INDEX($L$61:$L$68,B178)</f>
        <v/>
      </c>
      <c r="E178">
        <f>INDEX($M$61:$M$68,B178)</f>
        <v/>
      </c>
      <c r="F178">
        <f>INDEX($N$61:$N$68,B178)</f>
        <v/>
      </c>
      <c r="G178">
        <f>INDEX($AA$61:$AA$68,B178)</f>
        <v/>
      </c>
      <c r="H178">
        <f>INDEX($X$61:$X$68,B178)</f>
        <v/>
      </c>
      <c r="I178">
        <f>INDEX($AF$61:$AF$68,B178)</f>
        <v/>
      </c>
      <c r="J178">
        <f>INDEX($AC$61:$AC$68,B178)</f>
        <v/>
      </c>
      <c r="K178">
        <f>INDEX($AD$61:$AD$68,B178)</f>
        <v/>
      </c>
      <c r="L178">
        <f>INDEX($AG$61:$AG$68,B178)</f>
        <v/>
      </c>
      <c r="M178">
        <f>INDEX($AH$61:$AH$68,B178)</f>
        <v/>
      </c>
      <c r="N178">
        <f>INDEX($AI$61:$AI$68,B178)</f>
        <v/>
      </c>
      <c r="O178">
        <f>O177*$B$26+L178*(1-$B$26)</f>
        <v/>
      </c>
      <c r="P178">
        <f>$B$7*(O178-O177)*(1-AS177)</f>
        <v/>
      </c>
      <c r="Q178">
        <f>M178+0.51274*AT177</f>
        <v/>
      </c>
      <c r="R178">
        <f>N178+0.616*AT177</f>
        <v/>
      </c>
      <c r="S178">
        <f>IF($B$13&gt;=0.6,Q178,IF($B$13&lt;=0.2,R178,R178+2.5*(Q178-R178)*($B$13-0.2)))</f>
        <v/>
      </c>
      <c r="T178">
        <f>IF(A178=1,S178,T177*$B$27+S178*(1-$B$27))</f>
        <v/>
      </c>
      <c r="U178">
        <f>0.6105*EXP(17.27*T178/(T178+237.3))</f>
        <v/>
      </c>
      <c r="V178">
        <f>($B$14*(I178*C178+IF(ABS((D178+0.1)-D178)&lt;0.000000001,4*$B$19*$B$20*(D178+273)^3,$B$19*$B$20*(((D178+0.1)+273)^4-(D178+273)^4)/((D178+0.1)-D178))*D178)+T178/H178)/($B$14*(I178+IF(ABS((D178+0.1)-D178)&lt;0.000000001,4*$B$19*$B$20*(D178+273)^3,$B$19*$B$20*(((D178+0.1)+273)^4-(D178+273)^4)/((D178+0.1)-D178)))+1/H178)</f>
        <v/>
      </c>
      <c r="W178">
        <f>($B$14*(I178*C178+IF(ABS(V178-D178)&lt;0.000000001,4*$B$19*$B$20*(D178+273)^3,$B$19*$B$20*((V178+273)^4-(D178+273)^4)/(V178-D178))*D178)+T178/H178)/($B$14*(I178+IF(ABS(V178-D178)&lt;0.000000001,4*$B$19*$B$20*(D178+273)^3,$B$19*$B$20*((V178+273)^4-(D178+273)^4)/(V178-D178)))+1/H178)</f>
        <v/>
      </c>
      <c r="X178">
        <f>($B$14*(I178*C178+IF(ABS(W178-D178)&lt;0.000000001,4*$B$19*$B$20*(D178+273)^3,$B$19*$B$20*((W178+273)^4-(D178+273)^4)/(W178-D178))*D178)+T178/H178)/($B$14*(I178+IF(ABS(W178-D178)&lt;0.000000001,4*$B$19*$B$20*(D178+273)^3,$B$19*$B$20*((W178+273)^4-(D178+273)^4)/(W178-D178)))+1/H178)</f>
        <v/>
      </c>
      <c r="Y178">
        <f>($B$14*(I178*C178+IF(ABS(X178-D178)&lt;0.000000001,4*$B$19*$B$20*(D178+273)^3,$B$19*$B$20*((X178+273)^4-(D178+273)^4)/(X178-D178))*D178)+T178/H178)/($B$14*(I178+IF(ABS(X178-D178)&lt;0.000000001,4*$B$19*$B$20*(D178+273)^3,$B$19*$B$20*((X178+273)^4-(D178+273)^4)/(X178-D178)))+1/H178)</f>
        <v/>
      </c>
      <c r="Z178">
        <f>IF(ABS(Y178-D178)&lt;0.000000001,4*$B$19*$B$20*(D178+273)^3,$B$19*$B$20*((Y178+273)^4-(D178+273)^4)/(Y178-D178))</f>
        <v/>
      </c>
      <c r="AA178">
        <f>$B$14*I178*(Y178-C178)</f>
        <v/>
      </c>
      <c r="AB178">
        <f>$B$14*Z178*(Y178-D178)</f>
        <v/>
      </c>
      <c r="AC178">
        <f>IF((U178-E178)/G178=0,0.001,(U178-E178)/G178)</f>
        <v/>
      </c>
      <c r="AD178">
        <f>F178-P178-J178-K178-AA178-AB178</f>
        <v/>
      </c>
      <c r="AE178">
        <f>AD178/AC178</f>
        <v/>
      </c>
      <c r="AF178">
        <f>IF(AD178&lt;=0,0,IF(AC178&lt;=0,$B$11,IF(AE178&gt;=1.7,$B$11,MIN(AD178/MAX(0.05,IF(AE178&gt;1,(2-AE178)^2/2,1-AE178^2/2)),$B$11))))</f>
        <v/>
      </c>
      <c r="AG178">
        <f>AG177*$B$28+AF178*(1-$B$28)</f>
        <v/>
      </c>
      <c r="AH178">
        <f>IF(AND(AD178&gt;0,AC178&lt;=0),0,AC178)</f>
        <v/>
      </c>
      <c r="AI178">
        <f>AH178/MAX(AG178,0.000001)</f>
        <v/>
      </c>
      <c r="AJ178">
        <f>MIN(IF(AI178&gt;=0.5,-AI178+SQRT(AI178^2+2),1),$B$12)</f>
        <v/>
      </c>
      <c r="AK178">
        <f>IF(AG178&lt;=0,0,AJ178*AH178)</f>
        <v/>
      </c>
      <c r="AL178">
        <f>IF(AD178&lt;=0,0,AD178)</f>
        <v/>
      </c>
      <c r="AM178">
        <f>AL178-AK178+P178</f>
        <v/>
      </c>
      <c r="AN178">
        <f>((AM178/$B$7+T177*AS177/2-T178*MAX(0.1,MIN(0.3,0.3-0.09*(AR177-36.8)))/2)+AR177*(1-AS177/2))/(1-MAX(0.1,MIN(0.3,0.3-0.09*(AR177-36.8)))/2)</f>
        <v/>
      </c>
      <c r="AO178">
        <f>((AM178/$B$7+T177*AS177/2-T178*MAX(0.1,MIN(0.3,0.3-0.09*(AN178-36.8)))/2)+AR177*(1-AS177/2))/(1-MAX(0.1,MIN(0.3,0.3-0.09*(AN178-36.8)))/2)</f>
        <v/>
      </c>
      <c r="AP178">
        <f>((AM178/$B$7+T177*AS177/2-T178*MAX(0.1,MIN(0.3,0.3-0.09*(AO178-36.8)))/2)+AR177*(1-AS177/2))/(1-MAX(0.1,MIN(0.3,0.3-0.09*(AO178-36.8)))/2)</f>
        <v/>
      </c>
      <c r="AQ178">
        <f>((AM178/$B$7+T177*AS177/2-T178*MAX(0.1,MIN(0.3,0.3-0.09*(AP178-36.8)))/2)+AR177*(1-AS177/2))/(1-MAX(0.1,MIN(0.3,0.3-0.09*(AP178-36.8)))/2)</f>
        <v/>
      </c>
      <c r="AR178">
        <f>((AM178/$B$7+T177*AS177/2-T178*MAX(0.1,MIN(0.3,0.3-0.09*(AQ178-36.8)))/2)+AR177*(1-AS177/2))/(1-MAX(0.1,MIN(0.3,0.3-0.09*(AQ178-36.8)))/2)</f>
        <v/>
      </c>
      <c r="AS178">
        <f>MAX(0.1,MIN(0.3,0.3-0.09*(AR178-36.8)))</f>
        <v/>
      </c>
      <c r="AT178">
        <f>AT177+(2*AR178-1.962*AT177-1.31)/9</f>
        <v/>
      </c>
      <c r="AU178">
        <f>AU177+AG178+K178</f>
        <v/>
      </c>
      <c r="AV178">
        <f>AU178*2.67*$B$6/1.8/60</f>
        <v/>
      </c>
      <c r="AW178">
        <f>IF(AT178&gt;=$B$36,1,0)</f>
        <v/>
      </c>
      <c r="AX178">
        <f>IF(AV178&gt;=$B$21,1,0)</f>
        <v/>
      </c>
    </row>
    <row r="179">
      <c r="A179" t="n">
        <v>106</v>
      </c>
      <c r="B179">
        <f>MATCH(A179-1,$D$61:$D$68,1)</f>
        <v/>
      </c>
      <c r="C179">
        <f>INDEX($G$61:$G$68,B179)</f>
        <v/>
      </c>
      <c r="D179">
        <f>INDEX($L$61:$L$68,B179)</f>
        <v/>
      </c>
      <c r="E179">
        <f>INDEX($M$61:$M$68,B179)</f>
        <v/>
      </c>
      <c r="F179">
        <f>INDEX($N$61:$N$68,B179)</f>
        <v/>
      </c>
      <c r="G179">
        <f>INDEX($AA$61:$AA$68,B179)</f>
        <v/>
      </c>
      <c r="H179">
        <f>INDEX($X$61:$X$68,B179)</f>
        <v/>
      </c>
      <c r="I179">
        <f>INDEX($AF$61:$AF$68,B179)</f>
        <v/>
      </c>
      <c r="J179">
        <f>INDEX($AC$61:$AC$68,B179)</f>
        <v/>
      </c>
      <c r="K179">
        <f>INDEX($AD$61:$AD$68,B179)</f>
        <v/>
      </c>
      <c r="L179">
        <f>INDEX($AG$61:$AG$68,B179)</f>
        <v/>
      </c>
      <c r="M179">
        <f>INDEX($AH$61:$AH$68,B179)</f>
        <v/>
      </c>
      <c r="N179">
        <f>INDEX($AI$61:$AI$68,B179)</f>
        <v/>
      </c>
      <c r="O179">
        <f>O178*$B$26+L179*(1-$B$26)</f>
        <v/>
      </c>
      <c r="P179">
        <f>$B$7*(O179-O178)*(1-AS178)</f>
        <v/>
      </c>
      <c r="Q179">
        <f>M179+0.51274*AT178</f>
        <v/>
      </c>
      <c r="R179">
        <f>N179+0.616*AT178</f>
        <v/>
      </c>
      <c r="S179">
        <f>IF($B$13&gt;=0.6,Q179,IF($B$13&lt;=0.2,R179,R179+2.5*(Q179-R179)*($B$13-0.2)))</f>
        <v/>
      </c>
      <c r="T179">
        <f>IF(A179=1,S179,T178*$B$27+S179*(1-$B$27))</f>
        <v/>
      </c>
      <c r="U179">
        <f>0.6105*EXP(17.27*T179/(T179+237.3))</f>
        <v/>
      </c>
      <c r="V179">
        <f>($B$14*(I179*C179+IF(ABS((D179+0.1)-D179)&lt;0.000000001,4*$B$19*$B$20*(D179+273)^3,$B$19*$B$20*(((D179+0.1)+273)^4-(D179+273)^4)/((D179+0.1)-D179))*D179)+T179/H179)/($B$14*(I179+IF(ABS((D179+0.1)-D179)&lt;0.000000001,4*$B$19*$B$20*(D179+273)^3,$B$19*$B$20*(((D179+0.1)+273)^4-(D179+273)^4)/((D179+0.1)-D179)))+1/H179)</f>
        <v/>
      </c>
      <c r="W179">
        <f>($B$14*(I179*C179+IF(ABS(V179-D179)&lt;0.000000001,4*$B$19*$B$20*(D179+273)^3,$B$19*$B$20*((V179+273)^4-(D179+273)^4)/(V179-D179))*D179)+T179/H179)/($B$14*(I179+IF(ABS(V179-D179)&lt;0.000000001,4*$B$19*$B$20*(D179+273)^3,$B$19*$B$20*((V179+273)^4-(D179+273)^4)/(V179-D179)))+1/H179)</f>
        <v/>
      </c>
      <c r="X179">
        <f>($B$14*(I179*C179+IF(ABS(W179-D179)&lt;0.000000001,4*$B$19*$B$20*(D179+273)^3,$B$19*$B$20*((W179+273)^4-(D179+273)^4)/(W179-D179))*D179)+T179/H179)/($B$14*(I179+IF(ABS(W179-D179)&lt;0.000000001,4*$B$19*$B$20*(D179+273)^3,$B$19*$B$20*((W179+273)^4-(D179+273)^4)/(W179-D179)))+1/H179)</f>
        <v/>
      </c>
      <c r="Y179">
        <f>($B$14*(I179*C179+IF(ABS(X179-D179)&lt;0.000000001,4*$B$19*$B$20*(D179+273)^3,$B$19*$B$20*((X179+273)^4-(D179+273)^4)/(X179-D179))*D179)+T179/H179)/($B$14*(I179+IF(ABS(X179-D179)&lt;0.000000001,4*$B$19*$B$20*(D179+273)^3,$B$19*$B$20*((X179+273)^4-(D179+273)^4)/(X179-D179)))+1/H179)</f>
        <v/>
      </c>
      <c r="Z179">
        <f>IF(ABS(Y179-D179)&lt;0.000000001,4*$B$19*$B$20*(D179+273)^3,$B$19*$B$20*((Y179+273)^4-(D179+273)^4)/(Y179-D179))</f>
        <v/>
      </c>
      <c r="AA179">
        <f>$B$14*I179*(Y179-C179)</f>
        <v/>
      </c>
      <c r="AB179">
        <f>$B$14*Z179*(Y179-D179)</f>
        <v/>
      </c>
      <c r="AC179">
        <f>IF((U179-E179)/G179=0,0.001,(U179-E179)/G179)</f>
        <v/>
      </c>
      <c r="AD179">
        <f>F179-P179-J179-K179-AA179-AB179</f>
        <v/>
      </c>
      <c r="AE179">
        <f>AD179/AC179</f>
        <v/>
      </c>
      <c r="AF179">
        <f>IF(AD179&lt;=0,0,IF(AC179&lt;=0,$B$11,IF(AE179&gt;=1.7,$B$11,MIN(AD179/MAX(0.05,IF(AE179&gt;1,(2-AE179)^2/2,1-AE179^2/2)),$B$11))))</f>
        <v/>
      </c>
      <c r="AG179">
        <f>AG178*$B$28+AF179*(1-$B$28)</f>
        <v/>
      </c>
      <c r="AH179">
        <f>IF(AND(AD179&gt;0,AC179&lt;=0),0,AC179)</f>
        <v/>
      </c>
      <c r="AI179">
        <f>AH179/MAX(AG179,0.000001)</f>
        <v/>
      </c>
      <c r="AJ179">
        <f>MIN(IF(AI179&gt;=0.5,-AI179+SQRT(AI179^2+2),1),$B$12)</f>
        <v/>
      </c>
      <c r="AK179">
        <f>IF(AG179&lt;=0,0,AJ179*AH179)</f>
        <v/>
      </c>
      <c r="AL179">
        <f>IF(AD179&lt;=0,0,AD179)</f>
        <v/>
      </c>
      <c r="AM179">
        <f>AL179-AK179+P179</f>
        <v/>
      </c>
      <c r="AN179">
        <f>((AM179/$B$7+T178*AS178/2-T179*MAX(0.1,MIN(0.3,0.3-0.09*(AR178-36.8)))/2)+AR178*(1-AS178/2))/(1-MAX(0.1,MIN(0.3,0.3-0.09*(AR178-36.8)))/2)</f>
        <v/>
      </c>
      <c r="AO179">
        <f>((AM179/$B$7+T178*AS178/2-T179*MAX(0.1,MIN(0.3,0.3-0.09*(AN179-36.8)))/2)+AR178*(1-AS178/2))/(1-MAX(0.1,MIN(0.3,0.3-0.09*(AN179-36.8)))/2)</f>
        <v/>
      </c>
      <c r="AP179">
        <f>((AM179/$B$7+T178*AS178/2-T179*MAX(0.1,MIN(0.3,0.3-0.09*(AO179-36.8)))/2)+AR178*(1-AS178/2))/(1-MAX(0.1,MIN(0.3,0.3-0.09*(AO179-36.8)))/2)</f>
        <v/>
      </c>
      <c r="AQ179">
        <f>((AM179/$B$7+T178*AS178/2-T179*MAX(0.1,MIN(0.3,0.3-0.09*(AP179-36.8)))/2)+AR178*(1-AS178/2))/(1-MAX(0.1,MIN(0.3,0.3-0.09*(AP179-36.8)))/2)</f>
        <v/>
      </c>
      <c r="AR179">
        <f>((AM179/$B$7+T178*AS178/2-T179*MAX(0.1,MIN(0.3,0.3-0.09*(AQ179-36.8)))/2)+AR178*(1-AS178/2))/(1-MAX(0.1,MIN(0.3,0.3-0.09*(AQ179-36.8)))/2)</f>
        <v/>
      </c>
      <c r="AS179">
        <f>MAX(0.1,MIN(0.3,0.3-0.09*(AR179-36.8)))</f>
        <v/>
      </c>
      <c r="AT179">
        <f>AT178+(2*AR179-1.962*AT178-1.31)/9</f>
        <v/>
      </c>
      <c r="AU179">
        <f>AU178+AG179+K179</f>
        <v/>
      </c>
      <c r="AV179">
        <f>AU179*2.67*$B$6/1.8/60</f>
        <v/>
      </c>
      <c r="AW179">
        <f>IF(AT179&gt;=$B$36,1,0)</f>
        <v/>
      </c>
      <c r="AX179">
        <f>IF(AV179&gt;=$B$21,1,0)</f>
        <v/>
      </c>
    </row>
    <row r="180">
      <c r="A180" t="n">
        <v>107</v>
      </c>
      <c r="B180">
        <f>MATCH(A180-1,$D$61:$D$68,1)</f>
        <v/>
      </c>
      <c r="C180">
        <f>INDEX($G$61:$G$68,B180)</f>
        <v/>
      </c>
      <c r="D180">
        <f>INDEX($L$61:$L$68,B180)</f>
        <v/>
      </c>
      <c r="E180">
        <f>INDEX($M$61:$M$68,B180)</f>
        <v/>
      </c>
      <c r="F180">
        <f>INDEX($N$61:$N$68,B180)</f>
        <v/>
      </c>
      <c r="G180">
        <f>INDEX($AA$61:$AA$68,B180)</f>
        <v/>
      </c>
      <c r="H180">
        <f>INDEX($X$61:$X$68,B180)</f>
        <v/>
      </c>
      <c r="I180">
        <f>INDEX($AF$61:$AF$68,B180)</f>
        <v/>
      </c>
      <c r="J180">
        <f>INDEX($AC$61:$AC$68,B180)</f>
        <v/>
      </c>
      <c r="K180">
        <f>INDEX($AD$61:$AD$68,B180)</f>
        <v/>
      </c>
      <c r="L180">
        <f>INDEX($AG$61:$AG$68,B180)</f>
        <v/>
      </c>
      <c r="M180">
        <f>INDEX($AH$61:$AH$68,B180)</f>
        <v/>
      </c>
      <c r="N180">
        <f>INDEX($AI$61:$AI$68,B180)</f>
        <v/>
      </c>
      <c r="O180">
        <f>O179*$B$26+L180*(1-$B$26)</f>
        <v/>
      </c>
      <c r="P180">
        <f>$B$7*(O180-O179)*(1-AS179)</f>
        <v/>
      </c>
      <c r="Q180">
        <f>M180+0.51274*AT179</f>
        <v/>
      </c>
      <c r="R180">
        <f>N180+0.616*AT179</f>
        <v/>
      </c>
      <c r="S180">
        <f>IF($B$13&gt;=0.6,Q180,IF($B$13&lt;=0.2,R180,R180+2.5*(Q180-R180)*($B$13-0.2)))</f>
        <v/>
      </c>
      <c r="T180">
        <f>IF(A180=1,S180,T179*$B$27+S180*(1-$B$27))</f>
        <v/>
      </c>
      <c r="U180">
        <f>0.6105*EXP(17.27*T180/(T180+237.3))</f>
        <v/>
      </c>
      <c r="V180">
        <f>($B$14*(I180*C180+IF(ABS((D180+0.1)-D180)&lt;0.000000001,4*$B$19*$B$20*(D180+273)^3,$B$19*$B$20*(((D180+0.1)+273)^4-(D180+273)^4)/((D180+0.1)-D180))*D180)+T180/H180)/($B$14*(I180+IF(ABS((D180+0.1)-D180)&lt;0.000000001,4*$B$19*$B$20*(D180+273)^3,$B$19*$B$20*(((D180+0.1)+273)^4-(D180+273)^4)/((D180+0.1)-D180)))+1/H180)</f>
        <v/>
      </c>
      <c r="W180">
        <f>($B$14*(I180*C180+IF(ABS(V180-D180)&lt;0.000000001,4*$B$19*$B$20*(D180+273)^3,$B$19*$B$20*((V180+273)^4-(D180+273)^4)/(V180-D180))*D180)+T180/H180)/($B$14*(I180+IF(ABS(V180-D180)&lt;0.000000001,4*$B$19*$B$20*(D180+273)^3,$B$19*$B$20*((V180+273)^4-(D180+273)^4)/(V180-D180)))+1/H180)</f>
        <v/>
      </c>
      <c r="X180">
        <f>($B$14*(I180*C180+IF(ABS(W180-D180)&lt;0.000000001,4*$B$19*$B$20*(D180+273)^3,$B$19*$B$20*((W180+273)^4-(D180+273)^4)/(W180-D180))*D180)+T180/H180)/($B$14*(I180+IF(ABS(W180-D180)&lt;0.000000001,4*$B$19*$B$20*(D180+273)^3,$B$19*$B$20*((W180+273)^4-(D180+273)^4)/(W180-D180)))+1/H180)</f>
        <v/>
      </c>
      <c r="Y180">
        <f>($B$14*(I180*C180+IF(ABS(X180-D180)&lt;0.000000001,4*$B$19*$B$20*(D180+273)^3,$B$19*$B$20*((X180+273)^4-(D180+273)^4)/(X180-D180))*D180)+T180/H180)/($B$14*(I180+IF(ABS(X180-D180)&lt;0.000000001,4*$B$19*$B$20*(D180+273)^3,$B$19*$B$20*((X180+273)^4-(D180+273)^4)/(X180-D180)))+1/H180)</f>
        <v/>
      </c>
      <c r="Z180">
        <f>IF(ABS(Y180-D180)&lt;0.000000001,4*$B$19*$B$20*(D180+273)^3,$B$19*$B$20*((Y180+273)^4-(D180+273)^4)/(Y180-D180))</f>
        <v/>
      </c>
      <c r="AA180">
        <f>$B$14*I180*(Y180-C180)</f>
        <v/>
      </c>
      <c r="AB180">
        <f>$B$14*Z180*(Y180-D180)</f>
        <v/>
      </c>
      <c r="AC180">
        <f>IF((U180-E180)/G180=0,0.001,(U180-E180)/G180)</f>
        <v/>
      </c>
      <c r="AD180">
        <f>F180-P180-J180-K180-AA180-AB180</f>
        <v/>
      </c>
      <c r="AE180">
        <f>AD180/AC180</f>
        <v/>
      </c>
      <c r="AF180">
        <f>IF(AD180&lt;=0,0,IF(AC180&lt;=0,$B$11,IF(AE180&gt;=1.7,$B$11,MIN(AD180/MAX(0.05,IF(AE180&gt;1,(2-AE180)^2/2,1-AE180^2/2)),$B$11))))</f>
        <v/>
      </c>
      <c r="AG180">
        <f>AG179*$B$28+AF180*(1-$B$28)</f>
        <v/>
      </c>
      <c r="AH180">
        <f>IF(AND(AD180&gt;0,AC180&lt;=0),0,AC180)</f>
        <v/>
      </c>
      <c r="AI180">
        <f>AH180/MAX(AG180,0.000001)</f>
        <v/>
      </c>
      <c r="AJ180">
        <f>MIN(IF(AI180&gt;=0.5,-AI180+SQRT(AI180^2+2),1),$B$12)</f>
        <v/>
      </c>
      <c r="AK180">
        <f>IF(AG180&lt;=0,0,AJ180*AH180)</f>
        <v/>
      </c>
      <c r="AL180">
        <f>IF(AD180&lt;=0,0,AD180)</f>
        <v/>
      </c>
      <c r="AM180">
        <f>AL180-AK180+P180</f>
        <v/>
      </c>
      <c r="AN180">
        <f>((AM180/$B$7+T179*AS179/2-T180*MAX(0.1,MIN(0.3,0.3-0.09*(AR179-36.8)))/2)+AR179*(1-AS179/2))/(1-MAX(0.1,MIN(0.3,0.3-0.09*(AR179-36.8)))/2)</f>
        <v/>
      </c>
      <c r="AO180">
        <f>((AM180/$B$7+T179*AS179/2-T180*MAX(0.1,MIN(0.3,0.3-0.09*(AN180-36.8)))/2)+AR179*(1-AS179/2))/(1-MAX(0.1,MIN(0.3,0.3-0.09*(AN180-36.8)))/2)</f>
        <v/>
      </c>
      <c r="AP180">
        <f>((AM180/$B$7+T179*AS179/2-T180*MAX(0.1,MIN(0.3,0.3-0.09*(AO180-36.8)))/2)+AR179*(1-AS179/2))/(1-MAX(0.1,MIN(0.3,0.3-0.09*(AO180-36.8)))/2)</f>
        <v/>
      </c>
      <c r="AQ180">
        <f>((AM180/$B$7+T179*AS179/2-T180*MAX(0.1,MIN(0.3,0.3-0.09*(AP180-36.8)))/2)+AR179*(1-AS179/2))/(1-MAX(0.1,MIN(0.3,0.3-0.09*(AP180-36.8)))/2)</f>
        <v/>
      </c>
      <c r="AR180">
        <f>((AM180/$B$7+T179*AS179/2-T180*MAX(0.1,MIN(0.3,0.3-0.09*(AQ180-36.8)))/2)+AR179*(1-AS179/2))/(1-MAX(0.1,MIN(0.3,0.3-0.09*(AQ180-36.8)))/2)</f>
        <v/>
      </c>
      <c r="AS180">
        <f>MAX(0.1,MIN(0.3,0.3-0.09*(AR180-36.8)))</f>
        <v/>
      </c>
      <c r="AT180">
        <f>AT179+(2*AR180-1.962*AT179-1.31)/9</f>
        <v/>
      </c>
      <c r="AU180">
        <f>AU179+AG180+K180</f>
        <v/>
      </c>
      <c r="AV180">
        <f>AU180*2.67*$B$6/1.8/60</f>
        <v/>
      </c>
      <c r="AW180">
        <f>IF(AT180&gt;=$B$36,1,0)</f>
        <v/>
      </c>
      <c r="AX180">
        <f>IF(AV180&gt;=$B$21,1,0)</f>
        <v/>
      </c>
    </row>
    <row r="181">
      <c r="A181" t="n">
        <v>108</v>
      </c>
      <c r="B181">
        <f>MATCH(A181-1,$D$61:$D$68,1)</f>
        <v/>
      </c>
      <c r="C181">
        <f>INDEX($G$61:$G$68,B181)</f>
        <v/>
      </c>
      <c r="D181">
        <f>INDEX($L$61:$L$68,B181)</f>
        <v/>
      </c>
      <c r="E181">
        <f>INDEX($M$61:$M$68,B181)</f>
        <v/>
      </c>
      <c r="F181">
        <f>INDEX($N$61:$N$68,B181)</f>
        <v/>
      </c>
      <c r="G181">
        <f>INDEX($AA$61:$AA$68,B181)</f>
        <v/>
      </c>
      <c r="H181">
        <f>INDEX($X$61:$X$68,B181)</f>
        <v/>
      </c>
      <c r="I181">
        <f>INDEX($AF$61:$AF$68,B181)</f>
        <v/>
      </c>
      <c r="J181">
        <f>INDEX($AC$61:$AC$68,B181)</f>
        <v/>
      </c>
      <c r="K181">
        <f>INDEX($AD$61:$AD$68,B181)</f>
        <v/>
      </c>
      <c r="L181">
        <f>INDEX($AG$61:$AG$68,B181)</f>
        <v/>
      </c>
      <c r="M181">
        <f>INDEX($AH$61:$AH$68,B181)</f>
        <v/>
      </c>
      <c r="N181">
        <f>INDEX($AI$61:$AI$68,B181)</f>
        <v/>
      </c>
      <c r="O181">
        <f>O180*$B$26+L181*(1-$B$26)</f>
        <v/>
      </c>
      <c r="P181">
        <f>$B$7*(O181-O180)*(1-AS180)</f>
        <v/>
      </c>
      <c r="Q181">
        <f>M181+0.51274*AT180</f>
        <v/>
      </c>
      <c r="R181">
        <f>N181+0.616*AT180</f>
        <v/>
      </c>
      <c r="S181">
        <f>IF($B$13&gt;=0.6,Q181,IF($B$13&lt;=0.2,R181,R181+2.5*(Q181-R181)*($B$13-0.2)))</f>
        <v/>
      </c>
      <c r="T181">
        <f>IF(A181=1,S181,T180*$B$27+S181*(1-$B$27))</f>
        <v/>
      </c>
      <c r="U181">
        <f>0.6105*EXP(17.27*T181/(T181+237.3))</f>
        <v/>
      </c>
      <c r="V181">
        <f>($B$14*(I181*C181+IF(ABS((D181+0.1)-D181)&lt;0.000000001,4*$B$19*$B$20*(D181+273)^3,$B$19*$B$20*(((D181+0.1)+273)^4-(D181+273)^4)/((D181+0.1)-D181))*D181)+T181/H181)/($B$14*(I181+IF(ABS((D181+0.1)-D181)&lt;0.000000001,4*$B$19*$B$20*(D181+273)^3,$B$19*$B$20*(((D181+0.1)+273)^4-(D181+273)^4)/((D181+0.1)-D181)))+1/H181)</f>
        <v/>
      </c>
      <c r="W181">
        <f>($B$14*(I181*C181+IF(ABS(V181-D181)&lt;0.000000001,4*$B$19*$B$20*(D181+273)^3,$B$19*$B$20*((V181+273)^4-(D181+273)^4)/(V181-D181))*D181)+T181/H181)/($B$14*(I181+IF(ABS(V181-D181)&lt;0.000000001,4*$B$19*$B$20*(D181+273)^3,$B$19*$B$20*((V181+273)^4-(D181+273)^4)/(V181-D181)))+1/H181)</f>
        <v/>
      </c>
      <c r="X181">
        <f>($B$14*(I181*C181+IF(ABS(W181-D181)&lt;0.000000001,4*$B$19*$B$20*(D181+273)^3,$B$19*$B$20*((W181+273)^4-(D181+273)^4)/(W181-D181))*D181)+T181/H181)/($B$14*(I181+IF(ABS(W181-D181)&lt;0.000000001,4*$B$19*$B$20*(D181+273)^3,$B$19*$B$20*((W181+273)^4-(D181+273)^4)/(W181-D181)))+1/H181)</f>
        <v/>
      </c>
      <c r="Y181">
        <f>($B$14*(I181*C181+IF(ABS(X181-D181)&lt;0.000000001,4*$B$19*$B$20*(D181+273)^3,$B$19*$B$20*((X181+273)^4-(D181+273)^4)/(X181-D181))*D181)+T181/H181)/($B$14*(I181+IF(ABS(X181-D181)&lt;0.000000001,4*$B$19*$B$20*(D181+273)^3,$B$19*$B$20*((X181+273)^4-(D181+273)^4)/(X181-D181)))+1/H181)</f>
        <v/>
      </c>
      <c r="Z181">
        <f>IF(ABS(Y181-D181)&lt;0.000000001,4*$B$19*$B$20*(D181+273)^3,$B$19*$B$20*((Y181+273)^4-(D181+273)^4)/(Y181-D181))</f>
        <v/>
      </c>
      <c r="AA181">
        <f>$B$14*I181*(Y181-C181)</f>
        <v/>
      </c>
      <c r="AB181">
        <f>$B$14*Z181*(Y181-D181)</f>
        <v/>
      </c>
      <c r="AC181">
        <f>IF((U181-E181)/G181=0,0.001,(U181-E181)/G181)</f>
        <v/>
      </c>
      <c r="AD181">
        <f>F181-P181-J181-K181-AA181-AB181</f>
        <v/>
      </c>
      <c r="AE181">
        <f>AD181/AC181</f>
        <v/>
      </c>
      <c r="AF181">
        <f>IF(AD181&lt;=0,0,IF(AC181&lt;=0,$B$11,IF(AE181&gt;=1.7,$B$11,MIN(AD181/MAX(0.05,IF(AE181&gt;1,(2-AE181)^2/2,1-AE181^2/2)),$B$11))))</f>
        <v/>
      </c>
      <c r="AG181">
        <f>AG180*$B$28+AF181*(1-$B$28)</f>
        <v/>
      </c>
      <c r="AH181">
        <f>IF(AND(AD181&gt;0,AC181&lt;=0),0,AC181)</f>
        <v/>
      </c>
      <c r="AI181">
        <f>AH181/MAX(AG181,0.000001)</f>
        <v/>
      </c>
      <c r="AJ181">
        <f>MIN(IF(AI181&gt;=0.5,-AI181+SQRT(AI181^2+2),1),$B$12)</f>
        <v/>
      </c>
      <c r="AK181">
        <f>IF(AG181&lt;=0,0,AJ181*AH181)</f>
        <v/>
      </c>
      <c r="AL181">
        <f>IF(AD181&lt;=0,0,AD181)</f>
        <v/>
      </c>
      <c r="AM181">
        <f>AL181-AK181+P181</f>
        <v/>
      </c>
      <c r="AN181">
        <f>((AM181/$B$7+T180*AS180/2-T181*MAX(0.1,MIN(0.3,0.3-0.09*(AR180-36.8)))/2)+AR180*(1-AS180/2))/(1-MAX(0.1,MIN(0.3,0.3-0.09*(AR180-36.8)))/2)</f>
        <v/>
      </c>
      <c r="AO181">
        <f>((AM181/$B$7+T180*AS180/2-T181*MAX(0.1,MIN(0.3,0.3-0.09*(AN181-36.8)))/2)+AR180*(1-AS180/2))/(1-MAX(0.1,MIN(0.3,0.3-0.09*(AN181-36.8)))/2)</f>
        <v/>
      </c>
      <c r="AP181">
        <f>((AM181/$B$7+T180*AS180/2-T181*MAX(0.1,MIN(0.3,0.3-0.09*(AO181-36.8)))/2)+AR180*(1-AS180/2))/(1-MAX(0.1,MIN(0.3,0.3-0.09*(AO181-36.8)))/2)</f>
        <v/>
      </c>
      <c r="AQ181">
        <f>((AM181/$B$7+T180*AS180/2-T181*MAX(0.1,MIN(0.3,0.3-0.09*(AP181-36.8)))/2)+AR180*(1-AS180/2))/(1-MAX(0.1,MIN(0.3,0.3-0.09*(AP181-36.8)))/2)</f>
        <v/>
      </c>
      <c r="AR181">
        <f>((AM181/$B$7+T180*AS180/2-T181*MAX(0.1,MIN(0.3,0.3-0.09*(AQ181-36.8)))/2)+AR180*(1-AS180/2))/(1-MAX(0.1,MIN(0.3,0.3-0.09*(AQ181-36.8)))/2)</f>
        <v/>
      </c>
      <c r="AS181">
        <f>MAX(0.1,MIN(0.3,0.3-0.09*(AR181-36.8)))</f>
        <v/>
      </c>
      <c r="AT181">
        <f>AT180+(2*AR181-1.962*AT180-1.31)/9</f>
        <v/>
      </c>
      <c r="AU181">
        <f>AU180+AG181+K181</f>
        <v/>
      </c>
      <c r="AV181">
        <f>AU181*2.67*$B$6/1.8/60</f>
        <v/>
      </c>
      <c r="AW181">
        <f>IF(AT181&gt;=$B$36,1,0)</f>
        <v/>
      </c>
      <c r="AX181">
        <f>IF(AV181&gt;=$B$21,1,0)</f>
        <v/>
      </c>
    </row>
    <row r="182">
      <c r="A182" t="n">
        <v>109</v>
      </c>
      <c r="B182">
        <f>MATCH(A182-1,$D$61:$D$68,1)</f>
        <v/>
      </c>
      <c r="C182">
        <f>INDEX($G$61:$G$68,B182)</f>
        <v/>
      </c>
      <c r="D182">
        <f>INDEX($L$61:$L$68,B182)</f>
        <v/>
      </c>
      <c r="E182">
        <f>INDEX($M$61:$M$68,B182)</f>
        <v/>
      </c>
      <c r="F182">
        <f>INDEX($N$61:$N$68,B182)</f>
        <v/>
      </c>
      <c r="G182">
        <f>INDEX($AA$61:$AA$68,B182)</f>
        <v/>
      </c>
      <c r="H182">
        <f>INDEX($X$61:$X$68,B182)</f>
        <v/>
      </c>
      <c r="I182">
        <f>INDEX($AF$61:$AF$68,B182)</f>
        <v/>
      </c>
      <c r="J182">
        <f>INDEX($AC$61:$AC$68,B182)</f>
        <v/>
      </c>
      <c r="K182">
        <f>INDEX($AD$61:$AD$68,B182)</f>
        <v/>
      </c>
      <c r="L182">
        <f>INDEX($AG$61:$AG$68,B182)</f>
        <v/>
      </c>
      <c r="M182">
        <f>INDEX($AH$61:$AH$68,B182)</f>
        <v/>
      </c>
      <c r="N182">
        <f>INDEX($AI$61:$AI$68,B182)</f>
        <v/>
      </c>
      <c r="O182">
        <f>O181*$B$26+L182*(1-$B$26)</f>
        <v/>
      </c>
      <c r="P182">
        <f>$B$7*(O182-O181)*(1-AS181)</f>
        <v/>
      </c>
      <c r="Q182">
        <f>M182+0.51274*AT181</f>
        <v/>
      </c>
      <c r="R182">
        <f>N182+0.616*AT181</f>
        <v/>
      </c>
      <c r="S182">
        <f>IF($B$13&gt;=0.6,Q182,IF($B$13&lt;=0.2,R182,R182+2.5*(Q182-R182)*($B$13-0.2)))</f>
        <v/>
      </c>
      <c r="T182">
        <f>IF(A182=1,S182,T181*$B$27+S182*(1-$B$27))</f>
        <v/>
      </c>
      <c r="U182">
        <f>0.6105*EXP(17.27*T182/(T182+237.3))</f>
        <v/>
      </c>
      <c r="V182">
        <f>($B$14*(I182*C182+IF(ABS((D182+0.1)-D182)&lt;0.000000001,4*$B$19*$B$20*(D182+273)^3,$B$19*$B$20*(((D182+0.1)+273)^4-(D182+273)^4)/((D182+0.1)-D182))*D182)+T182/H182)/($B$14*(I182+IF(ABS((D182+0.1)-D182)&lt;0.000000001,4*$B$19*$B$20*(D182+273)^3,$B$19*$B$20*(((D182+0.1)+273)^4-(D182+273)^4)/((D182+0.1)-D182)))+1/H182)</f>
        <v/>
      </c>
      <c r="W182">
        <f>($B$14*(I182*C182+IF(ABS(V182-D182)&lt;0.000000001,4*$B$19*$B$20*(D182+273)^3,$B$19*$B$20*((V182+273)^4-(D182+273)^4)/(V182-D182))*D182)+T182/H182)/($B$14*(I182+IF(ABS(V182-D182)&lt;0.000000001,4*$B$19*$B$20*(D182+273)^3,$B$19*$B$20*((V182+273)^4-(D182+273)^4)/(V182-D182)))+1/H182)</f>
        <v/>
      </c>
      <c r="X182">
        <f>($B$14*(I182*C182+IF(ABS(W182-D182)&lt;0.000000001,4*$B$19*$B$20*(D182+273)^3,$B$19*$B$20*((W182+273)^4-(D182+273)^4)/(W182-D182))*D182)+T182/H182)/($B$14*(I182+IF(ABS(W182-D182)&lt;0.000000001,4*$B$19*$B$20*(D182+273)^3,$B$19*$B$20*((W182+273)^4-(D182+273)^4)/(W182-D182)))+1/H182)</f>
        <v/>
      </c>
      <c r="Y182">
        <f>($B$14*(I182*C182+IF(ABS(X182-D182)&lt;0.000000001,4*$B$19*$B$20*(D182+273)^3,$B$19*$B$20*((X182+273)^4-(D182+273)^4)/(X182-D182))*D182)+T182/H182)/($B$14*(I182+IF(ABS(X182-D182)&lt;0.000000001,4*$B$19*$B$20*(D182+273)^3,$B$19*$B$20*((X182+273)^4-(D182+273)^4)/(X182-D182)))+1/H182)</f>
        <v/>
      </c>
      <c r="Z182">
        <f>IF(ABS(Y182-D182)&lt;0.000000001,4*$B$19*$B$20*(D182+273)^3,$B$19*$B$20*((Y182+273)^4-(D182+273)^4)/(Y182-D182))</f>
        <v/>
      </c>
      <c r="AA182">
        <f>$B$14*I182*(Y182-C182)</f>
        <v/>
      </c>
      <c r="AB182">
        <f>$B$14*Z182*(Y182-D182)</f>
        <v/>
      </c>
      <c r="AC182">
        <f>IF((U182-E182)/G182=0,0.001,(U182-E182)/G182)</f>
        <v/>
      </c>
      <c r="AD182">
        <f>F182-P182-J182-K182-AA182-AB182</f>
        <v/>
      </c>
      <c r="AE182">
        <f>AD182/AC182</f>
        <v/>
      </c>
      <c r="AF182">
        <f>IF(AD182&lt;=0,0,IF(AC182&lt;=0,$B$11,IF(AE182&gt;=1.7,$B$11,MIN(AD182/MAX(0.05,IF(AE182&gt;1,(2-AE182)^2/2,1-AE182^2/2)),$B$11))))</f>
        <v/>
      </c>
      <c r="AG182">
        <f>AG181*$B$28+AF182*(1-$B$28)</f>
        <v/>
      </c>
      <c r="AH182">
        <f>IF(AND(AD182&gt;0,AC182&lt;=0),0,AC182)</f>
        <v/>
      </c>
      <c r="AI182">
        <f>AH182/MAX(AG182,0.000001)</f>
        <v/>
      </c>
      <c r="AJ182">
        <f>MIN(IF(AI182&gt;=0.5,-AI182+SQRT(AI182^2+2),1),$B$12)</f>
        <v/>
      </c>
      <c r="AK182">
        <f>IF(AG182&lt;=0,0,AJ182*AH182)</f>
        <v/>
      </c>
      <c r="AL182">
        <f>IF(AD182&lt;=0,0,AD182)</f>
        <v/>
      </c>
      <c r="AM182">
        <f>AL182-AK182+P182</f>
        <v/>
      </c>
      <c r="AN182">
        <f>((AM182/$B$7+T181*AS181/2-T182*MAX(0.1,MIN(0.3,0.3-0.09*(AR181-36.8)))/2)+AR181*(1-AS181/2))/(1-MAX(0.1,MIN(0.3,0.3-0.09*(AR181-36.8)))/2)</f>
        <v/>
      </c>
      <c r="AO182">
        <f>((AM182/$B$7+T181*AS181/2-T182*MAX(0.1,MIN(0.3,0.3-0.09*(AN182-36.8)))/2)+AR181*(1-AS181/2))/(1-MAX(0.1,MIN(0.3,0.3-0.09*(AN182-36.8)))/2)</f>
        <v/>
      </c>
      <c r="AP182">
        <f>((AM182/$B$7+T181*AS181/2-T182*MAX(0.1,MIN(0.3,0.3-0.09*(AO182-36.8)))/2)+AR181*(1-AS181/2))/(1-MAX(0.1,MIN(0.3,0.3-0.09*(AO182-36.8)))/2)</f>
        <v/>
      </c>
      <c r="AQ182">
        <f>((AM182/$B$7+T181*AS181/2-T182*MAX(0.1,MIN(0.3,0.3-0.09*(AP182-36.8)))/2)+AR181*(1-AS181/2))/(1-MAX(0.1,MIN(0.3,0.3-0.09*(AP182-36.8)))/2)</f>
        <v/>
      </c>
      <c r="AR182">
        <f>((AM182/$B$7+T181*AS181/2-T182*MAX(0.1,MIN(0.3,0.3-0.09*(AQ182-36.8)))/2)+AR181*(1-AS181/2))/(1-MAX(0.1,MIN(0.3,0.3-0.09*(AQ182-36.8)))/2)</f>
        <v/>
      </c>
      <c r="AS182">
        <f>MAX(0.1,MIN(0.3,0.3-0.09*(AR182-36.8)))</f>
        <v/>
      </c>
      <c r="AT182">
        <f>AT181+(2*AR182-1.962*AT181-1.31)/9</f>
        <v/>
      </c>
      <c r="AU182">
        <f>AU181+AG182+K182</f>
        <v/>
      </c>
      <c r="AV182">
        <f>AU182*2.67*$B$6/1.8/60</f>
        <v/>
      </c>
      <c r="AW182">
        <f>IF(AT182&gt;=$B$36,1,0)</f>
        <v/>
      </c>
      <c r="AX182">
        <f>IF(AV182&gt;=$B$21,1,0)</f>
        <v/>
      </c>
    </row>
    <row r="183">
      <c r="A183" t="n">
        <v>110</v>
      </c>
      <c r="B183">
        <f>MATCH(A183-1,$D$61:$D$68,1)</f>
        <v/>
      </c>
      <c r="C183">
        <f>INDEX($G$61:$G$68,B183)</f>
        <v/>
      </c>
      <c r="D183">
        <f>INDEX($L$61:$L$68,B183)</f>
        <v/>
      </c>
      <c r="E183">
        <f>INDEX($M$61:$M$68,B183)</f>
        <v/>
      </c>
      <c r="F183">
        <f>INDEX($N$61:$N$68,B183)</f>
        <v/>
      </c>
      <c r="G183">
        <f>INDEX($AA$61:$AA$68,B183)</f>
        <v/>
      </c>
      <c r="H183">
        <f>INDEX($X$61:$X$68,B183)</f>
        <v/>
      </c>
      <c r="I183">
        <f>INDEX($AF$61:$AF$68,B183)</f>
        <v/>
      </c>
      <c r="J183">
        <f>INDEX($AC$61:$AC$68,B183)</f>
        <v/>
      </c>
      <c r="K183">
        <f>INDEX($AD$61:$AD$68,B183)</f>
        <v/>
      </c>
      <c r="L183">
        <f>INDEX($AG$61:$AG$68,B183)</f>
        <v/>
      </c>
      <c r="M183">
        <f>INDEX($AH$61:$AH$68,B183)</f>
        <v/>
      </c>
      <c r="N183">
        <f>INDEX($AI$61:$AI$68,B183)</f>
        <v/>
      </c>
      <c r="O183">
        <f>O182*$B$26+L183*(1-$B$26)</f>
        <v/>
      </c>
      <c r="P183">
        <f>$B$7*(O183-O182)*(1-AS182)</f>
        <v/>
      </c>
      <c r="Q183">
        <f>M183+0.51274*AT182</f>
        <v/>
      </c>
      <c r="R183">
        <f>N183+0.616*AT182</f>
        <v/>
      </c>
      <c r="S183">
        <f>IF($B$13&gt;=0.6,Q183,IF($B$13&lt;=0.2,R183,R183+2.5*(Q183-R183)*($B$13-0.2)))</f>
        <v/>
      </c>
      <c r="T183">
        <f>IF(A183=1,S183,T182*$B$27+S183*(1-$B$27))</f>
        <v/>
      </c>
      <c r="U183">
        <f>0.6105*EXP(17.27*T183/(T183+237.3))</f>
        <v/>
      </c>
      <c r="V183">
        <f>($B$14*(I183*C183+IF(ABS((D183+0.1)-D183)&lt;0.000000001,4*$B$19*$B$20*(D183+273)^3,$B$19*$B$20*(((D183+0.1)+273)^4-(D183+273)^4)/((D183+0.1)-D183))*D183)+T183/H183)/($B$14*(I183+IF(ABS((D183+0.1)-D183)&lt;0.000000001,4*$B$19*$B$20*(D183+273)^3,$B$19*$B$20*(((D183+0.1)+273)^4-(D183+273)^4)/((D183+0.1)-D183)))+1/H183)</f>
        <v/>
      </c>
      <c r="W183">
        <f>($B$14*(I183*C183+IF(ABS(V183-D183)&lt;0.000000001,4*$B$19*$B$20*(D183+273)^3,$B$19*$B$20*((V183+273)^4-(D183+273)^4)/(V183-D183))*D183)+T183/H183)/($B$14*(I183+IF(ABS(V183-D183)&lt;0.000000001,4*$B$19*$B$20*(D183+273)^3,$B$19*$B$20*((V183+273)^4-(D183+273)^4)/(V183-D183)))+1/H183)</f>
        <v/>
      </c>
      <c r="X183">
        <f>($B$14*(I183*C183+IF(ABS(W183-D183)&lt;0.000000001,4*$B$19*$B$20*(D183+273)^3,$B$19*$B$20*((W183+273)^4-(D183+273)^4)/(W183-D183))*D183)+T183/H183)/($B$14*(I183+IF(ABS(W183-D183)&lt;0.000000001,4*$B$19*$B$20*(D183+273)^3,$B$19*$B$20*((W183+273)^4-(D183+273)^4)/(W183-D183)))+1/H183)</f>
        <v/>
      </c>
      <c r="Y183">
        <f>($B$14*(I183*C183+IF(ABS(X183-D183)&lt;0.000000001,4*$B$19*$B$20*(D183+273)^3,$B$19*$B$20*((X183+273)^4-(D183+273)^4)/(X183-D183))*D183)+T183/H183)/($B$14*(I183+IF(ABS(X183-D183)&lt;0.000000001,4*$B$19*$B$20*(D183+273)^3,$B$19*$B$20*((X183+273)^4-(D183+273)^4)/(X183-D183)))+1/H183)</f>
        <v/>
      </c>
      <c r="Z183">
        <f>IF(ABS(Y183-D183)&lt;0.000000001,4*$B$19*$B$20*(D183+273)^3,$B$19*$B$20*((Y183+273)^4-(D183+273)^4)/(Y183-D183))</f>
        <v/>
      </c>
      <c r="AA183">
        <f>$B$14*I183*(Y183-C183)</f>
        <v/>
      </c>
      <c r="AB183">
        <f>$B$14*Z183*(Y183-D183)</f>
        <v/>
      </c>
      <c r="AC183">
        <f>IF((U183-E183)/G183=0,0.001,(U183-E183)/G183)</f>
        <v/>
      </c>
      <c r="AD183">
        <f>F183-P183-J183-K183-AA183-AB183</f>
        <v/>
      </c>
      <c r="AE183">
        <f>AD183/AC183</f>
        <v/>
      </c>
      <c r="AF183">
        <f>IF(AD183&lt;=0,0,IF(AC183&lt;=0,$B$11,IF(AE183&gt;=1.7,$B$11,MIN(AD183/MAX(0.05,IF(AE183&gt;1,(2-AE183)^2/2,1-AE183^2/2)),$B$11))))</f>
        <v/>
      </c>
      <c r="AG183">
        <f>AG182*$B$28+AF183*(1-$B$28)</f>
        <v/>
      </c>
      <c r="AH183">
        <f>IF(AND(AD183&gt;0,AC183&lt;=0),0,AC183)</f>
        <v/>
      </c>
      <c r="AI183">
        <f>AH183/MAX(AG183,0.000001)</f>
        <v/>
      </c>
      <c r="AJ183">
        <f>MIN(IF(AI183&gt;=0.5,-AI183+SQRT(AI183^2+2),1),$B$12)</f>
        <v/>
      </c>
      <c r="AK183">
        <f>IF(AG183&lt;=0,0,AJ183*AH183)</f>
        <v/>
      </c>
      <c r="AL183">
        <f>IF(AD183&lt;=0,0,AD183)</f>
        <v/>
      </c>
      <c r="AM183">
        <f>AL183-AK183+P183</f>
        <v/>
      </c>
      <c r="AN183">
        <f>((AM183/$B$7+T182*AS182/2-T183*MAX(0.1,MIN(0.3,0.3-0.09*(AR182-36.8)))/2)+AR182*(1-AS182/2))/(1-MAX(0.1,MIN(0.3,0.3-0.09*(AR182-36.8)))/2)</f>
        <v/>
      </c>
      <c r="AO183">
        <f>((AM183/$B$7+T182*AS182/2-T183*MAX(0.1,MIN(0.3,0.3-0.09*(AN183-36.8)))/2)+AR182*(1-AS182/2))/(1-MAX(0.1,MIN(0.3,0.3-0.09*(AN183-36.8)))/2)</f>
        <v/>
      </c>
      <c r="AP183">
        <f>((AM183/$B$7+T182*AS182/2-T183*MAX(0.1,MIN(0.3,0.3-0.09*(AO183-36.8)))/2)+AR182*(1-AS182/2))/(1-MAX(0.1,MIN(0.3,0.3-0.09*(AO183-36.8)))/2)</f>
        <v/>
      </c>
      <c r="AQ183">
        <f>((AM183/$B$7+T182*AS182/2-T183*MAX(0.1,MIN(0.3,0.3-0.09*(AP183-36.8)))/2)+AR182*(1-AS182/2))/(1-MAX(0.1,MIN(0.3,0.3-0.09*(AP183-36.8)))/2)</f>
        <v/>
      </c>
      <c r="AR183">
        <f>((AM183/$B$7+T182*AS182/2-T183*MAX(0.1,MIN(0.3,0.3-0.09*(AQ183-36.8)))/2)+AR182*(1-AS182/2))/(1-MAX(0.1,MIN(0.3,0.3-0.09*(AQ183-36.8)))/2)</f>
        <v/>
      </c>
      <c r="AS183">
        <f>MAX(0.1,MIN(0.3,0.3-0.09*(AR183-36.8)))</f>
        <v/>
      </c>
      <c r="AT183">
        <f>AT182+(2*AR183-1.962*AT182-1.31)/9</f>
        <v/>
      </c>
      <c r="AU183">
        <f>AU182+AG183+K183</f>
        <v/>
      </c>
      <c r="AV183">
        <f>AU183*2.67*$B$6/1.8/60</f>
        <v/>
      </c>
      <c r="AW183">
        <f>IF(AT183&gt;=$B$36,1,0)</f>
        <v/>
      </c>
      <c r="AX183">
        <f>IF(AV183&gt;=$B$21,1,0)</f>
        <v/>
      </c>
    </row>
    <row r="184">
      <c r="A184" t="n">
        <v>111</v>
      </c>
      <c r="B184">
        <f>MATCH(A184-1,$D$61:$D$68,1)</f>
        <v/>
      </c>
      <c r="C184">
        <f>INDEX($G$61:$G$68,B184)</f>
        <v/>
      </c>
      <c r="D184">
        <f>INDEX($L$61:$L$68,B184)</f>
        <v/>
      </c>
      <c r="E184">
        <f>INDEX($M$61:$M$68,B184)</f>
        <v/>
      </c>
      <c r="F184">
        <f>INDEX($N$61:$N$68,B184)</f>
        <v/>
      </c>
      <c r="G184">
        <f>INDEX($AA$61:$AA$68,B184)</f>
        <v/>
      </c>
      <c r="H184">
        <f>INDEX($X$61:$X$68,B184)</f>
        <v/>
      </c>
      <c r="I184">
        <f>INDEX($AF$61:$AF$68,B184)</f>
        <v/>
      </c>
      <c r="J184">
        <f>INDEX($AC$61:$AC$68,B184)</f>
        <v/>
      </c>
      <c r="K184">
        <f>INDEX($AD$61:$AD$68,B184)</f>
        <v/>
      </c>
      <c r="L184">
        <f>INDEX($AG$61:$AG$68,B184)</f>
        <v/>
      </c>
      <c r="M184">
        <f>INDEX($AH$61:$AH$68,B184)</f>
        <v/>
      </c>
      <c r="N184">
        <f>INDEX($AI$61:$AI$68,B184)</f>
        <v/>
      </c>
      <c r="O184">
        <f>O183*$B$26+L184*(1-$B$26)</f>
        <v/>
      </c>
      <c r="P184">
        <f>$B$7*(O184-O183)*(1-AS183)</f>
        <v/>
      </c>
      <c r="Q184">
        <f>M184+0.51274*AT183</f>
        <v/>
      </c>
      <c r="R184">
        <f>N184+0.616*AT183</f>
        <v/>
      </c>
      <c r="S184">
        <f>IF($B$13&gt;=0.6,Q184,IF($B$13&lt;=0.2,R184,R184+2.5*(Q184-R184)*($B$13-0.2)))</f>
        <v/>
      </c>
      <c r="T184">
        <f>IF(A184=1,S184,T183*$B$27+S184*(1-$B$27))</f>
        <v/>
      </c>
      <c r="U184">
        <f>0.6105*EXP(17.27*T184/(T184+237.3))</f>
        <v/>
      </c>
      <c r="V184">
        <f>($B$14*(I184*C184+IF(ABS((D184+0.1)-D184)&lt;0.000000001,4*$B$19*$B$20*(D184+273)^3,$B$19*$B$20*(((D184+0.1)+273)^4-(D184+273)^4)/((D184+0.1)-D184))*D184)+T184/H184)/($B$14*(I184+IF(ABS((D184+0.1)-D184)&lt;0.000000001,4*$B$19*$B$20*(D184+273)^3,$B$19*$B$20*(((D184+0.1)+273)^4-(D184+273)^4)/((D184+0.1)-D184)))+1/H184)</f>
        <v/>
      </c>
      <c r="W184">
        <f>($B$14*(I184*C184+IF(ABS(V184-D184)&lt;0.000000001,4*$B$19*$B$20*(D184+273)^3,$B$19*$B$20*((V184+273)^4-(D184+273)^4)/(V184-D184))*D184)+T184/H184)/($B$14*(I184+IF(ABS(V184-D184)&lt;0.000000001,4*$B$19*$B$20*(D184+273)^3,$B$19*$B$20*((V184+273)^4-(D184+273)^4)/(V184-D184)))+1/H184)</f>
        <v/>
      </c>
      <c r="X184">
        <f>($B$14*(I184*C184+IF(ABS(W184-D184)&lt;0.000000001,4*$B$19*$B$20*(D184+273)^3,$B$19*$B$20*((W184+273)^4-(D184+273)^4)/(W184-D184))*D184)+T184/H184)/($B$14*(I184+IF(ABS(W184-D184)&lt;0.000000001,4*$B$19*$B$20*(D184+273)^3,$B$19*$B$20*((W184+273)^4-(D184+273)^4)/(W184-D184)))+1/H184)</f>
        <v/>
      </c>
      <c r="Y184">
        <f>($B$14*(I184*C184+IF(ABS(X184-D184)&lt;0.000000001,4*$B$19*$B$20*(D184+273)^3,$B$19*$B$20*((X184+273)^4-(D184+273)^4)/(X184-D184))*D184)+T184/H184)/($B$14*(I184+IF(ABS(X184-D184)&lt;0.000000001,4*$B$19*$B$20*(D184+273)^3,$B$19*$B$20*((X184+273)^4-(D184+273)^4)/(X184-D184)))+1/H184)</f>
        <v/>
      </c>
      <c r="Z184">
        <f>IF(ABS(Y184-D184)&lt;0.000000001,4*$B$19*$B$20*(D184+273)^3,$B$19*$B$20*((Y184+273)^4-(D184+273)^4)/(Y184-D184))</f>
        <v/>
      </c>
      <c r="AA184">
        <f>$B$14*I184*(Y184-C184)</f>
        <v/>
      </c>
      <c r="AB184">
        <f>$B$14*Z184*(Y184-D184)</f>
        <v/>
      </c>
      <c r="AC184">
        <f>IF((U184-E184)/G184=0,0.001,(U184-E184)/G184)</f>
        <v/>
      </c>
      <c r="AD184">
        <f>F184-P184-J184-K184-AA184-AB184</f>
        <v/>
      </c>
      <c r="AE184">
        <f>AD184/AC184</f>
        <v/>
      </c>
      <c r="AF184">
        <f>IF(AD184&lt;=0,0,IF(AC184&lt;=0,$B$11,IF(AE184&gt;=1.7,$B$11,MIN(AD184/MAX(0.05,IF(AE184&gt;1,(2-AE184)^2/2,1-AE184^2/2)),$B$11))))</f>
        <v/>
      </c>
      <c r="AG184">
        <f>AG183*$B$28+AF184*(1-$B$28)</f>
        <v/>
      </c>
      <c r="AH184">
        <f>IF(AND(AD184&gt;0,AC184&lt;=0),0,AC184)</f>
        <v/>
      </c>
      <c r="AI184">
        <f>AH184/MAX(AG184,0.000001)</f>
        <v/>
      </c>
      <c r="AJ184">
        <f>MIN(IF(AI184&gt;=0.5,-AI184+SQRT(AI184^2+2),1),$B$12)</f>
        <v/>
      </c>
      <c r="AK184">
        <f>IF(AG184&lt;=0,0,AJ184*AH184)</f>
        <v/>
      </c>
      <c r="AL184">
        <f>IF(AD184&lt;=0,0,AD184)</f>
        <v/>
      </c>
      <c r="AM184">
        <f>AL184-AK184+P184</f>
        <v/>
      </c>
      <c r="AN184">
        <f>((AM184/$B$7+T183*AS183/2-T184*MAX(0.1,MIN(0.3,0.3-0.09*(AR183-36.8)))/2)+AR183*(1-AS183/2))/(1-MAX(0.1,MIN(0.3,0.3-0.09*(AR183-36.8)))/2)</f>
        <v/>
      </c>
      <c r="AO184">
        <f>((AM184/$B$7+T183*AS183/2-T184*MAX(0.1,MIN(0.3,0.3-0.09*(AN184-36.8)))/2)+AR183*(1-AS183/2))/(1-MAX(0.1,MIN(0.3,0.3-0.09*(AN184-36.8)))/2)</f>
        <v/>
      </c>
      <c r="AP184">
        <f>((AM184/$B$7+T183*AS183/2-T184*MAX(0.1,MIN(0.3,0.3-0.09*(AO184-36.8)))/2)+AR183*(1-AS183/2))/(1-MAX(0.1,MIN(0.3,0.3-0.09*(AO184-36.8)))/2)</f>
        <v/>
      </c>
      <c r="AQ184">
        <f>((AM184/$B$7+T183*AS183/2-T184*MAX(0.1,MIN(0.3,0.3-0.09*(AP184-36.8)))/2)+AR183*(1-AS183/2))/(1-MAX(0.1,MIN(0.3,0.3-0.09*(AP184-36.8)))/2)</f>
        <v/>
      </c>
      <c r="AR184">
        <f>((AM184/$B$7+T183*AS183/2-T184*MAX(0.1,MIN(0.3,0.3-0.09*(AQ184-36.8)))/2)+AR183*(1-AS183/2))/(1-MAX(0.1,MIN(0.3,0.3-0.09*(AQ184-36.8)))/2)</f>
        <v/>
      </c>
      <c r="AS184">
        <f>MAX(0.1,MIN(0.3,0.3-0.09*(AR184-36.8)))</f>
        <v/>
      </c>
      <c r="AT184">
        <f>AT183+(2*AR184-1.962*AT183-1.31)/9</f>
        <v/>
      </c>
      <c r="AU184">
        <f>AU183+AG184+K184</f>
        <v/>
      </c>
      <c r="AV184">
        <f>AU184*2.67*$B$6/1.8/60</f>
        <v/>
      </c>
      <c r="AW184">
        <f>IF(AT184&gt;=$B$36,1,0)</f>
        <v/>
      </c>
      <c r="AX184">
        <f>IF(AV184&gt;=$B$21,1,0)</f>
        <v/>
      </c>
    </row>
    <row r="185">
      <c r="A185" t="n">
        <v>112</v>
      </c>
      <c r="B185">
        <f>MATCH(A185-1,$D$61:$D$68,1)</f>
        <v/>
      </c>
      <c r="C185">
        <f>INDEX($G$61:$G$68,B185)</f>
        <v/>
      </c>
      <c r="D185">
        <f>INDEX($L$61:$L$68,B185)</f>
        <v/>
      </c>
      <c r="E185">
        <f>INDEX($M$61:$M$68,B185)</f>
        <v/>
      </c>
      <c r="F185">
        <f>INDEX($N$61:$N$68,B185)</f>
        <v/>
      </c>
      <c r="G185">
        <f>INDEX($AA$61:$AA$68,B185)</f>
        <v/>
      </c>
      <c r="H185">
        <f>INDEX($X$61:$X$68,B185)</f>
        <v/>
      </c>
      <c r="I185">
        <f>INDEX($AF$61:$AF$68,B185)</f>
        <v/>
      </c>
      <c r="J185">
        <f>INDEX($AC$61:$AC$68,B185)</f>
        <v/>
      </c>
      <c r="K185">
        <f>INDEX($AD$61:$AD$68,B185)</f>
        <v/>
      </c>
      <c r="L185">
        <f>INDEX($AG$61:$AG$68,B185)</f>
        <v/>
      </c>
      <c r="M185">
        <f>INDEX($AH$61:$AH$68,B185)</f>
        <v/>
      </c>
      <c r="N185">
        <f>INDEX($AI$61:$AI$68,B185)</f>
        <v/>
      </c>
      <c r="O185">
        <f>O184*$B$26+L185*(1-$B$26)</f>
        <v/>
      </c>
      <c r="P185">
        <f>$B$7*(O185-O184)*(1-AS184)</f>
        <v/>
      </c>
      <c r="Q185">
        <f>M185+0.51274*AT184</f>
        <v/>
      </c>
      <c r="R185">
        <f>N185+0.616*AT184</f>
        <v/>
      </c>
      <c r="S185">
        <f>IF($B$13&gt;=0.6,Q185,IF($B$13&lt;=0.2,R185,R185+2.5*(Q185-R185)*($B$13-0.2)))</f>
        <v/>
      </c>
      <c r="T185">
        <f>IF(A185=1,S185,T184*$B$27+S185*(1-$B$27))</f>
        <v/>
      </c>
      <c r="U185">
        <f>0.6105*EXP(17.27*T185/(T185+237.3))</f>
        <v/>
      </c>
      <c r="V185">
        <f>($B$14*(I185*C185+IF(ABS((D185+0.1)-D185)&lt;0.000000001,4*$B$19*$B$20*(D185+273)^3,$B$19*$B$20*(((D185+0.1)+273)^4-(D185+273)^4)/((D185+0.1)-D185))*D185)+T185/H185)/($B$14*(I185+IF(ABS((D185+0.1)-D185)&lt;0.000000001,4*$B$19*$B$20*(D185+273)^3,$B$19*$B$20*(((D185+0.1)+273)^4-(D185+273)^4)/((D185+0.1)-D185)))+1/H185)</f>
        <v/>
      </c>
      <c r="W185">
        <f>($B$14*(I185*C185+IF(ABS(V185-D185)&lt;0.000000001,4*$B$19*$B$20*(D185+273)^3,$B$19*$B$20*((V185+273)^4-(D185+273)^4)/(V185-D185))*D185)+T185/H185)/($B$14*(I185+IF(ABS(V185-D185)&lt;0.000000001,4*$B$19*$B$20*(D185+273)^3,$B$19*$B$20*((V185+273)^4-(D185+273)^4)/(V185-D185)))+1/H185)</f>
        <v/>
      </c>
      <c r="X185">
        <f>($B$14*(I185*C185+IF(ABS(W185-D185)&lt;0.000000001,4*$B$19*$B$20*(D185+273)^3,$B$19*$B$20*((W185+273)^4-(D185+273)^4)/(W185-D185))*D185)+T185/H185)/($B$14*(I185+IF(ABS(W185-D185)&lt;0.000000001,4*$B$19*$B$20*(D185+273)^3,$B$19*$B$20*((W185+273)^4-(D185+273)^4)/(W185-D185)))+1/H185)</f>
        <v/>
      </c>
      <c r="Y185">
        <f>($B$14*(I185*C185+IF(ABS(X185-D185)&lt;0.000000001,4*$B$19*$B$20*(D185+273)^3,$B$19*$B$20*((X185+273)^4-(D185+273)^4)/(X185-D185))*D185)+T185/H185)/($B$14*(I185+IF(ABS(X185-D185)&lt;0.000000001,4*$B$19*$B$20*(D185+273)^3,$B$19*$B$20*((X185+273)^4-(D185+273)^4)/(X185-D185)))+1/H185)</f>
        <v/>
      </c>
      <c r="Z185">
        <f>IF(ABS(Y185-D185)&lt;0.000000001,4*$B$19*$B$20*(D185+273)^3,$B$19*$B$20*((Y185+273)^4-(D185+273)^4)/(Y185-D185))</f>
        <v/>
      </c>
      <c r="AA185">
        <f>$B$14*I185*(Y185-C185)</f>
        <v/>
      </c>
      <c r="AB185">
        <f>$B$14*Z185*(Y185-D185)</f>
        <v/>
      </c>
      <c r="AC185">
        <f>IF((U185-E185)/G185=0,0.001,(U185-E185)/G185)</f>
        <v/>
      </c>
      <c r="AD185">
        <f>F185-P185-J185-K185-AA185-AB185</f>
        <v/>
      </c>
      <c r="AE185">
        <f>AD185/AC185</f>
        <v/>
      </c>
      <c r="AF185">
        <f>IF(AD185&lt;=0,0,IF(AC185&lt;=0,$B$11,IF(AE185&gt;=1.7,$B$11,MIN(AD185/MAX(0.05,IF(AE185&gt;1,(2-AE185)^2/2,1-AE185^2/2)),$B$11))))</f>
        <v/>
      </c>
      <c r="AG185">
        <f>AG184*$B$28+AF185*(1-$B$28)</f>
        <v/>
      </c>
      <c r="AH185">
        <f>IF(AND(AD185&gt;0,AC185&lt;=0),0,AC185)</f>
        <v/>
      </c>
      <c r="AI185">
        <f>AH185/MAX(AG185,0.000001)</f>
        <v/>
      </c>
      <c r="AJ185">
        <f>MIN(IF(AI185&gt;=0.5,-AI185+SQRT(AI185^2+2),1),$B$12)</f>
        <v/>
      </c>
      <c r="AK185">
        <f>IF(AG185&lt;=0,0,AJ185*AH185)</f>
        <v/>
      </c>
      <c r="AL185">
        <f>IF(AD185&lt;=0,0,AD185)</f>
        <v/>
      </c>
      <c r="AM185">
        <f>AL185-AK185+P185</f>
        <v/>
      </c>
      <c r="AN185">
        <f>((AM185/$B$7+T184*AS184/2-T185*MAX(0.1,MIN(0.3,0.3-0.09*(AR184-36.8)))/2)+AR184*(1-AS184/2))/(1-MAX(0.1,MIN(0.3,0.3-0.09*(AR184-36.8)))/2)</f>
        <v/>
      </c>
      <c r="AO185">
        <f>((AM185/$B$7+T184*AS184/2-T185*MAX(0.1,MIN(0.3,0.3-0.09*(AN185-36.8)))/2)+AR184*(1-AS184/2))/(1-MAX(0.1,MIN(0.3,0.3-0.09*(AN185-36.8)))/2)</f>
        <v/>
      </c>
      <c r="AP185">
        <f>((AM185/$B$7+T184*AS184/2-T185*MAX(0.1,MIN(0.3,0.3-0.09*(AO185-36.8)))/2)+AR184*(1-AS184/2))/(1-MAX(0.1,MIN(0.3,0.3-0.09*(AO185-36.8)))/2)</f>
        <v/>
      </c>
      <c r="AQ185">
        <f>((AM185/$B$7+T184*AS184/2-T185*MAX(0.1,MIN(0.3,0.3-0.09*(AP185-36.8)))/2)+AR184*(1-AS184/2))/(1-MAX(0.1,MIN(0.3,0.3-0.09*(AP185-36.8)))/2)</f>
        <v/>
      </c>
      <c r="AR185">
        <f>((AM185/$B$7+T184*AS184/2-T185*MAX(0.1,MIN(0.3,0.3-0.09*(AQ185-36.8)))/2)+AR184*(1-AS184/2))/(1-MAX(0.1,MIN(0.3,0.3-0.09*(AQ185-36.8)))/2)</f>
        <v/>
      </c>
      <c r="AS185">
        <f>MAX(0.1,MIN(0.3,0.3-0.09*(AR185-36.8)))</f>
        <v/>
      </c>
      <c r="AT185">
        <f>AT184+(2*AR185-1.962*AT184-1.31)/9</f>
        <v/>
      </c>
      <c r="AU185">
        <f>AU184+AG185+K185</f>
        <v/>
      </c>
      <c r="AV185">
        <f>AU185*2.67*$B$6/1.8/60</f>
        <v/>
      </c>
      <c r="AW185">
        <f>IF(AT185&gt;=$B$36,1,0)</f>
        <v/>
      </c>
      <c r="AX185">
        <f>IF(AV185&gt;=$B$21,1,0)</f>
        <v/>
      </c>
    </row>
    <row r="186">
      <c r="A186" t="n">
        <v>113</v>
      </c>
      <c r="B186">
        <f>MATCH(A186-1,$D$61:$D$68,1)</f>
        <v/>
      </c>
      <c r="C186">
        <f>INDEX($G$61:$G$68,B186)</f>
        <v/>
      </c>
      <c r="D186">
        <f>INDEX($L$61:$L$68,B186)</f>
        <v/>
      </c>
      <c r="E186">
        <f>INDEX($M$61:$M$68,B186)</f>
        <v/>
      </c>
      <c r="F186">
        <f>INDEX($N$61:$N$68,B186)</f>
        <v/>
      </c>
      <c r="G186">
        <f>INDEX($AA$61:$AA$68,B186)</f>
        <v/>
      </c>
      <c r="H186">
        <f>INDEX($X$61:$X$68,B186)</f>
        <v/>
      </c>
      <c r="I186">
        <f>INDEX($AF$61:$AF$68,B186)</f>
        <v/>
      </c>
      <c r="J186">
        <f>INDEX($AC$61:$AC$68,B186)</f>
        <v/>
      </c>
      <c r="K186">
        <f>INDEX($AD$61:$AD$68,B186)</f>
        <v/>
      </c>
      <c r="L186">
        <f>INDEX($AG$61:$AG$68,B186)</f>
        <v/>
      </c>
      <c r="M186">
        <f>INDEX($AH$61:$AH$68,B186)</f>
        <v/>
      </c>
      <c r="N186">
        <f>INDEX($AI$61:$AI$68,B186)</f>
        <v/>
      </c>
      <c r="O186">
        <f>O185*$B$26+L186*(1-$B$26)</f>
        <v/>
      </c>
      <c r="P186">
        <f>$B$7*(O186-O185)*(1-AS185)</f>
        <v/>
      </c>
      <c r="Q186">
        <f>M186+0.51274*AT185</f>
        <v/>
      </c>
      <c r="R186">
        <f>N186+0.616*AT185</f>
        <v/>
      </c>
      <c r="S186">
        <f>IF($B$13&gt;=0.6,Q186,IF($B$13&lt;=0.2,R186,R186+2.5*(Q186-R186)*($B$13-0.2)))</f>
        <v/>
      </c>
      <c r="T186">
        <f>IF(A186=1,S186,T185*$B$27+S186*(1-$B$27))</f>
        <v/>
      </c>
      <c r="U186">
        <f>0.6105*EXP(17.27*T186/(T186+237.3))</f>
        <v/>
      </c>
      <c r="V186">
        <f>($B$14*(I186*C186+IF(ABS((D186+0.1)-D186)&lt;0.000000001,4*$B$19*$B$20*(D186+273)^3,$B$19*$B$20*(((D186+0.1)+273)^4-(D186+273)^4)/((D186+0.1)-D186))*D186)+T186/H186)/($B$14*(I186+IF(ABS((D186+0.1)-D186)&lt;0.000000001,4*$B$19*$B$20*(D186+273)^3,$B$19*$B$20*(((D186+0.1)+273)^4-(D186+273)^4)/((D186+0.1)-D186)))+1/H186)</f>
        <v/>
      </c>
      <c r="W186">
        <f>($B$14*(I186*C186+IF(ABS(V186-D186)&lt;0.000000001,4*$B$19*$B$20*(D186+273)^3,$B$19*$B$20*((V186+273)^4-(D186+273)^4)/(V186-D186))*D186)+T186/H186)/($B$14*(I186+IF(ABS(V186-D186)&lt;0.000000001,4*$B$19*$B$20*(D186+273)^3,$B$19*$B$20*((V186+273)^4-(D186+273)^4)/(V186-D186)))+1/H186)</f>
        <v/>
      </c>
      <c r="X186">
        <f>($B$14*(I186*C186+IF(ABS(W186-D186)&lt;0.000000001,4*$B$19*$B$20*(D186+273)^3,$B$19*$B$20*((W186+273)^4-(D186+273)^4)/(W186-D186))*D186)+T186/H186)/($B$14*(I186+IF(ABS(W186-D186)&lt;0.000000001,4*$B$19*$B$20*(D186+273)^3,$B$19*$B$20*((W186+273)^4-(D186+273)^4)/(W186-D186)))+1/H186)</f>
        <v/>
      </c>
      <c r="Y186">
        <f>($B$14*(I186*C186+IF(ABS(X186-D186)&lt;0.000000001,4*$B$19*$B$20*(D186+273)^3,$B$19*$B$20*((X186+273)^4-(D186+273)^4)/(X186-D186))*D186)+T186/H186)/($B$14*(I186+IF(ABS(X186-D186)&lt;0.000000001,4*$B$19*$B$20*(D186+273)^3,$B$19*$B$20*((X186+273)^4-(D186+273)^4)/(X186-D186)))+1/H186)</f>
        <v/>
      </c>
      <c r="Z186">
        <f>IF(ABS(Y186-D186)&lt;0.000000001,4*$B$19*$B$20*(D186+273)^3,$B$19*$B$20*((Y186+273)^4-(D186+273)^4)/(Y186-D186))</f>
        <v/>
      </c>
      <c r="AA186">
        <f>$B$14*I186*(Y186-C186)</f>
        <v/>
      </c>
      <c r="AB186">
        <f>$B$14*Z186*(Y186-D186)</f>
        <v/>
      </c>
      <c r="AC186">
        <f>IF((U186-E186)/G186=0,0.001,(U186-E186)/G186)</f>
        <v/>
      </c>
      <c r="AD186">
        <f>F186-P186-J186-K186-AA186-AB186</f>
        <v/>
      </c>
      <c r="AE186">
        <f>AD186/AC186</f>
        <v/>
      </c>
      <c r="AF186">
        <f>IF(AD186&lt;=0,0,IF(AC186&lt;=0,$B$11,IF(AE186&gt;=1.7,$B$11,MIN(AD186/MAX(0.05,IF(AE186&gt;1,(2-AE186)^2/2,1-AE186^2/2)),$B$11))))</f>
        <v/>
      </c>
      <c r="AG186">
        <f>AG185*$B$28+AF186*(1-$B$28)</f>
        <v/>
      </c>
      <c r="AH186">
        <f>IF(AND(AD186&gt;0,AC186&lt;=0),0,AC186)</f>
        <v/>
      </c>
      <c r="AI186">
        <f>AH186/MAX(AG186,0.000001)</f>
        <v/>
      </c>
      <c r="AJ186">
        <f>MIN(IF(AI186&gt;=0.5,-AI186+SQRT(AI186^2+2),1),$B$12)</f>
        <v/>
      </c>
      <c r="AK186">
        <f>IF(AG186&lt;=0,0,AJ186*AH186)</f>
        <v/>
      </c>
      <c r="AL186">
        <f>IF(AD186&lt;=0,0,AD186)</f>
        <v/>
      </c>
      <c r="AM186">
        <f>AL186-AK186+P186</f>
        <v/>
      </c>
      <c r="AN186">
        <f>((AM186/$B$7+T185*AS185/2-T186*MAX(0.1,MIN(0.3,0.3-0.09*(AR185-36.8)))/2)+AR185*(1-AS185/2))/(1-MAX(0.1,MIN(0.3,0.3-0.09*(AR185-36.8)))/2)</f>
        <v/>
      </c>
      <c r="AO186">
        <f>((AM186/$B$7+T185*AS185/2-T186*MAX(0.1,MIN(0.3,0.3-0.09*(AN186-36.8)))/2)+AR185*(1-AS185/2))/(1-MAX(0.1,MIN(0.3,0.3-0.09*(AN186-36.8)))/2)</f>
        <v/>
      </c>
      <c r="AP186">
        <f>((AM186/$B$7+T185*AS185/2-T186*MAX(0.1,MIN(0.3,0.3-0.09*(AO186-36.8)))/2)+AR185*(1-AS185/2))/(1-MAX(0.1,MIN(0.3,0.3-0.09*(AO186-36.8)))/2)</f>
        <v/>
      </c>
      <c r="AQ186">
        <f>((AM186/$B$7+T185*AS185/2-T186*MAX(0.1,MIN(0.3,0.3-0.09*(AP186-36.8)))/2)+AR185*(1-AS185/2))/(1-MAX(0.1,MIN(0.3,0.3-0.09*(AP186-36.8)))/2)</f>
        <v/>
      </c>
      <c r="AR186">
        <f>((AM186/$B$7+T185*AS185/2-T186*MAX(0.1,MIN(0.3,0.3-0.09*(AQ186-36.8)))/2)+AR185*(1-AS185/2))/(1-MAX(0.1,MIN(0.3,0.3-0.09*(AQ186-36.8)))/2)</f>
        <v/>
      </c>
      <c r="AS186">
        <f>MAX(0.1,MIN(0.3,0.3-0.09*(AR186-36.8)))</f>
        <v/>
      </c>
      <c r="AT186">
        <f>AT185+(2*AR186-1.962*AT185-1.31)/9</f>
        <v/>
      </c>
      <c r="AU186">
        <f>AU185+AG186+K186</f>
        <v/>
      </c>
      <c r="AV186">
        <f>AU186*2.67*$B$6/1.8/60</f>
        <v/>
      </c>
      <c r="AW186">
        <f>IF(AT186&gt;=$B$36,1,0)</f>
        <v/>
      </c>
      <c r="AX186">
        <f>IF(AV186&gt;=$B$21,1,0)</f>
        <v/>
      </c>
    </row>
    <row r="187">
      <c r="A187" t="n">
        <v>114</v>
      </c>
      <c r="B187">
        <f>MATCH(A187-1,$D$61:$D$68,1)</f>
        <v/>
      </c>
      <c r="C187">
        <f>INDEX($G$61:$G$68,B187)</f>
        <v/>
      </c>
      <c r="D187">
        <f>INDEX($L$61:$L$68,B187)</f>
        <v/>
      </c>
      <c r="E187">
        <f>INDEX($M$61:$M$68,B187)</f>
        <v/>
      </c>
      <c r="F187">
        <f>INDEX($N$61:$N$68,B187)</f>
        <v/>
      </c>
      <c r="G187">
        <f>INDEX($AA$61:$AA$68,B187)</f>
        <v/>
      </c>
      <c r="H187">
        <f>INDEX($X$61:$X$68,B187)</f>
        <v/>
      </c>
      <c r="I187">
        <f>INDEX($AF$61:$AF$68,B187)</f>
        <v/>
      </c>
      <c r="J187">
        <f>INDEX($AC$61:$AC$68,B187)</f>
        <v/>
      </c>
      <c r="K187">
        <f>INDEX($AD$61:$AD$68,B187)</f>
        <v/>
      </c>
      <c r="L187">
        <f>INDEX($AG$61:$AG$68,B187)</f>
        <v/>
      </c>
      <c r="M187">
        <f>INDEX($AH$61:$AH$68,B187)</f>
        <v/>
      </c>
      <c r="N187">
        <f>INDEX($AI$61:$AI$68,B187)</f>
        <v/>
      </c>
      <c r="O187">
        <f>O186*$B$26+L187*(1-$B$26)</f>
        <v/>
      </c>
      <c r="P187">
        <f>$B$7*(O187-O186)*(1-AS186)</f>
        <v/>
      </c>
      <c r="Q187">
        <f>M187+0.51274*AT186</f>
        <v/>
      </c>
      <c r="R187">
        <f>N187+0.616*AT186</f>
        <v/>
      </c>
      <c r="S187">
        <f>IF($B$13&gt;=0.6,Q187,IF($B$13&lt;=0.2,R187,R187+2.5*(Q187-R187)*($B$13-0.2)))</f>
        <v/>
      </c>
      <c r="T187">
        <f>IF(A187=1,S187,T186*$B$27+S187*(1-$B$27))</f>
        <v/>
      </c>
      <c r="U187">
        <f>0.6105*EXP(17.27*T187/(T187+237.3))</f>
        <v/>
      </c>
      <c r="V187">
        <f>($B$14*(I187*C187+IF(ABS((D187+0.1)-D187)&lt;0.000000001,4*$B$19*$B$20*(D187+273)^3,$B$19*$B$20*(((D187+0.1)+273)^4-(D187+273)^4)/((D187+0.1)-D187))*D187)+T187/H187)/($B$14*(I187+IF(ABS((D187+0.1)-D187)&lt;0.000000001,4*$B$19*$B$20*(D187+273)^3,$B$19*$B$20*(((D187+0.1)+273)^4-(D187+273)^4)/((D187+0.1)-D187)))+1/H187)</f>
        <v/>
      </c>
      <c r="W187">
        <f>($B$14*(I187*C187+IF(ABS(V187-D187)&lt;0.000000001,4*$B$19*$B$20*(D187+273)^3,$B$19*$B$20*((V187+273)^4-(D187+273)^4)/(V187-D187))*D187)+T187/H187)/($B$14*(I187+IF(ABS(V187-D187)&lt;0.000000001,4*$B$19*$B$20*(D187+273)^3,$B$19*$B$20*((V187+273)^4-(D187+273)^4)/(V187-D187)))+1/H187)</f>
        <v/>
      </c>
      <c r="X187">
        <f>($B$14*(I187*C187+IF(ABS(W187-D187)&lt;0.000000001,4*$B$19*$B$20*(D187+273)^3,$B$19*$B$20*((W187+273)^4-(D187+273)^4)/(W187-D187))*D187)+T187/H187)/($B$14*(I187+IF(ABS(W187-D187)&lt;0.000000001,4*$B$19*$B$20*(D187+273)^3,$B$19*$B$20*((W187+273)^4-(D187+273)^4)/(W187-D187)))+1/H187)</f>
        <v/>
      </c>
      <c r="Y187">
        <f>($B$14*(I187*C187+IF(ABS(X187-D187)&lt;0.000000001,4*$B$19*$B$20*(D187+273)^3,$B$19*$B$20*((X187+273)^4-(D187+273)^4)/(X187-D187))*D187)+T187/H187)/($B$14*(I187+IF(ABS(X187-D187)&lt;0.000000001,4*$B$19*$B$20*(D187+273)^3,$B$19*$B$20*((X187+273)^4-(D187+273)^4)/(X187-D187)))+1/H187)</f>
        <v/>
      </c>
      <c r="Z187">
        <f>IF(ABS(Y187-D187)&lt;0.000000001,4*$B$19*$B$20*(D187+273)^3,$B$19*$B$20*((Y187+273)^4-(D187+273)^4)/(Y187-D187))</f>
        <v/>
      </c>
      <c r="AA187">
        <f>$B$14*I187*(Y187-C187)</f>
        <v/>
      </c>
      <c r="AB187">
        <f>$B$14*Z187*(Y187-D187)</f>
        <v/>
      </c>
      <c r="AC187">
        <f>IF((U187-E187)/G187=0,0.001,(U187-E187)/G187)</f>
        <v/>
      </c>
      <c r="AD187">
        <f>F187-P187-J187-K187-AA187-AB187</f>
        <v/>
      </c>
      <c r="AE187">
        <f>AD187/AC187</f>
        <v/>
      </c>
      <c r="AF187">
        <f>IF(AD187&lt;=0,0,IF(AC187&lt;=0,$B$11,IF(AE187&gt;=1.7,$B$11,MIN(AD187/MAX(0.05,IF(AE187&gt;1,(2-AE187)^2/2,1-AE187^2/2)),$B$11))))</f>
        <v/>
      </c>
      <c r="AG187">
        <f>AG186*$B$28+AF187*(1-$B$28)</f>
        <v/>
      </c>
      <c r="AH187">
        <f>IF(AND(AD187&gt;0,AC187&lt;=0),0,AC187)</f>
        <v/>
      </c>
      <c r="AI187">
        <f>AH187/MAX(AG187,0.000001)</f>
        <v/>
      </c>
      <c r="AJ187">
        <f>MIN(IF(AI187&gt;=0.5,-AI187+SQRT(AI187^2+2),1),$B$12)</f>
        <v/>
      </c>
      <c r="AK187">
        <f>IF(AG187&lt;=0,0,AJ187*AH187)</f>
        <v/>
      </c>
      <c r="AL187">
        <f>IF(AD187&lt;=0,0,AD187)</f>
        <v/>
      </c>
      <c r="AM187">
        <f>AL187-AK187+P187</f>
        <v/>
      </c>
      <c r="AN187">
        <f>((AM187/$B$7+T186*AS186/2-T187*MAX(0.1,MIN(0.3,0.3-0.09*(AR186-36.8)))/2)+AR186*(1-AS186/2))/(1-MAX(0.1,MIN(0.3,0.3-0.09*(AR186-36.8)))/2)</f>
        <v/>
      </c>
      <c r="AO187">
        <f>((AM187/$B$7+T186*AS186/2-T187*MAX(0.1,MIN(0.3,0.3-0.09*(AN187-36.8)))/2)+AR186*(1-AS186/2))/(1-MAX(0.1,MIN(0.3,0.3-0.09*(AN187-36.8)))/2)</f>
        <v/>
      </c>
      <c r="AP187">
        <f>((AM187/$B$7+T186*AS186/2-T187*MAX(0.1,MIN(0.3,0.3-0.09*(AO187-36.8)))/2)+AR186*(1-AS186/2))/(1-MAX(0.1,MIN(0.3,0.3-0.09*(AO187-36.8)))/2)</f>
        <v/>
      </c>
      <c r="AQ187">
        <f>((AM187/$B$7+T186*AS186/2-T187*MAX(0.1,MIN(0.3,0.3-0.09*(AP187-36.8)))/2)+AR186*(1-AS186/2))/(1-MAX(0.1,MIN(0.3,0.3-0.09*(AP187-36.8)))/2)</f>
        <v/>
      </c>
      <c r="AR187">
        <f>((AM187/$B$7+T186*AS186/2-T187*MAX(0.1,MIN(0.3,0.3-0.09*(AQ187-36.8)))/2)+AR186*(1-AS186/2))/(1-MAX(0.1,MIN(0.3,0.3-0.09*(AQ187-36.8)))/2)</f>
        <v/>
      </c>
      <c r="AS187">
        <f>MAX(0.1,MIN(0.3,0.3-0.09*(AR187-36.8)))</f>
        <v/>
      </c>
      <c r="AT187">
        <f>AT186+(2*AR187-1.962*AT186-1.31)/9</f>
        <v/>
      </c>
      <c r="AU187">
        <f>AU186+AG187+K187</f>
        <v/>
      </c>
      <c r="AV187">
        <f>AU187*2.67*$B$6/1.8/60</f>
        <v/>
      </c>
      <c r="AW187">
        <f>IF(AT187&gt;=$B$36,1,0)</f>
        <v/>
      </c>
      <c r="AX187">
        <f>IF(AV187&gt;=$B$21,1,0)</f>
        <v/>
      </c>
    </row>
    <row r="188">
      <c r="A188" t="n">
        <v>115</v>
      </c>
      <c r="B188">
        <f>MATCH(A188-1,$D$61:$D$68,1)</f>
        <v/>
      </c>
      <c r="C188">
        <f>INDEX($G$61:$G$68,B188)</f>
        <v/>
      </c>
      <c r="D188">
        <f>INDEX($L$61:$L$68,B188)</f>
        <v/>
      </c>
      <c r="E188">
        <f>INDEX($M$61:$M$68,B188)</f>
        <v/>
      </c>
      <c r="F188">
        <f>INDEX($N$61:$N$68,B188)</f>
        <v/>
      </c>
      <c r="G188">
        <f>INDEX($AA$61:$AA$68,B188)</f>
        <v/>
      </c>
      <c r="H188">
        <f>INDEX($X$61:$X$68,B188)</f>
        <v/>
      </c>
      <c r="I188">
        <f>INDEX($AF$61:$AF$68,B188)</f>
        <v/>
      </c>
      <c r="J188">
        <f>INDEX($AC$61:$AC$68,B188)</f>
        <v/>
      </c>
      <c r="K188">
        <f>INDEX($AD$61:$AD$68,B188)</f>
        <v/>
      </c>
      <c r="L188">
        <f>INDEX($AG$61:$AG$68,B188)</f>
        <v/>
      </c>
      <c r="M188">
        <f>INDEX($AH$61:$AH$68,B188)</f>
        <v/>
      </c>
      <c r="N188">
        <f>INDEX($AI$61:$AI$68,B188)</f>
        <v/>
      </c>
      <c r="O188">
        <f>O187*$B$26+L188*(1-$B$26)</f>
        <v/>
      </c>
      <c r="P188">
        <f>$B$7*(O188-O187)*(1-AS187)</f>
        <v/>
      </c>
      <c r="Q188">
        <f>M188+0.51274*AT187</f>
        <v/>
      </c>
      <c r="R188">
        <f>N188+0.616*AT187</f>
        <v/>
      </c>
      <c r="S188">
        <f>IF($B$13&gt;=0.6,Q188,IF($B$13&lt;=0.2,R188,R188+2.5*(Q188-R188)*($B$13-0.2)))</f>
        <v/>
      </c>
      <c r="T188">
        <f>IF(A188=1,S188,T187*$B$27+S188*(1-$B$27))</f>
        <v/>
      </c>
      <c r="U188">
        <f>0.6105*EXP(17.27*T188/(T188+237.3))</f>
        <v/>
      </c>
      <c r="V188">
        <f>($B$14*(I188*C188+IF(ABS((D188+0.1)-D188)&lt;0.000000001,4*$B$19*$B$20*(D188+273)^3,$B$19*$B$20*(((D188+0.1)+273)^4-(D188+273)^4)/((D188+0.1)-D188))*D188)+T188/H188)/($B$14*(I188+IF(ABS((D188+0.1)-D188)&lt;0.000000001,4*$B$19*$B$20*(D188+273)^3,$B$19*$B$20*(((D188+0.1)+273)^4-(D188+273)^4)/((D188+0.1)-D188)))+1/H188)</f>
        <v/>
      </c>
      <c r="W188">
        <f>($B$14*(I188*C188+IF(ABS(V188-D188)&lt;0.000000001,4*$B$19*$B$20*(D188+273)^3,$B$19*$B$20*((V188+273)^4-(D188+273)^4)/(V188-D188))*D188)+T188/H188)/($B$14*(I188+IF(ABS(V188-D188)&lt;0.000000001,4*$B$19*$B$20*(D188+273)^3,$B$19*$B$20*((V188+273)^4-(D188+273)^4)/(V188-D188)))+1/H188)</f>
        <v/>
      </c>
      <c r="X188">
        <f>($B$14*(I188*C188+IF(ABS(W188-D188)&lt;0.000000001,4*$B$19*$B$20*(D188+273)^3,$B$19*$B$20*((W188+273)^4-(D188+273)^4)/(W188-D188))*D188)+T188/H188)/($B$14*(I188+IF(ABS(W188-D188)&lt;0.000000001,4*$B$19*$B$20*(D188+273)^3,$B$19*$B$20*((W188+273)^4-(D188+273)^4)/(W188-D188)))+1/H188)</f>
        <v/>
      </c>
      <c r="Y188">
        <f>($B$14*(I188*C188+IF(ABS(X188-D188)&lt;0.000000001,4*$B$19*$B$20*(D188+273)^3,$B$19*$B$20*((X188+273)^4-(D188+273)^4)/(X188-D188))*D188)+T188/H188)/($B$14*(I188+IF(ABS(X188-D188)&lt;0.000000001,4*$B$19*$B$20*(D188+273)^3,$B$19*$B$20*((X188+273)^4-(D188+273)^4)/(X188-D188)))+1/H188)</f>
        <v/>
      </c>
      <c r="Z188">
        <f>IF(ABS(Y188-D188)&lt;0.000000001,4*$B$19*$B$20*(D188+273)^3,$B$19*$B$20*((Y188+273)^4-(D188+273)^4)/(Y188-D188))</f>
        <v/>
      </c>
      <c r="AA188">
        <f>$B$14*I188*(Y188-C188)</f>
        <v/>
      </c>
      <c r="AB188">
        <f>$B$14*Z188*(Y188-D188)</f>
        <v/>
      </c>
      <c r="AC188">
        <f>IF((U188-E188)/G188=0,0.001,(U188-E188)/G188)</f>
        <v/>
      </c>
      <c r="AD188">
        <f>F188-P188-J188-K188-AA188-AB188</f>
        <v/>
      </c>
      <c r="AE188">
        <f>AD188/AC188</f>
        <v/>
      </c>
      <c r="AF188">
        <f>IF(AD188&lt;=0,0,IF(AC188&lt;=0,$B$11,IF(AE188&gt;=1.7,$B$11,MIN(AD188/MAX(0.05,IF(AE188&gt;1,(2-AE188)^2/2,1-AE188^2/2)),$B$11))))</f>
        <v/>
      </c>
      <c r="AG188">
        <f>AG187*$B$28+AF188*(1-$B$28)</f>
        <v/>
      </c>
      <c r="AH188">
        <f>IF(AND(AD188&gt;0,AC188&lt;=0),0,AC188)</f>
        <v/>
      </c>
      <c r="AI188">
        <f>AH188/MAX(AG188,0.000001)</f>
        <v/>
      </c>
      <c r="AJ188">
        <f>MIN(IF(AI188&gt;=0.5,-AI188+SQRT(AI188^2+2),1),$B$12)</f>
        <v/>
      </c>
      <c r="AK188">
        <f>IF(AG188&lt;=0,0,AJ188*AH188)</f>
        <v/>
      </c>
      <c r="AL188">
        <f>IF(AD188&lt;=0,0,AD188)</f>
        <v/>
      </c>
      <c r="AM188">
        <f>AL188-AK188+P188</f>
        <v/>
      </c>
      <c r="AN188">
        <f>((AM188/$B$7+T187*AS187/2-T188*MAX(0.1,MIN(0.3,0.3-0.09*(AR187-36.8)))/2)+AR187*(1-AS187/2))/(1-MAX(0.1,MIN(0.3,0.3-0.09*(AR187-36.8)))/2)</f>
        <v/>
      </c>
      <c r="AO188">
        <f>((AM188/$B$7+T187*AS187/2-T188*MAX(0.1,MIN(0.3,0.3-0.09*(AN188-36.8)))/2)+AR187*(1-AS187/2))/(1-MAX(0.1,MIN(0.3,0.3-0.09*(AN188-36.8)))/2)</f>
        <v/>
      </c>
      <c r="AP188">
        <f>((AM188/$B$7+T187*AS187/2-T188*MAX(0.1,MIN(0.3,0.3-0.09*(AO188-36.8)))/2)+AR187*(1-AS187/2))/(1-MAX(0.1,MIN(0.3,0.3-0.09*(AO188-36.8)))/2)</f>
        <v/>
      </c>
      <c r="AQ188">
        <f>((AM188/$B$7+T187*AS187/2-T188*MAX(0.1,MIN(0.3,0.3-0.09*(AP188-36.8)))/2)+AR187*(1-AS187/2))/(1-MAX(0.1,MIN(0.3,0.3-0.09*(AP188-36.8)))/2)</f>
        <v/>
      </c>
      <c r="AR188">
        <f>((AM188/$B$7+T187*AS187/2-T188*MAX(0.1,MIN(0.3,0.3-0.09*(AQ188-36.8)))/2)+AR187*(1-AS187/2))/(1-MAX(0.1,MIN(0.3,0.3-0.09*(AQ188-36.8)))/2)</f>
        <v/>
      </c>
      <c r="AS188">
        <f>MAX(0.1,MIN(0.3,0.3-0.09*(AR188-36.8)))</f>
        <v/>
      </c>
      <c r="AT188">
        <f>AT187+(2*AR188-1.962*AT187-1.31)/9</f>
        <v/>
      </c>
      <c r="AU188">
        <f>AU187+AG188+K188</f>
        <v/>
      </c>
      <c r="AV188">
        <f>AU188*2.67*$B$6/1.8/60</f>
        <v/>
      </c>
      <c r="AW188">
        <f>IF(AT188&gt;=$B$36,1,0)</f>
        <v/>
      </c>
      <c r="AX188">
        <f>IF(AV188&gt;=$B$21,1,0)</f>
        <v/>
      </c>
    </row>
    <row r="189">
      <c r="A189" t="n">
        <v>116</v>
      </c>
      <c r="B189">
        <f>MATCH(A189-1,$D$61:$D$68,1)</f>
        <v/>
      </c>
      <c r="C189">
        <f>INDEX($G$61:$G$68,B189)</f>
        <v/>
      </c>
      <c r="D189">
        <f>INDEX($L$61:$L$68,B189)</f>
        <v/>
      </c>
      <c r="E189">
        <f>INDEX($M$61:$M$68,B189)</f>
        <v/>
      </c>
      <c r="F189">
        <f>INDEX($N$61:$N$68,B189)</f>
        <v/>
      </c>
      <c r="G189">
        <f>INDEX($AA$61:$AA$68,B189)</f>
        <v/>
      </c>
      <c r="H189">
        <f>INDEX($X$61:$X$68,B189)</f>
        <v/>
      </c>
      <c r="I189">
        <f>INDEX($AF$61:$AF$68,B189)</f>
        <v/>
      </c>
      <c r="J189">
        <f>INDEX($AC$61:$AC$68,B189)</f>
        <v/>
      </c>
      <c r="K189">
        <f>INDEX($AD$61:$AD$68,B189)</f>
        <v/>
      </c>
      <c r="L189">
        <f>INDEX($AG$61:$AG$68,B189)</f>
        <v/>
      </c>
      <c r="M189">
        <f>INDEX($AH$61:$AH$68,B189)</f>
        <v/>
      </c>
      <c r="N189">
        <f>INDEX($AI$61:$AI$68,B189)</f>
        <v/>
      </c>
      <c r="O189">
        <f>O188*$B$26+L189*(1-$B$26)</f>
        <v/>
      </c>
      <c r="P189">
        <f>$B$7*(O189-O188)*(1-AS188)</f>
        <v/>
      </c>
      <c r="Q189">
        <f>M189+0.51274*AT188</f>
        <v/>
      </c>
      <c r="R189">
        <f>N189+0.616*AT188</f>
        <v/>
      </c>
      <c r="S189">
        <f>IF($B$13&gt;=0.6,Q189,IF($B$13&lt;=0.2,R189,R189+2.5*(Q189-R189)*($B$13-0.2)))</f>
        <v/>
      </c>
      <c r="T189">
        <f>IF(A189=1,S189,T188*$B$27+S189*(1-$B$27))</f>
        <v/>
      </c>
      <c r="U189">
        <f>0.6105*EXP(17.27*T189/(T189+237.3))</f>
        <v/>
      </c>
      <c r="V189">
        <f>($B$14*(I189*C189+IF(ABS((D189+0.1)-D189)&lt;0.000000001,4*$B$19*$B$20*(D189+273)^3,$B$19*$B$20*(((D189+0.1)+273)^4-(D189+273)^4)/((D189+0.1)-D189))*D189)+T189/H189)/($B$14*(I189+IF(ABS((D189+0.1)-D189)&lt;0.000000001,4*$B$19*$B$20*(D189+273)^3,$B$19*$B$20*(((D189+0.1)+273)^4-(D189+273)^4)/((D189+0.1)-D189)))+1/H189)</f>
        <v/>
      </c>
      <c r="W189">
        <f>($B$14*(I189*C189+IF(ABS(V189-D189)&lt;0.000000001,4*$B$19*$B$20*(D189+273)^3,$B$19*$B$20*((V189+273)^4-(D189+273)^4)/(V189-D189))*D189)+T189/H189)/($B$14*(I189+IF(ABS(V189-D189)&lt;0.000000001,4*$B$19*$B$20*(D189+273)^3,$B$19*$B$20*((V189+273)^4-(D189+273)^4)/(V189-D189)))+1/H189)</f>
        <v/>
      </c>
      <c r="X189">
        <f>($B$14*(I189*C189+IF(ABS(W189-D189)&lt;0.000000001,4*$B$19*$B$20*(D189+273)^3,$B$19*$B$20*((W189+273)^4-(D189+273)^4)/(W189-D189))*D189)+T189/H189)/($B$14*(I189+IF(ABS(W189-D189)&lt;0.000000001,4*$B$19*$B$20*(D189+273)^3,$B$19*$B$20*((W189+273)^4-(D189+273)^4)/(W189-D189)))+1/H189)</f>
        <v/>
      </c>
      <c r="Y189">
        <f>($B$14*(I189*C189+IF(ABS(X189-D189)&lt;0.000000001,4*$B$19*$B$20*(D189+273)^3,$B$19*$B$20*((X189+273)^4-(D189+273)^4)/(X189-D189))*D189)+T189/H189)/($B$14*(I189+IF(ABS(X189-D189)&lt;0.000000001,4*$B$19*$B$20*(D189+273)^3,$B$19*$B$20*((X189+273)^4-(D189+273)^4)/(X189-D189)))+1/H189)</f>
        <v/>
      </c>
      <c r="Z189">
        <f>IF(ABS(Y189-D189)&lt;0.000000001,4*$B$19*$B$20*(D189+273)^3,$B$19*$B$20*((Y189+273)^4-(D189+273)^4)/(Y189-D189))</f>
        <v/>
      </c>
      <c r="AA189">
        <f>$B$14*I189*(Y189-C189)</f>
        <v/>
      </c>
      <c r="AB189">
        <f>$B$14*Z189*(Y189-D189)</f>
        <v/>
      </c>
      <c r="AC189">
        <f>IF((U189-E189)/G189=0,0.001,(U189-E189)/G189)</f>
        <v/>
      </c>
      <c r="AD189">
        <f>F189-P189-J189-K189-AA189-AB189</f>
        <v/>
      </c>
      <c r="AE189">
        <f>AD189/AC189</f>
        <v/>
      </c>
      <c r="AF189">
        <f>IF(AD189&lt;=0,0,IF(AC189&lt;=0,$B$11,IF(AE189&gt;=1.7,$B$11,MIN(AD189/MAX(0.05,IF(AE189&gt;1,(2-AE189)^2/2,1-AE189^2/2)),$B$11))))</f>
        <v/>
      </c>
      <c r="AG189">
        <f>AG188*$B$28+AF189*(1-$B$28)</f>
        <v/>
      </c>
      <c r="AH189">
        <f>IF(AND(AD189&gt;0,AC189&lt;=0),0,AC189)</f>
        <v/>
      </c>
      <c r="AI189">
        <f>AH189/MAX(AG189,0.000001)</f>
        <v/>
      </c>
      <c r="AJ189">
        <f>MIN(IF(AI189&gt;=0.5,-AI189+SQRT(AI189^2+2),1),$B$12)</f>
        <v/>
      </c>
      <c r="AK189">
        <f>IF(AG189&lt;=0,0,AJ189*AH189)</f>
        <v/>
      </c>
      <c r="AL189">
        <f>IF(AD189&lt;=0,0,AD189)</f>
        <v/>
      </c>
      <c r="AM189">
        <f>AL189-AK189+P189</f>
        <v/>
      </c>
      <c r="AN189">
        <f>((AM189/$B$7+T188*AS188/2-T189*MAX(0.1,MIN(0.3,0.3-0.09*(AR188-36.8)))/2)+AR188*(1-AS188/2))/(1-MAX(0.1,MIN(0.3,0.3-0.09*(AR188-36.8)))/2)</f>
        <v/>
      </c>
      <c r="AO189">
        <f>((AM189/$B$7+T188*AS188/2-T189*MAX(0.1,MIN(0.3,0.3-0.09*(AN189-36.8)))/2)+AR188*(1-AS188/2))/(1-MAX(0.1,MIN(0.3,0.3-0.09*(AN189-36.8)))/2)</f>
        <v/>
      </c>
      <c r="AP189">
        <f>((AM189/$B$7+T188*AS188/2-T189*MAX(0.1,MIN(0.3,0.3-0.09*(AO189-36.8)))/2)+AR188*(1-AS188/2))/(1-MAX(0.1,MIN(0.3,0.3-0.09*(AO189-36.8)))/2)</f>
        <v/>
      </c>
      <c r="AQ189">
        <f>((AM189/$B$7+T188*AS188/2-T189*MAX(0.1,MIN(0.3,0.3-0.09*(AP189-36.8)))/2)+AR188*(1-AS188/2))/(1-MAX(0.1,MIN(0.3,0.3-0.09*(AP189-36.8)))/2)</f>
        <v/>
      </c>
      <c r="AR189">
        <f>((AM189/$B$7+T188*AS188/2-T189*MAX(0.1,MIN(0.3,0.3-0.09*(AQ189-36.8)))/2)+AR188*(1-AS188/2))/(1-MAX(0.1,MIN(0.3,0.3-0.09*(AQ189-36.8)))/2)</f>
        <v/>
      </c>
      <c r="AS189">
        <f>MAX(0.1,MIN(0.3,0.3-0.09*(AR189-36.8)))</f>
        <v/>
      </c>
      <c r="AT189">
        <f>AT188+(2*AR189-1.962*AT188-1.31)/9</f>
        <v/>
      </c>
      <c r="AU189">
        <f>AU188+AG189+K189</f>
        <v/>
      </c>
      <c r="AV189">
        <f>AU189*2.67*$B$6/1.8/60</f>
        <v/>
      </c>
      <c r="AW189">
        <f>IF(AT189&gt;=$B$36,1,0)</f>
        <v/>
      </c>
      <c r="AX189">
        <f>IF(AV189&gt;=$B$21,1,0)</f>
        <v/>
      </c>
    </row>
    <row r="190">
      <c r="A190" t="n">
        <v>117</v>
      </c>
      <c r="B190">
        <f>MATCH(A190-1,$D$61:$D$68,1)</f>
        <v/>
      </c>
      <c r="C190">
        <f>INDEX($G$61:$G$68,B190)</f>
        <v/>
      </c>
      <c r="D190">
        <f>INDEX($L$61:$L$68,B190)</f>
        <v/>
      </c>
      <c r="E190">
        <f>INDEX($M$61:$M$68,B190)</f>
        <v/>
      </c>
      <c r="F190">
        <f>INDEX($N$61:$N$68,B190)</f>
        <v/>
      </c>
      <c r="G190">
        <f>INDEX($AA$61:$AA$68,B190)</f>
        <v/>
      </c>
      <c r="H190">
        <f>INDEX($X$61:$X$68,B190)</f>
        <v/>
      </c>
      <c r="I190">
        <f>INDEX($AF$61:$AF$68,B190)</f>
        <v/>
      </c>
      <c r="J190">
        <f>INDEX($AC$61:$AC$68,B190)</f>
        <v/>
      </c>
      <c r="K190">
        <f>INDEX($AD$61:$AD$68,B190)</f>
        <v/>
      </c>
      <c r="L190">
        <f>INDEX($AG$61:$AG$68,B190)</f>
        <v/>
      </c>
      <c r="M190">
        <f>INDEX($AH$61:$AH$68,B190)</f>
        <v/>
      </c>
      <c r="N190">
        <f>INDEX($AI$61:$AI$68,B190)</f>
        <v/>
      </c>
      <c r="O190">
        <f>O189*$B$26+L190*(1-$B$26)</f>
        <v/>
      </c>
      <c r="P190">
        <f>$B$7*(O190-O189)*(1-AS189)</f>
        <v/>
      </c>
      <c r="Q190">
        <f>M190+0.51274*AT189</f>
        <v/>
      </c>
      <c r="R190">
        <f>N190+0.616*AT189</f>
        <v/>
      </c>
      <c r="S190">
        <f>IF($B$13&gt;=0.6,Q190,IF($B$13&lt;=0.2,R190,R190+2.5*(Q190-R190)*($B$13-0.2)))</f>
        <v/>
      </c>
      <c r="T190">
        <f>IF(A190=1,S190,T189*$B$27+S190*(1-$B$27))</f>
        <v/>
      </c>
      <c r="U190">
        <f>0.6105*EXP(17.27*T190/(T190+237.3))</f>
        <v/>
      </c>
      <c r="V190">
        <f>($B$14*(I190*C190+IF(ABS((D190+0.1)-D190)&lt;0.000000001,4*$B$19*$B$20*(D190+273)^3,$B$19*$B$20*(((D190+0.1)+273)^4-(D190+273)^4)/((D190+0.1)-D190))*D190)+T190/H190)/($B$14*(I190+IF(ABS((D190+0.1)-D190)&lt;0.000000001,4*$B$19*$B$20*(D190+273)^3,$B$19*$B$20*(((D190+0.1)+273)^4-(D190+273)^4)/((D190+0.1)-D190)))+1/H190)</f>
        <v/>
      </c>
      <c r="W190">
        <f>($B$14*(I190*C190+IF(ABS(V190-D190)&lt;0.000000001,4*$B$19*$B$20*(D190+273)^3,$B$19*$B$20*((V190+273)^4-(D190+273)^4)/(V190-D190))*D190)+T190/H190)/($B$14*(I190+IF(ABS(V190-D190)&lt;0.000000001,4*$B$19*$B$20*(D190+273)^3,$B$19*$B$20*((V190+273)^4-(D190+273)^4)/(V190-D190)))+1/H190)</f>
        <v/>
      </c>
      <c r="X190">
        <f>($B$14*(I190*C190+IF(ABS(W190-D190)&lt;0.000000001,4*$B$19*$B$20*(D190+273)^3,$B$19*$B$20*((W190+273)^4-(D190+273)^4)/(W190-D190))*D190)+T190/H190)/($B$14*(I190+IF(ABS(W190-D190)&lt;0.000000001,4*$B$19*$B$20*(D190+273)^3,$B$19*$B$20*((W190+273)^4-(D190+273)^4)/(W190-D190)))+1/H190)</f>
        <v/>
      </c>
      <c r="Y190">
        <f>($B$14*(I190*C190+IF(ABS(X190-D190)&lt;0.000000001,4*$B$19*$B$20*(D190+273)^3,$B$19*$B$20*((X190+273)^4-(D190+273)^4)/(X190-D190))*D190)+T190/H190)/($B$14*(I190+IF(ABS(X190-D190)&lt;0.000000001,4*$B$19*$B$20*(D190+273)^3,$B$19*$B$20*((X190+273)^4-(D190+273)^4)/(X190-D190)))+1/H190)</f>
        <v/>
      </c>
      <c r="Z190">
        <f>IF(ABS(Y190-D190)&lt;0.000000001,4*$B$19*$B$20*(D190+273)^3,$B$19*$B$20*((Y190+273)^4-(D190+273)^4)/(Y190-D190))</f>
        <v/>
      </c>
      <c r="AA190">
        <f>$B$14*I190*(Y190-C190)</f>
        <v/>
      </c>
      <c r="AB190">
        <f>$B$14*Z190*(Y190-D190)</f>
        <v/>
      </c>
      <c r="AC190">
        <f>IF((U190-E190)/G190=0,0.001,(U190-E190)/G190)</f>
        <v/>
      </c>
      <c r="AD190">
        <f>F190-P190-J190-K190-AA190-AB190</f>
        <v/>
      </c>
      <c r="AE190">
        <f>AD190/AC190</f>
        <v/>
      </c>
      <c r="AF190">
        <f>IF(AD190&lt;=0,0,IF(AC190&lt;=0,$B$11,IF(AE190&gt;=1.7,$B$11,MIN(AD190/MAX(0.05,IF(AE190&gt;1,(2-AE190)^2/2,1-AE190^2/2)),$B$11))))</f>
        <v/>
      </c>
      <c r="AG190">
        <f>AG189*$B$28+AF190*(1-$B$28)</f>
        <v/>
      </c>
      <c r="AH190">
        <f>IF(AND(AD190&gt;0,AC190&lt;=0),0,AC190)</f>
        <v/>
      </c>
      <c r="AI190">
        <f>AH190/MAX(AG190,0.000001)</f>
        <v/>
      </c>
      <c r="AJ190">
        <f>MIN(IF(AI190&gt;=0.5,-AI190+SQRT(AI190^2+2),1),$B$12)</f>
        <v/>
      </c>
      <c r="AK190">
        <f>IF(AG190&lt;=0,0,AJ190*AH190)</f>
        <v/>
      </c>
      <c r="AL190">
        <f>IF(AD190&lt;=0,0,AD190)</f>
        <v/>
      </c>
      <c r="AM190">
        <f>AL190-AK190+P190</f>
        <v/>
      </c>
      <c r="AN190">
        <f>((AM190/$B$7+T189*AS189/2-T190*MAX(0.1,MIN(0.3,0.3-0.09*(AR189-36.8)))/2)+AR189*(1-AS189/2))/(1-MAX(0.1,MIN(0.3,0.3-0.09*(AR189-36.8)))/2)</f>
        <v/>
      </c>
      <c r="AO190">
        <f>((AM190/$B$7+T189*AS189/2-T190*MAX(0.1,MIN(0.3,0.3-0.09*(AN190-36.8)))/2)+AR189*(1-AS189/2))/(1-MAX(0.1,MIN(0.3,0.3-0.09*(AN190-36.8)))/2)</f>
        <v/>
      </c>
      <c r="AP190">
        <f>((AM190/$B$7+T189*AS189/2-T190*MAX(0.1,MIN(0.3,0.3-0.09*(AO190-36.8)))/2)+AR189*(1-AS189/2))/(1-MAX(0.1,MIN(0.3,0.3-0.09*(AO190-36.8)))/2)</f>
        <v/>
      </c>
      <c r="AQ190">
        <f>((AM190/$B$7+T189*AS189/2-T190*MAX(0.1,MIN(0.3,0.3-0.09*(AP190-36.8)))/2)+AR189*(1-AS189/2))/(1-MAX(0.1,MIN(0.3,0.3-0.09*(AP190-36.8)))/2)</f>
        <v/>
      </c>
      <c r="AR190">
        <f>((AM190/$B$7+T189*AS189/2-T190*MAX(0.1,MIN(0.3,0.3-0.09*(AQ190-36.8)))/2)+AR189*(1-AS189/2))/(1-MAX(0.1,MIN(0.3,0.3-0.09*(AQ190-36.8)))/2)</f>
        <v/>
      </c>
      <c r="AS190">
        <f>MAX(0.1,MIN(0.3,0.3-0.09*(AR190-36.8)))</f>
        <v/>
      </c>
      <c r="AT190">
        <f>AT189+(2*AR190-1.962*AT189-1.31)/9</f>
        <v/>
      </c>
      <c r="AU190">
        <f>AU189+AG190+K190</f>
        <v/>
      </c>
      <c r="AV190">
        <f>AU190*2.67*$B$6/1.8/60</f>
        <v/>
      </c>
      <c r="AW190">
        <f>IF(AT190&gt;=$B$36,1,0)</f>
        <v/>
      </c>
      <c r="AX190">
        <f>IF(AV190&gt;=$B$21,1,0)</f>
        <v/>
      </c>
    </row>
    <row r="191">
      <c r="A191" t="n">
        <v>118</v>
      </c>
      <c r="B191">
        <f>MATCH(A191-1,$D$61:$D$68,1)</f>
        <v/>
      </c>
      <c r="C191">
        <f>INDEX($G$61:$G$68,B191)</f>
        <v/>
      </c>
      <c r="D191">
        <f>INDEX($L$61:$L$68,B191)</f>
        <v/>
      </c>
      <c r="E191">
        <f>INDEX($M$61:$M$68,B191)</f>
        <v/>
      </c>
      <c r="F191">
        <f>INDEX($N$61:$N$68,B191)</f>
        <v/>
      </c>
      <c r="G191">
        <f>INDEX($AA$61:$AA$68,B191)</f>
        <v/>
      </c>
      <c r="H191">
        <f>INDEX($X$61:$X$68,B191)</f>
        <v/>
      </c>
      <c r="I191">
        <f>INDEX($AF$61:$AF$68,B191)</f>
        <v/>
      </c>
      <c r="J191">
        <f>INDEX($AC$61:$AC$68,B191)</f>
        <v/>
      </c>
      <c r="K191">
        <f>INDEX($AD$61:$AD$68,B191)</f>
        <v/>
      </c>
      <c r="L191">
        <f>INDEX($AG$61:$AG$68,B191)</f>
        <v/>
      </c>
      <c r="M191">
        <f>INDEX($AH$61:$AH$68,B191)</f>
        <v/>
      </c>
      <c r="N191">
        <f>INDEX($AI$61:$AI$68,B191)</f>
        <v/>
      </c>
      <c r="O191">
        <f>O190*$B$26+L191*(1-$B$26)</f>
        <v/>
      </c>
      <c r="P191">
        <f>$B$7*(O191-O190)*(1-AS190)</f>
        <v/>
      </c>
      <c r="Q191">
        <f>M191+0.51274*AT190</f>
        <v/>
      </c>
      <c r="R191">
        <f>N191+0.616*AT190</f>
        <v/>
      </c>
      <c r="S191">
        <f>IF($B$13&gt;=0.6,Q191,IF($B$13&lt;=0.2,R191,R191+2.5*(Q191-R191)*($B$13-0.2)))</f>
        <v/>
      </c>
      <c r="T191">
        <f>IF(A191=1,S191,T190*$B$27+S191*(1-$B$27))</f>
        <v/>
      </c>
      <c r="U191">
        <f>0.6105*EXP(17.27*T191/(T191+237.3))</f>
        <v/>
      </c>
      <c r="V191">
        <f>($B$14*(I191*C191+IF(ABS((D191+0.1)-D191)&lt;0.000000001,4*$B$19*$B$20*(D191+273)^3,$B$19*$B$20*(((D191+0.1)+273)^4-(D191+273)^4)/((D191+0.1)-D191))*D191)+T191/H191)/($B$14*(I191+IF(ABS((D191+0.1)-D191)&lt;0.000000001,4*$B$19*$B$20*(D191+273)^3,$B$19*$B$20*(((D191+0.1)+273)^4-(D191+273)^4)/((D191+0.1)-D191)))+1/H191)</f>
        <v/>
      </c>
      <c r="W191">
        <f>($B$14*(I191*C191+IF(ABS(V191-D191)&lt;0.000000001,4*$B$19*$B$20*(D191+273)^3,$B$19*$B$20*((V191+273)^4-(D191+273)^4)/(V191-D191))*D191)+T191/H191)/($B$14*(I191+IF(ABS(V191-D191)&lt;0.000000001,4*$B$19*$B$20*(D191+273)^3,$B$19*$B$20*((V191+273)^4-(D191+273)^4)/(V191-D191)))+1/H191)</f>
        <v/>
      </c>
      <c r="X191">
        <f>($B$14*(I191*C191+IF(ABS(W191-D191)&lt;0.000000001,4*$B$19*$B$20*(D191+273)^3,$B$19*$B$20*((W191+273)^4-(D191+273)^4)/(W191-D191))*D191)+T191/H191)/($B$14*(I191+IF(ABS(W191-D191)&lt;0.000000001,4*$B$19*$B$20*(D191+273)^3,$B$19*$B$20*((W191+273)^4-(D191+273)^4)/(W191-D191)))+1/H191)</f>
        <v/>
      </c>
      <c r="Y191">
        <f>($B$14*(I191*C191+IF(ABS(X191-D191)&lt;0.000000001,4*$B$19*$B$20*(D191+273)^3,$B$19*$B$20*((X191+273)^4-(D191+273)^4)/(X191-D191))*D191)+T191/H191)/($B$14*(I191+IF(ABS(X191-D191)&lt;0.000000001,4*$B$19*$B$20*(D191+273)^3,$B$19*$B$20*((X191+273)^4-(D191+273)^4)/(X191-D191)))+1/H191)</f>
        <v/>
      </c>
      <c r="Z191">
        <f>IF(ABS(Y191-D191)&lt;0.000000001,4*$B$19*$B$20*(D191+273)^3,$B$19*$B$20*((Y191+273)^4-(D191+273)^4)/(Y191-D191))</f>
        <v/>
      </c>
      <c r="AA191">
        <f>$B$14*I191*(Y191-C191)</f>
        <v/>
      </c>
      <c r="AB191">
        <f>$B$14*Z191*(Y191-D191)</f>
        <v/>
      </c>
      <c r="AC191">
        <f>IF((U191-E191)/G191=0,0.001,(U191-E191)/G191)</f>
        <v/>
      </c>
      <c r="AD191">
        <f>F191-P191-J191-K191-AA191-AB191</f>
        <v/>
      </c>
      <c r="AE191">
        <f>AD191/AC191</f>
        <v/>
      </c>
      <c r="AF191">
        <f>IF(AD191&lt;=0,0,IF(AC191&lt;=0,$B$11,IF(AE191&gt;=1.7,$B$11,MIN(AD191/MAX(0.05,IF(AE191&gt;1,(2-AE191)^2/2,1-AE191^2/2)),$B$11))))</f>
        <v/>
      </c>
      <c r="AG191">
        <f>AG190*$B$28+AF191*(1-$B$28)</f>
        <v/>
      </c>
      <c r="AH191">
        <f>IF(AND(AD191&gt;0,AC191&lt;=0),0,AC191)</f>
        <v/>
      </c>
      <c r="AI191">
        <f>AH191/MAX(AG191,0.000001)</f>
        <v/>
      </c>
      <c r="AJ191">
        <f>MIN(IF(AI191&gt;=0.5,-AI191+SQRT(AI191^2+2),1),$B$12)</f>
        <v/>
      </c>
      <c r="AK191">
        <f>IF(AG191&lt;=0,0,AJ191*AH191)</f>
        <v/>
      </c>
      <c r="AL191">
        <f>IF(AD191&lt;=0,0,AD191)</f>
        <v/>
      </c>
      <c r="AM191">
        <f>AL191-AK191+P191</f>
        <v/>
      </c>
      <c r="AN191">
        <f>((AM191/$B$7+T190*AS190/2-T191*MAX(0.1,MIN(0.3,0.3-0.09*(AR190-36.8)))/2)+AR190*(1-AS190/2))/(1-MAX(0.1,MIN(0.3,0.3-0.09*(AR190-36.8)))/2)</f>
        <v/>
      </c>
      <c r="AO191">
        <f>((AM191/$B$7+T190*AS190/2-T191*MAX(0.1,MIN(0.3,0.3-0.09*(AN191-36.8)))/2)+AR190*(1-AS190/2))/(1-MAX(0.1,MIN(0.3,0.3-0.09*(AN191-36.8)))/2)</f>
        <v/>
      </c>
      <c r="AP191">
        <f>((AM191/$B$7+T190*AS190/2-T191*MAX(0.1,MIN(0.3,0.3-0.09*(AO191-36.8)))/2)+AR190*(1-AS190/2))/(1-MAX(0.1,MIN(0.3,0.3-0.09*(AO191-36.8)))/2)</f>
        <v/>
      </c>
      <c r="AQ191">
        <f>((AM191/$B$7+T190*AS190/2-T191*MAX(0.1,MIN(0.3,0.3-0.09*(AP191-36.8)))/2)+AR190*(1-AS190/2))/(1-MAX(0.1,MIN(0.3,0.3-0.09*(AP191-36.8)))/2)</f>
        <v/>
      </c>
      <c r="AR191">
        <f>((AM191/$B$7+T190*AS190/2-T191*MAX(0.1,MIN(0.3,0.3-0.09*(AQ191-36.8)))/2)+AR190*(1-AS190/2))/(1-MAX(0.1,MIN(0.3,0.3-0.09*(AQ191-36.8)))/2)</f>
        <v/>
      </c>
      <c r="AS191">
        <f>MAX(0.1,MIN(0.3,0.3-0.09*(AR191-36.8)))</f>
        <v/>
      </c>
      <c r="AT191">
        <f>AT190+(2*AR191-1.962*AT190-1.31)/9</f>
        <v/>
      </c>
      <c r="AU191">
        <f>AU190+AG191+K191</f>
        <v/>
      </c>
      <c r="AV191">
        <f>AU191*2.67*$B$6/1.8/60</f>
        <v/>
      </c>
      <c r="AW191">
        <f>IF(AT191&gt;=$B$36,1,0)</f>
        <v/>
      </c>
      <c r="AX191">
        <f>IF(AV191&gt;=$B$21,1,0)</f>
        <v/>
      </c>
    </row>
    <row r="192">
      <c r="A192" t="n">
        <v>119</v>
      </c>
      <c r="B192">
        <f>MATCH(A192-1,$D$61:$D$68,1)</f>
        <v/>
      </c>
      <c r="C192">
        <f>INDEX($G$61:$G$68,B192)</f>
        <v/>
      </c>
      <c r="D192">
        <f>INDEX($L$61:$L$68,B192)</f>
        <v/>
      </c>
      <c r="E192">
        <f>INDEX($M$61:$M$68,B192)</f>
        <v/>
      </c>
      <c r="F192">
        <f>INDEX($N$61:$N$68,B192)</f>
        <v/>
      </c>
      <c r="G192">
        <f>INDEX($AA$61:$AA$68,B192)</f>
        <v/>
      </c>
      <c r="H192">
        <f>INDEX($X$61:$X$68,B192)</f>
        <v/>
      </c>
      <c r="I192">
        <f>INDEX($AF$61:$AF$68,B192)</f>
        <v/>
      </c>
      <c r="J192">
        <f>INDEX($AC$61:$AC$68,B192)</f>
        <v/>
      </c>
      <c r="K192">
        <f>INDEX($AD$61:$AD$68,B192)</f>
        <v/>
      </c>
      <c r="L192">
        <f>INDEX($AG$61:$AG$68,B192)</f>
        <v/>
      </c>
      <c r="M192">
        <f>INDEX($AH$61:$AH$68,B192)</f>
        <v/>
      </c>
      <c r="N192">
        <f>INDEX($AI$61:$AI$68,B192)</f>
        <v/>
      </c>
      <c r="O192">
        <f>O191*$B$26+L192*(1-$B$26)</f>
        <v/>
      </c>
      <c r="P192">
        <f>$B$7*(O192-O191)*(1-AS191)</f>
        <v/>
      </c>
      <c r="Q192">
        <f>M192+0.51274*AT191</f>
        <v/>
      </c>
      <c r="R192">
        <f>N192+0.616*AT191</f>
        <v/>
      </c>
      <c r="S192">
        <f>IF($B$13&gt;=0.6,Q192,IF($B$13&lt;=0.2,R192,R192+2.5*(Q192-R192)*($B$13-0.2)))</f>
        <v/>
      </c>
      <c r="T192">
        <f>IF(A192=1,S192,T191*$B$27+S192*(1-$B$27))</f>
        <v/>
      </c>
      <c r="U192">
        <f>0.6105*EXP(17.27*T192/(T192+237.3))</f>
        <v/>
      </c>
      <c r="V192">
        <f>($B$14*(I192*C192+IF(ABS((D192+0.1)-D192)&lt;0.000000001,4*$B$19*$B$20*(D192+273)^3,$B$19*$B$20*(((D192+0.1)+273)^4-(D192+273)^4)/((D192+0.1)-D192))*D192)+T192/H192)/($B$14*(I192+IF(ABS((D192+0.1)-D192)&lt;0.000000001,4*$B$19*$B$20*(D192+273)^3,$B$19*$B$20*(((D192+0.1)+273)^4-(D192+273)^4)/((D192+0.1)-D192)))+1/H192)</f>
        <v/>
      </c>
      <c r="W192">
        <f>($B$14*(I192*C192+IF(ABS(V192-D192)&lt;0.000000001,4*$B$19*$B$20*(D192+273)^3,$B$19*$B$20*((V192+273)^4-(D192+273)^4)/(V192-D192))*D192)+T192/H192)/($B$14*(I192+IF(ABS(V192-D192)&lt;0.000000001,4*$B$19*$B$20*(D192+273)^3,$B$19*$B$20*((V192+273)^4-(D192+273)^4)/(V192-D192)))+1/H192)</f>
        <v/>
      </c>
      <c r="X192">
        <f>($B$14*(I192*C192+IF(ABS(W192-D192)&lt;0.000000001,4*$B$19*$B$20*(D192+273)^3,$B$19*$B$20*((W192+273)^4-(D192+273)^4)/(W192-D192))*D192)+T192/H192)/($B$14*(I192+IF(ABS(W192-D192)&lt;0.000000001,4*$B$19*$B$20*(D192+273)^3,$B$19*$B$20*((W192+273)^4-(D192+273)^4)/(W192-D192)))+1/H192)</f>
        <v/>
      </c>
      <c r="Y192">
        <f>($B$14*(I192*C192+IF(ABS(X192-D192)&lt;0.000000001,4*$B$19*$B$20*(D192+273)^3,$B$19*$B$20*((X192+273)^4-(D192+273)^4)/(X192-D192))*D192)+T192/H192)/($B$14*(I192+IF(ABS(X192-D192)&lt;0.000000001,4*$B$19*$B$20*(D192+273)^3,$B$19*$B$20*((X192+273)^4-(D192+273)^4)/(X192-D192)))+1/H192)</f>
        <v/>
      </c>
      <c r="Z192">
        <f>IF(ABS(Y192-D192)&lt;0.000000001,4*$B$19*$B$20*(D192+273)^3,$B$19*$B$20*((Y192+273)^4-(D192+273)^4)/(Y192-D192))</f>
        <v/>
      </c>
      <c r="AA192">
        <f>$B$14*I192*(Y192-C192)</f>
        <v/>
      </c>
      <c r="AB192">
        <f>$B$14*Z192*(Y192-D192)</f>
        <v/>
      </c>
      <c r="AC192">
        <f>IF((U192-E192)/G192=0,0.001,(U192-E192)/G192)</f>
        <v/>
      </c>
      <c r="AD192">
        <f>F192-P192-J192-K192-AA192-AB192</f>
        <v/>
      </c>
      <c r="AE192">
        <f>AD192/AC192</f>
        <v/>
      </c>
      <c r="AF192">
        <f>IF(AD192&lt;=0,0,IF(AC192&lt;=0,$B$11,IF(AE192&gt;=1.7,$B$11,MIN(AD192/MAX(0.05,IF(AE192&gt;1,(2-AE192)^2/2,1-AE192^2/2)),$B$11))))</f>
        <v/>
      </c>
      <c r="AG192">
        <f>AG191*$B$28+AF192*(1-$B$28)</f>
        <v/>
      </c>
      <c r="AH192">
        <f>IF(AND(AD192&gt;0,AC192&lt;=0),0,AC192)</f>
        <v/>
      </c>
      <c r="AI192">
        <f>AH192/MAX(AG192,0.000001)</f>
        <v/>
      </c>
      <c r="AJ192">
        <f>MIN(IF(AI192&gt;=0.5,-AI192+SQRT(AI192^2+2),1),$B$12)</f>
        <v/>
      </c>
      <c r="AK192">
        <f>IF(AG192&lt;=0,0,AJ192*AH192)</f>
        <v/>
      </c>
      <c r="AL192">
        <f>IF(AD192&lt;=0,0,AD192)</f>
        <v/>
      </c>
      <c r="AM192">
        <f>AL192-AK192+P192</f>
        <v/>
      </c>
      <c r="AN192">
        <f>((AM192/$B$7+T191*AS191/2-T192*MAX(0.1,MIN(0.3,0.3-0.09*(AR191-36.8)))/2)+AR191*(1-AS191/2))/(1-MAX(0.1,MIN(0.3,0.3-0.09*(AR191-36.8)))/2)</f>
        <v/>
      </c>
      <c r="AO192">
        <f>((AM192/$B$7+T191*AS191/2-T192*MAX(0.1,MIN(0.3,0.3-0.09*(AN192-36.8)))/2)+AR191*(1-AS191/2))/(1-MAX(0.1,MIN(0.3,0.3-0.09*(AN192-36.8)))/2)</f>
        <v/>
      </c>
      <c r="AP192">
        <f>((AM192/$B$7+T191*AS191/2-T192*MAX(0.1,MIN(0.3,0.3-0.09*(AO192-36.8)))/2)+AR191*(1-AS191/2))/(1-MAX(0.1,MIN(0.3,0.3-0.09*(AO192-36.8)))/2)</f>
        <v/>
      </c>
      <c r="AQ192">
        <f>((AM192/$B$7+T191*AS191/2-T192*MAX(0.1,MIN(0.3,0.3-0.09*(AP192-36.8)))/2)+AR191*(1-AS191/2))/(1-MAX(0.1,MIN(0.3,0.3-0.09*(AP192-36.8)))/2)</f>
        <v/>
      </c>
      <c r="AR192">
        <f>((AM192/$B$7+T191*AS191/2-T192*MAX(0.1,MIN(0.3,0.3-0.09*(AQ192-36.8)))/2)+AR191*(1-AS191/2))/(1-MAX(0.1,MIN(0.3,0.3-0.09*(AQ192-36.8)))/2)</f>
        <v/>
      </c>
      <c r="AS192">
        <f>MAX(0.1,MIN(0.3,0.3-0.09*(AR192-36.8)))</f>
        <v/>
      </c>
      <c r="AT192">
        <f>AT191+(2*AR192-1.962*AT191-1.31)/9</f>
        <v/>
      </c>
      <c r="AU192">
        <f>AU191+AG192+K192</f>
        <v/>
      </c>
      <c r="AV192">
        <f>AU192*2.67*$B$6/1.8/60</f>
        <v/>
      </c>
      <c r="AW192">
        <f>IF(AT192&gt;=$B$36,1,0)</f>
        <v/>
      </c>
      <c r="AX192">
        <f>IF(AV192&gt;=$B$21,1,0)</f>
        <v/>
      </c>
    </row>
    <row r="193">
      <c r="A193" t="n">
        <v>120</v>
      </c>
      <c r="B193">
        <f>MATCH(A193-1,$D$61:$D$68,1)</f>
        <v/>
      </c>
      <c r="C193">
        <f>INDEX($G$61:$G$68,B193)</f>
        <v/>
      </c>
      <c r="D193">
        <f>INDEX($L$61:$L$68,B193)</f>
        <v/>
      </c>
      <c r="E193">
        <f>INDEX($M$61:$M$68,B193)</f>
        <v/>
      </c>
      <c r="F193">
        <f>INDEX($N$61:$N$68,B193)</f>
        <v/>
      </c>
      <c r="G193">
        <f>INDEX($AA$61:$AA$68,B193)</f>
        <v/>
      </c>
      <c r="H193">
        <f>INDEX($X$61:$X$68,B193)</f>
        <v/>
      </c>
      <c r="I193">
        <f>INDEX($AF$61:$AF$68,B193)</f>
        <v/>
      </c>
      <c r="J193">
        <f>INDEX($AC$61:$AC$68,B193)</f>
        <v/>
      </c>
      <c r="K193">
        <f>INDEX($AD$61:$AD$68,B193)</f>
        <v/>
      </c>
      <c r="L193">
        <f>INDEX($AG$61:$AG$68,B193)</f>
        <v/>
      </c>
      <c r="M193">
        <f>INDEX($AH$61:$AH$68,B193)</f>
        <v/>
      </c>
      <c r="N193">
        <f>INDEX($AI$61:$AI$68,B193)</f>
        <v/>
      </c>
      <c r="O193">
        <f>O192*$B$26+L193*(1-$B$26)</f>
        <v/>
      </c>
      <c r="P193">
        <f>$B$7*(O193-O192)*(1-AS192)</f>
        <v/>
      </c>
      <c r="Q193">
        <f>M193+0.51274*AT192</f>
        <v/>
      </c>
      <c r="R193">
        <f>N193+0.616*AT192</f>
        <v/>
      </c>
      <c r="S193">
        <f>IF($B$13&gt;=0.6,Q193,IF($B$13&lt;=0.2,R193,R193+2.5*(Q193-R193)*($B$13-0.2)))</f>
        <v/>
      </c>
      <c r="T193">
        <f>IF(A193=1,S193,T192*$B$27+S193*(1-$B$27))</f>
        <v/>
      </c>
      <c r="U193">
        <f>0.6105*EXP(17.27*T193/(T193+237.3))</f>
        <v/>
      </c>
      <c r="V193">
        <f>($B$14*(I193*C193+IF(ABS((D193+0.1)-D193)&lt;0.000000001,4*$B$19*$B$20*(D193+273)^3,$B$19*$B$20*(((D193+0.1)+273)^4-(D193+273)^4)/((D193+0.1)-D193))*D193)+T193/H193)/($B$14*(I193+IF(ABS((D193+0.1)-D193)&lt;0.000000001,4*$B$19*$B$20*(D193+273)^3,$B$19*$B$20*(((D193+0.1)+273)^4-(D193+273)^4)/((D193+0.1)-D193)))+1/H193)</f>
        <v/>
      </c>
      <c r="W193">
        <f>($B$14*(I193*C193+IF(ABS(V193-D193)&lt;0.000000001,4*$B$19*$B$20*(D193+273)^3,$B$19*$B$20*((V193+273)^4-(D193+273)^4)/(V193-D193))*D193)+T193/H193)/($B$14*(I193+IF(ABS(V193-D193)&lt;0.000000001,4*$B$19*$B$20*(D193+273)^3,$B$19*$B$20*((V193+273)^4-(D193+273)^4)/(V193-D193)))+1/H193)</f>
        <v/>
      </c>
      <c r="X193">
        <f>($B$14*(I193*C193+IF(ABS(W193-D193)&lt;0.000000001,4*$B$19*$B$20*(D193+273)^3,$B$19*$B$20*((W193+273)^4-(D193+273)^4)/(W193-D193))*D193)+T193/H193)/($B$14*(I193+IF(ABS(W193-D193)&lt;0.000000001,4*$B$19*$B$20*(D193+273)^3,$B$19*$B$20*((W193+273)^4-(D193+273)^4)/(W193-D193)))+1/H193)</f>
        <v/>
      </c>
      <c r="Y193">
        <f>($B$14*(I193*C193+IF(ABS(X193-D193)&lt;0.000000001,4*$B$19*$B$20*(D193+273)^3,$B$19*$B$20*((X193+273)^4-(D193+273)^4)/(X193-D193))*D193)+T193/H193)/($B$14*(I193+IF(ABS(X193-D193)&lt;0.000000001,4*$B$19*$B$20*(D193+273)^3,$B$19*$B$20*((X193+273)^4-(D193+273)^4)/(X193-D193)))+1/H193)</f>
        <v/>
      </c>
      <c r="Z193">
        <f>IF(ABS(Y193-D193)&lt;0.000000001,4*$B$19*$B$20*(D193+273)^3,$B$19*$B$20*((Y193+273)^4-(D193+273)^4)/(Y193-D193))</f>
        <v/>
      </c>
      <c r="AA193">
        <f>$B$14*I193*(Y193-C193)</f>
        <v/>
      </c>
      <c r="AB193">
        <f>$B$14*Z193*(Y193-D193)</f>
        <v/>
      </c>
      <c r="AC193">
        <f>IF((U193-E193)/G193=0,0.001,(U193-E193)/G193)</f>
        <v/>
      </c>
      <c r="AD193">
        <f>F193-P193-J193-K193-AA193-AB193</f>
        <v/>
      </c>
      <c r="AE193">
        <f>AD193/AC193</f>
        <v/>
      </c>
      <c r="AF193">
        <f>IF(AD193&lt;=0,0,IF(AC193&lt;=0,$B$11,IF(AE193&gt;=1.7,$B$11,MIN(AD193/MAX(0.05,IF(AE193&gt;1,(2-AE193)^2/2,1-AE193^2/2)),$B$11))))</f>
        <v/>
      </c>
      <c r="AG193">
        <f>AG192*$B$28+AF193*(1-$B$28)</f>
        <v/>
      </c>
      <c r="AH193">
        <f>IF(AND(AD193&gt;0,AC193&lt;=0),0,AC193)</f>
        <v/>
      </c>
      <c r="AI193">
        <f>AH193/MAX(AG193,0.000001)</f>
        <v/>
      </c>
      <c r="AJ193">
        <f>MIN(IF(AI193&gt;=0.5,-AI193+SQRT(AI193^2+2),1),$B$12)</f>
        <v/>
      </c>
      <c r="AK193">
        <f>IF(AG193&lt;=0,0,AJ193*AH193)</f>
        <v/>
      </c>
      <c r="AL193">
        <f>IF(AD193&lt;=0,0,AD193)</f>
        <v/>
      </c>
      <c r="AM193">
        <f>AL193-AK193+P193</f>
        <v/>
      </c>
      <c r="AN193">
        <f>((AM193/$B$7+T192*AS192/2-T193*MAX(0.1,MIN(0.3,0.3-0.09*(AR192-36.8)))/2)+AR192*(1-AS192/2))/(1-MAX(0.1,MIN(0.3,0.3-0.09*(AR192-36.8)))/2)</f>
        <v/>
      </c>
      <c r="AO193">
        <f>((AM193/$B$7+T192*AS192/2-T193*MAX(0.1,MIN(0.3,0.3-0.09*(AN193-36.8)))/2)+AR192*(1-AS192/2))/(1-MAX(0.1,MIN(0.3,0.3-0.09*(AN193-36.8)))/2)</f>
        <v/>
      </c>
      <c r="AP193">
        <f>((AM193/$B$7+T192*AS192/2-T193*MAX(0.1,MIN(0.3,0.3-0.09*(AO193-36.8)))/2)+AR192*(1-AS192/2))/(1-MAX(0.1,MIN(0.3,0.3-0.09*(AO193-36.8)))/2)</f>
        <v/>
      </c>
      <c r="AQ193">
        <f>((AM193/$B$7+T192*AS192/2-T193*MAX(0.1,MIN(0.3,0.3-0.09*(AP193-36.8)))/2)+AR192*(1-AS192/2))/(1-MAX(0.1,MIN(0.3,0.3-0.09*(AP193-36.8)))/2)</f>
        <v/>
      </c>
      <c r="AR193">
        <f>((AM193/$B$7+T192*AS192/2-T193*MAX(0.1,MIN(0.3,0.3-0.09*(AQ193-36.8)))/2)+AR192*(1-AS192/2))/(1-MAX(0.1,MIN(0.3,0.3-0.09*(AQ193-36.8)))/2)</f>
        <v/>
      </c>
      <c r="AS193">
        <f>MAX(0.1,MIN(0.3,0.3-0.09*(AR193-36.8)))</f>
        <v/>
      </c>
      <c r="AT193">
        <f>AT192+(2*AR193-1.962*AT192-1.31)/9</f>
        <v/>
      </c>
      <c r="AU193">
        <f>AU192+AG193+K193</f>
        <v/>
      </c>
      <c r="AV193">
        <f>AU193*2.67*$B$6/1.8/60</f>
        <v/>
      </c>
      <c r="AW193">
        <f>IF(AT193&gt;=$B$36,1,0)</f>
        <v/>
      </c>
      <c r="AX193">
        <f>IF(AV193&gt;=$B$21,1,0)</f>
        <v/>
      </c>
    </row>
    <row r="194">
      <c r="A194" t="n">
        <v>121</v>
      </c>
      <c r="B194">
        <f>MATCH(A194-1,$D$61:$D$68,1)</f>
        <v/>
      </c>
      <c r="C194">
        <f>INDEX($G$61:$G$68,B194)</f>
        <v/>
      </c>
      <c r="D194">
        <f>INDEX($L$61:$L$68,B194)</f>
        <v/>
      </c>
      <c r="E194">
        <f>INDEX($M$61:$M$68,B194)</f>
        <v/>
      </c>
      <c r="F194">
        <f>INDEX($N$61:$N$68,B194)</f>
        <v/>
      </c>
      <c r="G194">
        <f>INDEX($AA$61:$AA$68,B194)</f>
        <v/>
      </c>
      <c r="H194">
        <f>INDEX($X$61:$X$68,B194)</f>
        <v/>
      </c>
      <c r="I194">
        <f>INDEX($AF$61:$AF$68,B194)</f>
        <v/>
      </c>
      <c r="J194">
        <f>INDEX($AC$61:$AC$68,B194)</f>
        <v/>
      </c>
      <c r="K194">
        <f>INDEX($AD$61:$AD$68,B194)</f>
        <v/>
      </c>
      <c r="L194">
        <f>INDEX($AG$61:$AG$68,B194)</f>
        <v/>
      </c>
      <c r="M194">
        <f>INDEX($AH$61:$AH$68,B194)</f>
        <v/>
      </c>
      <c r="N194">
        <f>INDEX($AI$61:$AI$68,B194)</f>
        <v/>
      </c>
      <c r="O194">
        <f>O193*$B$26+L194*(1-$B$26)</f>
        <v/>
      </c>
      <c r="P194">
        <f>$B$7*(O194-O193)*(1-AS193)</f>
        <v/>
      </c>
      <c r="Q194">
        <f>M194+0.51274*AT193</f>
        <v/>
      </c>
      <c r="R194">
        <f>N194+0.616*AT193</f>
        <v/>
      </c>
      <c r="S194">
        <f>IF($B$13&gt;=0.6,Q194,IF($B$13&lt;=0.2,R194,R194+2.5*(Q194-R194)*($B$13-0.2)))</f>
        <v/>
      </c>
      <c r="T194">
        <f>IF(A194=1,S194,T193*$B$27+S194*(1-$B$27))</f>
        <v/>
      </c>
      <c r="U194">
        <f>0.6105*EXP(17.27*T194/(T194+237.3))</f>
        <v/>
      </c>
      <c r="V194">
        <f>($B$14*(I194*C194+IF(ABS((D194+0.1)-D194)&lt;0.000000001,4*$B$19*$B$20*(D194+273)^3,$B$19*$B$20*(((D194+0.1)+273)^4-(D194+273)^4)/((D194+0.1)-D194))*D194)+T194/H194)/($B$14*(I194+IF(ABS((D194+0.1)-D194)&lt;0.000000001,4*$B$19*$B$20*(D194+273)^3,$B$19*$B$20*(((D194+0.1)+273)^4-(D194+273)^4)/((D194+0.1)-D194)))+1/H194)</f>
        <v/>
      </c>
      <c r="W194">
        <f>($B$14*(I194*C194+IF(ABS(V194-D194)&lt;0.000000001,4*$B$19*$B$20*(D194+273)^3,$B$19*$B$20*((V194+273)^4-(D194+273)^4)/(V194-D194))*D194)+T194/H194)/($B$14*(I194+IF(ABS(V194-D194)&lt;0.000000001,4*$B$19*$B$20*(D194+273)^3,$B$19*$B$20*((V194+273)^4-(D194+273)^4)/(V194-D194)))+1/H194)</f>
        <v/>
      </c>
      <c r="X194">
        <f>($B$14*(I194*C194+IF(ABS(W194-D194)&lt;0.000000001,4*$B$19*$B$20*(D194+273)^3,$B$19*$B$20*((W194+273)^4-(D194+273)^4)/(W194-D194))*D194)+T194/H194)/($B$14*(I194+IF(ABS(W194-D194)&lt;0.000000001,4*$B$19*$B$20*(D194+273)^3,$B$19*$B$20*((W194+273)^4-(D194+273)^4)/(W194-D194)))+1/H194)</f>
        <v/>
      </c>
      <c r="Y194">
        <f>($B$14*(I194*C194+IF(ABS(X194-D194)&lt;0.000000001,4*$B$19*$B$20*(D194+273)^3,$B$19*$B$20*((X194+273)^4-(D194+273)^4)/(X194-D194))*D194)+T194/H194)/($B$14*(I194+IF(ABS(X194-D194)&lt;0.000000001,4*$B$19*$B$20*(D194+273)^3,$B$19*$B$20*((X194+273)^4-(D194+273)^4)/(X194-D194)))+1/H194)</f>
        <v/>
      </c>
      <c r="Z194">
        <f>IF(ABS(Y194-D194)&lt;0.000000001,4*$B$19*$B$20*(D194+273)^3,$B$19*$B$20*((Y194+273)^4-(D194+273)^4)/(Y194-D194))</f>
        <v/>
      </c>
      <c r="AA194">
        <f>$B$14*I194*(Y194-C194)</f>
        <v/>
      </c>
      <c r="AB194">
        <f>$B$14*Z194*(Y194-D194)</f>
        <v/>
      </c>
      <c r="AC194">
        <f>IF((U194-E194)/G194=0,0.001,(U194-E194)/G194)</f>
        <v/>
      </c>
      <c r="AD194">
        <f>F194-P194-J194-K194-AA194-AB194</f>
        <v/>
      </c>
      <c r="AE194">
        <f>AD194/AC194</f>
        <v/>
      </c>
      <c r="AF194">
        <f>IF(AD194&lt;=0,0,IF(AC194&lt;=0,$B$11,IF(AE194&gt;=1.7,$B$11,MIN(AD194/MAX(0.05,IF(AE194&gt;1,(2-AE194)^2/2,1-AE194^2/2)),$B$11))))</f>
        <v/>
      </c>
      <c r="AG194">
        <f>AG193*$B$28+AF194*(1-$B$28)</f>
        <v/>
      </c>
      <c r="AH194">
        <f>IF(AND(AD194&gt;0,AC194&lt;=0),0,AC194)</f>
        <v/>
      </c>
      <c r="AI194">
        <f>AH194/MAX(AG194,0.000001)</f>
        <v/>
      </c>
      <c r="AJ194">
        <f>MIN(IF(AI194&gt;=0.5,-AI194+SQRT(AI194^2+2),1),$B$12)</f>
        <v/>
      </c>
      <c r="AK194">
        <f>IF(AG194&lt;=0,0,AJ194*AH194)</f>
        <v/>
      </c>
      <c r="AL194">
        <f>IF(AD194&lt;=0,0,AD194)</f>
        <v/>
      </c>
      <c r="AM194">
        <f>AL194-AK194+P194</f>
        <v/>
      </c>
      <c r="AN194">
        <f>((AM194/$B$7+T193*AS193/2-T194*MAX(0.1,MIN(0.3,0.3-0.09*(AR193-36.8)))/2)+AR193*(1-AS193/2))/(1-MAX(0.1,MIN(0.3,0.3-0.09*(AR193-36.8)))/2)</f>
        <v/>
      </c>
      <c r="AO194">
        <f>((AM194/$B$7+T193*AS193/2-T194*MAX(0.1,MIN(0.3,0.3-0.09*(AN194-36.8)))/2)+AR193*(1-AS193/2))/(1-MAX(0.1,MIN(0.3,0.3-0.09*(AN194-36.8)))/2)</f>
        <v/>
      </c>
      <c r="AP194">
        <f>((AM194/$B$7+T193*AS193/2-T194*MAX(0.1,MIN(0.3,0.3-0.09*(AO194-36.8)))/2)+AR193*(1-AS193/2))/(1-MAX(0.1,MIN(0.3,0.3-0.09*(AO194-36.8)))/2)</f>
        <v/>
      </c>
      <c r="AQ194">
        <f>((AM194/$B$7+T193*AS193/2-T194*MAX(0.1,MIN(0.3,0.3-0.09*(AP194-36.8)))/2)+AR193*(1-AS193/2))/(1-MAX(0.1,MIN(0.3,0.3-0.09*(AP194-36.8)))/2)</f>
        <v/>
      </c>
      <c r="AR194">
        <f>((AM194/$B$7+T193*AS193/2-T194*MAX(0.1,MIN(0.3,0.3-0.09*(AQ194-36.8)))/2)+AR193*(1-AS193/2))/(1-MAX(0.1,MIN(0.3,0.3-0.09*(AQ194-36.8)))/2)</f>
        <v/>
      </c>
      <c r="AS194">
        <f>MAX(0.1,MIN(0.3,0.3-0.09*(AR194-36.8)))</f>
        <v/>
      </c>
      <c r="AT194">
        <f>AT193+(2*AR194-1.962*AT193-1.31)/9</f>
        <v/>
      </c>
      <c r="AU194">
        <f>AU193+AG194+K194</f>
        <v/>
      </c>
      <c r="AV194">
        <f>AU194*2.67*$B$6/1.8/60</f>
        <v/>
      </c>
      <c r="AW194">
        <f>IF(AT194&gt;=$B$36,1,0)</f>
        <v/>
      </c>
      <c r="AX194">
        <f>IF(AV194&gt;=$B$21,1,0)</f>
        <v/>
      </c>
    </row>
    <row r="195">
      <c r="A195" t="n">
        <v>122</v>
      </c>
      <c r="B195">
        <f>MATCH(A195-1,$D$61:$D$68,1)</f>
        <v/>
      </c>
      <c r="C195">
        <f>INDEX($G$61:$G$68,B195)</f>
        <v/>
      </c>
      <c r="D195">
        <f>INDEX($L$61:$L$68,B195)</f>
        <v/>
      </c>
      <c r="E195">
        <f>INDEX($M$61:$M$68,B195)</f>
        <v/>
      </c>
      <c r="F195">
        <f>INDEX($N$61:$N$68,B195)</f>
        <v/>
      </c>
      <c r="G195">
        <f>INDEX($AA$61:$AA$68,B195)</f>
        <v/>
      </c>
      <c r="H195">
        <f>INDEX($X$61:$X$68,B195)</f>
        <v/>
      </c>
      <c r="I195">
        <f>INDEX($AF$61:$AF$68,B195)</f>
        <v/>
      </c>
      <c r="J195">
        <f>INDEX($AC$61:$AC$68,B195)</f>
        <v/>
      </c>
      <c r="K195">
        <f>INDEX($AD$61:$AD$68,B195)</f>
        <v/>
      </c>
      <c r="L195">
        <f>INDEX($AG$61:$AG$68,B195)</f>
        <v/>
      </c>
      <c r="M195">
        <f>INDEX($AH$61:$AH$68,B195)</f>
        <v/>
      </c>
      <c r="N195">
        <f>INDEX($AI$61:$AI$68,B195)</f>
        <v/>
      </c>
      <c r="O195">
        <f>O194*$B$26+L195*(1-$B$26)</f>
        <v/>
      </c>
      <c r="P195">
        <f>$B$7*(O195-O194)*(1-AS194)</f>
        <v/>
      </c>
      <c r="Q195">
        <f>M195+0.51274*AT194</f>
        <v/>
      </c>
      <c r="R195">
        <f>N195+0.616*AT194</f>
        <v/>
      </c>
      <c r="S195">
        <f>IF($B$13&gt;=0.6,Q195,IF($B$13&lt;=0.2,R195,R195+2.5*(Q195-R195)*($B$13-0.2)))</f>
        <v/>
      </c>
      <c r="T195">
        <f>IF(A195=1,S195,T194*$B$27+S195*(1-$B$27))</f>
        <v/>
      </c>
      <c r="U195">
        <f>0.6105*EXP(17.27*T195/(T195+237.3))</f>
        <v/>
      </c>
      <c r="V195">
        <f>($B$14*(I195*C195+IF(ABS((D195+0.1)-D195)&lt;0.000000001,4*$B$19*$B$20*(D195+273)^3,$B$19*$B$20*(((D195+0.1)+273)^4-(D195+273)^4)/((D195+0.1)-D195))*D195)+T195/H195)/($B$14*(I195+IF(ABS((D195+0.1)-D195)&lt;0.000000001,4*$B$19*$B$20*(D195+273)^3,$B$19*$B$20*(((D195+0.1)+273)^4-(D195+273)^4)/((D195+0.1)-D195)))+1/H195)</f>
        <v/>
      </c>
      <c r="W195">
        <f>($B$14*(I195*C195+IF(ABS(V195-D195)&lt;0.000000001,4*$B$19*$B$20*(D195+273)^3,$B$19*$B$20*((V195+273)^4-(D195+273)^4)/(V195-D195))*D195)+T195/H195)/($B$14*(I195+IF(ABS(V195-D195)&lt;0.000000001,4*$B$19*$B$20*(D195+273)^3,$B$19*$B$20*((V195+273)^4-(D195+273)^4)/(V195-D195)))+1/H195)</f>
        <v/>
      </c>
      <c r="X195">
        <f>($B$14*(I195*C195+IF(ABS(W195-D195)&lt;0.000000001,4*$B$19*$B$20*(D195+273)^3,$B$19*$B$20*((W195+273)^4-(D195+273)^4)/(W195-D195))*D195)+T195/H195)/($B$14*(I195+IF(ABS(W195-D195)&lt;0.000000001,4*$B$19*$B$20*(D195+273)^3,$B$19*$B$20*((W195+273)^4-(D195+273)^4)/(W195-D195)))+1/H195)</f>
        <v/>
      </c>
      <c r="Y195">
        <f>($B$14*(I195*C195+IF(ABS(X195-D195)&lt;0.000000001,4*$B$19*$B$20*(D195+273)^3,$B$19*$B$20*((X195+273)^4-(D195+273)^4)/(X195-D195))*D195)+T195/H195)/($B$14*(I195+IF(ABS(X195-D195)&lt;0.000000001,4*$B$19*$B$20*(D195+273)^3,$B$19*$B$20*((X195+273)^4-(D195+273)^4)/(X195-D195)))+1/H195)</f>
        <v/>
      </c>
      <c r="Z195">
        <f>IF(ABS(Y195-D195)&lt;0.000000001,4*$B$19*$B$20*(D195+273)^3,$B$19*$B$20*((Y195+273)^4-(D195+273)^4)/(Y195-D195))</f>
        <v/>
      </c>
      <c r="AA195">
        <f>$B$14*I195*(Y195-C195)</f>
        <v/>
      </c>
      <c r="AB195">
        <f>$B$14*Z195*(Y195-D195)</f>
        <v/>
      </c>
      <c r="AC195">
        <f>IF((U195-E195)/G195=0,0.001,(U195-E195)/G195)</f>
        <v/>
      </c>
      <c r="AD195">
        <f>F195-P195-J195-K195-AA195-AB195</f>
        <v/>
      </c>
      <c r="AE195">
        <f>AD195/AC195</f>
        <v/>
      </c>
      <c r="AF195">
        <f>IF(AD195&lt;=0,0,IF(AC195&lt;=0,$B$11,IF(AE195&gt;=1.7,$B$11,MIN(AD195/MAX(0.05,IF(AE195&gt;1,(2-AE195)^2/2,1-AE195^2/2)),$B$11))))</f>
        <v/>
      </c>
      <c r="AG195">
        <f>AG194*$B$28+AF195*(1-$B$28)</f>
        <v/>
      </c>
      <c r="AH195">
        <f>IF(AND(AD195&gt;0,AC195&lt;=0),0,AC195)</f>
        <v/>
      </c>
      <c r="AI195">
        <f>AH195/MAX(AG195,0.000001)</f>
        <v/>
      </c>
      <c r="AJ195">
        <f>MIN(IF(AI195&gt;=0.5,-AI195+SQRT(AI195^2+2),1),$B$12)</f>
        <v/>
      </c>
      <c r="AK195">
        <f>IF(AG195&lt;=0,0,AJ195*AH195)</f>
        <v/>
      </c>
      <c r="AL195">
        <f>IF(AD195&lt;=0,0,AD195)</f>
        <v/>
      </c>
      <c r="AM195">
        <f>AL195-AK195+P195</f>
        <v/>
      </c>
      <c r="AN195">
        <f>((AM195/$B$7+T194*AS194/2-T195*MAX(0.1,MIN(0.3,0.3-0.09*(AR194-36.8)))/2)+AR194*(1-AS194/2))/(1-MAX(0.1,MIN(0.3,0.3-0.09*(AR194-36.8)))/2)</f>
        <v/>
      </c>
      <c r="AO195">
        <f>((AM195/$B$7+T194*AS194/2-T195*MAX(0.1,MIN(0.3,0.3-0.09*(AN195-36.8)))/2)+AR194*(1-AS194/2))/(1-MAX(0.1,MIN(0.3,0.3-0.09*(AN195-36.8)))/2)</f>
        <v/>
      </c>
      <c r="AP195">
        <f>((AM195/$B$7+T194*AS194/2-T195*MAX(0.1,MIN(0.3,0.3-0.09*(AO195-36.8)))/2)+AR194*(1-AS194/2))/(1-MAX(0.1,MIN(0.3,0.3-0.09*(AO195-36.8)))/2)</f>
        <v/>
      </c>
      <c r="AQ195">
        <f>((AM195/$B$7+T194*AS194/2-T195*MAX(0.1,MIN(0.3,0.3-0.09*(AP195-36.8)))/2)+AR194*(1-AS194/2))/(1-MAX(0.1,MIN(0.3,0.3-0.09*(AP195-36.8)))/2)</f>
        <v/>
      </c>
      <c r="AR195">
        <f>((AM195/$B$7+T194*AS194/2-T195*MAX(0.1,MIN(0.3,0.3-0.09*(AQ195-36.8)))/2)+AR194*(1-AS194/2))/(1-MAX(0.1,MIN(0.3,0.3-0.09*(AQ195-36.8)))/2)</f>
        <v/>
      </c>
      <c r="AS195">
        <f>MAX(0.1,MIN(0.3,0.3-0.09*(AR195-36.8)))</f>
        <v/>
      </c>
      <c r="AT195">
        <f>AT194+(2*AR195-1.962*AT194-1.31)/9</f>
        <v/>
      </c>
      <c r="AU195">
        <f>AU194+AG195+K195</f>
        <v/>
      </c>
      <c r="AV195">
        <f>AU195*2.67*$B$6/1.8/60</f>
        <v/>
      </c>
      <c r="AW195">
        <f>IF(AT195&gt;=$B$36,1,0)</f>
        <v/>
      </c>
      <c r="AX195">
        <f>IF(AV195&gt;=$B$21,1,0)</f>
        <v/>
      </c>
    </row>
    <row r="196">
      <c r="A196" t="n">
        <v>123</v>
      </c>
      <c r="B196">
        <f>MATCH(A196-1,$D$61:$D$68,1)</f>
        <v/>
      </c>
      <c r="C196">
        <f>INDEX($G$61:$G$68,B196)</f>
        <v/>
      </c>
      <c r="D196">
        <f>INDEX($L$61:$L$68,B196)</f>
        <v/>
      </c>
      <c r="E196">
        <f>INDEX($M$61:$M$68,B196)</f>
        <v/>
      </c>
      <c r="F196">
        <f>INDEX($N$61:$N$68,B196)</f>
        <v/>
      </c>
      <c r="G196">
        <f>INDEX($AA$61:$AA$68,B196)</f>
        <v/>
      </c>
      <c r="H196">
        <f>INDEX($X$61:$X$68,B196)</f>
        <v/>
      </c>
      <c r="I196">
        <f>INDEX($AF$61:$AF$68,B196)</f>
        <v/>
      </c>
      <c r="J196">
        <f>INDEX($AC$61:$AC$68,B196)</f>
        <v/>
      </c>
      <c r="K196">
        <f>INDEX($AD$61:$AD$68,B196)</f>
        <v/>
      </c>
      <c r="L196">
        <f>INDEX($AG$61:$AG$68,B196)</f>
        <v/>
      </c>
      <c r="M196">
        <f>INDEX($AH$61:$AH$68,B196)</f>
        <v/>
      </c>
      <c r="N196">
        <f>INDEX($AI$61:$AI$68,B196)</f>
        <v/>
      </c>
      <c r="O196">
        <f>O195*$B$26+L196*(1-$B$26)</f>
        <v/>
      </c>
      <c r="P196">
        <f>$B$7*(O196-O195)*(1-AS195)</f>
        <v/>
      </c>
      <c r="Q196">
        <f>M196+0.51274*AT195</f>
        <v/>
      </c>
      <c r="R196">
        <f>N196+0.616*AT195</f>
        <v/>
      </c>
      <c r="S196">
        <f>IF($B$13&gt;=0.6,Q196,IF($B$13&lt;=0.2,R196,R196+2.5*(Q196-R196)*($B$13-0.2)))</f>
        <v/>
      </c>
      <c r="T196">
        <f>IF(A196=1,S196,T195*$B$27+S196*(1-$B$27))</f>
        <v/>
      </c>
      <c r="U196">
        <f>0.6105*EXP(17.27*T196/(T196+237.3))</f>
        <v/>
      </c>
      <c r="V196">
        <f>($B$14*(I196*C196+IF(ABS((D196+0.1)-D196)&lt;0.000000001,4*$B$19*$B$20*(D196+273)^3,$B$19*$B$20*(((D196+0.1)+273)^4-(D196+273)^4)/((D196+0.1)-D196))*D196)+T196/H196)/($B$14*(I196+IF(ABS((D196+0.1)-D196)&lt;0.000000001,4*$B$19*$B$20*(D196+273)^3,$B$19*$B$20*(((D196+0.1)+273)^4-(D196+273)^4)/((D196+0.1)-D196)))+1/H196)</f>
        <v/>
      </c>
      <c r="W196">
        <f>($B$14*(I196*C196+IF(ABS(V196-D196)&lt;0.000000001,4*$B$19*$B$20*(D196+273)^3,$B$19*$B$20*((V196+273)^4-(D196+273)^4)/(V196-D196))*D196)+T196/H196)/($B$14*(I196+IF(ABS(V196-D196)&lt;0.000000001,4*$B$19*$B$20*(D196+273)^3,$B$19*$B$20*((V196+273)^4-(D196+273)^4)/(V196-D196)))+1/H196)</f>
        <v/>
      </c>
      <c r="X196">
        <f>($B$14*(I196*C196+IF(ABS(W196-D196)&lt;0.000000001,4*$B$19*$B$20*(D196+273)^3,$B$19*$B$20*((W196+273)^4-(D196+273)^4)/(W196-D196))*D196)+T196/H196)/($B$14*(I196+IF(ABS(W196-D196)&lt;0.000000001,4*$B$19*$B$20*(D196+273)^3,$B$19*$B$20*((W196+273)^4-(D196+273)^4)/(W196-D196)))+1/H196)</f>
        <v/>
      </c>
      <c r="Y196">
        <f>($B$14*(I196*C196+IF(ABS(X196-D196)&lt;0.000000001,4*$B$19*$B$20*(D196+273)^3,$B$19*$B$20*((X196+273)^4-(D196+273)^4)/(X196-D196))*D196)+T196/H196)/($B$14*(I196+IF(ABS(X196-D196)&lt;0.000000001,4*$B$19*$B$20*(D196+273)^3,$B$19*$B$20*((X196+273)^4-(D196+273)^4)/(X196-D196)))+1/H196)</f>
        <v/>
      </c>
      <c r="Z196">
        <f>IF(ABS(Y196-D196)&lt;0.000000001,4*$B$19*$B$20*(D196+273)^3,$B$19*$B$20*((Y196+273)^4-(D196+273)^4)/(Y196-D196))</f>
        <v/>
      </c>
      <c r="AA196">
        <f>$B$14*I196*(Y196-C196)</f>
        <v/>
      </c>
      <c r="AB196">
        <f>$B$14*Z196*(Y196-D196)</f>
        <v/>
      </c>
      <c r="AC196">
        <f>IF((U196-E196)/G196=0,0.001,(U196-E196)/G196)</f>
        <v/>
      </c>
      <c r="AD196">
        <f>F196-P196-J196-K196-AA196-AB196</f>
        <v/>
      </c>
      <c r="AE196">
        <f>AD196/AC196</f>
        <v/>
      </c>
      <c r="AF196">
        <f>IF(AD196&lt;=0,0,IF(AC196&lt;=0,$B$11,IF(AE196&gt;=1.7,$B$11,MIN(AD196/MAX(0.05,IF(AE196&gt;1,(2-AE196)^2/2,1-AE196^2/2)),$B$11))))</f>
        <v/>
      </c>
      <c r="AG196">
        <f>AG195*$B$28+AF196*(1-$B$28)</f>
        <v/>
      </c>
      <c r="AH196">
        <f>IF(AND(AD196&gt;0,AC196&lt;=0),0,AC196)</f>
        <v/>
      </c>
      <c r="AI196">
        <f>AH196/MAX(AG196,0.000001)</f>
        <v/>
      </c>
      <c r="AJ196">
        <f>MIN(IF(AI196&gt;=0.5,-AI196+SQRT(AI196^2+2),1),$B$12)</f>
        <v/>
      </c>
      <c r="AK196">
        <f>IF(AG196&lt;=0,0,AJ196*AH196)</f>
        <v/>
      </c>
      <c r="AL196">
        <f>IF(AD196&lt;=0,0,AD196)</f>
        <v/>
      </c>
      <c r="AM196">
        <f>AL196-AK196+P196</f>
        <v/>
      </c>
      <c r="AN196">
        <f>((AM196/$B$7+T195*AS195/2-T196*MAX(0.1,MIN(0.3,0.3-0.09*(AR195-36.8)))/2)+AR195*(1-AS195/2))/(1-MAX(0.1,MIN(0.3,0.3-0.09*(AR195-36.8)))/2)</f>
        <v/>
      </c>
      <c r="AO196">
        <f>((AM196/$B$7+T195*AS195/2-T196*MAX(0.1,MIN(0.3,0.3-0.09*(AN196-36.8)))/2)+AR195*(1-AS195/2))/(1-MAX(0.1,MIN(0.3,0.3-0.09*(AN196-36.8)))/2)</f>
        <v/>
      </c>
      <c r="AP196">
        <f>((AM196/$B$7+T195*AS195/2-T196*MAX(0.1,MIN(0.3,0.3-0.09*(AO196-36.8)))/2)+AR195*(1-AS195/2))/(1-MAX(0.1,MIN(0.3,0.3-0.09*(AO196-36.8)))/2)</f>
        <v/>
      </c>
      <c r="AQ196">
        <f>((AM196/$B$7+T195*AS195/2-T196*MAX(0.1,MIN(0.3,0.3-0.09*(AP196-36.8)))/2)+AR195*(1-AS195/2))/(1-MAX(0.1,MIN(0.3,0.3-0.09*(AP196-36.8)))/2)</f>
        <v/>
      </c>
      <c r="AR196">
        <f>((AM196/$B$7+T195*AS195/2-T196*MAX(0.1,MIN(0.3,0.3-0.09*(AQ196-36.8)))/2)+AR195*(1-AS195/2))/(1-MAX(0.1,MIN(0.3,0.3-0.09*(AQ196-36.8)))/2)</f>
        <v/>
      </c>
      <c r="AS196">
        <f>MAX(0.1,MIN(0.3,0.3-0.09*(AR196-36.8)))</f>
        <v/>
      </c>
      <c r="AT196">
        <f>AT195+(2*AR196-1.962*AT195-1.31)/9</f>
        <v/>
      </c>
      <c r="AU196">
        <f>AU195+AG196+K196</f>
        <v/>
      </c>
      <c r="AV196">
        <f>AU196*2.67*$B$6/1.8/60</f>
        <v/>
      </c>
      <c r="AW196">
        <f>IF(AT196&gt;=$B$36,1,0)</f>
        <v/>
      </c>
      <c r="AX196">
        <f>IF(AV196&gt;=$B$21,1,0)</f>
        <v/>
      </c>
    </row>
    <row r="197">
      <c r="A197" t="n">
        <v>124</v>
      </c>
      <c r="B197">
        <f>MATCH(A197-1,$D$61:$D$68,1)</f>
        <v/>
      </c>
      <c r="C197">
        <f>INDEX($G$61:$G$68,B197)</f>
        <v/>
      </c>
      <c r="D197">
        <f>INDEX($L$61:$L$68,B197)</f>
        <v/>
      </c>
      <c r="E197">
        <f>INDEX($M$61:$M$68,B197)</f>
        <v/>
      </c>
      <c r="F197">
        <f>INDEX($N$61:$N$68,B197)</f>
        <v/>
      </c>
      <c r="G197">
        <f>INDEX($AA$61:$AA$68,B197)</f>
        <v/>
      </c>
      <c r="H197">
        <f>INDEX($X$61:$X$68,B197)</f>
        <v/>
      </c>
      <c r="I197">
        <f>INDEX($AF$61:$AF$68,B197)</f>
        <v/>
      </c>
      <c r="J197">
        <f>INDEX($AC$61:$AC$68,B197)</f>
        <v/>
      </c>
      <c r="K197">
        <f>INDEX($AD$61:$AD$68,B197)</f>
        <v/>
      </c>
      <c r="L197">
        <f>INDEX($AG$61:$AG$68,B197)</f>
        <v/>
      </c>
      <c r="M197">
        <f>INDEX($AH$61:$AH$68,B197)</f>
        <v/>
      </c>
      <c r="N197">
        <f>INDEX($AI$61:$AI$68,B197)</f>
        <v/>
      </c>
      <c r="O197">
        <f>O196*$B$26+L197*(1-$B$26)</f>
        <v/>
      </c>
      <c r="P197">
        <f>$B$7*(O197-O196)*(1-AS196)</f>
        <v/>
      </c>
      <c r="Q197">
        <f>M197+0.51274*AT196</f>
        <v/>
      </c>
      <c r="R197">
        <f>N197+0.616*AT196</f>
        <v/>
      </c>
      <c r="S197">
        <f>IF($B$13&gt;=0.6,Q197,IF($B$13&lt;=0.2,R197,R197+2.5*(Q197-R197)*($B$13-0.2)))</f>
        <v/>
      </c>
      <c r="T197">
        <f>IF(A197=1,S197,T196*$B$27+S197*(1-$B$27))</f>
        <v/>
      </c>
      <c r="U197">
        <f>0.6105*EXP(17.27*T197/(T197+237.3))</f>
        <v/>
      </c>
      <c r="V197">
        <f>($B$14*(I197*C197+IF(ABS((D197+0.1)-D197)&lt;0.000000001,4*$B$19*$B$20*(D197+273)^3,$B$19*$B$20*(((D197+0.1)+273)^4-(D197+273)^4)/((D197+0.1)-D197))*D197)+T197/H197)/($B$14*(I197+IF(ABS((D197+0.1)-D197)&lt;0.000000001,4*$B$19*$B$20*(D197+273)^3,$B$19*$B$20*(((D197+0.1)+273)^4-(D197+273)^4)/((D197+0.1)-D197)))+1/H197)</f>
        <v/>
      </c>
      <c r="W197">
        <f>($B$14*(I197*C197+IF(ABS(V197-D197)&lt;0.000000001,4*$B$19*$B$20*(D197+273)^3,$B$19*$B$20*((V197+273)^4-(D197+273)^4)/(V197-D197))*D197)+T197/H197)/($B$14*(I197+IF(ABS(V197-D197)&lt;0.000000001,4*$B$19*$B$20*(D197+273)^3,$B$19*$B$20*((V197+273)^4-(D197+273)^4)/(V197-D197)))+1/H197)</f>
        <v/>
      </c>
      <c r="X197">
        <f>($B$14*(I197*C197+IF(ABS(W197-D197)&lt;0.000000001,4*$B$19*$B$20*(D197+273)^3,$B$19*$B$20*((W197+273)^4-(D197+273)^4)/(W197-D197))*D197)+T197/H197)/($B$14*(I197+IF(ABS(W197-D197)&lt;0.000000001,4*$B$19*$B$20*(D197+273)^3,$B$19*$B$20*((W197+273)^4-(D197+273)^4)/(W197-D197)))+1/H197)</f>
        <v/>
      </c>
      <c r="Y197">
        <f>($B$14*(I197*C197+IF(ABS(X197-D197)&lt;0.000000001,4*$B$19*$B$20*(D197+273)^3,$B$19*$B$20*((X197+273)^4-(D197+273)^4)/(X197-D197))*D197)+T197/H197)/($B$14*(I197+IF(ABS(X197-D197)&lt;0.000000001,4*$B$19*$B$20*(D197+273)^3,$B$19*$B$20*((X197+273)^4-(D197+273)^4)/(X197-D197)))+1/H197)</f>
        <v/>
      </c>
      <c r="Z197">
        <f>IF(ABS(Y197-D197)&lt;0.000000001,4*$B$19*$B$20*(D197+273)^3,$B$19*$B$20*((Y197+273)^4-(D197+273)^4)/(Y197-D197))</f>
        <v/>
      </c>
      <c r="AA197">
        <f>$B$14*I197*(Y197-C197)</f>
        <v/>
      </c>
      <c r="AB197">
        <f>$B$14*Z197*(Y197-D197)</f>
        <v/>
      </c>
      <c r="AC197">
        <f>IF((U197-E197)/G197=0,0.001,(U197-E197)/G197)</f>
        <v/>
      </c>
      <c r="AD197">
        <f>F197-P197-J197-K197-AA197-AB197</f>
        <v/>
      </c>
      <c r="AE197">
        <f>AD197/AC197</f>
        <v/>
      </c>
      <c r="AF197">
        <f>IF(AD197&lt;=0,0,IF(AC197&lt;=0,$B$11,IF(AE197&gt;=1.7,$B$11,MIN(AD197/MAX(0.05,IF(AE197&gt;1,(2-AE197)^2/2,1-AE197^2/2)),$B$11))))</f>
        <v/>
      </c>
      <c r="AG197">
        <f>AG196*$B$28+AF197*(1-$B$28)</f>
        <v/>
      </c>
      <c r="AH197">
        <f>IF(AND(AD197&gt;0,AC197&lt;=0),0,AC197)</f>
        <v/>
      </c>
      <c r="AI197">
        <f>AH197/MAX(AG197,0.000001)</f>
        <v/>
      </c>
      <c r="AJ197">
        <f>MIN(IF(AI197&gt;=0.5,-AI197+SQRT(AI197^2+2),1),$B$12)</f>
        <v/>
      </c>
      <c r="AK197">
        <f>IF(AG197&lt;=0,0,AJ197*AH197)</f>
        <v/>
      </c>
      <c r="AL197">
        <f>IF(AD197&lt;=0,0,AD197)</f>
        <v/>
      </c>
      <c r="AM197">
        <f>AL197-AK197+P197</f>
        <v/>
      </c>
      <c r="AN197">
        <f>((AM197/$B$7+T196*AS196/2-T197*MAX(0.1,MIN(0.3,0.3-0.09*(AR196-36.8)))/2)+AR196*(1-AS196/2))/(1-MAX(0.1,MIN(0.3,0.3-0.09*(AR196-36.8)))/2)</f>
        <v/>
      </c>
      <c r="AO197">
        <f>((AM197/$B$7+T196*AS196/2-T197*MAX(0.1,MIN(0.3,0.3-0.09*(AN197-36.8)))/2)+AR196*(1-AS196/2))/(1-MAX(0.1,MIN(0.3,0.3-0.09*(AN197-36.8)))/2)</f>
        <v/>
      </c>
      <c r="AP197">
        <f>((AM197/$B$7+T196*AS196/2-T197*MAX(0.1,MIN(0.3,0.3-0.09*(AO197-36.8)))/2)+AR196*(1-AS196/2))/(1-MAX(0.1,MIN(0.3,0.3-0.09*(AO197-36.8)))/2)</f>
        <v/>
      </c>
      <c r="AQ197">
        <f>((AM197/$B$7+T196*AS196/2-T197*MAX(0.1,MIN(0.3,0.3-0.09*(AP197-36.8)))/2)+AR196*(1-AS196/2))/(1-MAX(0.1,MIN(0.3,0.3-0.09*(AP197-36.8)))/2)</f>
        <v/>
      </c>
      <c r="AR197">
        <f>((AM197/$B$7+T196*AS196/2-T197*MAX(0.1,MIN(0.3,0.3-0.09*(AQ197-36.8)))/2)+AR196*(1-AS196/2))/(1-MAX(0.1,MIN(0.3,0.3-0.09*(AQ197-36.8)))/2)</f>
        <v/>
      </c>
      <c r="AS197">
        <f>MAX(0.1,MIN(0.3,0.3-0.09*(AR197-36.8)))</f>
        <v/>
      </c>
      <c r="AT197">
        <f>AT196+(2*AR197-1.962*AT196-1.31)/9</f>
        <v/>
      </c>
      <c r="AU197">
        <f>AU196+AG197+K197</f>
        <v/>
      </c>
      <c r="AV197">
        <f>AU197*2.67*$B$6/1.8/60</f>
        <v/>
      </c>
      <c r="AW197">
        <f>IF(AT197&gt;=$B$36,1,0)</f>
        <v/>
      </c>
      <c r="AX197">
        <f>IF(AV197&gt;=$B$21,1,0)</f>
        <v/>
      </c>
    </row>
    <row r="198">
      <c r="A198" t="n">
        <v>125</v>
      </c>
      <c r="B198">
        <f>MATCH(A198-1,$D$61:$D$68,1)</f>
        <v/>
      </c>
      <c r="C198">
        <f>INDEX($G$61:$G$68,B198)</f>
        <v/>
      </c>
      <c r="D198">
        <f>INDEX($L$61:$L$68,B198)</f>
        <v/>
      </c>
      <c r="E198">
        <f>INDEX($M$61:$M$68,B198)</f>
        <v/>
      </c>
      <c r="F198">
        <f>INDEX($N$61:$N$68,B198)</f>
        <v/>
      </c>
      <c r="G198">
        <f>INDEX($AA$61:$AA$68,B198)</f>
        <v/>
      </c>
      <c r="H198">
        <f>INDEX($X$61:$X$68,B198)</f>
        <v/>
      </c>
      <c r="I198">
        <f>INDEX($AF$61:$AF$68,B198)</f>
        <v/>
      </c>
      <c r="J198">
        <f>INDEX($AC$61:$AC$68,B198)</f>
        <v/>
      </c>
      <c r="K198">
        <f>INDEX($AD$61:$AD$68,B198)</f>
        <v/>
      </c>
      <c r="L198">
        <f>INDEX($AG$61:$AG$68,B198)</f>
        <v/>
      </c>
      <c r="M198">
        <f>INDEX($AH$61:$AH$68,B198)</f>
        <v/>
      </c>
      <c r="N198">
        <f>INDEX($AI$61:$AI$68,B198)</f>
        <v/>
      </c>
      <c r="O198">
        <f>O197*$B$26+L198*(1-$B$26)</f>
        <v/>
      </c>
      <c r="P198">
        <f>$B$7*(O198-O197)*(1-AS197)</f>
        <v/>
      </c>
      <c r="Q198">
        <f>M198+0.51274*AT197</f>
        <v/>
      </c>
      <c r="R198">
        <f>N198+0.616*AT197</f>
        <v/>
      </c>
      <c r="S198">
        <f>IF($B$13&gt;=0.6,Q198,IF($B$13&lt;=0.2,R198,R198+2.5*(Q198-R198)*($B$13-0.2)))</f>
        <v/>
      </c>
      <c r="T198">
        <f>IF(A198=1,S198,T197*$B$27+S198*(1-$B$27))</f>
        <v/>
      </c>
      <c r="U198">
        <f>0.6105*EXP(17.27*T198/(T198+237.3))</f>
        <v/>
      </c>
      <c r="V198">
        <f>($B$14*(I198*C198+IF(ABS((D198+0.1)-D198)&lt;0.000000001,4*$B$19*$B$20*(D198+273)^3,$B$19*$B$20*(((D198+0.1)+273)^4-(D198+273)^4)/((D198+0.1)-D198))*D198)+T198/H198)/($B$14*(I198+IF(ABS((D198+0.1)-D198)&lt;0.000000001,4*$B$19*$B$20*(D198+273)^3,$B$19*$B$20*(((D198+0.1)+273)^4-(D198+273)^4)/((D198+0.1)-D198)))+1/H198)</f>
        <v/>
      </c>
      <c r="W198">
        <f>($B$14*(I198*C198+IF(ABS(V198-D198)&lt;0.000000001,4*$B$19*$B$20*(D198+273)^3,$B$19*$B$20*((V198+273)^4-(D198+273)^4)/(V198-D198))*D198)+T198/H198)/($B$14*(I198+IF(ABS(V198-D198)&lt;0.000000001,4*$B$19*$B$20*(D198+273)^3,$B$19*$B$20*((V198+273)^4-(D198+273)^4)/(V198-D198)))+1/H198)</f>
        <v/>
      </c>
      <c r="X198">
        <f>($B$14*(I198*C198+IF(ABS(W198-D198)&lt;0.000000001,4*$B$19*$B$20*(D198+273)^3,$B$19*$B$20*((W198+273)^4-(D198+273)^4)/(W198-D198))*D198)+T198/H198)/($B$14*(I198+IF(ABS(W198-D198)&lt;0.000000001,4*$B$19*$B$20*(D198+273)^3,$B$19*$B$20*((W198+273)^4-(D198+273)^4)/(W198-D198)))+1/H198)</f>
        <v/>
      </c>
      <c r="Y198">
        <f>($B$14*(I198*C198+IF(ABS(X198-D198)&lt;0.000000001,4*$B$19*$B$20*(D198+273)^3,$B$19*$B$20*((X198+273)^4-(D198+273)^4)/(X198-D198))*D198)+T198/H198)/($B$14*(I198+IF(ABS(X198-D198)&lt;0.000000001,4*$B$19*$B$20*(D198+273)^3,$B$19*$B$20*((X198+273)^4-(D198+273)^4)/(X198-D198)))+1/H198)</f>
        <v/>
      </c>
      <c r="Z198">
        <f>IF(ABS(Y198-D198)&lt;0.000000001,4*$B$19*$B$20*(D198+273)^3,$B$19*$B$20*((Y198+273)^4-(D198+273)^4)/(Y198-D198))</f>
        <v/>
      </c>
      <c r="AA198">
        <f>$B$14*I198*(Y198-C198)</f>
        <v/>
      </c>
      <c r="AB198">
        <f>$B$14*Z198*(Y198-D198)</f>
        <v/>
      </c>
      <c r="AC198">
        <f>IF((U198-E198)/G198=0,0.001,(U198-E198)/G198)</f>
        <v/>
      </c>
      <c r="AD198">
        <f>F198-P198-J198-K198-AA198-AB198</f>
        <v/>
      </c>
      <c r="AE198">
        <f>AD198/AC198</f>
        <v/>
      </c>
      <c r="AF198">
        <f>IF(AD198&lt;=0,0,IF(AC198&lt;=0,$B$11,IF(AE198&gt;=1.7,$B$11,MIN(AD198/MAX(0.05,IF(AE198&gt;1,(2-AE198)^2/2,1-AE198^2/2)),$B$11))))</f>
        <v/>
      </c>
      <c r="AG198">
        <f>AG197*$B$28+AF198*(1-$B$28)</f>
        <v/>
      </c>
      <c r="AH198">
        <f>IF(AND(AD198&gt;0,AC198&lt;=0),0,AC198)</f>
        <v/>
      </c>
      <c r="AI198">
        <f>AH198/MAX(AG198,0.000001)</f>
        <v/>
      </c>
      <c r="AJ198">
        <f>MIN(IF(AI198&gt;=0.5,-AI198+SQRT(AI198^2+2),1),$B$12)</f>
        <v/>
      </c>
      <c r="AK198">
        <f>IF(AG198&lt;=0,0,AJ198*AH198)</f>
        <v/>
      </c>
      <c r="AL198">
        <f>IF(AD198&lt;=0,0,AD198)</f>
        <v/>
      </c>
      <c r="AM198">
        <f>AL198-AK198+P198</f>
        <v/>
      </c>
      <c r="AN198">
        <f>((AM198/$B$7+T197*AS197/2-T198*MAX(0.1,MIN(0.3,0.3-0.09*(AR197-36.8)))/2)+AR197*(1-AS197/2))/(1-MAX(0.1,MIN(0.3,0.3-0.09*(AR197-36.8)))/2)</f>
        <v/>
      </c>
      <c r="AO198">
        <f>((AM198/$B$7+T197*AS197/2-T198*MAX(0.1,MIN(0.3,0.3-0.09*(AN198-36.8)))/2)+AR197*(1-AS197/2))/(1-MAX(0.1,MIN(0.3,0.3-0.09*(AN198-36.8)))/2)</f>
        <v/>
      </c>
      <c r="AP198">
        <f>((AM198/$B$7+T197*AS197/2-T198*MAX(0.1,MIN(0.3,0.3-0.09*(AO198-36.8)))/2)+AR197*(1-AS197/2))/(1-MAX(0.1,MIN(0.3,0.3-0.09*(AO198-36.8)))/2)</f>
        <v/>
      </c>
      <c r="AQ198">
        <f>((AM198/$B$7+T197*AS197/2-T198*MAX(0.1,MIN(0.3,0.3-0.09*(AP198-36.8)))/2)+AR197*(1-AS197/2))/(1-MAX(0.1,MIN(0.3,0.3-0.09*(AP198-36.8)))/2)</f>
        <v/>
      </c>
      <c r="AR198">
        <f>((AM198/$B$7+T197*AS197/2-T198*MAX(0.1,MIN(0.3,0.3-0.09*(AQ198-36.8)))/2)+AR197*(1-AS197/2))/(1-MAX(0.1,MIN(0.3,0.3-0.09*(AQ198-36.8)))/2)</f>
        <v/>
      </c>
      <c r="AS198">
        <f>MAX(0.1,MIN(0.3,0.3-0.09*(AR198-36.8)))</f>
        <v/>
      </c>
      <c r="AT198">
        <f>AT197+(2*AR198-1.962*AT197-1.31)/9</f>
        <v/>
      </c>
      <c r="AU198">
        <f>AU197+AG198+K198</f>
        <v/>
      </c>
      <c r="AV198">
        <f>AU198*2.67*$B$6/1.8/60</f>
        <v/>
      </c>
      <c r="AW198">
        <f>IF(AT198&gt;=$B$36,1,0)</f>
        <v/>
      </c>
      <c r="AX198">
        <f>IF(AV198&gt;=$B$21,1,0)</f>
        <v/>
      </c>
    </row>
    <row r="199">
      <c r="A199" t="n">
        <v>126</v>
      </c>
      <c r="B199">
        <f>MATCH(A199-1,$D$61:$D$68,1)</f>
        <v/>
      </c>
      <c r="C199">
        <f>INDEX($G$61:$G$68,B199)</f>
        <v/>
      </c>
      <c r="D199">
        <f>INDEX($L$61:$L$68,B199)</f>
        <v/>
      </c>
      <c r="E199">
        <f>INDEX($M$61:$M$68,B199)</f>
        <v/>
      </c>
      <c r="F199">
        <f>INDEX($N$61:$N$68,B199)</f>
        <v/>
      </c>
      <c r="G199">
        <f>INDEX($AA$61:$AA$68,B199)</f>
        <v/>
      </c>
      <c r="H199">
        <f>INDEX($X$61:$X$68,B199)</f>
        <v/>
      </c>
      <c r="I199">
        <f>INDEX($AF$61:$AF$68,B199)</f>
        <v/>
      </c>
      <c r="J199">
        <f>INDEX($AC$61:$AC$68,B199)</f>
        <v/>
      </c>
      <c r="K199">
        <f>INDEX($AD$61:$AD$68,B199)</f>
        <v/>
      </c>
      <c r="L199">
        <f>INDEX($AG$61:$AG$68,B199)</f>
        <v/>
      </c>
      <c r="M199">
        <f>INDEX($AH$61:$AH$68,B199)</f>
        <v/>
      </c>
      <c r="N199">
        <f>INDEX($AI$61:$AI$68,B199)</f>
        <v/>
      </c>
      <c r="O199">
        <f>O198*$B$26+L199*(1-$B$26)</f>
        <v/>
      </c>
      <c r="P199">
        <f>$B$7*(O199-O198)*(1-AS198)</f>
        <v/>
      </c>
      <c r="Q199">
        <f>M199+0.51274*AT198</f>
        <v/>
      </c>
      <c r="R199">
        <f>N199+0.616*AT198</f>
        <v/>
      </c>
      <c r="S199">
        <f>IF($B$13&gt;=0.6,Q199,IF($B$13&lt;=0.2,R199,R199+2.5*(Q199-R199)*($B$13-0.2)))</f>
        <v/>
      </c>
      <c r="T199">
        <f>IF(A199=1,S199,T198*$B$27+S199*(1-$B$27))</f>
        <v/>
      </c>
      <c r="U199">
        <f>0.6105*EXP(17.27*T199/(T199+237.3))</f>
        <v/>
      </c>
      <c r="V199">
        <f>($B$14*(I199*C199+IF(ABS((D199+0.1)-D199)&lt;0.000000001,4*$B$19*$B$20*(D199+273)^3,$B$19*$B$20*(((D199+0.1)+273)^4-(D199+273)^4)/((D199+0.1)-D199))*D199)+T199/H199)/($B$14*(I199+IF(ABS((D199+0.1)-D199)&lt;0.000000001,4*$B$19*$B$20*(D199+273)^3,$B$19*$B$20*(((D199+0.1)+273)^4-(D199+273)^4)/((D199+0.1)-D199)))+1/H199)</f>
        <v/>
      </c>
      <c r="W199">
        <f>($B$14*(I199*C199+IF(ABS(V199-D199)&lt;0.000000001,4*$B$19*$B$20*(D199+273)^3,$B$19*$B$20*((V199+273)^4-(D199+273)^4)/(V199-D199))*D199)+T199/H199)/($B$14*(I199+IF(ABS(V199-D199)&lt;0.000000001,4*$B$19*$B$20*(D199+273)^3,$B$19*$B$20*((V199+273)^4-(D199+273)^4)/(V199-D199)))+1/H199)</f>
        <v/>
      </c>
      <c r="X199">
        <f>($B$14*(I199*C199+IF(ABS(W199-D199)&lt;0.000000001,4*$B$19*$B$20*(D199+273)^3,$B$19*$B$20*((W199+273)^4-(D199+273)^4)/(W199-D199))*D199)+T199/H199)/($B$14*(I199+IF(ABS(W199-D199)&lt;0.000000001,4*$B$19*$B$20*(D199+273)^3,$B$19*$B$20*((W199+273)^4-(D199+273)^4)/(W199-D199)))+1/H199)</f>
        <v/>
      </c>
      <c r="Y199">
        <f>($B$14*(I199*C199+IF(ABS(X199-D199)&lt;0.000000001,4*$B$19*$B$20*(D199+273)^3,$B$19*$B$20*((X199+273)^4-(D199+273)^4)/(X199-D199))*D199)+T199/H199)/($B$14*(I199+IF(ABS(X199-D199)&lt;0.000000001,4*$B$19*$B$20*(D199+273)^3,$B$19*$B$20*((X199+273)^4-(D199+273)^4)/(X199-D199)))+1/H199)</f>
        <v/>
      </c>
      <c r="Z199">
        <f>IF(ABS(Y199-D199)&lt;0.000000001,4*$B$19*$B$20*(D199+273)^3,$B$19*$B$20*((Y199+273)^4-(D199+273)^4)/(Y199-D199))</f>
        <v/>
      </c>
      <c r="AA199">
        <f>$B$14*I199*(Y199-C199)</f>
        <v/>
      </c>
      <c r="AB199">
        <f>$B$14*Z199*(Y199-D199)</f>
        <v/>
      </c>
      <c r="AC199">
        <f>IF((U199-E199)/G199=0,0.001,(U199-E199)/G199)</f>
        <v/>
      </c>
      <c r="AD199">
        <f>F199-P199-J199-K199-AA199-AB199</f>
        <v/>
      </c>
      <c r="AE199">
        <f>AD199/AC199</f>
        <v/>
      </c>
      <c r="AF199">
        <f>IF(AD199&lt;=0,0,IF(AC199&lt;=0,$B$11,IF(AE199&gt;=1.7,$B$11,MIN(AD199/MAX(0.05,IF(AE199&gt;1,(2-AE199)^2/2,1-AE199^2/2)),$B$11))))</f>
        <v/>
      </c>
      <c r="AG199">
        <f>AG198*$B$28+AF199*(1-$B$28)</f>
        <v/>
      </c>
      <c r="AH199">
        <f>IF(AND(AD199&gt;0,AC199&lt;=0),0,AC199)</f>
        <v/>
      </c>
      <c r="AI199">
        <f>AH199/MAX(AG199,0.000001)</f>
        <v/>
      </c>
      <c r="AJ199">
        <f>MIN(IF(AI199&gt;=0.5,-AI199+SQRT(AI199^2+2),1),$B$12)</f>
        <v/>
      </c>
      <c r="AK199">
        <f>IF(AG199&lt;=0,0,AJ199*AH199)</f>
        <v/>
      </c>
      <c r="AL199">
        <f>IF(AD199&lt;=0,0,AD199)</f>
        <v/>
      </c>
      <c r="AM199">
        <f>AL199-AK199+P199</f>
        <v/>
      </c>
      <c r="AN199">
        <f>((AM199/$B$7+T198*AS198/2-T199*MAX(0.1,MIN(0.3,0.3-0.09*(AR198-36.8)))/2)+AR198*(1-AS198/2))/(1-MAX(0.1,MIN(0.3,0.3-0.09*(AR198-36.8)))/2)</f>
        <v/>
      </c>
      <c r="AO199">
        <f>((AM199/$B$7+T198*AS198/2-T199*MAX(0.1,MIN(0.3,0.3-0.09*(AN199-36.8)))/2)+AR198*(1-AS198/2))/(1-MAX(0.1,MIN(0.3,0.3-0.09*(AN199-36.8)))/2)</f>
        <v/>
      </c>
      <c r="AP199">
        <f>((AM199/$B$7+T198*AS198/2-T199*MAX(0.1,MIN(0.3,0.3-0.09*(AO199-36.8)))/2)+AR198*(1-AS198/2))/(1-MAX(0.1,MIN(0.3,0.3-0.09*(AO199-36.8)))/2)</f>
        <v/>
      </c>
      <c r="AQ199">
        <f>((AM199/$B$7+T198*AS198/2-T199*MAX(0.1,MIN(0.3,0.3-0.09*(AP199-36.8)))/2)+AR198*(1-AS198/2))/(1-MAX(0.1,MIN(0.3,0.3-0.09*(AP199-36.8)))/2)</f>
        <v/>
      </c>
      <c r="AR199">
        <f>((AM199/$B$7+T198*AS198/2-T199*MAX(0.1,MIN(0.3,0.3-0.09*(AQ199-36.8)))/2)+AR198*(1-AS198/2))/(1-MAX(0.1,MIN(0.3,0.3-0.09*(AQ199-36.8)))/2)</f>
        <v/>
      </c>
      <c r="AS199">
        <f>MAX(0.1,MIN(0.3,0.3-0.09*(AR199-36.8)))</f>
        <v/>
      </c>
      <c r="AT199">
        <f>AT198+(2*AR199-1.962*AT198-1.31)/9</f>
        <v/>
      </c>
      <c r="AU199">
        <f>AU198+AG199+K199</f>
        <v/>
      </c>
      <c r="AV199">
        <f>AU199*2.67*$B$6/1.8/60</f>
        <v/>
      </c>
      <c r="AW199">
        <f>IF(AT199&gt;=$B$36,1,0)</f>
        <v/>
      </c>
      <c r="AX199">
        <f>IF(AV199&gt;=$B$21,1,0)</f>
        <v/>
      </c>
    </row>
    <row r="200">
      <c r="A200" t="n">
        <v>127</v>
      </c>
      <c r="B200">
        <f>MATCH(A200-1,$D$61:$D$68,1)</f>
        <v/>
      </c>
      <c r="C200">
        <f>INDEX($G$61:$G$68,B200)</f>
        <v/>
      </c>
      <c r="D200">
        <f>INDEX($L$61:$L$68,B200)</f>
        <v/>
      </c>
      <c r="E200">
        <f>INDEX($M$61:$M$68,B200)</f>
        <v/>
      </c>
      <c r="F200">
        <f>INDEX($N$61:$N$68,B200)</f>
        <v/>
      </c>
      <c r="G200">
        <f>INDEX($AA$61:$AA$68,B200)</f>
        <v/>
      </c>
      <c r="H200">
        <f>INDEX($X$61:$X$68,B200)</f>
        <v/>
      </c>
      <c r="I200">
        <f>INDEX($AF$61:$AF$68,B200)</f>
        <v/>
      </c>
      <c r="J200">
        <f>INDEX($AC$61:$AC$68,B200)</f>
        <v/>
      </c>
      <c r="K200">
        <f>INDEX($AD$61:$AD$68,B200)</f>
        <v/>
      </c>
      <c r="L200">
        <f>INDEX($AG$61:$AG$68,B200)</f>
        <v/>
      </c>
      <c r="M200">
        <f>INDEX($AH$61:$AH$68,B200)</f>
        <v/>
      </c>
      <c r="N200">
        <f>INDEX($AI$61:$AI$68,B200)</f>
        <v/>
      </c>
      <c r="O200">
        <f>O199*$B$26+L200*(1-$B$26)</f>
        <v/>
      </c>
      <c r="P200">
        <f>$B$7*(O200-O199)*(1-AS199)</f>
        <v/>
      </c>
      <c r="Q200">
        <f>M200+0.51274*AT199</f>
        <v/>
      </c>
      <c r="R200">
        <f>N200+0.616*AT199</f>
        <v/>
      </c>
      <c r="S200">
        <f>IF($B$13&gt;=0.6,Q200,IF($B$13&lt;=0.2,R200,R200+2.5*(Q200-R200)*($B$13-0.2)))</f>
        <v/>
      </c>
      <c r="T200">
        <f>IF(A200=1,S200,T199*$B$27+S200*(1-$B$27))</f>
        <v/>
      </c>
      <c r="U200">
        <f>0.6105*EXP(17.27*T200/(T200+237.3))</f>
        <v/>
      </c>
      <c r="V200">
        <f>($B$14*(I200*C200+IF(ABS((D200+0.1)-D200)&lt;0.000000001,4*$B$19*$B$20*(D200+273)^3,$B$19*$B$20*(((D200+0.1)+273)^4-(D200+273)^4)/((D200+0.1)-D200))*D200)+T200/H200)/($B$14*(I200+IF(ABS((D200+0.1)-D200)&lt;0.000000001,4*$B$19*$B$20*(D200+273)^3,$B$19*$B$20*(((D200+0.1)+273)^4-(D200+273)^4)/((D200+0.1)-D200)))+1/H200)</f>
        <v/>
      </c>
      <c r="W200">
        <f>($B$14*(I200*C200+IF(ABS(V200-D200)&lt;0.000000001,4*$B$19*$B$20*(D200+273)^3,$B$19*$B$20*((V200+273)^4-(D200+273)^4)/(V200-D200))*D200)+T200/H200)/($B$14*(I200+IF(ABS(V200-D200)&lt;0.000000001,4*$B$19*$B$20*(D200+273)^3,$B$19*$B$20*((V200+273)^4-(D200+273)^4)/(V200-D200)))+1/H200)</f>
        <v/>
      </c>
      <c r="X200">
        <f>($B$14*(I200*C200+IF(ABS(W200-D200)&lt;0.000000001,4*$B$19*$B$20*(D200+273)^3,$B$19*$B$20*((W200+273)^4-(D200+273)^4)/(W200-D200))*D200)+T200/H200)/($B$14*(I200+IF(ABS(W200-D200)&lt;0.000000001,4*$B$19*$B$20*(D200+273)^3,$B$19*$B$20*((W200+273)^4-(D200+273)^4)/(W200-D200)))+1/H200)</f>
        <v/>
      </c>
      <c r="Y200">
        <f>($B$14*(I200*C200+IF(ABS(X200-D200)&lt;0.000000001,4*$B$19*$B$20*(D200+273)^3,$B$19*$B$20*((X200+273)^4-(D200+273)^4)/(X200-D200))*D200)+T200/H200)/($B$14*(I200+IF(ABS(X200-D200)&lt;0.000000001,4*$B$19*$B$20*(D200+273)^3,$B$19*$B$20*((X200+273)^4-(D200+273)^4)/(X200-D200)))+1/H200)</f>
        <v/>
      </c>
      <c r="Z200">
        <f>IF(ABS(Y200-D200)&lt;0.000000001,4*$B$19*$B$20*(D200+273)^3,$B$19*$B$20*((Y200+273)^4-(D200+273)^4)/(Y200-D200))</f>
        <v/>
      </c>
      <c r="AA200">
        <f>$B$14*I200*(Y200-C200)</f>
        <v/>
      </c>
      <c r="AB200">
        <f>$B$14*Z200*(Y200-D200)</f>
        <v/>
      </c>
      <c r="AC200">
        <f>IF((U200-E200)/G200=0,0.001,(U200-E200)/G200)</f>
        <v/>
      </c>
      <c r="AD200">
        <f>F200-P200-J200-K200-AA200-AB200</f>
        <v/>
      </c>
      <c r="AE200">
        <f>AD200/AC200</f>
        <v/>
      </c>
      <c r="AF200">
        <f>IF(AD200&lt;=0,0,IF(AC200&lt;=0,$B$11,IF(AE200&gt;=1.7,$B$11,MIN(AD200/MAX(0.05,IF(AE200&gt;1,(2-AE200)^2/2,1-AE200^2/2)),$B$11))))</f>
        <v/>
      </c>
      <c r="AG200">
        <f>AG199*$B$28+AF200*(1-$B$28)</f>
        <v/>
      </c>
      <c r="AH200">
        <f>IF(AND(AD200&gt;0,AC200&lt;=0),0,AC200)</f>
        <v/>
      </c>
      <c r="AI200">
        <f>AH200/MAX(AG200,0.000001)</f>
        <v/>
      </c>
      <c r="AJ200">
        <f>MIN(IF(AI200&gt;=0.5,-AI200+SQRT(AI200^2+2),1),$B$12)</f>
        <v/>
      </c>
      <c r="AK200">
        <f>IF(AG200&lt;=0,0,AJ200*AH200)</f>
        <v/>
      </c>
      <c r="AL200">
        <f>IF(AD200&lt;=0,0,AD200)</f>
        <v/>
      </c>
      <c r="AM200">
        <f>AL200-AK200+P200</f>
        <v/>
      </c>
      <c r="AN200">
        <f>((AM200/$B$7+T199*AS199/2-T200*MAX(0.1,MIN(0.3,0.3-0.09*(AR199-36.8)))/2)+AR199*(1-AS199/2))/(1-MAX(0.1,MIN(0.3,0.3-0.09*(AR199-36.8)))/2)</f>
        <v/>
      </c>
      <c r="AO200">
        <f>((AM200/$B$7+T199*AS199/2-T200*MAX(0.1,MIN(0.3,0.3-0.09*(AN200-36.8)))/2)+AR199*(1-AS199/2))/(1-MAX(0.1,MIN(0.3,0.3-0.09*(AN200-36.8)))/2)</f>
        <v/>
      </c>
      <c r="AP200">
        <f>((AM200/$B$7+T199*AS199/2-T200*MAX(0.1,MIN(0.3,0.3-0.09*(AO200-36.8)))/2)+AR199*(1-AS199/2))/(1-MAX(0.1,MIN(0.3,0.3-0.09*(AO200-36.8)))/2)</f>
        <v/>
      </c>
      <c r="AQ200">
        <f>((AM200/$B$7+T199*AS199/2-T200*MAX(0.1,MIN(0.3,0.3-0.09*(AP200-36.8)))/2)+AR199*(1-AS199/2))/(1-MAX(0.1,MIN(0.3,0.3-0.09*(AP200-36.8)))/2)</f>
        <v/>
      </c>
      <c r="AR200">
        <f>((AM200/$B$7+T199*AS199/2-T200*MAX(0.1,MIN(0.3,0.3-0.09*(AQ200-36.8)))/2)+AR199*(1-AS199/2))/(1-MAX(0.1,MIN(0.3,0.3-0.09*(AQ200-36.8)))/2)</f>
        <v/>
      </c>
      <c r="AS200">
        <f>MAX(0.1,MIN(0.3,0.3-0.09*(AR200-36.8)))</f>
        <v/>
      </c>
      <c r="AT200">
        <f>AT199+(2*AR200-1.962*AT199-1.31)/9</f>
        <v/>
      </c>
      <c r="AU200">
        <f>AU199+AG200+K200</f>
        <v/>
      </c>
      <c r="AV200">
        <f>AU200*2.67*$B$6/1.8/60</f>
        <v/>
      </c>
      <c r="AW200">
        <f>IF(AT200&gt;=$B$36,1,0)</f>
        <v/>
      </c>
      <c r="AX200">
        <f>IF(AV200&gt;=$B$21,1,0)</f>
        <v/>
      </c>
    </row>
    <row r="201">
      <c r="A201" t="n">
        <v>128</v>
      </c>
      <c r="B201">
        <f>MATCH(A201-1,$D$61:$D$68,1)</f>
        <v/>
      </c>
      <c r="C201">
        <f>INDEX($G$61:$G$68,B201)</f>
        <v/>
      </c>
      <c r="D201">
        <f>INDEX($L$61:$L$68,B201)</f>
        <v/>
      </c>
      <c r="E201">
        <f>INDEX($M$61:$M$68,B201)</f>
        <v/>
      </c>
      <c r="F201">
        <f>INDEX($N$61:$N$68,B201)</f>
        <v/>
      </c>
      <c r="G201">
        <f>INDEX($AA$61:$AA$68,B201)</f>
        <v/>
      </c>
      <c r="H201">
        <f>INDEX($X$61:$X$68,B201)</f>
        <v/>
      </c>
      <c r="I201">
        <f>INDEX($AF$61:$AF$68,B201)</f>
        <v/>
      </c>
      <c r="J201">
        <f>INDEX($AC$61:$AC$68,B201)</f>
        <v/>
      </c>
      <c r="K201">
        <f>INDEX($AD$61:$AD$68,B201)</f>
        <v/>
      </c>
      <c r="L201">
        <f>INDEX($AG$61:$AG$68,B201)</f>
        <v/>
      </c>
      <c r="M201">
        <f>INDEX($AH$61:$AH$68,B201)</f>
        <v/>
      </c>
      <c r="N201">
        <f>INDEX($AI$61:$AI$68,B201)</f>
        <v/>
      </c>
      <c r="O201">
        <f>O200*$B$26+L201*(1-$B$26)</f>
        <v/>
      </c>
      <c r="P201">
        <f>$B$7*(O201-O200)*(1-AS200)</f>
        <v/>
      </c>
      <c r="Q201">
        <f>M201+0.51274*AT200</f>
        <v/>
      </c>
      <c r="R201">
        <f>N201+0.616*AT200</f>
        <v/>
      </c>
      <c r="S201">
        <f>IF($B$13&gt;=0.6,Q201,IF($B$13&lt;=0.2,R201,R201+2.5*(Q201-R201)*($B$13-0.2)))</f>
        <v/>
      </c>
      <c r="T201">
        <f>IF(A201=1,S201,T200*$B$27+S201*(1-$B$27))</f>
        <v/>
      </c>
      <c r="U201">
        <f>0.6105*EXP(17.27*T201/(T201+237.3))</f>
        <v/>
      </c>
      <c r="V201">
        <f>($B$14*(I201*C201+IF(ABS((D201+0.1)-D201)&lt;0.000000001,4*$B$19*$B$20*(D201+273)^3,$B$19*$B$20*(((D201+0.1)+273)^4-(D201+273)^4)/((D201+0.1)-D201))*D201)+T201/H201)/($B$14*(I201+IF(ABS((D201+0.1)-D201)&lt;0.000000001,4*$B$19*$B$20*(D201+273)^3,$B$19*$B$20*(((D201+0.1)+273)^4-(D201+273)^4)/((D201+0.1)-D201)))+1/H201)</f>
        <v/>
      </c>
      <c r="W201">
        <f>($B$14*(I201*C201+IF(ABS(V201-D201)&lt;0.000000001,4*$B$19*$B$20*(D201+273)^3,$B$19*$B$20*((V201+273)^4-(D201+273)^4)/(V201-D201))*D201)+T201/H201)/($B$14*(I201+IF(ABS(V201-D201)&lt;0.000000001,4*$B$19*$B$20*(D201+273)^3,$B$19*$B$20*((V201+273)^4-(D201+273)^4)/(V201-D201)))+1/H201)</f>
        <v/>
      </c>
      <c r="X201">
        <f>($B$14*(I201*C201+IF(ABS(W201-D201)&lt;0.000000001,4*$B$19*$B$20*(D201+273)^3,$B$19*$B$20*((W201+273)^4-(D201+273)^4)/(W201-D201))*D201)+T201/H201)/($B$14*(I201+IF(ABS(W201-D201)&lt;0.000000001,4*$B$19*$B$20*(D201+273)^3,$B$19*$B$20*((W201+273)^4-(D201+273)^4)/(W201-D201)))+1/H201)</f>
        <v/>
      </c>
      <c r="Y201">
        <f>($B$14*(I201*C201+IF(ABS(X201-D201)&lt;0.000000001,4*$B$19*$B$20*(D201+273)^3,$B$19*$B$20*((X201+273)^4-(D201+273)^4)/(X201-D201))*D201)+T201/H201)/($B$14*(I201+IF(ABS(X201-D201)&lt;0.000000001,4*$B$19*$B$20*(D201+273)^3,$B$19*$B$20*((X201+273)^4-(D201+273)^4)/(X201-D201)))+1/H201)</f>
        <v/>
      </c>
      <c r="Z201">
        <f>IF(ABS(Y201-D201)&lt;0.000000001,4*$B$19*$B$20*(D201+273)^3,$B$19*$B$20*((Y201+273)^4-(D201+273)^4)/(Y201-D201))</f>
        <v/>
      </c>
      <c r="AA201">
        <f>$B$14*I201*(Y201-C201)</f>
        <v/>
      </c>
      <c r="AB201">
        <f>$B$14*Z201*(Y201-D201)</f>
        <v/>
      </c>
      <c r="AC201">
        <f>IF((U201-E201)/G201=0,0.001,(U201-E201)/G201)</f>
        <v/>
      </c>
      <c r="AD201">
        <f>F201-P201-J201-K201-AA201-AB201</f>
        <v/>
      </c>
      <c r="AE201">
        <f>AD201/AC201</f>
        <v/>
      </c>
      <c r="AF201">
        <f>IF(AD201&lt;=0,0,IF(AC201&lt;=0,$B$11,IF(AE201&gt;=1.7,$B$11,MIN(AD201/MAX(0.05,IF(AE201&gt;1,(2-AE201)^2/2,1-AE201^2/2)),$B$11))))</f>
        <v/>
      </c>
      <c r="AG201">
        <f>AG200*$B$28+AF201*(1-$B$28)</f>
        <v/>
      </c>
      <c r="AH201">
        <f>IF(AND(AD201&gt;0,AC201&lt;=0),0,AC201)</f>
        <v/>
      </c>
      <c r="AI201">
        <f>AH201/MAX(AG201,0.000001)</f>
        <v/>
      </c>
      <c r="AJ201">
        <f>MIN(IF(AI201&gt;=0.5,-AI201+SQRT(AI201^2+2),1),$B$12)</f>
        <v/>
      </c>
      <c r="AK201">
        <f>IF(AG201&lt;=0,0,AJ201*AH201)</f>
        <v/>
      </c>
      <c r="AL201">
        <f>IF(AD201&lt;=0,0,AD201)</f>
        <v/>
      </c>
      <c r="AM201">
        <f>AL201-AK201+P201</f>
        <v/>
      </c>
      <c r="AN201">
        <f>((AM201/$B$7+T200*AS200/2-T201*MAX(0.1,MIN(0.3,0.3-0.09*(AR200-36.8)))/2)+AR200*(1-AS200/2))/(1-MAX(0.1,MIN(0.3,0.3-0.09*(AR200-36.8)))/2)</f>
        <v/>
      </c>
      <c r="AO201">
        <f>((AM201/$B$7+T200*AS200/2-T201*MAX(0.1,MIN(0.3,0.3-0.09*(AN201-36.8)))/2)+AR200*(1-AS200/2))/(1-MAX(0.1,MIN(0.3,0.3-0.09*(AN201-36.8)))/2)</f>
        <v/>
      </c>
      <c r="AP201">
        <f>((AM201/$B$7+T200*AS200/2-T201*MAX(0.1,MIN(0.3,0.3-0.09*(AO201-36.8)))/2)+AR200*(1-AS200/2))/(1-MAX(0.1,MIN(0.3,0.3-0.09*(AO201-36.8)))/2)</f>
        <v/>
      </c>
      <c r="AQ201">
        <f>((AM201/$B$7+T200*AS200/2-T201*MAX(0.1,MIN(0.3,0.3-0.09*(AP201-36.8)))/2)+AR200*(1-AS200/2))/(1-MAX(0.1,MIN(0.3,0.3-0.09*(AP201-36.8)))/2)</f>
        <v/>
      </c>
      <c r="AR201">
        <f>((AM201/$B$7+T200*AS200/2-T201*MAX(0.1,MIN(0.3,0.3-0.09*(AQ201-36.8)))/2)+AR200*(1-AS200/2))/(1-MAX(0.1,MIN(0.3,0.3-0.09*(AQ201-36.8)))/2)</f>
        <v/>
      </c>
      <c r="AS201">
        <f>MAX(0.1,MIN(0.3,0.3-0.09*(AR201-36.8)))</f>
        <v/>
      </c>
      <c r="AT201">
        <f>AT200+(2*AR201-1.962*AT200-1.31)/9</f>
        <v/>
      </c>
      <c r="AU201">
        <f>AU200+AG201+K201</f>
        <v/>
      </c>
      <c r="AV201">
        <f>AU201*2.67*$B$6/1.8/60</f>
        <v/>
      </c>
      <c r="AW201">
        <f>IF(AT201&gt;=$B$36,1,0)</f>
        <v/>
      </c>
      <c r="AX201">
        <f>IF(AV201&gt;=$B$21,1,0)</f>
        <v/>
      </c>
    </row>
    <row r="202">
      <c r="A202" t="n">
        <v>129</v>
      </c>
      <c r="B202">
        <f>MATCH(A202-1,$D$61:$D$68,1)</f>
        <v/>
      </c>
      <c r="C202">
        <f>INDEX($G$61:$G$68,B202)</f>
        <v/>
      </c>
      <c r="D202">
        <f>INDEX($L$61:$L$68,B202)</f>
        <v/>
      </c>
      <c r="E202">
        <f>INDEX($M$61:$M$68,B202)</f>
        <v/>
      </c>
      <c r="F202">
        <f>INDEX($N$61:$N$68,B202)</f>
        <v/>
      </c>
      <c r="G202">
        <f>INDEX($AA$61:$AA$68,B202)</f>
        <v/>
      </c>
      <c r="H202">
        <f>INDEX($X$61:$X$68,B202)</f>
        <v/>
      </c>
      <c r="I202">
        <f>INDEX($AF$61:$AF$68,B202)</f>
        <v/>
      </c>
      <c r="J202">
        <f>INDEX($AC$61:$AC$68,B202)</f>
        <v/>
      </c>
      <c r="K202">
        <f>INDEX($AD$61:$AD$68,B202)</f>
        <v/>
      </c>
      <c r="L202">
        <f>INDEX($AG$61:$AG$68,B202)</f>
        <v/>
      </c>
      <c r="M202">
        <f>INDEX($AH$61:$AH$68,B202)</f>
        <v/>
      </c>
      <c r="N202">
        <f>INDEX($AI$61:$AI$68,B202)</f>
        <v/>
      </c>
      <c r="O202">
        <f>O201*$B$26+L202*(1-$B$26)</f>
        <v/>
      </c>
      <c r="P202">
        <f>$B$7*(O202-O201)*(1-AS201)</f>
        <v/>
      </c>
      <c r="Q202">
        <f>M202+0.51274*AT201</f>
        <v/>
      </c>
      <c r="R202">
        <f>N202+0.616*AT201</f>
        <v/>
      </c>
      <c r="S202">
        <f>IF($B$13&gt;=0.6,Q202,IF($B$13&lt;=0.2,R202,R202+2.5*(Q202-R202)*($B$13-0.2)))</f>
        <v/>
      </c>
      <c r="T202">
        <f>IF(A202=1,S202,T201*$B$27+S202*(1-$B$27))</f>
        <v/>
      </c>
      <c r="U202">
        <f>0.6105*EXP(17.27*T202/(T202+237.3))</f>
        <v/>
      </c>
      <c r="V202">
        <f>($B$14*(I202*C202+IF(ABS((D202+0.1)-D202)&lt;0.000000001,4*$B$19*$B$20*(D202+273)^3,$B$19*$B$20*(((D202+0.1)+273)^4-(D202+273)^4)/((D202+0.1)-D202))*D202)+T202/H202)/($B$14*(I202+IF(ABS((D202+0.1)-D202)&lt;0.000000001,4*$B$19*$B$20*(D202+273)^3,$B$19*$B$20*(((D202+0.1)+273)^4-(D202+273)^4)/((D202+0.1)-D202)))+1/H202)</f>
        <v/>
      </c>
      <c r="W202">
        <f>($B$14*(I202*C202+IF(ABS(V202-D202)&lt;0.000000001,4*$B$19*$B$20*(D202+273)^3,$B$19*$B$20*((V202+273)^4-(D202+273)^4)/(V202-D202))*D202)+T202/H202)/($B$14*(I202+IF(ABS(V202-D202)&lt;0.000000001,4*$B$19*$B$20*(D202+273)^3,$B$19*$B$20*((V202+273)^4-(D202+273)^4)/(V202-D202)))+1/H202)</f>
        <v/>
      </c>
      <c r="X202">
        <f>($B$14*(I202*C202+IF(ABS(W202-D202)&lt;0.000000001,4*$B$19*$B$20*(D202+273)^3,$B$19*$B$20*((W202+273)^4-(D202+273)^4)/(W202-D202))*D202)+T202/H202)/($B$14*(I202+IF(ABS(W202-D202)&lt;0.000000001,4*$B$19*$B$20*(D202+273)^3,$B$19*$B$20*((W202+273)^4-(D202+273)^4)/(W202-D202)))+1/H202)</f>
        <v/>
      </c>
      <c r="Y202">
        <f>($B$14*(I202*C202+IF(ABS(X202-D202)&lt;0.000000001,4*$B$19*$B$20*(D202+273)^3,$B$19*$B$20*((X202+273)^4-(D202+273)^4)/(X202-D202))*D202)+T202/H202)/($B$14*(I202+IF(ABS(X202-D202)&lt;0.000000001,4*$B$19*$B$20*(D202+273)^3,$B$19*$B$20*((X202+273)^4-(D202+273)^4)/(X202-D202)))+1/H202)</f>
        <v/>
      </c>
      <c r="Z202">
        <f>IF(ABS(Y202-D202)&lt;0.000000001,4*$B$19*$B$20*(D202+273)^3,$B$19*$B$20*((Y202+273)^4-(D202+273)^4)/(Y202-D202))</f>
        <v/>
      </c>
      <c r="AA202">
        <f>$B$14*I202*(Y202-C202)</f>
        <v/>
      </c>
      <c r="AB202">
        <f>$B$14*Z202*(Y202-D202)</f>
        <v/>
      </c>
      <c r="AC202">
        <f>IF((U202-E202)/G202=0,0.001,(U202-E202)/G202)</f>
        <v/>
      </c>
      <c r="AD202">
        <f>F202-P202-J202-K202-AA202-AB202</f>
        <v/>
      </c>
      <c r="AE202">
        <f>AD202/AC202</f>
        <v/>
      </c>
      <c r="AF202">
        <f>IF(AD202&lt;=0,0,IF(AC202&lt;=0,$B$11,IF(AE202&gt;=1.7,$B$11,MIN(AD202/MAX(0.05,IF(AE202&gt;1,(2-AE202)^2/2,1-AE202^2/2)),$B$11))))</f>
        <v/>
      </c>
      <c r="AG202">
        <f>AG201*$B$28+AF202*(1-$B$28)</f>
        <v/>
      </c>
      <c r="AH202">
        <f>IF(AND(AD202&gt;0,AC202&lt;=0),0,AC202)</f>
        <v/>
      </c>
      <c r="AI202">
        <f>AH202/MAX(AG202,0.000001)</f>
        <v/>
      </c>
      <c r="AJ202">
        <f>MIN(IF(AI202&gt;=0.5,-AI202+SQRT(AI202^2+2),1),$B$12)</f>
        <v/>
      </c>
      <c r="AK202">
        <f>IF(AG202&lt;=0,0,AJ202*AH202)</f>
        <v/>
      </c>
      <c r="AL202">
        <f>IF(AD202&lt;=0,0,AD202)</f>
        <v/>
      </c>
      <c r="AM202">
        <f>AL202-AK202+P202</f>
        <v/>
      </c>
      <c r="AN202">
        <f>((AM202/$B$7+T201*AS201/2-T202*MAX(0.1,MIN(0.3,0.3-0.09*(AR201-36.8)))/2)+AR201*(1-AS201/2))/(1-MAX(0.1,MIN(0.3,0.3-0.09*(AR201-36.8)))/2)</f>
        <v/>
      </c>
      <c r="AO202">
        <f>((AM202/$B$7+T201*AS201/2-T202*MAX(0.1,MIN(0.3,0.3-0.09*(AN202-36.8)))/2)+AR201*(1-AS201/2))/(1-MAX(0.1,MIN(0.3,0.3-0.09*(AN202-36.8)))/2)</f>
        <v/>
      </c>
      <c r="AP202">
        <f>((AM202/$B$7+T201*AS201/2-T202*MAX(0.1,MIN(0.3,0.3-0.09*(AO202-36.8)))/2)+AR201*(1-AS201/2))/(1-MAX(0.1,MIN(0.3,0.3-0.09*(AO202-36.8)))/2)</f>
        <v/>
      </c>
      <c r="AQ202">
        <f>((AM202/$B$7+T201*AS201/2-T202*MAX(0.1,MIN(0.3,0.3-0.09*(AP202-36.8)))/2)+AR201*(1-AS201/2))/(1-MAX(0.1,MIN(0.3,0.3-0.09*(AP202-36.8)))/2)</f>
        <v/>
      </c>
      <c r="AR202">
        <f>((AM202/$B$7+T201*AS201/2-T202*MAX(0.1,MIN(0.3,0.3-0.09*(AQ202-36.8)))/2)+AR201*(1-AS201/2))/(1-MAX(0.1,MIN(0.3,0.3-0.09*(AQ202-36.8)))/2)</f>
        <v/>
      </c>
      <c r="AS202">
        <f>MAX(0.1,MIN(0.3,0.3-0.09*(AR202-36.8)))</f>
        <v/>
      </c>
      <c r="AT202">
        <f>AT201+(2*AR202-1.962*AT201-1.31)/9</f>
        <v/>
      </c>
      <c r="AU202">
        <f>AU201+AG202+K202</f>
        <v/>
      </c>
      <c r="AV202">
        <f>AU202*2.67*$B$6/1.8/60</f>
        <v/>
      </c>
      <c r="AW202">
        <f>IF(AT202&gt;=$B$36,1,0)</f>
        <v/>
      </c>
      <c r="AX202">
        <f>IF(AV202&gt;=$B$21,1,0)</f>
        <v/>
      </c>
    </row>
    <row r="203">
      <c r="A203" t="n">
        <v>130</v>
      </c>
      <c r="B203">
        <f>MATCH(A203-1,$D$61:$D$68,1)</f>
        <v/>
      </c>
      <c r="C203">
        <f>INDEX($G$61:$G$68,B203)</f>
        <v/>
      </c>
      <c r="D203">
        <f>INDEX($L$61:$L$68,B203)</f>
        <v/>
      </c>
      <c r="E203">
        <f>INDEX($M$61:$M$68,B203)</f>
        <v/>
      </c>
      <c r="F203">
        <f>INDEX($N$61:$N$68,B203)</f>
        <v/>
      </c>
      <c r="G203">
        <f>INDEX($AA$61:$AA$68,B203)</f>
        <v/>
      </c>
      <c r="H203">
        <f>INDEX($X$61:$X$68,B203)</f>
        <v/>
      </c>
      <c r="I203">
        <f>INDEX($AF$61:$AF$68,B203)</f>
        <v/>
      </c>
      <c r="J203">
        <f>INDEX($AC$61:$AC$68,B203)</f>
        <v/>
      </c>
      <c r="K203">
        <f>INDEX($AD$61:$AD$68,B203)</f>
        <v/>
      </c>
      <c r="L203">
        <f>INDEX($AG$61:$AG$68,B203)</f>
        <v/>
      </c>
      <c r="M203">
        <f>INDEX($AH$61:$AH$68,B203)</f>
        <v/>
      </c>
      <c r="N203">
        <f>INDEX($AI$61:$AI$68,B203)</f>
        <v/>
      </c>
      <c r="O203">
        <f>O202*$B$26+L203*(1-$B$26)</f>
        <v/>
      </c>
      <c r="P203">
        <f>$B$7*(O203-O202)*(1-AS202)</f>
        <v/>
      </c>
      <c r="Q203">
        <f>M203+0.51274*AT202</f>
        <v/>
      </c>
      <c r="R203">
        <f>N203+0.616*AT202</f>
        <v/>
      </c>
      <c r="S203">
        <f>IF($B$13&gt;=0.6,Q203,IF($B$13&lt;=0.2,R203,R203+2.5*(Q203-R203)*($B$13-0.2)))</f>
        <v/>
      </c>
      <c r="T203">
        <f>IF(A203=1,S203,T202*$B$27+S203*(1-$B$27))</f>
        <v/>
      </c>
      <c r="U203">
        <f>0.6105*EXP(17.27*T203/(T203+237.3))</f>
        <v/>
      </c>
      <c r="V203">
        <f>($B$14*(I203*C203+IF(ABS((D203+0.1)-D203)&lt;0.000000001,4*$B$19*$B$20*(D203+273)^3,$B$19*$B$20*(((D203+0.1)+273)^4-(D203+273)^4)/((D203+0.1)-D203))*D203)+T203/H203)/($B$14*(I203+IF(ABS((D203+0.1)-D203)&lt;0.000000001,4*$B$19*$B$20*(D203+273)^3,$B$19*$B$20*(((D203+0.1)+273)^4-(D203+273)^4)/((D203+0.1)-D203)))+1/H203)</f>
        <v/>
      </c>
      <c r="W203">
        <f>($B$14*(I203*C203+IF(ABS(V203-D203)&lt;0.000000001,4*$B$19*$B$20*(D203+273)^3,$B$19*$B$20*((V203+273)^4-(D203+273)^4)/(V203-D203))*D203)+T203/H203)/($B$14*(I203+IF(ABS(V203-D203)&lt;0.000000001,4*$B$19*$B$20*(D203+273)^3,$B$19*$B$20*((V203+273)^4-(D203+273)^4)/(V203-D203)))+1/H203)</f>
        <v/>
      </c>
      <c r="X203">
        <f>($B$14*(I203*C203+IF(ABS(W203-D203)&lt;0.000000001,4*$B$19*$B$20*(D203+273)^3,$B$19*$B$20*((W203+273)^4-(D203+273)^4)/(W203-D203))*D203)+T203/H203)/($B$14*(I203+IF(ABS(W203-D203)&lt;0.000000001,4*$B$19*$B$20*(D203+273)^3,$B$19*$B$20*((W203+273)^4-(D203+273)^4)/(W203-D203)))+1/H203)</f>
        <v/>
      </c>
      <c r="Y203">
        <f>($B$14*(I203*C203+IF(ABS(X203-D203)&lt;0.000000001,4*$B$19*$B$20*(D203+273)^3,$B$19*$B$20*((X203+273)^4-(D203+273)^4)/(X203-D203))*D203)+T203/H203)/($B$14*(I203+IF(ABS(X203-D203)&lt;0.000000001,4*$B$19*$B$20*(D203+273)^3,$B$19*$B$20*((X203+273)^4-(D203+273)^4)/(X203-D203)))+1/H203)</f>
        <v/>
      </c>
      <c r="Z203">
        <f>IF(ABS(Y203-D203)&lt;0.000000001,4*$B$19*$B$20*(D203+273)^3,$B$19*$B$20*((Y203+273)^4-(D203+273)^4)/(Y203-D203))</f>
        <v/>
      </c>
      <c r="AA203">
        <f>$B$14*I203*(Y203-C203)</f>
        <v/>
      </c>
      <c r="AB203">
        <f>$B$14*Z203*(Y203-D203)</f>
        <v/>
      </c>
      <c r="AC203">
        <f>IF((U203-E203)/G203=0,0.001,(U203-E203)/G203)</f>
        <v/>
      </c>
      <c r="AD203">
        <f>F203-P203-J203-K203-AA203-AB203</f>
        <v/>
      </c>
      <c r="AE203">
        <f>AD203/AC203</f>
        <v/>
      </c>
      <c r="AF203">
        <f>IF(AD203&lt;=0,0,IF(AC203&lt;=0,$B$11,IF(AE203&gt;=1.7,$B$11,MIN(AD203/MAX(0.05,IF(AE203&gt;1,(2-AE203)^2/2,1-AE203^2/2)),$B$11))))</f>
        <v/>
      </c>
      <c r="AG203">
        <f>AG202*$B$28+AF203*(1-$B$28)</f>
        <v/>
      </c>
      <c r="AH203">
        <f>IF(AND(AD203&gt;0,AC203&lt;=0),0,AC203)</f>
        <v/>
      </c>
      <c r="AI203">
        <f>AH203/MAX(AG203,0.000001)</f>
        <v/>
      </c>
      <c r="AJ203">
        <f>MIN(IF(AI203&gt;=0.5,-AI203+SQRT(AI203^2+2),1),$B$12)</f>
        <v/>
      </c>
      <c r="AK203">
        <f>IF(AG203&lt;=0,0,AJ203*AH203)</f>
        <v/>
      </c>
      <c r="AL203">
        <f>IF(AD203&lt;=0,0,AD203)</f>
        <v/>
      </c>
      <c r="AM203">
        <f>AL203-AK203+P203</f>
        <v/>
      </c>
      <c r="AN203">
        <f>((AM203/$B$7+T202*AS202/2-T203*MAX(0.1,MIN(0.3,0.3-0.09*(AR202-36.8)))/2)+AR202*(1-AS202/2))/(1-MAX(0.1,MIN(0.3,0.3-0.09*(AR202-36.8)))/2)</f>
        <v/>
      </c>
      <c r="AO203">
        <f>((AM203/$B$7+T202*AS202/2-T203*MAX(0.1,MIN(0.3,0.3-0.09*(AN203-36.8)))/2)+AR202*(1-AS202/2))/(1-MAX(0.1,MIN(0.3,0.3-0.09*(AN203-36.8)))/2)</f>
        <v/>
      </c>
      <c r="AP203">
        <f>((AM203/$B$7+T202*AS202/2-T203*MAX(0.1,MIN(0.3,0.3-0.09*(AO203-36.8)))/2)+AR202*(1-AS202/2))/(1-MAX(0.1,MIN(0.3,0.3-0.09*(AO203-36.8)))/2)</f>
        <v/>
      </c>
      <c r="AQ203">
        <f>((AM203/$B$7+T202*AS202/2-T203*MAX(0.1,MIN(0.3,0.3-0.09*(AP203-36.8)))/2)+AR202*(1-AS202/2))/(1-MAX(0.1,MIN(0.3,0.3-0.09*(AP203-36.8)))/2)</f>
        <v/>
      </c>
      <c r="AR203">
        <f>((AM203/$B$7+T202*AS202/2-T203*MAX(0.1,MIN(0.3,0.3-0.09*(AQ203-36.8)))/2)+AR202*(1-AS202/2))/(1-MAX(0.1,MIN(0.3,0.3-0.09*(AQ203-36.8)))/2)</f>
        <v/>
      </c>
      <c r="AS203">
        <f>MAX(0.1,MIN(0.3,0.3-0.09*(AR203-36.8)))</f>
        <v/>
      </c>
      <c r="AT203">
        <f>AT202+(2*AR203-1.962*AT202-1.31)/9</f>
        <v/>
      </c>
      <c r="AU203">
        <f>AU202+AG203+K203</f>
        <v/>
      </c>
      <c r="AV203">
        <f>AU203*2.67*$B$6/1.8/60</f>
        <v/>
      </c>
      <c r="AW203">
        <f>IF(AT203&gt;=$B$36,1,0)</f>
        <v/>
      </c>
      <c r="AX203">
        <f>IF(AV203&gt;=$B$21,1,0)</f>
        <v/>
      </c>
    </row>
    <row r="204">
      <c r="A204" t="n">
        <v>131</v>
      </c>
      <c r="B204">
        <f>MATCH(A204-1,$D$61:$D$68,1)</f>
        <v/>
      </c>
      <c r="C204">
        <f>INDEX($G$61:$G$68,B204)</f>
        <v/>
      </c>
      <c r="D204">
        <f>INDEX($L$61:$L$68,B204)</f>
        <v/>
      </c>
      <c r="E204">
        <f>INDEX($M$61:$M$68,B204)</f>
        <v/>
      </c>
      <c r="F204">
        <f>INDEX($N$61:$N$68,B204)</f>
        <v/>
      </c>
      <c r="G204">
        <f>INDEX($AA$61:$AA$68,B204)</f>
        <v/>
      </c>
      <c r="H204">
        <f>INDEX($X$61:$X$68,B204)</f>
        <v/>
      </c>
      <c r="I204">
        <f>INDEX($AF$61:$AF$68,B204)</f>
        <v/>
      </c>
      <c r="J204">
        <f>INDEX($AC$61:$AC$68,B204)</f>
        <v/>
      </c>
      <c r="K204">
        <f>INDEX($AD$61:$AD$68,B204)</f>
        <v/>
      </c>
      <c r="L204">
        <f>INDEX($AG$61:$AG$68,B204)</f>
        <v/>
      </c>
      <c r="M204">
        <f>INDEX($AH$61:$AH$68,B204)</f>
        <v/>
      </c>
      <c r="N204">
        <f>INDEX($AI$61:$AI$68,B204)</f>
        <v/>
      </c>
      <c r="O204">
        <f>O203*$B$26+L204*(1-$B$26)</f>
        <v/>
      </c>
      <c r="P204">
        <f>$B$7*(O204-O203)*(1-AS203)</f>
        <v/>
      </c>
      <c r="Q204">
        <f>M204+0.51274*AT203</f>
        <v/>
      </c>
      <c r="R204">
        <f>N204+0.616*AT203</f>
        <v/>
      </c>
      <c r="S204">
        <f>IF($B$13&gt;=0.6,Q204,IF($B$13&lt;=0.2,R204,R204+2.5*(Q204-R204)*($B$13-0.2)))</f>
        <v/>
      </c>
      <c r="T204">
        <f>IF(A204=1,S204,T203*$B$27+S204*(1-$B$27))</f>
        <v/>
      </c>
      <c r="U204">
        <f>0.6105*EXP(17.27*T204/(T204+237.3))</f>
        <v/>
      </c>
      <c r="V204">
        <f>($B$14*(I204*C204+IF(ABS((D204+0.1)-D204)&lt;0.000000001,4*$B$19*$B$20*(D204+273)^3,$B$19*$B$20*(((D204+0.1)+273)^4-(D204+273)^4)/((D204+0.1)-D204))*D204)+T204/H204)/($B$14*(I204+IF(ABS((D204+0.1)-D204)&lt;0.000000001,4*$B$19*$B$20*(D204+273)^3,$B$19*$B$20*(((D204+0.1)+273)^4-(D204+273)^4)/((D204+0.1)-D204)))+1/H204)</f>
        <v/>
      </c>
      <c r="W204">
        <f>($B$14*(I204*C204+IF(ABS(V204-D204)&lt;0.000000001,4*$B$19*$B$20*(D204+273)^3,$B$19*$B$20*((V204+273)^4-(D204+273)^4)/(V204-D204))*D204)+T204/H204)/($B$14*(I204+IF(ABS(V204-D204)&lt;0.000000001,4*$B$19*$B$20*(D204+273)^3,$B$19*$B$20*((V204+273)^4-(D204+273)^4)/(V204-D204)))+1/H204)</f>
        <v/>
      </c>
      <c r="X204">
        <f>($B$14*(I204*C204+IF(ABS(W204-D204)&lt;0.000000001,4*$B$19*$B$20*(D204+273)^3,$B$19*$B$20*((W204+273)^4-(D204+273)^4)/(W204-D204))*D204)+T204/H204)/($B$14*(I204+IF(ABS(W204-D204)&lt;0.000000001,4*$B$19*$B$20*(D204+273)^3,$B$19*$B$20*((W204+273)^4-(D204+273)^4)/(W204-D204)))+1/H204)</f>
        <v/>
      </c>
      <c r="Y204">
        <f>($B$14*(I204*C204+IF(ABS(X204-D204)&lt;0.000000001,4*$B$19*$B$20*(D204+273)^3,$B$19*$B$20*((X204+273)^4-(D204+273)^4)/(X204-D204))*D204)+T204/H204)/($B$14*(I204+IF(ABS(X204-D204)&lt;0.000000001,4*$B$19*$B$20*(D204+273)^3,$B$19*$B$20*((X204+273)^4-(D204+273)^4)/(X204-D204)))+1/H204)</f>
        <v/>
      </c>
      <c r="Z204">
        <f>IF(ABS(Y204-D204)&lt;0.000000001,4*$B$19*$B$20*(D204+273)^3,$B$19*$B$20*((Y204+273)^4-(D204+273)^4)/(Y204-D204))</f>
        <v/>
      </c>
      <c r="AA204">
        <f>$B$14*I204*(Y204-C204)</f>
        <v/>
      </c>
      <c r="AB204">
        <f>$B$14*Z204*(Y204-D204)</f>
        <v/>
      </c>
      <c r="AC204">
        <f>IF((U204-E204)/G204=0,0.001,(U204-E204)/G204)</f>
        <v/>
      </c>
      <c r="AD204">
        <f>F204-P204-J204-K204-AA204-AB204</f>
        <v/>
      </c>
      <c r="AE204">
        <f>AD204/AC204</f>
        <v/>
      </c>
      <c r="AF204">
        <f>IF(AD204&lt;=0,0,IF(AC204&lt;=0,$B$11,IF(AE204&gt;=1.7,$B$11,MIN(AD204/MAX(0.05,IF(AE204&gt;1,(2-AE204)^2/2,1-AE204^2/2)),$B$11))))</f>
        <v/>
      </c>
      <c r="AG204">
        <f>AG203*$B$28+AF204*(1-$B$28)</f>
        <v/>
      </c>
      <c r="AH204">
        <f>IF(AND(AD204&gt;0,AC204&lt;=0),0,AC204)</f>
        <v/>
      </c>
      <c r="AI204">
        <f>AH204/MAX(AG204,0.000001)</f>
        <v/>
      </c>
      <c r="AJ204">
        <f>MIN(IF(AI204&gt;=0.5,-AI204+SQRT(AI204^2+2),1),$B$12)</f>
        <v/>
      </c>
      <c r="AK204">
        <f>IF(AG204&lt;=0,0,AJ204*AH204)</f>
        <v/>
      </c>
      <c r="AL204">
        <f>IF(AD204&lt;=0,0,AD204)</f>
        <v/>
      </c>
      <c r="AM204">
        <f>AL204-AK204+P204</f>
        <v/>
      </c>
      <c r="AN204">
        <f>((AM204/$B$7+T203*AS203/2-T204*MAX(0.1,MIN(0.3,0.3-0.09*(AR203-36.8)))/2)+AR203*(1-AS203/2))/(1-MAX(0.1,MIN(0.3,0.3-0.09*(AR203-36.8)))/2)</f>
        <v/>
      </c>
      <c r="AO204">
        <f>((AM204/$B$7+T203*AS203/2-T204*MAX(0.1,MIN(0.3,0.3-0.09*(AN204-36.8)))/2)+AR203*(1-AS203/2))/(1-MAX(0.1,MIN(0.3,0.3-0.09*(AN204-36.8)))/2)</f>
        <v/>
      </c>
      <c r="AP204">
        <f>((AM204/$B$7+T203*AS203/2-T204*MAX(0.1,MIN(0.3,0.3-0.09*(AO204-36.8)))/2)+AR203*(1-AS203/2))/(1-MAX(0.1,MIN(0.3,0.3-0.09*(AO204-36.8)))/2)</f>
        <v/>
      </c>
      <c r="AQ204">
        <f>((AM204/$B$7+T203*AS203/2-T204*MAX(0.1,MIN(0.3,0.3-0.09*(AP204-36.8)))/2)+AR203*(1-AS203/2))/(1-MAX(0.1,MIN(0.3,0.3-0.09*(AP204-36.8)))/2)</f>
        <v/>
      </c>
      <c r="AR204">
        <f>((AM204/$B$7+T203*AS203/2-T204*MAX(0.1,MIN(0.3,0.3-0.09*(AQ204-36.8)))/2)+AR203*(1-AS203/2))/(1-MAX(0.1,MIN(0.3,0.3-0.09*(AQ204-36.8)))/2)</f>
        <v/>
      </c>
      <c r="AS204">
        <f>MAX(0.1,MIN(0.3,0.3-0.09*(AR204-36.8)))</f>
        <v/>
      </c>
      <c r="AT204">
        <f>AT203+(2*AR204-1.962*AT203-1.31)/9</f>
        <v/>
      </c>
      <c r="AU204">
        <f>AU203+AG204+K204</f>
        <v/>
      </c>
      <c r="AV204">
        <f>AU204*2.67*$B$6/1.8/60</f>
        <v/>
      </c>
      <c r="AW204">
        <f>IF(AT204&gt;=$B$36,1,0)</f>
        <v/>
      </c>
      <c r="AX204">
        <f>IF(AV204&gt;=$B$21,1,0)</f>
        <v/>
      </c>
    </row>
    <row r="205">
      <c r="A205" t="n">
        <v>132</v>
      </c>
      <c r="B205">
        <f>MATCH(A205-1,$D$61:$D$68,1)</f>
        <v/>
      </c>
      <c r="C205">
        <f>INDEX($G$61:$G$68,B205)</f>
        <v/>
      </c>
      <c r="D205">
        <f>INDEX($L$61:$L$68,B205)</f>
        <v/>
      </c>
      <c r="E205">
        <f>INDEX($M$61:$M$68,B205)</f>
        <v/>
      </c>
      <c r="F205">
        <f>INDEX($N$61:$N$68,B205)</f>
        <v/>
      </c>
      <c r="G205">
        <f>INDEX($AA$61:$AA$68,B205)</f>
        <v/>
      </c>
      <c r="H205">
        <f>INDEX($X$61:$X$68,B205)</f>
        <v/>
      </c>
      <c r="I205">
        <f>INDEX($AF$61:$AF$68,B205)</f>
        <v/>
      </c>
      <c r="J205">
        <f>INDEX($AC$61:$AC$68,B205)</f>
        <v/>
      </c>
      <c r="K205">
        <f>INDEX($AD$61:$AD$68,B205)</f>
        <v/>
      </c>
      <c r="L205">
        <f>INDEX($AG$61:$AG$68,B205)</f>
        <v/>
      </c>
      <c r="M205">
        <f>INDEX($AH$61:$AH$68,B205)</f>
        <v/>
      </c>
      <c r="N205">
        <f>INDEX($AI$61:$AI$68,B205)</f>
        <v/>
      </c>
      <c r="O205">
        <f>O204*$B$26+L205*(1-$B$26)</f>
        <v/>
      </c>
      <c r="P205">
        <f>$B$7*(O205-O204)*(1-AS204)</f>
        <v/>
      </c>
      <c r="Q205">
        <f>M205+0.51274*AT204</f>
        <v/>
      </c>
      <c r="R205">
        <f>N205+0.616*AT204</f>
        <v/>
      </c>
      <c r="S205">
        <f>IF($B$13&gt;=0.6,Q205,IF($B$13&lt;=0.2,R205,R205+2.5*(Q205-R205)*($B$13-0.2)))</f>
        <v/>
      </c>
      <c r="T205">
        <f>IF(A205=1,S205,T204*$B$27+S205*(1-$B$27))</f>
        <v/>
      </c>
      <c r="U205">
        <f>0.6105*EXP(17.27*T205/(T205+237.3))</f>
        <v/>
      </c>
      <c r="V205">
        <f>($B$14*(I205*C205+IF(ABS((D205+0.1)-D205)&lt;0.000000001,4*$B$19*$B$20*(D205+273)^3,$B$19*$B$20*(((D205+0.1)+273)^4-(D205+273)^4)/((D205+0.1)-D205))*D205)+T205/H205)/($B$14*(I205+IF(ABS((D205+0.1)-D205)&lt;0.000000001,4*$B$19*$B$20*(D205+273)^3,$B$19*$B$20*(((D205+0.1)+273)^4-(D205+273)^4)/((D205+0.1)-D205)))+1/H205)</f>
        <v/>
      </c>
      <c r="W205">
        <f>($B$14*(I205*C205+IF(ABS(V205-D205)&lt;0.000000001,4*$B$19*$B$20*(D205+273)^3,$B$19*$B$20*((V205+273)^4-(D205+273)^4)/(V205-D205))*D205)+T205/H205)/($B$14*(I205+IF(ABS(V205-D205)&lt;0.000000001,4*$B$19*$B$20*(D205+273)^3,$B$19*$B$20*((V205+273)^4-(D205+273)^4)/(V205-D205)))+1/H205)</f>
        <v/>
      </c>
      <c r="X205">
        <f>($B$14*(I205*C205+IF(ABS(W205-D205)&lt;0.000000001,4*$B$19*$B$20*(D205+273)^3,$B$19*$B$20*((W205+273)^4-(D205+273)^4)/(W205-D205))*D205)+T205/H205)/($B$14*(I205+IF(ABS(W205-D205)&lt;0.000000001,4*$B$19*$B$20*(D205+273)^3,$B$19*$B$20*((W205+273)^4-(D205+273)^4)/(W205-D205)))+1/H205)</f>
        <v/>
      </c>
      <c r="Y205">
        <f>($B$14*(I205*C205+IF(ABS(X205-D205)&lt;0.000000001,4*$B$19*$B$20*(D205+273)^3,$B$19*$B$20*((X205+273)^4-(D205+273)^4)/(X205-D205))*D205)+T205/H205)/($B$14*(I205+IF(ABS(X205-D205)&lt;0.000000001,4*$B$19*$B$20*(D205+273)^3,$B$19*$B$20*((X205+273)^4-(D205+273)^4)/(X205-D205)))+1/H205)</f>
        <v/>
      </c>
      <c r="Z205">
        <f>IF(ABS(Y205-D205)&lt;0.000000001,4*$B$19*$B$20*(D205+273)^3,$B$19*$B$20*((Y205+273)^4-(D205+273)^4)/(Y205-D205))</f>
        <v/>
      </c>
      <c r="AA205">
        <f>$B$14*I205*(Y205-C205)</f>
        <v/>
      </c>
      <c r="AB205">
        <f>$B$14*Z205*(Y205-D205)</f>
        <v/>
      </c>
      <c r="AC205">
        <f>IF((U205-E205)/G205=0,0.001,(U205-E205)/G205)</f>
        <v/>
      </c>
      <c r="AD205">
        <f>F205-P205-J205-K205-AA205-AB205</f>
        <v/>
      </c>
      <c r="AE205">
        <f>AD205/AC205</f>
        <v/>
      </c>
      <c r="AF205">
        <f>IF(AD205&lt;=0,0,IF(AC205&lt;=0,$B$11,IF(AE205&gt;=1.7,$B$11,MIN(AD205/MAX(0.05,IF(AE205&gt;1,(2-AE205)^2/2,1-AE205^2/2)),$B$11))))</f>
        <v/>
      </c>
      <c r="AG205">
        <f>AG204*$B$28+AF205*(1-$B$28)</f>
        <v/>
      </c>
      <c r="AH205">
        <f>IF(AND(AD205&gt;0,AC205&lt;=0),0,AC205)</f>
        <v/>
      </c>
      <c r="AI205">
        <f>AH205/MAX(AG205,0.000001)</f>
        <v/>
      </c>
      <c r="AJ205">
        <f>MIN(IF(AI205&gt;=0.5,-AI205+SQRT(AI205^2+2),1),$B$12)</f>
        <v/>
      </c>
      <c r="AK205">
        <f>IF(AG205&lt;=0,0,AJ205*AH205)</f>
        <v/>
      </c>
      <c r="AL205">
        <f>IF(AD205&lt;=0,0,AD205)</f>
        <v/>
      </c>
      <c r="AM205">
        <f>AL205-AK205+P205</f>
        <v/>
      </c>
      <c r="AN205">
        <f>((AM205/$B$7+T204*AS204/2-T205*MAX(0.1,MIN(0.3,0.3-0.09*(AR204-36.8)))/2)+AR204*(1-AS204/2))/(1-MAX(0.1,MIN(0.3,0.3-0.09*(AR204-36.8)))/2)</f>
        <v/>
      </c>
      <c r="AO205">
        <f>((AM205/$B$7+T204*AS204/2-T205*MAX(0.1,MIN(0.3,0.3-0.09*(AN205-36.8)))/2)+AR204*(1-AS204/2))/(1-MAX(0.1,MIN(0.3,0.3-0.09*(AN205-36.8)))/2)</f>
        <v/>
      </c>
      <c r="AP205">
        <f>((AM205/$B$7+T204*AS204/2-T205*MAX(0.1,MIN(0.3,0.3-0.09*(AO205-36.8)))/2)+AR204*(1-AS204/2))/(1-MAX(0.1,MIN(0.3,0.3-0.09*(AO205-36.8)))/2)</f>
        <v/>
      </c>
      <c r="AQ205">
        <f>((AM205/$B$7+T204*AS204/2-T205*MAX(0.1,MIN(0.3,0.3-0.09*(AP205-36.8)))/2)+AR204*(1-AS204/2))/(1-MAX(0.1,MIN(0.3,0.3-0.09*(AP205-36.8)))/2)</f>
        <v/>
      </c>
      <c r="AR205">
        <f>((AM205/$B$7+T204*AS204/2-T205*MAX(0.1,MIN(0.3,0.3-0.09*(AQ205-36.8)))/2)+AR204*(1-AS204/2))/(1-MAX(0.1,MIN(0.3,0.3-0.09*(AQ205-36.8)))/2)</f>
        <v/>
      </c>
      <c r="AS205">
        <f>MAX(0.1,MIN(0.3,0.3-0.09*(AR205-36.8)))</f>
        <v/>
      </c>
      <c r="AT205">
        <f>AT204+(2*AR205-1.962*AT204-1.31)/9</f>
        <v/>
      </c>
      <c r="AU205">
        <f>AU204+AG205+K205</f>
        <v/>
      </c>
      <c r="AV205">
        <f>AU205*2.67*$B$6/1.8/60</f>
        <v/>
      </c>
      <c r="AW205">
        <f>IF(AT205&gt;=$B$36,1,0)</f>
        <v/>
      </c>
      <c r="AX205">
        <f>IF(AV205&gt;=$B$21,1,0)</f>
        <v/>
      </c>
    </row>
    <row r="206">
      <c r="A206" t="n">
        <v>133</v>
      </c>
      <c r="B206">
        <f>MATCH(A206-1,$D$61:$D$68,1)</f>
        <v/>
      </c>
      <c r="C206">
        <f>INDEX($G$61:$G$68,B206)</f>
        <v/>
      </c>
      <c r="D206">
        <f>INDEX($L$61:$L$68,B206)</f>
        <v/>
      </c>
      <c r="E206">
        <f>INDEX($M$61:$M$68,B206)</f>
        <v/>
      </c>
      <c r="F206">
        <f>INDEX($N$61:$N$68,B206)</f>
        <v/>
      </c>
      <c r="G206">
        <f>INDEX($AA$61:$AA$68,B206)</f>
        <v/>
      </c>
      <c r="H206">
        <f>INDEX($X$61:$X$68,B206)</f>
        <v/>
      </c>
      <c r="I206">
        <f>INDEX($AF$61:$AF$68,B206)</f>
        <v/>
      </c>
      <c r="J206">
        <f>INDEX($AC$61:$AC$68,B206)</f>
        <v/>
      </c>
      <c r="K206">
        <f>INDEX($AD$61:$AD$68,B206)</f>
        <v/>
      </c>
      <c r="L206">
        <f>INDEX($AG$61:$AG$68,B206)</f>
        <v/>
      </c>
      <c r="M206">
        <f>INDEX($AH$61:$AH$68,B206)</f>
        <v/>
      </c>
      <c r="N206">
        <f>INDEX($AI$61:$AI$68,B206)</f>
        <v/>
      </c>
      <c r="O206">
        <f>O205*$B$26+L206*(1-$B$26)</f>
        <v/>
      </c>
      <c r="P206">
        <f>$B$7*(O206-O205)*(1-AS205)</f>
        <v/>
      </c>
      <c r="Q206">
        <f>M206+0.51274*AT205</f>
        <v/>
      </c>
      <c r="R206">
        <f>N206+0.616*AT205</f>
        <v/>
      </c>
      <c r="S206">
        <f>IF($B$13&gt;=0.6,Q206,IF($B$13&lt;=0.2,R206,R206+2.5*(Q206-R206)*($B$13-0.2)))</f>
        <v/>
      </c>
      <c r="T206">
        <f>IF(A206=1,S206,T205*$B$27+S206*(1-$B$27))</f>
        <v/>
      </c>
      <c r="U206">
        <f>0.6105*EXP(17.27*T206/(T206+237.3))</f>
        <v/>
      </c>
      <c r="V206">
        <f>($B$14*(I206*C206+IF(ABS((D206+0.1)-D206)&lt;0.000000001,4*$B$19*$B$20*(D206+273)^3,$B$19*$B$20*(((D206+0.1)+273)^4-(D206+273)^4)/((D206+0.1)-D206))*D206)+T206/H206)/($B$14*(I206+IF(ABS((D206+0.1)-D206)&lt;0.000000001,4*$B$19*$B$20*(D206+273)^3,$B$19*$B$20*(((D206+0.1)+273)^4-(D206+273)^4)/((D206+0.1)-D206)))+1/H206)</f>
        <v/>
      </c>
      <c r="W206">
        <f>($B$14*(I206*C206+IF(ABS(V206-D206)&lt;0.000000001,4*$B$19*$B$20*(D206+273)^3,$B$19*$B$20*((V206+273)^4-(D206+273)^4)/(V206-D206))*D206)+T206/H206)/($B$14*(I206+IF(ABS(V206-D206)&lt;0.000000001,4*$B$19*$B$20*(D206+273)^3,$B$19*$B$20*((V206+273)^4-(D206+273)^4)/(V206-D206)))+1/H206)</f>
        <v/>
      </c>
      <c r="X206">
        <f>($B$14*(I206*C206+IF(ABS(W206-D206)&lt;0.000000001,4*$B$19*$B$20*(D206+273)^3,$B$19*$B$20*((W206+273)^4-(D206+273)^4)/(W206-D206))*D206)+T206/H206)/($B$14*(I206+IF(ABS(W206-D206)&lt;0.000000001,4*$B$19*$B$20*(D206+273)^3,$B$19*$B$20*((W206+273)^4-(D206+273)^4)/(W206-D206)))+1/H206)</f>
        <v/>
      </c>
      <c r="Y206">
        <f>($B$14*(I206*C206+IF(ABS(X206-D206)&lt;0.000000001,4*$B$19*$B$20*(D206+273)^3,$B$19*$B$20*((X206+273)^4-(D206+273)^4)/(X206-D206))*D206)+T206/H206)/($B$14*(I206+IF(ABS(X206-D206)&lt;0.000000001,4*$B$19*$B$20*(D206+273)^3,$B$19*$B$20*((X206+273)^4-(D206+273)^4)/(X206-D206)))+1/H206)</f>
        <v/>
      </c>
      <c r="Z206">
        <f>IF(ABS(Y206-D206)&lt;0.000000001,4*$B$19*$B$20*(D206+273)^3,$B$19*$B$20*((Y206+273)^4-(D206+273)^4)/(Y206-D206))</f>
        <v/>
      </c>
      <c r="AA206">
        <f>$B$14*I206*(Y206-C206)</f>
        <v/>
      </c>
      <c r="AB206">
        <f>$B$14*Z206*(Y206-D206)</f>
        <v/>
      </c>
      <c r="AC206">
        <f>IF((U206-E206)/G206=0,0.001,(U206-E206)/G206)</f>
        <v/>
      </c>
      <c r="AD206">
        <f>F206-P206-J206-K206-AA206-AB206</f>
        <v/>
      </c>
      <c r="AE206">
        <f>AD206/AC206</f>
        <v/>
      </c>
      <c r="AF206">
        <f>IF(AD206&lt;=0,0,IF(AC206&lt;=0,$B$11,IF(AE206&gt;=1.7,$B$11,MIN(AD206/MAX(0.05,IF(AE206&gt;1,(2-AE206)^2/2,1-AE206^2/2)),$B$11))))</f>
        <v/>
      </c>
      <c r="AG206">
        <f>AG205*$B$28+AF206*(1-$B$28)</f>
        <v/>
      </c>
      <c r="AH206">
        <f>IF(AND(AD206&gt;0,AC206&lt;=0),0,AC206)</f>
        <v/>
      </c>
      <c r="AI206">
        <f>AH206/MAX(AG206,0.000001)</f>
        <v/>
      </c>
      <c r="AJ206">
        <f>MIN(IF(AI206&gt;=0.5,-AI206+SQRT(AI206^2+2),1),$B$12)</f>
        <v/>
      </c>
      <c r="AK206">
        <f>IF(AG206&lt;=0,0,AJ206*AH206)</f>
        <v/>
      </c>
      <c r="AL206">
        <f>IF(AD206&lt;=0,0,AD206)</f>
        <v/>
      </c>
      <c r="AM206">
        <f>AL206-AK206+P206</f>
        <v/>
      </c>
      <c r="AN206">
        <f>((AM206/$B$7+T205*AS205/2-T206*MAX(0.1,MIN(0.3,0.3-0.09*(AR205-36.8)))/2)+AR205*(1-AS205/2))/(1-MAX(0.1,MIN(0.3,0.3-0.09*(AR205-36.8)))/2)</f>
        <v/>
      </c>
      <c r="AO206">
        <f>((AM206/$B$7+T205*AS205/2-T206*MAX(0.1,MIN(0.3,0.3-0.09*(AN206-36.8)))/2)+AR205*(1-AS205/2))/(1-MAX(0.1,MIN(0.3,0.3-0.09*(AN206-36.8)))/2)</f>
        <v/>
      </c>
      <c r="AP206">
        <f>((AM206/$B$7+T205*AS205/2-T206*MAX(0.1,MIN(0.3,0.3-0.09*(AO206-36.8)))/2)+AR205*(1-AS205/2))/(1-MAX(0.1,MIN(0.3,0.3-0.09*(AO206-36.8)))/2)</f>
        <v/>
      </c>
      <c r="AQ206">
        <f>((AM206/$B$7+T205*AS205/2-T206*MAX(0.1,MIN(0.3,0.3-0.09*(AP206-36.8)))/2)+AR205*(1-AS205/2))/(1-MAX(0.1,MIN(0.3,0.3-0.09*(AP206-36.8)))/2)</f>
        <v/>
      </c>
      <c r="AR206">
        <f>((AM206/$B$7+T205*AS205/2-T206*MAX(0.1,MIN(0.3,0.3-0.09*(AQ206-36.8)))/2)+AR205*(1-AS205/2))/(1-MAX(0.1,MIN(0.3,0.3-0.09*(AQ206-36.8)))/2)</f>
        <v/>
      </c>
      <c r="AS206">
        <f>MAX(0.1,MIN(0.3,0.3-0.09*(AR206-36.8)))</f>
        <v/>
      </c>
      <c r="AT206">
        <f>AT205+(2*AR206-1.962*AT205-1.31)/9</f>
        <v/>
      </c>
      <c r="AU206">
        <f>AU205+AG206+K206</f>
        <v/>
      </c>
      <c r="AV206">
        <f>AU206*2.67*$B$6/1.8/60</f>
        <v/>
      </c>
      <c r="AW206">
        <f>IF(AT206&gt;=$B$36,1,0)</f>
        <v/>
      </c>
      <c r="AX206">
        <f>IF(AV206&gt;=$B$21,1,0)</f>
        <v/>
      </c>
    </row>
    <row r="207">
      <c r="A207" t="n">
        <v>134</v>
      </c>
      <c r="B207">
        <f>MATCH(A207-1,$D$61:$D$68,1)</f>
        <v/>
      </c>
      <c r="C207">
        <f>INDEX($G$61:$G$68,B207)</f>
        <v/>
      </c>
      <c r="D207">
        <f>INDEX($L$61:$L$68,B207)</f>
        <v/>
      </c>
      <c r="E207">
        <f>INDEX($M$61:$M$68,B207)</f>
        <v/>
      </c>
      <c r="F207">
        <f>INDEX($N$61:$N$68,B207)</f>
        <v/>
      </c>
      <c r="G207">
        <f>INDEX($AA$61:$AA$68,B207)</f>
        <v/>
      </c>
      <c r="H207">
        <f>INDEX($X$61:$X$68,B207)</f>
        <v/>
      </c>
      <c r="I207">
        <f>INDEX($AF$61:$AF$68,B207)</f>
        <v/>
      </c>
      <c r="J207">
        <f>INDEX($AC$61:$AC$68,B207)</f>
        <v/>
      </c>
      <c r="K207">
        <f>INDEX($AD$61:$AD$68,B207)</f>
        <v/>
      </c>
      <c r="L207">
        <f>INDEX($AG$61:$AG$68,B207)</f>
        <v/>
      </c>
      <c r="M207">
        <f>INDEX($AH$61:$AH$68,B207)</f>
        <v/>
      </c>
      <c r="N207">
        <f>INDEX($AI$61:$AI$68,B207)</f>
        <v/>
      </c>
      <c r="O207">
        <f>O206*$B$26+L207*(1-$B$26)</f>
        <v/>
      </c>
      <c r="P207">
        <f>$B$7*(O207-O206)*(1-AS206)</f>
        <v/>
      </c>
      <c r="Q207">
        <f>M207+0.51274*AT206</f>
        <v/>
      </c>
      <c r="R207">
        <f>N207+0.616*AT206</f>
        <v/>
      </c>
      <c r="S207">
        <f>IF($B$13&gt;=0.6,Q207,IF($B$13&lt;=0.2,R207,R207+2.5*(Q207-R207)*($B$13-0.2)))</f>
        <v/>
      </c>
      <c r="T207">
        <f>IF(A207=1,S207,T206*$B$27+S207*(1-$B$27))</f>
        <v/>
      </c>
      <c r="U207">
        <f>0.6105*EXP(17.27*T207/(T207+237.3))</f>
        <v/>
      </c>
      <c r="V207">
        <f>($B$14*(I207*C207+IF(ABS((D207+0.1)-D207)&lt;0.000000001,4*$B$19*$B$20*(D207+273)^3,$B$19*$B$20*(((D207+0.1)+273)^4-(D207+273)^4)/((D207+0.1)-D207))*D207)+T207/H207)/($B$14*(I207+IF(ABS((D207+0.1)-D207)&lt;0.000000001,4*$B$19*$B$20*(D207+273)^3,$B$19*$B$20*(((D207+0.1)+273)^4-(D207+273)^4)/((D207+0.1)-D207)))+1/H207)</f>
        <v/>
      </c>
      <c r="W207">
        <f>($B$14*(I207*C207+IF(ABS(V207-D207)&lt;0.000000001,4*$B$19*$B$20*(D207+273)^3,$B$19*$B$20*((V207+273)^4-(D207+273)^4)/(V207-D207))*D207)+T207/H207)/($B$14*(I207+IF(ABS(V207-D207)&lt;0.000000001,4*$B$19*$B$20*(D207+273)^3,$B$19*$B$20*((V207+273)^4-(D207+273)^4)/(V207-D207)))+1/H207)</f>
        <v/>
      </c>
      <c r="X207">
        <f>($B$14*(I207*C207+IF(ABS(W207-D207)&lt;0.000000001,4*$B$19*$B$20*(D207+273)^3,$B$19*$B$20*((W207+273)^4-(D207+273)^4)/(W207-D207))*D207)+T207/H207)/($B$14*(I207+IF(ABS(W207-D207)&lt;0.000000001,4*$B$19*$B$20*(D207+273)^3,$B$19*$B$20*((W207+273)^4-(D207+273)^4)/(W207-D207)))+1/H207)</f>
        <v/>
      </c>
      <c r="Y207">
        <f>($B$14*(I207*C207+IF(ABS(X207-D207)&lt;0.000000001,4*$B$19*$B$20*(D207+273)^3,$B$19*$B$20*((X207+273)^4-(D207+273)^4)/(X207-D207))*D207)+T207/H207)/($B$14*(I207+IF(ABS(X207-D207)&lt;0.000000001,4*$B$19*$B$20*(D207+273)^3,$B$19*$B$20*((X207+273)^4-(D207+273)^4)/(X207-D207)))+1/H207)</f>
        <v/>
      </c>
      <c r="Z207">
        <f>IF(ABS(Y207-D207)&lt;0.000000001,4*$B$19*$B$20*(D207+273)^3,$B$19*$B$20*((Y207+273)^4-(D207+273)^4)/(Y207-D207))</f>
        <v/>
      </c>
      <c r="AA207">
        <f>$B$14*I207*(Y207-C207)</f>
        <v/>
      </c>
      <c r="AB207">
        <f>$B$14*Z207*(Y207-D207)</f>
        <v/>
      </c>
      <c r="AC207">
        <f>IF((U207-E207)/G207=0,0.001,(U207-E207)/G207)</f>
        <v/>
      </c>
      <c r="AD207">
        <f>F207-P207-J207-K207-AA207-AB207</f>
        <v/>
      </c>
      <c r="AE207">
        <f>AD207/AC207</f>
        <v/>
      </c>
      <c r="AF207">
        <f>IF(AD207&lt;=0,0,IF(AC207&lt;=0,$B$11,IF(AE207&gt;=1.7,$B$11,MIN(AD207/MAX(0.05,IF(AE207&gt;1,(2-AE207)^2/2,1-AE207^2/2)),$B$11))))</f>
        <v/>
      </c>
      <c r="AG207">
        <f>AG206*$B$28+AF207*(1-$B$28)</f>
        <v/>
      </c>
      <c r="AH207">
        <f>IF(AND(AD207&gt;0,AC207&lt;=0),0,AC207)</f>
        <v/>
      </c>
      <c r="AI207">
        <f>AH207/MAX(AG207,0.000001)</f>
        <v/>
      </c>
      <c r="AJ207">
        <f>MIN(IF(AI207&gt;=0.5,-AI207+SQRT(AI207^2+2),1),$B$12)</f>
        <v/>
      </c>
      <c r="AK207">
        <f>IF(AG207&lt;=0,0,AJ207*AH207)</f>
        <v/>
      </c>
      <c r="AL207">
        <f>IF(AD207&lt;=0,0,AD207)</f>
        <v/>
      </c>
      <c r="AM207">
        <f>AL207-AK207+P207</f>
        <v/>
      </c>
      <c r="AN207">
        <f>((AM207/$B$7+T206*AS206/2-T207*MAX(0.1,MIN(0.3,0.3-0.09*(AR206-36.8)))/2)+AR206*(1-AS206/2))/(1-MAX(0.1,MIN(0.3,0.3-0.09*(AR206-36.8)))/2)</f>
        <v/>
      </c>
      <c r="AO207">
        <f>((AM207/$B$7+T206*AS206/2-T207*MAX(0.1,MIN(0.3,0.3-0.09*(AN207-36.8)))/2)+AR206*(1-AS206/2))/(1-MAX(0.1,MIN(0.3,0.3-0.09*(AN207-36.8)))/2)</f>
        <v/>
      </c>
      <c r="AP207">
        <f>((AM207/$B$7+T206*AS206/2-T207*MAX(0.1,MIN(0.3,0.3-0.09*(AO207-36.8)))/2)+AR206*(1-AS206/2))/(1-MAX(0.1,MIN(0.3,0.3-0.09*(AO207-36.8)))/2)</f>
        <v/>
      </c>
      <c r="AQ207">
        <f>((AM207/$B$7+T206*AS206/2-T207*MAX(0.1,MIN(0.3,0.3-0.09*(AP207-36.8)))/2)+AR206*(1-AS206/2))/(1-MAX(0.1,MIN(0.3,0.3-0.09*(AP207-36.8)))/2)</f>
        <v/>
      </c>
      <c r="AR207">
        <f>((AM207/$B$7+T206*AS206/2-T207*MAX(0.1,MIN(0.3,0.3-0.09*(AQ207-36.8)))/2)+AR206*(1-AS206/2))/(1-MAX(0.1,MIN(0.3,0.3-0.09*(AQ207-36.8)))/2)</f>
        <v/>
      </c>
      <c r="AS207">
        <f>MAX(0.1,MIN(0.3,0.3-0.09*(AR207-36.8)))</f>
        <v/>
      </c>
      <c r="AT207">
        <f>AT206+(2*AR207-1.962*AT206-1.31)/9</f>
        <v/>
      </c>
      <c r="AU207">
        <f>AU206+AG207+K207</f>
        <v/>
      </c>
      <c r="AV207">
        <f>AU207*2.67*$B$6/1.8/60</f>
        <v/>
      </c>
      <c r="AW207">
        <f>IF(AT207&gt;=$B$36,1,0)</f>
        <v/>
      </c>
      <c r="AX207">
        <f>IF(AV207&gt;=$B$21,1,0)</f>
        <v/>
      </c>
    </row>
    <row r="208">
      <c r="A208" t="n">
        <v>135</v>
      </c>
      <c r="B208">
        <f>MATCH(A208-1,$D$61:$D$68,1)</f>
        <v/>
      </c>
      <c r="C208">
        <f>INDEX($G$61:$G$68,B208)</f>
        <v/>
      </c>
      <c r="D208">
        <f>INDEX($L$61:$L$68,B208)</f>
        <v/>
      </c>
      <c r="E208">
        <f>INDEX($M$61:$M$68,B208)</f>
        <v/>
      </c>
      <c r="F208">
        <f>INDEX($N$61:$N$68,B208)</f>
        <v/>
      </c>
      <c r="G208">
        <f>INDEX($AA$61:$AA$68,B208)</f>
        <v/>
      </c>
      <c r="H208">
        <f>INDEX($X$61:$X$68,B208)</f>
        <v/>
      </c>
      <c r="I208">
        <f>INDEX($AF$61:$AF$68,B208)</f>
        <v/>
      </c>
      <c r="J208">
        <f>INDEX($AC$61:$AC$68,B208)</f>
        <v/>
      </c>
      <c r="K208">
        <f>INDEX($AD$61:$AD$68,B208)</f>
        <v/>
      </c>
      <c r="L208">
        <f>INDEX($AG$61:$AG$68,B208)</f>
        <v/>
      </c>
      <c r="M208">
        <f>INDEX($AH$61:$AH$68,B208)</f>
        <v/>
      </c>
      <c r="N208">
        <f>INDEX($AI$61:$AI$68,B208)</f>
        <v/>
      </c>
      <c r="O208">
        <f>O207*$B$26+L208*(1-$B$26)</f>
        <v/>
      </c>
      <c r="P208">
        <f>$B$7*(O208-O207)*(1-AS207)</f>
        <v/>
      </c>
      <c r="Q208">
        <f>M208+0.51274*AT207</f>
        <v/>
      </c>
      <c r="R208">
        <f>N208+0.616*AT207</f>
        <v/>
      </c>
      <c r="S208">
        <f>IF($B$13&gt;=0.6,Q208,IF($B$13&lt;=0.2,R208,R208+2.5*(Q208-R208)*($B$13-0.2)))</f>
        <v/>
      </c>
      <c r="T208">
        <f>IF(A208=1,S208,T207*$B$27+S208*(1-$B$27))</f>
        <v/>
      </c>
      <c r="U208">
        <f>0.6105*EXP(17.27*T208/(T208+237.3))</f>
        <v/>
      </c>
      <c r="V208">
        <f>($B$14*(I208*C208+IF(ABS((D208+0.1)-D208)&lt;0.000000001,4*$B$19*$B$20*(D208+273)^3,$B$19*$B$20*(((D208+0.1)+273)^4-(D208+273)^4)/((D208+0.1)-D208))*D208)+T208/H208)/($B$14*(I208+IF(ABS((D208+0.1)-D208)&lt;0.000000001,4*$B$19*$B$20*(D208+273)^3,$B$19*$B$20*(((D208+0.1)+273)^4-(D208+273)^4)/((D208+0.1)-D208)))+1/H208)</f>
        <v/>
      </c>
      <c r="W208">
        <f>($B$14*(I208*C208+IF(ABS(V208-D208)&lt;0.000000001,4*$B$19*$B$20*(D208+273)^3,$B$19*$B$20*((V208+273)^4-(D208+273)^4)/(V208-D208))*D208)+T208/H208)/($B$14*(I208+IF(ABS(V208-D208)&lt;0.000000001,4*$B$19*$B$20*(D208+273)^3,$B$19*$B$20*((V208+273)^4-(D208+273)^4)/(V208-D208)))+1/H208)</f>
        <v/>
      </c>
      <c r="X208">
        <f>($B$14*(I208*C208+IF(ABS(W208-D208)&lt;0.000000001,4*$B$19*$B$20*(D208+273)^3,$B$19*$B$20*((W208+273)^4-(D208+273)^4)/(W208-D208))*D208)+T208/H208)/($B$14*(I208+IF(ABS(W208-D208)&lt;0.000000001,4*$B$19*$B$20*(D208+273)^3,$B$19*$B$20*((W208+273)^4-(D208+273)^4)/(W208-D208)))+1/H208)</f>
        <v/>
      </c>
      <c r="Y208">
        <f>($B$14*(I208*C208+IF(ABS(X208-D208)&lt;0.000000001,4*$B$19*$B$20*(D208+273)^3,$B$19*$B$20*((X208+273)^4-(D208+273)^4)/(X208-D208))*D208)+T208/H208)/($B$14*(I208+IF(ABS(X208-D208)&lt;0.000000001,4*$B$19*$B$20*(D208+273)^3,$B$19*$B$20*((X208+273)^4-(D208+273)^4)/(X208-D208)))+1/H208)</f>
        <v/>
      </c>
      <c r="Z208">
        <f>IF(ABS(Y208-D208)&lt;0.000000001,4*$B$19*$B$20*(D208+273)^3,$B$19*$B$20*((Y208+273)^4-(D208+273)^4)/(Y208-D208))</f>
        <v/>
      </c>
      <c r="AA208">
        <f>$B$14*I208*(Y208-C208)</f>
        <v/>
      </c>
      <c r="AB208">
        <f>$B$14*Z208*(Y208-D208)</f>
        <v/>
      </c>
      <c r="AC208">
        <f>IF((U208-E208)/G208=0,0.001,(U208-E208)/G208)</f>
        <v/>
      </c>
      <c r="AD208">
        <f>F208-P208-J208-K208-AA208-AB208</f>
        <v/>
      </c>
      <c r="AE208">
        <f>AD208/AC208</f>
        <v/>
      </c>
      <c r="AF208">
        <f>IF(AD208&lt;=0,0,IF(AC208&lt;=0,$B$11,IF(AE208&gt;=1.7,$B$11,MIN(AD208/MAX(0.05,IF(AE208&gt;1,(2-AE208)^2/2,1-AE208^2/2)),$B$11))))</f>
        <v/>
      </c>
      <c r="AG208">
        <f>AG207*$B$28+AF208*(1-$B$28)</f>
        <v/>
      </c>
      <c r="AH208">
        <f>IF(AND(AD208&gt;0,AC208&lt;=0),0,AC208)</f>
        <v/>
      </c>
      <c r="AI208">
        <f>AH208/MAX(AG208,0.000001)</f>
        <v/>
      </c>
      <c r="AJ208">
        <f>MIN(IF(AI208&gt;=0.5,-AI208+SQRT(AI208^2+2),1),$B$12)</f>
        <v/>
      </c>
      <c r="AK208">
        <f>IF(AG208&lt;=0,0,AJ208*AH208)</f>
        <v/>
      </c>
      <c r="AL208">
        <f>IF(AD208&lt;=0,0,AD208)</f>
        <v/>
      </c>
      <c r="AM208">
        <f>AL208-AK208+P208</f>
        <v/>
      </c>
      <c r="AN208">
        <f>((AM208/$B$7+T207*AS207/2-T208*MAX(0.1,MIN(0.3,0.3-0.09*(AR207-36.8)))/2)+AR207*(1-AS207/2))/(1-MAX(0.1,MIN(0.3,0.3-0.09*(AR207-36.8)))/2)</f>
        <v/>
      </c>
      <c r="AO208">
        <f>((AM208/$B$7+T207*AS207/2-T208*MAX(0.1,MIN(0.3,0.3-0.09*(AN208-36.8)))/2)+AR207*(1-AS207/2))/(1-MAX(0.1,MIN(0.3,0.3-0.09*(AN208-36.8)))/2)</f>
        <v/>
      </c>
      <c r="AP208">
        <f>((AM208/$B$7+T207*AS207/2-T208*MAX(0.1,MIN(0.3,0.3-0.09*(AO208-36.8)))/2)+AR207*(1-AS207/2))/(1-MAX(0.1,MIN(0.3,0.3-0.09*(AO208-36.8)))/2)</f>
        <v/>
      </c>
      <c r="AQ208">
        <f>((AM208/$B$7+T207*AS207/2-T208*MAX(0.1,MIN(0.3,0.3-0.09*(AP208-36.8)))/2)+AR207*(1-AS207/2))/(1-MAX(0.1,MIN(0.3,0.3-0.09*(AP208-36.8)))/2)</f>
        <v/>
      </c>
      <c r="AR208">
        <f>((AM208/$B$7+T207*AS207/2-T208*MAX(0.1,MIN(0.3,0.3-0.09*(AQ208-36.8)))/2)+AR207*(1-AS207/2))/(1-MAX(0.1,MIN(0.3,0.3-0.09*(AQ208-36.8)))/2)</f>
        <v/>
      </c>
      <c r="AS208">
        <f>MAX(0.1,MIN(0.3,0.3-0.09*(AR208-36.8)))</f>
        <v/>
      </c>
      <c r="AT208">
        <f>AT207+(2*AR208-1.962*AT207-1.31)/9</f>
        <v/>
      </c>
      <c r="AU208">
        <f>AU207+AG208+K208</f>
        <v/>
      </c>
      <c r="AV208">
        <f>AU208*2.67*$B$6/1.8/60</f>
        <v/>
      </c>
      <c r="AW208">
        <f>IF(AT208&gt;=$B$36,1,0)</f>
        <v/>
      </c>
      <c r="AX208">
        <f>IF(AV208&gt;=$B$21,1,0)</f>
        <v/>
      </c>
    </row>
    <row r="209">
      <c r="A209" t="n">
        <v>136</v>
      </c>
      <c r="B209">
        <f>MATCH(A209-1,$D$61:$D$68,1)</f>
        <v/>
      </c>
      <c r="C209">
        <f>INDEX($G$61:$G$68,B209)</f>
        <v/>
      </c>
      <c r="D209">
        <f>INDEX($L$61:$L$68,B209)</f>
        <v/>
      </c>
      <c r="E209">
        <f>INDEX($M$61:$M$68,B209)</f>
        <v/>
      </c>
      <c r="F209">
        <f>INDEX($N$61:$N$68,B209)</f>
        <v/>
      </c>
      <c r="G209">
        <f>INDEX($AA$61:$AA$68,B209)</f>
        <v/>
      </c>
      <c r="H209">
        <f>INDEX($X$61:$X$68,B209)</f>
        <v/>
      </c>
      <c r="I209">
        <f>INDEX($AF$61:$AF$68,B209)</f>
        <v/>
      </c>
      <c r="J209">
        <f>INDEX($AC$61:$AC$68,B209)</f>
        <v/>
      </c>
      <c r="K209">
        <f>INDEX($AD$61:$AD$68,B209)</f>
        <v/>
      </c>
      <c r="L209">
        <f>INDEX($AG$61:$AG$68,B209)</f>
        <v/>
      </c>
      <c r="M209">
        <f>INDEX($AH$61:$AH$68,B209)</f>
        <v/>
      </c>
      <c r="N209">
        <f>INDEX($AI$61:$AI$68,B209)</f>
        <v/>
      </c>
      <c r="O209">
        <f>O208*$B$26+L209*(1-$B$26)</f>
        <v/>
      </c>
      <c r="P209">
        <f>$B$7*(O209-O208)*(1-AS208)</f>
        <v/>
      </c>
      <c r="Q209">
        <f>M209+0.51274*AT208</f>
        <v/>
      </c>
      <c r="R209">
        <f>N209+0.616*AT208</f>
        <v/>
      </c>
      <c r="S209">
        <f>IF($B$13&gt;=0.6,Q209,IF($B$13&lt;=0.2,R209,R209+2.5*(Q209-R209)*($B$13-0.2)))</f>
        <v/>
      </c>
      <c r="T209">
        <f>IF(A209=1,S209,T208*$B$27+S209*(1-$B$27))</f>
        <v/>
      </c>
      <c r="U209">
        <f>0.6105*EXP(17.27*T209/(T209+237.3))</f>
        <v/>
      </c>
      <c r="V209">
        <f>($B$14*(I209*C209+IF(ABS((D209+0.1)-D209)&lt;0.000000001,4*$B$19*$B$20*(D209+273)^3,$B$19*$B$20*(((D209+0.1)+273)^4-(D209+273)^4)/((D209+0.1)-D209))*D209)+T209/H209)/($B$14*(I209+IF(ABS((D209+0.1)-D209)&lt;0.000000001,4*$B$19*$B$20*(D209+273)^3,$B$19*$B$20*(((D209+0.1)+273)^4-(D209+273)^4)/((D209+0.1)-D209)))+1/H209)</f>
        <v/>
      </c>
      <c r="W209">
        <f>($B$14*(I209*C209+IF(ABS(V209-D209)&lt;0.000000001,4*$B$19*$B$20*(D209+273)^3,$B$19*$B$20*((V209+273)^4-(D209+273)^4)/(V209-D209))*D209)+T209/H209)/($B$14*(I209+IF(ABS(V209-D209)&lt;0.000000001,4*$B$19*$B$20*(D209+273)^3,$B$19*$B$20*((V209+273)^4-(D209+273)^4)/(V209-D209)))+1/H209)</f>
        <v/>
      </c>
      <c r="X209">
        <f>($B$14*(I209*C209+IF(ABS(W209-D209)&lt;0.000000001,4*$B$19*$B$20*(D209+273)^3,$B$19*$B$20*((W209+273)^4-(D209+273)^4)/(W209-D209))*D209)+T209/H209)/($B$14*(I209+IF(ABS(W209-D209)&lt;0.000000001,4*$B$19*$B$20*(D209+273)^3,$B$19*$B$20*((W209+273)^4-(D209+273)^4)/(W209-D209)))+1/H209)</f>
        <v/>
      </c>
      <c r="Y209">
        <f>($B$14*(I209*C209+IF(ABS(X209-D209)&lt;0.000000001,4*$B$19*$B$20*(D209+273)^3,$B$19*$B$20*((X209+273)^4-(D209+273)^4)/(X209-D209))*D209)+T209/H209)/($B$14*(I209+IF(ABS(X209-D209)&lt;0.000000001,4*$B$19*$B$20*(D209+273)^3,$B$19*$B$20*((X209+273)^4-(D209+273)^4)/(X209-D209)))+1/H209)</f>
        <v/>
      </c>
      <c r="Z209">
        <f>IF(ABS(Y209-D209)&lt;0.000000001,4*$B$19*$B$20*(D209+273)^3,$B$19*$B$20*((Y209+273)^4-(D209+273)^4)/(Y209-D209))</f>
        <v/>
      </c>
      <c r="AA209">
        <f>$B$14*I209*(Y209-C209)</f>
        <v/>
      </c>
      <c r="AB209">
        <f>$B$14*Z209*(Y209-D209)</f>
        <v/>
      </c>
      <c r="AC209">
        <f>IF((U209-E209)/G209=0,0.001,(U209-E209)/G209)</f>
        <v/>
      </c>
      <c r="AD209">
        <f>F209-P209-J209-K209-AA209-AB209</f>
        <v/>
      </c>
      <c r="AE209">
        <f>AD209/AC209</f>
        <v/>
      </c>
      <c r="AF209">
        <f>IF(AD209&lt;=0,0,IF(AC209&lt;=0,$B$11,IF(AE209&gt;=1.7,$B$11,MIN(AD209/MAX(0.05,IF(AE209&gt;1,(2-AE209)^2/2,1-AE209^2/2)),$B$11))))</f>
        <v/>
      </c>
      <c r="AG209">
        <f>AG208*$B$28+AF209*(1-$B$28)</f>
        <v/>
      </c>
      <c r="AH209">
        <f>IF(AND(AD209&gt;0,AC209&lt;=0),0,AC209)</f>
        <v/>
      </c>
      <c r="AI209">
        <f>AH209/MAX(AG209,0.000001)</f>
        <v/>
      </c>
      <c r="AJ209">
        <f>MIN(IF(AI209&gt;=0.5,-AI209+SQRT(AI209^2+2),1),$B$12)</f>
        <v/>
      </c>
      <c r="AK209">
        <f>IF(AG209&lt;=0,0,AJ209*AH209)</f>
        <v/>
      </c>
      <c r="AL209">
        <f>IF(AD209&lt;=0,0,AD209)</f>
        <v/>
      </c>
      <c r="AM209">
        <f>AL209-AK209+P209</f>
        <v/>
      </c>
      <c r="AN209">
        <f>((AM209/$B$7+T208*AS208/2-T209*MAX(0.1,MIN(0.3,0.3-0.09*(AR208-36.8)))/2)+AR208*(1-AS208/2))/(1-MAX(0.1,MIN(0.3,0.3-0.09*(AR208-36.8)))/2)</f>
        <v/>
      </c>
      <c r="AO209">
        <f>((AM209/$B$7+T208*AS208/2-T209*MAX(0.1,MIN(0.3,0.3-0.09*(AN209-36.8)))/2)+AR208*(1-AS208/2))/(1-MAX(0.1,MIN(0.3,0.3-0.09*(AN209-36.8)))/2)</f>
        <v/>
      </c>
      <c r="AP209">
        <f>((AM209/$B$7+T208*AS208/2-T209*MAX(0.1,MIN(0.3,0.3-0.09*(AO209-36.8)))/2)+AR208*(1-AS208/2))/(1-MAX(0.1,MIN(0.3,0.3-0.09*(AO209-36.8)))/2)</f>
        <v/>
      </c>
      <c r="AQ209">
        <f>((AM209/$B$7+T208*AS208/2-T209*MAX(0.1,MIN(0.3,0.3-0.09*(AP209-36.8)))/2)+AR208*(1-AS208/2))/(1-MAX(0.1,MIN(0.3,0.3-0.09*(AP209-36.8)))/2)</f>
        <v/>
      </c>
      <c r="AR209">
        <f>((AM209/$B$7+T208*AS208/2-T209*MAX(0.1,MIN(0.3,0.3-0.09*(AQ209-36.8)))/2)+AR208*(1-AS208/2))/(1-MAX(0.1,MIN(0.3,0.3-0.09*(AQ209-36.8)))/2)</f>
        <v/>
      </c>
      <c r="AS209">
        <f>MAX(0.1,MIN(0.3,0.3-0.09*(AR209-36.8)))</f>
        <v/>
      </c>
      <c r="AT209">
        <f>AT208+(2*AR209-1.962*AT208-1.31)/9</f>
        <v/>
      </c>
      <c r="AU209">
        <f>AU208+AG209+K209</f>
        <v/>
      </c>
      <c r="AV209">
        <f>AU209*2.67*$B$6/1.8/60</f>
        <v/>
      </c>
      <c r="AW209">
        <f>IF(AT209&gt;=$B$36,1,0)</f>
        <v/>
      </c>
      <c r="AX209">
        <f>IF(AV209&gt;=$B$21,1,0)</f>
        <v/>
      </c>
    </row>
    <row r="210">
      <c r="A210" t="n">
        <v>137</v>
      </c>
      <c r="B210">
        <f>MATCH(A210-1,$D$61:$D$68,1)</f>
        <v/>
      </c>
      <c r="C210">
        <f>INDEX($G$61:$G$68,B210)</f>
        <v/>
      </c>
      <c r="D210">
        <f>INDEX($L$61:$L$68,B210)</f>
        <v/>
      </c>
      <c r="E210">
        <f>INDEX($M$61:$M$68,B210)</f>
        <v/>
      </c>
      <c r="F210">
        <f>INDEX($N$61:$N$68,B210)</f>
        <v/>
      </c>
      <c r="G210">
        <f>INDEX($AA$61:$AA$68,B210)</f>
        <v/>
      </c>
      <c r="H210">
        <f>INDEX($X$61:$X$68,B210)</f>
        <v/>
      </c>
      <c r="I210">
        <f>INDEX($AF$61:$AF$68,B210)</f>
        <v/>
      </c>
      <c r="J210">
        <f>INDEX($AC$61:$AC$68,B210)</f>
        <v/>
      </c>
      <c r="K210">
        <f>INDEX($AD$61:$AD$68,B210)</f>
        <v/>
      </c>
      <c r="L210">
        <f>INDEX($AG$61:$AG$68,B210)</f>
        <v/>
      </c>
      <c r="M210">
        <f>INDEX($AH$61:$AH$68,B210)</f>
        <v/>
      </c>
      <c r="N210">
        <f>INDEX($AI$61:$AI$68,B210)</f>
        <v/>
      </c>
      <c r="O210">
        <f>O209*$B$26+L210*(1-$B$26)</f>
        <v/>
      </c>
      <c r="P210">
        <f>$B$7*(O210-O209)*(1-AS209)</f>
        <v/>
      </c>
      <c r="Q210">
        <f>M210+0.51274*AT209</f>
        <v/>
      </c>
      <c r="R210">
        <f>N210+0.616*AT209</f>
        <v/>
      </c>
      <c r="S210">
        <f>IF($B$13&gt;=0.6,Q210,IF($B$13&lt;=0.2,R210,R210+2.5*(Q210-R210)*($B$13-0.2)))</f>
        <v/>
      </c>
      <c r="T210">
        <f>IF(A210=1,S210,T209*$B$27+S210*(1-$B$27))</f>
        <v/>
      </c>
      <c r="U210">
        <f>0.6105*EXP(17.27*T210/(T210+237.3))</f>
        <v/>
      </c>
      <c r="V210">
        <f>($B$14*(I210*C210+IF(ABS((D210+0.1)-D210)&lt;0.000000001,4*$B$19*$B$20*(D210+273)^3,$B$19*$B$20*(((D210+0.1)+273)^4-(D210+273)^4)/((D210+0.1)-D210))*D210)+T210/H210)/($B$14*(I210+IF(ABS((D210+0.1)-D210)&lt;0.000000001,4*$B$19*$B$20*(D210+273)^3,$B$19*$B$20*(((D210+0.1)+273)^4-(D210+273)^4)/((D210+0.1)-D210)))+1/H210)</f>
        <v/>
      </c>
      <c r="W210">
        <f>($B$14*(I210*C210+IF(ABS(V210-D210)&lt;0.000000001,4*$B$19*$B$20*(D210+273)^3,$B$19*$B$20*((V210+273)^4-(D210+273)^4)/(V210-D210))*D210)+T210/H210)/($B$14*(I210+IF(ABS(V210-D210)&lt;0.000000001,4*$B$19*$B$20*(D210+273)^3,$B$19*$B$20*((V210+273)^4-(D210+273)^4)/(V210-D210)))+1/H210)</f>
        <v/>
      </c>
      <c r="X210">
        <f>($B$14*(I210*C210+IF(ABS(W210-D210)&lt;0.000000001,4*$B$19*$B$20*(D210+273)^3,$B$19*$B$20*((W210+273)^4-(D210+273)^4)/(W210-D210))*D210)+T210/H210)/($B$14*(I210+IF(ABS(W210-D210)&lt;0.000000001,4*$B$19*$B$20*(D210+273)^3,$B$19*$B$20*((W210+273)^4-(D210+273)^4)/(W210-D210)))+1/H210)</f>
        <v/>
      </c>
      <c r="Y210">
        <f>($B$14*(I210*C210+IF(ABS(X210-D210)&lt;0.000000001,4*$B$19*$B$20*(D210+273)^3,$B$19*$B$20*((X210+273)^4-(D210+273)^4)/(X210-D210))*D210)+T210/H210)/($B$14*(I210+IF(ABS(X210-D210)&lt;0.000000001,4*$B$19*$B$20*(D210+273)^3,$B$19*$B$20*((X210+273)^4-(D210+273)^4)/(X210-D210)))+1/H210)</f>
        <v/>
      </c>
      <c r="Z210">
        <f>IF(ABS(Y210-D210)&lt;0.000000001,4*$B$19*$B$20*(D210+273)^3,$B$19*$B$20*((Y210+273)^4-(D210+273)^4)/(Y210-D210))</f>
        <v/>
      </c>
      <c r="AA210">
        <f>$B$14*I210*(Y210-C210)</f>
        <v/>
      </c>
      <c r="AB210">
        <f>$B$14*Z210*(Y210-D210)</f>
        <v/>
      </c>
      <c r="AC210">
        <f>IF((U210-E210)/G210=0,0.001,(U210-E210)/G210)</f>
        <v/>
      </c>
      <c r="AD210">
        <f>F210-P210-J210-K210-AA210-AB210</f>
        <v/>
      </c>
      <c r="AE210">
        <f>AD210/AC210</f>
        <v/>
      </c>
      <c r="AF210">
        <f>IF(AD210&lt;=0,0,IF(AC210&lt;=0,$B$11,IF(AE210&gt;=1.7,$B$11,MIN(AD210/MAX(0.05,IF(AE210&gt;1,(2-AE210)^2/2,1-AE210^2/2)),$B$11))))</f>
        <v/>
      </c>
      <c r="AG210">
        <f>AG209*$B$28+AF210*(1-$B$28)</f>
        <v/>
      </c>
      <c r="AH210">
        <f>IF(AND(AD210&gt;0,AC210&lt;=0),0,AC210)</f>
        <v/>
      </c>
      <c r="AI210">
        <f>AH210/MAX(AG210,0.000001)</f>
        <v/>
      </c>
      <c r="AJ210">
        <f>MIN(IF(AI210&gt;=0.5,-AI210+SQRT(AI210^2+2),1),$B$12)</f>
        <v/>
      </c>
      <c r="AK210">
        <f>IF(AG210&lt;=0,0,AJ210*AH210)</f>
        <v/>
      </c>
      <c r="AL210">
        <f>IF(AD210&lt;=0,0,AD210)</f>
        <v/>
      </c>
      <c r="AM210">
        <f>AL210-AK210+P210</f>
        <v/>
      </c>
      <c r="AN210">
        <f>((AM210/$B$7+T209*AS209/2-T210*MAX(0.1,MIN(0.3,0.3-0.09*(AR209-36.8)))/2)+AR209*(1-AS209/2))/(1-MAX(0.1,MIN(0.3,0.3-0.09*(AR209-36.8)))/2)</f>
        <v/>
      </c>
      <c r="AO210">
        <f>((AM210/$B$7+T209*AS209/2-T210*MAX(0.1,MIN(0.3,0.3-0.09*(AN210-36.8)))/2)+AR209*(1-AS209/2))/(1-MAX(0.1,MIN(0.3,0.3-0.09*(AN210-36.8)))/2)</f>
        <v/>
      </c>
      <c r="AP210">
        <f>((AM210/$B$7+T209*AS209/2-T210*MAX(0.1,MIN(0.3,0.3-0.09*(AO210-36.8)))/2)+AR209*(1-AS209/2))/(1-MAX(0.1,MIN(0.3,0.3-0.09*(AO210-36.8)))/2)</f>
        <v/>
      </c>
      <c r="AQ210">
        <f>((AM210/$B$7+T209*AS209/2-T210*MAX(0.1,MIN(0.3,0.3-0.09*(AP210-36.8)))/2)+AR209*(1-AS209/2))/(1-MAX(0.1,MIN(0.3,0.3-0.09*(AP210-36.8)))/2)</f>
        <v/>
      </c>
      <c r="AR210">
        <f>((AM210/$B$7+T209*AS209/2-T210*MAX(0.1,MIN(0.3,0.3-0.09*(AQ210-36.8)))/2)+AR209*(1-AS209/2))/(1-MAX(0.1,MIN(0.3,0.3-0.09*(AQ210-36.8)))/2)</f>
        <v/>
      </c>
      <c r="AS210">
        <f>MAX(0.1,MIN(0.3,0.3-0.09*(AR210-36.8)))</f>
        <v/>
      </c>
      <c r="AT210">
        <f>AT209+(2*AR210-1.962*AT209-1.31)/9</f>
        <v/>
      </c>
      <c r="AU210">
        <f>AU209+AG210+K210</f>
        <v/>
      </c>
      <c r="AV210">
        <f>AU210*2.67*$B$6/1.8/60</f>
        <v/>
      </c>
      <c r="AW210">
        <f>IF(AT210&gt;=$B$36,1,0)</f>
        <v/>
      </c>
      <c r="AX210">
        <f>IF(AV210&gt;=$B$21,1,0)</f>
        <v/>
      </c>
    </row>
    <row r="211">
      <c r="A211" t="n">
        <v>138</v>
      </c>
      <c r="B211">
        <f>MATCH(A211-1,$D$61:$D$68,1)</f>
        <v/>
      </c>
      <c r="C211">
        <f>INDEX($G$61:$G$68,B211)</f>
        <v/>
      </c>
      <c r="D211">
        <f>INDEX($L$61:$L$68,B211)</f>
        <v/>
      </c>
      <c r="E211">
        <f>INDEX($M$61:$M$68,B211)</f>
        <v/>
      </c>
      <c r="F211">
        <f>INDEX($N$61:$N$68,B211)</f>
        <v/>
      </c>
      <c r="G211">
        <f>INDEX($AA$61:$AA$68,B211)</f>
        <v/>
      </c>
      <c r="H211">
        <f>INDEX($X$61:$X$68,B211)</f>
        <v/>
      </c>
      <c r="I211">
        <f>INDEX($AF$61:$AF$68,B211)</f>
        <v/>
      </c>
      <c r="J211">
        <f>INDEX($AC$61:$AC$68,B211)</f>
        <v/>
      </c>
      <c r="K211">
        <f>INDEX($AD$61:$AD$68,B211)</f>
        <v/>
      </c>
      <c r="L211">
        <f>INDEX($AG$61:$AG$68,B211)</f>
        <v/>
      </c>
      <c r="M211">
        <f>INDEX($AH$61:$AH$68,B211)</f>
        <v/>
      </c>
      <c r="N211">
        <f>INDEX($AI$61:$AI$68,B211)</f>
        <v/>
      </c>
      <c r="O211">
        <f>O210*$B$26+L211*(1-$B$26)</f>
        <v/>
      </c>
      <c r="P211">
        <f>$B$7*(O211-O210)*(1-AS210)</f>
        <v/>
      </c>
      <c r="Q211">
        <f>M211+0.51274*AT210</f>
        <v/>
      </c>
      <c r="R211">
        <f>N211+0.616*AT210</f>
        <v/>
      </c>
      <c r="S211">
        <f>IF($B$13&gt;=0.6,Q211,IF($B$13&lt;=0.2,R211,R211+2.5*(Q211-R211)*($B$13-0.2)))</f>
        <v/>
      </c>
      <c r="T211">
        <f>IF(A211=1,S211,T210*$B$27+S211*(1-$B$27))</f>
        <v/>
      </c>
      <c r="U211">
        <f>0.6105*EXP(17.27*T211/(T211+237.3))</f>
        <v/>
      </c>
      <c r="V211">
        <f>($B$14*(I211*C211+IF(ABS((D211+0.1)-D211)&lt;0.000000001,4*$B$19*$B$20*(D211+273)^3,$B$19*$B$20*(((D211+0.1)+273)^4-(D211+273)^4)/((D211+0.1)-D211))*D211)+T211/H211)/($B$14*(I211+IF(ABS((D211+0.1)-D211)&lt;0.000000001,4*$B$19*$B$20*(D211+273)^3,$B$19*$B$20*(((D211+0.1)+273)^4-(D211+273)^4)/((D211+0.1)-D211)))+1/H211)</f>
        <v/>
      </c>
      <c r="W211">
        <f>($B$14*(I211*C211+IF(ABS(V211-D211)&lt;0.000000001,4*$B$19*$B$20*(D211+273)^3,$B$19*$B$20*((V211+273)^4-(D211+273)^4)/(V211-D211))*D211)+T211/H211)/($B$14*(I211+IF(ABS(V211-D211)&lt;0.000000001,4*$B$19*$B$20*(D211+273)^3,$B$19*$B$20*((V211+273)^4-(D211+273)^4)/(V211-D211)))+1/H211)</f>
        <v/>
      </c>
      <c r="X211">
        <f>($B$14*(I211*C211+IF(ABS(W211-D211)&lt;0.000000001,4*$B$19*$B$20*(D211+273)^3,$B$19*$B$20*((W211+273)^4-(D211+273)^4)/(W211-D211))*D211)+T211/H211)/($B$14*(I211+IF(ABS(W211-D211)&lt;0.000000001,4*$B$19*$B$20*(D211+273)^3,$B$19*$B$20*((W211+273)^4-(D211+273)^4)/(W211-D211)))+1/H211)</f>
        <v/>
      </c>
      <c r="Y211">
        <f>($B$14*(I211*C211+IF(ABS(X211-D211)&lt;0.000000001,4*$B$19*$B$20*(D211+273)^3,$B$19*$B$20*((X211+273)^4-(D211+273)^4)/(X211-D211))*D211)+T211/H211)/($B$14*(I211+IF(ABS(X211-D211)&lt;0.000000001,4*$B$19*$B$20*(D211+273)^3,$B$19*$B$20*((X211+273)^4-(D211+273)^4)/(X211-D211)))+1/H211)</f>
        <v/>
      </c>
      <c r="Z211">
        <f>IF(ABS(Y211-D211)&lt;0.000000001,4*$B$19*$B$20*(D211+273)^3,$B$19*$B$20*((Y211+273)^4-(D211+273)^4)/(Y211-D211))</f>
        <v/>
      </c>
      <c r="AA211">
        <f>$B$14*I211*(Y211-C211)</f>
        <v/>
      </c>
      <c r="AB211">
        <f>$B$14*Z211*(Y211-D211)</f>
        <v/>
      </c>
      <c r="AC211">
        <f>IF((U211-E211)/G211=0,0.001,(U211-E211)/G211)</f>
        <v/>
      </c>
      <c r="AD211">
        <f>F211-P211-J211-K211-AA211-AB211</f>
        <v/>
      </c>
      <c r="AE211">
        <f>AD211/AC211</f>
        <v/>
      </c>
      <c r="AF211">
        <f>IF(AD211&lt;=0,0,IF(AC211&lt;=0,$B$11,IF(AE211&gt;=1.7,$B$11,MIN(AD211/MAX(0.05,IF(AE211&gt;1,(2-AE211)^2/2,1-AE211^2/2)),$B$11))))</f>
        <v/>
      </c>
      <c r="AG211">
        <f>AG210*$B$28+AF211*(1-$B$28)</f>
        <v/>
      </c>
      <c r="AH211">
        <f>IF(AND(AD211&gt;0,AC211&lt;=0),0,AC211)</f>
        <v/>
      </c>
      <c r="AI211">
        <f>AH211/MAX(AG211,0.000001)</f>
        <v/>
      </c>
      <c r="AJ211">
        <f>MIN(IF(AI211&gt;=0.5,-AI211+SQRT(AI211^2+2),1),$B$12)</f>
        <v/>
      </c>
      <c r="AK211">
        <f>IF(AG211&lt;=0,0,AJ211*AH211)</f>
        <v/>
      </c>
      <c r="AL211">
        <f>IF(AD211&lt;=0,0,AD211)</f>
        <v/>
      </c>
      <c r="AM211">
        <f>AL211-AK211+P211</f>
        <v/>
      </c>
      <c r="AN211">
        <f>((AM211/$B$7+T210*AS210/2-T211*MAX(0.1,MIN(0.3,0.3-0.09*(AR210-36.8)))/2)+AR210*(1-AS210/2))/(1-MAX(0.1,MIN(0.3,0.3-0.09*(AR210-36.8)))/2)</f>
        <v/>
      </c>
      <c r="AO211">
        <f>((AM211/$B$7+T210*AS210/2-T211*MAX(0.1,MIN(0.3,0.3-0.09*(AN211-36.8)))/2)+AR210*(1-AS210/2))/(1-MAX(0.1,MIN(0.3,0.3-0.09*(AN211-36.8)))/2)</f>
        <v/>
      </c>
      <c r="AP211">
        <f>((AM211/$B$7+T210*AS210/2-T211*MAX(0.1,MIN(0.3,0.3-0.09*(AO211-36.8)))/2)+AR210*(1-AS210/2))/(1-MAX(0.1,MIN(0.3,0.3-0.09*(AO211-36.8)))/2)</f>
        <v/>
      </c>
      <c r="AQ211">
        <f>((AM211/$B$7+T210*AS210/2-T211*MAX(0.1,MIN(0.3,0.3-0.09*(AP211-36.8)))/2)+AR210*(1-AS210/2))/(1-MAX(0.1,MIN(0.3,0.3-0.09*(AP211-36.8)))/2)</f>
        <v/>
      </c>
      <c r="AR211">
        <f>((AM211/$B$7+T210*AS210/2-T211*MAX(0.1,MIN(0.3,0.3-0.09*(AQ211-36.8)))/2)+AR210*(1-AS210/2))/(1-MAX(0.1,MIN(0.3,0.3-0.09*(AQ211-36.8)))/2)</f>
        <v/>
      </c>
      <c r="AS211">
        <f>MAX(0.1,MIN(0.3,0.3-0.09*(AR211-36.8)))</f>
        <v/>
      </c>
      <c r="AT211">
        <f>AT210+(2*AR211-1.962*AT210-1.31)/9</f>
        <v/>
      </c>
      <c r="AU211">
        <f>AU210+AG211+K211</f>
        <v/>
      </c>
      <c r="AV211">
        <f>AU211*2.67*$B$6/1.8/60</f>
        <v/>
      </c>
      <c r="AW211">
        <f>IF(AT211&gt;=$B$36,1,0)</f>
        <v/>
      </c>
      <c r="AX211">
        <f>IF(AV211&gt;=$B$21,1,0)</f>
        <v/>
      </c>
    </row>
    <row r="212">
      <c r="A212" t="n">
        <v>139</v>
      </c>
      <c r="B212">
        <f>MATCH(A212-1,$D$61:$D$68,1)</f>
        <v/>
      </c>
      <c r="C212">
        <f>INDEX($G$61:$G$68,B212)</f>
        <v/>
      </c>
      <c r="D212">
        <f>INDEX($L$61:$L$68,B212)</f>
        <v/>
      </c>
      <c r="E212">
        <f>INDEX($M$61:$M$68,B212)</f>
        <v/>
      </c>
      <c r="F212">
        <f>INDEX($N$61:$N$68,B212)</f>
        <v/>
      </c>
      <c r="G212">
        <f>INDEX($AA$61:$AA$68,B212)</f>
        <v/>
      </c>
      <c r="H212">
        <f>INDEX($X$61:$X$68,B212)</f>
        <v/>
      </c>
      <c r="I212">
        <f>INDEX($AF$61:$AF$68,B212)</f>
        <v/>
      </c>
      <c r="J212">
        <f>INDEX($AC$61:$AC$68,B212)</f>
        <v/>
      </c>
      <c r="K212">
        <f>INDEX($AD$61:$AD$68,B212)</f>
        <v/>
      </c>
      <c r="L212">
        <f>INDEX($AG$61:$AG$68,B212)</f>
        <v/>
      </c>
      <c r="M212">
        <f>INDEX($AH$61:$AH$68,B212)</f>
        <v/>
      </c>
      <c r="N212">
        <f>INDEX($AI$61:$AI$68,B212)</f>
        <v/>
      </c>
      <c r="O212">
        <f>O211*$B$26+L212*(1-$B$26)</f>
        <v/>
      </c>
      <c r="P212">
        <f>$B$7*(O212-O211)*(1-AS211)</f>
        <v/>
      </c>
      <c r="Q212">
        <f>M212+0.51274*AT211</f>
        <v/>
      </c>
      <c r="R212">
        <f>N212+0.616*AT211</f>
        <v/>
      </c>
      <c r="S212">
        <f>IF($B$13&gt;=0.6,Q212,IF($B$13&lt;=0.2,R212,R212+2.5*(Q212-R212)*($B$13-0.2)))</f>
        <v/>
      </c>
      <c r="T212">
        <f>IF(A212=1,S212,T211*$B$27+S212*(1-$B$27))</f>
        <v/>
      </c>
      <c r="U212">
        <f>0.6105*EXP(17.27*T212/(T212+237.3))</f>
        <v/>
      </c>
      <c r="V212">
        <f>($B$14*(I212*C212+IF(ABS((D212+0.1)-D212)&lt;0.000000001,4*$B$19*$B$20*(D212+273)^3,$B$19*$B$20*(((D212+0.1)+273)^4-(D212+273)^4)/((D212+0.1)-D212))*D212)+T212/H212)/($B$14*(I212+IF(ABS((D212+0.1)-D212)&lt;0.000000001,4*$B$19*$B$20*(D212+273)^3,$B$19*$B$20*(((D212+0.1)+273)^4-(D212+273)^4)/((D212+0.1)-D212)))+1/H212)</f>
        <v/>
      </c>
      <c r="W212">
        <f>($B$14*(I212*C212+IF(ABS(V212-D212)&lt;0.000000001,4*$B$19*$B$20*(D212+273)^3,$B$19*$B$20*((V212+273)^4-(D212+273)^4)/(V212-D212))*D212)+T212/H212)/($B$14*(I212+IF(ABS(V212-D212)&lt;0.000000001,4*$B$19*$B$20*(D212+273)^3,$B$19*$B$20*((V212+273)^4-(D212+273)^4)/(V212-D212)))+1/H212)</f>
        <v/>
      </c>
      <c r="X212">
        <f>($B$14*(I212*C212+IF(ABS(W212-D212)&lt;0.000000001,4*$B$19*$B$20*(D212+273)^3,$B$19*$B$20*((W212+273)^4-(D212+273)^4)/(W212-D212))*D212)+T212/H212)/($B$14*(I212+IF(ABS(W212-D212)&lt;0.000000001,4*$B$19*$B$20*(D212+273)^3,$B$19*$B$20*((W212+273)^4-(D212+273)^4)/(W212-D212)))+1/H212)</f>
        <v/>
      </c>
      <c r="Y212">
        <f>($B$14*(I212*C212+IF(ABS(X212-D212)&lt;0.000000001,4*$B$19*$B$20*(D212+273)^3,$B$19*$B$20*((X212+273)^4-(D212+273)^4)/(X212-D212))*D212)+T212/H212)/($B$14*(I212+IF(ABS(X212-D212)&lt;0.000000001,4*$B$19*$B$20*(D212+273)^3,$B$19*$B$20*((X212+273)^4-(D212+273)^4)/(X212-D212)))+1/H212)</f>
        <v/>
      </c>
      <c r="Z212">
        <f>IF(ABS(Y212-D212)&lt;0.000000001,4*$B$19*$B$20*(D212+273)^3,$B$19*$B$20*((Y212+273)^4-(D212+273)^4)/(Y212-D212))</f>
        <v/>
      </c>
      <c r="AA212">
        <f>$B$14*I212*(Y212-C212)</f>
        <v/>
      </c>
      <c r="AB212">
        <f>$B$14*Z212*(Y212-D212)</f>
        <v/>
      </c>
      <c r="AC212">
        <f>IF((U212-E212)/G212=0,0.001,(U212-E212)/G212)</f>
        <v/>
      </c>
      <c r="AD212">
        <f>F212-P212-J212-K212-AA212-AB212</f>
        <v/>
      </c>
      <c r="AE212">
        <f>AD212/AC212</f>
        <v/>
      </c>
      <c r="AF212">
        <f>IF(AD212&lt;=0,0,IF(AC212&lt;=0,$B$11,IF(AE212&gt;=1.7,$B$11,MIN(AD212/MAX(0.05,IF(AE212&gt;1,(2-AE212)^2/2,1-AE212^2/2)),$B$11))))</f>
        <v/>
      </c>
      <c r="AG212">
        <f>AG211*$B$28+AF212*(1-$B$28)</f>
        <v/>
      </c>
      <c r="AH212">
        <f>IF(AND(AD212&gt;0,AC212&lt;=0),0,AC212)</f>
        <v/>
      </c>
      <c r="AI212">
        <f>AH212/MAX(AG212,0.000001)</f>
        <v/>
      </c>
      <c r="AJ212">
        <f>MIN(IF(AI212&gt;=0.5,-AI212+SQRT(AI212^2+2),1),$B$12)</f>
        <v/>
      </c>
      <c r="AK212">
        <f>IF(AG212&lt;=0,0,AJ212*AH212)</f>
        <v/>
      </c>
      <c r="AL212">
        <f>IF(AD212&lt;=0,0,AD212)</f>
        <v/>
      </c>
      <c r="AM212">
        <f>AL212-AK212+P212</f>
        <v/>
      </c>
      <c r="AN212">
        <f>((AM212/$B$7+T211*AS211/2-T212*MAX(0.1,MIN(0.3,0.3-0.09*(AR211-36.8)))/2)+AR211*(1-AS211/2))/(1-MAX(0.1,MIN(0.3,0.3-0.09*(AR211-36.8)))/2)</f>
        <v/>
      </c>
      <c r="AO212">
        <f>((AM212/$B$7+T211*AS211/2-T212*MAX(0.1,MIN(0.3,0.3-0.09*(AN212-36.8)))/2)+AR211*(1-AS211/2))/(1-MAX(0.1,MIN(0.3,0.3-0.09*(AN212-36.8)))/2)</f>
        <v/>
      </c>
      <c r="AP212">
        <f>((AM212/$B$7+T211*AS211/2-T212*MAX(0.1,MIN(0.3,0.3-0.09*(AO212-36.8)))/2)+AR211*(1-AS211/2))/(1-MAX(0.1,MIN(0.3,0.3-0.09*(AO212-36.8)))/2)</f>
        <v/>
      </c>
      <c r="AQ212">
        <f>((AM212/$B$7+T211*AS211/2-T212*MAX(0.1,MIN(0.3,0.3-0.09*(AP212-36.8)))/2)+AR211*(1-AS211/2))/(1-MAX(0.1,MIN(0.3,0.3-0.09*(AP212-36.8)))/2)</f>
        <v/>
      </c>
      <c r="AR212">
        <f>((AM212/$B$7+T211*AS211/2-T212*MAX(0.1,MIN(0.3,0.3-0.09*(AQ212-36.8)))/2)+AR211*(1-AS211/2))/(1-MAX(0.1,MIN(0.3,0.3-0.09*(AQ212-36.8)))/2)</f>
        <v/>
      </c>
      <c r="AS212">
        <f>MAX(0.1,MIN(0.3,0.3-0.09*(AR212-36.8)))</f>
        <v/>
      </c>
      <c r="AT212">
        <f>AT211+(2*AR212-1.962*AT211-1.31)/9</f>
        <v/>
      </c>
      <c r="AU212">
        <f>AU211+AG212+K212</f>
        <v/>
      </c>
      <c r="AV212">
        <f>AU212*2.67*$B$6/1.8/60</f>
        <v/>
      </c>
      <c r="AW212">
        <f>IF(AT212&gt;=$B$36,1,0)</f>
        <v/>
      </c>
      <c r="AX212">
        <f>IF(AV212&gt;=$B$21,1,0)</f>
        <v/>
      </c>
    </row>
    <row r="213">
      <c r="A213" t="n">
        <v>140</v>
      </c>
      <c r="B213">
        <f>MATCH(A213-1,$D$61:$D$68,1)</f>
        <v/>
      </c>
      <c r="C213">
        <f>INDEX($G$61:$G$68,B213)</f>
        <v/>
      </c>
      <c r="D213">
        <f>INDEX($L$61:$L$68,B213)</f>
        <v/>
      </c>
      <c r="E213">
        <f>INDEX($M$61:$M$68,B213)</f>
        <v/>
      </c>
      <c r="F213">
        <f>INDEX($N$61:$N$68,B213)</f>
        <v/>
      </c>
      <c r="G213">
        <f>INDEX($AA$61:$AA$68,B213)</f>
        <v/>
      </c>
      <c r="H213">
        <f>INDEX($X$61:$X$68,B213)</f>
        <v/>
      </c>
      <c r="I213">
        <f>INDEX($AF$61:$AF$68,B213)</f>
        <v/>
      </c>
      <c r="J213">
        <f>INDEX($AC$61:$AC$68,B213)</f>
        <v/>
      </c>
      <c r="K213">
        <f>INDEX($AD$61:$AD$68,B213)</f>
        <v/>
      </c>
      <c r="L213">
        <f>INDEX($AG$61:$AG$68,B213)</f>
        <v/>
      </c>
      <c r="M213">
        <f>INDEX($AH$61:$AH$68,B213)</f>
        <v/>
      </c>
      <c r="N213">
        <f>INDEX($AI$61:$AI$68,B213)</f>
        <v/>
      </c>
      <c r="O213">
        <f>O212*$B$26+L213*(1-$B$26)</f>
        <v/>
      </c>
      <c r="P213">
        <f>$B$7*(O213-O212)*(1-AS212)</f>
        <v/>
      </c>
      <c r="Q213">
        <f>M213+0.51274*AT212</f>
        <v/>
      </c>
      <c r="R213">
        <f>N213+0.616*AT212</f>
        <v/>
      </c>
      <c r="S213">
        <f>IF($B$13&gt;=0.6,Q213,IF($B$13&lt;=0.2,R213,R213+2.5*(Q213-R213)*($B$13-0.2)))</f>
        <v/>
      </c>
      <c r="T213">
        <f>IF(A213=1,S213,T212*$B$27+S213*(1-$B$27))</f>
        <v/>
      </c>
      <c r="U213">
        <f>0.6105*EXP(17.27*T213/(T213+237.3))</f>
        <v/>
      </c>
      <c r="V213">
        <f>($B$14*(I213*C213+IF(ABS((D213+0.1)-D213)&lt;0.000000001,4*$B$19*$B$20*(D213+273)^3,$B$19*$B$20*(((D213+0.1)+273)^4-(D213+273)^4)/((D213+0.1)-D213))*D213)+T213/H213)/($B$14*(I213+IF(ABS((D213+0.1)-D213)&lt;0.000000001,4*$B$19*$B$20*(D213+273)^3,$B$19*$B$20*(((D213+0.1)+273)^4-(D213+273)^4)/((D213+0.1)-D213)))+1/H213)</f>
        <v/>
      </c>
      <c r="W213">
        <f>($B$14*(I213*C213+IF(ABS(V213-D213)&lt;0.000000001,4*$B$19*$B$20*(D213+273)^3,$B$19*$B$20*((V213+273)^4-(D213+273)^4)/(V213-D213))*D213)+T213/H213)/($B$14*(I213+IF(ABS(V213-D213)&lt;0.000000001,4*$B$19*$B$20*(D213+273)^3,$B$19*$B$20*((V213+273)^4-(D213+273)^4)/(V213-D213)))+1/H213)</f>
        <v/>
      </c>
      <c r="X213">
        <f>($B$14*(I213*C213+IF(ABS(W213-D213)&lt;0.000000001,4*$B$19*$B$20*(D213+273)^3,$B$19*$B$20*((W213+273)^4-(D213+273)^4)/(W213-D213))*D213)+T213/H213)/($B$14*(I213+IF(ABS(W213-D213)&lt;0.000000001,4*$B$19*$B$20*(D213+273)^3,$B$19*$B$20*((W213+273)^4-(D213+273)^4)/(W213-D213)))+1/H213)</f>
        <v/>
      </c>
      <c r="Y213">
        <f>($B$14*(I213*C213+IF(ABS(X213-D213)&lt;0.000000001,4*$B$19*$B$20*(D213+273)^3,$B$19*$B$20*((X213+273)^4-(D213+273)^4)/(X213-D213))*D213)+T213/H213)/($B$14*(I213+IF(ABS(X213-D213)&lt;0.000000001,4*$B$19*$B$20*(D213+273)^3,$B$19*$B$20*((X213+273)^4-(D213+273)^4)/(X213-D213)))+1/H213)</f>
        <v/>
      </c>
      <c r="Z213">
        <f>IF(ABS(Y213-D213)&lt;0.000000001,4*$B$19*$B$20*(D213+273)^3,$B$19*$B$20*((Y213+273)^4-(D213+273)^4)/(Y213-D213))</f>
        <v/>
      </c>
      <c r="AA213">
        <f>$B$14*I213*(Y213-C213)</f>
        <v/>
      </c>
      <c r="AB213">
        <f>$B$14*Z213*(Y213-D213)</f>
        <v/>
      </c>
      <c r="AC213">
        <f>IF((U213-E213)/G213=0,0.001,(U213-E213)/G213)</f>
        <v/>
      </c>
      <c r="AD213">
        <f>F213-P213-J213-K213-AA213-AB213</f>
        <v/>
      </c>
      <c r="AE213">
        <f>AD213/AC213</f>
        <v/>
      </c>
      <c r="AF213">
        <f>IF(AD213&lt;=0,0,IF(AC213&lt;=0,$B$11,IF(AE213&gt;=1.7,$B$11,MIN(AD213/MAX(0.05,IF(AE213&gt;1,(2-AE213)^2/2,1-AE213^2/2)),$B$11))))</f>
        <v/>
      </c>
      <c r="AG213">
        <f>AG212*$B$28+AF213*(1-$B$28)</f>
        <v/>
      </c>
      <c r="AH213">
        <f>IF(AND(AD213&gt;0,AC213&lt;=0),0,AC213)</f>
        <v/>
      </c>
      <c r="AI213">
        <f>AH213/MAX(AG213,0.000001)</f>
        <v/>
      </c>
      <c r="AJ213">
        <f>MIN(IF(AI213&gt;=0.5,-AI213+SQRT(AI213^2+2),1),$B$12)</f>
        <v/>
      </c>
      <c r="AK213">
        <f>IF(AG213&lt;=0,0,AJ213*AH213)</f>
        <v/>
      </c>
      <c r="AL213">
        <f>IF(AD213&lt;=0,0,AD213)</f>
        <v/>
      </c>
      <c r="AM213">
        <f>AL213-AK213+P213</f>
        <v/>
      </c>
      <c r="AN213">
        <f>((AM213/$B$7+T212*AS212/2-T213*MAX(0.1,MIN(0.3,0.3-0.09*(AR212-36.8)))/2)+AR212*(1-AS212/2))/(1-MAX(0.1,MIN(0.3,0.3-0.09*(AR212-36.8)))/2)</f>
        <v/>
      </c>
      <c r="AO213">
        <f>((AM213/$B$7+T212*AS212/2-T213*MAX(0.1,MIN(0.3,0.3-0.09*(AN213-36.8)))/2)+AR212*(1-AS212/2))/(1-MAX(0.1,MIN(0.3,0.3-0.09*(AN213-36.8)))/2)</f>
        <v/>
      </c>
      <c r="AP213">
        <f>((AM213/$B$7+T212*AS212/2-T213*MAX(0.1,MIN(0.3,0.3-0.09*(AO213-36.8)))/2)+AR212*(1-AS212/2))/(1-MAX(0.1,MIN(0.3,0.3-0.09*(AO213-36.8)))/2)</f>
        <v/>
      </c>
      <c r="AQ213">
        <f>((AM213/$B$7+T212*AS212/2-T213*MAX(0.1,MIN(0.3,0.3-0.09*(AP213-36.8)))/2)+AR212*(1-AS212/2))/(1-MAX(0.1,MIN(0.3,0.3-0.09*(AP213-36.8)))/2)</f>
        <v/>
      </c>
      <c r="AR213">
        <f>((AM213/$B$7+T212*AS212/2-T213*MAX(0.1,MIN(0.3,0.3-0.09*(AQ213-36.8)))/2)+AR212*(1-AS212/2))/(1-MAX(0.1,MIN(0.3,0.3-0.09*(AQ213-36.8)))/2)</f>
        <v/>
      </c>
      <c r="AS213">
        <f>MAX(0.1,MIN(0.3,0.3-0.09*(AR213-36.8)))</f>
        <v/>
      </c>
      <c r="AT213">
        <f>AT212+(2*AR213-1.962*AT212-1.31)/9</f>
        <v/>
      </c>
      <c r="AU213">
        <f>AU212+AG213+K213</f>
        <v/>
      </c>
      <c r="AV213">
        <f>AU213*2.67*$B$6/1.8/60</f>
        <v/>
      </c>
      <c r="AW213">
        <f>IF(AT213&gt;=$B$36,1,0)</f>
        <v/>
      </c>
      <c r="AX213">
        <f>IF(AV213&gt;=$B$21,1,0)</f>
        <v/>
      </c>
    </row>
    <row r="214">
      <c r="A214" t="n">
        <v>141</v>
      </c>
      <c r="B214">
        <f>MATCH(A214-1,$D$61:$D$68,1)</f>
        <v/>
      </c>
      <c r="C214">
        <f>INDEX($G$61:$G$68,B214)</f>
        <v/>
      </c>
      <c r="D214">
        <f>INDEX($L$61:$L$68,B214)</f>
        <v/>
      </c>
      <c r="E214">
        <f>INDEX($M$61:$M$68,B214)</f>
        <v/>
      </c>
      <c r="F214">
        <f>INDEX($N$61:$N$68,B214)</f>
        <v/>
      </c>
      <c r="G214">
        <f>INDEX($AA$61:$AA$68,B214)</f>
        <v/>
      </c>
      <c r="H214">
        <f>INDEX($X$61:$X$68,B214)</f>
        <v/>
      </c>
      <c r="I214">
        <f>INDEX($AF$61:$AF$68,B214)</f>
        <v/>
      </c>
      <c r="J214">
        <f>INDEX($AC$61:$AC$68,B214)</f>
        <v/>
      </c>
      <c r="K214">
        <f>INDEX($AD$61:$AD$68,B214)</f>
        <v/>
      </c>
      <c r="L214">
        <f>INDEX($AG$61:$AG$68,B214)</f>
        <v/>
      </c>
      <c r="M214">
        <f>INDEX($AH$61:$AH$68,B214)</f>
        <v/>
      </c>
      <c r="N214">
        <f>INDEX($AI$61:$AI$68,B214)</f>
        <v/>
      </c>
      <c r="O214">
        <f>O213*$B$26+L214*(1-$B$26)</f>
        <v/>
      </c>
      <c r="P214">
        <f>$B$7*(O214-O213)*(1-AS213)</f>
        <v/>
      </c>
      <c r="Q214">
        <f>M214+0.51274*AT213</f>
        <v/>
      </c>
      <c r="R214">
        <f>N214+0.616*AT213</f>
        <v/>
      </c>
      <c r="S214">
        <f>IF($B$13&gt;=0.6,Q214,IF($B$13&lt;=0.2,R214,R214+2.5*(Q214-R214)*($B$13-0.2)))</f>
        <v/>
      </c>
      <c r="T214">
        <f>IF(A214=1,S214,T213*$B$27+S214*(1-$B$27))</f>
        <v/>
      </c>
      <c r="U214">
        <f>0.6105*EXP(17.27*T214/(T214+237.3))</f>
        <v/>
      </c>
      <c r="V214">
        <f>($B$14*(I214*C214+IF(ABS((D214+0.1)-D214)&lt;0.000000001,4*$B$19*$B$20*(D214+273)^3,$B$19*$B$20*(((D214+0.1)+273)^4-(D214+273)^4)/((D214+0.1)-D214))*D214)+T214/H214)/($B$14*(I214+IF(ABS((D214+0.1)-D214)&lt;0.000000001,4*$B$19*$B$20*(D214+273)^3,$B$19*$B$20*(((D214+0.1)+273)^4-(D214+273)^4)/((D214+0.1)-D214)))+1/H214)</f>
        <v/>
      </c>
      <c r="W214">
        <f>($B$14*(I214*C214+IF(ABS(V214-D214)&lt;0.000000001,4*$B$19*$B$20*(D214+273)^3,$B$19*$B$20*((V214+273)^4-(D214+273)^4)/(V214-D214))*D214)+T214/H214)/($B$14*(I214+IF(ABS(V214-D214)&lt;0.000000001,4*$B$19*$B$20*(D214+273)^3,$B$19*$B$20*((V214+273)^4-(D214+273)^4)/(V214-D214)))+1/H214)</f>
        <v/>
      </c>
      <c r="X214">
        <f>($B$14*(I214*C214+IF(ABS(W214-D214)&lt;0.000000001,4*$B$19*$B$20*(D214+273)^3,$B$19*$B$20*((W214+273)^4-(D214+273)^4)/(W214-D214))*D214)+T214/H214)/($B$14*(I214+IF(ABS(W214-D214)&lt;0.000000001,4*$B$19*$B$20*(D214+273)^3,$B$19*$B$20*((W214+273)^4-(D214+273)^4)/(W214-D214)))+1/H214)</f>
        <v/>
      </c>
      <c r="Y214">
        <f>($B$14*(I214*C214+IF(ABS(X214-D214)&lt;0.000000001,4*$B$19*$B$20*(D214+273)^3,$B$19*$B$20*((X214+273)^4-(D214+273)^4)/(X214-D214))*D214)+T214/H214)/($B$14*(I214+IF(ABS(X214-D214)&lt;0.000000001,4*$B$19*$B$20*(D214+273)^3,$B$19*$B$20*((X214+273)^4-(D214+273)^4)/(X214-D214)))+1/H214)</f>
        <v/>
      </c>
      <c r="Z214">
        <f>IF(ABS(Y214-D214)&lt;0.000000001,4*$B$19*$B$20*(D214+273)^3,$B$19*$B$20*((Y214+273)^4-(D214+273)^4)/(Y214-D214))</f>
        <v/>
      </c>
      <c r="AA214">
        <f>$B$14*I214*(Y214-C214)</f>
        <v/>
      </c>
      <c r="AB214">
        <f>$B$14*Z214*(Y214-D214)</f>
        <v/>
      </c>
      <c r="AC214">
        <f>IF((U214-E214)/G214=0,0.001,(U214-E214)/G214)</f>
        <v/>
      </c>
      <c r="AD214">
        <f>F214-P214-J214-K214-AA214-AB214</f>
        <v/>
      </c>
      <c r="AE214">
        <f>AD214/AC214</f>
        <v/>
      </c>
      <c r="AF214">
        <f>IF(AD214&lt;=0,0,IF(AC214&lt;=0,$B$11,IF(AE214&gt;=1.7,$B$11,MIN(AD214/MAX(0.05,IF(AE214&gt;1,(2-AE214)^2/2,1-AE214^2/2)),$B$11))))</f>
        <v/>
      </c>
      <c r="AG214">
        <f>AG213*$B$28+AF214*(1-$B$28)</f>
        <v/>
      </c>
      <c r="AH214">
        <f>IF(AND(AD214&gt;0,AC214&lt;=0),0,AC214)</f>
        <v/>
      </c>
      <c r="AI214">
        <f>AH214/MAX(AG214,0.000001)</f>
        <v/>
      </c>
      <c r="AJ214">
        <f>MIN(IF(AI214&gt;=0.5,-AI214+SQRT(AI214^2+2),1),$B$12)</f>
        <v/>
      </c>
      <c r="AK214">
        <f>IF(AG214&lt;=0,0,AJ214*AH214)</f>
        <v/>
      </c>
      <c r="AL214">
        <f>IF(AD214&lt;=0,0,AD214)</f>
        <v/>
      </c>
      <c r="AM214">
        <f>AL214-AK214+P214</f>
        <v/>
      </c>
      <c r="AN214">
        <f>((AM214/$B$7+T213*AS213/2-T214*MAX(0.1,MIN(0.3,0.3-0.09*(AR213-36.8)))/2)+AR213*(1-AS213/2))/(1-MAX(0.1,MIN(0.3,0.3-0.09*(AR213-36.8)))/2)</f>
        <v/>
      </c>
      <c r="AO214">
        <f>((AM214/$B$7+T213*AS213/2-T214*MAX(0.1,MIN(0.3,0.3-0.09*(AN214-36.8)))/2)+AR213*(1-AS213/2))/(1-MAX(0.1,MIN(0.3,0.3-0.09*(AN214-36.8)))/2)</f>
        <v/>
      </c>
      <c r="AP214">
        <f>((AM214/$B$7+T213*AS213/2-T214*MAX(0.1,MIN(0.3,0.3-0.09*(AO214-36.8)))/2)+AR213*(1-AS213/2))/(1-MAX(0.1,MIN(0.3,0.3-0.09*(AO214-36.8)))/2)</f>
        <v/>
      </c>
      <c r="AQ214">
        <f>((AM214/$B$7+T213*AS213/2-T214*MAX(0.1,MIN(0.3,0.3-0.09*(AP214-36.8)))/2)+AR213*(1-AS213/2))/(1-MAX(0.1,MIN(0.3,0.3-0.09*(AP214-36.8)))/2)</f>
        <v/>
      </c>
      <c r="AR214">
        <f>((AM214/$B$7+T213*AS213/2-T214*MAX(0.1,MIN(0.3,0.3-0.09*(AQ214-36.8)))/2)+AR213*(1-AS213/2))/(1-MAX(0.1,MIN(0.3,0.3-0.09*(AQ214-36.8)))/2)</f>
        <v/>
      </c>
      <c r="AS214">
        <f>MAX(0.1,MIN(0.3,0.3-0.09*(AR214-36.8)))</f>
        <v/>
      </c>
      <c r="AT214">
        <f>AT213+(2*AR214-1.962*AT213-1.31)/9</f>
        <v/>
      </c>
      <c r="AU214">
        <f>AU213+AG214+K214</f>
        <v/>
      </c>
      <c r="AV214">
        <f>AU214*2.67*$B$6/1.8/60</f>
        <v/>
      </c>
      <c r="AW214">
        <f>IF(AT214&gt;=$B$36,1,0)</f>
        <v/>
      </c>
      <c r="AX214">
        <f>IF(AV214&gt;=$B$21,1,0)</f>
        <v/>
      </c>
    </row>
    <row r="215">
      <c r="A215" t="n">
        <v>142</v>
      </c>
      <c r="B215">
        <f>MATCH(A215-1,$D$61:$D$68,1)</f>
        <v/>
      </c>
      <c r="C215">
        <f>INDEX($G$61:$G$68,B215)</f>
        <v/>
      </c>
      <c r="D215">
        <f>INDEX($L$61:$L$68,B215)</f>
        <v/>
      </c>
      <c r="E215">
        <f>INDEX($M$61:$M$68,B215)</f>
        <v/>
      </c>
      <c r="F215">
        <f>INDEX($N$61:$N$68,B215)</f>
        <v/>
      </c>
      <c r="G215">
        <f>INDEX($AA$61:$AA$68,B215)</f>
        <v/>
      </c>
      <c r="H215">
        <f>INDEX($X$61:$X$68,B215)</f>
        <v/>
      </c>
      <c r="I215">
        <f>INDEX($AF$61:$AF$68,B215)</f>
        <v/>
      </c>
      <c r="J215">
        <f>INDEX($AC$61:$AC$68,B215)</f>
        <v/>
      </c>
      <c r="K215">
        <f>INDEX($AD$61:$AD$68,B215)</f>
        <v/>
      </c>
      <c r="L215">
        <f>INDEX($AG$61:$AG$68,B215)</f>
        <v/>
      </c>
      <c r="M215">
        <f>INDEX($AH$61:$AH$68,B215)</f>
        <v/>
      </c>
      <c r="N215">
        <f>INDEX($AI$61:$AI$68,B215)</f>
        <v/>
      </c>
      <c r="O215">
        <f>O214*$B$26+L215*(1-$B$26)</f>
        <v/>
      </c>
      <c r="P215">
        <f>$B$7*(O215-O214)*(1-AS214)</f>
        <v/>
      </c>
      <c r="Q215">
        <f>M215+0.51274*AT214</f>
        <v/>
      </c>
      <c r="R215">
        <f>N215+0.616*AT214</f>
        <v/>
      </c>
      <c r="S215">
        <f>IF($B$13&gt;=0.6,Q215,IF($B$13&lt;=0.2,R215,R215+2.5*(Q215-R215)*($B$13-0.2)))</f>
        <v/>
      </c>
      <c r="T215">
        <f>IF(A215=1,S215,T214*$B$27+S215*(1-$B$27))</f>
        <v/>
      </c>
      <c r="U215">
        <f>0.6105*EXP(17.27*T215/(T215+237.3))</f>
        <v/>
      </c>
      <c r="V215">
        <f>($B$14*(I215*C215+IF(ABS((D215+0.1)-D215)&lt;0.000000001,4*$B$19*$B$20*(D215+273)^3,$B$19*$B$20*(((D215+0.1)+273)^4-(D215+273)^4)/((D215+0.1)-D215))*D215)+T215/H215)/($B$14*(I215+IF(ABS((D215+0.1)-D215)&lt;0.000000001,4*$B$19*$B$20*(D215+273)^3,$B$19*$B$20*(((D215+0.1)+273)^4-(D215+273)^4)/((D215+0.1)-D215)))+1/H215)</f>
        <v/>
      </c>
      <c r="W215">
        <f>($B$14*(I215*C215+IF(ABS(V215-D215)&lt;0.000000001,4*$B$19*$B$20*(D215+273)^3,$B$19*$B$20*((V215+273)^4-(D215+273)^4)/(V215-D215))*D215)+T215/H215)/($B$14*(I215+IF(ABS(V215-D215)&lt;0.000000001,4*$B$19*$B$20*(D215+273)^3,$B$19*$B$20*((V215+273)^4-(D215+273)^4)/(V215-D215)))+1/H215)</f>
        <v/>
      </c>
      <c r="X215">
        <f>($B$14*(I215*C215+IF(ABS(W215-D215)&lt;0.000000001,4*$B$19*$B$20*(D215+273)^3,$B$19*$B$20*((W215+273)^4-(D215+273)^4)/(W215-D215))*D215)+T215/H215)/($B$14*(I215+IF(ABS(W215-D215)&lt;0.000000001,4*$B$19*$B$20*(D215+273)^3,$B$19*$B$20*((W215+273)^4-(D215+273)^4)/(W215-D215)))+1/H215)</f>
        <v/>
      </c>
      <c r="Y215">
        <f>($B$14*(I215*C215+IF(ABS(X215-D215)&lt;0.000000001,4*$B$19*$B$20*(D215+273)^3,$B$19*$B$20*((X215+273)^4-(D215+273)^4)/(X215-D215))*D215)+T215/H215)/($B$14*(I215+IF(ABS(X215-D215)&lt;0.000000001,4*$B$19*$B$20*(D215+273)^3,$B$19*$B$20*((X215+273)^4-(D215+273)^4)/(X215-D215)))+1/H215)</f>
        <v/>
      </c>
      <c r="Z215">
        <f>IF(ABS(Y215-D215)&lt;0.000000001,4*$B$19*$B$20*(D215+273)^3,$B$19*$B$20*((Y215+273)^4-(D215+273)^4)/(Y215-D215))</f>
        <v/>
      </c>
      <c r="AA215">
        <f>$B$14*I215*(Y215-C215)</f>
        <v/>
      </c>
      <c r="AB215">
        <f>$B$14*Z215*(Y215-D215)</f>
        <v/>
      </c>
      <c r="AC215">
        <f>IF((U215-E215)/G215=0,0.001,(U215-E215)/G215)</f>
        <v/>
      </c>
      <c r="AD215">
        <f>F215-P215-J215-K215-AA215-AB215</f>
        <v/>
      </c>
      <c r="AE215">
        <f>AD215/AC215</f>
        <v/>
      </c>
      <c r="AF215">
        <f>IF(AD215&lt;=0,0,IF(AC215&lt;=0,$B$11,IF(AE215&gt;=1.7,$B$11,MIN(AD215/MAX(0.05,IF(AE215&gt;1,(2-AE215)^2/2,1-AE215^2/2)),$B$11))))</f>
        <v/>
      </c>
      <c r="AG215">
        <f>AG214*$B$28+AF215*(1-$B$28)</f>
        <v/>
      </c>
      <c r="AH215">
        <f>IF(AND(AD215&gt;0,AC215&lt;=0),0,AC215)</f>
        <v/>
      </c>
      <c r="AI215">
        <f>AH215/MAX(AG215,0.000001)</f>
        <v/>
      </c>
      <c r="AJ215">
        <f>MIN(IF(AI215&gt;=0.5,-AI215+SQRT(AI215^2+2),1),$B$12)</f>
        <v/>
      </c>
      <c r="AK215">
        <f>IF(AG215&lt;=0,0,AJ215*AH215)</f>
        <v/>
      </c>
      <c r="AL215">
        <f>IF(AD215&lt;=0,0,AD215)</f>
        <v/>
      </c>
      <c r="AM215">
        <f>AL215-AK215+P215</f>
        <v/>
      </c>
      <c r="AN215">
        <f>((AM215/$B$7+T214*AS214/2-T215*MAX(0.1,MIN(0.3,0.3-0.09*(AR214-36.8)))/2)+AR214*(1-AS214/2))/(1-MAX(0.1,MIN(0.3,0.3-0.09*(AR214-36.8)))/2)</f>
        <v/>
      </c>
      <c r="AO215">
        <f>((AM215/$B$7+T214*AS214/2-T215*MAX(0.1,MIN(0.3,0.3-0.09*(AN215-36.8)))/2)+AR214*(1-AS214/2))/(1-MAX(0.1,MIN(0.3,0.3-0.09*(AN215-36.8)))/2)</f>
        <v/>
      </c>
      <c r="AP215">
        <f>((AM215/$B$7+T214*AS214/2-T215*MAX(0.1,MIN(0.3,0.3-0.09*(AO215-36.8)))/2)+AR214*(1-AS214/2))/(1-MAX(0.1,MIN(0.3,0.3-0.09*(AO215-36.8)))/2)</f>
        <v/>
      </c>
      <c r="AQ215">
        <f>((AM215/$B$7+T214*AS214/2-T215*MAX(0.1,MIN(0.3,0.3-0.09*(AP215-36.8)))/2)+AR214*(1-AS214/2))/(1-MAX(0.1,MIN(0.3,0.3-0.09*(AP215-36.8)))/2)</f>
        <v/>
      </c>
      <c r="AR215">
        <f>((AM215/$B$7+T214*AS214/2-T215*MAX(0.1,MIN(0.3,0.3-0.09*(AQ215-36.8)))/2)+AR214*(1-AS214/2))/(1-MAX(0.1,MIN(0.3,0.3-0.09*(AQ215-36.8)))/2)</f>
        <v/>
      </c>
      <c r="AS215">
        <f>MAX(0.1,MIN(0.3,0.3-0.09*(AR215-36.8)))</f>
        <v/>
      </c>
      <c r="AT215">
        <f>AT214+(2*AR215-1.962*AT214-1.31)/9</f>
        <v/>
      </c>
      <c r="AU215">
        <f>AU214+AG215+K215</f>
        <v/>
      </c>
      <c r="AV215">
        <f>AU215*2.67*$B$6/1.8/60</f>
        <v/>
      </c>
      <c r="AW215">
        <f>IF(AT215&gt;=$B$36,1,0)</f>
        <v/>
      </c>
      <c r="AX215">
        <f>IF(AV215&gt;=$B$21,1,0)</f>
        <v/>
      </c>
    </row>
    <row r="216">
      <c r="A216" t="n">
        <v>143</v>
      </c>
      <c r="B216">
        <f>MATCH(A216-1,$D$61:$D$68,1)</f>
        <v/>
      </c>
      <c r="C216">
        <f>INDEX($G$61:$G$68,B216)</f>
        <v/>
      </c>
      <c r="D216">
        <f>INDEX($L$61:$L$68,B216)</f>
        <v/>
      </c>
      <c r="E216">
        <f>INDEX($M$61:$M$68,B216)</f>
        <v/>
      </c>
      <c r="F216">
        <f>INDEX($N$61:$N$68,B216)</f>
        <v/>
      </c>
      <c r="G216">
        <f>INDEX($AA$61:$AA$68,B216)</f>
        <v/>
      </c>
      <c r="H216">
        <f>INDEX($X$61:$X$68,B216)</f>
        <v/>
      </c>
      <c r="I216">
        <f>INDEX($AF$61:$AF$68,B216)</f>
        <v/>
      </c>
      <c r="J216">
        <f>INDEX($AC$61:$AC$68,B216)</f>
        <v/>
      </c>
      <c r="K216">
        <f>INDEX($AD$61:$AD$68,B216)</f>
        <v/>
      </c>
      <c r="L216">
        <f>INDEX($AG$61:$AG$68,B216)</f>
        <v/>
      </c>
      <c r="M216">
        <f>INDEX($AH$61:$AH$68,B216)</f>
        <v/>
      </c>
      <c r="N216">
        <f>INDEX($AI$61:$AI$68,B216)</f>
        <v/>
      </c>
      <c r="O216">
        <f>O215*$B$26+L216*(1-$B$26)</f>
        <v/>
      </c>
      <c r="P216">
        <f>$B$7*(O216-O215)*(1-AS215)</f>
        <v/>
      </c>
      <c r="Q216">
        <f>M216+0.51274*AT215</f>
        <v/>
      </c>
      <c r="R216">
        <f>N216+0.616*AT215</f>
        <v/>
      </c>
      <c r="S216">
        <f>IF($B$13&gt;=0.6,Q216,IF($B$13&lt;=0.2,R216,R216+2.5*(Q216-R216)*($B$13-0.2)))</f>
        <v/>
      </c>
      <c r="T216">
        <f>IF(A216=1,S216,T215*$B$27+S216*(1-$B$27))</f>
        <v/>
      </c>
      <c r="U216">
        <f>0.6105*EXP(17.27*T216/(T216+237.3))</f>
        <v/>
      </c>
      <c r="V216">
        <f>($B$14*(I216*C216+IF(ABS((D216+0.1)-D216)&lt;0.000000001,4*$B$19*$B$20*(D216+273)^3,$B$19*$B$20*(((D216+0.1)+273)^4-(D216+273)^4)/((D216+0.1)-D216))*D216)+T216/H216)/($B$14*(I216+IF(ABS((D216+0.1)-D216)&lt;0.000000001,4*$B$19*$B$20*(D216+273)^3,$B$19*$B$20*(((D216+0.1)+273)^4-(D216+273)^4)/((D216+0.1)-D216)))+1/H216)</f>
        <v/>
      </c>
      <c r="W216">
        <f>($B$14*(I216*C216+IF(ABS(V216-D216)&lt;0.000000001,4*$B$19*$B$20*(D216+273)^3,$B$19*$B$20*((V216+273)^4-(D216+273)^4)/(V216-D216))*D216)+T216/H216)/($B$14*(I216+IF(ABS(V216-D216)&lt;0.000000001,4*$B$19*$B$20*(D216+273)^3,$B$19*$B$20*((V216+273)^4-(D216+273)^4)/(V216-D216)))+1/H216)</f>
        <v/>
      </c>
      <c r="X216">
        <f>($B$14*(I216*C216+IF(ABS(W216-D216)&lt;0.000000001,4*$B$19*$B$20*(D216+273)^3,$B$19*$B$20*((W216+273)^4-(D216+273)^4)/(W216-D216))*D216)+T216/H216)/($B$14*(I216+IF(ABS(W216-D216)&lt;0.000000001,4*$B$19*$B$20*(D216+273)^3,$B$19*$B$20*((W216+273)^4-(D216+273)^4)/(W216-D216)))+1/H216)</f>
        <v/>
      </c>
      <c r="Y216">
        <f>($B$14*(I216*C216+IF(ABS(X216-D216)&lt;0.000000001,4*$B$19*$B$20*(D216+273)^3,$B$19*$B$20*((X216+273)^4-(D216+273)^4)/(X216-D216))*D216)+T216/H216)/($B$14*(I216+IF(ABS(X216-D216)&lt;0.000000001,4*$B$19*$B$20*(D216+273)^3,$B$19*$B$20*((X216+273)^4-(D216+273)^4)/(X216-D216)))+1/H216)</f>
        <v/>
      </c>
      <c r="Z216">
        <f>IF(ABS(Y216-D216)&lt;0.000000001,4*$B$19*$B$20*(D216+273)^3,$B$19*$B$20*((Y216+273)^4-(D216+273)^4)/(Y216-D216))</f>
        <v/>
      </c>
      <c r="AA216">
        <f>$B$14*I216*(Y216-C216)</f>
        <v/>
      </c>
      <c r="AB216">
        <f>$B$14*Z216*(Y216-D216)</f>
        <v/>
      </c>
      <c r="AC216">
        <f>IF((U216-E216)/G216=0,0.001,(U216-E216)/G216)</f>
        <v/>
      </c>
      <c r="AD216">
        <f>F216-P216-J216-K216-AA216-AB216</f>
        <v/>
      </c>
      <c r="AE216">
        <f>AD216/AC216</f>
        <v/>
      </c>
      <c r="AF216">
        <f>IF(AD216&lt;=0,0,IF(AC216&lt;=0,$B$11,IF(AE216&gt;=1.7,$B$11,MIN(AD216/MAX(0.05,IF(AE216&gt;1,(2-AE216)^2/2,1-AE216^2/2)),$B$11))))</f>
        <v/>
      </c>
      <c r="AG216">
        <f>AG215*$B$28+AF216*(1-$B$28)</f>
        <v/>
      </c>
      <c r="AH216">
        <f>IF(AND(AD216&gt;0,AC216&lt;=0),0,AC216)</f>
        <v/>
      </c>
      <c r="AI216">
        <f>AH216/MAX(AG216,0.000001)</f>
        <v/>
      </c>
      <c r="AJ216">
        <f>MIN(IF(AI216&gt;=0.5,-AI216+SQRT(AI216^2+2),1),$B$12)</f>
        <v/>
      </c>
      <c r="AK216">
        <f>IF(AG216&lt;=0,0,AJ216*AH216)</f>
        <v/>
      </c>
      <c r="AL216">
        <f>IF(AD216&lt;=0,0,AD216)</f>
        <v/>
      </c>
      <c r="AM216">
        <f>AL216-AK216+P216</f>
        <v/>
      </c>
      <c r="AN216">
        <f>((AM216/$B$7+T215*AS215/2-T216*MAX(0.1,MIN(0.3,0.3-0.09*(AR215-36.8)))/2)+AR215*(1-AS215/2))/(1-MAX(0.1,MIN(0.3,0.3-0.09*(AR215-36.8)))/2)</f>
        <v/>
      </c>
      <c r="AO216">
        <f>((AM216/$B$7+T215*AS215/2-T216*MAX(0.1,MIN(0.3,0.3-0.09*(AN216-36.8)))/2)+AR215*(1-AS215/2))/(1-MAX(0.1,MIN(0.3,0.3-0.09*(AN216-36.8)))/2)</f>
        <v/>
      </c>
      <c r="AP216">
        <f>((AM216/$B$7+T215*AS215/2-T216*MAX(0.1,MIN(0.3,0.3-0.09*(AO216-36.8)))/2)+AR215*(1-AS215/2))/(1-MAX(0.1,MIN(0.3,0.3-0.09*(AO216-36.8)))/2)</f>
        <v/>
      </c>
      <c r="AQ216">
        <f>((AM216/$B$7+T215*AS215/2-T216*MAX(0.1,MIN(0.3,0.3-0.09*(AP216-36.8)))/2)+AR215*(1-AS215/2))/(1-MAX(0.1,MIN(0.3,0.3-0.09*(AP216-36.8)))/2)</f>
        <v/>
      </c>
      <c r="AR216">
        <f>((AM216/$B$7+T215*AS215/2-T216*MAX(0.1,MIN(0.3,0.3-0.09*(AQ216-36.8)))/2)+AR215*(1-AS215/2))/(1-MAX(0.1,MIN(0.3,0.3-0.09*(AQ216-36.8)))/2)</f>
        <v/>
      </c>
      <c r="AS216">
        <f>MAX(0.1,MIN(0.3,0.3-0.09*(AR216-36.8)))</f>
        <v/>
      </c>
      <c r="AT216">
        <f>AT215+(2*AR216-1.962*AT215-1.31)/9</f>
        <v/>
      </c>
      <c r="AU216">
        <f>AU215+AG216+K216</f>
        <v/>
      </c>
      <c r="AV216">
        <f>AU216*2.67*$B$6/1.8/60</f>
        <v/>
      </c>
      <c r="AW216">
        <f>IF(AT216&gt;=$B$36,1,0)</f>
        <v/>
      </c>
      <c r="AX216">
        <f>IF(AV216&gt;=$B$21,1,0)</f>
        <v/>
      </c>
    </row>
    <row r="217">
      <c r="A217" t="n">
        <v>144</v>
      </c>
      <c r="B217">
        <f>MATCH(A217-1,$D$61:$D$68,1)</f>
        <v/>
      </c>
      <c r="C217">
        <f>INDEX($G$61:$G$68,B217)</f>
        <v/>
      </c>
      <c r="D217">
        <f>INDEX($L$61:$L$68,B217)</f>
        <v/>
      </c>
      <c r="E217">
        <f>INDEX($M$61:$M$68,B217)</f>
        <v/>
      </c>
      <c r="F217">
        <f>INDEX($N$61:$N$68,B217)</f>
        <v/>
      </c>
      <c r="G217">
        <f>INDEX($AA$61:$AA$68,B217)</f>
        <v/>
      </c>
      <c r="H217">
        <f>INDEX($X$61:$X$68,B217)</f>
        <v/>
      </c>
      <c r="I217">
        <f>INDEX($AF$61:$AF$68,B217)</f>
        <v/>
      </c>
      <c r="J217">
        <f>INDEX($AC$61:$AC$68,B217)</f>
        <v/>
      </c>
      <c r="K217">
        <f>INDEX($AD$61:$AD$68,B217)</f>
        <v/>
      </c>
      <c r="L217">
        <f>INDEX($AG$61:$AG$68,B217)</f>
        <v/>
      </c>
      <c r="M217">
        <f>INDEX($AH$61:$AH$68,B217)</f>
        <v/>
      </c>
      <c r="N217">
        <f>INDEX($AI$61:$AI$68,B217)</f>
        <v/>
      </c>
      <c r="O217">
        <f>O216*$B$26+L217*(1-$B$26)</f>
        <v/>
      </c>
      <c r="P217">
        <f>$B$7*(O217-O216)*(1-AS216)</f>
        <v/>
      </c>
      <c r="Q217">
        <f>M217+0.51274*AT216</f>
        <v/>
      </c>
      <c r="R217">
        <f>N217+0.616*AT216</f>
        <v/>
      </c>
      <c r="S217">
        <f>IF($B$13&gt;=0.6,Q217,IF($B$13&lt;=0.2,R217,R217+2.5*(Q217-R217)*($B$13-0.2)))</f>
        <v/>
      </c>
      <c r="T217">
        <f>IF(A217=1,S217,T216*$B$27+S217*(1-$B$27))</f>
        <v/>
      </c>
      <c r="U217">
        <f>0.6105*EXP(17.27*T217/(T217+237.3))</f>
        <v/>
      </c>
      <c r="V217">
        <f>($B$14*(I217*C217+IF(ABS((D217+0.1)-D217)&lt;0.000000001,4*$B$19*$B$20*(D217+273)^3,$B$19*$B$20*(((D217+0.1)+273)^4-(D217+273)^4)/((D217+0.1)-D217))*D217)+T217/H217)/($B$14*(I217+IF(ABS((D217+0.1)-D217)&lt;0.000000001,4*$B$19*$B$20*(D217+273)^3,$B$19*$B$20*(((D217+0.1)+273)^4-(D217+273)^4)/((D217+0.1)-D217)))+1/H217)</f>
        <v/>
      </c>
      <c r="W217">
        <f>($B$14*(I217*C217+IF(ABS(V217-D217)&lt;0.000000001,4*$B$19*$B$20*(D217+273)^3,$B$19*$B$20*((V217+273)^4-(D217+273)^4)/(V217-D217))*D217)+T217/H217)/($B$14*(I217+IF(ABS(V217-D217)&lt;0.000000001,4*$B$19*$B$20*(D217+273)^3,$B$19*$B$20*((V217+273)^4-(D217+273)^4)/(V217-D217)))+1/H217)</f>
        <v/>
      </c>
      <c r="X217">
        <f>($B$14*(I217*C217+IF(ABS(W217-D217)&lt;0.000000001,4*$B$19*$B$20*(D217+273)^3,$B$19*$B$20*((W217+273)^4-(D217+273)^4)/(W217-D217))*D217)+T217/H217)/($B$14*(I217+IF(ABS(W217-D217)&lt;0.000000001,4*$B$19*$B$20*(D217+273)^3,$B$19*$B$20*((W217+273)^4-(D217+273)^4)/(W217-D217)))+1/H217)</f>
        <v/>
      </c>
      <c r="Y217">
        <f>($B$14*(I217*C217+IF(ABS(X217-D217)&lt;0.000000001,4*$B$19*$B$20*(D217+273)^3,$B$19*$B$20*((X217+273)^4-(D217+273)^4)/(X217-D217))*D217)+T217/H217)/($B$14*(I217+IF(ABS(X217-D217)&lt;0.000000001,4*$B$19*$B$20*(D217+273)^3,$B$19*$B$20*((X217+273)^4-(D217+273)^4)/(X217-D217)))+1/H217)</f>
        <v/>
      </c>
      <c r="Z217">
        <f>IF(ABS(Y217-D217)&lt;0.000000001,4*$B$19*$B$20*(D217+273)^3,$B$19*$B$20*((Y217+273)^4-(D217+273)^4)/(Y217-D217))</f>
        <v/>
      </c>
      <c r="AA217">
        <f>$B$14*I217*(Y217-C217)</f>
        <v/>
      </c>
      <c r="AB217">
        <f>$B$14*Z217*(Y217-D217)</f>
        <v/>
      </c>
      <c r="AC217">
        <f>IF((U217-E217)/G217=0,0.001,(U217-E217)/G217)</f>
        <v/>
      </c>
      <c r="AD217">
        <f>F217-P217-J217-K217-AA217-AB217</f>
        <v/>
      </c>
      <c r="AE217">
        <f>AD217/AC217</f>
        <v/>
      </c>
      <c r="AF217">
        <f>IF(AD217&lt;=0,0,IF(AC217&lt;=0,$B$11,IF(AE217&gt;=1.7,$B$11,MIN(AD217/MAX(0.05,IF(AE217&gt;1,(2-AE217)^2/2,1-AE217^2/2)),$B$11))))</f>
        <v/>
      </c>
      <c r="AG217">
        <f>AG216*$B$28+AF217*(1-$B$28)</f>
        <v/>
      </c>
      <c r="AH217">
        <f>IF(AND(AD217&gt;0,AC217&lt;=0),0,AC217)</f>
        <v/>
      </c>
      <c r="AI217">
        <f>AH217/MAX(AG217,0.000001)</f>
        <v/>
      </c>
      <c r="AJ217">
        <f>MIN(IF(AI217&gt;=0.5,-AI217+SQRT(AI217^2+2),1),$B$12)</f>
        <v/>
      </c>
      <c r="AK217">
        <f>IF(AG217&lt;=0,0,AJ217*AH217)</f>
        <v/>
      </c>
      <c r="AL217">
        <f>IF(AD217&lt;=0,0,AD217)</f>
        <v/>
      </c>
      <c r="AM217">
        <f>AL217-AK217+P217</f>
        <v/>
      </c>
      <c r="AN217">
        <f>((AM217/$B$7+T216*AS216/2-T217*MAX(0.1,MIN(0.3,0.3-0.09*(AR216-36.8)))/2)+AR216*(1-AS216/2))/(1-MAX(0.1,MIN(0.3,0.3-0.09*(AR216-36.8)))/2)</f>
        <v/>
      </c>
      <c r="AO217">
        <f>((AM217/$B$7+T216*AS216/2-T217*MAX(0.1,MIN(0.3,0.3-0.09*(AN217-36.8)))/2)+AR216*(1-AS216/2))/(1-MAX(0.1,MIN(0.3,0.3-0.09*(AN217-36.8)))/2)</f>
        <v/>
      </c>
      <c r="AP217">
        <f>((AM217/$B$7+T216*AS216/2-T217*MAX(0.1,MIN(0.3,0.3-0.09*(AO217-36.8)))/2)+AR216*(1-AS216/2))/(1-MAX(0.1,MIN(0.3,0.3-0.09*(AO217-36.8)))/2)</f>
        <v/>
      </c>
      <c r="AQ217">
        <f>((AM217/$B$7+T216*AS216/2-T217*MAX(0.1,MIN(0.3,0.3-0.09*(AP217-36.8)))/2)+AR216*(1-AS216/2))/(1-MAX(0.1,MIN(0.3,0.3-0.09*(AP217-36.8)))/2)</f>
        <v/>
      </c>
      <c r="AR217">
        <f>((AM217/$B$7+T216*AS216/2-T217*MAX(0.1,MIN(0.3,0.3-0.09*(AQ217-36.8)))/2)+AR216*(1-AS216/2))/(1-MAX(0.1,MIN(0.3,0.3-0.09*(AQ217-36.8)))/2)</f>
        <v/>
      </c>
      <c r="AS217">
        <f>MAX(0.1,MIN(0.3,0.3-0.09*(AR217-36.8)))</f>
        <v/>
      </c>
      <c r="AT217">
        <f>AT216+(2*AR217-1.962*AT216-1.31)/9</f>
        <v/>
      </c>
      <c r="AU217">
        <f>AU216+AG217+K217</f>
        <v/>
      </c>
      <c r="AV217">
        <f>AU217*2.67*$B$6/1.8/60</f>
        <v/>
      </c>
      <c r="AW217">
        <f>IF(AT217&gt;=$B$36,1,0)</f>
        <v/>
      </c>
      <c r="AX217">
        <f>IF(AV217&gt;=$B$21,1,0)</f>
        <v/>
      </c>
    </row>
    <row r="218">
      <c r="A218" t="n">
        <v>145</v>
      </c>
      <c r="B218">
        <f>MATCH(A218-1,$D$61:$D$68,1)</f>
        <v/>
      </c>
      <c r="C218">
        <f>INDEX($G$61:$G$68,B218)</f>
        <v/>
      </c>
      <c r="D218">
        <f>INDEX($L$61:$L$68,B218)</f>
        <v/>
      </c>
      <c r="E218">
        <f>INDEX($M$61:$M$68,B218)</f>
        <v/>
      </c>
      <c r="F218">
        <f>INDEX($N$61:$N$68,B218)</f>
        <v/>
      </c>
      <c r="G218">
        <f>INDEX($AA$61:$AA$68,B218)</f>
        <v/>
      </c>
      <c r="H218">
        <f>INDEX($X$61:$X$68,B218)</f>
        <v/>
      </c>
      <c r="I218">
        <f>INDEX($AF$61:$AF$68,B218)</f>
        <v/>
      </c>
      <c r="J218">
        <f>INDEX($AC$61:$AC$68,B218)</f>
        <v/>
      </c>
      <c r="K218">
        <f>INDEX($AD$61:$AD$68,B218)</f>
        <v/>
      </c>
      <c r="L218">
        <f>INDEX($AG$61:$AG$68,B218)</f>
        <v/>
      </c>
      <c r="M218">
        <f>INDEX($AH$61:$AH$68,B218)</f>
        <v/>
      </c>
      <c r="N218">
        <f>INDEX($AI$61:$AI$68,B218)</f>
        <v/>
      </c>
      <c r="O218">
        <f>O217*$B$26+L218*(1-$B$26)</f>
        <v/>
      </c>
      <c r="P218">
        <f>$B$7*(O218-O217)*(1-AS217)</f>
        <v/>
      </c>
      <c r="Q218">
        <f>M218+0.51274*AT217</f>
        <v/>
      </c>
      <c r="R218">
        <f>N218+0.616*AT217</f>
        <v/>
      </c>
      <c r="S218">
        <f>IF($B$13&gt;=0.6,Q218,IF($B$13&lt;=0.2,R218,R218+2.5*(Q218-R218)*($B$13-0.2)))</f>
        <v/>
      </c>
      <c r="T218">
        <f>IF(A218=1,S218,T217*$B$27+S218*(1-$B$27))</f>
        <v/>
      </c>
      <c r="U218">
        <f>0.6105*EXP(17.27*T218/(T218+237.3))</f>
        <v/>
      </c>
      <c r="V218">
        <f>($B$14*(I218*C218+IF(ABS((D218+0.1)-D218)&lt;0.000000001,4*$B$19*$B$20*(D218+273)^3,$B$19*$B$20*(((D218+0.1)+273)^4-(D218+273)^4)/((D218+0.1)-D218))*D218)+T218/H218)/($B$14*(I218+IF(ABS((D218+0.1)-D218)&lt;0.000000001,4*$B$19*$B$20*(D218+273)^3,$B$19*$B$20*(((D218+0.1)+273)^4-(D218+273)^4)/((D218+0.1)-D218)))+1/H218)</f>
        <v/>
      </c>
      <c r="W218">
        <f>($B$14*(I218*C218+IF(ABS(V218-D218)&lt;0.000000001,4*$B$19*$B$20*(D218+273)^3,$B$19*$B$20*((V218+273)^4-(D218+273)^4)/(V218-D218))*D218)+T218/H218)/($B$14*(I218+IF(ABS(V218-D218)&lt;0.000000001,4*$B$19*$B$20*(D218+273)^3,$B$19*$B$20*((V218+273)^4-(D218+273)^4)/(V218-D218)))+1/H218)</f>
        <v/>
      </c>
      <c r="X218">
        <f>($B$14*(I218*C218+IF(ABS(W218-D218)&lt;0.000000001,4*$B$19*$B$20*(D218+273)^3,$B$19*$B$20*((W218+273)^4-(D218+273)^4)/(W218-D218))*D218)+T218/H218)/($B$14*(I218+IF(ABS(W218-D218)&lt;0.000000001,4*$B$19*$B$20*(D218+273)^3,$B$19*$B$20*((W218+273)^4-(D218+273)^4)/(W218-D218)))+1/H218)</f>
        <v/>
      </c>
      <c r="Y218">
        <f>($B$14*(I218*C218+IF(ABS(X218-D218)&lt;0.000000001,4*$B$19*$B$20*(D218+273)^3,$B$19*$B$20*((X218+273)^4-(D218+273)^4)/(X218-D218))*D218)+T218/H218)/($B$14*(I218+IF(ABS(X218-D218)&lt;0.000000001,4*$B$19*$B$20*(D218+273)^3,$B$19*$B$20*((X218+273)^4-(D218+273)^4)/(X218-D218)))+1/H218)</f>
        <v/>
      </c>
      <c r="Z218">
        <f>IF(ABS(Y218-D218)&lt;0.000000001,4*$B$19*$B$20*(D218+273)^3,$B$19*$B$20*((Y218+273)^4-(D218+273)^4)/(Y218-D218))</f>
        <v/>
      </c>
      <c r="AA218">
        <f>$B$14*I218*(Y218-C218)</f>
        <v/>
      </c>
      <c r="AB218">
        <f>$B$14*Z218*(Y218-D218)</f>
        <v/>
      </c>
      <c r="AC218">
        <f>IF((U218-E218)/G218=0,0.001,(U218-E218)/G218)</f>
        <v/>
      </c>
      <c r="AD218">
        <f>F218-P218-J218-K218-AA218-AB218</f>
        <v/>
      </c>
      <c r="AE218">
        <f>AD218/AC218</f>
        <v/>
      </c>
      <c r="AF218">
        <f>IF(AD218&lt;=0,0,IF(AC218&lt;=0,$B$11,IF(AE218&gt;=1.7,$B$11,MIN(AD218/MAX(0.05,IF(AE218&gt;1,(2-AE218)^2/2,1-AE218^2/2)),$B$11))))</f>
        <v/>
      </c>
      <c r="AG218">
        <f>AG217*$B$28+AF218*(1-$B$28)</f>
        <v/>
      </c>
      <c r="AH218">
        <f>IF(AND(AD218&gt;0,AC218&lt;=0),0,AC218)</f>
        <v/>
      </c>
      <c r="AI218">
        <f>AH218/MAX(AG218,0.000001)</f>
        <v/>
      </c>
      <c r="AJ218">
        <f>MIN(IF(AI218&gt;=0.5,-AI218+SQRT(AI218^2+2),1),$B$12)</f>
        <v/>
      </c>
      <c r="AK218">
        <f>IF(AG218&lt;=0,0,AJ218*AH218)</f>
        <v/>
      </c>
      <c r="AL218">
        <f>IF(AD218&lt;=0,0,AD218)</f>
        <v/>
      </c>
      <c r="AM218">
        <f>AL218-AK218+P218</f>
        <v/>
      </c>
      <c r="AN218">
        <f>((AM218/$B$7+T217*AS217/2-T218*MAX(0.1,MIN(0.3,0.3-0.09*(AR217-36.8)))/2)+AR217*(1-AS217/2))/(1-MAX(0.1,MIN(0.3,0.3-0.09*(AR217-36.8)))/2)</f>
        <v/>
      </c>
      <c r="AO218">
        <f>((AM218/$B$7+T217*AS217/2-T218*MAX(0.1,MIN(0.3,0.3-0.09*(AN218-36.8)))/2)+AR217*(1-AS217/2))/(1-MAX(0.1,MIN(0.3,0.3-0.09*(AN218-36.8)))/2)</f>
        <v/>
      </c>
      <c r="AP218">
        <f>((AM218/$B$7+T217*AS217/2-T218*MAX(0.1,MIN(0.3,0.3-0.09*(AO218-36.8)))/2)+AR217*(1-AS217/2))/(1-MAX(0.1,MIN(0.3,0.3-0.09*(AO218-36.8)))/2)</f>
        <v/>
      </c>
      <c r="AQ218">
        <f>((AM218/$B$7+T217*AS217/2-T218*MAX(0.1,MIN(0.3,0.3-0.09*(AP218-36.8)))/2)+AR217*(1-AS217/2))/(1-MAX(0.1,MIN(0.3,0.3-0.09*(AP218-36.8)))/2)</f>
        <v/>
      </c>
      <c r="AR218">
        <f>((AM218/$B$7+T217*AS217/2-T218*MAX(0.1,MIN(0.3,0.3-0.09*(AQ218-36.8)))/2)+AR217*(1-AS217/2))/(1-MAX(0.1,MIN(0.3,0.3-0.09*(AQ218-36.8)))/2)</f>
        <v/>
      </c>
      <c r="AS218">
        <f>MAX(0.1,MIN(0.3,0.3-0.09*(AR218-36.8)))</f>
        <v/>
      </c>
      <c r="AT218">
        <f>AT217+(2*AR218-1.962*AT217-1.31)/9</f>
        <v/>
      </c>
      <c r="AU218">
        <f>AU217+AG218+K218</f>
        <v/>
      </c>
      <c r="AV218">
        <f>AU218*2.67*$B$6/1.8/60</f>
        <v/>
      </c>
      <c r="AW218">
        <f>IF(AT218&gt;=$B$36,1,0)</f>
        <v/>
      </c>
      <c r="AX218">
        <f>IF(AV218&gt;=$B$21,1,0)</f>
        <v/>
      </c>
    </row>
    <row r="219">
      <c r="A219" t="n">
        <v>146</v>
      </c>
      <c r="B219">
        <f>MATCH(A219-1,$D$61:$D$68,1)</f>
        <v/>
      </c>
      <c r="C219">
        <f>INDEX($G$61:$G$68,B219)</f>
        <v/>
      </c>
      <c r="D219">
        <f>INDEX($L$61:$L$68,B219)</f>
        <v/>
      </c>
      <c r="E219">
        <f>INDEX($M$61:$M$68,B219)</f>
        <v/>
      </c>
      <c r="F219">
        <f>INDEX($N$61:$N$68,B219)</f>
        <v/>
      </c>
      <c r="G219">
        <f>INDEX($AA$61:$AA$68,B219)</f>
        <v/>
      </c>
      <c r="H219">
        <f>INDEX($X$61:$X$68,B219)</f>
        <v/>
      </c>
      <c r="I219">
        <f>INDEX($AF$61:$AF$68,B219)</f>
        <v/>
      </c>
      <c r="J219">
        <f>INDEX($AC$61:$AC$68,B219)</f>
        <v/>
      </c>
      <c r="K219">
        <f>INDEX($AD$61:$AD$68,B219)</f>
        <v/>
      </c>
      <c r="L219">
        <f>INDEX($AG$61:$AG$68,B219)</f>
        <v/>
      </c>
      <c r="M219">
        <f>INDEX($AH$61:$AH$68,B219)</f>
        <v/>
      </c>
      <c r="N219">
        <f>INDEX($AI$61:$AI$68,B219)</f>
        <v/>
      </c>
      <c r="O219">
        <f>O218*$B$26+L219*(1-$B$26)</f>
        <v/>
      </c>
      <c r="P219">
        <f>$B$7*(O219-O218)*(1-AS218)</f>
        <v/>
      </c>
      <c r="Q219">
        <f>M219+0.51274*AT218</f>
        <v/>
      </c>
      <c r="R219">
        <f>N219+0.616*AT218</f>
        <v/>
      </c>
      <c r="S219">
        <f>IF($B$13&gt;=0.6,Q219,IF($B$13&lt;=0.2,R219,R219+2.5*(Q219-R219)*($B$13-0.2)))</f>
        <v/>
      </c>
      <c r="T219">
        <f>IF(A219=1,S219,T218*$B$27+S219*(1-$B$27))</f>
        <v/>
      </c>
      <c r="U219">
        <f>0.6105*EXP(17.27*T219/(T219+237.3))</f>
        <v/>
      </c>
      <c r="V219">
        <f>($B$14*(I219*C219+IF(ABS((D219+0.1)-D219)&lt;0.000000001,4*$B$19*$B$20*(D219+273)^3,$B$19*$B$20*(((D219+0.1)+273)^4-(D219+273)^4)/((D219+0.1)-D219))*D219)+T219/H219)/($B$14*(I219+IF(ABS((D219+0.1)-D219)&lt;0.000000001,4*$B$19*$B$20*(D219+273)^3,$B$19*$B$20*(((D219+0.1)+273)^4-(D219+273)^4)/((D219+0.1)-D219)))+1/H219)</f>
        <v/>
      </c>
      <c r="W219">
        <f>($B$14*(I219*C219+IF(ABS(V219-D219)&lt;0.000000001,4*$B$19*$B$20*(D219+273)^3,$B$19*$B$20*((V219+273)^4-(D219+273)^4)/(V219-D219))*D219)+T219/H219)/($B$14*(I219+IF(ABS(V219-D219)&lt;0.000000001,4*$B$19*$B$20*(D219+273)^3,$B$19*$B$20*((V219+273)^4-(D219+273)^4)/(V219-D219)))+1/H219)</f>
        <v/>
      </c>
      <c r="X219">
        <f>($B$14*(I219*C219+IF(ABS(W219-D219)&lt;0.000000001,4*$B$19*$B$20*(D219+273)^3,$B$19*$B$20*((W219+273)^4-(D219+273)^4)/(W219-D219))*D219)+T219/H219)/($B$14*(I219+IF(ABS(W219-D219)&lt;0.000000001,4*$B$19*$B$20*(D219+273)^3,$B$19*$B$20*((W219+273)^4-(D219+273)^4)/(W219-D219)))+1/H219)</f>
        <v/>
      </c>
      <c r="Y219">
        <f>($B$14*(I219*C219+IF(ABS(X219-D219)&lt;0.000000001,4*$B$19*$B$20*(D219+273)^3,$B$19*$B$20*((X219+273)^4-(D219+273)^4)/(X219-D219))*D219)+T219/H219)/($B$14*(I219+IF(ABS(X219-D219)&lt;0.000000001,4*$B$19*$B$20*(D219+273)^3,$B$19*$B$20*((X219+273)^4-(D219+273)^4)/(X219-D219)))+1/H219)</f>
        <v/>
      </c>
      <c r="Z219">
        <f>IF(ABS(Y219-D219)&lt;0.000000001,4*$B$19*$B$20*(D219+273)^3,$B$19*$B$20*((Y219+273)^4-(D219+273)^4)/(Y219-D219))</f>
        <v/>
      </c>
      <c r="AA219">
        <f>$B$14*I219*(Y219-C219)</f>
        <v/>
      </c>
      <c r="AB219">
        <f>$B$14*Z219*(Y219-D219)</f>
        <v/>
      </c>
      <c r="AC219">
        <f>IF((U219-E219)/G219=0,0.001,(U219-E219)/G219)</f>
        <v/>
      </c>
      <c r="AD219">
        <f>F219-P219-J219-K219-AA219-AB219</f>
        <v/>
      </c>
      <c r="AE219">
        <f>AD219/AC219</f>
        <v/>
      </c>
      <c r="AF219">
        <f>IF(AD219&lt;=0,0,IF(AC219&lt;=0,$B$11,IF(AE219&gt;=1.7,$B$11,MIN(AD219/MAX(0.05,IF(AE219&gt;1,(2-AE219)^2/2,1-AE219^2/2)),$B$11))))</f>
        <v/>
      </c>
      <c r="AG219">
        <f>AG218*$B$28+AF219*(1-$B$28)</f>
        <v/>
      </c>
      <c r="AH219">
        <f>IF(AND(AD219&gt;0,AC219&lt;=0),0,AC219)</f>
        <v/>
      </c>
      <c r="AI219">
        <f>AH219/MAX(AG219,0.000001)</f>
        <v/>
      </c>
      <c r="AJ219">
        <f>MIN(IF(AI219&gt;=0.5,-AI219+SQRT(AI219^2+2),1),$B$12)</f>
        <v/>
      </c>
      <c r="AK219">
        <f>IF(AG219&lt;=0,0,AJ219*AH219)</f>
        <v/>
      </c>
      <c r="AL219">
        <f>IF(AD219&lt;=0,0,AD219)</f>
        <v/>
      </c>
      <c r="AM219">
        <f>AL219-AK219+P219</f>
        <v/>
      </c>
      <c r="AN219">
        <f>((AM219/$B$7+T218*AS218/2-T219*MAX(0.1,MIN(0.3,0.3-0.09*(AR218-36.8)))/2)+AR218*(1-AS218/2))/(1-MAX(0.1,MIN(0.3,0.3-0.09*(AR218-36.8)))/2)</f>
        <v/>
      </c>
      <c r="AO219">
        <f>((AM219/$B$7+T218*AS218/2-T219*MAX(0.1,MIN(0.3,0.3-0.09*(AN219-36.8)))/2)+AR218*(1-AS218/2))/(1-MAX(0.1,MIN(0.3,0.3-0.09*(AN219-36.8)))/2)</f>
        <v/>
      </c>
      <c r="AP219">
        <f>((AM219/$B$7+T218*AS218/2-T219*MAX(0.1,MIN(0.3,0.3-0.09*(AO219-36.8)))/2)+AR218*(1-AS218/2))/(1-MAX(0.1,MIN(0.3,0.3-0.09*(AO219-36.8)))/2)</f>
        <v/>
      </c>
      <c r="AQ219">
        <f>((AM219/$B$7+T218*AS218/2-T219*MAX(0.1,MIN(0.3,0.3-0.09*(AP219-36.8)))/2)+AR218*(1-AS218/2))/(1-MAX(0.1,MIN(0.3,0.3-0.09*(AP219-36.8)))/2)</f>
        <v/>
      </c>
      <c r="AR219">
        <f>((AM219/$B$7+T218*AS218/2-T219*MAX(0.1,MIN(0.3,0.3-0.09*(AQ219-36.8)))/2)+AR218*(1-AS218/2))/(1-MAX(0.1,MIN(0.3,0.3-0.09*(AQ219-36.8)))/2)</f>
        <v/>
      </c>
      <c r="AS219">
        <f>MAX(0.1,MIN(0.3,0.3-0.09*(AR219-36.8)))</f>
        <v/>
      </c>
      <c r="AT219">
        <f>AT218+(2*AR219-1.962*AT218-1.31)/9</f>
        <v/>
      </c>
      <c r="AU219">
        <f>AU218+AG219+K219</f>
        <v/>
      </c>
      <c r="AV219">
        <f>AU219*2.67*$B$6/1.8/60</f>
        <v/>
      </c>
      <c r="AW219">
        <f>IF(AT219&gt;=$B$36,1,0)</f>
        <v/>
      </c>
      <c r="AX219">
        <f>IF(AV219&gt;=$B$21,1,0)</f>
        <v/>
      </c>
    </row>
    <row r="220">
      <c r="A220" t="n">
        <v>147</v>
      </c>
      <c r="B220">
        <f>MATCH(A220-1,$D$61:$D$68,1)</f>
        <v/>
      </c>
      <c r="C220">
        <f>INDEX($G$61:$G$68,B220)</f>
        <v/>
      </c>
      <c r="D220">
        <f>INDEX($L$61:$L$68,B220)</f>
        <v/>
      </c>
      <c r="E220">
        <f>INDEX($M$61:$M$68,B220)</f>
        <v/>
      </c>
      <c r="F220">
        <f>INDEX($N$61:$N$68,B220)</f>
        <v/>
      </c>
      <c r="G220">
        <f>INDEX($AA$61:$AA$68,B220)</f>
        <v/>
      </c>
      <c r="H220">
        <f>INDEX($X$61:$X$68,B220)</f>
        <v/>
      </c>
      <c r="I220">
        <f>INDEX($AF$61:$AF$68,B220)</f>
        <v/>
      </c>
      <c r="J220">
        <f>INDEX($AC$61:$AC$68,B220)</f>
        <v/>
      </c>
      <c r="K220">
        <f>INDEX($AD$61:$AD$68,B220)</f>
        <v/>
      </c>
      <c r="L220">
        <f>INDEX($AG$61:$AG$68,B220)</f>
        <v/>
      </c>
      <c r="M220">
        <f>INDEX($AH$61:$AH$68,B220)</f>
        <v/>
      </c>
      <c r="N220">
        <f>INDEX($AI$61:$AI$68,B220)</f>
        <v/>
      </c>
      <c r="O220">
        <f>O219*$B$26+L220*(1-$B$26)</f>
        <v/>
      </c>
      <c r="P220">
        <f>$B$7*(O220-O219)*(1-AS219)</f>
        <v/>
      </c>
      <c r="Q220">
        <f>M220+0.51274*AT219</f>
        <v/>
      </c>
      <c r="R220">
        <f>N220+0.616*AT219</f>
        <v/>
      </c>
      <c r="S220">
        <f>IF($B$13&gt;=0.6,Q220,IF($B$13&lt;=0.2,R220,R220+2.5*(Q220-R220)*($B$13-0.2)))</f>
        <v/>
      </c>
      <c r="T220">
        <f>IF(A220=1,S220,T219*$B$27+S220*(1-$B$27))</f>
        <v/>
      </c>
      <c r="U220">
        <f>0.6105*EXP(17.27*T220/(T220+237.3))</f>
        <v/>
      </c>
      <c r="V220">
        <f>($B$14*(I220*C220+IF(ABS((D220+0.1)-D220)&lt;0.000000001,4*$B$19*$B$20*(D220+273)^3,$B$19*$B$20*(((D220+0.1)+273)^4-(D220+273)^4)/((D220+0.1)-D220))*D220)+T220/H220)/($B$14*(I220+IF(ABS((D220+0.1)-D220)&lt;0.000000001,4*$B$19*$B$20*(D220+273)^3,$B$19*$B$20*(((D220+0.1)+273)^4-(D220+273)^4)/((D220+0.1)-D220)))+1/H220)</f>
        <v/>
      </c>
      <c r="W220">
        <f>($B$14*(I220*C220+IF(ABS(V220-D220)&lt;0.000000001,4*$B$19*$B$20*(D220+273)^3,$B$19*$B$20*((V220+273)^4-(D220+273)^4)/(V220-D220))*D220)+T220/H220)/($B$14*(I220+IF(ABS(V220-D220)&lt;0.000000001,4*$B$19*$B$20*(D220+273)^3,$B$19*$B$20*((V220+273)^4-(D220+273)^4)/(V220-D220)))+1/H220)</f>
        <v/>
      </c>
      <c r="X220">
        <f>($B$14*(I220*C220+IF(ABS(W220-D220)&lt;0.000000001,4*$B$19*$B$20*(D220+273)^3,$B$19*$B$20*((W220+273)^4-(D220+273)^4)/(W220-D220))*D220)+T220/H220)/($B$14*(I220+IF(ABS(W220-D220)&lt;0.000000001,4*$B$19*$B$20*(D220+273)^3,$B$19*$B$20*((W220+273)^4-(D220+273)^4)/(W220-D220)))+1/H220)</f>
        <v/>
      </c>
      <c r="Y220">
        <f>($B$14*(I220*C220+IF(ABS(X220-D220)&lt;0.000000001,4*$B$19*$B$20*(D220+273)^3,$B$19*$B$20*((X220+273)^4-(D220+273)^4)/(X220-D220))*D220)+T220/H220)/($B$14*(I220+IF(ABS(X220-D220)&lt;0.000000001,4*$B$19*$B$20*(D220+273)^3,$B$19*$B$20*((X220+273)^4-(D220+273)^4)/(X220-D220)))+1/H220)</f>
        <v/>
      </c>
      <c r="Z220">
        <f>IF(ABS(Y220-D220)&lt;0.000000001,4*$B$19*$B$20*(D220+273)^3,$B$19*$B$20*((Y220+273)^4-(D220+273)^4)/(Y220-D220))</f>
        <v/>
      </c>
      <c r="AA220">
        <f>$B$14*I220*(Y220-C220)</f>
        <v/>
      </c>
      <c r="AB220">
        <f>$B$14*Z220*(Y220-D220)</f>
        <v/>
      </c>
      <c r="AC220">
        <f>IF((U220-E220)/G220=0,0.001,(U220-E220)/G220)</f>
        <v/>
      </c>
      <c r="AD220">
        <f>F220-P220-J220-K220-AA220-AB220</f>
        <v/>
      </c>
      <c r="AE220">
        <f>AD220/AC220</f>
        <v/>
      </c>
      <c r="AF220">
        <f>IF(AD220&lt;=0,0,IF(AC220&lt;=0,$B$11,IF(AE220&gt;=1.7,$B$11,MIN(AD220/MAX(0.05,IF(AE220&gt;1,(2-AE220)^2/2,1-AE220^2/2)),$B$11))))</f>
        <v/>
      </c>
      <c r="AG220">
        <f>AG219*$B$28+AF220*(1-$B$28)</f>
        <v/>
      </c>
      <c r="AH220">
        <f>IF(AND(AD220&gt;0,AC220&lt;=0),0,AC220)</f>
        <v/>
      </c>
      <c r="AI220">
        <f>AH220/MAX(AG220,0.000001)</f>
        <v/>
      </c>
      <c r="AJ220">
        <f>MIN(IF(AI220&gt;=0.5,-AI220+SQRT(AI220^2+2),1),$B$12)</f>
        <v/>
      </c>
      <c r="AK220">
        <f>IF(AG220&lt;=0,0,AJ220*AH220)</f>
        <v/>
      </c>
      <c r="AL220">
        <f>IF(AD220&lt;=0,0,AD220)</f>
        <v/>
      </c>
      <c r="AM220">
        <f>AL220-AK220+P220</f>
        <v/>
      </c>
      <c r="AN220">
        <f>((AM220/$B$7+T219*AS219/2-T220*MAX(0.1,MIN(0.3,0.3-0.09*(AR219-36.8)))/2)+AR219*(1-AS219/2))/(1-MAX(0.1,MIN(0.3,0.3-0.09*(AR219-36.8)))/2)</f>
        <v/>
      </c>
      <c r="AO220">
        <f>((AM220/$B$7+T219*AS219/2-T220*MAX(0.1,MIN(0.3,0.3-0.09*(AN220-36.8)))/2)+AR219*(1-AS219/2))/(1-MAX(0.1,MIN(0.3,0.3-0.09*(AN220-36.8)))/2)</f>
        <v/>
      </c>
      <c r="AP220">
        <f>((AM220/$B$7+T219*AS219/2-T220*MAX(0.1,MIN(0.3,0.3-0.09*(AO220-36.8)))/2)+AR219*(1-AS219/2))/(1-MAX(0.1,MIN(0.3,0.3-0.09*(AO220-36.8)))/2)</f>
        <v/>
      </c>
      <c r="AQ220">
        <f>((AM220/$B$7+T219*AS219/2-T220*MAX(0.1,MIN(0.3,0.3-0.09*(AP220-36.8)))/2)+AR219*(1-AS219/2))/(1-MAX(0.1,MIN(0.3,0.3-0.09*(AP220-36.8)))/2)</f>
        <v/>
      </c>
      <c r="AR220">
        <f>((AM220/$B$7+T219*AS219/2-T220*MAX(0.1,MIN(0.3,0.3-0.09*(AQ220-36.8)))/2)+AR219*(1-AS219/2))/(1-MAX(0.1,MIN(0.3,0.3-0.09*(AQ220-36.8)))/2)</f>
        <v/>
      </c>
      <c r="AS220">
        <f>MAX(0.1,MIN(0.3,0.3-0.09*(AR220-36.8)))</f>
        <v/>
      </c>
      <c r="AT220">
        <f>AT219+(2*AR220-1.962*AT219-1.31)/9</f>
        <v/>
      </c>
      <c r="AU220">
        <f>AU219+AG220+K220</f>
        <v/>
      </c>
      <c r="AV220">
        <f>AU220*2.67*$B$6/1.8/60</f>
        <v/>
      </c>
      <c r="AW220">
        <f>IF(AT220&gt;=$B$36,1,0)</f>
        <v/>
      </c>
      <c r="AX220">
        <f>IF(AV220&gt;=$B$21,1,0)</f>
        <v/>
      </c>
    </row>
    <row r="221">
      <c r="A221" t="n">
        <v>148</v>
      </c>
      <c r="B221">
        <f>MATCH(A221-1,$D$61:$D$68,1)</f>
        <v/>
      </c>
      <c r="C221">
        <f>INDEX($G$61:$G$68,B221)</f>
        <v/>
      </c>
      <c r="D221">
        <f>INDEX($L$61:$L$68,B221)</f>
        <v/>
      </c>
      <c r="E221">
        <f>INDEX($M$61:$M$68,B221)</f>
        <v/>
      </c>
      <c r="F221">
        <f>INDEX($N$61:$N$68,B221)</f>
        <v/>
      </c>
      <c r="G221">
        <f>INDEX($AA$61:$AA$68,B221)</f>
        <v/>
      </c>
      <c r="H221">
        <f>INDEX($X$61:$X$68,B221)</f>
        <v/>
      </c>
      <c r="I221">
        <f>INDEX($AF$61:$AF$68,B221)</f>
        <v/>
      </c>
      <c r="J221">
        <f>INDEX($AC$61:$AC$68,B221)</f>
        <v/>
      </c>
      <c r="K221">
        <f>INDEX($AD$61:$AD$68,B221)</f>
        <v/>
      </c>
      <c r="L221">
        <f>INDEX($AG$61:$AG$68,B221)</f>
        <v/>
      </c>
      <c r="M221">
        <f>INDEX($AH$61:$AH$68,B221)</f>
        <v/>
      </c>
      <c r="N221">
        <f>INDEX($AI$61:$AI$68,B221)</f>
        <v/>
      </c>
      <c r="O221">
        <f>O220*$B$26+L221*(1-$B$26)</f>
        <v/>
      </c>
      <c r="P221">
        <f>$B$7*(O221-O220)*(1-AS220)</f>
        <v/>
      </c>
      <c r="Q221">
        <f>M221+0.51274*AT220</f>
        <v/>
      </c>
      <c r="R221">
        <f>N221+0.616*AT220</f>
        <v/>
      </c>
      <c r="S221">
        <f>IF($B$13&gt;=0.6,Q221,IF($B$13&lt;=0.2,R221,R221+2.5*(Q221-R221)*($B$13-0.2)))</f>
        <v/>
      </c>
      <c r="T221">
        <f>IF(A221=1,S221,T220*$B$27+S221*(1-$B$27))</f>
        <v/>
      </c>
      <c r="U221">
        <f>0.6105*EXP(17.27*T221/(T221+237.3))</f>
        <v/>
      </c>
      <c r="V221">
        <f>($B$14*(I221*C221+IF(ABS((D221+0.1)-D221)&lt;0.000000001,4*$B$19*$B$20*(D221+273)^3,$B$19*$B$20*(((D221+0.1)+273)^4-(D221+273)^4)/((D221+0.1)-D221))*D221)+T221/H221)/($B$14*(I221+IF(ABS((D221+0.1)-D221)&lt;0.000000001,4*$B$19*$B$20*(D221+273)^3,$B$19*$B$20*(((D221+0.1)+273)^4-(D221+273)^4)/((D221+0.1)-D221)))+1/H221)</f>
        <v/>
      </c>
      <c r="W221">
        <f>($B$14*(I221*C221+IF(ABS(V221-D221)&lt;0.000000001,4*$B$19*$B$20*(D221+273)^3,$B$19*$B$20*((V221+273)^4-(D221+273)^4)/(V221-D221))*D221)+T221/H221)/($B$14*(I221+IF(ABS(V221-D221)&lt;0.000000001,4*$B$19*$B$20*(D221+273)^3,$B$19*$B$20*((V221+273)^4-(D221+273)^4)/(V221-D221)))+1/H221)</f>
        <v/>
      </c>
      <c r="X221">
        <f>($B$14*(I221*C221+IF(ABS(W221-D221)&lt;0.000000001,4*$B$19*$B$20*(D221+273)^3,$B$19*$B$20*((W221+273)^4-(D221+273)^4)/(W221-D221))*D221)+T221/H221)/($B$14*(I221+IF(ABS(W221-D221)&lt;0.000000001,4*$B$19*$B$20*(D221+273)^3,$B$19*$B$20*((W221+273)^4-(D221+273)^4)/(W221-D221)))+1/H221)</f>
        <v/>
      </c>
      <c r="Y221">
        <f>($B$14*(I221*C221+IF(ABS(X221-D221)&lt;0.000000001,4*$B$19*$B$20*(D221+273)^3,$B$19*$B$20*((X221+273)^4-(D221+273)^4)/(X221-D221))*D221)+T221/H221)/($B$14*(I221+IF(ABS(X221-D221)&lt;0.000000001,4*$B$19*$B$20*(D221+273)^3,$B$19*$B$20*((X221+273)^4-(D221+273)^4)/(X221-D221)))+1/H221)</f>
        <v/>
      </c>
      <c r="Z221">
        <f>IF(ABS(Y221-D221)&lt;0.000000001,4*$B$19*$B$20*(D221+273)^3,$B$19*$B$20*((Y221+273)^4-(D221+273)^4)/(Y221-D221))</f>
        <v/>
      </c>
      <c r="AA221">
        <f>$B$14*I221*(Y221-C221)</f>
        <v/>
      </c>
      <c r="AB221">
        <f>$B$14*Z221*(Y221-D221)</f>
        <v/>
      </c>
      <c r="AC221">
        <f>IF((U221-E221)/G221=0,0.001,(U221-E221)/G221)</f>
        <v/>
      </c>
      <c r="AD221">
        <f>F221-P221-J221-K221-AA221-AB221</f>
        <v/>
      </c>
      <c r="AE221">
        <f>AD221/AC221</f>
        <v/>
      </c>
      <c r="AF221">
        <f>IF(AD221&lt;=0,0,IF(AC221&lt;=0,$B$11,IF(AE221&gt;=1.7,$B$11,MIN(AD221/MAX(0.05,IF(AE221&gt;1,(2-AE221)^2/2,1-AE221^2/2)),$B$11))))</f>
        <v/>
      </c>
      <c r="AG221">
        <f>AG220*$B$28+AF221*(1-$B$28)</f>
        <v/>
      </c>
      <c r="AH221">
        <f>IF(AND(AD221&gt;0,AC221&lt;=0),0,AC221)</f>
        <v/>
      </c>
      <c r="AI221">
        <f>AH221/MAX(AG221,0.000001)</f>
        <v/>
      </c>
      <c r="AJ221">
        <f>MIN(IF(AI221&gt;=0.5,-AI221+SQRT(AI221^2+2),1),$B$12)</f>
        <v/>
      </c>
      <c r="AK221">
        <f>IF(AG221&lt;=0,0,AJ221*AH221)</f>
        <v/>
      </c>
      <c r="AL221">
        <f>IF(AD221&lt;=0,0,AD221)</f>
        <v/>
      </c>
      <c r="AM221">
        <f>AL221-AK221+P221</f>
        <v/>
      </c>
      <c r="AN221">
        <f>((AM221/$B$7+T220*AS220/2-T221*MAX(0.1,MIN(0.3,0.3-0.09*(AR220-36.8)))/2)+AR220*(1-AS220/2))/(1-MAX(0.1,MIN(0.3,0.3-0.09*(AR220-36.8)))/2)</f>
        <v/>
      </c>
      <c r="AO221">
        <f>((AM221/$B$7+T220*AS220/2-T221*MAX(0.1,MIN(0.3,0.3-0.09*(AN221-36.8)))/2)+AR220*(1-AS220/2))/(1-MAX(0.1,MIN(0.3,0.3-0.09*(AN221-36.8)))/2)</f>
        <v/>
      </c>
      <c r="AP221">
        <f>((AM221/$B$7+T220*AS220/2-T221*MAX(0.1,MIN(0.3,0.3-0.09*(AO221-36.8)))/2)+AR220*(1-AS220/2))/(1-MAX(0.1,MIN(0.3,0.3-0.09*(AO221-36.8)))/2)</f>
        <v/>
      </c>
      <c r="AQ221">
        <f>((AM221/$B$7+T220*AS220/2-T221*MAX(0.1,MIN(0.3,0.3-0.09*(AP221-36.8)))/2)+AR220*(1-AS220/2))/(1-MAX(0.1,MIN(0.3,0.3-0.09*(AP221-36.8)))/2)</f>
        <v/>
      </c>
      <c r="AR221">
        <f>((AM221/$B$7+T220*AS220/2-T221*MAX(0.1,MIN(0.3,0.3-0.09*(AQ221-36.8)))/2)+AR220*(1-AS220/2))/(1-MAX(0.1,MIN(0.3,0.3-0.09*(AQ221-36.8)))/2)</f>
        <v/>
      </c>
      <c r="AS221">
        <f>MAX(0.1,MIN(0.3,0.3-0.09*(AR221-36.8)))</f>
        <v/>
      </c>
      <c r="AT221">
        <f>AT220+(2*AR221-1.962*AT220-1.31)/9</f>
        <v/>
      </c>
      <c r="AU221">
        <f>AU220+AG221+K221</f>
        <v/>
      </c>
      <c r="AV221">
        <f>AU221*2.67*$B$6/1.8/60</f>
        <v/>
      </c>
      <c r="AW221">
        <f>IF(AT221&gt;=$B$36,1,0)</f>
        <v/>
      </c>
      <c r="AX221">
        <f>IF(AV221&gt;=$B$21,1,0)</f>
        <v/>
      </c>
    </row>
    <row r="222">
      <c r="A222" t="n">
        <v>149</v>
      </c>
      <c r="B222">
        <f>MATCH(A222-1,$D$61:$D$68,1)</f>
        <v/>
      </c>
      <c r="C222">
        <f>INDEX($G$61:$G$68,B222)</f>
        <v/>
      </c>
      <c r="D222">
        <f>INDEX($L$61:$L$68,B222)</f>
        <v/>
      </c>
      <c r="E222">
        <f>INDEX($M$61:$M$68,B222)</f>
        <v/>
      </c>
      <c r="F222">
        <f>INDEX($N$61:$N$68,B222)</f>
        <v/>
      </c>
      <c r="G222">
        <f>INDEX($AA$61:$AA$68,B222)</f>
        <v/>
      </c>
      <c r="H222">
        <f>INDEX($X$61:$X$68,B222)</f>
        <v/>
      </c>
      <c r="I222">
        <f>INDEX($AF$61:$AF$68,B222)</f>
        <v/>
      </c>
      <c r="J222">
        <f>INDEX($AC$61:$AC$68,B222)</f>
        <v/>
      </c>
      <c r="K222">
        <f>INDEX($AD$61:$AD$68,B222)</f>
        <v/>
      </c>
      <c r="L222">
        <f>INDEX($AG$61:$AG$68,B222)</f>
        <v/>
      </c>
      <c r="M222">
        <f>INDEX($AH$61:$AH$68,B222)</f>
        <v/>
      </c>
      <c r="N222">
        <f>INDEX($AI$61:$AI$68,B222)</f>
        <v/>
      </c>
      <c r="O222">
        <f>O221*$B$26+L222*(1-$B$26)</f>
        <v/>
      </c>
      <c r="P222">
        <f>$B$7*(O222-O221)*(1-AS221)</f>
        <v/>
      </c>
      <c r="Q222">
        <f>M222+0.51274*AT221</f>
        <v/>
      </c>
      <c r="R222">
        <f>N222+0.616*AT221</f>
        <v/>
      </c>
      <c r="S222">
        <f>IF($B$13&gt;=0.6,Q222,IF($B$13&lt;=0.2,R222,R222+2.5*(Q222-R222)*($B$13-0.2)))</f>
        <v/>
      </c>
      <c r="T222">
        <f>IF(A222=1,S222,T221*$B$27+S222*(1-$B$27))</f>
        <v/>
      </c>
      <c r="U222">
        <f>0.6105*EXP(17.27*T222/(T222+237.3))</f>
        <v/>
      </c>
      <c r="V222">
        <f>($B$14*(I222*C222+IF(ABS((D222+0.1)-D222)&lt;0.000000001,4*$B$19*$B$20*(D222+273)^3,$B$19*$B$20*(((D222+0.1)+273)^4-(D222+273)^4)/((D222+0.1)-D222))*D222)+T222/H222)/($B$14*(I222+IF(ABS((D222+0.1)-D222)&lt;0.000000001,4*$B$19*$B$20*(D222+273)^3,$B$19*$B$20*(((D222+0.1)+273)^4-(D222+273)^4)/((D222+0.1)-D222)))+1/H222)</f>
        <v/>
      </c>
      <c r="W222">
        <f>($B$14*(I222*C222+IF(ABS(V222-D222)&lt;0.000000001,4*$B$19*$B$20*(D222+273)^3,$B$19*$B$20*((V222+273)^4-(D222+273)^4)/(V222-D222))*D222)+T222/H222)/($B$14*(I222+IF(ABS(V222-D222)&lt;0.000000001,4*$B$19*$B$20*(D222+273)^3,$B$19*$B$20*((V222+273)^4-(D222+273)^4)/(V222-D222)))+1/H222)</f>
        <v/>
      </c>
      <c r="X222">
        <f>($B$14*(I222*C222+IF(ABS(W222-D222)&lt;0.000000001,4*$B$19*$B$20*(D222+273)^3,$B$19*$B$20*((W222+273)^4-(D222+273)^4)/(W222-D222))*D222)+T222/H222)/($B$14*(I222+IF(ABS(W222-D222)&lt;0.000000001,4*$B$19*$B$20*(D222+273)^3,$B$19*$B$20*((W222+273)^4-(D222+273)^4)/(W222-D222)))+1/H222)</f>
        <v/>
      </c>
      <c r="Y222">
        <f>($B$14*(I222*C222+IF(ABS(X222-D222)&lt;0.000000001,4*$B$19*$B$20*(D222+273)^3,$B$19*$B$20*((X222+273)^4-(D222+273)^4)/(X222-D222))*D222)+T222/H222)/($B$14*(I222+IF(ABS(X222-D222)&lt;0.000000001,4*$B$19*$B$20*(D222+273)^3,$B$19*$B$20*((X222+273)^4-(D222+273)^4)/(X222-D222)))+1/H222)</f>
        <v/>
      </c>
      <c r="Z222">
        <f>IF(ABS(Y222-D222)&lt;0.000000001,4*$B$19*$B$20*(D222+273)^3,$B$19*$B$20*((Y222+273)^4-(D222+273)^4)/(Y222-D222))</f>
        <v/>
      </c>
      <c r="AA222">
        <f>$B$14*I222*(Y222-C222)</f>
        <v/>
      </c>
      <c r="AB222">
        <f>$B$14*Z222*(Y222-D222)</f>
        <v/>
      </c>
      <c r="AC222">
        <f>IF((U222-E222)/G222=0,0.001,(U222-E222)/G222)</f>
        <v/>
      </c>
      <c r="AD222">
        <f>F222-P222-J222-K222-AA222-AB222</f>
        <v/>
      </c>
      <c r="AE222">
        <f>AD222/AC222</f>
        <v/>
      </c>
      <c r="AF222">
        <f>IF(AD222&lt;=0,0,IF(AC222&lt;=0,$B$11,IF(AE222&gt;=1.7,$B$11,MIN(AD222/MAX(0.05,IF(AE222&gt;1,(2-AE222)^2/2,1-AE222^2/2)),$B$11))))</f>
        <v/>
      </c>
      <c r="AG222">
        <f>AG221*$B$28+AF222*(1-$B$28)</f>
        <v/>
      </c>
      <c r="AH222">
        <f>IF(AND(AD222&gt;0,AC222&lt;=0),0,AC222)</f>
        <v/>
      </c>
      <c r="AI222">
        <f>AH222/MAX(AG222,0.000001)</f>
        <v/>
      </c>
      <c r="AJ222">
        <f>MIN(IF(AI222&gt;=0.5,-AI222+SQRT(AI222^2+2),1),$B$12)</f>
        <v/>
      </c>
      <c r="AK222">
        <f>IF(AG222&lt;=0,0,AJ222*AH222)</f>
        <v/>
      </c>
      <c r="AL222">
        <f>IF(AD222&lt;=0,0,AD222)</f>
        <v/>
      </c>
      <c r="AM222">
        <f>AL222-AK222+P222</f>
        <v/>
      </c>
      <c r="AN222">
        <f>((AM222/$B$7+T221*AS221/2-T222*MAX(0.1,MIN(0.3,0.3-0.09*(AR221-36.8)))/2)+AR221*(1-AS221/2))/(1-MAX(0.1,MIN(0.3,0.3-0.09*(AR221-36.8)))/2)</f>
        <v/>
      </c>
      <c r="AO222">
        <f>((AM222/$B$7+T221*AS221/2-T222*MAX(0.1,MIN(0.3,0.3-0.09*(AN222-36.8)))/2)+AR221*(1-AS221/2))/(1-MAX(0.1,MIN(0.3,0.3-0.09*(AN222-36.8)))/2)</f>
        <v/>
      </c>
      <c r="AP222">
        <f>((AM222/$B$7+T221*AS221/2-T222*MAX(0.1,MIN(0.3,0.3-0.09*(AO222-36.8)))/2)+AR221*(1-AS221/2))/(1-MAX(0.1,MIN(0.3,0.3-0.09*(AO222-36.8)))/2)</f>
        <v/>
      </c>
      <c r="AQ222">
        <f>((AM222/$B$7+T221*AS221/2-T222*MAX(0.1,MIN(0.3,0.3-0.09*(AP222-36.8)))/2)+AR221*(1-AS221/2))/(1-MAX(0.1,MIN(0.3,0.3-0.09*(AP222-36.8)))/2)</f>
        <v/>
      </c>
      <c r="AR222">
        <f>((AM222/$B$7+T221*AS221/2-T222*MAX(0.1,MIN(0.3,0.3-0.09*(AQ222-36.8)))/2)+AR221*(1-AS221/2))/(1-MAX(0.1,MIN(0.3,0.3-0.09*(AQ222-36.8)))/2)</f>
        <v/>
      </c>
      <c r="AS222">
        <f>MAX(0.1,MIN(0.3,0.3-0.09*(AR222-36.8)))</f>
        <v/>
      </c>
      <c r="AT222">
        <f>AT221+(2*AR222-1.962*AT221-1.31)/9</f>
        <v/>
      </c>
      <c r="AU222">
        <f>AU221+AG222+K222</f>
        <v/>
      </c>
      <c r="AV222">
        <f>AU222*2.67*$B$6/1.8/60</f>
        <v/>
      </c>
      <c r="AW222">
        <f>IF(AT222&gt;=$B$36,1,0)</f>
        <v/>
      </c>
      <c r="AX222">
        <f>IF(AV222&gt;=$B$21,1,0)</f>
        <v/>
      </c>
    </row>
    <row r="223">
      <c r="A223" t="n">
        <v>150</v>
      </c>
      <c r="B223">
        <f>MATCH(A223-1,$D$61:$D$68,1)</f>
        <v/>
      </c>
      <c r="C223">
        <f>INDEX($G$61:$G$68,B223)</f>
        <v/>
      </c>
      <c r="D223">
        <f>INDEX($L$61:$L$68,B223)</f>
        <v/>
      </c>
      <c r="E223">
        <f>INDEX($M$61:$M$68,B223)</f>
        <v/>
      </c>
      <c r="F223">
        <f>INDEX($N$61:$N$68,B223)</f>
        <v/>
      </c>
      <c r="G223">
        <f>INDEX($AA$61:$AA$68,B223)</f>
        <v/>
      </c>
      <c r="H223">
        <f>INDEX($X$61:$X$68,B223)</f>
        <v/>
      </c>
      <c r="I223">
        <f>INDEX($AF$61:$AF$68,B223)</f>
        <v/>
      </c>
      <c r="J223">
        <f>INDEX($AC$61:$AC$68,B223)</f>
        <v/>
      </c>
      <c r="K223">
        <f>INDEX($AD$61:$AD$68,B223)</f>
        <v/>
      </c>
      <c r="L223">
        <f>INDEX($AG$61:$AG$68,B223)</f>
        <v/>
      </c>
      <c r="M223">
        <f>INDEX($AH$61:$AH$68,B223)</f>
        <v/>
      </c>
      <c r="N223">
        <f>INDEX($AI$61:$AI$68,B223)</f>
        <v/>
      </c>
      <c r="O223">
        <f>O222*$B$26+L223*(1-$B$26)</f>
        <v/>
      </c>
      <c r="P223">
        <f>$B$7*(O223-O222)*(1-AS222)</f>
        <v/>
      </c>
      <c r="Q223">
        <f>M223+0.51274*AT222</f>
        <v/>
      </c>
      <c r="R223">
        <f>N223+0.616*AT222</f>
        <v/>
      </c>
      <c r="S223">
        <f>IF($B$13&gt;=0.6,Q223,IF($B$13&lt;=0.2,R223,R223+2.5*(Q223-R223)*($B$13-0.2)))</f>
        <v/>
      </c>
      <c r="T223">
        <f>IF(A223=1,S223,T222*$B$27+S223*(1-$B$27))</f>
        <v/>
      </c>
      <c r="U223">
        <f>0.6105*EXP(17.27*T223/(T223+237.3))</f>
        <v/>
      </c>
      <c r="V223">
        <f>($B$14*(I223*C223+IF(ABS((D223+0.1)-D223)&lt;0.000000001,4*$B$19*$B$20*(D223+273)^3,$B$19*$B$20*(((D223+0.1)+273)^4-(D223+273)^4)/((D223+0.1)-D223))*D223)+T223/H223)/($B$14*(I223+IF(ABS((D223+0.1)-D223)&lt;0.000000001,4*$B$19*$B$20*(D223+273)^3,$B$19*$B$20*(((D223+0.1)+273)^4-(D223+273)^4)/((D223+0.1)-D223)))+1/H223)</f>
        <v/>
      </c>
      <c r="W223">
        <f>($B$14*(I223*C223+IF(ABS(V223-D223)&lt;0.000000001,4*$B$19*$B$20*(D223+273)^3,$B$19*$B$20*((V223+273)^4-(D223+273)^4)/(V223-D223))*D223)+T223/H223)/($B$14*(I223+IF(ABS(V223-D223)&lt;0.000000001,4*$B$19*$B$20*(D223+273)^3,$B$19*$B$20*((V223+273)^4-(D223+273)^4)/(V223-D223)))+1/H223)</f>
        <v/>
      </c>
      <c r="X223">
        <f>($B$14*(I223*C223+IF(ABS(W223-D223)&lt;0.000000001,4*$B$19*$B$20*(D223+273)^3,$B$19*$B$20*((W223+273)^4-(D223+273)^4)/(W223-D223))*D223)+T223/H223)/($B$14*(I223+IF(ABS(W223-D223)&lt;0.000000001,4*$B$19*$B$20*(D223+273)^3,$B$19*$B$20*((W223+273)^4-(D223+273)^4)/(W223-D223)))+1/H223)</f>
        <v/>
      </c>
      <c r="Y223">
        <f>($B$14*(I223*C223+IF(ABS(X223-D223)&lt;0.000000001,4*$B$19*$B$20*(D223+273)^3,$B$19*$B$20*((X223+273)^4-(D223+273)^4)/(X223-D223))*D223)+T223/H223)/($B$14*(I223+IF(ABS(X223-D223)&lt;0.000000001,4*$B$19*$B$20*(D223+273)^3,$B$19*$B$20*((X223+273)^4-(D223+273)^4)/(X223-D223)))+1/H223)</f>
        <v/>
      </c>
      <c r="Z223">
        <f>IF(ABS(Y223-D223)&lt;0.000000001,4*$B$19*$B$20*(D223+273)^3,$B$19*$B$20*((Y223+273)^4-(D223+273)^4)/(Y223-D223))</f>
        <v/>
      </c>
      <c r="AA223">
        <f>$B$14*I223*(Y223-C223)</f>
        <v/>
      </c>
      <c r="AB223">
        <f>$B$14*Z223*(Y223-D223)</f>
        <v/>
      </c>
      <c r="AC223">
        <f>IF((U223-E223)/G223=0,0.001,(U223-E223)/G223)</f>
        <v/>
      </c>
      <c r="AD223">
        <f>F223-P223-J223-K223-AA223-AB223</f>
        <v/>
      </c>
      <c r="AE223">
        <f>AD223/AC223</f>
        <v/>
      </c>
      <c r="AF223">
        <f>IF(AD223&lt;=0,0,IF(AC223&lt;=0,$B$11,IF(AE223&gt;=1.7,$B$11,MIN(AD223/MAX(0.05,IF(AE223&gt;1,(2-AE223)^2/2,1-AE223^2/2)),$B$11))))</f>
        <v/>
      </c>
      <c r="AG223">
        <f>AG222*$B$28+AF223*(1-$B$28)</f>
        <v/>
      </c>
      <c r="AH223">
        <f>IF(AND(AD223&gt;0,AC223&lt;=0),0,AC223)</f>
        <v/>
      </c>
      <c r="AI223">
        <f>AH223/MAX(AG223,0.000001)</f>
        <v/>
      </c>
      <c r="AJ223">
        <f>MIN(IF(AI223&gt;=0.5,-AI223+SQRT(AI223^2+2),1),$B$12)</f>
        <v/>
      </c>
      <c r="AK223">
        <f>IF(AG223&lt;=0,0,AJ223*AH223)</f>
        <v/>
      </c>
      <c r="AL223">
        <f>IF(AD223&lt;=0,0,AD223)</f>
        <v/>
      </c>
      <c r="AM223">
        <f>AL223-AK223+P223</f>
        <v/>
      </c>
      <c r="AN223">
        <f>((AM223/$B$7+T222*AS222/2-T223*MAX(0.1,MIN(0.3,0.3-0.09*(AR222-36.8)))/2)+AR222*(1-AS222/2))/(1-MAX(0.1,MIN(0.3,0.3-0.09*(AR222-36.8)))/2)</f>
        <v/>
      </c>
      <c r="AO223">
        <f>((AM223/$B$7+T222*AS222/2-T223*MAX(0.1,MIN(0.3,0.3-0.09*(AN223-36.8)))/2)+AR222*(1-AS222/2))/(1-MAX(0.1,MIN(0.3,0.3-0.09*(AN223-36.8)))/2)</f>
        <v/>
      </c>
      <c r="AP223">
        <f>((AM223/$B$7+T222*AS222/2-T223*MAX(0.1,MIN(0.3,0.3-0.09*(AO223-36.8)))/2)+AR222*(1-AS222/2))/(1-MAX(0.1,MIN(0.3,0.3-0.09*(AO223-36.8)))/2)</f>
        <v/>
      </c>
      <c r="AQ223">
        <f>((AM223/$B$7+T222*AS222/2-T223*MAX(0.1,MIN(0.3,0.3-0.09*(AP223-36.8)))/2)+AR222*(1-AS222/2))/(1-MAX(0.1,MIN(0.3,0.3-0.09*(AP223-36.8)))/2)</f>
        <v/>
      </c>
      <c r="AR223">
        <f>((AM223/$B$7+T222*AS222/2-T223*MAX(0.1,MIN(0.3,0.3-0.09*(AQ223-36.8)))/2)+AR222*(1-AS222/2))/(1-MAX(0.1,MIN(0.3,0.3-0.09*(AQ223-36.8)))/2)</f>
        <v/>
      </c>
      <c r="AS223">
        <f>MAX(0.1,MIN(0.3,0.3-0.09*(AR223-36.8)))</f>
        <v/>
      </c>
      <c r="AT223">
        <f>AT222+(2*AR223-1.962*AT222-1.31)/9</f>
        <v/>
      </c>
      <c r="AU223">
        <f>AU222+AG223+K223</f>
        <v/>
      </c>
      <c r="AV223">
        <f>AU223*2.67*$B$6/1.8/60</f>
        <v/>
      </c>
      <c r="AW223">
        <f>IF(AT223&gt;=$B$36,1,0)</f>
        <v/>
      </c>
      <c r="AX223">
        <f>IF(AV223&gt;=$B$21,1,0)</f>
        <v/>
      </c>
    </row>
    <row r="224">
      <c r="A224" t="n">
        <v>151</v>
      </c>
      <c r="B224">
        <f>MATCH(A224-1,$D$61:$D$68,1)</f>
        <v/>
      </c>
      <c r="C224">
        <f>INDEX($G$61:$G$68,B224)</f>
        <v/>
      </c>
      <c r="D224">
        <f>INDEX($L$61:$L$68,B224)</f>
        <v/>
      </c>
      <c r="E224">
        <f>INDEX($M$61:$M$68,B224)</f>
        <v/>
      </c>
      <c r="F224">
        <f>INDEX($N$61:$N$68,B224)</f>
        <v/>
      </c>
      <c r="G224">
        <f>INDEX($AA$61:$AA$68,B224)</f>
        <v/>
      </c>
      <c r="H224">
        <f>INDEX($X$61:$X$68,B224)</f>
        <v/>
      </c>
      <c r="I224">
        <f>INDEX($AF$61:$AF$68,B224)</f>
        <v/>
      </c>
      <c r="J224">
        <f>INDEX($AC$61:$AC$68,B224)</f>
        <v/>
      </c>
      <c r="K224">
        <f>INDEX($AD$61:$AD$68,B224)</f>
        <v/>
      </c>
      <c r="L224">
        <f>INDEX($AG$61:$AG$68,B224)</f>
        <v/>
      </c>
      <c r="M224">
        <f>INDEX($AH$61:$AH$68,B224)</f>
        <v/>
      </c>
      <c r="N224">
        <f>INDEX($AI$61:$AI$68,B224)</f>
        <v/>
      </c>
      <c r="O224">
        <f>O223*$B$26+L224*(1-$B$26)</f>
        <v/>
      </c>
      <c r="P224">
        <f>$B$7*(O224-O223)*(1-AS223)</f>
        <v/>
      </c>
      <c r="Q224">
        <f>M224+0.51274*AT223</f>
        <v/>
      </c>
      <c r="R224">
        <f>N224+0.616*AT223</f>
        <v/>
      </c>
      <c r="S224">
        <f>IF($B$13&gt;=0.6,Q224,IF($B$13&lt;=0.2,R224,R224+2.5*(Q224-R224)*($B$13-0.2)))</f>
        <v/>
      </c>
      <c r="T224">
        <f>IF(A224=1,S224,T223*$B$27+S224*(1-$B$27))</f>
        <v/>
      </c>
      <c r="U224">
        <f>0.6105*EXP(17.27*T224/(T224+237.3))</f>
        <v/>
      </c>
      <c r="V224">
        <f>($B$14*(I224*C224+IF(ABS((D224+0.1)-D224)&lt;0.000000001,4*$B$19*$B$20*(D224+273)^3,$B$19*$B$20*(((D224+0.1)+273)^4-(D224+273)^4)/((D224+0.1)-D224))*D224)+T224/H224)/($B$14*(I224+IF(ABS((D224+0.1)-D224)&lt;0.000000001,4*$B$19*$B$20*(D224+273)^3,$B$19*$B$20*(((D224+0.1)+273)^4-(D224+273)^4)/((D224+0.1)-D224)))+1/H224)</f>
        <v/>
      </c>
      <c r="W224">
        <f>($B$14*(I224*C224+IF(ABS(V224-D224)&lt;0.000000001,4*$B$19*$B$20*(D224+273)^3,$B$19*$B$20*((V224+273)^4-(D224+273)^4)/(V224-D224))*D224)+T224/H224)/($B$14*(I224+IF(ABS(V224-D224)&lt;0.000000001,4*$B$19*$B$20*(D224+273)^3,$B$19*$B$20*((V224+273)^4-(D224+273)^4)/(V224-D224)))+1/H224)</f>
        <v/>
      </c>
      <c r="X224">
        <f>($B$14*(I224*C224+IF(ABS(W224-D224)&lt;0.000000001,4*$B$19*$B$20*(D224+273)^3,$B$19*$B$20*((W224+273)^4-(D224+273)^4)/(W224-D224))*D224)+T224/H224)/($B$14*(I224+IF(ABS(W224-D224)&lt;0.000000001,4*$B$19*$B$20*(D224+273)^3,$B$19*$B$20*((W224+273)^4-(D224+273)^4)/(W224-D224)))+1/H224)</f>
        <v/>
      </c>
      <c r="Y224">
        <f>($B$14*(I224*C224+IF(ABS(X224-D224)&lt;0.000000001,4*$B$19*$B$20*(D224+273)^3,$B$19*$B$20*((X224+273)^4-(D224+273)^4)/(X224-D224))*D224)+T224/H224)/($B$14*(I224+IF(ABS(X224-D224)&lt;0.000000001,4*$B$19*$B$20*(D224+273)^3,$B$19*$B$20*((X224+273)^4-(D224+273)^4)/(X224-D224)))+1/H224)</f>
        <v/>
      </c>
      <c r="Z224">
        <f>IF(ABS(Y224-D224)&lt;0.000000001,4*$B$19*$B$20*(D224+273)^3,$B$19*$B$20*((Y224+273)^4-(D224+273)^4)/(Y224-D224))</f>
        <v/>
      </c>
      <c r="AA224">
        <f>$B$14*I224*(Y224-C224)</f>
        <v/>
      </c>
      <c r="AB224">
        <f>$B$14*Z224*(Y224-D224)</f>
        <v/>
      </c>
      <c r="AC224">
        <f>IF((U224-E224)/G224=0,0.001,(U224-E224)/G224)</f>
        <v/>
      </c>
      <c r="AD224">
        <f>F224-P224-J224-K224-AA224-AB224</f>
        <v/>
      </c>
      <c r="AE224">
        <f>AD224/AC224</f>
        <v/>
      </c>
      <c r="AF224">
        <f>IF(AD224&lt;=0,0,IF(AC224&lt;=0,$B$11,IF(AE224&gt;=1.7,$B$11,MIN(AD224/MAX(0.05,IF(AE224&gt;1,(2-AE224)^2/2,1-AE224^2/2)),$B$11))))</f>
        <v/>
      </c>
      <c r="AG224">
        <f>AG223*$B$28+AF224*(1-$B$28)</f>
        <v/>
      </c>
      <c r="AH224">
        <f>IF(AND(AD224&gt;0,AC224&lt;=0),0,AC224)</f>
        <v/>
      </c>
      <c r="AI224">
        <f>AH224/MAX(AG224,0.000001)</f>
        <v/>
      </c>
      <c r="AJ224">
        <f>MIN(IF(AI224&gt;=0.5,-AI224+SQRT(AI224^2+2),1),$B$12)</f>
        <v/>
      </c>
      <c r="AK224">
        <f>IF(AG224&lt;=0,0,AJ224*AH224)</f>
        <v/>
      </c>
      <c r="AL224">
        <f>IF(AD224&lt;=0,0,AD224)</f>
        <v/>
      </c>
      <c r="AM224">
        <f>AL224-AK224+P224</f>
        <v/>
      </c>
      <c r="AN224">
        <f>((AM224/$B$7+T223*AS223/2-T224*MAX(0.1,MIN(0.3,0.3-0.09*(AR223-36.8)))/2)+AR223*(1-AS223/2))/(1-MAX(0.1,MIN(0.3,0.3-0.09*(AR223-36.8)))/2)</f>
        <v/>
      </c>
      <c r="AO224">
        <f>((AM224/$B$7+T223*AS223/2-T224*MAX(0.1,MIN(0.3,0.3-0.09*(AN224-36.8)))/2)+AR223*(1-AS223/2))/(1-MAX(0.1,MIN(0.3,0.3-0.09*(AN224-36.8)))/2)</f>
        <v/>
      </c>
      <c r="AP224">
        <f>((AM224/$B$7+T223*AS223/2-T224*MAX(0.1,MIN(0.3,0.3-0.09*(AO224-36.8)))/2)+AR223*(1-AS223/2))/(1-MAX(0.1,MIN(0.3,0.3-0.09*(AO224-36.8)))/2)</f>
        <v/>
      </c>
      <c r="AQ224">
        <f>((AM224/$B$7+T223*AS223/2-T224*MAX(0.1,MIN(0.3,0.3-0.09*(AP224-36.8)))/2)+AR223*(1-AS223/2))/(1-MAX(0.1,MIN(0.3,0.3-0.09*(AP224-36.8)))/2)</f>
        <v/>
      </c>
      <c r="AR224">
        <f>((AM224/$B$7+T223*AS223/2-T224*MAX(0.1,MIN(0.3,0.3-0.09*(AQ224-36.8)))/2)+AR223*(1-AS223/2))/(1-MAX(0.1,MIN(0.3,0.3-0.09*(AQ224-36.8)))/2)</f>
        <v/>
      </c>
      <c r="AS224">
        <f>MAX(0.1,MIN(0.3,0.3-0.09*(AR224-36.8)))</f>
        <v/>
      </c>
      <c r="AT224">
        <f>AT223+(2*AR224-1.962*AT223-1.31)/9</f>
        <v/>
      </c>
      <c r="AU224">
        <f>AU223+AG224+K224</f>
        <v/>
      </c>
      <c r="AV224">
        <f>AU224*2.67*$B$6/1.8/60</f>
        <v/>
      </c>
      <c r="AW224">
        <f>IF(AT224&gt;=$B$36,1,0)</f>
        <v/>
      </c>
      <c r="AX224">
        <f>IF(AV224&gt;=$B$21,1,0)</f>
        <v/>
      </c>
    </row>
    <row r="225">
      <c r="A225" t="n">
        <v>152</v>
      </c>
      <c r="B225">
        <f>MATCH(A225-1,$D$61:$D$68,1)</f>
        <v/>
      </c>
      <c r="C225">
        <f>INDEX($G$61:$G$68,B225)</f>
        <v/>
      </c>
      <c r="D225">
        <f>INDEX($L$61:$L$68,B225)</f>
        <v/>
      </c>
      <c r="E225">
        <f>INDEX($M$61:$M$68,B225)</f>
        <v/>
      </c>
      <c r="F225">
        <f>INDEX($N$61:$N$68,B225)</f>
        <v/>
      </c>
      <c r="G225">
        <f>INDEX($AA$61:$AA$68,B225)</f>
        <v/>
      </c>
      <c r="H225">
        <f>INDEX($X$61:$X$68,B225)</f>
        <v/>
      </c>
      <c r="I225">
        <f>INDEX($AF$61:$AF$68,B225)</f>
        <v/>
      </c>
      <c r="J225">
        <f>INDEX($AC$61:$AC$68,B225)</f>
        <v/>
      </c>
      <c r="K225">
        <f>INDEX($AD$61:$AD$68,B225)</f>
        <v/>
      </c>
      <c r="L225">
        <f>INDEX($AG$61:$AG$68,B225)</f>
        <v/>
      </c>
      <c r="M225">
        <f>INDEX($AH$61:$AH$68,B225)</f>
        <v/>
      </c>
      <c r="N225">
        <f>INDEX($AI$61:$AI$68,B225)</f>
        <v/>
      </c>
      <c r="O225">
        <f>O224*$B$26+L225*(1-$B$26)</f>
        <v/>
      </c>
      <c r="P225">
        <f>$B$7*(O225-O224)*(1-AS224)</f>
        <v/>
      </c>
      <c r="Q225">
        <f>M225+0.51274*AT224</f>
        <v/>
      </c>
      <c r="R225">
        <f>N225+0.616*AT224</f>
        <v/>
      </c>
      <c r="S225">
        <f>IF($B$13&gt;=0.6,Q225,IF($B$13&lt;=0.2,R225,R225+2.5*(Q225-R225)*($B$13-0.2)))</f>
        <v/>
      </c>
      <c r="T225">
        <f>IF(A225=1,S225,T224*$B$27+S225*(1-$B$27))</f>
        <v/>
      </c>
      <c r="U225">
        <f>0.6105*EXP(17.27*T225/(T225+237.3))</f>
        <v/>
      </c>
      <c r="V225">
        <f>($B$14*(I225*C225+IF(ABS((D225+0.1)-D225)&lt;0.000000001,4*$B$19*$B$20*(D225+273)^3,$B$19*$B$20*(((D225+0.1)+273)^4-(D225+273)^4)/((D225+0.1)-D225))*D225)+T225/H225)/($B$14*(I225+IF(ABS((D225+0.1)-D225)&lt;0.000000001,4*$B$19*$B$20*(D225+273)^3,$B$19*$B$20*(((D225+0.1)+273)^4-(D225+273)^4)/((D225+0.1)-D225)))+1/H225)</f>
        <v/>
      </c>
      <c r="W225">
        <f>($B$14*(I225*C225+IF(ABS(V225-D225)&lt;0.000000001,4*$B$19*$B$20*(D225+273)^3,$B$19*$B$20*((V225+273)^4-(D225+273)^4)/(V225-D225))*D225)+T225/H225)/($B$14*(I225+IF(ABS(V225-D225)&lt;0.000000001,4*$B$19*$B$20*(D225+273)^3,$B$19*$B$20*((V225+273)^4-(D225+273)^4)/(V225-D225)))+1/H225)</f>
        <v/>
      </c>
      <c r="X225">
        <f>($B$14*(I225*C225+IF(ABS(W225-D225)&lt;0.000000001,4*$B$19*$B$20*(D225+273)^3,$B$19*$B$20*((W225+273)^4-(D225+273)^4)/(W225-D225))*D225)+T225/H225)/($B$14*(I225+IF(ABS(W225-D225)&lt;0.000000001,4*$B$19*$B$20*(D225+273)^3,$B$19*$B$20*((W225+273)^4-(D225+273)^4)/(W225-D225)))+1/H225)</f>
        <v/>
      </c>
      <c r="Y225">
        <f>($B$14*(I225*C225+IF(ABS(X225-D225)&lt;0.000000001,4*$B$19*$B$20*(D225+273)^3,$B$19*$B$20*((X225+273)^4-(D225+273)^4)/(X225-D225))*D225)+T225/H225)/($B$14*(I225+IF(ABS(X225-D225)&lt;0.000000001,4*$B$19*$B$20*(D225+273)^3,$B$19*$B$20*((X225+273)^4-(D225+273)^4)/(X225-D225)))+1/H225)</f>
        <v/>
      </c>
      <c r="Z225">
        <f>IF(ABS(Y225-D225)&lt;0.000000001,4*$B$19*$B$20*(D225+273)^3,$B$19*$B$20*((Y225+273)^4-(D225+273)^4)/(Y225-D225))</f>
        <v/>
      </c>
      <c r="AA225">
        <f>$B$14*I225*(Y225-C225)</f>
        <v/>
      </c>
      <c r="AB225">
        <f>$B$14*Z225*(Y225-D225)</f>
        <v/>
      </c>
      <c r="AC225">
        <f>IF((U225-E225)/G225=0,0.001,(U225-E225)/G225)</f>
        <v/>
      </c>
      <c r="AD225">
        <f>F225-P225-J225-K225-AA225-AB225</f>
        <v/>
      </c>
      <c r="AE225">
        <f>AD225/AC225</f>
        <v/>
      </c>
      <c r="AF225">
        <f>IF(AD225&lt;=0,0,IF(AC225&lt;=0,$B$11,IF(AE225&gt;=1.7,$B$11,MIN(AD225/MAX(0.05,IF(AE225&gt;1,(2-AE225)^2/2,1-AE225^2/2)),$B$11))))</f>
        <v/>
      </c>
      <c r="AG225">
        <f>AG224*$B$28+AF225*(1-$B$28)</f>
        <v/>
      </c>
      <c r="AH225">
        <f>IF(AND(AD225&gt;0,AC225&lt;=0),0,AC225)</f>
        <v/>
      </c>
      <c r="AI225">
        <f>AH225/MAX(AG225,0.000001)</f>
        <v/>
      </c>
      <c r="AJ225">
        <f>MIN(IF(AI225&gt;=0.5,-AI225+SQRT(AI225^2+2),1),$B$12)</f>
        <v/>
      </c>
      <c r="AK225">
        <f>IF(AG225&lt;=0,0,AJ225*AH225)</f>
        <v/>
      </c>
      <c r="AL225">
        <f>IF(AD225&lt;=0,0,AD225)</f>
        <v/>
      </c>
      <c r="AM225">
        <f>AL225-AK225+P225</f>
        <v/>
      </c>
      <c r="AN225">
        <f>((AM225/$B$7+T224*AS224/2-T225*MAX(0.1,MIN(0.3,0.3-0.09*(AR224-36.8)))/2)+AR224*(1-AS224/2))/(1-MAX(0.1,MIN(0.3,0.3-0.09*(AR224-36.8)))/2)</f>
        <v/>
      </c>
      <c r="AO225">
        <f>((AM225/$B$7+T224*AS224/2-T225*MAX(0.1,MIN(0.3,0.3-0.09*(AN225-36.8)))/2)+AR224*(1-AS224/2))/(1-MAX(0.1,MIN(0.3,0.3-0.09*(AN225-36.8)))/2)</f>
        <v/>
      </c>
      <c r="AP225">
        <f>((AM225/$B$7+T224*AS224/2-T225*MAX(0.1,MIN(0.3,0.3-0.09*(AO225-36.8)))/2)+AR224*(1-AS224/2))/(1-MAX(0.1,MIN(0.3,0.3-0.09*(AO225-36.8)))/2)</f>
        <v/>
      </c>
      <c r="AQ225">
        <f>((AM225/$B$7+T224*AS224/2-T225*MAX(0.1,MIN(0.3,0.3-0.09*(AP225-36.8)))/2)+AR224*(1-AS224/2))/(1-MAX(0.1,MIN(0.3,0.3-0.09*(AP225-36.8)))/2)</f>
        <v/>
      </c>
      <c r="AR225">
        <f>((AM225/$B$7+T224*AS224/2-T225*MAX(0.1,MIN(0.3,0.3-0.09*(AQ225-36.8)))/2)+AR224*(1-AS224/2))/(1-MAX(0.1,MIN(0.3,0.3-0.09*(AQ225-36.8)))/2)</f>
        <v/>
      </c>
      <c r="AS225">
        <f>MAX(0.1,MIN(0.3,0.3-0.09*(AR225-36.8)))</f>
        <v/>
      </c>
      <c r="AT225">
        <f>AT224+(2*AR225-1.962*AT224-1.31)/9</f>
        <v/>
      </c>
      <c r="AU225">
        <f>AU224+AG225+K225</f>
        <v/>
      </c>
      <c r="AV225">
        <f>AU225*2.67*$B$6/1.8/60</f>
        <v/>
      </c>
      <c r="AW225">
        <f>IF(AT225&gt;=$B$36,1,0)</f>
        <v/>
      </c>
      <c r="AX225">
        <f>IF(AV225&gt;=$B$21,1,0)</f>
        <v/>
      </c>
    </row>
    <row r="226">
      <c r="A226" t="n">
        <v>153</v>
      </c>
      <c r="B226">
        <f>MATCH(A226-1,$D$61:$D$68,1)</f>
        <v/>
      </c>
      <c r="C226">
        <f>INDEX($G$61:$G$68,B226)</f>
        <v/>
      </c>
      <c r="D226">
        <f>INDEX($L$61:$L$68,B226)</f>
        <v/>
      </c>
      <c r="E226">
        <f>INDEX($M$61:$M$68,B226)</f>
        <v/>
      </c>
      <c r="F226">
        <f>INDEX($N$61:$N$68,B226)</f>
        <v/>
      </c>
      <c r="G226">
        <f>INDEX($AA$61:$AA$68,B226)</f>
        <v/>
      </c>
      <c r="H226">
        <f>INDEX($X$61:$X$68,B226)</f>
        <v/>
      </c>
      <c r="I226">
        <f>INDEX($AF$61:$AF$68,B226)</f>
        <v/>
      </c>
      <c r="J226">
        <f>INDEX($AC$61:$AC$68,B226)</f>
        <v/>
      </c>
      <c r="K226">
        <f>INDEX($AD$61:$AD$68,B226)</f>
        <v/>
      </c>
      <c r="L226">
        <f>INDEX($AG$61:$AG$68,B226)</f>
        <v/>
      </c>
      <c r="M226">
        <f>INDEX($AH$61:$AH$68,B226)</f>
        <v/>
      </c>
      <c r="N226">
        <f>INDEX($AI$61:$AI$68,B226)</f>
        <v/>
      </c>
      <c r="O226">
        <f>O225*$B$26+L226*(1-$B$26)</f>
        <v/>
      </c>
      <c r="P226">
        <f>$B$7*(O226-O225)*(1-AS225)</f>
        <v/>
      </c>
      <c r="Q226">
        <f>M226+0.51274*AT225</f>
        <v/>
      </c>
      <c r="R226">
        <f>N226+0.616*AT225</f>
        <v/>
      </c>
      <c r="S226">
        <f>IF($B$13&gt;=0.6,Q226,IF($B$13&lt;=0.2,R226,R226+2.5*(Q226-R226)*($B$13-0.2)))</f>
        <v/>
      </c>
      <c r="T226">
        <f>IF(A226=1,S226,T225*$B$27+S226*(1-$B$27))</f>
        <v/>
      </c>
      <c r="U226">
        <f>0.6105*EXP(17.27*T226/(T226+237.3))</f>
        <v/>
      </c>
      <c r="V226">
        <f>($B$14*(I226*C226+IF(ABS((D226+0.1)-D226)&lt;0.000000001,4*$B$19*$B$20*(D226+273)^3,$B$19*$B$20*(((D226+0.1)+273)^4-(D226+273)^4)/((D226+0.1)-D226))*D226)+T226/H226)/($B$14*(I226+IF(ABS((D226+0.1)-D226)&lt;0.000000001,4*$B$19*$B$20*(D226+273)^3,$B$19*$B$20*(((D226+0.1)+273)^4-(D226+273)^4)/((D226+0.1)-D226)))+1/H226)</f>
        <v/>
      </c>
      <c r="W226">
        <f>($B$14*(I226*C226+IF(ABS(V226-D226)&lt;0.000000001,4*$B$19*$B$20*(D226+273)^3,$B$19*$B$20*((V226+273)^4-(D226+273)^4)/(V226-D226))*D226)+T226/H226)/($B$14*(I226+IF(ABS(V226-D226)&lt;0.000000001,4*$B$19*$B$20*(D226+273)^3,$B$19*$B$20*((V226+273)^4-(D226+273)^4)/(V226-D226)))+1/H226)</f>
        <v/>
      </c>
      <c r="X226">
        <f>($B$14*(I226*C226+IF(ABS(W226-D226)&lt;0.000000001,4*$B$19*$B$20*(D226+273)^3,$B$19*$B$20*((W226+273)^4-(D226+273)^4)/(W226-D226))*D226)+T226/H226)/($B$14*(I226+IF(ABS(W226-D226)&lt;0.000000001,4*$B$19*$B$20*(D226+273)^3,$B$19*$B$20*((W226+273)^4-(D226+273)^4)/(W226-D226)))+1/H226)</f>
        <v/>
      </c>
      <c r="Y226">
        <f>($B$14*(I226*C226+IF(ABS(X226-D226)&lt;0.000000001,4*$B$19*$B$20*(D226+273)^3,$B$19*$B$20*((X226+273)^4-(D226+273)^4)/(X226-D226))*D226)+T226/H226)/($B$14*(I226+IF(ABS(X226-D226)&lt;0.000000001,4*$B$19*$B$20*(D226+273)^3,$B$19*$B$20*((X226+273)^4-(D226+273)^4)/(X226-D226)))+1/H226)</f>
        <v/>
      </c>
      <c r="Z226">
        <f>IF(ABS(Y226-D226)&lt;0.000000001,4*$B$19*$B$20*(D226+273)^3,$B$19*$B$20*((Y226+273)^4-(D226+273)^4)/(Y226-D226))</f>
        <v/>
      </c>
      <c r="AA226">
        <f>$B$14*I226*(Y226-C226)</f>
        <v/>
      </c>
      <c r="AB226">
        <f>$B$14*Z226*(Y226-D226)</f>
        <v/>
      </c>
      <c r="AC226">
        <f>IF((U226-E226)/G226=0,0.001,(U226-E226)/G226)</f>
        <v/>
      </c>
      <c r="AD226">
        <f>F226-P226-J226-K226-AA226-AB226</f>
        <v/>
      </c>
      <c r="AE226">
        <f>AD226/AC226</f>
        <v/>
      </c>
      <c r="AF226">
        <f>IF(AD226&lt;=0,0,IF(AC226&lt;=0,$B$11,IF(AE226&gt;=1.7,$B$11,MIN(AD226/MAX(0.05,IF(AE226&gt;1,(2-AE226)^2/2,1-AE226^2/2)),$B$11))))</f>
        <v/>
      </c>
      <c r="AG226">
        <f>AG225*$B$28+AF226*(1-$B$28)</f>
        <v/>
      </c>
      <c r="AH226">
        <f>IF(AND(AD226&gt;0,AC226&lt;=0),0,AC226)</f>
        <v/>
      </c>
      <c r="AI226">
        <f>AH226/MAX(AG226,0.000001)</f>
        <v/>
      </c>
      <c r="AJ226">
        <f>MIN(IF(AI226&gt;=0.5,-AI226+SQRT(AI226^2+2),1),$B$12)</f>
        <v/>
      </c>
      <c r="AK226">
        <f>IF(AG226&lt;=0,0,AJ226*AH226)</f>
        <v/>
      </c>
      <c r="AL226">
        <f>IF(AD226&lt;=0,0,AD226)</f>
        <v/>
      </c>
      <c r="AM226">
        <f>AL226-AK226+P226</f>
        <v/>
      </c>
      <c r="AN226">
        <f>((AM226/$B$7+T225*AS225/2-T226*MAX(0.1,MIN(0.3,0.3-0.09*(AR225-36.8)))/2)+AR225*(1-AS225/2))/(1-MAX(0.1,MIN(0.3,0.3-0.09*(AR225-36.8)))/2)</f>
        <v/>
      </c>
      <c r="AO226">
        <f>((AM226/$B$7+T225*AS225/2-T226*MAX(0.1,MIN(0.3,0.3-0.09*(AN226-36.8)))/2)+AR225*(1-AS225/2))/(1-MAX(0.1,MIN(0.3,0.3-0.09*(AN226-36.8)))/2)</f>
        <v/>
      </c>
      <c r="AP226">
        <f>((AM226/$B$7+T225*AS225/2-T226*MAX(0.1,MIN(0.3,0.3-0.09*(AO226-36.8)))/2)+AR225*(1-AS225/2))/(1-MAX(0.1,MIN(0.3,0.3-0.09*(AO226-36.8)))/2)</f>
        <v/>
      </c>
      <c r="AQ226">
        <f>((AM226/$B$7+T225*AS225/2-T226*MAX(0.1,MIN(0.3,0.3-0.09*(AP226-36.8)))/2)+AR225*(1-AS225/2))/(1-MAX(0.1,MIN(0.3,0.3-0.09*(AP226-36.8)))/2)</f>
        <v/>
      </c>
      <c r="AR226">
        <f>((AM226/$B$7+T225*AS225/2-T226*MAX(0.1,MIN(0.3,0.3-0.09*(AQ226-36.8)))/2)+AR225*(1-AS225/2))/(1-MAX(0.1,MIN(0.3,0.3-0.09*(AQ226-36.8)))/2)</f>
        <v/>
      </c>
      <c r="AS226">
        <f>MAX(0.1,MIN(0.3,0.3-0.09*(AR226-36.8)))</f>
        <v/>
      </c>
      <c r="AT226">
        <f>AT225+(2*AR226-1.962*AT225-1.31)/9</f>
        <v/>
      </c>
      <c r="AU226">
        <f>AU225+AG226+K226</f>
        <v/>
      </c>
      <c r="AV226">
        <f>AU226*2.67*$B$6/1.8/60</f>
        <v/>
      </c>
      <c r="AW226">
        <f>IF(AT226&gt;=$B$36,1,0)</f>
        <v/>
      </c>
      <c r="AX226">
        <f>IF(AV226&gt;=$B$21,1,0)</f>
        <v/>
      </c>
    </row>
    <row r="227">
      <c r="A227" t="n">
        <v>154</v>
      </c>
      <c r="B227">
        <f>MATCH(A227-1,$D$61:$D$68,1)</f>
        <v/>
      </c>
      <c r="C227">
        <f>INDEX($G$61:$G$68,B227)</f>
        <v/>
      </c>
      <c r="D227">
        <f>INDEX($L$61:$L$68,B227)</f>
        <v/>
      </c>
      <c r="E227">
        <f>INDEX($M$61:$M$68,B227)</f>
        <v/>
      </c>
      <c r="F227">
        <f>INDEX($N$61:$N$68,B227)</f>
        <v/>
      </c>
      <c r="G227">
        <f>INDEX($AA$61:$AA$68,B227)</f>
        <v/>
      </c>
      <c r="H227">
        <f>INDEX($X$61:$X$68,B227)</f>
        <v/>
      </c>
      <c r="I227">
        <f>INDEX($AF$61:$AF$68,B227)</f>
        <v/>
      </c>
      <c r="J227">
        <f>INDEX($AC$61:$AC$68,B227)</f>
        <v/>
      </c>
      <c r="K227">
        <f>INDEX($AD$61:$AD$68,B227)</f>
        <v/>
      </c>
      <c r="L227">
        <f>INDEX($AG$61:$AG$68,B227)</f>
        <v/>
      </c>
      <c r="M227">
        <f>INDEX($AH$61:$AH$68,B227)</f>
        <v/>
      </c>
      <c r="N227">
        <f>INDEX($AI$61:$AI$68,B227)</f>
        <v/>
      </c>
      <c r="O227">
        <f>O226*$B$26+L227*(1-$B$26)</f>
        <v/>
      </c>
      <c r="P227">
        <f>$B$7*(O227-O226)*(1-AS226)</f>
        <v/>
      </c>
      <c r="Q227">
        <f>M227+0.51274*AT226</f>
        <v/>
      </c>
      <c r="R227">
        <f>N227+0.616*AT226</f>
        <v/>
      </c>
      <c r="S227">
        <f>IF($B$13&gt;=0.6,Q227,IF($B$13&lt;=0.2,R227,R227+2.5*(Q227-R227)*($B$13-0.2)))</f>
        <v/>
      </c>
      <c r="T227">
        <f>IF(A227=1,S227,T226*$B$27+S227*(1-$B$27))</f>
        <v/>
      </c>
      <c r="U227">
        <f>0.6105*EXP(17.27*T227/(T227+237.3))</f>
        <v/>
      </c>
      <c r="V227">
        <f>($B$14*(I227*C227+IF(ABS((D227+0.1)-D227)&lt;0.000000001,4*$B$19*$B$20*(D227+273)^3,$B$19*$B$20*(((D227+0.1)+273)^4-(D227+273)^4)/((D227+0.1)-D227))*D227)+T227/H227)/($B$14*(I227+IF(ABS((D227+0.1)-D227)&lt;0.000000001,4*$B$19*$B$20*(D227+273)^3,$B$19*$B$20*(((D227+0.1)+273)^4-(D227+273)^4)/((D227+0.1)-D227)))+1/H227)</f>
        <v/>
      </c>
      <c r="W227">
        <f>($B$14*(I227*C227+IF(ABS(V227-D227)&lt;0.000000001,4*$B$19*$B$20*(D227+273)^3,$B$19*$B$20*((V227+273)^4-(D227+273)^4)/(V227-D227))*D227)+T227/H227)/($B$14*(I227+IF(ABS(V227-D227)&lt;0.000000001,4*$B$19*$B$20*(D227+273)^3,$B$19*$B$20*((V227+273)^4-(D227+273)^4)/(V227-D227)))+1/H227)</f>
        <v/>
      </c>
      <c r="X227">
        <f>($B$14*(I227*C227+IF(ABS(W227-D227)&lt;0.000000001,4*$B$19*$B$20*(D227+273)^3,$B$19*$B$20*((W227+273)^4-(D227+273)^4)/(W227-D227))*D227)+T227/H227)/($B$14*(I227+IF(ABS(W227-D227)&lt;0.000000001,4*$B$19*$B$20*(D227+273)^3,$B$19*$B$20*((W227+273)^4-(D227+273)^4)/(W227-D227)))+1/H227)</f>
        <v/>
      </c>
      <c r="Y227">
        <f>($B$14*(I227*C227+IF(ABS(X227-D227)&lt;0.000000001,4*$B$19*$B$20*(D227+273)^3,$B$19*$B$20*((X227+273)^4-(D227+273)^4)/(X227-D227))*D227)+T227/H227)/($B$14*(I227+IF(ABS(X227-D227)&lt;0.000000001,4*$B$19*$B$20*(D227+273)^3,$B$19*$B$20*((X227+273)^4-(D227+273)^4)/(X227-D227)))+1/H227)</f>
        <v/>
      </c>
      <c r="Z227">
        <f>IF(ABS(Y227-D227)&lt;0.000000001,4*$B$19*$B$20*(D227+273)^3,$B$19*$B$20*((Y227+273)^4-(D227+273)^4)/(Y227-D227))</f>
        <v/>
      </c>
      <c r="AA227">
        <f>$B$14*I227*(Y227-C227)</f>
        <v/>
      </c>
      <c r="AB227">
        <f>$B$14*Z227*(Y227-D227)</f>
        <v/>
      </c>
      <c r="AC227">
        <f>IF((U227-E227)/G227=0,0.001,(U227-E227)/G227)</f>
        <v/>
      </c>
      <c r="AD227">
        <f>F227-P227-J227-K227-AA227-AB227</f>
        <v/>
      </c>
      <c r="AE227">
        <f>AD227/AC227</f>
        <v/>
      </c>
      <c r="AF227">
        <f>IF(AD227&lt;=0,0,IF(AC227&lt;=0,$B$11,IF(AE227&gt;=1.7,$B$11,MIN(AD227/MAX(0.05,IF(AE227&gt;1,(2-AE227)^2/2,1-AE227^2/2)),$B$11))))</f>
        <v/>
      </c>
      <c r="AG227">
        <f>AG226*$B$28+AF227*(1-$B$28)</f>
        <v/>
      </c>
      <c r="AH227">
        <f>IF(AND(AD227&gt;0,AC227&lt;=0),0,AC227)</f>
        <v/>
      </c>
      <c r="AI227">
        <f>AH227/MAX(AG227,0.000001)</f>
        <v/>
      </c>
      <c r="AJ227">
        <f>MIN(IF(AI227&gt;=0.5,-AI227+SQRT(AI227^2+2),1),$B$12)</f>
        <v/>
      </c>
      <c r="AK227">
        <f>IF(AG227&lt;=0,0,AJ227*AH227)</f>
        <v/>
      </c>
      <c r="AL227">
        <f>IF(AD227&lt;=0,0,AD227)</f>
        <v/>
      </c>
      <c r="AM227">
        <f>AL227-AK227+P227</f>
        <v/>
      </c>
      <c r="AN227">
        <f>((AM227/$B$7+T226*AS226/2-T227*MAX(0.1,MIN(0.3,0.3-0.09*(AR226-36.8)))/2)+AR226*(1-AS226/2))/(1-MAX(0.1,MIN(0.3,0.3-0.09*(AR226-36.8)))/2)</f>
        <v/>
      </c>
      <c r="AO227">
        <f>((AM227/$B$7+T226*AS226/2-T227*MAX(0.1,MIN(0.3,0.3-0.09*(AN227-36.8)))/2)+AR226*(1-AS226/2))/(1-MAX(0.1,MIN(0.3,0.3-0.09*(AN227-36.8)))/2)</f>
        <v/>
      </c>
      <c r="AP227">
        <f>((AM227/$B$7+T226*AS226/2-T227*MAX(0.1,MIN(0.3,0.3-0.09*(AO227-36.8)))/2)+AR226*(1-AS226/2))/(1-MAX(0.1,MIN(0.3,0.3-0.09*(AO227-36.8)))/2)</f>
        <v/>
      </c>
      <c r="AQ227">
        <f>((AM227/$B$7+T226*AS226/2-T227*MAX(0.1,MIN(0.3,0.3-0.09*(AP227-36.8)))/2)+AR226*(1-AS226/2))/(1-MAX(0.1,MIN(0.3,0.3-0.09*(AP227-36.8)))/2)</f>
        <v/>
      </c>
      <c r="AR227">
        <f>((AM227/$B$7+T226*AS226/2-T227*MAX(0.1,MIN(0.3,0.3-0.09*(AQ227-36.8)))/2)+AR226*(1-AS226/2))/(1-MAX(0.1,MIN(0.3,0.3-0.09*(AQ227-36.8)))/2)</f>
        <v/>
      </c>
      <c r="AS227">
        <f>MAX(0.1,MIN(0.3,0.3-0.09*(AR227-36.8)))</f>
        <v/>
      </c>
      <c r="AT227">
        <f>AT226+(2*AR227-1.962*AT226-1.31)/9</f>
        <v/>
      </c>
      <c r="AU227">
        <f>AU226+AG227+K227</f>
        <v/>
      </c>
      <c r="AV227">
        <f>AU227*2.67*$B$6/1.8/60</f>
        <v/>
      </c>
      <c r="AW227">
        <f>IF(AT227&gt;=$B$36,1,0)</f>
        <v/>
      </c>
      <c r="AX227">
        <f>IF(AV227&gt;=$B$21,1,0)</f>
        <v/>
      </c>
    </row>
    <row r="228">
      <c r="A228" t="n">
        <v>155</v>
      </c>
      <c r="B228">
        <f>MATCH(A228-1,$D$61:$D$68,1)</f>
        <v/>
      </c>
      <c r="C228">
        <f>INDEX($G$61:$G$68,B228)</f>
        <v/>
      </c>
      <c r="D228">
        <f>INDEX($L$61:$L$68,B228)</f>
        <v/>
      </c>
      <c r="E228">
        <f>INDEX($M$61:$M$68,B228)</f>
        <v/>
      </c>
      <c r="F228">
        <f>INDEX($N$61:$N$68,B228)</f>
        <v/>
      </c>
      <c r="G228">
        <f>INDEX($AA$61:$AA$68,B228)</f>
        <v/>
      </c>
      <c r="H228">
        <f>INDEX($X$61:$X$68,B228)</f>
        <v/>
      </c>
      <c r="I228">
        <f>INDEX($AF$61:$AF$68,B228)</f>
        <v/>
      </c>
      <c r="J228">
        <f>INDEX($AC$61:$AC$68,B228)</f>
        <v/>
      </c>
      <c r="K228">
        <f>INDEX($AD$61:$AD$68,B228)</f>
        <v/>
      </c>
      <c r="L228">
        <f>INDEX($AG$61:$AG$68,B228)</f>
        <v/>
      </c>
      <c r="M228">
        <f>INDEX($AH$61:$AH$68,B228)</f>
        <v/>
      </c>
      <c r="N228">
        <f>INDEX($AI$61:$AI$68,B228)</f>
        <v/>
      </c>
      <c r="O228">
        <f>O227*$B$26+L228*(1-$B$26)</f>
        <v/>
      </c>
      <c r="P228">
        <f>$B$7*(O228-O227)*(1-AS227)</f>
        <v/>
      </c>
      <c r="Q228">
        <f>M228+0.51274*AT227</f>
        <v/>
      </c>
      <c r="R228">
        <f>N228+0.616*AT227</f>
        <v/>
      </c>
      <c r="S228">
        <f>IF($B$13&gt;=0.6,Q228,IF($B$13&lt;=0.2,R228,R228+2.5*(Q228-R228)*($B$13-0.2)))</f>
        <v/>
      </c>
      <c r="T228">
        <f>IF(A228=1,S228,T227*$B$27+S228*(1-$B$27))</f>
        <v/>
      </c>
      <c r="U228">
        <f>0.6105*EXP(17.27*T228/(T228+237.3))</f>
        <v/>
      </c>
      <c r="V228">
        <f>($B$14*(I228*C228+IF(ABS((D228+0.1)-D228)&lt;0.000000001,4*$B$19*$B$20*(D228+273)^3,$B$19*$B$20*(((D228+0.1)+273)^4-(D228+273)^4)/((D228+0.1)-D228))*D228)+T228/H228)/($B$14*(I228+IF(ABS((D228+0.1)-D228)&lt;0.000000001,4*$B$19*$B$20*(D228+273)^3,$B$19*$B$20*(((D228+0.1)+273)^4-(D228+273)^4)/((D228+0.1)-D228)))+1/H228)</f>
        <v/>
      </c>
      <c r="W228">
        <f>($B$14*(I228*C228+IF(ABS(V228-D228)&lt;0.000000001,4*$B$19*$B$20*(D228+273)^3,$B$19*$B$20*((V228+273)^4-(D228+273)^4)/(V228-D228))*D228)+T228/H228)/($B$14*(I228+IF(ABS(V228-D228)&lt;0.000000001,4*$B$19*$B$20*(D228+273)^3,$B$19*$B$20*((V228+273)^4-(D228+273)^4)/(V228-D228)))+1/H228)</f>
        <v/>
      </c>
      <c r="X228">
        <f>($B$14*(I228*C228+IF(ABS(W228-D228)&lt;0.000000001,4*$B$19*$B$20*(D228+273)^3,$B$19*$B$20*((W228+273)^4-(D228+273)^4)/(W228-D228))*D228)+T228/H228)/($B$14*(I228+IF(ABS(W228-D228)&lt;0.000000001,4*$B$19*$B$20*(D228+273)^3,$B$19*$B$20*((W228+273)^4-(D228+273)^4)/(W228-D228)))+1/H228)</f>
        <v/>
      </c>
      <c r="Y228">
        <f>($B$14*(I228*C228+IF(ABS(X228-D228)&lt;0.000000001,4*$B$19*$B$20*(D228+273)^3,$B$19*$B$20*((X228+273)^4-(D228+273)^4)/(X228-D228))*D228)+T228/H228)/($B$14*(I228+IF(ABS(X228-D228)&lt;0.000000001,4*$B$19*$B$20*(D228+273)^3,$B$19*$B$20*((X228+273)^4-(D228+273)^4)/(X228-D228)))+1/H228)</f>
        <v/>
      </c>
      <c r="Z228">
        <f>IF(ABS(Y228-D228)&lt;0.000000001,4*$B$19*$B$20*(D228+273)^3,$B$19*$B$20*((Y228+273)^4-(D228+273)^4)/(Y228-D228))</f>
        <v/>
      </c>
      <c r="AA228">
        <f>$B$14*I228*(Y228-C228)</f>
        <v/>
      </c>
      <c r="AB228">
        <f>$B$14*Z228*(Y228-D228)</f>
        <v/>
      </c>
      <c r="AC228">
        <f>IF((U228-E228)/G228=0,0.001,(U228-E228)/G228)</f>
        <v/>
      </c>
      <c r="AD228">
        <f>F228-P228-J228-K228-AA228-AB228</f>
        <v/>
      </c>
      <c r="AE228">
        <f>AD228/AC228</f>
        <v/>
      </c>
      <c r="AF228">
        <f>IF(AD228&lt;=0,0,IF(AC228&lt;=0,$B$11,IF(AE228&gt;=1.7,$B$11,MIN(AD228/MAX(0.05,IF(AE228&gt;1,(2-AE228)^2/2,1-AE228^2/2)),$B$11))))</f>
        <v/>
      </c>
      <c r="AG228">
        <f>AG227*$B$28+AF228*(1-$B$28)</f>
        <v/>
      </c>
      <c r="AH228">
        <f>IF(AND(AD228&gt;0,AC228&lt;=0),0,AC228)</f>
        <v/>
      </c>
      <c r="AI228">
        <f>AH228/MAX(AG228,0.000001)</f>
        <v/>
      </c>
      <c r="AJ228">
        <f>MIN(IF(AI228&gt;=0.5,-AI228+SQRT(AI228^2+2),1),$B$12)</f>
        <v/>
      </c>
      <c r="AK228">
        <f>IF(AG228&lt;=0,0,AJ228*AH228)</f>
        <v/>
      </c>
      <c r="AL228">
        <f>IF(AD228&lt;=0,0,AD228)</f>
        <v/>
      </c>
      <c r="AM228">
        <f>AL228-AK228+P228</f>
        <v/>
      </c>
      <c r="AN228">
        <f>((AM228/$B$7+T227*AS227/2-T228*MAX(0.1,MIN(0.3,0.3-0.09*(AR227-36.8)))/2)+AR227*(1-AS227/2))/(1-MAX(0.1,MIN(0.3,0.3-0.09*(AR227-36.8)))/2)</f>
        <v/>
      </c>
      <c r="AO228">
        <f>((AM228/$B$7+T227*AS227/2-T228*MAX(0.1,MIN(0.3,0.3-0.09*(AN228-36.8)))/2)+AR227*(1-AS227/2))/(1-MAX(0.1,MIN(0.3,0.3-0.09*(AN228-36.8)))/2)</f>
        <v/>
      </c>
      <c r="AP228">
        <f>((AM228/$B$7+T227*AS227/2-T228*MAX(0.1,MIN(0.3,0.3-0.09*(AO228-36.8)))/2)+AR227*(1-AS227/2))/(1-MAX(0.1,MIN(0.3,0.3-0.09*(AO228-36.8)))/2)</f>
        <v/>
      </c>
      <c r="AQ228">
        <f>((AM228/$B$7+T227*AS227/2-T228*MAX(0.1,MIN(0.3,0.3-0.09*(AP228-36.8)))/2)+AR227*(1-AS227/2))/(1-MAX(0.1,MIN(0.3,0.3-0.09*(AP228-36.8)))/2)</f>
        <v/>
      </c>
      <c r="AR228">
        <f>((AM228/$B$7+T227*AS227/2-T228*MAX(0.1,MIN(0.3,0.3-0.09*(AQ228-36.8)))/2)+AR227*(1-AS227/2))/(1-MAX(0.1,MIN(0.3,0.3-0.09*(AQ228-36.8)))/2)</f>
        <v/>
      </c>
      <c r="AS228">
        <f>MAX(0.1,MIN(0.3,0.3-0.09*(AR228-36.8)))</f>
        <v/>
      </c>
      <c r="AT228">
        <f>AT227+(2*AR228-1.962*AT227-1.31)/9</f>
        <v/>
      </c>
      <c r="AU228">
        <f>AU227+AG228+K228</f>
        <v/>
      </c>
      <c r="AV228">
        <f>AU228*2.67*$B$6/1.8/60</f>
        <v/>
      </c>
      <c r="AW228">
        <f>IF(AT228&gt;=$B$36,1,0)</f>
        <v/>
      </c>
      <c r="AX228">
        <f>IF(AV228&gt;=$B$21,1,0)</f>
        <v/>
      </c>
    </row>
    <row r="229">
      <c r="A229" t="n">
        <v>156</v>
      </c>
      <c r="B229">
        <f>MATCH(A229-1,$D$61:$D$68,1)</f>
        <v/>
      </c>
      <c r="C229">
        <f>INDEX($G$61:$G$68,B229)</f>
        <v/>
      </c>
      <c r="D229">
        <f>INDEX($L$61:$L$68,B229)</f>
        <v/>
      </c>
      <c r="E229">
        <f>INDEX($M$61:$M$68,B229)</f>
        <v/>
      </c>
      <c r="F229">
        <f>INDEX($N$61:$N$68,B229)</f>
        <v/>
      </c>
      <c r="G229">
        <f>INDEX($AA$61:$AA$68,B229)</f>
        <v/>
      </c>
      <c r="H229">
        <f>INDEX($X$61:$X$68,B229)</f>
        <v/>
      </c>
      <c r="I229">
        <f>INDEX($AF$61:$AF$68,B229)</f>
        <v/>
      </c>
      <c r="J229">
        <f>INDEX($AC$61:$AC$68,B229)</f>
        <v/>
      </c>
      <c r="K229">
        <f>INDEX($AD$61:$AD$68,B229)</f>
        <v/>
      </c>
      <c r="L229">
        <f>INDEX($AG$61:$AG$68,B229)</f>
        <v/>
      </c>
      <c r="M229">
        <f>INDEX($AH$61:$AH$68,B229)</f>
        <v/>
      </c>
      <c r="N229">
        <f>INDEX($AI$61:$AI$68,B229)</f>
        <v/>
      </c>
      <c r="O229">
        <f>O228*$B$26+L229*(1-$B$26)</f>
        <v/>
      </c>
      <c r="P229">
        <f>$B$7*(O229-O228)*(1-AS228)</f>
        <v/>
      </c>
      <c r="Q229">
        <f>M229+0.51274*AT228</f>
        <v/>
      </c>
      <c r="R229">
        <f>N229+0.616*AT228</f>
        <v/>
      </c>
      <c r="S229">
        <f>IF($B$13&gt;=0.6,Q229,IF($B$13&lt;=0.2,R229,R229+2.5*(Q229-R229)*($B$13-0.2)))</f>
        <v/>
      </c>
      <c r="T229">
        <f>IF(A229=1,S229,T228*$B$27+S229*(1-$B$27))</f>
        <v/>
      </c>
      <c r="U229">
        <f>0.6105*EXP(17.27*T229/(T229+237.3))</f>
        <v/>
      </c>
      <c r="V229">
        <f>($B$14*(I229*C229+IF(ABS((D229+0.1)-D229)&lt;0.000000001,4*$B$19*$B$20*(D229+273)^3,$B$19*$B$20*(((D229+0.1)+273)^4-(D229+273)^4)/((D229+0.1)-D229))*D229)+T229/H229)/($B$14*(I229+IF(ABS((D229+0.1)-D229)&lt;0.000000001,4*$B$19*$B$20*(D229+273)^3,$B$19*$B$20*(((D229+0.1)+273)^4-(D229+273)^4)/((D229+0.1)-D229)))+1/H229)</f>
        <v/>
      </c>
      <c r="W229">
        <f>($B$14*(I229*C229+IF(ABS(V229-D229)&lt;0.000000001,4*$B$19*$B$20*(D229+273)^3,$B$19*$B$20*((V229+273)^4-(D229+273)^4)/(V229-D229))*D229)+T229/H229)/($B$14*(I229+IF(ABS(V229-D229)&lt;0.000000001,4*$B$19*$B$20*(D229+273)^3,$B$19*$B$20*((V229+273)^4-(D229+273)^4)/(V229-D229)))+1/H229)</f>
        <v/>
      </c>
      <c r="X229">
        <f>($B$14*(I229*C229+IF(ABS(W229-D229)&lt;0.000000001,4*$B$19*$B$20*(D229+273)^3,$B$19*$B$20*((W229+273)^4-(D229+273)^4)/(W229-D229))*D229)+T229/H229)/($B$14*(I229+IF(ABS(W229-D229)&lt;0.000000001,4*$B$19*$B$20*(D229+273)^3,$B$19*$B$20*((W229+273)^4-(D229+273)^4)/(W229-D229)))+1/H229)</f>
        <v/>
      </c>
      <c r="Y229">
        <f>($B$14*(I229*C229+IF(ABS(X229-D229)&lt;0.000000001,4*$B$19*$B$20*(D229+273)^3,$B$19*$B$20*((X229+273)^4-(D229+273)^4)/(X229-D229))*D229)+T229/H229)/($B$14*(I229+IF(ABS(X229-D229)&lt;0.000000001,4*$B$19*$B$20*(D229+273)^3,$B$19*$B$20*((X229+273)^4-(D229+273)^4)/(X229-D229)))+1/H229)</f>
        <v/>
      </c>
      <c r="Z229">
        <f>IF(ABS(Y229-D229)&lt;0.000000001,4*$B$19*$B$20*(D229+273)^3,$B$19*$B$20*((Y229+273)^4-(D229+273)^4)/(Y229-D229))</f>
        <v/>
      </c>
      <c r="AA229">
        <f>$B$14*I229*(Y229-C229)</f>
        <v/>
      </c>
      <c r="AB229">
        <f>$B$14*Z229*(Y229-D229)</f>
        <v/>
      </c>
      <c r="AC229">
        <f>IF((U229-E229)/G229=0,0.001,(U229-E229)/G229)</f>
        <v/>
      </c>
      <c r="AD229">
        <f>F229-P229-J229-K229-AA229-AB229</f>
        <v/>
      </c>
      <c r="AE229">
        <f>AD229/AC229</f>
        <v/>
      </c>
      <c r="AF229">
        <f>IF(AD229&lt;=0,0,IF(AC229&lt;=0,$B$11,IF(AE229&gt;=1.7,$B$11,MIN(AD229/MAX(0.05,IF(AE229&gt;1,(2-AE229)^2/2,1-AE229^2/2)),$B$11))))</f>
        <v/>
      </c>
      <c r="AG229">
        <f>AG228*$B$28+AF229*(1-$B$28)</f>
        <v/>
      </c>
      <c r="AH229">
        <f>IF(AND(AD229&gt;0,AC229&lt;=0),0,AC229)</f>
        <v/>
      </c>
      <c r="AI229">
        <f>AH229/MAX(AG229,0.000001)</f>
        <v/>
      </c>
      <c r="AJ229">
        <f>MIN(IF(AI229&gt;=0.5,-AI229+SQRT(AI229^2+2),1),$B$12)</f>
        <v/>
      </c>
      <c r="AK229">
        <f>IF(AG229&lt;=0,0,AJ229*AH229)</f>
        <v/>
      </c>
      <c r="AL229">
        <f>IF(AD229&lt;=0,0,AD229)</f>
        <v/>
      </c>
      <c r="AM229">
        <f>AL229-AK229+P229</f>
        <v/>
      </c>
      <c r="AN229">
        <f>((AM229/$B$7+T228*AS228/2-T229*MAX(0.1,MIN(0.3,0.3-0.09*(AR228-36.8)))/2)+AR228*(1-AS228/2))/(1-MAX(0.1,MIN(0.3,0.3-0.09*(AR228-36.8)))/2)</f>
        <v/>
      </c>
      <c r="AO229">
        <f>((AM229/$B$7+T228*AS228/2-T229*MAX(0.1,MIN(0.3,0.3-0.09*(AN229-36.8)))/2)+AR228*(1-AS228/2))/(1-MAX(0.1,MIN(0.3,0.3-0.09*(AN229-36.8)))/2)</f>
        <v/>
      </c>
      <c r="AP229">
        <f>((AM229/$B$7+T228*AS228/2-T229*MAX(0.1,MIN(0.3,0.3-0.09*(AO229-36.8)))/2)+AR228*(1-AS228/2))/(1-MAX(0.1,MIN(0.3,0.3-0.09*(AO229-36.8)))/2)</f>
        <v/>
      </c>
      <c r="AQ229">
        <f>((AM229/$B$7+T228*AS228/2-T229*MAX(0.1,MIN(0.3,0.3-0.09*(AP229-36.8)))/2)+AR228*(1-AS228/2))/(1-MAX(0.1,MIN(0.3,0.3-0.09*(AP229-36.8)))/2)</f>
        <v/>
      </c>
      <c r="AR229">
        <f>((AM229/$B$7+T228*AS228/2-T229*MAX(0.1,MIN(0.3,0.3-0.09*(AQ229-36.8)))/2)+AR228*(1-AS228/2))/(1-MAX(0.1,MIN(0.3,0.3-0.09*(AQ229-36.8)))/2)</f>
        <v/>
      </c>
      <c r="AS229">
        <f>MAX(0.1,MIN(0.3,0.3-0.09*(AR229-36.8)))</f>
        <v/>
      </c>
      <c r="AT229">
        <f>AT228+(2*AR229-1.962*AT228-1.31)/9</f>
        <v/>
      </c>
      <c r="AU229">
        <f>AU228+AG229+K229</f>
        <v/>
      </c>
      <c r="AV229">
        <f>AU229*2.67*$B$6/1.8/60</f>
        <v/>
      </c>
      <c r="AW229">
        <f>IF(AT229&gt;=$B$36,1,0)</f>
        <v/>
      </c>
      <c r="AX229">
        <f>IF(AV229&gt;=$B$21,1,0)</f>
        <v/>
      </c>
    </row>
    <row r="230">
      <c r="A230" t="n">
        <v>157</v>
      </c>
      <c r="B230">
        <f>MATCH(A230-1,$D$61:$D$68,1)</f>
        <v/>
      </c>
      <c r="C230">
        <f>INDEX($G$61:$G$68,B230)</f>
        <v/>
      </c>
      <c r="D230">
        <f>INDEX($L$61:$L$68,B230)</f>
        <v/>
      </c>
      <c r="E230">
        <f>INDEX($M$61:$M$68,B230)</f>
        <v/>
      </c>
      <c r="F230">
        <f>INDEX($N$61:$N$68,B230)</f>
        <v/>
      </c>
      <c r="G230">
        <f>INDEX($AA$61:$AA$68,B230)</f>
        <v/>
      </c>
      <c r="H230">
        <f>INDEX($X$61:$X$68,B230)</f>
        <v/>
      </c>
      <c r="I230">
        <f>INDEX($AF$61:$AF$68,B230)</f>
        <v/>
      </c>
      <c r="J230">
        <f>INDEX($AC$61:$AC$68,B230)</f>
        <v/>
      </c>
      <c r="K230">
        <f>INDEX($AD$61:$AD$68,B230)</f>
        <v/>
      </c>
      <c r="L230">
        <f>INDEX($AG$61:$AG$68,B230)</f>
        <v/>
      </c>
      <c r="M230">
        <f>INDEX($AH$61:$AH$68,B230)</f>
        <v/>
      </c>
      <c r="N230">
        <f>INDEX($AI$61:$AI$68,B230)</f>
        <v/>
      </c>
      <c r="O230">
        <f>O229*$B$26+L230*(1-$B$26)</f>
        <v/>
      </c>
      <c r="P230">
        <f>$B$7*(O230-O229)*(1-AS229)</f>
        <v/>
      </c>
      <c r="Q230">
        <f>M230+0.51274*AT229</f>
        <v/>
      </c>
      <c r="R230">
        <f>N230+0.616*AT229</f>
        <v/>
      </c>
      <c r="S230">
        <f>IF($B$13&gt;=0.6,Q230,IF($B$13&lt;=0.2,R230,R230+2.5*(Q230-R230)*($B$13-0.2)))</f>
        <v/>
      </c>
      <c r="T230">
        <f>IF(A230=1,S230,T229*$B$27+S230*(1-$B$27))</f>
        <v/>
      </c>
      <c r="U230">
        <f>0.6105*EXP(17.27*T230/(T230+237.3))</f>
        <v/>
      </c>
      <c r="V230">
        <f>($B$14*(I230*C230+IF(ABS((D230+0.1)-D230)&lt;0.000000001,4*$B$19*$B$20*(D230+273)^3,$B$19*$B$20*(((D230+0.1)+273)^4-(D230+273)^4)/((D230+0.1)-D230))*D230)+T230/H230)/($B$14*(I230+IF(ABS((D230+0.1)-D230)&lt;0.000000001,4*$B$19*$B$20*(D230+273)^3,$B$19*$B$20*(((D230+0.1)+273)^4-(D230+273)^4)/((D230+0.1)-D230)))+1/H230)</f>
        <v/>
      </c>
      <c r="W230">
        <f>($B$14*(I230*C230+IF(ABS(V230-D230)&lt;0.000000001,4*$B$19*$B$20*(D230+273)^3,$B$19*$B$20*((V230+273)^4-(D230+273)^4)/(V230-D230))*D230)+T230/H230)/($B$14*(I230+IF(ABS(V230-D230)&lt;0.000000001,4*$B$19*$B$20*(D230+273)^3,$B$19*$B$20*((V230+273)^4-(D230+273)^4)/(V230-D230)))+1/H230)</f>
        <v/>
      </c>
      <c r="X230">
        <f>($B$14*(I230*C230+IF(ABS(W230-D230)&lt;0.000000001,4*$B$19*$B$20*(D230+273)^3,$B$19*$B$20*((W230+273)^4-(D230+273)^4)/(W230-D230))*D230)+T230/H230)/($B$14*(I230+IF(ABS(W230-D230)&lt;0.000000001,4*$B$19*$B$20*(D230+273)^3,$B$19*$B$20*((W230+273)^4-(D230+273)^4)/(W230-D230)))+1/H230)</f>
        <v/>
      </c>
      <c r="Y230">
        <f>($B$14*(I230*C230+IF(ABS(X230-D230)&lt;0.000000001,4*$B$19*$B$20*(D230+273)^3,$B$19*$B$20*((X230+273)^4-(D230+273)^4)/(X230-D230))*D230)+T230/H230)/($B$14*(I230+IF(ABS(X230-D230)&lt;0.000000001,4*$B$19*$B$20*(D230+273)^3,$B$19*$B$20*((X230+273)^4-(D230+273)^4)/(X230-D230)))+1/H230)</f>
        <v/>
      </c>
      <c r="Z230">
        <f>IF(ABS(Y230-D230)&lt;0.000000001,4*$B$19*$B$20*(D230+273)^3,$B$19*$B$20*((Y230+273)^4-(D230+273)^4)/(Y230-D230))</f>
        <v/>
      </c>
      <c r="AA230">
        <f>$B$14*I230*(Y230-C230)</f>
        <v/>
      </c>
      <c r="AB230">
        <f>$B$14*Z230*(Y230-D230)</f>
        <v/>
      </c>
      <c r="AC230">
        <f>IF((U230-E230)/G230=0,0.001,(U230-E230)/G230)</f>
        <v/>
      </c>
      <c r="AD230">
        <f>F230-P230-J230-K230-AA230-AB230</f>
        <v/>
      </c>
      <c r="AE230">
        <f>AD230/AC230</f>
        <v/>
      </c>
      <c r="AF230">
        <f>IF(AD230&lt;=0,0,IF(AC230&lt;=0,$B$11,IF(AE230&gt;=1.7,$B$11,MIN(AD230/MAX(0.05,IF(AE230&gt;1,(2-AE230)^2/2,1-AE230^2/2)),$B$11))))</f>
        <v/>
      </c>
      <c r="AG230">
        <f>AG229*$B$28+AF230*(1-$B$28)</f>
        <v/>
      </c>
      <c r="AH230">
        <f>IF(AND(AD230&gt;0,AC230&lt;=0),0,AC230)</f>
        <v/>
      </c>
      <c r="AI230">
        <f>AH230/MAX(AG230,0.000001)</f>
        <v/>
      </c>
      <c r="AJ230">
        <f>MIN(IF(AI230&gt;=0.5,-AI230+SQRT(AI230^2+2),1),$B$12)</f>
        <v/>
      </c>
      <c r="AK230">
        <f>IF(AG230&lt;=0,0,AJ230*AH230)</f>
        <v/>
      </c>
      <c r="AL230">
        <f>IF(AD230&lt;=0,0,AD230)</f>
        <v/>
      </c>
      <c r="AM230">
        <f>AL230-AK230+P230</f>
        <v/>
      </c>
      <c r="AN230">
        <f>((AM230/$B$7+T229*AS229/2-T230*MAX(0.1,MIN(0.3,0.3-0.09*(AR229-36.8)))/2)+AR229*(1-AS229/2))/(1-MAX(0.1,MIN(0.3,0.3-0.09*(AR229-36.8)))/2)</f>
        <v/>
      </c>
      <c r="AO230">
        <f>((AM230/$B$7+T229*AS229/2-T230*MAX(0.1,MIN(0.3,0.3-0.09*(AN230-36.8)))/2)+AR229*(1-AS229/2))/(1-MAX(0.1,MIN(0.3,0.3-0.09*(AN230-36.8)))/2)</f>
        <v/>
      </c>
      <c r="AP230">
        <f>((AM230/$B$7+T229*AS229/2-T230*MAX(0.1,MIN(0.3,0.3-0.09*(AO230-36.8)))/2)+AR229*(1-AS229/2))/(1-MAX(0.1,MIN(0.3,0.3-0.09*(AO230-36.8)))/2)</f>
        <v/>
      </c>
      <c r="AQ230">
        <f>((AM230/$B$7+T229*AS229/2-T230*MAX(0.1,MIN(0.3,0.3-0.09*(AP230-36.8)))/2)+AR229*(1-AS229/2))/(1-MAX(0.1,MIN(0.3,0.3-0.09*(AP230-36.8)))/2)</f>
        <v/>
      </c>
      <c r="AR230">
        <f>((AM230/$B$7+T229*AS229/2-T230*MAX(0.1,MIN(0.3,0.3-0.09*(AQ230-36.8)))/2)+AR229*(1-AS229/2))/(1-MAX(0.1,MIN(0.3,0.3-0.09*(AQ230-36.8)))/2)</f>
        <v/>
      </c>
      <c r="AS230">
        <f>MAX(0.1,MIN(0.3,0.3-0.09*(AR230-36.8)))</f>
        <v/>
      </c>
      <c r="AT230">
        <f>AT229+(2*AR230-1.962*AT229-1.31)/9</f>
        <v/>
      </c>
      <c r="AU230">
        <f>AU229+AG230+K230</f>
        <v/>
      </c>
      <c r="AV230">
        <f>AU230*2.67*$B$6/1.8/60</f>
        <v/>
      </c>
      <c r="AW230">
        <f>IF(AT230&gt;=$B$36,1,0)</f>
        <v/>
      </c>
      <c r="AX230">
        <f>IF(AV230&gt;=$B$21,1,0)</f>
        <v/>
      </c>
    </row>
    <row r="231">
      <c r="A231" t="n">
        <v>158</v>
      </c>
      <c r="B231">
        <f>MATCH(A231-1,$D$61:$D$68,1)</f>
        <v/>
      </c>
      <c r="C231">
        <f>INDEX($G$61:$G$68,B231)</f>
        <v/>
      </c>
      <c r="D231">
        <f>INDEX($L$61:$L$68,B231)</f>
        <v/>
      </c>
      <c r="E231">
        <f>INDEX($M$61:$M$68,B231)</f>
        <v/>
      </c>
      <c r="F231">
        <f>INDEX($N$61:$N$68,B231)</f>
        <v/>
      </c>
      <c r="G231">
        <f>INDEX($AA$61:$AA$68,B231)</f>
        <v/>
      </c>
      <c r="H231">
        <f>INDEX($X$61:$X$68,B231)</f>
        <v/>
      </c>
      <c r="I231">
        <f>INDEX($AF$61:$AF$68,B231)</f>
        <v/>
      </c>
      <c r="J231">
        <f>INDEX($AC$61:$AC$68,B231)</f>
        <v/>
      </c>
      <c r="K231">
        <f>INDEX($AD$61:$AD$68,B231)</f>
        <v/>
      </c>
      <c r="L231">
        <f>INDEX($AG$61:$AG$68,B231)</f>
        <v/>
      </c>
      <c r="M231">
        <f>INDEX($AH$61:$AH$68,B231)</f>
        <v/>
      </c>
      <c r="N231">
        <f>INDEX($AI$61:$AI$68,B231)</f>
        <v/>
      </c>
      <c r="O231">
        <f>O230*$B$26+L231*(1-$B$26)</f>
        <v/>
      </c>
      <c r="P231">
        <f>$B$7*(O231-O230)*(1-AS230)</f>
        <v/>
      </c>
      <c r="Q231">
        <f>M231+0.51274*AT230</f>
        <v/>
      </c>
      <c r="R231">
        <f>N231+0.616*AT230</f>
        <v/>
      </c>
      <c r="S231">
        <f>IF($B$13&gt;=0.6,Q231,IF($B$13&lt;=0.2,R231,R231+2.5*(Q231-R231)*($B$13-0.2)))</f>
        <v/>
      </c>
      <c r="T231">
        <f>IF(A231=1,S231,T230*$B$27+S231*(1-$B$27))</f>
        <v/>
      </c>
      <c r="U231">
        <f>0.6105*EXP(17.27*T231/(T231+237.3))</f>
        <v/>
      </c>
      <c r="V231">
        <f>($B$14*(I231*C231+IF(ABS((D231+0.1)-D231)&lt;0.000000001,4*$B$19*$B$20*(D231+273)^3,$B$19*$B$20*(((D231+0.1)+273)^4-(D231+273)^4)/((D231+0.1)-D231))*D231)+T231/H231)/($B$14*(I231+IF(ABS((D231+0.1)-D231)&lt;0.000000001,4*$B$19*$B$20*(D231+273)^3,$B$19*$B$20*(((D231+0.1)+273)^4-(D231+273)^4)/((D231+0.1)-D231)))+1/H231)</f>
        <v/>
      </c>
      <c r="W231">
        <f>($B$14*(I231*C231+IF(ABS(V231-D231)&lt;0.000000001,4*$B$19*$B$20*(D231+273)^3,$B$19*$B$20*((V231+273)^4-(D231+273)^4)/(V231-D231))*D231)+T231/H231)/($B$14*(I231+IF(ABS(V231-D231)&lt;0.000000001,4*$B$19*$B$20*(D231+273)^3,$B$19*$B$20*((V231+273)^4-(D231+273)^4)/(V231-D231)))+1/H231)</f>
        <v/>
      </c>
      <c r="X231">
        <f>($B$14*(I231*C231+IF(ABS(W231-D231)&lt;0.000000001,4*$B$19*$B$20*(D231+273)^3,$B$19*$B$20*((W231+273)^4-(D231+273)^4)/(W231-D231))*D231)+T231/H231)/($B$14*(I231+IF(ABS(W231-D231)&lt;0.000000001,4*$B$19*$B$20*(D231+273)^3,$B$19*$B$20*((W231+273)^4-(D231+273)^4)/(W231-D231)))+1/H231)</f>
        <v/>
      </c>
      <c r="Y231">
        <f>($B$14*(I231*C231+IF(ABS(X231-D231)&lt;0.000000001,4*$B$19*$B$20*(D231+273)^3,$B$19*$B$20*((X231+273)^4-(D231+273)^4)/(X231-D231))*D231)+T231/H231)/($B$14*(I231+IF(ABS(X231-D231)&lt;0.000000001,4*$B$19*$B$20*(D231+273)^3,$B$19*$B$20*((X231+273)^4-(D231+273)^4)/(X231-D231)))+1/H231)</f>
        <v/>
      </c>
      <c r="Z231">
        <f>IF(ABS(Y231-D231)&lt;0.000000001,4*$B$19*$B$20*(D231+273)^3,$B$19*$B$20*((Y231+273)^4-(D231+273)^4)/(Y231-D231))</f>
        <v/>
      </c>
      <c r="AA231">
        <f>$B$14*I231*(Y231-C231)</f>
        <v/>
      </c>
      <c r="AB231">
        <f>$B$14*Z231*(Y231-D231)</f>
        <v/>
      </c>
      <c r="AC231">
        <f>IF((U231-E231)/G231=0,0.001,(U231-E231)/G231)</f>
        <v/>
      </c>
      <c r="AD231">
        <f>F231-P231-J231-K231-AA231-AB231</f>
        <v/>
      </c>
      <c r="AE231">
        <f>AD231/AC231</f>
        <v/>
      </c>
      <c r="AF231">
        <f>IF(AD231&lt;=0,0,IF(AC231&lt;=0,$B$11,IF(AE231&gt;=1.7,$B$11,MIN(AD231/MAX(0.05,IF(AE231&gt;1,(2-AE231)^2/2,1-AE231^2/2)),$B$11))))</f>
        <v/>
      </c>
      <c r="AG231">
        <f>AG230*$B$28+AF231*(1-$B$28)</f>
        <v/>
      </c>
      <c r="AH231">
        <f>IF(AND(AD231&gt;0,AC231&lt;=0),0,AC231)</f>
        <v/>
      </c>
      <c r="AI231">
        <f>AH231/MAX(AG231,0.000001)</f>
        <v/>
      </c>
      <c r="AJ231">
        <f>MIN(IF(AI231&gt;=0.5,-AI231+SQRT(AI231^2+2),1),$B$12)</f>
        <v/>
      </c>
      <c r="AK231">
        <f>IF(AG231&lt;=0,0,AJ231*AH231)</f>
        <v/>
      </c>
      <c r="AL231">
        <f>IF(AD231&lt;=0,0,AD231)</f>
        <v/>
      </c>
      <c r="AM231">
        <f>AL231-AK231+P231</f>
        <v/>
      </c>
      <c r="AN231">
        <f>((AM231/$B$7+T230*AS230/2-T231*MAX(0.1,MIN(0.3,0.3-0.09*(AR230-36.8)))/2)+AR230*(1-AS230/2))/(1-MAX(0.1,MIN(0.3,0.3-0.09*(AR230-36.8)))/2)</f>
        <v/>
      </c>
      <c r="AO231">
        <f>((AM231/$B$7+T230*AS230/2-T231*MAX(0.1,MIN(0.3,0.3-0.09*(AN231-36.8)))/2)+AR230*(1-AS230/2))/(1-MAX(0.1,MIN(0.3,0.3-0.09*(AN231-36.8)))/2)</f>
        <v/>
      </c>
      <c r="AP231">
        <f>((AM231/$B$7+T230*AS230/2-T231*MAX(0.1,MIN(0.3,0.3-0.09*(AO231-36.8)))/2)+AR230*(1-AS230/2))/(1-MAX(0.1,MIN(0.3,0.3-0.09*(AO231-36.8)))/2)</f>
        <v/>
      </c>
      <c r="AQ231">
        <f>((AM231/$B$7+T230*AS230/2-T231*MAX(0.1,MIN(0.3,0.3-0.09*(AP231-36.8)))/2)+AR230*(1-AS230/2))/(1-MAX(0.1,MIN(0.3,0.3-0.09*(AP231-36.8)))/2)</f>
        <v/>
      </c>
      <c r="AR231">
        <f>((AM231/$B$7+T230*AS230/2-T231*MAX(0.1,MIN(0.3,0.3-0.09*(AQ231-36.8)))/2)+AR230*(1-AS230/2))/(1-MAX(0.1,MIN(0.3,0.3-0.09*(AQ231-36.8)))/2)</f>
        <v/>
      </c>
      <c r="AS231">
        <f>MAX(0.1,MIN(0.3,0.3-0.09*(AR231-36.8)))</f>
        <v/>
      </c>
      <c r="AT231">
        <f>AT230+(2*AR231-1.962*AT230-1.31)/9</f>
        <v/>
      </c>
      <c r="AU231">
        <f>AU230+AG231+K231</f>
        <v/>
      </c>
      <c r="AV231">
        <f>AU231*2.67*$B$6/1.8/60</f>
        <v/>
      </c>
      <c r="AW231">
        <f>IF(AT231&gt;=$B$36,1,0)</f>
        <v/>
      </c>
      <c r="AX231">
        <f>IF(AV231&gt;=$B$21,1,0)</f>
        <v/>
      </c>
    </row>
    <row r="232">
      <c r="A232" t="n">
        <v>159</v>
      </c>
      <c r="B232">
        <f>MATCH(A232-1,$D$61:$D$68,1)</f>
        <v/>
      </c>
      <c r="C232">
        <f>INDEX($G$61:$G$68,B232)</f>
        <v/>
      </c>
      <c r="D232">
        <f>INDEX($L$61:$L$68,B232)</f>
        <v/>
      </c>
      <c r="E232">
        <f>INDEX($M$61:$M$68,B232)</f>
        <v/>
      </c>
      <c r="F232">
        <f>INDEX($N$61:$N$68,B232)</f>
        <v/>
      </c>
      <c r="G232">
        <f>INDEX($AA$61:$AA$68,B232)</f>
        <v/>
      </c>
      <c r="H232">
        <f>INDEX($X$61:$X$68,B232)</f>
        <v/>
      </c>
      <c r="I232">
        <f>INDEX($AF$61:$AF$68,B232)</f>
        <v/>
      </c>
      <c r="J232">
        <f>INDEX($AC$61:$AC$68,B232)</f>
        <v/>
      </c>
      <c r="K232">
        <f>INDEX($AD$61:$AD$68,B232)</f>
        <v/>
      </c>
      <c r="L232">
        <f>INDEX($AG$61:$AG$68,B232)</f>
        <v/>
      </c>
      <c r="M232">
        <f>INDEX($AH$61:$AH$68,B232)</f>
        <v/>
      </c>
      <c r="N232">
        <f>INDEX($AI$61:$AI$68,B232)</f>
        <v/>
      </c>
      <c r="O232">
        <f>O231*$B$26+L232*(1-$B$26)</f>
        <v/>
      </c>
      <c r="P232">
        <f>$B$7*(O232-O231)*(1-AS231)</f>
        <v/>
      </c>
      <c r="Q232">
        <f>M232+0.51274*AT231</f>
        <v/>
      </c>
      <c r="R232">
        <f>N232+0.616*AT231</f>
        <v/>
      </c>
      <c r="S232">
        <f>IF($B$13&gt;=0.6,Q232,IF($B$13&lt;=0.2,R232,R232+2.5*(Q232-R232)*($B$13-0.2)))</f>
        <v/>
      </c>
      <c r="T232">
        <f>IF(A232=1,S232,T231*$B$27+S232*(1-$B$27))</f>
        <v/>
      </c>
      <c r="U232">
        <f>0.6105*EXP(17.27*T232/(T232+237.3))</f>
        <v/>
      </c>
      <c r="V232">
        <f>($B$14*(I232*C232+IF(ABS((D232+0.1)-D232)&lt;0.000000001,4*$B$19*$B$20*(D232+273)^3,$B$19*$B$20*(((D232+0.1)+273)^4-(D232+273)^4)/((D232+0.1)-D232))*D232)+T232/H232)/($B$14*(I232+IF(ABS((D232+0.1)-D232)&lt;0.000000001,4*$B$19*$B$20*(D232+273)^3,$B$19*$B$20*(((D232+0.1)+273)^4-(D232+273)^4)/((D232+0.1)-D232)))+1/H232)</f>
        <v/>
      </c>
      <c r="W232">
        <f>($B$14*(I232*C232+IF(ABS(V232-D232)&lt;0.000000001,4*$B$19*$B$20*(D232+273)^3,$B$19*$B$20*((V232+273)^4-(D232+273)^4)/(V232-D232))*D232)+T232/H232)/($B$14*(I232+IF(ABS(V232-D232)&lt;0.000000001,4*$B$19*$B$20*(D232+273)^3,$B$19*$B$20*((V232+273)^4-(D232+273)^4)/(V232-D232)))+1/H232)</f>
        <v/>
      </c>
      <c r="X232">
        <f>($B$14*(I232*C232+IF(ABS(W232-D232)&lt;0.000000001,4*$B$19*$B$20*(D232+273)^3,$B$19*$B$20*((W232+273)^4-(D232+273)^4)/(W232-D232))*D232)+T232/H232)/($B$14*(I232+IF(ABS(W232-D232)&lt;0.000000001,4*$B$19*$B$20*(D232+273)^3,$B$19*$B$20*((W232+273)^4-(D232+273)^4)/(W232-D232)))+1/H232)</f>
        <v/>
      </c>
      <c r="Y232">
        <f>($B$14*(I232*C232+IF(ABS(X232-D232)&lt;0.000000001,4*$B$19*$B$20*(D232+273)^3,$B$19*$B$20*((X232+273)^4-(D232+273)^4)/(X232-D232))*D232)+T232/H232)/($B$14*(I232+IF(ABS(X232-D232)&lt;0.000000001,4*$B$19*$B$20*(D232+273)^3,$B$19*$B$20*((X232+273)^4-(D232+273)^4)/(X232-D232)))+1/H232)</f>
        <v/>
      </c>
      <c r="Z232">
        <f>IF(ABS(Y232-D232)&lt;0.000000001,4*$B$19*$B$20*(D232+273)^3,$B$19*$B$20*((Y232+273)^4-(D232+273)^4)/(Y232-D232))</f>
        <v/>
      </c>
      <c r="AA232">
        <f>$B$14*I232*(Y232-C232)</f>
        <v/>
      </c>
      <c r="AB232">
        <f>$B$14*Z232*(Y232-D232)</f>
        <v/>
      </c>
      <c r="AC232">
        <f>IF((U232-E232)/G232=0,0.001,(U232-E232)/G232)</f>
        <v/>
      </c>
      <c r="AD232">
        <f>F232-P232-J232-K232-AA232-AB232</f>
        <v/>
      </c>
      <c r="AE232">
        <f>AD232/AC232</f>
        <v/>
      </c>
      <c r="AF232">
        <f>IF(AD232&lt;=0,0,IF(AC232&lt;=0,$B$11,IF(AE232&gt;=1.7,$B$11,MIN(AD232/MAX(0.05,IF(AE232&gt;1,(2-AE232)^2/2,1-AE232^2/2)),$B$11))))</f>
        <v/>
      </c>
      <c r="AG232">
        <f>AG231*$B$28+AF232*(1-$B$28)</f>
        <v/>
      </c>
      <c r="AH232">
        <f>IF(AND(AD232&gt;0,AC232&lt;=0),0,AC232)</f>
        <v/>
      </c>
      <c r="AI232">
        <f>AH232/MAX(AG232,0.000001)</f>
        <v/>
      </c>
      <c r="AJ232">
        <f>MIN(IF(AI232&gt;=0.5,-AI232+SQRT(AI232^2+2),1),$B$12)</f>
        <v/>
      </c>
      <c r="AK232">
        <f>IF(AG232&lt;=0,0,AJ232*AH232)</f>
        <v/>
      </c>
      <c r="AL232">
        <f>IF(AD232&lt;=0,0,AD232)</f>
        <v/>
      </c>
      <c r="AM232">
        <f>AL232-AK232+P232</f>
        <v/>
      </c>
      <c r="AN232">
        <f>((AM232/$B$7+T231*AS231/2-T232*MAX(0.1,MIN(0.3,0.3-0.09*(AR231-36.8)))/2)+AR231*(1-AS231/2))/(1-MAX(0.1,MIN(0.3,0.3-0.09*(AR231-36.8)))/2)</f>
        <v/>
      </c>
      <c r="AO232">
        <f>((AM232/$B$7+T231*AS231/2-T232*MAX(0.1,MIN(0.3,0.3-0.09*(AN232-36.8)))/2)+AR231*(1-AS231/2))/(1-MAX(0.1,MIN(0.3,0.3-0.09*(AN232-36.8)))/2)</f>
        <v/>
      </c>
      <c r="AP232">
        <f>((AM232/$B$7+T231*AS231/2-T232*MAX(0.1,MIN(0.3,0.3-0.09*(AO232-36.8)))/2)+AR231*(1-AS231/2))/(1-MAX(0.1,MIN(0.3,0.3-0.09*(AO232-36.8)))/2)</f>
        <v/>
      </c>
      <c r="AQ232">
        <f>((AM232/$B$7+T231*AS231/2-T232*MAX(0.1,MIN(0.3,0.3-0.09*(AP232-36.8)))/2)+AR231*(1-AS231/2))/(1-MAX(0.1,MIN(0.3,0.3-0.09*(AP232-36.8)))/2)</f>
        <v/>
      </c>
      <c r="AR232">
        <f>((AM232/$B$7+T231*AS231/2-T232*MAX(0.1,MIN(0.3,0.3-0.09*(AQ232-36.8)))/2)+AR231*(1-AS231/2))/(1-MAX(0.1,MIN(0.3,0.3-0.09*(AQ232-36.8)))/2)</f>
        <v/>
      </c>
      <c r="AS232">
        <f>MAX(0.1,MIN(0.3,0.3-0.09*(AR232-36.8)))</f>
        <v/>
      </c>
      <c r="AT232">
        <f>AT231+(2*AR232-1.962*AT231-1.31)/9</f>
        <v/>
      </c>
      <c r="AU232">
        <f>AU231+AG232+K232</f>
        <v/>
      </c>
      <c r="AV232">
        <f>AU232*2.67*$B$6/1.8/60</f>
        <v/>
      </c>
      <c r="AW232">
        <f>IF(AT232&gt;=$B$36,1,0)</f>
        <v/>
      </c>
      <c r="AX232">
        <f>IF(AV232&gt;=$B$21,1,0)</f>
        <v/>
      </c>
    </row>
    <row r="233">
      <c r="A233" t="n">
        <v>160</v>
      </c>
      <c r="B233">
        <f>MATCH(A233-1,$D$61:$D$68,1)</f>
        <v/>
      </c>
      <c r="C233">
        <f>INDEX($G$61:$G$68,B233)</f>
        <v/>
      </c>
      <c r="D233">
        <f>INDEX($L$61:$L$68,B233)</f>
        <v/>
      </c>
      <c r="E233">
        <f>INDEX($M$61:$M$68,B233)</f>
        <v/>
      </c>
      <c r="F233">
        <f>INDEX($N$61:$N$68,B233)</f>
        <v/>
      </c>
      <c r="G233">
        <f>INDEX($AA$61:$AA$68,B233)</f>
        <v/>
      </c>
      <c r="H233">
        <f>INDEX($X$61:$X$68,B233)</f>
        <v/>
      </c>
      <c r="I233">
        <f>INDEX($AF$61:$AF$68,B233)</f>
        <v/>
      </c>
      <c r="J233">
        <f>INDEX($AC$61:$AC$68,B233)</f>
        <v/>
      </c>
      <c r="K233">
        <f>INDEX($AD$61:$AD$68,B233)</f>
        <v/>
      </c>
      <c r="L233">
        <f>INDEX($AG$61:$AG$68,B233)</f>
        <v/>
      </c>
      <c r="M233">
        <f>INDEX($AH$61:$AH$68,B233)</f>
        <v/>
      </c>
      <c r="N233">
        <f>INDEX($AI$61:$AI$68,B233)</f>
        <v/>
      </c>
      <c r="O233">
        <f>O232*$B$26+L233*(1-$B$26)</f>
        <v/>
      </c>
      <c r="P233">
        <f>$B$7*(O233-O232)*(1-AS232)</f>
        <v/>
      </c>
      <c r="Q233">
        <f>M233+0.51274*AT232</f>
        <v/>
      </c>
      <c r="R233">
        <f>N233+0.616*AT232</f>
        <v/>
      </c>
      <c r="S233">
        <f>IF($B$13&gt;=0.6,Q233,IF($B$13&lt;=0.2,R233,R233+2.5*(Q233-R233)*($B$13-0.2)))</f>
        <v/>
      </c>
      <c r="T233">
        <f>IF(A233=1,S233,T232*$B$27+S233*(1-$B$27))</f>
        <v/>
      </c>
      <c r="U233">
        <f>0.6105*EXP(17.27*T233/(T233+237.3))</f>
        <v/>
      </c>
      <c r="V233">
        <f>($B$14*(I233*C233+IF(ABS((D233+0.1)-D233)&lt;0.000000001,4*$B$19*$B$20*(D233+273)^3,$B$19*$B$20*(((D233+0.1)+273)^4-(D233+273)^4)/((D233+0.1)-D233))*D233)+T233/H233)/($B$14*(I233+IF(ABS((D233+0.1)-D233)&lt;0.000000001,4*$B$19*$B$20*(D233+273)^3,$B$19*$B$20*(((D233+0.1)+273)^4-(D233+273)^4)/((D233+0.1)-D233)))+1/H233)</f>
        <v/>
      </c>
      <c r="W233">
        <f>($B$14*(I233*C233+IF(ABS(V233-D233)&lt;0.000000001,4*$B$19*$B$20*(D233+273)^3,$B$19*$B$20*((V233+273)^4-(D233+273)^4)/(V233-D233))*D233)+T233/H233)/($B$14*(I233+IF(ABS(V233-D233)&lt;0.000000001,4*$B$19*$B$20*(D233+273)^3,$B$19*$B$20*((V233+273)^4-(D233+273)^4)/(V233-D233)))+1/H233)</f>
        <v/>
      </c>
      <c r="X233">
        <f>($B$14*(I233*C233+IF(ABS(W233-D233)&lt;0.000000001,4*$B$19*$B$20*(D233+273)^3,$B$19*$B$20*((W233+273)^4-(D233+273)^4)/(W233-D233))*D233)+T233/H233)/($B$14*(I233+IF(ABS(W233-D233)&lt;0.000000001,4*$B$19*$B$20*(D233+273)^3,$B$19*$B$20*((W233+273)^4-(D233+273)^4)/(W233-D233)))+1/H233)</f>
        <v/>
      </c>
      <c r="Y233">
        <f>($B$14*(I233*C233+IF(ABS(X233-D233)&lt;0.000000001,4*$B$19*$B$20*(D233+273)^3,$B$19*$B$20*((X233+273)^4-(D233+273)^4)/(X233-D233))*D233)+T233/H233)/($B$14*(I233+IF(ABS(X233-D233)&lt;0.000000001,4*$B$19*$B$20*(D233+273)^3,$B$19*$B$20*((X233+273)^4-(D233+273)^4)/(X233-D233)))+1/H233)</f>
        <v/>
      </c>
      <c r="Z233">
        <f>IF(ABS(Y233-D233)&lt;0.000000001,4*$B$19*$B$20*(D233+273)^3,$B$19*$B$20*((Y233+273)^4-(D233+273)^4)/(Y233-D233))</f>
        <v/>
      </c>
      <c r="AA233">
        <f>$B$14*I233*(Y233-C233)</f>
        <v/>
      </c>
      <c r="AB233">
        <f>$B$14*Z233*(Y233-D233)</f>
        <v/>
      </c>
      <c r="AC233">
        <f>IF((U233-E233)/G233=0,0.001,(U233-E233)/G233)</f>
        <v/>
      </c>
      <c r="AD233">
        <f>F233-P233-J233-K233-AA233-AB233</f>
        <v/>
      </c>
      <c r="AE233">
        <f>AD233/AC233</f>
        <v/>
      </c>
      <c r="AF233">
        <f>IF(AD233&lt;=0,0,IF(AC233&lt;=0,$B$11,IF(AE233&gt;=1.7,$B$11,MIN(AD233/MAX(0.05,IF(AE233&gt;1,(2-AE233)^2/2,1-AE233^2/2)),$B$11))))</f>
        <v/>
      </c>
      <c r="AG233">
        <f>AG232*$B$28+AF233*(1-$B$28)</f>
        <v/>
      </c>
      <c r="AH233">
        <f>IF(AND(AD233&gt;0,AC233&lt;=0),0,AC233)</f>
        <v/>
      </c>
      <c r="AI233">
        <f>AH233/MAX(AG233,0.000001)</f>
        <v/>
      </c>
      <c r="AJ233">
        <f>MIN(IF(AI233&gt;=0.5,-AI233+SQRT(AI233^2+2),1),$B$12)</f>
        <v/>
      </c>
      <c r="AK233">
        <f>IF(AG233&lt;=0,0,AJ233*AH233)</f>
        <v/>
      </c>
      <c r="AL233">
        <f>IF(AD233&lt;=0,0,AD233)</f>
        <v/>
      </c>
      <c r="AM233">
        <f>AL233-AK233+P233</f>
        <v/>
      </c>
      <c r="AN233">
        <f>((AM233/$B$7+T232*AS232/2-T233*MAX(0.1,MIN(0.3,0.3-0.09*(AR232-36.8)))/2)+AR232*(1-AS232/2))/(1-MAX(0.1,MIN(0.3,0.3-0.09*(AR232-36.8)))/2)</f>
        <v/>
      </c>
      <c r="AO233">
        <f>((AM233/$B$7+T232*AS232/2-T233*MAX(0.1,MIN(0.3,0.3-0.09*(AN233-36.8)))/2)+AR232*(1-AS232/2))/(1-MAX(0.1,MIN(0.3,0.3-0.09*(AN233-36.8)))/2)</f>
        <v/>
      </c>
      <c r="AP233">
        <f>((AM233/$B$7+T232*AS232/2-T233*MAX(0.1,MIN(0.3,0.3-0.09*(AO233-36.8)))/2)+AR232*(1-AS232/2))/(1-MAX(0.1,MIN(0.3,0.3-0.09*(AO233-36.8)))/2)</f>
        <v/>
      </c>
      <c r="AQ233">
        <f>((AM233/$B$7+T232*AS232/2-T233*MAX(0.1,MIN(0.3,0.3-0.09*(AP233-36.8)))/2)+AR232*(1-AS232/2))/(1-MAX(0.1,MIN(0.3,0.3-0.09*(AP233-36.8)))/2)</f>
        <v/>
      </c>
      <c r="AR233">
        <f>((AM233/$B$7+T232*AS232/2-T233*MAX(0.1,MIN(0.3,0.3-0.09*(AQ233-36.8)))/2)+AR232*(1-AS232/2))/(1-MAX(0.1,MIN(0.3,0.3-0.09*(AQ233-36.8)))/2)</f>
        <v/>
      </c>
      <c r="AS233">
        <f>MAX(0.1,MIN(0.3,0.3-0.09*(AR233-36.8)))</f>
        <v/>
      </c>
      <c r="AT233">
        <f>AT232+(2*AR233-1.962*AT232-1.31)/9</f>
        <v/>
      </c>
      <c r="AU233">
        <f>AU232+AG233+K233</f>
        <v/>
      </c>
      <c r="AV233">
        <f>AU233*2.67*$B$6/1.8/60</f>
        <v/>
      </c>
      <c r="AW233">
        <f>IF(AT233&gt;=$B$36,1,0)</f>
        <v/>
      </c>
      <c r="AX233">
        <f>IF(AV233&gt;=$B$21,1,0)</f>
        <v/>
      </c>
    </row>
    <row r="234">
      <c r="A234" t="n">
        <v>161</v>
      </c>
      <c r="B234">
        <f>MATCH(A234-1,$D$61:$D$68,1)</f>
        <v/>
      </c>
      <c r="C234">
        <f>INDEX($G$61:$G$68,B234)</f>
        <v/>
      </c>
      <c r="D234">
        <f>INDEX($L$61:$L$68,B234)</f>
        <v/>
      </c>
      <c r="E234">
        <f>INDEX($M$61:$M$68,B234)</f>
        <v/>
      </c>
      <c r="F234">
        <f>INDEX($N$61:$N$68,B234)</f>
        <v/>
      </c>
      <c r="G234">
        <f>INDEX($AA$61:$AA$68,B234)</f>
        <v/>
      </c>
      <c r="H234">
        <f>INDEX($X$61:$X$68,B234)</f>
        <v/>
      </c>
      <c r="I234">
        <f>INDEX($AF$61:$AF$68,B234)</f>
        <v/>
      </c>
      <c r="J234">
        <f>INDEX($AC$61:$AC$68,B234)</f>
        <v/>
      </c>
      <c r="K234">
        <f>INDEX($AD$61:$AD$68,B234)</f>
        <v/>
      </c>
      <c r="L234">
        <f>INDEX($AG$61:$AG$68,B234)</f>
        <v/>
      </c>
      <c r="M234">
        <f>INDEX($AH$61:$AH$68,B234)</f>
        <v/>
      </c>
      <c r="N234">
        <f>INDEX($AI$61:$AI$68,B234)</f>
        <v/>
      </c>
      <c r="O234">
        <f>O233*$B$26+L234*(1-$B$26)</f>
        <v/>
      </c>
      <c r="P234">
        <f>$B$7*(O234-O233)*(1-AS233)</f>
        <v/>
      </c>
      <c r="Q234">
        <f>M234+0.51274*AT233</f>
        <v/>
      </c>
      <c r="R234">
        <f>N234+0.616*AT233</f>
        <v/>
      </c>
      <c r="S234">
        <f>IF($B$13&gt;=0.6,Q234,IF($B$13&lt;=0.2,R234,R234+2.5*(Q234-R234)*($B$13-0.2)))</f>
        <v/>
      </c>
      <c r="T234">
        <f>IF(A234=1,S234,T233*$B$27+S234*(1-$B$27))</f>
        <v/>
      </c>
      <c r="U234">
        <f>0.6105*EXP(17.27*T234/(T234+237.3))</f>
        <v/>
      </c>
      <c r="V234">
        <f>($B$14*(I234*C234+IF(ABS((D234+0.1)-D234)&lt;0.000000001,4*$B$19*$B$20*(D234+273)^3,$B$19*$B$20*(((D234+0.1)+273)^4-(D234+273)^4)/((D234+0.1)-D234))*D234)+T234/H234)/($B$14*(I234+IF(ABS((D234+0.1)-D234)&lt;0.000000001,4*$B$19*$B$20*(D234+273)^3,$B$19*$B$20*(((D234+0.1)+273)^4-(D234+273)^4)/((D234+0.1)-D234)))+1/H234)</f>
        <v/>
      </c>
      <c r="W234">
        <f>($B$14*(I234*C234+IF(ABS(V234-D234)&lt;0.000000001,4*$B$19*$B$20*(D234+273)^3,$B$19*$B$20*((V234+273)^4-(D234+273)^4)/(V234-D234))*D234)+T234/H234)/($B$14*(I234+IF(ABS(V234-D234)&lt;0.000000001,4*$B$19*$B$20*(D234+273)^3,$B$19*$B$20*((V234+273)^4-(D234+273)^4)/(V234-D234)))+1/H234)</f>
        <v/>
      </c>
      <c r="X234">
        <f>($B$14*(I234*C234+IF(ABS(W234-D234)&lt;0.000000001,4*$B$19*$B$20*(D234+273)^3,$B$19*$B$20*((W234+273)^4-(D234+273)^4)/(W234-D234))*D234)+T234/H234)/($B$14*(I234+IF(ABS(W234-D234)&lt;0.000000001,4*$B$19*$B$20*(D234+273)^3,$B$19*$B$20*((W234+273)^4-(D234+273)^4)/(W234-D234)))+1/H234)</f>
        <v/>
      </c>
      <c r="Y234">
        <f>($B$14*(I234*C234+IF(ABS(X234-D234)&lt;0.000000001,4*$B$19*$B$20*(D234+273)^3,$B$19*$B$20*((X234+273)^4-(D234+273)^4)/(X234-D234))*D234)+T234/H234)/($B$14*(I234+IF(ABS(X234-D234)&lt;0.000000001,4*$B$19*$B$20*(D234+273)^3,$B$19*$B$20*((X234+273)^4-(D234+273)^4)/(X234-D234)))+1/H234)</f>
        <v/>
      </c>
      <c r="Z234">
        <f>IF(ABS(Y234-D234)&lt;0.000000001,4*$B$19*$B$20*(D234+273)^3,$B$19*$B$20*((Y234+273)^4-(D234+273)^4)/(Y234-D234))</f>
        <v/>
      </c>
      <c r="AA234">
        <f>$B$14*I234*(Y234-C234)</f>
        <v/>
      </c>
      <c r="AB234">
        <f>$B$14*Z234*(Y234-D234)</f>
        <v/>
      </c>
      <c r="AC234">
        <f>IF((U234-E234)/G234=0,0.001,(U234-E234)/G234)</f>
        <v/>
      </c>
      <c r="AD234">
        <f>F234-P234-J234-K234-AA234-AB234</f>
        <v/>
      </c>
      <c r="AE234">
        <f>AD234/AC234</f>
        <v/>
      </c>
      <c r="AF234">
        <f>IF(AD234&lt;=0,0,IF(AC234&lt;=0,$B$11,IF(AE234&gt;=1.7,$B$11,MIN(AD234/MAX(0.05,IF(AE234&gt;1,(2-AE234)^2/2,1-AE234^2/2)),$B$11))))</f>
        <v/>
      </c>
      <c r="AG234">
        <f>AG233*$B$28+AF234*(1-$B$28)</f>
        <v/>
      </c>
      <c r="AH234">
        <f>IF(AND(AD234&gt;0,AC234&lt;=0),0,AC234)</f>
        <v/>
      </c>
      <c r="AI234">
        <f>AH234/MAX(AG234,0.000001)</f>
        <v/>
      </c>
      <c r="AJ234">
        <f>MIN(IF(AI234&gt;=0.5,-AI234+SQRT(AI234^2+2),1),$B$12)</f>
        <v/>
      </c>
      <c r="AK234">
        <f>IF(AG234&lt;=0,0,AJ234*AH234)</f>
        <v/>
      </c>
      <c r="AL234">
        <f>IF(AD234&lt;=0,0,AD234)</f>
        <v/>
      </c>
      <c r="AM234">
        <f>AL234-AK234+P234</f>
        <v/>
      </c>
      <c r="AN234">
        <f>((AM234/$B$7+T233*AS233/2-T234*MAX(0.1,MIN(0.3,0.3-0.09*(AR233-36.8)))/2)+AR233*(1-AS233/2))/(1-MAX(0.1,MIN(0.3,0.3-0.09*(AR233-36.8)))/2)</f>
        <v/>
      </c>
      <c r="AO234">
        <f>((AM234/$B$7+T233*AS233/2-T234*MAX(0.1,MIN(0.3,0.3-0.09*(AN234-36.8)))/2)+AR233*(1-AS233/2))/(1-MAX(0.1,MIN(0.3,0.3-0.09*(AN234-36.8)))/2)</f>
        <v/>
      </c>
      <c r="AP234">
        <f>((AM234/$B$7+T233*AS233/2-T234*MAX(0.1,MIN(0.3,0.3-0.09*(AO234-36.8)))/2)+AR233*(1-AS233/2))/(1-MAX(0.1,MIN(0.3,0.3-0.09*(AO234-36.8)))/2)</f>
        <v/>
      </c>
      <c r="AQ234">
        <f>((AM234/$B$7+T233*AS233/2-T234*MAX(0.1,MIN(0.3,0.3-0.09*(AP234-36.8)))/2)+AR233*(1-AS233/2))/(1-MAX(0.1,MIN(0.3,0.3-0.09*(AP234-36.8)))/2)</f>
        <v/>
      </c>
      <c r="AR234">
        <f>((AM234/$B$7+T233*AS233/2-T234*MAX(0.1,MIN(0.3,0.3-0.09*(AQ234-36.8)))/2)+AR233*(1-AS233/2))/(1-MAX(0.1,MIN(0.3,0.3-0.09*(AQ234-36.8)))/2)</f>
        <v/>
      </c>
      <c r="AS234">
        <f>MAX(0.1,MIN(0.3,0.3-0.09*(AR234-36.8)))</f>
        <v/>
      </c>
      <c r="AT234">
        <f>AT233+(2*AR234-1.962*AT233-1.31)/9</f>
        <v/>
      </c>
      <c r="AU234">
        <f>AU233+AG234+K234</f>
        <v/>
      </c>
      <c r="AV234">
        <f>AU234*2.67*$B$6/1.8/60</f>
        <v/>
      </c>
      <c r="AW234">
        <f>IF(AT234&gt;=$B$36,1,0)</f>
        <v/>
      </c>
      <c r="AX234">
        <f>IF(AV234&gt;=$B$21,1,0)</f>
        <v/>
      </c>
    </row>
    <row r="235">
      <c r="A235" t="n">
        <v>162</v>
      </c>
      <c r="B235">
        <f>MATCH(A235-1,$D$61:$D$68,1)</f>
        <v/>
      </c>
      <c r="C235">
        <f>INDEX($G$61:$G$68,B235)</f>
        <v/>
      </c>
      <c r="D235">
        <f>INDEX($L$61:$L$68,B235)</f>
        <v/>
      </c>
      <c r="E235">
        <f>INDEX($M$61:$M$68,B235)</f>
        <v/>
      </c>
      <c r="F235">
        <f>INDEX($N$61:$N$68,B235)</f>
        <v/>
      </c>
      <c r="G235">
        <f>INDEX($AA$61:$AA$68,B235)</f>
        <v/>
      </c>
      <c r="H235">
        <f>INDEX($X$61:$X$68,B235)</f>
        <v/>
      </c>
      <c r="I235">
        <f>INDEX($AF$61:$AF$68,B235)</f>
        <v/>
      </c>
      <c r="J235">
        <f>INDEX($AC$61:$AC$68,B235)</f>
        <v/>
      </c>
      <c r="K235">
        <f>INDEX($AD$61:$AD$68,B235)</f>
        <v/>
      </c>
      <c r="L235">
        <f>INDEX($AG$61:$AG$68,B235)</f>
        <v/>
      </c>
      <c r="M235">
        <f>INDEX($AH$61:$AH$68,B235)</f>
        <v/>
      </c>
      <c r="N235">
        <f>INDEX($AI$61:$AI$68,B235)</f>
        <v/>
      </c>
      <c r="O235">
        <f>O234*$B$26+L235*(1-$B$26)</f>
        <v/>
      </c>
      <c r="P235">
        <f>$B$7*(O235-O234)*(1-AS234)</f>
        <v/>
      </c>
      <c r="Q235">
        <f>M235+0.51274*AT234</f>
        <v/>
      </c>
      <c r="R235">
        <f>N235+0.616*AT234</f>
        <v/>
      </c>
      <c r="S235">
        <f>IF($B$13&gt;=0.6,Q235,IF($B$13&lt;=0.2,R235,R235+2.5*(Q235-R235)*($B$13-0.2)))</f>
        <v/>
      </c>
      <c r="T235">
        <f>IF(A235=1,S235,T234*$B$27+S235*(1-$B$27))</f>
        <v/>
      </c>
      <c r="U235">
        <f>0.6105*EXP(17.27*T235/(T235+237.3))</f>
        <v/>
      </c>
      <c r="V235">
        <f>($B$14*(I235*C235+IF(ABS((D235+0.1)-D235)&lt;0.000000001,4*$B$19*$B$20*(D235+273)^3,$B$19*$B$20*(((D235+0.1)+273)^4-(D235+273)^4)/((D235+0.1)-D235))*D235)+T235/H235)/($B$14*(I235+IF(ABS((D235+0.1)-D235)&lt;0.000000001,4*$B$19*$B$20*(D235+273)^3,$B$19*$B$20*(((D235+0.1)+273)^4-(D235+273)^4)/((D235+0.1)-D235)))+1/H235)</f>
        <v/>
      </c>
      <c r="W235">
        <f>($B$14*(I235*C235+IF(ABS(V235-D235)&lt;0.000000001,4*$B$19*$B$20*(D235+273)^3,$B$19*$B$20*((V235+273)^4-(D235+273)^4)/(V235-D235))*D235)+T235/H235)/($B$14*(I235+IF(ABS(V235-D235)&lt;0.000000001,4*$B$19*$B$20*(D235+273)^3,$B$19*$B$20*((V235+273)^4-(D235+273)^4)/(V235-D235)))+1/H235)</f>
        <v/>
      </c>
      <c r="X235">
        <f>($B$14*(I235*C235+IF(ABS(W235-D235)&lt;0.000000001,4*$B$19*$B$20*(D235+273)^3,$B$19*$B$20*((W235+273)^4-(D235+273)^4)/(W235-D235))*D235)+T235/H235)/($B$14*(I235+IF(ABS(W235-D235)&lt;0.000000001,4*$B$19*$B$20*(D235+273)^3,$B$19*$B$20*((W235+273)^4-(D235+273)^4)/(W235-D235)))+1/H235)</f>
        <v/>
      </c>
      <c r="Y235">
        <f>($B$14*(I235*C235+IF(ABS(X235-D235)&lt;0.000000001,4*$B$19*$B$20*(D235+273)^3,$B$19*$B$20*((X235+273)^4-(D235+273)^4)/(X235-D235))*D235)+T235/H235)/($B$14*(I235+IF(ABS(X235-D235)&lt;0.000000001,4*$B$19*$B$20*(D235+273)^3,$B$19*$B$20*((X235+273)^4-(D235+273)^4)/(X235-D235)))+1/H235)</f>
        <v/>
      </c>
      <c r="Z235">
        <f>IF(ABS(Y235-D235)&lt;0.000000001,4*$B$19*$B$20*(D235+273)^3,$B$19*$B$20*((Y235+273)^4-(D235+273)^4)/(Y235-D235))</f>
        <v/>
      </c>
      <c r="AA235">
        <f>$B$14*I235*(Y235-C235)</f>
        <v/>
      </c>
      <c r="AB235">
        <f>$B$14*Z235*(Y235-D235)</f>
        <v/>
      </c>
      <c r="AC235">
        <f>IF((U235-E235)/G235=0,0.001,(U235-E235)/G235)</f>
        <v/>
      </c>
      <c r="AD235">
        <f>F235-P235-J235-K235-AA235-AB235</f>
        <v/>
      </c>
      <c r="AE235">
        <f>AD235/AC235</f>
        <v/>
      </c>
      <c r="AF235">
        <f>IF(AD235&lt;=0,0,IF(AC235&lt;=0,$B$11,IF(AE235&gt;=1.7,$B$11,MIN(AD235/MAX(0.05,IF(AE235&gt;1,(2-AE235)^2/2,1-AE235^2/2)),$B$11))))</f>
        <v/>
      </c>
      <c r="AG235">
        <f>AG234*$B$28+AF235*(1-$B$28)</f>
        <v/>
      </c>
      <c r="AH235">
        <f>IF(AND(AD235&gt;0,AC235&lt;=0),0,AC235)</f>
        <v/>
      </c>
      <c r="AI235">
        <f>AH235/MAX(AG235,0.000001)</f>
        <v/>
      </c>
      <c r="AJ235">
        <f>MIN(IF(AI235&gt;=0.5,-AI235+SQRT(AI235^2+2),1),$B$12)</f>
        <v/>
      </c>
      <c r="AK235">
        <f>IF(AG235&lt;=0,0,AJ235*AH235)</f>
        <v/>
      </c>
      <c r="AL235">
        <f>IF(AD235&lt;=0,0,AD235)</f>
        <v/>
      </c>
      <c r="AM235">
        <f>AL235-AK235+P235</f>
        <v/>
      </c>
      <c r="AN235">
        <f>((AM235/$B$7+T234*AS234/2-T235*MAX(0.1,MIN(0.3,0.3-0.09*(AR234-36.8)))/2)+AR234*(1-AS234/2))/(1-MAX(0.1,MIN(0.3,0.3-0.09*(AR234-36.8)))/2)</f>
        <v/>
      </c>
      <c r="AO235">
        <f>((AM235/$B$7+T234*AS234/2-T235*MAX(0.1,MIN(0.3,0.3-0.09*(AN235-36.8)))/2)+AR234*(1-AS234/2))/(1-MAX(0.1,MIN(0.3,0.3-0.09*(AN235-36.8)))/2)</f>
        <v/>
      </c>
      <c r="AP235">
        <f>((AM235/$B$7+T234*AS234/2-T235*MAX(0.1,MIN(0.3,0.3-0.09*(AO235-36.8)))/2)+AR234*(1-AS234/2))/(1-MAX(0.1,MIN(0.3,0.3-0.09*(AO235-36.8)))/2)</f>
        <v/>
      </c>
      <c r="AQ235">
        <f>((AM235/$B$7+T234*AS234/2-T235*MAX(0.1,MIN(0.3,0.3-0.09*(AP235-36.8)))/2)+AR234*(1-AS234/2))/(1-MAX(0.1,MIN(0.3,0.3-0.09*(AP235-36.8)))/2)</f>
        <v/>
      </c>
      <c r="AR235">
        <f>((AM235/$B$7+T234*AS234/2-T235*MAX(0.1,MIN(0.3,0.3-0.09*(AQ235-36.8)))/2)+AR234*(1-AS234/2))/(1-MAX(0.1,MIN(0.3,0.3-0.09*(AQ235-36.8)))/2)</f>
        <v/>
      </c>
      <c r="AS235">
        <f>MAX(0.1,MIN(0.3,0.3-0.09*(AR235-36.8)))</f>
        <v/>
      </c>
      <c r="AT235">
        <f>AT234+(2*AR235-1.962*AT234-1.31)/9</f>
        <v/>
      </c>
      <c r="AU235">
        <f>AU234+AG235+K235</f>
        <v/>
      </c>
      <c r="AV235">
        <f>AU235*2.67*$B$6/1.8/60</f>
        <v/>
      </c>
      <c r="AW235">
        <f>IF(AT235&gt;=$B$36,1,0)</f>
        <v/>
      </c>
      <c r="AX235">
        <f>IF(AV235&gt;=$B$21,1,0)</f>
        <v/>
      </c>
    </row>
    <row r="236">
      <c r="A236" t="n">
        <v>163</v>
      </c>
      <c r="B236">
        <f>MATCH(A236-1,$D$61:$D$68,1)</f>
        <v/>
      </c>
      <c r="C236">
        <f>INDEX($G$61:$G$68,B236)</f>
        <v/>
      </c>
      <c r="D236">
        <f>INDEX($L$61:$L$68,B236)</f>
        <v/>
      </c>
      <c r="E236">
        <f>INDEX($M$61:$M$68,B236)</f>
        <v/>
      </c>
      <c r="F236">
        <f>INDEX($N$61:$N$68,B236)</f>
        <v/>
      </c>
      <c r="G236">
        <f>INDEX($AA$61:$AA$68,B236)</f>
        <v/>
      </c>
      <c r="H236">
        <f>INDEX($X$61:$X$68,B236)</f>
        <v/>
      </c>
      <c r="I236">
        <f>INDEX($AF$61:$AF$68,B236)</f>
        <v/>
      </c>
      <c r="J236">
        <f>INDEX($AC$61:$AC$68,B236)</f>
        <v/>
      </c>
      <c r="K236">
        <f>INDEX($AD$61:$AD$68,B236)</f>
        <v/>
      </c>
      <c r="L236">
        <f>INDEX($AG$61:$AG$68,B236)</f>
        <v/>
      </c>
      <c r="M236">
        <f>INDEX($AH$61:$AH$68,B236)</f>
        <v/>
      </c>
      <c r="N236">
        <f>INDEX($AI$61:$AI$68,B236)</f>
        <v/>
      </c>
      <c r="O236">
        <f>O235*$B$26+L236*(1-$B$26)</f>
        <v/>
      </c>
      <c r="P236">
        <f>$B$7*(O236-O235)*(1-AS235)</f>
        <v/>
      </c>
      <c r="Q236">
        <f>M236+0.51274*AT235</f>
        <v/>
      </c>
      <c r="R236">
        <f>N236+0.616*AT235</f>
        <v/>
      </c>
      <c r="S236">
        <f>IF($B$13&gt;=0.6,Q236,IF($B$13&lt;=0.2,R236,R236+2.5*(Q236-R236)*($B$13-0.2)))</f>
        <v/>
      </c>
      <c r="T236">
        <f>IF(A236=1,S236,T235*$B$27+S236*(1-$B$27))</f>
        <v/>
      </c>
      <c r="U236">
        <f>0.6105*EXP(17.27*T236/(T236+237.3))</f>
        <v/>
      </c>
      <c r="V236">
        <f>($B$14*(I236*C236+IF(ABS((D236+0.1)-D236)&lt;0.000000001,4*$B$19*$B$20*(D236+273)^3,$B$19*$B$20*(((D236+0.1)+273)^4-(D236+273)^4)/((D236+0.1)-D236))*D236)+T236/H236)/($B$14*(I236+IF(ABS((D236+0.1)-D236)&lt;0.000000001,4*$B$19*$B$20*(D236+273)^3,$B$19*$B$20*(((D236+0.1)+273)^4-(D236+273)^4)/((D236+0.1)-D236)))+1/H236)</f>
        <v/>
      </c>
      <c r="W236">
        <f>($B$14*(I236*C236+IF(ABS(V236-D236)&lt;0.000000001,4*$B$19*$B$20*(D236+273)^3,$B$19*$B$20*((V236+273)^4-(D236+273)^4)/(V236-D236))*D236)+T236/H236)/($B$14*(I236+IF(ABS(V236-D236)&lt;0.000000001,4*$B$19*$B$20*(D236+273)^3,$B$19*$B$20*((V236+273)^4-(D236+273)^4)/(V236-D236)))+1/H236)</f>
        <v/>
      </c>
      <c r="X236">
        <f>($B$14*(I236*C236+IF(ABS(W236-D236)&lt;0.000000001,4*$B$19*$B$20*(D236+273)^3,$B$19*$B$20*((W236+273)^4-(D236+273)^4)/(W236-D236))*D236)+T236/H236)/($B$14*(I236+IF(ABS(W236-D236)&lt;0.000000001,4*$B$19*$B$20*(D236+273)^3,$B$19*$B$20*((W236+273)^4-(D236+273)^4)/(W236-D236)))+1/H236)</f>
        <v/>
      </c>
      <c r="Y236">
        <f>($B$14*(I236*C236+IF(ABS(X236-D236)&lt;0.000000001,4*$B$19*$B$20*(D236+273)^3,$B$19*$B$20*((X236+273)^4-(D236+273)^4)/(X236-D236))*D236)+T236/H236)/($B$14*(I236+IF(ABS(X236-D236)&lt;0.000000001,4*$B$19*$B$20*(D236+273)^3,$B$19*$B$20*((X236+273)^4-(D236+273)^4)/(X236-D236)))+1/H236)</f>
        <v/>
      </c>
      <c r="Z236">
        <f>IF(ABS(Y236-D236)&lt;0.000000001,4*$B$19*$B$20*(D236+273)^3,$B$19*$B$20*((Y236+273)^4-(D236+273)^4)/(Y236-D236))</f>
        <v/>
      </c>
      <c r="AA236">
        <f>$B$14*I236*(Y236-C236)</f>
        <v/>
      </c>
      <c r="AB236">
        <f>$B$14*Z236*(Y236-D236)</f>
        <v/>
      </c>
      <c r="AC236">
        <f>IF((U236-E236)/G236=0,0.001,(U236-E236)/G236)</f>
        <v/>
      </c>
      <c r="AD236">
        <f>F236-P236-J236-K236-AA236-AB236</f>
        <v/>
      </c>
      <c r="AE236">
        <f>AD236/AC236</f>
        <v/>
      </c>
      <c r="AF236">
        <f>IF(AD236&lt;=0,0,IF(AC236&lt;=0,$B$11,IF(AE236&gt;=1.7,$B$11,MIN(AD236/MAX(0.05,IF(AE236&gt;1,(2-AE236)^2/2,1-AE236^2/2)),$B$11))))</f>
        <v/>
      </c>
      <c r="AG236">
        <f>AG235*$B$28+AF236*(1-$B$28)</f>
        <v/>
      </c>
      <c r="AH236">
        <f>IF(AND(AD236&gt;0,AC236&lt;=0),0,AC236)</f>
        <v/>
      </c>
      <c r="AI236">
        <f>AH236/MAX(AG236,0.000001)</f>
        <v/>
      </c>
      <c r="AJ236">
        <f>MIN(IF(AI236&gt;=0.5,-AI236+SQRT(AI236^2+2),1),$B$12)</f>
        <v/>
      </c>
      <c r="AK236">
        <f>IF(AG236&lt;=0,0,AJ236*AH236)</f>
        <v/>
      </c>
      <c r="AL236">
        <f>IF(AD236&lt;=0,0,AD236)</f>
        <v/>
      </c>
      <c r="AM236">
        <f>AL236-AK236+P236</f>
        <v/>
      </c>
      <c r="AN236">
        <f>((AM236/$B$7+T235*AS235/2-T236*MAX(0.1,MIN(0.3,0.3-0.09*(AR235-36.8)))/2)+AR235*(1-AS235/2))/(1-MAX(0.1,MIN(0.3,0.3-0.09*(AR235-36.8)))/2)</f>
        <v/>
      </c>
      <c r="AO236">
        <f>((AM236/$B$7+T235*AS235/2-T236*MAX(0.1,MIN(0.3,0.3-0.09*(AN236-36.8)))/2)+AR235*(1-AS235/2))/(1-MAX(0.1,MIN(0.3,0.3-0.09*(AN236-36.8)))/2)</f>
        <v/>
      </c>
      <c r="AP236">
        <f>((AM236/$B$7+T235*AS235/2-T236*MAX(0.1,MIN(0.3,0.3-0.09*(AO236-36.8)))/2)+AR235*(1-AS235/2))/(1-MAX(0.1,MIN(0.3,0.3-0.09*(AO236-36.8)))/2)</f>
        <v/>
      </c>
      <c r="AQ236">
        <f>((AM236/$B$7+T235*AS235/2-T236*MAX(0.1,MIN(0.3,0.3-0.09*(AP236-36.8)))/2)+AR235*(1-AS235/2))/(1-MAX(0.1,MIN(0.3,0.3-0.09*(AP236-36.8)))/2)</f>
        <v/>
      </c>
      <c r="AR236">
        <f>((AM236/$B$7+T235*AS235/2-T236*MAX(0.1,MIN(0.3,0.3-0.09*(AQ236-36.8)))/2)+AR235*(1-AS235/2))/(1-MAX(0.1,MIN(0.3,0.3-0.09*(AQ236-36.8)))/2)</f>
        <v/>
      </c>
      <c r="AS236">
        <f>MAX(0.1,MIN(0.3,0.3-0.09*(AR236-36.8)))</f>
        <v/>
      </c>
      <c r="AT236">
        <f>AT235+(2*AR236-1.962*AT235-1.31)/9</f>
        <v/>
      </c>
      <c r="AU236">
        <f>AU235+AG236+K236</f>
        <v/>
      </c>
      <c r="AV236">
        <f>AU236*2.67*$B$6/1.8/60</f>
        <v/>
      </c>
      <c r="AW236">
        <f>IF(AT236&gt;=$B$36,1,0)</f>
        <v/>
      </c>
      <c r="AX236">
        <f>IF(AV236&gt;=$B$21,1,0)</f>
        <v/>
      </c>
    </row>
    <row r="237">
      <c r="A237" t="n">
        <v>164</v>
      </c>
      <c r="B237">
        <f>MATCH(A237-1,$D$61:$D$68,1)</f>
        <v/>
      </c>
      <c r="C237">
        <f>INDEX($G$61:$G$68,B237)</f>
        <v/>
      </c>
      <c r="D237">
        <f>INDEX($L$61:$L$68,B237)</f>
        <v/>
      </c>
      <c r="E237">
        <f>INDEX($M$61:$M$68,B237)</f>
        <v/>
      </c>
      <c r="F237">
        <f>INDEX($N$61:$N$68,B237)</f>
        <v/>
      </c>
      <c r="G237">
        <f>INDEX($AA$61:$AA$68,B237)</f>
        <v/>
      </c>
      <c r="H237">
        <f>INDEX($X$61:$X$68,B237)</f>
        <v/>
      </c>
      <c r="I237">
        <f>INDEX($AF$61:$AF$68,B237)</f>
        <v/>
      </c>
      <c r="J237">
        <f>INDEX($AC$61:$AC$68,B237)</f>
        <v/>
      </c>
      <c r="K237">
        <f>INDEX($AD$61:$AD$68,B237)</f>
        <v/>
      </c>
      <c r="L237">
        <f>INDEX($AG$61:$AG$68,B237)</f>
        <v/>
      </c>
      <c r="M237">
        <f>INDEX($AH$61:$AH$68,B237)</f>
        <v/>
      </c>
      <c r="N237">
        <f>INDEX($AI$61:$AI$68,B237)</f>
        <v/>
      </c>
      <c r="O237">
        <f>O236*$B$26+L237*(1-$B$26)</f>
        <v/>
      </c>
      <c r="P237">
        <f>$B$7*(O237-O236)*(1-AS236)</f>
        <v/>
      </c>
      <c r="Q237">
        <f>M237+0.51274*AT236</f>
        <v/>
      </c>
      <c r="R237">
        <f>N237+0.616*AT236</f>
        <v/>
      </c>
      <c r="S237">
        <f>IF($B$13&gt;=0.6,Q237,IF($B$13&lt;=0.2,R237,R237+2.5*(Q237-R237)*($B$13-0.2)))</f>
        <v/>
      </c>
      <c r="T237">
        <f>IF(A237=1,S237,T236*$B$27+S237*(1-$B$27))</f>
        <v/>
      </c>
      <c r="U237">
        <f>0.6105*EXP(17.27*T237/(T237+237.3))</f>
        <v/>
      </c>
      <c r="V237">
        <f>($B$14*(I237*C237+IF(ABS((D237+0.1)-D237)&lt;0.000000001,4*$B$19*$B$20*(D237+273)^3,$B$19*$B$20*(((D237+0.1)+273)^4-(D237+273)^4)/((D237+0.1)-D237))*D237)+T237/H237)/($B$14*(I237+IF(ABS((D237+0.1)-D237)&lt;0.000000001,4*$B$19*$B$20*(D237+273)^3,$B$19*$B$20*(((D237+0.1)+273)^4-(D237+273)^4)/((D237+0.1)-D237)))+1/H237)</f>
        <v/>
      </c>
      <c r="W237">
        <f>($B$14*(I237*C237+IF(ABS(V237-D237)&lt;0.000000001,4*$B$19*$B$20*(D237+273)^3,$B$19*$B$20*((V237+273)^4-(D237+273)^4)/(V237-D237))*D237)+T237/H237)/($B$14*(I237+IF(ABS(V237-D237)&lt;0.000000001,4*$B$19*$B$20*(D237+273)^3,$B$19*$B$20*((V237+273)^4-(D237+273)^4)/(V237-D237)))+1/H237)</f>
        <v/>
      </c>
      <c r="X237">
        <f>($B$14*(I237*C237+IF(ABS(W237-D237)&lt;0.000000001,4*$B$19*$B$20*(D237+273)^3,$B$19*$B$20*((W237+273)^4-(D237+273)^4)/(W237-D237))*D237)+T237/H237)/($B$14*(I237+IF(ABS(W237-D237)&lt;0.000000001,4*$B$19*$B$20*(D237+273)^3,$B$19*$B$20*((W237+273)^4-(D237+273)^4)/(W237-D237)))+1/H237)</f>
        <v/>
      </c>
      <c r="Y237">
        <f>($B$14*(I237*C237+IF(ABS(X237-D237)&lt;0.000000001,4*$B$19*$B$20*(D237+273)^3,$B$19*$B$20*((X237+273)^4-(D237+273)^4)/(X237-D237))*D237)+T237/H237)/($B$14*(I237+IF(ABS(X237-D237)&lt;0.000000001,4*$B$19*$B$20*(D237+273)^3,$B$19*$B$20*((X237+273)^4-(D237+273)^4)/(X237-D237)))+1/H237)</f>
        <v/>
      </c>
      <c r="Z237">
        <f>IF(ABS(Y237-D237)&lt;0.000000001,4*$B$19*$B$20*(D237+273)^3,$B$19*$B$20*((Y237+273)^4-(D237+273)^4)/(Y237-D237))</f>
        <v/>
      </c>
      <c r="AA237">
        <f>$B$14*I237*(Y237-C237)</f>
        <v/>
      </c>
      <c r="AB237">
        <f>$B$14*Z237*(Y237-D237)</f>
        <v/>
      </c>
      <c r="AC237">
        <f>IF((U237-E237)/G237=0,0.001,(U237-E237)/G237)</f>
        <v/>
      </c>
      <c r="AD237">
        <f>F237-P237-J237-K237-AA237-AB237</f>
        <v/>
      </c>
      <c r="AE237">
        <f>AD237/AC237</f>
        <v/>
      </c>
      <c r="AF237">
        <f>IF(AD237&lt;=0,0,IF(AC237&lt;=0,$B$11,IF(AE237&gt;=1.7,$B$11,MIN(AD237/MAX(0.05,IF(AE237&gt;1,(2-AE237)^2/2,1-AE237^2/2)),$B$11))))</f>
        <v/>
      </c>
      <c r="AG237">
        <f>AG236*$B$28+AF237*(1-$B$28)</f>
        <v/>
      </c>
      <c r="AH237">
        <f>IF(AND(AD237&gt;0,AC237&lt;=0),0,AC237)</f>
        <v/>
      </c>
      <c r="AI237">
        <f>AH237/MAX(AG237,0.000001)</f>
        <v/>
      </c>
      <c r="AJ237">
        <f>MIN(IF(AI237&gt;=0.5,-AI237+SQRT(AI237^2+2),1),$B$12)</f>
        <v/>
      </c>
      <c r="AK237">
        <f>IF(AG237&lt;=0,0,AJ237*AH237)</f>
        <v/>
      </c>
      <c r="AL237">
        <f>IF(AD237&lt;=0,0,AD237)</f>
        <v/>
      </c>
      <c r="AM237">
        <f>AL237-AK237+P237</f>
        <v/>
      </c>
      <c r="AN237">
        <f>((AM237/$B$7+T236*AS236/2-T237*MAX(0.1,MIN(0.3,0.3-0.09*(AR236-36.8)))/2)+AR236*(1-AS236/2))/(1-MAX(0.1,MIN(0.3,0.3-0.09*(AR236-36.8)))/2)</f>
        <v/>
      </c>
      <c r="AO237">
        <f>((AM237/$B$7+T236*AS236/2-T237*MAX(0.1,MIN(0.3,0.3-0.09*(AN237-36.8)))/2)+AR236*(1-AS236/2))/(1-MAX(0.1,MIN(0.3,0.3-0.09*(AN237-36.8)))/2)</f>
        <v/>
      </c>
      <c r="AP237">
        <f>((AM237/$B$7+T236*AS236/2-T237*MAX(0.1,MIN(0.3,0.3-0.09*(AO237-36.8)))/2)+AR236*(1-AS236/2))/(1-MAX(0.1,MIN(0.3,0.3-0.09*(AO237-36.8)))/2)</f>
        <v/>
      </c>
      <c r="AQ237">
        <f>((AM237/$B$7+T236*AS236/2-T237*MAX(0.1,MIN(0.3,0.3-0.09*(AP237-36.8)))/2)+AR236*(1-AS236/2))/(1-MAX(0.1,MIN(0.3,0.3-0.09*(AP237-36.8)))/2)</f>
        <v/>
      </c>
      <c r="AR237">
        <f>((AM237/$B$7+T236*AS236/2-T237*MAX(0.1,MIN(0.3,0.3-0.09*(AQ237-36.8)))/2)+AR236*(1-AS236/2))/(1-MAX(0.1,MIN(0.3,0.3-0.09*(AQ237-36.8)))/2)</f>
        <v/>
      </c>
      <c r="AS237">
        <f>MAX(0.1,MIN(0.3,0.3-0.09*(AR237-36.8)))</f>
        <v/>
      </c>
      <c r="AT237">
        <f>AT236+(2*AR237-1.962*AT236-1.31)/9</f>
        <v/>
      </c>
      <c r="AU237">
        <f>AU236+AG237+K237</f>
        <v/>
      </c>
      <c r="AV237">
        <f>AU237*2.67*$B$6/1.8/60</f>
        <v/>
      </c>
      <c r="AW237">
        <f>IF(AT237&gt;=$B$36,1,0)</f>
        <v/>
      </c>
      <c r="AX237">
        <f>IF(AV237&gt;=$B$21,1,0)</f>
        <v/>
      </c>
    </row>
    <row r="238">
      <c r="A238" t="n">
        <v>165</v>
      </c>
      <c r="B238">
        <f>MATCH(A238-1,$D$61:$D$68,1)</f>
        <v/>
      </c>
      <c r="C238">
        <f>INDEX($G$61:$G$68,B238)</f>
        <v/>
      </c>
      <c r="D238">
        <f>INDEX($L$61:$L$68,B238)</f>
        <v/>
      </c>
      <c r="E238">
        <f>INDEX($M$61:$M$68,B238)</f>
        <v/>
      </c>
      <c r="F238">
        <f>INDEX($N$61:$N$68,B238)</f>
        <v/>
      </c>
      <c r="G238">
        <f>INDEX($AA$61:$AA$68,B238)</f>
        <v/>
      </c>
      <c r="H238">
        <f>INDEX($X$61:$X$68,B238)</f>
        <v/>
      </c>
      <c r="I238">
        <f>INDEX($AF$61:$AF$68,B238)</f>
        <v/>
      </c>
      <c r="J238">
        <f>INDEX($AC$61:$AC$68,B238)</f>
        <v/>
      </c>
      <c r="K238">
        <f>INDEX($AD$61:$AD$68,B238)</f>
        <v/>
      </c>
      <c r="L238">
        <f>INDEX($AG$61:$AG$68,B238)</f>
        <v/>
      </c>
      <c r="M238">
        <f>INDEX($AH$61:$AH$68,B238)</f>
        <v/>
      </c>
      <c r="N238">
        <f>INDEX($AI$61:$AI$68,B238)</f>
        <v/>
      </c>
      <c r="O238">
        <f>O237*$B$26+L238*(1-$B$26)</f>
        <v/>
      </c>
      <c r="P238">
        <f>$B$7*(O238-O237)*(1-AS237)</f>
        <v/>
      </c>
      <c r="Q238">
        <f>M238+0.51274*AT237</f>
        <v/>
      </c>
      <c r="R238">
        <f>N238+0.616*AT237</f>
        <v/>
      </c>
      <c r="S238">
        <f>IF($B$13&gt;=0.6,Q238,IF($B$13&lt;=0.2,R238,R238+2.5*(Q238-R238)*($B$13-0.2)))</f>
        <v/>
      </c>
      <c r="T238">
        <f>IF(A238=1,S238,T237*$B$27+S238*(1-$B$27))</f>
        <v/>
      </c>
      <c r="U238">
        <f>0.6105*EXP(17.27*T238/(T238+237.3))</f>
        <v/>
      </c>
      <c r="V238">
        <f>($B$14*(I238*C238+IF(ABS((D238+0.1)-D238)&lt;0.000000001,4*$B$19*$B$20*(D238+273)^3,$B$19*$B$20*(((D238+0.1)+273)^4-(D238+273)^4)/((D238+0.1)-D238))*D238)+T238/H238)/($B$14*(I238+IF(ABS((D238+0.1)-D238)&lt;0.000000001,4*$B$19*$B$20*(D238+273)^3,$B$19*$B$20*(((D238+0.1)+273)^4-(D238+273)^4)/((D238+0.1)-D238)))+1/H238)</f>
        <v/>
      </c>
      <c r="W238">
        <f>($B$14*(I238*C238+IF(ABS(V238-D238)&lt;0.000000001,4*$B$19*$B$20*(D238+273)^3,$B$19*$B$20*((V238+273)^4-(D238+273)^4)/(V238-D238))*D238)+T238/H238)/($B$14*(I238+IF(ABS(V238-D238)&lt;0.000000001,4*$B$19*$B$20*(D238+273)^3,$B$19*$B$20*((V238+273)^4-(D238+273)^4)/(V238-D238)))+1/H238)</f>
        <v/>
      </c>
      <c r="X238">
        <f>($B$14*(I238*C238+IF(ABS(W238-D238)&lt;0.000000001,4*$B$19*$B$20*(D238+273)^3,$B$19*$B$20*((W238+273)^4-(D238+273)^4)/(W238-D238))*D238)+T238/H238)/($B$14*(I238+IF(ABS(W238-D238)&lt;0.000000001,4*$B$19*$B$20*(D238+273)^3,$B$19*$B$20*((W238+273)^4-(D238+273)^4)/(W238-D238)))+1/H238)</f>
        <v/>
      </c>
      <c r="Y238">
        <f>($B$14*(I238*C238+IF(ABS(X238-D238)&lt;0.000000001,4*$B$19*$B$20*(D238+273)^3,$B$19*$B$20*((X238+273)^4-(D238+273)^4)/(X238-D238))*D238)+T238/H238)/($B$14*(I238+IF(ABS(X238-D238)&lt;0.000000001,4*$B$19*$B$20*(D238+273)^3,$B$19*$B$20*((X238+273)^4-(D238+273)^4)/(X238-D238)))+1/H238)</f>
        <v/>
      </c>
      <c r="Z238">
        <f>IF(ABS(Y238-D238)&lt;0.000000001,4*$B$19*$B$20*(D238+273)^3,$B$19*$B$20*((Y238+273)^4-(D238+273)^4)/(Y238-D238))</f>
        <v/>
      </c>
      <c r="AA238">
        <f>$B$14*I238*(Y238-C238)</f>
        <v/>
      </c>
      <c r="AB238">
        <f>$B$14*Z238*(Y238-D238)</f>
        <v/>
      </c>
      <c r="AC238">
        <f>IF((U238-E238)/G238=0,0.001,(U238-E238)/G238)</f>
        <v/>
      </c>
      <c r="AD238">
        <f>F238-P238-J238-K238-AA238-AB238</f>
        <v/>
      </c>
      <c r="AE238">
        <f>AD238/AC238</f>
        <v/>
      </c>
      <c r="AF238">
        <f>IF(AD238&lt;=0,0,IF(AC238&lt;=0,$B$11,IF(AE238&gt;=1.7,$B$11,MIN(AD238/MAX(0.05,IF(AE238&gt;1,(2-AE238)^2/2,1-AE238^2/2)),$B$11))))</f>
        <v/>
      </c>
      <c r="AG238">
        <f>AG237*$B$28+AF238*(1-$B$28)</f>
        <v/>
      </c>
      <c r="AH238">
        <f>IF(AND(AD238&gt;0,AC238&lt;=0),0,AC238)</f>
        <v/>
      </c>
      <c r="AI238">
        <f>AH238/MAX(AG238,0.000001)</f>
        <v/>
      </c>
      <c r="AJ238">
        <f>MIN(IF(AI238&gt;=0.5,-AI238+SQRT(AI238^2+2),1),$B$12)</f>
        <v/>
      </c>
      <c r="AK238">
        <f>IF(AG238&lt;=0,0,AJ238*AH238)</f>
        <v/>
      </c>
      <c r="AL238">
        <f>IF(AD238&lt;=0,0,AD238)</f>
        <v/>
      </c>
      <c r="AM238">
        <f>AL238-AK238+P238</f>
        <v/>
      </c>
      <c r="AN238">
        <f>((AM238/$B$7+T237*AS237/2-T238*MAX(0.1,MIN(0.3,0.3-0.09*(AR237-36.8)))/2)+AR237*(1-AS237/2))/(1-MAX(0.1,MIN(0.3,0.3-0.09*(AR237-36.8)))/2)</f>
        <v/>
      </c>
      <c r="AO238">
        <f>((AM238/$B$7+T237*AS237/2-T238*MAX(0.1,MIN(0.3,0.3-0.09*(AN238-36.8)))/2)+AR237*(1-AS237/2))/(1-MAX(0.1,MIN(0.3,0.3-0.09*(AN238-36.8)))/2)</f>
        <v/>
      </c>
      <c r="AP238">
        <f>((AM238/$B$7+T237*AS237/2-T238*MAX(0.1,MIN(0.3,0.3-0.09*(AO238-36.8)))/2)+AR237*(1-AS237/2))/(1-MAX(0.1,MIN(0.3,0.3-0.09*(AO238-36.8)))/2)</f>
        <v/>
      </c>
      <c r="AQ238">
        <f>((AM238/$B$7+T237*AS237/2-T238*MAX(0.1,MIN(0.3,0.3-0.09*(AP238-36.8)))/2)+AR237*(1-AS237/2))/(1-MAX(0.1,MIN(0.3,0.3-0.09*(AP238-36.8)))/2)</f>
        <v/>
      </c>
      <c r="AR238">
        <f>((AM238/$B$7+T237*AS237/2-T238*MAX(0.1,MIN(0.3,0.3-0.09*(AQ238-36.8)))/2)+AR237*(1-AS237/2))/(1-MAX(0.1,MIN(0.3,0.3-0.09*(AQ238-36.8)))/2)</f>
        <v/>
      </c>
      <c r="AS238">
        <f>MAX(0.1,MIN(0.3,0.3-0.09*(AR238-36.8)))</f>
        <v/>
      </c>
      <c r="AT238">
        <f>AT237+(2*AR238-1.962*AT237-1.31)/9</f>
        <v/>
      </c>
      <c r="AU238">
        <f>AU237+AG238+K238</f>
        <v/>
      </c>
      <c r="AV238">
        <f>AU238*2.67*$B$6/1.8/60</f>
        <v/>
      </c>
      <c r="AW238">
        <f>IF(AT238&gt;=$B$36,1,0)</f>
        <v/>
      </c>
      <c r="AX238">
        <f>IF(AV238&gt;=$B$21,1,0)</f>
        <v/>
      </c>
    </row>
    <row r="239">
      <c r="A239" t="n">
        <v>166</v>
      </c>
      <c r="B239">
        <f>MATCH(A239-1,$D$61:$D$68,1)</f>
        <v/>
      </c>
      <c r="C239">
        <f>INDEX($G$61:$G$68,B239)</f>
        <v/>
      </c>
      <c r="D239">
        <f>INDEX($L$61:$L$68,B239)</f>
        <v/>
      </c>
      <c r="E239">
        <f>INDEX($M$61:$M$68,B239)</f>
        <v/>
      </c>
      <c r="F239">
        <f>INDEX($N$61:$N$68,B239)</f>
        <v/>
      </c>
      <c r="G239">
        <f>INDEX($AA$61:$AA$68,B239)</f>
        <v/>
      </c>
      <c r="H239">
        <f>INDEX($X$61:$X$68,B239)</f>
        <v/>
      </c>
      <c r="I239">
        <f>INDEX($AF$61:$AF$68,B239)</f>
        <v/>
      </c>
      <c r="J239">
        <f>INDEX($AC$61:$AC$68,B239)</f>
        <v/>
      </c>
      <c r="K239">
        <f>INDEX($AD$61:$AD$68,B239)</f>
        <v/>
      </c>
      <c r="L239">
        <f>INDEX($AG$61:$AG$68,B239)</f>
        <v/>
      </c>
      <c r="M239">
        <f>INDEX($AH$61:$AH$68,B239)</f>
        <v/>
      </c>
      <c r="N239">
        <f>INDEX($AI$61:$AI$68,B239)</f>
        <v/>
      </c>
      <c r="O239">
        <f>O238*$B$26+L239*(1-$B$26)</f>
        <v/>
      </c>
      <c r="P239">
        <f>$B$7*(O239-O238)*(1-AS238)</f>
        <v/>
      </c>
      <c r="Q239">
        <f>M239+0.51274*AT238</f>
        <v/>
      </c>
      <c r="R239">
        <f>N239+0.616*AT238</f>
        <v/>
      </c>
      <c r="S239">
        <f>IF($B$13&gt;=0.6,Q239,IF($B$13&lt;=0.2,R239,R239+2.5*(Q239-R239)*($B$13-0.2)))</f>
        <v/>
      </c>
      <c r="T239">
        <f>IF(A239=1,S239,T238*$B$27+S239*(1-$B$27))</f>
        <v/>
      </c>
      <c r="U239">
        <f>0.6105*EXP(17.27*T239/(T239+237.3))</f>
        <v/>
      </c>
      <c r="V239">
        <f>($B$14*(I239*C239+IF(ABS((D239+0.1)-D239)&lt;0.000000001,4*$B$19*$B$20*(D239+273)^3,$B$19*$B$20*(((D239+0.1)+273)^4-(D239+273)^4)/((D239+0.1)-D239))*D239)+T239/H239)/($B$14*(I239+IF(ABS((D239+0.1)-D239)&lt;0.000000001,4*$B$19*$B$20*(D239+273)^3,$B$19*$B$20*(((D239+0.1)+273)^4-(D239+273)^4)/((D239+0.1)-D239)))+1/H239)</f>
        <v/>
      </c>
      <c r="W239">
        <f>($B$14*(I239*C239+IF(ABS(V239-D239)&lt;0.000000001,4*$B$19*$B$20*(D239+273)^3,$B$19*$B$20*((V239+273)^4-(D239+273)^4)/(V239-D239))*D239)+T239/H239)/($B$14*(I239+IF(ABS(V239-D239)&lt;0.000000001,4*$B$19*$B$20*(D239+273)^3,$B$19*$B$20*((V239+273)^4-(D239+273)^4)/(V239-D239)))+1/H239)</f>
        <v/>
      </c>
      <c r="X239">
        <f>($B$14*(I239*C239+IF(ABS(W239-D239)&lt;0.000000001,4*$B$19*$B$20*(D239+273)^3,$B$19*$B$20*((W239+273)^4-(D239+273)^4)/(W239-D239))*D239)+T239/H239)/($B$14*(I239+IF(ABS(W239-D239)&lt;0.000000001,4*$B$19*$B$20*(D239+273)^3,$B$19*$B$20*((W239+273)^4-(D239+273)^4)/(W239-D239)))+1/H239)</f>
        <v/>
      </c>
      <c r="Y239">
        <f>($B$14*(I239*C239+IF(ABS(X239-D239)&lt;0.000000001,4*$B$19*$B$20*(D239+273)^3,$B$19*$B$20*((X239+273)^4-(D239+273)^4)/(X239-D239))*D239)+T239/H239)/($B$14*(I239+IF(ABS(X239-D239)&lt;0.000000001,4*$B$19*$B$20*(D239+273)^3,$B$19*$B$20*((X239+273)^4-(D239+273)^4)/(X239-D239)))+1/H239)</f>
        <v/>
      </c>
      <c r="Z239">
        <f>IF(ABS(Y239-D239)&lt;0.000000001,4*$B$19*$B$20*(D239+273)^3,$B$19*$B$20*((Y239+273)^4-(D239+273)^4)/(Y239-D239))</f>
        <v/>
      </c>
      <c r="AA239">
        <f>$B$14*I239*(Y239-C239)</f>
        <v/>
      </c>
      <c r="AB239">
        <f>$B$14*Z239*(Y239-D239)</f>
        <v/>
      </c>
      <c r="AC239">
        <f>IF((U239-E239)/G239=0,0.001,(U239-E239)/G239)</f>
        <v/>
      </c>
      <c r="AD239">
        <f>F239-P239-J239-K239-AA239-AB239</f>
        <v/>
      </c>
      <c r="AE239">
        <f>AD239/AC239</f>
        <v/>
      </c>
      <c r="AF239">
        <f>IF(AD239&lt;=0,0,IF(AC239&lt;=0,$B$11,IF(AE239&gt;=1.7,$B$11,MIN(AD239/MAX(0.05,IF(AE239&gt;1,(2-AE239)^2/2,1-AE239^2/2)),$B$11))))</f>
        <v/>
      </c>
      <c r="AG239">
        <f>AG238*$B$28+AF239*(1-$B$28)</f>
        <v/>
      </c>
      <c r="AH239">
        <f>IF(AND(AD239&gt;0,AC239&lt;=0),0,AC239)</f>
        <v/>
      </c>
      <c r="AI239">
        <f>AH239/MAX(AG239,0.000001)</f>
        <v/>
      </c>
      <c r="AJ239">
        <f>MIN(IF(AI239&gt;=0.5,-AI239+SQRT(AI239^2+2),1),$B$12)</f>
        <v/>
      </c>
      <c r="AK239">
        <f>IF(AG239&lt;=0,0,AJ239*AH239)</f>
        <v/>
      </c>
      <c r="AL239">
        <f>IF(AD239&lt;=0,0,AD239)</f>
        <v/>
      </c>
      <c r="AM239">
        <f>AL239-AK239+P239</f>
        <v/>
      </c>
      <c r="AN239">
        <f>((AM239/$B$7+T238*AS238/2-T239*MAX(0.1,MIN(0.3,0.3-0.09*(AR238-36.8)))/2)+AR238*(1-AS238/2))/(1-MAX(0.1,MIN(0.3,0.3-0.09*(AR238-36.8)))/2)</f>
        <v/>
      </c>
      <c r="AO239">
        <f>((AM239/$B$7+T238*AS238/2-T239*MAX(0.1,MIN(0.3,0.3-0.09*(AN239-36.8)))/2)+AR238*(1-AS238/2))/(1-MAX(0.1,MIN(0.3,0.3-0.09*(AN239-36.8)))/2)</f>
        <v/>
      </c>
      <c r="AP239">
        <f>((AM239/$B$7+T238*AS238/2-T239*MAX(0.1,MIN(0.3,0.3-0.09*(AO239-36.8)))/2)+AR238*(1-AS238/2))/(1-MAX(0.1,MIN(0.3,0.3-0.09*(AO239-36.8)))/2)</f>
        <v/>
      </c>
      <c r="AQ239">
        <f>((AM239/$B$7+T238*AS238/2-T239*MAX(0.1,MIN(0.3,0.3-0.09*(AP239-36.8)))/2)+AR238*(1-AS238/2))/(1-MAX(0.1,MIN(0.3,0.3-0.09*(AP239-36.8)))/2)</f>
        <v/>
      </c>
      <c r="AR239">
        <f>((AM239/$B$7+T238*AS238/2-T239*MAX(0.1,MIN(0.3,0.3-0.09*(AQ239-36.8)))/2)+AR238*(1-AS238/2))/(1-MAX(0.1,MIN(0.3,0.3-0.09*(AQ239-36.8)))/2)</f>
        <v/>
      </c>
      <c r="AS239">
        <f>MAX(0.1,MIN(0.3,0.3-0.09*(AR239-36.8)))</f>
        <v/>
      </c>
      <c r="AT239">
        <f>AT238+(2*AR239-1.962*AT238-1.31)/9</f>
        <v/>
      </c>
      <c r="AU239">
        <f>AU238+AG239+K239</f>
        <v/>
      </c>
      <c r="AV239">
        <f>AU239*2.67*$B$6/1.8/60</f>
        <v/>
      </c>
      <c r="AW239">
        <f>IF(AT239&gt;=$B$36,1,0)</f>
        <v/>
      </c>
      <c r="AX239">
        <f>IF(AV239&gt;=$B$21,1,0)</f>
        <v/>
      </c>
    </row>
    <row r="240">
      <c r="A240" t="n">
        <v>167</v>
      </c>
      <c r="B240">
        <f>MATCH(A240-1,$D$61:$D$68,1)</f>
        <v/>
      </c>
      <c r="C240">
        <f>INDEX($G$61:$G$68,B240)</f>
        <v/>
      </c>
      <c r="D240">
        <f>INDEX($L$61:$L$68,B240)</f>
        <v/>
      </c>
      <c r="E240">
        <f>INDEX($M$61:$M$68,B240)</f>
        <v/>
      </c>
      <c r="F240">
        <f>INDEX($N$61:$N$68,B240)</f>
        <v/>
      </c>
      <c r="G240">
        <f>INDEX($AA$61:$AA$68,B240)</f>
        <v/>
      </c>
      <c r="H240">
        <f>INDEX($X$61:$X$68,B240)</f>
        <v/>
      </c>
      <c r="I240">
        <f>INDEX($AF$61:$AF$68,B240)</f>
        <v/>
      </c>
      <c r="J240">
        <f>INDEX($AC$61:$AC$68,B240)</f>
        <v/>
      </c>
      <c r="K240">
        <f>INDEX($AD$61:$AD$68,B240)</f>
        <v/>
      </c>
      <c r="L240">
        <f>INDEX($AG$61:$AG$68,B240)</f>
        <v/>
      </c>
      <c r="M240">
        <f>INDEX($AH$61:$AH$68,B240)</f>
        <v/>
      </c>
      <c r="N240">
        <f>INDEX($AI$61:$AI$68,B240)</f>
        <v/>
      </c>
      <c r="O240">
        <f>O239*$B$26+L240*(1-$B$26)</f>
        <v/>
      </c>
      <c r="P240">
        <f>$B$7*(O240-O239)*(1-AS239)</f>
        <v/>
      </c>
      <c r="Q240">
        <f>M240+0.51274*AT239</f>
        <v/>
      </c>
      <c r="R240">
        <f>N240+0.616*AT239</f>
        <v/>
      </c>
      <c r="S240">
        <f>IF($B$13&gt;=0.6,Q240,IF($B$13&lt;=0.2,R240,R240+2.5*(Q240-R240)*($B$13-0.2)))</f>
        <v/>
      </c>
      <c r="T240">
        <f>IF(A240=1,S240,T239*$B$27+S240*(1-$B$27))</f>
        <v/>
      </c>
      <c r="U240">
        <f>0.6105*EXP(17.27*T240/(T240+237.3))</f>
        <v/>
      </c>
      <c r="V240">
        <f>($B$14*(I240*C240+IF(ABS((D240+0.1)-D240)&lt;0.000000001,4*$B$19*$B$20*(D240+273)^3,$B$19*$B$20*(((D240+0.1)+273)^4-(D240+273)^4)/((D240+0.1)-D240))*D240)+T240/H240)/($B$14*(I240+IF(ABS((D240+0.1)-D240)&lt;0.000000001,4*$B$19*$B$20*(D240+273)^3,$B$19*$B$20*(((D240+0.1)+273)^4-(D240+273)^4)/((D240+0.1)-D240)))+1/H240)</f>
        <v/>
      </c>
      <c r="W240">
        <f>($B$14*(I240*C240+IF(ABS(V240-D240)&lt;0.000000001,4*$B$19*$B$20*(D240+273)^3,$B$19*$B$20*((V240+273)^4-(D240+273)^4)/(V240-D240))*D240)+T240/H240)/($B$14*(I240+IF(ABS(V240-D240)&lt;0.000000001,4*$B$19*$B$20*(D240+273)^3,$B$19*$B$20*((V240+273)^4-(D240+273)^4)/(V240-D240)))+1/H240)</f>
        <v/>
      </c>
      <c r="X240">
        <f>($B$14*(I240*C240+IF(ABS(W240-D240)&lt;0.000000001,4*$B$19*$B$20*(D240+273)^3,$B$19*$B$20*((W240+273)^4-(D240+273)^4)/(W240-D240))*D240)+T240/H240)/($B$14*(I240+IF(ABS(W240-D240)&lt;0.000000001,4*$B$19*$B$20*(D240+273)^3,$B$19*$B$20*((W240+273)^4-(D240+273)^4)/(W240-D240)))+1/H240)</f>
        <v/>
      </c>
      <c r="Y240">
        <f>($B$14*(I240*C240+IF(ABS(X240-D240)&lt;0.000000001,4*$B$19*$B$20*(D240+273)^3,$B$19*$B$20*((X240+273)^4-(D240+273)^4)/(X240-D240))*D240)+T240/H240)/($B$14*(I240+IF(ABS(X240-D240)&lt;0.000000001,4*$B$19*$B$20*(D240+273)^3,$B$19*$B$20*((X240+273)^4-(D240+273)^4)/(X240-D240)))+1/H240)</f>
        <v/>
      </c>
      <c r="Z240">
        <f>IF(ABS(Y240-D240)&lt;0.000000001,4*$B$19*$B$20*(D240+273)^3,$B$19*$B$20*((Y240+273)^4-(D240+273)^4)/(Y240-D240))</f>
        <v/>
      </c>
      <c r="AA240">
        <f>$B$14*I240*(Y240-C240)</f>
        <v/>
      </c>
      <c r="AB240">
        <f>$B$14*Z240*(Y240-D240)</f>
        <v/>
      </c>
      <c r="AC240">
        <f>IF((U240-E240)/G240=0,0.001,(U240-E240)/G240)</f>
        <v/>
      </c>
      <c r="AD240">
        <f>F240-P240-J240-K240-AA240-AB240</f>
        <v/>
      </c>
      <c r="AE240">
        <f>AD240/AC240</f>
        <v/>
      </c>
      <c r="AF240">
        <f>IF(AD240&lt;=0,0,IF(AC240&lt;=0,$B$11,IF(AE240&gt;=1.7,$B$11,MIN(AD240/MAX(0.05,IF(AE240&gt;1,(2-AE240)^2/2,1-AE240^2/2)),$B$11))))</f>
        <v/>
      </c>
      <c r="AG240">
        <f>AG239*$B$28+AF240*(1-$B$28)</f>
        <v/>
      </c>
      <c r="AH240">
        <f>IF(AND(AD240&gt;0,AC240&lt;=0),0,AC240)</f>
        <v/>
      </c>
      <c r="AI240">
        <f>AH240/MAX(AG240,0.000001)</f>
        <v/>
      </c>
      <c r="AJ240">
        <f>MIN(IF(AI240&gt;=0.5,-AI240+SQRT(AI240^2+2),1),$B$12)</f>
        <v/>
      </c>
      <c r="AK240">
        <f>IF(AG240&lt;=0,0,AJ240*AH240)</f>
        <v/>
      </c>
      <c r="AL240">
        <f>IF(AD240&lt;=0,0,AD240)</f>
        <v/>
      </c>
      <c r="AM240">
        <f>AL240-AK240+P240</f>
        <v/>
      </c>
      <c r="AN240">
        <f>((AM240/$B$7+T239*AS239/2-T240*MAX(0.1,MIN(0.3,0.3-0.09*(AR239-36.8)))/2)+AR239*(1-AS239/2))/(1-MAX(0.1,MIN(0.3,0.3-0.09*(AR239-36.8)))/2)</f>
        <v/>
      </c>
      <c r="AO240">
        <f>((AM240/$B$7+T239*AS239/2-T240*MAX(0.1,MIN(0.3,0.3-0.09*(AN240-36.8)))/2)+AR239*(1-AS239/2))/(1-MAX(0.1,MIN(0.3,0.3-0.09*(AN240-36.8)))/2)</f>
        <v/>
      </c>
      <c r="AP240">
        <f>((AM240/$B$7+T239*AS239/2-T240*MAX(0.1,MIN(0.3,0.3-0.09*(AO240-36.8)))/2)+AR239*(1-AS239/2))/(1-MAX(0.1,MIN(0.3,0.3-0.09*(AO240-36.8)))/2)</f>
        <v/>
      </c>
      <c r="AQ240">
        <f>((AM240/$B$7+T239*AS239/2-T240*MAX(0.1,MIN(0.3,0.3-0.09*(AP240-36.8)))/2)+AR239*(1-AS239/2))/(1-MAX(0.1,MIN(0.3,0.3-0.09*(AP240-36.8)))/2)</f>
        <v/>
      </c>
      <c r="AR240">
        <f>((AM240/$B$7+T239*AS239/2-T240*MAX(0.1,MIN(0.3,0.3-0.09*(AQ240-36.8)))/2)+AR239*(1-AS239/2))/(1-MAX(0.1,MIN(0.3,0.3-0.09*(AQ240-36.8)))/2)</f>
        <v/>
      </c>
      <c r="AS240">
        <f>MAX(0.1,MIN(0.3,0.3-0.09*(AR240-36.8)))</f>
        <v/>
      </c>
      <c r="AT240">
        <f>AT239+(2*AR240-1.962*AT239-1.31)/9</f>
        <v/>
      </c>
      <c r="AU240">
        <f>AU239+AG240+K240</f>
        <v/>
      </c>
      <c r="AV240">
        <f>AU240*2.67*$B$6/1.8/60</f>
        <v/>
      </c>
      <c r="AW240">
        <f>IF(AT240&gt;=$B$36,1,0)</f>
        <v/>
      </c>
      <c r="AX240">
        <f>IF(AV240&gt;=$B$21,1,0)</f>
        <v/>
      </c>
    </row>
    <row r="241">
      <c r="A241" t="n">
        <v>168</v>
      </c>
      <c r="B241">
        <f>MATCH(A241-1,$D$61:$D$68,1)</f>
        <v/>
      </c>
      <c r="C241">
        <f>INDEX($G$61:$G$68,B241)</f>
        <v/>
      </c>
      <c r="D241">
        <f>INDEX($L$61:$L$68,B241)</f>
        <v/>
      </c>
      <c r="E241">
        <f>INDEX($M$61:$M$68,B241)</f>
        <v/>
      </c>
      <c r="F241">
        <f>INDEX($N$61:$N$68,B241)</f>
        <v/>
      </c>
      <c r="G241">
        <f>INDEX($AA$61:$AA$68,B241)</f>
        <v/>
      </c>
      <c r="H241">
        <f>INDEX($X$61:$X$68,B241)</f>
        <v/>
      </c>
      <c r="I241">
        <f>INDEX($AF$61:$AF$68,B241)</f>
        <v/>
      </c>
      <c r="J241">
        <f>INDEX($AC$61:$AC$68,B241)</f>
        <v/>
      </c>
      <c r="K241">
        <f>INDEX($AD$61:$AD$68,B241)</f>
        <v/>
      </c>
      <c r="L241">
        <f>INDEX($AG$61:$AG$68,B241)</f>
        <v/>
      </c>
      <c r="M241">
        <f>INDEX($AH$61:$AH$68,B241)</f>
        <v/>
      </c>
      <c r="N241">
        <f>INDEX($AI$61:$AI$68,B241)</f>
        <v/>
      </c>
      <c r="O241">
        <f>O240*$B$26+L241*(1-$B$26)</f>
        <v/>
      </c>
      <c r="P241">
        <f>$B$7*(O241-O240)*(1-AS240)</f>
        <v/>
      </c>
      <c r="Q241">
        <f>M241+0.51274*AT240</f>
        <v/>
      </c>
      <c r="R241">
        <f>N241+0.616*AT240</f>
        <v/>
      </c>
      <c r="S241">
        <f>IF($B$13&gt;=0.6,Q241,IF($B$13&lt;=0.2,R241,R241+2.5*(Q241-R241)*($B$13-0.2)))</f>
        <v/>
      </c>
      <c r="T241">
        <f>IF(A241=1,S241,T240*$B$27+S241*(1-$B$27))</f>
        <v/>
      </c>
      <c r="U241">
        <f>0.6105*EXP(17.27*T241/(T241+237.3))</f>
        <v/>
      </c>
      <c r="V241">
        <f>($B$14*(I241*C241+IF(ABS((D241+0.1)-D241)&lt;0.000000001,4*$B$19*$B$20*(D241+273)^3,$B$19*$B$20*(((D241+0.1)+273)^4-(D241+273)^4)/((D241+0.1)-D241))*D241)+T241/H241)/($B$14*(I241+IF(ABS((D241+0.1)-D241)&lt;0.000000001,4*$B$19*$B$20*(D241+273)^3,$B$19*$B$20*(((D241+0.1)+273)^4-(D241+273)^4)/((D241+0.1)-D241)))+1/H241)</f>
        <v/>
      </c>
      <c r="W241">
        <f>($B$14*(I241*C241+IF(ABS(V241-D241)&lt;0.000000001,4*$B$19*$B$20*(D241+273)^3,$B$19*$B$20*((V241+273)^4-(D241+273)^4)/(V241-D241))*D241)+T241/H241)/($B$14*(I241+IF(ABS(V241-D241)&lt;0.000000001,4*$B$19*$B$20*(D241+273)^3,$B$19*$B$20*((V241+273)^4-(D241+273)^4)/(V241-D241)))+1/H241)</f>
        <v/>
      </c>
      <c r="X241">
        <f>($B$14*(I241*C241+IF(ABS(W241-D241)&lt;0.000000001,4*$B$19*$B$20*(D241+273)^3,$B$19*$B$20*((W241+273)^4-(D241+273)^4)/(W241-D241))*D241)+T241/H241)/($B$14*(I241+IF(ABS(W241-D241)&lt;0.000000001,4*$B$19*$B$20*(D241+273)^3,$B$19*$B$20*((W241+273)^4-(D241+273)^4)/(W241-D241)))+1/H241)</f>
        <v/>
      </c>
      <c r="Y241">
        <f>($B$14*(I241*C241+IF(ABS(X241-D241)&lt;0.000000001,4*$B$19*$B$20*(D241+273)^3,$B$19*$B$20*((X241+273)^4-(D241+273)^4)/(X241-D241))*D241)+T241/H241)/($B$14*(I241+IF(ABS(X241-D241)&lt;0.000000001,4*$B$19*$B$20*(D241+273)^3,$B$19*$B$20*((X241+273)^4-(D241+273)^4)/(X241-D241)))+1/H241)</f>
        <v/>
      </c>
      <c r="Z241">
        <f>IF(ABS(Y241-D241)&lt;0.000000001,4*$B$19*$B$20*(D241+273)^3,$B$19*$B$20*((Y241+273)^4-(D241+273)^4)/(Y241-D241))</f>
        <v/>
      </c>
      <c r="AA241">
        <f>$B$14*I241*(Y241-C241)</f>
        <v/>
      </c>
      <c r="AB241">
        <f>$B$14*Z241*(Y241-D241)</f>
        <v/>
      </c>
      <c r="AC241">
        <f>IF((U241-E241)/G241=0,0.001,(U241-E241)/G241)</f>
        <v/>
      </c>
      <c r="AD241">
        <f>F241-P241-J241-K241-AA241-AB241</f>
        <v/>
      </c>
      <c r="AE241">
        <f>AD241/AC241</f>
        <v/>
      </c>
      <c r="AF241">
        <f>IF(AD241&lt;=0,0,IF(AC241&lt;=0,$B$11,IF(AE241&gt;=1.7,$B$11,MIN(AD241/MAX(0.05,IF(AE241&gt;1,(2-AE241)^2/2,1-AE241^2/2)),$B$11))))</f>
        <v/>
      </c>
      <c r="AG241">
        <f>AG240*$B$28+AF241*(1-$B$28)</f>
        <v/>
      </c>
      <c r="AH241">
        <f>IF(AND(AD241&gt;0,AC241&lt;=0),0,AC241)</f>
        <v/>
      </c>
      <c r="AI241">
        <f>AH241/MAX(AG241,0.000001)</f>
        <v/>
      </c>
      <c r="AJ241">
        <f>MIN(IF(AI241&gt;=0.5,-AI241+SQRT(AI241^2+2),1),$B$12)</f>
        <v/>
      </c>
      <c r="AK241">
        <f>IF(AG241&lt;=0,0,AJ241*AH241)</f>
        <v/>
      </c>
      <c r="AL241">
        <f>IF(AD241&lt;=0,0,AD241)</f>
        <v/>
      </c>
      <c r="AM241">
        <f>AL241-AK241+P241</f>
        <v/>
      </c>
      <c r="AN241">
        <f>((AM241/$B$7+T240*AS240/2-T241*MAX(0.1,MIN(0.3,0.3-0.09*(AR240-36.8)))/2)+AR240*(1-AS240/2))/(1-MAX(0.1,MIN(0.3,0.3-0.09*(AR240-36.8)))/2)</f>
        <v/>
      </c>
      <c r="AO241">
        <f>((AM241/$B$7+T240*AS240/2-T241*MAX(0.1,MIN(0.3,0.3-0.09*(AN241-36.8)))/2)+AR240*(1-AS240/2))/(1-MAX(0.1,MIN(0.3,0.3-0.09*(AN241-36.8)))/2)</f>
        <v/>
      </c>
      <c r="AP241">
        <f>((AM241/$B$7+T240*AS240/2-T241*MAX(0.1,MIN(0.3,0.3-0.09*(AO241-36.8)))/2)+AR240*(1-AS240/2))/(1-MAX(0.1,MIN(0.3,0.3-0.09*(AO241-36.8)))/2)</f>
        <v/>
      </c>
      <c r="AQ241">
        <f>((AM241/$B$7+T240*AS240/2-T241*MAX(0.1,MIN(0.3,0.3-0.09*(AP241-36.8)))/2)+AR240*(1-AS240/2))/(1-MAX(0.1,MIN(0.3,0.3-0.09*(AP241-36.8)))/2)</f>
        <v/>
      </c>
      <c r="AR241">
        <f>((AM241/$B$7+T240*AS240/2-T241*MAX(0.1,MIN(0.3,0.3-0.09*(AQ241-36.8)))/2)+AR240*(1-AS240/2))/(1-MAX(0.1,MIN(0.3,0.3-0.09*(AQ241-36.8)))/2)</f>
        <v/>
      </c>
      <c r="AS241">
        <f>MAX(0.1,MIN(0.3,0.3-0.09*(AR241-36.8)))</f>
        <v/>
      </c>
      <c r="AT241">
        <f>AT240+(2*AR241-1.962*AT240-1.31)/9</f>
        <v/>
      </c>
      <c r="AU241">
        <f>AU240+AG241+K241</f>
        <v/>
      </c>
      <c r="AV241">
        <f>AU241*2.67*$B$6/1.8/60</f>
        <v/>
      </c>
      <c r="AW241">
        <f>IF(AT241&gt;=$B$36,1,0)</f>
        <v/>
      </c>
      <c r="AX241">
        <f>IF(AV241&gt;=$B$21,1,0)</f>
        <v/>
      </c>
    </row>
    <row r="242">
      <c r="A242" t="n">
        <v>169</v>
      </c>
      <c r="B242">
        <f>MATCH(A242-1,$D$61:$D$68,1)</f>
        <v/>
      </c>
      <c r="C242">
        <f>INDEX($G$61:$G$68,B242)</f>
        <v/>
      </c>
      <c r="D242">
        <f>INDEX($L$61:$L$68,B242)</f>
        <v/>
      </c>
      <c r="E242">
        <f>INDEX($M$61:$M$68,B242)</f>
        <v/>
      </c>
      <c r="F242">
        <f>INDEX($N$61:$N$68,B242)</f>
        <v/>
      </c>
      <c r="G242">
        <f>INDEX($AA$61:$AA$68,B242)</f>
        <v/>
      </c>
      <c r="H242">
        <f>INDEX($X$61:$X$68,B242)</f>
        <v/>
      </c>
      <c r="I242">
        <f>INDEX($AF$61:$AF$68,B242)</f>
        <v/>
      </c>
      <c r="J242">
        <f>INDEX($AC$61:$AC$68,B242)</f>
        <v/>
      </c>
      <c r="K242">
        <f>INDEX($AD$61:$AD$68,B242)</f>
        <v/>
      </c>
      <c r="L242">
        <f>INDEX($AG$61:$AG$68,B242)</f>
        <v/>
      </c>
      <c r="M242">
        <f>INDEX($AH$61:$AH$68,B242)</f>
        <v/>
      </c>
      <c r="N242">
        <f>INDEX($AI$61:$AI$68,B242)</f>
        <v/>
      </c>
      <c r="O242">
        <f>O241*$B$26+L242*(1-$B$26)</f>
        <v/>
      </c>
      <c r="P242">
        <f>$B$7*(O242-O241)*(1-AS241)</f>
        <v/>
      </c>
      <c r="Q242">
        <f>M242+0.51274*AT241</f>
        <v/>
      </c>
      <c r="R242">
        <f>N242+0.616*AT241</f>
        <v/>
      </c>
      <c r="S242">
        <f>IF($B$13&gt;=0.6,Q242,IF($B$13&lt;=0.2,R242,R242+2.5*(Q242-R242)*($B$13-0.2)))</f>
        <v/>
      </c>
      <c r="T242">
        <f>IF(A242=1,S242,T241*$B$27+S242*(1-$B$27))</f>
        <v/>
      </c>
      <c r="U242">
        <f>0.6105*EXP(17.27*T242/(T242+237.3))</f>
        <v/>
      </c>
      <c r="V242">
        <f>($B$14*(I242*C242+IF(ABS((D242+0.1)-D242)&lt;0.000000001,4*$B$19*$B$20*(D242+273)^3,$B$19*$B$20*(((D242+0.1)+273)^4-(D242+273)^4)/((D242+0.1)-D242))*D242)+T242/H242)/($B$14*(I242+IF(ABS((D242+0.1)-D242)&lt;0.000000001,4*$B$19*$B$20*(D242+273)^3,$B$19*$B$20*(((D242+0.1)+273)^4-(D242+273)^4)/((D242+0.1)-D242)))+1/H242)</f>
        <v/>
      </c>
      <c r="W242">
        <f>($B$14*(I242*C242+IF(ABS(V242-D242)&lt;0.000000001,4*$B$19*$B$20*(D242+273)^3,$B$19*$B$20*((V242+273)^4-(D242+273)^4)/(V242-D242))*D242)+T242/H242)/($B$14*(I242+IF(ABS(V242-D242)&lt;0.000000001,4*$B$19*$B$20*(D242+273)^3,$B$19*$B$20*((V242+273)^4-(D242+273)^4)/(V242-D242)))+1/H242)</f>
        <v/>
      </c>
      <c r="X242">
        <f>($B$14*(I242*C242+IF(ABS(W242-D242)&lt;0.000000001,4*$B$19*$B$20*(D242+273)^3,$B$19*$B$20*((W242+273)^4-(D242+273)^4)/(W242-D242))*D242)+T242/H242)/($B$14*(I242+IF(ABS(W242-D242)&lt;0.000000001,4*$B$19*$B$20*(D242+273)^3,$B$19*$B$20*((W242+273)^4-(D242+273)^4)/(W242-D242)))+1/H242)</f>
        <v/>
      </c>
      <c r="Y242">
        <f>($B$14*(I242*C242+IF(ABS(X242-D242)&lt;0.000000001,4*$B$19*$B$20*(D242+273)^3,$B$19*$B$20*((X242+273)^4-(D242+273)^4)/(X242-D242))*D242)+T242/H242)/($B$14*(I242+IF(ABS(X242-D242)&lt;0.000000001,4*$B$19*$B$20*(D242+273)^3,$B$19*$B$20*((X242+273)^4-(D242+273)^4)/(X242-D242)))+1/H242)</f>
        <v/>
      </c>
      <c r="Z242">
        <f>IF(ABS(Y242-D242)&lt;0.000000001,4*$B$19*$B$20*(D242+273)^3,$B$19*$B$20*((Y242+273)^4-(D242+273)^4)/(Y242-D242))</f>
        <v/>
      </c>
      <c r="AA242">
        <f>$B$14*I242*(Y242-C242)</f>
        <v/>
      </c>
      <c r="AB242">
        <f>$B$14*Z242*(Y242-D242)</f>
        <v/>
      </c>
      <c r="AC242">
        <f>IF((U242-E242)/G242=0,0.001,(U242-E242)/G242)</f>
        <v/>
      </c>
      <c r="AD242">
        <f>F242-P242-J242-K242-AA242-AB242</f>
        <v/>
      </c>
      <c r="AE242">
        <f>AD242/AC242</f>
        <v/>
      </c>
      <c r="AF242">
        <f>IF(AD242&lt;=0,0,IF(AC242&lt;=0,$B$11,IF(AE242&gt;=1.7,$B$11,MIN(AD242/MAX(0.05,IF(AE242&gt;1,(2-AE242)^2/2,1-AE242^2/2)),$B$11))))</f>
        <v/>
      </c>
      <c r="AG242">
        <f>AG241*$B$28+AF242*(1-$B$28)</f>
        <v/>
      </c>
      <c r="AH242">
        <f>IF(AND(AD242&gt;0,AC242&lt;=0),0,AC242)</f>
        <v/>
      </c>
      <c r="AI242">
        <f>AH242/MAX(AG242,0.000001)</f>
        <v/>
      </c>
      <c r="AJ242">
        <f>MIN(IF(AI242&gt;=0.5,-AI242+SQRT(AI242^2+2),1),$B$12)</f>
        <v/>
      </c>
      <c r="AK242">
        <f>IF(AG242&lt;=0,0,AJ242*AH242)</f>
        <v/>
      </c>
      <c r="AL242">
        <f>IF(AD242&lt;=0,0,AD242)</f>
        <v/>
      </c>
      <c r="AM242">
        <f>AL242-AK242+P242</f>
        <v/>
      </c>
      <c r="AN242">
        <f>((AM242/$B$7+T241*AS241/2-T242*MAX(0.1,MIN(0.3,0.3-0.09*(AR241-36.8)))/2)+AR241*(1-AS241/2))/(1-MAX(0.1,MIN(0.3,0.3-0.09*(AR241-36.8)))/2)</f>
        <v/>
      </c>
      <c r="AO242">
        <f>((AM242/$B$7+T241*AS241/2-T242*MAX(0.1,MIN(0.3,0.3-0.09*(AN242-36.8)))/2)+AR241*(1-AS241/2))/(1-MAX(0.1,MIN(0.3,0.3-0.09*(AN242-36.8)))/2)</f>
        <v/>
      </c>
      <c r="AP242">
        <f>((AM242/$B$7+T241*AS241/2-T242*MAX(0.1,MIN(0.3,0.3-0.09*(AO242-36.8)))/2)+AR241*(1-AS241/2))/(1-MAX(0.1,MIN(0.3,0.3-0.09*(AO242-36.8)))/2)</f>
        <v/>
      </c>
      <c r="AQ242">
        <f>((AM242/$B$7+T241*AS241/2-T242*MAX(0.1,MIN(0.3,0.3-0.09*(AP242-36.8)))/2)+AR241*(1-AS241/2))/(1-MAX(0.1,MIN(0.3,0.3-0.09*(AP242-36.8)))/2)</f>
        <v/>
      </c>
      <c r="AR242">
        <f>((AM242/$B$7+T241*AS241/2-T242*MAX(0.1,MIN(0.3,0.3-0.09*(AQ242-36.8)))/2)+AR241*(1-AS241/2))/(1-MAX(0.1,MIN(0.3,0.3-0.09*(AQ242-36.8)))/2)</f>
        <v/>
      </c>
      <c r="AS242">
        <f>MAX(0.1,MIN(0.3,0.3-0.09*(AR242-36.8)))</f>
        <v/>
      </c>
      <c r="AT242">
        <f>AT241+(2*AR242-1.962*AT241-1.31)/9</f>
        <v/>
      </c>
      <c r="AU242">
        <f>AU241+AG242+K242</f>
        <v/>
      </c>
      <c r="AV242">
        <f>AU242*2.67*$B$6/1.8/60</f>
        <v/>
      </c>
      <c r="AW242">
        <f>IF(AT242&gt;=$B$36,1,0)</f>
        <v/>
      </c>
      <c r="AX242">
        <f>IF(AV242&gt;=$B$21,1,0)</f>
        <v/>
      </c>
    </row>
    <row r="243">
      <c r="A243" t="n">
        <v>170</v>
      </c>
      <c r="B243">
        <f>MATCH(A243-1,$D$61:$D$68,1)</f>
        <v/>
      </c>
      <c r="C243">
        <f>INDEX($G$61:$G$68,B243)</f>
        <v/>
      </c>
      <c r="D243">
        <f>INDEX($L$61:$L$68,B243)</f>
        <v/>
      </c>
      <c r="E243">
        <f>INDEX($M$61:$M$68,B243)</f>
        <v/>
      </c>
      <c r="F243">
        <f>INDEX($N$61:$N$68,B243)</f>
        <v/>
      </c>
      <c r="G243">
        <f>INDEX($AA$61:$AA$68,B243)</f>
        <v/>
      </c>
      <c r="H243">
        <f>INDEX($X$61:$X$68,B243)</f>
        <v/>
      </c>
      <c r="I243">
        <f>INDEX($AF$61:$AF$68,B243)</f>
        <v/>
      </c>
      <c r="J243">
        <f>INDEX($AC$61:$AC$68,B243)</f>
        <v/>
      </c>
      <c r="K243">
        <f>INDEX($AD$61:$AD$68,B243)</f>
        <v/>
      </c>
      <c r="L243">
        <f>INDEX($AG$61:$AG$68,B243)</f>
        <v/>
      </c>
      <c r="M243">
        <f>INDEX($AH$61:$AH$68,B243)</f>
        <v/>
      </c>
      <c r="N243">
        <f>INDEX($AI$61:$AI$68,B243)</f>
        <v/>
      </c>
      <c r="O243">
        <f>O242*$B$26+L243*(1-$B$26)</f>
        <v/>
      </c>
      <c r="P243">
        <f>$B$7*(O243-O242)*(1-AS242)</f>
        <v/>
      </c>
      <c r="Q243">
        <f>M243+0.51274*AT242</f>
        <v/>
      </c>
      <c r="R243">
        <f>N243+0.616*AT242</f>
        <v/>
      </c>
      <c r="S243">
        <f>IF($B$13&gt;=0.6,Q243,IF($B$13&lt;=0.2,R243,R243+2.5*(Q243-R243)*($B$13-0.2)))</f>
        <v/>
      </c>
      <c r="T243">
        <f>IF(A243=1,S243,T242*$B$27+S243*(1-$B$27))</f>
        <v/>
      </c>
      <c r="U243">
        <f>0.6105*EXP(17.27*T243/(T243+237.3))</f>
        <v/>
      </c>
      <c r="V243">
        <f>($B$14*(I243*C243+IF(ABS((D243+0.1)-D243)&lt;0.000000001,4*$B$19*$B$20*(D243+273)^3,$B$19*$B$20*(((D243+0.1)+273)^4-(D243+273)^4)/((D243+0.1)-D243))*D243)+T243/H243)/($B$14*(I243+IF(ABS((D243+0.1)-D243)&lt;0.000000001,4*$B$19*$B$20*(D243+273)^3,$B$19*$B$20*(((D243+0.1)+273)^4-(D243+273)^4)/((D243+0.1)-D243)))+1/H243)</f>
        <v/>
      </c>
      <c r="W243">
        <f>($B$14*(I243*C243+IF(ABS(V243-D243)&lt;0.000000001,4*$B$19*$B$20*(D243+273)^3,$B$19*$B$20*((V243+273)^4-(D243+273)^4)/(V243-D243))*D243)+T243/H243)/($B$14*(I243+IF(ABS(V243-D243)&lt;0.000000001,4*$B$19*$B$20*(D243+273)^3,$B$19*$B$20*((V243+273)^4-(D243+273)^4)/(V243-D243)))+1/H243)</f>
        <v/>
      </c>
      <c r="X243">
        <f>($B$14*(I243*C243+IF(ABS(W243-D243)&lt;0.000000001,4*$B$19*$B$20*(D243+273)^3,$B$19*$B$20*((W243+273)^4-(D243+273)^4)/(W243-D243))*D243)+T243/H243)/($B$14*(I243+IF(ABS(W243-D243)&lt;0.000000001,4*$B$19*$B$20*(D243+273)^3,$B$19*$B$20*((W243+273)^4-(D243+273)^4)/(W243-D243)))+1/H243)</f>
        <v/>
      </c>
      <c r="Y243">
        <f>($B$14*(I243*C243+IF(ABS(X243-D243)&lt;0.000000001,4*$B$19*$B$20*(D243+273)^3,$B$19*$B$20*((X243+273)^4-(D243+273)^4)/(X243-D243))*D243)+T243/H243)/($B$14*(I243+IF(ABS(X243-D243)&lt;0.000000001,4*$B$19*$B$20*(D243+273)^3,$B$19*$B$20*((X243+273)^4-(D243+273)^4)/(X243-D243)))+1/H243)</f>
        <v/>
      </c>
      <c r="Z243">
        <f>IF(ABS(Y243-D243)&lt;0.000000001,4*$B$19*$B$20*(D243+273)^3,$B$19*$B$20*((Y243+273)^4-(D243+273)^4)/(Y243-D243))</f>
        <v/>
      </c>
      <c r="AA243">
        <f>$B$14*I243*(Y243-C243)</f>
        <v/>
      </c>
      <c r="AB243">
        <f>$B$14*Z243*(Y243-D243)</f>
        <v/>
      </c>
      <c r="AC243">
        <f>IF((U243-E243)/G243=0,0.001,(U243-E243)/G243)</f>
        <v/>
      </c>
      <c r="AD243">
        <f>F243-P243-J243-K243-AA243-AB243</f>
        <v/>
      </c>
      <c r="AE243">
        <f>AD243/AC243</f>
        <v/>
      </c>
      <c r="AF243">
        <f>IF(AD243&lt;=0,0,IF(AC243&lt;=0,$B$11,IF(AE243&gt;=1.7,$B$11,MIN(AD243/MAX(0.05,IF(AE243&gt;1,(2-AE243)^2/2,1-AE243^2/2)),$B$11))))</f>
        <v/>
      </c>
      <c r="AG243">
        <f>AG242*$B$28+AF243*(1-$B$28)</f>
        <v/>
      </c>
      <c r="AH243">
        <f>IF(AND(AD243&gt;0,AC243&lt;=0),0,AC243)</f>
        <v/>
      </c>
      <c r="AI243">
        <f>AH243/MAX(AG243,0.000001)</f>
        <v/>
      </c>
      <c r="AJ243">
        <f>MIN(IF(AI243&gt;=0.5,-AI243+SQRT(AI243^2+2),1),$B$12)</f>
        <v/>
      </c>
      <c r="AK243">
        <f>IF(AG243&lt;=0,0,AJ243*AH243)</f>
        <v/>
      </c>
      <c r="AL243">
        <f>IF(AD243&lt;=0,0,AD243)</f>
        <v/>
      </c>
      <c r="AM243">
        <f>AL243-AK243+P243</f>
        <v/>
      </c>
      <c r="AN243">
        <f>((AM243/$B$7+T242*AS242/2-T243*MAX(0.1,MIN(0.3,0.3-0.09*(AR242-36.8)))/2)+AR242*(1-AS242/2))/(1-MAX(0.1,MIN(0.3,0.3-0.09*(AR242-36.8)))/2)</f>
        <v/>
      </c>
      <c r="AO243">
        <f>((AM243/$B$7+T242*AS242/2-T243*MAX(0.1,MIN(0.3,0.3-0.09*(AN243-36.8)))/2)+AR242*(1-AS242/2))/(1-MAX(0.1,MIN(0.3,0.3-0.09*(AN243-36.8)))/2)</f>
        <v/>
      </c>
      <c r="AP243">
        <f>((AM243/$B$7+T242*AS242/2-T243*MAX(0.1,MIN(0.3,0.3-0.09*(AO243-36.8)))/2)+AR242*(1-AS242/2))/(1-MAX(0.1,MIN(0.3,0.3-0.09*(AO243-36.8)))/2)</f>
        <v/>
      </c>
      <c r="AQ243">
        <f>((AM243/$B$7+T242*AS242/2-T243*MAX(0.1,MIN(0.3,0.3-0.09*(AP243-36.8)))/2)+AR242*(1-AS242/2))/(1-MAX(0.1,MIN(0.3,0.3-0.09*(AP243-36.8)))/2)</f>
        <v/>
      </c>
      <c r="AR243">
        <f>((AM243/$B$7+T242*AS242/2-T243*MAX(0.1,MIN(0.3,0.3-0.09*(AQ243-36.8)))/2)+AR242*(1-AS242/2))/(1-MAX(0.1,MIN(0.3,0.3-0.09*(AQ243-36.8)))/2)</f>
        <v/>
      </c>
      <c r="AS243">
        <f>MAX(0.1,MIN(0.3,0.3-0.09*(AR243-36.8)))</f>
        <v/>
      </c>
      <c r="AT243">
        <f>AT242+(2*AR243-1.962*AT242-1.31)/9</f>
        <v/>
      </c>
      <c r="AU243">
        <f>AU242+AG243+K243</f>
        <v/>
      </c>
      <c r="AV243">
        <f>AU243*2.67*$B$6/1.8/60</f>
        <v/>
      </c>
      <c r="AW243">
        <f>IF(AT243&gt;=$B$36,1,0)</f>
        <v/>
      </c>
      <c r="AX243">
        <f>IF(AV243&gt;=$B$21,1,0)</f>
        <v/>
      </c>
    </row>
    <row r="244">
      <c r="A244" t="n">
        <v>171</v>
      </c>
      <c r="B244">
        <f>MATCH(A244-1,$D$61:$D$68,1)</f>
        <v/>
      </c>
      <c r="C244">
        <f>INDEX($G$61:$G$68,B244)</f>
        <v/>
      </c>
      <c r="D244">
        <f>INDEX($L$61:$L$68,B244)</f>
        <v/>
      </c>
      <c r="E244">
        <f>INDEX($M$61:$M$68,B244)</f>
        <v/>
      </c>
      <c r="F244">
        <f>INDEX($N$61:$N$68,B244)</f>
        <v/>
      </c>
      <c r="G244">
        <f>INDEX($AA$61:$AA$68,B244)</f>
        <v/>
      </c>
      <c r="H244">
        <f>INDEX($X$61:$X$68,B244)</f>
        <v/>
      </c>
      <c r="I244">
        <f>INDEX($AF$61:$AF$68,B244)</f>
        <v/>
      </c>
      <c r="J244">
        <f>INDEX($AC$61:$AC$68,B244)</f>
        <v/>
      </c>
      <c r="K244">
        <f>INDEX($AD$61:$AD$68,B244)</f>
        <v/>
      </c>
      <c r="L244">
        <f>INDEX($AG$61:$AG$68,B244)</f>
        <v/>
      </c>
      <c r="M244">
        <f>INDEX($AH$61:$AH$68,B244)</f>
        <v/>
      </c>
      <c r="N244">
        <f>INDEX($AI$61:$AI$68,B244)</f>
        <v/>
      </c>
      <c r="O244">
        <f>O243*$B$26+L244*(1-$B$26)</f>
        <v/>
      </c>
      <c r="P244">
        <f>$B$7*(O244-O243)*(1-AS243)</f>
        <v/>
      </c>
      <c r="Q244">
        <f>M244+0.51274*AT243</f>
        <v/>
      </c>
      <c r="R244">
        <f>N244+0.616*AT243</f>
        <v/>
      </c>
      <c r="S244">
        <f>IF($B$13&gt;=0.6,Q244,IF($B$13&lt;=0.2,R244,R244+2.5*(Q244-R244)*($B$13-0.2)))</f>
        <v/>
      </c>
      <c r="T244">
        <f>IF(A244=1,S244,T243*$B$27+S244*(1-$B$27))</f>
        <v/>
      </c>
      <c r="U244">
        <f>0.6105*EXP(17.27*T244/(T244+237.3))</f>
        <v/>
      </c>
      <c r="V244">
        <f>($B$14*(I244*C244+IF(ABS((D244+0.1)-D244)&lt;0.000000001,4*$B$19*$B$20*(D244+273)^3,$B$19*$B$20*(((D244+0.1)+273)^4-(D244+273)^4)/((D244+0.1)-D244))*D244)+T244/H244)/($B$14*(I244+IF(ABS((D244+0.1)-D244)&lt;0.000000001,4*$B$19*$B$20*(D244+273)^3,$B$19*$B$20*(((D244+0.1)+273)^4-(D244+273)^4)/((D244+0.1)-D244)))+1/H244)</f>
        <v/>
      </c>
      <c r="W244">
        <f>($B$14*(I244*C244+IF(ABS(V244-D244)&lt;0.000000001,4*$B$19*$B$20*(D244+273)^3,$B$19*$B$20*((V244+273)^4-(D244+273)^4)/(V244-D244))*D244)+T244/H244)/($B$14*(I244+IF(ABS(V244-D244)&lt;0.000000001,4*$B$19*$B$20*(D244+273)^3,$B$19*$B$20*((V244+273)^4-(D244+273)^4)/(V244-D244)))+1/H244)</f>
        <v/>
      </c>
      <c r="X244">
        <f>($B$14*(I244*C244+IF(ABS(W244-D244)&lt;0.000000001,4*$B$19*$B$20*(D244+273)^3,$B$19*$B$20*((W244+273)^4-(D244+273)^4)/(W244-D244))*D244)+T244/H244)/($B$14*(I244+IF(ABS(W244-D244)&lt;0.000000001,4*$B$19*$B$20*(D244+273)^3,$B$19*$B$20*((W244+273)^4-(D244+273)^4)/(W244-D244)))+1/H244)</f>
        <v/>
      </c>
      <c r="Y244">
        <f>($B$14*(I244*C244+IF(ABS(X244-D244)&lt;0.000000001,4*$B$19*$B$20*(D244+273)^3,$B$19*$B$20*((X244+273)^4-(D244+273)^4)/(X244-D244))*D244)+T244/H244)/($B$14*(I244+IF(ABS(X244-D244)&lt;0.000000001,4*$B$19*$B$20*(D244+273)^3,$B$19*$B$20*((X244+273)^4-(D244+273)^4)/(X244-D244)))+1/H244)</f>
        <v/>
      </c>
      <c r="Z244">
        <f>IF(ABS(Y244-D244)&lt;0.000000001,4*$B$19*$B$20*(D244+273)^3,$B$19*$B$20*((Y244+273)^4-(D244+273)^4)/(Y244-D244))</f>
        <v/>
      </c>
      <c r="AA244">
        <f>$B$14*I244*(Y244-C244)</f>
        <v/>
      </c>
      <c r="AB244">
        <f>$B$14*Z244*(Y244-D244)</f>
        <v/>
      </c>
      <c r="AC244">
        <f>IF((U244-E244)/G244=0,0.001,(U244-E244)/G244)</f>
        <v/>
      </c>
      <c r="AD244">
        <f>F244-P244-J244-K244-AA244-AB244</f>
        <v/>
      </c>
      <c r="AE244">
        <f>AD244/AC244</f>
        <v/>
      </c>
      <c r="AF244">
        <f>IF(AD244&lt;=0,0,IF(AC244&lt;=0,$B$11,IF(AE244&gt;=1.7,$B$11,MIN(AD244/MAX(0.05,IF(AE244&gt;1,(2-AE244)^2/2,1-AE244^2/2)),$B$11))))</f>
        <v/>
      </c>
      <c r="AG244">
        <f>AG243*$B$28+AF244*(1-$B$28)</f>
        <v/>
      </c>
      <c r="AH244">
        <f>IF(AND(AD244&gt;0,AC244&lt;=0),0,AC244)</f>
        <v/>
      </c>
      <c r="AI244">
        <f>AH244/MAX(AG244,0.000001)</f>
        <v/>
      </c>
      <c r="AJ244">
        <f>MIN(IF(AI244&gt;=0.5,-AI244+SQRT(AI244^2+2),1),$B$12)</f>
        <v/>
      </c>
      <c r="AK244">
        <f>IF(AG244&lt;=0,0,AJ244*AH244)</f>
        <v/>
      </c>
      <c r="AL244">
        <f>IF(AD244&lt;=0,0,AD244)</f>
        <v/>
      </c>
      <c r="AM244">
        <f>AL244-AK244+P244</f>
        <v/>
      </c>
      <c r="AN244">
        <f>((AM244/$B$7+T243*AS243/2-T244*MAX(0.1,MIN(0.3,0.3-0.09*(AR243-36.8)))/2)+AR243*(1-AS243/2))/(1-MAX(0.1,MIN(0.3,0.3-0.09*(AR243-36.8)))/2)</f>
        <v/>
      </c>
      <c r="AO244">
        <f>((AM244/$B$7+T243*AS243/2-T244*MAX(0.1,MIN(0.3,0.3-0.09*(AN244-36.8)))/2)+AR243*(1-AS243/2))/(1-MAX(0.1,MIN(0.3,0.3-0.09*(AN244-36.8)))/2)</f>
        <v/>
      </c>
      <c r="AP244">
        <f>((AM244/$B$7+T243*AS243/2-T244*MAX(0.1,MIN(0.3,0.3-0.09*(AO244-36.8)))/2)+AR243*(1-AS243/2))/(1-MAX(0.1,MIN(0.3,0.3-0.09*(AO244-36.8)))/2)</f>
        <v/>
      </c>
      <c r="AQ244">
        <f>((AM244/$B$7+T243*AS243/2-T244*MAX(0.1,MIN(0.3,0.3-0.09*(AP244-36.8)))/2)+AR243*(1-AS243/2))/(1-MAX(0.1,MIN(0.3,0.3-0.09*(AP244-36.8)))/2)</f>
        <v/>
      </c>
      <c r="AR244">
        <f>((AM244/$B$7+T243*AS243/2-T244*MAX(0.1,MIN(0.3,0.3-0.09*(AQ244-36.8)))/2)+AR243*(1-AS243/2))/(1-MAX(0.1,MIN(0.3,0.3-0.09*(AQ244-36.8)))/2)</f>
        <v/>
      </c>
      <c r="AS244">
        <f>MAX(0.1,MIN(0.3,0.3-0.09*(AR244-36.8)))</f>
        <v/>
      </c>
      <c r="AT244">
        <f>AT243+(2*AR244-1.962*AT243-1.31)/9</f>
        <v/>
      </c>
      <c r="AU244">
        <f>AU243+AG244+K244</f>
        <v/>
      </c>
      <c r="AV244">
        <f>AU244*2.67*$B$6/1.8/60</f>
        <v/>
      </c>
      <c r="AW244">
        <f>IF(AT244&gt;=$B$36,1,0)</f>
        <v/>
      </c>
      <c r="AX244">
        <f>IF(AV244&gt;=$B$21,1,0)</f>
        <v/>
      </c>
    </row>
    <row r="245">
      <c r="A245" t="n">
        <v>172</v>
      </c>
      <c r="B245">
        <f>MATCH(A245-1,$D$61:$D$68,1)</f>
        <v/>
      </c>
      <c r="C245">
        <f>INDEX($G$61:$G$68,B245)</f>
        <v/>
      </c>
      <c r="D245">
        <f>INDEX($L$61:$L$68,B245)</f>
        <v/>
      </c>
      <c r="E245">
        <f>INDEX($M$61:$M$68,B245)</f>
        <v/>
      </c>
      <c r="F245">
        <f>INDEX($N$61:$N$68,B245)</f>
        <v/>
      </c>
      <c r="G245">
        <f>INDEX($AA$61:$AA$68,B245)</f>
        <v/>
      </c>
      <c r="H245">
        <f>INDEX($X$61:$X$68,B245)</f>
        <v/>
      </c>
      <c r="I245">
        <f>INDEX($AF$61:$AF$68,B245)</f>
        <v/>
      </c>
      <c r="J245">
        <f>INDEX($AC$61:$AC$68,B245)</f>
        <v/>
      </c>
      <c r="K245">
        <f>INDEX($AD$61:$AD$68,B245)</f>
        <v/>
      </c>
      <c r="L245">
        <f>INDEX($AG$61:$AG$68,B245)</f>
        <v/>
      </c>
      <c r="M245">
        <f>INDEX($AH$61:$AH$68,B245)</f>
        <v/>
      </c>
      <c r="N245">
        <f>INDEX($AI$61:$AI$68,B245)</f>
        <v/>
      </c>
      <c r="O245">
        <f>O244*$B$26+L245*(1-$B$26)</f>
        <v/>
      </c>
      <c r="P245">
        <f>$B$7*(O245-O244)*(1-AS244)</f>
        <v/>
      </c>
      <c r="Q245">
        <f>M245+0.51274*AT244</f>
        <v/>
      </c>
      <c r="R245">
        <f>N245+0.616*AT244</f>
        <v/>
      </c>
      <c r="S245">
        <f>IF($B$13&gt;=0.6,Q245,IF($B$13&lt;=0.2,R245,R245+2.5*(Q245-R245)*($B$13-0.2)))</f>
        <v/>
      </c>
      <c r="T245">
        <f>IF(A245=1,S245,T244*$B$27+S245*(1-$B$27))</f>
        <v/>
      </c>
      <c r="U245">
        <f>0.6105*EXP(17.27*T245/(T245+237.3))</f>
        <v/>
      </c>
      <c r="V245">
        <f>($B$14*(I245*C245+IF(ABS((D245+0.1)-D245)&lt;0.000000001,4*$B$19*$B$20*(D245+273)^3,$B$19*$B$20*(((D245+0.1)+273)^4-(D245+273)^4)/((D245+0.1)-D245))*D245)+T245/H245)/($B$14*(I245+IF(ABS((D245+0.1)-D245)&lt;0.000000001,4*$B$19*$B$20*(D245+273)^3,$B$19*$B$20*(((D245+0.1)+273)^4-(D245+273)^4)/((D245+0.1)-D245)))+1/H245)</f>
        <v/>
      </c>
      <c r="W245">
        <f>($B$14*(I245*C245+IF(ABS(V245-D245)&lt;0.000000001,4*$B$19*$B$20*(D245+273)^3,$B$19*$B$20*((V245+273)^4-(D245+273)^4)/(V245-D245))*D245)+T245/H245)/($B$14*(I245+IF(ABS(V245-D245)&lt;0.000000001,4*$B$19*$B$20*(D245+273)^3,$B$19*$B$20*((V245+273)^4-(D245+273)^4)/(V245-D245)))+1/H245)</f>
        <v/>
      </c>
      <c r="X245">
        <f>($B$14*(I245*C245+IF(ABS(W245-D245)&lt;0.000000001,4*$B$19*$B$20*(D245+273)^3,$B$19*$B$20*((W245+273)^4-(D245+273)^4)/(W245-D245))*D245)+T245/H245)/($B$14*(I245+IF(ABS(W245-D245)&lt;0.000000001,4*$B$19*$B$20*(D245+273)^3,$B$19*$B$20*((W245+273)^4-(D245+273)^4)/(W245-D245)))+1/H245)</f>
        <v/>
      </c>
      <c r="Y245">
        <f>($B$14*(I245*C245+IF(ABS(X245-D245)&lt;0.000000001,4*$B$19*$B$20*(D245+273)^3,$B$19*$B$20*((X245+273)^4-(D245+273)^4)/(X245-D245))*D245)+T245/H245)/($B$14*(I245+IF(ABS(X245-D245)&lt;0.000000001,4*$B$19*$B$20*(D245+273)^3,$B$19*$B$20*((X245+273)^4-(D245+273)^4)/(X245-D245)))+1/H245)</f>
        <v/>
      </c>
      <c r="Z245">
        <f>IF(ABS(Y245-D245)&lt;0.000000001,4*$B$19*$B$20*(D245+273)^3,$B$19*$B$20*((Y245+273)^4-(D245+273)^4)/(Y245-D245))</f>
        <v/>
      </c>
      <c r="AA245">
        <f>$B$14*I245*(Y245-C245)</f>
        <v/>
      </c>
      <c r="AB245">
        <f>$B$14*Z245*(Y245-D245)</f>
        <v/>
      </c>
      <c r="AC245">
        <f>IF((U245-E245)/G245=0,0.001,(U245-E245)/G245)</f>
        <v/>
      </c>
      <c r="AD245">
        <f>F245-P245-J245-K245-AA245-AB245</f>
        <v/>
      </c>
      <c r="AE245">
        <f>AD245/AC245</f>
        <v/>
      </c>
      <c r="AF245">
        <f>IF(AD245&lt;=0,0,IF(AC245&lt;=0,$B$11,IF(AE245&gt;=1.7,$B$11,MIN(AD245/MAX(0.05,IF(AE245&gt;1,(2-AE245)^2/2,1-AE245^2/2)),$B$11))))</f>
        <v/>
      </c>
      <c r="AG245">
        <f>AG244*$B$28+AF245*(1-$B$28)</f>
        <v/>
      </c>
      <c r="AH245">
        <f>IF(AND(AD245&gt;0,AC245&lt;=0),0,AC245)</f>
        <v/>
      </c>
      <c r="AI245">
        <f>AH245/MAX(AG245,0.000001)</f>
        <v/>
      </c>
      <c r="AJ245">
        <f>MIN(IF(AI245&gt;=0.5,-AI245+SQRT(AI245^2+2),1),$B$12)</f>
        <v/>
      </c>
      <c r="AK245">
        <f>IF(AG245&lt;=0,0,AJ245*AH245)</f>
        <v/>
      </c>
      <c r="AL245">
        <f>IF(AD245&lt;=0,0,AD245)</f>
        <v/>
      </c>
      <c r="AM245">
        <f>AL245-AK245+P245</f>
        <v/>
      </c>
      <c r="AN245">
        <f>((AM245/$B$7+T244*AS244/2-T245*MAX(0.1,MIN(0.3,0.3-0.09*(AR244-36.8)))/2)+AR244*(1-AS244/2))/(1-MAX(0.1,MIN(0.3,0.3-0.09*(AR244-36.8)))/2)</f>
        <v/>
      </c>
      <c r="AO245">
        <f>((AM245/$B$7+T244*AS244/2-T245*MAX(0.1,MIN(0.3,0.3-0.09*(AN245-36.8)))/2)+AR244*(1-AS244/2))/(1-MAX(0.1,MIN(0.3,0.3-0.09*(AN245-36.8)))/2)</f>
        <v/>
      </c>
      <c r="AP245">
        <f>((AM245/$B$7+T244*AS244/2-T245*MAX(0.1,MIN(0.3,0.3-0.09*(AO245-36.8)))/2)+AR244*(1-AS244/2))/(1-MAX(0.1,MIN(0.3,0.3-0.09*(AO245-36.8)))/2)</f>
        <v/>
      </c>
      <c r="AQ245">
        <f>((AM245/$B$7+T244*AS244/2-T245*MAX(0.1,MIN(0.3,0.3-0.09*(AP245-36.8)))/2)+AR244*(1-AS244/2))/(1-MAX(0.1,MIN(0.3,0.3-0.09*(AP245-36.8)))/2)</f>
        <v/>
      </c>
      <c r="AR245">
        <f>((AM245/$B$7+T244*AS244/2-T245*MAX(0.1,MIN(0.3,0.3-0.09*(AQ245-36.8)))/2)+AR244*(1-AS244/2))/(1-MAX(0.1,MIN(0.3,0.3-0.09*(AQ245-36.8)))/2)</f>
        <v/>
      </c>
      <c r="AS245">
        <f>MAX(0.1,MIN(0.3,0.3-0.09*(AR245-36.8)))</f>
        <v/>
      </c>
      <c r="AT245">
        <f>AT244+(2*AR245-1.962*AT244-1.31)/9</f>
        <v/>
      </c>
      <c r="AU245">
        <f>AU244+AG245+K245</f>
        <v/>
      </c>
      <c r="AV245">
        <f>AU245*2.67*$B$6/1.8/60</f>
        <v/>
      </c>
      <c r="AW245">
        <f>IF(AT245&gt;=$B$36,1,0)</f>
        <v/>
      </c>
      <c r="AX245">
        <f>IF(AV245&gt;=$B$21,1,0)</f>
        <v/>
      </c>
    </row>
    <row r="246">
      <c r="A246" t="n">
        <v>173</v>
      </c>
      <c r="B246">
        <f>MATCH(A246-1,$D$61:$D$68,1)</f>
        <v/>
      </c>
      <c r="C246">
        <f>INDEX($G$61:$G$68,B246)</f>
        <v/>
      </c>
      <c r="D246">
        <f>INDEX($L$61:$L$68,B246)</f>
        <v/>
      </c>
      <c r="E246">
        <f>INDEX($M$61:$M$68,B246)</f>
        <v/>
      </c>
      <c r="F246">
        <f>INDEX($N$61:$N$68,B246)</f>
        <v/>
      </c>
      <c r="G246">
        <f>INDEX($AA$61:$AA$68,B246)</f>
        <v/>
      </c>
      <c r="H246">
        <f>INDEX($X$61:$X$68,B246)</f>
        <v/>
      </c>
      <c r="I246">
        <f>INDEX($AF$61:$AF$68,B246)</f>
        <v/>
      </c>
      <c r="J246">
        <f>INDEX($AC$61:$AC$68,B246)</f>
        <v/>
      </c>
      <c r="K246">
        <f>INDEX($AD$61:$AD$68,B246)</f>
        <v/>
      </c>
      <c r="L246">
        <f>INDEX($AG$61:$AG$68,B246)</f>
        <v/>
      </c>
      <c r="M246">
        <f>INDEX($AH$61:$AH$68,B246)</f>
        <v/>
      </c>
      <c r="N246">
        <f>INDEX($AI$61:$AI$68,B246)</f>
        <v/>
      </c>
      <c r="O246">
        <f>O245*$B$26+L246*(1-$B$26)</f>
        <v/>
      </c>
      <c r="P246">
        <f>$B$7*(O246-O245)*(1-AS245)</f>
        <v/>
      </c>
      <c r="Q246">
        <f>M246+0.51274*AT245</f>
        <v/>
      </c>
      <c r="R246">
        <f>N246+0.616*AT245</f>
        <v/>
      </c>
      <c r="S246">
        <f>IF($B$13&gt;=0.6,Q246,IF($B$13&lt;=0.2,R246,R246+2.5*(Q246-R246)*($B$13-0.2)))</f>
        <v/>
      </c>
      <c r="T246">
        <f>IF(A246=1,S246,T245*$B$27+S246*(1-$B$27))</f>
        <v/>
      </c>
      <c r="U246">
        <f>0.6105*EXP(17.27*T246/(T246+237.3))</f>
        <v/>
      </c>
      <c r="V246">
        <f>($B$14*(I246*C246+IF(ABS((D246+0.1)-D246)&lt;0.000000001,4*$B$19*$B$20*(D246+273)^3,$B$19*$B$20*(((D246+0.1)+273)^4-(D246+273)^4)/((D246+0.1)-D246))*D246)+T246/H246)/($B$14*(I246+IF(ABS((D246+0.1)-D246)&lt;0.000000001,4*$B$19*$B$20*(D246+273)^3,$B$19*$B$20*(((D246+0.1)+273)^4-(D246+273)^4)/((D246+0.1)-D246)))+1/H246)</f>
        <v/>
      </c>
      <c r="W246">
        <f>($B$14*(I246*C246+IF(ABS(V246-D246)&lt;0.000000001,4*$B$19*$B$20*(D246+273)^3,$B$19*$B$20*((V246+273)^4-(D246+273)^4)/(V246-D246))*D246)+T246/H246)/($B$14*(I246+IF(ABS(V246-D246)&lt;0.000000001,4*$B$19*$B$20*(D246+273)^3,$B$19*$B$20*((V246+273)^4-(D246+273)^4)/(V246-D246)))+1/H246)</f>
        <v/>
      </c>
      <c r="X246">
        <f>($B$14*(I246*C246+IF(ABS(W246-D246)&lt;0.000000001,4*$B$19*$B$20*(D246+273)^3,$B$19*$B$20*((W246+273)^4-(D246+273)^4)/(W246-D246))*D246)+T246/H246)/($B$14*(I246+IF(ABS(W246-D246)&lt;0.000000001,4*$B$19*$B$20*(D246+273)^3,$B$19*$B$20*((W246+273)^4-(D246+273)^4)/(W246-D246)))+1/H246)</f>
        <v/>
      </c>
      <c r="Y246">
        <f>($B$14*(I246*C246+IF(ABS(X246-D246)&lt;0.000000001,4*$B$19*$B$20*(D246+273)^3,$B$19*$B$20*((X246+273)^4-(D246+273)^4)/(X246-D246))*D246)+T246/H246)/($B$14*(I246+IF(ABS(X246-D246)&lt;0.000000001,4*$B$19*$B$20*(D246+273)^3,$B$19*$B$20*((X246+273)^4-(D246+273)^4)/(X246-D246)))+1/H246)</f>
        <v/>
      </c>
      <c r="Z246">
        <f>IF(ABS(Y246-D246)&lt;0.000000001,4*$B$19*$B$20*(D246+273)^3,$B$19*$B$20*((Y246+273)^4-(D246+273)^4)/(Y246-D246))</f>
        <v/>
      </c>
      <c r="AA246">
        <f>$B$14*I246*(Y246-C246)</f>
        <v/>
      </c>
      <c r="AB246">
        <f>$B$14*Z246*(Y246-D246)</f>
        <v/>
      </c>
      <c r="AC246">
        <f>IF((U246-E246)/G246=0,0.001,(U246-E246)/G246)</f>
        <v/>
      </c>
      <c r="AD246">
        <f>F246-P246-J246-K246-AA246-AB246</f>
        <v/>
      </c>
      <c r="AE246">
        <f>AD246/AC246</f>
        <v/>
      </c>
      <c r="AF246">
        <f>IF(AD246&lt;=0,0,IF(AC246&lt;=0,$B$11,IF(AE246&gt;=1.7,$B$11,MIN(AD246/MAX(0.05,IF(AE246&gt;1,(2-AE246)^2/2,1-AE246^2/2)),$B$11))))</f>
        <v/>
      </c>
      <c r="AG246">
        <f>AG245*$B$28+AF246*(1-$B$28)</f>
        <v/>
      </c>
      <c r="AH246">
        <f>IF(AND(AD246&gt;0,AC246&lt;=0),0,AC246)</f>
        <v/>
      </c>
      <c r="AI246">
        <f>AH246/MAX(AG246,0.000001)</f>
        <v/>
      </c>
      <c r="AJ246">
        <f>MIN(IF(AI246&gt;=0.5,-AI246+SQRT(AI246^2+2),1),$B$12)</f>
        <v/>
      </c>
      <c r="AK246">
        <f>IF(AG246&lt;=0,0,AJ246*AH246)</f>
        <v/>
      </c>
      <c r="AL246">
        <f>IF(AD246&lt;=0,0,AD246)</f>
        <v/>
      </c>
      <c r="AM246">
        <f>AL246-AK246+P246</f>
        <v/>
      </c>
      <c r="AN246">
        <f>((AM246/$B$7+T245*AS245/2-T246*MAX(0.1,MIN(0.3,0.3-0.09*(AR245-36.8)))/2)+AR245*(1-AS245/2))/(1-MAX(0.1,MIN(0.3,0.3-0.09*(AR245-36.8)))/2)</f>
        <v/>
      </c>
      <c r="AO246">
        <f>((AM246/$B$7+T245*AS245/2-T246*MAX(0.1,MIN(0.3,0.3-0.09*(AN246-36.8)))/2)+AR245*(1-AS245/2))/(1-MAX(0.1,MIN(0.3,0.3-0.09*(AN246-36.8)))/2)</f>
        <v/>
      </c>
      <c r="AP246">
        <f>((AM246/$B$7+T245*AS245/2-T246*MAX(0.1,MIN(0.3,0.3-0.09*(AO246-36.8)))/2)+AR245*(1-AS245/2))/(1-MAX(0.1,MIN(0.3,0.3-0.09*(AO246-36.8)))/2)</f>
        <v/>
      </c>
      <c r="AQ246">
        <f>((AM246/$B$7+T245*AS245/2-T246*MAX(0.1,MIN(0.3,0.3-0.09*(AP246-36.8)))/2)+AR245*(1-AS245/2))/(1-MAX(0.1,MIN(0.3,0.3-0.09*(AP246-36.8)))/2)</f>
        <v/>
      </c>
      <c r="AR246">
        <f>((AM246/$B$7+T245*AS245/2-T246*MAX(0.1,MIN(0.3,0.3-0.09*(AQ246-36.8)))/2)+AR245*(1-AS245/2))/(1-MAX(0.1,MIN(0.3,0.3-0.09*(AQ246-36.8)))/2)</f>
        <v/>
      </c>
      <c r="AS246">
        <f>MAX(0.1,MIN(0.3,0.3-0.09*(AR246-36.8)))</f>
        <v/>
      </c>
      <c r="AT246">
        <f>AT245+(2*AR246-1.962*AT245-1.31)/9</f>
        <v/>
      </c>
      <c r="AU246">
        <f>AU245+AG246+K246</f>
        <v/>
      </c>
      <c r="AV246">
        <f>AU246*2.67*$B$6/1.8/60</f>
        <v/>
      </c>
      <c r="AW246">
        <f>IF(AT246&gt;=$B$36,1,0)</f>
        <v/>
      </c>
      <c r="AX246">
        <f>IF(AV246&gt;=$B$21,1,0)</f>
        <v/>
      </c>
    </row>
    <row r="247">
      <c r="A247" t="n">
        <v>174</v>
      </c>
      <c r="B247">
        <f>MATCH(A247-1,$D$61:$D$68,1)</f>
        <v/>
      </c>
      <c r="C247">
        <f>INDEX($G$61:$G$68,B247)</f>
        <v/>
      </c>
      <c r="D247">
        <f>INDEX($L$61:$L$68,B247)</f>
        <v/>
      </c>
      <c r="E247">
        <f>INDEX($M$61:$M$68,B247)</f>
        <v/>
      </c>
      <c r="F247">
        <f>INDEX($N$61:$N$68,B247)</f>
        <v/>
      </c>
      <c r="G247">
        <f>INDEX($AA$61:$AA$68,B247)</f>
        <v/>
      </c>
      <c r="H247">
        <f>INDEX($X$61:$X$68,B247)</f>
        <v/>
      </c>
      <c r="I247">
        <f>INDEX($AF$61:$AF$68,B247)</f>
        <v/>
      </c>
      <c r="J247">
        <f>INDEX($AC$61:$AC$68,B247)</f>
        <v/>
      </c>
      <c r="K247">
        <f>INDEX($AD$61:$AD$68,B247)</f>
        <v/>
      </c>
      <c r="L247">
        <f>INDEX($AG$61:$AG$68,B247)</f>
        <v/>
      </c>
      <c r="M247">
        <f>INDEX($AH$61:$AH$68,B247)</f>
        <v/>
      </c>
      <c r="N247">
        <f>INDEX($AI$61:$AI$68,B247)</f>
        <v/>
      </c>
      <c r="O247">
        <f>O246*$B$26+L247*(1-$B$26)</f>
        <v/>
      </c>
      <c r="P247">
        <f>$B$7*(O247-O246)*(1-AS246)</f>
        <v/>
      </c>
      <c r="Q247">
        <f>M247+0.51274*AT246</f>
        <v/>
      </c>
      <c r="R247">
        <f>N247+0.616*AT246</f>
        <v/>
      </c>
      <c r="S247">
        <f>IF($B$13&gt;=0.6,Q247,IF($B$13&lt;=0.2,R247,R247+2.5*(Q247-R247)*($B$13-0.2)))</f>
        <v/>
      </c>
      <c r="T247">
        <f>IF(A247=1,S247,T246*$B$27+S247*(1-$B$27))</f>
        <v/>
      </c>
      <c r="U247">
        <f>0.6105*EXP(17.27*T247/(T247+237.3))</f>
        <v/>
      </c>
      <c r="V247">
        <f>($B$14*(I247*C247+IF(ABS((D247+0.1)-D247)&lt;0.000000001,4*$B$19*$B$20*(D247+273)^3,$B$19*$B$20*(((D247+0.1)+273)^4-(D247+273)^4)/((D247+0.1)-D247))*D247)+T247/H247)/($B$14*(I247+IF(ABS((D247+0.1)-D247)&lt;0.000000001,4*$B$19*$B$20*(D247+273)^3,$B$19*$B$20*(((D247+0.1)+273)^4-(D247+273)^4)/((D247+0.1)-D247)))+1/H247)</f>
        <v/>
      </c>
      <c r="W247">
        <f>($B$14*(I247*C247+IF(ABS(V247-D247)&lt;0.000000001,4*$B$19*$B$20*(D247+273)^3,$B$19*$B$20*((V247+273)^4-(D247+273)^4)/(V247-D247))*D247)+T247/H247)/($B$14*(I247+IF(ABS(V247-D247)&lt;0.000000001,4*$B$19*$B$20*(D247+273)^3,$B$19*$B$20*((V247+273)^4-(D247+273)^4)/(V247-D247)))+1/H247)</f>
        <v/>
      </c>
      <c r="X247">
        <f>($B$14*(I247*C247+IF(ABS(W247-D247)&lt;0.000000001,4*$B$19*$B$20*(D247+273)^3,$B$19*$B$20*((W247+273)^4-(D247+273)^4)/(W247-D247))*D247)+T247/H247)/($B$14*(I247+IF(ABS(W247-D247)&lt;0.000000001,4*$B$19*$B$20*(D247+273)^3,$B$19*$B$20*((W247+273)^4-(D247+273)^4)/(W247-D247)))+1/H247)</f>
        <v/>
      </c>
      <c r="Y247">
        <f>($B$14*(I247*C247+IF(ABS(X247-D247)&lt;0.000000001,4*$B$19*$B$20*(D247+273)^3,$B$19*$B$20*((X247+273)^4-(D247+273)^4)/(X247-D247))*D247)+T247/H247)/($B$14*(I247+IF(ABS(X247-D247)&lt;0.000000001,4*$B$19*$B$20*(D247+273)^3,$B$19*$B$20*((X247+273)^4-(D247+273)^4)/(X247-D247)))+1/H247)</f>
        <v/>
      </c>
      <c r="Z247">
        <f>IF(ABS(Y247-D247)&lt;0.000000001,4*$B$19*$B$20*(D247+273)^3,$B$19*$B$20*((Y247+273)^4-(D247+273)^4)/(Y247-D247))</f>
        <v/>
      </c>
      <c r="AA247">
        <f>$B$14*I247*(Y247-C247)</f>
        <v/>
      </c>
      <c r="AB247">
        <f>$B$14*Z247*(Y247-D247)</f>
        <v/>
      </c>
      <c r="AC247">
        <f>IF((U247-E247)/G247=0,0.001,(U247-E247)/G247)</f>
        <v/>
      </c>
      <c r="AD247">
        <f>F247-P247-J247-K247-AA247-AB247</f>
        <v/>
      </c>
      <c r="AE247">
        <f>AD247/AC247</f>
        <v/>
      </c>
      <c r="AF247">
        <f>IF(AD247&lt;=0,0,IF(AC247&lt;=0,$B$11,IF(AE247&gt;=1.7,$B$11,MIN(AD247/MAX(0.05,IF(AE247&gt;1,(2-AE247)^2/2,1-AE247^2/2)),$B$11))))</f>
        <v/>
      </c>
      <c r="AG247">
        <f>AG246*$B$28+AF247*(1-$B$28)</f>
        <v/>
      </c>
      <c r="AH247">
        <f>IF(AND(AD247&gt;0,AC247&lt;=0),0,AC247)</f>
        <v/>
      </c>
      <c r="AI247">
        <f>AH247/MAX(AG247,0.000001)</f>
        <v/>
      </c>
      <c r="AJ247">
        <f>MIN(IF(AI247&gt;=0.5,-AI247+SQRT(AI247^2+2),1),$B$12)</f>
        <v/>
      </c>
      <c r="AK247">
        <f>IF(AG247&lt;=0,0,AJ247*AH247)</f>
        <v/>
      </c>
      <c r="AL247">
        <f>IF(AD247&lt;=0,0,AD247)</f>
        <v/>
      </c>
      <c r="AM247">
        <f>AL247-AK247+P247</f>
        <v/>
      </c>
      <c r="AN247">
        <f>((AM247/$B$7+T246*AS246/2-T247*MAX(0.1,MIN(0.3,0.3-0.09*(AR246-36.8)))/2)+AR246*(1-AS246/2))/(1-MAX(0.1,MIN(0.3,0.3-0.09*(AR246-36.8)))/2)</f>
        <v/>
      </c>
      <c r="AO247">
        <f>((AM247/$B$7+T246*AS246/2-T247*MAX(0.1,MIN(0.3,0.3-0.09*(AN247-36.8)))/2)+AR246*(1-AS246/2))/(1-MAX(0.1,MIN(0.3,0.3-0.09*(AN247-36.8)))/2)</f>
        <v/>
      </c>
      <c r="AP247">
        <f>((AM247/$B$7+T246*AS246/2-T247*MAX(0.1,MIN(0.3,0.3-0.09*(AO247-36.8)))/2)+AR246*(1-AS246/2))/(1-MAX(0.1,MIN(0.3,0.3-0.09*(AO247-36.8)))/2)</f>
        <v/>
      </c>
      <c r="AQ247">
        <f>((AM247/$B$7+T246*AS246/2-T247*MAX(0.1,MIN(0.3,0.3-0.09*(AP247-36.8)))/2)+AR246*(1-AS246/2))/(1-MAX(0.1,MIN(0.3,0.3-0.09*(AP247-36.8)))/2)</f>
        <v/>
      </c>
      <c r="AR247">
        <f>((AM247/$B$7+T246*AS246/2-T247*MAX(0.1,MIN(0.3,0.3-0.09*(AQ247-36.8)))/2)+AR246*(1-AS246/2))/(1-MAX(0.1,MIN(0.3,0.3-0.09*(AQ247-36.8)))/2)</f>
        <v/>
      </c>
      <c r="AS247">
        <f>MAX(0.1,MIN(0.3,0.3-0.09*(AR247-36.8)))</f>
        <v/>
      </c>
      <c r="AT247">
        <f>AT246+(2*AR247-1.962*AT246-1.31)/9</f>
        <v/>
      </c>
      <c r="AU247">
        <f>AU246+AG247+K247</f>
        <v/>
      </c>
      <c r="AV247">
        <f>AU247*2.67*$B$6/1.8/60</f>
        <v/>
      </c>
      <c r="AW247">
        <f>IF(AT247&gt;=$B$36,1,0)</f>
        <v/>
      </c>
      <c r="AX247">
        <f>IF(AV247&gt;=$B$21,1,0)</f>
        <v/>
      </c>
    </row>
    <row r="248">
      <c r="A248" t="n">
        <v>175</v>
      </c>
      <c r="B248">
        <f>MATCH(A248-1,$D$61:$D$68,1)</f>
        <v/>
      </c>
      <c r="C248">
        <f>INDEX($G$61:$G$68,B248)</f>
        <v/>
      </c>
      <c r="D248">
        <f>INDEX($L$61:$L$68,B248)</f>
        <v/>
      </c>
      <c r="E248">
        <f>INDEX($M$61:$M$68,B248)</f>
        <v/>
      </c>
      <c r="F248">
        <f>INDEX($N$61:$N$68,B248)</f>
        <v/>
      </c>
      <c r="G248">
        <f>INDEX($AA$61:$AA$68,B248)</f>
        <v/>
      </c>
      <c r="H248">
        <f>INDEX($X$61:$X$68,B248)</f>
        <v/>
      </c>
      <c r="I248">
        <f>INDEX($AF$61:$AF$68,B248)</f>
        <v/>
      </c>
      <c r="J248">
        <f>INDEX($AC$61:$AC$68,B248)</f>
        <v/>
      </c>
      <c r="K248">
        <f>INDEX($AD$61:$AD$68,B248)</f>
        <v/>
      </c>
      <c r="L248">
        <f>INDEX($AG$61:$AG$68,B248)</f>
        <v/>
      </c>
      <c r="M248">
        <f>INDEX($AH$61:$AH$68,B248)</f>
        <v/>
      </c>
      <c r="N248">
        <f>INDEX($AI$61:$AI$68,B248)</f>
        <v/>
      </c>
      <c r="O248">
        <f>O247*$B$26+L248*(1-$B$26)</f>
        <v/>
      </c>
      <c r="P248">
        <f>$B$7*(O248-O247)*(1-AS247)</f>
        <v/>
      </c>
      <c r="Q248">
        <f>M248+0.51274*AT247</f>
        <v/>
      </c>
      <c r="R248">
        <f>N248+0.616*AT247</f>
        <v/>
      </c>
      <c r="S248">
        <f>IF($B$13&gt;=0.6,Q248,IF($B$13&lt;=0.2,R248,R248+2.5*(Q248-R248)*($B$13-0.2)))</f>
        <v/>
      </c>
      <c r="T248">
        <f>IF(A248=1,S248,T247*$B$27+S248*(1-$B$27))</f>
        <v/>
      </c>
      <c r="U248">
        <f>0.6105*EXP(17.27*T248/(T248+237.3))</f>
        <v/>
      </c>
      <c r="V248">
        <f>($B$14*(I248*C248+IF(ABS((D248+0.1)-D248)&lt;0.000000001,4*$B$19*$B$20*(D248+273)^3,$B$19*$B$20*(((D248+0.1)+273)^4-(D248+273)^4)/((D248+0.1)-D248))*D248)+T248/H248)/($B$14*(I248+IF(ABS((D248+0.1)-D248)&lt;0.000000001,4*$B$19*$B$20*(D248+273)^3,$B$19*$B$20*(((D248+0.1)+273)^4-(D248+273)^4)/((D248+0.1)-D248)))+1/H248)</f>
        <v/>
      </c>
      <c r="W248">
        <f>($B$14*(I248*C248+IF(ABS(V248-D248)&lt;0.000000001,4*$B$19*$B$20*(D248+273)^3,$B$19*$B$20*((V248+273)^4-(D248+273)^4)/(V248-D248))*D248)+T248/H248)/($B$14*(I248+IF(ABS(V248-D248)&lt;0.000000001,4*$B$19*$B$20*(D248+273)^3,$B$19*$B$20*((V248+273)^4-(D248+273)^4)/(V248-D248)))+1/H248)</f>
        <v/>
      </c>
      <c r="X248">
        <f>($B$14*(I248*C248+IF(ABS(W248-D248)&lt;0.000000001,4*$B$19*$B$20*(D248+273)^3,$B$19*$B$20*((W248+273)^4-(D248+273)^4)/(W248-D248))*D248)+T248/H248)/($B$14*(I248+IF(ABS(W248-D248)&lt;0.000000001,4*$B$19*$B$20*(D248+273)^3,$B$19*$B$20*((W248+273)^4-(D248+273)^4)/(W248-D248)))+1/H248)</f>
        <v/>
      </c>
      <c r="Y248">
        <f>($B$14*(I248*C248+IF(ABS(X248-D248)&lt;0.000000001,4*$B$19*$B$20*(D248+273)^3,$B$19*$B$20*((X248+273)^4-(D248+273)^4)/(X248-D248))*D248)+T248/H248)/($B$14*(I248+IF(ABS(X248-D248)&lt;0.000000001,4*$B$19*$B$20*(D248+273)^3,$B$19*$B$20*((X248+273)^4-(D248+273)^4)/(X248-D248)))+1/H248)</f>
        <v/>
      </c>
      <c r="Z248">
        <f>IF(ABS(Y248-D248)&lt;0.000000001,4*$B$19*$B$20*(D248+273)^3,$B$19*$B$20*((Y248+273)^4-(D248+273)^4)/(Y248-D248))</f>
        <v/>
      </c>
      <c r="AA248">
        <f>$B$14*I248*(Y248-C248)</f>
        <v/>
      </c>
      <c r="AB248">
        <f>$B$14*Z248*(Y248-D248)</f>
        <v/>
      </c>
      <c r="AC248">
        <f>IF((U248-E248)/G248=0,0.001,(U248-E248)/G248)</f>
        <v/>
      </c>
      <c r="AD248">
        <f>F248-P248-J248-K248-AA248-AB248</f>
        <v/>
      </c>
      <c r="AE248">
        <f>AD248/AC248</f>
        <v/>
      </c>
      <c r="AF248">
        <f>IF(AD248&lt;=0,0,IF(AC248&lt;=0,$B$11,IF(AE248&gt;=1.7,$B$11,MIN(AD248/MAX(0.05,IF(AE248&gt;1,(2-AE248)^2/2,1-AE248^2/2)),$B$11))))</f>
        <v/>
      </c>
      <c r="AG248">
        <f>AG247*$B$28+AF248*(1-$B$28)</f>
        <v/>
      </c>
      <c r="AH248">
        <f>IF(AND(AD248&gt;0,AC248&lt;=0),0,AC248)</f>
        <v/>
      </c>
      <c r="AI248">
        <f>AH248/MAX(AG248,0.000001)</f>
        <v/>
      </c>
      <c r="AJ248">
        <f>MIN(IF(AI248&gt;=0.5,-AI248+SQRT(AI248^2+2),1),$B$12)</f>
        <v/>
      </c>
      <c r="AK248">
        <f>IF(AG248&lt;=0,0,AJ248*AH248)</f>
        <v/>
      </c>
      <c r="AL248">
        <f>IF(AD248&lt;=0,0,AD248)</f>
        <v/>
      </c>
      <c r="AM248">
        <f>AL248-AK248+P248</f>
        <v/>
      </c>
      <c r="AN248">
        <f>((AM248/$B$7+T247*AS247/2-T248*MAX(0.1,MIN(0.3,0.3-0.09*(AR247-36.8)))/2)+AR247*(1-AS247/2))/(1-MAX(0.1,MIN(0.3,0.3-0.09*(AR247-36.8)))/2)</f>
        <v/>
      </c>
      <c r="AO248">
        <f>((AM248/$B$7+T247*AS247/2-T248*MAX(0.1,MIN(0.3,0.3-0.09*(AN248-36.8)))/2)+AR247*(1-AS247/2))/(1-MAX(0.1,MIN(0.3,0.3-0.09*(AN248-36.8)))/2)</f>
        <v/>
      </c>
      <c r="AP248">
        <f>((AM248/$B$7+T247*AS247/2-T248*MAX(0.1,MIN(0.3,0.3-0.09*(AO248-36.8)))/2)+AR247*(1-AS247/2))/(1-MAX(0.1,MIN(0.3,0.3-0.09*(AO248-36.8)))/2)</f>
        <v/>
      </c>
      <c r="AQ248">
        <f>((AM248/$B$7+T247*AS247/2-T248*MAX(0.1,MIN(0.3,0.3-0.09*(AP248-36.8)))/2)+AR247*(1-AS247/2))/(1-MAX(0.1,MIN(0.3,0.3-0.09*(AP248-36.8)))/2)</f>
        <v/>
      </c>
      <c r="AR248">
        <f>((AM248/$B$7+T247*AS247/2-T248*MAX(0.1,MIN(0.3,0.3-0.09*(AQ248-36.8)))/2)+AR247*(1-AS247/2))/(1-MAX(0.1,MIN(0.3,0.3-0.09*(AQ248-36.8)))/2)</f>
        <v/>
      </c>
      <c r="AS248">
        <f>MAX(0.1,MIN(0.3,0.3-0.09*(AR248-36.8)))</f>
        <v/>
      </c>
      <c r="AT248">
        <f>AT247+(2*AR248-1.962*AT247-1.31)/9</f>
        <v/>
      </c>
      <c r="AU248">
        <f>AU247+AG248+K248</f>
        <v/>
      </c>
      <c r="AV248">
        <f>AU248*2.67*$B$6/1.8/60</f>
        <v/>
      </c>
      <c r="AW248">
        <f>IF(AT248&gt;=$B$36,1,0)</f>
        <v/>
      </c>
      <c r="AX248">
        <f>IF(AV248&gt;=$B$21,1,0)</f>
        <v/>
      </c>
    </row>
    <row r="249">
      <c r="A249" t="n">
        <v>176</v>
      </c>
      <c r="B249">
        <f>MATCH(A249-1,$D$61:$D$68,1)</f>
        <v/>
      </c>
      <c r="C249">
        <f>INDEX($G$61:$G$68,B249)</f>
        <v/>
      </c>
      <c r="D249">
        <f>INDEX($L$61:$L$68,B249)</f>
        <v/>
      </c>
      <c r="E249">
        <f>INDEX($M$61:$M$68,B249)</f>
        <v/>
      </c>
      <c r="F249">
        <f>INDEX($N$61:$N$68,B249)</f>
        <v/>
      </c>
      <c r="G249">
        <f>INDEX($AA$61:$AA$68,B249)</f>
        <v/>
      </c>
      <c r="H249">
        <f>INDEX($X$61:$X$68,B249)</f>
        <v/>
      </c>
      <c r="I249">
        <f>INDEX($AF$61:$AF$68,B249)</f>
        <v/>
      </c>
      <c r="J249">
        <f>INDEX($AC$61:$AC$68,B249)</f>
        <v/>
      </c>
      <c r="K249">
        <f>INDEX($AD$61:$AD$68,B249)</f>
        <v/>
      </c>
      <c r="L249">
        <f>INDEX($AG$61:$AG$68,B249)</f>
        <v/>
      </c>
      <c r="M249">
        <f>INDEX($AH$61:$AH$68,B249)</f>
        <v/>
      </c>
      <c r="N249">
        <f>INDEX($AI$61:$AI$68,B249)</f>
        <v/>
      </c>
      <c r="O249">
        <f>O248*$B$26+L249*(1-$B$26)</f>
        <v/>
      </c>
      <c r="P249">
        <f>$B$7*(O249-O248)*(1-AS248)</f>
        <v/>
      </c>
      <c r="Q249">
        <f>M249+0.51274*AT248</f>
        <v/>
      </c>
      <c r="R249">
        <f>N249+0.616*AT248</f>
        <v/>
      </c>
      <c r="S249">
        <f>IF($B$13&gt;=0.6,Q249,IF($B$13&lt;=0.2,R249,R249+2.5*(Q249-R249)*($B$13-0.2)))</f>
        <v/>
      </c>
      <c r="T249">
        <f>IF(A249=1,S249,T248*$B$27+S249*(1-$B$27))</f>
        <v/>
      </c>
      <c r="U249">
        <f>0.6105*EXP(17.27*T249/(T249+237.3))</f>
        <v/>
      </c>
      <c r="V249">
        <f>($B$14*(I249*C249+IF(ABS((D249+0.1)-D249)&lt;0.000000001,4*$B$19*$B$20*(D249+273)^3,$B$19*$B$20*(((D249+0.1)+273)^4-(D249+273)^4)/((D249+0.1)-D249))*D249)+T249/H249)/($B$14*(I249+IF(ABS((D249+0.1)-D249)&lt;0.000000001,4*$B$19*$B$20*(D249+273)^3,$B$19*$B$20*(((D249+0.1)+273)^4-(D249+273)^4)/((D249+0.1)-D249)))+1/H249)</f>
        <v/>
      </c>
      <c r="W249">
        <f>($B$14*(I249*C249+IF(ABS(V249-D249)&lt;0.000000001,4*$B$19*$B$20*(D249+273)^3,$B$19*$B$20*((V249+273)^4-(D249+273)^4)/(V249-D249))*D249)+T249/H249)/($B$14*(I249+IF(ABS(V249-D249)&lt;0.000000001,4*$B$19*$B$20*(D249+273)^3,$B$19*$B$20*((V249+273)^4-(D249+273)^4)/(V249-D249)))+1/H249)</f>
        <v/>
      </c>
      <c r="X249">
        <f>($B$14*(I249*C249+IF(ABS(W249-D249)&lt;0.000000001,4*$B$19*$B$20*(D249+273)^3,$B$19*$B$20*((W249+273)^4-(D249+273)^4)/(W249-D249))*D249)+T249/H249)/($B$14*(I249+IF(ABS(W249-D249)&lt;0.000000001,4*$B$19*$B$20*(D249+273)^3,$B$19*$B$20*((W249+273)^4-(D249+273)^4)/(W249-D249)))+1/H249)</f>
        <v/>
      </c>
      <c r="Y249">
        <f>($B$14*(I249*C249+IF(ABS(X249-D249)&lt;0.000000001,4*$B$19*$B$20*(D249+273)^3,$B$19*$B$20*((X249+273)^4-(D249+273)^4)/(X249-D249))*D249)+T249/H249)/($B$14*(I249+IF(ABS(X249-D249)&lt;0.000000001,4*$B$19*$B$20*(D249+273)^3,$B$19*$B$20*((X249+273)^4-(D249+273)^4)/(X249-D249)))+1/H249)</f>
        <v/>
      </c>
      <c r="Z249">
        <f>IF(ABS(Y249-D249)&lt;0.000000001,4*$B$19*$B$20*(D249+273)^3,$B$19*$B$20*((Y249+273)^4-(D249+273)^4)/(Y249-D249))</f>
        <v/>
      </c>
      <c r="AA249">
        <f>$B$14*I249*(Y249-C249)</f>
        <v/>
      </c>
      <c r="AB249">
        <f>$B$14*Z249*(Y249-D249)</f>
        <v/>
      </c>
      <c r="AC249">
        <f>IF((U249-E249)/G249=0,0.001,(U249-E249)/G249)</f>
        <v/>
      </c>
      <c r="AD249">
        <f>F249-P249-J249-K249-AA249-AB249</f>
        <v/>
      </c>
      <c r="AE249">
        <f>AD249/AC249</f>
        <v/>
      </c>
      <c r="AF249">
        <f>IF(AD249&lt;=0,0,IF(AC249&lt;=0,$B$11,IF(AE249&gt;=1.7,$B$11,MIN(AD249/MAX(0.05,IF(AE249&gt;1,(2-AE249)^2/2,1-AE249^2/2)),$B$11))))</f>
        <v/>
      </c>
      <c r="AG249">
        <f>AG248*$B$28+AF249*(1-$B$28)</f>
        <v/>
      </c>
      <c r="AH249">
        <f>IF(AND(AD249&gt;0,AC249&lt;=0),0,AC249)</f>
        <v/>
      </c>
      <c r="AI249">
        <f>AH249/MAX(AG249,0.000001)</f>
        <v/>
      </c>
      <c r="AJ249">
        <f>MIN(IF(AI249&gt;=0.5,-AI249+SQRT(AI249^2+2),1),$B$12)</f>
        <v/>
      </c>
      <c r="AK249">
        <f>IF(AG249&lt;=0,0,AJ249*AH249)</f>
        <v/>
      </c>
      <c r="AL249">
        <f>IF(AD249&lt;=0,0,AD249)</f>
        <v/>
      </c>
      <c r="AM249">
        <f>AL249-AK249+P249</f>
        <v/>
      </c>
      <c r="AN249">
        <f>((AM249/$B$7+T248*AS248/2-T249*MAX(0.1,MIN(0.3,0.3-0.09*(AR248-36.8)))/2)+AR248*(1-AS248/2))/(1-MAX(0.1,MIN(0.3,0.3-0.09*(AR248-36.8)))/2)</f>
        <v/>
      </c>
      <c r="AO249">
        <f>((AM249/$B$7+T248*AS248/2-T249*MAX(0.1,MIN(0.3,0.3-0.09*(AN249-36.8)))/2)+AR248*(1-AS248/2))/(1-MAX(0.1,MIN(0.3,0.3-0.09*(AN249-36.8)))/2)</f>
        <v/>
      </c>
      <c r="AP249">
        <f>((AM249/$B$7+T248*AS248/2-T249*MAX(0.1,MIN(0.3,0.3-0.09*(AO249-36.8)))/2)+AR248*(1-AS248/2))/(1-MAX(0.1,MIN(0.3,0.3-0.09*(AO249-36.8)))/2)</f>
        <v/>
      </c>
      <c r="AQ249">
        <f>((AM249/$B$7+T248*AS248/2-T249*MAX(0.1,MIN(0.3,0.3-0.09*(AP249-36.8)))/2)+AR248*(1-AS248/2))/(1-MAX(0.1,MIN(0.3,0.3-0.09*(AP249-36.8)))/2)</f>
        <v/>
      </c>
      <c r="AR249">
        <f>((AM249/$B$7+T248*AS248/2-T249*MAX(0.1,MIN(0.3,0.3-0.09*(AQ249-36.8)))/2)+AR248*(1-AS248/2))/(1-MAX(0.1,MIN(0.3,0.3-0.09*(AQ249-36.8)))/2)</f>
        <v/>
      </c>
      <c r="AS249">
        <f>MAX(0.1,MIN(0.3,0.3-0.09*(AR249-36.8)))</f>
        <v/>
      </c>
      <c r="AT249">
        <f>AT248+(2*AR249-1.962*AT248-1.31)/9</f>
        <v/>
      </c>
      <c r="AU249">
        <f>AU248+AG249+K249</f>
        <v/>
      </c>
      <c r="AV249">
        <f>AU249*2.67*$B$6/1.8/60</f>
        <v/>
      </c>
      <c r="AW249">
        <f>IF(AT249&gt;=$B$36,1,0)</f>
        <v/>
      </c>
      <c r="AX249">
        <f>IF(AV249&gt;=$B$21,1,0)</f>
        <v/>
      </c>
    </row>
    <row r="250">
      <c r="A250" t="n">
        <v>177</v>
      </c>
      <c r="B250">
        <f>MATCH(A250-1,$D$61:$D$68,1)</f>
        <v/>
      </c>
      <c r="C250">
        <f>INDEX($G$61:$G$68,B250)</f>
        <v/>
      </c>
      <c r="D250">
        <f>INDEX($L$61:$L$68,B250)</f>
        <v/>
      </c>
      <c r="E250">
        <f>INDEX($M$61:$M$68,B250)</f>
        <v/>
      </c>
      <c r="F250">
        <f>INDEX($N$61:$N$68,B250)</f>
        <v/>
      </c>
      <c r="G250">
        <f>INDEX($AA$61:$AA$68,B250)</f>
        <v/>
      </c>
      <c r="H250">
        <f>INDEX($X$61:$X$68,B250)</f>
        <v/>
      </c>
      <c r="I250">
        <f>INDEX($AF$61:$AF$68,B250)</f>
        <v/>
      </c>
      <c r="J250">
        <f>INDEX($AC$61:$AC$68,B250)</f>
        <v/>
      </c>
      <c r="K250">
        <f>INDEX($AD$61:$AD$68,B250)</f>
        <v/>
      </c>
      <c r="L250">
        <f>INDEX($AG$61:$AG$68,B250)</f>
        <v/>
      </c>
      <c r="M250">
        <f>INDEX($AH$61:$AH$68,B250)</f>
        <v/>
      </c>
      <c r="N250">
        <f>INDEX($AI$61:$AI$68,B250)</f>
        <v/>
      </c>
      <c r="O250">
        <f>O249*$B$26+L250*(1-$B$26)</f>
        <v/>
      </c>
      <c r="P250">
        <f>$B$7*(O250-O249)*(1-AS249)</f>
        <v/>
      </c>
      <c r="Q250">
        <f>M250+0.51274*AT249</f>
        <v/>
      </c>
      <c r="R250">
        <f>N250+0.616*AT249</f>
        <v/>
      </c>
      <c r="S250">
        <f>IF($B$13&gt;=0.6,Q250,IF($B$13&lt;=0.2,R250,R250+2.5*(Q250-R250)*($B$13-0.2)))</f>
        <v/>
      </c>
      <c r="T250">
        <f>IF(A250=1,S250,T249*$B$27+S250*(1-$B$27))</f>
        <v/>
      </c>
      <c r="U250">
        <f>0.6105*EXP(17.27*T250/(T250+237.3))</f>
        <v/>
      </c>
      <c r="V250">
        <f>($B$14*(I250*C250+IF(ABS((D250+0.1)-D250)&lt;0.000000001,4*$B$19*$B$20*(D250+273)^3,$B$19*$B$20*(((D250+0.1)+273)^4-(D250+273)^4)/((D250+0.1)-D250))*D250)+T250/H250)/($B$14*(I250+IF(ABS((D250+0.1)-D250)&lt;0.000000001,4*$B$19*$B$20*(D250+273)^3,$B$19*$B$20*(((D250+0.1)+273)^4-(D250+273)^4)/((D250+0.1)-D250)))+1/H250)</f>
        <v/>
      </c>
      <c r="W250">
        <f>($B$14*(I250*C250+IF(ABS(V250-D250)&lt;0.000000001,4*$B$19*$B$20*(D250+273)^3,$B$19*$B$20*((V250+273)^4-(D250+273)^4)/(V250-D250))*D250)+T250/H250)/($B$14*(I250+IF(ABS(V250-D250)&lt;0.000000001,4*$B$19*$B$20*(D250+273)^3,$B$19*$B$20*((V250+273)^4-(D250+273)^4)/(V250-D250)))+1/H250)</f>
        <v/>
      </c>
      <c r="X250">
        <f>($B$14*(I250*C250+IF(ABS(W250-D250)&lt;0.000000001,4*$B$19*$B$20*(D250+273)^3,$B$19*$B$20*((W250+273)^4-(D250+273)^4)/(W250-D250))*D250)+T250/H250)/($B$14*(I250+IF(ABS(W250-D250)&lt;0.000000001,4*$B$19*$B$20*(D250+273)^3,$B$19*$B$20*((W250+273)^4-(D250+273)^4)/(W250-D250)))+1/H250)</f>
        <v/>
      </c>
      <c r="Y250">
        <f>($B$14*(I250*C250+IF(ABS(X250-D250)&lt;0.000000001,4*$B$19*$B$20*(D250+273)^3,$B$19*$B$20*((X250+273)^4-(D250+273)^4)/(X250-D250))*D250)+T250/H250)/($B$14*(I250+IF(ABS(X250-D250)&lt;0.000000001,4*$B$19*$B$20*(D250+273)^3,$B$19*$B$20*((X250+273)^4-(D250+273)^4)/(X250-D250)))+1/H250)</f>
        <v/>
      </c>
      <c r="Z250">
        <f>IF(ABS(Y250-D250)&lt;0.000000001,4*$B$19*$B$20*(D250+273)^3,$B$19*$B$20*((Y250+273)^4-(D250+273)^4)/(Y250-D250))</f>
        <v/>
      </c>
      <c r="AA250">
        <f>$B$14*I250*(Y250-C250)</f>
        <v/>
      </c>
      <c r="AB250">
        <f>$B$14*Z250*(Y250-D250)</f>
        <v/>
      </c>
      <c r="AC250">
        <f>IF((U250-E250)/G250=0,0.001,(U250-E250)/G250)</f>
        <v/>
      </c>
      <c r="AD250">
        <f>F250-P250-J250-K250-AA250-AB250</f>
        <v/>
      </c>
      <c r="AE250">
        <f>AD250/AC250</f>
        <v/>
      </c>
      <c r="AF250">
        <f>IF(AD250&lt;=0,0,IF(AC250&lt;=0,$B$11,IF(AE250&gt;=1.7,$B$11,MIN(AD250/MAX(0.05,IF(AE250&gt;1,(2-AE250)^2/2,1-AE250^2/2)),$B$11))))</f>
        <v/>
      </c>
      <c r="AG250">
        <f>AG249*$B$28+AF250*(1-$B$28)</f>
        <v/>
      </c>
      <c r="AH250">
        <f>IF(AND(AD250&gt;0,AC250&lt;=0),0,AC250)</f>
        <v/>
      </c>
      <c r="AI250">
        <f>AH250/MAX(AG250,0.000001)</f>
        <v/>
      </c>
      <c r="AJ250">
        <f>MIN(IF(AI250&gt;=0.5,-AI250+SQRT(AI250^2+2),1),$B$12)</f>
        <v/>
      </c>
      <c r="AK250">
        <f>IF(AG250&lt;=0,0,AJ250*AH250)</f>
        <v/>
      </c>
      <c r="AL250">
        <f>IF(AD250&lt;=0,0,AD250)</f>
        <v/>
      </c>
      <c r="AM250">
        <f>AL250-AK250+P250</f>
        <v/>
      </c>
      <c r="AN250">
        <f>((AM250/$B$7+T249*AS249/2-T250*MAX(0.1,MIN(0.3,0.3-0.09*(AR249-36.8)))/2)+AR249*(1-AS249/2))/(1-MAX(0.1,MIN(0.3,0.3-0.09*(AR249-36.8)))/2)</f>
        <v/>
      </c>
      <c r="AO250">
        <f>((AM250/$B$7+T249*AS249/2-T250*MAX(0.1,MIN(0.3,0.3-0.09*(AN250-36.8)))/2)+AR249*(1-AS249/2))/(1-MAX(0.1,MIN(0.3,0.3-0.09*(AN250-36.8)))/2)</f>
        <v/>
      </c>
      <c r="AP250">
        <f>((AM250/$B$7+T249*AS249/2-T250*MAX(0.1,MIN(0.3,0.3-0.09*(AO250-36.8)))/2)+AR249*(1-AS249/2))/(1-MAX(0.1,MIN(0.3,0.3-0.09*(AO250-36.8)))/2)</f>
        <v/>
      </c>
      <c r="AQ250">
        <f>((AM250/$B$7+T249*AS249/2-T250*MAX(0.1,MIN(0.3,0.3-0.09*(AP250-36.8)))/2)+AR249*(1-AS249/2))/(1-MAX(0.1,MIN(0.3,0.3-0.09*(AP250-36.8)))/2)</f>
        <v/>
      </c>
      <c r="AR250">
        <f>((AM250/$B$7+T249*AS249/2-T250*MAX(0.1,MIN(0.3,0.3-0.09*(AQ250-36.8)))/2)+AR249*(1-AS249/2))/(1-MAX(0.1,MIN(0.3,0.3-0.09*(AQ250-36.8)))/2)</f>
        <v/>
      </c>
      <c r="AS250">
        <f>MAX(0.1,MIN(0.3,0.3-0.09*(AR250-36.8)))</f>
        <v/>
      </c>
      <c r="AT250">
        <f>AT249+(2*AR250-1.962*AT249-1.31)/9</f>
        <v/>
      </c>
      <c r="AU250">
        <f>AU249+AG250+K250</f>
        <v/>
      </c>
      <c r="AV250">
        <f>AU250*2.67*$B$6/1.8/60</f>
        <v/>
      </c>
      <c r="AW250">
        <f>IF(AT250&gt;=$B$36,1,0)</f>
        <v/>
      </c>
      <c r="AX250">
        <f>IF(AV250&gt;=$B$21,1,0)</f>
        <v/>
      </c>
    </row>
    <row r="251">
      <c r="A251" t="n">
        <v>178</v>
      </c>
      <c r="B251">
        <f>MATCH(A251-1,$D$61:$D$68,1)</f>
        <v/>
      </c>
      <c r="C251">
        <f>INDEX($G$61:$G$68,B251)</f>
        <v/>
      </c>
      <c r="D251">
        <f>INDEX($L$61:$L$68,B251)</f>
        <v/>
      </c>
      <c r="E251">
        <f>INDEX($M$61:$M$68,B251)</f>
        <v/>
      </c>
      <c r="F251">
        <f>INDEX($N$61:$N$68,B251)</f>
        <v/>
      </c>
      <c r="G251">
        <f>INDEX($AA$61:$AA$68,B251)</f>
        <v/>
      </c>
      <c r="H251">
        <f>INDEX($X$61:$X$68,B251)</f>
        <v/>
      </c>
      <c r="I251">
        <f>INDEX($AF$61:$AF$68,B251)</f>
        <v/>
      </c>
      <c r="J251">
        <f>INDEX($AC$61:$AC$68,B251)</f>
        <v/>
      </c>
      <c r="K251">
        <f>INDEX($AD$61:$AD$68,B251)</f>
        <v/>
      </c>
      <c r="L251">
        <f>INDEX($AG$61:$AG$68,B251)</f>
        <v/>
      </c>
      <c r="M251">
        <f>INDEX($AH$61:$AH$68,B251)</f>
        <v/>
      </c>
      <c r="N251">
        <f>INDEX($AI$61:$AI$68,B251)</f>
        <v/>
      </c>
      <c r="O251">
        <f>O250*$B$26+L251*(1-$B$26)</f>
        <v/>
      </c>
      <c r="P251">
        <f>$B$7*(O251-O250)*(1-AS250)</f>
        <v/>
      </c>
      <c r="Q251">
        <f>M251+0.51274*AT250</f>
        <v/>
      </c>
      <c r="R251">
        <f>N251+0.616*AT250</f>
        <v/>
      </c>
      <c r="S251">
        <f>IF($B$13&gt;=0.6,Q251,IF($B$13&lt;=0.2,R251,R251+2.5*(Q251-R251)*($B$13-0.2)))</f>
        <v/>
      </c>
      <c r="T251">
        <f>IF(A251=1,S251,T250*$B$27+S251*(1-$B$27))</f>
        <v/>
      </c>
      <c r="U251">
        <f>0.6105*EXP(17.27*T251/(T251+237.3))</f>
        <v/>
      </c>
      <c r="V251">
        <f>($B$14*(I251*C251+IF(ABS((D251+0.1)-D251)&lt;0.000000001,4*$B$19*$B$20*(D251+273)^3,$B$19*$B$20*(((D251+0.1)+273)^4-(D251+273)^4)/((D251+0.1)-D251))*D251)+T251/H251)/($B$14*(I251+IF(ABS((D251+0.1)-D251)&lt;0.000000001,4*$B$19*$B$20*(D251+273)^3,$B$19*$B$20*(((D251+0.1)+273)^4-(D251+273)^4)/((D251+0.1)-D251)))+1/H251)</f>
        <v/>
      </c>
      <c r="W251">
        <f>($B$14*(I251*C251+IF(ABS(V251-D251)&lt;0.000000001,4*$B$19*$B$20*(D251+273)^3,$B$19*$B$20*((V251+273)^4-(D251+273)^4)/(V251-D251))*D251)+T251/H251)/($B$14*(I251+IF(ABS(V251-D251)&lt;0.000000001,4*$B$19*$B$20*(D251+273)^3,$B$19*$B$20*((V251+273)^4-(D251+273)^4)/(V251-D251)))+1/H251)</f>
        <v/>
      </c>
      <c r="X251">
        <f>($B$14*(I251*C251+IF(ABS(W251-D251)&lt;0.000000001,4*$B$19*$B$20*(D251+273)^3,$B$19*$B$20*((W251+273)^4-(D251+273)^4)/(W251-D251))*D251)+T251/H251)/($B$14*(I251+IF(ABS(W251-D251)&lt;0.000000001,4*$B$19*$B$20*(D251+273)^3,$B$19*$B$20*((W251+273)^4-(D251+273)^4)/(W251-D251)))+1/H251)</f>
        <v/>
      </c>
      <c r="Y251">
        <f>($B$14*(I251*C251+IF(ABS(X251-D251)&lt;0.000000001,4*$B$19*$B$20*(D251+273)^3,$B$19*$B$20*((X251+273)^4-(D251+273)^4)/(X251-D251))*D251)+T251/H251)/($B$14*(I251+IF(ABS(X251-D251)&lt;0.000000001,4*$B$19*$B$20*(D251+273)^3,$B$19*$B$20*((X251+273)^4-(D251+273)^4)/(X251-D251)))+1/H251)</f>
        <v/>
      </c>
      <c r="Z251">
        <f>IF(ABS(Y251-D251)&lt;0.000000001,4*$B$19*$B$20*(D251+273)^3,$B$19*$B$20*((Y251+273)^4-(D251+273)^4)/(Y251-D251))</f>
        <v/>
      </c>
      <c r="AA251">
        <f>$B$14*I251*(Y251-C251)</f>
        <v/>
      </c>
      <c r="AB251">
        <f>$B$14*Z251*(Y251-D251)</f>
        <v/>
      </c>
      <c r="AC251">
        <f>IF((U251-E251)/G251=0,0.001,(U251-E251)/G251)</f>
        <v/>
      </c>
      <c r="AD251">
        <f>F251-P251-J251-K251-AA251-AB251</f>
        <v/>
      </c>
      <c r="AE251">
        <f>AD251/AC251</f>
        <v/>
      </c>
      <c r="AF251">
        <f>IF(AD251&lt;=0,0,IF(AC251&lt;=0,$B$11,IF(AE251&gt;=1.7,$B$11,MIN(AD251/MAX(0.05,IF(AE251&gt;1,(2-AE251)^2/2,1-AE251^2/2)),$B$11))))</f>
        <v/>
      </c>
      <c r="AG251">
        <f>AG250*$B$28+AF251*(1-$B$28)</f>
        <v/>
      </c>
      <c r="AH251">
        <f>IF(AND(AD251&gt;0,AC251&lt;=0),0,AC251)</f>
        <v/>
      </c>
      <c r="AI251">
        <f>AH251/MAX(AG251,0.000001)</f>
        <v/>
      </c>
      <c r="AJ251">
        <f>MIN(IF(AI251&gt;=0.5,-AI251+SQRT(AI251^2+2),1),$B$12)</f>
        <v/>
      </c>
      <c r="AK251">
        <f>IF(AG251&lt;=0,0,AJ251*AH251)</f>
        <v/>
      </c>
      <c r="AL251">
        <f>IF(AD251&lt;=0,0,AD251)</f>
        <v/>
      </c>
      <c r="AM251">
        <f>AL251-AK251+P251</f>
        <v/>
      </c>
      <c r="AN251">
        <f>((AM251/$B$7+T250*AS250/2-T251*MAX(0.1,MIN(0.3,0.3-0.09*(AR250-36.8)))/2)+AR250*(1-AS250/2))/(1-MAX(0.1,MIN(0.3,0.3-0.09*(AR250-36.8)))/2)</f>
        <v/>
      </c>
      <c r="AO251">
        <f>((AM251/$B$7+T250*AS250/2-T251*MAX(0.1,MIN(0.3,0.3-0.09*(AN251-36.8)))/2)+AR250*(1-AS250/2))/(1-MAX(0.1,MIN(0.3,0.3-0.09*(AN251-36.8)))/2)</f>
        <v/>
      </c>
      <c r="AP251">
        <f>((AM251/$B$7+T250*AS250/2-T251*MAX(0.1,MIN(0.3,0.3-0.09*(AO251-36.8)))/2)+AR250*(1-AS250/2))/(1-MAX(0.1,MIN(0.3,0.3-0.09*(AO251-36.8)))/2)</f>
        <v/>
      </c>
      <c r="AQ251">
        <f>((AM251/$B$7+T250*AS250/2-T251*MAX(0.1,MIN(0.3,0.3-0.09*(AP251-36.8)))/2)+AR250*(1-AS250/2))/(1-MAX(0.1,MIN(0.3,0.3-0.09*(AP251-36.8)))/2)</f>
        <v/>
      </c>
      <c r="AR251">
        <f>((AM251/$B$7+T250*AS250/2-T251*MAX(0.1,MIN(0.3,0.3-0.09*(AQ251-36.8)))/2)+AR250*(1-AS250/2))/(1-MAX(0.1,MIN(0.3,0.3-0.09*(AQ251-36.8)))/2)</f>
        <v/>
      </c>
      <c r="AS251">
        <f>MAX(0.1,MIN(0.3,0.3-0.09*(AR251-36.8)))</f>
        <v/>
      </c>
      <c r="AT251">
        <f>AT250+(2*AR251-1.962*AT250-1.31)/9</f>
        <v/>
      </c>
      <c r="AU251">
        <f>AU250+AG251+K251</f>
        <v/>
      </c>
      <c r="AV251">
        <f>AU251*2.67*$B$6/1.8/60</f>
        <v/>
      </c>
      <c r="AW251">
        <f>IF(AT251&gt;=$B$36,1,0)</f>
        <v/>
      </c>
      <c r="AX251">
        <f>IF(AV251&gt;=$B$21,1,0)</f>
        <v/>
      </c>
    </row>
    <row r="252">
      <c r="A252" t="n">
        <v>179</v>
      </c>
      <c r="B252">
        <f>MATCH(A252-1,$D$61:$D$68,1)</f>
        <v/>
      </c>
      <c r="C252">
        <f>INDEX($G$61:$G$68,B252)</f>
        <v/>
      </c>
      <c r="D252">
        <f>INDEX($L$61:$L$68,B252)</f>
        <v/>
      </c>
      <c r="E252">
        <f>INDEX($M$61:$M$68,B252)</f>
        <v/>
      </c>
      <c r="F252">
        <f>INDEX($N$61:$N$68,B252)</f>
        <v/>
      </c>
      <c r="G252">
        <f>INDEX($AA$61:$AA$68,B252)</f>
        <v/>
      </c>
      <c r="H252">
        <f>INDEX($X$61:$X$68,B252)</f>
        <v/>
      </c>
      <c r="I252">
        <f>INDEX($AF$61:$AF$68,B252)</f>
        <v/>
      </c>
      <c r="J252">
        <f>INDEX($AC$61:$AC$68,B252)</f>
        <v/>
      </c>
      <c r="K252">
        <f>INDEX($AD$61:$AD$68,B252)</f>
        <v/>
      </c>
      <c r="L252">
        <f>INDEX($AG$61:$AG$68,B252)</f>
        <v/>
      </c>
      <c r="M252">
        <f>INDEX($AH$61:$AH$68,B252)</f>
        <v/>
      </c>
      <c r="N252">
        <f>INDEX($AI$61:$AI$68,B252)</f>
        <v/>
      </c>
      <c r="O252">
        <f>O251*$B$26+L252*(1-$B$26)</f>
        <v/>
      </c>
      <c r="P252">
        <f>$B$7*(O252-O251)*(1-AS251)</f>
        <v/>
      </c>
      <c r="Q252">
        <f>M252+0.51274*AT251</f>
        <v/>
      </c>
      <c r="R252">
        <f>N252+0.616*AT251</f>
        <v/>
      </c>
      <c r="S252">
        <f>IF($B$13&gt;=0.6,Q252,IF($B$13&lt;=0.2,R252,R252+2.5*(Q252-R252)*($B$13-0.2)))</f>
        <v/>
      </c>
      <c r="T252">
        <f>IF(A252=1,S252,T251*$B$27+S252*(1-$B$27))</f>
        <v/>
      </c>
      <c r="U252">
        <f>0.6105*EXP(17.27*T252/(T252+237.3))</f>
        <v/>
      </c>
      <c r="V252">
        <f>($B$14*(I252*C252+IF(ABS((D252+0.1)-D252)&lt;0.000000001,4*$B$19*$B$20*(D252+273)^3,$B$19*$B$20*(((D252+0.1)+273)^4-(D252+273)^4)/((D252+0.1)-D252))*D252)+T252/H252)/($B$14*(I252+IF(ABS((D252+0.1)-D252)&lt;0.000000001,4*$B$19*$B$20*(D252+273)^3,$B$19*$B$20*(((D252+0.1)+273)^4-(D252+273)^4)/((D252+0.1)-D252)))+1/H252)</f>
        <v/>
      </c>
      <c r="W252">
        <f>($B$14*(I252*C252+IF(ABS(V252-D252)&lt;0.000000001,4*$B$19*$B$20*(D252+273)^3,$B$19*$B$20*((V252+273)^4-(D252+273)^4)/(V252-D252))*D252)+T252/H252)/($B$14*(I252+IF(ABS(V252-D252)&lt;0.000000001,4*$B$19*$B$20*(D252+273)^3,$B$19*$B$20*((V252+273)^4-(D252+273)^4)/(V252-D252)))+1/H252)</f>
        <v/>
      </c>
      <c r="X252">
        <f>($B$14*(I252*C252+IF(ABS(W252-D252)&lt;0.000000001,4*$B$19*$B$20*(D252+273)^3,$B$19*$B$20*((W252+273)^4-(D252+273)^4)/(W252-D252))*D252)+T252/H252)/($B$14*(I252+IF(ABS(W252-D252)&lt;0.000000001,4*$B$19*$B$20*(D252+273)^3,$B$19*$B$20*((W252+273)^4-(D252+273)^4)/(W252-D252)))+1/H252)</f>
        <v/>
      </c>
      <c r="Y252">
        <f>($B$14*(I252*C252+IF(ABS(X252-D252)&lt;0.000000001,4*$B$19*$B$20*(D252+273)^3,$B$19*$B$20*((X252+273)^4-(D252+273)^4)/(X252-D252))*D252)+T252/H252)/($B$14*(I252+IF(ABS(X252-D252)&lt;0.000000001,4*$B$19*$B$20*(D252+273)^3,$B$19*$B$20*((X252+273)^4-(D252+273)^4)/(X252-D252)))+1/H252)</f>
        <v/>
      </c>
      <c r="Z252">
        <f>IF(ABS(Y252-D252)&lt;0.000000001,4*$B$19*$B$20*(D252+273)^3,$B$19*$B$20*((Y252+273)^4-(D252+273)^4)/(Y252-D252))</f>
        <v/>
      </c>
      <c r="AA252">
        <f>$B$14*I252*(Y252-C252)</f>
        <v/>
      </c>
      <c r="AB252">
        <f>$B$14*Z252*(Y252-D252)</f>
        <v/>
      </c>
      <c r="AC252">
        <f>IF((U252-E252)/G252=0,0.001,(U252-E252)/G252)</f>
        <v/>
      </c>
      <c r="AD252">
        <f>F252-P252-J252-K252-AA252-AB252</f>
        <v/>
      </c>
      <c r="AE252">
        <f>AD252/AC252</f>
        <v/>
      </c>
      <c r="AF252">
        <f>IF(AD252&lt;=0,0,IF(AC252&lt;=0,$B$11,IF(AE252&gt;=1.7,$B$11,MIN(AD252/MAX(0.05,IF(AE252&gt;1,(2-AE252)^2/2,1-AE252^2/2)),$B$11))))</f>
        <v/>
      </c>
      <c r="AG252">
        <f>AG251*$B$28+AF252*(1-$B$28)</f>
        <v/>
      </c>
      <c r="AH252">
        <f>IF(AND(AD252&gt;0,AC252&lt;=0),0,AC252)</f>
        <v/>
      </c>
      <c r="AI252">
        <f>AH252/MAX(AG252,0.000001)</f>
        <v/>
      </c>
      <c r="AJ252">
        <f>MIN(IF(AI252&gt;=0.5,-AI252+SQRT(AI252^2+2),1),$B$12)</f>
        <v/>
      </c>
      <c r="AK252">
        <f>IF(AG252&lt;=0,0,AJ252*AH252)</f>
        <v/>
      </c>
      <c r="AL252">
        <f>IF(AD252&lt;=0,0,AD252)</f>
        <v/>
      </c>
      <c r="AM252">
        <f>AL252-AK252+P252</f>
        <v/>
      </c>
      <c r="AN252">
        <f>((AM252/$B$7+T251*AS251/2-T252*MAX(0.1,MIN(0.3,0.3-0.09*(AR251-36.8)))/2)+AR251*(1-AS251/2))/(1-MAX(0.1,MIN(0.3,0.3-0.09*(AR251-36.8)))/2)</f>
        <v/>
      </c>
      <c r="AO252">
        <f>((AM252/$B$7+T251*AS251/2-T252*MAX(0.1,MIN(0.3,0.3-0.09*(AN252-36.8)))/2)+AR251*(1-AS251/2))/(1-MAX(0.1,MIN(0.3,0.3-0.09*(AN252-36.8)))/2)</f>
        <v/>
      </c>
      <c r="AP252">
        <f>((AM252/$B$7+T251*AS251/2-T252*MAX(0.1,MIN(0.3,0.3-0.09*(AO252-36.8)))/2)+AR251*(1-AS251/2))/(1-MAX(0.1,MIN(0.3,0.3-0.09*(AO252-36.8)))/2)</f>
        <v/>
      </c>
      <c r="AQ252">
        <f>((AM252/$B$7+T251*AS251/2-T252*MAX(0.1,MIN(0.3,0.3-0.09*(AP252-36.8)))/2)+AR251*(1-AS251/2))/(1-MAX(0.1,MIN(0.3,0.3-0.09*(AP252-36.8)))/2)</f>
        <v/>
      </c>
      <c r="AR252">
        <f>((AM252/$B$7+T251*AS251/2-T252*MAX(0.1,MIN(0.3,0.3-0.09*(AQ252-36.8)))/2)+AR251*(1-AS251/2))/(1-MAX(0.1,MIN(0.3,0.3-0.09*(AQ252-36.8)))/2)</f>
        <v/>
      </c>
      <c r="AS252">
        <f>MAX(0.1,MIN(0.3,0.3-0.09*(AR252-36.8)))</f>
        <v/>
      </c>
      <c r="AT252">
        <f>AT251+(2*AR252-1.962*AT251-1.31)/9</f>
        <v/>
      </c>
      <c r="AU252">
        <f>AU251+AG252+K252</f>
        <v/>
      </c>
      <c r="AV252">
        <f>AU252*2.67*$B$6/1.8/60</f>
        <v/>
      </c>
      <c r="AW252">
        <f>IF(AT252&gt;=$B$36,1,0)</f>
        <v/>
      </c>
      <c r="AX252">
        <f>IF(AV252&gt;=$B$21,1,0)</f>
        <v/>
      </c>
    </row>
    <row r="253">
      <c r="A253" t="n">
        <v>180</v>
      </c>
      <c r="B253">
        <f>MATCH(A253-1,$D$61:$D$68,1)</f>
        <v/>
      </c>
      <c r="C253">
        <f>INDEX($G$61:$G$68,B253)</f>
        <v/>
      </c>
      <c r="D253">
        <f>INDEX($L$61:$L$68,B253)</f>
        <v/>
      </c>
      <c r="E253">
        <f>INDEX($M$61:$M$68,B253)</f>
        <v/>
      </c>
      <c r="F253">
        <f>INDEX($N$61:$N$68,B253)</f>
        <v/>
      </c>
      <c r="G253">
        <f>INDEX($AA$61:$AA$68,B253)</f>
        <v/>
      </c>
      <c r="H253">
        <f>INDEX($X$61:$X$68,B253)</f>
        <v/>
      </c>
      <c r="I253">
        <f>INDEX($AF$61:$AF$68,B253)</f>
        <v/>
      </c>
      <c r="J253">
        <f>INDEX($AC$61:$AC$68,B253)</f>
        <v/>
      </c>
      <c r="K253">
        <f>INDEX($AD$61:$AD$68,B253)</f>
        <v/>
      </c>
      <c r="L253">
        <f>INDEX($AG$61:$AG$68,B253)</f>
        <v/>
      </c>
      <c r="M253">
        <f>INDEX($AH$61:$AH$68,B253)</f>
        <v/>
      </c>
      <c r="N253">
        <f>INDEX($AI$61:$AI$68,B253)</f>
        <v/>
      </c>
      <c r="O253">
        <f>O252*$B$26+L253*(1-$B$26)</f>
        <v/>
      </c>
      <c r="P253">
        <f>$B$7*(O253-O252)*(1-AS252)</f>
        <v/>
      </c>
      <c r="Q253">
        <f>M253+0.51274*AT252</f>
        <v/>
      </c>
      <c r="R253">
        <f>N253+0.616*AT252</f>
        <v/>
      </c>
      <c r="S253">
        <f>IF($B$13&gt;=0.6,Q253,IF($B$13&lt;=0.2,R253,R253+2.5*(Q253-R253)*($B$13-0.2)))</f>
        <v/>
      </c>
      <c r="T253">
        <f>IF(A253=1,S253,T252*$B$27+S253*(1-$B$27))</f>
        <v/>
      </c>
      <c r="U253">
        <f>0.6105*EXP(17.27*T253/(T253+237.3))</f>
        <v/>
      </c>
      <c r="V253">
        <f>($B$14*(I253*C253+IF(ABS((D253+0.1)-D253)&lt;0.000000001,4*$B$19*$B$20*(D253+273)^3,$B$19*$B$20*(((D253+0.1)+273)^4-(D253+273)^4)/((D253+0.1)-D253))*D253)+T253/H253)/($B$14*(I253+IF(ABS((D253+0.1)-D253)&lt;0.000000001,4*$B$19*$B$20*(D253+273)^3,$B$19*$B$20*(((D253+0.1)+273)^4-(D253+273)^4)/((D253+0.1)-D253)))+1/H253)</f>
        <v/>
      </c>
      <c r="W253">
        <f>($B$14*(I253*C253+IF(ABS(V253-D253)&lt;0.000000001,4*$B$19*$B$20*(D253+273)^3,$B$19*$B$20*((V253+273)^4-(D253+273)^4)/(V253-D253))*D253)+T253/H253)/($B$14*(I253+IF(ABS(V253-D253)&lt;0.000000001,4*$B$19*$B$20*(D253+273)^3,$B$19*$B$20*((V253+273)^4-(D253+273)^4)/(V253-D253)))+1/H253)</f>
        <v/>
      </c>
      <c r="X253">
        <f>($B$14*(I253*C253+IF(ABS(W253-D253)&lt;0.000000001,4*$B$19*$B$20*(D253+273)^3,$B$19*$B$20*((W253+273)^4-(D253+273)^4)/(W253-D253))*D253)+T253/H253)/($B$14*(I253+IF(ABS(W253-D253)&lt;0.000000001,4*$B$19*$B$20*(D253+273)^3,$B$19*$B$20*((W253+273)^4-(D253+273)^4)/(W253-D253)))+1/H253)</f>
        <v/>
      </c>
      <c r="Y253">
        <f>($B$14*(I253*C253+IF(ABS(X253-D253)&lt;0.000000001,4*$B$19*$B$20*(D253+273)^3,$B$19*$B$20*((X253+273)^4-(D253+273)^4)/(X253-D253))*D253)+T253/H253)/($B$14*(I253+IF(ABS(X253-D253)&lt;0.000000001,4*$B$19*$B$20*(D253+273)^3,$B$19*$B$20*((X253+273)^4-(D253+273)^4)/(X253-D253)))+1/H253)</f>
        <v/>
      </c>
      <c r="Z253">
        <f>IF(ABS(Y253-D253)&lt;0.000000001,4*$B$19*$B$20*(D253+273)^3,$B$19*$B$20*((Y253+273)^4-(D253+273)^4)/(Y253-D253))</f>
        <v/>
      </c>
      <c r="AA253">
        <f>$B$14*I253*(Y253-C253)</f>
        <v/>
      </c>
      <c r="AB253">
        <f>$B$14*Z253*(Y253-D253)</f>
        <v/>
      </c>
      <c r="AC253">
        <f>IF((U253-E253)/G253=0,0.001,(U253-E253)/G253)</f>
        <v/>
      </c>
      <c r="AD253">
        <f>F253-P253-J253-K253-AA253-AB253</f>
        <v/>
      </c>
      <c r="AE253">
        <f>AD253/AC253</f>
        <v/>
      </c>
      <c r="AF253">
        <f>IF(AD253&lt;=0,0,IF(AC253&lt;=0,$B$11,IF(AE253&gt;=1.7,$B$11,MIN(AD253/MAX(0.05,IF(AE253&gt;1,(2-AE253)^2/2,1-AE253^2/2)),$B$11))))</f>
        <v/>
      </c>
      <c r="AG253">
        <f>AG252*$B$28+AF253*(1-$B$28)</f>
        <v/>
      </c>
      <c r="AH253">
        <f>IF(AND(AD253&gt;0,AC253&lt;=0),0,AC253)</f>
        <v/>
      </c>
      <c r="AI253">
        <f>AH253/MAX(AG253,0.000001)</f>
        <v/>
      </c>
      <c r="AJ253">
        <f>MIN(IF(AI253&gt;=0.5,-AI253+SQRT(AI253^2+2),1),$B$12)</f>
        <v/>
      </c>
      <c r="AK253">
        <f>IF(AG253&lt;=0,0,AJ253*AH253)</f>
        <v/>
      </c>
      <c r="AL253">
        <f>IF(AD253&lt;=0,0,AD253)</f>
        <v/>
      </c>
      <c r="AM253">
        <f>AL253-AK253+P253</f>
        <v/>
      </c>
      <c r="AN253">
        <f>((AM253/$B$7+T252*AS252/2-T253*MAX(0.1,MIN(0.3,0.3-0.09*(AR252-36.8)))/2)+AR252*(1-AS252/2))/(1-MAX(0.1,MIN(0.3,0.3-0.09*(AR252-36.8)))/2)</f>
        <v/>
      </c>
      <c r="AO253">
        <f>((AM253/$B$7+T252*AS252/2-T253*MAX(0.1,MIN(0.3,0.3-0.09*(AN253-36.8)))/2)+AR252*(1-AS252/2))/(1-MAX(0.1,MIN(0.3,0.3-0.09*(AN253-36.8)))/2)</f>
        <v/>
      </c>
      <c r="AP253">
        <f>((AM253/$B$7+T252*AS252/2-T253*MAX(0.1,MIN(0.3,0.3-0.09*(AO253-36.8)))/2)+AR252*(1-AS252/2))/(1-MAX(0.1,MIN(0.3,0.3-0.09*(AO253-36.8)))/2)</f>
        <v/>
      </c>
      <c r="AQ253">
        <f>((AM253/$B$7+T252*AS252/2-T253*MAX(0.1,MIN(0.3,0.3-0.09*(AP253-36.8)))/2)+AR252*(1-AS252/2))/(1-MAX(0.1,MIN(0.3,0.3-0.09*(AP253-36.8)))/2)</f>
        <v/>
      </c>
      <c r="AR253">
        <f>((AM253/$B$7+T252*AS252/2-T253*MAX(0.1,MIN(0.3,0.3-0.09*(AQ253-36.8)))/2)+AR252*(1-AS252/2))/(1-MAX(0.1,MIN(0.3,0.3-0.09*(AQ253-36.8)))/2)</f>
        <v/>
      </c>
      <c r="AS253">
        <f>MAX(0.1,MIN(0.3,0.3-0.09*(AR253-36.8)))</f>
        <v/>
      </c>
      <c r="AT253">
        <f>AT252+(2*AR253-1.962*AT252-1.31)/9</f>
        <v/>
      </c>
      <c r="AU253">
        <f>AU252+AG253+K253</f>
        <v/>
      </c>
      <c r="AV253">
        <f>AU253*2.67*$B$6/1.8/60</f>
        <v/>
      </c>
      <c r="AW253">
        <f>IF(AT253&gt;=$B$36,1,0)</f>
        <v/>
      </c>
      <c r="AX253">
        <f>IF(AV253&gt;=$B$21,1,0)</f>
        <v/>
      </c>
    </row>
    <row r="254">
      <c r="A254" t="n">
        <v>181</v>
      </c>
      <c r="B254">
        <f>MATCH(A254-1,$D$61:$D$68,1)</f>
        <v/>
      </c>
      <c r="C254">
        <f>INDEX($G$61:$G$68,B254)</f>
        <v/>
      </c>
      <c r="D254">
        <f>INDEX($L$61:$L$68,B254)</f>
        <v/>
      </c>
      <c r="E254">
        <f>INDEX($M$61:$M$68,B254)</f>
        <v/>
      </c>
      <c r="F254">
        <f>INDEX($N$61:$N$68,B254)</f>
        <v/>
      </c>
      <c r="G254">
        <f>INDEX($AA$61:$AA$68,B254)</f>
        <v/>
      </c>
      <c r="H254">
        <f>INDEX($X$61:$X$68,B254)</f>
        <v/>
      </c>
      <c r="I254">
        <f>INDEX($AF$61:$AF$68,B254)</f>
        <v/>
      </c>
      <c r="J254">
        <f>INDEX($AC$61:$AC$68,B254)</f>
        <v/>
      </c>
      <c r="K254">
        <f>INDEX($AD$61:$AD$68,B254)</f>
        <v/>
      </c>
      <c r="L254">
        <f>INDEX($AG$61:$AG$68,B254)</f>
        <v/>
      </c>
      <c r="M254">
        <f>INDEX($AH$61:$AH$68,B254)</f>
        <v/>
      </c>
      <c r="N254">
        <f>INDEX($AI$61:$AI$68,B254)</f>
        <v/>
      </c>
      <c r="O254">
        <f>O253*$B$26+L254*(1-$B$26)</f>
        <v/>
      </c>
      <c r="P254">
        <f>$B$7*(O254-O253)*(1-AS253)</f>
        <v/>
      </c>
      <c r="Q254">
        <f>M254+0.51274*AT253</f>
        <v/>
      </c>
      <c r="R254">
        <f>N254+0.616*AT253</f>
        <v/>
      </c>
      <c r="S254">
        <f>IF($B$13&gt;=0.6,Q254,IF($B$13&lt;=0.2,R254,R254+2.5*(Q254-R254)*($B$13-0.2)))</f>
        <v/>
      </c>
      <c r="T254">
        <f>IF(A254=1,S254,T253*$B$27+S254*(1-$B$27))</f>
        <v/>
      </c>
      <c r="U254">
        <f>0.6105*EXP(17.27*T254/(T254+237.3))</f>
        <v/>
      </c>
      <c r="V254">
        <f>($B$14*(I254*C254+IF(ABS((D254+0.1)-D254)&lt;0.000000001,4*$B$19*$B$20*(D254+273)^3,$B$19*$B$20*(((D254+0.1)+273)^4-(D254+273)^4)/((D254+0.1)-D254))*D254)+T254/H254)/($B$14*(I254+IF(ABS((D254+0.1)-D254)&lt;0.000000001,4*$B$19*$B$20*(D254+273)^3,$B$19*$B$20*(((D254+0.1)+273)^4-(D254+273)^4)/((D254+0.1)-D254)))+1/H254)</f>
        <v/>
      </c>
      <c r="W254">
        <f>($B$14*(I254*C254+IF(ABS(V254-D254)&lt;0.000000001,4*$B$19*$B$20*(D254+273)^3,$B$19*$B$20*((V254+273)^4-(D254+273)^4)/(V254-D254))*D254)+T254/H254)/($B$14*(I254+IF(ABS(V254-D254)&lt;0.000000001,4*$B$19*$B$20*(D254+273)^3,$B$19*$B$20*((V254+273)^4-(D254+273)^4)/(V254-D254)))+1/H254)</f>
        <v/>
      </c>
      <c r="X254">
        <f>($B$14*(I254*C254+IF(ABS(W254-D254)&lt;0.000000001,4*$B$19*$B$20*(D254+273)^3,$B$19*$B$20*((W254+273)^4-(D254+273)^4)/(W254-D254))*D254)+T254/H254)/($B$14*(I254+IF(ABS(W254-D254)&lt;0.000000001,4*$B$19*$B$20*(D254+273)^3,$B$19*$B$20*((W254+273)^4-(D254+273)^4)/(W254-D254)))+1/H254)</f>
        <v/>
      </c>
      <c r="Y254">
        <f>($B$14*(I254*C254+IF(ABS(X254-D254)&lt;0.000000001,4*$B$19*$B$20*(D254+273)^3,$B$19*$B$20*((X254+273)^4-(D254+273)^4)/(X254-D254))*D254)+T254/H254)/($B$14*(I254+IF(ABS(X254-D254)&lt;0.000000001,4*$B$19*$B$20*(D254+273)^3,$B$19*$B$20*((X254+273)^4-(D254+273)^4)/(X254-D254)))+1/H254)</f>
        <v/>
      </c>
      <c r="Z254">
        <f>IF(ABS(Y254-D254)&lt;0.000000001,4*$B$19*$B$20*(D254+273)^3,$B$19*$B$20*((Y254+273)^4-(D254+273)^4)/(Y254-D254))</f>
        <v/>
      </c>
      <c r="AA254">
        <f>$B$14*I254*(Y254-C254)</f>
        <v/>
      </c>
      <c r="AB254">
        <f>$B$14*Z254*(Y254-D254)</f>
        <v/>
      </c>
      <c r="AC254">
        <f>IF((U254-E254)/G254=0,0.001,(U254-E254)/G254)</f>
        <v/>
      </c>
      <c r="AD254">
        <f>F254-P254-J254-K254-AA254-AB254</f>
        <v/>
      </c>
      <c r="AE254">
        <f>AD254/AC254</f>
        <v/>
      </c>
      <c r="AF254">
        <f>IF(AD254&lt;=0,0,IF(AC254&lt;=0,$B$11,IF(AE254&gt;=1.7,$B$11,MIN(AD254/MAX(0.05,IF(AE254&gt;1,(2-AE254)^2/2,1-AE254^2/2)),$B$11))))</f>
        <v/>
      </c>
      <c r="AG254">
        <f>AG253*$B$28+AF254*(1-$B$28)</f>
        <v/>
      </c>
      <c r="AH254">
        <f>IF(AND(AD254&gt;0,AC254&lt;=0),0,AC254)</f>
        <v/>
      </c>
      <c r="AI254">
        <f>AH254/MAX(AG254,0.000001)</f>
        <v/>
      </c>
      <c r="AJ254">
        <f>MIN(IF(AI254&gt;=0.5,-AI254+SQRT(AI254^2+2),1),$B$12)</f>
        <v/>
      </c>
      <c r="AK254">
        <f>IF(AG254&lt;=0,0,AJ254*AH254)</f>
        <v/>
      </c>
      <c r="AL254">
        <f>IF(AD254&lt;=0,0,AD254)</f>
        <v/>
      </c>
      <c r="AM254">
        <f>AL254-AK254+P254</f>
        <v/>
      </c>
      <c r="AN254">
        <f>((AM254/$B$7+T253*AS253/2-T254*MAX(0.1,MIN(0.3,0.3-0.09*(AR253-36.8)))/2)+AR253*(1-AS253/2))/(1-MAX(0.1,MIN(0.3,0.3-0.09*(AR253-36.8)))/2)</f>
        <v/>
      </c>
      <c r="AO254">
        <f>((AM254/$B$7+T253*AS253/2-T254*MAX(0.1,MIN(0.3,0.3-0.09*(AN254-36.8)))/2)+AR253*(1-AS253/2))/(1-MAX(0.1,MIN(0.3,0.3-0.09*(AN254-36.8)))/2)</f>
        <v/>
      </c>
      <c r="AP254">
        <f>((AM254/$B$7+T253*AS253/2-T254*MAX(0.1,MIN(0.3,0.3-0.09*(AO254-36.8)))/2)+AR253*(1-AS253/2))/(1-MAX(0.1,MIN(0.3,0.3-0.09*(AO254-36.8)))/2)</f>
        <v/>
      </c>
      <c r="AQ254">
        <f>((AM254/$B$7+T253*AS253/2-T254*MAX(0.1,MIN(0.3,0.3-0.09*(AP254-36.8)))/2)+AR253*(1-AS253/2))/(1-MAX(0.1,MIN(0.3,0.3-0.09*(AP254-36.8)))/2)</f>
        <v/>
      </c>
      <c r="AR254">
        <f>((AM254/$B$7+T253*AS253/2-T254*MAX(0.1,MIN(0.3,0.3-0.09*(AQ254-36.8)))/2)+AR253*(1-AS253/2))/(1-MAX(0.1,MIN(0.3,0.3-0.09*(AQ254-36.8)))/2)</f>
        <v/>
      </c>
      <c r="AS254">
        <f>MAX(0.1,MIN(0.3,0.3-0.09*(AR254-36.8)))</f>
        <v/>
      </c>
      <c r="AT254">
        <f>AT253+(2*AR254-1.962*AT253-1.31)/9</f>
        <v/>
      </c>
      <c r="AU254">
        <f>AU253+AG254+K254</f>
        <v/>
      </c>
      <c r="AV254">
        <f>AU254*2.67*$B$6/1.8/60</f>
        <v/>
      </c>
      <c r="AW254">
        <f>IF(AT254&gt;=$B$36,1,0)</f>
        <v/>
      </c>
      <c r="AX254">
        <f>IF(AV254&gt;=$B$21,1,0)</f>
        <v/>
      </c>
    </row>
    <row r="255">
      <c r="A255" t="n">
        <v>182</v>
      </c>
      <c r="B255">
        <f>MATCH(A255-1,$D$61:$D$68,1)</f>
        <v/>
      </c>
      <c r="C255">
        <f>INDEX($G$61:$G$68,B255)</f>
        <v/>
      </c>
      <c r="D255">
        <f>INDEX($L$61:$L$68,B255)</f>
        <v/>
      </c>
      <c r="E255">
        <f>INDEX($M$61:$M$68,B255)</f>
        <v/>
      </c>
      <c r="F255">
        <f>INDEX($N$61:$N$68,B255)</f>
        <v/>
      </c>
      <c r="G255">
        <f>INDEX($AA$61:$AA$68,B255)</f>
        <v/>
      </c>
      <c r="H255">
        <f>INDEX($X$61:$X$68,B255)</f>
        <v/>
      </c>
      <c r="I255">
        <f>INDEX($AF$61:$AF$68,B255)</f>
        <v/>
      </c>
      <c r="J255">
        <f>INDEX($AC$61:$AC$68,B255)</f>
        <v/>
      </c>
      <c r="K255">
        <f>INDEX($AD$61:$AD$68,B255)</f>
        <v/>
      </c>
      <c r="L255">
        <f>INDEX($AG$61:$AG$68,B255)</f>
        <v/>
      </c>
      <c r="M255">
        <f>INDEX($AH$61:$AH$68,B255)</f>
        <v/>
      </c>
      <c r="N255">
        <f>INDEX($AI$61:$AI$68,B255)</f>
        <v/>
      </c>
      <c r="O255">
        <f>O254*$B$26+L255*(1-$B$26)</f>
        <v/>
      </c>
      <c r="P255">
        <f>$B$7*(O255-O254)*(1-AS254)</f>
        <v/>
      </c>
      <c r="Q255">
        <f>M255+0.51274*AT254</f>
        <v/>
      </c>
      <c r="R255">
        <f>N255+0.616*AT254</f>
        <v/>
      </c>
      <c r="S255">
        <f>IF($B$13&gt;=0.6,Q255,IF($B$13&lt;=0.2,R255,R255+2.5*(Q255-R255)*($B$13-0.2)))</f>
        <v/>
      </c>
      <c r="T255">
        <f>IF(A255=1,S255,T254*$B$27+S255*(1-$B$27))</f>
        <v/>
      </c>
      <c r="U255">
        <f>0.6105*EXP(17.27*T255/(T255+237.3))</f>
        <v/>
      </c>
      <c r="V255">
        <f>($B$14*(I255*C255+IF(ABS((D255+0.1)-D255)&lt;0.000000001,4*$B$19*$B$20*(D255+273)^3,$B$19*$B$20*(((D255+0.1)+273)^4-(D255+273)^4)/((D255+0.1)-D255))*D255)+T255/H255)/($B$14*(I255+IF(ABS((D255+0.1)-D255)&lt;0.000000001,4*$B$19*$B$20*(D255+273)^3,$B$19*$B$20*(((D255+0.1)+273)^4-(D255+273)^4)/((D255+0.1)-D255)))+1/H255)</f>
        <v/>
      </c>
      <c r="W255">
        <f>($B$14*(I255*C255+IF(ABS(V255-D255)&lt;0.000000001,4*$B$19*$B$20*(D255+273)^3,$B$19*$B$20*((V255+273)^4-(D255+273)^4)/(V255-D255))*D255)+T255/H255)/($B$14*(I255+IF(ABS(V255-D255)&lt;0.000000001,4*$B$19*$B$20*(D255+273)^3,$B$19*$B$20*((V255+273)^4-(D255+273)^4)/(V255-D255)))+1/H255)</f>
        <v/>
      </c>
      <c r="X255">
        <f>($B$14*(I255*C255+IF(ABS(W255-D255)&lt;0.000000001,4*$B$19*$B$20*(D255+273)^3,$B$19*$B$20*((W255+273)^4-(D255+273)^4)/(W255-D255))*D255)+T255/H255)/($B$14*(I255+IF(ABS(W255-D255)&lt;0.000000001,4*$B$19*$B$20*(D255+273)^3,$B$19*$B$20*((W255+273)^4-(D255+273)^4)/(W255-D255)))+1/H255)</f>
        <v/>
      </c>
      <c r="Y255">
        <f>($B$14*(I255*C255+IF(ABS(X255-D255)&lt;0.000000001,4*$B$19*$B$20*(D255+273)^3,$B$19*$B$20*((X255+273)^4-(D255+273)^4)/(X255-D255))*D255)+T255/H255)/($B$14*(I255+IF(ABS(X255-D255)&lt;0.000000001,4*$B$19*$B$20*(D255+273)^3,$B$19*$B$20*((X255+273)^4-(D255+273)^4)/(X255-D255)))+1/H255)</f>
        <v/>
      </c>
      <c r="Z255">
        <f>IF(ABS(Y255-D255)&lt;0.000000001,4*$B$19*$B$20*(D255+273)^3,$B$19*$B$20*((Y255+273)^4-(D255+273)^4)/(Y255-D255))</f>
        <v/>
      </c>
      <c r="AA255">
        <f>$B$14*I255*(Y255-C255)</f>
        <v/>
      </c>
      <c r="AB255">
        <f>$B$14*Z255*(Y255-D255)</f>
        <v/>
      </c>
      <c r="AC255">
        <f>IF((U255-E255)/G255=0,0.001,(U255-E255)/G255)</f>
        <v/>
      </c>
      <c r="AD255">
        <f>F255-P255-J255-K255-AA255-AB255</f>
        <v/>
      </c>
      <c r="AE255">
        <f>AD255/AC255</f>
        <v/>
      </c>
      <c r="AF255">
        <f>IF(AD255&lt;=0,0,IF(AC255&lt;=0,$B$11,IF(AE255&gt;=1.7,$B$11,MIN(AD255/MAX(0.05,IF(AE255&gt;1,(2-AE255)^2/2,1-AE255^2/2)),$B$11))))</f>
        <v/>
      </c>
      <c r="AG255">
        <f>AG254*$B$28+AF255*(1-$B$28)</f>
        <v/>
      </c>
      <c r="AH255">
        <f>IF(AND(AD255&gt;0,AC255&lt;=0),0,AC255)</f>
        <v/>
      </c>
      <c r="AI255">
        <f>AH255/MAX(AG255,0.000001)</f>
        <v/>
      </c>
      <c r="AJ255">
        <f>MIN(IF(AI255&gt;=0.5,-AI255+SQRT(AI255^2+2),1),$B$12)</f>
        <v/>
      </c>
      <c r="AK255">
        <f>IF(AG255&lt;=0,0,AJ255*AH255)</f>
        <v/>
      </c>
      <c r="AL255">
        <f>IF(AD255&lt;=0,0,AD255)</f>
        <v/>
      </c>
      <c r="AM255">
        <f>AL255-AK255+P255</f>
        <v/>
      </c>
      <c r="AN255">
        <f>((AM255/$B$7+T254*AS254/2-T255*MAX(0.1,MIN(0.3,0.3-0.09*(AR254-36.8)))/2)+AR254*(1-AS254/2))/(1-MAX(0.1,MIN(0.3,0.3-0.09*(AR254-36.8)))/2)</f>
        <v/>
      </c>
      <c r="AO255">
        <f>((AM255/$B$7+T254*AS254/2-T255*MAX(0.1,MIN(0.3,0.3-0.09*(AN255-36.8)))/2)+AR254*(1-AS254/2))/(1-MAX(0.1,MIN(0.3,0.3-0.09*(AN255-36.8)))/2)</f>
        <v/>
      </c>
      <c r="AP255">
        <f>((AM255/$B$7+T254*AS254/2-T255*MAX(0.1,MIN(0.3,0.3-0.09*(AO255-36.8)))/2)+AR254*(1-AS254/2))/(1-MAX(0.1,MIN(0.3,0.3-0.09*(AO255-36.8)))/2)</f>
        <v/>
      </c>
      <c r="AQ255">
        <f>((AM255/$B$7+T254*AS254/2-T255*MAX(0.1,MIN(0.3,0.3-0.09*(AP255-36.8)))/2)+AR254*(1-AS254/2))/(1-MAX(0.1,MIN(0.3,0.3-0.09*(AP255-36.8)))/2)</f>
        <v/>
      </c>
      <c r="AR255">
        <f>((AM255/$B$7+T254*AS254/2-T255*MAX(0.1,MIN(0.3,0.3-0.09*(AQ255-36.8)))/2)+AR254*(1-AS254/2))/(1-MAX(0.1,MIN(0.3,0.3-0.09*(AQ255-36.8)))/2)</f>
        <v/>
      </c>
      <c r="AS255">
        <f>MAX(0.1,MIN(0.3,0.3-0.09*(AR255-36.8)))</f>
        <v/>
      </c>
      <c r="AT255">
        <f>AT254+(2*AR255-1.962*AT254-1.31)/9</f>
        <v/>
      </c>
      <c r="AU255">
        <f>AU254+AG255+K255</f>
        <v/>
      </c>
      <c r="AV255">
        <f>AU255*2.67*$B$6/1.8/60</f>
        <v/>
      </c>
      <c r="AW255">
        <f>IF(AT255&gt;=$B$36,1,0)</f>
        <v/>
      </c>
      <c r="AX255">
        <f>IF(AV255&gt;=$B$21,1,0)</f>
        <v/>
      </c>
    </row>
    <row r="256">
      <c r="A256" t="n">
        <v>183</v>
      </c>
      <c r="B256">
        <f>MATCH(A256-1,$D$61:$D$68,1)</f>
        <v/>
      </c>
      <c r="C256">
        <f>INDEX($G$61:$G$68,B256)</f>
        <v/>
      </c>
      <c r="D256">
        <f>INDEX($L$61:$L$68,B256)</f>
        <v/>
      </c>
      <c r="E256">
        <f>INDEX($M$61:$M$68,B256)</f>
        <v/>
      </c>
      <c r="F256">
        <f>INDEX($N$61:$N$68,B256)</f>
        <v/>
      </c>
      <c r="G256">
        <f>INDEX($AA$61:$AA$68,B256)</f>
        <v/>
      </c>
      <c r="H256">
        <f>INDEX($X$61:$X$68,B256)</f>
        <v/>
      </c>
      <c r="I256">
        <f>INDEX($AF$61:$AF$68,B256)</f>
        <v/>
      </c>
      <c r="J256">
        <f>INDEX($AC$61:$AC$68,B256)</f>
        <v/>
      </c>
      <c r="K256">
        <f>INDEX($AD$61:$AD$68,B256)</f>
        <v/>
      </c>
      <c r="L256">
        <f>INDEX($AG$61:$AG$68,B256)</f>
        <v/>
      </c>
      <c r="M256">
        <f>INDEX($AH$61:$AH$68,B256)</f>
        <v/>
      </c>
      <c r="N256">
        <f>INDEX($AI$61:$AI$68,B256)</f>
        <v/>
      </c>
      <c r="O256">
        <f>O255*$B$26+L256*(1-$B$26)</f>
        <v/>
      </c>
      <c r="P256">
        <f>$B$7*(O256-O255)*(1-AS255)</f>
        <v/>
      </c>
      <c r="Q256">
        <f>M256+0.51274*AT255</f>
        <v/>
      </c>
      <c r="R256">
        <f>N256+0.616*AT255</f>
        <v/>
      </c>
      <c r="S256">
        <f>IF($B$13&gt;=0.6,Q256,IF($B$13&lt;=0.2,R256,R256+2.5*(Q256-R256)*($B$13-0.2)))</f>
        <v/>
      </c>
      <c r="T256">
        <f>IF(A256=1,S256,T255*$B$27+S256*(1-$B$27))</f>
        <v/>
      </c>
      <c r="U256">
        <f>0.6105*EXP(17.27*T256/(T256+237.3))</f>
        <v/>
      </c>
      <c r="V256">
        <f>($B$14*(I256*C256+IF(ABS((D256+0.1)-D256)&lt;0.000000001,4*$B$19*$B$20*(D256+273)^3,$B$19*$B$20*(((D256+0.1)+273)^4-(D256+273)^4)/((D256+0.1)-D256))*D256)+T256/H256)/($B$14*(I256+IF(ABS((D256+0.1)-D256)&lt;0.000000001,4*$B$19*$B$20*(D256+273)^3,$B$19*$B$20*(((D256+0.1)+273)^4-(D256+273)^4)/((D256+0.1)-D256)))+1/H256)</f>
        <v/>
      </c>
      <c r="W256">
        <f>($B$14*(I256*C256+IF(ABS(V256-D256)&lt;0.000000001,4*$B$19*$B$20*(D256+273)^3,$B$19*$B$20*((V256+273)^4-(D256+273)^4)/(V256-D256))*D256)+T256/H256)/($B$14*(I256+IF(ABS(V256-D256)&lt;0.000000001,4*$B$19*$B$20*(D256+273)^3,$B$19*$B$20*((V256+273)^4-(D256+273)^4)/(V256-D256)))+1/H256)</f>
        <v/>
      </c>
      <c r="X256">
        <f>($B$14*(I256*C256+IF(ABS(W256-D256)&lt;0.000000001,4*$B$19*$B$20*(D256+273)^3,$B$19*$B$20*((W256+273)^4-(D256+273)^4)/(W256-D256))*D256)+T256/H256)/($B$14*(I256+IF(ABS(W256-D256)&lt;0.000000001,4*$B$19*$B$20*(D256+273)^3,$B$19*$B$20*((W256+273)^4-(D256+273)^4)/(W256-D256)))+1/H256)</f>
        <v/>
      </c>
      <c r="Y256">
        <f>($B$14*(I256*C256+IF(ABS(X256-D256)&lt;0.000000001,4*$B$19*$B$20*(D256+273)^3,$B$19*$B$20*((X256+273)^4-(D256+273)^4)/(X256-D256))*D256)+T256/H256)/($B$14*(I256+IF(ABS(X256-D256)&lt;0.000000001,4*$B$19*$B$20*(D256+273)^3,$B$19*$B$20*((X256+273)^4-(D256+273)^4)/(X256-D256)))+1/H256)</f>
        <v/>
      </c>
      <c r="Z256">
        <f>IF(ABS(Y256-D256)&lt;0.000000001,4*$B$19*$B$20*(D256+273)^3,$B$19*$B$20*((Y256+273)^4-(D256+273)^4)/(Y256-D256))</f>
        <v/>
      </c>
      <c r="AA256">
        <f>$B$14*I256*(Y256-C256)</f>
        <v/>
      </c>
      <c r="AB256">
        <f>$B$14*Z256*(Y256-D256)</f>
        <v/>
      </c>
      <c r="AC256">
        <f>IF((U256-E256)/G256=0,0.001,(U256-E256)/G256)</f>
        <v/>
      </c>
      <c r="AD256">
        <f>F256-P256-J256-K256-AA256-AB256</f>
        <v/>
      </c>
      <c r="AE256">
        <f>AD256/AC256</f>
        <v/>
      </c>
      <c r="AF256">
        <f>IF(AD256&lt;=0,0,IF(AC256&lt;=0,$B$11,IF(AE256&gt;=1.7,$B$11,MIN(AD256/MAX(0.05,IF(AE256&gt;1,(2-AE256)^2/2,1-AE256^2/2)),$B$11))))</f>
        <v/>
      </c>
      <c r="AG256">
        <f>AG255*$B$28+AF256*(1-$B$28)</f>
        <v/>
      </c>
      <c r="AH256">
        <f>IF(AND(AD256&gt;0,AC256&lt;=0),0,AC256)</f>
        <v/>
      </c>
      <c r="AI256">
        <f>AH256/MAX(AG256,0.000001)</f>
        <v/>
      </c>
      <c r="AJ256">
        <f>MIN(IF(AI256&gt;=0.5,-AI256+SQRT(AI256^2+2),1),$B$12)</f>
        <v/>
      </c>
      <c r="AK256">
        <f>IF(AG256&lt;=0,0,AJ256*AH256)</f>
        <v/>
      </c>
      <c r="AL256">
        <f>IF(AD256&lt;=0,0,AD256)</f>
        <v/>
      </c>
      <c r="AM256">
        <f>AL256-AK256+P256</f>
        <v/>
      </c>
      <c r="AN256">
        <f>((AM256/$B$7+T255*AS255/2-T256*MAX(0.1,MIN(0.3,0.3-0.09*(AR255-36.8)))/2)+AR255*(1-AS255/2))/(1-MAX(0.1,MIN(0.3,0.3-0.09*(AR255-36.8)))/2)</f>
        <v/>
      </c>
      <c r="AO256">
        <f>((AM256/$B$7+T255*AS255/2-T256*MAX(0.1,MIN(0.3,0.3-0.09*(AN256-36.8)))/2)+AR255*(1-AS255/2))/(1-MAX(0.1,MIN(0.3,0.3-0.09*(AN256-36.8)))/2)</f>
        <v/>
      </c>
      <c r="AP256">
        <f>((AM256/$B$7+T255*AS255/2-T256*MAX(0.1,MIN(0.3,0.3-0.09*(AO256-36.8)))/2)+AR255*(1-AS255/2))/(1-MAX(0.1,MIN(0.3,0.3-0.09*(AO256-36.8)))/2)</f>
        <v/>
      </c>
      <c r="AQ256">
        <f>((AM256/$B$7+T255*AS255/2-T256*MAX(0.1,MIN(0.3,0.3-0.09*(AP256-36.8)))/2)+AR255*(1-AS255/2))/(1-MAX(0.1,MIN(0.3,0.3-0.09*(AP256-36.8)))/2)</f>
        <v/>
      </c>
      <c r="AR256">
        <f>((AM256/$B$7+T255*AS255/2-T256*MAX(0.1,MIN(0.3,0.3-0.09*(AQ256-36.8)))/2)+AR255*(1-AS255/2))/(1-MAX(0.1,MIN(0.3,0.3-0.09*(AQ256-36.8)))/2)</f>
        <v/>
      </c>
      <c r="AS256">
        <f>MAX(0.1,MIN(0.3,0.3-0.09*(AR256-36.8)))</f>
        <v/>
      </c>
      <c r="AT256">
        <f>AT255+(2*AR256-1.962*AT255-1.31)/9</f>
        <v/>
      </c>
      <c r="AU256">
        <f>AU255+AG256+K256</f>
        <v/>
      </c>
      <c r="AV256">
        <f>AU256*2.67*$B$6/1.8/60</f>
        <v/>
      </c>
      <c r="AW256">
        <f>IF(AT256&gt;=$B$36,1,0)</f>
        <v/>
      </c>
      <c r="AX256">
        <f>IF(AV256&gt;=$B$21,1,0)</f>
        <v/>
      </c>
    </row>
    <row r="257">
      <c r="A257" t="n">
        <v>184</v>
      </c>
      <c r="B257">
        <f>MATCH(A257-1,$D$61:$D$68,1)</f>
        <v/>
      </c>
      <c r="C257">
        <f>INDEX($G$61:$G$68,B257)</f>
        <v/>
      </c>
      <c r="D257">
        <f>INDEX($L$61:$L$68,B257)</f>
        <v/>
      </c>
      <c r="E257">
        <f>INDEX($M$61:$M$68,B257)</f>
        <v/>
      </c>
      <c r="F257">
        <f>INDEX($N$61:$N$68,B257)</f>
        <v/>
      </c>
      <c r="G257">
        <f>INDEX($AA$61:$AA$68,B257)</f>
        <v/>
      </c>
      <c r="H257">
        <f>INDEX($X$61:$X$68,B257)</f>
        <v/>
      </c>
      <c r="I257">
        <f>INDEX($AF$61:$AF$68,B257)</f>
        <v/>
      </c>
      <c r="J257">
        <f>INDEX($AC$61:$AC$68,B257)</f>
        <v/>
      </c>
      <c r="K257">
        <f>INDEX($AD$61:$AD$68,B257)</f>
        <v/>
      </c>
      <c r="L257">
        <f>INDEX($AG$61:$AG$68,B257)</f>
        <v/>
      </c>
      <c r="M257">
        <f>INDEX($AH$61:$AH$68,B257)</f>
        <v/>
      </c>
      <c r="N257">
        <f>INDEX($AI$61:$AI$68,B257)</f>
        <v/>
      </c>
      <c r="O257">
        <f>O256*$B$26+L257*(1-$B$26)</f>
        <v/>
      </c>
      <c r="P257">
        <f>$B$7*(O257-O256)*(1-AS256)</f>
        <v/>
      </c>
      <c r="Q257">
        <f>M257+0.51274*AT256</f>
        <v/>
      </c>
      <c r="R257">
        <f>N257+0.616*AT256</f>
        <v/>
      </c>
      <c r="S257">
        <f>IF($B$13&gt;=0.6,Q257,IF($B$13&lt;=0.2,R257,R257+2.5*(Q257-R257)*($B$13-0.2)))</f>
        <v/>
      </c>
      <c r="T257">
        <f>IF(A257=1,S257,T256*$B$27+S257*(1-$B$27))</f>
        <v/>
      </c>
      <c r="U257">
        <f>0.6105*EXP(17.27*T257/(T257+237.3))</f>
        <v/>
      </c>
      <c r="V257">
        <f>($B$14*(I257*C257+IF(ABS((D257+0.1)-D257)&lt;0.000000001,4*$B$19*$B$20*(D257+273)^3,$B$19*$B$20*(((D257+0.1)+273)^4-(D257+273)^4)/((D257+0.1)-D257))*D257)+T257/H257)/($B$14*(I257+IF(ABS((D257+0.1)-D257)&lt;0.000000001,4*$B$19*$B$20*(D257+273)^3,$B$19*$B$20*(((D257+0.1)+273)^4-(D257+273)^4)/((D257+0.1)-D257)))+1/H257)</f>
        <v/>
      </c>
      <c r="W257">
        <f>($B$14*(I257*C257+IF(ABS(V257-D257)&lt;0.000000001,4*$B$19*$B$20*(D257+273)^3,$B$19*$B$20*((V257+273)^4-(D257+273)^4)/(V257-D257))*D257)+T257/H257)/($B$14*(I257+IF(ABS(V257-D257)&lt;0.000000001,4*$B$19*$B$20*(D257+273)^3,$B$19*$B$20*((V257+273)^4-(D257+273)^4)/(V257-D257)))+1/H257)</f>
        <v/>
      </c>
      <c r="X257">
        <f>($B$14*(I257*C257+IF(ABS(W257-D257)&lt;0.000000001,4*$B$19*$B$20*(D257+273)^3,$B$19*$B$20*((W257+273)^4-(D257+273)^4)/(W257-D257))*D257)+T257/H257)/($B$14*(I257+IF(ABS(W257-D257)&lt;0.000000001,4*$B$19*$B$20*(D257+273)^3,$B$19*$B$20*((W257+273)^4-(D257+273)^4)/(W257-D257)))+1/H257)</f>
        <v/>
      </c>
      <c r="Y257">
        <f>($B$14*(I257*C257+IF(ABS(X257-D257)&lt;0.000000001,4*$B$19*$B$20*(D257+273)^3,$B$19*$B$20*((X257+273)^4-(D257+273)^4)/(X257-D257))*D257)+T257/H257)/($B$14*(I257+IF(ABS(X257-D257)&lt;0.000000001,4*$B$19*$B$20*(D257+273)^3,$B$19*$B$20*((X257+273)^4-(D257+273)^4)/(X257-D257)))+1/H257)</f>
        <v/>
      </c>
      <c r="Z257">
        <f>IF(ABS(Y257-D257)&lt;0.000000001,4*$B$19*$B$20*(D257+273)^3,$B$19*$B$20*((Y257+273)^4-(D257+273)^4)/(Y257-D257))</f>
        <v/>
      </c>
      <c r="AA257">
        <f>$B$14*I257*(Y257-C257)</f>
        <v/>
      </c>
      <c r="AB257">
        <f>$B$14*Z257*(Y257-D257)</f>
        <v/>
      </c>
      <c r="AC257">
        <f>IF((U257-E257)/G257=0,0.001,(U257-E257)/G257)</f>
        <v/>
      </c>
      <c r="AD257">
        <f>F257-P257-J257-K257-AA257-AB257</f>
        <v/>
      </c>
      <c r="AE257">
        <f>AD257/AC257</f>
        <v/>
      </c>
      <c r="AF257">
        <f>IF(AD257&lt;=0,0,IF(AC257&lt;=0,$B$11,IF(AE257&gt;=1.7,$B$11,MIN(AD257/MAX(0.05,IF(AE257&gt;1,(2-AE257)^2/2,1-AE257^2/2)),$B$11))))</f>
        <v/>
      </c>
      <c r="AG257">
        <f>AG256*$B$28+AF257*(1-$B$28)</f>
        <v/>
      </c>
      <c r="AH257">
        <f>IF(AND(AD257&gt;0,AC257&lt;=0),0,AC257)</f>
        <v/>
      </c>
      <c r="AI257">
        <f>AH257/MAX(AG257,0.000001)</f>
        <v/>
      </c>
      <c r="AJ257">
        <f>MIN(IF(AI257&gt;=0.5,-AI257+SQRT(AI257^2+2),1),$B$12)</f>
        <v/>
      </c>
      <c r="AK257">
        <f>IF(AG257&lt;=0,0,AJ257*AH257)</f>
        <v/>
      </c>
      <c r="AL257">
        <f>IF(AD257&lt;=0,0,AD257)</f>
        <v/>
      </c>
      <c r="AM257">
        <f>AL257-AK257+P257</f>
        <v/>
      </c>
      <c r="AN257">
        <f>((AM257/$B$7+T256*AS256/2-T257*MAX(0.1,MIN(0.3,0.3-0.09*(AR256-36.8)))/2)+AR256*(1-AS256/2))/(1-MAX(0.1,MIN(0.3,0.3-0.09*(AR256-36.8)))/2)</f>
        <v/>
      </c>
      <c r="AO257">
        <f>((AM257/$B$7+T256*AS256/2-T257*MAX(0.1,MIN(0.3,0.3-0.09*(AN257-36.8)))/2)+AR256*(1-AS256/2))/(1-MAX(0.1,MIN(0.3,0.3-0.09*(AN257-36.8)))/2)</f>
        <v/>
      </c>
      <c r="AP257">
        <f>((AM257/$B$7+T256*AS256/2-T257*MAX(0.1,MIN(0.3,0.3-0.09*(AO257-36.8)))/2)+AR256*(1-AS256/2))/(1-MAX(0.1,MIN(0.3,0.3-0.09*(AO257-36.8)))/2)</f>
        <v/>
      </c>
      <c r="AQ257">
        <f>((AM257/$B$7+T256*AS256/2-T257*MAX(0.1,MIN(0.3,0.3-0.09*(AP257-36.8)))/2)+AR256*(1-AS256/2))/(1-MAX(0.1,MIN(0.3,0.3-0.09*(AP257-36.8)))/2)</f>
        <v/>
      </c>
      <c r="AR257">
        <f>((AM257/$B$7+T256*AS256/2-T257*MAX(0.1,MIN(0.3,0.3-0.09*(AQ257-36.8)))/2)+AR256*(1-AS256/2))/(1-MAX(0.1,MIN(0.3,0.3-0.09*(AQ257-36.8)))/2)</f>
        <v/>
      </c>
      <c r="AS257">
        <f>MAX(0.1,MIN(0.3,0.3-0.09*(AR257-36.8)))</f>
        <v/>
      </c>
      <c r="AT257">
        <f>AT256+(2*AR257-1.962*AT256-1.31)/9</f>
        <v/>
      </c>
      <c r="AU257">
        <f>AU256+AG257+K257</f>
        <v/>
      </c>
      <c r="AV257">
        <f>AU257*2.67*$B$6/1.8/60</f>
        <v/>
      </c>
      <c r="AW257">
        <f>IF(AT257&gt;=$B$36,1,0)</f>
        <v/>
      </c>
      <c r="AX257">
        <f>IF(AV257&gt;=$B$21,1,0)</f>
        <v/>
      </c>
    </row>
    <row r="258">
      <c r="A258" t="n">
        <v>185</v>
      </c>
      <c r="B258">
        <f>MATCH(A258-1,$D$61:$D$68,1)</f>
        <v/>
      </c>
      <c r="C258">
        <f>INDEX($G$61:$G$68,B258)</f>
        <v/>
      </c>
      <c r="D258">
        <f>INDEX($L$61:$L$68,B258)</f>
        <v/>
      </c>
      <c r="E258">
        <f>INDEX($M$61:$M$68,B258)</f>
        <v/>
      </c>
      <c r="F258">
        <f>INDEX($N$61:$N$68,B258)</f>
        <v/>
      </c>
      <c r="G258">
        <f>INDEX($AA$61:$AA$68,B258)</f>
        <v/>
      </c>
      <c r="H258">
        <f>INDEX($X$61:$X$68,B258)</f>
        <v/>
      </c>
      <c r="I258">
        <f>INDEX($AF$61:$AF$68,B258)</f>
        <v/>
      </c>
      <c r="J258">
        <f>INDEX($AC$61:$AC$68,B258)</f>
        <v/>
      </c>
      <c r="K258">
        <f>INDEX($AD$61:$AD$68,B258)</f>
        <v/>
      </c>
      <c r="L258">
        <f>INDEX($AG$61:$AG$68,B258)</f>
        <v/>
      </c>
      <c r="M258">
        <f>INDEX($AH$61:$AH$68,B258)</f>
        <v/>
      </c>
      <c r="N258">
        <f>INDEX($AI$61:$AI$68,B258)</f>
        <v/>
      </c>
      <c r="O258">
        <f>O257*$B$26+L258*(1-$B$26)</f>
        <v/>
      </c>
      <c r="P258">
        <f>$B$7*(O258-O257)*(1-AS257)</f>
        <v/>
      </c>
      <c r="Q258">
        <f>M258+0.51274*AT257</f>
        <v/>
      </c>
      <c r="R258">
        <f>N258+0.616*AT257</f>
        <v/>
      </c>
      <c r="S258">
        <f>IF($B$13&gt;=0.6,Q258,IF($B$13&lt;=0.2,R258,R258+2.5*(Q258-R258)*($B$13-0.2)))</f>
        <v/>
      </c>
      <c r="T258">
        <f>IF(A258=1,S258,T257*$B$27+S258*(1-$B$27))</f>
        <v/>
      </c>
      <c r="U258">
        <f>0.6105*EXP(17.27*T258/(T258+237.3))</f>
        <v/>
      </c>
      <c r="V258">
        <f>($B$14*(I258*C258+IF(ABS((D258+0.1)-D258)&lt;0.000000001,4*$B$19*$B$20*(D258+273)^3,$B$19*$B$20*(((D258+0.1)+273)^4-(D258+273)^4)/((D258+0.1)-D258))*D258)+T258/H258)/($B$14*(I258+IF(ABS((D258+0.1)-D258)&lt;0.000000001,4*$B$19*$B$20*(D258+273)^3,$B$19*$B$20*(((D258+0.1)+273)^4-(D258+273)^4)/((D258+0.1)-D258)))+1/H258)</f>
        <v/>
      </c>
      <c r="W258">
        <f>($B$14*(I258*C258+IF(ABS(V258-D258)&lt;0.000000001,4*$B$19*$B$20*(D258+273)^3,$B$19*$B$20*((V258+273)^4-(D258+273)^4)/(V258-D258))*D258)+T258/H258)/($B$14*(I258+IF(ABS(V258-D258)&lt;0.000000001,4*$B$19*$B$20*(D258+273)^3,$B$19*$B$20*((V258+273)^4-(D258+273)^4)/(V258-D258)))+1/H258)</f>
        <v/>
      </c>
      <c r="X258">
        <f>($B$14*(I258*C258+IF(ABS(W258-D258)&lt;0.000000001,4*$B$19*$B$20*(D258+273)^3,$B$19*$B$20*((W258+273)^4-(D258+273)^4)/(W258-D258))*D258)+T258/H258)/($B$14*(I258+IF(ABS(W258-D258)&lt;0.000000001,4*$B$19*$B$20*(D258+273)^3,$B$19*$B$20*((W258+273)^4-(D258+273)^4)/(W258-D258)))+1/H258)</f>
        <v/>
      </c>
      <c r="Y258">
        <f>($B$14*(I258*C258+IF(ABS(X258-D258)&lt;0.000000001,4*$B$19*$B$20*(D258+273)^3,$B$19*$B$20*((X258+273)^4-(D258+273)^4)/(X258-D258))*D258)+T258/H258)/($B$14*(I258+IF(ABS(X258-D258)&lt;0.000000001,4*$B$19*$B$20*(D258+273)^3,$B$19*$B$20*((X258+273)^4-(D258+273)^4)/(X258-D258)))+1/H258)</f>
        <v/>
      </c>
      <c r="Z258">
        <f>IF(ABS(Y258-D258)&lt;0.000000001,4*$B$19*$B$20*(D258+273)^3,$B$19*$B$20*((Y258+273)^4-(D258+273)^4)/(Y258-D258))</f>
        <v/>
      </c>
      <c r="AA258">
        <f>$B$14*I258*(Y258-C258)</f>
        <v/>
      </c>
      <c r="AB258">
        <f>$B$14*Z258*(Y258-D258)</f>
        <v/>
      </c>
      <c r="AC258">
        <f>IF((U258-E258)/G258=0,0.001,(U258-E258)/G258)</f>
        <v/>
      </c>
      <c r="AD258">
        <f>F258-P258-J258-K258-AA258-AB258</f>
        <v/>
      </c>
      <c r="AE258">
        <f>AD258/AC258</f>
        <v/>
      </c>
      <c r="AF258">
        <f>IF(AD258&lt;=0,0,IF(AC258&lt;=0,$B$11,IF(AE258&gt;=1.7,$B$11,MIN(AD258/MAX(0.05,IF(AE258&gt;1,(2-AE258)^2/2,1-AE258^2/2)),$B$11))))</f>
        <v/>
      </c>
      <c r="AG258">
        <f>AG257*$B$28+AF258*(1-$B$28)</f>
        <v/>
      </c>
      <c r="AH258">
        <f>IF(AND(AD258&gt;0,AC258&lt;=0),0,AC258)</f>
        <v/>
      </c>
      <c r="AI258">
        <f>AH258/MAX(AG258,0.000001)</f>
        <v/>
      </c>
      <c r="AJ258">
        <f>MIN(IF(AI258&gt;=0.5,-AI258+SQRT(AI258^2+2),1),$B$12)</f>
        <v/>
      </c>
      <c r="AK258">
        <f>IF(AG258&lt;=0,0,AJ258*AH258)</f>
        <v/>
      </c>
      <c r="AL258">
        <f>IF(AD258&lt;=0,0,AD258)</f>
        <v/>
      </c>
      <c r="AM258">
        <f>AL258-AK258+P258</f>
        <v/>
      </c>
      <c r="AN258">
        <f>((AM258/$B$7+T257*AS257/2-T258*MAX(0.1,MIN(0.3,0.3-0.09*(AR257-36.8)))/2)+AR257*(1-AS257/2))/(1-MAX(0.1,MIN(0.3,0.3-0.09*(AR257-36.8)))/2)</f>
        <v/>
      </c>
      <c r="AO258">
        <f>((AM258/$B$7+T257*AS257/2-T258*MAX(0.1,MIN(0.3,0.3-0.09*(AN258-36.8)))/2)+AR257*(1-AS257/2))/(1-MAX(0.1,MIN(0.3,0.3-0.09*(AN258-36.8)))/2)</f>
        <v/>
      </c>
      <c r="AP258">
        <f>((AM258/$B$7+T257*AS257/2-T258*MAX(0.1,MIN(0.3,0.3-0.09*(AO258-36.8)))/2)+AR257*(1-AS257/2))/(1-MAX(0.1,MIN(0.3,0.3-0.09*(AO258-36.8)))/2)</f>
        <v/>
      </c>
      <c r="AQ258">
        <f>((AM258/$B$7+T257*AS257/2-T258*MAX(0.1,MIN(0.3,0.3-0.09*(AP258-36.8)))/2)+AR257*(1-AS257/2))/(1-MAX(0.1,MIN(0.3,0.3-0.09*(AP258-36.8)))/2)</f>
        <v/>
      </c>
      <c r="AR258">
        <f>((AM258/$B$7+T257*AS257/2-T258*MAX(0.1,MIN(0.3,0.3-0.09*(AQ258-36.8)))/2)+AR257*(1-AS257/2))/(1-MAX(0.1,MIN(0.3,0.3-0.09*(AQ258-36.8)))/2)</f>
        <v/>
      </c>
      <c r="AS258">
        <f>MAX(0.1,MIN(0.3,0.3-0.09*(AR258-36.8)))</f>
        <v/>
      </c>
      <c r="AT258">
        <f>AT257+(2*AR258-1.962*AT257-1.31)/9</f>
        <v/>
      </c>
      <c r="AU258">
        <f>AU257+AG258+K258</f>
        <v/>
      </c>
      <c r="AV258">
        <f>AU258*2.67*$B$6/1.8/60</f>
        <v/>
      </c>
      <c r="AW258">
        <f>IF(AT258&gt;=$B$36,1,0)</f>
        <v/>
      </c>
      <c r="AX258">
        <f>IF(AV258&gt;=$B$21,1,0)</f>
        <v/>
      </c>
    </row>
    <row r="259">
      <c r="A259" t="n">
        <v>186</v>
      </c>
      <c r="B259">
        <f>MATCH(A259-1,$D$61:$D$68,1)</f>
        <v/>
      </c>
      <c r="C259">
        <f>INDEX($G$61:$G$68,B259)</f>
        <v/>
      </c>
      <c r="D259">
        <f>INDEX($L$61:$L$68,B259)</f>
        <v/>
      </c>
      <c r="E259">
        <f>INDEX($M$61:$M$68,B259)</f>
        <v/>
      </c>
      <c r="F259">
        <f>INDEX($N$61:$N$68,B259)</f>
        <v/>
      </c>
      <c r="G259">
        <f>INDEX($AA$61:$AA$68,B259)</f>
        <v/>
      </c>
      <c r="H259">
        <f>INDEX($X$61:$X$68,B259)</f>
        <v/>
      </c>
      <c r="I259">
        <f>INDEX($AF$61:$AF$68,B259)</f>
        <v/>
      </c>
      <c r="J259">
        <f>INDEX($AC$61:$AC$68,B259)</f>
        <v/>
      </c>
      <c r="K259">
        <f>INDEX($AD$61:$AD$68,B259)</f>
        <v/>
      </c>
      <c r="L259">
        <f>INDEX($AG$61:$AG$68,B259)</f>
        <v/>
      </c>
      <c r="M259">
        <f>INDEX($AH$61:$AH$68,B259)</f>
        <v/>
      </c>
      <c r="N259">
        <f>INDEX($AI$61:$AI$68,B259)</f>
        <v/>
      </c>
      <c r="O259">
        <f>O258*$B$26+L259*(1-$B$26)</f>
        <v/>
      </c>
      <c r="P259">
        <f>$B$7*(O259-O258)*(1-AS258)</f>
        <v/>
      </c>
      <c r="Q259">
        <f>M259+0.51274*AT258</f>
        <v/>
      </c>
      <c r="R259">
        <f>N259+0.616*AT258</f>
        <v/>
      </c>
      <c r="S259">
        <f>IF($B$13&gt;=0.6,Q259,IF($B$13&lt;=0.2,R259,R259+2.5*(Q259-R259)*($B$13-0.2)))</f>
        <v/>
      </c>
      <c r="T259">
        <f>IF(A259=1,S259,T258*$B$27+S259*(1-$B$27))</f>
        <v/>
      </c>
      <c r="U259">
        <f>0.6105*EXP(17.27*T259/(T259+237.3))</f>
        <v/>
      </c>
      <c r="V259">
        <f>($B$14*(I259*C259+IF(ABS((D259+0.1)-D259)&lt;0.000000001,4*$B$19*$B$20*(D259+273)^3,$B$19*$B$20*(((D259+0.1)+273)^4-(D259+273)^4)/((D259+0.1)-D259))*D259)+T259/H259)/($B$14*(I259+IF(ABS((D259+0.1)-D259)&lt;0.000000001,4*$B$19*$B$20*(D259+273)^3,$B$19*$B$20*(((D259+0.1)+273)^4-(D259+273)^4)/((D259+0.1)-D259)))+1/H259)</f>
        <v/>
      </c>
      <c r="W259">
        <f>($B$14*(I259*C259+IF(ABS(V259-D259)&lt;0.000000001,4*$B$19*$B$20*(D259+273)^3,$B$19*$B$20*((V259+273)^4-(D259+273)^4)/(V259-D259))*D259)+T259/H259)/($B$14*(I259+IF(ABS(V259-D259)&lt;0.000000001,4*$B$19*$B$20*(D259+273)^3,$B$19*$B$20*((V259+273)^4-(D259+273)^4)/(V259-D259)))+1/H259)</f>
        <v/>
      </c>
      <c r="X259">
        <f>($B$14*(I259*C259+IF(ABS(W259-D259)&lt;0.000000001,4*$B$19*$B$20*(D259+273)^3,$B$19*$B$20*((W259+273)^4-(D259+273)^4)/(W259-D259))*D259)+T259/H259)/($B$14*(I259+IF(ABS(W259-D259)&lt;0.000000001,4*$B$19*$B$20*(D259+273)^3,$B$19*$B$20*((W259+273)^4-(D259+273)^4)/(W259-D259)))+1/H259)</f>
        <v/>
      </c>
      <c r="Y259">
        <f>($B$14*(I259*C259+IF(ABS(X259-D259)&lt;0.000000001,4*$B$19*$B$20*(D259+273)^3,$B$19*$B$20*((X259+273)^4-(D259+273)^4)/(X259-D259))*D259)+T259/H259)/($B$14*(I259+IF(ABS(X259-D259)&lt;0.000000001,4*$B$19*$B$20*(D259+273)^3,$B$19*$B$20*((X259+273)^4-(D259+273)^4)/(X259-D259)))+1/H259)</f>
        <v/>
      </c>
      <c r="Z259">
        <f>IF(ABS(Y259-D259)&lt;0.000000001,4*$B$19*$B$20*(D259+273)^3,$B$19*$B$20*((Y259+273)^4-(D259+273)^4)/(Y259-D259))</f>
        <v/>
      </c>
      <c r="AA259">
        <f>$B$14*I259*(Y259-C259)</f>
        <v/>
      </c>
      <c r="AB259">
        <f>$B$14*Z259*(Y259-D259)</f>
        <v/>
      </c>
      <c r="AC259">
        <f>IF((U259-E259)/G259=0,0.001,(U259-E259)/G259)</f>
        <v/>
      </c>
      <c r="AD259">
        <f>F259-P259-J259-K259-AA259-AB259</f>
        <v/>
      </c>
      <c r="AE259">
        <f>AD259/AC259</f>
        <v/>
      </c>
      <c r="AF259">
        <f>IF(AD259&lt;=0,0,IF(AC259&lt;=0,$B$11,IF(AE259&gt;=1.7,$B$11,MIN(AD259/MAX(0.05,IF(AE259&gt;1,(2-AE259)^2/2,1-AE259^2/2)),$B$11))))</f>
        <v/>
      </c>
      <c r="AG259">
        <f>AG258*$B$28+AF259*(1-$B$28)</f>
        <v/>
      </c>
      <c r="AH259">
        <f>IF(AND(AD259&gt;0,AC259&lt;=0),0,AC259)</f>
        <v/>
      </c>
      <c r="AI259">
        <f>AH259/MAX(AG259,0.000001)</f>
        <v/>
      </c>
      <c r="AJ259">
        <f>MIN(IF(AI259&gt;=0.5,-AI259+SQRT(AI259^2+2),1),$B$12)</f>
        <v/>
      </c>
      <c r="AK259">
        <f>IF(AG259&lt;=0,0,AJ259*AH259)</f>
        <v/>
      </c>
      <c r="AL259">
        <f>IF(AD259&lt;=0,0,AD259)</f>
        <v/>
      </c>
      <c r="AM259">
        <f>AL259-AK259+P259</f>
        <v/>
      </c>
      <c r="AN259">
        <f>((AM259/$B$7+T258*AS258/2-T259*MAX(0.1,MIN(0.3,0.3-0.09*(AR258-36.8)))/2)+AR258*(1-AS258/2))/(1-MAX(0.1,MIN(0.3,0.3-0.09*(AR258-36.8)))/2)</f>
        <v/>
      </c>
      <c r="AO259">
        <f>((AM259/$B$7+T258*AS258/2-T259*MAX(0.1,MIN(0.3,0.3-0.09*(AN259-36.8)))/2)+AR258*(1-AS258/2))/(1-MAX(0.1,MIN(0.3,0.3-0.09*(AN259-36.8)))/2)</f>
        <v/>
      </c>
      <c r="AP259">
        <f>((AM259/$B$7+T258*AS258/2-T259*MAX(0.1,MIN(0.3,0.3-0.09*(AO259-36.8)))/2)+AR258*(1-AS258/2))/(1-MAX(0.1,MIN(0.3,0.3-0.09*(AO259-36.8)))/2)</f>
        <v/>
      </c>
      <c r="AQ259">
        <f>((AM259/$B$7+T258*AS258/2-T259*MAX(0.1,MIN(0.3,0.3-0.09*(AP259-36.8)))/2)+AR258*(1-AS258/2))/(1-MAX(0.1,MIN(0.3,0.3-0.09*(AP259-36.8)))/2)</f>
        <v/>
      </c>
      <c r="AR259">
        <f>((AM259/$B$7+T258*AS258/2-T259*MAX(0.1,MIN(0.3,0.3-0.09*(AQ259-36.8)))/2)+AR258*(1-AS258/2))/(1-MAX(0.1,MIN(0.3,0.3-0.09*(AQ259-36.8)))/2)</f>
        <v/>
      </c>
      <c r="AS259">
        <f>MAX(0.1,MIN(0.3,0.3-0.09*(AR259-36.8)))</f>
        <v/>
      </c>
      <c r="AT259">
        <f>AT258+(2*AR259-1.962*AT258-1.31)/9</f>
        <v/>
      </c>
      <c r="AU259">
        <f>AU258+AG259+K259</f>
        <v/>
      </c>
      <c r="AV259">
        <f>AU259*2.67*$B$6/1.8/60</f>
        <v/>
      </c>
      <c r="AW259">
        <f>IF(AT259&gt;=$B$36,1,0)</f>
        <v/>
      </c>
      <c r="AX259">
        <f>IF(AV259&gt;=$B$21,1,0)</f>
        <v/>
      </c>
    </row>
    <row r="260">
      <c r="A260" t="n">
        <v>187</v>
      </c>
      <c r="B260">
        <f>MATCH(A260-1,$D$61:$D$68,1)</f>
        <v/>
      </c>
      <c r="C260">
        <f>INDEX($G$61:$G$68,B260)</f>
        <v/>
      </c>
      <c r="D260">
        <f>INDEX($L$61:$L$68,B260)</f>
        <v/>
      </c>
      <c r="E260">
        <f>INDEX($M$61:$M$68,B260)</f>
        <v/>
      </c>
      <c r="F260">
        <f>INDEX($N$61:$N$68,B260)</f>
        <v/>
      </c>
      <c r="G260">
        <f>INDEX($AA$61:$AA$68,B260)</f>
        <v/>
      </c>
      <c r="H260">
        <f>INDEX($X$61:$X$68,B260)</f>
        <v/>
      </c>
      <c r="I260">
        <f>INDEX($AF$61:$AF$68,B260)</f>
        <v/>
      </c>
      <c r="J260">
        <f>INDEX($AC$61:$AC$68,B260)</f>
        <v/>
      </c>
      <c r="K260">
        <f>INDEX($AD$61:$AD$68,B260)</f>
        <v/>
      </c>
      <c r="L260">
        <f>INDEX($AG$61:$AG$68,B260)</f>
        <v/>
      </c>
      <c r="M260">
        <f>INDEX($AH$61:$AH$68,B260)</f>
        <v/>
      </c>
      <c r="N260">
        <f>INDEX($AI$61:$AI$68,B260)</f>
        <v/>
      </c>
      <c r="O260">
        <f>O259*$B$26+L260*(1-$B$26)</f>
        <v/>
      </c>
      <c r="P260">
        <f>$B$7*(O260-O259)*(1-AS259)</f>
        <v/>
      </c>
      <c r="Q260">
        <f>M260+0.51274*AT259</f>
        <v/>
      </c>
      <c r="R260">
        <f>N260+0.616*AT259</f>
        <v/>
      </c>
      <c r="S260">
        <f>IF($B$13&gt;=0.6,Q260,IF($B$13&lt;=0.2,R260,R260+2.5*(Q260-R260)*($B$13-0.2)))</f>
        <v/>
      </c>
      <c r="T260">
        <f>IF(A260=1,S260,T259*$B$27+S260*(1-$B$27))</f>
        <v/>
      </c>
      <c r="U260">
        <f>0.6105*EXP(17.27*T260/(T260+237.3))</f>
        <v/>
      </c>
      <c r="V260">
        <f>($B$14*(I260*C260+IF(ABS((D260+0.1)-D260)&lt;0.000000001,4*$B$19*$B$20*(D260+273)^3,$B$19*$B$20*(((D260+0.1)+273)^4-(D260+273)^4)/((D260+0.1)-D260))*D260)+T260/H260)/($B$14*(I260+IF(ABS((D260+0.1)-D260)&lt;0.000000001,4*$B$19*$B$20*(D260+273)^3,$B$19*$B$20*(((D260+0.1)+273)^4-(D260+273)^4)/((D260+0.1)-D260)))+1/H260)</f>
        <v/>
      </c>
      <c r="W260">
        <f>($B$14*(I260*C260+IF(ABS(V260-D260)&lt;0.000000001,4*$B$19*$B$20*(D260+273)^3,$B$19*$B$20*((V260+273)^4-(D260+273)^4)/(V260-D260))*D260)+T260/H260)/($B$14*(I260+IF(ABS(V260-D260)&lt;0.000000001,4*$B$19*$B$20*(D260+273)^3,$B$19*$B$20*((V260+273)^4-(D260+273)^4)/(V260-D260)))+1/H260)</f>
        <v/>
      </c>
      <c r="X260">
        <f>($B$14*(I260*C260+IF(ABS(W260-D260)&lt;0.000000001,4*$B$19*$B$20*(D260+273)^3,$B$19*$B$20*((W260+273)^4-(D260+273)^4)/(W260-D260))*D260)+T260/H260)/($B$14*(I260+IF(ABS(W260-D260)&lt;0.000000001,4*$B$19*$B$20*(D260+273)^3,$B$19*$B$20*((W260+273)^4-(D260+273)^4)/(W260-D260)))+1/H260)</f>
        <v/>
      </c>
      <c r="Y260">
        <f>($B$14*(I260*C260+IF(ABS(X260-D260)&lt;0.000000001,4*$B$19*$B$20*(D260+273)^3,$B$19*$B$20*((X260+273)^4-(D260+273)^4)/(X260-D260))*D260)+T260/H260)/($B$14*(I260+IF(ABS(X260-D260)&lt;0.000000001,4*$B$19*$B$20*(D260+273)^3,$B$19*$B$20*((X260+273)^4-(D260+273)^4)/(X260-D260)))+1/H260)</f>
        <v/>
      </c>
      <c r="Z260">
        <f>IF(ABS(Y260-D260)&lt;0.000000001,4*$B$19*$B$20*(D260+273)^3,$B$19*$B$20*((Y260+273)^4-(D260+273)^4)/(Y260-D260))</f>
        <v/>
      </c>
      <c r="AA260">
        <f>$B$14*I260*(Y260-C260)</f>
        <v/>
      </c>
      <c r="AB260">
        <f>$B$14*Z260*(Y260-D260)</f>
        <v/>
      </c>
      <c r="AC260">
        <f>IF((U260-E260)/G260=0,0.001,(U260-E260)/G260)</f>
        <v/>
      </c>
      <c r="AD260">
        <f>F260-P260-J260-K260-AA260-AB260</f>
        <v/>
      </c>
      <c r="AE260">
        <f>AD260/AC260</f>
        <v/>
      </c>
      <c r="AF260">
        <f>IF(AD260&lt;=0,0,IF(AC260&lt;=0,$B$11,IF(AE260&gt;=1.7,$B$11,MIN(AD260/MAX(0.05,IF(AE260&gt;1,(2-AE260)^2/2,1-AE260^2/2)),$B$11))))</f>
        <v/>
      </c>
      <c r="AG260">
        <f>AG259*$B$28+AF260*(1-$B$28)</f>
        <v/>
      </c>
      <c r="AH260">
        <f>IF(AND(AD260&gt;0,AC260&lt;=0),0,AC260)</f>
        <v/>
      </c>
      <c r="AI260">
        <f>AH260/MAX(AG260,0.000001)</f>
        <v/>
      </c>
      <c r="AJ260">
        <f>MIN(IF(AI260&gt;=0.5,-AI260+SQRT(AI260^2+2),1),$B$12)</f>
        <v/>
      </c>
      <c r="AK260">
        <f>IF(AG260&lt;=0,0,AJ260*AH260)</f>
        <v/>
      </c>
      <c r="AL260">
        <f>IF(AD260&lt;=0,0,AD260)</f>
        <v/>
      </c>
      <c r="AM260">
        <f>AL260-AK260+P260</f>
        <v/>
      </c>
      <c r="AN260">
        <f>((AM260/$B$7+T259*AS259/2-T260*MAX(0.1,MIN(0.3,0.3-0.09*(AR259-36.8)))/2)+AR259*(1-AS259/2))/(1-MAX(0.1,MIN(0.3,0.3-0.09*(AR259-36.8)))/2)</f>
        <v/>
      </c>
      <c r="AO260">
        <f>((AM260/$B$7+T259*AS259/2-T260*MAX(0.1,MIN(0.3,0.3-0.09*(AN260-36.8)))/2)+AR259*(1-AS259/2))/(1-MAX(0.1,MIN(0.3,0.3-0.09*(AN260-36.8)))/2)</f>
        <v/>
      </c>
      <c r="AP260">
        <f>((AM260/$B$7+T259*AS259/2-T260*MAX(0.1,MIN(0.3,0.3-0.09*(AO260-36.8)))/2)+AR259*(1-AS259/2))/(1-MAX(0.1,MIN(0.3,0.3-0.09*(AO260-36.8)))/2)</f>
        <v/>
      </c>
      <c r="AQ260">
        <f>((AM260/$B$7+T259*AS259/2-T260*MAX(0.1,MIN(0.3,0.3-0.09*(AP260-36.8)))/2)+AR259*(1-AS259/2))/(1-MAX(0.1,MIN(0.3,0.3-0.09*(AP260-36.8)))/2)</f>
        <v/>
      </c>
      <c r="AR260">
        <f>((AM260/$B$7+T259*AS259/2-T260*MAX(0.1,MIN(0.3,0.3-0.09*(AQ260-36.8)))/2)+AR259*(1-AS259/2))/(1-MAX(0.1,MIN(0.3,0.3-0.09*(AQ260-36.8)))/2)</f>
        <v/>
      </c>
      <c r="AS260">
        <f>MAX(0.1,MIN(0.3,0.3-0.09*(AR260-36.8)))</f>
        <v/>
      </c>
      <c r="AT260">
        <f>AT259+(2*AR260-1.962*AT259-1.31)/9</f>
        <v/>
      </c>
      <c r="AU260">
        <f>AU259+AG260+K260</f>
        <v/>
      </c>
      <c r="AV260">
        <f>AU260*2.67*$B$6/1.8/60</f>
        <v/>
      </c>
      <c r="AW260">
        <f>IF(AT260&gt;=$B$36,1,0)</f>
        <v/>
      </c>
      <c r="AX260">
        <f>IF(AV260&gt;=$B$21,1,0)</f>
        <v/>
      </c>
    </row>
    <row r="261">
      <c r="A261" t="n">
        <v>188</v>
      </c>
      <c r="B261">
        <f>MATCH(A261-1,$D$61:$D$68,1)</f>
        <v/>
      </c>
      <c r="C261">
        <f>INDEX($G$61:$G$68,B261)</f>
        <v/>
      </c>
      <c r="D261">
        <f>INDEX($L$61:$L$68,B261)</f>
        <v/>
      </c>
      <c r="E261">
        <f>INDEX($M$61:$M$68,B261)</f>
        <v/>
      </c>
      <c r="F261">
        <f>INDEX($N$61:$N$68,B261)</f>
        <v/>
      </c>
      <c r="G261">
        <f>INDEX($AA$61:$AA$68,B261)</f>
        <v/>
      </c>
      <c r="H261">
        <f>INDEX($X$61:$X$68,B261)</f>
        <v/>
      </c>
      <c r="I261">
        <f>INDEX($AF$61:$AF$68,B261)</f>
        <v/>
      </c>
      <c r="J261">
        <f>INDEX($AC$61:$AC$68,B261)</f>
        <v/>
      </c>
      <c r="K261">
        <f>INDEX($AD$61:$AD$68,B261)</f>
        <v/>
      </c>
      <c r="L261">
        <f>INDEX($AG$61:$AG$68,B261)</f>
        <v/>
      </c>
      <c r="M261">
        <f>INDEX($AH$61:$AH$68,B261)</f>
        <v/>
      </c>
      <c r="N261">
        <f>INDEX($AI$61:$AI$68,B261)</f>
        <v/>
      </c>
      <c r="O261">
        <f>O260*$B$26+L261*(1-$B$26)</f>
        <v/>
      </c>
      <c r="P261">
        <f>$B$7*(O261-O260)*(1-AS260)</f>
        <v/>
      </c>
      <c r="Q261">
        <f>M261+0.51274*AT260</f>
        <v/>
      </c>
      <c r="R261">
        <f>N261+0.616*AT260</f>
        <v/>
      </c>
      <c r="S261">
        <f>IF($B$13&gt;=0.6,Q261,IF($B$13&lt;=0.2,R261,R261+2.5*(Q261-R261)*($B$13-0.2)))</f>
        <v/>
      </c>
      <c r="T261">
        <f>IF(A261=1,S261,T260*$B$27+S261*(1-$B$27))</f>
        <v/>
      </c>
      <c r="U261">
        <f>0.6105*EXP(17.27*T261/(T261+237.3))</f>
        <v/>
      </c>
      <c r="V261">
        <f>($B$14*(I261*C261+IF(ABS((D261+0.1)-D261)&lt;0.000000001,4*$B$19*$B$20*(D261+273)^3,$B$19*$B$20*(((D261+0.1)+273)^4-(D261+273)^4)/((D261+0.1)-D261))*D261)+T261/H261)/($B$14*(I261+IF(ABS((D261+0.1)-D261)&lt;0.000000001,4*$B$19*$B$20*(D261+273)^3,$B$19*$B$20*(((D261+0.1)+273)^4-(D261+273)^4)/((D261+0.1)-D261)))+1/H261)</f>
        <v/>
      </c>
      <c r="W261">
        <f>($B$14*(I261*C261+IF(ABS(V261-D261)&lt;0.000000001,4*$B$19*$B$20*(D261+273)^3,$B$19*$B$20*((V261+273)^4-(D261+273)^4)/(V261-D261))*D261)+T261/H261)/($B$14*(I261+IF(ABS(V261-D261)&lt;0.000000001,4*$B$19*$B$20*(D261+273)^3,$B$19*$B$20*((V261+273)^4-(D261+273)^4)/(V261-D261)))+1/H261)</f>
        <v/>
      </c>
      <c r="X261">
        <f>($B$14*(I261*C261+IF(ABS(W261-D261)&lt;0.000000001,4*$B$19*$B$20*(D261+273)^3,$B$19*$B$20*((W261+273)^4-(D261+273)^4)/(W261-D261))*D261)+T261/H261)/($B$14*(I261+IF(ABS(W261-D261)&lt;0.000000001,4*$B$19*$B$20*(D261+273)^3,$B$19*$B$20*((W261+273)^4-(D261+273)^4)/(W261-D261)))+1/H261)</f>
        <v/>
      </c>
      <c r="Y261">
        <f>($B$14*(I261*C261+IF(ABS(X261-D261)&lt;0.000000001,4*$B$19*$B$20*(D261+273)^3,$B$19*$B$20*((X261+273)^4-(D261+273)^4)/(X261-D261))*D261)+T261/H261)/($B$14*(I261+IF(ABS(X261-D261)&lt;0.000000001,4*$B$19*$B$20*(D261+273)^3,$B$19*$B$20*((X261+273)^4-(D261+273)^4)/(X261-D261)))+1/H261)</f>
        <v/>
      </c>
      <c r="Z261">
        <f>IF(ABS(Y261-D261)&lt;0.000000001,4*$B$19*$B$20*(D261+273)^3,$B$19*$B$20*((Y261+273)^4-(D261+273)^4)/(Y261-D261))</f>
        <v/>
      </c>
      <c r="AA261">
        <f>$B$14*I261*(Y261-C261)</f>
        <v/>
      </c>
      <c r="AB261">
        <f>$B$14*Z261*(Y261-D261)</f>
        <v/>
      </c>
      <c r="AC261">
        <f>IF((U261-E261)/G261=0,0.001,(U261-E261)/G261)</f>
        <v/>
      </c>
      <c r="AD261">
        <f>F261-P261-J261-K261-AA261-AB261</f>
        <v/>
      </c>
      <c r="AE261">
        <f>AD261/AC261</f>
        <v/>
      </c>
      <c r="AF261">
        <f>IF(AD261&lt;=0,0,IF(AC261&lt;=0,$B$11,IF(AE261&gt;=1.7,$B$11,MIN(AD261/MAX(0.05,IF(AE261&gt;1,(2-AE261)^2/2,1-AE261^2/2)),$B$11))))</f>
        <v/>
      </c>
      <c r="AG261">
        <f>AG260*$B$28+AF261*(1-$B$28)</f>
        <v/>
      </c>
      <c r="AH261">
        <f>IF(AND(AD261&gt;0,AC261&lt;=0),0,AC261)</f>
        <v/>
      </c>
      <c r="AI261">
        <f>AH261/MAX(AG261,0.000001)</f>
        <v/>
      </c>
      <c r="AJ261">
        <f>MIN(IF(AI261&gt;=0.5,-AI261+SQRT(AI261^2+2),1),$B$12)</f>
        <v/>
      </c>
      <c r="AK261">
        <f>IF(AG261&lt;=0,0,AJ261*AH261)</f>
        <v/>
      </c>
      <c r="AL261">
        <f>IF(AD261&lt;=0,0,AD261)</f>
        <v/>
      </c>
      <c r="AM261">
        <f>AL261-AK261+P261</f>
        <v/>
      </c>
      <c r="AN261">
        <f>((AM261/$B$7+T260*AS260/2-T261*MAX(0.1,MIN(0.3,0.3-0.09*(AR260-36.8)))/2)+AR260*(1-AS260/2))/(1-MAX(0.1,MIN(0.3,0.3-0.09*(AR260-36.8)))/2)</f>
        <v/>
      </c>
      <c r="AO261">
        <f>((AM261/$B$7+T260*AS260/2-T261*MAX(0.1,MIN(0.3,0.3-0.09*(AN261-36.8)))/2)+AR260*(1-AS260/2))/(1-MAX(0.1,MIN(0.3,0.3-0.09*(AN261-36.8)))/2)</f>
        <v/>
      </c>
      <c r="AP261">
        <f>((AM261/$B$7+T260*AS260/2-T261*MAX(0.1,MIN(0.3,0.3-0.09*(AO261-36.8)))/2)+AR260*(1-AS260/2))/(1-MAX(0.1,MIN(0.3,0.3-0.09*(AO261-36.8)))/2)</f>
        <v/>
      </c>
      <c r="AQ261">
        <f>((AM261/$B$7+T260*AS260/2-T261*MAX(0.1,MIN(0.3,0.3-0.09*(AP261-36.8)))/2)+AR260*(1-AS260/2))/(1-MAX(0.1,MIN(0.3,0.3-0.09*(AP261-36.8)))/2)</f>
        <v/>
      </c>
      <c r="AR261">
        <f>((AM261/$B$7+T260*AS260/2-T261*MAX(0.1,MIN(0.3,0.3-0.09*(AQ261-36.8)))/2)+AR260*(1-AS260/2))/(1-MAX(0.1,MIN(0.3,0.3-0.09*(AQ261-36.8)))/2)</f>
        <v/>
      </c>
      <c r="AS261">
        <f>MAX(0.1,MIN(0.3,0.3-0.09*(AR261-36.8)))</f>
        <v/>
      </c>
      <c r="AT261">
        <f>AT260+(2*AR261-1.962*AT260-1.31)/9</f>
        <v/>
      </c>
      <c r="AU261">
        <f>AU260+AG261+K261</f>
        <v/>
      </c>
      <c r="AV261">
        <f>AU261*2.67*$B$6/1.8/60</f>
        <v/>
      </c>
      <c r="AW261">
        <f>IF(AT261&gt;=$B$36,1,0)</f>
        <v/>
      </c>
      <c r="AX261">
        <f>IF(AV261&gt;=$B$21,1,0)</f>
        <v/>
      </c>
    </row>
    <row r="262">
      <c r="A262" t="n">
        <v>189</v>
      </c>
      <c r="B262">
        <f>MATCH(A262-1,$D$61:$D$68,1)</f>
        <v/>
      </c>
      <c r="C262">
        <f>INDEX($G$61:$G$68,B262)</f>
        <v/>
      </c>
      <c r="D262">
        <f>INDEX($L$61:$L$68,B262)</f>
        <v/>
      </c>
      <c r="E262">
        <f>INDEX($M$61:$M$68,B262)</f>
        <v/>
      </c>
      <c r="F262">
        <f>INDEX($N$61:$N$68,B262)</f>
        <v/>
      </c>
      <c r="G262">
        <f>INDEX($AA$61:$AA$68,B262)</f>
        <v/>
      </c>
      <c r="H262">
        <f>INDEX($X$61:$X$68,B262)</f>
        <v/>
      </c>
      <c r="I262">
        <f>INDEX($AF$61:$AF$68,B262)</f>
        <v/>
      </c>
      <c r="J262">
        <f>INDEX($AC$61:$AC$68,B262)</f>
        <v/>
      </c>
      <c r="K262">
        <f>INDEX($AD$61:$AD$68,B262)</f>
        <v/>
      </c>
      <c r="L262">
        <f>INDEX($AG$61:$AG$68,B262)</f>
        <v/>
      </c>
      <c r="M262">
        <f>INDEX($AH$61:$AH$68,B262)</f>
        <v/>
      </c>
      <c r="N262">
        <f>INDEX($AI$61:$AI$68,B262)</f>
        <v/>
      </c>
      <c r="O262">
        <f>O261*$B$26+L262*(1-$B$26)</f>
        <v/>
      </c>
      <c r="P262">
        <f>$B$7*(O262-O261)*(1-AS261)</f>
        <v/>
      </c>
      <c r="Q262">
        <f>M262+0.51274*AT261</f>
        <v/>
      </c>
      <c r="R262">
        <f>N262+0.616*AT261</f>
        <v/>
      </c>
      <c r="S262">
        <f>IF($B$13&gt;=0.6,Q262,IF($B$13&lt;=0.2,R262,R262+2.5*(Q262-R262)*($B$13-0.2)))</f>
        <v/>
      </c>
      <c r="T262">
        <f>IF(A262=1,S262,T261*$B$27+S262*(1-$B$27))</f>
        <v/>
      </c>
      <c r="U262">
        <f>0.6105*EXP(17.27*T262/(T262+237.3))</f>
        <v/>
      </c>
      <c r="V262">
        <f>($B$14*(I262*C262+IF(ABS((D262+0.1)-D262)&lt;0.000000001,4*$B$19*$B$20*(D262+273)^3,$B$19*$B$20*(((D262+0.1)+273)^4-(D262+273)^4)/((D262+0.1)-D262))*D262)+T262/H262)/($B$14*(I262+IF(ABS((D262+0.1)-D262)&lt;0.000000001,4*$B$19*$B$20*(D262+273)^3,$B$19*$B$20*(((D262+0.1)+273)^4-(D262+273)^4)/((D262+0.1)-D262)))+1/H262)</f>
        <v/>
      </c>
      <c r="W262">
        <f>($B$14*(I262*C262+IF(ABS(V262-D262)&lt;0.000000001,4*$B$19*$B$20*(D262+273)^3,$B$19*$B$20*((V262+273)^4-(D262+273)^4)/(V262-D262))*D262)+T262/H262)/($B$14*(I262+IF(ABS(V262-D262)&lt;0.000000001,4*$B$19*$B$20*(D262+273)^3,$B$19*$B$20*((V262+273)^4-(D262+273)^4)/(V262-D262)))+1/H262)</f>
        <v/>
      </c>
      <c r="X262">
        <f>($B$14*(I262*C262+IF(ABS(W262-D262)&lt;0.000000001,4*$B$19*$B$20*(D262+273)^3,$B$19*$B$20*((W262+273)^4-(D262+273)^4)/(W262-D262))*D262)+T262/H262)/($B$14*(I262+IF(ABS(W262-D262)&lt;0.000000001,4*$B$19*$B$20*(D262+273)^3,$B$19*$B$20*((W262+273)^4-(D262+273)^4)/(W262-D262)))+1/H262)</f>
        <v/>
      </c>
      <c r="Y262">
        <f>($B$14*(I262*C262+IF(ABS(X262-D262)&lt;0.000000001,4*$B$19*$B$20*(D262+273)^3,$B$19*$B$20*((X262+273)^4-(D262+273)^4)/(X262-D262))*D262)+T262/H262)/($B$14*(I262+IF(ABS(X262-D262)&lt;0.000000001,4*$B$19*$B$20*(D262+273)^3,$B$19*$B$20*((X262+273)^4-(D262+273)^4)/(X262-D262)))+1/H262)</f>
        <v/>
      </c>
      <c r="Z262">
        <f>IF(ABS(Y262-D262)&lt;0.000000001,4*$B$19*$B$20*(D262+273)^3,$B$19*$B$20*((Y262+273)^4-(D262+273)^4)/(Y262-D262))</f>
        <v/>
      </c>
      <c r="AA262">
        <f>$B$14*I262*(Y262-C262)</f>
        <v/>
      </c>
      <c r="AB262">
        <f>$B$14*Z262*(Y262-D262)</f>
        <v/>
      </c>
      <c r="AC262">
        <f>IF((U262-E262)/G262=0,0.001,(U262-E262)/G262)</f>
        <v/>
      </c>
      <c r="AD262">
        <f>F262-P262-J262-K262-AA262-AB262</f>
        <v/>
      </c>
      <c r="AE262">
        <f>AD262/AC262</f>
        <v/>
      </c>
      <c r="AF262">
        <f>IF(AD262&lt;=0,0,IF(AC262&lt;=0,$B$11,IF(AE262&gt;=1.7,$B$11,MIN(AD262/MAX(0.05,IF(AE262&gt;1,(2-AE262)^2/2,1-AE262^2/2)),$B$11))))</f>
        <v/>
      </c>
      <c r="AG262">
        <f>AG261*$B$28+AF262*(1-$B$28)</f>
        <v/>
      </c>
      <c r="AH262">
        <f>IF(AND(AD262&gt;0,AC262&lt;=0),0,AC262)</f>
        <v/>
      </c>
      <c r="AI262">
        <f>AH262/MAX(AG262,0.000001)</f>
        <v/>
      </c>
      <c r="AJ262">
        <f>MIN(IF(AI262&gt;=0.5,-AI262+SQRT(AI262^2+2),1),$B$12)</f>
        <v/>
      </c>
      <c r="AK262">
        <f>IF(AG262&lt;=0,0,AJ262*AH262)</f>
        <v/>
      </c>
      <c r="AL262">
        <f>IF(AD262&lt;=0,0,AD262)</f>
        <v/>
      </c>
      <c r="AM262">
        <f>AL262-AK262+P262</f>
        <v/>
      </c>
      <c r="AN262">
        <f>((AM262/$B$7+T261*AS261/2-T262*MAX(0.1,MIN(0.3,0.3-0.09*(AR261-36.8)))/2)+AR261*(1-AS261/2))/(1-MAX(0.1,MIN(0.3,0.3-0.09*(AR261-36.8)))/2)</f>
        <v/>
      </c>
      <c r="AO262">
        <f>((AM262/$B$7+T261*AS261/2-T262*MAX(0.1,MIN(0.3,0.3-0.09*(AN262-36.8)))/2)+AR261*(1-AS261/2))/(1-MAX(0.1,MIN(0.3,0.3-0.09*(AN262-36.8)))/2)</f>
        <v/>
      </c>
      <c r="AP262">
        <f>((AM262/$B$7+T261*AS261/2-T262*MAX(0.1,MIN(0.3,0.3-0.09*(AO262-36.8)))/2)+AR261*(1-AS261/2))/(1-MAX(0.1,MIN(0.3,0.3-0.09*(AO262-36.8)))/2)</f>
        <v/>
      </c>
      <c r="AQ262">
        <f>((AM262/$B$7+T261*AS261/2-T262*MAX(0.1,MIN(0.3,0.3-0.09*(AP262-36.8)))/2)+AR261*(1-AS261/2))/(1-MAX(0.1,MIN(0.3,0.3-0.09*(AP262-36.8)))/2)</f>
        <v/>
      </c>
      <c r="AR262">
        <f>((AM262/$B$7+T261*AS261/2-T262*MAX(0.1,MIN(0.3,0.3-0.09*(AQ262-36.8)))/2)+AR261*(1-AS261/2))/(1-MAX(0.1,MIN(0.3,0.3-0.09*(AQ262-36.8)))/2)</f>
        <v/>
      </c>
      <c r="AS262">
        <f>MAX(0.1,MIN(0.3,0.3-0.09*(AR262-36.8)))</f>
        <v/>
      </c>
      <c r="AT262">
        <f>AT261+(2*AR262-1.962*AT261-1.31)/9</f>
        <v/>
      </c>
      <c r="AU262">
        <f>AU261+AG262+K262</f>
        <v/>
      </c>
      <c r="AV262">
        <f>AU262*2.67*$B$6/1.8/60</f>
        <v/>
      </c>
      <c r="AW262">
        <f>IF(AT262&gt;=$B$36,1,0)</f>
        <v/>
      </c>
      <c r="AX262">
        <f>IF(AV262&gt;=$B$21,1,0)</f>
        <v/>
      </c>
    </row>
    <row r="263">
      <c r="A263" t="n">
        <v>190</v>
      </c>
      <c r="B263">
        <f>MATCH(A263-1,$D$61:$D$68,1)</f>
        <v/>
      </c>
      <c r="C263">
        <f>INDEX($G$61:$G$68,B263)</f>
        <v/>
      </c>
      <c r="D263">
        <f>INDEX($L$61:$L$68,B263)</f>
        <v/>
      </c>
      <c r="E263">
        <f>INDEX($M$61:$M$68,B263)</f>
        <v/>
      </c>
      <c r="F263">
        <f>INDEX($N$61:$N$68,B263)</f>
        <v/>
      </c>
      <c r="G263">
        <f>INDEX($AA$61:$AA$68,B263)</f>
        <v/>
      </c>
      <c r="H263">
        <f>INDEX($X$61:$X$68,B263)</f>
        <v/>
      </c>
      <c r="I263">
        <f>INDEX($AF$61:$AF$68,B263)</f>
        <v/>
      </c>
      <c r="J263">
        <f>INDEX($AC$61:$AC$68,B263)</f>
        <v/>
      </c>
      <c r="K263">
        <f>INDEX($AD$61:$AD$68,B263)</f>
        <v/>
      </c>
      <c r="L263">
        <f>INDEX($AG$61:$AG$68,B263)</f>
        <v/>
      </c>
      <c r="M263">
        <f>INDEX($AH$61:$AH$68,B263)</f>
        <v/>
      </c>
      <c r="N263">
        <f>INDEX($AI$61:$AI$68,B263)</f>
        <v/>
      </c>
      <c r="O263">
        <f>O262*$B$26+L263*(1-$B$26)</f>
        <v/>
      </c>
      <c r="P263">
        <f>$B$7*(O263-O262)*(1-AS262)</f>
        <v/>
      </c>
      <c r="Q263">
        <f>M263+0.51274*AT262</f>
        <v/>
      </c>
      <c r="R263">
        <f>N263+0.616*AT262</f>
        <v/>
      </c>
      <c r="S263">
        <f>IF($B$13&gt;=0.6,Q263,IF($B$13&lt;=0.2,R263,R263+2.5*(Q263-R263)*($B$13-0.2)))</f>
        <v/>
      </c>
      <c r="T263">
        <f>IF(A263=1,S263,T262*$B$27+S263*(1-$B$27))</f>
        <v/>
      </c>
      <c r="U263">
        <f>0.6105*EXP(17.27*T263/(T263+237.3))</f>
        <v/>
      </c>
      <c r="V263">
        <f>($B$14*(I263*C263+IF(ABS((D263+0.1)-D263)&lt;0.000000001,4*$B$19*$B$20*(D263+273)^3,$B$19*$B$20*(((D263+0.1)+273)^4-(D263+273)^4)/((D263+0.1)-D263))*D263)+T263/H263)/($B$14*(I263+IF(ABS((D263+0.1)-D263)&lt;0.000000001,4*$B$19*$B$20*(D263+273)^3,$B$19*$B$20*(((D263+0.1)+273)^4-(D263+273)^4)/((D263+0.1)-D263)))+1/H263)</f>
        <v/>
      </c>
      <c r="W263">
        <f>($B$14*(I263*C263+IF(ABS(V263-D263)&lt;0.000000001,4*$B$19*$B$20*(D263+273)^3,$B$19*$B$20*((V263+273)^4-(D263+273)^4)/(V263-D263))*D263)+T263/H263)/($B$14*(I263+IF(ABS(V263-D263)&lt;0.000000001,4*$B$19*$B$20*(D263+273)^3,$B$19*$B$20*((V263+273)^4-(D263+273)^4)/(V263-D263)))+1/H263)</f>
        <v/>
      </c>
      <c r="X263">
        <f>($B$14*(I263*C263+IF(ABS(W263-D263)&lt;0.000000001,4*$B$19*$B$20*(D263+273)^3,$B$19*$B$20*((W263+273)^4-(D263+273)^4)/(W263-D263))*D263)+T263/H263)/($B$14*(I263+IF(ABS(W263-D263)&lt;0.000000001,4*$B$19*$B$20*(D263+273)^3,$B$19*$B$20*((W263+273)^4-(D263+273)^4)/(W263-D263)))+1/H263)</f>
        <v/>
      </c>
      <c r="Y263">
        <f>($B$14*(I263*C263+IF(ABS(X263-D263)&lt;0.000000001,4*$B$19*$B$20*(D263+273)^3,$B$19*$B$20*((X263+273)^4-(D263+273)^4)/(X263-D263))*D263)+T263/H263)/($B$14*(I263+IF(ABS(X263-D263)&lt;0.000000001,4*$B$19*$B$20*(D263+273)^3,$B$19*$B$20*((X263+273)^4-(D263+273)^4)/(X263-D263)))+1/H263)</f>
        <v/>
      </c>
      <c r="Z263">
        <f>IF(ABS(Y263-D263)&lt;0.000000001,4*$B$19*$B$20*(D263+273)^3,$B$19*$B$20*((Y263+273)^4-(D263+273)^4)/(Y263-D263))</f>
        <v/>
      </c>
      <c r="AA263">
        <f>$B$14*I263*(Y263-C263)</f>
        <v/>
      </c>
      <c r="AB263">
        <f>$B$14*Z263*(Y263-D263)</f>
        <v/>
      </c>
      <c r="AC263">
        <f>IF((U263-E263)/G263=0,0.001,(U263-E263)/G263)</f>
        <v/>
      </c>
      <c r="AD263">
        <f>F263-P263-J263-K263-AA263-AB263</f>
        <v/>
      </c>
      <c r="AE263">
        <f>AD263/AC263</f>
        <v/>
      </c>
      <c r="AF263">
        <f>IF(AD263&lt;=0,0,IF(AC263&lt;=0,$B$11,IF(AE263&gt;=1.7,$B$11,MIN(AD263/MAX(0.05,IF(AE263&gt;1,(2-AE263)^2/2,1-AE263^2/2)),$B$11))))</f>
        <v/>
      </c>
      <c r="AG263">
        <f>AG262*$B$28+AF263*(1-$B$28)</f>
        <v/>
      </c>
      <c r="AH263">
        <f>IF(AND(AD263&gt;0,AC263&lt;=0),0,AC263)</f>
        <v/>
      </c>
      <c r="AI263">
        <f>AH263/MAX(AG263,0.000001)</f>
        <v/>
      </c>
      <c r="AJ263">
        <f>MIN(IF(AI263&gt;=0.5,-AI263+SQRT(AI263^2+2),1),$B$12)</f>
        <v/>
      </c>
      <c r="AK263">
        <f>IF(AG263&lt;=0,0,AJ263*AH263)</f>
        <v/>
      </c>
      <c r="AL263">
        <f>IF(AD263&lt;=0,0,AD263)</f>
        <v/>
      </c>
      <c r="AM263">
        <f>AL263-AK263+P263</f>
        <v/>
      </c>
      <c r="AN263">
        <f>((AM263/$B$7+T262*AS262/2-T263*MAX(0.1,MIN(0.3,0.3-0.09*(AR262-36.8)))/2)+AR262*(1-AS262/2))/(1-MAX(0.1,MIN(0.3,0.3-0.09*(AR262-36.8)))/2)</f>
        <v/>
      </c>
      <c r="AO263">
        <f>((AM263/$B$7+T262*AS262/2-T263*MAX(0.1,MIN(0.3,0.3-0.09*(AN263-36.8)))/2)+AR262*(1-AS262/2))/(1-MAX(0.1,MIN(0.3,0.3-0.09*(AN263-36.8)))/2)</f>
        <v/>
      </c>
      <c r="AP263">
        <f>((AM263/$B$7+T262*AS262/2-T263*MAX(0.1,MIN(0.3,0.3-0.09*(AO263-36.8)))/2)+AR262*(1-AS262/2))/(1-MAX(0.1,MIN(0.3,0.3-0.09*(AO263-36.8)))/2)</f>
        <v/>
      </c>
      <c r="AQ263">
        <f>((AM263/$B$7+T262*AS262/2-T263*MAX(0.1,MIN(0.3,0.3-0.09*(AP263-36.8)))/2)+AR262*(1-AS262/2))/(1-MAX(0.1,MIN(0.3,0.3-0.09*(AP263-36.8)))/2)</f>
        <v/>
      </c>
      <c r="AR263">
        <f>((AM263/$B$7+T262*AS262/2-T263*MAX(0.1,MIN(0.3,0.3-0.09*(AQ263-36.8)))/2)+AR262*(1-AS262/2))/(1-MAX(0.1,MIN(0.3,0.3-0.09*(AQ263-36.8)))/2)</f>
        <v/>
      </c>
      <c r="AS263">
        <f>MAX(0.1,MIN(0.3,0.3-0.09*(AR263-36.8)))</f>
        <v/>
      </c>
      <c r="AT263">
        <f>AT262+(2*AR263-1.962*AT262-1.31)/9</f>
        <v/>
      </c>
      <c r="AU263">
        <f>AU262+AG263+K263</f>
        <v/>
      </c>
      <c r="AV263">
        <f>AU263*2.67*$B$6/1.8/60</f>
        <v/>
      </c>
      <c r="AW263">
        <f>IF(AT263&gt;=$B$36,1,0)</f>
        <v/>
      </c>
      <c r="AX263">
        <f>IF(AV263&gt;=$B$21,1,0)</f>
        <v/>
      </c>
    </row>
    <row r="264">
      <c r="A264" t="n">
        <v>191</v>
      </c>
      <c r="B264">
        <f>MATCH(A264-1,$D$61:$D$68,1)</f>
        <v/>
      </c>
      <c r="C264">
        <f>INDEX($G$61:$G$68,B264)</f>
        <v/>
      </c>
      <c r="D264">
        <f>INDEX($L$61:$L$68,B264)</f>
        <v/>
      </c>
      <c r="E264">
        <f>INDEX($M$61:$M$68,B264)</f>
        <v/>
      </c>
      <c r="F264">
        <f>INDEX($N$61:$N$68,B264)</f>
        <v/>
      </c>
      <c r="G264">
        <f>INDEX($AA$61:$AA$68,B264)</f>
        <v/>
      </c>
      <c r="H264">
        <f>INDEX($X$61:$X$68,B264)</f>
        <v/>
      </c>
      <c r="I264">
        <f>INDEX($AF$61:$AF$68,B264)</f>
        <v/>
      </c>
      <c r="J264">
        <f>INDEX($AC$61:$AC$68,B264)</f>
        <v/>
      </c>
      <c r="K264">
        <f>INDEX($AD$61:$AD$68,B264)</f>
        <v/>
      </c>
      <c r="L264">
        <f>INDEX($AG$61:$AG$68,B264)</f>
        <v/>
      </c>
      <c r="M264">
        <f>INDEX($AH$61:$AH$68,B264)</f>
        <v/>
      </c>
      <c r="N264">
        <f>INDEX($AI$61:$AI$68,B264)</f>
        <v/>
      </c>
      <c r="O264">
        <f>O263*$B$26+L264*(1-$B$26)</f>
        <v/>
      </c>
      <c r="P264">
        <f>$B$7*(O264-O263)*(1-AS263)</f>
        <v/>
      </c>
      <c r="Q264">
        <f>M264+0.51274*AT263</f>
        <v/>
      </c>
      <c r="R264">
        <f>N264+0.616*AT263</f>
        <v/>
      </c>
      <c r="S264">
        <f>IF($B$13&gt;=0.6,Q264,IF($B$13&lt;=0.2,R264,R264+2.5*(Q264-R264)*($B$13-0.2)))</f>
        <v/>
      </c>
      <c r="T264">
        <f>IF(A264=1,S264,T263*$B$27+S264*(1-$B$27))</f>
        <v/>
      </c>
      <c r="U264">
        <f>0.6105*EXP(17.27*T264/(T264+237.3))</f>
        <v/>
      </c>
      <c r="V264">
        <f>($B$14*(I264*C264+IF(ABS((D264+0.1)-D264)&lt;0.000000001,4*$B$19*$B$20*(D264+273)^3,$B$19*$B$20*(((D264+0.1)+273)^4-(D264+273)^4)/((D264+0.1)-D264))*D264)+T264/H264)/($B$14*(I264+IF(ABS((D264+0.1)-D264)&lt;0.000000001,4*$B$19*$B$20*(D264+273)^3,$B$19*$B$20*(((D264+0.1)+273)^4-(D264+273)^4)/((D264+0.1)-D264)))+1/H264)</f>
        <v/>
      </c>
      <c r="W264">
        <f>($B$14*(I264*C264+IF(ABS(V264-D264)&lt;0.000000001,4*$B$19*$B$20*(D264+273)^3,$B$19*$B$20*((V264+273)^4-(D264+273)^4)/(V264-D264))*D264)+T264/H264)/($B$14*(I264+IF(ABS(V264-D264)&lt;0.000000001,4*$B$19*$B$20*(D264+273)^3,$B$19*$B$20*((V264+273)^4-(D264+273)^4)/(V264-D264)))+1/H264)</f>
        <v/>
      </c>
      <c r="X264">
        <f>($B$14*(I264*C264+IF(ABS(W264-D264)&lt;0.000000001,4*$B$19*$B$20*(D264+273)^3,$B$19*$B$20*((W264+273)^4-(D264+273)^4)/(W264-D264))*D264)+T264/H264)/($B$14*(I264+IF(ABS(W264-D264)&lt;0.000000001,4*$B$19*$B$20*(D264+273)^3,$B$19*$B$20*((W264+273)^4-(D264+273)^4)/(W264-D264)))+1/H264)</f>
        <v/>
      </c>
      <c r="Y264">
        <f>($B$14*(I264*C264+IF(ABS(X264-D264)&lt;0.000000001,4*$B$19*$B$20*(D264+273)^3,$B$19*$B$20*((X264+273)^4-(D264+273)^4)/(X264-D264))*D264)+T264/H264)/($B$14*(I264+IF(ABS(X264-D264)&lt;0.000000001,4*$B$19*$B$20*(D264+273)^3,$B$19*$B$20*((X264+273)^4-(D264+273)^4)/(X264-D264)))+1/H264)</f>
        <v/>
      </c>
      <c r="Z264">
        <f>IF(ABS(Y264-D264)&lt;0.000000001,4*$B$19*$B$20*(D264+273)^3,$B$19*$B$20*((Y264+273)^4-(D264+273)^4)/(Y264-D264))</f>
        <v/>
      </c>
      <c r="AA264">
        <f>$B$14*I264*(Y264-C264)</f>
        <v/>
      </c>
      <c r="AB264">
        <f>$B$14*Z264*(Y264-D264)</f>
        <v/>
      </c>
      <c r="AC264">
        <f>IF((U264-E264)/G264=0,0.001,(U264-E264)/G264)</f>
        <v/>
      </c>
      <c r="AD264">
        <f>F264-P264-J264-K264-AA264-AB264</f>
        <v/>
      </c>
      <c r="AE264">
        <f>AD264/AC264</f>
        <v/>
      </c>
      <c r="AF264">
        <f>IF(AD264&lt;=0,0,IF(AC264&lt;=0,$B$11,IF(AE264&gt;=1.7,$B$11,MIN(AD264/MAX(0.05,IF(AE264&gt;1,(2-AE264)^2/2,1-AE264^2/2)),$B$11))))</f>
        <v/>
      </c>
      <c r="AG264">
        <f>AG263*$B$28+AF264*(1-$B$28)</f>
        <v/>
      </c>
      <c r="AH264">
        <f>IF(AND(AD264&gt;0,AC264&lt;=0),0,AC264)</f>
        <v/>
      </c>
      <c r="AI264">
        <f>AH264/MAX(AG264,0.000001)</f>
        <v/>
      </c>
      <c r="AJ264">
        <f>MIN(IF(AI264&gt;=0.5,-AI264+SQRT(AI264^2+2),1),$B$12)</f>
        <v/>
      </c>
      <c r="AK264">
        <f>IF(AG264&lt;=0,0,AJ264*AH264)</f>
        <v/>
      </c>
      <c r="AL264">
        <f>IF(AD264&lt;=0,0,AD264)</f>
        <v/>
      </c>
      <c r="AM264">
        <f>AL264-AK264+P264</f>
        <v/>
      </c>
      <c r="AN264">
        <f>((AM264/$B$7+T263*AS263/2-T264*MAX(0.1,MIN(0.3,0.3-0.09*(AR263-36.8)))/2)+AR263*(1-AS263/2))/(1-MAX(0.1,MIN(0.3,0.3-0.09*(AR263-36.8)))/2)</f>
        <v/>
      </c>
      <c r="AO264">
        <f>((AM264/$B$7+T263*AS263/2-T264*MAX(0.1,MIN(0.3,0.3-0.09*(AN264-36.8)))/2)+AR263*(1-AS263/2))/(1-MAX(0.1,MIN(0.3,0.3-0.09*(AN264-36.8)))/2)</f>
        <v/>
      </c>
      <c r="AP264">
        <f>((AM264/$B$7+T263*AS263/2-T264*MAX(0.1,MIN(0.3,0.3-0.09*(AO264-36.8)))/2)+AR263*(1-AS263/2))/(1-MAX(0.1,MIN(0.3,0.3-0.09*(AO264-36.8)))/2)</f>
        <v/>
      </c>
      <c r="AQ264">
        <f>((AM264/$B$7+T263*AS263/2-T264*MAX(0.1,MIN(0.3,0.3-0.09*(AP264-36.8)))/2)+AR263*(1-AS263/2))/(1-MAX(0.1,MIN(0.3,0.3-0.09*(AP264-36.8)))/2)</f>
        <v/>
      </c>
      <c r="AR264">
        <f>((AM264/$B$7+T263*AS263/2-T264*MAX(0.1,MIN(0.3,0.3-0.09*(AQ264-36.8)))/2)+AR263*(1-AS263/2))/(1-MAX(0.1,MIN(0.3,0.3-0.09*(AQ264-36.8)))/2)</f>
        <v/>
      </c>
      <c r="AS264">
        <f>MAX(0.1,MIN(0.3,0.3-0.09*(AR264-36.8)))</f>
        <v/>
      </c>
      <c r="AT264">
        <f>AT263+(2*AR264-1.962*AT263-1.31)/9</f>
        <v/>
      </c>
      <c r="AU264">
        <f>AU263+AG264+K264</f>
        <v/>
      </c>
      <c r="AV264">
        <f>AU264*2.67*$B$6/1.8/60</f>
        <v/>
      </c>
      <c r="AW264">
        <f>IF(AT264&gt;=$B$36,1,0)</f>
        <v/>
      </c>
      <c r="AX264">
        <f>IF(AV264&gt;=$B$21,1,0)</f>
        <v/>
      </c>
    </row>
    <row r="265">
      <c r="A265" t="n">
        <v>192</v>
      </c>
      <c r="B265">
        <f>MATCH(A265-1,$D$61:$D$68,1)</f>
        <v/>
      </c>
      <c r="C265">
        <f>INDEX($G$61:$G$68,B265)</f>
        <v/>
      </c>
      <c r="D265">
        <f>INDEX($L$61:$L$68,B265)</f>
        <v/>
      </c>
      <c r="E265">
        <f>INDEX($M$61:$M$68,B265)</f>
        <v/>
      </c>
      <c r="F265">
        <f>INDEX($N$61:$N$68,B265)</f>
        <v/>
      </c>
      <c r="G265">
        <f>INDEX($AA$61:$AA$68,B265)</f>
        <v/>
      </c>
      <c r="H265">
        <f>INDEX($X$61:$X$68,B265)</f>
        <v/>
      </c>
      <c r="I265">
        <f>INDEX($AF$61:$AF$68,B265)</f>
        <v/>
      </c>
      <c r="J265">
        <f>INDEX($AC$61:$AC$68,B265)</f>
        <v/>
      </c>
      <c r="K265">
        <f>INDEX($AD$61:$AD$68,B265)</f>
        <v/>
      </c>
      <c r="L265">
        <f>INDEX($AG$61:$AG$68,B265)</f>
        <v/>
      </c>
      <c r="M265">
        <f>INDEX($AH$61:$AH$68,B265)</f>
        <v/>
      </c>
      <c r="N265">
        <f>INDEX($AI$61:$AI$68,B265)</f>
        <v/>
      </c>
      <c r="O265">
        <f>O264*$B$26+L265*(1-$B$26)</f>
        <v/>
      </c>
      <c r="P265">
        <f>$B$7*(O265-O264)*(1-AS264)</f>
        <v/>
      </c>
      <c r="Q265">
        <f>M265+0.51274*AT264</f>
        <v/>
      </c>
      <c r="R265">
        <f>N265+0.616*AT264</f>
        <v/>
      </c>
      <c r="S265">
        <f>IF($B$13&gt;=0.6,Q265,IF($B$13&lt;=0.2,R265,R265+2.5*(Q265-R265)*($B$13-0.2)))</f>
        <v/>
      </c>
      <c r="T265">
        <f>IF(A265=1,S265,T264*$B$27+S265*(1-$B$27))</f>
        <v/>
      </c>
      <c r="U265">
        <f>0.6105*EXP(17.27*T265/(T265+237.3))</f>
        <v/>
      </c>
      <c r="V265">
        <f>($B$14*(I265*C265+IF(ABS((D265+0.1)-D265)&lt;0.000000001,4*$B$19*$B$20*(D265+273)^3,$B$19*$B$20*(((D265+0.1)+273)^4-(D265+273)^4)/((D265+0.1)-D265))*D265)+T265/H265)/($B$14*(I265+IF(ABS((D265+0.1)-D265)&lt;0.000000001,4*$B$19*$B$20*(D265+273)^3,$B$19*$B$20*(((D265+0.1)+273)^4-(D265+273)^4)/((D265+0.1)-D265)))+1/H265)</f>
        <v/>
      </c>
      <c r="W265">
        <f>($B$14*(I265*C265+IF(ABS(V265-D265)&lt;0.000000001,4*$B$19*$B$20*(D265+273)^3,$B$19*$B$20*((V265+273)^4-(D265+273)^4)/(V265-D265))*D265)+T265/H265)/($B$14*(I265+IF(ABS(V265-D265)&lt;0.000000001,4*$B$19*$B$20*(D265+273)^3,$B$19*$B$20*((V265+273)^4-(D265+273)^4)/(V265-D265)))+1/H265)</f>
        <v/>
      </c>
      <c r="X265">
        <f>($B$14*(I265*C265+IF(ABS(W265-D265)&lt;0.000000001,4*$B$19*$B$20*(D265+273)^3,$B$19*$B$20*((W265+273)^4-(D265+273)^4)/(W265-D265))*D265)+T265/H265)/($B$14*(I265+IF(ABS(W265-D265)&lt;0.000000001,4*$B$19*$B$20*(D265+273)^3,$B$19*$B$20*((W265+273)^4-(D265+273)^4)/(W265-D265)))+1/H265)</f>
        <v/>
      </c>
      <c r="Y265">
        <f>($B$14*(I265*C265+IF(ABS(X265-D265)&lt;0.000000001,4*$B$19*$B$20*(D265+273)^3,$B$19*$B$20*((X265+273)^4-(D265+273)^4)/(X265-D265))*D265)+T265/H265)/($B$14*(I265+IF(ABS(X265-D265)&lt;0.000000001,4*$B$19*$B$20*(D265+273)^3,$B$19*$B$20*((X265+273)^4-(D265+273)^4)/(X265-D265)))+1/H265)</f>
        <v/>
      </c>
      <c r="Z265">
        <f>IF(ABS(Y265-D265)&lt;0.000000001,4*$B$19*$B$20*(D265+273)^3,$B$19*$B$20*((Y265+273)^4-(D265+273)^4)/(Y265-D265))</f>
        <v/>
      </c>
      <c r="AA265">
        <f>$B$14*I265*(Y265-C265)</f>
        <v/>
      </c>
      <c r="AB265">
        <f>$B$14*Z265*(Y265-D265)</f>
        <v/>
      </c>
      <c r="AC265">
        <f>IF((U265-E265)/G265=0,0.001,(U265-E265)/G265)</f>
        <v/>
      </c>
      <c r="AD265">
        <f>F265-P265-J265-K265-AA265-AB265</f>
        <v/>
      </c>
      <c r="AE265">
        <f>AD265/AC265</f>
        <v/>
      </c>
      <c r="AF265">
        <f>IF(AD265&lt;=0,0,IF(AC265&lt;=0,$B$11,IF(AE265&gt;=1.7,$B$11,MIN(AD265/MAX(0.05,IF(AE265&gt;1,(2-AE265)^2/2,1-AE265^2/2)),$B$11))))</f>
        <v/>
      </c>
      <c r="AG265">
        <f>AG264*$B$28+AF265*(1-$B$28)</f>
        <v/>
      </c>
      <c r="AH265">
        <f>IF(AND(AD265&gt;0,AC265&lt;=0),0,AC265)</f>
        <v/>
      </c>
      <c r="AI265">
        <f>AH265/MAX(AG265,0.000001)</f>
        <v/>
      </c>
      <c r="AJ265">
        <f>MIN(IF(AI265&gt;=0.5,-AI265+SQRT(AI265^2+2),1),$B$12)</f>
        <v/>
      </c>
      <c r="AK265">
        <f>IF(AG265&lt;=0,0,AJ265*AH265)</f>
        <v/>
      </c>
      <c r="AL265">
        <f>IF(AD265&lt;=0,0,AD265)</f>
        <v/>
      </c>
      <c r="AM265">
        <f>AL265-AK265+P265</f>
        <v/>
      </c>
      <c r="AN265">
        <f>((AM265/$B$7+T264*AS264/2-T265*MAX(0.1,MIN(0.3,0.3-0.09*(AR264-36.8)))/2)+AR264*(1-AS264/2))/(1-MAX(0.1,MIN(0.3,0.3-0.09*(AR264-36.8)))/2)</f>
        <v/>
      </c>
      <c r="AO265">
        <f>((AM265/$B$7+T264*AS264/2-T265*MAX(0.1,MIN(0.3,0.3-0.09*(AN265-36.8)))/2)+AR264*(1-AS264/2))/(1-MAX(0.1,MIN(0.3,0.3-0.09*(AN265-36.8)))/2)</f>
        <v/>
      </c>
      <c r="AP265">
        <f>((AM265/$B$7+T264*AS264/2-T265*MAX(0.1,MIN(0.3,0.3-0.09*(AO265-36.8)))/2)+AR264*(1-AS264/2))/(1-MAX(0.1,MIN(0.3,0.3-0.09*(AO265-36.8)))/2)</f>
        <v/>
      </c>
      <c r="AQ265">
        <f>((AM265/$B$7+T264*AS264/2-T265*MAX(0.1,MIN(0.3,0.3-0.09*(AP265-36.8)))/2)+AR264*(1-AS264/2))/(1-MAX(0.1,MIN(0.3,0.3-0.09*(AP265-36.8)))/2)</f>
        <v/>
      </c>
      <c r="AR265">
        <f>((AM265/$B$7+T264*AS264/2-T265*MAX(0.1,MIN(0.3,0.3-0.09*(AQ265-36.8)))/2)+AR264*(1-AS264/2))/(1-MAX(0.1,MIN(0.3,0.3-0.09*(AQ265-36.8)))/2)</f>
        <v/>
      </c>
      <c r="AS265">
        <f>MAX(0.1,MIN(0.3,0.3-0.09*(AR265-36.8)))</f>
        <v/>
      </c>
      <c r="AT265">
        <f>AT264+(2*AR265-1.962*AT264-1.31)/9</f>
        <v/>
      </c>
      <c r="AU265">
        <f>AU264+AG265+K265</f>
        <v/>
      </c>
      <c r="AV265">
        <f>AU265*2.67*$B$6/1.8/60</f>
        <v/>
      </c>
      <c r="AW265">
        <f>IF(AT265&gt;=$B$36,1,0)</f>
        <v/>
      </c>
      <c r="AX265">
        <f>IF(AV265&gt;=$B$21,1,0)</f>
        <v/>
      </c>
    </row>
    <row r="266">
      <c r="A266" t="n">
        <v>193</v>
      </c>
      <c r="B266">
        <f>MATCH(A266-1,$D$61:$D$68,1)</f>
        <v/>
      </c>
      <c r="C266">
        <f>INDEX($G$61:$G$68,B266)</f>
        <v/>
      </c>
      <c r="D266">
        <f>INDEX($L$61:$L$68,B266)</f>
        <v/>
      </c>
      <c r="E266">
        <f>INDEX($M$61:$M$68,B266)</f>
        <v/>
      </c>
      <c r="F266">
        <f>INDEX($N$61:$N$68,B266)</f>
        <v/>
      </c>
      <c r="G266">
        <f>INDEX($AA$61:$AA$68,B266)</f>
        <v/>
      </c>
      <c r="H266">
        <f>INDEX($X$61:$X$68,B266)</f>
        <v/>
      </c>
      <c r="I266">
        <f>INDEX($AF$61:$AF$68,B266)</f>
        <v/>
      </c>
      <c r="J266">
        <f>INDEX($AC$61:$AC$68,B266)</f>
        <v/>
      </c>
      <c r="K266">
        <f>INDEX($AD$61:$AD$68,B266)</f>
        <v/>
      </c>
      <c r="L266">
        <f>INDEX($AG$61:$AG$68,B266)</f>
        <v/>
      </c>
      <c r="M266">
        <f>INDEX($AH$61:$AH$68,B266)</f>
        <v/>
      </c>
      <c r="N266">
        <f>INDEX($AI$61:$AI$68,B266)</f>
        <v/>
      </c>
      <c r="O266">
        <f>O265*$B$26+L266*(1-$B$26)</f>
        <v/>
      </c>
      <c r="P266">
        <f>$B$7*(O266-O265)*(1-AS265)</f>
        <v/>
      </c>
      <c r="Q266">
        <f>M266+0.51274*AT265</f>
        <v/>
      </c>
      <c r="R266">
        <f>N266+0.616*AT265</f>
        <v/>
      </c>
      <c r="S266">
        <f>IF($B$13&gt;=0.6,Q266,IF($B$13&lt;=0.2,R266,R266+2.5*(Q266-R266)*($B$13-0.2)))</f>
        <v/>
      </c>
      <c r="T266">
        <f>IF(A266=1,S266,T265*$B$27+S266*(1-$B$27))</f>
        <v/>
      </c>
      <c r="U266">
        <f>0.6105*EXP(17.27*T266/(T266+237.3))</f>
        <v/>
      </c>
      <c r="V266">
        <f>($B$14*(I266*C266+IF(ABS((D266+0.1)-D266)&lt;0.000000001,4*$B$19*$B$20*(D266+273)^3,$B$19*$B$20*(((D266+0.1)+273)^4-(D266+273)^4)/((D266+0.1)-D266))*D266)+T266/H266)/($B$14*(I266+IF(ABS((D266+0.1)-D266)&lt;0.000000001,4*$B$19*$B$20*(D266+273)^3,$B$19*$B$20*(((D266+0.1)+273)^4-(D266+273)^4)/((D266+0.1)-D266)))+1/H266)</f>
        <v/>
      </c>
      <c r="W266">
        <f>($B$14*(I266*C266+IF(ABS(V266-D266)&lt;0.000000001,4*$B$19*$B$20*(D266+273)^3,$B$19*$B$20*((V266+273)^4-(D266+273)^4)/(V266-D266))*D266)+T266/H266)/($B$14*(I266+IF(ABS(V266-D266)&lt;0.000000001,4*$B$19*$B$20*(D266+273)^3,$B$19*$B$20*((V266+273)^4-(D266+273)^4)/(V266-D266)))+1/H266)</f>
        <v/>
      </c>
      <c r="X266">
        <f>($B$14*(I266*C266+IF(ABS(W266-D266)&lt;0.000000001,4*$B$19*$B$20*(D266+273)^3,$B$19*$B$20*((W266+273)^4-(D266+273)^4)/(W266-D266))*D266)+T266/H266)/($B$14*(I266+IF(ABS(W266-D266)&lt;0.000000001,4*$B$19*$B$20*(D266+273)^3,$B$19*$B$20*((W266+273)^4-(D266+273)^4)/(W266-D266)))+1/H266)</f>
        <v/>
      </c>
      <c r="Y266">
        <f>($B$14*(I266*C266+IF(ABS(X266-D266)&lt;0.000000001,4*$B$19*$B$20*(D266+273)^3,$B$19*$B$20*((X266+273)^4-(D266+273)^4)/(X266-D266))*D266)+T266/H266)/($B$14*(I266+IF(ABS(X266-D266)&lt;0.000000001,4*$B$19*$B$20*(D266+273)^3,$B$19*$B$20*((X266+273)^4-(D266+273)^4)/(X266-D266)))+1/H266)</f>
        <v/>
      </c>
      <c r="Z266">
        <f>IF(ABS(Y266-D266)&lt;0.000000001,4*$B$19*$B$20*(D266+273)^3,$B$19*$B$20*((Y266+273)^4-(D266+273)^4)/(Y266-D266))</f>
        <v/>
      </c>
      <c r="AA266">
        <f>$B$14*I266*(Y266-C266)</f>
        <v/>
      </c>
      <c r="AB266">
        <f>$B$14*Z266*(Y266-D266)</f>
        <v/>
      </c>
      <c r="AC266">
        <f>IF((U266-E266)/G266=0,0.001,(U266-E266)/G266)</f>
        <v/>
      </c>
      <c r="AD266">
        <f>F266-P266-J266-K266-AA266-AB266</f>
        <v/>
      </c>
      <c r="AE266">
        <f>AD266/AC266</f>
        <v/>
      </c>
      <c r="AF266">
        <f>IF(AD266&lt;=0,0,IF(AC266&lt;=0,$B$11,IF(AE266&gt;=1.7,$B$11,MIN(AD266/MAX(0.05,IF(AE266&gt;1,(2-AE266)^2/2,1-AE266^2/2)),$B$11))))</f>
        <v/>
      </c>
      <c r="AG266">
        <f>AG265*$B$28+AF266*(1-$B$28)</f>
        <v/>
      </c>
      <c r="AH266">
        <f>IF(AND(AD266&gt;0,AC266&lt;=0),0,AC266)</f>
        <v/>
      </c>
      <c r="AI266">
        <f>AH266/MAX(AG266,0.000001)</f>
        <v/>
      </c>
      <c r="AJ266">
        <f>MIN(IF(AI266&gt;=0.5,-AI266+SQRT(AI266^2+2),1),$B$12)</f>
        <v/>
      </c>
      <c r="AK266">
        <f>IF(AG266&lt;=0,0,AJ266*AH266)</f>
        <v/>
      </c>
      <c r="AL266">
        <f>IF(AD266&lt;=0,0,AD266)</f>
        <v/>
      </c>
      <c r="AM266">
        <f>AL266-AK266+P266</f>
        <v/>
      </c>
      <c r="AN266">
        <f>((AM266/$B$7+T265*AS265/2-T266*MAX(0.1,MIN(0.3,0.3-0.09*(AR265-36.8)))/2)+AR265*(1-AS265/2))/(1-MAX(0.1,MIN(0.3,0.3-0.09*(AR265-36.8)))/2)</f>
        <v/>
      </c>
      <c r="AO266">
        <f>((AM266/$B$7+T265*AS265/2-T266*MAX(0.1,MIN(0.3,0.3-0.09*(AN266-36.8)))/2)+AR265*(1-AS265/2))/(1-MAX(0.1,MIN(0.3,0.3-0.09*(AN266-36.8)))/2)</f>
        <v/>
      </c>
      <c r="AP266">
        <f>((AM266/$B$7+T265*AS265/2-T266*MAX(0.1,MIN(0.3,0.3-0.09*(AO266-36.8)))/2)+AR265*(1-AS265/2))/(1-MAX(0.1,MIN(0.3,0.3-0.09*(AO266-36.8)))/2)</f>
        <v/>
      </c>
      <c r="AQ266">
        <f>((AM266/$B$7+T265*AS265/2-T266*MAX(0.1,MIN(0.3,0.3-0.09*(AP266-36.8)))/2)+AR265*(1-AS265/2))/(1-MAX(0.1,MIN(0.3,0.3-0.09*(AP266-36.8)))/2)</f>
        <v/>
      </c>
      <c r="AR266">
        <f>((AM266/$B$7+T265*AS265/2-T266*MAX(0.1,MIN(0.3,0.3-0.09*(AQ266-36.8)))/2)+AR265*(1-AS265/2))/(1-MAX(0.1,MIN(0.3,0.3-0.09*(AQ266-36.8)))/2)</f>
        <v/>
      </c>
      <c r="AS266">
        <f>MAX(0.1,MIN(0.3,0.3-0.09*(AR266-36.8)))</f>
        <v/>
      </c>
      <c r="AT266">
        <f>AT265+(2*AR266-1.962*AT265-1.31)/9</f>
        <v/>
      </c>
      <c r="AU266">
        <f>AU265+AG266+K266</f>
        <v/>
      </c>
      <c r="AV266">
        <f>AU266*2.67*$B$6/1.8/60</f>
        <v/>
      </c>
      <c r="AW266">
        <f>IF(AT266&gt;=$B$36,1,0)</f>
        <v/>
      </c>
      <c r="AX266">
        <f>IF(AV266&gt;=$B$21,1,0)</f>
        <v/>
      </c>
    </row>
    <row r="267">
      <c r="A267" t="n">
        <v>194</v>
      </c>
      <c r="B267">
        <f>MATCH(A267-1,$D$61:$D$68,1)</f>
        <v/>
      </c>
      <c r="C267">
        <f>INDEX($G$61:$G$68,B267)</f>
        <v/>
      </c>
      <c r="D267">
        <f>INDEX($L$61:$L$68,B267)</f>
        <v/>
      </c>
      <c r="E267">
        <f>INDEX($M$61:$M$68,B267)</f>
        <v/>
      </c>
      <c r="F267">
        <f>INDEX($N$61:$N$68,B267)</f>
        <v/>
      </c>
      <c r="G267">
        <f>INDEX($AA$61:$AA$68,B267)</f>
        <v/>
      </c>
      <c r="H267">
        <f>INDEX($X$61:$X$68,B267)</f>
        <v/>
      </c>
      <c r="I267">
        <f>INDEX($AF$61:$AF$68,B267)</f>
        <v/>
      </c>
      <c r="J267">
        <f>INDEX($AC$61:$AC$68,B267)</f>
        <v/>
      </c>
      <c r="K267">
        <f>INDEX($AD$61:$AD$68,B267)</f>
        <v/>
      </c>
      <c r="L267">
        <f>INDEX($AG$61:$AG$68,B267)</f>
        <v/>
      </c>
      <c r="M267">
        <f>INDEX($AH$61:$AH$68,B267)</f>
        <v/>
      </c>
      <c r="N267">
        <f>INDEX($AI$61:$AI$68,B267)</f>
        <v/>
      </c>
      <c r="O267">
        <f>O266*$B$26+L267*(1-$B$26)</f>
        <v/>
      </c>
      <c r="P267">
        <f>$B$7*(O267-O266)*(1-AS266)</f>
        <v/>
      </c>
      <c r="Q267">
        <f>M267+0.51274*AT266</f>
        <v/>
      </c>
      <c r="R267">
        <f>N267+0.616*AT266</f>
        <v/>
      </c>
      <c r="S267">
        <f>IF($B$13&gt;=0.6,Q267,IF($B$13&lt;=0.2,R267,R267+2.5*(Q267-R267)*($B$13-0.2)))</f>
        <v/>
      </c>
      <c r="T267">
        <f>IF(A267=1,S267,T266*$B$27+S267*(1-$B$27))</f>
        <v/>
      </c>
      <c r="U267">
        <f>0.6105*EXP(17.27*T267/(T267+237.3))</f>
        <v/>
      </c>
      <c r="V267">
        <f>($B$14*(I267*C267+IF(ABS((D267+0.1)-D267)&lt;0.000000001,4*$B$19*$B$20*(D267+273)^3,$B$19*$B$20*(((D267+0.1)+273)^4-(D267+273)^4)/((D267+0.1)-D267))*D267)+T267/H267)/($B$14*(I267+IF(ABS((D267+0.1)-D267)&lt;0.000000001,4*$B$19*$B$20*(D267+273)^3,$B$19*$B$20*(((D267+0.1)+273)^4-(D267+273)^4)/((D267+0.1)-D267)))+1/H267)</f>
        <v/>
      </c>
      <c r="W267">
        <f>($B$14*(I267*C267+IF(ABS(V267-D267)&lt;0.000000001,4*$B$19*$B$20*(D267+273)^3,$B$19*$B$20*((V267+273)^4-(D267+273)^4)/(V267-D267))*D267)+T267/H267)/($B$14*(I267+IF(ABS(V267-D267)&lt;0.000000001,4*$B$19*$B$20*(D267+273)^3,$B$19*$B$20*((V267+273)^4-(D267+273)^4)/(V267-D267)))+1/H267)</f>
        <v/>
      </c>
      <c r="X267">
        <f>($B$14*(I267*C267+IF(ABS(W267-D267)&lt;0.000000001,4*$B$19*$B$20*(D267+273)^3,$B$19*$B$20*((W267+273)^4-(D267+273)^4)/(W267-D267))*D267)+T267/H267)/($B$14*(I267+IF(ABS(W267-D267)&lt;0.000000001,4*$B$19*$B$20*(D267+273)^3,$B$19*$B$20*((W267+273)^4-(D267+273)^4)/(W267-D267)))+1/H267)</f>
        <v/>
      </c>
      <c r="Y267">
        <f>($B$14*(I267*C267+IF(ABS(X267-D267)&lt;0.000000001,4*$B$19*$B$20*(D267+273)^3,$B$19*$B$20*((X267+273)^4-(D267+273)^4)/(X267-D267))*D267)+T267/H267)/($B$14*(I267+IF(ABS(X267-D267)&lt;0.000000001,4*$B$19*$B$20*(D267+273)^3,$B$19*$B$20*((X267+273)^4-(D267+273)^4)/(X267-D267)))+1/H267)</f>
        <v/>
      </c>
      <c r="Z267">
        <f>IF(ABS(Y267-D267)&lt;0.000000001,4*$B$19*$B$20*(D267+273)^3,$B$19*$B$20*((Y267+273)^4-(D267+273)^4)/(Y267-D267))</f>
        <v/>
      </c>
      <c r="AA267">
        <f>$B$14*I267*(Y267-C267)</f>
        <v/>
      </c>
      <c r="AB267">
        <f>$B$14*Z267*(Y267-D267)</f>
        <v/>
      </c>
      <c r="AC267">
        <f>IF((U267-E267)/G267=0,0.001,(U267-E267)/G267)</f>
        <v/>
      </c>
      <c r="AD267">
        <f>F267-P267-J267-K267-AA267-AB267</f>
        <v/>
      </c>
      <c r="AE267">
        <f>AD267/AC267</f>
        <v/>
      </c>
      <c r="AF267">
        <f>IF(AD267&lt;=0,0,IF(AC267&lt;=0,$B$11,IF(AE267&gt;=1.7,$B$11,MIN(AD267/MAX(0.05,IF(AE267&gt;1,(2-AE267)^2/2,1-AE267^2/2)),$B$11))))</f>
        <v/>
      </c>
      <c r="AG267">
        <f>AG266*$B$28+AF267*(1-$B$28)</f>
        <v/>
      </c>
      <c r="AH267">
        <f>IF(AND(AD267&gt;0,AC267&lt;=0),0,AC267)</f>
        <v/>
      </c>
      <c r="AI267">
        <f>AH267/MAX(AG267,0.000001)</f>
        <v/>
      </c>
      <c r="AJ267">
        <f>MIN(IF(AI267&gt;=0.5,-AI267+SQRT(AI267^2+2),1),$B$12)</f>
        <v/>
      </c>
      <c r="AK267">
        <f>IF(AG267&lt;=0,0,AJ267*AH267)</f>
        <v/>
      </c>
      <c r="AL267">
        <f>IF(AD267&lt;=0,0,AD267)</f>
        <v/>
      </c>
      <c r="AM267">
        <f>AL267-AK267+P267</f>
        <v/>
      </c>
      <c r="AN267">
        <f>((AM267/$B$7+T266*AS266/2-T267*MAX(0.1,MIN(0.3,0.3-0.09*(AR266-36.8)))/2)+AR266*(1-AS266/2))/(1-MAX(0.1,MIN(0.3,0.3-0.09*(AR266-36.8)))/2)</f>
        <v/>
      </c>
      <c r="AO267">
        <f>((AM267/$B$7+T266*AS266/2-T267*MAX(0.1,MIN(0.3,0.3-0.09*(AN267-36.8)))/2)+AR266*(1-AS266/2))/(1-MAX(0.1,MIN(0.3,0.3-0.09*(AN267-36.8)))/2)</f>
        <v/>
      </c>
      <c r="AP267">
        <f>((AM267/$B$7+T266*AS266/2-T267*MAX(0.1,MIN(0.3,0.3-0.09*(AO267-36.8)))/2)+AR266*(1-AS266/2))/(1-MAX(0.1,MIN(0.3,0.3-0.09*(AO267-36.8)))/2)</f>
        <v/>
      </c>
      <c r="AQ267">
        <f>((AM267/$B$7+T266*AS266/2-T267*MAX(0.1,MIN(0.3,0.3-0.09*(AP267-36.8)))/2)+AR266*(1-AS266/2))/(1-MAX(0.1,MIN(0.3,0.3-0.09*(AP267-36.8)))/2)</f>
        <v/>
      </c>
      <c r="AR267">
        <f>((AM267/$B$7+T266*AS266/2-T267*MAX(0.1,MIN(0.3,0.3-0.09*(AQ267-36.8)))/2)+AR266*(1-AS266/2))/(1-MAX(0.1,MIN(0.3,0.3-0.09*(AQ267-36.8)))/2)</f>
        <v/>
      </c>
      <c r="AS267">
        <f>MAX(0.1,MIN(0.3,0.3-0.09*(AR267-36.8)))</f>
        <v/>
      </c>
      <c r="AT267">
        <f>AT266+(2*AR267-1.962*AT266-1.31)/9</f>
        <v/>
      </c>
      <c r="AU267">
        <f>AU266+AG267+K267</f>
        <v/>
      </c>
      <c r="AV267">
        <f>AU267*2.67*$B$6/1.8/60</f>
        <v/>
      </c>
      <c r="AW267">
        <f>IF(AT267&gt;=$B$36,1,0)</f>
        <v/>
      </c>
      <c r="AX267">
        <f>IF(AV267&gt;=$B$21,1,0)</f>
        <v/>
      </c>
    </row>
    <row r="268">
      <c r="A268" t="n">
        <v>195</v>
      </c>
      <c r="B268">
        <f>MATCH(A268-1,$D$61:$D$68,1)</f>
        <v/>
      </c>
      <c r="C268">
        <f>INDEX($G$61:$G$68,B268)</f>
        <v/>
      </c>
      <c r="D268">
        <f>INDEX($L$61:$L$68,B268)</f>
        <v/>
      </c>
      <c r="E268">
        <f>INDEX($M$61:$M$68,B268)</f>
        <v/>
      </c>
      <c r="F268">
        <f>INDEX($N$61:$N$68,B268)</f>
        <v/>
      </c>
      <c r="G268">
        <f>INDEX($AA$61:$AA$68,B268)</f>
        <v/>
      </c>
      <c r="H268">
        <f>INDEX($X$61:$X$68,B268)</f>
        <v/>
      </c>
      <c r="I268">
        <f>INDEX($AF$61:$AF$68,B268)</f>
        <v/>
      </c>
      <c r="J268">
        <f>INDEX($AC$61:$AC$68,B268)</f>
        <v/>
      </c>
      <c r="K268">
        <f>INDEX($AD$61:$AD$68,B268)</f>
        <v/>
      </c>
      <c r="L268">
        <f>INDEX($AG$61:$AG$68,B268)</f>
        <v/>
      </c>
      <c r="M268">
        <f>INDEX($AH$61:$AH$68,B268)</f>
        <v/>
      </c>
      <c r="N268">
        <f>INDEX($AI$61:$AI$68,B268)</f>
        <v/>
      </c>
      <c r="O268">
        <f>O267*$B$26+L268*(1-$B$26)</f>
        <v/>
      </c>
      <c r="P268">
        <f>$B$7*(O268-O267)*(1-AS267)</f>
        <v/>
      </c>
      <c r="Q268">
        <f>M268+0.51274*AT267</f>
        <v/>
      </c>
      <c r="R268">
        <f>N268+0.616*AT267</f>
        <v/>
      </c>
      <c r="S268">
        <f>IF($B$13&gt;=0.6,Q268,IF($B$13&lt;=0.2,R268,R268+2.5*(Q268-R268)*($B$13-0.2)))</f>
        <v/>
      </c>
      <c r="T268">
        <f>IF(A268=1,S268,T267*$B$27+S268*(1-$B$27))</f>
        <v/>
      </c>
      <c r="U268">
        <f>0.6105*EXP(17.27*T268/(T268+237.3))</f>
        <v/>
      </c>
      <c r="V268">
        <f>($B$14*(I268*C268+IF(ABS((D268+0.1)-D268)&lt;0.000000001,4*$B$19*$B$20*(D268+273)^3,$B$19*$B$20*(((D268+0.1)+273)^4-(D268+273)^4)/((D268+0.1)-D268))*D268)+T268/H268)/($B$14*(I268+IF(ABS((D268+0.1)-D268)&lt;0.000000001,4*$B$19*$B$20*(D268+273)^3,$B$19*$B$20*(((D268+0.1)+273)^4-(D268+273)^4)/((D268+0.1)-D268)))+1/H268)</f>
        <v/>
      </c>
      <c r="W268">
        <f>($B$14*(I268*C268+IF(ABS(V268-D268)&lt;0.000000001,4*$B$19*$B$20*(D268+273)^3,$B$19*$B$20*((V268+273)^4-(D268+273)^4)/(V268-D268))*D268)+T268/H268)/($B$14*(I268+IF(ABS(V268-D268)&lt;0.000000001,4*$B$19*$B$20*(D268+273)^3,$B$19*$B$20*((V268+273)^4-(D268+273)^4)/(V268-D268)))+1/H268)</f>
        <v/>
      </c>
      <c r="X268">
        <f>($B$14*(I268*C268+IF(ABS(W268-D268)&lt;0.000000001,4*$B$19*$B$20*(D268+273)^3,$B$19*$B$20*((W268+273)^4-(D268+273)^4)/(W268-D268))*D268)+T268/H268)/($B$14*(I268+IF(ABS(W268-D268)&lt;0.000000001,4*$B$19*$B$20*(D268+273)^3,$B$19*$B$20*((W268+273)^4-(D268+273)^4)/(W268-D268)))+1/H268)</f>
        <v/>
      </c>
      <c r="Y268">
        <f>($B$14*(I268*C268+IF(ABS(X268-D268)&lt;0.000000001,4*$B$19*$B$20*(D268+273)^3,$B$19*$B$20*((X268+273)^4-(D268+273)^4)/(X268-D268))*D268)+T268/H268)/($B$14*(I268+IF(ABS(X268-D268)&lt;0.000000001,4*$B$19*$B$20*(D268+273)^3,$B$19*$B$20*((X268+273)^4-(D268+273)^4)/(X268-D268)))+1/H268)</f>
        <v/>
      </c>
      <c r="Z268">
        <f>IF(ABS(Y268-D268)&lt;0.000000001,4*$B$19*$B$20*(D268+273)^3,$B$19*$B$20*((Y268+273)^4-(D268+273)^4)/(Y268-D268))</f>
        <v/>
      </c>
      <c r="AA268">
        <f>$B$14*I268*(Y268-C268)</f>
        <v/>
      </c>
      <c r="AB268">
        <f>$B$14*Z268*(Y268-D268)</f>
        <v/>
      </c>
      <c r="AC268">
        <f>IF((U268-E268)/G268=0,0.001,(U268-E268)/G268)</f>
        <v/>
      </c>
      <c r="AD268">
        <f>F268-P268-J268-K268-AA268-AB268</f>
        <v/>
      </c>
      <c r="AE268">
        <f>AD268/AC268</f>
        <v/>
      </c>
      <c r="AF268">
        <f>IF(AD268&lt;=0,0,IF(AC268&lt;=0,$B$11,IF(AE268&gt;=1.7,$B$11,MIN(AD268/MAX(0.05,IF(AE268&gt;1,(2-AE268)^2/2,1-AE268^2/2)),$B$11))))</f>
        <v/>
      </c>
      <c r="AG268">
        <f>AG267*$B$28+AF268*(1-$B$28)</f>
        <v/>
      </c>
      <c r="AH268">
        <f>IF(AND(AD268&gt;0,AC268&lt;=0),0,AC268)</f>
        <v/>
      </c>
      <c r="AI268">
        <f>AH268/MAX(AG268,0.000001)</f>
        <v/>
      </c>
      <c r="AJ268">
        <f>MIN(IF(AI268&gt;=0.5,-AI268+SQRT(AI268^2+2),1),$B$12)</f>
        <v/>
      </c>
      <c r="AK268">
        <f>IF(AG268&lt;=0,0,AJ268*AH268)</f>
        <v/>
      </c>
      <c r="AL268">
        <f>IF(AD268&lt;=0,0,AD268)</f>
        <v/>
      </c>
      <c r="AM268">
        <f>AL268-AK268+P268</f>
        <v/>
      </c>
      <c r="AN268">
        <f>((AM268/$B$7+T267*AS267/2-T268*MAX(0.1,MIN(0.3,0.3-0.09*(AR267-36.8)))/2)+AR267*(1-AS267/2))/(1-MAX(0.1,MIN(0.3,0.3-0.09*(AR267-36.8)))/2)</f>
        <v/>
      </c>
      <c r="AO268">
        <f>((AM268/$B$7+T267*AS267/2-T268*MAX(0.1,MIN(0.3,0.3-0.09*(AN268-36.8)))/2)+AR267*(1-AS267/2))/(1-MAX(0.1,MIN(0.3,0.3-0.09*(AN268-36.8)))/2)</f>
        <v/>
      </c>
      <c r="AP268">
        <f>((AM268/$B$7+T267*AS267/2-T268*MAX(0.1,MIN(0.3,0.3-0.09*(AO268-36.8)))/2)+AR267*(1-AS267/2))/(1-MAX(0.1,MIN(0.3,0.3-0.09*(AO268-36.8)))/2)</f>
        <v/>
      </c>
      <c r="AQ268">
        <f>((AM268/$B$7+T267*AS267/2-T268*MAX(0.1,MIN(0.3,0.3-0.09*(AP268-36.8)))/2)+AR267*(1-AS267/2))/(1-MAX(0.1,MIN(0.3,0.3-0.09*(AP268-36.8)))/2)</f>
        <v/>
      </c>
      <c r="AR268">
        <f>((AM268/$B$7+T267*AS267/2-T268*MAX(0.1,MIN(0.3,0.3-0.09*(AQ268-36.8)))/2)+AR267*(1-AS267/2))/(1-MAX(0.1,MIN(0.3,0.3-0.09*(AQ268-36.8)))/2)</f>
        <v/>
      </c>
      <c r="AS268">
        <f>MAX(0.1,MIN(0.3,0.3-0.09*(AR268-36.8)))</f>
        <v/>
      </c>
      <c r="AT268">
        <f>AT267+(2*AR268-1.962*AT267-1.31)/9</f>
        <v/>
      </c>
      <c r="AU268">
        <f>AU267+AG268+K268</f>
        <v/>
      </c>
      <c r="AV268">
        <f>AU268*2.67*$B$6/1.8/60</f>
        <v/>
      </c>
      <c r="AW268">
        <f>IF(AT268&gt;=$B$36,1,0)</f>
        <v/>
      </c>
      <c r="AX268">
        <f>IF(AV268&gt;=$B$21,1,0)</f>
        <v/>
      </c>
    </row>
    <row r="269">
      <c r="A269" t="n">
        <v>196</v>
      </c>
      <c r="B269">
        <f>MATCH(A269-1,$D$61:$D$68,1)</f>
        <v/>
      </c>
      <c r="C269">
        <f>INDEX($G$61:$G$68,B269)</f>
        <v/>
      </c>
      <c r="D269">
        <f>INDEX($L$61:$L$68,B269)</f>
        <v/>
      </c>
      <c r="E269">
        <f>INDEX($M$61:$M$68,B269)</f>
        <v/>
      </c>
      <c r="F269">
        <f>INDEX($N$61:$N$68,B269)</f>
        <v/>
      </c>
      <c r="G269">
        <f>INDEX($AA$61:$AA$68,B269)</f>
        <v/>
      </c>
      <c r="H269">
        <f>INDEX($X$61:$X$68,B269)</f>
        <v/>
      </c>
      <c r="I269">
        <f>INDEX($AF$61:$AF$68,B269)</f>
        <v/>
      </c>
      <c r="J269">
        <f>INDEX($AC$61:$AC$68,B269)</f>
        <v/>
      </c>
      <c r="K269">
        <f>INDEX($AD$61:$AD$68,B269)</f>
        <v/>
      </c>
      <c r="L269">
        <f>INDEX($AG$61:$AG$68,B269)</f>
        <v/>
      </c>
      <c r="M269">
        <f>INDEX($AH$61:$AH$68,B269)</f>
        <v/>
      </c>
      <c r="N269">
        <f>INDEX($AI$61:$AI$68,B269)</f>
        <v/>
      </c>
      <c r="O269">
        <f>O268*$B$26+L269*(1-$B$26)</f>
        <v/>
      </c>
      <c r="P269">
        <f>$B$7*(O269-O268)*(1-AS268)</f>
        <v/>
      </c>
      <c r="Q269">
        <f>M269+0.51274*AT268</f>
        <v/>
      </c>
      <c r="R269">
        <f>N269+0.616*AT268</f>
        <v/>
      </c>
      <c r="S269">
        <f>IF($B$13&gt;=0.6,Q269,IF($B$13&lt;=0.2,R269,R269+2.5*(Q269-R269)*($B$13-0.2)))</f>
        <v/>
      </c>
      <c r="T269">
        <f>IF(A269=1,S269,T268*$B$27+S269*(1-$B$27))</f>
        <v/>
      </c>
      <c r="U269">
        <f>0.6105*EXP(17.27*T269/(T269+237.3))</f>
        <v/>
      </c>
      <c r="V269">
        <f>($B$14*(I269*C269+IF(ABS((D269+0.1)-D269)&lt;0.000000001,4*$B$19*$B$20*(D269+273)^3,$B$19*$B$20*(((D269+0.1)+273)^4-(D269+273)^4)/((D269+0.1)-D269))*D269)+T269/H269)/($B$14*(I269+IF(ABS((D269+0.1)-D269)&lt;0.000000001,4*$B$19*$B$20*(D269+273)^3,$B$19*$B$20*(((D269+0.1)+273)^4-(D269+273)^4)/((D269+0.1)-D269)))+1/H269)</f>
        <v/>
      </c>
      <c r="W269">
        <f>($B$14*(I269*C269+IF(ABS(V269-D269)&lt;0.000000001,4*$B$19*$B$20*(D269+273)^3,$B$19*$B$20*((V269+273)^4-(D269+273)^4)/(V269-D269))*D269)+T269/H269)/($B$14*(I269+IF(ABS(V269-D269)&lt;0.000000001,4*$B$19*$B$20*(D269+273)^3,$B$19*$B$20*((V269+273)^4-(D269+273)^4)/(V269-D269)))+1/H269)</f>
        <v/>
      </c>
      <c r="X269">
        <f>($B$14*(I269*C269+IF(ABS(W269-D269)&lt;0.000000001,4*$B$19*$B$20*(D269+273)^3,$B$19*$B$20*((W269+273)^4-(D269+273)^4)/(W269-D269))*D269)+T269/H269)/($B$14*(I269+IF(ABS(W269-D269)&lt;0.000000001,4*$B$19*$B$20*(D269+273)^3,$B$19*$B$20*((W269+273)^4-(D269+273)^4)/(W269-D269)))+1/H269)</f>
        <v/>
      </c>
      <c r="Y269">
        <f>($B$14*(I269*C269+IF(ABS(X269-D269)&lt;0.000000001,4*$B$19*$B$20*(D269+273)^3,$B$19*$B$20*((X269+273)^4-(D269+273)^4)/(X269-D269))*D269)+T269/H269)/($B$14*(I269+IF(ABS(X269-D269)&lt;0.000000001,4*$B$19*$B$20*(D269+273)^3,$B$19*$B$20*((X269+273)^4-(D269+273)^4)/(X269-D269)))+1/H269)</f>
        <v/>
      </c>
      <c r="Z269">
        <f>IF(ABS(Y269-D269)&lt;0.000000001,4*$B$19*$B$20*(D269+273)^3,$B$19*$B$20*((Y269+273)^4-(D269+273)^4)/(Y269-D269))</f>
        <v/>
      </c>
      <c r="AA269">
        <f>$B$14*I269*(Y269-C269)</f>
        <v/>
      </c>
      <c r="AB269">
        <f>$B$14*Z269*(Y269-D269)</f>
        <v/>
      </c>
      <c r="AC269">
        <f>IF((U269-E269)/G269=0,0.001,(U269-E269)/G269)</f>
        <v/>
      </c>
      <c r="AD269">
        <f>F269-P269-J269-K269-AA269-AB269</f>
        <v/>
      </c>
      <c r="AE269">
        <f>AD269/AC269</f>
        <v/>
      </c>
      <c r="AF269">
        <f>IF(AD269&lt;=0,0,IF(AC269&lt;=0,$B$11,IF(AE269&gt;=1.7,$B$11,MIN(AD269/MAX(0.05,IF(AE269&gt;1,(2-AE269)^2/2,1-AE269^2/2)),$B$11))))</f>
        <v/>
      </c>
      <c r="AG269">
        <f>AG268*$B$28+AF269*(1-$B$28)</f>
        <v/>
      </c>
      <c r="AH269">
        <f>IF(AND(AD269&gt;0,AC269&lt;=0),0,AC269)</f>
        <v/>
      </c>
      <c r="AI269">
        <f>AH269/MAX(AG269,0.000001)</f>
        <v/>
      </c>
      <c r="AJ269">
        <f>MIN(IF(AI269&gt;=0.5,-AI269+SQRT(AI269^2+2),1),$B$12)</f>
        <v/>
      </c>
      <c r="AK269">
        <f>IF(AG269&lt;=0,0,AJ269*AH269)</f>
        <v/>
      </c>
      <c r="AL269">
        <f>IF(AD269&lt;=0,0,AD269)</f>
        <v/>
      </c>
      <c r="AM269">
        <f>AL269-AK269+P269</f>
        <v/>
      </c>
      <c r="AN269">
        <f>((AM269/$B$7+T268*AS268/2-T269*MAX(0.1,MIN(0.3,0.3-0.09*(AR268-36.8)))/2)+AR268*(1-AS268/2))/(1-MAX(0.1,MIN(0.3,0.3-0.09*(AR268-36.8)))/2)</f>
        <v/>
      </c>
      <c r="AO269">
        <f>((AM269/$B$7+T268*AS268/2-T269*MAX(0.1,MIN(0.3,0.3-0.09*(AN269-36.8)))/2)+AR268*(1-AS268/2))/(1-MAX(0.1,MIN(0.3,0.3-0.09*(AN269-36.8)))/2)</f>
        <v/>
      </c>
      <c r="AP269">
        <f>((AM269/$B$7+T268*AS268/2-T269*MAX(0.1,MIN(0.3,0.3-0.09*(AO269-36.8)))/2)+AR268*(1-AS268/2))/(1-MAX(0.1,MIN(0.3,0.3-0.09*(AO269-36.8)))/2)</f>
        <v/>
      </c>
      <c r="AQ269">
        <f>((AM269/$B$7+T268*AS268/2-T269*MAX(0.1,MIN(0.3,0.3-0.09*(AP269-36.8)))/2)+AR268*(1-AS268/2))/(1-MAX(0.1,MIN(0.3,0.3-0.09*(AP269-36.8)))/2)</f>
        <v/>
      </c>
      <c r="AR269">
        <f>((AM269/$B$7+T268*AS268/2-T269*MAX(0.1,MIN(0.3,0.3-0.09*(AQ269-36.8)))/2)+AR268*(1-AS268/2))/(1-MAX(0.1,MIN(0.3,0.3-0.09*(AQ269-36.8)))/2)</f>
        <v/>
      </c>
      <c r="AS269">
        <f>MAX(0.1,MIN(0.3,0.3-0.09*(AR269-36.8)))</f>
        <v/>
      </c>
      <c r="AT269">
        <f>AT268+(2*AR269-1.962*AT268-1.31)/9</f>
        <v/>
      </c>
      <c r="AU269">
        <f>AU268+AG269+K269</f>
        <v/>
      </c>
      <c r="AV269">
        <f>AU269*2.67*$B$6/1.8/60</f>
        <v/>
      </c>
      <c r="AW269">
        <f>IF(AT269&gt;=$B$36,1,0)</f>
        <v/>
      </c>
      <c r="AX269">
        <f>IF(AV269&gt;=$B$21,1,0)</f>
        <v/>
      </c>
    </row>
    <row r="270">
      <c r="A270" t="n">
        <v>197</v>
      </c>
      <c r="B270">
        <f>MATCH(A270-1,$D$61:$D$68,1)</f>
        <v/>
      </c>
      <c r="C270">
        <f>INDEX($G$61:$G$68,B270)</f>
        <v/>
      </c>
      <c r="D270">
        <f>INDEX($L$61:$L$68,B270)</f>
        <v/>
      </c>
      <c r="E270">
        <f>INDEX($M$61:$M$68,B270)</f>
        <v/>
      </c>
      <c r="F270">
        <f>INDEX($N$61:$N$68,B270)</f>
        <v/>
      </c>
      <c r="G270">
        <f>INDEX($AA$61:$AA$68,B270)</f>
        <v/>
      </c>
      <c r="H270">
        <f>INDEX($X$61:$X$68,B270)</f>
        <v/>
      </c>
      <c r="I270">
        <f>INDEX($AF$61:$AF$68,B270)</f>
        <v/>
      </c>
      <c r="J270">
        <f>INDEX($AC$61:$AC$68,B270)</f>
        <v/>
      </c>
      <c r="K270">
        <f>INDEX($AD$61:$AD$68,B270)</f>
        <v/>
      </c>
      <c r="L270">
        <f>INDEX($AG$61:$AG$68,B270)</f>
        <v/>
      </c>
      <c r="M270">
        <f>INDEX($AH$61:$AH$68,B270)</f>
        <v/>
      </c>
      <c r="N270">
        <f>INDEX($AI$61:$AI$68,B270)</f>
        <v/>
      </c>
      <c r="O270">
        <f>O269*$B$26+L270*(1-$B$26)</f>
        <v/>
      </c>
      <c r="P270">
        <f>$B$7*(O270-O269)*(1-AS269)</f>
        <v/>
      </c>
      <c r="Q270">
        <f>M270+0.51274*AT269</f>
        <v/>
      </c>
      <c r="R270">
        <f>N270+0.616*AT269</f>
        <v/>
      </c>
      <c r="S270">
        <f>IF($B$13&gt;=0.6,Q270,IF($B$13&lt;=0.2,R270,R270+2.5*(Q270-R270)*($B$13-0.2)))</f>
        <v/>
      </c>
      <c r="T270">
        <f>IF(A270=1,S270,T269*$B$27+S270*(1-$B$27))</f>
        <v/>
      </c>
      <c r="U270">
        <f>0.6105*EXP(17.27*T270/(T270+237.3))</f>
        <v/>
      </c>
      <c r="V270">
        <f>($B$14*(I270*C270+IF(ABS((D270+0.1)-D270)&lt;0.000000001,4*$B$19*$B$20*(D270+273)^3,$B$19*$B$20*(((D270+0.1)+273)^4-(D270+273)^4)/((D270+0.1)-D270))*D270)+T270/H270)/($B$14*(I270+IF(ABS((D270+0.1)-D270)&lt;0.000000001,4*$B$19*$B$20*(D270+273)^3,$B$19*$B$20*(((D270+0.1)+273)^4-(D270+273)^4)/((D270+0.1)-D270)))+1/H270)</f>
        <v/>
      </c>
      <c r="W270">
        <f>($B$14*(I270*C270+IF(ABS(V270-D270)&lt;0.000000001,4*$B$19*$B$20*(D270+273)^3,$B$19*$B$20*((V270+273)^4-(D270+273)^4)/(V270-D270))*D270)+T270/H270)/($B$14*(I270+IF(ABS(V270-D270)&lt;0.000000001,4*$B$19*$B$20*(D270+273)^3,$B$19*$B$20*((V270+273)^4-(D270+273)^4)/(V270-D270)))+1/H270)</f>
        <v/>
      </c>
      <c r="X270">
        <f>($B$14*(I270*C270+IF(ABS(W270-D270)&lt;0.000000001,4*$B$19*$B$20*(D270+273)^3,$B$19*$B$20*((W270+273)^4-(D270+273)^4)/(W270-D270))*D270)+T270/H270)/($B$14*(I270+IF(ABS(W270-D270)&lt;0.000000001,4*$B$19*$B$20*(D270+273)^3,$B$19*$B$20*((W270+273)^4-(D270+273)^4)/(W270-D270)))+1/H270)</f>
        <v/>
      </c>
      <c r="Y270">
        <f>($B$14*(I270*C270+IF(ABS(X270-D270)&lt;0.000000001,4*$B$19*$B$20*(D270+273)^3,$B$19*$B$20*((X270+273)^4-(D270+273)^4)/(X270-D270))*D270)+T270/H270)/($B$14*(I270+IF(ABS(X270-D270)&lt;0.000000001,4*$B$19*$B$20*(D270+273)^3,$B$19*$B$20*((X270+273)^4-(D270+273)^4)/(X270-D270)))+1/H270)</f>
        <v/>
      </c>
      <c r="Z270">
        <f>IF(ABS(Y270-D270)&lt;0.000000001,4*$B$19*$B$20*(D270+273)^3,$B$19*$B$20*((Y270+273)^4-(D270+273)^4)/(Y270-D270))</f>
        <v/>
      </c>
      <c r="AA270">
        <f>$B$14*I270*(Y270-C270)</f>
        <v/>
      </c>
      <c r="AB270">
        <f>$B$14*Z270*(Y270-D270)</f>
        <v/>
      </c>
      <c r="AC270">
        <f>IF((U270-E270)/G270=0,0.001,(U270-E270)/G270)</f>
        <v/>
      </c>
      <c r="AD270">
        <f>F270-P270-J270-K270-AA270-AB270</f>
        <v/>
      </c>
      <c r="AE270">
        <f>AD270/AC270</f>
        <v/>
      </c>
      <c r="AF270">
        <f>IF(AD270&lt;=0,0,IF(AC270&lt;=0,$B$11,IF(AE270&gt;=1.7,$B$11,MIN(AD270/MAX(0.05,IF(AE270&gt;1,(2-AE270)^2/2,1-AE270^2/2)),$B$11))))</f>
        <v/>
      </c>
      <c r="AG270">
        <f>AG269*$B$28+AF270*(1-$B$28)</f>
        <v/>
      </c>
      <c r="AH270">
        <f>IF(AND(AD270&gt;0,AC270&lt;=0),0,AC270)</f>
        <v/>
      </c>
      <c r="AI270">
        <f>AH270/MAX(AG270,0.000001)</f>
        <v/>
      </c>
      <c r="AJ270">
        <f>MIN(IF(AI270&gt;=0.5,-AI270+SQRT(AI270^2+2),1),$B$12)</f>
        <v/>
      </c>
      <c r="AK270">
        <f>IF(AG270&lt;=0,0,AJ270*AH270)</f>
        <v/>
      </c>
      <c r="AL270">
        <f>IF(AD270&lt;=0,0,AD270)</f>
        <v/>
      </c>
      <c r="AM270">
        <f>AL270-AK270+P270</f>
        <v/>
      </c>
      <c r="AN270">
        <f>((AM270/$B$7+T269*AS269/2-T270*MAX(0.1,MIN(0.3,0.3-0.09*(AR269-36.8)))/2)+AR269*(1-AS269/2))/(1-MAX(0.1,MIN(0.3,0.3-0.09*(AR269-36.8)))/2)</f>
        <v/>
      </c>
      <c r="AO270">
        <f>((AM270/$B$7+T269*AS269/2-T270*MAX(0.1,MIN(0.3,0.3-0.09*(AN270-36.8)))/2)+AR269*(1-AS269/2))/(1-MAX(0.1,MIN(0.3,0.3-0.09*(AN270-36.8)))/2)</f>
        <v/>
      </c>
      <c r="AP270">
        <f>((AM270/$B$7+T269*AS269/2-T270*MAX(0.1,MIN(0.3,0.3-0.09*(AO270-36.8)))/2)+AR269*(1-AS269/2))/(1-MAX(0.1,MIN(0.3,0.3-0.09*(AO270-36.8)))/2)</f>
        <v/>
      </c>
      <c r="AQ270">
        <f>((AM270/$B$7+T269*AS269/2-T270*MAX(0.1,MIN(0.3,0.3-0.09*(AP270-36.8)))/2)+AR269*(1-AS269/2))/(1-MAX(0.1,MIN(0.3,0.3-0.09*(AP270-36.8)))/2)</f>
        <v/>
      </c>
      <c r="AR270">
        <f>((AM270/$B$7+T269*AS269/2-T270*MAX(0.1,MIN(0.3,0.3-0.09*(AQ270-36.8)))/2)+AR269*(1-AS269/2))/(1-MAX(0.1,MIN(0.3,0.3-0.09*(AQ270-36.8)))/2)</f>
        <v/>
      </c>
      <c r="AS270">
        <f>MAX(0.1,MIN(0.3,0.3-0.09*(AR270-36.8)))</f>
        <v/>
      </c>
      <c r="AT270">
        <f>AT269+(2*AR270-1.962*AT269-1.31)/9</f>
        <v/>
      </c>
      <c r="AU270">
        <f>AU269+AG270+K270</f>
        <v/>
      </c>
      <c r="AV270">
        <f>AU270*2.67*$B$6/1.8/60</f>
        <v/>
      </c>
      <c r="AW270">
        <f>IF(AT270&gt;=$B$36,1,0)</f>
        <v/>
      </c>
      <c r="AX270">
        <f>IF(AV270&gt;=$B$21,1,0)</f>
        <v/>
      </c>
    </row>
    <row r="271">
      <c r="A271" t="n">
        <v>198</v>
      </c>
      <c r="B271">
        <f>MATCH(A271-1,$D$61:$D$68,1)</f>
        <v/>
      </c>
      <c r="C271">
        <f>INDEX($G$61:$G$68,B271)</f>
        <v/>
      </c>
      <c r="D271">
        <f>INDEX($L$61:$L$68,B271)</f>
        <v/>
      </c>
      <c r="E271">
        <f>INDEX($M$61:$M$68,B271)</f>
        <v/>
      </c>
      <c r="F271">
        <f>INDEX($N$61:$N$68,B271)</f>
        <v/>
      </c>
      <c r="G271">
        <f>INDEX($AA$61:$AA$68,B271)</f>
        <v/>
      </c>
      <c r="H271">
        <f>INDEX($X$61:$X$68,B271)</f>
        <v/>
      </c>
      <c r="I271">
        <f>INDEX($AF$61:$AF$68,B271)</f>
        <v/>
      </c>
      <c r="J271">
        <f>INDEX($AC$61:$AC$68,B271)</f>
        <v/>
      </c>
      <c r="K271">
        <f>INDEX($AD$61:$AD$68,B271)</f>
        <v/>
      </c>
      <c r="L271">
        <f>INDEX($AG$61:$AG$68,B271)</f>
        <v/>
      </c>
      <c r="M271">
        <f>INDEX($AH$61:$AH$68,B271)</f>
        <v/>
      </c>
      <c r="N271">
        <f>INDEX($AI$61:$AI$68,B271)</f>
        <v/>
      </c>
      <c r="O271">
        <f>O270*$B$26+L271*(1-$B$26)</f>
        <v/>
      </c>
      <c r="P271">
        <f>$B$7*(O271-O270)*(1-AS270)</f>
        <v/>
      </c>
      <c r="Q271">
        <f>M271+0.51274*AT270</f>
        <v/>
      </c>
      <c r="R271">
        <f>N271+0.616*AT270</f>
        <v/>
      </c>
      <c r="S271">
        <f>IF($B$13&gt;=0.6,Q271,IF($B$13&lt;=0.2,R271,R271+2.5*(Q271-R271)*($B$13-0.2)))</f>
        <v/>
      </c>
      <c r="T271">
        <f>IF(A271=1,S271,T270*$B$27+S271*(1-$B$27))</f>
        <v/>
      </c>
      <c r="U271">
        <f>0.6105*EXP(17.27*T271/(T271+237.3))</f>
        <v/>
      </c>
      <c r="V271">
        <f>($B$14*(I271*C271+IF(ABS((D271+0.1)-D271)&lt;0.000000001,4*$B$19*$B$20*(D271+273)^3,$B$19*$B$20*(((D271+0.1)+273)^4-(D271+273)^4)/((D271+0.1)-D271))*D271)+T271/H271)/($B$14*(I271+IF(ABS((D271+0.1)-D271)&lt;0.000000001,4*$B$19*$B$20*(D271+273)^3,$B$19*$B$20*(((D271+0.1)+273)^4-(D271+273)^4)/((D271+0.1)-D271)))+1/H271)</f>
        <v/>
      </c>
      <c r="W271">
        <f>($B$14*(I271*C271+IF(ABS(V271-D271)&lt;0.000000001,4*$B$19*$B$20*(D271+273)^3,$B$19*$B$20*((V271+273)^4-(D271+273)^4)/(V271-D271))*D271)+T271/H271)/($B$14*(I271+IF(ABS(V271-D271)&lt;0.000000001,4*$B$19*$B$20*(D271+273)^3,$B$19*$B$20*((V271+273)^4-(D271+273)^4)/(V271-D271)))+1/H271)</f>
        <v/>
      </c>
      <c r="X271">
        <f>($B$14*(I271*C271+IF(ABS(W271-D271)&lt;0.000000001,4*$B$19*$B$20*(D271+273)^3,$B$19*$B$20*((W271+273)^4-(D271+273)^4)/(W271-D271))*D271)+T271/H271)/($B$14*(I271+IF(ABS(W271-D271)&lt;0.000000001,4*$B$19*$B$20*(D271+273)^3,$B$19*$B$20*((W271+273)^4-(D271+273)^4)/(W271-D271)))+1/H271)</f>
        <v/>
      </c>
      <c r="Y271">
        <f>($B$14*(I271*C271+IF(ABS(X271-D271)&lt;0.000000001,4*$B$19*$B$20*(D271+273)^3,$B$19*$B$20*((X271+273)^4-(D271+273)^4)/(X271-D271))*D271)+T271/H271)/($B$14*(I271+IF(ABS(X271-D271)&lt;0.000000001,4*$B$19*$B$20*(D271+273)^3,$B$19*$B$20*((X271+273)^4-(D271+273)^4)/(X271-D271)))+1/H271)</f>
        <v/>
      </c>
      <c r="Z271">
        <f>IF(ABS(Y271-D271)&lt;0.000000001,4*$B$19*$B$20*(D271+273)^3,$B$19*$B$20*((Y271+273)^4-(D271+273)^4)/(Y271-D271))</f>
        <v/>
      </c>
      <c r="AA271">
        <f>$B$14*I271*(Y271-C271)</f>
        <v/>
      </c>
      <c r="AB271">
        <f>$B$14*Z271*(Y271-D271)</f>
        <v/>
      </c>
      <c r="AC271">
        <f>IF((U271-E271)/G271=0,0.001,(U271-E271)/G271)</f>
        <v/>
      </c>
      <c r="AD271">
        <f>F271-P271-J271-K271-AA271-AB271</f>
        <v/>
      </c>
      <c r="AE271">
        <f>AD271/AC271</f>
        <v/>
      </c>
      <c r="AF271">
        <f>IF(AD271&lt;=0,0,IF(AC271&lt;=0,$B$11,IF(AE271&gt;=1.7,$B$11,MIN(AD271/MAX(0.05,IF(AE271&gt;1,(2-AE271)^2/2,1-AE271^2/2)),$B$11))))</f>
        <v/>
      </c>
      <c r="AG271">
        <f>AG270*$B$28+AF271*(1-$B$28)</f>
        <v/>
      </c>
      <c r="AH271">
        <f>IF(AND(AD271&gt;0,AC271&lt;=0),0,AC271)</f>
        <v/>
      </c>
      <c r="AI271">
        <f>AH271/MAX(AG271,0.000001)</f>
        <v/>
      </c>
      <c r="AJ271">
        <f>MIN(IF(AI271&gt;=0.5,-AI271+SQRT(AI271^2+2),1),$B$12)</f>
        <v/>
      </c>
      <c r="AK271">
        <f>IF(AG271&lt;=0,0,AJ271*AH271)</f>
        <v/>
      </c>
      <c r="AL271">
        <f>IF(AD271&lt;=0,0,AD271)</f>
        <v/>
      </c>
      <c r="AM271">
        <f>AL271-AK271+P271</f>
        <v/>
      </c>
      <c r="AN271">
        <f>((AM271/$B$7+T270*AS270/2-T271*MAX(0.1,MIN(0.3,0.3-0.09*(AR270-36.8)))/2)+AR270*(1-AS270/2))/(1-MAX(0.1,MIN(0.3,0.3-0.09*(AR270-36.8)))/2)</f>
        <v/>
      </c>
      <c r="AO271">
        <f>((AM271/$B$7+T270*AS270/2-T271*MAX(0.1,MIN(0.3,0.3-0.09*(AN271-36.8)))/2)+AR270*(1-AS270/2))/(1-MAX(0.1,MIN(0.3,0.3-0.09*(AN271-36.8)))/2)</f>
        <v/>
      </c>
      <c r="AP271">
        <f>((AM271/$B$7+T270*AS270/2-T271*MAX(0.1,MIN(0.3,0.3-0.09*(AO271-36.8)))/2)+AR270*(1-AS270/2))/(1-MAX(0.1,MIN(0.3,0.3-0.09*(AO271-36.8)))/2)</f>
        <v/>
      </c>
      <c r="AQ271">
        <f>((AM271/$B$7+T270*AS270/2-T271*MAX(0.1,MIN(0.3,0.3-0.09*(AP271-36.8)))/2)+AR270*(1-AS270/2))/(1-MAX(0.1,MIN(0.3,0.3-0.09*(AP271-36.8)))/2)</f>
        <v/>
      </c>
      <c r="AR271">
        <f>((AM271/$B$7+T270*AS270/2-T271*MAX(0.1,MIN(0.3,0.3-0.09*(AQ271-36.8)))/2)+AR270*(1-AS270/2))/(1-MAX(0.1,MIN(0.3,0.3-0.09*(AQ271-36.8)))/2)</f>
        <v/>
      </c>
      <c r="AS271">
        <f>MAX(0.1,MIN(0.3,0.3-0.09*(AR271-36.8)))</f>
        <v/>
      </c>
      <c r="AT271">
        <f>AT270+(2*AR271-1.962*AT270-1.31)/9</f>
        <v/>
      </c>
      <c r="AU271">
        <f>AU270+AG271+K271</f>
        <v/>
      </c>
      <c r="AV271">
        <f>AU271*2.67*$B$6/1.8/60</f>
        <v/>
      </c>
      <c r="AW271">
        <f>IF(AT271&gt;=$B$36,1,0)</f>
        <v/>
      </c>
      <c r="AX271">
        <f>IF(AV271&gt;=$B$21,1,0)</f>
        <v/>
      </c>
    </row>
    <row r="272">
      <c r="A272" t="n">
        <v>199</v>
      </c>
      <c r="B272">
        <f>MATCH(A272-1,$D$61:$D$68,1)</f>
        <v/>
      </c>
      <c r="C272">
        <f>INDEX($G$61:$G$68,B272)</f>
        <v/>
      </c>
      <c r="D272">
        <f>INDEX($L$61:$L$68,B272)</f>
        <v/>
      </c>
      <c r="E272">
        <f>INDEX($M$61:$M$68,B272)</f>
        <v/>
      </c>
      <c r="F272">
        <f>INDEX($N$61:$N$68,B272)</f>
        <v/>
      </c>
      <c r="G272">
        <f>INDEX($AA$61:$AA$68,B272)</f>
        <v/>
      </c>
      <c r="H272">
        <f>INDEX($X$61:$X$68,B272)</f>
        <v/>
      </c>
      <c r="I272">
        <f>INDEX($AF$61:$AF$68,B272)</f>
        <v/>
      </c>
      <c r="J272">
        <f>INDEX($AC$61:$AC$68,B272)</f>
        <v/>
      </c>
      <c r="K272">
        <f>INDEX($AD$61:$AD$68,B272)</f>
        <v/>
      </c>
      <c r="L272">
        <f>INDEX($AG$61:$AG$68,B272)</f>
        <v/>
      </c>
      <c r="M272">
        <f>INDEX($AH$61:$AH$68,B272)</f>
        <v/>
      </c>
      <c r="N272">
        <f>INDEX($AI$61:$AI$68,B272)</f>
        <v/>
      </c>
      <c r="O272">
        <f>O271*$B$26+L272*(1-$B$26)</f>
        <v/>
      </c>
      <c r="P272">
        <f>$B$7*(O272-O271)*(1-AS271)</f>
        <v/>
      </c>
      <c r="Q272">
        <f>M272+0.51274*AT271</f>
        <v/>
      </c>
      <c r="R272">
        <f>N272+0.616*AT271</f>
        <v/>
      </c>
      <c r="S272">
        <f>IF($B$13&gt;=0.6,Q272,IF($B$13&lt;=0.2,R272,R272+2.5*(Q272-R272)*($B$13-0.2)))</f>
        <v/>
      </c>
      <c r="T272">
        <f>IF(A272=1,S272,T271*$B$27+S272*(1-$B$27))</f>
        <v/>
      </c>
      <c r="U272">
        <f>0.6105*EXP(17.27*T272/(T272+237.3))</f>
        <v/>
      </c>
      <c r="V272">
        <f>($B$14*(I272*C272+IF(ABS((D272+0.1)-D272)&lt;0.000000001,4*$B$19*$B$20*(D272+273)^3,$B$19*$B$20*(((D272+0.1)+273)^4-(D272+273)^4)/((D272+0.1)-D272))*D272)+T272/H272)/($B$14*(I272+IF(ABS((D272+0.1)-D272)&lt;0.000000001,4*$B$19*$B$20*(D272+273)^3,$B$19*$B$20*(((D272+0.1)+273)^4-(D272+273)^4)/((D272+0.1)-D272)))+1/H272)</f>
        <v/>
      </c>
      <c r="W272">
        <f>($B$14*(I272*C272+IF(ABS(V272-D272)&lt;0.000000001,4*$B$19*$B$20*(D272+273)^3,$B$19*$B$20*((V272+273)^4-(D272+273)^4)/(V272-D272))*D272)+T272/H272)/($B$14*(I272+IF(ABS(V272-D272)&lt;0.000000001,4*$B$19*$B$20*(D272+273)^3,$B$19*$B$20*((V272+273)^4-(D272+273)^4)/(V272-D272)))+1/H272)</f>
        <v/>
      </c>
      <c r="X272">
        <f>($B$14*(I272*C272+IF(ABS(W272-D272)&lt;0.000000001,4*$B$19*$B$20*(D272+273)^3,$B$19*$B$20*((W272+273)^4-(D272+273)^4)/(W272-D272))*D272)+T272/H272)/($B$14*(I272+IF(ABS(W272-D272)&lt;0.000000001,4*$B$19*$B$20*(D272+273)^3,$B$19*$B$20*((W272+273)^4-(D272+273)^4)/(W272-D272)))+1/H272)</f>
        <v/>
      </c>
      <c r="Y272">
        <f>($B$14*(I272*C272+IF(ABS(X272-D272)&lt;0.000000001,4*$B$19*$B$20*(D272+273)^3,$B$19*$B$20*((X272+273)^4-(D272+273)^4)/(X272-D272))*D272)+T272/H272)/($B$14*(I272+IF(ABS(X272-D272)&lt;0.000000001,4*$B$19*$B$20*(D272+273)^3,$B$19*$B$20*((X272+273)^4-(D272+273)^4)/(X272-D272)))+1/H272)</f>
        <v/>
      </c>
      <c r="Z272">
        <f>IF(ABS(Y272-D272)&lt;0.000000001,4*$B$19*$B$20*(D272+273)^3,$B$19*$B$20*((Y272+273)^4-(D272+273)^4)/(Y272-D272))</f>
        <v/>
      </c>
      <c r="AA272">
        <f>$B$14*I272*(Y272-C272)</f>
        <v/>
      </c>
      <c r="AB272">
        <f>$B$14*Z272*(Y272-D272)</f>
        <v/>
      </c>
      <c r="AC272">
        <f>IF((U272-E272)/G272=0,0.001,(U272-E272)/G272)</f>
        <v/>
      </c>
      <c r="AD272">
        <f>F272-P272-J272-K272-AA272-AB272</f>
        <v/>
      </c>
      <c r="AE272">
        <f>AD272/AC272</f>
        <v/>
      </c>
      <c r="AF272">
        <f>IF(AD272&lt;=0,0,IF(AC272&lt;=0,$B$11,IF(AE272&gt;=1.7,$B$11,MIN(AD272/MAX(0.05,IF(AE272&gt;1,(2-AE272)^2/2,1-AE272^2/2)),$B$11))))</f>
        <v/>
      </c>
      <c r="AG272">
        <f>AG271*$B$28+AF272*(1-$B$28)</f>
        <v/>
      </c>
      <c r="AH272">
        <f>IF(AND(AD272&gt;0,AC272&lt;=0),0,AC272)</f>
        <v/>
      </c>
      <c r="AI272">
        <f>AH272/MAX(AG272,0.000001)</f>
        <v/>
      </c>
      <c r="AJ272">
        <f>MIN(IF(AI272&gt;=0.5,-AI272+SQRT(AI272^2+2),1),$B$12)</f>
        <v/>
      </c>
      <c r="AK272">
        <f>IF(AG272&lt;=0,0,AJ272*AH272)</f>
        <v/>
      </c>
      <c r="AL272">
        <f>IF(AD272&lt;=0,0,AD272)</f>
        <v/>
      </c>
      <c r="AM272">
        <f>AL272-AK272+P272</f>
        <v/>
      </c>
      <c r="AN272">
        <f>((AM272/$B$7+T271*AS271/2-T272*MAX(0.1,MIN(0.3,0.3-0.09*(AR271-36.8)))/2)+AR271*(1-AS271/2))/(1-MAX(0.1,MIN(0.3,0.3-0.09*(AR271-36.8)))/2)</f>
        <v/>
      </c>
      <c r="AO272">
        <f>((AM272/$B$7+T271*AS271/2-T272*MAX(0.1,MIN(0.3,0.3-0.09*(AN272-36.8)))/2)+AR271*(1-AS271/2))/(1-MAX(0.1,MIN(0.3,0.3-0.09*(AN272-36.8)))/2)</f>
        <v/>
      </c>
      <c r="AP272">
        <f>((AM272/$B$7+T271*AS271/2-T272*MAX(0.1,MIN(0.3,0.3-0.09*(AO272-36.8)))/2)+AR271*(1-AS271/2))/(1-MAX(0.1,MIN(0.3,0.3-0.09*(AO272-36.8)))/2)</f>
        <v/>
      </c>
      <c r="AQ272">
        <f>((AM272/$B$7+T271*AS271/2-T272*MAX(0.1,MIN(0.3,0.3-0.09*(AP272-36.8)))/2)+AR271*(1-AS271/2))/(1-MAX(0.1,MIN(0.3,0.3-0.09*(AP272-36.8)))/2)</f>
        <v/>
      </c>
      <c r="AR272">
        <f>((AM272/$B$7+T271*AS271/2-T272*MAX(0.1,MIN(0.3,0.3-0.09*(AQ272-36.8)))/2)+AR271*(1-AS271/2))/(1-MAX(0.1,MIN(0.3,0.3-0.09*(AQ272-36.8)))/2)</f>
        <v/>
      </c>
      <c r="AS272">
        <f>MAX(0.1,MIN(0.3,0.3-0.09*(AR272-36.8)))</f>
        <v/>
      </c>
      <c r="AT272">
        <f>AT271+(2*AR272-1.962*AT271-1.31)/9</f>
        <v/>
      </c>
      <c r="AU272">
        <f>AU271+AG272+K272</f>
        <v/>
      </c>
      <c r="AV272">
        <f>AU272*2.67*$B$6/1.8/60</f>
        <v/>
      </c>
      <c r="AW272">
        <f>IF(AT272&gt;=$B$36,1,0)</f>
        <v/>
      </c>
      <c r="AX272">
        <f>IF(AV272&gt;=$B$21,1,0)</f>
        <v/>
      </c>
    </row>
    <row r="273">
      <c r="A273" t="n">
        <v>200</v>
      </c>
      <c r="B273">
        <f>MATCH(A273-1,$D$61:$D$68,1)</f>
        <v/>
      </c>
      <c r="C273">
        <f>INDEX($G$61:$G$68,B273)</f>
        <v/>
      </c>
      <c r="D273">
        <f>INDEX($L$61:$L$68,B273)</f>
        <v/>
      </c>
      <c r="E273">
        <f>INDEX($M$61:$M$68,B273)</f>
        <v/>
      </c>
      <c r="F273">
        <f>INDEX($N$61:$N$68,B273)</f>
        <v/>
      </c>
      <c r="G273">
        <f>INDEX($AA$61:$AA$68,B273)</f>
        <v/>
      </c>
      <c r="H273">
        <f>INDEX($X$61:$X$68,B273)</f>
        <v/>
      </c>
      <c r="I273">
        <f>INDEX($AF$61:$AF$68,B273)</f>
        <v/>
      </c>
      <c r="J273">
        <f>INDEX($AC$61:$AC$68,B273)</f>
        <v/>
      </c>
      <c r="K273">
        <f>INDEX($AD$61:$AD$68,B273)</f>
        <v/>
      </c>
      <c r="L273">
        <f>INDEX($AG$61:$AG$68,B273)</f>
        <v/>
      </c>
      <c r="M273">
        <f>INDEX($AH$61:$AH$68,B273)</f>
        <v/>
      </c>
      <c r="N273">
        <f>INDEX($AI$61:$AI$68,B273)</f>
        <v/>
      </c>
      <c r="O273">
        <f>O272*$B$26+L273*(1-$B$26)</f>
        <v/>
      </c>
      <c r="P273">
        <f>$B$7*(O273-O272)*(1-AS272)</f>
        <v/>
      </c>
      <c r="Q273">
        <f>M273+0.51274*AT272</f>
        <v/>
      </c>
      <c r="R273">
        <f>N273+0.616*AT272</f>
        <v/>
      </c>
      <c r="S273">
        <f>IF($B$13&gt;=0.6,Q273,IF($B$13&lt;=0.2,R273,R273+2.5*(Q273-R273)*($B$13-0.2)))</f>
        <v/>
      </c>
      <c r="T273">
        <f>IF(A273=1,S273,T272*$B$27+S273*(1-$B$27))</f>
        <v/>
      </c>
      <c r="U273">
        <f>0.6105*EXP(17.27*T273/(T273+237.3))</f>
        <v/>
      </c>
      <c r="V273">
        <f>($B$14*(I273*C273+IF(ABS((D273+0.1)-D273)&lt;0.000000001,4*$B$19*$B$20*(D273+273)^3,$B$19*$B$20*(((D273+0.1)+273)^4-(D273+273)^4)/((D273+0.1)-D273))*D273)+T273/H273)/($B$14*(I273+IF(ABS((D273+0.1)-D273)&lt;0.000000001,4*$B$19*$B$20*(D273+273)^3,$B$19*$B$20*(((D273+0.1)+273)^4-(D273+273)^4)/((D273+0.1)-D273)))+1/H273)</f>
        <v/>
      </c>
      <c r="W273">
        <f>($B$14*(I273*C273+IF(ABS(V273-D273)&lt;0.000000001,4*$B$19*$B$20*(D273+273)^3,$B$19*$B$20*((V273+273)^4-(D273+273)^4)/(V273-D273))*D273)+T273/H273)/($B$14*(I273+IF(ABS(V273-D273)&lt;0.000000001,4*$B$19*$B$20*(D273+273)^3,$B$19*$B$20*((V273+273)^4-(D273+273)^4)/(V273-D273)))+1/H273)</f>
        <v/>
      </c>
      <c r="X273">
        <f>($B$14*(I273*C273+IF(ABS(W273-D273)&lt;0.000000001,4*$B$19*$B$20*(D273+273)^3,$B$19*$B$20*((W273+273)^4-(D273+273)^4)/(W273-D273))*D273)+T273/H273)/($B$14*(I273+IF(ABS(W273-D273)&lt;0.000000001,4*$B$19*$B$20*(D273+273)^3,$B$19*$B$20*((W273+273)^4-(D273+273)^4)/(W273-D273)))+1/H273)</f>
        <v/>
      </c>
      <c r="Y273">
        <f>($B$14*(I273*C273+IF(ABS(X273-D273)&lt;0.000000001,4*$B$19*$B$20*(D273+273)^3,$B$19*$B$20*((X273+273)^4-(D273+273)^4)/(X273-D273))*D273)+T273/H273)/($B$14*(I273+IF(ABS(X273-D273)&lt;0.000000001,4*$B$19*$B$20*(D273+273)^3,$B$19*$B$20*((X273+273)^4-(D273+273)^4)/(X273-D273)))+1/H273)</f>
        <v/>
      </c>
      <c r="Z273">
        <f>IF(ABS(Y273-D273)&lt;0.000000001,4*$B$19*$B$20*(D273+273)^3,$B$19*$B$20*((Y273+273)^4-(D273+273)^4)/(Y273-D273))</f>
        <v/>
      </c>
      <c r="AA273">
        <f>$B$14*I273*(Y273-C273)</f>
        <v/>
      </c>
      <c r="AB273">
        <f>$B$14*Z273*(Y273-D273)</f>
        <v/>
      </c>
      <c r="AC273">
        <f>IF((U273-E273)/G273=0,0.001,(U273-E273)/G273)</f>
        <v/>
      </c>
      <c r="AD273">
        <f>F273-P273-J273-K273-AA273-AB273</f>
        <v/>
      </c>
      <c r="AE273">
        <f>AD273/AC273</f>
        <v/>
      </c>
      <c r="AF273">
        <f>IF(AD273&lt;=0,0,IF(AC273&lt;=0,$B$11,IF(AE273&gt;=1.7,$B$11,MIN(AD273/MAX(0.05,IF(AE273&gt;1,(2-AE273)^2/2,1-AE273^2/2)),$B$11))))</f>
        <v/>
      </c>
      <c r="AG273">
        <f>AG272*$B$28+AF273*(1-$B$28)</f>
        <v/>
      </c>
      <c r="AH273">
        <f>IF(AND(AD273&gt;0,AC273&lt;=0),0,AC273)</f>
        <v/>
      </c>
      <c r="AI273">
        <f>AH273/MAX(AG273,0.000001)</f>
        <v/>
      </c>
      <c r="AJ273">
        <f>MIN(IF(AI273&gt;=0.5,-AI273+SQRT(AI273^2+2),1),$B$12)</f>
        <v/>
      </c>
      <c r="AK273">
        <f>IF(AG273&lt;=0,0,AJ273*AH273)</f>
        <v/>
      </c>
      <c r="AL273">
        <f>IF(AD273&lt;=0,0,AD273)</f>
        <v/>
      </c>
      <c r="AM273">
        <f>AL273-AK273+P273</f>
        <v/>
      </c>
      <c r="AN273">
        <f>((AM273/$B$7+T272*AS272/2-T273*MAX(0.1,MIN(0.3,0.3-0.09*(AR272-36.8)))/2)+AR272*(1-AS272/2))/(1-MAX(0.1,MIN(0.3,0.3-0.09*(AR272-36.8)))/2)</f>
        <v/>
      </c>
      <c r="AO273">
        <f>((AM273/$B$7+T272*AS272/2-T273*MAX(0.1,MIN(0.3,0.3-0.09*(AN273-36.8)))/2)+AR272*(1-AS272/2))/(1-MAX(0.1,MIN(0.3,0.3-0.09*(AN273-36.8)))/2)</f>
        <v/>
      </c>
      <c r="AP273">
        <f>((AM273/$B$7+T272*AS272/2-T273*MAX(0.1,MIN(0.3,0.3-0.09*(AO273-36.8)))/2)+AR272*(1-AS272/2))/(1-MAX(0.1,MIN(0.3,0.3-0.09*(AO273-36.8)))/2)</f>
        <v/>
      </c>
      <c r="AQ273">
        <f>((AM273/$B$7+T272*AS272/2-T273*MAX(0.1,MIN(0.3,0.3-0.09*(AP273-36.8)))/2)+AR272*(1-AS272/2))/(1-MAX(0.1,MIN(0.3,0.3-0.09*(AP273-36.8)))/2)</f>
        <v/>
      </c>
      <c r="AR273">
        <f>((AM273/$B$7+T272*AS272/2-T273*MAX(0.1,MIN(0.3,0.3-0.09*(AQ273-36.8)))/2)+AR272*(1-AS272/2))/(1-MAX(0.1,MIN(0.3,0.3-0.09*(AQ273-36.8)))/2)</f>
        <v/>
      </c>
      <c r="AS273">
        <f>MAX(0.1,MIN(0.3,0.3-0.09*(AR273-36.8)))</f>
        <v/>
      </c>
      <c r="AT273">
        <f>AT272+(2*AR273-1.962*AT272-1.31)/9</f>
        <v/>
      </c>
      <c r="AU273">
        <f>AU272+AG273+K273</f>
        <v/>
      </c>
      <c r="AV273">
        <f>AU273*2.67*$B$6/1.8/60</f>
        <v/>
      </c>
      <c r="AW273">
        <f>IF(AT273&gt;=$B$36,1,0)</f>
        <v/>
      </c>
      <c r="AX273">
        <f>IF(AV273&gt;=$B$21,1,0)</f>
        <v/>
      </c>
    </row>
    <row r="274">
      <c r="A274" t="n">
        <v>201</v>
      </c>
      <c r="B274">
        <f>MATCH(A274-1,$D$61:$D$68,1)</f>
        <v/>
      </c>
      <c r="C274">
        <f>INDEX($G$61:$G$68,B274)</f>
        <v/>
      </c>
      <c r="D274">
        <f>INDEX($L$61:$L$68,B274)</f>
        <v/>
      </c>
      <c r="E274">
        <f>INDEX($M$61:$M$68,B274)</f>
        <v/>
      </c>
      <c r="F274">
        <f>INDEX($N$61:$N$68,B274)</f>
        <v/>
      </c>
      <c r="G274">
        <f>INDEX($AA$61:$AA$68,B274)</f>
        <v/>
      </c>
      <c r="H274">
        <f>INDEX($X$61:$X$68,B274)</f>
        <v/>
      </c>
      <c r="I274">
        <f>INDEX($AF$61:$AF$68,B274)</f>
        <v/>
      </c>
      <c r="J274">
        <f>INDEX($AC$61:$AC$68,B274)</f>
        <v/>
      </c>
      <c r="K274">
        <f>INDEX($AD$61:$AD$68,B274)</f>
        <v/>
      </c>
      <c r="L274">
        <f>INDEX($AG$61:$AG$68,B274)</f>
        <v/>
      </c>
      <c r="M274">
        <f>INDEX($AH$61:$AH$68,B274)</f>
        <v/>
      </c>
      <c r="N274">
        <f>INDEX($AI$61:$AI$68,B274)</f>
        <v/>
      </c>
      <c r="O274">
        <f>O273*$B$26+L274*(1-$B$26)</f>
        <v/>
      </c>
      <c r="P274">
        <f>$B$7*(O274-O273)*(1-AS273)</f>
        <v/>
      </c>
      <c r="Q274">
        <f>M274+0.51274*AT273</f>
        <v/>
      </c>
      <c r="R274">
        <f>N274+0.616*AT273</f>
        <v/>
      </c>
      <c r="S274">
        <f>IF($B$13&gt;=0.6,Q274,IF($B$13&lt;=0.2,R274,R274+2.5*(Q274-R274)*($B$13-0.2)))</f>
        <v/>
      </c>
      <c r="T274">
        <f>IF(A274=1,S274,T273*$B$27+S274*(1-$B$27))</f>
        <v/>
      </c>
      <c r="U274">
        <f>0.6105*EXP(17.27*T274/(T274+237.3))</f>
        <v/>
      </c>
      <c r="V274">
        <f>($B$14*(I274*C274+IF(ABS((D274+0.1)-D274)&lt;0.000000001,4*$B$19*$B$20*(D274+273)^3,$B$19*$B$20*(((D274+0.1)+273)^4-(D274+273)^4)/((D274+0.1)-D274))*D274)+T274/H274)/($B$14*(I274+IF(ABS((D274+0.1)-D274)&lt;0.000000001,4*$B$19*$B$20*(D274+273)^3,$B$19*$B$20*(((D274+0.1)+273)^4-(D274+273)^4)/((D274+0.1)-D274)))+1/H274)</f>
        <v/>
      </c>
      <c r="W274">
        <f>($B$14*(I274*C274+IF(ABS(V274-D274)&lt;0.000000001,4*$B$19*$B$20*(D274+273)^3,$B$19*$B$20*((V274+273)^4-(D274+273)^4)/(V274-D274))*D274)+T274/H274)/($B$14*(I274+IF(ABS(V274-D274)&lt;0.000000001,4*$B$19*$B$20*(D274+273)^3,$B$19*$B$20*((V274+273)^4-(D274+273)^4)/(V274-D274)))+1/H274)</f>
        <v/>
      </c>
      <c r="X274">
        <f>($B$14*(I274*C274+IF(ABS(W274-D274)&lt;0.000000001,4*$B$19*$B$20*(D274+273)^3,$B$19*$B$20*((W274+273)^4-(D274+273)^4)/(W274-D274))*D274)+T274/H274)/($B$14*(I274+IF(ABS(W274-D274)&lt;0.000000001,4*$B$19*$B$20*(D274+273)^3,$B$19*$B$20*((W274+273)^4-(D274+273)^4)/(W274-D274)))+1/H274)</f>
        <v/>
      </c>
      <c r="Y274">
        <f>($B$14*(I274*C274+IF(ABS(X274-D274)&lt;0.000000001,4*$B$19*$B$20*(D274+273)^3,$B$19*$B$20*((X274+273)^4-(D274+273)^4)/(X274-D274))*D274)+T274/H274)/($B$14*(I274+IF(ABS(X274-D274)&lt;0.000000001,4*$B$19*$B$20*(D274+273)^3,$B$19*$B$20*((X274+273)^4-(D274+273)^4)/(X274-D274)))+1/H274)</f>
        <v/>
      </c>
      <c r="Z274">
        <f>IF(ABS(Y274-D274)&lt;0.000000001,4*$B$19*$B$20*(D274+273)^3,$B$19*$B$20*((Y274+273)^4-(D274+273)^4)/(Y274-D274))</f>
        <v/>
      </c>
      <c r="AA274">
        <f>$B$14*I274*(Y274-C274)</f>
        <v/>
      </c>
      <c r="AB274">
        <f>$B$14*Z274*(Y274-D274)</f>
        <v/>
      </c>
      <c r="AC274">
        <f>IF((U274-E274)/G274=0,0.001,(U274-E274)/G274)</f>
        <v/>
      </c>
      <c r="AD274">
        <f>F274-P274-J274-K274-AA274-AB274</f>
        <v/>
      </c>
      <c r="AE274">
        <f>AD274/AC274</f>
        <v/>
      </c>
      <c r="AF274">
        <f>IF(AD274&lt;=0,0,IF(AC274&lt;=0,$B$11,IF(AE274&gt;=1.7,$B$11,MIN(AD274/MAX(0.05,IF(AE274&gt;1,(2-AE274)^2/2,1-AE274^2/2)),$B$11))))</f>
        <v/>
      </c>
      <c r="AG274">
        <f>AG273*$B$28+AF274*(1-$B$28)</f>
        <v/>
      </c>
      <c r="AH274">
        <f>IF(AND(AD274&gt;0,AC274&lt;=0),0,AC274)</f>
        <v/>
      </c>
      <c r="AI274">
        <f>AH274/MAX(AG274,0.000001)</f>
        <v/>
      </c>
      <c r="AJ274">
        <f>MIN(IF(AI274&gt;=0.5,-AI274+SQRT(AI274^2+2),1),$B$12)</f>
        <v/>
      </c>
      <c r="AK274">
        <f>IF(AG274&lt;=0,0,AJ274*AH274)</f>
        <v/>
      </c>
      <c r="AL274">
        <f>IF(AD274&lt;=0,0,AD274)</f>
        <v/>
      </c>
      <c r="AM274">
        <f>AL274-AK274+P274</f>
        <v/>
      </c>
      <c r="AN274">
        <f>((AM274/$B$7+T273*AS273/2-T274*MAX(0.1,MIN(0.3,0.3-0.09*(AR273-36.8)))/2)+AR273*(1-AS273/2))/(1-MAX(0.1,MIN(0.3,0.3-0.09*(AR273-36.8)))/2)</f>
        <v/>
      </c>
      <c r="AO274">
        <f>((AM274/$B$7+T273*AS273/2-T274*MAX(0.1,MIN(0.3,0.3-0.09*(AN274-36.8)))/2)+AR273*(1-AS273/2))/(1-MAX(0.1,MIN(0.3,0.3-0.09*(AN274-36.8)))/2)</f>
        <v/>
      </c>
      <c r="AP274">
        <f>((AM274/$B$7+T273*AS273/2-T274*MAX(0.1,MIN(0.3,0.3-0.09*(AO274-36.8)))/2)+AR273*(1-AS273/2))/(1-MAX(0.1,MIN(0.3,0.3-0.09*(AO274-36.8)))/2)</f>
        <v/>
      </c>
      <c r="AQ274">
        <f>((AM274/$B$7+T273*AS273/2-T274*MAX(0.1,MIN(0.3,0.3-0.09*(AP274-36.8)))/2)+AR273*(1-AS273/2))/(1-MAX(0.1,MIN(0.3,0.3-0.09*(AP274-36.8)))/2)</f>
        <v/>
      </c>
      <c r="AR274">
        <f>((AM274/$B$7+T273*AS273/2-T274*MAX(0.1,MIN(0.3,0.3-0.09*(AQ274-36.8)))/2)+AR273*(1-AS273/2))/(1-MAX(0.1,MIN(0.3,0.3-0.09*(AQ274-36.8)))/2)</f>
        <v/>
      </c>
      <c r="AS274">
        <f>MAX(0.1,MIN(0.3,0.3-0.09*(AR274-36.8)))</f>
        <v/>
      </c>
      <c r="AT274">
        <f>AT273+(2*AR274-1.962*AT273-1.31)/9</f>
        <v/>
      </c>
      <c r="AU274">
        <f>AU273+AG274+K274</f>
        <v/>
      </c>
      <c r="AV274">
        <f>AU274*2.67*$B$6/1.8/60</f>
        <v/>
      </c>
      <c r="AW274">
        <f>IF(AT274&gt;=$B$36,1,0)</f>
        <v/>
      </c>
      <c r="AX274">
        <f>IF(AV274&gt;=$B$21,1,0)</f>
        <v/>
      </c>
    </row>
    <row r="275">
      <c r="A275" t="n">
        <v>202</v>
      </c>
      <c r="B275">
        <f>MATCH(A275-1,$D$61:$D$68,1)</f>
        <v/>
      </c>
      <c r="C275">
        <f>INDEX($G$61:$G$68,B275)</f>
        <v/>
      </c>
      <c r="D275">
        <f>INDEX($L$61:$L$68,B275)</f>
        <v/>
      </c>
      <c r="E275">
        <f>INDEX($M$61:$M$68,B275)</f>
        <v/>
      </c>
      <c r="F275">
        <f>INDEX($N$61:$N$68,B275)</f>
        <v/>
      </c>
      <c r="G275">
        <f>INDEX($AA$61:$AA$68,B275)</f>
        <v/>
      </c>
      <c r="H275">
        <f>INDEX($X$61:$X$68,B275)</f>
        <v/>
      </c>
      <c r="I275">
        <f>INDEX($AF$61:$AF$68,B275)</f>
        <v/>
      </c>
      <c r="J275">
        <f>INDEX($AC$61:$AC$68,B275)</f>
        <v/>
      </c>
      <c r="K275">
        <f>INDEX($AD$61:$AD$68,B275)</f>
        <v/>
      </c>
      <c r="L275">
        <f>INDEX($AG$61:$AG$68,B275)</f>
        <v/>
      </c>
      <c r="M275">
        <f>INDEX($AH$61:$AH$68,B275)</f>
        <v/>
      </c>
      <c r="N275">
        <f>INDEX($AI$61:$AI$68,B275)</f>
        <v/>
      </c>
      <c r="O275">
        <f>O274*$B$26+L275*(1-$B$26)</f>
        <v/>
      </c>
      <c r="P275">
        <f>$B$7*(O275-O274)*(1-AS274)</f>
        <v/>
      </c>
      <c r="Q275">
        <f>M275+0.51274*AT274</f>
        <v/>
      </c>
      <c r="R275">
        <f>N275+0.616*AT274</f>
        <v/>
      </c>
      <c r="S275">
        <f>IF($B$13&gt;=0.6,Q275,IF($B$13&lt;=0.2,R275,R275+2.5*(Q275-R275)*($B$13-0.2)))</f>
        <v/>
      </c>
      <c r="T275">
        <f>IF(A275=1,S275,T274*$B$27+S275*(1-$B$27))</f>
        <v/>
      </c>
      <c r="U275">
        <f>0.6105*EXP(17.27*T275/(T275+237.3))</f>
        <v/>
      </c>
      <c r="V275">
        <f>($B$14*(I275*C275+IF(ABS((D275+0.1)-D275)&lt;0.000000001,4*$B$19*$B$20*(D275+273)^3,$B$19*$B$20*(((D275+0.1)+273)^4-(D275+273)^4)/((D275+0.1)-D275))*D275)+T275/H275)/($B$14*(I275+IF(ABS((D275+0.1)-D275)&lt;0.000000001,4*$B$19*$B$20*(D275+273)^3,$B$19*$B$20*(((D275+0.1)+273)^4-(D275+273)^4)/((D275+0.1)-D275)))+1/H275)</f>
        <v/>
      </c>
      <c r="W275">
        <f>($B$14*(I275*C275+IF(ABS(V275-D275)&lt;0.000000001,4*$B$19*$B$20*(D275+273)^3,$B$19*$B$20*((V275+273)^4-(D275+273)^4)/(V275-D275))*D275)+T275/H275)/($B$14*(I275+IF(ABS(V275-D275)&lt;0.000000001,4*$B$19*$B$20*(D275+273)^3,$B$19*$B$20*((V275+273)^4-(D275+273)^4)/(V275-D275)))+1/H275)</f>
        <v/>
      </c>
      <c r="X275">
        <f>($B$14*(I275*C275+IF(ABS(W275-D275)&lt;0.000000001,4*$B$19*$B$20*(D275+273)^3,$B$19*$B$20*((W275+273)^4-(D275+273)^4)/(W275-D275))*D275)+T275/H275)/($B$14*(I275+IF(ABS(W275-D275)&lt;0.000000001,4*$B$19*$B$20*(D275+273)^3,$B$19*$B$20*((W275+273)^4-(D275+273)^4)/(W275-D275)))+1/H275)</f>
        <v/>
      </c>
      <c r="Y275">
        <f>($B$14*(I275*C275+IF(ABS(X275-D275)&lt;0.000000001,4*$B$19*$B$20*(D275+273)^3,$B$19*$B$20*((X275+273)^4-(D275+273)^4)/(X275-D275))*D275)+T275/H275)/($B$14*(I275+IF(ABS(X275-D275)&lt;0.000000001,4*$B$19*$B$20*(D275+273)^3,$B$19*$B$20*((X275+273)^4-(D275+273)^4)/(X275-D275)))+1/H275)</f>
        <v/>
      </c>
      <c r="Z275">
        <f>IF(ABS(Y275-D275)&lt;0.000000001,4*$B$19*$B$20*(D275+273)^3,$B$19*$B$20*((Y275+273)^4-(D275+273)^4)/(Y275-D275))</f>
        <v/>
      </c>
      <c r="AA275">
        <f>$B$14*I275*(Y275-C275)</f>
        <v/>
      </c>
      <c r="AB275">
        <f>$B$14*Z275*(Y275-D275)</f>
        <v/>
      </c>
      <c r="AC275">
        <f>IF((U275-E275)/G275=0,0.001,(U275-E275)/G275)</f>
        <v/>
      </c>
      <c r="AD275">
        <f>F275-P275-J275-K275-AA275-AB275</f>
        <v/>
      </c>
      <c r="AE275">
        <f>AD275/AC275</f>
        <v/>
      </c>
      <c r="AF275">
        <f>IF(AD275&lt;=0,0,IF(AC275&lt;=0,$B$11,IF(AE275&gt;=1.7,$B$11,MIN(AD275/MAX(0.05,IF(AE275&gt;1,(2-AE275)^2/2,1-AE275^2/2)),$B$11))))</f>
        <v/>
      </c>
      <c r="AG275">
        <f>AG274*$B$28+AF275*(1-$B$28)</f>
        <v/>
      </c>
      <c r="AH275">
        <f>IF(AND(AD275&gt;0,AC275&lt;=0),0,AC275)</f>
        <v/>
      </c>
      <c r="AI275">
        <f>AH275/MAX(AG275,0.000001)</f>
        <v/>
      </c>
      <c r="AJ275">
        <f>MIN(IF(AI275&gt;=0.5,-AI275+SQRT(AI275^2+2),1),$B$12)</f>
        <v/>
      </c>
      <c r="AK275">
        <f>IF(AG275&lt;=0,0,AJ275*AH275)</f>
        <v/>
      </c>
      <c r="AL275">
        <f>IF(AD275&lt;=0,0,AD275)</f>
        <v/>
      </c>
      <c r="AM275">
        <f>AL275-AK275+P275</f>
        <v/>
      </c>
      <c r="AN275">
        <f>((AM275/$B$7+T274*AS274/2-T275*MAX(0.1,MIN(0.3,0.3-0.09*(AR274-36.8)))/2)+AR274*(1-AS274/2))/(1-MAX(0.1,MIN(0.3,0.3-0.09*(AR274-36.8)))/2)</f>
        <v/>
      </c>
      <c r="AO275">
        <f>((AM275/$B$7+T274*AS274/2-T275*MAX(0.1,MIN(0.3,0.3-0.09*(AN275-36.8)))/2)+AR274*(1-AS274/2))/(1-MAX(0.1,MIN(0.3,0.3-0.09*(AN275-36.8)))/2)</f>
        <v/>
      </c>
      <c r="AP275">
        <f>((AM275/$B$7+T274*AS274/2-T275*MAX(0.1,MIN(0.3,0.3-0.09*(AO275-36.8)))/2)+AR274*(1-AS274/2))/(1-MAX(0.1,MIN(0.3,0.3-0.09*(AO275-36.8)))/2)</f>
        <v/>
      </c>
      <c r="AQ275">
        <f>((AM275/$B$7+T274*AS274/2-T275*MAX(0.1,MIN(0.3,0.3-0.09*(AP275-36.8)))/2)+AR274*(1-AS274/2))/(1-MAX(0.1,MIN(0.3,0.3-0.09*(AP275-36.8)))/2)</f>
        <v/>
      </c>
      <c r="AR275">
        <f>((AM275/$B$7+T274*AS274/2-T275*MAX(0.1,MIN(0.3,0.3-0.09*(AQ275-36.8)))/2)+AR274*(1-AS274/2))/(1-MAX(0.1,MIN(0.3,0.3-0.09*(AQ275-36.8)))/2)</f>
        <v/>
      </c>
      <c r="AS275">
        <f>MAX(0.1,MIN(0.3,0.3-0.09*(AR275-36.8)))</f>
        <v/>
      </c>
      <c r="AT275">
        <f>AT274+(2*AR275-1.962*AT274-1.31)/9</f>
        <v/>
      </c>
      <c r="AU275">
        <f>AU274+AG275+K275</f>
        <v/>
      </c>
      <c r="AV275">
        <f>AU275*2.67*$B$6/1.8/60</f>
        <v/>
      </c>
      <c r="AW275">
        <f>IF(AT275&gt;=$B$36,1,0)</f>
        <v/>
      </c>
      <c r="AX275">
        <f>IF(AV275&gt;=$B$21,1,0)</f>
        <v/>
      </c>
    </row>
    <row r="276">
      <c r="A276" t="n">
        <v>203</v>
      </c>
      <c r="B276">
        <f>MATCH(A276-1,$D$61:$D$68,1)</f>
        <v/>
      </c>
      <c r="C276">
        <f>INDEX($G$61:$G$68,B276)</f>
        <v/>
      </c>
      <c r="D276">
        <f>INDEX($L$61:$L$68,B276)</f>
        <v/>
      </c>
      <c r="E276">
        <f>INDEX($M$61:$M$68,B276)</f>
        <v/>
      </c>
      <c r="F276">
        <f>INDEX($N$61:$N$68,B276)</f>
        <v/>
      </c>
      <c r="G276">
        <f>INDEX($AA$61:$AA$68,B276)</f>
        <v/>
      </c>
      <c r="H276">
        <f>INDEX($X$61:$X$68,B276)</f>
        <v/>
      </c>
      <c r="I276">
        <f>INDEX($AF$61:$AF$68,B276)</f>
        <v/>
      </c>
      <c r="J276">
        <f>INDEX($AC$61:$AC$68,B276)</f>
        <v/>
      </c>
      <c r="K276">
        <f>INDEX($AD$61:$AD$68,B276)</f>
        <v/>
      </c>
      <c r="L276">
        <f>INDEX($AG$61:$AG$68,B276)</f>
        <v/>
      </c>
      <c r="M276">
        <f>INDEX($AH$61:$AH$68,B276)</f>
        <v/>
      </c>
      <c r="N276">
        <f>INDEX($AI$61:$AI$68,B276)</f>
        <v/>
      </c>
      <c r="O276">
        <f>O275*$B$26+L276*(1-$B$26)</f>
        <v/>
      </c>
      <c r="P276">
        <f>$B$7*(O276-O275)*(1-AS275)</f>
        <v/>
      </c>
      <c r="Q276">
        <f>M276+0.51274*AT275</f>
        <v/>
      </c>
      <c r="R276">
        <f>N276+0.616*AT275</f>
        <v/>
      </c>
      <c r="S276">
        <f>IF($B$13&gt;=0.6,Q276,IF($B$13&lt;=0.2,R276,R276+2.5*(Q276-R276)*($B$13-0.2)))</f>
        <v/>
      </c>
      <c r="T276">
        <f>IF(A276=1,S276,T275*$B$27+S276*(1-$B$27))</f>
        <v/>
      </c>
      <c r="U276">
        <f>0.6105*EXP(17.27*T276/(T276+237.3))</f>
        <v/>
      </c>
      <c r="V276">
        <f>($B$14*(I276*C276+IF(ABS((D276+0.1)-D276)&lt;0.000000001,4*$B$19*$B$20*(D276+273)^3,$B$19*$B$20*(((D276+0.1)+273)^4-(D276+273)^4)/((D276+0.1)-D276))*D276)+T276/H276)/($B$14*(I276+IF(ABS((D276+0.1)-D276)&lt;0.000000001,4*$B$19*$B$20*(D276+273)^3,$B$19*$B$20*(((D276+0.1)+273)^4-(D276+273)^4)/((D276+0.1)-D276)))+1/H276)</f>
        <v/>
      </c>
      <c r="W276">
        <f>($B$14*(I276*C276+IF(ABS(V276-D276)&lt;0.000000001,4*$B$19*$B$20*(D276+273)^3,$B$19*$B$20*((V276+273)^4-(D276+273)^4)/(V276-D276))*D276)+T276/H276)/($B$14*(I276+IF(ABS(V276-D276)&lt;0.000000001,4*$B$19*$B$20*(D276+273)^3,$B$19*$B$20*((V276+273)^4-(D276+273)^4)/(V276-D276)))+1/H276)</f>
        <v/>
      </c>
      <c r="X276">
        <f>($B$14*(I276*C276+IF(ABS(W276-D276)&lt;0.000000001,4*$B$19*$B$20*(D276+273)^3,$B$19*$B$20*((W276+273)^4-(D276+273)^4)/(W276-D276))*D276)+T276/H276)/($B$14*(I276+IF(ABS(W276-D276)&lt;0.000000001,4*$B$19*$B$20*(D276+273)^3,$B$19*$B$20*((W276+273)^4-(D276+273)^4)/(W276-D276)))+1/H276)</f>
        <v/>
      </c>
      <c r="Y276">
        <f>($B$14*(I276*C276+IF(ABS(X276-D276)&lt;0.000000001,4*$B$19*$B$20*(D276+273)^3,$B$19*$B$20*((X276+273)^4-(D276+273)^4)/(X276-D276))*D276)+T276/H276)/($B$14*(I276+IF(ABS(X276-D276)&lt;0.000000001,4*$B$19*$B$20*(D276+273)^3,$B$19*$B$20*((X276+273)^4-(D276+273)^4)/(X276-D276)))+1/H276)</f>
        <v/>
      </c>
      <c r="Z276">
        <f>IF(ABS(Y276-D276)&lt;0.000000001,4*$B$19*$B$20*(D276+273)^3,$B$19*$B$20*((Y276+273)^4-(D276+273)^4)/(Y276-D276))</f>
        <v/>
      </c>
      <c r="AA276">
        <f>$B$14*I276*(Y276-C276)</f>
        <v/>
      </c>
      <c r="AB276">
        <f>$B$14*Z276*(Y276-D276)</f>
        <v/>
      </c>
      <c r="AC276">
        <f>IF((U276-E276)/G276=0,0.001,(U276-E276)/G276)</f>
        <v/>
      </c>
      <c r="AD276">
        <f>F276-P276-J276-K276-AA276-AB276</f>
        <v/>
      </c>
      <c r="AE276">
        <f>AD276/AC276</f>
        <v/>
      </c>
      <c r="AF276">
        <f>IF(AD276&lt;=0,0,IF(AC276&lt;=0,$B$11,IF(AE276&gt;=1.7,$B$11,MIN(AD276/MAX(0.05,IF(AE276&gt;1,(2-AE276)^2/2,1-AE276^2/2)),$B$11))))</f>
        <v/>
      </c>
      <c r="AG276">
        <f>AG275*$B$28+AF276*(1-$B$28)</f>
        <v/>
      </c>
      <c r="AH276">
        <f>IF(AND(AD276&gt;0,AC276&lt;=0),0,AC276)</f>
        <v/>
      </c>
      <c r="AI276">
        <f>AH276/MAX(AG276,0.000001)</f>
        <v/>
      </c>
      <c r="AJ276">
        <f>MIN(IF(AI276&gt;=0.5,-AI276+SQRT(AI276^2+2),1),$B$12)</f>
        <v/>
      </c>
      <c r="AK276">
        <f>IF(AG276&lt;=0,0,AJ276*AH276)</f>
        <v/>
      </c>
      <c r="AL276">
        <f>IF(AD276&lt;=0,0,AD276)</f>
        <v/>
      </c>
      <c r="AM276">
        <f>AL276-AK276+P276</f>
        <v/>
      </c>
      <c r="AN276">
        <f>((AM276/$B$7+T275*AS275/2-T276*MAX(0.1,MIN(0.3,0.3-0.09*(AR275-36.8)))/2)+AR275*(1-AS275/2))/(1-MAX(0.1,MIN(0.3,0.3-0.09*(AR275-36.8)))/2)</f>
        <v/>
      </c>
      <c r="AO276">
        <f>((AM276/$B$7+T275*AS275/2-T276*MAX(0.1,MIN(0.3,0.3-0.09*(AN276-36.8)))/2)+AR275*(1-AS275/2))/(1-MAX(0.1,MIN(0.3,0.3-0.09*(AN276-36.8)))/2)</f>
        <v/>
      </c>
      <c r="AP276">
        <f>((AM276/$B$7+T275*AS275/2-T276*MAX(0.1,MIN(0.3,0.3-0.09*(AO276-36.8)))/2)+AR275*(1-AS275/2))/(1-MAX(0.1,MIN(0.3,0.3-0.09*(AO276-36.8)))/2)</f>
        <v/>
      </c>
      <c r="AQ276">
        <f>((AM276/$B$7+T275*AS275/2-T276*MAX(0.1,MIN(0.3,0.3-0.09*(AP276-36.8)))/2)+AR275*(1-AS275/2))/(1-MAX(0.1,MIN(0.3,0.3-0.09*(AP276-36.8)))/2)</f>
        <v/>
      </c>
      <c r="AR276">
        <f>((AM276/$B$7+T275*AS275/2-T276*MAX(0.1,MIN(0.3,0.3-0.09*(AQ276-36.8)))/2)+AR275*(1-AS275/2))/(1-MAX(0.1,MIN(0.3,0.3-0.09*(AQ276-36.8)))/2)</f>
        <v/>
      </c>
      <c r="AS276">
        <f>MAX(0.1,MIN(0.3,0.3-0.09*(AR276-36.8)))</f>
        <v/>
      </c>
      <c r="AT276">
        <f>AT275+(2*AR276-1.962*AT275-1.31)/9</f>
        <v/>
      </c>
      <c r="AU276">
        <f>AU275+AG276+K276</f>
        <v/>
      </c>
      <c r="AV276">
        <f>AU276*2.67*$B$6/1.8/60</f>
        <v/>
      </c>
      <c r="AW276">
        <f>IF(AT276&gt;=$B$36,1,0)</f>
        <v/>
      </c>
      <c r="AX276">
        <f>IF(AV276&gt;=$B$21,1,0)</f>
        <v/>
      </c>
    </row>
    <row r="277">
      <c r="A277" t="n">
        <v>204</v>
      </c>
      <c r="B277">
        <f>MATCH(A277-1,$D$61:$D$68,1)</f>
        <v/>
      </c>
      <c r="C277">
        <f>INDEX($G$61:$G$68,B277)</f>
        <v/>
      </c>
      <c r="D277">
        <f>INDEX($L$61:$L$68,B277)</f>
        <v/>
      </c>
      <c r="E277">
        <f>INDEX($M$61:$M$68,B277)</f>
        <v/>
      </c>
      <c r="F277">
        <f>INDEX($N$61:$N$68,B277)</f>
        <v/>
      </c>
      <c r="G277">
        <f>INDEX($AA$61:$AA$68,B277)</f>
        <v/>
      </c>
      <c r="H277">
        <f>INDEX($X$61:$X$68,B277)</f>
        <v/>
      </c>
      <c r="I277">
        <f>INDEX($AF$61:$AF$68,B277)</f>
        <v/>
      </c>
      <c r="J277">
        <f>INDEX($AC$61:$AC$68,B277)</f>
        <v/>
      </c>
      <c r="K277">
        <f>INDEX($AD$61:$AD$68,B277)</f>
        <v/>
      </c>
      <c r="L277">
        <f>INDEX($AG$61:$AG$68,B277)</f>
        <v/>
      </c>
      <c r="M277">
        <f>INDEX($AH$61:$AH$68,B277)</f>
        <v/>
      </c>
      <c r="N277">
        <f>INDEX($AI$61:$AI$68,B277)</f>
        <v/>
      </c>
      <c r="O277">
        <f>O276*$B$26+L277*(1-$B$26)</f>
        <v/>
      </c>
      <c r="P277">
        <f>$B$7*(O277-O276)*(1-AS276)</f>
        <v/>
      </c>
      <c r="Q277">
        <f>M277+0.51274*AT276</f>
        <v/>
      </c>
      <c r="R277">
        <f>N277+0.616*AT276</f>
        <v/>
      </c>
      <c r="S277">
        <f>IF($B$13&gt;=0.6,Q277,IF($B$13&lt;=0.2,R277,R277+2.5*(Q277-R277)*($B$13-0.2)))</f>
        <v/>
      </c>
      <c r="T277">
        <f>IF(A277=1,S277,T276*$B$27+S277*(1-$B$27))</f>
        <v/>
      </c>
      <c r="U277">
        <f>0.6105*EXP(17.27*T277/(T277+237.3))</f>
        <v/>
      </c>
      <c r="V277">
        <f>($B$14*(I277*C277+IF(ABS((D277+0.1)-D277)&lt;0.000000001,4*$B$19*$B$20*(D277+273)^3,$B$19*$B$20*(((D277+0.1)+273)^4-(D277+273)^4)/((D277+0.1)-D277))*D277)+T277/H277)/($B$14*(I277+IF(ABS((D277+0.1)-D277)&lt;0.000000001,4*$B$19*$B$20*(D277+273)^3,$B$19*$B$20*(((D277+0.1)+273)^4-(D277+273)^4)/((D277+0.1)-D277)))+1/H277)</f>
        <v/>
      </c>
      <c r="W277">
        <f>($B$14*(I277*C277+IF(ABS(V277-D277)&lt;0.000000001,4*$B$19*$B$20*(D277+273)^3,$B$19*$B$20*((V277+273)^4-(D277+273)^4)/(V277-D277))*D277)+T277/H277)/($B$14*(I277+IF(ABS(V277-D277)&lt;0.000000001,4*$B$19*$B$20*(D277+273)^3,$B$19*$B$20*((V277+273)^4-(D277+273)^4)/(V277-D277)))+1/H277)</f>
        <v/>
      </c>
      <c r="X277">
        <f>($B$14*(I277*C277+IF(ABS(W277-D277)&lt;0.000000001,4*$B$19*$B$20*(D277+273)^3,$B$19*$B$20*((W277+273)^4-(D277+273)^4)/(W277-D277))*D277)+T277/H277)/($B$14*(I277+IF(ABS(W277-D277)&lt;0.000000001,4*$B$19*$B$20*(D277+273)^3,$B$19*$B$20*((W277+273)^4-(D277+273)^4)/(W277-D277)))+1/H277)</f>
        <v/>
      </c>
      <c r="Y277">
        <f>($B$14*(I277*C277+IF(ABS(X277-D277)&lt;0.000000001,4*$B$19*$B$20*(D277+273)^3,$B$19*$B$20*((X277+273)^4-(D277+273)^4)/(X277-D277))*D277)+T277/H277)/($B$14*(I277+IF(ABS(X277-D277)&lt;0.000000001,4*$B$19*$B$20*(D277+273)^3,$B$19*$B$20*((X277+273)^4-(D277+273)^4)/(X277-D277)))+1/H277)</f>
        <v/>
      </c>
      <c r="Z277">
        <f>IF(ABS(Y277-D277)&lt;0.000000001,4*$B$19*$B$20*(D277+273)^3,$B$19*$B$20*((Y277+273)^4-(D277+273)^4)/(Y277-D277))</f>
        <v/>
      </c>
      <c r="AA277">
        <f>$B$14*I277*(Y277-C277)</f>
        <v/>
      </c>
      <c r="AB277">
        <f>$B$14*Z277*(Y277-D277)</f>
        <v/>
      </c>
      <c r="AC277">
        <f>IF((U277-E277)/G277=0,0.001,(U277-E277)/G277)</f>
        <v/>
      </c>
      <c r="AD277">
        <f>F277-P277-J277-K277-AA277-AB277</f>
        <v/>
      </c>
      <c r="AE277">
        <f>AD277/AC277</f>
        <v/>
      </c>
      <c r="AF277">
        <f>IF(AD277&lt;=0,0,IF(AC277&lt;=0,$B$11,IF(AE277&gt;=1.7,$B$11,MIN(AD277/MAX(0.05,IF(AE277&gt;1,(2-AE277)^2/2,1-AE277^2/2)),$B$11))))</f>
        <v/>
      </c>
      <c r="AG277">
        <f>AG276*$B$28+AF277*(1-$B$28)</f>
        <v/>
      </c>
      <c r="AH277">
        <f>IF(AND(AD277&gt;0,AC277&lt;=0),0,AC277)</f>
        <v/>
      </c>
      <c r="AI277">
        <f>AH277/MAX(AG277,0.000001)</f>
        <v/>
      </c>
      <c r="AJ277">
        <f>MIN(IF(AI277&gt;=0.5,-AI277+SQRT(AI277^2+2),1),$B$12)</f>
        <v/>
      </c>
      <c r="AK277">
        <f>IF(AG277&lt;=0,0,AJ277*AH277)</f>
        <v/>
      </c>
      <c r="AL277">
        <f>IF(AD277&lt;=0,0,AD277)</f>
        <v/>
      </c>
      <c r="AM277">
        <f>AL277-AK277+P277</f>
        <v/>
      </c>
      <c r="AN277">
        <f>((AM277/$B$7+T276*AS276/2-T277*MAX(0.1,MIN(0.3,0.3-0.09*(AR276-36.8)))/2)+AR276*(1-AS276/2))/(1-MAX(0.1,MIN(0.3,0.3-0.09*(AR276-36.8)))/2)</f>
        <v/>
      </c>
      <c r="AO277">
        <f>((AM277/$B$7+T276*AS276/2-T277*MAX(0.1,MIN(0.3,0.3-0.09*(AN277-36.8)))/2)+AR276*(1-AS276/2))/(1-MAX(0.1,MIN(0.3,0.3-0.09*(AN277-36.8)))/2)</f>
        <v/>
      </c>
      <c r="AP277">
        <f>((AM277/$B$7+T276*AS276/2-T277*MAX(0.1,MIN(0.3,0.3-0.09*(AO277-36.8)))/2)+AR276*(1-AS276/2))/(1-MAX(0.1,MIN(0.3,0.3-0.09*(AO277-36.8)))/2)</f>
        <v/>
      </c>
      <c r="AQ277">
        <f>((AM277/$B$7+T276*AS276/2-T277*MAX(0.1,MIN(0.3,0.3-0.09*(AP277-36.8)))/2)+AR276*(1-AS276/2))/(1-MAX(0.1,MIN(0.3,0.3-0.09*(AP277-36.8)))/2)</f>
        <v/>
      </c>
      <c r="AR277">
        <f>((AM277/$B$7+T276*AS276/2-T277*MAX(0.1,MIN(0.3,0.3-0.09*(AQ277-36.8)))/2)+AR276*(1-AS276/2))/(1-MAX(0.1,MIN(0.3,0.3-0.09*(AQ277-36.8)))/2)</f>
        <v/>
      </c>
      <c r="AS277">
        <f>MAX(0.1,MIN(0.3,0.3-0.09*(AR277-36.8)))</f>
        <v/>
      </c>
      <c r="AT277">
        <f>AT276+(2*AR277-1.962*AT276-1.31)/9</f>
        <v/>
      </c>
      <c r="AU277">
        <f>AU276+AG277+K277</f>
        <v/>
      </c>
      <c r="AV277">
        <f>AU277*2.67*$B$6/1.8/60</f>
        <v/>
      </c>
      <c r="AW277">
        <f>IF(AT277&gt;=$B$36,1,0)</f>
        <v/>
      </c>
      <c r="AX277">
        <f>IF(AV277&gt;=$B$21,1,0)</f>
        <v/>
      </c>
    </row>
    <row r="278">
      <c r="A278" t="n">
        <v>205</v>
      </c>
      <c r="B278">
        <f>MATCH(A278-1,$D$61:$D$68,1)</f>
        <v/>
      </c>
      <c r="C278">
        <f>INDEX($G$61:$G$68,B278)</f>
        <v/>
      </c>
      <c r="D278">
        <f>INDEX($L$61:$L$68,B278)</f>
        <v/>
      </c>
      <c r="E278">
        <f>INDEX($M$61:$M$68,B278)</f>
        <v/>
      </c>
      <c r="F278">
        <f>INDEX($N$61:$N$68,B278)</f>
        <v/>
      </c>
      <c r="G278">
        <f>INDEX($AA$61:$AA$68,B278)</f>
        <v/>
      </c>
      <c r="H278">
        <f>INDEX($X$61:$X$68,B278)</f>
        <v/>
      </c>
      <c r="I278">
        <f>INDEX($AF$61:$AF$68,B278)</f>
        <v/>
      </c>
      <c r="J278">
        <f>INDEX($AC$61:$AC$68,B278)</f>
        <v/>
      </c>
      <c r="K278">
        <f>INDEX($AD$61:$AD$68,B278)</f>
        <v/>
      </c>
      <c r="L278">
        <f>INDEX($AG$61:$AG$68,B278)</f>
        <v/>
      </c>
      <c r="M278">
        <f>INDEX($AH$61:$AH$68,B278)</f>
        <v/>
      </c>
      <c r="N278">
        <f>INDEX($AI$61:$AI$68,B278)</f>
        <v/>
      </c>
      <c r="O278">
        <f>O277*$B$26+L278*(1-$B$26)</f>
        <v/>
      </c>
      <c r="P278">
        <f>$B$7*(O278-O277)*(1-AS277)</f>
        <v/>
      </c>
      <c r="Q278">
        <f>M278+0.51274*AT277</f>
        <v/>
      </c>
      <c r="R278">
        <f>N278+0.616*AT277</f>
        <v/>
      </c>
      <c r="S278">
        <f>IF($B$13&gt;=0.6,Q278,IF($B$13&lt;=0.2,R278,R278+2.5*(Q278-R278)*($B$13-0.2)))</f>
        <v/>
      </c>
      <c r="T278">
        <f>IF(A278=1,S278,T277*$B$27+S278*(1-$B$27))</f>
        <v/>
      </c>
      <c r="U278">
        <f>0.6105*EXP(17.27*T278/(T278+237.3))</f>
        <v/>
      </c>
      <c r="V278">
        <f>($B$14*(I278*C278+IF(ABS((D278+0.1)-D278)&lt;0.000000001,4*$B$19*$B$20*(D278+273)^3,$B$19*$B$20*(((D278+0.1)+273)^4-(D278+273)^4)/((D278+0.1)-D278))*D278)+T278/H278)/($B$14*(I278+IF(ABS((D278+0.1)-D278)&lt;0.000000001,4*$B$19*$B$20*(D278+273)^3,$B$19*$B$20*(((D278+0.1)+273)^4-(D278+273)^4)/((D278+0.1)-D278)))+1/H278)</f>
        <v/>
      </c>
      <c r="W278">
        <f>($B$14*(I278*C278+IF(ABS(V278-D278)&lt;0.000000001,4*$B$19*$B$20*(D278+273)^3,$B$19*$B$20*((V278+273)^4-(D278+273)^4)/(V278-D278))*D278)+T278/H278)/($B$14*(I278+IF(ABS(V278-D278)&lt;0.000000001,4*$B$19*$B$20*(D278+273)^3,$B$19*$B$20*((V278+273)^4-(D278+273)^4)/(V278-D278)))+1/H278)</f>
        <v/>
      </c>
      <c r="X278">
        <f>($B$14*(I278*C278+IF(ABS(W278-D278)&lt;0.000000001,4*$B$19*$B$20*(D278+273)^3,$B$19*$B$20*((W278+273)^4-(D278+273)^4)/(W278-D278))*D278)+T278/H278)/($B$14*(I278+IF(ABS(W278-D278)&lt;0.000000001,4*$B$19*$B$20*(D278+273)^3,$B$19*$B$20*((W278+273)^4-(D278+273)^4)/(W278-D278)))+1/H278)</f>
        <v/>
      </c>
      <c r="Y278">
        <f>($B$14*(I278*C278+IF(ABS(X278-D278)&lt;0.000000001,4*$B$19*$B$20*(D278+273)^3,$B$19*$B$20*((X278+273)^4-(D278+273)^4)/(X278-D278))*D278)+T278/H278)/($B$14*(I278+IF(ABS(X278-D278)&lt;0.000000001,4*$B$19*$B$20*(D278+273)^3,$B$19*$B$20*((X278+273)^4-(D278+273)^4)/(X278-D278)))+1/H278)</f>
        <v/>
      </c>
      <c r="Z278">
        <f>IF(ABS(Y278-D278)&lt;0.000000001,4*$B$19*$B$20*(D278+273)^3,$B$19*$B$20*((Y278+273)^4-(D278+273)^4)/(Y278-D278))</f>
        <v/>
      </c>
      <c r="AA278">
        <f>$B$14*I278*(Y278-C278)</f>
        <v/>
      </c>
      <c r="AB278">
        <f>$B$14*Z278*(Y278-D278)</f>
        <v/>
      </c>
      <c r="AC278">
        <f>IF((U278-E278)/G278=0,0.001,(U278-E278)/G278)</f>
        <v/>
      </c>
      <c r="AD278">
        <f>F278-P278-J278-K278-AA278-AB278</f>
        <v/>
      </c>
      <c r="AE278">
        <f>AD278/AC278</f>
        <v/>
      </c>
      <c r="AF278">
        <f>IF(AD278&lt;=0,0,IF(AC278&lt;=0,$B$11,IF(AE278&gt;=1.7,$B$11,MIN(AD278/MAX(0.05,IF(AE278&gt;1,(2-AE278)^2/2,1-AE278^2/2)),$B$11))))</f>
        <v/>
      </c>
      <c r="AG278">
        <f>AG277*$B$28+AF278*(1-$B$28)</f>
        <v/>
      </c>
      <c r="AH278">
        <f>IF(AND(AD278&gt;0,AC278&lt;=0),0,AC278)</f>
        <v/>
      </c>
      <c r="AI278">
        <f>AH278/MAX(AG278,0.000001)</f>
        <v/>
      </c>
      <c r="AJ278">
        <f>MIN(IF(AI278&gt;=0.5,-AI278+SQRT(AI278^2+2),1),$B$12)</f>
        <v/>
      </c>
      <c r="AK278">
        <f>IF(AG278&lt;=0,0,AJ278*AH278)</f>
        <v/>
      </c>
      <c r="AL278">
        <f>IF(AD278&lt;=0,0,AD278)</f>
        <v/>
      </c>
      <c r="AM278">
        <f>AL278-AK278+P278</f>
        <v/>
      </c>
      <c r="AN278">
        <f>((AM278/$B$7+T277*AS277/2-T278*MAX(0.1,MIN(0.3,0.3-0.09*(AR277-36.8)))/2)+AR277*(1-AS277/2))/(1-MAX(0.1,MIN(0.3,0.3-0.09*(AR277-36.8)))/2)</f>
        <v/>
      </c>
      <c r="AO278">
        <f>((AM278/$B$7+T277*AS277/2-T278*MAX(0.1,MIN(0.3,0.3-0.09*(AN278-36.8)))/2)+AR277*(1-AS277/2))/(1-MAX(0.1,MIN(0.3,0.3-0.09*(AN278-36.8)))/2)</f>
        <v/>
      </c>
      <c r="AP278">
        <f>((AM278/$B$7+T277*AS277/2-T278*MAX(0.1,MIN(0.3,0.3-0.09*(AO278-36.8)))/2)+AR277*(1-AS277/2))/(1-MAX(0.1,MIN(0.3,0.3-0.09*(AO278-36.8)))/2)</f>
        <v/>
      </c>
      <c r="AQ278">
        <f>((AM278/$B$7+T277*AS277/2-T278*MAX(0.1,MIN(0.3,0.3-0.09*(AP278-36.8)))/2)+AR277*(1-AS277/2))/(1-MAX(0.1,MIN(0.3,0.3-0.09*(AP278-36.8)))/2)</f>
        <v/>
      </c>
      <c r="AR278">
        <f>((AM278/$B$7+T277*AS277/2-T278*MAX(0.1,MIN(0.3,0.3-0.09*(AQ278-36.8)))/2)+AR277*(1-AS277/2))/(1-MAX(0.1,MIN(0.3,0.3-0.09*(AQ278-36.8)))/2)</f>
        <v/>
      </c>
      <c r="AS278">
        <f>MAX(0.1,MIN(0.3,0.3-0.09*(AR278-36.8)))</f>
        <v/>
      </c>
      <c r="AT278">
        <f>AT277+(2*AR278-1.962*AT277-1.31)/9</f>
        <v/>
      </c>
      <c r="AU278">
        <f>AU277+AG278+K278</f>
        <v/>
      </c>
      <c r="AV278">
        <f>AU278*2.67*$B$6/1.8/60</f>
        <v/>
      </c>
      <c r="AW278">
        <f>IF(AT278&gt;=$B$36,1,0)</f>
        <v/>
      </c>
      <c r="AX278">
        <f>IF(AV278&gt;=$B$21,1,0)</f>
        <v/>
      </c>
    </row>
    <row r="279">
      <c r="A279" t="n">
        <v>206</v>
      </c>
      <c r="B279">
        <f>MATCH(A279-1,$D$61:$D$68,1)</f>
        <v/>
      </c>
      <c r="C279">
        <f>INDEX($G$61:$G$68,B279)</f>
        <v/>
      </c>
      <c r="D279">
        <f>INDEX($L$61:$L$68,B279)</f>
        <v/>
      </c>
      <c r="E279">
        <f>INDEX($M$61:$M$68,B279)</f>
        <v/>
      </c>
      <c r="F279">
        <f>INDEX($N$61:$N$68,B279)</f>
        <v/>
      </c>
      <c r="G279">
        <f>INDEX($AA$61:$AA$68,B279)</f>
        <v/>
      </c>
      <c r="H279">
        <f>INDEX($X$61:$X$68,B279)</f>
        <v/>
      </c>
      <c r="I279">
        <f>INDEX($AF$61:$AF$68,B279)</f>
        <v/>
      </c>
      <c r="J279">
        <f>INDEX($AC$61:$AC$68,B279)</f>
        <v/>
      </c>
      <c r="K279">
        <f>INDEX($AD$61:$AD$68,B279)</f>
        <v/>
      </c>
      <c r="L279">
        <f>INDEX($AG$61:$AG$68,B279)</f>
        <v/>
      </c>
      <c r="M279">
        <f>INDEX($AH$61:$AH$68,B279)</f>
        <v/>
      </c>
      <c r="N279">
        <f>INDEX($AI$61:$AI$68,B279)</f>
        <v/>
      </c>
      <c r="O279">
        <f>O278*$B$26+L279*(1-$B$26)</f>
        <v/>
      </c>
      <c r="P279">
        <f>$B$7*(O279-O278)*(1-AS278)</f>
        <v/>
      </c>
      <c r="Q279">
        <f>M279+0.51274*AT278</f>
        <v/>
      </c>
      <c r="R279">
        <f>N279+0.616*AT278</f>
        <v/>
      </c>
      <c r="S279">
        <f>IF($B$13&gt;=0.6,Q279,IF($B$13&lt;=0.2,R279,R279+2.5*(Q279-R279)*($B$13-0.2)))</f>
        <v/>
      </c>
      <c r="T279">
        <f>IF(A279=1,S279,T278*$B$27+S279*(1-$B$27))</f>
        <v/>
      </c>
      <c r="U279">
        <f>0.6105*EXP(17.27*T279/(T279+237.3))</f>
        <v/>
      </c>
      <c r="V279">
        <f>($B$14*(I279*C279+IF(ABS((D279+0.1)-D279)&lt;0.000000001,4*$B$19*$B$20*(D279+273)^3,$B$19*$B$20*(((D279+0.1)+273)^4-(D279+273)^4)/((D279+0.1)-D279))*D279)+T279/H279)/($B$14*(I279+IF(ABS((D279+0.1)-D279)&lt;0.000000001,4*$B$19*$B$20*(D279+273)^3,$B$19*$B$20*(((D279+0.1)+273)^4-(D279+273)^4)/((D279+0.1)-D279)))+1/H279)</f>
        <v/>
      </c>
      <c r="W279">
        <f>($B$14*(I279*C279+IF(ABS(V279-D279)&lt;0.000000001,4*$B$19*$B$20*(D279+273)^3,$B$19*$B$20*((V279+273)^4-(D279+273)^4)/(V279-D279))*D279)+T279/H279)/($B$14*(I279+IF(ABS(V279-D279)&lt;0.000000001,4*$B$19*$B$20*(D279+273)^3,$B$19*$B$20*((V279+273)^4-(D279+273)^4)/(V279-D279)))+1/H279)</f>
        <v/>
      </c>
      <c r="X279">
        <f>($B$14*(I279*C279+IF(ABS(W279-D279)&lt;0.000000001,4*$B$19*$B$20*(D279+273)^3,$B$19*$B$20*((W279+273)^4-(D279+273)^4)/(W279-D279))*D279)+T279/H279)/($B$14*(I279+IF(ABS(W279-D279)&lt;0.000000001,4*$B$19*$B$20*(D279+273)^3,$B$19*$B$20*((W279+273)^4-(D279+273)^4)/(W279-D279)))+1/H279)</f>
        <v/>
      </c>
      <c r="Y279">
        <f>($B$14*(I279*C279+IF(ABS(X279-D279)&lt;0.000000001,4*$B$19*$B$20*(D279+273)^3,$B$19*$B$20*((X279+273)^4-(D279+273)^4)/(X279-D279))*D279)+T279/H279)/($B$14*(I279+IF(ABS(X279-D279)&lt;0.000000001,4*$B$19*$B$20*(D279+273)^3,$B$19*$B$20*((X279+273)^4-(D279+273)^4)/(X279-D279)))+1/H279)</f>
        <v/>
      </c>
      <c r="Z279">
        <f>IF(ABS(Y279-D279)&lt;0.000000001,4*$B$19*$B$20*(D279+273)^3,$B$19*$B$20*((Y279+273)^4-(D279+273)^4)/(Y279-D279))</f>
        <v/>
      </c>
      <c r="AA279">
        <f>$B$14*I279*(Y279-C279)</f>
        <v/>
      </c>
      <c r="AB279">
        <f>$B$14*Z279*(Y279-D279)</f>
        <v/>
      </c>
      <c r="AC279">
        <f>IF((U279-E279)/G279=0,0.001,(U279-E279)/G279)</f>
        <v/>
      </c>
      <c r="AD279">
        <f>F279-P279-J279-K279-AA279-AB279</f>
        <v/>
      </c>
      <c r="AE279">
        <f>AD279/AC279</f>
        <v/>
      </c>
      <c r="AF279">
        <f>IF(AD279&lt;=0,0,IF(AC279&lt;=0,$B$11,IF(AE279&gt;=1.7,$B$11,MIN(AD279/MAX(0.05,IF(AE279&gt;1,(2-AE279)^2/2,1-AE279^2/2)),$B$11))))</f>
        <v/>
      </c>
      <c r="AG279">
        <f>AG278*$B$28+AF279*(1-$B$28)</f>
        <v/>
      </c>
      <c r="AH279">
        <f>IF(AND(AD279&gt;0,AC279&lt;=0),0,AC279)</f>
        <v/>
      </c>
      <c r="AI279">
        <f>AH279/MAX(AG279,0.000001)</f>
        <v/>
      </c>
      <c r="AJ279">
        <f>MIN(IF(AI279&gt;=0.5,-AI279+SQRT(AI279^2+2),1),$B$12)</f>
        <v/>
      </c>
      <c r="AK279">
        <f>IF(AG279&lt;=0,0,AJ279*AH279)</f>
        <v/>
      </c>
      <c r="AL279">
        <f>IF(AD279&lt;=0,0,AD279)</f>
        <v/>
      </c>
      <c r="AM279">
        <f>AL279-AK279+P279</f>
        <v/>
      </c>
      <c r="AN279">
        <f>((AM279/$B$7+T278*AS278/2-T279*MAX(0.1,MIN(0.3,0.3-0.09*(AR278-36.8)))/2)+AR278*(1-AS278/2))/(1-MAX(0.1,MIN(0.3,0.3-0.09*(AR278-36.8)))/2)</f>
        <v/>
      </c>
      <c r="AO279">
        <f>((AM279/$B$7+T278*AS278/2-T279*MAX(0.1,MIN(0.3,0.3-0.09*(AN279-36.8)))/2)+AR278*(1-AS278/2))/(1-MAX(0.1,MIN(0.3,0.3-0.09*(AN279-36.8)))/2)</f>
        <v/>
      </c>
      <c r="AP279">
        <f>((AM279/$B$7+T278*AS278/2-T279*MAX(0.1,MIN(0.3,0.3-0.09*(AO279-36.8)))/2)+AR278*(1-AS278/2))/(1-MAX(0.1,MIN(0.3,0.3-0.09*(AO279-36.8)))/2)</f>
        <v/>
      </c>
      <c r="AQ279">
        <f>((AM279/$B$7+T278*AS278/2-T279*MAX(0.1,MIN(0.3,0.3-0.09*(AP279-36.8)))/2)+AR278*(1-AS278/2))/(1-MAX(0.1,MIN(0.3,0.3-0.09*(AP279-36.8)))/2)</f>
        <v/>
      </c>
      <c r="AR279">
        <f>((AM279/$B$7+T278*AS278/2-T279*MAX(0.1,MIN(0.3,0.3-0.09*(AQ279-36.8)))/2)+AR278*(1-AS278/2))/(1-MAX(0.1,MIN(0.3,0.3-0.09*(AQ279-36.8)))/2)</f>
        <v/>
      </c>
      <c r="AS279">
        <f>MAX(0.1,MIN(0.3,0.3-0.09*(AR279-36.8)))</f>
        <v/>
      </c>
      <c r="AT279">
        <f>AT278+(2*AR279-1.962*AT278-1.31)/9</f>
        <v/>
      </c>
      <c r="AU279">
        <f>AU278+AG279+K279</f>
        <v/>
      </c>
      <c r="AV279">
        <f>AU279*2.67*$B$6/1.8/60</f>
        <v/>
      </c>
      <c r="AW279">
        <f>IF(AT279&gt;=$B$36,1,0)</f>
        <v/>
      </c>
      <c r="AX279">
        <f>IF(AV279&gt;=$B$21,1,0)</f>
        <v/>
      </c>
    </row>
    <row r="280">
      <c r="A280" t="n">
        <v>207</v>
      </c>
      <c r="B280">
        <f>MATCH(A280-1,$D$61:$D$68,1)</f>
        <v/>
      </c>
      <c r="C280">
        <f>INDEX($G$61:$G$68,B280)</f>
        <v/>
      </c>
      <c r="D280">
        <f>INDEX($L$61:$L$68,B280)</f>
        <v/>
      </c>
      <c r="E280">
        <f>INDEX($M$61:$M$68,B280)</f>
        <v/>
      </c>
      <c r="F280">
        <f>INDEX($N$61:$N$68,B280)</f>
        <v/>
      </c>
      <c r="G280">
        <f>INDEX($AA$61:$AA$68,B280)</f>
        <v/>
      </c>
      <c r="H280">
        <f>INDEX($X$61:$X$68,B280)</f>
        <v/>
      </c>
      <c r="I280">
        <f>INDEX($AF$61:$AF$68,B280)</f>
        <v/>
      </c>
      <c r="J280">
        <f>INDEX($AC$61:$AC$68,B280)</f>
        <v/>
      </c>
      <c r="K280">
        <f>INDEX($AD$61:$AD$68,B280)</f>
        <v/>
      </c>
      <c r="L280">
        <f>INDEX($AG$61:$AG$68,B280)</f>
        <v/>
      </c>
      <c r="M280">
        <f>INDEX($AH$61:$AH$68,B280)</f>
        <v/>
      </c>
      <c r="N280">
        <f>INDEX($AI$61:$AI$68,B280)</f>
        <v/>
      </c>
      <c r="O280">
        <f>O279*$B$26+L280*(1-$B$26)</f>
        <v/>
      </c>
      <c r="P280">
        <f>$B$7*(O280-O279)*(1-AS279)</f>
        <v/>
      </c>
      <c r="Q280">
        <f>M280+0.51274*AT279</f>
        <v/>
      </c>
      <c r="R280">
        <f>N280+0.616*AT279</f>
        <v/>
      </c>
      <c r="S280">
        <f>IF($B$13&gt;=0.6,Q280,IF($B$13&lt;=0.2,R280,R280+2.5*(Q280-R280)*($B$13-0.2)))</f>
        <v/>
      </c>
      <c r="T280">
        <f>IF(A280=1,S280,T279*$B$27+S280*(1-$B$27))</f>
        <v/>
      </c>
      <c r="U280">
        <f>0.6105*EXP(17.27*T280/(T280+237.3))</f>
        <v/>
      </c>
      <c r="V280">
        <f>($B$14*(I280*C280+IF(ABS((D280+0.1)-D280)&lt;0.000000001,4*$B$19*$B$20*(D280+273)^3,$B$19*$B$20*(((D280+0.1)+273)^4-(D280+273)^4)/((D280+0.1)-D280))*D280)+T280/H280)/($B$14*(I280+IF(ABS((D280+0.1)-D280)&lt;0.000000001,4*$B$19*$B$20*(D280+273)^3,$B$19*$B$20*(((D280+0.1)+273)^4-(D280+273)^4)/((D280+0.1)-D280)))+1/H280)</f>
        <v/>
      </c>
      <c r="W280">
        <f>($B$14*(I280*C280+IF(ABS(V280-D280)&lt;0.000000001,4*$B$19*$B$20*(D280+273)^3,$B$19*$B$20*((V280+273)^4-(D280+273)^4)/(V280-D280))*D280)+T280/H280)/($B$14*(I280+IF(ABS(V280-D280)&lt;0.000000001,4*$B$19*$B$20*(D280+273)^3,$B$19*$B$20*((V280+273)^4-(D280+273)^4)/(V280-D280)))+1/H280)</f>
        <v/>
      </c>
      <c r="X280">
        <f>($B$14*(I280*C280+IF(ABS(W280-D280)&lt;0.000000001,4*$B$19*$B$20*(D280+273)^3,$B$19*$B$20*((W280+273)^4-(D280+273)^4)/(W280-D280))*D280)+T280/H280)/($B$14*(I280+IF(ABS(W280-D280)&lt;0.000000001,4*$B$19*$B$20*(D280+273)^3,$B$19*$B$20*((W280+273)^4-(D280+273)^4)/(W280-D280)))+1/H280)</f>
        <v/>
      </c>
      <c r="Y280">
        <f>($B$14*(I280*C280+IF(ABS(X280-D280)&lt;0.000000001,4*$B$19*$B$20*(D280+273)^3,$B$19*$B$20*((X280+273)^4-(D280+273)^4)/(X280-D280))*D280)+T280/H280)/($B$14*(I280+IF(ABS(X280-D280)&lt;0.000000001,4*$B$19*$B$20*(D280+273)^3,$B$19*$B$20*((X280+273)^4-(D280+273)^4)/(X280-D280)))+1/H280)</f>
        <v/>
      </c>
      <c r="Z280">
        <f>IF(ABS(Y280-D280)&lt;0.000000001,4*$B$19*$B$20*(D280+273)^3,$B$19*$B$20*((Y280+273)^4-(D280+273)^4)/(Y280-D280))</f>
        <v/>
      </c>
      <c r="AA280">
        <f>$B$14*I280*(Y280-C280)</f>
        <v/>
      </c>
      <c r="AB280">
        <f>$B$14*Z280*(Y280-D280)</f>
        <v/>
      </c>
      <c r="AC280">
        <f>IF((U280-E280)/G280=0,0.001,(U280-E280)/G280)</f>
        <v/>
      </c>
      <c r="AD280">
        <f>F280-P280-J280-K280-AA280-AB280</f>
        <v/>
      </c>
      <c r="AE280">
        <f>AD280/AC280</f>
        <v/>
      </c>
      <c r="AF280">
        <f>IF(AD280&lt;=0,0,IF(AC280&lt;=0,$B$11,IF(AE280&gt;=1.7,$B$11,MIN(AD280/MAX(0.05,IF(AE280&gt;1,(2-AE280)^2/2,1-AE280^2/2)),$B$11))))</f>
        <v/>
      </c>
      <c r="AG280">
        <f>AG279*$B$28+AF280*(1-$B$28)</f>
        <v/>
      </c>
      <c r="AH280">
        <f>IF(AND(AD280&gt;0,AC280&lt;=0),0,AC280)</f>
        <v/>
      </c>
      <c r="AI280">
        <f>AH280/MAX(AG280,0.000001)</f>
        <v/>
      </c>
      <c r="AJ280">
        <f>MIN(IF(AI280&gt;=0.5,-AI280+SQRT(AI280^2+2),1),$B$12)</f>
        <v/>
      </c>
      <c r="AK280">
        <f>IF(AG280&lt;=0,0,AJ280*AH280)</f>
        <v/>
      </c>
      <c r="AL280">
        <f>IF(AD280&lt;=0,0,AD280)</f>
        <v/>
      </c>
      <c r="AM280">
        <f>AL280-AK280+P280</f>
        <v/>
      </c>
      <c r="AN280">
        <f>((AM280/$B$7+T279*AS279/2-T280*MAX(0.1,MIN(0.3,0.3-0.09*(AR279-36.8)))/2)+AR279*(1-AS279/2))/(1-MAX(0.1,MIN(0.3,0.3-0.09*(AR279-36.8)))/2)</f>
        <v/>
      </c>
      <c r="AO280">
        <f>((AM280/$B$7+T279*AS279/2-T280*MAX(0.1,MIN(0.3,0.3-0.09*(AN280-36.8)))/2)+AR279*(1-AS279/2))/(1-MAX(0.1,MIN(0.3,0.3-0.09*(AN280-36.8)))/2)</f>
        <v/>
      </c>
      <c r="AP280">
        <f>((AM280/$B$7+T279*AS279/2-T280*MAX(0.1,MIN(0.3,0.3-0.09*(AO280-36.8)))/2)+AR279*(1-AS279/2))/(1-MAX(0.1,MIN(0.3,0.3-0.09*(AO280-36.8)))/2)</f>
        <v/>
      </c>
      <c r="AQ280">
        <f>((AM280/$B$7+T279*AS279/2-T280*MAX(0.1,MIN(0.3,0.3-0.09*(AP280-36.8)))/2)+AR279*(1-AS279/2))/(1-MAX(0.1,MIN(0.3,0.3-0.09*(AP280-36.8)))/2)</f>
        <v/>
      </c>
      <c r="AR280">
        <f>((AM280/$B$7+T279*AS279/2-T280*MAX(0.1,MIN(0.3,0.3-0.09*(AQ280-36.8)))/2)+AR279*(1-AS279/2))/(1-MAX(0.1,MIN(0.3,0.3-0.09*(AQ280-36.8)))/2)</f>
        <v/>
      </c>
      <c r="AS280">
        <f>MAX(0.1,MIN(0.3,0.3-0.09*(AR280-36.8)))</f>
        <v/>
      </c>
      <c r="AT280">
        <f>AT279+(2*AR280-1.962*AT279-1.31)/9</f>
        <v/>
      </c>
      <c r="AU280">
        <f>AU279+AG280+K280</f>
        <v/>
      </c>
      <c r="AV280">
        <f>AU280*2.67*$B$6/1.8/60</f>
        <v/>
      </c>
      <c r="AW280">
        <f>IF(AT280&gt;=$B$36,1,0)</f>
        <v/>
      </c>
      <c r="AX280">
        <f>IF(AV280&gt;=$B$21,1,0)</f>
        <v/>
      </c>
    </row>
    <row r="281">
      <c r="A281" t="n">
        <v>208</v>
      </c>
      <c r="B281">
        <f>MATCH(A281-1,$D$61:$D$68,1)</f>
        <v/>
      </c>
      <c r="C281">
        <f>INDEX($G$61:$G$68,B281)</f>
        <v/>
      </c>
      <c r="D281">
        <f>INDEX($L$61:$L$68,B281)</f>
        <v/>
      </c>
      <c r="E281">
        <f>INDEX($M$61:$M$68,B281)</f>
        <v/>
      </c>
      <c r="F281">
        <f>INDEX($N$61:$N$68,B281)</f>
        <v/>
      </c>
      <c r="G281">
        <f>INDEX($AA$61:$AA$68,B281)</f>
        <v/>
      </c>
      <c r="H281">
        <f>INDEX($X$61:$X$68,B281)</f>
        <v/>
      </c>
      <c r="I281">
        <f>INDEX($AF$61:$AF$68,B281)</f>
        <v/>
      </c>
      <c r="J281">
        <f>INDEX($AC$61:$AC$68,B281)</f>
        <v/>
      </c>
      <c r="K281">
        <f>INDEX($AD$61:$AD$68,B281)</f>
        <v/>
      </c>
      <c r="L281">
        <f>INDEX($AG$61:$AG$68,B281)</f>
        <v/>
      </c>
      <c r="M281">
        <f>INDEX($AH$61:$AH$68,B281)</f>
        <v/>
      </c>
      <c r="N281">
        <f>INDEX($AI$61:$AI$68,B281)</f>
        <v/>
      </c>
      <c r="O281">
        <f>O280*$B$26+L281*(1-$B$26)</f>
        <v/>
      </c>
      <c r="P281">
        <f>$B$7*(O281-O280)*(1-AS280)</f>
        <v/>
      </c>
      <c r="Q281">
        <f>M281+0.51274*AT280</f>
        <v/>
      </c>
      <c r="R281">
        <f>N281+0.616*AT280</f>
        <v/>
      </c>
      <c r="S281">
        <f>IF($B$13&gt;=0.6,Q281,IF($B$13&lt;=0.2,R281,R281+2.5*(Q281-R281)*($B$13-0.2)))</f>
        <v/>
      </c>
      <c r="T281">
        <f>IF(A281=1,S281,T280*$B$27+S281*(1-$B$27))</f>
        <v/>
      </c>
      <c r="U281">
        <f>0.6105*EXP(17.27*T281/(T281+237.3))</f>
        <v/>
      </c>
      <c r="V281">
        <f>($B$14*(I281*C281+IF(ABS((D281+0.1)-D281)&lt;0.000000001,4*$B$19*$B$20*(D281+273)^3,$B$19*$B$20*(((D281+0.1)+273)^4-(D281+273)^4)/((D281+0.1)-D281))*D281)+T281/H281)/($B$14*(I281+IF(ABS((D281+0.1)-D281)&lt;0.000000001,4*$B$19*$B$20*(D281+273)^3,$B$19*$B$20*(((D281+0.1)+273)^4-(D281+273)^4)/((D281+0.1)-D281)))+1/H281)</f>
        <v/>
      </c>
      <c r="W281">
        <f>($B$14*(I281*C281+IF(ABS(V281-D281)&lt;0.000000001,4*$B$19*$B$20*(D281+273)^3,$B$19*$B$20*((V281+273)^4-(D281+273)^4)/(V281-D281))*D281)+T281/H281)/($B$14*(I281+IF(ABS(V281-D281)&lt;0.000000001,4*$B$19*$B$20*(D281+273)^3,$B$19*$B$20*((V281+273)^4-(D281+273)^4)/(V281-D281)))+1/H281)</f>
        <v/>
      </c>
      <c r="X281">
        <f>($B$14*(I281*C281+IF(ABS(W281-D281)&lt;0.000000001,4*$B$19*$B$20*(D281+273)^3,$B$19*$B$20*((W281+273)^4-(D281+273)^4)/(W281-D281))*D281)+T281/H281)/($B$14*(I281+IF(ABS(W281-D281)&lt;0.000000001,4*$B$19*$B$20*(D281+273)^3,$B$19*$B$20*((W281+273)^4-(D281+273)^4)/(W281-D281)))+1/H281)</f>
        <v/>
      </c>
      <c r="Y281">
        <f>($B$14*(I281*C281+IF(ABS(X281-D281)&lt;0.000000001,4*$B$19*$B$20*(D281+273)^3,$B$19*$B$20*((X281+273)^4-(D281+273)^4)/(X281-D281))*D281)+T281/H281)/($B$14*(I281+IF(ABS(X281-D281)&lt;0.000000001,4*$B$19*$B$20*(D281+273)^3,$B$19*$B$20*((X281+273)^4-(D281+273)^4)/(X281-D281)))+1/H281)</f>
        <v/>
      </c>
      <c r="Z281">
        <f>IF(ABS(Y281-D281)&lt;0.000000001,4*$B$19*$B$20*(D281+273)^3,$B$19*$B$20*((Y281+273)^4-(D281+273)^4)/(Y281-D281))</f>
        <v/>
      </c>
      <c r="AA281">
        <f>$B$14*I281*(Y281-C281)</f>
        <v/>
      </c>
      <c r="AB281">
        <f>$B$14*Z281*(Y281-D281)</f>
        <v/>
      </c>
      <c r="AC281">
        <f>IF((U281-E281)/G281=0,0.001,(U281-E281)/G281)</f>
        <v/>
      </c>
      <c r="AD281">
        <f>F281-P281-J281-K281-AA281-AB281</f>
        <v/>
      </c>
      <c r="AE281">
        <f>AD281/AC281</f>
        <v/>
      </c>
      <c r="AF281">
        <f>IF(AD281&lt;=0,0,IF(AC281&lt;=0,$B$11,IF(AE281&gt;=1.7,$B$11,MIN(AD281/MAX(0.05,IF(AE281&gt;1,(2-AE281)^2/2,1-AE281^2/2)),$B$11))))</f>
        <v/>
      </c>
      <c r="AG281">
        <f>AG280*$B$28+AF281*(1-$B$28)</f>
        <v/>
      </c>
      <c r="AH281">
        <f>IF(AND(AD281&gt;0,AC281&lt;=0),0,AC281)</f>
        <v/>
      </c>
      <c r="AI281">
        <f>AH281/MAX(AG281,0.000001)</f>
        <v/>
      </c>
      <c r="AJ281">
        <f>MIN(IF(AI281&gt;=0.5,-AI281+SQRT(AI281^2+2),1),$B$12)</f>
        <v/>
      </c>
      <c r="AK281">
        <f>IF(AG281&lt;=0,0,AJ281*AH281)</f>
        <v/>
      </c>
      <c r="AL281">
        <f>IF(AD281&lt;=0,0,AD281)</f>
        <v/>
      </c>
      <c r="AM281">
        <f>AL281-AK281+P281</f>
        <v/>
      </c>
      <c r="AN281">
        <f>((AM281/$B$7+T280*AS280/2-T281*MAX(0.1,MIN(0.3,0.3-0.09*(AR280-36.8)))/2)+AR280*(1-AS280/2))/(1-MAX(0.1,MIN(0.3,0.3-0.09*(AR280-36.8)))/2)</f>
        <v/>
      </c>
      <c r="AO281">
        <f>((AM281/$B$7+T280*AS280/2-T281*MAX(0.1,MIN(0.3,0.3-0.09*(AN281-36.8)))/2)+AR280*(1-AS280/2))/(1-MAX(0.1,MIN(0.3,0.3-0.09*(AN281-36.8)))/2)</f>
        <v/>
      </c>
      <c r="AP281">
        <f>((AM281/$B$7+T280*AS280/2-T281*MAX(0.1,MIN(0.3,0.3-0.09*(AO281-36.8)))/2)+AR280*(1-AS280/2))/(1-MAX(0.1,MIN(0.3,0.3-0.09*(AO281-36.8)))/2)</f>
        <v/>
      </c>
      <c r="AQ281">
        <f>((AM281/$B$7+T280*AS280/2-T281*MAX(0.1,MIN(0.3,0.3-0.09*(AP281-36.8)))/2)+AR280*(1-AS280/2))/(1-MAX(0.1,MIN(0.3,0.3-0.09*(AP281-36.8)))/2)</f>
        <v/>
      </c>
      <c r="AR281">
        <f>((AM281/$B$7+T280*AS280/2-T281*MAX(0.1,MIN(0.3,0.3-0.09*(AQ281-36.8)))/2)+AR280*(1-AS280/2))/(1-MAX(0.1,MIN(0.3,0.3-0.09*(AQ281-36.8)))/2)</f>
        <v/>
      </c>
      <c r="AS281">
        <f>MAX(0.1,MIN(0.3,0.3-0.09*(AR281-36.8)))</f>
        <v/>
      </c>
      <c r="AT281">
        <f>AT280+(2*AR281-1.962*AT280-1.31)/9</f>
        <v/>
      </c>
      <c r="AU281">
        <f>AU280+AG281+K281</f>
        <v/>
      </c>
      <c r="AV281">
        <f>AU281*2.67*$B$6/1.8/60</f>
        <v/>
      </c>
      <c r="AW281">
        <f>IF(AT281&gt;=$B$36,1,0)</f>
        <v/>
      </c>
      <c r="AX281">
        <f>IF(AV281&gt;=$B$21,1,0)</f>
        <v/>
      </c>
    </row>
    <row r="282">
      <c r="A282" t="n">
        <v>209</v>
      </c>
      <c r="B282">
        <f>MATCH(A282-1,$D$61:$D$68,1)</f>
        <v/>
      </c>
      <c r="C282">
        <f>INDEX($G$61:$G$68,B282)</f>
        <v/>
      </c>
      <c r="D282">
        <f>INDEX($L$61:$L$68,B282)</f>
        <v/>
      </c>
      <c r="E282">
        <f>INDEX($M$61:$M$68,B282)</f>
        <v/>
      </c>
      <c r="F282">
        <f>INDEX($N$61:$N$68,B282)</f>
        <v/>
      </c>
      <c r="G282">
        <f>INDEX($AA$61:$AA$68,B282)</f>
        <v/>
      </c>
      <c r="H282">
        <f>INDEX($X$61:$X$68,B282)</f>
        <v/>
      </c>
      <c r="I282">
        <f>INDEX($AF$61:$AF$68,B282)</f>
        <v/>
      </c>
      <c r="J282">
        <f>INDEX($AC$61:$AC$68,B282)</f>
        <v/>
      </c>
      <c r="K282">
        <f>INDEX($AD$61:$AD$68,B282)</f>
        <v/>
      </c>
      <c r="L282">
        <f>INDEX($AG$61:$AG$68,B282)</f>
        <v/>
      </c>
      <c r="M282">
        <f>INDEX($AH$61:$AH$68,B282)</f>
        <v/>
      </c>
      <c r="N282">
        <f>INDEX($AI$61:$AI$68,B282)</f>
        <v/>
      </c>
      <c r="O282">
        <f>O281*$B$26+L282*(1-$B$26)</f>
        <v/>
      </c>
      <c r="P282">
        <f>$B$7*(O282-O281)*(1-AS281)</f>
        <v/>
      </c>
      <c r="Q282">
        <f>M282+0.51274*AT281</f>
        <v/>
      </c>
      <c r="R282">
        <f>N282+0.616*AT281</f>
        <v/>
      </c>
      <c r="S282">
        <f>IF($B$13&gt;=0.6,Q282,IF($B$13&lt;=0.2,R282,R282+2.5*(Q282-R282)*($B$13-0.2)))</f>
        <v/>
      </c>
      <c r="T282">
        <f>IF(A282=1,S282,T281*$B$27+S282*(1-$B$27))</f>
        <v/>
      </c>
      <c r="U282">
        <f>0.6105*EXP(17.27*T282/(T282+237.3))</f>
        <v/>
      </c>
      <c r="V282">
        <f>($B$14*(I282*C282+IF(ABS((D282+0.1)-D282)&lt;0.000000001,4*$B$19*$B$20*(D282+273)^3,$B$19*$B$20*(((D282+0.1)+273)^4-(D282+273)^4)/((D282+0.1)-D282))*D282)+T282/H282)/($B$14*(I282+IF(ABS((D282+0.1)-D282)&lt;0.000000001,4*$B$19*$B$20*(D282+273)^3,$B$19*$B$20*(((D282+0.1)+273)^4-(D282+273)^4)/((D282+0.1)-D282)))+1/H282)</f>
        <v/>
      </c>
      <c r="W282">
        <f>($B$14*(I282*C282+IF(ABS(V282-D282)&lt;0.000000001,4*$B$19*$B$20*(D282+273)^3,$B$19*$B$20*((V282+273)^4-(D282+273)^4)/(V282-D282))*D282)+T282/H282)/($B$14*(I282+IF(ABS(V282-D282)&lt;0.000000001,4*$B$19*$B$20*(D282+273)^3,$B$19*$B$20*((V282+273)^4-(D282+273)^4)/(V282-D282)))+1/H282)</f>
        <v/>
      </c>
      <c r="X282">
        <f>($B$14*(I282*C282+IF(ABS(W282-D282)&lt;0.000000001,4*$B$19*$B$20*(D282+273)^3,$B$19*$B$20*((W282+273)^4-(D282+273)^4)/(W282-D282))*D282)+T282/H282)/($B$14*(I282+IF(ABS(W282-D282)&lt;0.000000001,4*$B$19*$B$20*(D282+273)^3,$B$19*$B$20*((W282+273)^4-(D282+273)^4)/(W282-D282)))+1/H282)</f>
        <v/>
      </c>
      <c r="Y282">
        <f>($B$14*(I282*C282+IF(ABS(X282-D282)&lt;0.000000001,4*$B$19*$B$20*(D282+273)^3,$B$19*$B$20*((X282+273)^4-(D282+273)^4)/(X282-D282))*D282)+T282/H282)/($B$14*(I282+IF(ABS(X282-D282)&lt;0.000000001,4*$B$19*$B$20*(D282+273)^3,$B$19*$B$20*((X282+273)^4-(D282+273)^4)/(X282-D282)))+1/H282)</f>
        <v/>
      </c>
      <c r="Z282">
        <f>IF(ABS(Y282-D282)&lt;0.000000001,4*$B$19*$B$20*(D282+273)^3,$B$19*$B$20*((Y282+273)^4-(D282+273)^4)/(Y282-D282))</f>
        <v/>
      </c>
      <c r="AA282">
        <f>$B$14*I282*(Y282-C282)</f>
        <v/>
      </c>
      <c r="AB282">
        <f>$B$14*Z282*(Y282-D282)</f>
        <v/>
      </c>
      <c r="AC282">
        <f>IF((U282-E282)/G282=0,0.001,(U282-E282)/G282)</f>
        <v/>
      </c>
      <c r="AD282">
        <f>F282-P282-J282-K282-AA282-AB282</f>
        <v/>
      </c>
      <c r="AE282">
        <f>AD282/AC282</f>
        <v/>
      </c>
      <c r="AF282">
        <f>IF(AD282&lt;=0,0,IF(AC282&lt;=0,$B$11,IF(AE282&gt;=1.7,$B$11,MIN(AD282/MAX(0.05,IF(AE282&gt;1,(2-AE282)^2/2,1-AE282^2/2)),$B$11))))</f>
        <v/>
      </c>
      <c r="AG282">
        <f>AG281*$B$28+AF282*(1-$B$28)</f>
        <v/>
      </c>
      <c r="AH282">
        <f>IF(AND(AD282&gt;0,AC282&lt;=0),0,AC282)</f>
        <v/>
      </c>
      <c r="AI282">
        <f>AH282/MAX(AG282,0.000001)</f>
        <v/>
      </c>
      <c r="AJ282">
        <f>MIN(IF(AI282&gt;=0.5,-AI282+SQRT(AI282^2+2),1),$B$12)</f>
        <v/>
      </c>
      <c r="AK282">
        <f>IF(AG282&lt;=0,0,AJ282*AH282)</f>
        <v/>
      </c>
      <c r="AL282">
        <f>IF(AD282&lt;=0,0,AD282)</f>
        <v/>
      </c>
      <c r="AM282">
        <f>AL282-AK282+P282</f>
        <v/>
      </c>
      <c r="AN282">
        <f>((AM282/$B$7+T281*AS281/2-T282*MAX(0.1,MIN(0.3,0.3-0.09*(AR281-36.8)))/2)+AR281*(1-AS281/2))/(1-MAX(0.1,MIN(0.3,0.3-0.09*(AR281-36.8)))/2)</f>
        <v/>
      </c>
      <c r="AO282">
        <f>((AM282/$B$7+T281*AS281/2-T282*MAX(0.1,MIN(0.3,0.3-0.09*(AN282-36.8)))/2)+AR281*(1-AS281/2))/(1-MAX(0.1,MIN(0.3,0.3-0.09*(AN282-36.8)))/2)</f>
        <v/>
      </c>
      <c r="AP282">
        <f>((AM282/$B$7+T281*AS281/2-T282*MAX(0.1,MIN(0.3,0.3-0.09*(AO282-36.8)))/2)+AR281*(1-AS281/2))/(1-MAX(0.1,MIN(0.3,0.3-0.09*(AO282-36.8)))/2)</f>
        <v/>
      </c>
      <c r="AQ282">
        <f>((AM282/$B$7+T281*AS281/2-T282*MAX(0.1,MIN(0.3,0.3-0.09*(AP282-36.8)))/2)+AR281*(1-AS281/2))/(1-MAX(0.1,MIN(0.3,0.3-0.09*(AP282-36.8)))/2)</f>
        <v/>
      </c>
      <c r="AR282">
        <f>((AM282/$B$7+T281*AS281/2-T282*MAX(0.1,MIN(0.3,0.3-0.09*(AQ282-36.8)))/2)+AR281*(1-AS281/2))/(1-MAX(0.1,MIN(0.3,0.3-0.09*(AQ282-36.8)))/2)</f>
        <v/>
      </c>
      <c r="AS282">
        <f>MAX(0.1,MIN(0.3,0.3-0.09*(AR282-36.8)))</f>
        <v/>
      </c>
      <c r="AT282">
        <f>AT281+(2*AR282-1.962*AT281-1.31)/9</f>
        <v/>
      </c>
      <c r="AU282">
        <f>AU281+AG282+K282</f>
        <v/>
      </c>
      <c r="AV282">
        <f>AU282*2.67*$B$6/1.8/60</f>
        <v/>
      </c>
      <c r="AW282">
        <f>IF(AT282&gt;=$B$36,1,0)</f>
        <v/>
      </c>
      <c r="AX282">
        <f>IF(AV282&gt;=$B$21,1,0)</f>
        <v/>
      </c>
    </row>
    <row r="283">
      <c r="A283" t="n">
        <v>210</v>
      </c>
      <c r="B283">
        <f>MATCH(A283-1,$D$61:$D$68,1)</f>
        <v/>
      </c>
      <c r="C283">
        <f>INDEX($G$61:$G$68,B283)</f>
        <v/>
      </c>
      <c r="D283">
        <f>INDEX($L$61:$L$68,B283)</f>
        <v/>
      </c>
      <c r="E283">
        <f>INDEX($M$61:$M$68,B283)</f>
        <v/>
      </c>
      <c r="F283">
        <f>INDEX($N$61:$N$68,B283)</f>
        <v/>
      </c>
      <c r="G283">
        <f>INDEX($AA$61:$AA$68,B283)</f>
        <v/>
      </c>
      <c r="H283">
        <f>INDEX($X$61:$X$68,B283)</f>
        <v/>
      </c>
      <c r="I283">
        <f>INDEX($AF$61:$AF$68,B283)</f>
        <v/>
      </c>
      <c r="J283">
        <f>INDEX($AC$61:$AC$68,B283)</f>
        <v/>
      </c>
      <c r="K283">
        <f>INDEX($AD$61:$AD$68,B283)</f>
        <v/>
      </c>
      <c r="L283">
        <f>INDEX($AG$61:$AG$68,B283)</f>
        <v/>
      </c>
      <c r="M283">
        <f>INDEX($AH$61:$AH$68,B283)</f>
        <v/>
      </c>
      <c r="N283">
        <f>INDEX($AI$61:$AI$68,B283)</f>
        <v/>
      </c>
      <c r="O283">
        <f>O282*$B$26+L283*(1-$B$26)</f>
        <v/>
      </c>
      <c r="P283">
        <f>$B$7*(O283-O282)*(1-AS282)</f>
        <v/>
      </c>
      <c r="Q283">
        <f>M283+0.51274*AT282</f>
        <v/>
      </c>
      <c r="R283">
        <f>N283+0.616*AT282</f>
        <v/>
      </c>
      <c r="S283">
        <f>IF($B$13&gt;=0.6,Q283,IF($B$13&lt;=0.2,R283,R283+2.5*(Q283-R283)*($B$13-0.2)))</f>
        <v/>
      </c>
      <c r="T283">
        <f>IF(A283=1,S283,T282*$B$27+S283*(1-$B$27))</f>
        <v/>
      </c>
      <c r="U283">
        <f>0.6105*EXP(17.27*T283/(T283+237.3))</f>
        <v/>
      </c>
      <c r="V283">
        <f>($B$14*(I283*C283+IF(ABS((D283+0.1)-D283)&lt;0.000000001,4*$B$19*$B$20*(D283+273)^3,$B$19*$B$20*(((D283+0.1)+273)^4-(D283+273)^4)/((D283+0.1)-D283))*D283)+T283/H283)/($B$14*(I283+IF(ABS((D283+0.1)-D283)&lt;0.000000001,4*$B$19*$B$20*(D283+273)^3,$B$19*$B$20*(((D283+0.1)+273)^4-(D283+273)^4)/((D283+0.1)-D283)))+1/H283)</f>
        <v/>
      </c>
      <c r="W283">
        <f>($B$14*(I283*C283+IF(ABS(V283-D283)&lt;0.000000001,4*$B$19*$B$20*(D283+273)^3,$B$19*$B$20*((V283+273)^4-(D283+273)^4)/(V283-D283))*D283)+T283/H283)/($B$14*(I283+IF(ABS(V283-D283)&lt;0.000000001,4*$B$19*$B$20*(D283+273)^3,$B$19*$B$20*((V283+273)^4-(D283+273)^4)/(V283-D283)))+1/H283)</f>
        <v/>
      </c>
      <c r="X283">
        <f>($B$14*(I283*C283+IF(ABS(W283-D283)&lt;0.000000001,4*$B$19*$B$20*(D283+273)^3,$B$19*$B$20*((W283+273)^4-(D283+273)^4)/(W283-D283))*D283)+T283/H283)/($B$14*(I283+IF(ABS(W283-D283)&lt;0.000000001,4*$B$19*$B$20*(D283+273)^3,$B$19*$B$20*((W283+273)^4-(D283+273)^4)/(W283-D283)))+1/H283)</f>
        <v/>
      </c>
      <c r="Y283">
        <f>($B$14*(I283*C283+IF(ABS(X283-D283)&lt;0.000000001,4*$B$19*$B$20*(D283+273)^3,$B$19*$B$20*((X283+273)^4-(D283+273)^4)/(X283-D283))*D283)+T283/H283)/($B$14*(I283+IF(ABS(X283-D283)&lt;0.000000001,4*$B$19*$B$20*(D283+273)^3,$B$19*$B$20*((X283+273)^4-(D283+273)^4)/(X283-D283)))+1/H283)</f>
        <v/>
      </c>
      <c r="Z283">
        <f>IF(ABS(Y283-D283)&lt;0.000000001,4*$B$19*$B$20*(D283+273)^3,$B$19*$B$20*((Y283+273)^4-(D283+273)^4)/(Y283-D283))</f>
        <v/>
      </c>
      <c r="AA283">
        <f>$B$14*I283*(Y283-C283)</f>
        <v/>
      </c>
      <c r="AB283">
        <f>$B$14*Z283*(Y283-D283)</f>
        <v/>
      </c>
      <c r="AC283">
        <f>IF((U283-E283)/G283=0,0.001,(U283-E283)/G283)</f>
        <v/>
      </c>
      <c r="AD283">
        <f>F283-P283-J283-K283-AA283-AB283</f>
        <v/>
      </c>
      <c r="AE283">
        <f>AD283/AC283</f>
        <v/>
      </c>
      <c r="AF283">
        <f>IF(AD283&lt;=0,0,IF(AC283&lt;=0,$B$11,IF(AE283&gt;=1.7,$B$11,MIN(AD283/MAX(0.05,IF(AE283&gt;1,(2-AE283)^2/2,1-AE283^2/2)),$B$11))))</f>
        <v/>
      </c>
      <c r="AG283">
        <f>AG282*$B$28+AF283*(1-$B$28)</f>
        <v/>
      </c>
      <c r="AH283">
        <f>IF(AND(AD283&gt;0,AC283&lt;=0),0,AC283)</f>
        <v/>
      </c>
      <c r="AI283">
        <f>AH283/MAX(AG283,0.000001)</f>
        <v/>
      </c>
      <c r="AJ283">
        <f>MIN(IF(AI283&gt;=0.5,-AI283+SQRT(AI283^2+2),1),$B$12)</f>
        <v/>
      </c>
      <c r="AK283">
        <f>IF(AG283&lt;=0,0,AJ283*AH283)</f>
        <v/>
      </c>
      <c r="AL283">
        <f>IF(AD283&lt;=0,0,AD283)</f>
        <v/>
      </c>
      <c r="AM283">
        <f>AL283-AK283+P283</f>
        <v/>
      </c>
      <c r="AN283">
        <f>((AM283/$B$7+T282*AS282/2-T283*MAX(0.1,MIN(0.3,0.3-0.09*(AR282-36.8)))/2)+AR282*(1-AS282/2))/(1-MAX(0.1,MIN(0.3,0.3-0.09*(AR282-36.8)))/2)</f>
        <v/>
      </c>
      <c r="AO283">
        <f>((AM283/$B$7+T282*AS282/2-T283*MAX(0.1,MIN(0.3,0.3-0.09*(AN283-36.8)))/2)+AR282*(1-AS282/2))/(1-MAX(0.1,MIN(0.3,0.3-0.09*(AN283-36.8)))/2)</f>
        <v/>
      </c>
      <c r="AP283">
        <f>((AM283/$B$7+T282*AS282/2-T283*MAX(0.1,MIN(0.3,0.3-0.09*(AO283-36.8)))/2)+AR282*(1-AS282/2))/(1-MAX(0.1,MIN(0.3,0.3-0.09*(AO283-36.8)))/2)</f>
        <v/>
      </c>
      <c r="AQ283">
        <f>((AM283/$B$7+T282*AS282/2-T283*MAX(0.1,MIN(0.3,0.3-0.09*(AP283-36.8)))/2)+AR282*(1-AS282/2))/(1-MAX(0.1,MIN(0.3,0.3-0.09*(AP283-36.8)))/2)</f>
        <v/>
      </c>
      <c r="AR283">
        <f>((AM283/$B$7+T282*AS282/2-T283*MAX(0.1,MIN(0.3,0.3-0.09*(AQ283-36.8)))/2)+AR282*(1-AS282/2))/(1-MAX(0.1,MIN(0.3,0.3-0.09*(AQ283-36.8)))/2)</f>
        <v/>
      </c>
      <c r="AS283">
        <f>MAX(0.1,MIN(0.3,0.3-0.09*(AR283-36.8)))</f>
        <v/>
      </c>
      <c r="AT283">
        <f>AT282+(2*AR283-1.962*AT282-1.31)/9</f>
        <v/>
      </c>
      <c r="AU283">
        <f>AU282+AG283+K283</f>
        <v/>
      </c>
      <c r="AV283">
        <f>AU283*2.67*$B$6/1.8/60</f>
        <v/>
      </c>
      <c r="AW283">
        <f>IF(AT283&gt;=$B$36,1,0)</f>
        <v/>
      </c>
      <c r="AX283">
        <f>IF(AV283&gt;=$B$21,1,0)</f>
        <v/>
      </c>
    </row>
    <row r="284">
      <c r="A284" t="n">
        <v>211</v>
      </c>
      <c r="B284">
        <f>MATCH(A284-1,$D$61:$D$68,1)</f>
        <v/>
      </c>
      <c r="C284">
        <f>INDEX($G$61:$G$68,B284)</f>
        <v/>
      </c>
      <c r="D284">
        <f>INDEX($L$61:$L$68,B284)</f>
        <v/>
      </c>
      <c r="E284">
        <f>INDEX($M$61:$M$68,B284)</f>
        <v/>
      </c>
      <c r="F284">
        <f>INDEX($N$61:$N$68,B284)</f>
        <v/>
      </c>
      <c r="G284">
        <f>INDEX($AA$61:$AA$68,B284)</f>
        <v/>
      </c>
      <c r="H284">
        <f>INDEX($X$61:$X$68,B284)</f>
        <v/>
      </c>
      <c r="I284">
        <f>INDEX($AF$61:$AF$68,B284)</f>
        <v/>
      </c>
      <c r="J284">
        <f>INDEX($AC$61:$AC$68,B284)</f>
        <v/>
      </c>
      <c r="K284">
        <f>INDEX($AD$61:$AD$68,B284)</f>
        <v/>
      </c>
      <c r="L284">
        <f>INDEX($AG$61:$AG$68,B284)</f>
        <v/>
      </c>
      <c r="M284">
        <f>INDEX($AH$61:$AH$68,B284)</f>
        <v/>
      </c>
      <c r="N284">
        <f>INDEX($AI$61:$AI$68,B284)</f>
        <v/>
      </c>
      <c r="O284">
        <f>O283*$B$26+L284*(1-$B$26)</f>
        <v/>
      </c>
      <c r="P284">
        <f>$B$7*(O284-O283)*(1-AS283)</f>
        <v/>
      </c>
      <c r="Q284">
        <f>M284+0.51274*AT283</f>
        <v/>
      </c>
      <c r="R284">
        <f>N284+0.616*AT283</f>
        <v/>
      </c>
      <c r="S284">
        <f>IF($B$13&gt;=0.6,Q284,IF($B$13&lt;=0.2,R284,R284+2.5*(Q284-R284)*($B$13-0.2)))</f>
        <v/>
      </c>
      <c r="T284">
        <f>IF(A284=1,S284,T283*$B$27+S284*(1-$B$27))</f>
        <v/>
      </c>
      <c r="U284">
        <f>0.6105*EXP(17.27*T284/(T284+237.3))</f>
        <v/>
      </c>
      <c r="V284">
        <f>($B$14*(I284*C284+IF(ABS((D284+0.1)-D284)&lt;0.000000001,4*$B$19*$B$20*(D284+273)^3,$B$19*$B$20*(((D284+0.1)+273)^4-(D284+273)^4)/((D284+0.1)-D284))*D284)+T284/H284)/($B$14*(I284+IF(ABS((D284+0.1)-D284)&lt;0.000000001,4*$B$19*$B$20*(D284+273)^3,$B$19*$B$20*(((D284+0.1)+273)^4-(D284+273)^4)/((D284+0.1)-D284)))+1/H284)</f>
        <v/>
      </c>
      <c r="W284">
        <f>($B$14*(I284*C284+IF(ABS(V284-D284)&lt;0.000000001,4*$B$19*$B$20*(D284+273)^3,$B$19*$B$20*((V284+273)^4-(D284+273)^4)/(V284-D284))*D284)+T284/H284)/($B$14*(I284+IF(ABS(V284-D284)&lt;0.000000001,4*$B$19*$B$20*(D284+273)^3,$B$19*$B$20*((V284+273)^4-(D284+273)^4)/(V284-D284)))+1/H284)</f>
        <v/>
      </c>
      <c r="X284">
        <f>($B$14*(I284*C284+IF(ABS(W284-D284)&lt;0.000000001,4*$B$19*$B$20*(D284+273)^3,$B$19*$B$20*((W284+273)^4-(D284+273)^4)/(W284-D284))*D284)+T284/H284)/($B$14*(I284+IF(ABS(W284-D284)&lt;0.000000001,4*$B$19*$B$20*(D284+273)^3,$B$19*$B$20*((W284+273)^4-(D284+273)^4)/(W284-D284)))+1/H284)</f>
        <v/>
      </c>
      <c r="Y284">
        <f>($B$14*(I284*C284+IF(ABS(X284-D284)&lt;0.000000001,4*$B$19*$B$20*(D284+273)^3,$B$19*$B$20*((X284+273)^4-(D284+273)^4)/(X284-D284))*D284)+T284/H284)/($B$14*(I284+IF(ABS(X284-D284)&lt;0.000000001,4*$B$19*$B$20*(D284+273)^3,$B$19*$B$20*((X284+273)^4-(D284+273)^4)/(X284-D284)))+1/H284)</f>
        <v/>
      </c>
      <c r="Z284">
        <f>IF(ABS(Y284-D284)&lt;0.000000001,4*$B$19*$B$20*(D284+273)^3,$B$19*$B$20*((Y284+273)^4-(D284+273)^4)/(Y284-D284))</f>
        <v/>
      </c>
      <c r="AA284">
        <f>$B$14*I284*(Y284-C284)</f>
        <v/>
      </c>
      <c r="AB284">
        <f>$B$14*Z284*(Y284-D284)</f>
        <v/>
      </c>
      <c r="AC284">
        <f>IF((U284-E284)/G284=0,0.001,(U284-E284)/G284)</f>
        <v/>
      </c>
      <c r="AD284">
        <f>F284-P284-J284-K284-AA284-AB284</f>
        <v/>
      </c>
      <c r="AE284">
        <f>AD284/AC284</f>
        <v/>
      </c>
      <c r="AF284">
        <f>IF(AD284&lt;=0,0,IF(AC284&lt;=0,$B$11,IF(AE284&gt;=1.7,$B$11,MIN(AD284/MAX(0.05,IF(AE284&gt;1,(2-AE284)^2/2,1-AE284^2/2)),$B$11))))</f>
        <v/>
      </c>
      <c r="AG284">
        <f>AG283*$B$28+AF284*(1-$B$28)</f>
        <v/>
      </c>
      <c r="AH284">
        <f>IF(AND(AD284&gt;0,AC284&lt;=0),0,AC284)</f>
        <v/>
      </c>
      <c r="AI284">
        <f>AH284/MAX(AG284,0.000001)</f>
        <v/>
      </c>
      <c r="AJ284">
        <f>MIN(IF(AI284&gt;=0.5,-AI284+SQRT(AI284^2+2),1),$B$12)</f>
        <v/>
      </c>
      <c r="AK284">
        <f>IF(AG284&lt;=0,0,AJ284*AH284)</f>
        <v/>
      </c>
      <c r="AL284">
        <f>IF(AD284&lt;=0,0,AD284)</f>
        <v/>
      </c>
      <c r="AM284">
        <f>AL284-AK284+P284</f>
        <v/>
      </c>
      <c r="AN284">
        <f>((AM284/$B$7+T283*AS283/2-T284*MAX(0.1,MIN(0.3,0.3-0.09*(AR283-36.8)))/2)+AR283*(1-AS283/2))/(1-MAX(0.1,MIN(0.3,0.3-0.09*(AR283-36.8)))/2)</f>
        <v/>
      </c>
      <c r="AO284">
        <f>((AM284/$B$7+T283*AS283/2-T284*MAX(0.1,MIN(0.3,0.3-0.09*(AN284-36.8)))/2)+AR283*(1-AS283/2))/(1-MAX(0.1,MIN(0.3,0.3-0.09*(AN284-36.8)))/2)</f>
        <v/>
      </c>
      <c r="AP284">
        <f>((AM284/$B$7+T283*AS283/2-T284*MAX(0.1,MIN(0.3,0.3-0.09*(AO284-36.8)))/2)+AR283*(1-AS283/2))/(1-MAX(0.1,MIN(0.3,0.3-0.09*(AO284-36.8)))/2)</f>
        <v/>
      </c>
      <c r="AQ284">
        <f>((AM284/$B$7+T283*AS283/2-T284*MAX(0.1,MIN(0.3,0.3-0.09*(AP284-36.8)))/2)+AR283*(1-AS283/2))/(1-MAX(0.1,MIN(0.3,0.3-0.09*(AP284-36.8)))/2)</f>
        <v/>
      </c>
      <c r="AR284">
        <f>((AM284/$B$7+T283*AS283/2-T284*MAX(0.1,MIN(0.3,0.3-0.09*(AQ284-36.8)))/2)+AR283*(1-AS283/2))/(1-MAX(0.1,MIN(0.3,0.3-0.09*(AQ284-36.8)))/2)</f>
        <v/>
      </c>
      <c r="AS284">
        <f>MAX(0.1,MIN(0.3,0.3-0.09*(AR284-36.8)))</f>
        <v/>
      </c>
      <c r="AT284">
        <f>AT283+(2*AR284-1.962*AT283-1.31)/9</f>
        <v/>
      </c>
      <c r="AU284">
        <f>AU283+AG284+K284</f>
        <v/>
      </c>
      <c r="AV284">
        <f>AU284*2.67*$B$6/1.8/60</f>
        <v/>
      </c>
      <c r="AW284">
        <f>IF(AT284&gt;=$B$36,1,0)</f>
        <v/>
      </c>
      <c r="AX284">
        <f>IF(AV284&gt;=$B$21,1,0)</f>
        <v/>
      </c>
    </row>
    <row r="285">
      <c r="A285" t="n">
        <v>212</v>
      </c>
      <c r="B285">
        <f>MATCH(A285-1,$D$61:$D$68,1)</f>
        <v/>
      </c>
      <c r="C285">
        <f>INDEX($G$61:$G$68,B285)</f>
        <v/>
      </c>
      <c r="D285">
        <f>INDEX($L$61:$L$68,B285)</f>
        <v/>
      </c>
      <c r="E285">
        <f>INDEX($M$61:$M$68,B285)</f>
        <v/>
      </c>
      <c r="F285">
        <f>INDEX($N$61:$N$68,B285)</f>
        <v/>
      </c>
      <c r="G285">
        <f>INDEX($AA$61:$AA$68,B285)</f>
        <v/>
      </c>
      <c r="H285">
        <f>INDEX($X$61:$X$68,B285)</f>
        <v/>
      </c>
      <c r="I285">
        <f>INDEX($AF$61:$AF$68,B285)</f>
        <v/>
      </c>
      <c r="J285">
        <f>INDEX($AC$61:$AC$68,B285)</f>
        <v/>
      </c>
      <c r="K285">
        <f>INDEX($AD$61:$AD$68,B285)</f>
        <v/>
      </c>
      <c r="L285">
        <f>INDEX($AG$61:$AG$68,B285)</f>
        <v/>
      </c>
      <c r="M285">
        <f>INDEX($AH$61:$AH$68,B285)</f>
        <v/>
      </c>
      <c r="N285">
        <f>INDEX($AI$61:$AI$68,B285)</f>
        <v/>
      </c>
      <c r="O285">
        <f>O284*$B$26+L285*(1-$B$26)</f>
        <v/>
      </c>
      <c r="P285">
        <f>$B$7*(O285-O284)*(1-AS284)</f>
        <v/>
      </c>
      <c r="Q285">
        <f>M285+0.51274*AT284</f>
        <v/>
      </c>
      <c r="R285">
        <f>N285+0.616*AT284</f>
        <v/>
      </c>
      <c r="S285">
        <f>IF($B$13&gt;=0.6,Q285,IF($B$13&lt;=0.2,R285,R285+2.5*(Q285-R285)*($B$13-0.2)))</f>
        <v/>
      </c>
      <c r="T285">
        <f>IF(A285=1,S285,T284*$B$27+S285*(1-$B$27))</f>
        <v/>
      </c>
      <c r="U285">
        <f>0.6105*EXP(17.27*T285/(T285+237.3))</f>
        <v/>
      </c>
      <c r="V285">
        <f>($B$14*(I285*C285+IF(ABS((D285+0.1)-D285)&lt;0.000000001,4*$B$19*$B$20*(D285+273)^3,$B$19*$B$20*(((D285+0.1)+273)^4-(D285+273)^4)/((D285+0.1)-D285))*D285)+T285/H285)/($B$14*(I285+IF(ABS((D285+0.1)-D285)&lt;0.000000001,4*$B$19*$B$20*(D285+273)^3,$B$19*$B$20*(((D285+0.1)+273)^4-(D285+273)^4)/((D285+0.1)-D285)))+1/H285)</f>
        <v/>
      </c>
      <c r="W285">
        <f>($B$14*(I285*C285+IF(ABS(V285-D285)&lt;0.000000001,4*$B$19*$B$20*(D285+273)^3,$B$19*$B$20*((V285+273)^4-(D285+273)^4)/(V285-D285))*D285)+T285/H285)/($B$14*(I285+IF(ABS(V285-D285)&lt;0.000000001,4*$B$19*$B$20*(D285+273)^3,$B$19*$B$20*((V285+273)^4-(D285+273)^4)/(V285-D285)))+1/H285)</f>
        <v/>
      </c>
      <c r="X285">
        <f>($B$14*(I285*C285+IF(ABS(W285-D285)&lt;0.000000001,4*$B$19*$B$20*(D285+273)^3,$B$19*$B$20*((W285+273)^4-(D285+273)^4)/(W285-D285))*D285)+T285/H285)/($B$14*(I285+IF(ABS(W285-D285)&lt;0.000000001,4*$B$19*$B$20*(D285+273)^3,$B$19*$B$20*((W285+273)^4-(D285+273)^4)/(W285-D285)))+1/H285)</f>
        <v/>
      </c>
      <c r="Y285">
        <f>($B$14*(I285*C285+IF(ABS(X285-D285)&lt;0.000000001,4*$B$19*$B$20*(D285+273)^3,$B$19*$B$20*((X285+273)^4-(D285+273)^4)/(X285-D285))*D285)+T285/H285)/($B$14*(I285+IF(ABS(X285-D285)&lt;0.000000001,4*$B$19*$B$20*(D285+273)^3,$B$19*$B$20*((X285+273)^4-(D285+273)^4)/(X285-D285)))+1/H285)</f>
        <v/>
      </c>
      <c r="Z285">
        <f>IF(ABS(Y285-D285)&lt;0.000000001,4*$B$19*$B$20*(D285+273)^3,$B$19*$B$20*((Y285+273)^4-(D285+273)^4)/(Y285-D285))</f>
        <v/>
      </c>
      <c r="AA285">
        <f>$B$14*I285*(Y285-C285)</f>
        <v/>
      </c>
      <c r="AB285">
        <f>$B$14*Z285*(Y285-D285)</f>
        <v/>
      </c>
      <c r="AC285">
        <f>IF((U285-E285)/G285=0,0.001,(U285-E285)/G285)</f>
        <v/>
      </c>
      <c r="AD285">
        <f>F285-P285-J285-K285-AA285-AB285</f>
        <v/>
      </c>
      <c r="AE285">
        <f>AD285/AC285</f>
        <v/>
      </c>
      <c r="AF285">
        <f>IF(AD285&lt;=0,0,IF(AC285&lt;=0,$B$11,IF(AE285&gt;=1.7,$B$11,MIN(AD285/MAX(0.05,IF(AE285&gt;1,(2-AE285)^2/2,1-AE285^2/2)),$B$11))))</f>
        <v/>
      </c>
      <c r="AG285">
        <f>AG284*$B$28+AF285*(1-$B$28)</f>
        <v/>
      </c>
      <c r="AH285">
        <f>IF(AND(AD285&gt;0,AC285&lt;=0),0,AC285)</f>
        <v/>
      </c>
      <c r="AI285">
        <f>AH285/MAX(AG285,0.000001)</f>
        <v/>
      </c>
      <c r="AJ285">
        <f>MIN(IF(AI285&gt;=0.5,-AI285+SQRT(AI285^2+2),1),$B$12)</f>
        <v/>
      </c>
      <c r="AK285">
        <f>IF(AG285&lt;=0,0,AJ285*AH285)</f>
        <v/>
      </c>
      <c r="AL285">
        <f>IF(AD285&lt;=0,0,AD285)</f>
        <v/>
      </c>
      <c r="AM285">
        <f>AL285-AK285+P285</f>
        <v/>
      </c>
      <c r="AN285">
        <f>((AM285/$B$7+T284*AS284/2-T285*MAX(0.1,MIN(0.3,0.3-0.09*(AR284-36.8)))/2)+AR284*(1-AS284/2))/(1-MAX(0.1,MIN(0.3,0.3-0.09*(AR284-36.8)))/2)</f>
        <v/>
      </c>
      <c r="AO285">
        <f>((AM285/$B$7+T284*AS284/2-T285*MAX(0.1,MIN(0.3,0.3-0.09*(AN285-36.8)))/2)+AR284*(1-AS284/2))/(1-MAX(0.1,MIN(0.3,0.3-0.09*(AN285-36.8)))/2)</f>
        <v/>
      </c>
      <c r="AP285">
        <f>((AM285/$B$7+T284*AS284/2-T285*MAX(0.1,MIN(0.3,0.3-0.09*(AO285-36.8)))/2)+AR284*(1-AS284/2))/(1-MAX(0.1,MIN(0.3,0.3-0.09*(AO285-36.8)))/2)</f>
        <v/>
      </c>
      <c r="AQ285">
        <f>((AM285/$B$7+T284*AS284/2-T285*MAX(0.1,MIN(0.3,0.3-0.09*(AP285-36.8)))/2)+AR284*(1-AS284/2))/(1-MAX(0.1,MIN(0.3,0.3-0.09*(AP285-36.8)))/2)</f>
        <v/>
      </c>
      <c r="AR285">
        <f>((AM285/$B$7+T284*AS284/2-T285*MAX(0.1,MIN(0.3,0.3-0.09*(AQ285-36.8)))/2)+AR284*(1-AS284/2))/(1-MAX(0.1,MIN(0.3,0.3-0.09*(AQ285-36.8)))/2)</f>
        <v/>
      </c>
      <c r="AS285">
        <f>MAX(0.1,MIN(0.3,0.3-0.09*(AR285-36.8)))</f>
        <v/>
      </c>
      <c r="AT285">
        <f>AT284+(2*AR285-1.962*AT284-1.31)/9</f>
        <v/>
      </c>
      <c r="AU285">
        <f>AU284+AG285+K285</f>
        <v/>
      </c>
      <c r="AV285">
        <f>AU285*2.67*$B$6/1.8/60</f>
        <v/>
      </c>
      <c r="AW285">
        <f>IF(AT285&gt;=$B$36,1,0)</f>
        <v/>
      </c>
      <c r="AX285">
        <f>IF(AV285&gt;=$B$21,1,0)</f>
        <v/>
      </c>
    </row>
    <row r="286">
      <c r="A286" t="n">
        <v>213</v>
      </c>
      <c r="B286">
        <f>MATCH(A286-1,$D$61:$D$68,1)</f>
        <v/>
      </c>
      <c r="C286">
        <f>INDEX($G$61:$G$68,B286)</f>
        <v/>
      </c>
      <c r="D286">
        <f>INDEX($L$61:$L$68,B286)</f>
        <v/>
      </c>
      <c r="E286">
        <f>INDEX($M$61:$M$68,B286)</f>
        <v/>
      </c>
      <c r="F286">
        <f>INDEX($N$61:$N$68,B286)</f>
        <v/>
      </c>
      <c r="G286">
        <f>INDEX($AA$61:$AA$68,B286)</f>
        <v/>
      </c>
      <c r="H286">
        <f>INDEX($X$61:$X$68,B286)</f>
        <v/>
      </c>
      <c r="I286">
        <f>INDEX($AF$61:$AF$68,B286)</f>
        <v/>
      </c>
      <c r="J286">
        <f>INDEX($AC$61:$AC$68,B286)</f>
        <v/>
      </c>
      <c r="K286">
        <f>INDEX($AD$61:$AD$68,B286)</f>
        <v/>
      </c>
      <c r="L286">
        <f>INDEX($AG$61:$AG$68,B286)</f>
        <v/>
      </c>
      <c r="M286">
        <f>INDEX($AH$61:$AH$68,B286)</f>
        <v/>
      </c>
      <c r="N286">
        <f>INDEX($AI$61:$AI$68,B286)</f>
        <v/>
      </c>
      <c r="O286">
        <f>O285*$B$26+L286*(1-$B$26)</f>
        <v/>
      </c>
      <c r="P286">
        <f>$B$7*(O286-O285)*(1-AS285)</f>
        <v/>
      </c>
      <c r="Q286">
        <f>M286+0.51274*AT285</f>
        <v/>
      </c>
      <c r="R286">
        <f>N286+0.616*AT285</f>
        <v/>
      </c>
      <c r="S286">
        <f>IF($B$13&gt;=0.6,Q286,IF($B$13&lt;=0.2,R286,R286+2.5*(Q286-R286)*($B$13-0.2)))</f>
        <v/>
      </c>
      <c r="T286">
        <f>IF(A286=1,S286,T285*$B$27+S286*(1-$B$27))</f>
        <v/>
      </c>
      <c r="U286">
        <f>0.6105*EXP(17.27*T286/(T286+237.3))</f>
        <v/>
      </c>
      <c r="V286">
        <f>($B$14*(I286*C286+IF(ABS((D286+0.1)-D286)&lt;0.000000001,4*$B$19*$B$20*(D286+273)^3,$B$19*$B$20*(((D286+0.1)+273)^4-(D286+273)^4)/((D286+0.1)-D286))*D286)+T286/H286)/($B$14*(I286+IF(ABS((D286+0.1)-D286)&lt;0.000000001,4*$B$19*$B$20*(D286+273)^3,$B$19*$B$20*(((D286+0.1)+273)^4-(D286+273)^4)/((D286+0.1)-D286)))+1/H286)</f>
        <v/>
      </c>
      <c r="W286">
        <f>($B$14*(I286*C286+IF(ABS(V286-D286)&lt;0.000000001,4*$B$19*$B$20*(D286+273)^3,$B$19*$B$20*((V286+273)^4-(D286+273)^4)/(V286-D286))*D286)+T286/H286)/($B$14*(I286+IF(ABS(V286-D286)&lt;0.000000001,4*$B$19*$B$20*(D286+273)^3,$B$19*$B$20*((V286+273)^4-(D286+273)^4)/(V286-D286)))+1/H286)</f>
        <v/>
      </c>
      <c r="X286">
        <f>($B$14*(I286*C286+IF(ABS(W286-D286)&lt;0.000000001,4*$B$19*$B$20*(D286+273)^3,$B$19*$B$20*((W286+273)^4-(D286+273)^4)/(W286-D286))*D286)+T286/H286)/($B$14*(I286+IF(ABS(W286-D286)&lt;0.000000001,4*$B$19*$B$20*(D286+273)^3,$B$19*$B$20*((W286+273)^4-(D286+273)^4)/(W286-D286)))+1/H286)</f>
        <v/>
      </c>
      <c r="Y286">
        <f>($B$14*(I286*C286+IF(ABS(X286-D286)&lt;0.000000001,4*$B$19*$B$20*(D286+273)^3,$B$19*$B$20*((X286+273)^4-(D286+273)^4)/(X286-D286))*D286)+T286/H286)/($B$14*(I286+IF(ABS(X286-D286)&lt;0.000000001,4*$B$19*$B$20*(D286+273)^3,$B$19*$B$20*((X286+273)^4-(D286+273)^4)/(X286-D286)))+1/H286)</f>
        <v/>
      </c>
      <c r="Z286">
        <f>IF(ABS(Y286-D286)&lt;0.000000001,4*$B$19*$B$20*(D286+273)^3,$B$19*$B$20*((Y286+273)^4-(D286+273)^4)/(Y286-D286))</f>
        <v/>
      </c>
      <c r="AA286">
        <f>$B$14*I286*(Y286-C286)</f>
        <v/>
      </c>
      <c r="AB286">
        <f>$B$14*Z286*(Y286-D286)</f>
        <v/>
      </c>
      <c r="AC286">
        <f>IF((U286-E286)/G286=0,0.001,(U286-E286)/G286)</f>
        <v/>
      </c>
      <c r="AD286">
        <f>F286-P286-J286-K286-AA286-AB286</f>
        <v/>
      </c>
      <c r="AE286">
        <f>AD286/AC286</f>
        <v/>
      </c>
      <c r="AF286">
        <f>IF(AD286&lt;=0,0,IF(AC286&lt;=0,$B$11,IF(AE286&gt;=1.7,$B$11,MIN(AD286/MAX(0.05,IF(AE286&gt;1,(2-AE286)^2/2,1-AE286^2/2)),$B$11))))</f>
        <v/>
      </c>
      <c r="AG286">
        <f>AG285*$B$28+AF286*(1-$B$28)</f>
        <v/>
      </c>
      <c r="AH286">
        <f>IF(AND(AD286&gt;0,AC286&lt;=0),0,AC286)</f>
        <v/>
      </c>
      <c r="AI286">
        <f>AH286/MAX(AG286,0.000001)</f>
        <v/>
      </c>
      <c r="AJ286">
        <f>MIN(IF(AI286&gt;=0.5,-AI286+SQRT(AI286^2+2),1),$B$12)</f>
        <v/>
      </c>
      <c r="AK286">
        <f>IF(AG286&lt;=0,0,AJ286*AH286)</f>
        <v/>
      </c>
      <c r="AL286">
        <f>IF(AD286&lt;=0,0,AD286)</f>
        <v/>
      </c>
      <c r="AM286">
        <f>AL286-AK286+P286</f>
        <v/>
      </c>
      <c r="AN286">
        <f>((AM286/$B$7+T285*AS285/2-T286*MAX(0.1,MIN(0.3,0.3-0.09*(AR285-36.8)))/2)+AR285*(1-AS285/2))/(1-MAX(0.1,MIN(0.3,0.3-0.09*(AR285-36.8)))/2)</f>
        <v/>
      </c>
      <c r="AO286">
        <f>((AM286/$B$7+T285*AS285/2-T286*MAX(0.1,MIN(0.3,0.3-0.09*(AN286-36.8)))/2)+AR285*(1-AS285/2))/(1-MAX(0.1,MIN(0.3,0.3-0.09*(AN286-36.8)))/2)</f>
        <v/>
      </c>
      <c r="AP286">
        <f>((AM286/$B$7+T285*AS285/2-T286*MAX(0.1,MIN(0.3,0.3-0.09*(AO286-36.8)))/2)+AR285*(1-AS285/2))/(1-MAX(0.1,MIN(0.3,0.3-0.09*(AO286-36.8)))/2)</f>
        <v/>
      </c>
      <c r="AQ286">
        <f>((AM286/$B$7+T285*AS285/2-T286*MAX(0.1,MIN(0.3,0.3-0.09*(AP286-36.8)))/2)+AR285*(1-AS285/2))/(1-MAX(0.1,MIN(0.3,0.3-0.09*(AP286-36.8)))/2)</f>
        <v/>
      </c>
      <c r="AR286">
        <f>((AM286/$B$7+T285*AS285/2-T286*MAX(0.1,MIN(0.3,0.3-0.09*(AQ286-36.8)))/2)+AR285*(1-AS285/2))/(1-MAX(0.1,MIN(0.3,0.3-0.09*(AQ286-36.8)))/2)</f>
        <v/>
      </c>
      <c r="AS286">
        <f>MAX(0.1,MIN(0.3,0.3-0.09*(AR286-36.8)))</f>
        <v/>
      </c>
      <c r="AT286">
        <f>AT285+(2*AR286-1.962*AT285-1.31)/9</f>
        <v/>
      </c>
      <c r="AU286">
        <f>AU285+AG286+K286</f>
        <v/>
      </c>
      <c r="AV286">
        <f>AU286*2.67*$B$6/1.8/60</f>
        <v/>
      </c>
      <c r="AW286">
        <f>IF(AT286&gt;=$B$36,1,0)</f>
        <v/>
      </c>
      <c r="AX286">
        <f>IF(AV286&gt;=$B$21,1,0)</f>
        <v/>
      </c>
    </row>
    <row r="287">
      <c r="A287" t="n">
        <v>214</v>
      </c>
      <c r="B287">
        <f>MATCH(A287-1,$D$61:$D$68,1)</f>
        <v/>
      </c>
      <c r="C287">
        <f>INDEX($G$61:$G$68,B287)</f>
        <v/>
      </c>
      <c r="D287">
        <f>INDEX($L$61:$L$68,B287)</f>
        <v/>
      </c>
      <c r="E287">
        <f>INDEX($M$61:$M$68,B287)</f>
        <v/>
      </c>
      <c r="F287">
        <f>INDEX($N$61:$N$68,B287)</f>
        <v/>
      </c>
      <c r="G287">
        <f>INDEX($AA$61:$AA$68,B287)</f>
        <v/>
      </c>
      <c r="H287">
        <f>INDEX($X$61:$X$68,B287)</f>
        <v/>
      </c>
      <c r="I287">
        <f>INDEX($AF$61:$AF$68,B287)</f>
        <v/>
      </c>
      <c r="J287">
        <f>INDEX($AC$61:$AC$68,B287)</f>
        <v/>
      </c>
      <c r="K287">
        <f>INDEX($AD$61:$AD$68,B287)</f>
        <v/>
      </c>
      <c r="L287">
        <f>INDEX($AG$61:$AG$68,B287)</f>
        <v/>
      </c>
      <c r="M287">
        <f>INDEX($AH$61:$AH$68,B287)</f>
        <v/>
      </c>
      <c r="N287">
        <f>INDEX($AI$61:$AI$68,B287)</f>
        <v/>
      </c>
      <c r="O287">
        <f>O286*$B$26+L287*(1-$B$26)</f>
        <v/>
      </c>
      <c r="P287">
        <f>$B$7*(O287-O286)*(1-AS286)</f>
        <v/>
      </c>
      <c r="Q287">
        <f>M287+0.51274*AT286</f>
        <v/>
      </c>
      <c r="R287">
        <f>N287+0.616*AT286</f>
        <v/>
      </c>
      <c r="S287">
        <f>IF($B$13&gt;=0.6,Q287,IF($B$13&lt;=0.2,R287,R287+2.5*(Q287-R287)*($B$13-0.2)))</f>
        <v/>
      </c>
      <c r="T287">
        <f>IF(A287=1,S287,T286*$B$27+S287*(1-$B$27))</f>
        <v/>
      </c>
      <c r="U287">
        <f>0.6105*EXP(17.27*T287/(T287+237.3))</f>
        <v/>
      </c>
      <c r="V287">
        <f>($B$14*(I287*C287+IF(ABS((D287+0.1)-D287)&lt;0.000000001,4*$B$19*$B$20*(D287+273)^3,$B$19*$B$20*(((D287+0.1)+273)^4-(D287+273)^4)/((D287+0.1)-D287))*D287)+T287/H287)/($B$14*(I287+IF(ABS((D287+0.1)-D287)&lt;0.000000001,4*$B$19*$B$20*(D287+273)^3,$B$19*$B$20*(((D287+0.1)+273)^4-(D287+273)^4)/((D287+0.1)-D287)))+1/H287)</f>
        <v/>
      </c>
      <c r="W287">
        <f>($B$14*(I287*C287+IF(ABS(V287-D287)&lt;0.000000001,4*$B$19*$B$20*(D287+273)^3,$B$19*$B$20*((V287+273)^4-(D287+273)^4)/(V287-D287))*D287)+T287/H287)/($B$14*(I287+IF(ABS(V287-D287)&lt;0.000000001,4*$B$19*$B$20*(D287+273)^3,$B$19*$B$20*((V287+273)^4-(D287+273)^4)/(V287-D287)))+1/H287)</f>
        <v/>
      </c>
      <c r="X287">
        <f>($B$14*(I287*C287+IF(ABS(W287-D287)&lt;0.000000001,4*$B$19*$B$20*(D287+273)^3,$B$19*$B$20*((W287+273)^4-(D287+273)^4)/(W287-D287))*D287)+T287/H287)/($B$14*(I287+IF(ABS(W287-D287)&lt;0.000000001,4*$B$19*$B$20*(D287+273)^3,$B$19*$B$20*((W287+273)^4-(D287+273)^4)/(W287-D287)))+1/H287)</f>
        <v/>
      </c>
      <c r="Y287">
        <f>($B$14*(I287*C287+IF(ABS(X287-D287)&lt;0.000000001,4*$B$19*$B$20*(D287+273)^3,$B$19*$B$20*((X287+273)^4-(D287+273)^4)/(X287-D287))*D287)+T287/H287)/($B$14*(I287+IF(ABS(X287-D287)&lt;0.000000001,4*$B$19*$B$20*(D287+273)^3,$B$19*$B$20*((X287+273)^4-(D287+273)^4)/(X287-D287)))+1/H287)</f>
        <v/>
      </c>
      <c r="Z287">
        <f>IF(ABS(Y287-D287)&lt;0.000000001,4*$B$19*$B$20*(D287+273)^3,$B$19*$B$20*((Y287+273)^4-(D287+273)^4)/(Y287-D287))</f>
        <v/>
      </c>
      <c r="AA287">
        <f>$B$14*I287*(Y287-C287)</f>
        <v/>
      </c>
      <c r="AB287">
        <f>$B$14*Z287*(Y287-D287)</f>
        <v/>
      </c>
      <c r="AC287">
        <f>IF((U287-E287)/G287=0,0.001,(U287-E287)/G287)</f>
        <v/>
      </c>
      <c r="AD287">
        <f>F287-P287-J287-K287-AA287-AB287</f>
        <v/>
      </c>
      <c r="AE287">
        <f>AD287/AC287</f>
        <v/>
      </c>
      <c r="AF287">
        <f>IF(AD287&lt;=0,0,IF(AC287&lt;=0,$B$11,IF(AE287&gt;=1.7,$B$11,MIN(AD287/MAX(0.05,IF(AE287&gt;1,(2-AE287)^2/2,1-AE287^2/2)),$B$11))))</f>
        <v/>
      </c>
      <c r="AG287">
        <f>AG286*$B$28+AF287*(1-$B$28)</f>
        <v/>
      </c>
      <c r="AH287">
        <f>IF(AND(AD287&gt;0,AC287&lt;=0),0,AC287)</f>
        <v/>
      </c>
      <c r="AI287">
        <f>AH287/MAX(AG287,0.000001)</f>
        <v/>
      </c>
      <c r="AJ287">
        <f>MIN(IF(AI287&gt;=0.5,-AI287+SQRT(AI287^2+2),1),$B$12)</f>
        <v/>
      </c>
      <c r="AK287">
        <f>IF(AG287&lt;=0,0,AJ287*AH287)</f>
        <v/>
      </c>
      <c r="AL287">
        <f>IF(AD287&lt;=0,0,AD287)</f>
        <v/>
      </c>
      <c r="AM287">
        <f>AL287-AK287+P287</f>
        <v/>
      </c>
      <c r="AN287">
        <f>((AM287/$B$7+T286*AS286/2-T287*MAX(0.1,MIN(0.3,0.3-0.09*(AR286-36.8)))/2)+AR286*(1-AS286/2))/(1-MAX(0.1,MIN(0.3,0.3-0.09*(AR286-36.8)))/2)</f>
        <v/>
      </c>
      <c r="AO287">
        <f>((AM287/$B$7+T286*AS286/2-T287*MAX(0.1,MIN(0.3,0.3-0.09*(AN287-36.8)))/2)+AR286*(1-AS286/2))/(1-MAX(0.1,MIN(0.3,0.3-0.09*(AN287-36.8)))/2)</f>
        <v/>
      </c>
      <c r="AP287">
        <f>((AM287/$B$7+T286*AS286/2-T287*MAX(0.1,MIN(0.3,0.3-0.09*(AO287-36.8)))/2)+AR286*(1-AS286/2))/(1-MAX(0.1,MIN(0.3,0.3-0.09*(AO287-36.8)))/2)</f>
        <v/>
      </c>
      <c r="AQ287">
        <f>((AM287/$B$7+T286*AS286/2-T287*MAX(0.1,MIN(0.3,0.3-0.09*(AP287-36.8)))/2)+AR286*(1-AS286/2))/(1-MAX(0.1,MIN(0.3,0.3-0.09*(AP287-36.8)))/2)</f>
        <v/>
      </c>
      <c r="AR287">
        <f>((AM287/$B$7+T286*AS286/2-T287*MAX(0.1,MIN(0.3,0.3-0.09*(AQ287-36.8)))/2)+AR286*(1-AS286/2))/(1-MAX(0.1,MIN(0.3,0.3-0.09*(AQ287-36.8)))/2)</f>
        <v/>
      </c>
      <c r="AS287">
        <f>MAX(0.1,MIN(0.3,0.3-0.09*(AR287-36.8)))</f>
        <v/>
      </c>
      <c r="AT287">
        <f>AT286+(2*AR287-1.962*AT286-1.31)/9</f>
        <v/>
      </c>
      <c r="AU287">
        <f>AU286+AG287+K287</f>
        <v/>
      </c>
      <c r="AV287">
        <f>AU287*2.67*$B$6/1.8/60</f>
        <v/>
      </c>
      <c r="AW287">
        <f>IF(AT287&gt;=$B$36,1,0)</f>
        <v/>
      </c>
      <c r="AX287">
        <f>IF(AV287&gt;=$B$21,1,0)</f>
        <v/>
      </c>
    </row>
    <row r="288">
      <c r="A288" t="n">
        <v>215</v>
      </c>
      <c r="B288">
        <f>MATCH(A288-1,$D$61:$D$68,1)</f>
        <v/>
      </c>
      <c r="C288">
        <f>INDEX($G$61:$G$68,B288)</f>
        <v/>
      </c>
      <c r="D288">
        <f>INDEX($L$61:$L$68,B288)</f>
        <v/>
      </c>
      <c r="E288">
        <f>INDEX($M$61:$M$68,B288)</f>
        <v/>
      </c>
      <c r="F288">
        <f>INDEX($N$61:$N$68,B288)</f>
        <v/>
      </c>
      <c r="G288">
        <f>INDEX($AA$61:$AA$68,B288)</f>
        <v/>
      </c>
      <c r="H288">
        <f>INDEX($X$61:$X$68,B288)</f>
        <v/>
      </c>
      <c r="I288">
        <f>INDEX($AF$61:$AF$68,B288)</f>
        <v/>
      </c>
      <c r="J288">
        <f>INDEX($AC$61:$AC$68,B288)</f>
        <v/>
      </c>
      <c r="K288">
        <f>INDEX($AD$61:$AD$68,B288)</f>
        <v/>
      </c>
      <c r="L288">
        <f>INDEX($AG$61:$AG$68,B288)</f>
        <v/>
      </c>
      <c r="M288">
        <f>INDEX($AH$61:$AH$68,B288)</f>
        <v/>
      </c>
      <c r="N288">
        <f>INDEX($AI$61:$AI$68,B288)</f>
        <v/>
      </c>
      <c r="O288">
        <f>O287*$B$26+L288*(1-$B$26)</f>
        <v/>
      </c>
      <c r="P288">
        <f>$B$7*(O288-O287)*(1-AS287)</f>
        <v/>
      </c>
      <c r="Q288">
        <f>M288+0.51274*AT287</f>
        <v/>
      </c>
      <c r="R288">
        <f>N288+0.616*AT287</f>
        <v/>
      </c>
      <c r="S288">
        <f>IF($B$13&gt;=0.6,Q288,IF($B$13&lt;=0.2,R288,R288+2.5*(Q288-R288)*($B$13-0.2)))</f>
        <v/>
      </c>
      <c r="T288">
        <f>IF(A288=1,S288,T287*$B$27+S288*(1-$B$27))</f>
        <v/>
      </c>
      <c r="U288">
        <f>0.6105*EXP(17.27*T288/(T288+237.3))</f>
        <v/>
      </c>
      <c r="V288">
        <f>($B$14*(I288*C288+IF(ABS((D288+0.1)-D288)&lt;0.000000001,4*$B$19*$B$20*(D288+273)^3,$B$19*$B$20*(((D288+0.1)+273)^4-(D288+273)^4)/((D288+0.1)-D288))*D288)+T288/H288)/($B$14*(I288+IF(ABS((D288+0.1)-D288)&lt;0.000000001,4*$B$19*$B$20*(D288+273)^3,$B$19*$B$20*(((D288+0.1)+273)^4-(D288+273)^4)/((D288+0.1)-D288)))+1/H288)</f>
        <v/>
      </c>
      <c r="W288">
        <f>($B$14*(I288*C288+IF(ABS(V288-D288)&lt;0.000000001,4*$B$19*$B$20*(D288+273)^3,$B$19*$B$20*((V288+273)^4-(D288+273)^4)/(V288-D288))*D288)+T288/H288)/($B$14*(I288+IF(ABS(V288-D288)&lt;0.000000001,4*$B$19*$B$20*(D288+273)^3,$B$19*$B$20*((V288+273)^4-(D288+273)^4)/(V288-D288)))+1/H288)</f>
        <v/>
      </c>
      <c r="X288">
        <f>($B$14*(I288*C288+IF(ABS(W288-D288)&lt;0.000000001,4*$B$19*$B$20*(D288+273)^3,$B$19*$B$20*((W288+273)^4-(D288+273)^4)/(W288-D288))*D288)+T288/H288)/($B$14*(I288+IF(ABS(W288-D288)&lt;0.000000001,4*$B$19*$B$20*(D288+273)^3,$B$19*$B$20*((W288+273)^4-(D288+273)^4)/(W288-D288)))+1/H288)</f>
        <v/>
      </c>
      <c r="Y288">
        <f>($B$14*(I288*C288+IF(ABS(X288-D288)&lt;0.000000001,4*$B$19*$B$20*(D288+273)^3,$B$19*$B$20*((X288+273)^4-(D288+273)^4)/(X288-D288))*D288)+T288/H288)/($B$14*(I288+IF(ABS(X288-D288)&lt;0.000000001,4*$B$19*$B$20*(D288+273)^3,$B$19*$B$20*((X288+273)^4-(D288+273)^4)/(X288-D288)))+1/H288)</f>
        <v/>
      </c>
      <c r="Z288">
        <f>IF(ABS(Y288-D288)&lt;0.000000001,4*$B$19*$B$20*(D288+273)^3,$B$19*$B$20*((Y288+273)^4-(D288+273)^4)/(Y288-D288))</f>
        <v/>
      </c>
      <c r="AA288">
        <f>$B$14*I288*(Y288-C288)</f>
        <v/>
      </c>
      <c r="AB288">
        <f>$B$14*Z288*(Y288-D288)</f>
        <v/>
      </c>
      <c r="AC288">
        <f>IF((U288-E288)/G288=0,0.001,(U288-E288)/G288)</f>
        <v/>
      </c>
      <c r="AD288">
        <f>F288-P288-J288-K288-AA288-AB288</f>
        <v/>
      </c>
      <c r="AE288">
        <f>AD288/AC288</f>
        <v/>
      </c>
      <c r="AF288">
        <f>IF(AD288&lt;=0,0,IF(AC288&lt;=0,$B$11,IF(AE288&gt;=1.7,$B$11,MIN(AD288/MAX(0.05,IF(AE288&gt;1,(2-AE288)^2/2,1-AE288^2/2)),$B$11))))</f>
        <v/>
      </c>
      <c r="AG288">
        <f>AG287*$B$28+AF288*(1-$B$28)</f>
        <v/>
      </c>
      <c r="AH288">
        <f>IF(AND(AD288&gt;0,AC288&lt;=0),0,AC288)</f>
        <v/>
      </c>
      <c r="AI288">
        <f>AH288/MAX(AG288,0.000001)</f>
        <v/>
      </c>
      <c r="AJ288">
        <f>MIN(IF(AI288&gt;=0.5,-AI288+SQRT(AI288^2+2),1),$B$12)</f>
        <v/>
      </c>
      <c r="AK288">
        <f>IF(AG288&lt;=0,0,AJ288*AH288)</f>
        <v/>
      </c>
      <c r="AL288">
        <f>IF(AD288&lt;=0,0,AD288)</f>
        <v/>
      </c>
      <c r="AM288">
        <f>AL288-AK288+P288</f>
        <v/>
      </c>
      <c r="AN288">
        <f>((AM288/$B$7+T287*AS287/2-T288*MAX(0.1,MIN(0.3,0.3-0.09*(AR287-36.8)))/2)+AR287*(1-AS287/2))/(1-MAX(0.1,MIN(0.3,0.3-0.09*(AR287-36.8)))/2)</f>
        <v/>
      </c>
      <c r="AO288">
        <f>((AM288/$B$7+T287*AS287/2-T288*MAX(0.1,MIN(0.3,0.3-0.09*(AN288-36.8)))/2)+AR287*(1-AS287/2))/(1-MAX(0.1,MIN(0.3,0.3-0.09*(AN288-36.8)))/2)</f>
        <v/>
      </c>
      <c r="AP288">
        <f>((AM288/$B$7+T287*AS287/2-T288*MAX(0.1,MIN(0.3,0.3-0.09*(AO288-36.8)))/2)+AR287*(1-AS287/2))/(1-MAX(0.1,MIN(0.3,0.3-0.09*(AO288-36.8)))/2)</f>
        <v/>
      </c>
      <c r="AQ288">
        <f>((AM288/$B$7+T287*AS287/2-T288*MAX(0.1,MIN(0.3,0.3-0.09*(AP288-36.8)))/2)+AR287*(1-AS287/2))/(1-MAX(0.1,MIN(0.3,0.3-0.09*(AP288-36.8)))/2)</f>
        <v/>
      </c>
      <c r="AR288">
        <f>((AM288/$B$7+T287*AS287/2-T288*MAX(0.1,MIN(0.3,0.3-0.09*(AQ288-36.8)))/2)+AR287*(1-AS287/2))/(1-MAX(0.1,MIN(0.3,0.3-0.09*(AQ288-36.8)))/2)</f>
        <v/>
      </c>
      <c r="AS288">
        <f>MAX(0.1,MIN(0.3,0.3-0.09*(AR288-36.8)))</f>
        <v/>
      </c>
      <c r="AT288">
        <f>AT287+(2*AR288-1.962*AT287-1.31)/9</f>
        <v/>
      </c>
      <c r="AU288">
        <f>AU287+AG288+K288</f>
        <v/>
      </c>
      <c r="AV288">
        <f>AU288*2.67*$B$6/1.8/60</f>
        <v/>
      </c>
      <c r="AW288">
        <f>IF(AT288&gt;=$B$36,1,0)</f>
        <v/>
      </c>
      <c r="AX288">
        <f>IF(AV288&gt;=$B$21,1,0)</f>
        <v/>
      </c>
    </row>
    <row r="289">
      <c r="A289" t="n">
        <v>216</v>
      </c>
      <c r="B289">
        <f>MATCH(A289-1,$D$61:$D$68,1)</f>
        <v/>
      </c>
      <c r="C289">
        <f>INDEX($G$61:$G$68,B289)</f>
        <v/>
      </c>
      <c r="D289">
        <f>INDEX($L$61:$L$68,B289)</f>
        <v/>
      </c>
      <c r="E289">
        <f>INDEX($M$61:$M$68,B289)</f>
        <v/>
      </c>
      <c r="F289">
        <f>INDEX($N$61:$N$68,B289)</f>
        <v/>
      </c>
      <c r="G289">
        <f>INDEX($AA$61:$AA$68,B289)</f>
        <v/>
      </c>
      <c r="H289">
        <f>INDEX($X$61:$X$68,B289)</f>
        <v/>
      </c>
      <c r="I289">
        <f>INDEX($AF$61:$AF$68,B289)</f>
        <v/>
      </c>
      <c r="J289">
        <f>INDEX($AC$61:$AC$68,B289)</f>
        <v/>
      </c>
      <c r="K289">
        <f>INDEX($AD$61:$AD$68,B289)</f>
        <v/>
      </c>
      <c r="L289">
        <f>INDEX($AG$61:$AG$68,B289)</f>
        <v/>
      </c>
      <c r="M289">
        <f>INDEX($AH$61:$AH$68,B289)</f>
        <v/>
      </c>
      <c r="N289">
        <f>INDEX($AI$61:$AI$68,B289)</f>
        <v/>
      </c>
      <c r="O289">
        <f>O288*$B$26+L289*(1-$B$26)</f>
        <v/>
      </c>
      <c r="P289">
        <f>$B$7*(O289-O288)*(1-AS288)</f>
        <v/>
      </c>
      <c r="Q289">
        <f>M289+0.51274*AT288</f>
        <v/>
      </c>
      <c r="R289">
        <f>N289+0.616*AT288</f>
        <v/>
      </c>
      <c r="S289">
        <f>IF($B$13&gt;=0.6,Q289,IF($B$13&lt;=0.2,R289,R289+2.5*(Q289-R289)*($B$13-0.2)))</f>
        <v/>
      </c>
      <c r="T289">
        <f>IF(A289=1,S289,T288*$B$27+S289*(1-$B$27))</f>
        <v/>
      </c>
      <c r="U289">
        <f>0.6105*EXP(17.27*T289/(T289+237.3))</f>
        <v/>
      </c>
      <c r="V289">
        <f>($B$14*(I289*C289+IF(ABS((D289+0.1)-D289)&lt;0.000000001,4*$B$19*$B$20*(D289+273)^3,$B$19*$B$20*(((D289+0.1)+273)^4-(D289+273)^4)/((D289+0.1)-D289))*D289)+T289/H289)/($B$14*(I289+IF(ABS((D289+0.1)-D289)&lt;0.000000001,4*$B$19*$B$20*(D289+273)^3,$B$19*$B$20*(((D289+0.1)+273)^4-(D289+273)^4)/((D289+0.1)-D289)))+1/H289)</f>
        <v/>
      </c>
      <c r="W289">
        <f>($B$14*(I289*C289+IF(ABS(V289-D289)&lt;0.000000001,4*$B$19*$B$20*(D289+273)^3,$B$19*$B$20*((V289+273)^4-(D289+273)^4)/(V289-D289))*D289)+T289/H289)/($B$14*(I289+IF(ABS(V289-D289)&lt;0.000000001,4*$B$19*$B$20*(D289+273)^3,$B$19*$B$20*((V289+273)^4-(D289+273)^4)/(V289-D289)))+1/H289)</f>
        <v/>
      </c>
      <c r="X289">
        <f>($B$14*(I289*C289+IF(ABS(W289-D289)&lt;0.000000001,4*$B$19*$B$20*(D289+273)^3,$B$19*$B$20*((W289+273)^4-(D289+273)^4)/(W289-D289))*D289)+T289/H289)/($B$14*(I289+IF(ABS(W289-D289)&lt;0.000000001,4*$B$19*$B$20*(D289+273)^3,$B$19*$B$20*((W289+273)^4-(D289+273)^4)/(W289-D289)))+1/H289)</f>
        <v/>
      </c>
      <c r="Y289">
        <f>($B$14*(I289*C289+IF(ABS(X289-D289)&lt;0.000000001,4*$B$19*$B$20*(D289+273)^3,$B$19*$B$20*((X289+273)^4-(D289+273)^4)/(X289-D289))*D289)+T289/H289)/($B$14*(I289+IF(ABS(X289-D289)&lt;0.000000001,4*$B$19*$B$20*(D289+273)^3,$B$19*$B$20*((X289+273)^4-(D289+273)^4)/(X289-D289)))+1/H289)</f>
        <v/>
      </c>
      <c r="Z289">
        <f>IF(ABS(Y289-D289)&lt;0.000000001,4*$B$19*$B$20*(D289+273)^3,$B$19*$B$20*((Y289+273)^4-(D289+273)^4)/(Y289-D289))</f>
        <v/>
      </c>
      <c r="AA289">
        <f>$B$14*I289*(Y289-C289)</f>
        <v/>
      </c>
      <c r="AB289">
        <f>$B$14*Z289*(Y289-D289)</f>
        <v/>
      </c>
      <c r="AC289">
        <f>IF((U289-E289)/G289=0,0.001,(U289-E289)/G289)</f>
        <v/>
      </c>
      <c r="AD289">
        <f>F289-P289-J289-K289-AA289-AB289</f>
        <v/>
      </c>
      <c r="AE289">
        <f>AD289/AC289</f>
        <v/>
      </c>
      <c r="AF289">
        <f>IF(AD289&lt;=0,0,IF(AC289&lt;=0,$B$11,IF(AE289&gt;=1.7,$B$11,MIN(AD289/MAX(0.05,IF(AE289&gt;1,(2-AE289)^2/2,1-AE289^2/2)),$B$11))))</f>
        <v/>
      </c>
      <c r="AG289">
        <f>AG288*$B$28+AF289*(1-$B$28)</f>
        <v/>
      </c>
      <c r="AH289">
        <f>IF(AND(AD289&gt;0,AC289&lt;=0),0,AC289)</f>
        <v/>
      </c>
      <c r="AI289">
        <f>AH289/MAX(AG289,0.000001)</f>
        <v/>
      </c>
      <c r="AJ289">
        <f>MIN(IF(AI289&gt;=0.5,-AI289+SQRT(AI289^2+2),1),$B$12)</f>
        <v/>
      </c>
      <c r="AK289">
        <f>IF(AG289&lt;=0,0,AJ289*AH289)</f>
        <v/>
      </c>
      <c r="AL289">
        <f>IF(AD289&lt;=0,0,AD289)</f>
        <v/>
      </c>
      <c r="AM289">
        <f>AL289-AK289+P289</f>
        <v/>
      </c>
      <c r="AN289">
        <f>((AM289/$B$7+T288*AS288/2-T289*MAX(0.1,MIN(0.3,0.3-0.09*(AR288-36.8)))/2)+AR288*(1-AS288/2))/(1-MAX(0.1,MIN(0.3,0.3-0.09*(AR288-36.8)))/2)</f>
        <v/>
      </c>
      <c r="AO289">
        <f>((AM289/$B$7+T288*AS288/2-T289*MAX(0.1,MIN(0.3,0.3-0.09*(AN289-36.8)))/2)+AR288*(1-AS288/2))/(1-MAX(0.1,MIN(0.3,0.3-0.09*(AN289-36.8)))/2)</f>
        <v/>
      </c>
      <c r="AP289">
        <f>((AM289/$B$7+T288*AS288/2-T289*MAX(0.1,MIN(0.3,0.3-0.09*(AO289-36.8)))/2)+AR288*(1-AS288/2))/(1-MAX(0.1,MIN(0.3,0.3-0.09*(AO289-36.8)))/2)</f>
        <v/>
      </c>
      <c r="AQ289">
        <f>((AM289/$B$7+T288*AS288/2-T289*MAX(0.1,MIN(0.3,0.3-0.09*(AP289-36.8)))/2)+AR288*(1-AS288/2))/(1-MAX(0.1,MIN(0.3,0.3-0.09*(AP289-36.8)))/2)</f>
        <v/>
      </c>
      <c r="AR289">
        <f>((AM289/$B$7+T288*AS288/2-T289*MAX(0.1,MIN(0.3,0.3-0.09*(AQ289-36.8)))/2)+AR288*(1-AS288/2))/(1-MAX(0.1,MIN(0.3,0.3-0.09*(AQ289-36.8)))/2)</f>
        <v/>
      </c>
      <c r="AS289">
        <f>MAX(0.1,MIN(0.3,0.3-0.09*(AR289-36.8)))</f>
        <v/>
      </c>
      <c r="AT289">
        <f>AT288+(2*AR289-1.962*AT288-1.31)/9</f>
        <v/>
      </c>
      <c r="AU289">
        <f>AU288+AG289+K289</f>
        <v/>
      </c>
      <c r="AV289">
        <f>AU289*2.67*$B$6/1.8/60</f>
        <v/>
      </c>
      <c r="AW289">
        <f>IF(AT289&gt;=$B$36,1,0)</f>
        <v/>
      </c>
      <c r="AX289">
        <f>IF(AV289&gt;=$B$21,1,0)</f>
        <v/>
      </c>
    </row>
    <row r="290">
      <c r="A290" t="n">
        <v>217</v>
      </c>
      <c r="B290">
        <f>MATCH(A290-1,$D$61:$D$68,1)</f>
        <v/>
      </c>
      <c r="C290">
        <f>INDEX($G$61:$G$68,B290)</f>
        <v/>
      </c>
      <c r="D290">
        <f>INDEX($L$61:$L$68,B290)</f>
        <v/>
      </c>
      <c r="E290">
        <f>INDEX($M$61:$M$68,B290)</f>
        <v/>
      </c>
      <c r="F290">
        <f>INDEX($N$61:$N$68,B290)</f>
        <v/>
      </c>
      <c r="G290">
        <f>INDEX($AA$61:$AA$68,B290)</f>
        <v/>
      </c>
      <c r="H290">
        <f>INDEX($X$61:$X$68,B290)</f>
        <v/>
      </c>
      <c r="I290">
        <f>INDEX($AF$61:$AF$68,B290)</f>
        <v/>
      </c>
      <c r="J290">
        <f>INDEX($AC$61:$AC$68,B290)</f>
        <v/>
      </c>
      <c r="K290">
        <f>INDEX($AD$61:$AD$68,B290)</f>
        <v/>
      </c>
      <c r="L290">
        <f>INDEX($AG$61:$AG$68,B290)</f>
        <v/>
      </c>
      <c r="M290">
        <f>INDEX($AH$61:$AH$68,B290)</f>
        <v/>
      </c>
      <c r="N290">
        <f>INDEX($AI$61:$AI$68,B290)</f>
        <v/>
      </c>
      <c r="O290">
        <f>O289*$B$26+L290*(1-$B$26)</f>
        <v/>
      </c>
      <c r="P290">
        <f>$B$7*(O290-O289)*(1-AS289)</f>
        <v/>
      </c>
      <c r="Q290">
        <f>M290+0.51274*AT289</f>
        <v/>
      </c>
      <c r="R290">
        <f>N290+0.616*AT289</f>
        <v/>
      </c>
      <c r="S290">
        <f>IF($B$13&gt;=0.6,Q290,IF($B$13&lt;=0.2,R290,R290+2.5*(Q290-R290)*($B$13-0.2)))</f>
        <v/>
      </c>
      <c r="T290">
        <f>IF(A290=1,S290,T289*$B$27+S290*(1-$B$27))</f>
        <v/>
      </c>
      <c r="U290">
        <f>0.6105*EXP(17.27*T290/(T290+237.3))</f>
        <v/>
      </c>
      <c r="V290">
        <f>($B$14*(I290*C290+IF(ABS((D290+0.1)-D290)&lt;0.000000001,4*$B$19*$B$20*(D290+273)^3,$B$19*$B$20*(((D290+0.1)+273)^4-(D290+273)^4)/((D290+0.1)-D290))*D290)+T290/H290)/($B$14*(I290+IF(ABS((D290+0.1)-D290)&lt;0.000000001,4*$B$19*$B$20*(D290+273)^3,$B$19*$B$20*(((D290+0.1)+273)^4-(D290+273)^4)/((D290+0.1)-D290)))+1/H290)</f>
        <v/>
      </c>
      <c r="W290">
        <f>($B$14*(I290*C290+IF(ABS(V290-D290)&lt;0.000000001,4*$B$19*$B$20*(D290+273)^3,$B$19*$B$20*((V290+273)^4-(D290+273)^4)/(V290-D290))*D290)+T290/H290)/($B$14*(I290+IF(ABS(V290-D290)&lt;0.000000001,4*$B$19*$B$20*(D290+273)^3,$B$19*$B$20*((V290+273)^4-(D290+273)^4)/(V290-D290)))+1/H290)</f>
        <v/>
      </c>
      <c r="X290">
        <f>($B$14*(I290*C290+IF(ABS(W290-D290)&lt;0.000000001,4*$B$19*$B$20*(D290+273)^3,$B$19*$B$20*((W290+273)^4-(D290+273)^4)/(W290-D290))*D290)+T290/H290)/($B$14*(I290+IF(ABS(W290-D290)&lt;0.000000001,4*$B$19*$B$20*(D290+273)^3,$B$19*$B$20*((W290+273)^4-(D290+273)^4)/(W290-D290)))+1/H290)</f>
        <v/>
      </c>
      <c r="Y290">
        <f>($B$14*(I290*C290+IF(ABS(X290-D290)&lt;0.000000001,4*$B$19*$B$20*(D290+273)^3,$B$19*$B$20*((X290+273)^4-(D290+273)^4)/(X290-D290))*D290)+T290/H290)/($B$14*(I290+IF(ABS(X290-D290)&lt;0.000000001,4*$B$19*$B$20*(D290+273)^3,$B$19*$B$20*((X290+273)^4-(D290+273)^4)/(X290-D290)))+1/H290)</f>
        <v/>
      </c>
      <c r="Z290">
        <f>IF(ABS(Y290-D290)&lt;0.000000001,4*$B$19*$B$20*(D290+273)^3,$B$19*$B$20*((Y290+273)^4-(D290+273)^4)/(Y290-D290))</f>
        <v/>
      </c>
      <c r="AA290">
        <f>$B$14*I290*(Y290-C290)</f>
        <v/>
      </c>
      <c r="AB290">
        <f>$B$14*Z290*(Y290-D290)</f>
        <v/>
      </c>
      <c r="AC290">
        <f>IF((U290-E290)/G290=0,0.001,(U290-E290)/G290)</f>
        <v/>
      </c>
      <c r="AD290">
        <f>F290-P290-J290-K290-AA290-AB290</f>
        <v/>
      </c>
      <c r="AE290">
        <f>AD290/AC290</f>
        <v/>
      </c>
      <c r="AF290">
        <f>IF(AD290&lt;=0,0,IF(AC290&lt;=0,$B$11,IF(AE290&gt;=1.7,$B$11,MIN(AD290/MAX(0.05,IF(AE290&gt;1,(2-AE290)^2/2,1-AE290^2/2)),$B$11))))</f>
        <v/>
      </c>
      <c r="AG290">
        <f>AG289*$B$28+AF290*(1-$B$28)</f>
        <v/>
      </c>
      <c r="AH290">
        <f>IF(AND(AD290&gt;0,AC290&lt;=0),0,AC290)</f>
        <v/>
      </c>
      <c r="AI290">
        <f>AH290/MAX(AG290,0.000001)</f>
        <v/>
      </c>
      <c r="AJ290">
        <f>MIN(IF(AI290&gt;=0.5,-AI290+SQRT(AI290^2+2),1),$B$12)</f>
        <v/>
      </c>
      <c r="AK290">
        <f>IF(AG290&lt;=0,0,AJ290*AH290)</f>
        <v/>
      </c>
      <c r="AL290">
        <f>IF(AD290&lt;=0,0,AD290)</f>
        <v/>
      </c>
      <c r="AM290">
        <f>AL290-AK290+P290</f>
        <v/>
      </c>
      <c r="AN290">
        <f>((AM290/$B$7+T289*AS289/2-T290*MAX(0.1,MIN(0.3,0.3-0.09*(AR289-36.8)))/2)+AR289*(1-AS289/2))/(1-MAX(0.1,MIN(0.3,0.3-0.09*(AR289-36.8)))/2)</f>
        <v/>
      </c>
      <c r="AO290">
        <f>((AM290/$B$7+T289*AS289/2-T290*MAX(0.1,MIN(0.3,0.3-0.09*(AN290-36.8)))/2)+AR289*(1-AS289/2))/(1-MAX(0.1,MIN(0.3,0.3-0.09*(AN290-36.8)))/2)</f>
        <v/>
      </c>
      <c r="AP290">
        <f>((AM290/$B$7+T289*AS289/2-T290*MAX(0.1,MIN(0.3,0.3-0.09*(AO290-36.8)))/2)+AR289*(1-AS289/2))/(1-MAX(0.1,MIN(0.3,0.3-0.09*(AO290-36.8)))/2)</f>
        <v/>
      </c>
      <c r="AQ290">
        <f>((AM290/$B$7+T289*AS289/2-T290*MAX(0.1,MIN(0.3,0.3-0.09*(AP290-36.8)))/2)+AR289*(1-AS289/2))/(1-MAX(0.1,MIN(0.3,0.3-0.09*(AP290-36.8)))/2)</f>
        <v/>
      </c>
      <c r="AR290">
        <f>((AM290/$B$7+T289*AS289/2-T290*MAX(0.1,MIN(0.3,0.3-0.09*(AQ290-36.8)))/2)+AR289*(1-AS289/2))/(1-MAX(0.1,MIN(0.3,0.3-0.09*(AQ290-36.8)))/2)</f>
        <v/>
      </c>
      <c r="AS290">
        <f>MAX(0.1,MIN(0.3,0.3-0.09*(AR290-36.8)))</f>
        <v/>
      </c>
      <c r="AT290">
        <f>AT289+(2*AR290-1.962*AT289-1.31)/9</f>
        <v/>
      </c>
      <c r="AU290">
        <f>AU289+AG290+K290</f>
        <v/>
      </c>
      <c r="AV290">
        <f>AU290*2.67*$B$6/1.8/60</f>
        <v/>
      </c>
      <c r="AW290">
        <f>IF(AT290&gt;=$B$36,1,0)</f>
        <v/>
      </c>
      <c r="AX290">
        <f>IF(AV290&gt;=$B$21,1,0)</f>
        <v/>
      </c>
    </row>
    <row r="291">
      <c r="A291" t="n">
        <v>218</v>
      </c>
      <c r="B291">
        <f>MATCH(A291-1,$D$61:$D$68,1)</f>
        <v/>
      </c>
      <c r="C291">
        <f>INDEX($G$61:$G$68,B291)</f>
        <v/>
      </c>
      <c r="D291">
        <f>INDEX($L$61:$L$68,B291)</f>
        <v/>
      </c>
      <c r="E291">
        <f>INDEX($M$61:$M$68,B291)</f>
        <v/>
      </c>
      <c r="F291">
        <f>INDEX($N$61:$N$68,B291)</f>
        <v/>
      </c>
      <c r="G291">
        <f>INDEX($AA$61:$AA$68,B291)</f>
        <v/>
      </c>
      <c r="H291">
        <f>INDEX($X$61:$X$68,B291)</f>
        <v/>
      </c>
      <c r="I291">
        <f>INDEX($AF$61:$AF$68,B291)</f>
        <v/>
      </c>
      <c r="J291">
        <f>INDEX($AC$61:$AC$68,B291)</f>
        <v/>
      </c>
      <c r="K291">
        <f>INDEX($AD$61:$AD$68,B291)</f>
        <v/>
      </c>
      <c r="L291">
        <f>INDEX($AG$61:$AG$68,B291)</f>
        <v/>
      </c>
      <c r="M291">
        <f>INDEX($AH$61:$AH$68,B291)</f>
        <v/>
      </c>
      <c r="N291">
        <f>INDEX($AI$61:$AI$68,B291)</f>
        <v/>
      </c>
      <c r="O291">
        <f>O290*$B$26+L291*(1-$B$26)</f>
        <v/>
      </c>
      <c r="P291">
        <f>$B$7*(O291-O290)*(1-AS290)</f>
        <v/>
      </c>
      <c r="Q291">
        <f>M291+0.51274*AT290</f>
        <v/>
      </c>
      <c r="R291">
        <f>N291+0.616*AT290</f>
        <v/>
      </c>
      <c r="S291">
        <f>IF($B$13&gt;=0.6,Q291,IF($B$13&lt;=0.2,R291,R291+2.5*(Q291-R291)*($B$13-0.2)))</f>
        <v/>
      </c>
      <c r="T291">
        <f>IF(A291=1,S291,T290*$B$27+S291*(1-$B$27))</f>
        <v/>
      </c>
      <c r="U291">
        <f>0.6105*EXP(17.27*T291/(T291+237.3))</f>
        <v/>
      </c>
      <c r="V291">
        <f>($B$14*(I291*C291+IF(ABS((D291+0.1)-D291)&lt;0.000000001,4*$B$19*$B$20*(D291+273)^3,$B$19*$B$20*(((D291+0.1)+273)^4-(D291+273)^4)/((D291+0.1)-D291))*D291)+T291/H291)/($B$14*(I291+IF(ABS((D291+0.1)-D291)&lt;0.000000001,4*$B$19*$B$20*(D291+273)^3,$B$19*$B$20*(((D291+0.1)+273)^4-(D291+273)^4)/((D291+0.1)-D291)))+1/H291)</f>
        <v/>
      </c>
      <c r="W291">
        <f>($B$14*(I291*C291+IF(ABS(V291-D291)&lt;0.000000001,4*$B$19*$B$20*(D291+273)^3,$B$19*$B$20*((V291+273)^4-(D291+273)^4)/(V291-D291))*D291)+T291/H291)/($B$14*(I291+IF(ABS(V291-D291)&lt;0.000000001,4*$B$19*$B$20*(D291+273)^3,$B$19*$B$20*((V291+273)^4-(D291+273)^4)/(V291-D291)))+1/H291)</f>
        <v/>
      </c>
      <c r="X291">
        <f>($B$14*(I291*C291+IF(ABS(W291-D291)&lt;0.000000001,4*$B$19*$B$20*(D291+273)^3,$B$19*$B$20*((W291+273)^4-(D291+273)^4)/(W291-D291))*D291)+T291/H291)/($B$14*(I291+IF(ABS(W291-D291)&lt;0.000000001,4*$B$19*$B$20*(D291+273)^3,$B$19*$B$20*((W291+273)^4-(D291+273)^4)/(W291-D291)))+1/H291)</f>
        <v/>
      </c>
      <c r="Y291">
        <f>($B$14*(I291*C291+IF(ABS(X291-D291)&lt;0.000000001,4*$B$19*$B$20*(D291+273)^3,$B$19*$B$20*((X291+273)^4-(D291+273)^4)/(X291-D291))*D291)+T291/H291)/($B$14*(I291+IF(ABS(X291-D291)&lt;0.000000001,4*$B$19*$B$20*(D291+273)^3,$B$19*$B$20*((X291+273)^4-(D291+273)^4)/(X291-D291)))+1/H291)</f>
        <v/>
      </c>
      <c r="Z291">
        <f>IF(ABS(Y291-D291)&lt;0.000000001,4*$B$19*$B$20*(D291+273)^3,$B$19*$B$20*((Y291+273)^4-(D291+273)^4)/(Y291-D291))</f>
        <v/>
      </c>
      <c r="AA291">
        <f>$B$14*I291*(Y291-C291)</f>
        <v/>
      </c>
      <c r="AB291">
        <f>$B$14*Z291*(Y291-D291)</f>
        <v/>
      </c>
      <c r="AC291">
        <f>IF((U291-E291)/G291=0,0.001,(U291-E291)/G291)</f>
        <v/>
      </c>
      <c r="AD291">
        <f>F291-P291-J291-K291-AA291-AB291</f>
        <v/>
      </c>
      <c r="AE291">
        <f>AD291/AC291</f>
        <v/>
      </c>
      <c r="AF291">
        <f>IF(AD291&lt;=0,0,IF(AC291&lt;=0,$B$11,IF(AE291&gt;=1.7,$B$11,MIN(AD291/MAX(0.05,IF(AE291&gt;1,(2-AE291)^2/2,1-AE291^2/2)),$B$11))))</f>
        <v/>
      </c>
      <c r="AG291">
        <f>AG290*$B$28+AF291*(1-$B$28)</f>
        <v/>
      </c>
      <c r="AH291">
        <f>IF(AND(AD291&gt;0,AC291&lt;=0),0,AC291)</f>
        <v/>
      </c>
      <c r="AI291">
        <f>AH291/MAX(AG291,0.000001)</f>
        <v/>
      </c>
      <c r="AJ291">
        <f>MIN(IF(AI291&gt;=0.5,-AI291+SQRT(AI291^2+2),1),$B$12)</f>
        <v/>
      </c>
      <c r="AK291">
        <f>IF(AG291&lt;=0,0,AJ291*AH291)</f>
        <v/>
      </c>
      <c r="AL291">
        <f>IF(AD291&lt;=0,0,AD291)</f>
        <v/>
      </c>
      <c r="AM291">
        <f>AL291-AK291+P291</f>
        <v/>
      </c>
      <c r="AN291">
        <f>((AM291/$B$7+T290*AS290/2-T291*MAX(0.1,MIN(0.3,0.3-0.09*(AR290-36.8)))/2)+AR290*(1-AS290/2))/(1-MAX(0.1,MIN(0.3,0.3-0.09*(AR290-36.8)))/2)</f>
        <v/>
      </c>
      <c r="AO291">
        <f>((AM291/$B$7+T290*AS290/2-T291*MAX(0.1,MIN(0.3,0.3-0.09*(AN291-36.8)))/2)+AR290*(1-AS290/2))/(1-MAX(0.1,MIN(0.3,0.3-0.09*(AN291-36.8)))/2)</f>
        <v/>
      </c>
      <c r="AP291">
        <f>((AM291/$B$7+T290*AS290/2-T291*MAX(0.1,MIN(0.3,0.3-0.09*(AO291-36.8)))/2)+AR290*(1-AS290/2))/(1-MAX(0.1,MIN(0.3,0.3-0.09*(AO291-36.8)))/2)</f>
        <v/>
      </c>
      <c r="AQ291">
        <f>((AM291/$B$7+T290*AS290/2-T291*MAX(0.1,MIN(0.3,0.3-0.09*(AP291-36.8)))/2)+AR290*(1-AS290/2))/(1-MAX(0.1,MIN(0.3,0.3-0.09*(AP291-36.8)))/2)</f>
        <v/>
      </c>
      <c r="AR291">
        <f>((AM291/$B$7+T290*AS290/2-T291*MAX(0.1,MIN(0.3,0.3-0.09*(AQ291-36.8)))/2)+AR290*(1-AS290/2))/(1-MAX(0.1,MIN(0.3,0.3-0.09*(AQ291-36.8)))/2)</f>
        <v/>
      </c>
      <c r="AS291">
        <f>MAX(0.1,MIN(0.3,0.3-0.09*(AR291-36.8)))</f>
        <v/>
      </c>
      <c r="AT291">
        <f>AT290+(2*AR291-1.962*AT290-1.31)/9</f>
        <v/>
      </c>
      <c r="AU291">
        <f>AU290+AG291+K291</f>
        <v/>
      </c>
      <c r="AV291">
        <f>AU291*2.67*$B$6/1.8/60</f>
        <v/>
      </c>
      <c r="AW291">
        <f>IF(AT291&gt;=$B$36,1,0)</f>
        <v/>
      </c>
      <c r="AX291">
        <f>IF(AV291&gt;=$B$21,1,0)</f>
        <v/>
      </c>
    </row>
    <row r="292">
      <c r="A292" t="n">
        <v>219</v>
      </c>
      <c r="B292">
        <f>MATCH(A292-1,$D$61:$D$68,1)</f>
        <v/>
      </c>
      <c r="C292">
        <f>INDEX($G$61:$G$68,B292)</f>
        <v/>
      </c>
      <c r="D292">
        <f>INDEX($L$61:$L$68,B292)</f>
        <v/>
      </c>
      <c r="E292">
        <f>INDEX($M$61:$M$68,B292)</f>
        <v/>
      </c>
      <c r="F292">
        <f>INDEX($N$61:$N$68,B292)</f>
        <v/>
      </c>
      <c r="G292">
        <f>INDEX($AA$61:$AA$68,B292)</f>
        <v/>
      </c>
      <c r="H292">
        <f>INDEX($X$61:$X$68,B292)</f>
        <v/>
      </c>
      <c r="I292">
        <f>INDEX($AF$61:$AF$68,B292)</f>
        <v/>
      </c>
      <c r="J292">
        <f>INDEX($AC$61:$AC$68,B292)</f>
        <v/>
      </c>
      <c r="K292">
        <f>INDEX($AD$61:$AD$68,B292)</f>
        <v/>
      </c>
      <c r="L292">
        <f>INDEX($AG$61:$AG$68,B292)</f>
        <v/>
      </c>
      <c r="M292">
        <f>INDEX($AH$61:$AH$68,B292)</f>
        <v/>
      </c>
      <c r="N292">
        <f>INDEX($AI$61:$AI$68,B292)</f>
        <v/>
      </c>
      <c r="O292">
        <f>O291*$B$26+L292*(1-$B$26)</f>
        <v/>
      </c>
      <c r="P292">
        <f>$B$7*(O292-O291)*(1-AS291)</f>
        <v/>
      </c>
      <c r="Q292">
        <f>M292+0.51274*AT291</f>
        <v/>
      </c>
      <c r="R292">
        <f>N292+0.616*AT291</f>
        <v/>
      </c>
      <c r="S292">
        <f>IF($B$13&gt;=0.6,Q292,IF($B$13&lt;=0.2,R292,R292+2.5*(Q292-R292)*($B$13-0.2)))</f>
        <v/>
      </c>
      <c r="T292">
        <f>IF(A292=1,S292,T291*$B$27+S292*(1-$B$27))</f>
        <v/>
      </c>
      <c r="U292">
        <f>0.6105*EXP(17.27*T292/(T292+237.3))</f>
        <v/>
      </c>
      <c r="V292">
        <f>($B$14*(I292*C292+IF(ABS((D292+0.1)-D292)&lt;0.000000001,4*$B$19*$B$20*(D292+273)^3,$B$19*$B$20*(((D292+0.1)+273)^4-(D292+273)^4)/((D292+0.1)-D292))*D292)+T292/H292)/($B$14*(I292+IF(ABS((D292+0.1)-D292)&lt;0.000000001,4*$B$19*$B$20*(D292+273)^3,$B$19*$B$20*(((D292+0.1)+273)^4-(D292+273)^4)/((D292+0.1)-D292)))+1/H292)</f>
        <v/>
      </c>
      <c r="W292">
        <f>($B$14*(I292*C292+IF(ABS(V292-D292)&lt;0.000000001,4*$B$19*$B$20*(D292+273)^3,$B$19*$B$20*((V292+273)^4-(D292+273)^4)/(V292-D292))*D292)+T292/H292)/($B$14*(I292+IF(ABS(V292-D292)&lt;0.000000001,4*$B$19*$B$20*(D292+273)^3,$B$19*$B$20*((V292+273)^4-(D292+273)^4)/(V292-D292)))+1/H292)</f>
        <v/>
      </c>
      <c r="X292">
        <f>($B$14*(I292*C292+IF(ABS(W292-D292)&lt;0.000000001,4*$B$19*$B$20*(D292+273)^3,$B$19*$B$20*((W292+273)^4-(D292+273)^4)/(W292-D292))*D292)+T292/H292)/($B$14*(I292+IF(ABS(W292-D292)&lt;0.000000001,4*$B$19*$B$20*(D292+273)^3,$B$19*$B$20*((W292+273)^4-(D292+273)^4)/(W292-D292)))+1/H292)</f>
        <v/>
      </c>
      <c r="Y292">
        <f>($B$14*(I292*C292+IF(ABS(X292-D292)&lt;0.000000001,4*$B$19*$B$20*(D292+273)^3,$B$19*$B$20*((X292+273)^4-(D292+273)^4)/(X292-D292))*D292)+T292/H292)/($B$14*(I292+IF(ABS(X292-D292)&lt;0.000000001,4*$B$19*$B$20*(D292+273)^3,$B$19*$B$20*((X292+273)^4-(D292+273)^4)/(X292-D292)))+1/H292)</f>
        <v/>
      </c>
      <c r="Z292">
        <f>IF(ABS(Y292-D292)&lt;0.000000001,4*$B$19*$B$20*(D292+273)^3,$B$19*$B$20*((Y292+273)^4-(D292+273)^4)/(Y292-D292))</f>
        <v/>
      </c>
      <c r="AA292">
        <f>$B$14*I292*(Y292-C292)</f>
        <v/>
      </c>
      <c r="AB292">
        <f>$B$14*Z292*(Y292-D292)</f>
        <v/>
      </c>
      <c r="AC292">
        <f>IF((U292-E292)/G292=0,0.001,(U292-E292)/G292)</f>
        <v/>
      </c>
      <c r="AD292">
        <f>F292-P292-J292-K292-AA292-AB292</f>
        <v/>
      </c>
      <c r="AE292">
        <f>AD292/AC292</f>
        <v/>
      </c>
      <c r="AF292">
        <f>IF(AD292&lt;=0,0,IF(AC292&lt;=0,$B$11,IF(AE292&gt;=1.7,$B$11,MIN(AD292/MAX(0.05,IF(AE292&gt;1,(2-AE292)^2/2,1-AE292^2/2)),$B$11))))</f>
        <v/>
      </c>
      <c r="AG292">
        <f>AG291*$B$28+AF292*(1-$B$28)</f>
        <v/>
      </c>
      <c r="AH292">
        <f>IF(AND(AD292&gt;0,AC292&lt;=0),0,AC292)</f>
        <v/>
      </c>
      <c r="AI292">
        <f>AH292/MAX(AG292,0.000001)</f>
        <v/>
      </c>
      <c r="AJ292">
        <f>MIN(IF(AI292&gt;=0.5,-AI292+SQRT(AI292^2+2),1),$B$12)</f>
        <v/>
      </c>
      <c r="AK292">
        <f>IF(AG292&lt;=0,0,AJ292*AH292)</f>
        <v/>
      </c>
      <c r="AL292">
        <f>IF(AD292&lt;=0,0,AD292)</f>
        <v/>
      </c>
      <c r="AM292">
        <f>AL292-AK292+P292</f>
        <v/>
      </c>
      <c r="AN292">
        <f>((AM292/$B$7+T291*AS291/2-T292*MAX(0.1,MIN(0.3,0.3-0.09*(AR291-36.8)))/2)+AR291*(1-AS291/2))/(1-MAX(0.1,MIN(0.3,0.3-0.09*(AR291-36.8)))/2)</f>
        <v/>
      </c>
      <c r="AO292">
        <f>((AM292/$B$7+T291*AS291/2-T292*MAX(0.1,MIN(0.3,0.3-0.09*(AN292-36.8)))/2)+AR291*(1-AS291/2))/(1-MAX(0.1,MIN(0.3,0.3-0.09*(AN292-36.8)))/2)</f>
        <v/>
      </c>
      <c r="AP292">
        <f>((AM292/$B$7+T291*AS291/2-T292*MAX(0.1,MIN(0.3,0.3-0.09*(AO292-36.8)))/2)+AR291*(1-AS291/2))/(1-MAX(0.1,MIN(0.3,0.3-0.09*(AO292-36.8)))/2)</f>
        <v/>
      </c>
      <c r="AQ292">
        <f>((AM292/$B$7+T291*AS291/2-T292*MAX(0.1,MIN(0.3,0.3-0.09*(AP292-36.8)))/2)+AR291*(1-AS291/2))/(1-MAX(0.1,MIN(0.3,0.3-0.09*(AP292-36.8)))/2)</f>
        <v/>
      </c>
      <c r="AR292">
        <f>((AM292/$B$7+T291*AS291/2-T292*MAX(0.1,MIN(0.3,0.3-0.09*(AQ292-36.8)))/2)+AR291*(1-AS291/2))/(1-MAX(0.1,MIN(0.3,0.3-0.09*(AQ292-36.8)))/2)</f>
        <v/>
      </c>
      <c r="AS292">
        <f>MAX(0.1,MIN(0.3,0.3-0.09*(AR292-36.8)))</f>
        <v/>
      </c>
      <c r="AT292">
        <f>AT291+(2*AR292-1.962*AT291-1.31)/9</f>
        <v/>
      </c>
      <c r="AU292">
        <f>AU291+AG292+K292</f>
        <v/>
      </c>
      <c r="AV292">
        <f>AU292*2.67*$B$6/1.8/60</f>
        <v/>
      </c>
      <c r="AW292">
        <f>IF(AT292&gt;=$B$36,1,0)</f>
        <v/>
      </c>
      <c r="AX292">
        <f>IF(AV292&gt;=$B$21,1,0)</f>
        <v/>
      </c>
    </row>
    <row r="293">
      <c r="A293" t="n">
        <v>220</v>
      </c>
      <c r="B293">
        <f>MATCH(A293-1,$D$61:$D$68,1)</f>
        <v/>
      </c>
      <c r="C293">
        <f>INDEX($G$61:$G$68,B293)</f>
        <v/>
      </c>
      <c r="D293">
        <f>INDEX($L$61:$L$68,B293)</f>
        <v/>
      </c>
      <c r="E293">
        <f>INDEX($M$61:$M$68,B293)</f>
        <v/>
      </c>
      <c r="F293">
        <f>INDEX($N$61:$N$68,B293)</f>
        <v/>
      </c>
      <c r="G293">
        <f>INDEX($AA$61:$AA$68,B293)</f>
        <v/>
      </c>
      <c r="H293">
        <f>INDEX($X$61:$X$68,B293)</f>
        <v/>
      </c>
      <c r="I293">
        <f>INDEX($AF$61:$AF$68,B293)</f>
        <v/>
      </c>
      <c r="J293">
        <f>INDEX($AC$61:$AC$68,B293)</f>
        <v/>
      </c>
      <c r="K293">
        <f>INDEX($AD$61:$AD$68,B293)</f>
        <v/>
      </c>
      <c r="L293">
        <f>INDEX($AG$61:$AG$68,B293)</f>
        <v/>
      </c>
      <c r="M293">
        <f>INDEX($AH$61:$AH$68,B293)</f>
        <v/>
      </c>
      <c r="N293">
        <f>INDEX($AI$61:$AI$68,B293)</f>
        <v/>
      </c>
      <c r="O293">
        <f>O292*$B$26+L293*(1-$B$26)</f>
        <v/>
      </c>
      <c r="P293">
        <f>$B$7*(O293-O292)*(1-AS292)</f>
        <v/>
      </c>
      <c r="Q293">
        <f>M293+0.51274*AT292</f>
        <v/>
      </c>
      <c r="R293">
        <f>N293+0.616*AT292</f>
        <v/>
      </c>
      <c r="S293">
        <f>IF($B$13&gt;=0.6,Q293,IF($B$13&lt;=0.2,R293,R293+2.5*(Q293-R293)*($B$13-0.2)))</f>
        <v/>
      </c>
      <c r="T293">
        <f>IF(A293=1,S293,T292*$B$27+S293*(1-$B$27))</f>
        <v/>
      </c>
      <c r="U293">
        <f>0.6105*EXP(17.27*T293/(T293+237.3))</f>
        <v/>
      </c>
      <c r="V293">
        <f>($B$14*(I293*C293+IF(ABS((D293+0.1)-D293)&lt;0.000000001,4*$B$19*$B$20*(D293+273)^3,$B$19*$B$20*(((D293+0.1)+273)^4-(D293+273)^4)/((D293+0.1)-D293))*D293)+T293/H293)/($B$14*(I293+IF(ABS((D293+0.1)-D293)&lt;0.000000001,4*$B$19*$B$20*(D293+273)^3,$B$19*$B$20*(((D293+0.1)+273)^4-(D293+273)^4)/((D293+0.1)-D293)))+1/H293)</f>
        <v/>
      </c>
      <c r="W293">
        <f>($B$14*(I293*C293+IF(ABS(V293-D293)&lt;0.000000001,4*$B$19*$B$20*(D293+273)^3,$B$19*$B$20*((V293+273)^4-(D293+273)^4)/(V293-D293))*D293)+T293/H293)/($B$14*(I293+IF(ABS(V293-D293)&lt;0.000000001,4*$B$19*$B$20*(D293+273)^3,$B$19*$B$20*((V293+273)^4-(D293+273)^4)/(V293-D293)))+1/H293)</f>
        <v/>
      </c>
      <c r="X293">
        <f>($B$14*(I293*C293+IF(ABS(W293-D293)&lt;0.000000001,4*$B$19*$B$20*(D293+273)^3,$B$19*$B$20*((W293+273)^4-(D293+273)^4)/(W293-D293))*D293)+T293/H293)/($B$14*(I293+IF(ABS(W293-D293)&lt;0.000000001,4*$B$19*$B$20*(D293+273)^3,$B$19*$B$20*((W293+273)^4-(D293+273)^4)/(W293-D293)))+1/H293)</f>
        <v/>
      </c>
      <c r="Y293">
        <f>($B$14*(I293*C293+IF(ABS(X293-D293)&lt;0.000000001,4*$B$19*$B$20*(D293+273)^3,$B$19*$B$20*((X293+273)^4-(D293+273)^4)/(X293-D293))*D293)+T293/H293)/($B$14*(I293+IF(ABS(X293-D293)&lt;0.000000001,4*$B$19*$B$20*(D293+273)^3,$B$19*$B$20*((X293+273)^4-(D293+273)^4)/(X293-D293)))+1/H293)</f>
        <v/>
      </c>
      <c r="Z293">
        <f>IF(ABS(Y293-D293)&lt;0.000000001,4*$B$19*$B$20*(D293+273)^3,$B$19*$B$20*((Y293+273)^4-(D293+273)^4)/(Y293-D293))</f>
        <v/>
      </c>
      <c r="AA293">
        <f>$B$14*I293*(Y293-C293)</f>
        <v/>
      </c>
      <c r="AB293">
        <f>$B$14*Z293*(Y293-D293)</f>
        <v/>
      </c>
      <c r="AC293">
        <f>IF((U293-E293)/G293=0,0.001,(U293-E293)/G293)</f>
        <v/>
      </c>
      <c r="AD293">
        <f>F293-P293-J293-K293-AA293-AB293</f>
        <v/>
      </c>
      <c r="AE293">
        <f>AD293/AC293</f>
        <v/>
      </c>
      <c r="AF293">
        <f>IF(AD293&lt;=0,0,IF(AC293&lt;=0,$B$11,IF(AE293&gt;=1.7,$B$11,MIN(AD293/MAX(0.05,IF(AE293&gt;1,(2-AE293)^2/2,1-AE293^2/2)),$B$11))))</f>
        <v/>
      </c>
      <c r="AG293">
        <f>AG292*$B$28+AF293*(1-$B$28)</f>
        <v/>
      </c>
      <c r="AH293">
        <f>IF(AND(AD293&gt;0,AC293&lt;=0),0,AC293)</f>
        <v/>
      </c>
      <c r="AI293">
        <f>AH293/MAX(AG293,0.000001)</f>
        <v/>
      </c>
      <c r="AJ293">
        <f>MIN(IF(AI293&gt;=0.5,-AI293+SQRT(AI293^2+2),1),$B$12)</f>
        <v/>
      </c>
      <c r="AK293">
        <f>IF(AG293&lt;=0,0,AJ293*AH293)</f>
        <v/>
      </c>
      <c r="AL293">
        <f>IF(AD293&lt;=0,0,AD293)</f>
        <v/>
      </c>
      <c r="AM293">
        <f>AL293-AK293+P293</f>
        <v/>
      </c>
      <c r="AN293">
        <f>((AM293/$B$7+T292*AS292/2-T293*MAX(0.1,MIN(0.3,0.3-0.09*(AR292-36.8)))/2)+AR292*(1-AS292/2))/(1-MAX(0.1,MIN(0.3,0.3-0.09*(AR292-36.8)))/2)</f>
        <v/>
      </c>
      <c r="AO293">
        <f>((AM293/$B$7+T292*AS292/2-T293*MAX(0.1,MIN(0.3,0.3-0.09*(AN293-36.8)))/2)+AR292*(1-AS292/2))/(1-MAX(0.1,MIN(0.3,0.3-0.09*(AN293-36.8)))/2)</f>
        <v/>
      </c>
      <c r="AP293">
        <f>((AM293/$B$7+T292*AS292/2-T293*MAX(0.1,MIN(0.3,0.3-0.09*(AO293-36.8)))/2)+AR292*(1-AS292/2))/(1-MAX(0.1,MIN(0.3,0.3-0.09*(AO293-36.8)))/2)</f>
        <v/>
      </c>
      <c r="AQ293">
        <f>((AM293/$B$7+T292*AS292/2-T293*MAX(0.1,MIN(0.3,0.3-0.09*(AP293-36.8)))/2)+AR292*(1-AS292/2))/(1-MAX(0.1,MIN(0.3,0.3-0.09*(AP293-36.8)))/2)</f>
        <v/>
      </c>
      <c r="AR293">
        <f>((AM293/$B$7+T292*AS292/2-T293*MAX(0.1,MIN(0.3,0.3-0.09*(AQ293-36.8)))/2)+AR292*(1-AS292/2))/(1-MAX(0.1,MIN(0.3,0.3-0.09*(AQ293-36.8)))/2)</f>
        <v/>
      </c>
      <c r="AS293">
        <f>MAX(0.1,MIN(0.3,0.3-0.09*(AR293-36.8)))</f>
        <v/>
      </c>
      <c r="AT293">
        <f>AT292+(2*AR293-1.962*AT292-1.31)/9</f>
        <v/>
      </c>
      <c r="AU293">
        <f>AU292+AG293+K293</f>
        <v/>
      </c>
      <c r="AV293">
        <f>AU293*2.67*$B$6/1.8/60</f>
        <v/>
      </c>
      <c r="AW293">
        <f>IF(AT293&gt;=$B$36,1,0)</f>
        <v/>
      </c>
      <c r="AX293">
        <f>IF(AV293&gt;=$B$21,1,0)</f>
        <v/>
      </c>
    </row>
    <row r="294">
      <c r="A294" t="n">
        <v>221</v>
      </c>
      <c r="B294">
        <f>MATCH(A294-1,$D$61:$D$68,1)</f>
        <v/>
      </c>
      <c r="C294">
        <f>INDEX($G$61:$G$68,B294)</f>
        <v/>
      </c>
      <c r="D294">
        <f>INDEX($L$61:$L$68,B294)</f>
        <v/>
      </c>
      <c r="E294">
        <f>INDEX($M$61:$M$68,B294)</f>
        <v/>
      </c>
      <c r="F294">
        <f>INDEX($N$61:$N$68,B294)</f>
        <v/>
      </c>
      <c r="G294">
        <f>INDEX($AA$61:$AA$68,B294)</f>
        <v/>
      </c>
      <c r="H294">
        <f>INDEX($X$61:$X$68,B294)</f>
        <v/>
      </c>
      <c r="I294">
        <f>INDEX($AF$61:$AF$68,B294)</f>
        <v/>
      </c>
      <c r="J294">
        <f>INDEX($AC$61:$AC$68,B294)</f>
        <v/>
      </c>
      <c r="K294">
        <f>INDEX($AD$61:$AD$68,B294)</f>
        <v/>
      </c>
      <c r="L294">
        <f>INDEX($AG$61:$AG$68,B294)</f>
        <v/>
      </c>
      <c r="M294">
        <f>INDEX($AH$61:$AH$68,B294)</f>
        <v/>
      </c>
      <c r="N294">
        <f>INDEX($AI$61:$AI$68,B294)</f>
        <v/>
      </c>
      <c r="O294">
        <f>O293*$B$26+L294*(1-$B$26)</f>
        <v/>
      </c>
      <c r="P294">
        <f>$B$7*(O294-O293)*(1-AS293)</f>
        <v/>
      </c>
      <c r="Q294">
        <f>M294+0.51274*AT293</f>
        <v/>
      </c>
      <c r="R294">
        <f>N294+0.616*AT293</f>
        <v/>
      </c>
      <c r="S294">
        <f>IF($B$13&gt;=0.6,Q294,IF($B$13&lt;=0.2,R294,R294+2.5*(Q294-R294)*($B$13-0.2)))</f>
        <v/>
      </c>
      <c r="T294">
        <f>IF(A294=1,S294,T293*$B$27+S294*(1-$B$27))</f>
        <v/>
      </c>
      <c r="U294">
        <f>0.6105*EXP(17.27*T294/(T294+237.3))</f>
        <v/>
      </c>
      <c r="V294">
        <f>($B$14*(I294*C294+IF(ABS((D294+0.1)-D294)&lt;0.000000001,4*$B$19*$B$20*(D294+273)^3,$B$19*$B$20*(((D294+0.1)+273)^4-(D294+273)^4)/((D294+0.1)-D294))*D294)+T294/H294)/($B$14*(I294+IF(ABS((D294+0.1)-D294)&lt;0.000000001,4*$B$19*$B$20*(D294+273)^3,$B$19*$B$20*(((D294+0.1)+273)^4-(D294+273)^4)/((D294+0.1)-D294)))+1/H294)</f>
        <v/>
      </c>
      <c r="W294">
        <f>($B$14*(I294*C294+IF(ABS(V294-D294)&lt;0.000000001,4*$B$19*$B$20*(D294+273)^3,$B$19*$B$20*((V294+273)^4-(D294+273)^4)/(V294-D294))*D294)+T294/H294)/($B$14*(I294+IF(ABS(V294-D294)&lt;0.000000001,4*$B$19*$B$20*(D294+273)^3,$B$19*$B$20*((V294+273)^4-(D294+273)^4)/(V294-D294)))+1/H294)</f>
        <v/>
      </c>
      <c r="X294">
        <f>($B$14*(I294*C294+IF(ABS(W294-D294)&lt;0.000000001,4*$B$19*$B$20*(D294+273)^3,$B$19*$B$20*((W294+273)^4-(D294+273)^4)/(W294-D294))*D294)+T294/H294)/($B$14*(I294+IF(ABS(W294-D294)&lt;0.000000001,4*$B$19*$B$20*(D294+273)^3,$B$19*$B$20*((W294+273)^4-(D294+273)^4)/(W294-D294)))+1/H294)</f>
        <v/>
      </c>
      <c r="Y294">
        <f>($B$14*(I294*C294+IF(ABS(X294-D294)&lt;0.000000001,4*$B$19*$B$20*(D294+273)^3,$B$19*$B$20*((X294+273)^4-(D294+273)^4)/(X294-D294))*D294)+T294/H294)/($B$14*(I294+IF(ABS(X294-D294)&lt;0.000000001,4*$B$19*$B$20*(D294+273)^3,$B$19*$B$20*((X294+273)^4-(D294+273)^4)/(X294-D294)))+1/H294)</f>
        <v/>
      </c>
      <c r="Z294">
        <f>IF(ABS(Y294-D294)&lt;0.000000001,4*$B$19*$B$20*(D294+273)^3,$B$19*$B$20*((Y294+273)^4-(D294+273)^4)/(Y294-D294))</f>
        <v/>
      </c>
      <c r="AA294">
        <f>$B$14*I294*(Y294-C294)</f>
        <v/>
      </c>
      <c r="AB294">
        <f>$B$14*Z294*(Y294-D294)</f>
        <v/>
      </c>
      <c r="AC294">
        <f>IF((U294-E294)/G294=0,0.001,(U294-E294)/G294)</f>
        <v/>
      </c>
      <c r="AD294">
        <f>F294-P294-J294-K294-AA294-AB294</f>
        <v/>
      </c>
      <c r="AE294">
        <f>AD294/AC294</f>
        <v/>
      </c>
      <c r="AF294">
        <f>IF(AD294&lt;=0,0,IF(AC294&lt;=0,$B$11,IF(AE294&gt;=1.7,$B$11,MIN(AD294/MAX(0.05,IF(AE294&gt;1,(2-AE294)^2/2,1-AE294^2/2)),$B$11))))</f>
        <v/>
      </c>
      <c r="AG294">
        <f>AG293*$B$28+AF294*(1-$B$28)</f>
        <v/>
      </c>
      <c r="AH294">
        <f>IF(AND(AD294&gt;0,AC294&lt;=0),0,AC294)</f>
        <v/>
      </c>
      <c r="AI294">
        <f>AH294/MAX(AG294,0.000001)</f>
        <v/>
      </c>
      <c r="AJ294">
        <f>MIN(IF(AI294&gt;=0.5,-AI294+SQRT(AI294^2+2),1),$B$12)</f>
        <v/>
      </c>
      <c r="AK294">
        <f>IF(AG294&lt;=0,0,AJ294*AH294)</f>
        <v/>
      </c>
      <c r="AL294">
        <f>IF(AD294&lt;=0,0,AD294)</f>
        <v/>
      </c>
      <c r="AM294">
        <f>AL294-AK294+P294</f>
        <v/>
      </c>
      <c r="AN294">
        <f>((AM294/$B$7+T293*AS293/2-T294*MAX(0.1,MIN(0.3,0.3-0.09*(AR293-36.8)))/2)+AR293*(1-AS293/2))/(1-MAX(0.1,MIN(0.3,0.3-0.09*(AR293-36.8)))/2)</f>
        <v/>
      </c>
      <c r="AO294">
        <f>((AM294/$B$7+T293*AS293/2-T294*MAX(0.1,MIN(0.3,0.3-0.09*(AN294-36.8)))/2)+AR293*(1-AS293/2))/(1-MAX(0.1,MIN(0.3,0.3-0.09*(AN294-36.8)))/2)</f>
        <v/>
      </c>
      <c r="AP294">
        <f>((AM294/$B$7+T293*AS293/2-T294*MAX(0.1,MIN(0.3,0.3-0.09*(AO294-36.8)))/2)+AR293*(1-AS293/2))/(1-MAX(0.1,MIN(0.3,0.3-0.09*(AO294-36.8)))/2)</f>
        <v/>
      </c>
      <c r="AQ294">
        <f>((AM294/$B$7+T293*AS293/2-T294*MAX(0.1,MIN(0.3,0.3-0.09*(AP294-36.8)))/2)+AR293*(1-AS293/2))/(1-MAX(0.1,MIN(0.3,0.3-0.09*(AP294-36.8)))/2)</f>
        <v/>
      </c>
      <c r="AR294">
        <f>((AM294/$B$7+T293*AS293/2-T294*MAX(0.1,MIN(0.3,0.3-0.09*(AQ294-36.8)))/2)+AR293*(1-AS293/2))/(1-MAX(0.1,MIN(0.3,0.3-0.09*(AQ294-36.8)))/2)</f>
        <v/>
      </c>
      <c r="AS294">
        <f>MAX(0.1,MIN(0.3,0.3-0.09*(AR294-36.8)))</f>
        <v/>
      </c>
      <c r="AT294">
        <f>AT293+(2*AR294-1.962*AT293-1.31)/9</f>
        <v/>
      </c>
      <c r="AU294">
        <f>AU293+AG294+K294</f>
        <v/>
      </c>
      <c r="AV294">
        <f>AU294*2.67*$B$6/1.8/60</f>
        <v/>
      </c>
      <c r="AW294">
        <f>IF(AT294&gt;=$B$36,1,0)</f>
        <v/>
      </c>
      <c r="AX294">
        <f>IF(AV294&gt;=$B$21,1,0)</f>
        <v/>
      </c>
    </row>
    <row r="295">
      <c r="A295" t="n">
        <v>222</v>
      </c>
      <c r="B295">
        <f>MATCH(A295-1,$D$61:$D$68,1)</f>
        <v/>
      </c>
      <c r="C295">
        <f>INDEX($G$61:$G$68,B295)</f>
        <v/>
      </c>
      <c r="D295">
        <f>INDEX($L$61:$L$68,B295)</f>
        <v/>
      </c>
      <c r="E295">
        <f>INDEX($M$61:$M$68,B295)</f>
        <v/>
      </c>
      <c r="F295">
        <f>INDEX($N$61:$N$68,B295)</f>
        <v/>
      </c>
      <c r="G295">
        <f>INDEX($AA$61:$AA$68,B295)</f>
        <v/>
      </c>
      <c r="H295">
        <f>INDEX($X$61:$X$68,B295)</f>
        <v/>
      </c>
      <c r="I295">
        <f>INDEX($AF$61:$AF$68,B295)</f>
        <v/>
      </c>
      <c r="J295">
        <f>INDEX($AC$61:$AC$68,B295)</f>
        <v/>
      </c>
      <c r="K295">
        <f>INDEX($AD$61:$AD$68,B295)</f>
        <v/>
      </c>
      <c r="L295">
        <f>INDEX($AG$61:$AG$68,B295)</f>
        <v/>
      </c>
      <c r="M295">
        <f>INDEX($AH$61:$AH$68,B295)</f>
        <v/>
      </c>
      <c r="N295">
        <f>INDEX($AI$61:$AI$68,B295)</f>
        <v/>
      </c>
      <c r="O295">
        <f>O294*$B$26+L295*(1-$B$26)</f>
        <v/>
      </c>
      <c r="P295">
        <f>$B$7*(O295-O294)*(1-AS294)</f>
        <v/>
      </c>
      <c r="Q295">
        <f>M295+0.51274*AT294</f>
        <v/>
      </c>
      <c r="R295">
        <f>N295+0.616*AT294</f>
        <v/>
      </c>
      <c r="S295">
        <f>IF($B$13&gt;=0.6,Q295,IF($B$13&lt;=0.2,R295,R295+2.5*(Q295-R295)*($B$13-0.2)))</f>
        <v/>
      </c>
      <c r="T295">
        <f>IF(A295=1,S295,T294*$B$27+S295*(1-$B$27))</f>
        <v/>
      </c>
      <c r="U295">
        <f>0.6105*EXP(17.27*T295/(T295+237.3))</f>
        <v/>
      </c>
      <c r="V295">
        <f>($B$14*(I295*C295+IF(ABS((D295+0.1)-D295)&lt;0.000000001,4*$B$19*$B$20*(D295+273)^3,$B$19*$B$20*(((D295+0.1)+273)^4-(D295+273)^4)/((D295+0.1)-D295))*D295)+T295/H295)/($B$14*(I295+IF(ABS((D295+0.1)-D295)&lt;0.000000001,4*$B$19*$B$20*(D295+273)^3,$B$19*$B$20*(((D295+0.1)+273)^4-(D295+273)^4)/((D295+0.1)-D295)))+1/H295)</f>
        <v/>
      </c>
      <c r="W295">
        <f>($B$14*(I295*C295+IF(ABS(V295-D295)&lt;0.000000001,4*$B$19*$B$20*(D295+273)^3,$B$19*$B$20*((V295+273)^4-(D295+273)^4)/(V295-D295))*D295)+T295/H295)/($B$14*(I295+IF(ABS(V295-D295)&lt;0.000000001,4*$B$19*$B$20*(D295+273)^3,$B$19*$B$20*((V295+273)^4-(D295+273)^4)/(V295-D295)))+1/H295)</f>
        <v/>
      </c>
      <c r="X295">
        <f>($B$14*(I295*C295+IF(ABS(W295-D295)&lt;0.000000001,4*$B$19*$B$20*(D295+273)^3,$B$19*$B$20*((W295+273)^4-(D295+273)^4)/(W295-D295))*D295)+T295/H295)/($B$14*(I295+IF(ABS(W295-D295)&lt;0.000000001,4*$B$19*$B$20*(D295+273)^3,$B$19*$B$20*((W295+273)^4-(D295+273)^4)/(W295-D295)))+1/H295)</f>
        <v/>
      </c>
      <c r="Y295">
        <f>($B$14*(I295*C295+IF(ABS(X295-D295)&lt;0.000000001,4*$B$19*$B$20*(D295+273)^3,$B$19*$B$20*((X295+273)^4-(D295+273)^4)/(X295-D295))*D295)+T295/H295)/($B$14*(I295+IF(ABS(X295-D295)&lt;0.000000001,4*$B$19*$B$20*(D295+273)^3,$B$19*$B$20*((X295+273)^4-(D295+273)^4)/(X295-D295)))+1/H295)</f>
        <v/>
      </c>
      <c r="Z295">
        <f>IF(ABS(Y295-D295)&lt;0.000000001,4*$B$19*$B$20*(D295+273)^3,$B$19*$B$20*((Y295+273)^4-(D295+273)^4)/(Y295-D295))</f>
        <v/>
      </c>
      <c r="AA295">
        <f>$B$14*I295*(Y295-C295)</f>
        <v/>
      </c>
      <c r="AB295">
        <f>$B$14*Z295*(Y295-D295)</f>
        <v/>
      </c>
      <c r="AC295">
        <f>IF((U295-E295)/G295=0,0.001,(U295-E295)/G295)</f>
        <v/>
      </c>
      <c r="AD295">
        <f>F295-P295-J295-K295-AA295-AB295</f>
        <v/>
      </c>
      <c r="AE295">
        <f>AD295/AC295</f>
        <v/>
      </c>
      <c r="AF295">
        <f>IF(AD295&lt;=0,0,IF(AC295&lt;=0,$B$11,IF(AE295&gt;=1.7,$B$11,MIN(AD295/MAX(0.05,IF(AE295&gt;1,(2-AE295)^2/2,1-AE295^2/2)),$B$11))))</f>
        <v/>
      </c>
      <c r="AG295">
        <f>AG294*$B$28+AF295*(1-$B$28)</f>
        <v/>
      </c>
      <c r="AH295">
        <f>IF(AND(AD295&gt;0,AC295&lt;=0),0,AC295)</f>
        <v/>
      </c>
      <c r="AI295">
        <f>AH295/MAX(AG295,0.000001)</f>
        <v/>
      </c>
      <c r="AJ295">
        <f>MIN(IF(AI295&gt;=0.5,-AI295+SQRT(AI295^2+2),1),$B$12)</f>
        <v/>
      </c>
      <c r="AK295">
        <f>IF(AG295&lt;=0,0,AJ295*AH295)</f>
        <v/>
      </c>
      <c r="AL295">
        <f>IF(AD295&lt;=0,0,AD295)</f>
        <v/>
      </c>
      <c r="AM295">
        <f>AL295-AK295+P295</f>
        <v/>
      </c>
      <c r="AN295">
        <f>((AM295/$B$7+T294*AS294/2-T295*MAX(0.1,MIN(0.3,0.3-0.09*(AR294-36.8)))/2)+AR294*(1-AS294/2))/(1-MAX(0.1,MIN(0.3,0.3-0.09*(AR294-36.8)))/2)</f>
        <v/>
      </c>
      <c r="AO295">
        <f>((AM295/$B$7+T294*AS294/2-T295*MAX(0.1,MIN(0.3,0.3-0.09*(AN295-36.8)))/2)+AR294*(1-AS294/2))/(1-MAX(0.1,MIN(0.3,0.3-0.09*(AN295-36.8)))/2)</f>
        <v/>
      </c>
      <c r="AP295">
        <f>((AM295/$B$7+T294*AS294/2-T295*MAX(0.1,MIN(0.3,0.3-0.09*(AO295-36.8)))/2)+AR294*(1-AS294/2))/(1-MAX(0.1,MIN(0.3,0.3-0.09*(AO295-36.8)))/2)</f>
        <v/>
      </c>
      <c r="AQ295">
        <f>((AM295/$B$7+T294*AS294/2-T295*MAX(0.1,MIN(0.3,0.3-0.09*(AP295-36.8)))/2)+AR294*(1-AS294/2))/(1-MAX(0.1,MIN(0.3,0.3-0.09*(AP295-36.8)))/2)</f>
        <v/>
      </c>
      <c r="AR295">
        <f>((AM295/$B$7+T294*AS294/2-T295*MAX(0.1,MIN(0.3,0.3-0.09*(AQ295-36.8)))/2)+AR294*(1-AS294/2))/(1-MAX(0.1,MIN(0.3,0.3-0.09*(AQ295-36.8)))/2)</f>
        <v/>
      </c>
      <c r="AS295">
        <f>MAX(0.1,MIN(0.3,0.3-0.09*(AR295-36.8)))</f>
        <v/>
      </c>
      <c r="AT295">
        <f>AT294+(2*AR295-1.962*AT294-1.31)/9</f>
        <v/>
      </c>
      <c r="AU295">
        <f>AU294+AG295+K295</f>
        <v/>
      </c>
      <c r="AV295">
        <f>AU295*2.67*$B$6/1.8/60</f>
        <v/>
      </c>
      <c r="AW295">
        <f>IF(AT295&gt;=$B$36,1,0)</f>
        <v/>
      </c>
      <c r="AX295">
        <f>IF(AV295&gt;=$B$21,1,0)</f>
        <v/>
      </c>
    </row>
    <row r="296">
      <c r="A296" t="n">
        <v>223</v>
      </c>
      <c r="B296">
        <f>MATCH(A296-1,$D$61:$D$68,1)</f>
        <v/>
      </c>
      <c r="C296">
        <f>INDEX($G$61:$G$68,B296)</f>
        <v/>
      </c>
      <c r="D296">
        <f>INDEX($L$61:$L$68,B296)</f>
        <v/>
      </c>
      <c r="E296">
        <f>INDEX($M$61:$M$68,B296)</f>
        <v/>
      </c>
      <c r="F296">
        <f>INDEX($N$61:$N$68,B296)</f>
        <v/>
      </c>
      <c r="G296">
        <f>INDEX($AA$61:$AA$68,B296)</f>
        <v/>
      </c>
      <c r="H296">
        <f>INDEX($X$61:$X$68,B296)</f>
        <v/>
      </c>
      <c r="I296">
        <f>INDEX($AF$61:$AF$68,B296)</f>
        <v/>
      </c>
      <c r="J296">
        <f>INDEX($AC$61:$AC$68,B296)</f>
        <v/>
      </c>
      <c r="K296">
        <f>INDEX($AD$61:$AD$68,B296)</f>
        <v/>
      </c>
      <c r="L296">
        <f>INDEX($AG$61:$AG$68,B296)</f>
        <v/>
      </c>
      <c r="M296">
        <f>INDEX($AH$61:$AH$68,B296)</f>
        <v/>
      </c>
      <c r="N296">
        <f>INDEX($AI$61:$AI$68,B296)</f>
        <v/>
      </c>
      <c r="O296">
        <f>O295*$B$26+L296*(1-$B$26)</f>
        <v/>
      </c>
      <c r="P296">
        <f>$B$7*(O296-O295)*(1-AS295)</f>
        <v/>
      </c>
      <c r="Q296">
        <f>M296+0.51274*AT295</f>
        <v/>
      </c>
      <c r="R296">
        <f>N296+0.616*AT295</f>
        <v/>
      </c>
      <c r="S296">
        <f>IF($B$13&gt;=0.6,Q296,IF($B$13&lt;=0.2,R296,R296+2.5*(Q296-R296)*($B$13-0.2)))</f>
        <v/>
      </c>
      <c r="T296">
        <f>IF(A296=1,S296,T295*$B$27+S296*(1-$B$27))</f>
        <v/>
      </c>
      <c r="U296">
        <f>0.6105*EXP(17.27*T296/(T296+237.3))</f>
        <v/>
      </c>
      <c r="V296">
        <f>($B$14*(I296*C296+IF(ABS((D296+0.1)-D296)&lt;0.000000001,4*$B$19*$B$20*(D296+273)^3,$B$19*$B$20*(((D296+0.1)+273)^4-(D296+273)^4)/((D296+0.1)-D296))*D296)+T296/H296)/($B$14*(I296+IF(ABS((D296+0.1)-D296)&lt;0.000000001,4*$B$19*$B$20*(D296+273)^3,$B$19*$B$20*(((D296+0.1)+273)^4-(D296+273)^4)/((D296+0.1)-D296)))+1/H296)</f>
        <v/>
      </c>
      <c r="W296">
        <f>($B$14*(I296*C296+IF(ABS(V296-D296)&lt;0.000000001,4*$B$19*$B$20*(D296+273)^3,$B$19*$B$20*((V296+273)^4-(D296+273)^4)/(V296-D296))*D296)+T296/H296)/($B$14*(I296+IF(ABS(V296-D296)&lt;0.000000001,4*$B$19*$B$20*(D296+273)^3,$B$19*$B$20*((V296+273)^4-(D296+273)^4)/(V296-D296)))+1/H296)</f>
        <v/>
      </c>
      <c r="X296">
        <f>($B$14*(I296*C296+IF(ABS(W296-D296)&lt;0.000000001,4*$B$19*$B$20*(D296+273)^3,$B$19*$B$20*((W296+273)^4-(D296+273)^4)/(W296-D296))*D296)+T296/H296)/($B$14*(I296+IF(ABS(W296-D296)&lt;0.000000001,4*$B$19*$B$20*(D296+273)^3,$B$19*$B$20*((W296+273)^4-(D296+273)^4)/(W296-D296)))+1/H296)</f>
        <v/>
      </c>
      <c r="Y296">
        <f>($B$14*(I296*C296+IF(ABS(X296-D296)&lt;0.000000001,4*$B$19*$B$20*(D296+273)^3,$B$19*$B$20*((X296+273)^4-(D296+273)^4)/(X296-D296))*D296)+T296/H296)/($B$14*(I296+IF(ABS(X296-D296)&lt;0.000000001,4*$B$19*$B$20*(D296+273)^3,$B$19*$B$20*((X296+273)^4-(D296+273)^4)/(X296-D296)))+1/H296)</f>
        <v/>
      </c>
      <c r="Z296">
        <f>IF(ABS(Y296-D296)&lt;0.000000001,4*$B$19*$B$20*(D296+273)^3,$B$19*$B$20*((Y296+273)^4-(D296+273)^4)/(Y296-D296))</f>
        <v/>
      </c>
      <c r="AA296">
        <f>$B$14*I296*(Y296-C296)</f>
        <v/>
      </c>
      <c r="AB296">
        <f>$B$14*Z296*(Y296-D296)</f>
        <v/>
      </c>
      <c r="AC296">
        <f>IF((U296-E296)/G296=0,0.001,(U296-E296)/G296)</f>
        <v/>
      </c>
      <c r="AD296">
        <f>F296-P296-J296-K296-AA296-AB296</f>
        <v/>
      </c>
      <c r="AE296">
        <f>AD296/AC296</f>
        <v/>
      </c>
      <c r="AF296">
        <f>IF(AD296&lt;=0,0,IF(AC296&lt;=0,$B$11,IF(AE296&gt;=1.7,$B$11,MIN(AD296/MAX(0.05,IF(AE296&gt;1,(2-AE296)^2/2,1-AE296^2/2)),$B$11))))</f>
        <v/>
      </c>
      <c r="AG296">
        <f>AG295*$B$28+AF296*(1-$B$28)</f>
        <v/>
      </c>
      <c r="AH296">
        <f>IF(AND(AD296&gt;0,AC296&lt;=0),0,AC296)</f>
        <v/>
      </c>
      <c r="AI296">
        <f>AH296/MAX(AG296,0.000001)</f>
        <v/>
      </c>
      <c r="AJ296">
        <f>MIN(IF(AI296&gt;=0.5,-AI296+SQRT(AI296^2+2),1),$B$12)</f>
        <v/>
      </c>
      <c r="AK296">
        <f>IF(AG296&lt;=0,0,AJ296*AH296)</f>
        <v/>
      </c>
      <c r="AL296">
        <f>IF(AD296&lt;=0,0,AD296)</f>
        <v/>
      </c>
      <c r="AM296">
        <f>AL296-AK296+P296</f>
        <v/>
      </c>
      <c r="AN296">
        <f>((AM296/$B$7+T295*AS295/2-T296*MAX(0.1,MIN(0.3,0.3-0.09*(AR295-36.8)))/2)+AR295*(1-AS295/2))/(1-MAX(0.1,MIN(0.3,0.3-0.09*(AR295-36.8)))/2)</f>
        <v/>
      </c>
      <c r="AO296">
        <f>((AM296/$B$7+T295*AS295/2-T296*MAX(0.1,MIN(0.3,0.3-0.09*(AN296-36.8)))/2)+AR295*(1-AS295/2))/(1-MAX(0.1,MIN(0.3,0.3-0.09*(AN296-36.8)))/2)</f>
        <v/>
      </c>
      <c r="AP296">
        <f>((AM296/$B$7+T295*AS295/2-T296*MAX(0.1,MIN(0.3,0.3-0.09*(AO296-36.8)))/2)+AR295*(1-AS295/2))/(1-MAX(0.1,MIN(0.3,0.3-0.09*(AO296-36.8)))/2)</f>
        <v/>
      </c>
      <c r="AQ296">
        <f>((AM296/$B$7+T295*AS295/2-T296*MAX(0.1,MIN(0.3,0.3-0.09*(AP296-36.8)))/2)+AR295*(1-AS295/2))/(1-MAX(0.1,MIN(0.3,0.3-0.09*(AP296-36.8)))/2)</f>
        <v/>
      </c>
      <c r="AR296">
        <f>((AM296/$B$7+T295*AS295/2-T296*MAX(0.1,MIN(0.3,0.3-0.09*(AQ296-36.8)))/2)+AR295*(1-AS295/2))/(1-MAX(0.1,MIN(0.3,0.3-0.09*(AQ296-36.8)))/2)</f>
        <v/>
      </c>
      <c r="AS296">
        <f>MAX(0.1,MIN(0.3,0.3-0.09*(AR296-36.8)))</f>
        <v/>
      </c>
      <c r="AT296">
        <f>AT295+(2*AR296-1.962*AT295-1.31)/9</f>
        <v/>
      </c>
      <c r="AU296">
        <f>AU295+AG296+K296</f>
        <v/>
      </c>
      <c r="AV296">
        <f>AU296*2.67*$B$6/1.8/60</f>
        <v/>
      </c>
      <c r="AW296">
        <f>IF(AT296&gt;=$B$36,1,0)</f>
        <v/>
      </c>
      <c r="AX296">
        <f>IF(AV296&gt;=$B$21,1,0)</f>
        <v/>
      </c>
    </row>
    <row r="297">
      <c r="A297" t="n">
        <v>224</v>
      </c>
      <c r="B297">
        <f>MATCH(A297-1,$D$61:$D$68,1)</f>
        <v/>
      </c>
      <c r="C297">
        <f>INDEX($G$61:$G$68,B297)</f>
        <v/>
      </c>
      <c r="D297">
        <f>INDEX($L$61:$L$68,B297)</f>
        <v/>
      </c>
      <c r="E297">
        <f>INDEX($M$61:$M$68,B297)</f>
        <v/>
      </c>
      <c r="F297">
        <f>INDEX($N$61:$N$68,B297)</f>
        <v/>
      </c>
      <c r="G297">
        <f>INDEX($AA$61:$AA$68,B297)</f>
        <v/>
      </c>
      <c r="H297">
        <f>INDEX($X$61:$X$68,B297)</f>
        <v/>
      </c>
      <c r="I297">
        <f>INDEX($AF$61:$AF$68,B297)</f>
        <v/>
      </c>
      <c r="J297">
        <f>INDEX($AC$61:$AC$68,B297)</f>
        <v/>
      </c>
      <c r="K297">
        <f>INDEX($AD$61:$AD$68,B297)</f>
        <v/>
      </c>
      <c r="L297">
        <f>INDEX($AG$61:$AG$68,B297)</f>
        <v/>
      </c>
      <c r="M297">
        <f>INDEX($AH$61:$AH$68,B297)</f>
        <v/>
      </c>
      <c r="N297">
        <f>INDEX($AI$61:$AI$68,B297)</f>
        <v/>
      </c>
      <c r="O297">
        <f>O296*$B$26+L297*(1-$B$26)</f>
        <v/>
      </c>
      <c r="P297">
        <f>$B$7*(O297-O296)*(1-AS296)</f>
        <v/>
      </c>
      <c r="Q297">
        <f>M297+0.51274*AT296</f>
        <v/>
      </c>
      <c r="R297">
        <f>N297+0.616*AT296</f>
        <v/>
      </c>
      <c r="S297">
        <f>IF($B$13&gt;=0.6,Q297,IF($B$13&lt;=0.2,R297,R297+2.5*(Q297-R297)*($B$13-0.2)))</f>
        <v/>
      </c>
      <c r="T297">
        <f>IF(A297=1,S297,T296*$B$27+S297*(1-$B$27))</f>
        <v/>
      </c>
      <c r="U297">
        <f>0.6105*EXP(17.27*T297/(T297+237.3))</f>
        <v/>
      </c>
      <c r="V297">
        <f>($B$14*(I297*C297+IF(ABS((D297+0.1)-D297)&lt;0.000000001,4*$B$19*$B$20*(D297+273)^3,$B$19*$B$20*(((D297+0.1)+273)^4-(D297+273)^4)/((D297+0.1)-D297))*D297)+T297/H297)/($B$14*(I297+IF(ABS((D297+0.1)-D297)&lt;0.000000001,4*$B$19*$B$20*(D297+273)^3,$B$19*$B$20*(((D297+0.1)+273)^4-(D297+273)^4)/((D297+0.1)-D297)))+1/H297)</f>
        <v/>
      </c>
      <c r="W297">
        <f>($B$14*(I297*C297+IF(ABS(V297-D297)&lt;0.000000001,4*$B$19*$B$20*(D297+273)^3,$B$19*$B$20*((V297+273)^4-(D297+273)^4)/(V297-D297))*D297)+T297/H297)/($B$14*(I297+IF(ABS(V297-D297)&lt;0.000000001,4*$B$19*$B$20*(D297+273)^3,$B$19*$B$20*((V297+273)^4-(D297+273)^4)/(V297-D297)))+1/H297)</f>
        <v/>
      </c>
      <c r="X297">
        <f>($B$14*(I297*C297+IF(ABS(W297-D297)&lt;0.000000001,4*$B$19*$B$20*(D297+273)^3,$B$19*$B$20*((W297+273)^4-(D297+273)^4)/(W297-D297))*D297)+T297/H297)/($B$14*(I297+IF(ABS(W297-D297)&lt;0.000000001,4*$B$19*$B$20*(D297+273)^3,$B$19*$B$20*((W297+273)^4-(D297+273)^4)/(W297-D297)))+1/H297)</f>
        <v/>
      </c>
      <c r="Y297">
        <f>($B$14*(I297*C297+IF(ABS(X297-D297)&lt;0.000000001,4*$B$19*$B$20*(D297+273)^3,$B$19*$B$20*((X297+273)^4-(D297+273)^4)/(X297-D297))*D297)+T297/H297)/($B$14*(I297+IF(ABS(X297-D297)&lt;0.000000001,4*$B$19*$B$20*(D297+273)^3,$B$19*$B$20*((X297+273)^4-(D297+273)^4)/(X297-D297)))+1/H297)</f>
        <v/>
      </c>
      <c r="Z297">
        <f>IF(ABS(Y297-D297)&lt;0.000000001,4*$B$19*$B$20*(D297+273)^3,$B$19*$B$20*((Y297+273)^4-(D297+273)^4)/(Y297-D297))</f>
        <v/>
      </c>
      <c r="AA297">
        <f>$B$14*I297*(Y297-C297)</f>
        <v/>
      </c>
      <c r="AB297">
        <f>$B$14*Z297*(Y297-D297)</f>
        <v/>
      </c>
      <c r="AC297">
        <f>IF((U297-E297)/G297=0,0.001,(U297-E297)/G297)</f>
        <v/>
      </c>
      <c r="AD297">
        <f>F297-P297-J297-K297-AA297-AB297</f>
        <v/>
      </c>
      <c r="AE297">
        <f>AD297/AC297</f>
        <v/>
      </c>
      <c r="AF297">
        <f>IF(AD297&lt;=0,0,IF(AC297&lt;=0,$B$11,IF(AE297&gt;=1.7,$B$11,MIN(AD297/MAX(0.05,IF(AE297&gt;1,(2-AE297)^2/2,1-AE297^2/2)),$B$11))))</f>
        <v/>
      </c>
      <c r="AG297">
        <f>AG296*$B$28+AF297*(1-$B$28)</f>
        <v/>
      </c>
      <c r="AH297">
        <f>IF(AND(AD297&gt;0,AC297&lt;=0),0,AC297)</f>
        <v/>
      </c>
      <c r="AI297">
        <f>AH297/MAX(AG297,0.000001)</f>
        <v/>
      </c>
      <c r="AJ297">
        <f>MIN(IF(AI297&gt;=0.5,-AI297+SQRT(AI297^2+2),1),$B$12)</f>
        <v/>
      </c>
      <c r="AK297">
        <f>IF(AG297&lt;=0,0,AJ297*AH297)</f>
        <v/>
      </c>
      <c r="AL297">
        <f>IF(AD297&lt;=0,0,AD297)</f>
        <v/>
      </c>
      <c r="AM297">
        <f>AL297-AK297+P297</f>
        <v/>
      </c>
      <c r="AN297">
        <f>((AM297/$B$7+T296*AS296/2-T297*MAX(0.1,MIN(0.3,0.3-0.09*(AR296-36.8)))/2)+AR296*(1-AS296/2))/(1-MAX(0.1,MIN(0.3,0.3-0.09*(AR296-36.8)))/2)</f>
        <v/>
      </c>
      <c r="AO297">
        <f>((AM297/$B$7+T296*AS296/2-T297*MAX(0.1,MIN(0.3,0.3-0.09*(AN297-36.8)))/2)+AR296*(1-AS296/2))/(1-MAX(0.1,MIN(0.3,0.3-0.09*(AN297-36.8)))/2)</f>
        <v/>
      </c>
      <c r="AP297">
        <f>((AM297/$B$7+T296*AS296/2-T297*MAX(0.1,MIN(0.3,0.3-0.09*(AO297-36.8)))/2)+AR296*(1-AS296/2))/(1-MAX(0.1,MIN(0.3,0.3-0.09*(AO297-36.8)))/2)</f>
        <v/>
      </c>
      <c r="AQ297">
        <f>((AM297/$B$7+T296*AS296/2-T297*MAX(0.1,MIN(0.3,0.3-0.09*(AP297-36.8)))/2)+AR296*(1-AS296/2))/(1-MAX(0.1,MIN(0.3,0.3-0.09*(AP297-36.8)))/2)</f>
        <v/>
      </c>
      <c r="AR297">
        <f>((AM297/$B$7+T296*AS296/2-T297*MAX(0.1,MIN(0.3,0.3-0.09*(AQ297-36.8)))/2)+AR296*(1-AS296/2))/(1-MAX(0.1,MIN(0.3,0.3-0.09*(AQ297-36.8)))/2)</f>
        <v/>
      </c>
      <c r="AS297">
        <f>MAX(0.1,MIN(0.3,0.3-0.09*(AR297-36.8)))</f>
        <v/>
      </c>
      <c r="AT297">
        <f>AT296+(2*AR297-1.962*AT296-1.31)/9</f>
        <v/>
      </c>
      <c r="AU297">
        <f>AU296+AG297+K297</f>
        <v/>
      </c>
      <c r="AV297">
        <f>AU297*2.67*$B$6/1.8/60</f>
        <v/>
      </c>
      <c r="AW297">
        <f>IF(AT297&gt;=$B$36,1,0)</f>
        <v/>
      </c>
      <c r="AX297">
        <f>IF(AV297&gt;=$B$21,1,0)</f>
        <v/>
      </c>
    </row>
    <row r="298">
      <c r="A298" t="n">
        <v>225</v>
      </c>
      <c r="B298">
        <f>MATCH(A298-1,$D$61:$D$68,1)</f>
        <v/>
      </c>
      <c r="C298">
        <f>INDEX($G$61:$G$68,B298)</f>
        <v/>
      </c>
      <c r="D298">
        <f>INDEX($L$61:$L$68,B298)</f>
        <v/>
      </c>
      <c r="E298">
        <f>INDEX($M$61:$M$68,B298)</f>
        <v/>
      </c>
      <c r="F298">
        <f>INDEX($N$61:$N$68,B298)</f>
        <v/>
      </c>
      <c r="G298">
        <f>INDEX($AA$61:$AA$68,B298)</f>
        <v/>
      </c>
      <c r="H298">
        <f>INDEX($X$61:$X$68,B298)</f>
        <v/>
      </c>
      <c r="I298">
        <f>INDEX($AF$61:$AF$68,B298)</f>
        <v/>
      </c>
      <c r="J298">
        <f>INDEX($AC$61:$AC$68,B298)</f>
        <v/>
      </c>
      <c r="K298">
        <f>INDEX($AD$61:$AD$68,B298)</f>
        <v/>
      </c>
      <c r="L298">
        <f>INDEX($AG$61:$AG$68,B298)</f>
        <v/>
      </c>
      <c r="M298">
        <f>INDEX($AH$61:$AH$68,B298)</f>
        <v/>
      </c>
      <c r="N298">
        <f>INDEX($AI$61:$AI$68,B298)</f>
        <v/>
      </c>
      <c r="O298">
        <f>O297*$B$26+L298*(1-$B$26)</f>
        <v/>
      </c>
      <c r="P298">
        <f>$B$7*(O298-O297)*(1-AS297)</f>
        <v/>
      </c>
      <c r="Q298">
        <f>M298+0.51274*AT297</f>
        <v/>
      </c>
      <c r="R298">
        <f>N298+0.616*AT297</f>
        <v/>
      </c>
      <c r="S298">
        <f>IF($B$13&gt;=0.6,Q298,IF($B$13&lt;=0.2,R298,R298+2.5*(Q298-R298)*($B$13-0.2)))</f>
        <v/>
      </c>
      <c r="T298">
        <f>IF(A298=1,S298,T297*$B$27+S298*(1-$B$27))</f>
        <v/>
      </c>
      <c r="U298">
        <f>0.6105*EXP(17.27*T298/(T298+237.3))</f>
        <v/>
      </c>
      <c r="V298">
        <f>($B$14*(I298*C298+IF(ABS((D298+0.1)-D298)&lt;0.000000001,4*$B$19*$B$20*(D298+273)^3,$B$19*$B$20*(((D298+0.1)+273)^4-(D298+273)^4)/((D298+0.1)-D298))*D298)+T298/H298)/($B$14*(I298+IF(ABS((D298+0.1)-D298)&lt;0.000000001,4*$B$19*$B$20*(D298+273)^3,$B$19*$B$20*(((D298+0.1)+273)^4-(D298+273)^4)/((D298+0.1)-D298)))+1/H298)</f>
        <v/>
      </c>
      <c r="W298">
        <f>($B$14*(I298*C298+IF(ABS(V298-D298)&lt;0.000000001,4*$B$19*$B$20*(D298+273)^3,$B$19*$B$20*((V298+273)^4-(D298+273)^4)/(V298-D298))*D298)+T298/H298)/($B$14*(I298+IF(ABS(V298-D298)&lt;0.000000001,4*$B$19*$B$20*(D298+273)^3,$B$19*$B$20*((V298+273)^4-(D298+273)^4)/(V298-D298)))+1/H298)</f>
        <v/>
      </c>
      <c r="X298">
        <f>($B$14*(I298*C298+IF(ABS(W298-D298)&lt;0.000000001,4*$B$19*$B$20*(D298+273)^3,$B$19*$B$20*((W298+273)^4-(D298+273)^4)/(W298-D298))*D298)+T298/H298)/($B$14*(I298+IF(ABS(W298-D298)&lt;0.000000001,4*$B$19*$B$20*(D298+273)^3,$B$19*$B$20*((W298+273)^4-(D298+273)^4)/(W298-D298)))+1/H298)</f>
        <v/>
      </c>
      <c r="Y298">
        <f>($B$14*(I298*C298+IF(ABS(X298-D298)&lt;0.000000001,4*$B$19*$B$20*(D298+273)^3,$B$19*$B$20*((X298+273)^4-(D298+273)^4)/(X298-D298))*D298)+T298/H298)/($B$14*(I298+IF(ABS(X298-D298)&lt;0.000000001,4*$B$19*$B$20*(D298+273)^3,$B$19*$B$20*((X298+273)^4-(D298+273)^4)/(X298-D298)))+1/H298)</f>
        <v/>
      </c>
      <c r="Z298">
        <f>IF(ABS(Y298-D298)&lt;0.000000001,4*$B$19*$B$20*(D298+273)^3,$B$19*$B$20*((Y298+273)^4-(D298+273)^4)/(Y298-D298))</f>
        <v/>
      </c>
      <c r="AA298">
        <f>$B$14*I298*(Y298-C298)</f>
        <v/>
      </c>
      <c r="AB298">
        <f>$B$14*Z298*(Y298-D298)</f>
        <v/>
      </c>
      <c r="AC298">
        <f>IF((U298-E298)/G298=0,0.001,(U298-E298)/G298)</f>
        <v/>
      </c>
      <c r="AD298">
        <f>F298-P298-J298-K298-AA298-AB298</f>
        <v/>
      </c>
      <c r="AE298">
        <f>AD298/AC298</f>
        <v/>
      </c>
      <c r="AF298">
        <f>IF(AD298&lt;=0,0,IF(AC298&lt;=0,$B$11,IF(AE298&gt;=1.7,$B$11,MIN(AD298/MAX(0.05,IF(AE298&gt;1,(2-AE298)^2/2,1-AE298^2/2)),$B$11))))</f>
        <v/>
      </c>
      <c r="AG298">
        <f>AG297*$B$28+AF298*(1-$B$28)</f>
        <v/>
      </c>
      <c r="AH298">
        <f>IF(AND(AD298&gt;0,AC298&lt;=0),0,AC298)</f>
        <v/>
      </c>
      <c r="AI298">
        <f>AH298/MAX(AG298,0.000001)</f>
        <v/>
      </c>
      <c r="AJ298">
        <f>MIN(IF(AI298&gt;=0.5,-AI298+SQRT(AI298^2+2),1),$B$12)</f>
        <v/>
      </c>
      <c r="AK298">
        <f>IF(AG298&lt;=0,0,AJ298*AH298)</f>
        <v/>
      </c>
      <c r="AL298">
        <f>IF(AD298&lt;=0,0,AD298)</f>
        <v/>
      </c>
      <c r="AM298">
        <f>AL298-AK298+P298</f>
        <v/>
      </c>
      <c r="AN298">
        <f>((AM298/$B$7+T297*AS297/2-T298*MAX(0.1,MIN(0.3,0.3-0.09*(AR297-36.8)))/2)+AR297*(1-AS297/2))/(1-MAX(0.1,MIN(0.3,0.3-0.09*(AR297-36.8)))/2)</f>
        <v/>
      </c>
      <c r="AO298">
        <f>((AM298/$B$7+T297*AS297/2-T298*MAX(0.1,MIN(0.3,0.3-0.09*(AN298-36.8)))/2)+AR297*(1-AS297/2))/(1-MAX(0.1,MIN(0.3,0.3-0.09*(AN298-36.8)))/2)</f>
        <v/>
      </c>
      <c r="AP298">
        <f>((AM298/$B$7+T297*AS297/2-T298*MAX(0.1,MIN(0.3,0.3-0.09*(AO298-36.8)))/2)+AR297*(1-AS297/2))/(1-MAX(0.1,MIN(0.3,0.3-0.09*(AO298-36.8)))/2)</f>
        <v/>
      </c>
      <c r="AQ298">
        <f>((AM298/$B$7+T297*AS297/2-T298*MAX(0.1,MIN(0.3,0.3-0.09*(AP298-36.8)))/2)+AR297*(1-AS297/2))/(1-MAX(0.1,MIN(0.3,0.3-0.09*(AP298-36.8)))/2)</f>
        <v/>
      </c>
      <c r="AR298">
        <f>((AM298/$B$7+T297*AS297/2-T298*MAX(0.1,MIN(0.3,0.3-0.09*(AQ298-36.8)))/2)+AR297*(1-AS297/2))/(1-MAX(0.1,MIN(0.3,0.3-0.09*(AQ298-36.8)))/2)</f>
        <v/>
      </c>
      <c r="AS298">
        <f>MAX(0.1,MIN(0.3,0.3-0.09*(AR298-36.8)))</f>
        <v/>
      </c>
      <c r="AT298">
        <f>AT297+(2*AR298-1.962*AT297-1.31)/9</f>
        <v/>
      </c>
      <c r="AU298">
        <f>AU297+AG298+K298</f>
        <v/>
      </c>
      <c r="AV298">
        <f>AU298*2.67*$B$6/1.8/60</f>
        <v/>
      </c>
      <c r="AW298">
        <f>IF(AT298&gt;=$B$36,1,0)</f>
        <v/>
      </c>
      <c r="AX298">
        <f>IF(AV298&gt;=$B$21,1,0)</f>
        <v/>
      </c>
    </row>
    <row r="299">
      <c r="A299" t="n">
        <v>226</v>
      </c>
      <c r="B299">
        <f>MATCH(A299-1,$D$61:$D$68,1)</f>
        <v/>
      </c>
      <c r="C299">
        <f>INDEX($G$61:$G$68,B299)</f>
        <v/>
      </c>
      <c r="D299">
        <f>INDEX($L$61:$L$68,B299)</f>
        <v/>
      </c>
      <c r="E299">
        <f>INDEX($M$61:$M$68,B299)</f>
        <v/>
      </c>
      <c r="F299">
        <f>INDEX($N$61:$N$68,B299)</f>
        <v/>
      </c>
      <c r="G299">
        <f>INDEX($AA$61:$AA$68,B299)</f>
        <v/>
      </c>
      <c r="H299">
        <f>INDEX($X$61:$X$68,B299)</f>
        <v/>
      </c>
      <c r="I299">
        <f>INDEX($AF$61:$AF$68,B299)</f>
        <v/>
      </c>
      <c r="J299">
        <f>INDEX($AC$61:$AC$68,B299)</f>
        <v/>
      </c>
      <c r="K299">
        <f>INDEX($AD$61:$AD$68,B299)</f>
        <v/>
      </c>
      <c r="L299">
        <f>INDEX($AG$61:$AG$68,B299)</f>
        <v/>
      </c>
      <c r="M299">
        <f>INDEX($AH$61:$AH$68,B299)</f>
        <v/>
      </c>
      <c r="N299">
        <f>INDEX($AI$61:$AI$68,B299)</f>
        <v/>
      </c>
      <c r="O299">
        <f>O298*$B$26+L299*(1-$B$26)</f>
        <v/>
      </c>
      <c r="P299">
        <f>$B$7*(O299-O298)*(1-AS298)</f>
        <v/>
      </c>
      <c r="Q299">
        <f>M299+0.51274*AT298</f>
        <v/>
      </c>
      <c r="R299">
        <f>N299+0.616*AT298</f>
        <v/>
      </c>
      <c r="S299">
        <f>IF($B$13&gt;=0.6,Q299,IF($B$13&lt;=0.2,R299,R299+2.5*(Q299-R299)*($B$13-0.2)))</f>
        <v/>
      </c>
      <c r="T299">
        <f>IF(A299=1,S299,T298*$B$27+S299*(1-$B$27))</f>
        <v/>
      </c>
      <c r="U299">
        <f>0.6105*EXP(17.27*T299/(T299+237.3))</f>
        <v/>
      </c>
      <c r="V299">
        <f>($B$14*(I299*C299+IF(ABS((D299+0.1)-D299)&lt;0.000000001,4*$B$19*$B$20*(D299+273)^3,$B$19*$B$20*(((D299+0.1)+273)^4-(D299+273)^4)/((D299+0.1)-D299))*D299)+T299/H299)/($B$14*(I299+IF(ABS((D299+0.1)-D299)&lt;0.000000001,4*$B$19*$B$20*(D299+273)^3,$B$19*$B$20*(((D299+0.1)+273)^4-(D299+273)^4)/((D299+0.1)-D299)))+1/H299)</f>
        <v/>
      </c>
      <c r="W299">
        <f>($B$14*(I299*C299+IF(ABS(V299-D299)&lt;0.000000001,4*$B$19*$B$20*(D299+273)^3,$B$19*$B$20*((V299+273)^4-(D299+273)^4)/(V299-D299))*D299)+T299/H299)/($B$14*(I299+IF(ABS(V299-D299)&lt;0.000000001,4*$B$19*$B$20*(D299+273)^3,$B$19*$B$20*((V299+273)^4-(D299+273)^4)/(V299-D299)))+1/H299)</f>
        <v/>
      </c>
      <c r="X299">
        <f>($B$14*(I299*C299+IF(ABS(W299-D299)&lt;0.000000001,4*$B$19*$B$20*(D299+273)^3,$B$19*$B$20*((W299+273)^4-(D299+273)^4)/(W299-D299))*D299)+T299/H299)/($B$14*(I299+IF(ABS(W299-D299)&lt;0.000000001,4*$B$19*$B$20*(D299+273)^3,$B$19*$B$20*((W299+273)^4-(D299+273)^4)/(W299-D299)))+1/H299)</f>
        <v/>
      </c>
      <c r="Y299">
        <f>($B$14*(I299*C299+IF(ABS(X299-D299)&lt;0.000000001,4*$B$19*$B$20*(D299+273)^3,$B$19*$B$20*((X299+273)^4-(D299+273)^4)/(X299-D299))*D299)+T299/H299)/($B$14*(I299+IF(ABS(X299-D299)&lt;0.000000001,4*$B$19*$B$20*(D299+273)^3,$B$19*$B$20*((X299+273)^4-(D299+273)^4)/(X299-D299)))+1/H299)</f>
        <v/>
      </c>
      <c r="Z299">
        <f>IF(ABS(Y299-D299)&lt;0.000000001,4*$B$19*$B$20*(D299+273)^3,$B$19*$B$20*((Y299+273)^4-(D299+273)^4)/(Y299-D299))</f>
        <v/>
      </c>
      <c r="AA299">
        <f>$B$14*I299*(Y299-C299)</f>
        <v/>
      </c>
      <c r="AB299">
        <f>$B$14*Z299*(Y299-D299)</f>
        <v/>
      </c>
      <c r="AC299">
        <f>IF((U299-E299)/G299=0,0.001,(U299-E299)/G299)</f>
        <v/>
      </c>
      <c r="AD299">
        <f>F299-P299-J299-K299-AA299-AB299</f>
        <v/>
      </c>
      <c r="AE299">
        <f>AD299/AC299</f>
        <v/>
      </c>
      <c r="AF299">
        <f>IF(AD299&lt;=0,0,IF(AC299&lt;=0,$B$11,IF(AE299&gt;=1.7,$B$11,MIN(AD299/MAX(0.05,IF(AE299&gt;1,(2-AE299)^2/2,1-AE299^2/2)),$B$11))))</f>
        <v/>
      </c>
      <c r="AG299">
        <f>AG298*$B$28+AF299*(1-$B$28)</f>
        <v/>
      </c>
      <c r="AH299">
        <f>IF(AND(AD299&gt;0,AC299&lt;=0),0,AC299)</f>
        <v/>
      </c>
      <c r="AI299">
        <f>AH299/MAX(AG299,0.000001)</f>
        <v/>
      </c>
      <c r="AJ299">
        <f>MIN(IF(AI299&gt;=0.5,-AI299+SQRT(AI299^2+2),1),$B$12)</f>
        <v/>
      </c>
      <c r="AK299">
        <f>IF(AG299&lt;=0,0,AJ299*AH299)</f>
        <v/>
      </c>
      <c r="AL299">
        <f>IF(AD299&lt;=0,0,AD299)</f>
        <v/>
      </c>
      <c r="AM299">
        <f>AL299-AK299+P299</f>
        <v/>
      </c>
      <c r="AN299">
        <f>((AM299/$B$7+T298*AS298/2-T299*MAX(0.1,MIN(0.3,0.3-0.09*(AR298-36.8)))/2)+AR298*(1-AS298/2))/(1-MAX(0.1,MIN(0.3,0.3-0.09*(AR298-36.8)))/2)</f>
        <v/>
      </c>
      <c r="AO299">
        <f>((AM299/$B$7+T298*AS298/2-T299*MAX(0.1,MIN(0.3,0.3-0.09*(AN299-36.8)))/2)+AR298*(1-AS298/2))/(1-MAX(0.1,MIN(0.3,0.3-0.09*(AN299-36.8)))/2)</f>
        <v/>
      </c>
      <c r="AP299">
        <f>((AM299/$B$7+T298*AS298/2-T299*MAX(0.1,MIN(0.3,0.3-0.09*(AO299-36.8)))/2)+AR298*(1-AS298/2))/(1-MAX(0.1,MIN(0.3,0.3-0.09*(AO299-36.8)))/2)</f>
        <v/>
      </c>
      <c r="AQ299">
        <f>((AM299/$B$7+T298*AS298/2-T299*MAX(0.1,MIN(0.3,0.3-0.09*(AP299-36.8)))/2)+AR298*(1-AS298/2))/(1-MAX(0.1,MIN(0.3,0.3-0.09*(AP299-36.8)))/2)</f>
        <v/>
      </c>
      <c r="AR299">
        <f>((AM299/$B$7+T298*AS298/2-T299*MAX(0.1,MIN(0.3,0.3-0.09*(AQ299-36.8)))/2)+AR298*(1-AS298/2))/(1-MAX(0.1,MIN(0.3,0.3-0.09*(AQ299-36.8)))/2)</f>
        <v/>
      </c>
      <c r="AS299">
        <f>MAX(0.1,MIN(0.3,0.3-0.09*(AR299-36.8)))</f>
        <v/>
      </c>
      <c r="AT299">
        <f>AT298+(2*AR299-1.962*AT298-1.31)/9</f>
        <v/>
      </c>
      <c r="AU299">
        <f>AU298+AG299+K299</f>
        <v/>
      </c>
      <c r="AV299">
        <f>AU299*2.67*$B$6/1.8/60</f>
        <v/>
      </c>
      <c r="AW299">
        <f>IF(AT299&gt;=$B$36,1,0)</f>
        <v/>
      </c>
      <c r="AX299">
        <f>IF(AV299&gt;=$B$21,1,0)</f>
        <v/>
      </c>
    </row>
    <row r="300">
      <c r="A300" t="n">
        <v>227</v>
      </c>
      <c r="B300">
        <f>MATCH(A300-1,$D$61:$D$68,1)</f>
        <v/>
      </c>
      <c r="C300">
        <f>INDEX($G$61:$G$68,B300)</f>
        <v/>
      </c>
      <c r="D300">
        <f>INDEX($L$61:$L$68,B300)</f>
        <v/>
      </c>
      <c r="E300">
        <f>INDEX($M$61:$M$68,B300)</f>
        <v/>
      </c>
      <c r="F300">
        <f>INDEX($N$61:$N$68,B300)</f>
        <v/>
      </c>
      <c r="G300">
        <f>INDEX($AA$61:$AA$68,B300)</f>
        <v/>
      </c>
      <c r="H300">
        <f>INDEX($X$61:$X$68,B300)</f>
        <v/>
      </c>
      <c r="I300">
        <f>INDEX($AF$61:$AF$68,B300)</f>
        <v/>
      </c>
      <c r="J300">
        <f>INDEX($AC$61:$AC$68,B300)</f>
        <v/>
      </c>
      <c r="K300">
        <f>INDEX($AD$61:$AD$68,B300)</f>
        <v/>
      </c>
      <c r="L300">
        <f>INDEX($AG$61:$AG$68,B300)</f>
        <v/>
      </c>
      <c r="M300">
        <f>INDEX($AH$61:$AH$68,B300)</f>
        <v/>
      </c>
      <c r="N300">
        <f>INDEX($AI$61:$AI$68,B300)</f>
        <v/>
      </c>
      <c r="O300">
        <f>O299*$B$26+L300*(1-$B$26)</f>
        <v/>
      </c>
      <c r="P300">
        <f>$B$7*(O300-O299)*(1-AS299)</f>
        <v/>
      </c>
      <c r="Q300">
        <f>M300+0.51274*AT299</f>
        <v/>
      </c>
      <c r="R300">
        <f>N300+0.616*AT299</f>
        <v/>
      </c>
      <c r="S300">
        <f>IF($B$13&gt;=0.6,Q300,IF($B$13&lt;=0.2,R300,R300+2.5*(Q300-R300)*($B$13-0.2)))</f>
        <v/>
      </c>
      <c r="T300">
        <f>IF(A300=1,S300,T299*$B$27+S300*(1-$B$27))</f>
        <v/>
      </c>
      <c r="U300">
        <f>0.6105*EXP(17.27*T300/(T300+237.3))</f>
        <v/>
      </c>
      <c r="V300">
        <f>($B$14*(I300*C300+IF(ABS((D300+0.1)-D300)&lt;0.000000001,4*$B$19*$B$20*(D300+273)^3,$B$19*$B$20*(((D300+0.1)+273)^4-(D300+273)^4)/((D300+0.1)-D300))*D300)+T300/H300)/($B$14*(I300+IF(ABS((D300+0.1)-D300)&lt;0.000000001,4*$B$19*$B$20*(D300+273)^3,$B$19*$B$20*(((D300+0.1)+273)^4-(D300+273)^4)/((D300+0.1)-D300)))+1/H300)</f>
        <v/>
      </c>
      <c r="W300">
        <f>($B$14*(I300*C300+IF(ABS(V300-D300)&lt;0.000000001,4*$B$19*$B$20*(D300+273)^3,$B$19*$B$20*((V300+273)^4-(D300+273)^4)/(V300-D300))*D300)+T300/H300)/($B$14*(I300+IF(ABS(V300-D300)&lt;0.000000001,4*$B$19*$B$20*(D300+273)^3,$B$19*$B$20*((V300+273)^4-(D300+273)^4)/(V300-D300)))+1/H300)</f>
        <v/>
      </c>
      <c r="X300">
        <f>($B$14*(I300*C300+IF(ABS(W300-D300)&lt;0.000000001,4*$B$19*$B$20*(D300+273)^3,$B$19*$B$20*((W300+273)^4-(D300+273)^4)/(W300-D300))*D300)+T300/H300)/($B$14*(I300+IF(ABS(W300-D300)&lt;0.000000001,4*$B$19*$B$20*(D300+273)^3,$B$19*$B$20*((W300+273)^4-(D300+273)^4)/(W300-D300)))+1/H300)</f>
        <v/>
      </c>
      <c r="Y300">
        <f>($B$14*(I300*C300+IF(ABS(X300-D300)&lt;0.000000001,4*$B$19*$B$20*(D300+273)^3,$B$19*$B$20*((X300+273)^4-(D300+273)^4)/(X300-D300))*D300)+T300/H300)/($B$14*(I300+IF(ABS(X300-D300)&lt;0.000000001,4*$B$19*$B$20*(D300+273)^3,$B$19*$B$20*((X300+273)^4-(D300+273)^4)/(X300-D300)))+1/H300)</f>
        <v/>
      </c>
      <c r="Z300">
        <f>IF(ABS(Y300-D300)&lt;0.000000001,4*$B$19*$B$20*(D300+273)^3,$B$19*$B$20*((Y300+273)^4-(D300+273)^4)/(Y300-D300))</f>
        <v/>
      </c>
      <c r="AA300">
        <f>$B$14*I300*(Y300-C300)</f>
        <v/>
      </c>
      <c r="AB300">
        <f>$B$14*Z300*(Y300-D300)</f>
        <v/>
      </c>
      <c r="AC300">
        <f>IF((U300-E300)/G300=0,0.001,(U300-E300)/G300)</f>
        <v/>
      </c>
      <c r="AD300">
        <f>F300-P300-J300-K300-AA300-AB300</f>
        <v/>
      </c>
      <c r="AE300">
        <f>AD300/AC300</f>
        <v/>
      </c>
      <c r="AF300">
        <f>IF(AD300&lt;=0,0,IF(AC300&lt;=0,$B$11,IF(AE300&gt;=1.7,$B$11,MIN(AD300/MAX(0.05,IF(AE300&gt;1,(2-AE300)^2/2,1-AE300^2/2)),$B$11))))</f>
        <v/>
      </c>
      <c r="AG300">
        <f>AG299*$B$28+AF300*(1-$B$28)</f>
        <v/>
      </c>
      <c r="AH300">
        <f>IF(AND(AD300&gt;0,AC300&lt;=0),0,AC300)</f>
        <v/>
      </c>
      <c r="AI300">
        <f>AH300/MAX(AG300,0.000001)</f>
        <v/>
      </c>
      <c r="AJ300">
        <f>MIN(IF(AI300&gt;=0.5,-AI300+SQRT(AI300^2+2),1),$B$12)</f>
        <v/>
      </c>
      <c r="AK300">
        <f>IF(AG300&lt;=0,0,AJ300*AH300)</f>
        <v/>
      </c>
      <c r="AL300">
        <f>IF(AD300&lt;=0,0,AD300)</f>
        <v/>
      </c>
      <c r="AM300">
        <f>AL300-AK300+P300</f>
        <v/>
      </c>
      <c r="AN300">
        <f>((AM300/$B$7+T299*AS299/2-T300*MAX(0.1,MIN(0.3,0.3-0.09*(AR299-36.8)))/2)+AR299*(1-AS299/2))/(1-MAX(0.1,MIN(0.3,0.3-0.09*(AR299-36.8)))/2)</f>
        <v/>
      </c>
      <c r="AO300">
        <f>((AM300/$B$7+T299*AS299/2-T300*MAX(0.1,MIN(0.3,0.3-0.09*(AN300-36.8)))/2)+AR299*(1-AS299/2))/(1-MAX(0.1,MIN(0.3,0.3-0.09*(AN300-36.8)))/2)</f>
        <v/>
      </c>
      <c r="AP300">
        <f>((AM300/$B$7+T299*AS299/2-T300*MAX(0.1,MIN(0.3,0.3-0.09*(AO300-36.8)))/2)+AR299*(1-AS299/2))/(1-MAX(0.1,MIN(0.3,0.3-0.09*(AO300-36.8)))/2)</f>
        <v/>
      </c>
      <c r="AQ300">
        <f>((AM300/$B$7+T299*AS299/2-T300*MAX(0.1,MIN(0.3,0.3-0.09*(AP300-36.8)))/2)+AR299*(1-AS299/2))/(1-MAX(0.1,MIN(0.3,0.3-0.09*(AP300-36.8)))/2)</f>
        <v/>
      </c>
      <c r="AR300">
        <f>((AM300/$B$7+T299*AS299/2-T300*MAX(0.1,MIN(0.3,0.3-0.09*(AQ300-36.8)))/2)+AR299*(1-AS299/2))/(1-MAX(0.1,MIN(0.3,0.3-0.09*(AQ300-36.8)))/2)</f>
        <v/>
      </c>
      <c r="AS300">
        <f>MAX(0.1,MIN(0.3,0.3-0.09*(AR300-36.8)))</f>
        <v/>
      </c>
      <c r="AT300">
        <f>AT299+(2*AR300-1.962*AT299-1.31)/9</f>
        <v/>
      </c>
      <c r="AU300">
        <f>AU299+AG300+K300</f>
        <v/>
      </c>
      <c r="AV300">
        <f>AU300*2.67*$B$6/1.8/60</f>
        <v/>
      </c>
      <c r="AW300">
        <f>IF(AT300&gt;=$B$36,1,0)</f>
        <v/>
      </c>
      <c r="AX300">
        <f>IF(AV300&gt;=$B$21,1,0)</f>
        <v/>
      </c>
    </row>
    <row r="301">
      <c r="A301" t="n">
        <v>228</v>
      </c>
      <c r="B301">
        <f>MATCH(A301-1,$D$61:$D$68,1)</f>
        <v/>
      </c>
      <c r="C301">
        <f>INDEX($G$61:$G$68,B301)</f>
        <v/>
      </c>
      <c r="D301">
        <f>INDEX($L$61:$L$68,B301)</f>
        <v/>
      </c>
      <c r="E301">
        <f>INDEX($M$61:$M$68,B301)</f>
        <v/>
      </c>
      <c r="F301">
        <f>INDEX($N$61:$N$68,B301)</f>
        <v/>
      </c>
      <c r="G301">
        <f>INDEX($AA$61:$AA$68,B301)</f>
        <v/>
      </c>
      <c r="H301">
        <f>INDEX($X$61:$X$68,B301)</f>
        <v/>
      </c>
      <c r="I301">
        <f>INDEX($AF$61:$AF$68,B301)</f>
        <v/>
      </c>
      <c r="J301">
        <f>INDEX($AC$61:$AC$68,B301)</f>
        <v/>
      </c>
      <c r="K301">
        <f>INDEX($AD$61:$AD$68,B301)</f>
        <v/>
      </c>
      <c r="L301">
        <f>INDEX($AG$61:$AG$68,B301)</f>
        <v/>
      </c>
      <c r="M301">
        <f>INDEX($AH$61:$AH$68,B301)</f>
        <v/>
      </c>
      <c r="N301">
        <f>INDEX($AI$61:$AI$68,B301)</f>
        <v/>
      </c>
      <c r="O301">
        <f>O300*$B$26+L301*(1-$B$26)</f>
        <v/>
      </c>
      <c r="P301">
        <f>$B$7*(O301-O300)*(1-AS300)</f>
        <v/>
      </c>
      <c r="Q301">
        <f>M301+0.51274*AT300</f>
        <v/>
      </c>
      <c r="R301">
        <f>N301+0.616*AT300</f>
        <v/>
      </c>
      <c r="S301">
        <f>IF($B$13&gt;=0.6,Q301,IF($B$13&lt;=0.2,R301,R301+2.5*(Q301-R301)*($B$13-0.2)))</f>
        <v/>
      </c>
      <c r="T301">
        <f>IF(A301=1,S301,T300*$B$27+S301*(1-$B$27))</f>
        <v/>
      </c>
      <c r="U301">
        <f>0.6105*EXP(17.27*T301/(T301+237.3))</f>
        <v/>
      </c>
      <c r="V301">
        <f>($B$14*(I301*C301+IF(ABS((D301+0.1)-D301)&lt;0.000000001,4*$B$19*$B$20*(D301+273)^3,$B$19*$B$20*(((D301+0.1)+273)^4-(D301+273)^4)/((D301+0.1)-D301))*D301)+T301/H301)/($B$14*(I301+IF(ABS((D301+0.1)-D301)&lt;0.000000001,4*$B$19*$B$20*(D301+273)^3,$B$19*$B$20*(((D301+0.1)+273)^4-(D301+273)^4)/((D301+0.1)-D301)))+1/H301)</f>
        <v/>
      </c>
      <c r="W301">
        <f>($B$14*(I301*C301+IF(ABS(V301-D301)&lt;0.000000001,4*$B$19*$B$20*(D301+273)^3,$B$19*$B$20*((V301+273)^4-(D301+273)^4)/(V301-D301))*D301)+T301/H301)/($B$14*(I301+IF(ABS(V301-D301)&lt;0.000000001,4*$B$19*$B$20*(D301+273)^3,$B$19*$B$20*((V301+273)^4-(D301+273)^4)/(V301-D301)))+1/H301)</f>
        <v/>
      </c>
      <c r="X301">
        <f>($B$14*(I301*C301+IF(ABS(W301-D301)&lt;0.000000001,4*$B$19*$B$20*(D301+273)^3,$B$19*$B$20*((W301+273)^4-(D301+273)^4)/(W301-D301))*D301)+T301/H301)/($B$14*(I301+IF(ABS(W301-D301)&lt;0.000000001,4*$B$19*$B$20*(D301+273)^3,$B$19*$B$20*((W301+273)^4-(D301+273)^4)/(W301-D301)))+1/H301)</f>
        <v/>
      </c>
      <c r="Y301">
        <f>($B$14*(I301*C301+IF(ABS(X301-D301)&lt;0.000000001,4*$B$19*$B$20*(D301+273)^3,$B$19*$B$20*((X301+273)^4-(D301+273)^4)/(X301-D301))*D301)+T301/H301)/($B$14*(I301+IF(ABS(X301-D301)&lt;0.000000001,4*$B$19*$B$20*(D301+273)^3,$B$19*$B$20*((X301+273)^4-(D301+273)^4)/(X301-D301)))+1/H301)</f>
        <v/>
      </c>
      <c r="Z301">
        <f>IF(ABS(Y301-D301)&lt;0.000000001,4*$B$19*$B$20*(D301+273)^3,$B$19*$B$20*((Y301+273)^4-(D301+273)^4)/(Y301-D301))</f>
        <v/>
      </c>
      <c r="AA301">
        <f>$B$14*I301*(Y301-C301)</f>
        <v/>
      </c>
      <c r="AB301">
        <f>$B$14*Z301*(Y301-D301)</f>
        <v/>
      </c>
      <c r="AC301">
        <f>IF((U301-E301)/G301=0,0.001,(U301-E301)/G301)</f>
        <v/>
      </c>
      <c r="AD301">
        <f>F301-P301-J301-K301-AA301-AB301</f>
        <v/>
      </c>
      <c r="AE301">
        <f>AD301/AC301</f>
        <v/>
      </c>
      <c r="AF301">
        <f>IF(AD301&lt;=0,0,IF(AC301&lt;=0,$B$11,IF(AE301&gt;=1.7,$B$11,MIN(AD301/MAX(0.05,IF(AE301&gt;1,(2-AE301)^2/2,1-AE301^2/2)),$B$11))))</f>
        <v/>
      </c>
      <c r="AG301">
        <f>AG300*$B$28+AF301*(1-$B$28)</f>
        <v/>
      </c>
      <c r="AH301">
        <f>IF(AND(AD301&gt;0,AC301&lt;=0),0,AC301)</f>
        <v/>
      </c>
      <c r="AI301">
        <f>AH301/MAX(AG301,0.000001)</f>
        <v/>
      </c>
      <c r="AJ301">
        <f>MIN(IF(AI301&gt;=0.5,-AI301+SQRT(AI301^2+2),1),$B$12)</f>
        <v/>
      </c>
      <c r="AK301">
        <f>IF(AG301&lt;=0,0,AJ301*AH301)</f>
        <v/>
      </c>
      <c r="AL301">
        <f>IF(AD301&lt;=0,0,AD301)</f>
        <v/>
      </c>
      <c r="AM301">
        <f>AL301-AK301+P301</f>
        <v/>
      </c>
      <c r="AN301">
        <f>((AM301/$B$7+T300*AS300/2-T301*MAX(0.1,MIN(0.3,0.3-0.09*(AR300-36.8)))/2)+AR300*(1-AS300/2))/(1-MAX(0.1,MIN(0.3,0.3-0.09*(AR300-36.8)))/2)</f>
        <v/>
      </c>
      <c r="AO301">
        <f>((AM301/$B$7+T300*AS300/2-T301*MAX(0.1,MIN(0.3,0.3-0.09*(AN301-36.8)))/2)+AR300*(1-AS300/2))/(1-MAX(0.1,MIN(0.3,0.3-0.09*(AN301-36.8)))/2)</f>
        <v/>
      </c>
      <c r="AP301">
        <f>((AM301/$B$7+T300*AS300/2-T301*MAX(0.1,MIN(0.3,0.3-0.09*(AO301-36.8)))/2)+AR300*(1-AS300/2))/(1-MAX(0.1,MIN(0.3,0.3-0.09*(AO301-36.8)))/2)</f>
        <v/>
      </c>
      <c r="AQ301">
        <f>((AM301/$B$7+T300*AS300/2-T301*MAX(0.1,MIN(0.3,0.3-0.09*(AP301-36.8)))/2)+AR300*(1-AS300/2))/(1-MAX(0.1,MIN(0.3,0.3-0.09*(AP301-36.8)))/2)</f>
        <v/>
      </c>
      <c r="AR301">
        <f>((AM301/$B$7+T300*AS300/2-T301*MAX(0.1,MIN(0.3,0.3-0.09*(AQ301-36.8)))/2)+AR300*(1-AS300/2))/(1-MAX(0.1,MIN(0.3,0.3-0.09*(AQ301-36.8)))/2)</f>
        <v/>
      </c>
      <c r="AS301">
        <f>MAX(0.1,MIN(0.3,0.3-0.09*(AR301-36.8)))</f>
        <v/>
      </c>
      <c r="AT301">
        <f>AT300+(2*AR301-1.962*AT300-1.31)/9</f>
        <v/>
      </c>
      <c r="AU301">
        <f>AU300+AG301+K301</f>
        <v/>
      </c>
      <c r="AV301">
        <f>AU301*2.67*$B$6/1.8/60</f>
        <v/>
      </c>
      <c r="AW301">
        <f>IF(AT301&gt;=$B$36,1,0)</f>
        <v/>
      </c>
      <c r="AX301">
        <f>IF(AV301&gt;=$B$21,1,0)</f>
        <v/>
      </c>
    </row>
    <row r="302">
      <c r="A302" t="n">
        <v>229</v>
      </c>
      <c r="B302">
        <f>MATCH(A302-1,$D$61:$D$68,1)</f>
        <v/>
      </c>
      <c r="C302">
        <f>INDEX($G$61:$G$68,B302)</f>
        <v/>
      </c>
      <c r="D302">
        <f>INDEX($L$61:$L$68,B302)</f>
        <v/>
      </c>
      <c r="E302">
        <f>INDEX($M$61:$M$68,B302)</f>
        <v/>
      </c>
      <c r="F302">
        <f>INDEX($N$61:$N$68,B302)</f>
        <v/>
      </c>
      <c r="G302">
        <f>INDEX($AA$61:$AA$68,B302)</f>
        <v/>
      </c>
      <c r="H302">
        <f>INDEX($X$61:$X$68,B302)</f>
        <v/>
      </c>
      <c r="I302">
        <f>INDEX($AF$61:$AF$68,B302)</f>
        <v/>
      </c>
      <c r="J302">
        <f>INDEX($AC$61:$AC$68,B302)</f>
        <v/>
      </c>
      <c r="K302">
        <f>INDEX($AD$61:$AD$68,B302)</f>
        <v/>
      </c>
      <c r="L302">
        <f>INDEX($AG$61:$AG$68,B302)</f>
        <v/>
      </c>
      <c r="M302">
        <f>INDEX($AH$61:$AH$68,B302)</f>
        <v/>
      </c>
      <c r="N302">
        <f>INDEX($AI$61:$AI$68,B302)</f>
        <v/>
      </c>
      <c r="O302">
        <f>O301*$B$26+L302*(1-$B$26)</f>
        <v/>
      </c>
      <c r="P302">
        <f>$B$7*(O302-O301)*(1-AS301)</f>
        <v/>
      </c>
      <c r="Q302">
        <f>M302+0.51274*AT301</f>
        <v/>
      </c>
      <c r="R302">
        <f>N302+0.616*AT301</f>
        <v/>
      </c>
      <c r="S302">
        <f>IF($B$13&gt;=0.6,Q302,IF($B$13&lt;=0.2,R302,R302+2.5*(Q302-R302)*($B$13-0.2)))</f>
        <v/>
      </c>
      <c r="T302">
        <f>IF(A302=1,S302,T301*$B$27+S302*(1-$B$27))</f>
        <v/>
      </c>
      <c r="U302">
        <f>0.6105*EXP(17.27*T302/(T302+237.3))</f>
        <v/>
      </c>
      <c r="V302">
        <f>($B$14*(I302*C302+IF(ABS((D302+0.1)-D302)&lt;0.000000001,4*$B$19*$B$20*(D302+273)^3,$B$19*$B$20*(((D302+0.1)+273)^4-(D302+273)^4)/((D302+0.1)-D302))*D302)+T302/H302)/($B$14*(I302+IF(ABS((D302+0.1)-D302)&lt;0.000000001,4*$B$19*$B$20*(D302+273)^3,$B$19*$B$20*(((D302+0.1)+273)^4-(D302+273)^4)/((D302+0.1)-D302)))+1/H302)</f>
        <v/>
      </c>
      <c r="W302">
        <f>($B$14*(I302*C302+IF(ABS(V302-D302)&lt;0.000000001,4*$B$19*$B$20*(D302+273)^3,$B$19*$B$20*((V302+273)^4-(D302+273)^4)/(V302-D302))*D302)+T302/H302)/($B$14*(I302+IF(ABS(V302-D302)&lt;0.000000001,4*$B$19*$B$20*(D302+273)^3,$B$19*$B$20*((V302+273)^4-(D302+273)^4)/(V302-D302)))+1/H302)</f>
        <v/>
      </c>
      <c r="X302">
        <f>($B$14*(I302*C302+IF(ABS(W302-D302)&lt;0.000000001,4*$B$19*$B$20*(D302+273)^3,$B$19*$B$20*((W302+273)^4-(D302+273)^4)/(W302-D302))*D302)+T302/H302)/($B$14*(I302+IF(ABS(W302-D302)&lt;0.000000001,4*$B$19*$B$20*(D302+273)^3,$B$19*$B$20*((W302+273)^4-(D302+273)^4)/(W302-D302)))+1/H302)</f>
        <v/>
      </c>
      <c r="Y302">
        <f>($B$14*(I302*C302+IF(ABS(X302-D302)&lt;0.000000001,4*$B$19*$B$20*(D302+273)^3,$B$19*$B$20*((X302+273)^4-(D302+273)^4)/(X302-D302))*D302)+T302/H302)/($B$14*(I302+IF(ABS(X302-D302)&lt;0.000000001,4*$B$19*$B$20*(D302+273)^3,$B$19*$B$20*((X302+273)^4-(D302+273)^4)/(X302-D302)))+1/H302)</f>
        <v/>
      </c>
      <c r="Z302">
        <f>IF(ABS(Y302-D302)&lt;0.000000001,4*$B$19*$B$20*(D302+273)^3,$B$19*$B$20*((Y302+273)^4-(D302+273)^4)/(Y302-D302))</f>
        <v/>
      </c>
      <c r="AA302">
        <f>$B$14*I302*(Y302-C302)</f>
        <v/>
      </c>
      <c r="AB302">
        <f>$B$14*Z302*(Y302-D302)</f>
        <v/>
      </c>
      <c r="AC302">
        <f>IF((U302-E302)/G302=0,0.001,(U302-E302)/G302)</f>
        <v/>
      </c>
      <c r="AD302">
        <f>F302-P302-J302-K302-AA302-AB302</f>
        <v/>
      </c>
      <c r="AE302">
        <f>AD302/AC302</f>
        <v/>
      </c>
      <c r="AF302">
        <f>IF(AD302&lt;=0,0,IF(AC302&lt;=0,$B$11,IF(AE302&gt;=1.7,$B$11,MIN(AD302/MAX(0.05,IF(AE302&gt;1,(2-AE302)^2/2,1-AE302^2/2)),$B$11))))</f>
        <v/>
      </c>
      <c r="AG302">
        <f>AG301*$B$28+AF302*(1-$B$28)</f>
        <v/>
      </c>
      <c r="AH302">
        <f>IF(AND(AD302&gt;0,AC302&lt;=0),0,AC302)</f>
        <v/>
      </c>
      <c r="AI302">
        <f>AH302/MAX(AG302,0.000001)</f>
        <v/>
      </c>
      <c r="AJ302">
        <f>MIN(IF(AI302&gt;=0.5,-AI302+SQRT(AI302^2+2),1),$B$12)</f>
        <v/>
      </c>
      <c r="AK302">
        <f>IF(AG302&lt;=0,0,AJ302*AH302)</f>
        <v/>
      </c>
      <c r="AL302">
        <f>IF(AD302&lt;=0,0,AD302)</f>
        <v/>
      </c>
      <c r="AM302">
        <f>AL302-AK302+P302</f>
        <v/>
      </c>
      <c r="AN302">
        <f>((AM302/$B$7+T301*AS301/2-T302*MAX(0.1,MIN(0.3,0.3-0.09*(AR301-36.8)))/2)+AR301*(1-AS301/2))/(1-MAX(0.1,MIN(0.3,0.3-0.09*(AR301-36.8)))/2)</f>
        <v/>
      </c>
      <c r="AO302">
        <f>((AM302/$B$7+T301*AS301/2-T302*MAX(0.1,MIN(0.3,0.3-0.09*(AN302-36.8)))/2)+AR301*(1-AS301/2))/(1-MAX(0.1,MIN(0.3,0.3-0.09*(AN302-36.8)))/2)</f>
        <v/>
      </c>
      <c r="AP302">
        <f>((AM302/$B$7+T301*AS301/2-T302*MAX(0.1,MIN(0.3,0.3-0.09*(AO302-36.8)))/2)+AR301*(1-AS301/2))/(1-MAX(0.1,MIN(0.3,0.3-0.09*(AO302-36.8)))/2)</f>
        <v/>
      </c>
      <c r="AQ302">
        <f>((AM302/$B$7+T301*AS301/2-T302*MAX(0.1,MIN(0.3,0.3-0.09*(AP302-36.8)))/2)+AR301*(1-AS301/2))/(1-MAX(0.1,MIN(0.3,0.3-0.09*(AP302-36.8)))/2)</f>
        <v/>
      </c>
      <c r="AR302">
        <f>((AM302/$B$7+T301*AS301/2-T302*MAX(0.1,MIN(0.3,0.3-0.09*(AQ302-36.8)))/2)+AR301*(1-AS301/2))/(1-MAX(0.1,MIN(0.3,0.3-0.09*(AQ302-36.8)))/2)</f>
        <v/>
      </c>
      <c r="AS302">
        <f>MAX(0.1,MIN(0.3,0.3-0.09*(AR302-36.8)))</f>
        <v/>
      </c>
      <c r="AT302">
        <f>AT301+(2*AR302-1.962*AT301-1.31)/9</f>
        <v/>
      </c>
      <c r="AU302">
        <f>AU301+AG302+K302</f>
        <v/>
      </c>
      <c r="AV302">
        <f>AU302*2.67*$B$6/1.8/60</f>
        <v/>
      </c>
      <c r="AW302">
        <f>IF(AT302&gt;=$B$36,1,0)</f>
        <v/>
      </c>
      <c r="AX302">
        <f>IF(AV302&gt;=$B$21,1,0)</f>
        <v/>
      </c>
    </row>
    <row r="303">
      <c r="A303" t="n">
        <v>230</v>
      </c>
      <c r="B303">
        <f>MATCH(A303-1,$D$61:$D$68,1)</f>
        <v/>
      </c>
      <c r="C303">
        <f>INDEX($G$61:$G$68,B303)</f>
        <v/>
      </c>
      <c r="D303">
        <f>INDEX($L$61:$L$68,B303)</f>
        <v/>
      </c>
      <c r="E303">
        <f>INDEX($M$61:$M$68,B303)</f>
        <v/>
      </c>
      <c r="F303">
        <f>INDEX($N$61:$N$68,B303)</f>
        <v/>
      </c>
      <c r="G303">
        <f>INDEX($AA$61:$AA$68,B303)</f>
        <v/>
      </c>
      <c r="H303">
        <f>INDEX($X$61:$X$68,B303)</f>
        <v/>
      </c>
      <c r="I303">
        <f>INDEX($AF$61:$AF$68,B303)</f>
        <v/>
      </c>
      <c r="J303">
        <f>INDEX($AC$61:$AC$68,B303)</f>
        <v/>
      </c>
      <c r="K303">
        <f>INDEX($AD$61:$AD$68,B303)</f>
        <v/>
      </c>
      <c r="L303">
        <f>INDEX($AG$61:$AG$68,B303)</f>
        <v/>
      </c>
      <c r="M303">
        <f>INDEX($AH$61:$AH$68,B303)</f>
        <v/>
      </c>
      <c r="N303">
        <f>INDEX($AI$61:$AI$68,B303)</f>
        <v/>
      </c>
      <c r="O303">
        <f>O302*$B$26+L303*(1-$B$26)</f>
        <v/>
      </c>
      <c r="P303">
        <f>$B$7*(O303-O302)*(1-AS302)</f>
        <v/>
      </c>
      <c r="Q303">
        <f>M303+0.51274*AT302</f>
        <v/>
      </c>
      <c r="R303">
        <f>N303+0.616*AT302</f>
        <v/>
      </c>
      <c r="S303">
        <f>IF($B$13&gt;=0.6,Q303,IF($B$13&lt;=0.2,R303,R303+2.5*(Q303-R303)*($B$13-0.2)))</f>
        <v/>
      </c>
      <c r="T303">
        <f>IF(A303=1,S303,T302*$B$27+S303*(1-$B$27))</f>
        <v/>
      </c>
      <c r="U303">
        <f>0.6105*EXP(17.27*T303/(T303+237.3))</f>
        <v/>
      </c>
      <c r="V303">
        <f>($B$14*(I303*C303+IF(ABS((D303+0.1)-D303)&lt;0.000000001,4*$B$19*$B$20*(D303+273)^3,$B$19*$B$20*(((D303+0.1)+273)^4-(D303+273)^4)/((D303+0.1)-D303))*D303)+T303/H303)/($B$14*(I303+IF(ABS((D303+0.1)-D303)&lt;0.000000001,4*$B$19*$B$20*(D303+273)^3,$B$19*$B$20*(((D303+0.1)+273)^4-(D303+273)^4)/((D303+0.1)-D303)))+1/H303)</f>
        <v/>
      </c>
      <c r="W303">
        <f>($B$14*(I303*C303+IF(ABS(V303-D303)&lt;0.000000001,4*$B$19*$B$20*(D303+273)^3,$B$19*$B$20*((V303+273)^4-(D303+273)^4)/(V303-D303))*D303)+T303/H303)/($B$14*(I303+IF(ABS(V303-D303)&lt;0.000000001,4*$B$19*$B$20*(D303+273)^3,$B$19*$B$20*((V303+273)^4-(D303+273)^4)/(V303-D303)))+1/H303)</f>
        <v/>
      </c>
      <c r="X303">
        <f>($B$14*(I303*C303+IF(ABS(W303-D303)&lt;0.000000001,4*$B$19*$B$20*(D303+273)^3,$B$19*$B$20*((W303+273)^4-(D303+273)^4)/(W303-D303))*D303)+T303/H303)/($B$14*(I303+IF(ABS(W303-D303)&lt;0.000000001,4*$B$19*$B$20*(D303+273)^3,$B$19*$B$20*((W303+273)^4-(D303+273)^4)/(W303-D303)))+1/H303)</f>
        <v/>
      </c>
      <c r="Y303">
        <f>($B$14*(I303*C303+IF(ABS(X303-D303)&lt;0.000000001,4*$B$19*$B$20*(D303+273)^3,$B$19*$B$20*((X303+273)^4-(D303+273)^4)/(X303-D303))*D303)+T303/H303)/($B$14*(I303+IF(ABS(X303-D303)&lt;0.000000001,4*$B$19*$B$20*(D303+273)^3,$B$19*$B$20*((X303+273)^4-(D303+273)^4)/(X303-D303)))+1/H303)</f>
        <v/>
      </c>
      <c r="Z303">
        <f>IF(ABS(Y303-D303)&lt;0.000000001,4*$B$19*$B$20*(D303+273)^3,$B$19*$B$20*((Y303+273)^4-(D303+273)^4)/(Y303-D303))</f>
        <v/>
      </c>
      <c r="AA303">
        <f>$B$14*I303*(Y303-C303)</f>
        <v/>
      </c>
      <c r="AB303">
        <f>$B$14*Z303*(Y303-D303)</f>
        <v/>
      </c>
      <c r="AC303">
        <f>IF((U303-E303)/G303=0,0.001,(U303-E303)/G303)</f>
        <v/>
      </c>
      <c r="AD303">
        <f>F303-P303-J303-K303-AA303-AB303</f>
        <v/>
      </c>
      <c r="AE303">
        <f>AD303/AC303</f>
        <v/>
      </c>
      <c r="AF303">
        <f>IF(AD303&lt;=0,0,IF(AC303&lt;=0,$B$11,IF(AE303&gt;=1.7,$B$11,MIN(AD303/MAX(0.05,IF(AE303&gt;1,(2-AE303)^2/2,1-AE303^2/2)),$B$11))))</f>
        <v/>
      </c>
      <c r="AG303">
        <f>AG302*$B$28+AF303*(1-$B$28)</f>
        <v/>
      </c>
      <c r="AH303">
        <f>IF(AND(AD303&gt;0,AC303&lt;=0),0,AC303)</f>
        <v/>
      </c>
      <c r="AI303">
        <f>AH303/MAX(AG303,0.000001)</f>
        <v/>
      </c>
      <c r="AJ303">
        <f>MIN(IF(AI303&gt;=0.5,-AI303+SQRT(AI303^2+2),1),$B$12)</f>
        <v/>
      </c>
      <c r="AK303">
        <f>IF(AG303&lt;=0,0,AJ303*AH303)</f>
        <v/>
      </c>
      <c r="AL303">
        <f>IF(AD303&lt;=0,0,AD303)</f>
        <v/>
      </c>
      <c r="AM303">
        <f>AL303-AK303+P303</f>
        <v/>
      </c>
      <c r="AN303">
        <f>((AM303/$B$7+T302*AS302/2-T303*MAX(0.1,MIN(0.3,0.3-0.09*(AR302-36.8)))/2)+AR302*(1-AS302/2))/(1-MAX(0.1,MIN(0.3,0.3-0.09*(AR302-36.8)))/2)</f>
        <v/>
      </c>
      <c r="AO303">
        <f>((AM303/$B$7+T302*AS302/2-T303*MAX(0.1,MIN(0.3,0.3-0.09*(AN303-36.8)))/2)+AR302*(1-AS302/2))/(1-MAX(0.1,MIN(0.3,0.3-0.09*(AN303-36.8)))/2)</f>
        <v/>
      </c>
      <c r="AP303">
        <f>((AM303/$B$7+T302*AS302/2-T303*MAX(0.1,MIN(0.3,0.3-0.09*(AO303-36.8)))/2)+AR302*(1-AS302/2))/(1-MAX(0.1,MIN(0.3,0.3-0.09*(AO303-36.8)))/2)</f>
        <v/>
      </c>
      <c r="AQ303">
        <f>((AM303/$B$7+T302*AS302/2-T303*MAX(0.1,MIN(0.3,0.3-0.09*(AP303-36.8)))/2)+AR302*(1-AS302/2))/(1-MAX(0.1,MIN(0.3,0.3-0.09*(AP303-36.8)))/2)</f>
        <v/>
      </c>
      <c r="AR303">
        <f>((AM303/$B$7+T302*AS302/2-T303*MAX(0.1,MIN(0.3,0.3-0.09*(AQ303-36.8)))/2)+AR302*(1-AS302/2))/(1-MAX(0.1,MIN(0.3,0.3-0.09*(AQ303-36.8)))/2)</f>
        <v/>
      </c>
      <c r="AS303">
        <f>MAX(0.1,MIN(0.3,0.3-0.09*(AR303-36.8)))</f>
        <v/>
      </c>
      <c r="AT303">
        <f>AT302+(2*AR303-1.962*AT302-1.31)/9</f>
        <v/>
      </c>
      <c r="AU303">
        <f>AU302+AG303+K303</f>
        <v/>
      </c>
      <c r="AV303">
        <f>AU303*2.67*$B$6/1.8/60</f>
        <v/>
      </c>
      <c r="AW303">
        <f>IF(AT303&gt;=$B$36,1,0)</f>
        <v/>
      </c>
      <c r="AX303">
        <f>IF(AV303&gt;=$B$21,1,0)</f>
        <v/>
      </c>
    </row>
    <row r="304">
      <c r="A304" t="n">
        <v>231</v>
      </c>
      <c r="B304">
        <f>MATCH(A304-1,$D$61:$D$68,1)</f>
        <v/>
      </c>
      <c r="C304">
        <f>INDEX($G$61:$G$68,B304)</f>
        <v/>
      </c>
      <c r="D304">
        <f>INDEX($L$61:$L$68,B304)</f>
        <v/>
      </c>
      <c r="E304">
        <f>INDEX($M$61:$M$68,B304)</f>
        <v/>
      </c>
      <c r="F304">
        <f>INDEX($N$61:$N$68,B304)</f>
        <v/>
      </c>
      <c r="G304">
        <f>INDEX($AA$61:$AA$68,B304)</f>
        <v/>
      </c>
      <c r="H304">
        <f>INDEX($X$61:$X$68,B304)</f>
        <v/>
      </c>
      <c r="I304">
        <f>INDEX($AF$61:$AF$68,B304)</f>
        <v/>
      </c>
      <c r="J304">
        <f>INDEX($AC$61:$AC$68,B304)</f>
        <v/>
      </c>
      <c r="K304">
        <f>INDEX($AD$61:$AD$68,B304)</f>
        <v/>
      </c>
      <c r="L304">
        <f>INDEX($AG$61:$AG$68,B304)</f>
        <v/>
      </c>
      <c r="M304">
        <f>INDEX($AH$61:$AH$68,B304)</f>
        <v/>
      </c>
      <c r="N304">
        <f>INDEX($AI$61:$AI$68,B304)</f>
        <v/>
      </c>
      <c r="O304">
        <f>O303*$B$26+L304*(1-$B$26)</f>
        <v/>
      </c>
      <c r="P304">
        <f>$B$7*(O304-O303)*(1-AS303)</f>
        <v/>
      </c>
      <c r="Q304">
        <f>M304+0.51274*AT303</f>
        <v/>
      </c>
      <c r="R304">
        <f>N304+0.616*AT303</f>
        <v/>
      </c>
      <c r="S304">
        <f>IF($B$13&gt;=0.6,Q304,IF($B$13&lt;=0.2,R304,R304+2.5*(Q304-R304)*($B$13-0.2)))</f>
        <v/>
      </c>
      <c r="T304">
        <f>IF(A304=1,S304,T303*$B$27+S304*(1-$B$27))</f>
        <v/>
      </c>
      <c r="U304">
        <f>0.6105*EXP(17.27*T304/(T304+237.3))</f>
        <v/>
      </c>
      <c r="V304">
        <f>($B$14*(I304*C304+IF(ABS((D304+0.1)-D304)&lt;0.000000001,4*$B$19*$B$20*(D304+273)^3,$B$19*$B$20*(((D304+0.1)+273)^4-(D304+273)^4)/((D304+0.1)-D304))*D304)+T304/H304)/($B$14*(I304+IF(ABS((D304+0.1)-D304)&lt;0.000000001,4*$B$19*$B$20*(D304+273)^3,$B$19*$B$20*(((D304+0.1)+273)^4-(D304+273)^4)/((D304+0.1)-D304)))+1/H304)</f>
        <v/>
      </c>
      <c r="W304">
        <f>($B$14*(I304*C304+IF(ABS(V304-D304)&lt;0.000000001,4*$B$19*$B$20*(D304+273)^3,$B$19*$B$20*((V304+273)^4-(D304+273)^4)/(V304-D304))*D304)+T304/H304)/($B$14*(I304+IF(ABS(V304-D304)&lt;0.000000001,4*$B$19*$B$20*(D304+273)^3,$B$19*$B$20*((V304+273)^4-(D304+273)^4)/(V304-D304)))+1/H304)</f>
        <v/>
      </c>
      <c r="X304">
        <f>($B$14*(I304*C304+IF(ABS(W304-D304)&lt;0.000000001,4*$B$19*$B$20*(D304+273)^3,$B$19*$B$20*((W304+273)^4-(D304+273)^4)/(W304-D304))*D304)+T304/H304)/($B$14*(I304+IF(ABS(W304-D304)&lt;0.000000001,4*$B$19*$B$20*(D304+273)^3,$B$19*$B$20*((W304+273)^4-(D304+273)^4)/(W304-D304)))+1/H304)</f>
        <v/>
      </c>
      <c r="Y304">
        <f>($B$14*(I304*C304+IF(ABS(X304-D304)&lt;0.000000001,4*$B$19*$B$20*(D304+273)^3,$B$19*$B$20*((X304+273)^4-(D304+273)^4)/(X304-D304))*D304)+T304/H304)/($B$14*(I304+IF(ABS(X304-D304)&lt;0.000000001,4*$B$19*$B$20*(D304+273)^3,$B$19*$B$20*((X304+273)^4-(D304+273)^4)/(X304-D304)))+1/H304)</f>
        <v/>
      </c>
      <c r="Z304">
        <f>IF(ABS(Y304-D304)&lt;0.000000001,4*$B$19*$B$20*(D304+273)^3,$B$19*$B$20*((Y304+273)^4-(D304+273)^4)/(Y304-D304))</f>
        <v/>
      </c>
      <c r="AA304">
        <f>$B$14*I304*(Y304-C304)</f>
        <v/>
      </c>
      <c r="AB304">
        <f>$B$14*Z304*(Y304-D304)</f>
        <v/>
      </c>
      <c r="AC304">
        <f>IF((U304-E304)/G304=0,0.001,(U304-E304)/G304)</f>
        <v/>
      </c>
      <c r="AD304">
        <f>F304-P304-J304-K304-AA304-AB304</f>
        <v/>
      </c>
      <c r="AE304">
        <f>AD304/AC304</f>
        <v/>
      </c>
      <c r="AF304">
        <f>IF(AD304&lt;=0,0,IF(AC304&lt;=0,$B$11,IF(AE304&gt;=1.7,$B$11,MIN(AD304/MAX(0.05,IF(AE304&gt;1,(2-AE304)^2/2,1-AE304^2/2)),$B$11))))</f>
        <v/>
      </c>
      <c r="AG304">
        <f>AG303*$B$28+AF304*(1-$B$28)</f>
        <v/>
      </c>
      <c r="AH304">
        <f>IF(AND(AD304&gt;0,AC304&lt;=0),0,AC304)</f>
        <v/>
      </c>
      <c r="AI304">
        <f>AH304/MAX(AG304,0.000001)</f>
        <v/>
      </c>
      <c r="AJ304">
        <f>MIN(IF(AI304&gt;=0.5,-AI304+SQRT(AI304^2+2),1),$B$12)</f>
        <v/>
      </c>
      <c r="AK304">
        <f>IF(AG304&lt;=0,0,AJ304*AH304)</f>
        <v/>
      </c>
      <c r="AL304">
        <f>IF(AD304&lt;=0,0,AD304)</f>
        <v/>
      </c>
      <c r="AM304">
        <f>AL304-AK304+P304</f>
        <v/>
      </c>
      <c r="AN304">
        <f>((AM304/$B$7+T303*AS303/2-T304*MAX(0.1,MIN(0.3,0.3-0.09*(AR303-36.8)))/2)+AR303*(1-AS303/2))/(1-MAX(0.1,MIN(0.3,0.3-0.09*(AR303-36.8)))/2)</f>
        <v/>
      </c>
      <c r="AO304">
        <f>((AM304/$B$7+T303*AS303/2-T304*MAX(0.1,MIN(0.3,0.3-0.09*(AN304-36.8)))/2)+AR303*(1-AS303/2))/(1-MAX(0.1,MIN(0.3,0.3-0.09*(AN304-36.8)))/2)</f>
        <v/>
      </c>
      <c r="AP304">
        <f>((AM304/$B$7+T303*AS303/2-T304*MAX(0.1,MIN(0.3,0.3-0.09*(AO304-36.8)))/2)+AR303*(1-AS303/2))/(1-MAX(0.1,MIN(0.3,0.3-0.09*(AO304-36.8)))/2)</f>
        <v/>
      </c>
      <c r="AQ304">
        <f>((AM304/$B$7+T303*AS303/2-T304*MAX(0.1,MIN(0.3,0.3-0.09*(AP304-36.8)))/2)+AR303*(1-AS303/2))/(1-MAX(0.1,MIN(0.3,0.3-0.09*(AP304-36.8)))/2)</f>
        <v/>
      </c>
      <c r="AR304">
        <f>((AM304/$B$7+T303*AS303/2-T304*MAX(0.1,MIN(0.3,0.3-0.09*(AQ304-36.8)))/2)+AR303*(1-AS303/2))/(1-MAX(0.1,MIN(0.3,0.3-0.09*(AQ304-36.8)))/2)</f>
        <v/>
      </c>
      <c r="AS304">
        <f>MAX(0.1,MIN(0.3,0.3-0.09*(AR304-36.8)))</f>
        <v/>
      </c>
      <c r="AT304">
        <f>AT303+(2*AR304-1.962*AT303-1.31)/9</f>
        <v/>
      </c>
      <c r="AU304">
        <f>AU303+AG304+K304</f>
        <v/>
      </c>
      <c r="AV304">
        <f>AU304*2.67*$B$6/1.8/60</f>
        <v/>
      </c>
      <c r="AW304">
        <f>IF(AT304&gt;=$B$36,1,0)</f>
        <v/>
      </c>
      <c r="AX304">
        <f>IF(AV304&gt;=$B$21,1,0)</f>
        <v/>
      </c>
    </row>
    <row r="305">
      <c r="A305" t="n">
        <v>232</v>
      </c>
      <c r="B305">
        <f>MATCH(A305-1,$D$61:$D$68,1)</f>
        <v/>
      </c>
      <c r="C305">
        <f>INDEX($G$61:$G$68,B305)</f>
        <v/>
      </c>
      <c r="D305">
        <f>INDEX($L$61:$L$68,B305)</f>
        <v/>
      </c>
      <c r="E305">
        <f>INDEX($M$61:$M$68,B305)</f>
        <v/>
      </c>
      <c r="F305">
        <f>INDEX($N$61:$N$68,B305)</f>
        <v/>
      </c>
      <c r="G305">
        <f>INDEX($AA$61:$AA$68,B305)</f>
        <v/>
      </c>
      <c r="H305">
        <f>INDEX($X$61:$X$68,B305)</f>
        <v/>
      </c>
      <c r="I305">
        <f>INDEX($AF$61:$AF$68,B305)</f>
        <v/>
      </c>
      <c r="J305">
        <f>INDEX($AC$61:$AC$68,B305)</f>
        <v/>
      </c>
      <c r="K305">
        <f>INDEX($AD$61:$AD$68,B305)</f>
        <v/>
      </c>
      <c r="L305">
        <f>INDEX($AG$61:$AG$68,B305)</f>
        <v/>
      </c>
      <c r="M305">
        <f>INDEX($AH$61:$AH$68,B305)</f>
        <v/>
      </c>
      <c r="N305">
        <f>INDEX($AI$61:$AI$68,B305)</f>
        <v/>
      </c>
      <c r="O305">
        <f>O304*$B$26+L305*(1-$B$26)</f>
        <v/>
      </c>
      <c r="P305">
        <f>$B$7*(O305-O304)*(1-AS304)</f>
        <v/>
      </c>
      <c r="Q305">
        <f>M305+0.51274*AT304</f>
        <v/>
      </c>
      <c r="R305">
        <f>N305+0.616*AT304</f>
        <v/>
      </c>
      <c r="S305">
        <f>IF($B$13&gt;=0.6,Q305,IF($B$13&lt;=0.2,R305,R305+2.5*(Q305-R305)*($B$13-0.2)))</f>
        <v/>
      </c>
      <c r="T305">
        <f>IF(A305=1,S305,T304*$B$27+S305*(1-$B$27))</f>
        <v/>
      </c>
      <c r="U305">
        <f>0.6105*EXP(17.27*T305/(T305+237.3))</f>
        <v/>
      </c>
      <c r="V305">
        <f>($B$14*(I305*C305+IF(ABS((D305+0.1)-D305)&lt;0.000000001,4*$B$19*$B$20*(D305+273)^3,$B$19*$B$20*(((D305+0.1)+273)^4-(D305+273)^4)/((D305+0.1)-D305))*D305)+T305/H305)/($B$14*(I305+IF(ABS((D305+0.1)-D305)&lt;0.000000001,4*$B$19*$B$20*(D305+273)^3,$B$19*$B$20*(((D305+0.1)+273)^4-(D305+273)^4)/((D305+0.1)-D305)))+1/H305)</f>
        <v/>
      </c>
      <c r="W305">
        <f>($B$14*(I305*C305+IF(ABS(V305-D305)&lt;0.000000001,4*$B$19*$B$20*(D305+273)^3,$B$19*$B$20*((V305+273)^4-(D305+273)^4)/(V305-D305))*D305)+T305/H305)/($B$14*(I305+IF(ABS(V305-D305)&lt;0.000000001,4*$B$19*$B$20*(D305+273)^3,$B$19*$B$20*((V305+273)^4-(D305+273)^4)/(V305-D305)))+1/H305)</f>
        <v/>
      </c>
      <c r="X305">
        <f>($B$14*(I305*C305+IF(ABS(W305-D305)&lt;0.000000001,4*$B$19*$B$20*(D305+273)^3,$B$19*$B$20*((W305+273)^4-(D305+273)^4)/(W305-D305))*D305)+T305/H305)/($B$14*(I305+IF(ABS(W305-D305)&lt;0.000000001,4*$B$19*$B$20*(D305+273)^3,$B$19*$B$20*((W305+273)^4-(D305+273)^4)/(W305-D305)))+1/H305)</f>
        <v/>
      </c>
      <c r="Y305">
        <f>($B$14*(I305*C305+IF(ABS(X305-D305)&lt;0.000000001,4*$B$19*$B$20*(D305+273)^3,$B$19*$B$20*((X305+273)^4-(D305+273)^4)/(X305-D305))*D305)+T305/H305)/($B$14*(I305+IF(ABS(X305-D305)&lt;0.000000001,4*$B$19*$B$20*(D305+273)^3,$B$19*$B$20*((X305+273)^4-(D305+273)^4)/(X305-D305)))+1/H305)</f>
        <v/>
      </c>
      <c r="Z305">
        <f>IF(ABS(Y305-D305)&lt;0.000000001,4*$B$19*$B$20*(D305+273)^3,$B$19*$B$20*((Y305+273)^4-(D305+273)^4)/(Y305-D305))</f>
        <v/>
      </c>
      <c r="AA305">
        <f>$B$14*I305*(Y305-C305)</f>
        <v/>
      </c>
      <c r="AB305">
        <f>$B$14*Z305*(Y305-D305)</f>
        <v/>
      </c>
      <c r="AC305">
        <f>IF((U305-E305)/G305=0,0.001,(U305-E305)/G305)</f>
        <v/>
      </c>
      <c r="AD305">
        <f>F305-P305-J305-K305-AA305-AB305</f>
        <v/>
      </c>
      <c r="AE305">
        <f>AD305/AC305</f>
        <v/>
      </c>
      <c r="AF305">
        <f>IF(AD305&lt;=0,0,IF(AC305&lt;=0,$B$11,IF(AE305&gt;=1.7,$B$11,MIN(AD305/MAX(0.05,IF(AE305&gt;1,(2-AE305)^2/2,1-AE305^2/2)),$B$11))))</f>
        <v/>
      </c>
      <c r="AG305">
        <f>AG304*$B$28+AF305*(1-$B$28)</f>
        <v/>
      </c>
      <c r="AH305">
        <f>IF(AND(AD305&gt;0,AC305&lt;=0),0,AC305)</f>
        <v/>
      </c>
      <c r="AI305">
        <f>AH305/MAX(AG305,0.000001)</f>
        <v/>
      </c>
      <c r="AJ305">
        <f>MIN(IF(AI305&gt;=0.5,-AI305+SQRT(AI305^2+2),1),$B$12)</f>
        <v/>
      </c>
      <c r="AK305">
        <f>IF(AG305&lt;=0,0,AJ305*AH305)</f>
        <v/>
      </c>
      <c r="AL305">
        <f>IF(AD305&lt;=0,0,AD305)</f>
        <v/>
      </c>
      <c r="AM305">
        <f>AL305-AK305+P305</f>
        <v/>
      </c>
      <c r="AN305">
        <f>((AM305/$B$7+T304*AS304/2-T305*MAX(0.1,MIN(0.3,0.3-0.09*(AR304-36.8)))/2)+AR304*(1-AS304/2))/(1-MAX(0.1,MIN(0.3,0.3-0.09*(AR304-36.8)))/2)</f>
        <v/>
      </c>
      <c r="AO305">
        <f>((AM305/$B$7+T304*AS304/2-T305*MAX(0.1,MIN(0.3,0.3-0.09*(AN305-36.8)))/2)+AR304*(1-AS304/2))/(1-MAX(0.1,MIN(0.3,0.3-0.09*(AN305-36.8)))/2)</f>
        <v/>
      </c>
      <c r="AP305">
        <f>((AM305/$B$7+T304*AS304/2-T305*MAX(0.1,MIN(0.3,0.3-0.09*(AO305-36.8)))/2)+AR304*(1-AS304/2))/(1-MAX(0.1,MIN(0.3,0.3-0.09*(AO305-36.8)))/2)</f>
        <v/>
      </c>
      <c r="AQ305">
        <f>((AM305/$B$7+T304*AS304/2-T305*MAX(0.1,MIN(0.3,0.3-0.09*(AP305-36.8)))/2)+AR304*(1-AS304/2))/(1-MAX(0.1,MIN(0.3,0.3-0.09*(AP305-36.8)))/2)</f>
        <v/>
      </c>
      <c r="AR305">
        <f>((AM305/$B$7+T304*AS304/2-T305*MAX(0.1,MIN(0.3,0.3-0.09*(AQ305-36.8)))/2)+AR304*(1-AS304/2))/(1-MAX(0.1,MIN(0.3,0.3-0.09*(AQ305-36.8)))/2)</f>
        <v/>
      </c>
      <c r="AS305">
        <f>MAX(0.1,MIN(0.3,0.3-0.09*(AR305-36.8)))</f>
        <v/>
      </c>
      <c r="AT305">
        <f>AT304+(2*AR305-1.962*AT304-1.31)/9</f>
        <v/>
      </c>
      <c r="AU305">
        <f>AU304+AG305+K305</f>
        <v/>
      </c>
      <c r="AV305">
        <f>AU305*2.67*$B$6/1.8/60</f>
        <v/>
      </c>
      <c r="AW305">
        <f>IF(AT305&gt;=$B$36,1,0)</f>
        <v/>
      </c>
      <c r="AX305">
        <f>IF(AV305&gt;=$B$21,1,0)</f>
        <v/>
      </c>
    </row>
    <row r="306">
      <c r="A306" t="n">
        <v>233</v>
      </c>
      <c r="B306">
        <f>MATCH(A306-1,$D$61:$D$68,1)</f>
        <v/>
      </c>
      <c r="C306">
        <f>INDEX($G$61:$G$68,B306)</f>
        <v/>
      </c>
      <c r="D306">
        <f>INDEX($L$61:$L$68,B306)</f>
        <v/>
      </c>
      <c r="E306">
        <f>INDEX($M$61:$M$68,B306)</f>
        <v/>
      </c>
      <c r="F306">
        <f>INDEX($N$61:$N$68,B306)</f>
        <v/>
      </c>
      <c r="G306">
        <f>INDEX($AA$61:$AA$68,B306)</f>
        <v/>
      </c>
      <c r="H306">
        <f>INDEX($X$61:$X$68,B306)</f>
        <v/>
      </c>
      <c r="I306">
        <f>INDEX($AF$61:$AF$68,B306)</f>
        <v/>
      </c>
      <c r="J306">
        <f>INDEX($AC$61:$AC$68,B306)</f>
        <v/>
      </c>
      <c r="K306">
        <f>INDEX($AD$61:$AD$68,B306)</f>
        <v/>
      </c>
      <c r="L306">
        <f>INDEX($AG$61:$AG$68,B306)</f>
        <v/>
      </c>
      <c r="M306">
        <f>INDEX($AH$61:$AH$68,B306)</f>
        <v/>
      </c>
      <c r="N306">
        <f>INDEX($AI$61:$AI$68,B306)</f>
        <v/>
      </c>
      <c r="O306">
        <f>O305*$B$26+L306*(1-$B$26)</f>
        <v/>
      </c>
      <c r="P306">
        <f>$B$7*(O306-O305)*(1-AS305)</f>
        <v/>
      </c>
      <c r="Q306">
        <f>M306+0.51274*AT305</f>
        <v/>
      </c>
      <c r="R306">
        <f>N306+0.616*AT305</f>
        <v/>
      </c>
      <c r="S306">
        <f>IF($B$13&gt;=0.6,Q306,IF($B$13&lt;=0.2,R306,R306+2.5*(Q306-R306)*($B$13-0.2)))</f>
        <v/>
      </c>
      <c r="T306">
        <f>IF(A306=1,S306,T305*$B$27+S306*(1-$B$27))</f>
        <v/>
      </c>
      <c r="U306">
        <f>0.6105*EXP(17.27*T306/(T306+237.3))</f>
        <v/>
      </c>
      <c r="V306">
        <f>($B$14*(I306*C306+IF(ABS((D306+0.1)-D306)&lt;0.000000001,4*$B$19*$B$20*(D306+273)^3,$B$19*$B$20*(((D306+0.1)+273)^4-(D306+273)^4)/((D306+0.1)-D306))*D306)+T306/H306)/($B$14*(I306+IF(ABS((D306+0.1)-D306)&lt;0.000000001,4*$B$19*$B$20*(D306+273)^3,$B$19*$B$20*(((D306+0.1)+273)^4-(D306+273)^4)/((D306+0.1)-D306)))+1/H306)</f>
        <v/>
      </c>
      <c r="W306">
        <f>($B$14*(I306*C306+IF(ABS(V306-D306)&lt;0.000000001,4*$B$19*$B$20*(D306+273)^3,$B$19*$B$20*((V306+273)^4-(D306+273)^4)/(V306-D306))*D306)+T306/H306)/($B$14*(I306+IF(ABS(V306-D306)&lt;0.000000001,4*$B$19*$B$20*(D306+273)^3,$B$19*$B$20*((V306+273)^4-(D306+273)^4)/(V306-D306)))+1/H306)</f>
        <v/>
      </c>
      <c r="X306">
        <f>($B$14*(I306*C306+IF(ABS(W306-D306)&lt;0.000000001,4*$B$19*$B$20*(D306+273)^3,$B$19*$B$20*((W306+273)^4-(D306+273)^4)/(W306-D306))*D306)+T306/H306)/($B$14*(I306+IF(ABS(W306-D306)&lt;0.000000001,4*$B$19*$B$20*(D306+273)^3,$B$19*$B$20*((W306+273)^4-(D306+273)^4)/(W306-D306)))+1/H306)</f>
        <v/>
      </c>
      <c r="Y306">
        <f>($B$14*(I306*C306+IF(ABS(X306-D306)&lt;0.000000001,4*$B$19*$B$20*(D306+273)^3,$B$19*$B$20*((X306+273)^4-(D306+273)^4)/(X306-D306))*D306)+T306/H306)/($B$14*(I306+IF(ABS(X306-D306)&lt;0.000000001,4*$B$19*$B$20*(D306+273)^3,$B$19*$B$20*((X306+273)^4-(D306+273)^4)/(X306-D306)))+1/H306)</f>
        <v/>
      </c>
      <c r="Z306">
        <f>IF(ABS(Y306-D306)&lt;0.000000001,4*$B$19*$B$20*(D306+273)^3,$B$19*$B$20*((Y306+273)^4-(D306+273)^4)/(Y306-D306))</f>
        <v/>
      </c>
      <c r="AA306">
        <f>$B$14*I306*(Y306-C306)</f>
        <v/>
      </c>
      <c r="AB306">
        <f>$B$14*Z306*(Y306-D306)</f>
        <v/>
      </c>
      <c r="AC306">
        <f>IF((U306-E306)/G306=0,0.001,(U306-E306)/G306)</f>
        <v/>
      </c>
      <c r="AD306">
        <f>F306-P306-J306-K306-AA306-AB306</f>
        <v/>
      </c>
      <c r="AE306">
        <f>AD306/AC306</f>
        <v/>
      </c>
      <c r="AF306">
        <f>IF(AD306&lt;=0,0,IF(AC306&lt;=0,$B$11,IF(AE306&gt;=1.7,$B$11,MIN(AD306/MAX(0.05,IF(AE306&gt;1,(2-AE306)^2/2,1-AE306^2/2)),$B$11))))</f>
        <v/>
      </c>
      <c r="AG306">
        <f>AG305*$B$28+AF306*(1-$B$28)</f>
        <v/>
      </c>
      <c r="AH306">
        <f>IF(AND(AD306&gt;0,AC306&lt;=0),0,AC306)</f>
        <v/>
      </c>
      <c r="AI306">
        <f>AH306/MAX(AG306,0.000001)</f>
        <v/>
      </c>
      <c r="AJ306">
        <f>MIN(IF(AI306&gt;=0.5,-AI306+SQRT(AI306^2+2),1),$B$12)</f>
        <v/>
      </c>
      <c r="AK306">
        <f>IF(AG306&lt;=0,0,AJ306*AH306)</f>
        <v/>
      </c>
      <c r="AL306">
        <f>IF(AD306&lt;=0,0,AD306)</f>
        <v/>
      </c>
      <c r="AM306">
        <f>AL306-AK306+P306</f>
        <v/>
      </c>
      <c r="AN306">
        <f>((AM306/$B$7+T305*AS305/2-T306*MAX(0.1,MIN(0.3,0.3-0.09*(AR305-36.8)))/2)+AR305*(1-AS305/2))/(1-MAX(0.1,MIN(0.3,0.3-0.09*(AR305-36.8)))/2)</f>
        <v/>
      </c>
      <c r="AO306">
        <f>((AM306/$B$7+T305*AS305/2-T306*MAX(0.1,MIN(0.3,0.3-0.09*(AN306-36.8)))/2)+AR305*(1-AS305/2))/(1-MAX(0.1,MIN(0.3,0.3-0.09*(AN306-36.8)))/2)</f>
        <v/>
      </c>
      <c r="AP306">
        <f>((AM306/$B$7+T305*AS305/2-T306*MAX(0.1,MIN(0.3,0.3-0.09*(AO306-36.8)))/2)+AR305*(1-AS305/2))/(1-MAX(0.1,MIN(0.3,0.3-0.09*(AO306-36.8)))/2)</f>
        <v/>
      </c>
      <c r="AQ306">
        <f>((AM306/$B$7+T305*AS305/2-T306*MAX(0.1,MIN(0.3,0.3-0.09*(AP306-36.8)))/2)+AR305*(1-AS305/2))/(1-MAX(0.1,MIN(0.3,0.3-0.09*(AP306-36.8)))/2)</f>
        <v/>
      </c>
      <c r="AR306">
        <f>((AM306/$B$7+T305*AS305/2-T306*MAX(0.1,MIN(0.3,0.3-0.09*(AQ306-36.8)))/2)+AR305*(1-AS305/2))/(1-MAX(0.1,MIN(0.3,0.3-0.09*(AQ306-36.8)))/2)</f>
        <v/>
      </c>
      <c r="AS306">
        <f>MAX(0.1,MIN(0.3,0.3-0.09*(AR306-36.8)))</f>
        <v/>
      </c>
      <c r="AT306">
        <f>AT305+(2*AR306-1.962*AT305-1.31)/9</f>
        <v/>
      </c>
      <c r="AU306">
        <f>AU305+AG306+K306</f>
        <v/>
      </c>
      <c r="AV306">
        <f>AU306*2.67*$B$6/1.8/60</f>
        <v/>
      </c>
      <c r="AW306">
        <f>IF(AT306&gt;=$B$36,1,0)</f>
        <v/>
      </c>
      <c r="AX306">
        <f>IF(AV306&gt;=$B$21,1,0)</f>
        <v/>
      </c>
    </row>
    <row r="307">
      <c r="A307" t="n">
        <v>234</v>
      </c>
      <c r="B307">
        <f>MATCH(A307-1,$D$61:$D$68,1)</f>
        <v/>
      </c>
      <c r="C307">
        <f>INDEX($G$61:$G$68,B307)</f>
        <v/>
      </c>
      <c r="D307">
        <f>INDEX($L$61:$L$68,B307)</f>
        <v/>
      </c>
      <c r="E307">
        <f>INDEX($M$61:$M$68,B307)</f>
        <v/>
      </c>
      <c r="F307">
        <f>INDEX($N$61:$N$68,B307)</f>
        <v/>
      </c>
      <c r="G307">
        <f>INDEX($AA$61:$AA$68,B307)</f>
        <v/>
      </c>
      <c r="H307">
        <f>INDEX($X$61:$X$68,B307)</f>
        <v/>
      </c>
      <c r="I307">
        <f>INDEX($AF$61:$AF$68,B307)</f>
        <v/>
      </c>
      <c r="J307">
        <f>INDEX($AC$61:$AC$68,B307)</f>
        <v/>
      </c>
      <c r="K307">
        <f>INDEX($AD$61:$AD$68,B307)</f>
        <v/>
      </c>
      <c r="L307">
        <f>INDEX($AG$61:$AG$68,B307)</f>
        <v/>
      </c>
      <c r="M307">
        <f>INDEX($AH$61:$AH$68,B307)</f>
        <v/>
      </c>
      <c r="N307">
        <f>INDEX($AI$61:$AI$68,B307)</f>
        <v/>
      </c>
      <c r="O307">
        <f>O306*$B$26+L307*(1-$B$26)</f>
        <v/>
      </c>
      <c r="P307">
        <f>$B$7*(O307-O306)*(1-AS306)</f>
        <v/>
      </c>
      <c r="Q307">
        <f>M307+0.51274*AT306</f>
        <v/>
      </c>
      <c r="R307">
        <f>N307+0.616*AT306</f>
        <v/>
      </c>
      <c r="S307">
        <f>IF($B$13&gt;=0.6,Q307,IF($B$13&lt;=0.2,R307,R307+2.5*(Q307-R307)*($B$13-0.2)))</f>
        <v/>
      </c>
      <c r="T307">
        <f>IF(A307=1,S307,T306*$B$27+S307*(1-$B$27))</f>
        <v/>
      </c>
      <c r="U307">
        <f>0.6105*EXP(17.27*T307/(T307+237.3))</f>
        <v/>
      </c>
      <c r="V307">
        <f>($B$14*(I307*C307+IF(ABS((D307+0.1)-D307)&lt;0.000000001,4*$B$19*$B$20*(D307+273)^3,$B$19*$B$20*(((D307+0.1)+273)^4-(D307+273)^4)/((D307+0.1)-D307))*D307)+T307/H307)/($B$14*(I307+IF(ABS((D307+0.1)-D307)&lt;0.000000001,4*$B$19*$B$20*(D307+273)^3,$B$19*$B$20*(((D307+0.1)+273)^4-(D307+273)^4)/((D307+0.1)-D307)))+1/H307)</f>
        <v/>
      </c>
      <c r="W307">
        <f>($B$14*(I307*C307+IF(ABS(V307-D307)&lt;0.000000001,4*$B$19*$B$20*(D307+273)^3,$B$19*$B$20*((V307+273)^4-(D307+273)^4)/(V307-D307))*D307)+T307/H307)/($B$14*(I307+IF(ABS(V307-D307)&lt;0.000000001,4*$B$19*$B$20*(D307+273)^3,$B$19*$B$20*((V307+273)^4-(D307+273)^4)/(V307-D307)))+1/H307)</f>
        <v/>
      </c>
      <c r="X307">
        <f>($B$14*(I307*C307+IF(ABS(W307-D307)&lt;0.000000001,4*$B$19*$B$20*(D307+273)^3,$B$19*$B$20*((W307+273)^4-(D307+273)^4)/(W307-D307))*D307)+T307/H307)/($B$14*(I307+IF(ABS(W307-D307)&lt;0.000000001,4*$B$19*$B$20*(D307+273)^3,$B$19*$B$20*((W307+273)^4-(D307+273)^4)/(W307-D307)))+1/H307)</f>
        <v/>
      </c>
      <c r="Y307">
        <f>($B$14*(I307*C307+IF(ABS(X307-D307)&lt;0.000000001,4*$B$19*$B$20*(D307+273)^3,$B$19*$B$20*((X307+273)^4-(D307+273)^4)/(X307-D307))*D307)+T307/H307)/($B$14*(I307+IF(ABS(X307-D307)&lt;0.000000001,4*$B$19*$B$20*(D307+273)^3,$B$19*$B$20*((X307+273)^4-(D307+273)^4)/(X307-D307)))+1/H307)</f>
        <v/>
      </c>
      <c r="Z307">
        <f>IF(ABS(Y307-D307)&lt;0.000000001,4*$B$19*$B$20*(D307+273)^3,$B$19*$B$20*((Y307+273)^4-(D307+273)^4)/(Y307-D307))</f>
        <v/>
      </c>
      <c r="AA307">
        <f>$B$14*I307*(Y307-C307)</f>
        <v/>
      </c>
      <c r="AB307">
        <f>$B$14*Z307*(Y307-D307)</f>
        <v/>
      </c>
      <c r="AC307">
        <f>IF((U307-E307)/G307=0,0.001,(U307-E307)/G307)</f>
        <v/>
      </c>
      <c r="AD307">
        <f>F307-P307-J307-K307-AA307-AB307</f>
        <v/>
      </c>
      <c r="AE307">
        <f>AD307/AC307</f>
        <v/>
      </c>
      <c r="AF307">
        <f>IF(AD307&lt;=0,0,IF(AC307&lt;=0,$B$11,IF(AE307&gt;=1.7,$B$11,MIN(AD307/MAX(0.05,IF(AE307&gt;1,(2-AE307)^2/2,1-AE307^2/2)),$B$11))))</f>
        <v/>
      </c>
      <c r="AG307">
        <f>AG306*$B$28+AF307*(1-$B$28)</f>
        <v/>
      </c>
      <c r="AH307">
        <f>IF(AND(AD307&gt;0,AC307&lt;=0),0,AC307)</f>
        <v/>
      </c>
      <c r="AI307">
        <f>AH307/MAX(AG307,0.000001)</f>
        <v/>
      </c>
      <c r="AJ307">
        <f>MIN(IF(AI307&gt;=0.5,-AI307+SQRT(AI307^2+2),1),$B$12)</f>
        <v/>
      </c>
      <c r="AK307">
        <f>IF(AG307&lt;=0,0,AJ307*AH307)</f>
        <v/>
      </c>
      <c r="AL307">
        <f>IF(AD307&lt;=0,0,AD307)</f>
        <v/>
      </c>
      <c r="AM307">
        <f>AL307-AK307+P307</f>
        <v/>
      </c>
      <c r="AN307">
        <f>((AM307/$B$7+T306*AS306/2-T307*MAX(0.1,MIN(0.3,0.3-0.09*(AR306-36.8)))/2)+AR306*(1-AS306/2))/(1-MAX(0.1,MIN(0.3,0.3-0.09*(AR306-36.8)))/2)</f>
        <v/>
      </c>
      <c r="AO307">
        <f>((AM307/$B$7+T306*AS306/2-T307*MAX(0.1,MIN(0.3,0.3-0.09*(AN307-36.8)))/2)+AR306*(1-AS306/2))/(1-MAX(0.1,MIN(0.3,0.3-0.09*(AN307-36.8)))/2)</f>
        <v/>
      </c>
      <c r="AP307">
        <f>((AM307/$B$7+T306*AS306/2-T307*MAX(0.1,MIN(0.3,0.3-0.09*(AO307-36.8)))/2)+AR306*(1-AS306/2))/(1-MAX(0.1,MIN(0.3,0.3-0.09*(AO307-36.8)))/2)</f>
        <v/>
      </c>
      <c r="AQ307">
        <f>((AM307/$B$7+T306*AS306/2-T307*MAX(0.1,MIN(0.3,0.3-0.09*(AP307-36.8)))/2)+AR306*(1-AS306/2))/(1-MAX(0.1,MIN(0.3,0.3-0.09*(AP307-36.8)))/2)</f>
        <v/>
      </c>
      <c r="AR307">
        <f>((AM307/$B$7+T306*AS306/2-T307*MAX(0.1,MIN(0.3,0.3-0.09*(AQ307-36.8)))/2)+AR306*(1-AS306/2))/(1-MAX(0.1,MIN(0.3,0.3-0.09*(AQ307-36.8)))/2)</f>
        <v/>
      </c>
      <c r="AS307">
        <f>MAX(0.1,MIN(0.3,0.3-0.09*(AR307-36.8)))</f>
        <v/>
      </c>
      <c r="AT307">
        <f>AT306+(2*AR307-1.962*AT306-1.31)/9</f>
        <v/>
      </c>
      <c r="AU307">
        <f>AU306+AG307+K307</f>
        <v/>
      </c>
      <c r="AV307">
        <f>AU307*2.67*$B$6/1.8/60</f>
        <v/>
      </c>
      <c r="AW307">
        <f>IF(AT307&gt;=$B$36,1,0)</f>
        <v/>
      </c>
      <c r="AX307">
        <f>IF(AV307&gt;=$B$21,1,0)</f>
        <v/>
      </c>
    </row>
    <row r="308">
      <c r="A308" t="n">
        <v>235</v>
      </c>
      <c r="B308">
        <f>MATCH(A308-1,$D$61:$D$68,1)</f>
        <v/>
      </c>
      <c r="C308">
        <f>INDEX($G$61:$G$68,B308)</f>
        <v/>
      </c>
      <c r="D308">
        <f>INDEX($L$61:$L$68,B308)</f>
        <v/>
      </c>
      <c r="E308">
        <f>INDEX($M$61:$M$68,B308)</f>
        <v/>
      </c>
      <c r="F308">
        <f>INDEX($N$61:$N$68,B308)</f>
        <v/>
      </c>
      <c r="G308">
        <f>INDEX($AA$61:$AA$68,B308)</f>
        <v/>
      </c>
      <c r="H308">
        <f>INDEX($X$61:$X$68,B308)</f>
        <v/>
      </c>
      <c r="I308">
        <f>INDEX($AF$61:$AF$68,B308)</f>
        <v/>
      </c>
      <c r="J308">
        <f>INDEX($AC$61:$AC$68,B308)</f>
        <v/>
      </c>
      <c r="K308">
        <f>INDEX($AD$61:$AD$68,B308)</f>
        <v/>
      </c>
      <c r="L308">
        <f>INDEX($AG$61:$AG$68,B308)</f>
        <v/>
      </c>
      <c r="M308">
        <f>INDEX($AH$61:$AH$68,B308)</f>
        <v/>
      </c>
      <c r="N308">
        <f>INDEX($AI$61:$AI$68,B308)</f>
        <v/>
      </c>
      <c r="O308">
        <f>O307*$B$26+L308*(1-$B$26)</f>
        <v/>
      </c>
      <c r="P308">
        <f>$B$7*(O308-O307)*(1-AS307)</f>
        <v/>
      </c>
      <c r="Q308">
        <f>M308+0.51274*AT307</f>
        <v/>
      </c>
      <c r="R308">
        <f>N308+0.616*AT307</f>
        <v/>
      </c>
      <c r="S308">
        <f>IF($B$13&gt;=0.6,Q308,IF($B$13&lt;=0.2,R308,R308+2.5*(Q308-R308)*($B$13-0.2)))</f>
        <v/>
      </c>
      <c r="T308">
        <f>IF(A308=1,S308,T307*$B$27+S308*(1-$B$27))</f>
        <v/>
      </c>
      <c r="U308">
        <f>0.6105*EXP(17.27*T308/(T308+237.3))</f>
        <v/>
      </c>
      <c r="V308">
        <f>($B$14*(I308*C308+IF(ABS((D308+0.1)-D308)&lt;0.000000001,4*$B$19*$B$20*(D308+273)^3,$B$19*$B$20*(((D308+0.1)+273)^4-(D308+273)^4)/((D308+0.1)-D308))*D308)+T308/H308)/($B$14*(I308+IF(ABS((D308+0.1)-D308)&lt;0.000000001,4*$B$19*$B$20*(D308+273)^3,$B$19*$B$20*(((D308+0.1)+273)^4-(D308+273)^4)/((D308+0.1)-D308)))+1/H308)</f>
        <v/>
      </c>
      <c r="W308">
        <f>($B$14*(I308*C308+IF(ABS(V308-D308)&lt;0.000000001,4*$B$19*$B$20*(D308+273)^3,$B$19*$B$20*((V308+273)^4-(D308+273)^4)/(V308-D308))*D308)+T308/H308)/($B$14*(I308+IF(ABS(V308-D308)&lt;0.000000001,4*$B$19*$B$20*(D308+273)^3,$B$19*$B$20*((V308+273)^4-(D308+273)^4)/(V308-D308)))+1/H308)</f>
        <v/>
      </c>
      <c r="X308">
        <f>($B$14*(I308*C308+IF(ABS(W308-D308)&lt;0.000000001,4*$B$19*$B$20*(D308+273)^3,$B$19*$B$20*((W308+273)^4-(D308+273)^4)/(W308-D308))*D308)+T308/H308)/($B$14*(I308+IF(ABS(W308-D308)&lt;0.000000001,4*$B$19*$B$20*(D308+273)^3,$B$19*$B$20*((W308+273)^4-(D308+273)^4)/(W308-D308)))+1/H308)</f>
        <v/>
      </c>
      <c r="Y308">
        <f>($B$14*(I308*C308+IF(ABS(X308-D308)&lt;0.000000001,4*$B$19*$B$20*(D308+273)^3,$B$19*$B$20*((X308+273)^4-(D308+273)^4)/(X308-D308))*D308)+T308/H308)/($B$14*(I308+IF(ABS(X308-D308)&lt;0.000000001,4*$B$19*$B$20*(D308+273)^3,$B$19*$B$20*((X308+273)^4-(D308+273)^4)/(X308-D308)))+1/H308)</f>
        <v/>
      </c>
      <c r="Z308">
        <f>IF(ABS(Y308-D308)&lt;0.000000001,4*$B$19*$B$20*(D308+273)^3,$B$19*$B$20*((Y308+273)^4-(D308+273)^4)/(Y308-D308))</f>
        <v/>
      </c>
      <c r="AA308">
        <f>$B$14*I308*(Y308-C308)</f>
        <v/>
      </c>
      <c r="AB308">
        <f>$B$14*Z308*(Y308-D308)</f>
        <v/>
      </c>
      <c r="AC308">
        <f>IF((U308-E308)/G308=0,0.001,(U308-E308)/G308)</f>
        <v/>
      </c>
      <c r="AD308">
        <f>F308-P308-J308-K308-AA308-AB308</f>
        <v/>
      </c>
      <c r="AE308">
        <f>AD308/AC308</f>
        <v/>
      </c>
      <c r="AF308">
        <f>IF(AD308&lt;=0,0,IF(AC308&lt;=0,$B$11,IF(AE308&gt;=1.7,$B$11,MIN(AD308/MAX(0.05,IF(AE308&gt;1,(2-AE308)^2/2,1-AE308^2/2)),$B$11))))</f>
        <v/>
      </c>
      <c r="AG308">
        <f>AG307*$B$28+AF308*(1-$B$28)</f>
        <v/>
      </c>
      <c r="AH308">
        <f>IF(AND(AD308&gt;0,AC308&lt;=0),0,AC308)</f>
        <v/>
      </c>
      <c r="AI308">
        <f>AH308/MAX(AG308,0.000001)</f>
        <v/>
      </c>
      <c r="AJ308">
        <f>MIN(IF(AI308&gt;=0.5,-AI308+SQRT(AI308^2+2),1),$B$12)</f>
        <v/>
      </c>
      <c r="AK308">
        <f>IF(AG308&lt;=0,0,AJ308*AH308)</f>
        <v/>
      </c>
      <c r="AL308">
        <f>IF(AD308&lt;=0,0,AD308)</f>
        <v/>
      </c>
      <c r="AM308">
        <f>AL308-AK308+P308</f>
        <v/>
      </c>
      <c r="AN308">
        <f>((AM308/$B$7+T307*AS307/2-T308*MAX(0.1,MIN(0.3,0.3-0.09*(AR307-36.8)))/2)+AR307*(1-AS307/2))/(1-MAX(0.1,MIN(0.3,0.3-0.09*(AR307-36.8)))/2)</f>
        <v/>
      </c>
      <c r="AO308">
        <f>((AM308/$B$7+T307*AS307/2-T308*MAX(0.1,MIN(0.3,0.3-0.09*(AN308-36.8)))/2)+AR307*(1-AS307/2))/(1-MAX(0.1,MIN(0.3,0.3-0.09*(AN308-36.8)))/2)</f>
        <v/>
      </c>
      <c r="AP308">
        <f>((AM308/$B$7+T307*AS307/2-T308*MAX(0.1,MIN(0.3,0.3-0.09*(AO308-36.8)))/2)+AR307*(1-AS307/2))/(1-MAX(0.1,MIN(0.3,0.3-0.09*(AO308-36.8)))/2)</f>
        <v/>
      </c>
      <c r="AQ308">
        <f>((AM308/$B$7+T307*AS307/2-T308*MAX(0.1,MIN(0.3,0.3-0.09*(AP308-36.8)))/2)+AR307*(1-AS307/2))/(1-MAX(0.1,MIN(0.3,0.3-0.09*(AP308-36.8)))/2)</f>
        <v/>
      </c>
      <c r="AR308">
        <f>((AM308/$B$7+T307*AS307/2-T308*MAX(0.1,MIN(0.3,0.3-0.09*(AQ308-36.8)))/2)+AR307*(1-AS307/2))/(1-MAX(0.1,MIN(0.3,0.3-0.09*(AQ308-36.8)))/2)</f>
        <v/>
      </c>
      <c r="AS308">
        <f>MAX(0.1,MIN(0.3,0.3-0.09*(AR308-36.8)))</f>
        <v/>
      </c>
      <c r="AT308">
        <f>AT307+(2*AR308-1.962*AT307-1.31)/9</f>
        <v/>
      </c>
      <c r="AU308">
        <f>AU307+AG308+K308</f>
        <v/>
      </c>
      <c r="AV308">
        <f>AU308*2.67*$B$6/1.8/60</f>
        <v/>
      </c>
      <c r="AW308">
        <f>IF(AT308&gt;=$B$36,1,0)</f>
        <v/>
      </c>
      <c r="AX308">
        <f>IF(AV308&gt;=$B$21,1,0)</f>
        <v/>
      </c>
    </row>
    <row r="309">
      <c r="A309" t="n">
        <v>236</v>
      </c>
      <c r="B309">
        <f>MATCH(A309-1,$D$61:$D$68,1)</f>
        <v/>
      </c>
      <c r="C309">
        <f>INDEX($G$61:$G$68,B309)</f>
        <v/>
      </c>
      <c r="D309">
        <f>INDEX($L$61:$L$68,B309)</f>
        <v/>
      </c>
      <c r="E309">
        <f>INDEX($M$61:$M$68,B309)</f>
        <v/>
      </c>
      <c r="F309">
        <f>INDEX($N$61:$N$68,B309)</f>
        <v/>
      </c>
      <c r="G309">
        <f>INDEX($AA$61:$AA$68,B309)</f>
        <v/>
      </c>
      <c r="H309">
        <f>INDEX($X$61:$X$68,B309)</f>
        <v/>
      </c>
      <c r="I309">
        <f>INDEX($AF$61:$AF$68,B309)</f>
        <v/>
      </c>
      <c r="J309">
        <f>INDEX($AC$61:$AC$68,B309)</f>
        <v/>
      </c>
      <c r="K309">
        <f>INDEX($AD$61:$AD$68,B309)</f>
        <v/>
      </c>
      <c r="L309">
        <f>INDEX($AG$61:$AG$68,B309)</f>
        <v/>
      </c>
      <c r="M309">
        <f>INDEX($AH$61:$AH$68,B309)</f>
        <v/>
      </c>
      <c r="N309">
        <f>INDEX($AI$61:$AI$68,B309)</f>
        <v/>
      </c>
      <c r="O309">
        <f>O308*$B$26+L309*(1-$B$26)</f>
        <v/>
      </c>
      <c r="P309">
        <f>$B$7*(O309-O308)*(1-AS308)</f>
        <v/>
      </c>
      <c r="Q309">
        <f>M309+0.51274*AT308</f>
        <v/>
      </c>
      <c r="R309">
        <f>N309+0.616*AT308</f>
        <v/>
      </c>
      <c r="S309">
        <f>IF($B$13&gt;=0.6,Q309,IF($B$13&lt;=0.2,R309,R309+2.5*(Q309-R309)*($B$13-0.2)))</f>
        <v/>
      </c>
      <c r="T309">
        <f>IF(A309=1,S309,T308*$B$27+S309*(1-$B$27))</f>
        <v/>
      </c>
      <c r="U309">
        <f>0.6105*EXP(17.27*T309/(T309+237.3))</f>
        <v/>
      </c>
      <c r="V309">
        <f>($B$14*(I309*C309+IF(ABS((D309+0.1)-D309)&lt;0.000000001,4*$B$19*$B$20*(D309+273)^3,$B$19*$B$20*(((D309+0.1)+273)^4-(D309+273)^4)/((D309+0.1)-D309))*D309)+T309/H309)/($B$14*(I309+IF(ABS((D309+0.1)-D309)&lt;0.000000001,4*$B$19*$B$20*(D309+273)^3,$B$19*$B$20*(((D309+0.1)+273)^4-(D309+273)^4)/((D309+0.1)-D309)))+1/H309)</f>
        <v/>
      </c>
      <c r="W309">
        <f>($B$14*(I309*C309+IF(ABS(V309-D309)&lt;0.000000001,4*$B$19*$B$20*(D309+273)^3,$B$19*$B$20*((V309+273)^4-(D309+273)^4)/(V309-D309))*D309)+T309/H309)/($B$14*(I309+IF(ABS(V309-D309)&lt;0.000000001,4*$B$19*$B$20*(D309+273)^3,$B$19*$B$20*((V309+273)^4-(D309+273)^4)/(V309-D309)))+1/H309)</f>
        <v/>
      </c>
      <c r="X309">
        <f>($B$14*(I309*C309+IF(ABS(W309-D309)&lt;0.000000001,4*$B$19*$B$20*(D309+273)^3,$B$19*$B$20*((W309+273)^4-(D309+273)^4)/(W309-D309))*D309)+T309/H309)/($B$14*(I309+IF(ABS(W309-D309)&lt;0.000000001,4*$B$19*$B$20*(D309+273)^3,$B$19*$B$20*((W309+273)^4-(D309+273)^4)/(W309-D309)))+1/H309)</f>
        <v/>
      </c>
      <c r="Y309">
        <f>($B$14*(I309*C309+IF(ABS(X309-D309)&lt;0.000000001,4*$B$19*$B$20*(D309+273)^3,$B$19*$B$20*((X309+273)^4-(D309+273)^4)/(X309-D309))*D309)+T309/H309)/($B$14*(I309+IF(ABS(X309-D309)&lt;0.000000001,4*$B$19*$B$20*(D309+273)^3,$B$19*$B$20*((X309+273)^4-(D309+273)^4)/(X309-D309)))+1/H309)</f>
        <v/>
      </c>
      <c r="Z309">
        <f>IF(ABS(Y309-D309)&lt;0.000000001,4*$B$19*$B$20*(D309+273)^3,$B$19*$B$20*((Y309+273)^4-(D309+273)^4)/(Y309-D309))</f>
        <v/>
      </c>
      <c r="AA309">
        <f>$B$14*I309*(Y309-C309)</f>
        <v/>
      </c>
      <c r="AB309">
        <f>$B$14*Z309*(Y309-D309)</f>
        <v/>
      </c>
      <c r="AC309">
        <f>IF((U309-E309)/G309=0,0.001,(U309-E309)/G309)</f>
        <v/>
      </c>
      <c r="AD309">
        <f>F309-P309-J309-K309-AA309-AB309</f>
        <v/>
      </c>
      <c r="AE309">
        <f>AD309/AC309</f>
        <v/>
      </c>
      <c r="AF309">
        <f>IF(AD309&lt;=0,0,IF(AC309&lt;=0,$B$11,IF(AE309&gt;=1.7,$B$11,MIN(AD309/MAX(0.05,IF(AE309&gt;1,(2-AE309)^2/2,1-AE309^2/2)),$B$11))))</f>
        <v/>
      </c>
      <c r="AG309">
        <f>AG308*$B$28+AF309*(1-$B$28)</f>
        <v/>
      </c>
      <c r="AH309">
        <f>IF(AND(AD309&gt;0,AC309&lt;=0),0,AC309)</f>
        <v/>
      </c>
      <c r="AI309">
        <f>AH309/MAX(AG309,0.000001)</f>
        <v/>
      </c>
      <c r="AJ309">
        <f>MIN(IF(AI309&gt;=0.5,-AI309+SQRT(AI309^2+2),1),$B$12)</f>
        <v/>
      </c>
      <c r="AK309">
        <f>IF(AG309&lt;=0,0,AJ309*AH309)</f>
        <v/>
      </c>
      <c r="AL309">
        <f>IF(AD309&lt;=0,0,AD309)</f>
        <v/>
      </c>
      <c r="AM309">
        <f>AL309-AK309+P309</f>
        <v/>
      </c>
      <c r="AN309">
        <f>((AM309/$B$7+T308*AS308/2-T309*MAX(0.1,MIN(0.3,0.3-0.09*(AR308-36.8)))/2)+AR308*(1-AS308/2))/(1-MAX(0.1,MIN(0.3,0.3-0.09*(AR308-36.8)))/2)</f>
        <v/>
      </c>
      <c r="AO309">
        <f>((AM309/$B$7+T308*AS308/2-T309*MAX(0.1,MIN(0.3,0.3-0.09*(AN309-36.8)))/2)+AR308*(1-AS308/2))/(1-MAX(0.1,MIN(0.3,0.3-0.09*(AN309-36.8)))/2)</f>
        <v/>
      </c>
      <c r="AP309">
        <f>((AM309/$B$7+T308*AS308/2-T309*MAX(0.1,MIN(0.3,0.3-0.09*(AO309-36.8)))/2)+AR308*(1-AS308/2))/(1-MAX(0.1,MIN(0.3,0.3-0.09*(AO309-36.8)))/2)</f>
        <v/>
      </c>
      <c r="AQ309">
        <f>((AM309/$B$7+T308*AS308/2-T309*MAX(0.1,MIN(0.3,0.3-0.09*(AP309-36.8)))/2)+AR308*(1-AS308/2))/(1-MAX(0.1,MIN(0.3,0.3-0.09*(AP309-36.8)))/2)</f>
        <v/>
      </c>
      <c r="AR309">
        <f>((AM309/$B$7+T308*AS308/2-T309*MAX(0.1,MIN(0.3,0.3-0.09*(AQ309-36.8)))/2)+AR308*(1-AS308/2))/(1-MAX(0.1,MIN(0.3,0.3-0.09*(AQ309-36.8)))/2)</f>
        <v/>
      </c>
      <c r="AS309">
        <f>MAX(0.1,MIN(0.3,0.3-0.09*(AR309-36.8)))</f>
        <v/>
      </c>
      <c r="AT309">
        <f>AT308+(2*AR309-1.962*AT308-1.31)/9</f>
        <v/>
      </c>
      <c r="AU309">
        <f>AU308+AG309+K309</f>
        <v/>
      </c>
      <c r="AV309">
        <f>AU309*2.67*$B$6/1.8/60</f>
        <v/>
      </c>
      <c r="AW309">
        <f>IF(AT309&gt;=$B$36,1,0)</f>
        <v/>
      </c>
      <c r="AX309">
        <f>IF(AV309&gt;=$B$21,1,0)</f>
        <v/>
      </c>
    </row>
    <row r="310">
      <c r="A310" t="n">
        <v>237</v>
      </c>
      <c r="B310">
        <f>MATCH(A310-1,$D$61:$D$68,1)</f>
        <v/>
      </c>
      <c r="C310">
        <f>INDEX($G$61:$G$68,B310)</f>
        <v/>
      </c>
      <c r="D310">
        <f>INDEX($L$61:$L$68,B310)</f>
        <v/>
      </c>
      <c r="E310">
        <f>INDEX($M$61:$M$68,B310)</f>
        <v/>
      </c>
      <c r="F310">
        <f>INDEX($N$61:$N$68,B310)</f>
        <v/>
      </c>
      <c r="G310">
        <f>INDEX($AA$61:$AA$68,B310)</f>
        <v/>
      </c>
      <c r="H310">
        <f>INDEX($X$61:$X$68,B310)</f>
        <v/>
      </c>
      <c r="I310">
        <f>INDEX($AF$61:$AF$68,B310)</f>
        <v/>
      </c>
      <c r="J310">
        <f>INDEX($AC$61:$AC$68,B310)</f>
        <v/>
      </c>
      <c r="K310">
        <f>INDEX($AD$61:$AD$68,B310)</f>
        <v/>
      </c>
      <c r="L310">
        <f>INDEX($AG$61:$AG$68,B310)</f>
        <v/>
      </c>
      <c r="M310">
        <f>INDEX($AH$61:$AH$68,B310)</f>
        <v/>
      </c>
      <c r="N310">
        <f>INDEX($AI$61:$AI$68,B310)</f>
        <v/>
      </c>
      <c r="O310">
        <f>O309*$B$26+L310*(1-$B$26)</f>
        <v/>
      </c>
      <c r="P310">
        <f>$B$7*(O310-O309)*(1-AS309)</f>
        <v/>
      </c>
      <c r="Q310">
        <f>M310+0.51274*AT309</f>
        <v/>
      </c>
      <c r="R310">
        <f>N310+0.616*AT309</f>
        <v/>
      </c>
      <c r="S310">
        <f>IF($B$13&gt;=0.6,Q310,IF($B$13&lt;=0.2,R310,R310+2.5*(Q310-R310)*($B$13-0.2)))</f>
        <v/>
      </c>
      <c r="T310">
        <f>IF(A310=1,S310,T309*$B$27+S310*(1-$B$27))</f>
        <v/>
      </c>
      <c r="U310">
        <f>0.6105*EXP(17.27*T310/(T310+237.3))</f>
        <v/>
      </c>
      <c r="V310">
        <f>($B$14*(I310*C310+IF(ABS((D310+0.1)-D310)&lt;0.000000001,4*$B$19*$B$20*(D310+273)^3,$B$19*$B$20*(((D310+0.1)+273)^4-(D310+273)^4)/((D310+0.1)-D310))*D310)+T310/H310)/($B$14*(I310+IF(ABS((D310+0.1)-D310)&lt;0.000000001,4*$B$19*$B$20*(D310+273)^3,$B$19*$B$20*(((D310+0.1)+273)^4-(D310+273)^4)/((D310+0.1)-D310)))+1/H310)</f>
        <v/>
      </c>
      <c r="W310">
        <f>($B$14*(I310*C310+IF(ABS(V310-D310)&lt;0.000000001,4*$B$19*$B$20*(D310+273)^3,$B$19*$B$20*((V310+273)^4-(D310+273)^4)/(V310-D310))*D310)+T310/H310)/($B$14*(I310+IF(ABS(V310-D310)&lt;0.000000001,4*$B$19*$B$20*(D310+273)^3,$B$19*$B$20*((V310+273)^4-(D310+273)^4)/(V310-D310)))+1/H310)</f>
        <v/>
      </c>
      <c r="X310">
        <f>($B$14*(I310*C310+IF(ABS(W310-D310)&lt;0.000000001,4*$B$19*$B$20*(D310+273)^3,$B$19*$B$20*((W310+273)^4-(D310+273)^4)/(W310-D310))*D310)+T310/H310)/($B$14*(I310+IF(ABS(W310-D310)&lt;0.000000001,4*$B$19*$B$20*(D310+273)^3,$B$19*$B$20*((W310+273)^4-(D310+273)^4)/(W310-D310)))+1/H310)</f>
        <v/>
      </c>
      <c r="Y310">
        <f>($B$14*(I310*C310+IF(ABS(X310-D310)&lt;0.000000001,4*$B$19*$B$20*(D310+273)^3,$B$19*$B$20*((X310+273)^4-(D310+273)^4)/(X310-D310))*D310)+T310/H310)/($B$14*(I310+IF(ABS(X310-D310)&lt;0.000000001,4*$B$19*$B$20*(D310+273)^3,$B$19*$B$20*((X310+273)^4-(D310+273)^4)/(X310-D310)))+1/H310)</f>
        <v/>
      </c>
      <c r="Z310">
        <f>IF(ABS(Y310-D310)&lt;0.000000001,4*$B$19*$B$20*(D310+273)^3,$B$19*$B$20*((Y310+273)^4-(D310+273)^4)/(Y310-D310))</f>
        <v/>
      </c>
      <c r="AA310">
        <f>$B$14*I310*(Y310-C310)</f>
        <v/>
      </c>
      <c r="AB310">
        <f>$B$14*Z310*(Y310-D310)</f>
        <v/>
      </c>
      <c r="AC310">
        <f>IF((U310-E310)/G310=0,0.001,(U310-E310)/G310)</f>
        <v/>
      </c>
      <c r="AD310">
        <f>F310-P310-J310-K310-AA310-AB310</f>
        <v/>
      </c>
      <c r="AE310">
        <f>AD310/AC310</f>
        <v/>
      </c>
      <c r="AF310">
        <f>IF(AD310&lt;=0,0,IF(AC310&lt;=0,$B$11,IF(AE310&gt;=1.7,$B$11,MIN(AD310/MAX(0.05,IF(AE310&gt;1,(2-AE310)^2/2,1-AE310^2/2)),$B$11))))</f>
        <v/>
      </c>
      <c r="AG310">
        <f>AG309*$B$28+AF310*(1-$B$28)</f>
        <v/>
      </c>
      <c r="AH310">
        <f>IF(AND(AD310&gt;0,AC310&lt;=0),0,AC310)</f>
        <v/>
      </c>
      <c r="AI310">
        <f>AH310/MAX(AG310,0.000001)</f>
        <v/>
      </c>
      <c r="AJ310">
        <f>MIN(IF(AI310&gt;=0.5,-AI310+SQRT(AI310^2+2),1),$B$12)</f>
        <v/>
      </c>
      <c r="AK310">
        <f>IF(AG310&lt;=0,0,AJ310*AH310)</f>
        <v/>
      </c>
      <c r="AL310">
        <f>IF(AD310&lt;=0,0,AD310)</f>
        <v/>
      </c>
      <c r="AM310">
        <f>AL310-AK310+P310</f>
        <v/>
      </c>
      <c r="AN310">
        <f>((AM310/$B$7+T309*AS309/2-T310*MAX(0.1,MIN(0.3,0.3-0.09*(AR309-36.8)))/2)+AR309*(1-AS309/2))/(1-MAX(0.1,MIN(0.3,0.3-0.09*(AR309-36.8)))/2)</f>
        <v/>
      </c>
      <c r="AO310">
        <f>((AM310/$B$7+T309*AS309/2-T310*MAX(0.1,MIN(0.3,0.3-0.09*(AN310-36.8)))/2)+AR309*(1-AS309/2))/(1-MAX(0.1,MIN(0.3,0.3-0.09*(AN310-36.8)))/2)</f>
        <v/>
      </c>
      <c r="AP310">
        <f>((AM310/$B$7+T309*AS309/2-T310*MAX(0.1,MIN(0.3,0.3-0.09*(AO310-36.8)))/2)+AR309*(1-AS309/2))/(1-MAX(0.1,MIN(0.3,0.3-0.09*(AO310-36.8)))/2)</f>
        <v/>
      </c>
      <c r="AQ310">
        <f>((AM310/$B$7+T309*AS309/2-T310*MAX(0.1,MIN(0.3,0.3-0.09*(AP310-36.8)))/2)+AR309*(1-AS309/2))/(1-MAX(0.1,MIN(0.3,0.3-0.09*(AP310-36.8)))/2)</f>
        <v/>
      </c>
      <c r="AR310">
        <f>((AM310/$B$7+T309*AS309/2-T310*MAX(0.1,MIN(0.3,0.3-0.09*(AQ310-36.8)))/2)+AR309*(1-AS309/2))/(1-MAX(0.1,MIN(0.3,0.3-0.09*(AQ310-36.8)))/2)</f>
        <v/>
      </c>
      <c r="AS310">
        <f>MAX(0.1,MIN(0.3,0.3-0.09*(AR310-36.8)))</f>
        <v/>
      </c>
      <c r="AT310">
        <f>AT309+(2*AR310-1.962*AT309-1.31)/9</f>
        <v/>
      </c>
      <c r="AU310">
        <f>AU309+AG310+K310</f>
        <v/>
      </c>
      <c r="AV310">
        <f>AU310*2.67*$B$6/1.8/60</f>
        <v/>
      </c>
      <c r="AW310">
        <f>IF(AT310&gt;=$B$36,1,0)</f>
        <v/>
      </c>
      <c r="AX310">
        <f>IF(AV310&gt;=$B$21,1,0)</f>
        <v/>
      </c>
    </row>
    <row r="311">
      <c r="A311" t="n">
        <v>238</v>
      </c>
      <c r="B311">
        <f>MATCH(A311-1,$D$61:$D$68,1)</f>
        <v/>
      </c>
      <c r="C311">
        <f>INDEX($G$61:$G$68,B311)</f>
        <v/>
      </c>
      <c r="D311">
        <f>INDEX($L$61:$L$68,B311)</f>
        <v/>
      </c>
      <c r="E311">
        <f>INDEX($M$61:$M$68,B311)</f>
        <v/>
      </c>
      <c r="F311">
        <f>INDEX($N$61:$N$68,B311)</f>
        <v/>
      </c>
      <c r="G311">
        <f>INDEX($AA$61:$AA$68,B311)</f>
        <v/>
      </c>
      <c r="H311">
        <f>INDEX($X$61:$X$68,B311)</f>
        <v/>
      </c>
      <c r="I311">
        <f>INDEX($AF$61:$AF$68,B311)</f>
        <v/>
      </c>
      <c r="J311">
        <f>INDEX($AC$61:$AC$68,B311)</f>
        <v/>
      </c>
      <c r="K311">
        <f>INDEX($AD$61:$AD$68,B311)</f>
        <v/>
      </c>
      <c r="L311">
        <f>INDEX($AG$61:$AG$68,B311)</f>
        <v/>
      </c>
      <c r="M311">
        <f>INDEX($AH$61:$AH$68,B311)</f>
        <v/>
      </c>
      <c r="N311">
        <f>INDEX($AI$61:$AI$68,B311)</f>
        <v/>
      </c>
      <c r="O311">
        <f>O310*$B$26+L311*(1-$B$26)</f>
        <v/>
      </c>
      <c r="P311">
        <f>$B$7*(O311-O310)*(1-AS310)</f>
        <v/>
      </c>
      <c r="Q311">
        <f>M311+0.51274*AT310</f>
        <v/>
      </c>
      <c r="R311">
        <f>N311+0.616*AT310</f>
        <v/>
      </c>
      <c r="S311">
        <f>IF($B$13&gt;=0.6,Q311,IF($B$13&lt;=0.2,R311,R311+2.5*(Q311-R311)*($B$13-0.2)))</f>
        <v/>
      </c>
      <c r="T311">
        <f>IF(A311=1,S311,T310*$B$27+S311*(1-$B$27))</f>
        <v/>
      </c>
      <c r="U311">
        <f>0.6105*EXP(17.27*T311/(T311+237.3))</f>
        <v/>
      </c>
      <c r="V311">
        <f>($B$14*(I311*C311+IF(ABS((D311+0.1)-D311)&lt;0.000000001,4*$B$19*$B$20*(D311+273)^3,$B$19*$B$20*(((D311+0.1)+273)^4-(D311+273)^4)/((D311+0.1)-D311))*D311)+T311/H311)/($B$14*(I311+IF(ABS((D311+0.1)-D311)&lt;0.000000001,4*$B$19*$B$20*(D311+273)^3,$B$19*$B$20*(((D311+0.1)+273)^4-(D311+273)^4)/((D311+0.1)-D311)))+1/H311)</f>
        <v/>
      </c>
      <c r="W311">
        <f>($B$14*(I311*C311+IF(ABS(V311-D311)&lt;0.000000001,4*$B$19*$B$20*(D311+273)^3,$B$19*$B$20*((V311+273)^4-(D311+273)^4)/(V311-D311))*D311)+T311/H311)/($B$14*(I311+IF(ABS(V311-D311)&lt;0.000000001,4*$B$19*$B$20*(D311+273)^3,$B$19*$B$20*((V311+273)^4-(D311+273)^4)/(V311-D311)))+1/H311)</f>
        <v/>
      </c>
      <c r="X311">
        <f>($B$14*(I311*C311+IF(ABS(W311-D311)&lt;0.000000001,4*$B$19*$B$20*(D311+273)^3,$B$19*$B$20*((W311+273)^4-(D311+273)^4)/(W311-D311))*D311)+T311/H311)/($B$14*(I311+IF(ABS(W311-D311)&lt;0.000000001,4*$B$19*$B$20*(D311+273)^3,$B$19*$B$20*((W311+273)^4-(D311+273)^4)/(W311-D311)))+1/H311)</f>
        <v/>
      </c>
      <c r="Y311">
        <f>($B$14*(I311*C311+IF(ABS(X311-D311)&lt;0.000000001,4*$B$19*$B$20*(D311+273)^3,$B$19*$B$20*((X311+273)^4-(D311+273)^4)/(X311-D311))*D311)+T311/H311)/($B$14*(I311+IF(ABS(X311-D311)&lt;0.000000001,4*$B$19*$B$20*(D311+273)^3,$B$19*$B$20*((X311+273)^4-(D311+273)^4)/(X311-D311)))+1/H311)</f>
        <v/>
      </c>
      <c r="Z311">
        <f>IF(ABS(Y311-D311)&lt;0.000000001,4*$B$19*$B$20*(D311+273)^3,$B$19*$B$20*((Y311+273)^4-(D311+273)^4)/(Y311-D311))</f>
        <v/>
      </c>
      <c r="AA311">
        <f>$B$14*I311*(Y311-C311)</f>
        <v/>
      </c>
      <c r="AB311">
        <f>$B$14*Z311*(Y311-D311)</f>
        <v/>
      </c>
      <c r="AC311">
        <f>IF((U311-E311)/G311=0,0.001,(U311-E311)/G311)</f>
        <v/>
      </c>
      <c r="AD311">
        <f>F311-P311-J311-K311-AA311-AB311</f>
        <v/>
      </c>
      <c r="AE311">
        <f>AD311/AC311</f>
        <v/>
      </c>
      <c r="AF311">
        <f>IF(AD311&lt;=0,0,IF(AC311&lt;=0,$B$11,IF(AE311&gt;=1.7,$B$11,MIN(AD311/MAX(0.05,IF(AE311&gt;1,(2-AE311)^2/2,1-AE311^2/2)),$B$11))))</f>
        <v/>
      </c>
      <c r="AG311">
        <f>AG310*$B$28+AF311*(1-$B$28)</f>
        <v/>
      </c>
      <c r="AH311">
        <f>IF(AND(AD311&gt;0,AC311&lt;=0),0,AC311)</f>
        <v/>
      </c>
      <c r="AI311">
        <f>AH311/MAX(AG311,0.000001)</f>
        <v/>
      </c>
      <c r="AJ311">
        <f>MIN(IF(AI311&gt;=0.5,-AI311+SQRT(AI311^2+2),1),$B$12)</f>
        <v/>
      </c>
      <c r="AK311">
        <f>IF(AG311&lt;=0,0,AJ311*AH311)</f>
        <v/>
      </c>
      <c r="AL311">
        <f>IF(AD311&lt;=0,0,AD311)</f>
        <v/>
      </c>
      <c r="AM311">
        <f>AL311-AK311+P311</f>
        <v/>
      </c>
      <c r="AN311">
        <f>((AM311/$B$7+T310*AS310/2-T311*MAX(0.1,MIN(0.3,0.3-0.09*(AR310-36.8)))/2)+AR310*(1-AS310/2))/(1-MAX(0.1,MIN(0.3,0.3-0.09*(AR310-36.8)))/2)</f>
        <v/>
      </c>
      <c r="AO311">
        <f>((AM311/$B$7+T310*AS310/2-T311*MAX(0.1,MIN(0.3,0.3-0.09*(AN311-36.8)))/2)+AR310*(1-AS310/2))/(1-MAX(0.1,MIN(0.3,0.3-0.09*(AN311-36.8)))/2)</f>
        <v/>
      </c>
      <c r="AP311">
        <f>((AM311/$B$7+T310*AS310/2-T311*MAX(0.1,MIN(0.3,0.3-0.09*(AO311-36.8)))/2)+AR310*(1-AS310/2))/(1-MAX(0.1,MIN(0.3,0.3-0.09*(AO311-36.8)))/2)</f>
        <v/>
      </c>
      <c r="AQ311">
        <f>((AM311/$B$7+T310*AS310/2-T311*MAX(0.1,MIN(0.3,0.3-0.09*(AP311-36.8)))/2)+AR310*(1-AS310/2))/(1-MAX(0.1,MIN(0.3,0.3-0.09*(AP311-36.8)))/2)</f>
        <v/>
      </c>
      <c r="AR311">
        <f>((AM311/$B$7+T310*AS310/2-T311*MAX(0.1,MIN(0.3,0.3-0.09*(AQ311-36.8)))/2)+AR310*(1-AS310/2))/(1-MAX(0.1,MIN(0.3,0.3-0.09*(AQ311-36.8)))/2)</f>
        <v/>
      </c>
      <c r="AS311">
        <f>MAX(0.1,MIN(0.3,0.3-0.09*(AR311-36.8)))</f>
        <v/>
      </c>
      <c r="AT311">
        <f>AT310+(2*AR311-1.962*AT310-1.31)/9</f>
        <v/>
      </c>
      <c r="AU311">
        <f>AU310+AG311+K311</f>
        <v/>
      </c>
      <c r="AV311">
        <f>AU311*2.67*$B$6/1.8/60</f>
        <v/>
      </c>
      <c r="AW311">
        <f>IF(AT311&gt;=$B$36,1,0)</f>
        <v/>
      </c>
      <c r="AX311">
        <f>IF(AV311&gt;=$B$21,1,0)</f>
        <v/>
      </c>
    </row>
    <row r="312">
      <c r="A312" t="n">
        <v>239</v>
      </c>
      <c r="B312">
        <f>MATCH(A312-1,$D$61:$D$68,1)</f>
        <v/>
      </c>
      <c r="C312">
        <f>INDEX($G$61:$G$68,B312)</f>
        <v/>
      </c>
      <c r="D312">
        <f>INDEX($L$61:$L$68,B312)</f>
        <v/>
      </c>
      <c r="E312">
        <f>INDEX($M$61:$M$68,B312)</f>
        <v/>
      </c>
      <c r="F312">
        <f>INDEX($N$61:$N$68,B312)</f>
        <v/>
      </c>
      <c r="G312">
        <f>INDEX($AA$61:$AA$68,B312)</f>
        <v/>
      </c>
      <c r="H312">
        <f>INDEX($X$61:$X$68,B312)</f>
        <v/>
      </c>
      <c r="I312">
        <f>INDEX($AF$61:$AF$68,B312)</f>
        <v/>
      </c>
      <c r="J312">
        <f>INDEX($AC$61:$AC$68,B312)</f>
        <v/>
      </c>
      <c r="K312">
        <f>INDEX($AD$61:$AD$68,B312)</f>
        <v/>
      </c>
      <c r="L312">
        <f>INDEX($AG$61:$AG$68,B312)</f>
        <v/>
      </c>
      <c r="M312">
        <f>INDEX($AH$61:$AH$68,B312)</f>
        <v/>
      </c>
      <c r="N312">
        <f>INDEX($AI$61:$AI$68,B312)</f>
        <v/>
      </c>
      <c r="O312">
        <f>O311*$B$26+L312*(1-$B$26)</f>
        <v/>
      </c>
      <c r="P312">
        <f>$B$7*(O312-O311)*(1-AS311)</f>
        <v/>
      </c>
      <c r="Q312">
        <f>M312+0.51274*AT311</f>
        <v/>
      </c>
      <c r="R312">
        <f>N312+0.616*AT311</f>
        <v/>
      </c>
      <c r="S312">
        <f>IF($B$13&gt;=0.6,Q312,IF($B$13&lt;=0.2,R312,R312+2.5*(Q312-R312)*($B$13-0.2)))</f>
        <v/>
      </c>
      <c r="T312">
        <f>IF(A312=1,S312,T311*$B$27+S312*(1-$B$27))</f>
        <v/>
      </c>
      <c r="U312">
        <f>0.6105*EXP(17.27*T312/(T312+237.3))</f>
        <v/>
      </c>
      <c r="V312">
        <f>($B$14*(I312*C312+IF(ABS((D312+0.1)-D312)&lt;0.000000001,4*$B$19*$B$20*(D312+273)^3,$B$19*$B$20*(((D312+0.1)+273)^4-(D312+273)^4)/((D312+0.1)-D312))*D312)+T312/H312)/($B$14*(I312+IF(ABS((D312+0.1)-D312)&lt;0.000000001,4*$B$19*$B$20*(D312+273)^3,$B$19*$B$20*(((D312+0.1)+273)^4-(D312+273)^4)/((D312+0.1)-D312)))+1/H312)</f>
        <v/>
      </c>
      <c r="W312">
        <f>($B$14*(I312*C312+IF(ABS(V312-D312)&lt;0.000000001,4*$B$19*$B$20*(D312+273)^3,$B$19*$B$20*((V312+273)^4-(D312+273)^4)/(V312-D312))*D312)+T312/H312)/($B$14*(I312+IF(ABS(V312-D312)&lt;0.000000001,4*$B$19*$B$20*(D312+273)^3,$B$19*$B$20*((V312+273)^4-(D312+273)^4)/(V312-D312)))+1/H312)</f>
        <v/>
      </c>
      <c r="X312">
        <f>($B$14*(I312*C312+IF(ABS(W312-D312)&lt;0.000000001,4*$B$19*$B$20*(D312+273)^3,$B$19*$B$20*((W312+273)^4-(D312+273)^4)/(W312-D312))*D312)+T312/H312)/($B$14*(I312+IF(ABS(W312-D312)&lt;0.000000001,4*$B$19*$B$20*(D312+273)^3,$B$19*$B$20*((W312+273)^4-(D312+273)^4)/(W312-D312)))+1/H312)</f>
        <v/>
      </c>
      <c r="Y312">
        <f>($B$14*(I312*C312+IF(ABS(X312-D312)&lt;0.000000001,4*$B$19*$B$20*(D312+273)^3,$B$19*$B$20*((X312+273)^4-(D312+273)^4)/(X312-D312))*D312)+T312/H312)/($B$14*(I312+IF(ABS(X312-D312)&lt;0.000000001,4*$B$19*$B$20*(D312+273)^3,$B$19*$B$20*((X312+273)^4-(D312+273)^4)/(X312-D312)))+1/H312)</f>
        <v/>
      </c>
      <c r="Z312">
        <f>IF(ABS(Y312-D312)&lt;0.000000001,4*$B$19*$B$20*(D312+273)^3,$B$19*$B$20*((Y312+273)^4-(D312+273)^4)/(Y312-D312))</f>
        <v/>
      </c>
      <c r="AA312">
        <f>$B$14*I312*(Y312-C312)</f>
        <v/>
      </c>
      <c r="AB312">
        <f>$B$14*Z312*(Y312-D312)</f>
        <v/>
      </c>
      <c r="AC312">
        <f>IF((U312-E312)/G312=0,0.001,(U312-E312)/G312)</f>
        <v/>
      </c>
      <c r="AD312">
        <f>F312-P312-J312-K312-AA312-AB312</f>
        <v/>
      </c>
      <c r="AE312">
        <f>AD312/AC312</f>
        <v/>
      </c>
      <c r="AF312">
        <f>IF(AD312&lt;=0,0,IF(AC312&lt;=0,$B$11,IF(AE312&gt;=1.7,$B$11,MIN(AD312/MAX(0.05,IF(AE312&gt;1,(2-AE312)^2/2,1-AE312^2/2)),$B$11))))</f>
        <v/>
      </c>
      <c r="AG312">
        <f>AG311*$B$28+AF312*(1-$B$28)</f>
        <v/>
      </c>
      <c r="AH312">
        <f>IF(AND(AD312&gt;0,AC312&lt;=0),0,AC312)</f>
        <v/>
      </c>
      <c r="AI312">
        <f>AH312/MAX(AG312,0.000001)</f>
        <v/>
      </c>
      <c r="AJ312">
        <f>MIN(IF(AI312&gt;=0.5,-AI312+SQRT(AI312^2+2),1),$B$12)</f>
        <v/>
      </c>
      <c r="AK312">
        <f>IF(AG312&lt;=0,0,AJ312*AH312)</f>
        <v/>
      </c>
      <c r="AL312">
        <f>IF(AD312&lt;=0,0,AD312)</f>
        <v/>
      </c>
      <c r="AM312">
        <f>AL312-AK312+P312</f>
        <v/>
      </c>
      <c r="AN312">
        <f>((AM312/$B$7+T311*AS311/2-T312*MAX(0.1,MIN(0.3,0.3-0.09*(AR311-36.8)))/2)+AR311*(1-AS311/2))/(1-MAX(0.1,MIN(0.3,0.3-0.09*(AR311-36.8)))/2)</f>
        <v/>
      </c>
      <c r="AO312">
        <f>((AM312/$B$7+T311*AS311/2-T312*MAX(0.1,MIN(0.3,0.3-0.09*(AN312-36.8)))/2)+AR311*(1-AS311/2))/(1-MAX(0.1,MIN(0.3,0.3-0.09*(AN312-36.8)))/2)</f>
        <v/>
      </c>
      <c r="AP312">
        <f>((AM312/$B$7+T311*AS311/2-T312*MAX(0.1,MIN(0.3,0.3-0.09*(AO312-36.8)))/2)+AR311*(1-AS311/2))/(1-MAX(0.1,MIN(0.3,0.3-0.09*(AO312-36.8)))/2)</f>
        <v/>
      </c>
      <c r="AQ312">
        <f>((AM312/$B$7+T311*AS311/2-T312*MAX(0.1,MIN(0.3,0.3-0.09*(AP312-36.8)))/2)+AR311*(1-AS311/2))/(1-MAX(0.1,MIN(0.3,0.3-0.09*(AP312-36.8)))/2)</f>
        <v/>
      </c>
      <c r="AR312">
        <f>((AM312/$B$7+T311*AS311/2-T312*MAX(0.1,MIN(0.3,0.3-0.09*(AQ312-36.8)))/2)+AR311*(1-AS311/2))/(1-MAX(0.1,MIN(0.3,0.3-0.09*(AQ312-36.8)))/2)</f>
        <v/>
      </c>
      <c r="AS312">
        <f>MAX(0.1,MIN(0.3,0.3-0.09*(AR312-36.8)))</f>
        <v/>
      </c>
      <c r="AT312">
        <f>AT311+(2*AR312-1.962*AT311-1.31)/9</f>
        <v/>
      </c>
      <c r="AU312">
        <f>AU311+AG312+K312</f>
        <v/>
      </c>
      <c r="AV312">
        <f>AU312*2.67*$B$6/1.8/60</f>
        <v/>
      </c>
      <c r="AW312">
        <f>IF(AT312&gt;=$B$36,1,0)</f>
        <v/>
      </c>
      <c r="AX312">
        <f>IF(AV312&gt;=$B$21,1,0)</f>
        <v/>
      </c>
    </row>
    <row r="313">
      <c r="A313" t="n">
        <v>240</v>
      </c>
      <c r="B313">
        <f>MATCH(A313-1,$D$61:$D$68,1)</f>
        <v/>
      </c>
      <c r="C313">
        <f>INDEX($G$61:$G$68,B313)</f>
        <v/>
      </c>
      <c r="D313">
        <f>INDEX($L$61:$L$68,B313)</f>
        <v/>
      </c>
      <c r="E313">
        <f>INDEX($M$61:$M$68,B313)</f>
        <v/>
      </c>
      <c r="F313">
        <f>INDEX($N$61:$N$68,B313)</f>
        <v/>
      </c>
      <c r="G313">
        <f>INDEX($AA$61:$AA$68,B313)</f>
        <v/>
      </c>
      <c r="H313">
        <f>INDEX($X$61:$X$68,B313)</f>
        <v/>
      </c>
      <c r="I313">
        <f>INDEX($AF$61:$AF$68,B313)</f>
        <v/>
      </c>
      <c r="J313">
        <f>INDEX($AC$61:$AC$68,B313)</f>
        <v/>
      </c>
      <c r="K313">
        <f>INDEX($AD$61:$AD$68,B313)</f>
        <v/>
      </c>
      <c r="L313">
        <f>INDEX($AG$61:$AG$68,B313)</f>
        <v/>
      </c>
      <c r="M313">
        <f>INDEX($AH$61:$AH$68,B313)</f>
        <v/>
      </c>
      <c r="N313">
        <f>INDEX($AI$61:$AI$68,B313)</f>
        <v/>
      </c>
      <c r="O313">
        <f>O312*$B$26+L313*(1-$B$26)</f>
        <v/>
      </c>
      <c r="P313">
        <f>$B$7*(O313-O312)*(1-AS312)</f>
        <v/>
      </c>
      <c r="Q313">
        <f>M313+0.51274*AT312</f>
        <v/>
      </c>
      <c r="R313">
        <f>N313+0.616*AT312</f>
        <v/>
      </c>
      <c r="S313">
        <f>IF($B$13&gt;=0.6,Q313,IF($B$13&lt;=0.2,R313,R313+2.5*(Q313-R313)*($B$13-0.2)))</f>
        <v/>
      </c>
      <c r="T313">
        <f>IF(A313=1,S313,T312*$B$27+S313*(1-$B$27))</f>
        <v/>
      </c>
      <c r="U313">
        <f>0.6105*EXP(17.27*T313/(T313+237.3))</f>
        <v/>
      </c>
      <c r="V313">
        <f>($B$14*(I313*C313+IF(ABS((D313+0.1)-D313)&lt;0.000000001,4*$B$19*$B$20*(D313+273)^3,$B$19*$B$20*(((D313+0.1)+273)^4-(D313+273)^4)/((D313+0.1)-D313))*D313)+T313/H313)/($B$14*(I313+IF(ABS((D313+0.1)-D313)&lt;0.000000001,4*$B$19*$B$20*(D313+273)^3,$B$19*$B$20*(((D313+0.1)+273)^4-(D313+273)^4)/((D313+0.1)-D313)))+1/H313)</f>
        <v/>
      </c>
      <c r="W313">
        <f>($B$14*(I313*C313+IF(ABS(V313-D313)&lt;0.000000001,4*$B$19*$B$20*(D313+273)^3,$B$19*$B$20*((V313+273)^4-(D313+273)^4)/(V313-D313))*D313)+T313/H313)/($B$14*(I313+IF(ABS(V313-D313)&lt;0.000000001,4*$B$19*$B$20*(D313+273)^3,$B$19*$B$20*((V313+273)^4-(D313+273)^4)/(V313-D313)))+1/H313)</f>
        <v/>
      </c>
      <c r="X313">
        <f>($B$14*(I313*C313+IF(ABS(W313-D313)&lt;0.000000001,4*$B$19*$B$20*(D313+273)^3,$B$19*$B$20*((W313+273)^4-(D313+273)^4)/(W313-D313))*D313)+T313/H313)/($B$14*(I313+IF(ABS(W313-D313)&lt;0.000000001,4*$B$19*$B$20*(D313+273)^3,$B$19*$B$20*((W313+273)^4-(D313+273)^4)/(W313-D313)))+1/H313)</f>
        <v/>
      </c>
      <c r="Y313">
        <f>($B$14*(I313*C313+IF(ABS(X313-D313)&lt;0.000000001,4*$B$19*$B$20*(D313+273)^3,$B$19*$B$20*((X313+273)^4-(D313+273)^4)/(X313-D313))*D313)+T313/H313)/($B$14*(I313+IF(ABS(X313-D313)&lt;0.000000001,4*$B$19*$B$20*(D313+273)^3,$B$19*$B$20*((X313+273)^4-(D313+273)^4)/(X313-D313)))+1/H313)</f>
        <v/>
      </c>
      <c r="Z313">
        <f>IF(ABS(Y313-D313)&lt;0.000000001,4*$B$19*$B$20*(D313+273)^3,$B$19*$B$20*((Y313+273)^4-(D313+273)^4)/(Y313-D313))</f>
        <v/>
      </c>
      <c r="AA313">
        <f>$B$14*I313*(Y313-C313)</f>
        <v/>
      </c>
      <c r="AB313">
        <f>$B$14*Z313*(Y313-D313)</f>
        <v/>
      </c>
      <c r="AC313">
        <f>IF((U313-E313)/G313=0,0.001,(U313-E313)/G313)</f>
        <v/>
      </c>
      <c r="AD313">
        <f>F313-P313-J313-K313-AA313-AB313</f>
        <v/>
      </c>
      <c r="AE313">
        <f>AD313/AC313</f>
        <v/>
      </c>
      <c r="AF313">
        <f>IF(AD313&lt;=0,0,IF(AC313&lt;=0,$B$11,IF(AE313&gt;=1.7,$B$11,MIN(AD313/MAX(0.05,IF(AE313&gt;1,(2-AE313)^2/2,1-AE313^2/2)),$B$11))))</f>
        <v/>
      </c>
      <c r="AG313">
        <f>AG312*$B$28+AF313*(1-$B$28)</f>
        <v/>
      </c>
      <c r="AH313">
        <f>IF(AND(AD313&gt;0,AC313&lt;=0),0,AC313)</f>
        <v/>
      </c>
      <c r="AI313">
        <f>AH313/MAX(AG313,0.000001)</f>
        <v/>
      </c>
      <c r="AJ313">
        <f>MIN(IF(AI313&gt;=0.5,-AI313+SQRT(AI313^2+2),1),$B$12)</f>
        <v/>
      </c>
      <c r="AK313">
        <f>IF(AG313&lt;=0,0,AJ313*AH313)</f>
        <v/>
      </c>
      <c r="AL313">
        <f>IF(AD313&lt;=0,0,AD313)</f>
        <v/>
      </c>
      <c r="AM313">
        <f>AL313-AK313+P313</f>
        <v/>
      </c>
      <c r="AN313">
        <f>((AM313/$B$7+T312*AS312/2-T313*MAX(0.1,MIN(0.3,0.3-0.09*(AR312-36.8)))/2)+AR312*(1-AS312/2))/(1-MAX(0.1,MIN(0.3,0.3-0.09*(AR312-36.8)))/2)</f>
        <v/>
      </c>
      <c r="AO313">
        <f>((AM313/$B$7+T312*AS312/2-T313*MAX(0.1,MIN(0.3,0.3-0.09*(AN313-36.8)))/2)+AR312*(1-AS312/2))/(1-MAX(0.1,MIN(0.3,0.3-0.09*(AN313-36.8)))/2)</f>
        <v/>
      </c>
      <c r="AP313">
        <f>((AM313/$B$7+T312*AS312/2-T313*MAX(0.1,MIN(0.3,0.3-0.09*(AO313-36.8)))/2)+AR312*(1-AS312/2))/(1-MAX(0.1,MIN(0.3,0.3-0.09*(AO313-36.8)))/2)</f>
        <v/>
      </c>
      <c r="AQ313">
        <f>((AM313/$B$7+T312*AS312/2-T313*MAX(0.1,MIN(0.3,0.3-0.09*(AP313-36.8)))/2)+AR312*(1-AS312/2))/(1-MAX(0.1,MIN(0.3,0.3-0.09*(AP313-36.8)))/2)</f>
        <v/>
      </c>
      <c r="AR313">
        <f>((AM313/$B$7+T312*AS312/2-T313*MAX(0.1,MIN(0.3,0.3-0.09*(AQ313-36.8)))/2)+AR312*(1-AS312/2))/(1-MAX(0.1,MIN(0.3,0.3-0.09*(AQ313-36.8)))/2)</f>
        <v/>
      </c>
      <c r="AS313">
        <f>MAX(0.1,MIN(0.3,0.3-0.09*(AR313-36.8)))</f>
        <v/>
      </c>
      <c r="AT313">
        <f>AT312+(2*AR313-1.962*AT312-1.31)/9</f>
        <v/>
      </c>
      <c r="AU313">
        <f>AU312+AG313+K313</f>
        <v/>
      </c>
      <c r="AV313">
        <f>AU313*2.67*$B$6/1.8/60</f>
        <v/>
      </c>
      <c r="AW313">
        <f>IF(AT313&gt;=$B$36,1,0)</f>
        <v/>
      </c>
      <c r="AX313">
        <f>IF(AV313&gt;=$B$21,1,0)</f>
        <v/>
      </c>
    </row>
    <row r="314">
      <c r="A314" t="n">
        <v>241</v>
      </c>
      <c r="B314">
        <f>MATCH(A314-1,$D$61:$D$68,1)</f>
        <v/>
      </c>
      <c r="C314">
        <f>INDEX($G$61:$G$68,B314)</f>
        <v/>
      </c>
      <c r="D314">
        <f>INDEX($L$61:$L$68,B314)</f>
        <v/>
      </c>
      <c r="E314">
        <f>INDEX($M$61:$M$68,B314)</f>
        <v/>
      </c>
      <c r="F314">
        <f>INDEX($N$61:$N$68,B314)</f>
        <v/>
      </c>
      <c r="G314">
        <f>INDEX($AA$61:$AA$68,B314)</f>
        <v/>
      </c>
      <c r="H314">
        <f>INDEX($X$61:$X$68,B314)</f>
        <v/>
      </c>
      <c r="I314">
        <f>INDEX($AF$61:$AF$68,B314)</f>
        <v/>
      </c>
      <c r="J314">
        <f>INDEX($AC$61:$AC$68,B314)</f>
        <v/>
      </c>
      <c r="K314">
        <f>INDEX($AD$61:$AD$68,B314)</f>
        <v/>
      </c>
      <c r="L314">
        <f>INDEX($AG$61:$AG$68,B314)</f>
        <v/>
      </c>
      <c r="M314">
        <f>INDEX($AH$61:$AH$68,B314)</f>
        <v/>
      </c>
      <c r="N314">
        <f>INDEX($AI$61:$AI$68,B314)</f>
        <v/>
      </c>
      <c r="O314">
        <f>O313*$B$26+L314*(1-$B$26)</f>
        <v/>
      </c>
      <c r="P314">
        <f>$B$7*(O314-O313)*(1-AS313)</f>
        <v/>
      </c>
      <c r="Q314">
        <f>M314+0.51274*AT313</f>
        <v/>
      </c>
      <c r="R314">
        <f>N314+0.616*AT313</f>
        <v/>
      </c>
      <c r="S314">
        <f>IF($B$13&gt;=0.6,Q314,IF($B$13&lt;=0.2,R314,R314+2.5*(Q314-R314)*($B$13-0.2)))</f>
        <v/>
      </c>
      <c r="T314">
        <f>IF(A314=1,S314,T313*$B$27+S314*(1-$B$27))</f>
        <v/>
      </c>
      <c r="U314">
        <f>0.6105*EXP(17.27*T314/(T314+237.3))</f>
        <v/>
      </c>
      <c r="V314">
        <f>($B$14*(I314*C314+IF(ABS((D314+0.1)-D314)&lt;0.000000001,4*$B$19*$B$20*(D314+273)^3,$B$19*$B$20*(((D314+0.1)+273)^4-(D314+273)^4)/((D314+0.1)-D314))*D314)+T314/H314)/($B$14*(I314+IF(ABS((D314+0.1)-D314)&lt;0.000000001,4*$B$19*$B$20*(D314+273)^3,$B$19*$B$20*(((D314+0.1)+273)^4-(D314+273)^4)/((D314+0.1)-D314)))+1/H314)</f>
        <v/>
      </c>
      <c r="W314">
        <f>($B$14*(I314*C314+IF(ABS(V314-D314)&lt;0.000000001,4*$B$19*$B$20*(D314+273)^3,$B$19*$B$20*((V314+273)^4-(D314+273)^4)/(V314-D314))*D314)+T314/H314)/($B$14*(I314+IF(ABS(V314-D314)&lt;0.000000001,4*$B$19*$B$20*(D314+273)^3,$B$19*$B$20*((V314+273)^4-(D314+273)^4)/(V314-D314)))+1/H314)</f>
        <v/>
      </c>
      <c r="X314">
        <f>($B$14*(I314*C314+IF(ABS(W314-D314)&lt;0.000000001,4*$B$19*$B$20*(D314+273)^3,$B$19*$B$20*((W314+273)^4-(D314+273)^4)/(W314-D314))*D314)+T314/H314)/($B$14*(I314+IF(ABS(W314-D314)&lt;0.000000001,4*$B$19*$B$20*(D314+273)^3,$B$19*$B$20*((W314+273)^4-(D314+273)^4)/(W314-D314)))+1/H314)</f>
        <v/>
      </c>
      <c r="Y314">
        <f>($B$14*(I314*C314+IF(ABS(X314-D314)&lt;0.000000001,4*$B$19*$B$20*(D314+273)^3,$B$19*$B$20*((X314+273)^4-(D314+273)^4)/(X314-D314))*D314)+T314/H314)/($B$14*(I314+IF(ABS(X314-D314)&lt;0.000000001,4*$B$19*$B$20*(D314+273)^3,$B$19*$B$20*((X314+273)^4-(D314+273)^4)/(X314-D314)))+1/H314)</f>
        <v/>
      </c>
      <c r="Z314">
        <f>IF(ABS(Y314-D314)&lt;0.000000001,4*$B$19*$B$20*(D314+273)^3,$B$19*$B$20*((Y314+273)^4-(D314+273)^4)/(Y314-D314))</f>
        <v/>
      </c>
      <c r="AA314">
        <f>$B$14*I314*(Y314-C314)</f>
        <v/>
      </c>
      <c r="AB314">
        <f>$B$14*Z314*(Y314-D314)</f>
        <v/>
      </c>
      <c r="AC314">
        <f>IF((U314-E314)/G314=0,0.001,(U314-E314)/G314)</f>
        <v/>
      </c>
      <c r="AD314">
        <f>F314-P314-J314-K314-AA314-AB314</f>
        <v/>
      </c>
      <c r="AE314">
        <f>AD314/AC314</f>
        <v/>
      </c>
      <c r="AF314">
        <f>IF(AD314&lt;=0,0,IF(AC314&lt;=0,$B$11,IF(AE314&gt;=1.7,$B$11,MIN(AD314/MAX(0.05,IF(AE314&gt;1,(2-AE314)^2/2,1-AE314^2/2)),$B$11))))</f>
        <v/>
      </c>
      <c r="AG314">
        <f>AG313*$B$28+AF314*(1-$B$28)</f>
        <v/>
      </c>
      <c r="AH314">
        <f>IF(AND(AD314&gt;0,AC314&lt;=0),0,AC314)</f>
        <v/>
      </c>
      <c r="AI314">
        <f>AH314/MAX(AG314,0.000001)</f>
        <v/>
      </c>
      <c r="AJ314">
        <f>MIN(IF(AI314&gt;=0.5,-AI314+SQRT(AI314^2+2),1),$B$12)</f>
        <v/>
      </c>
      <c r="AK314">
        <f>IF(AG314&lt;=0,0,AJ314*AH314)</f>
        <v/>
      </c>
      <c r="AL314">
        <f>IF(AD314&lt;=0,0,AD314)</f>
        <v/>
      </c>
      <c r="AM314">
        <f>AL314-AK314+P314</f>
        <v/>
      </c>
      <c r="AN314">
        <f>((AM314/$B$7+T313*AS313/2-T314*MAX(0.1,MIN(0.3,0.3-0.09*(AR313-36.8)))/2)+AR313*(1-AS313/2))/(1-MAX(0.1,MIN(0.3,0.3-0.09*(AR313-36.8)))/2)</f>
        <v/>
      </c>
      <c r="AO314">
        <f>((AM314/$B$7+T313*AS313/2-T314*MAX(0.1,MIN(0.3,0.3-0.09*(AN314-36.8)))/2)+AR313*(1-AS313/2))/(1-MAX(0.1,MIN(0.3,0.3-0.09*(AN314-36.8)))/2)</f>
        <v/>
      </c>
      <c r="AP314">
        <f>((AM314/$B$7+T313*AS313/2-T314*MAX(0.1,MIN(0.3,0.3-0.09*(AO314-36.8)))/2)+AR313*(1-AS313/2))/(1-MAX(0.1,MIN(0.3,0.3-0.09*(AO314-36.8)))/2)</f>
        <v/>
      </c>
      <c r="AQ314">
        <f>((AM314/$B$7+T313*AS313/2-T314*MAX(0.1,MIN(0.3,0.3-0.09*(AP314-36.8)))/2)+AR313*(1-AS313/2))/(1-MAX(0.1,MIN(0.3,0.3-0.09*(AP314-36.8)))/2)</f>
        <v/>
      </c>
      <c r="AR314">
        <f>((AM314/$B$7+T313*AS313/2-T314*MAX(0.1,MIN(0.3,0.3-0.09*(AQ314-36.8)))/2)+AR313*(1-AS313/2))/(1-MAX(0.1,MIN(0.3,0.3-0.09*(AQ314-36.8)))/2)</f>
        <v/>
      </c>
      <c r="AS314">
        <f>MAX(0.1,MIN(0.3,0.3-0.09*(AR314-36.8)))</f>
        <v/>
      </c>
      <c r="AT314">
        <f>AT313+(2*AR314-1.962*AT313-1.31)/9</f>
        <v/>
      </c>
      <c r="AU314">
        <f>AU313+AG314+K314</f>
        <v/>
      </c>
      <c r="AV314">
        <f>AU314*2.67*$B$6/1.8/60</f>
        <v/>
      </c>
      <c r="AW314">
        <f>IF(AT314&gt;=$B$36,1,0)</f>
        <v/>
      </c>
      <c r="AX314">
        <f>IF(AV314&gt;=$B$21,1,0)</f>
        <v/>
      </c>
    </row>
    <row r="315">
      <c r="A315" t="n">
        <v>242</v>
      </c>
      <c r="B315">
        <f>MATCH(A315-1,$D$61:$D$68,1)</f>
        <v/>
      </c>
      <c r="C315">
        <f>INDEX($G$61:$G$68,B315)</f>
        <v/>
      </c>
      <c r="D315">
        <f>INDEX($L$61:$L$68,B315)</f>
        <v/>
      </c>
      <c r="E315">
        <f>INDEX($M$61:$M$68,B315)</f>
        <v/>
      </c>
      <c r="F315">
        <f>INDEX($N$61:$N$68,B315)</f>
        <v/>
      </c>
      <c r="G315">
        <f>INDEX($AA$61:$AA$68,B315)</f>
        <v/>
      </c>
      <c r="H315">
        <f>INDEX($X$61:$X$68,B315)</f>
        <v/>
      </c>
      <c r="I315">
        <f>INDEX($AF$61:$AF$68,B315)</f>
        <v/>
      </c>
      <c r="J315">
        <f>INDEX($AC$61:$AC$68,B315)</f>
        <v/>
      </c>
      <c r="K315">
        <f>INDEX($AD$61:$AD$68,B315)</f>
        <v/>
      </c>
      <c r="L315">
        <f>INDEX($AG$61:$AG$68,B315)</f>
        <v/>
      </c>
      <c r="M315">
        <f>INDEX($AH$61:$AH$68,B315)</f>
        <v/>
      </c>
      <c r="N315">
        <f>INDEX($AI$61:$AI$68,B315)</f>
        <v/>
      </c>
      <c r="O315">
        <f>O314*$B$26+L315*(1-$B$26)</f>
        <v/>
      </c>
      <c r="P315">
        <f>$B$7*(O315-O314)*(1-AS314)</f>
        <v/>
      </c>
      <c r="Q315">
        <f>M315+0.51274*AT314</f>
        <v/>
      </c>
      <c r="R315">
        <f>N315+0.616*AT314</f>
        <v/>
      </c>
      <c r="S315">
        <f>IF($B$13&gt;=0.6,Q315,IF($B$13&lt;=0.2,R315,R315+2.5*(Q315-R315)*($B$13-0.2)))</f>
        <v/>
      </c>
      <c r="T315">
        <f>IF(A315=1,S315,T314*$B$27+S315*(1-$B$27))</f>
        <v/>
      </c>
      <c r="U315">
        <f>0.6105*EXP(17.27*T315/(T315+237.3))</f>
        <v/>
      </c>
      <c r="V315">
        <f>($B$14*(I315*C315+IF(ABS((D315+0.1)-D315)&lt;0.000000001,4*$B$19*$B$20*(D315+273)^3,$B$19*$B$20*(((D315+0.1)+273)^4-(D315+273)^4)/((D315+0.1)-D315))*D315)+T315/H315)/($B$14*(I315+IF(ABS((D315+0.1)-D315)&lt;0.000000001,4*$B$19*$B$20*(D315+273)^3,$B$19*$B$20*(((D315+0.1)+273)^4-(D315+273)^4)/((D315+0.1)-D315)))+1/H315)</f>
        <v/>
      </c>
      <c r="W315">
        <f>($B$14*(I315*C315+IF(ABS(V315-D315)&lt;0.000000001,4*$B$19*$B$20*(D315+273)^3,$B$19*$B$20*((V315+273)^4-(D315+273)^4)/(V315-D315))*D315)+T315/H315)/($B$14*(I315+IF(ABS(V315-D315)&lt;0.000000001,4*$B$19*$B$20*(D315+273)^3,$B$19*$B$20*((V315+273)^4-(D315+273)^4)/(V315-D315)))+1/H315)</f>
        <v/>
      </c>
      <c r="X315">
        <f>($B$14*(I315*C315+IF(ABS(W315-D315)&lt;0.000000001,4*$B$19*$B$20*(D315+273)^3,$B$19*$B$20*((W315+273)^4-(D315+273)^4)/(W315-D315))*D315)+T315/H315)/($B$14*(I315+IF(ABS(W315-D315)&lt;0.000000001,4*$B$19*$B$20*(D315+273)^3,$B$19*$B$20*((W315+273)^4-(D315+273)^4)/(W315-D315)))+1/H315)</f>
        <v/>
      </c>
      <c r="Y315">
        <f>($B$14*(I315*C315+IF(ABS(X315-D315)&lt;0.000000001,4*$B$19*$B$20*(D315+273)^3,$B$19*$B$20*((X315+273)^4-(D315+273)^4)/(X315-D315))*D315)+T315/H315)/($B$14*(I315+IF(ABS(X315-D315)&lt;0.000000001,4*$B$19*$B$20*(D315+273)^3,$B$19*$B$20*((X315+273)^4-(D315+273)^4)/(X315-D315)))+1/H315)</f>
        <v/>
      </c>
      <c r="Z315">
        <f>IF(ABS(Y315-D315)&lt;0.000000001,4*$B$19*$B$20*(D315+273)^3,$B$19*$B$20*((Y315+273)^4-(D315+273)^4)/(Y315-D315))</f>
        <v/>
      </c>
      <c r="AA315">
        <f>$B$14*I315*(Y315-C315)</f>
        <v/>
      </c>
      <c r="AB315">
        <f>$B$14*Z315*(Y315-D315)</f>
        <v/>
      </c>
      <c r="AC315">
        <f>IF((U315-E315)/G315=0,0.001,(U315-E315)/G315)</f>
        <v/>
      </c>
      <c r="AD315">
        <f>F315-P315-J315-K315-AA315-AB315</f>
        <v/>
      </c>
      <c r="AE315">
        <f>AD315/AC315</f>
        <v/>
      </c>
      <c r="AF315">
        <f>IF(AD315&lt;=0,0,IF(AC315&lt;=0,$B$11,IF(AE315&gt;=1.7,$B$11,MIN(AD315/MAX(0.05,IF(AE315&gt;1,(2-AE315)^2/2,1-AE315^2/2)),$B$11))))</f>
        <v/>
      </c>
      <c r="AG315">
        <f>AG314*$B$28+AF315*(1-$B$28)</f>
        <v/>
      </c>
      <c r="AH315">
        <f>IF(AND(AD315&gt;0,AC315&lt;=0),0,AC315)</f>
        <v/>
      </c>
      <c r="AI315">
        <f>AH315/MAX(AG315,0.000001)</f>
        <v/>
      </c>
      <c r="AJ315">
        <f>MIN(IF(AI315&gt;=0.5,-AI315+SQRT(AI315^2+2),1),$B$12)</f>
        <v/>
      </c>
      <c r="AK315">
        <f>IF(AG315&lt;=0,0,AJ315*AH315)</f>
        <v/>
      </c>
      <c r="AL315">
        <f>IF(AD315&lt;=0,0,AD315)</f>
        <v/>
      </c>
      <c r="AM315">
        <f>AL315-AK315+P315</f>
        <v/>
      </c>
      <c r="AN315">
        <f>((AM315/$B$7+T314*AS314/2-T315*MAX(0.1,MIN(0.3,0.3-0.09*(AR314-36.8)))/2)+AR314*(1-AS314/2))/(1-MAX(0.1,MIN(0.3,0.3-0.09*(AR314-36.8)))/2)</f>
        <v/>
      </c>
      <c r="AO315">
        <f>((AM315/$B$7+T314*AS314/2-T315*MAX(0.1,MIN(0.3,0.3-0.09*(AN315-36.8)))/2)+AR314*(1-AS314/2))/(1-MAX(0.1,MIN(0.3,0.3-0.09*(AN315-36.8)))/2)</f>
        <v/>
      </c>
      <c r="AP315">
        <f>((AM315/$B$7+T314*AS314/2-T315*MAX(0.1,MIN(0.3,0.3-0.09*(AO315-36.8)))/2)+AR314*(1-AS314/2))/(1-MAX(0.1,MIN(0.3,0.3-0.09*(AO315-36.8)))/2)</f>
        <v/>
      </c>
      <c r="AQ315">
        <f>((AM315/$B$7+T314*AS314/2-T315*MAX(0.1,MIN(0.3,0.3-0.09*(AP315-36.8)))/2)+AR314*(1-AS314/2))/(1-MAX(0.1,MIN(0.3,0.3-0.09*(AP315-36.8)))/2)</f>
        <v/>
      </c>
      <c r="AR315">
        <f>((AM315/$B$7+T314*AS314/2-T315*MAX(0.1,MIN(0.3,0.3-0.09*(AQ315-36.8)))/2)+AR314*(1-AS314/2))/(1-MAX(0.1,MIN(0.3,0.3-0.09*(AQ315-36.8)))/2)</f>
        <v/>
      </c>
      <c r="AS315">
        <f>MAX(0.1,MIN(0.3,0.3-0.09*(AR315-36.8)))</f>
        <v/>
      </c>
      <c r="AT315">
        <f>AT314+(2*AR315-1.962*AT314-1.31)/9</f>
        <v/>
      </c>
      <c r="AU315">
        <f>AU314+AG315+K315</f>
        <v/>
      </c>
      <c r="AV315">
        <f>AU315*2.67*$B$6/1.8/60</f>
        <v/>
      </c>
      <c r="AW315">
        <f>IF(AT315&gt;=$B$36,1,0)</f>
        <v/>
      </c>
      <c r="AX315">
        <f>IF(AV315&gt;=$B$21,1,0)</f>
        <v/>
      </c>
    </row>
    <row r="316">
      <c r="A316" t="n">
        <v>243</v>
      </c>
      <c r="B316">
        <f>MATCH(A316-1,$D$61:$D$68,1)</f>
        <v/>
      </c>
      <c r="C316">
        <f>INDEX($G$61:$G$68,B316)</f>
        <v/>
      </c>
      <c r="D316">
        <f>INDEX($L$61:$L$68,B316)</f>
        <v/>
      </c>
      <c r="E316">
        <f>INDEX($M$61:$M$68,B316)</f>
        <v/>
      </c>
      <c r="F316">
        <f>INDEX($N$61:$N$68,B316)</f>
        <v/>
      </c>
      <c r="G316">
        <f>INDEX($AA$61:$AA$68,B316)</f>
        <v/>
      </c>
      <c r="H316">
        <f>INDEX($X$61:$X$68,B316)</f>
        <v/>
      </c>
      <c r="I316">
        <f>INDEX($AF$61:$AF$68,B316)</f>
        <v/>
      </c>
      <c r="J316">
        <f>INDEX($AC$61:$AC$68,B316)</f>
        <v/>
      </c>
      <c r="K316">
        <f>INDEX($AD$61:$AD$68,B316)</f>
        <v/>
      </c>
      <c r="L316">
        <f>INDEX($AG$61:$AG$68,B316)</f>
        <v/>
      </c>
      <c r="M316">
        <f>INDEX($AH$61:$AH$68,B316)</f>
        <v/>
      </c>
      <c r="N316">
        <f>INDEX($AI$61:$AI$68,B316)</f>
        <v/>
      </c>
      <c r="O316">
        <f>O315*$B$26+L316*(1-$B$26)</f>
        <v/>
      </c>
      <c r="P316">
        <f>$B$7*(O316-O315)*(1-AS315)</f>
        <v/>
      </c>
      <c r="Q316">
        <f>M316+0.51274*AT315</f>
        <v/>
      </c>
      <c r="R316">
        <f>N316+0.616*AT315</f>
        <v/>
      </c>
      <c r="S316">
        <f>IF($B$13&gt;=0.6,Q316,IF($B$13&lt;=0.2,R316,R316+2.5*(Q316-R316)*($B$13-0.2)))</f>
        <v/>
      </c>
      <c r="T316">
        <f>IF(A316=1,S316,T315*$B$27+S316*(1-$B$27))</f>
        <v/>
      </c>
      <c r="U316">
        <f>0.6105*EXP(17.27*T316/(T316+237.3))</f>
        <v/>
      </c>
      <c r="V316">
        <f>($B$14*(I316*C316+IF(ABS((D316+0.1)-D316)&lt;0.000000001,4*$B$19*$B$20*(D316+273)^3,$B$19*$B$20*(((D316+0.1)+273)^4-(D316+273)^4)/((D316+0.1)-D316))*D316)+T316/H316)/($B$14*(I316+IF(ABS((D316+0.1)-D316)&lt;0.000000001,4*$B$19*$B$20*(D316+273)^3,$B$19*$B$20*(((D316+0.1)+273)^4-(D316+273)^4)/((D316+0.1)-D316)))+1/H316)</f>
        <v/>
      </c>
      <c r="W316">
        <f>($B$14*(I316*C316+IF(ABS(V316-D316)&lt;0.000000001,4*$B$19*$B$20*(D316+273)^3,$B$19*$B$20*((V316+273)^4-(D316+273)^4)/(V316-D316))*D316)+T316/H316)/($B$14*(I316+IF(ABS(V316-D316)&lt;0.000000001,4*$B$19*$B$20*(D316+273)^3,$B$19*$B$20*((V316+273)^4-(D316+273)^4)/(V316-D316)))+1/H316)</f>
        <v/>
      </c>
      <c r="X316">
        <f>($B$14*(I316*C316+IF(ABS(W316-D316)&lt;0.000000001,4*$B$19*$B$20*(D316+273)^3,$B$19*$B$20*((W316+273)^4-(D316+273)^4)/(W316-D316))*D316)+T316/H316)/($B$14*(I316+IF(ABS(W316-D316)&lt;0.000000001,4*$B$19*$B$20*(D316+273)^3,$B$19*$B$20*((W316+273)^4-(D316+273)^4)/(W316-D316)))+1/H316)</f>
        <v/>
      </c>
      <c r="Y316">
        <f>($B$14*(I316*C316+IF(ABS(X316-D316)&lt;0.000000001,4*$B$19*$B$20*(D316+273)^3,$B$19*$B$20*((X316+273)^4-(D316+273)^4)/(X316-D316))*D316)+T316/H316)/($B$14*(I316+IF(ABS(X316-D316)&lt;0.000000001,4*$B$19*$B$20*(D316+273)^3,$B$19*$B$20*((X316+273)^4-(D316+273)^4)/(X316-D316)))+1/H316)</f>
        <v/>
      </c>
      <c r="Z316">
        <f>IF(ABS(Y316-D316)&lt;0.000000001,4*$B$19*$B$20*(D316+273)^3,$B$19*$B$20*((Y316+273)^4-(D316+273)^4)/(Y316-D316))</f>
        <v/>
      </c>
      <c r="AA316">
        <f>$B$14*I316*(Y316-C316)</f>
        <v/>
      </c>
      <c r="AB316">
        <f>$B$14*Z316*(Y316-D316)</f>
        <v/>
      </c>
      <c r="AC316">
        <f>IF((U316-E316)/G316=0,0.001,(U316-E316)/G316)</f>
        <v/>
      </c>
      <c r="AD316">
        <f>F316-P316-J316-K316-AA316-AB316</f>
        <v/>
      </c>
      <c r="AE316">
        <f>AD316/AC316</f>
        <v/>
      </c>
      <c r="AF316">
        <f>IF(AD316&lt;=0,0,IF(AC316&lt;=0,$B$11,IF(AE316&gt;=1.7,$B$11,MIN(AD316/MAX(0.05,IF(AE316&gt;1,(2-AE316)^2/2,1-AE316^2/2)),$B$11))))</f>
        <v/>
      </c>
      <c r="AG316">
        <f>AG315*$B$28+AF316*(1-$B$28)</f>
        <v/>
      </c>
      <c r="AH316">
        <f>IF(AND(AD316&gt;0,AC316&lt;=0),0,AC316)</f>
        <v/>
      </c>
      <c r="AI316">
        <f>AH316/MAX(AG316,0.000001)</f>
        <v/>
      </c>
      <c r="AJ316">
        <f>MIN(IF(AI316&gt;=0.5,-AI316+SQRT(AI316^2+2),1),$B$12)</f>
        <v/>
      </c>
      <c r="AK316">
        <f>IF(AG316&lt;=0,0,AJ316*AH316)</f>
        <v/>
      </c>
      <c r="AL316">
        <f>IF(AD316&lt;=0,0,AD316)</f>
        <v/>
      </c>
      <c r="AM316">
        <f>AL316-AK316+P316</f>
        <v/>
      </c>
      <c r="AN316">
        <f>((AM316/$B$7+T315*AS315/2-T316*MAX(0.1,MIN(0.3,0.3-0.09*(AR315-36.8)))/2)+AR315*(1-AS315/2))/(1-MAX(0.1,MIN(0.3,0.3-0.09*(AR315-36.8)))/2)</f>
        <v/>
      </c>
      <c r="AO316">
        <f>((AM316/$B$7+T315*AS315/2-T316*MAX(0.1,MIN(0.3,0.3-0.09*(AN316-36.8)))/2)+AR315*(1-AS315/2))/(1-MAX(0.1,MIN(0.3,0.3-0.09*(AN316-36.8)))/2)</f>
        <v/>
      </c>
      <c r="AP316">
        <f>((AM316/$B$7+T315*AS315/2-T316*MAX(0.1,MIN(0.3,0.3-0.09*(AO316-36.8)))/2)+AR315*(1-AS315/2))/(1-MAX(0.1,MIN(0.3,0.3-0.09*(AO316-36.8)))/2)</f>
        <v/>
      </c>
      <c r="AQ316">
        <f>((AM316/$B$7+T315*AS315/2-T316*MAX(0.1,MIN(0.3,0.3-0.09*(AP316-36.8)))/2)+AR315*(1-AS315/2))/(1-MAX(0.1,MIN(0.3,0.3-0.09*(AP316-36.8)))/2)</f>
        <v/>
      </c>
      <c r="AR316">
        <f>((AM316/$B$7+T315*AS315/2-T316*MAX(0.1,MIN(0.3,0.3-0.09*(AQ316-36.8)))/2)+AR315*(1-AS315/2))/(1-MAX(0.1,MIN(0.3,0.3-0.09*(AQ316-36.8)))/2)</f>
        <v/>
      </c>
      <c r="AS316">
        <f>MAX(0.1,MIN(0.3,0.3-0.09*(AR316-36.8)))</f>
        <v/>
      </c>
      <c r="AT316">
        <f>AT315+(2*AR316-1.962*AT315-1.31)/9</f>
        <v/>
      </c>
      <c r="AU316">
        <f>AU315+AG316+K316</f>
        <v/>
      </c>
      <c r="AV316">
        <f>AU316*2.67*$B$6/1.8/60</f>
        <v/>
      </c>
      <c r="AW316">
        <f>IF(AT316&gt;=$B$36,1,0)</f>
        <v/>
      </c>
      <c r="AX316">
        <f>IF(AV316&gt;=$B$21,1,0)</f>
        <v/>
      </c>
    </row>
    <row r="317">
      <c r="A317" t="n">
        <v>244</v>
      </c>
      <c r="B317">
        <f>MATCH(A317-1,$D$61:$D$68,1)</f>
        <v/>
      </c>
      <c r="C317">
        <f>INDEX($G$61:$G$68,B317)</f>
        <v/>
      </c>
      <c r="D317">
        <f>INDEX($L$61:$L$68,B317)</f>
        <v/>
      </c>
      <c r="E317">
        <f>INDEX($M$61:$M$68,B317)</f>
        <v/>
      </c>
      <c r="F317">
        <f>INDEX($N$61:$N$68,B317)</f>
        <v/>
      </c>
      <c r="G317">
        <f>INDEX($AA$61:$AA$68,B317)</f>
        <v/>
      </c>
      <c r="H317">
        <f>INDEX($X$61:$X$68,B317)</f>
        <v/>
      </c>
      <c r="I317">
        <f>INDEX($AF$61:$AF$68,B317)</f>
        <v/>
      </c>
      <c r="J317">
        <f>INDEX($AC$61:$AC$68,B317)</f>
        <v/>
      </c>
      <c r="K317">
        <f>INDEX($AD$61:$AD$68,B317)</f>
        <v/>
      </c>
      <c r="L317">
        <f>INDEX($AG$61:$AG$68,B317)</f>
        <v/>
      </c>
      <c r="M317">
        <f>INDEX($AH$61:$AH$68,B317)</f>
        <v/>
      </c>
      <c r="N317">
        <f>INDEX($AI$61:$AI$68,B317)</f>
        <v/>
      </c>
      <c r="O317">
        <f>O316*$B$26+L317*(1-$B$26)</f>
        <v/>
      </c>
      <c r="P317">
        <f>$B$7*(O317-O316)*(1-AS316)</f>
        <v/>
      </c>
      <c r="Q317">
        <f>M317+0.51274*AT316</f>
        <v/>
      </c>
      <c r="R317">
        <f>N317+0.616*AT316</f>
        <v/>
      </c>
      <c r="S317">
        <f>IF($B$13&gt;=0.6,Q317,IF($B$13&lt;=0.2,R317,R317+2.5*(Q317-R317)*($B$13-0.2)))</f>
        <v/>
      </c>
      <c r="T317">
        <f>IF(A317=1,S317,T316*$B$27+S317*(1-$B$27))</f>
        <v/>
      </c>
      <c r="U317">
        <f>0.6105*EXP(17.27*T317/(T317+237.3))</f>
        <v/>
      </c>
      <c r="V317">
        <f>($B$14*(I317*C317+IF(ABS((D317+0.1)-D317)&lt;0.000000001,4*$B$19*$B$20*(D317+273)^3,$B$19*$B$20*(((D317+0.1)+273)^4-(D317+273)^4)/((D317+0.1)-D317))*D317)+T317/H317)/($B$14*(I317+IF(ABS((D317+0.1)-D317)&lt;0.000000001,4*$B$19*$B$20*(D317+273)^3,$B$19*$B$20*(((D317+0.1)+273)^4-(D317+273)^4)/((D317+0.1)-D317)))+1/H317)</f>
        <v/>
      </c>
      <c r="W317">
        <f>($B$14*(I317*C317+IF(ABS(V317-D317)&lt;0.000000001,4*$B$19*$B$20*(D317+273)^3,$B$19*$B$20*((V317+273)^4-(D317+273)^4)/(V317-D317))*D317)+T317/H317)/($B$14*(I317+IF(ABS(V317-D317)&lt;0.000000001,4*$B$19*$B$20*(D317+273)^3,$B$19*$B$20*((V317+273)^4-(D317+273)^4)/(V317-D317)))+1/H317)</f>
        <v/>
      </c>
      <c r="X317">
        <f>($B$14*(I317*C317+IF(ABS(W317-D317)&lt;0.000000001,4*$B$19*$B$20*(D317+273)^3,$B$19*$B$20*((W317+273)^4-(D317+273)^4)/(W317-D317))*D317)+T317/H317)/($B$14*(I317+IF(ABS(W317-D317)&lt;0.000000001,4*$B$19*$B$20*(D317+273)^3,$B$19*$B$20*((W317+273)^4-(D317+273)^4)/(W317-D317)))+1/H317)</f>
        <v/>
      </c>
      <c r="Y317">
        <f>($B$14*(I317*C317+IF(ABS(X317-D317)&lt;0.000000001,4*$B$19*$B$20*(D317+273)^3,$B$19*$B$20*((X317+273)^4-(D317+273)^4)/(X317-D317))*D317)+T317/H317)/($B$14*(I317+IF(ABS(X317-D317)&lt;0.000000001,4*$B$19*$B$20*(D317+273)^3,$B$19*$B$20*((X317+273)^4-(D317+273)^4)/(X317-D317)))+1/H317)</f>
        <v/>
      </c>
      <c r="Z317">
        <f>IF(ABS(Y317-D317)&lt;0.000000001,4*$B$19*$B$20*(D317+273)^3,$B$19*$B$20*((Y317+273)^4-(D317+273)^4)/(Y317-D317))</f>
        <v/>
      </c>
      <c r="AA317">
        <f>$B$14*I317*(Y317-C317)</f>
        <v/>
      </c>
      <c r="AB317">
        <f>$B$14*Z317*(Y317-D317)</f>
        <v/>
      </c>
      <c r="AC317">
        <f>IF((U317-E317)/G317=0,0.001,(U317-E317)/G317)</f>
        <v/>
      </c>
      <c r="AD317">
        <f>F317-P317-J317-K317-AA317-AB317</f>
        <v/>
      </c>
      <c r="AE317">
        <f>AD317/AC317</f>
        <v/>
      </c>
      <c r="AF317">
        <f>IF(AD317&lt;=0,0,IF(AC317&lt;=0,$B$11,IF(AE317&gt;=1.7,$B$11,MIN(AD317/MAX(0.05,IF(AE317&gt;1,(2-AE317)^2/2,1-AE317^2/2)),$B$11))))</f>
        <v/>
      </c>
      <c r="AG317">
        <f>AG316*$B$28+AF317*(1-$B$28)</f>
        <v/>
      </c>
      <c r="AH317">
        <f>IF(AND(AD317&gt;0,AC317&lt;=0),0,AC317)</f>
        <v/>
      </c>
      <c r="AI317">
        <f>AH317/MAX(AG317,0.000001)</f>
        <v/>
      </c>
      <c r="AJ317">
        <f>MIN(IF(AI317&gt;=0.5,-AI317+SQRT(AI317^2+2),1),$B$12)</f>
        <v/>
      </c>
      <c r="AK317">
        <f>IF(AG317&lt;=0,0,AJ317*AH317)</f>
        <v/>
      </c>
      <c r="AL317">
        <f>IF(AD317&lt;=0,0,AD317)</f>
        <v/>
      </c>
      <c r="AM317">
        <f>AL317-AK317+P317</f>
        <v/>
      </c>
      <c r="AN317">
        <f>((AM317/$B$7+T316*AS316/2-T317*MAX(0.1,MIN(0.3,0.3-0.09*(AR316-36.8)))/2)+AR316*(1-AS316/2))/(1-MAX(0.1,MIN(0.3,0.3-0.09*(AR316-36.8)))/2)</f>
        <v/>
      </c>
      <c r="AO317">
        <f>((AM317/$B$7+T316*AS316/2-T317*MAX(0.1,MIN(0.3,0.3-0.09*(AN317-36.8)))/2)+AR316*(1-AS316/2))/(1-MAX(0.1,MIN(0.3,0.3-0.09*(AN317-36.8)))/2)</f>
        <v/>
      </c>
      <c r="AP317">
        <f>((AM317/$B$7+T316*AS316/2-T317*MAX(0.1,MIN(0.3,0.3-0.09*(AO317-36.8)))/2)+AR316*(1-AS316/2))/(1-MAX(0.1,MIN(0.3,0.3-0.09*(AO317-36.8)))/2)</f>
        <v/>
      </c>
      <c r="AQ317">
        <f>((AM317/$B$7+T316*AS316/2-T317*MAX(0.1,MIN(0.3,0.3-0.09*(AP317-36.8)))/2)+AR316*(1-AS316/2))/(1-MAX(0.1,MIN(0.3,0.3-0.09*(AP317-36.8)))/2)</f>
        <v/>
      </c>
      <c r="AR317">
        <f>((AM317/$B$7+T316*AS316/2-T317*MAX(0.1,MIN(0.3,0.3-0.09*(AQ317-36.8)))/2)+AR316*(1-AS316/2))/(1-MAX(0.1,MIN(0.3,0.3-0.09*(AQ317-36.8)))/2)</f>
        <v/>
      </c>
      <c r="AS317">
        <f>MAX(0.1,MIN(0.3,0.3-0.09*(AR317-36.8)))</f>
        <v/>
      </c>
      <c r="AT317">
        <f>AT316+(2*AR317-1.962*AT316-1.31)/9</f>
        <v/>
      </c>
      <c r="AU317">
        <f>AU316+AG317+K317</f>
        <v/>
      </c>
      <c r="AV317">
        <f>AU317*2.67*$B$6/1.8/60</f>
        <v/>
      </c>
      <c r="AW317">
        <f>IF(AT317&gt;=$B$36,1,0)</f>
        <v/>
      </c>
      <c r="AX317">
        <f>IF(AV317&gt;=$B$21,1,0)</f>
        <v/>
      </c>
    </row>
    <row r="318">
      <c r="A318" t="n">
        <v>245</v>
      </c>
      <c r="B318">
        <f>MATCH(A318-1,$D$61:$D$68,1)</f>
        <v/>
      </c>
      <c r="C318">
        <f>INDEX($G$61:$G$68,B318)</f>
        <v/>
      </c>
      <c r="D318">
        <f>INDEX($L$61:$L$68,B318)</f>
        <v/>
      </c>
      <c r="E318">
        <f>INDEX($M$61:$M$68,B318)</f>
        <v/>
      </c>
      <c r="F318">
        <f>INDEX($N$61:$N$68,B318)</f>
        <v/>
      </c>
      <c r="G318">
        <f>INDEX($AA$61:$AA$68,B318)</f>
        <v/>
      </c>
      <c r="H318">
        <f>INDEX($X$61:$X$68,B318)</f>
        <v/>
      </c>
      <c r="I318">
        <f>INDEX($AF$61:$AF$68,B318)</f>
        <v/>
      </c>
      <c r="J318">
        <f>INDEX($AC$61:$AC$68,B318)</f>
        <v/>
      </c>
      <c r="K318">
        <f>INDEX($AD$61:$AD$68,B318)</f>
        <v/>
      </c>
      <c r="L318">
        <f>INDEX($AG$61:$AG$68,B318)</f>
        <v/>
      </c>
      <c r="M318">
        <f>INDEX($AH$61:$AH$68,B318)</f>
        <v/>
      </c>
      <c r="N318">
        <f>INDEX($AI$61:$AI$68,B318)</f>
        <v/>
      </c>
      <c r="O318">
        <f>O317*$B$26+L318*(1-$B$26)</f>
        <v/>
      </c>
      <c r="P318">
        <f>$B$7*(O318-O317)*(1-AS317)</f>
        <v/>
      </c>
      <c r="Q318">
        <f>M318+0.51274*AT317</f>
        <v/>
      </c>
      <c r="R318">
        <f>N318+0.616*AT317</f>
        <v/>
      </c>
      <c r="S318">
        <f>IF($B$13&gt;=0.6,Q318,IF($B$13&lt;=0.2,R318,R318+2.5*(Q318-R318)*($B$13-0.2)))</f>
        <v/>
      </c>
      <c r="T318">
        <f>IF(A318=1,S318,T317*$B$27+S318*(1-$B$27))</f>
        <v/>
      </c>
      <c r="U318">
        <f>0.6105*EXP(17.27*T318/(T318+237.3))</f>
        <v/>
      </c>
      <c r="V318">
        <f>($B$14*(I318*C318+IF(ABS((D318+0.1)-D318)&lt;0.000000001,4*$B$19*$B$20*(D318+273)^3,$B$19*$B$20*(((D318+0.1)+273)^4-(D318+273)^4)/((D318+0.1)-D318))*D318)+T318/H318)/($B$14*(I318+IF(ABS((D318+0.1)-D318)&lt;0.000000001,4*$B$19*$B$20*(D318+273)^3,$B$19*$B$20*(((D318+0.1)+273)^4-(D318+273)^4)/((D318+0.1)-D318)))+1/H318)</f>
        <v/>
      </c>
      <c r="W318">
        <f>($B$14*(I318*C318+IF(ABS(V318-D318)&lt;0.000000001,4*$B$19*$B$20*(D318+273)^3,$B$19*$B$20*((V318+273)^4-(D318+273)^4)/(V318-D318))*D318)+T318/H318)/($B$14*(I318+IF(ABS(V318-D318)&lt;0.000000001,4*$B$19*$B$20*(D318+273)^3,$B$19*$B$20*((V318+273)^4-(D318+273)^4)/(V318-D318)))+1/H318)</f>
        <v/>
      </c>
      <c r="X318">
        <f>($B$14*(I318*C318+IF(ABS(W318-D318)&lt;0.000000001,4*$B$19*$B$20*(D318+273)^3,$B$19*$B$20*((W318+273)^4-(D318+273)^4)/(W318-D318))*D318)+T318/H318)/($B$14*(I318+IF(ABS(W318-D318)&lt;0.000000001,4*$B$19*$B$20*(D318+273)^3,$B$19*$B$20*((W318+273)^4-(D318+273)^4)/(W318-D318)))+1/H318)</f>
        <v/>
      </c>
      <c r="Y318">
        <f>($B$14*(I318*C318+IF(ABS(X318-D318)&lt;0.000000001,4*$B$19*$B$20*(D318+273)^3,$B$19*$B$20*((X318+273)^4-(D318+273)^4)/(X318-D318))*D318)+T318/H318)/($B$14*(I318+IF(ABS(X318-D318)&lt;0.000000001,4*$B$19*$B$20*(D318+273)^3,$B$19*$B$20*((X318+273)^4-(D318+273)^4)/(X318-D318)))+1/H318)</f>
        <v/>
      </c>
      <c r="Z318">
        <f>IF(ABS(Y318-D318)&lt;0.000000001,4*$B$19*$B$20*(D318+273)^3,$B$19*$B$20*((Y318+273)^4-(D318+273)^4)/(Y318-D318))</f>
        <v/>
      </c>
      <c r="AA318">
        <f>$B$14*I318*(Y318-C318)</f>
        <v/>
      </c>
      <c r="AB318">
        <f>$B$14*Z318*(Y318-D318)</f>
        <v/>
      </c>
      <c r="AC318">
        <f>IF((U318-E318)/G318=0,0.001,(U318-E318)/G318)</f>
        <v/>
      </c>
      <c r="AD318">
        <f>F318-P318-J318-K318-AA318-AB318</f>
        <v/>
      </c>
      <c r="AE318">
        <f>AD318/AC318</f>
        <v/>
      </c>
      <c r="AF318">
        <f>IF(AD318&lt;=0,0,IF(AC318&lt;=0,$B$11,IF(AE318&gt;=1.7,$B$11,MIN(AD318/MAX(0.05,IF(AE318&gt;1,(2-AE318)^2/2,1-AE318^2/2)),$B$11))))</f>
        <v/>
      </c>
      <c r="AG318">
        <f>AG317*$B$28+AF318*(1-$B$28)</f>
        <v/>
      </c>
      <c r="AH318">
        <f>IF(AND(AD318&gt;0,AC318&lt;=0),0,AC318)</f>
        <v/>
      </c>
      <c r="AI318">
        <f>AH318/MAX(AG318,0.000001)</f>
        <v/>
      </c>
      <c r="AJ318">
        <f>MIN(IF(AI318&gt;=0.5,-AI318+SQRT(AI318^2+2),1),$B$12)</f>
        <v/>
      </c>
      <c r="AK318">
        <f>IF(AG318&lt;=0,0,AJ318*AH318)</f>
        <v/>
      </c>
      <c r="AL318">
        <f>IF(AD318&lt;=0,0,AD318)</f>
        <v/>
      </c>
      <c r="AM318">
        <f>AL318-AK318+P318</f>
        <v/>
      </c>
      <c r="AN318">
        <f>((AM318/$B$7+T317*AS317/2-T318*MAX(0.1,MIN(0.3,0.3-0.09*(AR317-36.8)))/2)+AR317*(1-AS317/2))/(1-MAX(0.1,MIN(0.3,0.3-0.09*(AR317-36.8)))/2)</f>
        <v/>
      </c>
      <c r="AO318">
        <f>((AM318/$B$7+T317*AS317/2-T318*MAX(0.1,MIN(0.3,0.3-0.09*(AN318-36.8)))/2)+AR317*(1-AS317/2))/(1-MAX(0.1,MIN(0.3,0.3-0.09*(AN318-36.8)))/2)</f>
        <v/>
      </c>
      <c r="AP318">
        <f>((AM318/$B$7+T317*AS317/2-T318*MAX(0.1,MIN(0.3,0.3-0.09*(AO318-36.8)))/2)+AR317*(1-AS317/2))/(1-MAX(0.1,MIN(0.3,0.3-0.09*(AO318-36.8)))/2)</f>
        <v/>
      </c>
      <c r="AQ318">
        <f>((AM318/$B$7+T317*AS317/2-T318*MAX(0.1,MIN(0.3,0.3-0.09*(AP318-36.8)))/2)+AR317*(1-AS317/2))/(1-MAX(0.1,MIN(0.3,0.3-0.09*(AP318-36.8)))/2)</f>
        <v/>
      </c>
      <c r="AR318">
        <f>((AM318/$B$7+T317*AS317/2-T318*MAX(0.1,MIN(0.3,0.3-0.09*(AQ318-36.8)))/2)+AR317*(1-AS317/2))/(1-MAX(0.1,MIN(0.3,0.3-0.09*(AQ318-36.8)))/2)</f>
        <v/>
      </c>
      <c r="AS318">
        <f>MAX(0.1,MIN(0.3,0.3-0.09*(AR318-36.8)))</f>
        <v/>
      </c>
      <c r="AT318">
        <f>AT317+(2*AR318-1.962*AT317-1.31)/9</f>
        <v/>
      </c>
      <c r="AU318">
        <f>AU317+AG318+K318</f>
        <v/>
      </c>
      <c r="AV318">
        <f>AU318*2.67*$B$6/1.8/60</f>
        <v/>
      </c>
      <c r="AW318">
        <f>IF(AT318&gt;=$B$36,1,0)</f>
        <v/>
      </c>
      <c r="AX318">
        <f>IF(AV318&gt;=$B$21,1,0)</f>
        <v/>
      </c>
    </row>
    <row r="319">
      <c r="A319" t="n">
        <v>246</v>
      </c>
      <c r="B319">
        <f>MATCH(A319-1,$D$61:$D$68,1)</f>
        <v/>
      </c>
      <c r="C319">
        <f>INDEX($G$61:$G$68,B319)</f>
        <v/>
      </c>
      <c r="D319">
        <f>INDEX($L$61:$L$68,B319)</f>
        <v/>
      </c>
      <c r="E319">
        <f>INDEX($M$61:$M$68,B319)</f>
        <v/>
      </c>
      <c r="F319">
        <f>INDEX($N$61:$N$68,B319)</f>
        <v/>
      </c>
      <c r="G319">
        <f>INDEX($AA$61:$AA$68,B319)</f>
        <v/>
      </c>
      <c r="H319">
        <f>INDEX($X$61:$X$68,B319)</f>
        <v/>
      </c>
      <c r="I319">
        <f>INDEX($AF$61:$AF$68,B319)</f>
        <v/>
      </c>
      <c r="J319">
        <f>INDEX($AC$61:$AC$68,B319)</f>
        <v/>
      </c>
      <c r="K319">
        <f>INDEX($AD$61:$AD$68,B319)</f>
        <v/>
      </c>
      <c r="L319">
        <f>INDEX($AG$61:$AG$68,B319)</f>
        <v/>
      </c>
      <c r="M319">
        <f>INDEX($AH$61:$AH$68,B319)</f>
        <v/>
      </c>
      <c r="N319">
        <f>INDEX($AI$61:$AI$68,B319)</f>
        <v/>
      </c>
      <c r="O319">
        <f>O318*$B$26+L319*(1-$B$26)</f>
        <v/>
      </c>
      <c r="P319">
        <f>$B$7*(O319-O318)*(1-AS318)</f>
        <v/>
      </c>
      <c r="Q319">
        <f>M319+0.51274*AT318</f>
        <v/>
      </c>
      <c r="R319">
        <f>N319+0.616*AT318</f>
        <v/>
      </c>
      <c r="S319">
        <f>IF($B$13&gt;=0.6,Q319,IF($B$13&lt;=0.2,R319,R319+2.5*(Q319-R319)*($B$13-0.2)))</f>
        <v/>
      </c>
      <c r="T319">
        <f>IF(A319=1,S319,T318*$B$27+S319*(1-$B$27))</f>
        <v/>
      </c>
      <c r="U319">
        <f>0.6105*EXP(17.27*T319/(T319+237.3))</f>
        <v/>
      </c>
      <c r="V319">
        <f>($B$14*(I319*C319+IF(ABS((D319+0.1)-D319)&lt;0.000000001,4*$B$19*$B$20*(D319+273)^3,$B$19*$B$20*(((D319+0.1)+273)^4-(D319+273)^4)/((D319+0.1)-D319))*D319)+T319/H319)/($B$14*(I319+IF(ABS((D319+0.1)-D319)&lt;0.000000001,4*$B$19*$B$20*(D319+273)^3,$B$19*$B$20*(((D319+0.1)+273)^4-(D319+273)^4)/((D319+0.1)-D319)))+1/H319)</f>
        <v/>
      </c>
      <c r="W319">
        <f>($B$14*(I319*C319+IF(ABS(V319-D319)&lt;0.000000001,4*$B$19*$B$20*(D319+273)^3,$B$19*$B$20*((V319+273)^4-(D319+273)^4)/(V319-D319))*D319)+T319/H319)/($B$14*(I319+IF(ABS(V319-D319)&lt;0.000000001,4*$B$19*$B$20*(D319+273)^3,$B$19*$B$20*((V319+273)^4-(D319+273)^4)/(V319-D319)))+1/H319)</f>
        <v/>
      </c>
      <c r="X319">
        <f>($B$14*(I319*C319+IF(ABS(W319-D319)&lt;0.000000001,4*$B$19*$B$20*(D319+273)^3,$B$19*$B$20*((W319+273)^4-(D319+273)^4)/(W319-D319))*D319)+T319/H319)/($B$14*(I319+IF(ABS(W319-D319)&lt;0.000000001,4*$B$19*$B$20*(D319+273)^3,$B$19*$B$20*((W319+273)^4-(D319+273)^4)/(W319-D319)))+1/H319)</f>
        <v/>
      </c>
      <c r="Y319">
        <f>($B$14*(I319*C319+IF(ABS(X319-D319)&lt;0.000000001,4*$B$19*$B$20*(D319+273)^3,$B$19*$B$20*((X319+273)^4-(D319+273)^4)/(X319-D319))*D319)+T319/H319)/($B$14*(I319+IF(ABS(X319-D319)&lt;0.000000001,4*$B$19*$B$20*(D319+273)^3,$B$19*$B$20*((X319+273)^4-(D319+273)^4)/(X319-D319)))+1/H319)</f>
        <v/>
      </c>
      <c r="Z319">
        <f>IF(ABS(Y319-D319)&lt;0.000000001,4*$B$19*$B$20*(D319+273)^3,$B$19*$B$20*((Y319+273)^4-(D319+273)^4)/(Y319-D319))</f>
        <v/>
      </c>
      <c r="AA319">
        <f>$B$14*I319*(Y319-C319)</f>
        <v/>
      </c>
      <c r="AB319">
        <f>$B$14*Z319*(Y319-D319)</f>
        <v/>
      </c>
      <c r="AC319">
        <f>IF((U319-E319)/G319=0,0.001,(U319-E319)/G319)</f>
        <v/>
      </c>
      <c r="AD319">
        <f>F319-P319-J319-K319-AA319-AB319</f>
        <v/>
      </c>
      <c r="AE319">
        <f>AD319/AC319</f>
        <v/>
      </c>
      <c r="AF319">
        <f>IF(AD319&lt;=0,0,IF(AC319&lt;=0,$B$11,IF(AE319&gt;=1.7,$B$11,MIN(AD319/MAX(0.05,IF(AE319&gt;1,(2-AE319)^2/2,1-AE319^2/2)),$B$11))))</f>
        <v/>
      </c>
      <c r="AG319">
        <f>AG318*$B$28+AF319*(1-$B$28)</f>
        <v/>
      </c>
      <c r="AH319">
        <f>IF(AND(AD319&gt;0,AC319&lt;=0),0,AC319)</f>
        <v/>
      </c>
      <c r="AI319">
        <f>AH319/MAX(AG319,0.000001)</f>
        <v/>
      </c>
      <c r="AJ319">
        <f>MIN(IF(AI319&gt;=0.5,-AI319+SQRT(AI319^2+2),1),$B$12)</f>
        <v/>
      </c>
      <c r="AK319">
        <f>IF(AG319&lt;=0,0,AJ319*AH319)</f>
        <v/>
      </c>
      <c r="AL319">
        <f>IF(AD319&lt;=0,0,AD319)</f>
        <v/>
      </c>
      <c r="AM319">
        <f>AL319-AK319+P319</f>
        <v/>
      </c>
      <c r="AN319">
        <f>((AM319/$B$7+T318*AS318/2-T319*MAX(0.1,MIN(0.3,0.3-0.09*(AR318-36.8)))/2)+AR318*(1-AS318/2))/(1-MAX(0.1,MIN(0.3,0.3-0.09*(AR318-36.8)))/2)</f>
        <v/>
      </c>
      <c r="AO319">
        <f>((AM319/$B$7+T318*AS318/2-T319*MAX(0.1,MIN(0.3,0.3-0.09*(AN319-36.8)))/2)+AR318*(1-AS318/2))/(1-MAX(0.1,MIN(0.3,0.3-0.09*(AN319-36.8)))/2)</f>
        <v/>
      </c>
      <c r="AP319">
        <f>((AM319/$B$7+T318*AS318/2-T319*MAX(0.1,MIN(0.3,0.3-0.09*(AO319-36.8)))/2)+AR318*(1-AS318/2))/(1-MAX(0.1,MIN(0.3,0.3-0.09*(AO319-36.8)))/2)</f>
        <v/>
      </c>
      <c r="AQ319">
        <f>((AM319/$B$7+T318*AS318/2-T319*MAX(0.1,MIN(0.3,0.3-0.09*(AP319-36.8)))/2)+AR318*(1-AS318/2))/(1-MAX(0.1,MIN(0.3,0.3-0.09*(AP319-36.8)))/2)</f>
        <v/>
      </c>
      <c r="AR319">
        <f>((AM319/$B$7+T318*AS318/2-T319*MAX(0.1,MIN(0.3,0.3-0.09*(AQ319-36.8)))/2)+AR318*(1-AS318/2))/(1-MAX(0.1,MIN(0.3,0.3-0.09*(AQ319-36.8)))/2)</f>
        <v/>
      </c>
      <c r="AS319">
        <f>MAX(0.1,MIN(0.3,0.3-0.09*(AR319-36.8)))</f>
        <v/>
      </c>
      <c r="AT319">
        <f>AT318+(2*AR319-1.962*AT318-1.31)/9</f>
        <v/>
      </c>
      <c r="AU319">
        <f>AU318+AG319+K319</f>
        <v/>
      </c>
      <c r="AV319">
        <f>AU319*2.67*$B$6/1.8/60</f>
        <v/>
      </c>
      <c r="AW319">
        <f>IF(AT319&gt;=$B$36,1,0)</f>
        <v/>
      </c>
      <c r="AX319">
        <f>IF(AV319&gt;=$B$21,1,0)</f>
        <v/>
      </c>
    </row>
    <row r="320">
      <c r="A320" t="n">
        <v>247</v>
      </c>
      <c r="B320">
        <f>MATCH(A320-1,$D$61:$D$68,1)</f>
        <v/>
      </c>
      <c r="C320">
        <f>INDEX($G$61:$G$68,B320)</f>
        <v/>
      </c>
      <c r="D320">
        <f>INDEX($L$61:$L$68,B320)</f>
        <v/>
      </c>
      <c r="E320">
        <f>INDEX($M$61:$M$68,B320)</f>
        <v/>
      </c>
      <c r="F320">
        <f>INDEX($N$61:$N$68,B320)</f>
        <v/>
      </c>
      <c r="G320">
        <f>INDEX($AA$61:$AA$68,B320)</f>
        <v/>
      </c>
      <c r="H320">
        <f>INDEX($X$61:$X$68,B320)</f>
        <v/>
      </c>
      <c r="I320">
        <f>INDEX($AF$61:$AF$68,B320)</f>
        <v/>
      </c>
      <c r="J320">
        <f>INDEX($AC$61:$AC$68,B320)</f>
        <v/>
      </c>
      <c r="K320">
        <f>INDEX($AD$61:$AD$68,B320)</f>
        <v/>
      </c>
      <c r="L320">
        <f>INDEX($AG$61:$AG$68,B320)</f>
        <v/>
      </c>
      <c r="M320">
        <f>INDEX($AH$61:$AH$68,B320)</f>
        <v/>
      </c>
      <c r="N320">
        <f>INDEX($AI$61:$AI$68,B320)</f>
        <v/>
      </c>
      <c r="O320">
        <f>O319*$B$26+L320*(1-$B$26)</f>
        <v/>
      </c>
      <c r="P320">
        <f>$B$7*(O320-O319)*(1-AS319)</f>
        <v/>
      </c>
      <c r="Q320">
        <f>M320+0.51274*AT319</f>
        <v/>
      </c>
      <c r="R320">
        <f>N320+0.616*AT319</f>
        <v/>
      </c>
      <c r="S320">
        <f>IF($B$13&gt;=0.6,Q320,IF($B$13&lt;=0.2,R320,R320+2.5*(Q320-R320)*($B$13-0.2)))</f>
        <v/>
      </c>
      <c r="T320">
        <f>IF(A320=1,S320,T319*$B$27+S320*(1-$B$27))</f>
        <v/>
      </c>
      <c r="U320">
        <f>0.6105*EXP(17.27*T320/(T320+237.3))</f>
        <v/>
      </c>
      <c r="V320">
        <f>($B$14*(I320*C320+IF(ABS((D320+0.1)-D320)&lt;0.000000001,4*$B$19*$B$20*(D320+273)^3,$B$19*$B$20*(((D320+0.1)+273)^4-(D320+273)^4)/((D320+0.1)-D320))*D320)+T320/H320)/($B$14*(I320+IF(ABS((D320+0.1)-D320)&lt;0.000000001,4*$B$19*$B$20*(D320+273)^3,$B$19*$B$20*(((D320+0.1)+273)^4-(D320+273)^4)/((D320+0.1)-D320)))+1/H320)</f>
        <v/>
      </c>
      <c r="W320">
        <f>($B$14*(I320*C320+IF(ABS(V320-D320)&lt;0.000000001,4*$B$19*$B$20*(D320+273)^3,$B$19*$B$20*((V320+273)^4-(D320+273)^4)/(V320-D320))*D320)+T320/H320)/($B$14*(I320+IF(ABS(V320-D320)&lt;0.000000001,4*$B$19*$B$20*(D320+273)^3,$B$19*$B$20*((V320+273)^4-(D320+273)^4)/(V320-D320)))+1/H320)</f>
        <v/>
      </c>
      <c r="X320">
        <f>($B$14*(I320*C320+IF(ABS(W320-D320)&lt;0.000000001,4*$B$19*$B$20*(D320+273)^3,$B$19*$B$20*((W320+273)^4-(D320+273)^4)/(W320-D320))*D320)+T320/H320)/($B$14*(I320+IF(ABS(W320-D320)&lt;0.000000001,4*$B$19*$B$20*(D320+273)^3,$B$19*$B$20*((W320+273)^4-(D320+273)^4)/(W320-D320)))+1/H320)</f>
        <v/>
      </c>
      <c r="Y320">
        <f>($B$14*(I320*C320+IF(ABS(X320-D320)&lt;0.000000001,4*$B$19*$B$20*(D320+273)^3,$B$19*$B$20*((X320+273)^4-(D320+273)^4)/(X320-D320))*D320)+T320/H320)/($B$14*(I320+IF(ABS(X320-D320)&lt;0.000000001,4*$B$19*$B$20*(D320+273)^3,$B$19*$B$20*((X320+273)^4-(D320+273)^4)/(X320-D320)))+1/H320)</f>
        <v/>
      </c>
      <c r="Z320">
        <f>IF(ABS(Y320-D320)&lt;0.000000001,4*$B$19*$B$20*(D320+273)^3,$B$19*$B$20*((Y320+273)^4-(D320+273)^4)/(Y320-D320))</f>
        <v/>
      </c>
      <c r="AA320">
        <f>$B$14*I320*(Y320-C320)</f>
        <v/>
      </c>
      <c r="AB320">
        <f>$B$14*Z320*(Y320-D320)</f>
        <v/>
      </c>
      <c r="AC320">
        <f>IF((U320-E320)/G320=0,0.001,(U320-E320)/G320)</f>
        <v/>
      </c>
      <c r="AD320">
        <f>F320-P320-J320-K320-AA320-AB320</f>
        <v/>
      </c>
      <c r="AE320">
        <f>AD320/AC320</f>
        <v/>
      </c>
      <c r="AF320">
        <f>IF(AD320&lt;=0,0,IF(AC320&lt;=0,$B$11,IF(AE320&gt;=1.7,$B$11,MIN(AD320/MAX(0.05,IF(AE320&gt;1,(2-AE320)^2/2,1-AE320^2/2)),$B$11))))</f>
        <v/>
      </c>
      <c r="AG320">
        <f>AG319*$B$28+AF320*(1-$B$28)</f>
        <v/>
      </c>
      <c r="AH320">
        <f>IF(AND(AD320&gt;0,AC320&lt;=0),0,AC320)</f>
        <v/>
      </c>
      <c r="AI320">
        <f>AH320/MAX(AG320,0.000001)</f>
        <v/>
      </c>
      <c r="AJ320">
        <f>MIN(IF(AI320&gt;=0.5,-AI320+SQRT(AI320^2+2),1),$B$12)</f>
        <v/>
      </c>
      <c r="AK320">
        <f>IF(AG320&lt;=0,0,AJ320*AH320)</f>
        <v/>
      </c>
      <c r="AL320">
        <f>IF(AD320&lt;=0,0,AD320)</f>
        <v/>
      </c>
      <c r="AM320">
        <f>AL320-AK320+P320</f>
        <v/>
      </c>
      <c r="AN320">
        <f>((AM320/$B$7+T319*AS319/2-T320*MAX(0.1,MIN(0.3,0.3-0.09*(AR319-36.8)))/2)+AR319*(1-AS319/2))/(1-MAX(0.1,MIN(0.3,0.3-0.09*(AR319-36.8)))/2)</f>
        <v/>
      </c>
      <c r="AO320">
        <f>((AM320/$B$7+T319*AS319/2-T320*MAX(0.1,MIN(0.3,0.3-0.09*(AN320-36.8)))/2)+AR319*(1-AS319/2))/(1-MAX(0.1,MIN(0.3,0.3-0.09*(AN320-36.8)))/2)</f>
        <v/>
      </c>
      <c r="AP320">
        <f>((AM320/$B$7+T319*AS319/2-T320*MAX(0.1,MIN(0.3,0.3-0.09*(AO320-36.8)))/2)+AR319*(1-AS319/2))/(1-MAX(0.1,MIN(0.3,0.3-0.09*(AO320-36.8)))/2)</f>
        <v/>
      </c>
      <c r="AQ320">
        <f>((AM320/$B$7+T319*AS319/2-T320*MAX(0.1,MIN(0.3,0.3-0.09*(AP320-36.8)))/2)+AR319*(1-AS319/2))/(1-MAX(0.1,MIN(0.3,0.3-0.09*(AP320-36.8)))/2)</f>
        <v/>
      </c>
      <c r="AR320">
        <f>((AM320/$B$7+T319*AS319/2-T320*MAX(0.1,MIN(0.3,0.3-0.09*(AQ320-36.8)))/2)+AR319*(1-AS319/2))/(1-MAX(0.1,MIN(0.3,0.3-0.09*(AQ320-36.8)))/2)</f>
        <v/>
      </c>
      <c r="AS320">
        <f>MAX(0.1,MIN(0.3,0.3-0.09*(AR320-36.8)))</f>
        <v/>
      </c>
      <c r="AT320">
        <f>AT319+(2*AR320-1.962*AT319-1.31)/9</f>
        <v/>
      </c>
      <c r="AU320">
        <f>AU319+AG320+K320</f>
        <v/>
      </c>
      <c r="AV320">
        <f>AU320*2.67*$B$6/1.8/60</f>
        <v/>
      </c>
      <c r="AW320">
        <f>IF(AT320&gt;=$B$36,1,0)</f>
        <v/>
      </c>
      <c r="AX320">
        <f>IF(AV320&gt;=$B$21,1,0)</f>
        <v/>
      </c>
    </row>
    <row r="321">
      <c r="A321" t="n">
        <v>248</v>
      </c>
      <c r="B321">
        <f>MATCH(A321-1,$D$61:$D$68,1)</f>
        <v/>
      </c>
      <c r="C321">
        <f>INDEX($G$61:$G$68,B321)</f>
        <v/>
      </c>
      <c r="D321">
        <f>INDEX($L$61:$L$68,B321)</f>
        <v/>
      </c>
      <c r="E321">
        <f>INDEX($M$61:$M$68,B321)</f>
        <v/>
      </c>
      <c r="F321">
        <f>INDEX($N$61:$N$68,B321)</f>
        <v/>
      </c>
      <c r="G321">
        <f>INDEX($AA$61:$AA$68,B321)</f>
        <v/>
      </c>
      <c r="H321">
        <f>INDEX($X$61:$X$68,B321)</f>
        <v/>
      </c>
      <c r="I321">
        <f>INDEX($AF$61:$AF$68,B321)</f>
        <v/>
      </c>
      <c r="J321">
        <f>INDEX($AC$61:$AC$68,B321)</f>
        <v/>
      </c>
      <c r="K321">
        <f>INDEX($AD$61:$AD$68,B321)</f>
        <v/>
      </c>
      <c r="L321">
        <f>INDEX($AG$61:$AG$68,B321)</f>
        <v/>
      </c>
      <c r="M321">
        <f>INDEX($AH$61:$AH$68,B321)</f>
        <v/>
      </c>
      <c r="N321">
        <f>INDEX($AI$61:$AI$68,B321)</f>
        <v/>
      </c>
      <c r="O321">
        <f>O320*$B$26+L321*(1-$B$26)</f>
        <v/>
      </c>
      <c r="P321">
        <f>$B$7*(O321-O320)*(1-AS320)</f>
        <v/>
      </c>
      <c r="Q321">
        <f>M321+0.51274*AT320</f>
        <v/>
      </c>
      <c r="R321">
        <f>N321+0.616*AT320</f>
        <v/>
      </c>
      <c r="S321">
        <f>IF($B$13&gt;=0.6,Q321,IF($B$13&lt;=0.2,R321,R321+2.5*(Q321-R321)*($B$13-0.2)))</f>
        <v/>
      </c>
      <c r="T321">
        <f>IF(A321=1,S321,T320*$B$27+S321*(1-$B$27))</f>
        <v/>
      </c>
      <c r="U321">
        <f>0.6105*EXP(17.27*T321/(T321+237.3))</f>
        <v/>
      </c>
      <c r="V321">
        <f>($B$14*(I321*C321+IF(ABS((D321+0.1)-D321)&lt;0.000000001,4*$B$19*$B$20*(D321+273)^3,$B$19*$B$20*(((D321+0.1)+273)^4-(D321+273)^4)/((D321+0.1)-D321))*D321)+T321/H321)/($B$14*(I321+IF(ABS((D321+0.1)-D321)&lt;0.000000001,4*$B$19*$B$20*(D321+273)^3,$B$19*$B$20*(((D321+0.1)+273)^4-(D321+273)^4)/((D321+0.1)-D321)))+1/H321)</f>
        <v/>
      </c>
      <c r="W321">
        <f>($B$14*(I321*C321+IF(ABS(V321-D321)&lt;0.000000001,4*$B$19*$B$20*(D321+273)^3,$B$19*$B$20*((V321+273)^4-(D321+273)^4)/(V321-D321))*D321)+T321/H321)/($B$14*(I321+IF(ABS(V321-D321)&lt;0.000000001,4*$B$19*$B$20*(D321+273)^3,$B$19*$B$20*((V321+273)^4-(D321+273)^4)/(V321-D321)))+1/H321)</f>
        <v/>
      </c>
      <c r="X321">
        <f>($B$14*(I321*C321+IF(ABS(W321-D321)&lt;0.000000001,4*$B$19*$B$20*(D321+273)^3,$B$19*$B$20*((W321+273)^4-(D321+273)^4)/(W321-D321))*D321)+T321/H321)/($B$14*(I321+IF(ABS(W321-D321)&lt;0.000000001,4*$B$19*$B$20*(D321+273)^3,$B$19*$B$20*((W321+273)^4-(D321+273)^4)/(W321-D321)))+1/H321)</f>
        <v/>
      </c>
      <c r="Y321">
        <f>($B$14*(I321*C321+IF(ABS(X321-D321)&lt;0.000000001,4*$B$19*$B$20*(D321+273)^3,$B$19*$B$20*((X321+273)^4-(D321+273)^4)/(X321-D321))*D321)+T321/H321)/($B$14*(I321+IF(ABS(X321-D321)&lt;0.000000001,4*$B$19*$B$20*(D321+273)^3,$B$19*$B$20*((X321+273)^4-(D321+273)^4)/(X321-D321)))+1/H321)</f>
        <v/>
      </c>
      <c r="Z321">
        <f>IF(ABS(Y321-D321)&lt;0.000000001,4*$B$19*$B$20*(D321+273)^3,$B$19*$B$20*((Y321+273)^4-(D321+273)^4)/(Y321-D321))</f>
        <v/>
      </c>
      <c r="AA321">
        <f>$B$14*I321*(Y321-C321)</f>
        <v/>
      </c>
      <c r="AB321">
        <f>$B$14*Z321*(Y321-D321)</f>
        <v/>
      </c>
      <c r="AC321">
        <f>IF((U321-E321)/G321=0,0.001,(U321-E321)/G321)</f>
        <v/>
      </c>
      <c r="AD321">
        <f>F321-P321-J321-K321-AA321-AB321</f>
        <v/>
      </c>
      <c r="AE321">
        <f>AD321/AC321</f>
        <v/>
      </c>
      <c r="AF321">
        <f>IF(AD321&lt;=0,0,IF(AC321&lt;=0,$B$11,IF(AE321&gt;=1.7,$B$11,MIN(AD321/MAX(0.05,IF(AE321&gt;1,(2-AE321)^2/2,1-AE321^2/2)),$B$11))))</f>
        <v/>
      </c>
      <c r="AG321">
        <f>AG320*$B$28+AF321*(1-$B$28)</f>
        <v/>
      </c>
      <c r="AH321">
        <f>IF(AND(AD321&gt;0,AC321&lt;=0),0,AC321)</f>
        <v/>
      </c>
      <c r="AI321">
        <f>AH321/MAX(AG321,0.000001)</f>
        <v/>
      </c>
      <c r="AJ321">
        <f>MIN(IF(AI321&gt;=0.5,-AI321+SQRT(AI321^2+2),1),$B$12)</f>
        <v/>
      </c>
      <c r="AK321">
        <f>IF(AG321&lt;=0,0,AJ321*AH321)</f>
        <v/>
      </c>
      <c r="AL321">
        <f>IF(AD321&lt;=0,0,AD321)</f>
        <v/>
      </c>
      <c r="AM321">
        <f>AL321-AK321+P321</f>
        <v/>
      </c>
      <c r="AN321">
        <f>((AM321/$B$7+T320*AS320/2-T321*MAX(0.1,MIN(0.3,0.3-0.09*(AR320-36.8)))/2)+AR320*(1-AS320/2))/(1-MAX(0.1,MIN(0.3,0.3-0.09*(AR320-36.8)))/2)</f>
        <v/>
      </c>
      <c r="AO321">
        <f>((AM321/$B$7+T320*AS320/2-T321*MAX(0.1,MIN(0.3,0.3-0.09*(AN321-36.8)))/2)+AR320*(1-AS320/2))/(1-MAX(0.1,MIN(0.3,0.3-0.09*(AN321-36.8)))/2)</f>
        <v/>
      </c>
      <c r="AP321">
        <f>((AM321/$B$7+T320*AS320/2-T321*MAX(0.1,MIN(0.3,0.3-0.09*(AO321-36.8)))/2)+AR320*(1-AS320/2))/(1-MAX(0.1,MIN(0.3,0.3-0.09*(AO321-36.8)))/2)</f>
        <v/>
      </c>
      <c r="AQ321">
        <f>((AM321/$B$7+T320*AS320/2-T321*MAX(0.1,MIN(0.3,0.3-0.09*(AP321-36.8)))/2)+AR320*(1-AS320/2))/(1-MAX(0.1,MIN(0.3,0.3-0.09*(AP321-36.8)))/2)</f>
        <v/>
      </c>
      <c r="AR321">
        <f>((AM321/$B$7+T320*AS320/2-T321*MAX(0.1,MIN(0.3,0.3-0.09*(AQ321-36.8)))/2)+AR320*(1-AS320/2))/(1-MAX(0.1,MIN(0.3,0.3-0.09*(AQ321-36.8)))/2)</f>
        <v/>
      </c>
      <c r="AS321">
        <f>MAX(0.1,MIN(0.3,0.3-0.09*(AR321-36.8)))</f>
        <v/>
      </c>
      <c r="AT321">
        <f>AT320+(2*AR321-1.962*AT320-1.31)/9</f>
        <v/>
      </c>
      <c r="AU321">
        <f>AU320+AG321+K321</f>
        <v/>
      </c>
      <c r="AV321">
        <f>AU321*2.67*$B$6/1.8/60</f>
        <v/>
      </c>
      <c r="AW321">
        <f>IF(AT321&gt;=$B$36,1,0)</f>
        <v/>
      </c>
      <c r="AX321">
        <f>IF(AV321&gt;=$B$21,1,0)</f>
        <v/>
      </c>
    </row>
    <row r="322">
      <c r="A322" t="n">
        <v>249</v>
      </c>
      <c r="B322">
        <f>MATCH(A322-1,$D$61:$D$68,1)</f>
        <v/>
      </c>
      <c r="C322">
        <f>INDEX($G$61:$G$68,B322)</f>
        <v/>
      </c>
      <c r="D322">
        <f>INDEX($L$61:$L$68,B322)</f>
        <v/>
      </c>
      <c r="E322">
        <f>INDEX($M$61:$M$68,B322)</f>
        <v/>
      </c>
      <c r="F322">
        <f>INDEX($N$61:$N$68,B322)</f>
        <v/>
      </c>
      <c r="G322">
        <f>INDEX($AA$61:$AA$68,B322)</f>
        <v/>
      </c>
      <c r="H322">
        <f>INDEX($X$61:$X$68,B322)</f>
        <v/>
      </c>
      <c r="I322">
        <f>INDEX($AF$61:$AF$68,B322)</f>
        <v/>
      </c>
      <c r="J322">
        <f>INDEX($AC$61:$AC$68,B322)</f>
        <v/>
      </c>
      <c r="K322">
        <f>INDEX($AD$61:$AD$68,B322)</f>
        <v/>
      </c>
      <c r="L322">
        <f>INDEX($AG$61:$AG$68,B322)</f>
        <v/>
      </c>
      <c r="M322">
        <f>INDEX($AH$61:$AH$68,B322)</f>
        <v/>
      </c>
      <c r="N322">
        <f>INDEX($AI$61:$AI$68,B322)</f>
        <v/>
      </c>
      <c r="O322">
        <f>O321*$B$26+L322*(1-$B$26)</f>
        <v/>
      </c>
      <c r="P322">
        <f>$B$7*(O322-O321)*(1-AS321)</f>
        <v/>
      </c>
      <c r="Q322">
        <f>M322+0.51274*AT321</f>
        <v/>
      </c>
      <c r="R322">
        <f>N322+0.616*AT321</f>
        <v/>
      </c>
      <c r="S322">
        <f>IF($B$13&gt;=0.6,Q322,IF($B$13&lt;=0.2,R322,R322+2.5*(Q322-R322)*($B$13-0.2)))</f>
        <v/>
      </c>
      <c r="T322">
        <f>IF(A322=1,S322,T321*$B$27+S322*(1-$B$27))</f>
        <v/>
      </c>
      <c r="U322">
        <f>0.6105*EXP(17.27*T322/(T322+237.3))</f>
        <v/>
      </c>
      <c r="V322">
        <f>($B$14*(I322*C322+IF(ABS((D322+0.1)-D322)&lt;0.000000001,4*$B$19*$B$20*(D322+273)^3,$B$19*$B$20*(((D322+0.1)+273)^4-(D322+273)^4)/((D322+0.1)-D322))*D322)+T322/H322)/($B$14*(I322+IF(ABS((D322+0.1)-D322)&lt;0.000000001,4*$B$19*$B$20*(D322+273)^3,$B$19*$B$20*(((D322+0.1)+273)^4-(D322+273)^4)/((D322+0.1)-D322)))+1/H322)</f>
        <v/>
      </c>
      <c r="W322">
        <f>($B$14*(I322*C322+IF(ABS(V322-D322)&lt;0.000000001,4*$B$19*$B$20*(D322+273)^3,$B$19*$B$20*((V322+273)^4-(D322+273)^4)/(V322-D322))*D322)+T322/H322)/($B$14*(I322+IF(ABS(V322-D322)&lt;0.000000001,4*$B$19*$B$20*(D322+273)^3,$B$19*$B$20*((V322+273)^4-(D322+273)^4)/(V322-D322)))+1/H322)</f>
        <v/>
      </c>
      <c r="X322">
        <f>($B$14*(I322*C322+IF(ABS(W322-D322)&lt;0.000000001,4*$B$19*$B$20*(D322+273)^3,$B$19*$B$20*((W322+273)^4-(D322+273)^4)/(W322-D322))*D322)+T322/H322)/($B$14*(I322+IF(ABS(W322-D322)&lt;0.000000001,4*$B$19*$B$20*(D322+273)^3,$B$19*$B$20*((W322+273)^4-(D322+273)^4)/(W322-D322)))+1/H322)</f>
        <v/>
      </c>
      <c r="Y322">
        <f>($B$14*(I322*C322+IF(ABS(X322-D322)&lt;0.000000001,4*$B$19*$B$20*(D322+273)^3,$B$19*$B$20*((X322+273)^4-(D322+273)^4)/(X322-D322))*D322)+T322/H322)/($B$14*(I322+IF(ABS(X322-D322)&lt;0.000000001,4*$B$19*$B$20*(D322+273)^3,$B$19*$B$20*((X322+273)^4-(D322+273)^4)/(X322-D322)))+1/H322)</f>
        <v/>
      </c>
      <c r="Z322">
        <f>IF(ABS(Y322-D322)&lt;0.000000001,4*$B$19*$B$20*(D322+273)^3,$B$19*$B$20*((Y322+273)^4-(D322+273)^4)/(Y322-D322))</f>
        <v/>
      </c>
      <c r="AA322">
        <f>$B$14*I322*(Y322-C322)</f>
        <v/>
      </c>
      <c r="AB322">
        <f>$B$14*Z322*(Y322-D322)</f>
        <v/>
      </c>
      <c r="AC322">
        <f>IF((U322-E322)/G322=0,0.001,(U322-E322)/G322)</f>
        <v/>
      </c>
      <c r="AD322">
        <f>F322-P322-J322-K322-AA322-AB322</f>
        <v/>
      </c>
      <c r="AE322">
        <f>AD322/AC322</f>
        <v/>
      </c>
      <c r="AF322">
        <f>IF(AD322&lt;=0,0,IF(AC322&lt;=0,$B$11,IF(AE322&gt;=1.7,$B$11,MIN(AD322/MAX(0.05,IF(AE322&gt;1,(2-AE322)^2/2,1-AE322^2/2)),$B$11))))</f>
        <v/>
      </c>
      <c r="AG322">
        <f>AG321*$B$28+AF322*(1-$B$28)</f>
        <v/>
      </c>
      <c r="AH322">
        <f>IF(AND(AD322&gt;0,AC322&lt;=0),0,AC322)</f>
        <v/>
      </c>
      <c r="AI322">
        <f>AH322/MAX(AG322,0.000001)</f>
        <v/>
      </c>
      <c r="AJ322">
        <f>MIN(IF(AI322&gt;=0.5,-AI322+SQRT(AI322^2+2),1),$B$12)</f>
        <v/>
      </c>
      <c r="AK322">
        <f>IF(AG322&lt;=0,0,AJ322*AH322)</f>
        <v/>
      </c>
      <c r="AL322">
        <f>IF(AD322&lt;=0,0,AD322)</f>
        <v/>
      </c>
      <c r="AM322">
        <f>AL322-AK322+P322</f>
        <v/>
      </c>
      <c r="AN322">
        <f>((AM322/$B$7+T321*AS321/2-T322*MAX(0.1,MIN(0.3,0.3-0.09*(AR321-36.8)))/2)+AR321*(1-AS321/2))/(1-MAX(0.1,MIN(0.3,0.3-0.09*(AR321-36.8)))/2)</f>
        <v/>
      </c>
      <c r="AO322">
        <f>((AM322/$B$7+T321*AS321/2-T322*MAX(0.1,MIN(0.3,0.3-0.09*(AN322-36.8)))/2)+AR321*(1-AS321/2))/(1-MAX(0.1,MIN(0.3,0.3-0.09*(AN322-36.8)))/2)</f>
        <v/>
      </c>
      <c r="AP322">
        <f>((AM322/$B$7+T321*AS321/2-T322*MAX(0.1,MIN(0.3,0.3-0.09*(AO322-36.8)))/2)+AR321*(1-AS321/2))/(1-MAX(0.1,MIN(0.3,0.3-0.09*(AO322-36.8)))/2)</f>
        <v/>
      </c>
      <c r="AQ322">
        <f>((AM322/$B$7+T321*AS321/2-T322*MAX(0.1,MIN(0.3,0.3-0.09*(AP322-36.8)))/2)+AR321*(1-AS321/2))/(1-MAX(0.1,MIN(0.3,0.3-0.09*(AP322-36.8)))/2)</f>
        <v/>
      </c>
      <c r="AR322">
        <f>((AM322/$B$7+T321*AS321/2-T322*MAX(0.1,MIN(0.3,0.3-0.09*(AQ322-36.8)))/2)+AR321*(1-AS321/2))/(1-MAX(0.1,MIN(0.3,0.3-0.09*(AQ322-36.8)))/2)</f>
        <v/>
      </c>
      <c r="AS322">
        <f>MAX(0.1,MIN(0.3,0.3-0.09*(AR322-36.8)))</f>
        <v/>
      </c>
      <c r="AT322">
        <f>AT321+(2*AR322-1.962*AT321-1.31)/9</f>
        <v/>
      </c>
      <c r="AU322">
        <f>AU321+AG322+K322</f>
        <v/>
      </c>
      <c r="AV322">
        <f>AU322*2.67*$B$6/1.8/60</f>
        <v/>
      </c>
      <c r="AW322">
        <f>IF(AT322&gt;=$B$36,1,0)</f>
        <v/>
      </c>
      <c r="AX322">
        <f>IF(AV322&gt;=$B$21,1,0)</f>
        <v/>
      </c>
    </row>
    <row r="323">
      <c r="A323" t="n">
        <v>250</v>
      </c>
      <c r="B323">
        <f>MATCH(A323-1,$D$61:$D$68,1)</f>
        <v/>
      </c>
      <c r="C323">
        <f>INDEX($G$61:$G$68,B323)</f>
        <v/>
      </c>
      <c r="D323">
        <f>INDEX($L$61:$L$68,B323)</f>
        <v/>
      </c>
      <c r="E323">
        <f>INDEX($M$61:$M$68,B323)</f>
        <v/>
      </c>
      <c r="F323">
        <f>INDEX($N$61:$N$68,B323)</f>
        <v/>
      </c>
      <c r="G323">
        <f>INDEX($AA$61:$AA$68,B323)</f>
        <v/>
      </c>
      <c r="H323">
        <f>INDEX($X$61:$X$68,B323)</f>
        <v/>
      </c>
      <c r="I323">
        <f>INDEX($AF$61:$AF$68,B323)</f>
        <v/>
      </c>
      <c r="J323">
        <f>INDEX($AC$61:$AC$68,B323)</f>
        <v/>
      </c>
      <c r="K323">
        <f>INDEX($AD$61:$AD$68,B323)</f>
        <v/>
      </c>
      <c r="L323">
        <f>INDEX($AG$61:$AG$68,B323)</f>
        <v/>
      </c>
      <c r="M323">
        <f>INDEX($AH$61:$AH$68,B323)</f>
        <v/>
      </c>
      <c r="N323">
        <f>INDEX($AI$61:$AI$68,B323)</f>
        <v/>
      </c>
      <c r="O323">
        <f>O322*$B$26+L323*(1-$B$26)</f>
        <v/>
      </c>
      <c r="P323">
        <f>$B$7*(O323-O322)*(1-AS322)</f>
        <v/>
      </c>
      <c r="Q323">
        <f>M323+0.51274*AT322</f>
        <v/>
      </c>
      <c r="R323">
        <f>N323+0.616*AT322</f>
        <v/>
      </c>
      <c r="S323">
        <f>IF($B$13&gt;=0.6,Q323,IF($B$13&lt;=0.2,R323,R323+2.5*(Q323-R323)*($B$13-0.2)))</f>
        <v/>
      </c>
      <c r="T323">
        <f>IF(A323=1,S323,T322*$B$27+S323*(1-$B$27))</f>
        <v/>
      </c>
      <c r="U323">
        <f>0.6105*EXP(17.27*T323/(T323+237.3))</f>
        <v/>
      </c>
      <c r="V323">
        <f>($B$14*(I323*C323+IF(ABS((D323+0.1)-D323)&lt;0.000000001,4*$B$19*$B$20*(D323+273)^3,$B$19*$B$20*(((D323+0.1)+273)^4-(D323+273)^4)/((D323+0.1)-D323))*D323)+T323/H323)/($B$14*(I323+IF(ABS((D323+0.1)-D323)&lt;0.000000001,4*$B$19*$B$20*(D323+273)^3,$B$19*$B$20*(((D323+0.1)+273)^4-(D323+273)^4)/((D323+0.1)-D323)))+1/H323)</f>
        <v/>
      </c>
      <c r="W323">
        <f>($B$14*(I323*C323+IF(ABS(V323-D323)&lt;0.000000001,4*$B$19*$B$20*(D323+273)^3,$B$19*$B$20*((V323+273)^4-(D323+273)^4)/(V323-D323))*D323)+T323/H323)/($B$14*(I323+IF(ABS(V323-D323)&lt;0.000000001,4*$B$19*$B$20*(D323+273)^3,$B$19*$B$20*((V323+273)^4-(D323+273)^4)/(V323-D323)))+1/H323)</f>
        <v/>
      </c>
      <c r="X323">
        <f>($B$14*(I323*C323+IF(ABS(W323-D323)&lt;0.000000001,4*$B$19*$B$20*(D323+273)^3,$B$19*$B$20*((W323+273)^4-(D323+273)^4)/(W323-D323))*D323)+T323/H323)/($B$14*(I323+IF(ABS(W323-D323)&lt;0.000000001,4*$B$19*$B$20*(D323+273)^3,$B$19*$B$20*((W323+273)^4-(D323+273)^4)/(W323-D323)))+1/H323)</f>
        <v/>
      </c>
      <c r="Y323">
        <f>($B$14*(I323*C323+IF(ABS(X323-D323)&lt;0.000000001,4*$B$19*$B$20*(D323+273)^3,$B$19*$B$20*((X323+273)^4-(D323+273)^4)/(X323-D323))*D323)+T323/H323)/($B$14*(I323+IF(ABS(X323-D323)&lt;0.000000001,4*$B$19*$B$20*(D323+273)^3,$B$19*$B$20*((X323+273)^4-(D323+273)^4)/(X323-D323)))+1/H323)</f>
        <v/>
      </c>
      <c r="Z323">
        <f>IF(ABS(Y323-D323)&lt;0.000000001,4*$B$19*$B$20*(D323+273)^3,$B$19*$B$20*((Y323+273)^4-(D323+273)^4)/(Y323-D323))</f>
        <v/>
      </c>
      <c r="AA323">
        <f>$B$14*I323*(Y323-C323)</f>
        <v/>
      </c>
      <c r="AB323">
        <f>$B$14*Z323*(Y323-D323)</f>
        <v/>
      </c>
      <c r="AC323">
        <f>IF((U323-E323)/G323=0,0.001,(U323-E323)/G323)</f>
        <v/>
      </c>
      <c r="AD323">
        <f>F323-P323-J323-K323-AA323-AB323</f>
        <v/>
      </c>
      <c r="AE323">
        <f>AD323/AC323</f>
        <v/>
      </c>
      <c r="AF323">
        <f>IF(AD323&lt;=0,0,IF(AC323&lt;=0,$B$11,IF(AE323&gt;=1.7,$B$11,MIN(AD323/MAX(0.05,IF(AE323&gt;1,(2-AE323)^2/2,1-AE323^2/2)),$B$11))))</f>
        <v/>
      </c>
      <c r="AG323">
        <f>AG322*$B$28+AF323*(1-$B$28)</f>
        <v/>
      </c>
      <c r="AH323">
        <f>IF(AND(AD323&gt;0,AC323&lt;=0),0,AC323)</f>
        <v/>
      </c>
      <c r="AI323">
        <f>AH323/MAX(AG323,0.000001)</f>
        <v/>
      </c>
      <c r="AJ323">
        <f>MIN(IF(AI323&gt;=0.5,-AI323+SQRT(AI323^2+2),1),$B$12)</f>
        <v/>
      </c>
      <c r="AK323">
        <f>IF(AG323&lt;=0,0,AJ323*AH323)</f>
        <v/>
      </c>
      <c r="AL323">
        <f>IF(AD323&lt;=0,0,AD323)</f>
        <v/>
      </c>
      <c r="AM323">
        <f>AL323-AK323+P323</f>
        <v/>
      </c>
      <c r="AN323">
        <f>((AM323/$B$7+T322*AS322/2-T323*MAX(0.1,MIN(0.3,0.3-0.09*(AR322-36.8)))/2)+AR322*(1-AS322/2))/(1-MAX(0.1,MIN(0.3,0.3-0.09*(AR322-36.8)))/2)</f>
        <v/>
      </c>
      <c r="AO323">
        <f>((AM323/$B$7+T322*AS322/2-T323*MAX(0.1,MIN(0.3,0.3-0.09*(AN323-36.8)))/2)+AR322*(1-AS322/2))/(1-MAX(0.1,MIN(0.3,0.3-0.09*(AN323-36.8)))/2)</f>
        <v/>
      </c>
      <c r="AP323">
        <f>((AM323/$B$7+T322*AS322/2-T323*MAX(0.1,MIN(0.3,0.3-0.09*(AO323-36.8)))/2)+AR322*(1-AS322/2))/(1-MAX(0.1,MIN(0.3,0.3-0.09*(AO323-36.8)))/2)</f>
        <v/>
      </c>
      <c r="AQ323">
        <f>((AM323/$B$7+T322*AS322/2-T323*MAX(0.1,MIN(0.3,0.3-0.09*(AP323-36.8)))/2)+AR322*(1-AS322/2))/(1-MAX(0.1,MIN(0.3,0.3-0.09*(AP323-36.8)))/2)</f>
        <v/>
      </c>
      <c r="AR323">
        <f>((AM323/$B$7+T322*AS322/2-T323*MAX(0.1,MIN(0.3,0.3-0.09*(AQ323-36.8)))/2)+AR322*(1-AS322/2))/(1-MAX(0.1,MIN(0.3,0.3-0.09*(AQ323-36.8)))/2)</f>
        <v/>
      </c>
      <c r="AS323">
        <f>MAX(0.1,MIN(0.3,0.3-0.09*(AR323-36.8)))</f>
        <v/>
      </c>
      <c r="AT323">
        <f>AT322+(2*AR323-1.962*AT322-1.31)/9</f>
        <v/>
      </c>
      <c r="AU323">
        <f>AU322+AG323+K323</f>
        <v/>
      </c>
      <c r="AV323">
        <f>AU323*2.67*$B$6/1.8/60</f>
        <v/>
      </c>
      <c r="AW323">
        <f>IF(AT323&gt;=$B$36,1,0)</f>
        <v/>
      </c>
      <c r="AX323">
        <f>IF(AV323&gt;=$B$21,1,0)</f>
        <v/>
      </c>
    </row>
    <row r="324">
      <c r="A324" t="n">
        <v>251</v>
      </c>
      <c r="B324">
        <f>MATCH(A324-1,$D$61:$D$68,1)</f>
        <v/>
      </c>
      <c r="C324">
        <f>INDEX($G$61:$G$68,B324)</f>
        <v/>
      </c>
      <c r="D324">
        <f>INDEX($L$61:$L$68,B324)</f>
        <v/>
      </c>
      <c r="E324">
        <f>INDEX($M$61:$M$68,B324)</f>
        <v/>
      </c>
      <c r="F324">
        <f>INDEX($N$61:$N$68,B324)</f>
        <v/>
      </c>
      <c r="G324">
        <f>INDEX($AA$61:$AA$68,B324)</f>
        <v/>
      </c>
      <c r="H324">
        <f>INDEX($X$61:$X$68,B324)</f>
        <v/>
      </c>
      <c r="I324">
        <f>INDEX($AF$61:$AF$68,B324)</f>
        <v/>
      </c>
      <c r="J324">
        <f>INDEX($AC$61:$AC$68,B324)</f>
        <v/>
      </c>
      <c r="K324">
        <f>INDEX($AD$61:$AD$68,B324)</f>
        <v/>
      </c>
      <c r="L324">
        <f>INDEX($AG$61:$AG$68,B324)</f>
        <v/>
      </c>
      <c r="M324">
        <f>INDEX($AH$61:$AH$68,B324)</f>
        <v/>
      </c>
      <c r="N324">
        <f>INDEX($AI$61:$AI$68,B324)</f>
        <v/>
      </c>
      <c r="O324">
        <f>O323*$B$26+L324*(1-$B$26)</f>
        <v/>
      </c>
      <c r="P324">
        <f>$B$7*(O324-O323)*(1-AS323)</f>
        <v/>
      </c>
      <c r="Q324">
        <f>M324+0.51274*AT323</f>
        <v/>
      </c>
      <c r="R324">
        <f>N324+0.616*AT323</f>
        <v/>
      </c>
      <c r="S324">
        <f>IF($B$13&gt;=0.6,Q324,IF($B$13&lt;=0.2,R324,R324+2.5*(Q324-R324)*($B$13-0.2)))</f>
        <v/>
      </c>
      <c r="T324">
        <f>IF(A324=1,S324,T323*$B$27+S324*(1-$B$27))</f>
        <v/>
      </c>
      <c r="U324">
        <f>0.6105*EXP(17.27*T324/(T324+237.3))</f>
        <v/>
      </c>
      <c r="V324">
        <f>($B$14*(I324*C324+IF(ABS((D324+0.1)-D324)&lt;0.000000001,4*$B$19*$B$20*(D324+273)^3,$B$19*$B$20*(((D324+0.1)+273)^4-(D324+273)^4)/((D324+0.1)-D324))*D324)+T324/H324)/($B$14*(I324+IF(ABS((D324+0.1)-D324)&lt;0.000000001,4*$B$19*$B$20*(D324+273)^3,$B$19*$B$20*(((D324+0.1)+273)^4-(D324+273)^4)/((D324+0.1)-D324)))+1/H324)</f>
        <v/>
      </c>
      <c r="W324">
        <f>($B$14*(I324*C324+IF(ABS(V324-D324)&lt;0.000000001,4*$B$19*$B$20*(D324+273)^3,$B$19*$B$20*((V324+273)^4-(D324+273)^4)/(V324-D324))*D324)+T324/H324)/($B$14*(I324+IF(ABS(V324-D324)&lt;0.000000001,4*$B$19*$B$20*(D324+273)^3,$B$19*$B$20*((V324+273)^4-(D324+273)^4)/(V324-D324)))+1/H324)</f>
        <v/>
      </c>
      <c r="X324">
        <f>($B$14*(I324*C324+IF(ABS(W324-D324)&lt;0.000000001,4*$B$19*$B$20*(D324+273)^3,$B$19*$B$20*((W324+273)^4-(D324+273)^4)/(W324-D324))*D324)+T324/H324)/($B$14*(I324+IF(ABS(W324-D324)&lt;0.000000001,4*$B$19*$B$20*(D324+273)^3,$B$19*$B$20*((W324+273)^4-(D324+273)^4)/(W324-D324)))+1/H324)</f>
        <v/>
      </c>
      <c r="Y324">
        <f>($B$14*(I324*C324+IF(ABS(X324-D324)&lt;0.000000001,4*$B$19*$B$20*(D324+273)^3,$B$19*$B$20*((X324+273)^4-(D324+273)^4)/(X324-D324))*D324)+T324/H324)/($B$14*(I324+IF(ABS(X324-D324)&lt;0.000000001,4*$B$19*$B$20*(D324+273)^3,$B$19*$B$20*((X324+273)^4-(D324+273)^4)/(X324-D324)))+1/H324)</f>
        <v/>
      </c>
      <c r="Z324">
        <f>IF(ABS(Y324-D324)&lt;0.000000001,4*$B$19*$B$20*(D324+273)^3,$B$19*$B$20*((Y324+273)^4-(D324+273)^4)/(Y324-D324))</f>
        <v/>
      </c>
      <c r="AA324">
        <f>$B$14*I324*(Y324-C324)</f>
        <v/>
      </c>
      <c r="AB324">
        <f>$B$14*Z324*(Y324-D324)</f>
        <v/>
      </c>
      <c r="AC324">
        <f>IF((U324-E324)/G324=0,0.001,(U324-E324)/G324)</f>
        <v/>
      </c>
      <c r="AD324">
        <f>F324-P324-J324-K324-AA324-AB324</f>
        <v/>
      </c>
      <c r="AE324">
        <f>AD324/AC324</f>
        <v/>
      </c>
      <c r="AF324">
        <f>IF(AD324&lt;=0,0,IF(AC324&lt;=0,$B$11,IF(AE324&gt;=1.7,$B$11,MIN(AD324/MAX(0.05,IF(AE324&gt;1,(2-AE324)^2/2,1-AE324^2/2)),$B$11))))</f>
        <v/>
      </c>
      <c r="AG324">
        <f>AG323*$B$28+AF324*(1-$B$28)</f>
        <v/>
      </c>
      <c r="AH324">
        <f>IF(AND(AD324&gt;0,AC324&lt;=0),0,AC324)</f>
        <v/>
      </c>
      <c r="AI324">
        <f>AH324/MAX(AG324,0.000001)</f>
        <v/>
      </c>
      <c r="AJ324">
        <f>MIN(IF(AI324&gt;=0.5,-AI324+SQRT(AI324^2+2),1),$B$12)</f>
        <v/>
      </c>
      <c r="AK324">
        <f>IF(AG324&lt;=0,0,AJ324*AH324)</f>
        <v/>
      </c>
      <c r="AL324">
        <f>IF(AD324&lt;=0,0,AD324)</f>
        <v/>
      </c>
      <c r="AM324">
        <f>AL324-AK324+P324</f>
        <v/>
      </c>
      <c r="AN324">
        <f>((AM324/$B$7+T323*AS323/2-T324*MAX(0.1,MIN(0.3,0.3-0.09*(AR323-36.8)))/2)+AR323*(1-AS323/2))/(1-MAX(0.1,MIN(0.3,0.3-0.09*(AR323-36.8)))/2)</f>
        <v/>
      </c>
      <c r="AO324">
        <f>((AM324/$B$7+T323*AS323/2-T324*MAX(0.1,MIN(0.3,0.3-0.09*(AN324-36.8)))/2)+AR323*(1-AS323/2))/(1-MAX(0.1,MIN(0.3,0.3-0.09*(AN324-36.8)))/2)</f>
        <v/>
      </c>
      <c r="AP324">
        <f>((AM324/$B$7+T323*AS323/2-T324*MAX(0.1,MIN(0.3,0.3-0.09*(AO324-36.8)))/2)+AR323*(1-AS323/2))/(1-MAX(0.1,MIN(0.3,0.3-0.09*(AO324-36.8)))/2)</f>
        <v/>
      </c>
      <c r="AQ324">
        <f>((AM324/$B$7+T323*AS323/2-T324*MAX(0.1,MIN(0.3,0.3-0.09*(AP324-36.8)))/2)+AR323*(1-AS323/2))/(1-MAX(0.1,MIN(0.3,0.3-0.09*(AP324-36.8)))/2)</f>
        <v/>
      </c>
      <c r="AR324">
        <f>((AM324/$B$7+T323*AS323/2-T324*MAX(0.1,MIN(0.3,0.3-0.09*(AQ324-36.8)))/2)+AR323*(1-AS323/2))/(1-MAX(0.1,MIN(0.3,0.3-0.09*(AQ324-36.8)))/2)</f>
        <v/>
      </c>
      <c r="AS324">
        <f>MAX(0.1,MIN(0.3,0.3-0.09*(AR324-36.8)))</f>
        <v/>
      </c>
      <c r="AT324">
        <f>AT323+(2*AR324-1.962*AT323-1.31)/9</f>
        <v/>
      </c>
      <c r="AU324">
        <f>AU323+AG324+K324</f>
        <v/>
      </c>
      <c r="AV324">
        <f>AU324*2.67*$B$6/1.8/60</f>
        <v/>
      </c>
      <c r="AW324">
        <f>IF(AT324&gt;=$B$36,1,0)</f>
        <v/>
      </c>
      <c r="AX324">
        <f>IF(AV324&gt;=$B$21,1,0)</f>
        <v/>
      </c>
    </row>
    <row r="325">
      <c r="A325" t="n">
        <v>252</v>
      </c>
      <c r="B325">
        <f>MATCH(A325-1,$D$61:$D$68,1)</f>
        <v/>
      </c>
      <c r="C325">
        <f>INDEX($G$61:$G$68,B325)</f>
        <v/>
      </c>
      <c r="D325">
        <f>INDEX($L$61:$L$68,B325)</f>
        <v/>
      </c>
      <c r="E325">
        <f>INDEX($M$61:$M$68,B325)</f>
        <v/>
      </c>
      <c r="F325">
        <f>INDEX($N$61:$N$68,B325)</f>
        <v/>
      </c>
      <c r="G325">
        <f>INDEX($AA$61:$AA$68,B325)</f>
        <v/>
      </c>
      <c r="H325">
        <f>INDEX($X$61:$X$68,B325)</f>
        <v/>
      </c>
      <c r="I325">
        <f>INDEX($AF$61:$AF$68,B325)</f>
        <v/>
      </c>
      <c r="J325">
        <f>INDEX($AC$61:$AC$68,B325)</f>
        <v/>
      </c>
      <c r="K325">
        <f>INDEX($AD$61:$AD$68,B325)</f>
        <v/>
      </c>
      <c r="L325">
        <f>INDEX($AG$61:$AG$68,B325)</f>
        <v/>
      </c>
      <c r="M325">
        <f>INDEX($AH$61:$AH$68,B325)</f>
        <v/>
      </c>
      <c r="N325">
        <f>INDEX($AI$61:$AI$68,B325)</f>
        <v/>
      </c>
      <c r="O325">
        <f>O324*$B$26+L325*(1-$B$26)</f>
        <v/>
      </c>
      <c r="P325">
        <f>$B$7*(O325-O324)*(1-AS324)</f>
        <v/>
      </c>
      <c r="Q325">
        <f>M325+0.51274*AT324</f>
        <v/>
      </c>
      <c r="R325">
        <f>N325+0.616*AT324</f>
        <v/>
      </c>
      <c r="S325">
        <f>IF($B$13&gt;=0.6,Q325,IF($B$13&lt;=0.2,R325,R325+2.5*(Q325-R325)*($B$13-0.2)))</f>
        <v/>
      </c>
      <c r="T325">
        <f>IF(A325=1,S325,T324*$B$27+S325*(1-$B$27))</f>
        <v/>
      </c>
      <c r="U325">
        <f>0.6105*EXP(17.27*T325/(T325+237.3))</f>
        <v/>
      </c>
      <c r="V325">
        <f>($B$14*(I325*C325+IF(ABS((D325+0.1)-D325)&lt;0.000000001,4*$B$19*$B$20*(D325+273)^3,$B$19*$B$20*(((D325+0.1)+273)^4-(D325+273)^4)/((D325+0.1)-D325))*D325)+T325/H325)/($B$14*(I325+IF(ABS((D325+0.1)-D325)&lt;0.000000001,4*$B$19*$B$20*(D325+273)^3,$B$19*$B$20*(((D325+0.1)+273)^4-(D325+273)^4)/((D325+0.1)-D325)))+1/H325)</f>
        <v/>
      </c>
      <c r="W325">
        <f>($B$14*(I325*C325+IF(ABS(V325-D325)&lt;0.000000001,4*$B$19*$B$20*(D325+273)^3,$B$19*$B$20*((V325+273)^4-(D325+273)^4)/(V325-D325))*D325)+T325/H325)/($B$14*(I325+IF(ABS(V325-D325)&lt;0.000000001,4*$B$19*$B$20*(D325+273)^3,$B$19*$B$20*((V325+273)^4-(D325+273)^4)/(V325-D325)))+1/H325)</f>
        <v/>
      </c>
      <c r="X325">
        <f>($B$14*(I325*C325+IF(ABS(W325-D325)&lt;0.000000001,4*$B$19*$B$20*(D325+273)^3,$B$19*$B$20*((W325+273)^4-(D325+273)^4)/(W325-D325))*D325)+T325/H325)/($B$14*(I325+IF(ABS(W325-D325)&lt;0.000000001,4*$B$19*$B$20*(D325+273)^3,$B$19*$B$20*((W325+273)^4-(D325+273)^4)/(W325-D325)))+1/H325)</f>
        <v/>
      </c>
      <c r="Y325">
        <f>($B$14*(I325*C325+IF(ABS(X325-D325)&lt;0.000000001,4*$B$19*$B$20*(D325+273)^3,$B$19*$B$20*((X325+273)^4-(D325+273)^4)/(X325-D325))*D325)+T325/H325)/($B$14*(I325+IF(ABS(X325-D325)&lt;0.000000001,4*$B$19*$B$20*(D325+273)^3,$B$19*$B$20*((X325+273)^4-(D325+273)^4)/(X325-D325)))+1/H325)</f>
        <v/>
      </c>
      <c r="Z325">
        <f>IF(ABS(Y325-D325)&lt;0.000000001,4*$B$19*$B$20*(D325+273)^3,$B$19*$B$20*((Y325+273)^4-(D325+273)^4)/(Y325-D325))</f>
        <v/>
      </c>
      <c r="AA325">
        <f>$B$14*I325*(Y325-C325)</f>
        <v/>
      </c>
      <c r="AB325">
        <f>$B$14*Z325*(Y325-D325)</f>
        <v/>
      </c>
      <c r="AC325">
        <f>IF((U325-E325)/G325=0,0.001,(U325-E325)/G325)</f>
        <v/>
      </c>
      <c r="AD325">
        <f>F325-P325-J325-K325-AA325-AB325</f>
        <v/>
      </c>
      <c r="AE325">
        <f>AD325/AC325</f>
        <v/>
      </c>
      <c r="AF325">
        <f>IF(AD325&lt;=0,0,IF(AC325&lt;=0,$B$11,IF(AE325&gt;=1.7,$B$11,MIN(AD325/MAX(0.05,IF(AE325&gt;1,(2-AE325)^2/2,1-AE325^2/2)),$B$11))))</f>
        <v/>
      </c>
      <c r="AG325">
        <f>AG324*$B$28+AF325*(1-$B$28)</f>
        <v/>
      </c>
      <c r="AH325">
        <f>IF(AND(AD325&gt;0,AC325&lt;=0),0,AC325)</f>
        <v/>
      </c>
      <c r="AI325">
        <f>AH325/MAX(AG325,0.000001)</f>
        <v/>
      </c>
      <c r="AJ325">
        <f>MIN(IF(AI325&gt;=0.5,-AI325+SQRT(AI325^2+2),1),$B$12)</f>
        <v/>
      </c>
      <c r="AK325">
        <f>IF(AG325&lt;=0,0,AJ325*AH325)</f>
        <v/>
      </c>
      <c r="AL325">
        <f>IF(AD325&lt;=0,0,AD325)</f>
        <v/>
      </c>
      <c r="AM325">
        <f>AL325-AK325+P325</f>
        <v/>
      </c>
      <c r="AN325">
        <f>((AM325/$B$7+T324*AS324/2-T325*MAX(0.1,MIN(0.3,0.3-0.09*(AR324-36.8)))/2)+AR324*(1-AS324/2))/(1-MAX(0.1,MIN(0.3,0.3-0.09*(AR324-36.8)))/2)</f>
        <v/>
      </c>
      <c r="AO325">
        <f>((AM325/$B$7+T324*AS324/2-T325*MAX(0.1,MIN(0.3,0.3-0.09*(AN325-36.8)))/2)+AR324*(1-AS324/2))/(1-MAX(0.1,MIN(0.3,0.3-0.09*(AN325-36.8)))/2)</f>
        <v/>
      </c>
      <c r="AP325">
        <f>((AM325/$B$7+T324*AS324/2-T325*MAX(0.1,MIN(0.3,0.3-0.09*(AO325-36.8)))/2)+AR324*(1-AS324/2))/(1-MAX(0.1,MIN(0.3,0.3-0.09*(AO325-36.8)))/2)</f>
        <v/>
      </c>
      <c r="AQ325">
        <f>((AM325/$B$7+T324*AS324/2-T325*MAX(0.1,MIN(0.3,0.3-0.09*(AP325-36.8)))/2)+AR324*(1-AS324/2))/(1-MAX(0.1,MIN(0.3,0.3-0.09*(AP325-36.8)))/2)</f>
        <v/>
      </c>
      <c r="AR325">
        <f>((AM325/$B$7+T324*AS324/2-T325*MAX(0.1,MIN(0.3,0.3-0.09*(AQ325-36.8)))/2)+AR324*(1-AS324/2))/(1-MAX(0.1,MIN(0.3,0.3-0.09*(AQ325-36.8)))/2)</f>
        <v/>
      </c>
      <c r="AS325">
        <f>MAX(0.1,MIN(0.3,0.3-0.09*(AR325-36.8)))</f>
        <v/>
      </c>
      <c r="AT325">
        <f>AT324+(2*AR325-1.962*AT324-1.31)/9</f>
        <v/>
      </c>
      <c r="AU325">
        <f>AU324+AG325+K325</f>
        <v/>
      </c>
      <c r="AV325">
        <f>AU325*2.67*$B$6/1.8/60</f>
        <v/>
      </c>
      <c r="AW325">
        <f>IF(AT325&gt;=$B$36,1,0)</f>
        <v/>
      </c>
      <c r="AX325">
        <f>IF(AV325&gt;=$B$21,1,0)</f>
        <v/>
      </c>
    </row>
    <row r="326">
      <c r="A326" t="n">
        <v>253</v>
      </c>
      <c r="B326">
        <f>MATCH(A326-1,$D$61:$D$68,1)</f>
        <v/>
      </c>
      <c r="C326">
        <f>INDEX($G$61:$G$68,B326)</f>
        <v/>
      </c>
      <c r="D326">
        <f>INDEX($L$61:$L$68,B326)</f>
        <v/>
      </c>
      <c r="E326">
        <f>INDEX($M$61:$M$68,B326)</f>
        <v/>
      </c>
      <c r="F326">
        <f>INDEX($N$61:$N$68,B326)</f>
        <v/>
      </c>
      <c r="G326">
        <f>INDEX($AA$61:$AA$68,B326)</f>
        <v/>
      </c>
      <c r="H326">
        <f>INDEX($X$61:$X$68,B326)</f>
        <v/>
      </c>
      <c r="I326">
        <f>INDEX($AF$61:$AF$68,B326)</f>
        <v/>
      </c>
      <c r="J326">
        <f>INDEX($AC$61:$AC$68,B326)</f>
        <v/>
      </c>
      <c r="K326">
        <f>INDEX($AD$61:$AD$68,B326)</f>
        <v/>
      </c>
      <c r="L326">
        <f>INDEX($AG$61:$AG$68,B326)</f>
        <v/>
      </c>
      <c r="M326">
        <f>INDEX($AH$61:$AH$68,B326)</f>
        <v/>
      </c>
      <c r="N326">
        <f>INDEX($AI$61:$AI$68,B326)</f>
        <v/>
      </c>
      <c r="O326">
        <f>O325*$B$26+L326*(1-$B$26)</f>
        <v/>
      </c>
      <c r="P326">
        <f>$B$7*(O326-O325)*(1-AS325)</f>
        <v/>
      </c>
      <c r="Q326">
        <f>M326+0.51274*AT325</f>
        <v/>
      </c>
      <c r="R326">
        <f>N326+0.616*AT325</f>
        <v/>
      </c>
      <c r="S326">
        <f>IF($B$13&gt;=0.6,Q326,IF($B$13&lt;=0.2,R326,R326+2.5*(Q326-R326)*($B$13-0.2)))</f>
        <v/>
      </c>
      <c r="T326">
        <f>IF(A326=1,S326,T325*$B$27+S326*(1-$B$27))</f>
        <v/>
      </c>
      <c r="U326">
        <f>0.6105*EXP(17.27*T326/(T326+237.3))</f>
        <v/>
      </c>
      <c r="V326">
        <f>($B$14*(I326*C326+IF(ABS((D326+0.1)-D326)&lt;0.000000001,4*$B$19*$B$20*(D326+273)^3,$B$19*$B$20*(((D326+0.1)+273)^4-(D326+273)^4)/((D326+0.1)-D326))*D326)+T326/H326)/($B$14*(I326+IF(ABS((D326+0.1)-D326)&lt;0.000000001,4*$B$19*$B$20*(D326+273)^3,$B$19*$B$20*(((D326+0.1)+273)^4-(D326+273)^4)/((D326+0.1)-D326)))+1/H326)</f>
        <v/>
      </c>
      <c r="W326">
        <f>($B$14*(I326*C326+IF(ABS(V326-D326)&lt;0.000000001,4*$B$19*$B$20*(D326+273)^3,$B$19*$B$20*((V326+273)^4-(D326+273)^4)/(V326-D326))*D326)+T326/H326)/($B$14*(I326+IF(ABS(V326-D326)&lt;0.000000001,4*$B$19*$B$20*(D326+273)^3,$B$19*$B$20*((V326+273)^4-(D326+273)^4)/(V326-D326)))+1/H326)</f>
        <v/>
      </c>
      <c r="X326">
        <f>($B$14*(I326*C326+IF(ABS(W326-D326)&lt;0.000000001,4*$B$19*$B$20*(D326+273)^3,$B$19*$B$20*((W326+273)^4-(D326+273)^4)/(W326-D326))*D326)+T326/H326)/($B$14*(I326+IF(ABS(W326-D326)&lt;0.000000001,4*$B$19*$B$20*(D326+273)^3,$B$19*$B$20*((W326+273)^4-(D326+273)^4)/(W326-D326)))+1/H326)</f>
        <v/>
      </c>
      <c r="Y326">
        <f>($B$14*(I326*C326+IF(ABS(X326-D326)&lt;0.000000001,4*$B$19*$B$20*(D326+273)^3,$B$19*$B$20*((X326+273)^4-(D326+273)^4)/(X326-D326))*D326)+T326/H326)/($B$14*(I326+IF(ABS(X326-D326)&lt;0.000000001,4*$B$19*$B$20*(D326+273)^3,$B$19*$B$20*((X326+273)^4-(D326+273)^4)/(X326-D326)))+1/H326)</f>
        <v/>
      </c>
      <c r="Z326">
        <f>IF(ABS(Y326-D326)&lt;0.000000001,4*$B$19*$B$20*(D326+273)^3,$B$19*$B$20*((Y326+273)^4-(D326+273)^4)/(Y326-D326))</f>
        <v/>
      </c>
      <c r="AA326">
        <f>$B$14*I326*(Y326-C326)</f>
        <v/>
      </c>
      <c r="AB326">
        <f>$B$14*Z326*(Y326-D326)</f>
        <v/>
      </c>
      <c r="AC326">
        <f>IF((U326-E326)/G326=0,0.001,(U326-E326)/G326)</f>
        <v/>
      </c>
      <c r="AD326">
        <f>F326-P326-J326-K326-AA326-AB326</f>
        <v/>
      </c>
      <c r="AE326">
        <f>AD326/AC326</f>
        <v/>
      </c>
      <c r="AF326">
        <f>IF(AD326&lt;=0,0,IF(AC326&lt;=0,$B$11,IF(AE326&gt;=1.7,$B$11,MIN(AD326/MAX(0.05,IF(AE326&gt;1,(2-AE326)^2/2,1-AE326^2/2)),$B$11))))</f>
        <v/>
      </c>
      <c r="AG326">
        <f>AG325*$B$28+AF326*(1-$B$28)</f>
        <v/>
      </c>
      <c r="AH326">
        <f>IF(AND(AD326&gt;0,AC326&lt;=0),0,AC326)</f>
        <v/>
      </c>
      <c r="AI326">
        <f>AH326/MAX(AG326,0.000001)</f>
        <v/>
      </c>
      <c r="AJ326">
        <f>MIN(IF(AI326&gt;=0.5,-AI326+SQRT(AI326^2+2),1),$B$12)</f>
        <v/>
      </c>
      <c r="AK326">
        <f>IF(AG326&lt;=0,0,AJ326*AH326)</f>
        <v/>
      </c>
      <c r="AL326">
        <f>IF(AD326&lt;=0,0,AD326)</f>
        <v/>
      </c>
      <c r="AM326">
        <f>AL326-AK326+P326</f>
        <v/>
      </c>
      <c r="AN326">
        <f>((AM326/$B$7+T325*AS325/2-T326*MAX(0.1,MIN(0.3,0.3-0.09*(AR325-36.8)))/2)+AR325*(1-AS325/2))/(1-MAX(0.1,MIN(0.3,0.3-0.09*(AR325-36.8)))/2)</f>
        <v/>
      </c>
      <c r="AO326">
        <f>((AM326/$B$7+T325*AS325/2-T326*MAX(0.1,MIN(0.3,0.3-0.09*(AN326-36.8)))/2)+AR325*(1-AS325/2))/(1-MAX(0.1,MIN(0.3,0.3-0.09*(AN326-36.8)))/2)</f>
        <v/>
      </c>
      <c r="AP326">
        <f>((AM326/$B$7+T325*AS325/2-T326*MAX(0.1,MIN(0.3,0.3-0.09*(AO326-36.8)))/2)+AR325*(1-AS325/2))/(1-MAX(0.1,MIN(0.3,0.3-0.09*(AO326-36.8)))/2)</f>
        <v/>
      </c>
      <c r="AQ326">
        <f>((AM326/$B$7+T325*AS325/2-T326*MAX(0.1,MIN(0.3,0.3-0.09*(AP326-36.8)))/2)+AR325*(1-AS325/2))/(1-MAX(0.1,MIN(0.3,0.3-0.09*(AP326-36.8)))/2)</f>
        <v/>
      </c>
      <c r="AR326">
        <f>((AM326/$B$7+T325*AS325/2-T326*MAX(0.1,MIN(0.3,0.3-0.09*(AQ326-36.8)))/2)+AR325*(1-AS325/2))/(1-MAX(0.1,MIN(0.3,0.3-0.09*(AQ326-36.8)))/2)</f>
        <v/>
      </c>
      <c r="AS326">
        <f>MAX(0.1,MIN(0.3,0.3-0.09*(AR326-36.8)))</f>
        <v/>
      </c>
      <c r="AT326">
        <f>AT325+(2*AR326-1.962*AT325-1.31)/9</f>
        <v/>
      </c>
      <c r="AU326">
        <f>AU325+AG326+K326</f>
        <v/>
      </c>
      <c r="AV326">
        <f>AU326*2.67*$B$6/1.8/60</f>
        <v/>
      </c>
      <c r="AW326">
        <f>IF(AT326&gt;=$B$36,1,0)</f>
        <v/>
      </c>
      <c r="AX326">
        <f>IF(AV326&gt;=$B$21,1,0)</f>
        <v/>
      </c>
    </row>
    <row r="327">
      <c r="A327" t="n">
        <v>254</v>
      </c>
      <c r="B327">
        <f>MATCH(A327-1,$D$61:$D$68,1)</f>
        <v/>
      </c>
      <c r="C327">
        <f>INDEX($G$61:$G$68,B327)</f>
        <v/>
      </c>
      <c r="D327">
        <f>INDEX($L$61:$L$68,B327)</f>
        <v/>
      </c>
      <c r="E327">
        <f>INDEX($M$61:$M$68,B327)</f>
        <v/>
      </c>
      <c r="F327">
        <f>INDEX($N$61:$N$68,B327)</f>
        <v/>
      </c>
      <c r="G327">
        <f>INDEX($AA$61:$AA$68,B327)</f>
        <v/>
      </c>
      <c r="H327">
        <f>INDEX($X$61:$X$68,B327)</f>
        <v/>
      </c>
      <c r="I327">
        <f>INDEX($AF$61:$AF$68,B327)</f>
        <v/>
      </c>
      <c r="J327">
        <f>INDEX($AC$61:$AC$68,B327)</f>
        <v/>
      </c>
      <c r="K327">
        <f>INDEX($AD$61:$AD$68,B327)</f>
        <v/>
      </c>
      <c r="L327">
        <f>INDEX($AG$61:$AG$68,B327)</f>
        <v/>
      </c>
      <c r="M327">
        <f>INDEX($AH$61:$AH$68,B327)</f>
        <v/>
      </c>
      <c r="N327">
        <f>INDEX($AI$61:$AI$68,B327)</f>
        <v/>
      </c>
      <c r="O327">
        <f>O326*$B$26+L327*(1-$B$26)</f>
        <v/>
      </c>
      <c r="P327">
        <f>$B$7*(O327-O326)*(1-AS326)</f>
        <v/>
      </c>
      <c r="Q327">
        <f>M327+0.51274*AT326</f>
        <v/>
      </c>
      <c r="R327">
        <f>N327+0.616*AT326</f>
        <v/>
      </c>
      <c r="S327">
        <f>IF($B$13&gt;=0.6,Q327,IF($B$13&lt;=0.2,R327,R327+2.5*(Q327-R327)*($B$13-0.2)))</f>
        <v/>
      </c>
      <c r="T327">
        <f>IF(A327=1,S327,T326*$B$27+S327*(1-$B$27))</f>
        <v/>
      </c>
      <c r="U327">
        <f>0.6105*EXP(17.27*T327/(T327+237.3))</f>
        <v/>
      </c>
      <c r="V327">
        <f>($B$14*(I327*C327+IF(ABS((D327+0.1)-D327)&lt;0.000000001,4*$B$19*$B$20*(D327+273)^3,$B$19*$B$20*(((D327+0.1)+273)^4-(D327+273)^4)/((D327+0.1)-D327))*D327)+T327/H327)/($B$14*(I327+IF(ABS((D327+0.1)-D327)&lt;0.000000001,4*$B$19*$B$20*(D327+273)^3,$B$19*$B$20*(((D327+0.1)+273)^4-(D327+273)^4)/((D327+0.1)-D327)))+1/H327)</f>
        <v/>
      </c>
      <c r="W327">
        <f>($B$14*(I327*C327+IF(ABS(V327-D327)&lt;0.000000001,4*$B$19*$B$20*(D327+273)^3,$B$19*$B$20*((V327+273)^4-(D327+273)^4)/(V327-D327))*D327)+T327/H327)/($B$14*(I327+IF(ABS(V327-D327)&lt;0.000000001,4*$B$19*$B$20*(D327+273)^3,$B$19*$B$20*((V327+273)^4-(D327+273)^4)/(V327-D327)))+1/H327)</f>
        <v/>
      </c>
      <c r="X327">
        <f>($B$14*(I327*C327+IF(ABS(W327-D327)&lt;0.000000001,4*$B$19*$B$20*(D327+273)^3,$B$19*$B$20*((W327+273)^4-(D327+273)^4)/(W327-D327))*D327)+T327/H327)/($B$14*(I327+IF(ABS(W327-D327)&lt;0.000000001,4*$B$19*$B$20*(D327+273)^3,$B$19*$B$20*((W327+273)^4-(D327+273)^4)/(W327-D327)))+1/H327)</f>
        <v/>
      </c>
      <c r="Y327">
        <f>($B$14*(I327*C327+IF(ABS(X327-D327)&lt;0.000000001,4*$B$19*$B$20*(D327+273)^3,$B$19*$B$20*((X327+273)^4-(D327+273)^4)/(X327-D327))*D327)+T327/H327)/($B$14*(I327+IF(ABS(X327-D327)&lt;0.000000001,4*$B$19*$B$20*(D327+273)^3,$B$19*$B$20*((X327+273)^4-(D327+273)^4)/(X327-D327)))+1/H327)</f>
        <v/>
      </c>
      <c r="Z327">
        <f>IF(ABS(Y327-D327)&lt;0.000000001,4*$B$19*$B$20*(D327+273)^3,$B$19*$B$20*((Y327+273)^4-(D327+273)^4)/(Y327-D327))</f>
        <v/>
      </c>
      <c r="AA327">
        <f>$B$14*I327*(Y327-C327)</f>
        <v/>
      </c>
      <c r="AB327">
        <f>$B$14*Z327*(Y327-D327)</f>
        <v/>
      </c>
      <c r="AC327">
        <f>IF((U327-E327)/G327=0,0.001,(U327-E327)/G327)</f>
        <v/>
      </c>
      <c r="AD327">
        <f>F327-P327-J327-K327-AA327-AB327</f>
        <v/>
      </c>
      <c r="AE327">
        <f>AD327/AC327</f>
        <v/>
      </c>
      <c r="AF327">
        <f>IF(AD327&lt;=0,0,IF(AC327&lt;=0,$B$11,IF(AE327&gt;=1.7,$B$11,MIN(AD327/MAX(0.05,IF(AE327&gt;1,(2-AE327)^2/2,1-AE327^2/2)),$B$11))))</f>
        <v/>
      </c>
      <c r="AG327">
        <f>AG326*$B$28+AF327*(1-$B$28)</f>
        <v/>
      </c>
      <c r="AH327">
        <f>IF(AND(AD327&gt;0,AC327&lt;=0),0,AC327)</f>
        <v/>
      </c>
      <c r="AI327">
        <f>AH327/MAX(AG327,0.000001)</f>
        <v/>
      </c>
      <c r="AJ327">
        <f>MIN(IF(AI327&gt;=0.5,-AI327+SQRT(AI327^2+2),1),$B$12)</f>
        <v/>
      </c>
      <c r="AK327">
        <f>IF(AG327&lt;=0,0,AJ327*AH327)</f>
        <v/>
      </c>
      <c r="AL327">
        <f>IF(AD327&lt;=0,0,AD327)</f>
        <v/>
      </c>
      <c r="AM327">
        <f>AL327-AK327+P327</f>
        <v/>
      </c>
      <c r="AN327">
        <f>((AM327/$B$7+T326*AS326/2-T327*MAX(0.1,MIN(0.3,0.3-0.09*(AR326-36.8)))/2)+AR326*(1-AS326/2))/(1-MAX(0.1,MIN(0.3,0.3-0.09*(AR326-36.8)))/2)</f>
        <v/>
      </c>
      <c r="AO327">
        <f>((AM327/$B$7+T326*AS326/2-T327*MAX(0.1,MIN(0.3,0.3-0.09*(AN327-36.8)))/2)+AR326*(1-AS326/2))/(1-MAX(0.1,MIN(0.3,0.3-0.09*(AN327-36.8)))/2)</f>
        <v/>
      </c>
      <c r="AP327">
        <f>((AM327/$B$7+T326*AS326/2-T327*MAX(0.1,MIN(0.3,0.3-0.09*(AO327-36.8)))/2)+AR326*(1-AS326/2))/(1-MAX(0.1,MIN(0.3,0.3-0.09*(AO327-36.8)))/2)</f>
        <v/>
      </c>
      <c r="AQ327">
        <f>((AM327/$B$7+T326*AS326/2-T327*MAX(0.1,MIN(0.3,0.3-0.09*(AP327-36.8)))/2)+AR326*(1-AS326/2))/(1-MAX(0.1,MIN(0.3,0.3-0.09*(AP327-36.8)))/2)</f>
        <v/>
      </c>
      <c r="AR327">
        <f>((AM327/$B$7+T326*AS326/2-T327*MAX(0.1,MIN(0.3,0.3-0.09*(AQ327-36.8)))/2)+AR326*(1-AS326/2))/(1-MAX(0.1,MIN(0.3,0.3-0.09*(AQ327-36.8)))/2)</f>
        <v/>
      </c>
      <c r="AS327">
        <f>MAX(0.1,MIN(0.3,0.3-0.09*(AR327-36.8)))</f>
        <v/>
      </c>
      <c r="AT327">
        <f>AT326+(2*AR327-1.962*AT326-1.31)/9</f>
        <v/>
      </c>
      <c r="AU327">
        <f>AU326+AG327+K327</f>
        <v/>
      </c>
      <c r="AV327">
        <f>AU327*2.67*$B$6/1.8/60</f>
        <v/>
      </c>
      <c r="AW327">
        <f>IF(AT327&gt;=$B$36,1,0)</f>
        <v/>
      </c>
      <c r="AX327">
        <f>IF(AV327&gt;=$B$21,1,0)</f>
        <v/>
      </c>
    </row>
    <row r="328">
      <c r="A328" t="n">
        <v>255</v>
      </c>
      <c r="B328">
        <f>MATCH(A328-1,$D$61:$D$68,1)</f>
        <v/>
      </c>
      <c r="C328">
        <f>INDEX($G$61:$G$68,B328)</f>
        <v/>
      </c>
      <c r="D328">
        <f>INDEX($L$61:$L$68,B328)</f>
        <v/>
      </c>
      <c r="E328">
        <f>INDEX($M$61:$M$68,B328)</f>
        <v/>
      </c>
      <c r="F328">
        <f>INDEX($N$61:$N$68,B328)</f>
        <v/>
      </c>
      <c r="G328">
        <f>INDEX($AA$61:$AA$68,B328)</f>
        <v/>
      </c>
      <c r="H328">
        <f>INDEX($X$61:$X$68,B328)</f>
        <v/>
      </c>
      <c r="I328">
        <f>INDEX($AF$61:$AF$68,B328)</f>
        <v/>
      </c>
      <c r="J328">
        <f>INDEX($AC$61:$AC$68,B328)</f>
        <v/>
      </c>
      <c r="K328">
        <f>INDEX($AD$61:$AD$68,B328)</f>
        <v/>
      </c>
      <c r="L328">
        <f>INDEX($AG$61:$AG$68,B328)</f>
        <v/>
      </c>
      <c r="M328">
        <f>INDEX($AH$61:$AH$68,B328)</f>
        <v/>
      </c>
      <c r="N328">
        <f>INDEX($AI$61:$AI$68,B328)</f>
        <v/>
      </c>
      <c r="O328">
        <f>O327*$B$26+L328*(1-$B$26)</f>
        <v/>
      </c>
      <c r="P328">
        <f>$B$7*(O328-O327)*(1-AS327)</f>
        <v/>
      </c>
      <c r="Q328">
        <f>M328+0.51274*AT327</f>
        <v/>
      </c>
      <c r="R328">
        <f>N328+0.616*AT327</f>
        <v/>
      </c>
      <c r="S328">
        <f>IF($B$13&gt;=0.6,Q328,IF($B$13&lt;=0.2,R328,R328+2.5*(Q328-R328)*($B$13-0.2)))</f>
        <v/>
      </c>
      <c r="T328">
        <f>IF(A328=1,S328,T327*$B$27+S328*(1-$B$27))</f>
        <v/>
      </c>
      <c r="U328">
        <f>0.6105*EXP(17.27*T328/(T328+237.3))</f>
        <v/>
      </c>
      <c r="V328">
        <f>($B$14*(I328*C328+IF(ABS((D328+0.1)-D328)&lt;0.000000001,4*$B$19*$B$20*(D328+273)^3,$B$19*$B$20*(((D328+0.1)+273)^4-(D328+273)^4)/((D328+0.1)-D328))*D328)+T328/H328)/($B$14*(I328+IF(ABS((D328+0.1)-D328)&lt;0.000000001,4*$B$19*$B$20*(D328+273)^3,$B$19*$B$20*(((D328+0.1)+273)^4-(D328+273)^4)/((D328+0.1)-D328)))+1/H328)</f>
        <v/>
      </c>
      <c r="W328">
        <f>($B$14*(I328*C328+IF(ABS(V328-D328)&lt;0.000000001,4*$B$19*$B$20*(D328+273)^3,$B$19*$B$20*((V328+273)^4-(D328+273)^4)/(V328-D328))*D328)+T328/H328)/($B$14*(I328+IF(ABS(V328-D328)&lt;0.000000001,4*$B$19*$B$20*(D328+273)^3,$B$19*$B$20*((V328+273)^4-(D328+273)^4)/(V328-D328)))+1/H328)</f>
        <v/>
      </c>
      <c r="X328">
        <f>($B$14*(I328*C328+IF(ABS(W328-D328)&lt;0.000000001,4*$B$19*$B$20*(D328+273)^3,$B$19*$B$20*((W328+273)^4-(D328+273)^4)/(W328-D328))*D328)+T328/H328)/($B$14*(I328+IF(ABS(W328-D328)&lt;0.000000001,4*$B$19*$B$20*(D328+273)^3,$B$19*$B$20*((W328+273)^4-(D328+273)^4)/(W328-D328)))+1/H328)</f>
        <v/>
      </c>
      <c r="Y328">
        <f>($B$14*(I328*C328+IF(ABS(X328-D328)&lt;0.000000001,4*$B$19*$B$20*(D328+273)^3,$B$19*$B$20*((X328+273)^4-(D328+273)^4)/(X328-D328))*D328)+T328/H328)/($B$14*(I328+IF(ABS(X328-D328)&lt;0.000000001,4*$B$19*$B$20*(D328+273)^3,$B$19*$B$20*((X328+273)^4-(D328+273)^4)/(X328-D328)))+1/H328)</f>
        <v/>
      </c>
      <c r="Z328">
        <f>IF(ABS(Y328-D328)&lt;0.000000001,4*$B$19*$B$20*(D328+273)^3,$B$19*$B$20*((Y328+273)^4-(D328+273)^4)/(Y328-D328))</f>
        <v/>
      </c>
      <c r="AA328">
        <f>$B$14*I328*(Y328-C328)</f>
        <v/>
      </c>
      <c r="AB328">
        <f>$B$14*Z328*(Y328-D328)</f>
        <v/>
      </c>
      <c r="AC328">
        <f>IF((U328-E328)/G328=0,0.001,(U328-E328)/G328)</f>
        <v/>
      </c>
      <c r="AD328">
        <f>F328-P328-J328-K328-AA328-AB328</f>
        <v/>
      </c>
      <c r="AE328">
        <f>AD328/AC328</f>
        <v/>
      </c>
      <c r="AF328">
        <f>IF(AD328&lt;=0,0,IF(AC328&lt;=0,$B$11,IF(AE328&gt;=1.7,$B$11,MIN(AD328/MAX(0.05,IF(AE328&gt;1,(2-AE328)^2/2,1-AE328^2/2)),$B$11))))</f>
        <v/>
      </c>
      <c r="AG328">
        <f>AG327*$B$28+AF328*(1-$B$28)</f>
        <v/>
      </c>
      <c r="AH328">
        <f>IF(AND(AD328&gt;0,AC328&lt;=0),0,AC328)</f>
        <v/>
      </c>
      <c r="AI328">
        <f>AH328/MAX(AG328,0.000001)</f>
        <v/>
      </c>
      <c r="AJ328">
        <f>MIN(IF(AI328&gt;=0.5,-AI328+SQRT(AI328^2+2),1),$B$12)</f>
        <v/>
      </c>
      <c r="AK328">
        <f>IF(AG328&lt;=0,0,AJ328*AH328)</f>
        <v/>
      </c>
      <c r="AL328">
        <f>IF(AD328&lt;=0,0,AD328)</f>
        <v/>
      </c>
      <c r="AM328">
        <f>AL328-AK328+P328</f>
        <v/>
      </c>
      <c r="AN328">
        <f>((AM328/$B$7+T327*AS327/2-T328*MAX(0.1,MIN(0.3,0.3-0.09*(AR327-36.8)))/2)+AR327*(1-AS327/2))/(1-MAX(0.1,MIN(0.3,0.3-0.09*(AR327-36.8)))/2)</f>
        <v/>
      </c>
      <c r="AO328">
        <f>((AM328/$B$7+T327*AS327/2-T328*MAX(0.1,MIN(0.3,0.3-0.09*(AN328-36.8)))/2)+AR327*(1-AS327/2))/(1-MAX(0.1,MIN(0.3,0.3-0.09*(AN328-36.8)))/2)</f>
        <v/>
      </c>
      <c r="AP328">
        <f>((AM328/$B$7+T327*AS327/2-T328*MAX(0.1,MIN(0.3,0.3-0.09*(AO328-36.8)))/2)+AR327*(1-AS327/2))/(1-MAX(0.1,MIN(0.3,0.3-0.09*(AO328-36.8)))/2)</f>
        <v/>
      </c>
      <c r="AQ328">
        <f>((AM328/$B$7+T327*AS327/2-T328*MAX(0.1,MIN(0.3,0.3-0.09*(AP328-36.8)))/2)+AR327*(1-AS327/2))/(1-MAX(0.1,MIN(0.3,0.3-0.09*(AP328-36.8)))/2)</f>
        <v/>
      </c>
      <c r="AR328">
        <f>((AM328/$B$7+T327*AS327/2-T328*MAX(0.1,MIN(0.3,0.3-0.09*(AQ328-36.8)))/2)+AR327*(1-AS327/2))/(1-MAX(0.1,MIN(0.3,0.3-0.09*(AQ328-36.8)))/2)</f>
        <v/>
      </c>
      <c r="AS328">
        <f>MAX(0.1,MIN(0.3,0.3-0.09*(AR328-36.8)))</f>
        <v/>
      </c>
      <c r="AT328">
        <f>AT327+(2*AR328-1.962*AT327-1.31)/9</f>
        <v/>
      </c>
      <c r="AU328">
        <f>AU327+AG328+K328</f>
        <v/>
      </c>
      <c r="AV328">
        <f>AU328*2.67*$B$6/1.8/60</f>
        <v/>
      </c>
      <c r="AW328">
        <f>IF(AT328&gt;=$B$36,1,0)</f>
        <v/>
      </c>
      <c r="AX328">
        <f>IF(AV328&gt;=$B$21,1,0)</f>
        <v/>
      </c>
    </row>
    <row r="329">
      <c r="A329" t="n">
        <v>256</v>
      </c>
      <c r="B329">
        <f>MATCH(A329-1,$D$61:$D$68,1)</f>
        <v/>
      </c>
      <c r="C329">
        <f>INDEX($G$61:$G$68,B329)</f>
        <v/>
      </c>
      <c r="D329">
        <f>INDEX($L$61:$L$68,B329)</f>
        <v/>
      </c>
      <c r="E329">
        <f>INDEX($M$61:$M$68,B329)</f>
        <v/>
      </c>
      <c r="F329">
        <f>INDEX($N$61:$N$68,B329)</f>
        <v/>
      </c>
      <c r="G329">
        <f>INDEX($AA$61:$AA$68,B329)</f>
        <v/>
      </c>
      <c r="H329">
        <f>INDEX($X$61:$X$68,B329)</f>
        <v/>
      </c>
      <c r="I329">
        <f>INDEX($AF$61:$AF$68,B329)</f>
        <v/>
      </c>
      <c r="J329">
        <f>INDEX($AC$61:$AC$68,B329)</f>
        <v/>
      </c>
      <c r="K329">
        <f>INDEX($AD$61:$AD$68,B329)</f>
        <v/>
      </c>
      <c r="L329">
        <f>INDEX($AG$61:$AG$68,B329)</f>
        <v/>
      </c>
      <c r="M329">
        <f>INDEX($AH$61:$AH$68,B329)</f>
        <v/>
      </c>
      <c r="N329">
        <f>INDEX($AI$61:$AI$68,B329)</f>
        <v/>
      </c>
      <c r="O329">
        <f>O328*$B$26+L329*(1-$B$26)</f>
        <v/>
      </c>
      <c r="P329">
        <f>$B$7*(O329-O328)*(1-AS328)</f>
        <v/>
      </c>
      <c r="Q329">
        <f>M329+0.51274*AT328</f>
        <v/>
      </c>
      <c r="R329">
        <f>N329+0.616*AT328</f>
        <v/>
      </c>
      <c r="S329">
        <f>IF($B$13&gt;=0.6,Q329,IF($B$13&lt;=0.2,R329,R329+2.5*(Q329-R329)*($B$13-0.2)))</f>
        <v/>
      </c>
      <c r="T329">
        <f>IF(A329=1,S329,T328*$B$27+S329*(1-$B$27))</f>
        <v/>
      </c>
      <c r="U329">
        <f>0.6105*EXP(17.27*T329/(T329+237.3))</f>
        <v/>
      </c>
      <c r="V329">
        <f>($B$14*(I329*C329+IF(ABS((D329+0.1)-D329)&lt;0.000000001,4*$B$19*$B$20*(D329+273)^3,$B$19*$B$20*(((D329+0.1)+273)^4-(D329+273)^4)/((D329+0.1)-D329))*D329)+T329/H329)/($B$14*(I329+IF(ABS((D329+0.1)-D329)&lt;0.000000001,4*$B$19*$B$20*(D329+273)^3,$B$19*$B$20*(((D329+0.1)+273)^4-(D329+273)^4)/((D329+0.1)-D329)))+1/H329)</f>
        <v/>
      </c>
      <c r="W329">
        <f>($B$14*(I329*C329+IF(ABS(V329-D329)&lt;0.000000001,4*$B$19*$B$20*(D329+273)^3,$B$19*$B$20*((V329+273)^4-(D329+273)^4)/(V329-D329))*D329)+T329/H329)/($B$14*(I329+IF(ABS(V329-D329)&lt;0.000000001,4*$B$19*$B$20*(D329+273)^3,$B$19*$B$20*((V329+273)^4-(D329+273)^4)/(V329-D329)))+1/H329)</f>
        <v/>
      </c>
      <c r="X329">
        <f>($B$14*(I329*C329+IF(ABS(W329-D329)&lt;0.000000001,4*$B$19*$B$20*(D329+273)^3,$B$19*$B$20*((W329+273)^4-(D329+273)^4)/(W329-D329))*D329)+T329/H329)/($B$14*(I329+IF(ABS(W329-D329)&lt;0.000000001,4*$B$19*$B$20*(D329+273)^3,$B$19*$B$20*((W329+273)^4-(D329+273)^4)/(W329-D329)))+1/H329)</f>
        <v/>
      </c>
      <c r="Y329">
        <f>($B$14*(I329*C329+IF(ABS(X329-D329)&lt;0.000000001,4*$B$19*$B$20*(D329+273)^3,$B$19*$B$20*((X329+273)^4-(D329+273)^4)/(X329-D329))*D329)+T329/H329)/($B$14*(I329+IF(ABS(X329-D329)&lt;0.000000001,4*$B$19*$B$20*(D329+273)^3,$B$19*$B$20*((X329+273)^4-(D329+273)^4)/(X329-D329)))+1/H329)</f>
        <v/>
      </c>
      <c r="Z329">
        <f>IF(ABS(Y329-D329)&lt;0.000000001,4*$B$19*$B$20*(D329+273)^3,$B$19*$B$20*((Y329+273)^4-(D329+273)^4)/(Y329-D329))</f>
        <v/>
      </c>
      <c r="AA329">
        <f>$B$14*I329*(Y329-C329)</f>
        <v/>
      </c>
      <c r="AB329">
        <f>$B$14*Z329*(Y329-D329)</f>
        <v/>
      </c>
      <c r="AC329">
        <f>IF((U329-E329)/G329=0,0.001,(U329-E329)/G329)</f>
        <v/>
      </c>
      <c r="AD329">
        <f>F329-P329-J329-K329-AA329-AB329</f>
        <v/>
      </c>
      <c r="AE329">
        <f>AD329/AC329</f>
        <v/>
      </c>
      <c r="AF329">
        <f>IF(AD329&lt;=0,0,IF(AC329&lt;=0,$B$11,IF(AE329&gt;=1.7,$B$11,MIN(AD329/MAX(0.05,IF(AE329&gt;1,(2-AE329)^2/2,1-AE329^2/2)),$B$11))))</f>
        <v/>
      </c>
      <c r="AG329">
        <f>AG328*$B$28+AF329*(1-$B$28)</f>
        <v/>
      </c>
      <c r="AH329">
        <f>IF(AND(AD329&gt;0,AC329&lt;=0),0,AC329)</f>
        <v/>
      </c>
      <c r="AI329">
        <f>AH329/MAX(AG329,0.000001)</f>
        <v/>
      </c>
      <c r="AJ329">
        <f>MIN(IF(AI329&gt;=0.5,-AI329+SQRT(AI329^2+2),1),$B$12)</f>
        <v/>
      </c>
      <c r="AK329">
        <f>IF(AG329&lt;=0,0,AJ329*AH329)</f>
        <v/>
      </c>
      <c r="AL329">
        <f>IF(AD329&lt;=0,0,AD329)</f>
        <v/>
      </c>
      <c r="AM329">
        <f>AL329-AK329+P329</f>
        <v/>
      </c>
      <c r="AN329">
        <f>((AM329/$B$7+T328*AS328/2-T329*MAX(0.1,MIN(0.3,0.3-0.09*(AR328-36.8)))/2)+AR328*(1-AS328/2))/(1-MAX(0.1,MIN(0.3,0.3-0.09*(AR328-36.8)))/2)</f>
        <v/>
      </c>
      <c r="AO329">
        <f>((AM329/$B$7+T328*AS328/2-T329*MAX(0.1,MIN(0.3,0.3-0.09*(AN329-36.8)))/2)+AR328*(1-AS328/2))/(1-MAX(0.1,MIN(0.3,0.3-0.09*(AN329-36.8)))/2)</f>
        <v/>
      </c>
      <c r="AP329">
        <f>((AM329/$B$7+T328*AS328/2-T329*MAX(0.1,MIN(0.3,0.3-0.09*(AO329-36.8)))/2)+AR328*(1-AS328/2))/(1-MAX(0.1,MIN(0.3,0.3-0.09*(AO329-36.8)))/2)</f>
        <v/>
      </c>
      <c r="AQ329">
        <f>((AM329/$B$7+T328*AS328/2-T329*MAX(0.1,MIN(0.3,0.3-0.09*(AP329-36.8)))/2)+AR328*(1-AS328/2))/(1-MAX(0.1,MIN(0.3,0.3-0.09*(AP329-36.8)))/2)</f>
        <v/>
      </c>
      <c r="AR329">
        <f>((AM329/$B$7+T328*AS328/2-T329*MAX(0.1,MIN(0.3,0.3-0.09*(AQ329-36.8)))/2)+AR328*(1-AS328/2))/(1-MAX(0.1,MIN(0.3,0.3-0.09*(AQ329-36.8)))/2)</f>
        <v/>
      </c>
      <c r="AS329">
        <f>MAX(0.1,MIN(0.3,0.3-0.09*(AR329-36.8)))</f>
        <v/>
      </c>
      <c r="AT329">
        <f>AT328+(2*AR329-1.962*AT328-1.31)/9</f>
        <v/>
      </c>
      <c r="AU329">
        <f>AU328+AG329+K329</f>
        <v/>
      </c>
      <c r="AV329">
        <f>AU329*2.67*$B$6/1.8/60</f>
        <v/>
      </c>
      <c r="AW329">
        <f>IF(AT329&gt;=$B$36,1,0)</f>
        <v/>
      </c>
      <c r="AX329">
        <f>IF(AV329&gt;=$B$21,1,0)</f>
        <v/>
      </c>
    </row>
    <row r="330">
      <c r="A330" t="n">
        <v>257</v>
      </c>
      <c r="B330">
        <f>MATCH(A330-1,$D$61:$D$68,1)</f>
        <v/>
      </c>
      <c r="C330">
        <f>INDEX($G$61:$G$68,B330)</f>
        <v/>
      </c>
      <c r="D330">
        <f>INDEX($L$61:$L$68,B330)</f>
        <v/>
      </c>
      <c r="E330">
        <f>INDEX($M$61:$M$68,B330)</f>
        <v/>
      </c>
      <c r="F330">
        <f>INDEX($N$61:$N$68,B330)</f>
        <v/>
      </c>
      <c r="G330">
        <f>INDEX($AA$61:$AA$68,B330)</f>
        <v/>
      </c>
      <c r="H330">
        <f>INDEX($X$61:$X$68,B330)</f>
        <v/>
      </c>
      <c r="I330">
        <f>INDEX($AF$61:$AF$68,B330)</f>
        <v/>
      </c>
      <c r="J330">
        <f>INDEX($AC$61:$AC$68,B330)</f>
        <v/>
      </c>
      <c r="K330">
        <f>INDEX($AD$61:$AD$68,B330)</f>
        <v/>
      </c>
      <c r="L330">
        <f>INDEX($AG$61:$AG$68,B330)</f>
        <v/>
      </c>
      <c r="M330">
        <f>INDEX($AH$61:$AH$68,B330)</f>
        <v/>
      </c>
      <c r="N330">
        <f>INDEX($AI$61:$AI$68,B330)</f>
        <v/>
      </c>
      <c r="O330">
        <f>O329*$B$26+L330*(1-$B$26)</f>
        <v/>
      </c>
      <c r="P330">
        <f>$B$7*(O330-O329)*(1-AS329)</f>
        <v/>
      </c>
      <c r="Q330">
        <f>M330+0.51274*AT329</f>
        <v/>
      </c>
      <c r="R330">
        <f>N330+0.616*AT329</f>
        <v/>
      </c>
      <c r="S330">
        <f>IF($B$13&gt;=0.6,Q330,IF($B$13&lt;=0.2,R330,R330+2.5*(Q330-R330)*($B$13-0.2)))</f>
        <v/>
      </c>
      <c r="T330">
        <f>IF(A330=1,S330,T329*$B$27+S330*(1-$B$27))</f>
        <v/>
      </c>
      <c r="U330">
        <f>0.6105*EXP(17.27*T330/(T330+237.3))</f>
        <v/>
      </c>
      <c r="V330">
        <f>($B$14*(I330*C330+IF(ABS((D330+0.1)-D330)&lt;0.000000001,4*$B$19*$B$20*(D330+273)^3,$B$19*$B$20*(((D330+0.1)+273)^4-(D330+273)^4)/((D330+0.1)-D330))*D330)+T330/H330)/($B$14*(I330+IF(ABS((D330+0.1)-D330)&lt;0.000000001,4*$B$19*$B$20*(D330+273)^3,$B$19*$B$20*(((D330+0.1)+273)^4-(D330+273)^4)/((D330+0.1)-D330)))+1/H330)</f>
        <v/>
      </c>
      <c r="W330">
        <f>($B$14*(I330*C330+IF(ABS(V330-D330)&lt;0.000000001,4*$B$19*$B$20*(D330+273)^3,$B$19*$B$20*((V330+273)^4-(D330+273)^4)/(V330-D330))*D330)+T330/H330)/($B$14*(I330+IF(ABS(V330-D330)&lt;0.000000001,4*$B$19*$B$20*(D330+273)^3,$B$19*$B$20*((V330+273)^4-(D330+273)^4)/(V330-D330)))+1/H330)</f>
        <v/>
      </c>
      <c r="X330">
        <f>($B$14*(I330*C330+IF(ABS(W330-D330)&lt;0.000000001,4*$B$19*$B$20*(D330+273)^3,$B$19*$B$20*((W330+273)^4-(D330+273)^4)/(W330-D330))*D330)+T330/H330)/($B$14*(I330+IF(ABS(W330-D330)&lt;0.000000001,4*$B$19*$B$20*(D330+273)^3,$B$19*$B$20*((W330+273)^4-(D330+273)^4)/(W330-D330)))+1/H330)</f>
        <v/>
      </c>
      <c r="Y330">
        <f>($B$14*(I330*C330+IF(ABS(X330-D330)&lt;0.000000001,4*$B$19*$B$20*(D330+273)^3,$B$19*$B$20*((X330+273)^4-(D330+273)^4)/(X330-D330))*D330)+T330/H330)/($B$14*(I330+IF(ABS(X330-D330)&lt;0.000000001,4*$B$19*$B$20*(D330+273)^3,$B$19*$B$20*((X330+273)^4-(D330+273)^4)/(X330-D330)))+1/H330)</f>
        <v/>
      </c>
      <c r="Z330">
        <f>IF(ABS(Y330-D330)&lt;0.000000001,4*$B$19*$B$20*(D330+273)^3,$B$19*$B$20*((Y330+273)^4-(D330+273)^4)/(Y330-D330))</f>
        <v/>
      </c>
      <c r="AA330">
        <f>$B$14*I330*(Y330-C330)</f>
        <v/>
      </c>
      <c r="AB330">
        <f>$B$14*Z330*(Y330-D330)</f>
        <v/>
      </c>
      <c r="AC330">
        <f>IF((U330-E330)/G330=0,0.001,(U330-E330)/G330)</f>
        <v/>
      </c>
      <c r="AD330">
        <f>F330-P330-J330-K330-AA330-AB330</f>
        <v/>
      </c>
      <c r="AE330">
        <f>AD330/AC330</f>
        <v/>
      </c>
      <c r="AF330">
        <f>IF(AD330&lt;=0,0,IF(AC330&lt;=0,$B$11,IF(AE330&gt;=1.7,$B$11,MIN(AD330/MAX(0.05,IF(AE330&gt;1,(2-AE330)^2/2,1-AE330^2/2)),$B$11))))</f>
        <v/>
      </c>
      <c r="AG330">
        <f>AG329*$B$28+AF330*(1-$B$28)</f>
        <v/>
      </c>
      <c r="AH330">
        <f>IF(AND(AD330&gt;0,AC330&lt;=0),0,AC330)</f>
        <v/>
      </c>
      <c r="AI330">
        <f>AH330/MAX(AG330,0.000001)</f>
        <v/>
      </c>
      <c r="AJ330">
        <f>MIN(IF(AI330&gt;=0.5,-AI330+SQRT(AI330^2+2),1),$B$12)</f>
        <v/>
      </c>
      <c r="AK330">
        <f>IF(AG330&lt;=0,0,AJ330*AH330)</f>
        <v/>
      </c>
      <c r="AL330">
        <f>IF(AD330&lt;=0,0,AD330)</f>
        <v/>
      </c>
      <c r="AM330">
        <f>AL330-AK330+P330</f>
        <v/>
      </c>
      <c r="AN330">
        <f>((AM330/$B$7+T329*AS329/2-T330*MAX(0.1,MIN(0.3,0.3-0.09*(AR329-36.8)))/2)+AR329*(1-AS329/2))/(1-MAX(0.1,MIN(0.3,0.3-0.09*(AR329-36.8)))/2)</f>
        <v/>
      </c>
      <c r="AO330">
        <f>((AM330/$B$7+T329*AS329/2-T330*MAX(0.1,MIN(0.3,0.3-0.09*(AN330-36.8)))/2)+AR329*(1-AS329/2))/(1-MAX(0.1,MIN(0.3,0.3-0.09*(AN330-36.8)))/2)</f>
        <v/>
      </c>
      <c r="AP330">
        <f>((AM330/$B$7+T329*AS329/2-T330*MAX(0.1,MIN(0.3,0.3-0.09*(AO330-36.8)))/2)+AR329*(1-AS329/2))/(1-MAX(0.1,MIN(0.3,0.3-0.09*(AO330-36.8)))/2)</f>
        <v/>
      </c>
      <c r="AQ330">
        <f>((AM330/$B$7+T329*AS329/2-T330*MAX(0.1,MIN(0.3,0.3-0.09*(AP330-36.8)))/2)+AR329*(1-AS329/2))/(1-MAX(0.1,MIN(0.3,0.3-0.09*(AP330-36.8)))/2)</f>
        <v/>
      </c>
      <c r="AR330">
        <f>((AM330/$B$7+T329*AS329/2-T330*MAX(0.1,MIN(0.3,0.3-0.09*(AQ330-36.8)))/2)+AR329*(1-AS329/2))/(1-MAX(0.1,MIN(0.3,0.3-0.09*(AQ330-36.8)))/2)</f>
        <v/>
      </c>
      <c r="AS330">
        <f>MAX(0.1,MIN(0.3,0.3-0.09*(AR330-36.8)))</f>
        <v/>
      </c>
      <c r="AT330">
        <f>AT329+(2*AR330-1.962*AT329-1.31)/9</f>
        <v/>
      </c>
      <c r="AU330">
        <f>AU329+AG330+K330</f>
        <v/>
      </c>
      <c r="AV330">
        <f>AU330*2.67*$B$6/1.8/60</f>
        <v/>
      </c>
      <c r="AW330">
        <f>IF(AT330&gt;=$B$36,1,0)</f>
        <v/>
      </c>
      <c r="AX330">
        <f>IF(AV330&gt;=$B$21,1,0)</f>
        <v/>
      </c>
    </row>
    <row r="331">
      <c r="A331" t="n">
        <v>258</v>
      </c>
      <c r="B331">
        <f>MATCH(A331-1,$D$61:$D$68,1)</f>
        <v/>
      </c>
      <c r="C331">
        <f>INDEX($G$61:$G$68,B331)</f>
        <v/>
      </c>
      <c r="D331">
        <f>INDEX($L$61:$L$68,B331)</f>
        <v/>
      </c>
      <c r="E331">
        <f>INDEX($M$61:$M$68,B331)</f>
        <v/>
      </c>
      <c r="F331">
        <f>INDEX($N$61:$N$68,B331)</f>
        <v/>
      </c>
      <c r="G331">
        <f>INDEX($AA$61:$AA$68,B331)</f>
        <v/>
      </c>
      <c r="H331">
        <f>INDEX($X$61:$X$68,B331)</f>
        <v/>
      </c>
      <c r="I331">
        <f>INDEX($AF$61:$AF$68,B331)</f>
        <v/>
      </c>
      <c r="J331">
        <f>INDEX($AC$61:$AC$68,B331)</f>
        <v/>
      </c>
      <c r="K331">
        <f>INDEX($AD$61:$AD$68,B331)</f>
        <v/>
      </c>
      <c r="L331">
        <f>INDEX($AG$61:$AG$68,B331)</f>
        <v/>
      </c>
      <c r="M331">
        <f>INDEX($AH$61:$AH$68,B331)</f>
        <v/>
      </c>
      <c r="N331">
        <f>INDEX($AI$61:$AI$68,B331)</f>
        <v/>
      </c>
      <c r="O331">
        <f>O330*$B$26+L331*(1-$B$26)</f>
        <v/>
      </c>
      <c r="P331">
        <f>$B$7*(O331-O330)*(1-AS330)</f>
        <v/>
      </c>
      <c r="Q331">
        <f>M331+0.51274*AT330</f>
        <v/>
      </c>
      <c r="R331">
        <f>N331+0.616*AT330</f>
        <v/>
      </c>
      <c r="S331">
        <f>IF($B$13&gt;=0.6,Q331,IF($B$13&lt;=0.2,R331,R331+2.5*(Q331-R331)*($B$13-0.2)))</f>
        <v/>
      </c>
      <c r="T331">
        <f>IF(A331=1,S331,T330*$B$27+S331*(1-$B$27))</f>
        <v/>
      </c>
      <c r="U331">
        <f>0.6105*EXP(17.27*T331/(T331+237.3))</f>
        <v/>
      </c>
      <c r="V331">
        <f>($B$14*(I331*C331+IF(ABS((D331+0.1)-D331)&lt;0.000000001,4*$B$19*$B$20*(D331+273)^3,$B$19*$B$20*(((D331+0.1)+273)^4-(D331+273)^4)/((D331+0.1)-D331))*D331)+T331/H331)/($B$14*(I331+IF(ABS((D331+0.1)-D331)&lt;0.000000001,4*$B$19*$B$20*(D331+273)^3,$B$19*$B$20*(((D331+0.1)+273)^4-(D331+273)^4)/((D331+0.1)-D331)))+1/H331)</f>
        <v/>
      </c>
      <c r="W331">
        <f>($B$14*(I331*C331+IF(ABS(V331-D331)&lt;0.000000001,4*$B$19*$B$20*(D331+273)^3,$B$19*$B$20*((V331+273)^4-(D331+273)^4)/(V331-D331))*D331)+T331/H331)/($B$14*(I331+IF(ABS(V331-D331)&lt;0.000000001,4*$B$19*$B$20*(D331+273)^3,$B$19*$B$20*((V331+273)^4-(D331+273)^4)/(V331-D331)))+1/H331)</f>
        <v/>
      </c>
      <c r="X331">
        <f>($B$14*(I331*C331+IF(ABS(W331-D331)&lt;0.000000001,4*$B$19*$B$20*(D331+273)^3,$B$19*$B$20*((W331+273)^4-(D331+273)^4)/(W331-D331))*D331)+T331/H331)/($B$14*(I331+IF(ABS(W331-D331)&lt;0.000000001,4*$B$19*$B$20*(D331+273)^3,$B$19*$B$20*((W331+273)^4-(D331+273)^4)/(W331-D331)))+1/H331)</f>
        <v/>
      </c>
      <c r="Y331">
        <f>($B$14*(I331*C331+IF(ABS(X331-D331)&lt;0.000000001,4*$B$19*$B$20*(D331+273)^3,$B$19*$B$20*((X331+273)^4-(D331+273)^4)/(X331-D331))*D331)+T331/H331)/($B$14*(I331+IF(ABS(X331-D331)&lt;0.000000001,4*$B$19*$B$20*(D331+273)^3,$B$19*$B$20*((X331+273)^4-(D331+273)^4)/(X331-D331)))+1/H331)</f>
        <v/>
      </c>
      <c r="Z331">
        <f>IF(ABS(Y331-D331)&lt;0.000000001,4*$B$19*$B$20*(D331+273)^3,$B$19*$B$20*((Y331+273)^4-(D331+273)^4)/(Y331-D331))</f>
        <v/>
      </c>
      <c r="AA331">
        <f>$B$14*I331*(Y331-C331)</f>
        <v/>
      </c>
      <c r="AB331">
        <f>$B$14*Z331*(Y331-D331)</f>
        <v/>
      </c>
      <c r="AC331">
        <f>IF((U331-E331)/G331=0,0.001,(U331-E331)/G331)</f>
        <v/>
      </c>
      <c r="AD331">
        <f>F331-P331-J331-K331-AA331-AB331</f>
        <v/>
      </c>
      <c r="AE331">
        <f>AD331/AC331</f>
        <v/>
      </c>
      <c r="AF331">
        <f>IF(AD331&lt;=0,0,IF(AC331&lt;=0,$B$11,IF(AE331&gt;=1.7,$B$11,MIN(AD331/MAX(0.05,IF(AE331&gt;1,(2-AE331)^2/2,1-AE331^2/2)),$B$11))))</f>
        <v/>
      </c>
      <c r="AG331">
        <f>AG330*$B$28+AF331*(1-$B$28)</f>
        <v/>
      </c>
      <c r="AH331">
        <f>IF(AND(AD331&gt;0,AC331&lt;=0),0,AC331)</f>
        <v/>
      </c>
      <c r="AI331">
        <f>AH331/MAX(AG331,0.000001)</f>
        <v/>
      </c>
      <c r="AJ331">
        <f>MIN(IF(AI331&gt;=0.5,-AI331+SQRT(AI331^2+2),1),$B$12)</f>
        <v/>
      </c>
      <c r="AK331">
        <f>IF(AG331&lt;=0,0,AJ331*AH331)</f>
        <v/>
      </c>
      <c r="AL331">
        <f>IF(AD331&lt;=0,0,AD331)</f>
        <v/>
      </c>
      <c r="AM331">
        <f>AL331-AK331+P331</f>
        <v/>
      </c>
      <c r="AN331">
        <f>((AM331/$B$7+T330*AS330/2-T331*MAX(0.1,MIN(0.3,0.3-0.09*(AR330-36.8)))/2)+AR330*(1-AS330/2))/(1-MAX(0.1,MIN(0.3,0.3-0.09*(AR330-36.8)))/2)</f>
        <v/>
      </c>
      <c r="AO331">
        <f>((AM331/$B$7+T330*AS330/2-T331*MAX(0.1,MIN(0.3,0.3-0.09*(AN331-36.8)))/2)+AR330*(1-AS330/2))/(1-MAX(0.1,MIN(0.3,0.3-0.09*(AN331-36.8)))/2)</f>
        <v/>
      </c>
      <c r="AP331">
        <f>((AM331/$B$7+T330*AS330/2-T331*MAX(0.1,MIN(0.3,0.3-0.09*(AO331-36.8)))/2)+AR330*(1-AS330/2))/(1-MAX(0.1,MIN(0.3,0.3-0.09*(AO331-36.8)))/2)</f>
        <v/>
      </c>
      <c r="AQ331">
        <f>((AM331/$B$7+T330*AS330/2-T331*MAX(0.1,MIN(0.3,0.3-0.09*(AP331-36.8)))/2)+AR330*(1-AS330/2))/(1-MAX(0.1,MIN(0.3,0.3-0.09*(AP331-36.8)))/2)</f>
        <v/>
      </c>
      <c r="AR331">
        <f>((AM331/$B$7+T330*AS330/2-T331*MAX(0.1,MIN(0.3,0.3-0.09*(AQ331-36.8)))/2)+AR330*(1-AS330/2))/(1-MAX(0.1,MIN(0.3,0.3-0.09*(AQ331-36.8)))/2)</f>
        <v/>
      </c>
      <c r="AS331">
        <f>MAX(0.1,MIN(0.3,0.3-0.09*(AR331-36.8)))</f>
        <v/>
      </c>
      <c r="AT331">
        <f>AT330+(2*AR331-1.962*AT330-1.31)/9</f>
        <v/>
      </c>
      <c r="AU331">
        <f>AU330+AG331+K331</f>
        <v/>
      </c>
      <c r="AV331">
        <f>AU331*2.67*$B$6/1.8/60</f>
        <v/>
      </c>
      <c r="AW331">
        <f>IF(AT331&gt;=$B$36,1,0)</f>
        <v/>
      </c>
      <c r="AX331">
        <f>IF(AV331&gt;=$B$21,1,0)</f>
        <v/>
      </c>
    </row>
    <row r="332">
      <c r="A332" t="n">
        <v>259</v>
      </c>
      <c r="B332">
        <f>MATCH(A332-1,$D$61:$D$68,1)</f>
        <v/>
      </c>
      <c r="C332">
        <f>INDEX($G$61:$G$68,B332)</f>
        <v/>
      </c>
      <c r="D332">
        <f>INDEX($L$61:$L$68,B332)</f>
        <v/>
      </c>
      <c r="E332">
        <f>INDEX($M$61:$M$68,B332)</f>
        <v/>
      </c>
      <c r="F332">
        <f>INDEX($N$61:$N$68,B332)</f>
        <v/>
      </c>
      <c r="G332">
        <f>INDEX($AA$61:$AA$68,B332)</f>
        <v/>
      </c>
      <c r="H332">
        <f>INDEX($X$61:$X$68,B332)</f>
        <v/>
      </c>
      <c r="I332">
        <f>INDEX($AF$61:$AF$68,B332)</f>
        <v/>
      </c>
      <c r="J332">
        <f>INDEX($AC$61:$AC$68,B332)</f>
        <v/>
      </c>
      <c r="K332">
        <f>INDEX($AD$61:$AD$68,B332)</f>
        <v/>
      </c>
      <c r="L332">
        <f>INDEX($AG$61:$AG$68,B332)</f>
        <v/>
      </c>
      <c r="M332">
        <f>INDEX($AH$61:$AH$68,B332)</f>
        <v/>
      </c>
      <c r="N332">
        <f>INDEX($AI$61:$AI$68,B332)</f>
        <v/>
      </c>
      <c r="O332">
        <f>O331*$B$26+L332*(1-$B$26)</f>
        <v/>
      </c>
      <c r="P332">
        <f>$B$7*(O332-O331)*(1-AS331)</f>
        <v/>
      </c>
      <c r="Q332">
        <f>M332+0.51274*AT331</f>
        <v/>
      </c>
      <c r="R332">
        <f>N332+0.616*AT331</f>
        <v/>
      </c>
      <c r="S332">
        <f>IF($B$13&gt;=0.6,Q332,IF($B$13&lt;=0.2,R332,R332+2.5*(Q332-R332)*($B$13-0.2)))</f>
        <v/>
      </c>
      <c r="T332">
        <f>IF(A332=1,S332,T331*$B$27+S332*(1-$B$27))</f>
        <v/>
      </c>
      <c r="U332">
        <f>0.6105*EXP(17.27*T332/(T332+237.3))</f>
        <v/>
      </c>
      <c r="V332">
        <f>($B$14*(I332*C332+IF(ABS((D332+0.1)-D332)&lt;0.000000001,4*$B$19*$B$20*(D332+273)^3,$B$19*$B$20*(((D332+0.1)+273)^4-(D332+273)^4)/((D332+0.1)-D332))*D332)+T332/H332)/($B$14*(I332+IF(ABS((D332+0.1)-D332)&lt;0.000000001,4*$B$19*$B$20*(D332+273)^3,$B$19*$B$20*(((D332+0.1)+273)^4-(D332+273)^4)/((D332+0.1)-D332)))+1/H332)</f>
        <v/>
      </c>
      <c r="W332">
        <f>($B$14*(I332*C332+IF(ABS(V332-D332)&lt;0.000000001,4*$B$19*$B$20*(D332+273)^3,$B$19*$B$20*((V332+273)^4-(D332+273)^4)/(V332-D332))*D332)+T332/H332)/($B$14*(I332+IF(ABS(V332-D332)&lt;0.000000001,4*$B$19*$B$20*(D332+273)^3,$B$19*$B$20*((V332+273)^4-(D332+273)^4)/(V332-D332)))+1/H332)</f>
        <v/>
      </c>
      <c r="X332">
        <f>($B$14*(I332*C332+IF(ABS(W332-D332)&lt;0.000000001,4*$B$19*$B$20*(D332+273)^3,$B$19*$B$20*((W332+273)^4-(D332+273)^4)/(W332-D332))*D332)+T332/H332)/($B$14*(I332+IF(ABS(W332-D332)&lt;0.000000001,4*$B$19*$B$20*(D332+273)^3,$B$19*$B$20*((W332+273)^4-(D332+273)^4)/(W332-D332)))+1/H332)</f>
        <v/>
      </c>
      <c r="Y332">
        <f>($B$14*(I332*C332+IF(ABS(X332-D332)&lt;0.000000001,4*$B$19*$B$20*(D332+273)^3,$B$19*$B$20*((X332+273)^4-(D332+273)^4)/(X332-D332))*D332)+T332/H332)/($B$14*(I332+IF(ABS(X332-D332)&lt;0.000000001,4*$B$19*$B$20*(D332+273)^3,$B$19*$B$20*((X332+273)^4-(D332+273)^4)/(X332-D332)))+1/H332)</f>
        <v/>
      </c>
      <c r="Z332">
        <f>IF(ABS(Y332-D332)&lt;0.000000001,4*$B$19*$B$20*(D332+273)^3,$B$19*$B$20*((Y332+273)^4-(D332+273)^4)/(Y332-D332))</f>
        <v/>
      </c>
      <c r="AA332">
        <f>$B$14*I332*(Y332-C332)</f>
        <v/>
      </c>
      <c r="AB332">
        <f>$B$14*Z332*(Y332-D332)</f>
        <v/>
      </c>
      <c r="AC332">
        <f>IF((U332-E332)/G332=0,0.001,(U332-E332)/G332)</f>
        <v/>
      </c>
      <c r="AD332">
        <f>F332-P332-J332-K332-AA332-AB332</f>
        <v/>
      </c>
      <c r="AE332">
        <f>AD332/AC332</f>
        <v/>
      </c>
      <c r="AF332">
        <f>IF(AD332&lt;=0,0,IF(AC332&lt;=0,$B$11,IF(AE332&gt;=1.7,$B$11,MIN(AD332/MAX(0.05,IF(AE332&gt;1,(2-AE332)^2/2,1-AE332^2/2)),$B$11))))</f>
        <v/>
      </c>
      <c r="AG332">
        <f>AG331*$B$28+AF332*(1-$B$28)</f>
        <v/>
      </c>
      <c r="AH332">
        <f>IF(AND(AD332&gt;0,AC332&lt;=0),0,AC332)</f>
        <v/>
      </c>
      <c r="AI332">
        <f>AH332/MAX(AG332,0.000001)</f>
        <v/>
      </c>
      <c r="AJ332">
        <f>MIN(IF(AI332&gt;=0.5,-AI332+SQRT(AI332^2+2),1),$B$12)</f>
        <v/>
      </c>
      <c r="AK332">
        <f>IF(AG332&lt;=0,0,AJ332*AH332)</f>
        <v/>
      </c>
      <c r="AL332">
        <f>IF(AD332&lt;=0,0,AD332)</f>
        <v/>
      </c>
      <c r="AM332">
        <f>AL332-AK332+P332</f>
        <v/>
      </c>
      <c r="AN332">
        <f>((AM332/$B$7+T331*AS331/2-T332*MAX(0.1,MIN(0.3,0.3-0.09*(AR331-36.8)))/2)+AR331*(1-AS331/2))/(1-MAX(0.1,MIN(0.3,0.3-0.09*(AR331-36.8)))/2)</f>
        <v/>
      </c>
      <c r="AO332">
        <f>((AM332/$B$7+T331*AS331/2-T332*MAX(0.1,MIN(0.3,0.3-0.09*(AN332-36.8)))/2)+AR331*(1-AS331/2))/(1-MAX(0.1,MIN(0.3,0.3-0.09*(AN332-36.8)))/2)</f>
        <v/>
      </c>
      <c r="AP332">
        <f>((AM332/$B$7+T331*AS331/2-T332*MAX(0.1,MIN(0.3,0.3-0.09*(AO332-36.8)))/2)+AR331*(1-AS331/2))/(1-MAX(0.1,MIN(0.3,0.3-0.09*(AO332-36.8)))/2)</f>
        <v/>
      </c>
      <c r="AQ332">
        <f>((AM332/$B$7+T331*AS331/2-T332*MAX(0.1,MIN(0.3,0.3-0.09*(AP332-36.8)))/2)+AR331*(1-AS331/2))/(1-MAX(0.1,MIN(0.3,0.3-0.09*(AP332-36.8)))/2)</f>
        <v/>
      </c>
      <c r="AR332">
        <f>((AM332/$B$7+T331*AS331/2-T332*MAX(0.1,MIN(0.3,0.3-0.09*(AQ332-36.8)))/2)+AR331*(1-AS331/2))/(1-MAX(0.1,MIN(0.3,0.3-0.09*(AQ332-36.8)))/2)</f>
        <v/>
      </c>
      <c r="AS332">
        <f>MAX(0.1,MIN(0.3,0.3-0.09*(AR332-36.8)))</f>
        <v/>
      </c>
      <c r="AT332">
        <f>AT331+(2*AR332-1.962*AT331-1.31)/9</f>
        <v/>
      </c>
      <c r="AU332">
        <f>AU331+AG332+K332</f>
        <v/>
      </c>
      <c r="AV332">
        <f>AU332*2.67*$B$6/1.8/60</f>
        <v/>
      </c>
      <c r="AW332">
        <f>IF(AT332&gt;=$B$36,1,0)</f>
        <v/>
      </c>
      <c r="AX332">
        <f>IF(AV332&gt;=$B$21,1,0)</f>
        <v/>
      </c>
    </row>
    <row r="333">
      <c r="A333" t="n">
        <v>260</v>
      </c>
      <c r="B333">
        <f>MATCH(A333-1,$D$61:$D$68,1)</f>
        <v/>
      </c>
      <c r="C333">
        <f>INDEX($G$61:$G$68,B333)</f>
        <v/>
      </c>
      <c r="D333">
        <f>INDEX($L$61:$L$68,B333)</f>
        <v/>
      </c>
      <c r="E333">
        <f>INDEX($M$61:$M$68,B333)</f>
        <v/>
      </c>
      <c r="F333">
        <f>INDEX($N$61:$N$68,B333)</f>
        <v/>
      </c>
      <c r="G333">
        <f>INDEX($AA$61:$AA$68,B333)</f>
        <v/>
      </c>
      <c r="H333">
        <f>INDEX($X$61:$X$68,B333)</f>
        <v/>
      </c>
      <c r="I333">
        <f>INDEX($AF$61:$AF$68,B333)</f>
        <v/>
      </c>
      <c r="J333">
        <f>INDEX($AC$61:$AC$68,B333)</f>
        <v/>
      </c>
      <c r="K333">
        <f>INDEX($AD$61:$AD$68,B333)</f>
        <v/>
      </c>
      <c r="L333">
        <f>INDEX($AG$61:$AG$68,B333)</f>
        <v/>
      </c>
      <c r="M333">
        <f>INDEX($AH$61:$AH$68,B333)</f>
        <v/>
      </c>
      <c r="N333">
        <f>INDEX($AI$61:$AI$68,B333)</f>
        <v/>
      </c>
      <c r="O333">
        <f>O332*$B$26+L333*(1-$B$26)</f>
        <v/>
      </c>
      <c r="P333">
        <f>$B$7*(O333-O332)*(1-AS332)</f>
        <v/>
      </c>
      <c r="Q333">
        <f>M333+0.51274*AT332</f>
        <v/>
      </c>
      <c r="R333">
        <f>N333+0.616*AT332</f>
        <v/>
      </c>
      <c r="S333">
        <f>IF($B$13&gt;=0.6,Q333,IF($B$13&lt;=0.2,R333,R333+2.5*(Q333-R333)*($B$13-0.2)))</f>
        <v/>
      </c>
      <c r="T333">
        <f>IF(A333=1,S333,T332*$B$27+S333*(1-$B$27))</f>
        <v/>
      </c>
      <c r="U333">
        <f>0.6105*EXP(17.27*T333/(T333+237.3))</f>
        <v/>
      </c>
      <c r="V333">
        <f>($B$14*(I333*C333+IF(ABS((D333+0.1)-D333)&lt;0.000000001,4*$B$19*$B$20*(D333+273)^3,$B$19*$B$20*(((D333+0.1)+273)^4-(D333+273)^4)/((D333+0.1)-D333))*D333)+T333/H333)/($B$14*(I333+IF(ABS((D333+0.1)-D333)&lt;0.000000001,4*$B$19*$B$20*(D333+273)^3,$B$19*$B$20*(((D333+0.1)+273)^4-(D333+273)^4)/((D333+0.1)-D333)))+1/H333)</f>
        <v/>
      </c>
      <c r="W333">
        <f>($B$14*(I333*C333+IF(ABS(V333-D333)&lt;0.000000001,4*$B$19*$B$20*(D333+273)^3,$B$19*$B$20*((V333+273)^4-(D333+273)^4)/(V333-D333))*D333)+T333/H333)/($B$14*(I333+IF(ABS(V333-D333)&lt;0.000000001,4*$B$19*$B$20*(D333+273)^3,$B$19*$B$20*((V333+273)^4-(D333+273)^4)/(V333-D333)))+1/H333)</f>
        <v/>
      </c>
      <c r="X333">
        <f>($B$14*(I333*C333+IF(ABS(W333-D333)&lt;0.000000001,4*$B$19*$B$20*(D333+273)^3,$B$19*$B$20*((W333+273)^4-(D333+273)^4)/(W333-D333))*D333)+T333/H333)/($B$14*(I333+IF(ABS(W333-D333)&lt;0.000000001,4*$B$19*$B$20*(D333+273)^3,$B$19*$B$20*((W333+273)^4-(D333+273)^4)/(W333-D333)))+1/H333)</f>
        <v/>
      </c>
      <c r="Y333">
        <f>($B$14*(I333*C333+IF(ABS(X333-D333)&lt;0.000000001,4*$B$19*$B$20*(D333+273)^3,$B$19*$B$20*((X333+273)^4-(D333+273)^4)/(X333-D333))*D333)+T333/H333)/($B$14*(I333+IF(ABS(X333-D333)&lt;0.000000001,4*$B$19*$B$20*(D333+273)^3,$B$19*$B$20*((X333+273)^4-(D333+273)^4)/(X333-D333)))+1/H333)</f>
        <v/>
      </c>
      <c r="Z333">
        <f>IF(ABS(Y333-D333)&lt;0.000000001,4*$B$19*$B$20*(D333+273)^3,$B$19*$B$20*((Y333+273)^4-(D333+273)^4)/(Y333-D333))</f>
        <v/>
      </c>
      <c r="AA333">
        <f>$B$14*I333*(Y333-C333)</f>
        <v/>
      </c>
      <c r="AB333">
        <f>$B$14*Z333*(Y333-D333)</f>
        <v/>
      </c>
      <c r="AC333">
        <f>IF((U333-E333)/G333=0,0.001,(U333-E333)/G333)</f>
        <v/>
      </c>
      <c r="AD333">
        <f>F333-P333-J333-K333-AA333-AB333</f>
        <v/>
      </c>
      <c r="AE333">
        <f>AD333/AC333</f>
        <v/>
      </c>
      <c r="AF333">
        <f>IF(AD333&lt;=0,0,IF(AC333&lt;=0,$B$11,IF(AE333&gt;=1.7,$B$11,MIN(AD333/MAX(0.05,IF(AE333&gt;1,(2-AE333)^2/2,1-AE333^2/2)),$B$11))))</f>
        <v/>
      </c>
      <c r="AG333">
        <f>AG332*$B$28+AF333*(1-$B$28)</f>
        <v/>
      </c>
      <c r="AH333">
        <f>IF(AND(AD333&gt;0,AC333&lt;=0),0,AC333)</f>
        <v/>
      </c>
      <c r="AI333">
        <f>AH333/MAX(AG333,0.000001)</f>
        <v/>
      </c>
      <c r="AJ333">
        <f>MIN(IF(AI333&gt;=0.5,-AI333+SQRT(AI333^2+2),1),$B$12)</f>
        <v/>
      </c>
      <c r="AK333">
        <f>IF(AG333&lt;=0,0,AJ333*AH333)</f>
        <v/>
      </c>
      <c r="AL333">
        <f>IF(AD333&lt;=0,0,AD333)</f>
        <v/>
      </c>
      <c r="AM333">
        <f>AL333-AK333+P333</f>
        <v/>
      </c>
      <c r="AN333">
        <f>((AM333/$B$7+T332*AS332/2-T333*MAX(0.1,MIN(0.3,0.3-0.09*(AR332-36.8)))/2)+AR332*(1-AS332/2))/(1-MAX(0.1,MIN(0.3,0.3-0.09*(AR332-36.8)))/2)</f>
        <v/>
      </c>
      <c r="AO333">
        <f>((AM333/$B$7+T332*AS332/2-T333*MAX(0.1,MIN(0.3,0.3-0.09*(AN333-36.8)))/2)+AR332*(1-AS332/2))/(1-MAX(0.1,MIN(0.3,0.3-0.09*(AN333-36.8)))/2)</f>
        <v/>
      </c>
      <c r="AP333">
        <f>((AM333/$B$7+T332*AS332/2-T333*MAX(0.1,MIN(0.3,0.3-0.09*(AO333-36.8)))/2)+AR332*(1-AS332/2))/(1-MAX(0.1,MIN(0.3,0.3-0.09*(AO333-36.8)))/2)</f>
        <v/>
      </c>
      <c r="AQ333">
        <f>((AM333/$B$7+T332*AS332/2-T333*MAX(0.1,MIN(0.3,0.3-0.09*(AP333-36.8)))/2)+AR332*(1-AS332/2))/(1-MAX(0.1,MIN(0.3,0.3-0.09*(AP333-36.8)))/2)</f>
        <v/>
      </c>
      <c r="AR333">
        <f>((AM333/$B$7+T332*AS332/2-T333*MAX(0.1,MIN(0.3,0.3-0.09*(AQ333-36.8)))/2)+AR332*(1-AS332/2))/(1-MAX(0.1,MIN(0.3,0.3-0.09*(AQ333-36.8)))/2)</f>
        <v/>
      </c>
      <c r="AS333">
        <f>MAX(0.1,MIN(0.3,0.3-0.09*(AR333-36.8)))</f>
        <v/>
      </c>
      <c r="AT333">
        <f>AT332+(2*AR333-1.962*AT332-1.31)/9</f>
        <v/>
      </c>
      <c r="AU333">
        <f>AU332+AG333+K333</f>
        <v/>
      </c>
      <c r="AV333">
        <f>AU333*2.67*$B$6/1.8/60</f>
        <v/>
      </c>
      <c r="AW333">
        <f>IF(AT333&gt;=$B$36,1,0)</f>
        <v/>
      </c>
      <c r="AX333">
        <f>IF(AV333&gt;=$B$21,1,0)</f>
        <v/>
      </c>
    </row>
    <row r="334">
      <c r="A334" t="n">
        <v>261</v>
      </c>
      <c r="B334">
        <f>MATCH(A334-1,$D$61:$D$68,1)</f>
        <v/>
      </c>
      <c r="C334">
        <f>INDEX($G$61:$G$68,B334)</f>
        <v/>
      </c>
      <c r="D334">
        <f>INDEX($L$61:$L$68,B334)</f>
        <v/>
      </c>
      <c r="E334">
        <f>INDEX($M$61:$M$68,B334)</f>
        <v/>
      </c>
      <c r="F334">
        <f>INDEX($N$61:$N$68,B334)</f>
        <v/>
      </c>
      <c r="G334">
        <f>INDEX($AA$61:$AA$68,B334)</f>
        <v/>
      </c>
      <c r="H334">
        <f>INDEX($X$61:$X$68,B334)</f>
        <v/>
      </c>
      <c r="I334">
        <f>INDEX($AF$61:$AF$68,B334)</f>
        <v/>
      </c>
      <c r="J334">
        <f>INDEX($AC$61:$AC$68,B334)</f>
        <v/>
      </c>
      <c r="K334">
        <f>INDEX($AD$61:$AD$68,B334)</f>
        <v/>
      </c>
      <c r="L334">
        <f>INDEX($AG$61:$AG$68,B334)</f>
        <v/>
      </c>
      <c r="M334">
        <f>INDEX($AH$61:$AH$68,B334)</f>
        <v/>
      </c>
      <c r="N334">
        <f>INDEX($AI$61:$AI$68,B334)</f>
        <v/>
      </c>
      <c r="O334">
        <f>O333*$B$26+L334*(1-$B$26)</f>
        <v/>
      </c>
      <c r="P334">
        <f>$B$7*(O334-O333)*(1-AS333)</f>
        <v/>
      </c>
      <c r="Q334">
        <f>M334+0.51274*AT333</f>
        <v/>
      </c>
      <c r="R334">
        <f>N334+0.616*AT333</f>
        <v/>
      </c>
      <c r="S334">
        <f>IF($B$13&gt;=0.6,Q334,IF($B$13&lt;=0.2,R334,R334+2.5*(Q334-R334)*($B$13-0.2)))</f>
        <v/>
      </c>
      <c r="T334">
        <f>IF(A334=1,S334,T333*$B$27+S334*(1-$B$27))</f>
        <v/>
      </c>
      <c r="U334">
        <f>0.6105*EXP(17.27*T334/(T334+237.3))</f>
        <v/>
      </c>
      <c r="V334">
        <f>($B$14*(I334*C334+IF(ABS((D334+0.1)-D334)&lt;0.000000001,4*$B$19*$B$20*(D334+273)^3,$B$19*$B$20*(((D334+0.1)+273)^4-(D334+273)^4)/((D334+0.1)-D334))*D334)+T334/H334)/($B$14*(I334+IF(ABS((D334+0.1)-D334)&lt;0.000000001,4*$B$19*$B$20*(D334+273)^3,$B$19*$B$20*(((D334+0.1)+273)^4-(D334+273)^4)/((D334+0.1)-D334)))+1/H334)</f>
        <v/>
      </c>
      <c r="W334">
        <f>($B$14*(I334*C334+IF(ABS(V334-D334)&lt;0.000000001,4*$B$19*$B$20*(D334+273)^3,$B$19*$B$20*((V334+273)^4-(D334+273)^4)/(V334-D334))*D334)+T334/H334)/($B$14*(I334+IF(ABS(V334-D334)&lt;0.000000001,4*$B$19*$B$20*(D334+273)^3,$B$19*$B$20*((V334+273)^4-(D334+273)^4)/(V334-D334)))+1/H334)</f>
        <v/>
      </c>
      <c r="X334">
        <f>($B$14*(I334*C334+IF(ABS(W334-D334)&lt;0.000000001,4*$B$19*$B$20*(D334+273)^3,$B$19*$B$20*((W334+273)^4-(D334+273)^4)/(W334-D334))*D334)+T334/H334)/($B$14*(I334+IF(ABS(W334-D334)&lt;0.000000001,4*$B$19*$B$20*(D334+273)^3,$B$19*$B$20*((W334+273)^4-(D334+273)^4)/(W334-D334)))+1/H334)</f>
        <v/>
      </c>
      <c r="Y334">
        <f>($B$14*(I334*C334+IF(ABS(X334-D334)&lt;0.000000001,4*$B$19*$B$20*(D334+273)^3,$B$19*$B$20*((X334+273)^4-(D334+273)^4)/(X334-D334))*D334)+T334/H334)/($B$14*(I334+IF(ABS(X334-D334)&lt;0.000000001,4*$B$19*$B$20*(D334+273)^3,$B$19*$B$20*((X334+273)^4-(D334+273)^4)/(X334-D334)))+1/H334)</f>
        <v/>
      </c>
      <c r="Z334">
        <f>IF(ABS(Y334-D334)&lt;0.000000001,4*$B$19*$B$20*(D334+273)^3,$B$19*$B$20*((Y334+273)^4-(D334+273)^4)/(Y334-D334))</f>
        <v/>
      </c>
      <c r="AA334">
        <f>$B$14*I334*(Y334-C334)</f>
        <v/>
      </c>
      <c r="AB334">
        <f>$B$14*Z334*(Y334-D334)</f>
        <v/>
      </c>
      <c r="AC334">
        <f>IF((U334-E334)/G334=0,0.001,(U334-E334)/G334)</f>
        <v/>
      </c>
      <c r="AD334">
        <f>F334-P334-J334-K334-AA334-AB334</f>
        <v/>
      </c>
      <c r="AE334">
        <f>AD334/AC334</f>
        <v/>
      </c>
      <c r="AF334">
        <f>IF(AD334&lt;=0,0,IF(AC334&lt;=0,$B$11,IF(AE334&gt;=1.7,$B$11,MIN(AD334/MAX(0.05,IF(AE334&gt;1,(2-AE334)^2/2,1-AE334^2/2)),$B$11))))</f>
        <v/>
      </c>
      <c r="AG334">
        <f>AG333*$B$28+AF334*(1-$B$28)</f>
        <v/>
      </c>
      <c r="AH334">
        <f>IF(AND(AD334&gt;0,AC334&lt;=0),0,AC334)</f>
        <v/>
      </c>
      <c r="AI334">
        <f>AH334/MAX(AG334,0.000001)</f>
        <v/>
      </c>
      <c r="AJ334">
        <f>MIN(IF(AI334&gt;=0.5,-AI334+SQRT(AI334^2+2),1),$B$12)</f>
        <v/>
      </c>
      <c r="AK334">
        <f>IF(AG334&lt;=0,0,AJ334*AH334)</f>
        <v/>
      </c>
      <c r="AL334">
        <f>IF(AD334&lt;=0,0,AD334)</f>
        <v/>
      </c>
      <c r="AM334">
        <f>AL334-AK334+P334</f>
        <v/>
      </c>
      <c r="AN334">
        <f>((AM334/$B$7+T333*AS333/2-T334*MAX(0.1,MIN(0.3,0.3-0.09*(AR333-36.8)))/2)+AR333*(1-AS333/2))/(1-MAX(0.1,MIN(0.3,0.3-0.09*(AR333-36.8)))/2)</f>
        <v/>
      </c>
      <c r="AO334">
        <f>((AM334/$B$7+T333*AS333/2-T334*MAX(0.1,MIN(0.3,0.3-0.09*(AN334-36.8)))/2)+AR333*(1-AS333/2))/(1-MAX(0.1,MIN(0.3,0.3-0.09*(AN334-36.8)))/2)</f>
        <v/>
      </c>
      <c r="AP334">
        <f>((AM334/$B$7+T333*AS333/2-T334*MAX(0.1,MIN(0.3,0.3-0.09*(AO334-36.8)))/2)+AR333*(1-AS333/2))/(1-MAX(0.1,MIN(0.3,0.3-0.09*(AO334-36.8)))/2)</f>
        <v/>
      </c>
      <c r="AQ334">
        <f>((AM334/$B$7+T333*AS333/2-T334*MAX(0.1,MIN(0.3,0.3-0.09*(AP334-36.8)))/2)+AR333*(1-AS333/2))/(1-MAX(0.1,MIN(0.3,0.3-0.09*(AP334-36.8)))/2)</f>
        <v/>
      </c>
      <c r="AR334">
        <f>((AM334/$B$7+T333*AS333/2-T334*MAX(0.1,MIN(0.3,0.3-0.09*(AQ334-36.8)))/2)+AR333*(1-AS333/2))/(1-MAX(0.1,MIN(0.3,0.3-0.09*(AQ334-36.8)))/2)</f>
        <v/>
      </c>
      <c r="AS334">
        <f>MAX(0.1,MIN(0.3,0.3-0.09*(AR334-36.8)))</f>
        <v/>
      </c>
      <c r="AT334">
        <f>AT333+(2*AR334-1.962*AT333-1.31)/9</f>
        <v/>
      </c>
      <c r="AU334">
        <f>AU333+AG334+K334</f>
        <v/>
      </c>
      <c r="AV334">
        <f>AU334*2.67*$B$6/1.8/60</f>
        <v/>
      </c>
      <c r="AW334">
        <f>IF(AT334&gt;=$B$36,1,0)</f>
        <v/>
      </c>
      <c r="AX334">
        <f>IF(AV334&gt;=$B$21,1,0)</f>
        <v/>
      </c>
    </row>
    <row r="335">
      <c r="A335" t="n">
        <v>262</v>
      </c>
      <c r="B335">
        <f>MATCH(A335-1,$D$61:$D$68,1)</f>
        <v/>
      </c>
      <c r="C335">
        <f>INDEX($G$61:$G$68,B335)</f>
        <v/>
      </c>
      <c r="D335">
        <f>INDEX($L$61:$L$68,B335)</f>
        <v/>
      </c>
      <c r="E335">
        <f>INDEX($M$61:$M$68,B335)</f>
        <v/>
      </c>
      <c r="F335">
        <f>INDEX($N$61:$N$68,B335)</f>
        <v/>
      </c>
      <c r="G335">
        <f>INDEX($AA$61:$AA$68,B335)</f>
        <v/>
      </c>
      <c r="H335">
        <f>INDEX($X$61:$X$68,B335)</f>
        <v/>
      </c>
      <c r="I335">
        <f>INDEX($AF$61:$AF$68,B335)</f>
        <v/>
      </c>
      <c r="J335">
        <f>INDEX($AC$61:$AC$68,B335)</f>
        <v/>
      </c>
      <c r="K335">
        <f>INDEX($AD$61:$AD$68,B335)</f>
        <v/>
      </c>
      <c r="L335">
        <f>INDEX($AG$61:$AG$68,B335)</f>
        <v/>
      </c>
      <c r="M335">
        <f>INDEX($AH$61:$AH$68,B335)</f>
        <v/>
      </c>
      <c r="N335">
        <f>INDEX($AI$61:$AI$68,B335)</f>
        <v/>
      </c>
      <c r="O335">
        <f>O334*$B$26+L335*(1-$B$26)</f>
        <v/>
      </c>
      <c r="P335">
        <f>$B$7*(O335-O334)*(1-AS334)</f>
        <v/>
      </c>
      <c r="Q335">
        <f>M335+0.51274*AT334</f>
        <v/>
      </c>
      <c r="R335">
        <f>N335+0.616*AT334</f>
        <v/>
      </c>
      <c r="S335">
        <f>IF($B$13&gt;=0.6,Q335,IF($B$13&lt;=0.2,R335,R335+2.5*(Q335-R335)*($B$13-0.2)))</f>
        <v/>
      </c>
      <c r="T335">
        <f>IF(A335=1,S335,T334*$B$27+S335*(1-$B$27))</f>
        <v/>
      </c>
      <c r="U335">
        <f>0.6105*EXP(17.27*T335/(T335+237.3))</f>
        <v/>
      </c>
      <c r="V335">
        <f>($B$14*(I335*C335+IF(ABS((D335+0.1)-D335)&lt;0.000000001,4*$B$19*$B$20*(D335+273)^3,$B$19*$B$20*(((D335+0.1)+273)^4-(D335+273)^4)/((D335+0.1)-D335))*D335)+T335/H335)/($B$14*(I335+IF(ABS((D335+0.1)-D335)&lt;0.000000001,4*$B$19*$B$20*(D335+273)^3,$B$19*$B$20*(((D335+0.1)+273)^4-(D335+273)^4)/((D335+0.1)-D335)))+1/H335)</f>
        <v/>
      </c>
      <c r="W335">
        <f>($B$14*(I335*C335+IF(ABS(V335-D335)&lt;0.000000001,4*$B$19*$B$20*(D335+273)^3,$B$19*$B$20*((V335+273)^4-(D335+273)^4)/(V335-D335))*D335)+T335/H335)/($B$14*(I335+IF(ABS(V335-D335)&lt;0.000000001,4*$B$19*$B$20*(D335+273)^3,$B$19*$B$20*((V335+273)^4-(D335+273)^4)/(V335-D335)))+1/H335)</f>
        <v/>
      </c>
      <c r="X335">
        <f>($B$14*(I335*C335+IF(ABS(W335-D335)&lt;0.000000001,4*$B$19*$B$20*(D335+273)^3,$B$19*$B$20*((W335+273)^4-(D335+273)^4)/(W335-D335))*D335)+T335/H335)/($B$14*(I335+IF(ABS(W335-D335)&lt;0.000000001,4*$B$19*$B$20*(D335+273)^3,$B$19*$B$20*((W335+273)^4-(D335+273)^4)/(W335-D335)))+1/H335)</f>
        <v/>
      </c>
      <c r="Y335">
        <f>($B$14*(I335*C335+IF(ABS(X335-D335)&lt;0.000000001,4*$B$19*$B$20*(D335+273)^3,$B$19*$B$20*((X335+273)^4-(D335+273)^4)/(X335-D335))*D335)+T335/H335)/($B$14*(I335+IF(ABS(X335-D335)&lt;0.000000001,4*$B$19*$B$20*(D335+273)^3,$B$19*$B$20*((X335+273)^4-(D335+273)^4)/(X335-D335)))+1/H335)</f>
        <v/>
      </c>
      <c r="Z335">
        <f>IF(ABS(Y335-D335)&lt;0.000000001,4*$B$19*$B$20*(D335+273)^3,$B$19*$B$20*((Y335+273)^4-(D335+273)^4)/(Y335-D335))</f>
        <v/>
      </c>
      <c r="AA335">
        <f>$B$14*I335*(Y335-C335)</f>
        <v/>
      </c>
      <c r="AB335">
        <f>$B$14*Z335*(Y335-D335)</f>
        <v/>
      </c>
      <c r="AC335">
        <f>IF((U335-E335)/G335=0,0.001,(U335-E335)/G335)</f>
        <v/>
      </c>
      <c r="AD335">
        <f>F335-P335-J335-K335-AA335-AB335</f>
        <v/>
      </c>
      <c r="AE335">
        <f>AD335/AC335</f>
        <v/>
      </c>
      <c r="AF335">
        <f>IF(AD335&lt;=0,0,IF(AC335&lt;=0,$B$11,IF(AE335&gt;=1.7,$B$11,MIN(AD335/MAX(0.05,IF(AE335&gt;1,(2-AE335)^2/2,1-AE335^2/2)),$B$11))))</f>
        <v/>
      </c>
      <c r="AG335">
        <f>AG334*$B$28+AF335*(1-$B$28)</f>
        <v/>
      </c>
      <c r="AH335">
        <f>IF(AND(AD335&gt;0,AC335&lt;=0),0,AC335)</f>
        <v/>
      </c>
      <c r="AI335">
        <f>AH335/MAX(AG335,0.000001)</f>
        <v/>
      </c>
      <c r="AJ335">
        <f>MIN(IF(AI335&gt;=0.5,-AI335+SQRT(AI335^2+2),1),$B$12)</f>
        <v/>
      </c>
      <c r="AK335">
        <f>IF(AG335&lt;=0,0,AJ335*AH335)</f>
        <v/>
      </c>
      <c r="AL335">
        <f>IF(AD335&lt;=0,0,AD335)</f>
        <v/>
      </c>
      <c r="AM335">
        <f>AL335-AK335+P335</f>
        <v/>
      </c>
      <c r="AN335">
        <f>((AM335/$B$7+T334*AS334/2-T335*MAX(0.1,MIN(0.3,0.3-0.09*(AR334-36.8)))/2)+AR334*(1-AS334/2))/(1-MAX(0.1,MIN(0.3,0.3-0.09*(AR334-36.8)))/2)</f>
        <v/>
      </c>
      <c r="AO335">
        <f>((AM335/$B$7+T334*AS334/2-T335*MAX(0.1,MIN(0.3,0.3-0.09*(AN335-36.8)))/2)+AR334*(1-AS334/2))/(1-MAX(0.1,MIN(0.3,0.3-0.09*(AN335-36.8)))/2)</f>
        <v/>
      </c>
      <c r="AP335">
        <f>((AM335/$B$7+T334*AS334/2-T335*MAX(0.1,MIN(0.3,0.3-0.09*(AO335-36.8)))/2)+AR334*(1-AS334/2))/(1-MAX(0.1,MIN(0.3,0.3-0.09*(AO335-36.8)))/2)</f>
        <v/>
      </c>
      <c r="AQ335">
        <f>((AM335/$B$7+T334*AS334/2-T335*MAX(0.1,MIN(0.3,0.3-0.09*(AP335-36.8)))/2)+AR334*(1-AS334/2))/(1-MAX(0.1,MIN(0.3,0.3-0.09*(AP335-36.8)))/2)</f>
        <v/>
      </c>
      <c r="AR335">
        <f>((AM335/$B$7+T334*AS334/2-T335*MAX(0.1,MIN(0.3,0.3-0.09*(AQ335-36.8)))/2)+AR334*(1-AS334/2))/(1-MAX(0.1,MIN(0.3,0.3-0.09*(AQ335-36.8)))/2)</f>
        <v/>
      </c>
      <c r="AS335">
        <f>MAX(0.1,MIN(0.3,0.3-0.09*(AR335-36.8)))</f>
        <v/>
      </c>
      <c r="AT335">
        <f>AT334+(2*AR335-1.962*AT334-1.31)/9</f>
        <v/>
      </c>
      <c r="AU335">
        <f>AU334+AG335+K335</f>
        <v/>
      </c>
      <c r="AV335">
        <f>AU335*2.67*$B$6/1.8/60</f>
        <v/>
      </c>
      <c r="AW335">
        <f>IF(AT335&gt;=$B$36,1,0)</f>
        <v/>
      </c>
      <c r="AX335">
        <f>IF(AV335&gt;=$B$21,1,0)</f>
        <v/>
      </c>
    </row>
    <row r="336">
      <c r="A336" t="n">
        <v>263</v>
      </c>
      <c r="B336">
        <f>MATCH(A336-1,$D$61:$D$68,1)</f>
        <v/>
      </c>
      <c r="C336">
        <f>INDEX($G$61:$G$68,B336)</f>
        <v/>
      </c>
      <c r="D336">
        <f>INDEX($L$61:$L$68,B336)</f>
        <v/>
      </c>
      <c r="E336">
        <f>INDEX($M$61:$M$68,B336)</f>
        <v/>
      </c>
      <c r="F336">
        <f>INDEX($N$61:$N$68,B336)</f>
        <v/>
      </c>
      <c r="G336">
        <f>INDEX($AA$61:$AA$68,B336)</f>
        <v/>
      </c>
      <c r="H336">
        <f>INDEX($X$61:$X$68,B336)</f>
        <v/>
      </c>
      <c r="I336">
        <f>INDEX($AF$61:$AF$68,B336)</f>
        <v/>
      </c>
      <c r="J336">
        <f>INDEX($AC$61:$AC$68,B336)</f>
        <v/>
      </c>
      <c r="K336">
        <f>INDEX($AD$61:$AD$68,B336)</f>
        <v/>
      </c>
      <c r="L336">
        <f>INDEX($AG$61:$AG$68,B336)</f>
        <v/>
      </c>
      <c r="M336">
        <f>INDEX($AH$61:$AH$68,B336)</f>
        <v/>
      </c>
      <c r="N336">
        <f>INDEX($AI$61:$AI$68,B336)</f>
        <v/>
      </c>
      <c r="O336">
        <f>O335*$B$26+L336*(1-$B$26)</f>
        <v/>
      </c>
      <c r="P336">
        <f>$B$7*(O336-O335)*(1-AS335)</f>
        <v/>
      </c>
      <c r="Q336">
        <f>M336+0.51274*AT335</f>
        <v/>
      </c>
      <c r="R336">
        <f>N336+0.616*AT335</f>
        <v/>
      </c>
      <c r="S336">
        <f>IF($B$13&gt;=0.6,Q336,IF($B$13&lt;=0.2,R336,R336+2.5*(Q336-R336)*($B$13-0.2)))</f>
        <v/>
      </c>
      <c r="T336">
        <f>IF(A336=1,S336,T335*$B$27+S336*(1-$B$27))</f>
        <v/>
      </c>
      <c r="U336">
        <f>0.6105*EXP(17.27*T336/(T336+237.3))</f>
        <v/>
      </c>
      <c r="V336">
        <f>($B$14*(I336*C336+IF(ABS((D336+0.1)-D336)&lt;0.000000001,4*$B$19*$B$20*(D336+273)^3,$B$19*$B$20*(((D336+0.1)+273)^4-(D336+273)^4)/((D336+0.1)-D336))*D336)+T336/H336)/($B$14*(I336+IF(ABS((D336+0.1)-D336)&lt;0.000000001,4*$B$19*$B$20*(D336+273)^3,$B$19*$B$20*(((D336+0.1)+273)^4-(D336+273)^4)/((D336+0.1)-D336)))+1/H336)</f>
        <v/>
      </c>
      <c r="W336">
        <f>($B$14*(I336*C336+IF(ABS(V336-D336)&lt;0.000000001,4*$B$19*$B$20*(D336+273)^3,$B$19*$B$20*((V336+273)^4-(D336+273)^4)/(V336-D336))*D336)+T336/H336)/($B$14*(I336+IF(ABS(V336-D336)&lt;0.000000001,4*$B$19*$B$20*(D336+273)^3,$B$19*$B$20*((V336+273)^4-(D336+273)^4)/(V336-D336)))+1/H336)</f>
        <v/>
      </c>
      <c r="X336">
        <f>($B$14*(I336*C336+IF(ABS(W336-D336)&lt;0.000000001,4*$B$19*$B$20*(D336+273)^3,$B$19*$B$20*((W336+273)^4-(D336+273)^4)/(W336-D336))*D336)+T336/H336)/($B$14*(I336+IF(ABS(W336-D336)&lt;0.000000001,4*$B$19*$B$20*(D336+273)^3,$B$19*$B$20*((W336+273)^4-(D336+273)^4)/(W336-D336)))+1/H336)</f>
        <v/>
      </c>
      <c r="Y336">
        <f>($B$14*(I336*C336+IF(ABS(X336-D336)&lt;0.000000001,4*$B$19*$B$20*(D336+273)^3,$B$19*$B$20*((X336+273)^4-(D336+273)^4)/(X336-D336))*D336)+T336/H336)/($B$14*(I336+IF(ABS(X336-D336)&lt;0.000000001,4*$B$19*$B$20*(D336+273)^3,$B$19*$B$20*((X336+273)^4-(D336+273)^4)/(X336-D336)))+1/H336)</f>
        <v/>
      </c>
      <c r="Z336">
        <f>IF(ABS(Y336-D336)&lt;0.000000001,4*$B$19*$B$20*(D336+273)^3,$B$19*$B$20*((Y336+273)^4-(D336+273)^4)/(Y336-D336))</f>
        <v/>
      </c>
      <c r="AA336">
        <f>$B$14*I336*(Y336-C336)</f>
        <v/>
      </c>
      <c r="AB336">
        <f>$B$14*Z336*(Y336-D336)</f>
        <v/>
      </c>
      <c r="AC336">
        <f>IF((U336-E336)/G336=0,0.001,(U336-E336)/G336)</f>
        <v/>
      </c>
      <c r="AD336">
        <f>F336-P336-J336-K336-AA336-AB336</f>
        <v/>
      </c>
      <c r="AE336">
        <f>AD336/AC336</f>
        <v/>
      </c>
      <c r="AF336">
        <f>IF(AD336&lt;=0,0,IF(AC336&lt;=0,$B$11,IF(AE336&gt;=1.7,$B$11,MIN(AD336/MAX(0.05,IF(AE336&gt;1,(2-AE336)^2/2,1-AE336^2/2)),$B$11))))</f>
        <v/>
      </c>
      <c r="AG336">
        <f>AG335*$B$28+AF336*(1-$B$28)</f>
        <v/>
      </c>
      <c r="AH336">
        <f>IF(AND(AD336&gt;0,AC336&lt;=0),0,AC336)</f>
        <v/>
      </c>
      <c r="AI336">
        <f>AH336/MAX(AG336,0.000001)</f>
        <v/>
      </c>
      <c r="AJ336">
        <f>MIN(IF(AI336&gt;=0.5,-AI336+SQRT(AI336^2+2),1),$B$12)</f>
        <v/>
      </c>
      <c r="AK336">
        <f>IF(AG336&lt;=0,0,AJ336*AH336)</f>
        <v/>
      </c>
      <c r="AL336">
        <f>IF(AD336&lt;=0,0,AD336)</f>
        <v/>
      </c>
      <c r="AM336">
        <f>AL336-AK336+P336</f>
        <v/>
      </c>
      <c r="AN336">
        <f>((AM336/$B$7+T335*AS335/2-T336*MAX(0.1,MIN(0.3,0.3-0.09*(AR335-36.8)))/2)+AR335*(1-AS335/2))/(1-MAX(0.1,MIN(0.3,0.3-0.09*(AR335-36.8)))/2)</f>
        <v/>
      </c>
      <c r="AO336">
        <f>((AM336/$B$7+T335*AS335/2-T336*MAX(0.1,MIN(0.3,0.3-0.09*(AN336-36.8)))/2)+AR335*(1-AS335/2))/(1-MAX(0.1,MIN(0.3,0.3-0.09*(AN336-36.8)))/2)</f>
        <v/>
      </c>
      <c r="AP336">
        <f>((AM336/$B$7+T335*AS335/2-T336*MAX(0.1,MIN(0.3,0.3-0.09*(AO336-36.8)))/2)+AR335*(1-AS335/2))/(1-MAX(0.1,MIN(0.3,0.3-0.09*(AO336-36.8)))/2)</f>
        <v/>
      </c>
      <c r="AQ336">
        <f>((AM336/$B$7+T335*AS335/2-T336*MAX(0.1,MIN(0.3,0.3-0.09*(AP336-36.8)))/2)+AR335*(1-AS335/2))/(1-MAX(0.1,MIN(0.3,0.3-0.09*(AP336-36.8)))/2)</f>
        <v/>
      </c>
      <c r="AR336">
        <f>((AM336/$B$7+T335*AS335/2-T336*MAX(0.1,MIN(0.3,0.3-0.09*(AQ336-36.8)))/2)+AR335*(1-AS335/2))/(1-MAX(0.1,MIN(0.3,0.3-0.09*(AQ336-36.8)))/2)</f>
        <v/>
      </c>
      <c r="AS336">
        <f>MAX(0.1,MIN(0.3,0.3-0.09*(AR336-36.8)))</f>
        <v/>
      </c>
      <c r="AT336">
        <f>AT335+(2*AR336-1.962*AT335-1.31)/9</f>
        <v/>
      </c>
      <c r="AU336">
        <f>AU335+AG336+K336</f>
        <v/>
      </c>
      <c r="AV336">
        <f>AU336*2.67*$B$6/1.8/60</f>
        <v/>
      </c>
      <c r="AW336">
        <f>IF(AT336&gt;=$B$36,1,0)</f>
        <v/>
      </c>
      <c r="AX336">
        <f>IF(AV336&gt;=$B$21,1,0)</f>
        <v/>
      </c>
    </row>
    <row r="337">
      <c r="A337" t="n">
        <v>264</v>
      </c>
      <c r="B337">
        <f>MATCH(A337-1,$D$61:$D$68,1)</f>
        <v/>
      </c>
      <c r="C337">
        <f>INDEX($G$61:$G$68,B337)</f>
        <v/>
      </c>
      <c r="D337">
        <f>INDEX($L$61:$L$68,B337)</f>
        <v/>
      </c>
      <c r="E337">
        <f>INDEX($M$61:$M$68,B337)</f>
        <v/>
      </c>
      <c r="F337">
        <f>INDEX($N$61:$N$68,B337)</f>
        <v/>
      </c>
      <c r="G337">
        <f>INDEX($AA$61:$AA$68,B337)</f>
        <v/>
      </c>
      <c r="H337">
        <f>INDEX($X$61:$X$68,B337)</f>
        <v/>
      </c>
      <c r="I337">
        <f>INDEX($AF$61:$AF$68,B337)</f>
        <v/>
      </c>
      <c r="J337">
        <f>INDEX($AC$61:$AC$68,B337)</f>
        <v/>
      </c>
      <c r="K337">
        <f>INDEX($AD$61:$AD$68,B337)</f>
        <v/>
      </c>
      <c r="L337">
        <f>INDEX($AG$61:$AG$68,B337)</f>
        <v/>
      </c>
      <c r="M337">
        <f>INDEX($AH$61:$AH$68,B337)</f>
        <v/>
      </c>
      <c r="N337">
        <f>INDEX($AI$61:$AI$68,B337)</f>
        <v/>
      </c>
      <c r="O337">
        <f>O336*$B$26+L337*(1-$B$26)</f>
        <v/>
      </c>
      <c r="P337">
        <f>$B$7*(O337-O336)*(1-AS336)</f>
        <v/>
      </c>
      <c r="Q337">
        <f>M337+0.51274*AT336</f>
        <v/>
      </c>
      <c r="R337">
        <f>N337+0.616*AT336</f>
        <v/>
      </c>
      <c r="S337">
        <f>IF($B$13&gt;=0.6,Q337,IF($B$13&lt;=0.2,R337,R337+2.5*(Q337-R337)*($B$13-0.2)))</f>
        <v/>
      </c>
      <c r="T337">
        <f>IF(A337=1,S337,T336*$B$27+S337*(1-$B$27))</f>
        <v/>
      </c>
      <c r="U337">
        <f>0.6105*EXP(17.27*T337/(T337+237.3))</f>
        <v/>
      </c>
      <c r="V337">
        <f>($B$14*(I337*C337+IF(ABS((D337+0.1)-D337)&lt;0.000000001,4*$B$19*$B$20*(D337+273)^3,$B$19*$B$20*(((D337+0.1)+273)^4-(D337+273)^4)/((D337+0.1)-D337))*D337)+T337/H337)/($B$14*(I337+IF(ABS((D337+0.1)-D337)&lt;0.000000001,4*$B$19*$B$20*(D337+273)^3,$B$19*$B$20*(((D337+0.1)+273)^4-(D337+273)^4)/((D337+0.1)-D337)))+1/H337)</f>
        <v/>
      </c>
      <c r="W337">
        <f>($B$14*(I337*C337+IF(ABS(V337-D337)&lt;0.000000001,4*$B$19*$B$20*(D337+273)^3,$B$19*$B$20*((V337+273)^4-(D337+273)^4)/(V337-D337))*D337)+T337/H337)/($B$14*(I337+IF(ABS(V337-D337)&lt;0.000000001,4*$B$19*$B$20*(D337+273)^3,$B$19*$B$20*((V337+273)^4-(D337+273)^4)/(V337-D337)))+1/H337)</f>
        <v/>
      </c>
      <c r="X337">
        <f>($B$14*(I337*C337+IF(ABS(W337-D337)&lt;0.000000001,4*$B$19*$B$20*(D337+273)^3,$B$19*$B$20*((W337+273)^4-(D337+273)^4)/(W337-D337))*D337)+T337/H337)/($B$14*(I337+IF(ABS(W337-D337)&lt;0.000000001,4*$B$19*$B$20*(D337+273)^3,$B$19*$B$20*((W337+273)^4-(D337+273)^4)/(W337-D337)))+1/H337)</f>
        <v/>
      </c>
      <c r="Y337">
        <f>($B$14*(I337*C337+IF(ABS(X337-D337)&lt;0.000000001,4*$B$19*$B$20*(D337+273)^3,$B$19*$B$20*((X337+273)^4-(D337+273)^4)/(X337-D337))*D337)+T337/H337)/($B$14*(I337+IF(ABS(X337-D337)&lt;0.000000001,4*$B$19*$B$20*(D337+273)^3,$B$19*$B$20*((X337+273)^4-(D337+273)^4)/(X337-D337)))+1/H337)</f>
        <v/>
      </c>
      <c r="Z337">
        <f>IF(ABS(Y337-D337)&lt;0.000000001,4*$B$19*$B$20*(D337+273)^3,$B$19*$B$20*((Y337+273)^4-(D337+273)^4)/(Y337-D337))</f>
        <v/>
      </c>
      <c r="AA337">
        <f>$B$14*I337*(Y337-C337)</f>
        <v/>
      </c>
      <c r="AB337">
        <f>$B$14*Z337*(Y337-D337)</f>
        <v/>
      </c>
      <c r="AC337">
        <f>IF((U337-E337)/G337=0,0.001,(U337-E337)/G337)</f>
        <v/>
      </c>
      <c r="AD337">
        <f>F337-P337-J337-K337-AA337-AB337</f>
        <v/>
      </c>
      <c r="AE337">
        <f>AD337/AC337</f>
        <v/>
      </c>
      <c r="AF337">
        <f>IF(AD337&lt;=0,0,IF(AC337&lt;=0,$B$11,IF(AE337&gt;=1.7,$B$11,MIN(AD337/MAX(0.05,IF(AE337&gt;1,(2-AE337)^2/2,1-AE337^2/2)),$B$11))))</f>
        <v/>
      </c>
      <c r="AG337">
        <f>AG336*$B$28+AF337*(1-$B$28)</f>
        <v/>
      </c>
      <c r="AH337">
        <f>IF(AND(AD337&gt;0,AC337&lt;=0),0,AC337)</f>
        <v/>
      </c>
      <c r="AI337">
        <f>AH337/MAX(AG337,0.000001)</f>
        <v/>
      </c>
      <c r="AJ337">
        <f>MIN(IF(AI337&gt;=0.5,-AI337+SQRT(AI337^2+2),1),$B$12)</f>
        <v/>
      </c>
      <c r="AK337">
        <f>IF(AG337&lt;=0,0,AJ337*AH337)</f>
        <v/>
      </c>
      <c r="AL337">
        <f>IF(AD337&lt;=0,0,AD337)</f>
        <v/>
      </c>
      <c r="AM337">
        <f>AL337-AK337+P337</f>
        <v/>
      </c>
      <c r="AN337">
        <f>((AM337/$B$7+T336*AS336/2-T337*MAX(0.1,MIN(0.3,0.3-0.09*(AR336-36.8)))/2)+AR336*(1-AS336/2))/(1-MAX(0.1,MIN(0.3,0.3-0.09*(AR336-36.8)))/2)</f>
        <v/>
      </c>
      <c r="AO337">
        <f>((AM337/$B$7+T336*AS336/2-T337*MAX(0.1,MIN(0.3,0.3-0.09*(AN337-36.8)))/2)+AR336*(1-AS336/2))/(1-MAX(0.1,MIN(0.3,0.3-0.09*(AN337-36.8)))/2)</f>
        <v/>
      </c>
      <c r="AP337">
        <f>((AM337/$B$7+T336*AS336/2-T337*MAX(0.1,MIN(0.3,0.3-0.09*(AO337-36.8)))/2)+AR336*(1-AS336/2))/(1-MAX(0.1,MIN(0.3,0.3-0.09*(AO337-36.8)))/2)</f>
        <v/>
      </c>
      <c r="AQ337">
        <f>((AM337/$B$7+T336*AS336/2-T337*MAX(0.1,MIN(0.3,0.3-0.09*(AP337-36.8)))/2)+AR336*(1-AS336/2))/(1-MAX(0.1,MIN(0.3,0.3-0.09*(AP337-36.8)))/2)</f>
        <v/>
      </c>
      <c r="AR337">
        <f>((AM337/$B$7+T336*AS336/2-T337*MAX(0.1,MIN(0.3,0.3-0.09*(AQ337-36.8)))/2)+AR336*(1-AS336/2))/(1-MAX(0.1,MIN(0.3,0.3-0.09*(AQ337-36.8)))/2)</f>
        <v/>
      </c>
      <c r="AS337">
        <f>MAX(0.1,MIN(0.3,0.3-0.09*(AR337-36.8)))</f>
        <v/>
      </c>
      <c r="AT337">
        <f>AT336+(2*AR337-1.962*AT336-1.31)/9</f>
        <v/>
      </c>
      <c r="AU337">
        <f>AU336+AG337+K337</f>
        <v/>
      </c>
      <c r="AV337">
        <f>AU337*2.67*$B$6/1.8/60</f>
        <v/>
      </c>
      <c r="AW337">
        <f>IF(AT337&gt;=$B$36,1,0)</f>
        <v/>
      </c>
      <c r="AX337">
        <f>IF(AV337&gt;=$B$21,1,0)</f>
        <v/>
      </c>
    </row>
    <row r="338">
      <c r="A338" t="n">
        <v>265</v>
      </c>
      <c r="B338">
        <f>MATCH(A338-1,$D$61:$D$68,1)</f>
        <v/>
      </c>
      <c r="C338">
        <f>INDEX($G$61:$G$68,B338)</f>
        <v/>
      </c>
      <c r="D338">
        <f>INDEX($L$61:$L$68,B338)</f>
        <v/>
      </c>
      <c r="E338">
        <f>INDEX($M$61:$M$68,B338)</f>
        <v/>
      </c>
      <c r="F338">
        <f>INDEX($N$61:$N$68,B338)</f>
        <v/>
      </c>
      <c r="G338">
        <f>INDEX($AA$61:$AA$68,B338)</f>
        <v/>
      </c>
      <c r="H338">
        <f>INDEX($X$61:$X$68,B338)</f>
        <v/>
      </c>
      <c r="I338">
        <f>INDEX($AF$61:$AF$68,B338)</f>
        <v/>
      </c>
      <c r="J338">
        <f>INDEX($AC$61:$AC$68,B338)</f>
        <v/>
      </c>
      <c r="K338">
        <f>INDEX($AD$61:$AD$68,B338)</f>
        <v/>
      </c>
      <c r="L338">
        <f>INDEX($AG$61:$AG$68,B338)</f>
        <v/>
      </c>
      <c r="M338">
        <f>INDEX($AH$61:$AH$68,B338)</f>
        <v/>
      </c>
      <c r="N338">
        <f>INDEX($AI$61:$AI$68,B338)</f>
        <v/>
      </c>
      <c r="O338">
        <f>O337*$B$26+L338*(1-$B$26)</f>
        <v/>
      </c>
      <c r="P338">
        <f>$B$7*(O338-O337)*(1-AS337)</f>
        <v/>
      </c>
      <c r="Q338">
        <f>M338+0.51274*AT337</f>
        <v/>
      </c>
      <c r="R338">
        <f>N338+0.616*AT337</f>
        <v/>
      </c>
      <c r="S338">
        <f>IF($B$13&gt;=0.6,Q338,IF($B$13&lt;=0.2,R338,R338+2.5*(Q338-R338)*($B$13-0.2)))</f>
        <v/>
      </c>
      <c r="T338">
        <f>IF(A338=1,S338,T337*$B$27+S338*(1-$B$27))</f>
        <v/>
      </c>
      <c r="U338">
        <f>0.6105*EXP(17.27*T338/(T338+237.3))</f>
        <v/>
      </c>
      <c r="V338">
        <f>($B$14*(I338*C338+IF(ABS((D338+0.1)-D338)&lt;0.000000001,4*$B$19*$B$20*(D338+273)^3,$B$19*$B$20*(((D338+0.1)+273)^4-(D338+273)^4)/((D338+0.1)-D338))*D338)+T338/H338)/($B$14*(I338+IF(ABS((D338+0.1)-D338)&lt;0.000000001,4*$B$19*$B$20*(D338+273)^3,$B$19*$B$20*(((D338+0.1)+273)^4-(D338+273)^4)/((D338+0.1)-D338)))+1/H338)</f>
        <v/>
      </c>
      <c r="W338">
        <f>($B$14*(I338*C338+IF(ABS(V338-D338)&lt;0.000000001,4*$B$19*$B$20*(D338+273)^3,$B$19*$B$20*((V338+273)^4-(D338+273)^4)/(V338-D338))*D338)+T338/H338)/($B$14*(I338+IF(ABS(V338-D338)&lt;0.000000001,4*$B$19*$B$20*(D338+273)^3,$B$19*$B$20*((V338+273)^4-(D338+273)^4)/(V338-D338)))+1/H338)</f>
        <v/>
      </c>
      <c r="X338">
        <f>($B$14*(I338*C338+IF(ABS(W338-D338)&lt;0.000000001,4*$B$19*$B$20*(D338+273)^3,$B$19*$B$20*((W338+273)^4-(D338+273)^4)/(W338-D338))*D338)+T338/H338)/($B$14*(I338+IF(ABS(W338-D338)&lt;0.000000001,4*$B$19*$B$20*(D338+273)^3,$B$19*$B$20*((W338+273)^4-(D338+273)^4)/(W338-D338)))+1/H338)</f>
        <v/>
      </c>
      <c r="Y338">
        <f>($B$14*(I338*C338+IF(ABS(X338-D338)&lt;0.000000001,4*$B$19*$B$20*(D338+273)^3,$B$19*$B$20*((X338+273)^4-(D338+273)^4)/(X338-D338))*D338)+T338/H338)/($B$14*(I338+IF(ABS(X338-D338)&lt;0.000000001,4*$B$19*$B$20*(D338+273)^3,$B$19*$B$20*((X338+273)^4-(D338+273)^4)/(X338-D338)))+1/H338)</f>
        <v/>
      </c>
      <c r="Z338">
        <f>IF(ABS(Y338-D338)&lt;0.000000001,4*$B$19*$B$20*(D338+273)^3,$B$19*$B$20*((Y338+273)^4-(D338+273)^4)/(Y338-D338))</f>
        <v/>
      </c>
      <c r="AA338">
        <f>$B$14*I338*(Y338-C338)</f>
        <v/>
      </c>
      <c r="AB338">
        <f>$B$14*Z338*(Y338-D338)</f>
        <v/>
      </c>
      <c r="AC338">
        <f>IF((U338-E338)/G338=0,0.001,(U338-E338)/G338)</f>
        <v/>
      </c>
      <c r="AD338">
        <f>F338-P338-J338-K338-AA338-AB338</f>
        <v/>
      </c>
      <c r="AE338">
        <f>AD338/AC338</f>
        <v/>
      </c>
      <c r="AF338">
        <f>IF(AD338&lt;=0,0,IF(AC338&lt;=0,$B$11,IF(AE338&gt;=1.7,$B$11,MIN(AD338/MAX(0.05,IF(AE338&gt;1,(2-AE338)^2/2,1-AE338^2/2)),$B$11))))</f>
        <v/>
      </c>
      <c r="AG338">
        <f>AG337*$B$28+AF338*(1-$B$28)</f>
        <v/>
      </c>
      <c r="AH338">
        <f>IF(AND(AD338&gt;0,AC338&lt;=0),0,AC338)</f>
        <v/>
      </c>
      <c r="AI338">
        <f>AH338/MAX(AG338,0.000001)</f>
        <v/>
      </c>
      <c r="AJ338">
        <f>MIN(IF(AI338&gt;=0.5,-AI338+SQRT(AI338^2+2),1),$B$12)</f>
        <v/>
      </c>
      <c r="AK338">
        <f>IF(AG338&lt;=0,0,AJ338*AH338)</f>
        <v/>
      </c>
      <c r="AL338">
        <f>IF(AD338&lt;=0,0,AD338)</f>
        <v/>
      </c>
      <c r="AM338">
        <f>AL338-AK338+P338</f>
        <v/>
      </c>
      <c r="AN338">
        <f>((AM338/$B$7+T337*AS337/2-T338*MAX(0.1,MIN(0.3,0.3-0.09*(AR337-36.8)))/2)+AR337*(1-AS337/2))/(1-MAX(0.1,MIN(0.3,0.3-0.09*(AR337-36.8)))/2)</f>
        <v/>
      </c>
      <c r="AO338">
        <f>((AM338/$B$7+T337*AS337/2-T338*MAX(0.1,MIN(0.3,0.3-0.09*(AN338-36.8)))/2)+AR337*(1-AS337/2))/(1-MAX(0.1,MIN(0.3,0.3-0.09*(AN338-36.8)))/2)</f>
        <v/>
      </c>
      <c r="AP338">
        <f>((AM338/$B$7+T337*AS337/2-T338*MAX(0.1,MIN(0.3,0.3-0.09*(AO338-36.8)))/2)+AR337*(1-AS337/2))/(1-MAX(0.1,MIN(0.3,0.3-0.09*(AO338-36.8)))/2)</f>
        <v/>
      </c>
      <c r="AQ338">
        <f>((AM338/$B$7+T337*AS337/2-T338*MAX(0.1,MIN(0.3,0.3-0.09*(AP338-36.8)))/2)+AR337*(1-AS337/2))/(1-MAX(0.1,MIN(0.3,0.3-0.09*(AP338-36.8)))/2)</f>
        <v/>
      </c>
      <c r="AR338">
        <f>((AM338/$B$7+T337*AS337/2-T338*MAX(0.1,MIN(0.3,0.3-0.09*(AQ338-36.8)))/2)+AR337*(1-AS337/2))/(1-MAX(0.1,MIN(0.3,0.3-0.09*(AQ338-36.8)))/2)</f>
        <v/>
      </c>
      <c r="AS338">
        <f>MAX(0.1,MIN(0.3,0.3-0.09*(AR338-36.8)))</f>
        <v/>
      </c>
      <c r="AT338">
        <f>AT337+(2*AR338-1.962*AT337-1.31)/9</f>
        <v/>
      </c>
      <c r="AU338">
        <f>AU337+AG338+K338</f>
        <v/>
      </c>
      <c r="AV338">
        <f>AU338*2.67*$B$6/1.8/60</f>
        <v/>
      </c>
      <c r="AW338">
        <f>IF(AT338&gt;=$B$36,1,0)</f>
        <v/>
      </c>
      <c r="AX338">
        <f>IF(AV338&gt;=$B$21,1,0)</f>
        <v/>
      </c>
    </row>
    <row r="339">
      <c r="A339" t="n">
        <v>266</v>
      </c>
      <c r="B339">
        <f>MATCH(A339-1,$D$61:$D$68,1)</f>
        <v/>
      </c>
      <c r="C339">
        <f>INDEX($G$61:$G$68,B339)</f>
        <v/>
      </c>
      <c r="D339">
        <f>INDEX($L$61:$L$68,B339)</f>
        <v/>
      </c>
      <c r="E339">
        <f>INDEX($M$61:$M$68,B339)</f>
        <v/>
      </c>
      <c r="F339">
        <f>INDEX($N$61:$N$68,B339)</f>
        <v/>
      </c>
      <c r="G339">
        <f>INDEX($AA$61:$AA$68,B339)</f>
        <v/>
      </c>
      <c r="H339">
        <f>INDEX($X$61:$X$68,B339)</f>
        <v/>
      </c>
      <c r="I339">
        <f>INDEX($AF$61:$AF$68,B339)</f>
        <v/>
      </c>
      <c r="J339">
        <f>INDEX($AC$61:$AC$68,B339)</f>
        <v/>
      </c>
      <c r="K339">
        <f>INDEX($AD$61:$AD$68,B339)</f>
        <v/>
      </c>
      <c r="L339">
        <f>INDEX($AG$61:$AG$68,B339)</f>
        <v/>
      </c>
      <c r="M339">
        <f>INDEX($AH$61:$AH$68,B339)</f>
        <v/>
      </c>
      <c r="N339">
        <f>INDEX($AI$61:$AI$68,B339)</f>
        <v/>
      </c>
      <c r="O339">
        <f>O338*$B$26+L339*(1-$B$26)</f>
        <v/>
      </c>
      <c r="P339">
        <f>$B$7*(O339-O338)*(1-AS338)</f>
        <v/>
      </c>
      <c r="Q339">
        <f>M339+0.51274*AT338</f>
        <v/>
      </c>
      <c r="R339">
        <f>N339+0.616*AT338</f>
        <v/>
      </c>
      <c r="S339">
        <f>IF($B$13&gt;=0.6,Q339,IF($B$13&lt;=0.2,R339,R339+2.5*(Q339-R339)*($B$13-0.2)))</f>
        <v/>
      </c>
      <c r="T339">
        <f>IF(A339=1,S339,T338*$B$27+S339*(1-$B$27))</f>
        <v/>
      </c>
      <c r="U339">
        <f>0.6105*EXP(17.27*T339/(T339+237.3))</f>
        <v/>
      </c>
      <c r="V339">
        <f>($B$14*(I339*C339+IF(ABS((D339+0.1)-D339)&lt;0.000000001,4*$B$19*$B$20*(D339+273)^3,$B$19*$B$20*(((D339+0.1)+273)^4-(D339+273)^4)/((D339+0.1)-D339))*D339)+T339/H339)/($B$14*(I339+IF(ABS((D339+0.1)-D339)&lt;0.000000001,4*$B$19*$B$20*(D339+273)^3,$B$19*$B$20*(((D339+0.1)+273)^4-(D339+273)^4)/((D339+0.1)-D339)))+1/H339)</f>
        <v/>
      </c>
      <c r="W339">
        <f>($B$14*(I339*C339+IF(ABS(V339-D339)&lt;0.000000001,4*$B$19*$B$20*(D339+273)^3,$B$19*$B$20*((V339+273)^4-(D339+273)^4)/(V339-D339))*D339)+T339/H339)/($B$14*(I339+IF(ABS(V339-D339)&lt;0.000000001,4*$B$19*$B$20*(D339+273)^3,$B$19*$B$20*((V339+273)^4-(D339+273)^4)/(V339-D339)))+1/H339)</f>
        <v/>
      </c>
      <c r="X339">
        <f>($B$14*(I339*C339+IF(ABS(W339-D339)&lt;0.000000001,4*$B$19*$B$20*(D339+273)^3,$B$19*$B$20*((W339+273)^4-(D339+273)^4)/(W339-D339))*D339)+T339/H339)/($B$14*(I339+IF(ABS(W339-D339)&lt;0.000000001,4*$B$19*$B$20*(D339+273)^3,$B$19*$B$20*((W339+273)^4-(D339+273)^4)/(W339-D339)))+1/H339)</f>
        <v/>
      </c>
      <c r="Y339">
        <f>($B$14*(I339*C339+IF(ABS(X339-D339)&lt;0.000000001,4*$B$19*$B$20*(D339+273)^3,$B$19*$B$20*((X339+273)^4-(D339+273)^4)/(X339-D339))*D339)+T339/H339)/($B$14*(I339+IF(ABS(X339-D339)&lt;0.000000001,4*$B$19*$B$20*(D339+273)^3,$B$19*$B$20*((X339+273)^4-(D339+273)^4)/(X339-D339)))+1/H339)</f>
        <v/>
      </c>
      <c r="Z339">
        <f>IF(ABS(Y339-D339)&lt;0.000000001,4*$B$19*$B$20*(D339+273)^3,$B$19*$B$20*((Y339+273)^4-(D339+273)^4)/(Y339-D339))</f>
        <v/>
      </c>
      <c r="AA339">
        <f>$B$14*I339*(Y339-C339)</f>
        <v/>
      </c>
      <c r="AB339">
        <f>$B$14*Z339*(Y339-D339)</f>
        <v/>
      </c>
      <c r="AC339">
        <f>IF((U339-E339)/G339=0,0.001,(U339-E339)/G339)</f>
        <v/>
      </c>
      <c r="AD339">
        <f>F339-P339-J339-K339-AA339-AB339</f>
        <v/>
      </c>
      <c r="AE339">
        <f>AD339/AC339</f>
        <v/>
      </c>
      <c r="AF339">
        <f>IF(AD339&lt;=0,0,IF(AC339&lt;=0,$B$11,IF(AE339&gt;=1.7,$B$11,MIN(AD339/MAX(0.05,IF(AE339&gt;1,(2-AE339)^2/2,1-AE339^2/2)),$B$11))))</f>
        <v/>
      </c>
      <c r="AG339">
        <f>AG338*$B$28+AF339*(1-$B$28)</f>
        <v/>
      </c>
      <c r="AH339">
        <f>IF(AND(AD339&gt;0,AC339&lt;=0),0,AC339)</f>
        <v/>
      </c>
      <c r="AI339">
        <f>AH339/MAX(AG339,0.000001)</f>
        <v/>
      </c>
      <c r="AJ339">
        <f>MIN(IF(AI339&gt;=0.5,-AI339+SQRT(AI339^2+2),1),$B$12)</f>
        <v/>
      </c>
      <c r="AK339">
        <f>IF(AG339&lt;=0,0,AJ339*AH339)</f>
        <v/>
      </c>
      <c r="AL339">
        <f>IF(AD339&lt;=0,0,AD339)</f>
        <v/>
      </c>
      <c r="AM339">
        <f>AL339-AK339+P339</f>
        <v/>
      </c>
      <c r="AN339">
        <f>((AM339/$B$7+T338*AS338/2-T339*MAX(0.1,MIN(0.3,0.3-0.09*(AR338-36.8)))/2)+AR338*(1-AS338/2))/(1-MAX(0.1,MIN(0.3,0.3-0.09*(AR338-36.8)))/2)</f>
        <v/>
      </c>
      <c r="AO339">
        <f>((AM339/$B$7+T338*AS338/2-T339*MAX(0.1,MIN(0.3,0.3-0.09*(AN339-36.8)))/2)+AR338*(1-AS338/2))/(1-MAX(0.1,MIN(0.3,0.3-0.09*(AN339-36.8)))/2)</f>
        <v/>
      </c>
      <c r="AP339">
        <f>((AM339/$B$7+T338*AS338/2-T339*MAX(0.1,MIN(0.3,0.3-0.09*(AO339-36.8)))/2)+AR338*(1-AS338/2))/(1-MAX(0.1,MIN(0.3,0.3-0.09*(AO339-36.8)))/2)</f>
        <v/>
      </c>
      <c r="AQ339">
        <f>((AM339/$B$7+T338*AS338/2-T339*MAX(0.1,MIN(0.3,0.3-0.09*(AP339-36.8)))/2)+AR338*(1-AS338/2))/(1-MAX(0.1,MIN(0.3,0.3-0.09*(AP339-36.8)))/2)</f>
        <v/>
      </c>
      <c r="AR339">
        <f>((AM339/$B$7+T338*AS338/2-T339*MAX(0.1,MIN(0.3,0.3-0.09*(AQ339-36.8)))/2)+AR338*(1-AS338/2))/(1-MAX(0.1,MIN(0.3,0.3-0.09*(AQ339-36.8)))/2)</f>
        <v/>
      </c>
      <c r="AS339">
        <f>MAX(0.1,MIN(0.3,0.3-0.09*(AR339-36.8)))</f>
        <v/>
      </c>
      <c r="AT339">
        <f>AT338+(2*AR339-1.962*AT338-1.31)/9</f>
        <v/>
      </c>
      <c r="AU339">
        <f>AU338+AG339+K339</f>
        <v/>
      </c>
      <c r="AV339">
        <f>AU339*2.67*$B$6/1.8/60</f>
        <v/>
      </c>
      <c r="AW339">
        <f>IF(AT339&gt;=$B$36,1,0)</f>
        <v/>
      </c>
      <c r="AX339">
        <f>IF(AV339&gt;=$B$21,1,0)</f>
        <v/>
      </c>
    </row>
    <row r="340">
      <c r="A340" t="n">
        <v>267</v>
      </c>
      <c r="B340">
        <f>MATCH(A340-1,$D$61:$D$68,1)</f>
        <v/>
      </c>
      <c r="C340">
        <f>INDEX($G$61:$G$68,B340)</f>
        <v/>
      </c>
      <c r="D340">
        <f>INDEX($L$61:$L$68,B340)</f>
        <v/>
      </c>
      <c r="E340">
        <f>INDEX($M$61:$M$68,B340)</f>
        <v/>
      </c>
      <c r="F340">
        <f>INDEX($N$61:$N$68,B340)</f>
        <v/>
      </c>
      <c r="G340">
        <f>INDEX($AA$61:$AA$68,B340)</f>
        <v/>
      </c>
      <c r="H340">
        <f>INDEX($X$61:$X$68,B340)</f>
        <v/>
      </c>
      <c r="I340">
        <f>INDEX($AF$61:$AF$68,B340)</f>
        <v/>
      </c>
      <c r="J340">
        <f>INDEX($AC$61:$AC$68,B340)</f>
        <v/>
      </c>
      <c r="K340">
        <f>INDEX($AD$61:$AD$68,B340)</f>
        <v/>
      </c>
      <c r="L340">
        <f>INDEX($AG$61:$AG$68,B340)</f>
        <v/>
      </c>
      <c r="M340">
        <f>INDEX($AH$61:$AH$68,B340)</f>
        <v/>
      </c>
      <c r="N340">
        <f>INDEX($AI$61:$AI$68,B340)</f>
        <v/>
      </c>
      <c r="O340">
        <f>O339*$B$26+L340*(1-$B$26)</f>
        <v/>
      </c>
      <c r="P340">
        <f>$B$7*(O340-O339)*(1-AS339)</f>
        <v/>
      </c>
      <c r="Q340">
        <f>M340+0.51274*AT339</f>
        <v/>
      </c>
      <c r="R340">
        <f>N340+0.616*AT339</f>
        <v/>
      </c>
      <c r="S340">
        <f>IF($B$13&gt;=0.6,Q340,IF($B$13&lt;=0.2,R340,R340+2.5*(Q340-R340)*($B$13-0.2)))</f>
        <v/>
      </c>
      <c r="T340">
        <f>IF(A340=1,S340,T339*$B$27+S340*(1-$B$27))</f>
        <v/>
      </c>
      <c r="U340">
        <f>0.6105*EXP(17.27*T340/(T340+237.3))</f>
        <v/>
      </c>
      <c r="V340">
        <f>($B$14*(I340*C340+IF(ABS((D340+0.1)-D340)&lt;0.000000001,4*$B$19*$B$20*(D340+273)^3,$B$19*$B$20*(((D340+0.1)+273)^4-(D340+273)^4)/((D340+0.1)-D340))*D340)+T340/H340)/($B$14*(I340+IF(ABS((D340+0.1)-D340)&lt;0.000000001,4*$B$19*$B$20*(D340+273)^3,$B$19*$B$20*(((D340+0.1)+273)^4-(D340+273)^4)/((D340+0.1)-D340)))+1/H340)</f>
        <v/>
      </c>
      <c r="W340">
        <f>($B$14*(I340*C340+IF(ABS(V340-D340)&lt;0.000000001,4*$B$19*$B$20*(D340+273)^3,$B$19*$B$20*((V340+273)^4-(D340+273)^4)/(V340-D340))*D340)+T340/H340)/($B$14*(I340+IF(ABS(V340-D340)&lt;0.000000001,4*$B$19*$B$20*(D340+273)^3,$B$19*$B$20*((V340+273)^4-(D340+273)^4)/(V340-D340)))+1/H340)</f>
        <v/>
      </c>
      <c r="X340">
        <f>($B$14*(I340*C340+IF(ABS(W340-D340)&lt;0.000000001,4*$B$19*$B$20*(D340+273)^3,$B$19*$B$20*((W340+273)^4-(D340+273)^4)/(W340-D340))*D340)+T340/H340)/($B$14*(I340+IF(ABS(W340-D340)&lt;0.000000001,4*$B$19*$B$20*(D340+273)^3,$B$19*$B$20*((W340+273)^4-(D340+273)^4)/(W340-D340)))+1/H340)</f>
        <v/>
      </c>
      <c r="Y340">
        <f>($B$14*(I340*C340+IF(ABS(X340-D340)&lt;0.000000001,4*$B$19*$B$20*(D340+273)^3,$B$19*$B$20*((X340+273)^4-(D340+273)^4)/(X340-D340))*D340)+T340/H340)/($B$14*(I340+IF(ABS(X340-D340)&lt;0.000000001,4*$B$19*$B$20*(D340+273)^3,$B$19*$B$20*((X340+273)^4-(D340+273)^4)/(X340-D340)))+1/H340)</f>
        <v/>
      </c>
      <c r="Z340">
        <f>IF(ABS(Y340-D340)&lt;0.000000001,4*$B$19*$B$20*(D340+273)^3,$B$19*$B$20*((Y340+273)^4-(D340+273)^4)/(Y340-D340))</f>
        <v/>
      </c>
      <c r="AA340">
        <f>$B$14*I340*(Y340-C340)</f>
        <v/>
      </c>
      <c r="AB340">
        <f>$B$14*Z340*(Y340-D340)</f>
        <v/>
      </c>
      <c r="AC340">
        <f>IF((U340-E340)/G340=0,0.001,(U340-E340)/G340)</f>
        <v/>
      </c>
      <c r="AD340">
        <f>F340-P340-J340-K340-AA340-AB340</f>
        <v/>
      </c>
      <c r="AE340">
        <f>AD340/AC340</f>
        <v/>
      </c>
      <c r="AF340">
        <f>IF(AD340&lt;=0,0,IF(AC340&lt;=0,$B$11,IF(AE340&gt;=1.7,$B$11,MIN(AD340/MAX(0.05,IF(AE340&gt;1,(2-AE340)^2/2,1-AE340^2/2)),$B$11))))</f>
        <v/>
      </c>
      <c r="AG340">
        <f>AG339*$B$28+AF340*(1-$B$28)</f>
        <v/>
      </c>
      <c r="AH340">
        <f>IF(AND(AD340&gt;0,AC340&lt;=0),0,AC340)</f>
        <v/>
      </c>
      <c r="AI340">
        <f>AH340/MAX(AG340,0.000001)</f>
        <v/>
      </c>
      <c r="AJ340">
        <f>MIN(IF(AI340&gt;=0.5,-AI340+SQRT(AI340^2+2),1),$B$12)</f>
        <v/>
      </c>
      <c r="AK340">
        <f>IF(AG340&lt;=0,0,AJ340*AH340)</f>
        <v/>
      </c>
      <c r="AL340">
        <f>IF(AD340&lt;=0,0,AD340)</f>
        <v/>
      </c>
      <c r="AM340">
        <f>AL340-AK340+P340</f>
        <v/>
      </c>
      <c r="AN340">
        <f>((AM340/$B$7+T339*AS339/2-T340*MAX(0.1,MIN(0.3,0.3-0.09*(AR339-36.8)))/2)+AR339*(1-AS339/2))/(1-MAX(0.1,MIN(0.3,0.3-0.09*(AR339-36.8)))/2)</f>
        <v/>
      </c>
      <c r="AO340">
        <f>((AM340/$B$7+T339*AS339/2-T340*MAX(0.1,MIN(0.3,0.3-0.09*(AN340-36.8)))/2)+AR339*(1-AS339/2))/(1-MAX(0.1,MIN(0.3,0.3-0.09*(AN340-36.8)))/2)</f>
        <v/>
      </c>
      <c r="AP340">
        <f>((AM340/$B$7+T339*AS339/2-T340*MAX(0.1,MIN(0.3,0.3-0.09*(AO340-36.8)))/2)+AR339*(1-AS339/2))/(1-MAX(0.1,MIN(0.3,0.3-0.09*(AO340-36.8)))/2)</f>
        <v/>
      </c>
      <c r="AQ340">
        <f>((AM340/$B$7+T339*AS339/2-T340*MAX(0.1,MIN(0.3,0.3-0.09*(AP340-36.8)))/2)+AR339*(1-AS339/2))/(1-MAX(0.1,MIN(0.3,0.3-0.09*(AP340-36.8)))/2)</f>
        <v/>
      </c>
      <c r="AR340">
        <f>((AM340/$B$7+T339*AS339/2-T340*MAX(0.1,MIN(0.3,0.3-0.09*(AQ340-36.8)))/2)+AR339*(1-AS339/2))/(1-MAX(0.1,MIN(0.3,0.3-0.09*(AQ340-36.8)))/2)</f>
        <v/>
      </c>
      <c r="AS340">
        <f>MAX(0.1,MIN(0.3,0.3-0.09*(AR340-36.8)))</f>
        <v/>
      </c>
      <c r="AT340">
        <f>AT339+(2*AR340-1.962*AT339-1.31)/9</f>
        <v/>
      </c>
      <c r="AU340">
        <f>AU339+AG340+K340</f>
        <v/>
      </c>
      <c r="AV340">
        <f>AU340*2.67*$B$6/1.8/60</f>
        <v/>
      </c>
      <c r="AW340">
        <f>IF(AT340&gt;=$B$36,1,0)</f>
        <v/>
      </c>
      <c r="AX340">
        <f>IF(AV340&gt;=$B$21,1,0)</f>
        <v/>
      </c>
    </row>
    <row r="341">
      <c r="A341" t="n">
        <v>268</v>
      </c>
      <c r="B341">
        <f>MATCH(A341-1,$D$61:$D$68,1)</f>
        <v/>
      </c>
      <c r="C341">
        <f>INDEX($G$61:$G$68,B341)</f>
        <v/>
      </c>
      <c r="D341">
        <f>INDEX($L$61:$L$68,B341)</f>
        <v/>
      </c>
      <c r="E341">
        <f>INDEX($M$61:$M$68,B341)</f>
        <v/>
      </c>
      <c r="F341">
        <f>INDEX($N$61:$N$68,B341)</f>
        <v/>
      </c>
      <c r="G341">
        <f>INDEX($AA$61:$AA$68,B341)</f>
        <v/>
      </c>
      <c r="H341">
        <f>INDEX($X$61:$X$68,B341)</f>
        <v/>
      </c>
      <c r="I341">
        <f>INDEX($AF$61:$AF$68,B341)</f>
        <v/>
      </c>
      <c r="J341">
        <f>INDEX($AC$61:$AC$68,B341)</f>
        <v/>
      </c>
      <c r="K341">
        <f>INDEX($AD$61:$AD$68,B341)</f>
        <v/>
      </c>
      <c r="L341">
        <f>INDEX($AG$61:$AG$68,B341)</f>
        <v/>
      </c>
      <c r="M341">
        <f>INDEX($AH$61:$AH$68,B341)</f>
        <v/>
      </c>
      <c r="N341">
        <f>INDEX($AI$61:$AI$68,B341)</f>
        <v/>
      </c>
      <c r="O341">
        <f>O340*$B$26+L341*(1-$B$26)</f>
        <v/>
      </c>
      <c r="P341">
        <f>$B$7*(O341-O340)*(1-AS340)</f>
        <v/>
      </c>
      <c r="Q341">
        <f>M341+0.51274*AT340</f>
        <v/>
      </c>
      <c r="R341">
        <f>N341+0.616*AT340</f>
        <v/>
      </c>
      <c r="S341">
        <f>IF($B$13&gt;=0.6,Q341,IF($B$13&lt;=0.2,R341,R341+2.5*(Q341-R341)*($B$13-0.2)))</f>
        <v/>
      </c>
      <c r="T341">
        <f>IF(A341=1,S341,T340*$B$27+S341*(1-$B$27))</f>
        <v/>
      </c>
      <c r="U341">
        <f>0.6105*EXP(17.27*T341/(T341+237.3))</f>
        <v/>
      </c>
      <c r="V341">
        <f>($B$14*(I341*C341+IF(ABS((D341+0.1)-D341)&lt;0.000000001,4*$B$19*$B$20*(D341+273)^3,$B$19*$B$20*(((D341+0.1)+273)^4-(D341+273)^4)/((D341+0.1)-D341))*D341)+T341/H341)/($B$14*(I341+IF(ABS((D341+0.1)-D341)&lt;0.000000001,4*$B$19*$B$20*(D341+273)^3,$B$19*$B$20*(((D341+0.1)+273)^4-(D341+273)^4)/((D341+0.1)-D341)))+1/H341)</f>
        <v/>
      </c>
      <c r="W341">
        <f>($B$14*(I341*C341+IF(ABS(V341-D341)&lt;0.000000001,4*$B$19*$B$20*(D341+273)^3,$B$19*$B$20*((V341+273)^4-(D341+273)^4)/(V341-D341))*D341)+T341/H341)/($B$14*(I341+IF(ABS(V341-D341)&lt;0.000000001,4*$B$19*$B$20*(D341+273)^3,$B$19*$B$20*((V341+273)^4-(D341+273)^4)/(V341-D341)))+1/H341)</f>
        <v/>
      </c>
      <c r="X341">
        <f>($B$14*(I341*C341+IF(ABS(W341-D341)&lt;0.000000001,4*$B$19*$B$20*(D341+273)^3,$B$19*$B$20*((W341+273)^4-(D341+273)^4)/(W341-D341))*D341)+T341/H341)/($B$14*(I341+IF(ABS(W341-D341)&lt;0.000000001,4*$B$19*$B$20*(D341+273)^3,$B$19*$B$20*((W341+273)^4-(D341+273)^4)/(W341-D341)))+1/H341)</f>
        <v/>
      </c>
      <c r="Y341">
        <f>($B$14*(I341*C341+IF(ABS(X341-D341)&lt;0.000000001,4*$B$19*$B$20*(D341+273)^3,$B$19*$B$20*((X341+273)^4-(D341+273)^4)/(X341-D341))*D341)+T341/H341)/($B$14*(I341+IF(ABS(X341-D341)&lt;0.000000001,4*$B$19*$B$20*(D341+273)^3,$B$19*$B$20*((X341+273)^4-(D341+273)^4)/(X341-D341)))+1/H341)</f>
        <v/>
      </c>
      <c r="Z341">
        <f>IF(ABS(Y341-D341)&lt;0.000000001,4*$B$19*$B$20*(D341+273)^3,$B$19*$B$20*((Y341+273)^4-(D341+273)^4)/(Y341-D341))</f>
        <v/>
      </c>
      <c r="AA341">
        <f>$B$14*I341*(Y341-C341)</f>
        <v/>
      </c>
      <c r="AB341">
        <f>$B$14*Z341*(Y341-D341)</f>
        <v/>
      </c>
      <c r="AC341">
        <f>IF((U341-E341)/G341=0,0.001,(U341-E341)/G341)</f>
        <v/>
      </c>
      <c r="AD341">
        <f>F341-P341-J341-K341-AA341-AB341</f>
        <v/>
      </c>
      <c r="AE341">
        <f>AD341/AC341</f>
        <v/>
      </c>
      <c r="AF341">
        <f>IF(AD341&lt;=0,0,IF(AC341&lt;=0,$B$11,IF(AE341&gt;=1.7,$B$11,MIN(AD341/MAX(0.05,IF(AE341&gt;1,(2-AE341)^2/2,1-AE341^2/2)),$B$11))))</f>
        <v/>
      </c>
      <c r="AG341">
        <f>AG340*$B$28+AF341*(1-$B$28)</f>
        <v/>
      </c>
      <c r="AH341">
        <f>IF(AND(AD341&gt;0,AC341&lt;=0),0,AC341)</f>
        <v/>
      </c>
      <c r="AI341">
        <f>AH341/MAX(AG341,0.000001)</f>
        <v/>
      </c>
      <c r="AJ341">
        <f>MIN(IF(AI341&gt;=0.5,-AI341+SQRT(AI341^2+2),1),$B$12)</f>
        <v/>
      </c>
      <c r="AK341">
        <f>IF(AG341&lt;=0,0,AJ341*AH341)</f>
        <v/>
      </c>
      <c r="AL341">
        <f>IF(AD341&lt;=0,0,AD341)</f>
        <v/>
      </c>
      <c r="AM341">
        <f>AL341-AK341+P341</f>
        <v/>
      </c>
      <c r="AN341">
        <f>((AM341/$B$7+T340*AS340/2-T341*MAX(0.1,MIN(0.3,0.3-0.09*(AR340-36.8)))/2)+AR340*(1-AS340/2))/(1-MAX(0.1,MIN(0.3,0.3-0.09*(AR340-36.8)))/2)</f>
        <v/>
      </c>
      <c r="AO341">
        <f>((AM341/$B$7+T340*AS340/2-T341*MAX(0.1,MIN(0.3,0.3-0.09*(AN341-36.8)))/2)+AR340*(1-AS340/2))/(1-MAX(0.1,MIN(0.3,0.3-0.09*(AN341-36.8)))/2)</f>
        <v/>
      </c>
      <c r="AP341">
        <f>((AM341/$B$7+T340*AS340/2-T341*MAX(0.1,MIN(0.3,0.3-0.09*(AO341-36.8)))/2)+AR340*(1-AS340/2))/(1-MAX(0.1,MIN(0.3,0.3-0.09*(AO341-36.8)))/2)</f>
        <v/>
      </c>
      <c r="AQ341">
        <f>((AM341/$B$7+T340*AS340/2-T341*MAX(0.1,MIN(0.3,0.3-0.09*(AP341-36.8)))/2)+AR340*(1-AS340/2))/(1-MAX(0.1,MIN(0.3,0.3-0.09*(AP341-36.8)))/2)</f>
        <v/>
      </c>
      <c r="AR341">
        <f>((AM341/$B$7+T340*AS340/2-T341*MAX(0.1,MIN(0.3,0.3-0.09*(AQ341-36.8)))/2)+AR340*(1-AS340/2))/(1-MAX(0.1,MIN(0.3,0.3-0.09*(AQ341-36.8)))/2)</f>
        <v/>
      </c>
      <c r="AS341">
        <f>MAX(0.1,MIN(0.3,0.3-0.09*(AR341-36.8)))</f>
        <v/>
      </c>
      <c r="AT341">
        <f>AT340+(2*AR341-1.962*AT340-1.31)/9</f>
        <v/>
      </c>
      <c r="AU341">
        <f>AU340+AG341+K341</f>
        <v/>
      </c>
      <c r="AV341">
        <f>AU341*2.67*$B$6/1.8/60</f>
        <v/>
      </c>
      <c r="AW341">
        <f>IF(AT341&gt;=$B$36,1,0)</f>
        <v/>
      </c>
      <c r="AX341">
        <f>IF(AV341&gt;=$B$21,1,0)</f>
        <v/>
      </c>
    </row>
    <row r="342">
      <c r="A342" t="n">
        <v>269</v>
      </c>
      <c r="B342">
        <f>MATCH(A342-1,$D$61:$D$68,1)</f>
        <v/>
      </c>
      <c r="C342">
        <f>INDEX($G$61:$G$68,B342)</f>
        <v/>
      </c>
      <c r="D342">
        <f>INDEX($L$61:$L$68,B342)</f>
        <v/>
      </c>
      <c r="E342">
        <f>INDEX($M$61:$M$68,B342)</f>
        <v/>
      </c>
      <c r="F342">
        <f>INDEX($N$61:$N$68,B342)</f>
        <v/>
      </c>
      <c r="G342">
        <f>INDEX($AA$61:$AA$68,B342)</f>
        <v/>
      </c>
      <c r="H342">
        <f>INDEX($X$61:$X$68,B342)</f>
        <v/>
      </c>
      <c r="I342">
        <f>INDEX($AF$61:$AF$68,B342)</f>
        <v/>
      </c>
      <c r="J342">
        <f>INDEX($AC$61:$AC$68,B342)</f>
        <v/>
      </c>
      <c r="K342">
        <f>INDEX($AD$61:$AD$68,B342)</f>
        <v/>
      </c>
      <c r="L342">
        <f>INDEX($AG$61:$AG$68,B342)</f>
        <v/>
      </c>
      <c r="M342">
        <f>INDEX($AH$61:$AH$68,B342)</f>
        <v/>
      </c>
      <c r="N342">
        <f>INDEX($AI$61:$AI$68,B342)</f>
        <v/>
      </c>
      <c r="O342">
        <f>O341*$B$26+L342*(1-$B$26)</f>
        <v/>
      </c>
      <c r="P342">
        <f>$B$7*(O342-O341)*(1-AS341)</f>
        <v/>
      </c>
      <c r="Q342">
        <f>M342+0.51274*AT341</f>
        <v/>
      </c>
      <c r="R342">
        <f>N342+0.616*AT341</f>
        <v/>
      </c>
      <c r="S342">
        <f>IF($B$13&gt;=0.6,Q342,IF($B$13&lt;=0.2,R342,R342+2.5*(Q342-R342)*($B$13-0.2)))</f>
        <v/>
      </c>
      <c r="T342">
        <f>IF(A342=1,S342,T341*$B$27+S342*(1-$B$27))</f>
        <v/>
      </c>
      <c r="U342">
        <f>0.6105*EXP(17.27*T342/(T342+237.3))</f>
        <v/>
      </c>
      <c r="V342">
        <f>($B$14*(I342*C342+IF(ABS((D342+0.1)-D342)&lt;0.000000001,4*$B$19*$B$20*(D342+273)^3,$B$19*$B$20*(((D342+0.1)+273)^4-(D342+273)^4)/((D342+0.1)-D342))*D342)+T342/H342)/($B$14*(I342+IF(ABS((D342+0.1)-D342)&lt;0.000000001,4*$B$19*$B$20*(D342+273)^3,$B$19*$B$20*(((D342+0.1)+273)^4-(D342+273)^4)/((D342+0.1)-D342)))+1/H342)</f>
        <v/>
      </c>
      <c r="W342">
        <f>($B$14*(I342*C342+IF(ABS(V342-D342)&lt;0.000000001,4*$B$19*$B$20*(D342+273)^3,$B$19*$B$20*((V342+273)^4-(D342+273)^4)/(V342-D342))*D342)+T342/H342)/($B$14*(I342+IF(ABS(V342-D342)&lt;0.000000001,4*$B$19*$B$20*(D342+273)^3,$B$19*$B$20*((V342+273)^4-(D342+273)^4)/(V342-D342)))+1/H342)</f>
        <v/>
      </c>
      <c r="X342">
        <f>($B$14*(I342*C342+IF(ABS(W342-D342)&lt;0.000000001,4*$B$19*$B$20*(D342+273)^3,$B$19*$B$20*((W342+273)^4-(D342+273)^4)/(W342-D342))*D342)+T342/H342)/($B$14*(I342+IF(ABS(W342-D342)&lt;0.000000001,4*$B$19*$B$20*(D342+273)^3,$B$19*$B$20*((W342+273)^4-(D342+273)^4)/(W342-D342)))+1/H342)</f>
        <v/>
      </c>
      <c r="Y342">
        <f>($B$14*(I342*C342+IF(ABS(X342-D342)&lt;0.000000001,4*$B$19*$B$20*(D342+273)^3,$B$19*$B$20*((X342+273)^4-(D342+273)^4)/(X342-D342))*D342)+T342/H342)/($B$14*(I342+IF(ABS(X342-D342)&lt;0.000000001,4*$B$19*$B$20*(D342+273)^3,$B$19*$B$20*((X342+273)^4-(D342+273)^4)/(X342-D342)))+1/H342)</f>
        <v/>
      </c>
      <c r="Z342">
        <f>IF(ABS(Y342-D342)&lt;0.000000001,4*$B$19*$B$20*(D342+273)^3,$B$19*$B$20*((Y342+273)^4-(D342+273)^4)/(Y342-D342))</f>
        <v/>
      </c>
      <c r="AA342">
        <f>$B$14*I342*(Y342-C342)</f>
        <v/>
      </c>
      <c r="AB342">
        <f>$B$14*Z342*(Y342-D342)</f>
        <v/>
      </c>
      <c r="AC342">
        <f>IF((U342-E342)/G342=0,0.001,(U342-E342)/G342)</f>
        <v/>
      </c>
      <c r="AD342">
        <f>F342-P342-J342-K342-AA342-AB342</f>
        <v/>
      </c>
      <c r="AE342">
        <f>AD342/AC342</f>
        <v/>
      </c>
      <c r="AF342">
        <f>IF(AD342&lt;=0,0,IF(AC342&lt;=0,$B$11,IF(AE342&gt;=1.7,$B$11,MIN(AD342/MAX(0.05,IF(AE342&gt;1,(2-AE342)^2/2,1-AE342^2/2)),$B$11))))</f>
        <v/>
      </c>
      <c r="AG342">
        <f>AG341*$B$28+AF342*(1-$B$28)</f>
        <v/>
      </c>
      <c r="AH342">
        <f>IF(AND(AD342&gt;0,AC342&lt;=0),0,AC342)</f>
        <v/>
      </c>
      <c r="AI342">
        <f>AH342/MAX(AG342,0.000001)</f>
        <v/>
      </c>
      <c r="AJ342">
        <f>MIN(IF(AI342&gt;=0.5,-AI342+SQRT(AI342^2+2),1),$B$12)</f>
        <v/>
      </c>
      <c r="AK342">
        <f>IF(AG342&lt;=0,0,AJ342*AH342)</f>
        <v/>
      </c>
      <c r="AL342">
        <f>IF(AD342&lt;=0,0,AD342)</f>
        <v/>
      </c>
      <c r="AM342">
        <f>AL342-AK342+P342</f>
        <v/>
      </c>
      <c r="AN342">
        <f>((AM342/$B$7+T341*AS341/2-T342*MAX(0.1,MIN(0.3,0.3-0.09*(AR341-36.8)))/2)+AR341*(1-AS341/2))/(1-MAX(0.1,MIN(0.3,0.3-0.09*(AR341-36.8)))/2)</f>
        <v/>
      </c>
      <c r="AO342">
        <f>((AM342/$B$7+T341*AS341/2-T342*MAX(0.1,MIN(0.3,0.3-0.09*(AN342-36.8)))/2)+AR341*(1-AS341/2))/(1-MAX(0.1,MIN(0.3,0.3-0.09*(AN342-36.8)))/2)</f>
        <v/>
      </c>
      <c r="AP342">
        <f>((AM342/$B$7+T341*AS341/2-T342*MAX(0.1,MIN(0.3,0.3-0.09*(AO342-36.8)))/2)+AR341*(1-AS341/2))/(1-MAX(0.1,MIN(0.3,0.3-0.09*(AO342-36.8)))/2)</f>
        <v/>
      </c>
      <c r="AQ342">
        <f>((AM342/$B$7+T341*AS341/2-T342*MAX(0.1,MIN(0.3,0.3-0.09*(AP342-36.8)))/2)+AR341*(1-AS341/2))/(1-MAX(0.1,MIN(0.3,0.3-0.09*(AP342-36.8)))/2)</f>
        <v/>
      </c>
      <c r="AR342">
        <f>((AM342/$B$7+T341*AS341/2-T342*MAX(0.1,MIN(0.3,0.3-0.09*(AQ342-36.8)))/2)+AR341*(1-AS341/2))/(1-MAX(0.1,MIN(0.3,0.3-0.09*(AQ342-36.8)))/2)</f>
        <v/>
      </c>
      <c r="AS342">
        <f>MAX(0.1,MIN(0.3,0.3-0.09*(AR342-36.8)))</f>
        <v/>
      </c>
      <c r="AT342">
        <f>AT341+(2*AR342-1.962*AT341-1.31)/9</f>
        <v/>
      </c>
      <c r="AU342">
        <f>AU341+AG342+K342</f>
        <v/>
      </c>
      <c r="AV342">
        <f>AU342*2.67*$B$6/1.8/60</f>
        <v/>
      </c>
      <c r="AW342">
        <f>IF(AT342&gt;=$B$36,1,0)</f>
        <v/>
      </c>
      <c r="AX342">
        <f>IF(AV342&gt;=$B$21,1,0)</f>
        <v/>
      </c>
    </row>
    <row r="343">
      <c r="A343" t="n">
        <v>270</v>
      </c>
      <c r="B343">
        <f>MATCH(A343-1,$D$61:$D$68,1)</f>
        <v/>
      </c>
      <c r="C343">
        <f>INDEX($G$61:$G$68,B343)</f>
        <v/>
      </c>
      <c r="D343">
        <f>INDEX($L$61:$L$68,B343)</f>
        <v/>
      </c>
      <c r="E343">
        <f>INDEX($M$61:$M$68,B343)</f>
        <v/>
      </c>
      <c r="F343">
        <f>INDEX($N$61:$N$68,B343)</f>
        <v/>
      </c>
      <c r="G343">
        <f>INDEX($AA$61:$AA$68,B343)</f>
        <v/>
      </c>
      <c r="H343">
        <f>INDEX($X$61:$X$68,B343)</f>
        <v/>
      </c>
      <c r="I343">
        <f>INDEX($AF$61:$AF$68,B343)</f>
        <v/>
      </c>
      <c r="J343">
        <f>INDEX($AC$61:$AC$68,B343)</f>
        <v/>
      </c>
      <c r="K343">
        <f>INDEX($AD$61:$AD$68,B343)</f>
        <v/>
      </c>
      <c r="L343">
        <f>INDEX($AG$61:$AG$68,B343)</f>
        <v/>
      </c>
      <c r="M343">
        <f>INDEX($AH$61:$AH$68,B343)</f>
        <v/>
      </c>
      <c r="N343">
        <f>INDEX($AI$61:$AI$68,B343)</f>
        <v/>
      </c>
      <c r="O343">
        <f>O342*$B$26+L343*(1-$B$26)</f>
        <v/>
      </c>
      <c r="P343">
        <f>$B$7*(O343-O342)*(1-AS342)</f>
        <v/>
      </c>
      <c r="Q343">
        <f>M343+0.51274*AT342</f>
        <v/>
      </c>
      <c r="R343">
        <f>N343+0.616*AT342</f>
        <v/>
      </c>
      <c r="S343">
        <f>IF($B$13&gt;=0.6,Q343,IF($B$13&lt;=0.2,R343,R343+2.5*(Q343-R343)*($B$13-0.2)))</f>
        <v/>
      </c>
      <c r="T343">
        <f>IF(A343=1,S343,T342*$B$27+S343*(1-$B$27))</f>
        <v/>
      </c>
      <c r="U343">
        <f>0.6105*EXP(17.27*T343/(T343+237.3))</f>
        <v/>
      </c>
      <c r="V343">
        <f>($B$14*(I343*C343+IF(ABS((D343+0.1)-D343)&lt;0.000000001,4*$B$19*$B$20*(D343+273)^3,$B$19*$B$20*(((D343+0.1)+273)^4-(D343+273)^4)/((D343+0.1)-D343))*D343)+T343/H343)/($B$14*(I343+IF(ABS((D343+0.1)-D343)&lt;0.000000001,4*$B$19*$B$20*(D343+273)^3,$B$19*$B$20*(((D343+0.1)+273)^4-(D343+273)^4)/((D343+0.1)-D343)))+1/H343)</f>
        <v/>
      </c>
      <c r="W343">
        <f>($B$14*(I343*C343+IF(ABS(V343-D343)&lt;0.000000001,4*$B$19*$B$20*(D343+273)^3,$B$19*$B$20*((V343+273)^4-(D343+273)^4)/(V343-D343))*D343)+T343/H343)/($B$14*(I343+IF(ABS(V343-D343)&lt;0.000000001,4*$B$19*$B$20*(D343+273)^3,$B$19*$B$20*((V343+273)^4-(D343+273)^4)/(V343-D343)))+1/H343)</f>
        <v/>
      </c>
      <c r="X343">
        <f>($B$14*(I343*C343+IF(ABS(W343-D343)&lt;0.000000001,4*$B$19*$B$20*(D343+273)^3,$B$19*$B$20*((W343+273)^4-(D343+273)^4)/(W343-D343))*D343)+T343/H343)/($B$14*(I343+IF(ABS(W343-D343)&lt;0.000000001,4*$B$19*$B$20*(D343+273)^3,$B$19*$B$20*((W343+273)^4-(D343+273)^4)/(W343-D343)))+1/H343)</f>
        <v/>
      </c>
      <c r="Y343">
        <f>($B$14*(I343*C343+IF(ABS(X343-D343)&lt;0.000000001,4*$B$19*$B$20*(D343+273)^3,$B$19*$B$20*((X343+273)^4-(D343+273)^4)/(X343-D343))*D343)+T343/H343)/($B$14*(I343+IF(ABS(X343-D343)&lt;0.000000001,4*$B$19*$B$20*(D343+273)^3,$B$19*$B$20*((X343+273)^4-(D343+273)^4)/(X343-D343)))+1/H343)</f>
        <v/>
      </c>
      <c r="Z343">
        <f>IF(ABS(Y343-D343)&lt;0.000000001,4*$B$19*$B$20*(D343+273)^3,$B$19*$B$20*((Y343+273)^4-(D343+273)^4)/(Y343-D343))</f>
        <v/>
      </c>
      <c r="AA343">
        <f>$B$14*I343*(Y343-C343)</f>
        <v/>
      </c>
      <c r="AB343">
        <f>$B$14*Z343*(Y343-D343)</f>
        <v/>
      </c>
      <c r="AC343">
        <f>IF((U343-E343)/G343=0,0.001,(U343-E343)/G343)</f>
        <v/>
      </c>
      <c r="AD343">
        <f>F343-P343-J343-K343-AA343-AB343</f>
        <v/>
      </c>
      <c r="AE343">
        <f>AD343/AC343</f>
        <v/>
      </c>
      <c r="AF343">
        <f>IF(AD343&lt;=0,0,IF(AC343&lt;=0,$B$11,IF(AE343&gt;=1.7,$B$11,MIN(AD343/MAX(0.05,IF(AE343&gt;1,(2-AE343)^2/2,1-AE343^2/2)),$B$11))))</f>
        <v/>
      </c>
      <c r="AG343">
        <f>AG342*$B$28+AF343*(1-$B$28)</f>
        <v/>
      </c>
      <c r="AH343">
        <f>IF(AND(AD343&gt;0,AC343&lt;=0),0,AC343)</f>
        <v/>
      </c>
      <c r="AI343">
        <f>AH343/MAX(AG343,0.000001)</f>
        <v/>
      </c>
      <c r="AJ343">
        <f>MIN(IF(AI343&gt;=0.5,-AI343+SQRT(AI343^2+2),1),$B$12)</f>
        <v/>
      </c>
      <c r="AK343">
        <f>IF(AG343&lt;=0,0,AJ343*AH343)</f>
        <v/>
      </c>
      <c r="AL343">
        <f>IF(AD343&lt;=0,0,AD343)</f>
        <v/>
      </c>
      <c r="AM343">
        <f>AL343-AK343+P343</f>
        <v/>
      </c>
      <c r="AN343">
        <f>((AM343/$B$7+T342*AS342/2-T343*MAX(0.1,MIN(0.3,0.3-0.09*(AR342-36.8)))/2)+AR342*(1-AS342/2))/(1-MAX(0.1,MIN(0.3,0.3-0.09*(AR342-36.8)))/2)</f>
        <v/>
      </c>
      <c r="AO343">
        <f>((AM343/$B$7+T342*AS342/2-T343*MAX(0.1,MIN(0.3,0.3-0.09*(AN343-36.8)))/2)+AR342*(1-AS342/2))/(1-MAX(0.1,MIN(0.3,0.3-0.09*(AN343-36.8)))/2)</f>
        <v/>
      </c>
      <c r="AP343">
        <f>((AM343/$B$7+T342*AS342/2-T343*MAX(0.1,MIN(0.3,0.3-0.09*(AO343-36.8)))/2)+AR342*(1-AS342/2))/(1-MAX(0.1,MIN(0.3,0.3-0.09*(AO343-36.8)))/2)</f>
        <v/>
      </c>
      <c r="AQ343">
        <f>((AM343/$B$7+T342*AS342/2-T343*MAX(0.1,MIN(0.3,0.3-0.09*(AP343-36.8)))/2)+AR342*(1-AS342/2))/(1-MAX(0.1,MIN(0.3,0.3-0.09*(AP343-36.8)))/2)</f>
        <v/>
      </c>
      <c r="AR343">
        <f>((AM343/$B$7+T342*AS342/2-T343*MAX(0.1,MIN(0.3,0.3-0.09*(AQ343-36.8)))/2)+AR342*(1-AS342/2))/(1-MAX(0.1,MIN(0.3,0.3-0.09*(AQ343-36.8)))/2)</f>
        <v/>
      </c>
      <c r="AS343">
        <f>MAX(0.1,MIN(0.3,0.3-0.09*(AR343-36.8)))</f>
        <v/>
      </c>
      <c r="AT343">
        <f>AT342+(2*AR343-1.962*AT342-1.31)/9</f>
        <v/>
      </c>
      <c r="AU343">
        <f>AU342+AG343+K343</f>
        <v/>
      </c>
      <c r="AV343">
        <f>AU343*2.67*$B$6/1.8/60</f>
        <v/>
      </c>
      <c r="AW343">
        <f>IF(AT343&gt;=$B$36,1,0)</f>
        <v/>
      </c>
      <c r="AX343">
        <f>IF(AV343&gt;=$B$21,1,0)</f>
        <v/>
      </c>
    </row>
    <row r="344">
      <c r="A344" t="n">
        <v>271</v>
      </c>
      <c r="B344">
        <f>MATCH(A344-1,$D$61:$D$68,1)</f>
        <v/>
      </c>
      <c r="C344">
        <f>INDEX($G$61:$G$68,B344)</f>
        <v/>
      </c>
      <c r="D344">
        <f>INDEX($L$61:$L$68,B344)</f>
        <v/>
      </c>
      <c r="E344">
        <f>INDEX($M$61:$M$68,B344)</f>
        <v/>
      </c>
      <c r="F344">
        <f>INDEX($N$61:$N$68,B344)</f>
        <v/>
      </c>
      <c r="G344">
        <f>INDEX($AA$61:$AA$68,B344)</f>
        <v/>
      </c>
      <c r="H344">
        <f>INDEX($X$61:$X$68,B344)</f>
        <v/>
      </c>
      <c r="I344">
        <f>INDEX($AF$61:$AF$68,B344)</f>
        <v/>
      </c>
      <c r="J344">
        <f>INDEX($AC$61:$AC$68,B344)</f>
        <v/>
      </c>
      <c r="K344">
        <f>INDEX($AD$61:$AD$68,B344)</f>
        <v/>
      </c>
      <c r="L344">
        <f>INDEX($AG$61:$AG$68,B344)</f>
        <v/>
      </c>
      <c r="M344">
        <f>INDEX($AH$61:$AH$68,B344)</f>
        <v/>
      </c>
      <c r="N344">
        <f>INDEX($AI$61:$AI$68,B344)</f>
        <v/>
      </c>
      <c r="O344">
        <f>O343*$B$26+L344*(1-$B$26)</f>
        <v/>
      </c>
      <c r="P344">
        <f>$B$7*(O344-O343)*(1-AS343)</f>
        <v/>
      </c>
      <c r="Q344">
        <f>M344+0.51274*AT343</f>
        <v/>
      </c>
      <c r="R344">
        <f>N344+0.616*AT343</f>
        <v/>
      </c>
      <c r="S344">
        <f>IF($B$13&gt;=0.6,Q344,IF($B$13&lt;=0.2,R344,R344+2.5*(Q344-R344)*($B$13-0.2)))</f>
        <v/>
      </c>
      <c r="T344">
        <f>IF(A344=1,S344,T343*$B$27+S344*(1-$B$27))</f>
        <v/>
      </c>
      <c r="U344">
        <f>0.6105*EXP(17.27*T344/(T344+237.3))</f>
        <v/>
      </c>
      <c r="V344">
        <f>($B$14*(I344*C344+IF(ABS((D344+0.1)-D344)&lt;0.000000001,4*$B$19*$B$20*(D344+273)^3,$B$19*$B$20*(((D344+0.1)+273)^4-(D344+273)^4)/((D344+0.1)-D344))*D344)+T344/H344)/($B$14*(I344+IF(ABS((D344+0.1)-D344)&lt;0.000000001,4*$B$19*$B$20*(D344+273)^3,$B$19*$B$20*(((D344+0.1)+273)^4-(D344+273)^4)/((D344+0.1)-D344)))+1/H344)</f>
        <v/>
      </c>
      <c r="W344">
        <f>($B$14*(I344*C344+IF(ABS(V344-D344)&lt;0.000000001,4*$B$19*$B$20*(D344+273)^3,$B$19*$B$20*((V344+273)^4-(D344+273)^4)/(V344-D344))*D344)+T344/H344)/($B$14*(I344+IF(ABS(V344-D344)&lt;0.000000001,4*$B$19*$B$20*(D344+273)^3,$B$19*$B$20*((V344+273)^4-(D344+273)^4)/(V344-D344)))+1/H344)</f>
        <v/>
      </c>
      <c r="X344">
        <f>($B$14*(I344*C344+IF(ABS(W344-D344)&lt;0.000000001,4*$B$19*$B$20*(D344+273)^3,$B$19*$B$20*((W344+273)^4-(D344+273)^4)/(W344-D344))*D344)+T344/H344)/($B$14*(I344+IF(ABS(W344-D344)&lt;0.000000001,4*$B$19*$B$20*(D344+273)^3,$B$19*$B$20*((W344+273)^4-(D344+273)^4)/(W344-D344)))+1/H344)</f>
        <v/>
      </c>
      <c r="Y344">
        <f>($B$14*(I344*C344+IF(ABS(X344-D344)&lt;0.000000001,4*$B$19*$B$20*(D344+273)^3,$B$19*$B$20*((X344+273)^4-(D344+273)^4)/(X344-D344))*D344)+T344/H344)/($B$14*(I344+IF(ABS(X344-D344)&lt;0.000000001,4*$B$19*$B$20*(D344+273)^3,$B$19*$B$20*((X344+273)^4-(D344+273)^4)/(X344-D344)))+1/H344)</f>
        <v/>
      </c>
      <c r="Z344">
        <f>IF(ABS(Y344-D344)&lt;0.000000001,4*$B$19*$B$20*(D344+273)^3,$B$19*$B$20*((Y344+273)^4-(D344+273)^4)/(Y344-D344))</f>
        <v/>
      </c>
      <c r="AA344">
        <f>$B$14*I344*(Y344-C344)</f>
        <v/>
      </c>
      <c r="AB344">
        <f>$B$14*Z344*(Y344-D344)</f>
        <v/>
      </c>
      <c r="AC344">
        <f>IF((U344-E344)/G344=0,0.001,(U344-E344)/G344)</f>
        <v/>
      </c>
      <c r="AD344">
        <f>F344-P344-J344-K344-AA344-AB344</f>
        <v/>
      </c>
      <c r="AE344">
        <f>AD344/AC344</f>
        <v/>
      </c>
      <c r="AF344">
        <f>IF(AD344&lt;=0,0,IF(AC344&lt;=0,$B$11,IF(AE344&gt;=1.7,$B$11,MIN(AD344/MAX(0.05,IF(AE344&gt;1,(2-AE344)^2/2,1-AE344^2/2)),$B$11))))</f>
        <v/>
      </c>
      <c r="AG344">
        <f>AG343*$B$28+AF344*(1-$B$28)</f>
        <v/>
      </c>
      <c r="AH344">
        <f>IF(AND(AD344&gt;0,AC344&lt;=0),0,AC344)</f>
        <v/>
      </c>
      <c r="AI344">
        <f>AH344/MAX(AG344,0.000001)</f>
        <v/>
      </c>
      <c r="AJ344">
        <f>MIN(IF(AI344&gt;=0.5,-AI344+SQRT(AI344^2+2),1),$B$12)</f>
        <v/>
      </c>
      <c r="AK344">
        <f>IF(AG344&lt;=0,0,AJ344*AH344)</f>
        <v/>
      </c>
      <c r="AL344">
        <f>IF(AD344&lt;=0,0,AD344)</f>
        <v/>
      </c>
      <c r="AM344">
        <f>AL344-AK344+P344</f>
        <v/>
      </c>
      <c r="AN344">
        <f>((AM344/$B$7+T343*AS343/2-T344*MAX(0.1,MIN(0.3,0.3-0.09*(AR343-36.8)))/2)+AR343*(1-AS343/2))/(1-MAX(0.1,MIN(0.3,0.3-0.09*(AR343-36.8)))/2)</f>
        <v/>
      </c>
      <c r="AO344">
        <f>((AM344/$B$7+T343*AS343/2-T344*MAX(0.1,MIN(0.3,0.3-0.09*(AN344-36.8)))/2)+AR343*(1-AS343/2))/(1-MAX(0.1,MIN(0.3,0.3-0.09*(AN344-36.8)))/2)</f>
        <v/>
      </c>
      <c r="AP344">
        <f>((AM344/$B$7+T343*AS343/2-T344*MAX(0.1,MIN(0.3,0.3-0.09*(AO344-36.8)))/2)+AR343*(1-AS343/2))/(1-MAX(0.1,MIN(0.3,0.3-0.09*(AO344-36.8)))/2)</f>
        <v/>
      </c>
      <c r="AQ344">
        <f>((AM344/$B$7+T343*AS343/2-T344*MAX(0.1,MIN(0.3,0.3-0.09*(AP344-36.8)))/2)+AR343*(1-AS343/2))/(1-MAX(0.1,MIN(0.3,0.3-0.09*(AP344-36.8)))/2)</f>
        <v/>
      </c>
      <c r="AR344">
        <f>((AM344/$B$7+T343*AS343/2-T344*MAX(0.1,MIN(0.3,0.3-0.09*(AQ344-36.8)))/2)+AR343*(1-AS343/2))/(1-MAX(0.1,MIN(0.3,0.3-0.09*(AQ344-36.8)))/2)</f>
        <v/>
      </c>
      <c r="AS344">
        <f>MAX(0.1,MIN(0.3,0.3-0.09*(AR344-36.8)))</f>
        <v/>
      </c>
      <c r="AT344">
        <f>AT343+(2*AR344-1.962*AT343-1.31)/9</f>
        <v/>
      </c>
      <c r="AU344">
        <f>AU343+AG344+K344</f>
        <v/>
      </c>
      <c r="AV344">
        <f>AU344*2.67*$B$6/1.8/60</f>
        <v/>
      </c>
      <c r="AW344">
        <f>IF(AT344&gt;=$B$36,1,0)</f>
        <v/>
      </c>
      <c r="AX344">
        <f>IF(AV344&gt;=$B$21,1,0)</f>
        <v/>
      </c>
    </row>
    <row r="345">
      <c r="A345" t="n">
        <v>272</v>
      </c>
      <c r="B345">
        <f>MATCH(A345-1,$D$61:$D$68,1)</f>
        <v/>
      </c>
      <c r="C345">
        <f>INDEX($G$61:$G$68,B345)</f>
        <v/>
      </c>
      <c r="D345">
        <f>INDEX($L$61:$L$68,B345)</f>
        <v/>
      </c>
      <c r="E345">
        <f>INDEX($M$61:$M$68,B345)</f>
        <v/>
      </c>
      <c r="F345">
        <f>INDEX($N$61:$N$68,B345)</f>
        <v/>
      </c>
      <c r="G345">
        <f>INDEX($AA$61:$AA$68,B345)</f>
        <v/>
      </c>
      <c r="H345">
        <f>INDEX($X$61:$X$68,B345)</f>
        <v/>
      </c>
      <c r="I345">
        <f>INDEX($AF$61:$AF$68,B345)</f>
        <v/>
      </c>
      <c r="J345">
        <f>INDEX($AC$61:$AC$68,B345)</f>
        <v/>
      </c>
      <c r="K345">
        <f>INDEX($AD$61:$AD$68,B345)</f>
        <v/>
      </c>
      <c r="L345">
        <f>INDEX($AG$61:$AG$68,B345)</f>
        <v/>
      </c>
      <c r="M345">
        <f>INDEX($AH$61:$AH$68,B345)</f>
        <v/>
      </c>
      <c r="N345">
        <f>INDEX($AI$61:$AI$68,B345)</f>
        <v/>
      </c>
      <c r="O345">
        <f>O344*$B$26+L345*(1-$B$26)</f>
        <v/>
      </c>
      <c r="P345">
        <f>$B$7*(O345-O344)*(1-AS344)</f>
        <v/>
      </c>
      <c r="Q345">
        <f>M345+0.51274*AT344</f>
        <v/>
      </c>
      <c r="R345">
        <f>N345+0.616*AT344</f>
        <v/>
      </c>
      <c r="S345">
        <f>IF($B$13&gt;=0.6,Q345,IF($B$13&lt;=0.2,R345,R345+2.5*(Q345-R345)*($B$13-0.2)))</f>
        <v/>
      </c>
      <c r="T345">
        <f>IF(A345=1,S345,T344*$B$27+S345*(1-$B$27))</f>
        <v/>
      </c>
      <c r="U345">
        <f>0.6105*EXP(17.27*T345/(T345+237.3))</f>
        <v/>
      </c>
      <c r="V345">
        <f>($B$14*(I345*C345+IF(ABS((D345+0.1)-D345)&lt;0.000000001,4*$B$19*$B$20*(D345+273)^3,$B$19*$B$20*(((D345+0.1)+273)^4-(D345+273)^4)/((D345+0.1)-D345))*D345)+T345/H345)/($B$14*(I345+IF(ABS((D345+0.1)-D345)&lt;0.000000001,4*$B$19*$B$20*(D345+273)^3,$B$19*$B$20*(((D345+0.1)+273)^4-(D345+273)^4)/((D345+0.1)-D345)))+1/H345)</f>
        <v/>
      </c>
      <c r="W345">
        <f>($B$14*(I345*C345+IF(ABS(V345-D345)&lt;0.000000001,4*$B$19*$B$20*(D345+273)^3,$B$19*$B$20*((V345+273)^4-(D345+273)^4)/(V345-D345))*D345)+T345/H345)/($B$14*(I345+IF(ABS(V345-D345)&lt;0.000000001,4*$B$19*$B$20*(D345+273)^3,$B$19*$B$20*((V345+273)^4-(D345+273)^4)/(V345-D345)))+1/H345)</f>
        <v/>
      </c>
      <c r="X345">
        <f>($B$14*(I345*C345+IF(ABS(W345-D345)&lt;0.000000001,4*$B$19*$B$20*(D345+273)^3,$B$19*$B$20*((W345+273)^4-(D345+273)^4)/(W345-D345))*D345)+T345/H345)/($B$14*(I345+IF(ABS(W345-D345)&lt;0.000000001,4*$B$19*$B$20*(D345+273)^3,$B$19*$B$20*((W345+273)^4-(D345+273)^4)/(W345-D345)))+1/H345)</f>
        <v/>
      </c>
      <c r="Y345">
        <f>($B$14*(I345*C345+IF(ABS(X345-D345)&lt;0.000000001,4*$B$19*$B$20*(D345+273)^3,$B$19*$B$20*((X345+273)^4-(D345+273)^4)/(X345-D345))*D345)+T345/H345)/($B$14*(I345+IF(ABS(X345-D345)&lt;0.000000001,4*$B$19*$B$20*(D345+273)^3,$B$19*$B$20*((X345+273)^4-(D345+273)^4)/(X345-D345)))+1/H345)</f>
        <v/>
      </c>
      <c r="Z345">
        <f>IF(ABS(Y345-D345)&lt;0.000000001,4*$B$19*$B$20*(D345+273)^3,$B$19*$B$20*((Y345+273)^4-(D345+273)^4)/(Y345-D345))</f>
        <v/>
      </c>
      <c r="AA345">
        <f>$B$14*I345*(Y345-C345)</f>
        <v/>
      </c>
      <c r="AB345">
        <f>$B$14*Z345*(Y345-D345)</f>
        <v/>
      </c>
      <c r="AC345">
        <f>IF((U345-E345)/G345=0,0.001,(U345-E345)/G345)</f>
        <v/>
      </c>
      <c r="AD345">
        <f>F345-P345-J345-K345-AA345-AB345</f>
        <v/>
      </c>
      <c r="AE345">
        <f>AD345/AC345</f>
        <v/>
      </c>
      <c r="AF345">
        <f>IF(AD345&lt;=0,0,IF(AC345&lt;=0,$B$11,IF(AE345&gt;=1.7,$B$11,MIN(AD345/MAX(0.05,IF(AE345&gt;1,(2-AE345)^2/2,1-AE345^2/2)),$B$11))))</f>
        <v/>
      </c>
      <c r="AG345">
        <f>AG344*$B$28+AF345*(1-$B$28)</f>
        <v/>
      </c>
      <c r="AH345">
        <f>IF(AND(AD345&gt;0,AC345&lt;=0),0,AC345)</f>
        <v/>
      </c>
      <c r="AI345">
        <f>AH345/MAX(AG345,0.000001)</f>
        <v/>
      </c>
      <c r="AJ345">
        <f>MIN(IF(AI345&gt;=0.5,-AI345+SQRT(AI345^2+2),1),$B$12)</f>
        <v/>
      </c>
      <c r="AK345">
        <f>IF(AG345&lt;=0,0,AJ345*AH345)</f>
        <v/>
      </c>
      <c r="AL345">
        <f>IF(AD345&lt;=0,0,AD345)</f>
        <v/>
      </c>
      <c r="AM345">
        <f>AL345-AK345+P345</f>
        <v/>
      </c>
      <c r="AN345">
        <f>((AM345/$B$7+T344*AS344/2-T345*MAX(0.1,MIN(0.3,0.3-0.09*(AR344-36.8)))/2)+AR344*(1-AS344/2))/(1-MAX(0.1,MIN(0.3,0.3-0.09*(AR344-36.8)))/2)</f>
        <v/>
      </c>
      <c r="AO345">
        <f>((AM345/$B$7+T344*AS344/2-T345*MAX(0.1,MIN(0.3,0.3-0.09*(AN345-36.8)))/2)+AR344*(1-AS344/2))/(1-MAX(0.1,MIN(0.3,0.3-0.09*(AN345-36.8)))/2)</f>
        <v/>
      </c>
      <c r="AP345">
        <f>((AM345/$B$7+T344*AS344/2-T345*MAX(0.1,MIN(0.3,0.3-0.09*(AO345-36.8)))/2)+AR344*(1-AS344/2))/(1-MAX(0.1,MIN(0.3,0.3-0.09*(AO345-36.8)))/2)</f>
        <v/>
      </c>
      <c r="AQ345">
        <f>((AM345/$B$7+T344*AS344/2-T345*MAX(0.1,MIN(0.3,0.3-0.09*(AP345-36.8)))/2)+AR344*(1-AS344/2))/(1-MAX(0.1,MIN(0.3,0.3-0.09*(AP345-36.8)))/2)</f>
        <v/>
      </c>
      <c r="AR345">
        <f>((AM345/$B$7+T344*AS344/2-T345*MAX(0.1,MIN(0.3,0.3-0.09*(AQ345-36.8)))/2)+AR344*(1-AS344/2))/(1-MAX(0.1,MIN(0.3,0.3-0.09*(AQ345-36.8)))/2)</f>
        <v/>
      </c>
      <c r="AS345">
        <f>MAX(0.1,MIN(0.3,0.3-0.09*(AR345-36.8)))</f>
        <v/>
      </c>
      <c r="AT345">
        <f>AT344+(2*AR345-1.962*AT344-1.31)/9</f>
        <v/>
      </c>
      <c r="AU345">
        <f>AU344+AG345+K345</f>
        <v/>
      </c>
      <c r="AV345">
        <f>AU345*2.67*$B$6/1.8/60</f>
        <v/>
      </c>
      <c r="AW345">
        <f>IF(AT345&gt;=$B$36,1,0)</f>
        <v/>
      </c>
      <c r="AX345">
        <f>IF(AV345&gt;=$B$21,1,0)</f>
        <v/>
      </c>
    </row>
    <row r="346">
      <c r="A346" t="n">
        <v>273</v>
      </c>
      <c r="B346">
        <f>MATCH(A346-1,$D$61:$D$68,1)</f>
        <v/>
      </c>
      <c r="C346">
        <f>INDEX($G$61:$G$68,B346)</f>
        <v/>
      </c>
      <c r="D346">
        <f>INDEX($L$61:$L$68,B346)</f>
        <v/>
      </c>
      <c r="E346">
        <f>INDEX($M$61:$M$68,B346)</f>
        <v/>
      </c>
      <c r="F346">
        <f>INDEX($N$61:$N$68,B346)</f>
        <v/>
      </c>
      <c r="G346">
        <f>INDEX($AA$61:$AA$68,B346)</f>
        <v/>
      </c>
      <c r="H346">
        <f>INDEX($X$61:$X$68,B346)</f>
        <v/>
      </c>
      <c r="I346">
        <f>INDEX($AF$61:$AF$68,B346)</f>
        <v/>
      </c>
      <c r="J346">
        <f>INDEX($AC$61:$AC$68,B346)</f>
        <v/>
      </c>
      <c r="K346">
        <f>INDEX($AD$61:$AD$68,B346)</f>
        <v/>
      </c>
      <c r="L346">
        <f>INDEX($AG$61:$AG$68,B346)</f>
        <v/>
      </c>
      <c r="M346">
        <f>INDEX($AH$61:$AH$68,B346)</f>
        <v/>
      </c>
      <c r="N346">
        <f>INDEX($AI$61:$AI$68,B346)</f>
        <v/>
      </c>
      <c r="O346">
        <f>O345*$B$26+L346*(1-$B$26)</f>
        <v/>
      </c>
      <c r="P346">
        <f>$B$7*(O346-O345)*(1-AS345)</f>
        <v/>
      </c>
      <c r="Q346">
        <f>M346+0.51274*AT345</f>
        <v/>
      </c>
      <c r="R346">
        <f>N346+0.616*AT345</f>
        <v/>
      </c>
      <c r="S346">
        <f>IF($B$13&gt;=0.6,Q346,IF($B$13&lt;=0.2,R346,R346+2.5*(Q346-R346)*($B$13-0.2)))</f>
        <v/>
      </c>
      <c r="T346">
        <f>IF(A346=1,S346,T345*$B$27+S346*(1-$B$27))</f>
        <v/>
      </c>
      <c r="U346">
        <f>0.6105*EXP(17.27*T346/(T346+237.3))</f>
        <v/>
      </c>
      <c r="V346">
        <f>($B$14*(I346*C346+IF(ABS((D346+0.1)-D346)&lt;0.000000001,4*$B$19*$B$20*(D346+273)^3,$B$19*$B$20*(((D346+0.1)+273)^4-(D346+273)^4)/((D346+0.1)-D346))*D346)+T346/H346)/($B$14*(I346+IF(ABS((D346+0.1)-D346)&lt;0.000000001,4*$B$19*$B$20*(D346+273)^3,$B$19*$B$20*(((D346+0.1)+273)^4-(D346+273)^4)/((D346+0.1)-D346)))+1/H346)</f>
        <v/>
      </c>
      <c r="W346">
        <f>($B$14*(I346*C346+IF(ABS(V346-D346)&lt;0.000000001,4*$B$19*$B$20*(D346+273)^3,$B$19*$B$20*((V346+273)^4-(D346+273)^4)/(V346-D346))*D346)+T346/H346)/($B$14*(I346+IF(ABS(V346-D346)&lt;0.000000001,4*$B$19*$B$20*(D346+273)^3,$B$19*$B$20*((V346+273)^4-(D346+273)^4)/(V346-D346)))+1/H346)</f>
        <v/>
      </c>
      <c r="X346">
        <f>($B$14*(I346*C346+IF(ABS(W346-D346)&lt;0.000000001,4*$B$19*$B$20*(D346+273)^3,$B$19*$B$20*((W346+273)^4-(D346+273)^4)/(W346-D346))*D346)+T346/H346)/($B$14*(I346+IF(ABS(W346-D346)&lt;0.000000001,4*$B$19*$B$20*(D346+273)^3,$B$19*$B$20*((W346+273)^4-(D346+273)^4)/(W346-D346)))+1/H346)</f>
        <v/>
      </c>
      <c r="Y346">
        <f>($B$14*(I346*C346+IF(ABS(X346-D346)&lt;0.000000001,4*$B$19*$B$20*(D346+273)^3,$B$19*$B$20*((X346+273)^4-(D346+273)^4)/(X346-D346))*D346)+T346/H346)/($B$14*(I346+IF(ABS(X346-D346)&lt;0.000000001,4*$B$19*$B$20*(D346+273)^3,$B$19*$B$20*((X346+273)^4-(D346+273)^4)/(X346-D346)))+1/H346)</f>
        <v/>
      </c>
      <c r="Z346">
        <f>IF(ABS(Y346-D346)&lt;0.000000001,4*$B$19*$B$20*(D346+273)^3,$B$19*$B$20*((Y346+273)^4-(D346+273)^4)/(Y346-D346))</f>
        <v/>
      </c>
      <c r="AA346">
        <f>$B$14*I346*(Y346-C346)</f>
        <v/>
      </c>
      <c r="AB346">
        <f>$B$14*Z346*(Y346-D346)</f>
        <v/>
      </c>
      <c r="AC346">
        <f>IF((U346-E346)/G346=0,0.001,(U346-E346)/G346)</f>
        <v/>
      </c>
      <c r="AD346">
        <f>F346-P346-J346-K346-AA346-AB346</f>
        <v/>
      </c>
      <c r="AE346">
        <f>AD346/AC346</f>
        <v/>
      </c>
      <c r="AF346">
        <f>IF(AD346&lt;=0,0,IF(AC346&lt;=0,$B$11,IF(AE346&gt;=1.7,$B$11,MIN(AD346/MAX(0.05,IF(AE346&gt;1,(2-AE346)^2/2,1-AE346^2/2)),$B$11))))</f>
        <v/>
      </c>
      <c r="AG346">
        <f>AG345*$B$28+AF346*(1-$B$28)</f>
        <v/>
      </c>
      <c r="AH346">
        <f>IF(AND(AD346&gt;0,AC346&lt;=0),0,AC346)</f>
        <v/>
      </c>
      <c r="AI346">
        <f>AH346/MAX(AG346,0.000001)</f>
        <v/>
      </c>
      <c r="AJ346">
        <f>MIN(IF(AI346&gt;=0.5,-AI346+SQRT(AI346^2+2),1),$B$12)</f>
        <v/>
      </c>
      <c r="AK346">
        <f>IF(AG346&lt;=0,0,AJ346*AH346)</f>
        <v/>
      </c>
      <c r="AL346">
        <f>IF(AD346&lt;=0,0,AD346)</f>
        <v/>
      </c>
      <c r="AM346">
        <f>AL346-AK346+P346</f>
        <v/>
      </c>
      <c r="AN346">
        <f>((AM346/$B$7+T345*AS345/2-T346*MAX(0.1,MIN(0.3,0.3-0.09*(AR345-36.8)))/2)+AR345*(1-AS345/2))/(1-MAX(0.1,MIN(0.3,0.3-0.09*(AR345-36.8)))/2)</f>
        <v/>
      </c>
      <c r="AO346">
        <f>((AM346/$B$7+T345*AS345/2-T346*MAX(0.1,MIN(0.3,0.3-0.09*(AN346-36.8)))/2)+AR345*(1-AS345/2))/(1-MAX(0.1,MIN(0.3,0.3-0.09*(AN346-36.8)))/2)</f>
        <v/>
      </c>
      <c r="AP346">
        <f>((AM346/$B$7+T345*AS345/2-T346*MAX(0.1,MIN(0.3,0.3-0.09*(AO346-36.8)))/2)+AR345*(1-AS345/2))/(1-MAX(0.1,MIN(0.3,0.3-0.09*(AO346-36.8)))/2)</f>
        <v/>
      </c>
      <c r="AQ346">
        <f>((AM346/$B$7+T345*AS345/2-T346*MAX(0.1,MIN(0.3,0.3-0.09*(AP346-36.8)))/2)+AR345*(1-AS345/2))/(1-MAX(0.1,MIN(0.3,0.3-0.09*(AP346-36.8)))/2)</f>
        <v/>
      </c>
      <c r="AR346">
        <f>((AM346/$B$7+T345*AS345/2-T346*MAX(0.1,MIN(0.3,0.3-0.09*(AQ346-36.8)))/2)+AR345*(1-AS345/2))/(1-MAX(0.1,MIN(0.3,0.3-0.09*(AQ346-36.8)))/2)</f>
        <v/>
      </c>
      <c r="AS346">
        <f>MAX(0.1,MIN(0.3,0.3-0.09*(AR346-36.8)))</f>
        <v/>
      </c>
      <c r="AT346">
        <f>AT345+(2*AR346-1.962*AT345-1.31)/9</f>
        <v/>
      </c>
      <c r="AU346">
        <f>AU345+AG346+K346</f>
        <v/>
      </c>
      <c r="AV346">
        <f>AU346*2.67*$B$6/1.8/60</f>
        <v/>
      </c>
      <c r="AW346">
        <f>IF(AT346&gt;=$B$36,1,0)</f>
        <v/>
      </c>
      <c r="AX346">
        <f>IF(AV346&gt;=$B$21,1,0)</f>
        <v/>
      </c>
    </row>
    <row r="347">
      <c r="A347" t="n">
        <v>274</v>
      </c>
      <c r="B347">
        <f>MATCH(A347-1,$D$61:$D$68,1)</f>
        <v/>
      </c>
      <c r="C347">
        <f>INDEX($G$61:$G$68,B347)</f>
        <v/>
      </c>
      <c r="D347">
        <f>INDEX($L$61:$L$68,B347)</f>
        <v/>
      </c>
      <c r="E347">
        <f>INDEX($M$61:$M$68,B347)</f>
        <v/>
      </c>
      <c r="F347">
        <f>INDEX($N$61:$N$68,B347)</f>
        <v/>
      </c>
      <c r="G347">
        <f>INDEX($AA$61:$AA$68,B347)</f>
        <v/>
      </c>
      <c r="H347">
        <f>INDEX($X$61:$X$68,B347)</f>
        <v/>
      </c>
      <c r="I347">
        <f>INDEX($AF$61:$AF$68,B347)</f>
        <v/>
      </c>
      <c r="J347">
        <f>INDEX($AC$61:$AC$68,B347)</f>
        <v/>
      </c>
      <c r="K347">
        <f>INDEX($AD$61:$AD$68,B347)</f>
        <v/>
      </c>
      <c r="L347">
        <f>INDEX($AG$61:$AG$68,B347)</f>
        <v/>
      </c>
      <c r="M347">
        <f>INDEX($AH$61:$AH$68,B347)</f>
        <v/>
      </c>
      <c r="N347">
        <f>INDEX($AI$61:$AI$68,B347)</f>
        <v/>
      </c>
      <c r="O347">
        <f>O346*$B$26+L347*(1-$B$26)</f>
        <v/>
      </c>
      <c r="P347">
        <f>$B$7*(O347-O346)*(1-AS346)</f>
        <v/>
      </c>
      <c r="Q347">
        <f>M347+0.51274*AT346</f>
        <v/>
      </c>
      <c r="R347">
        <f>N347+0.616*AT346</f>
        <v/>
      </c>
      <c r="S347">
        <f>IF($B$13&gt;=0.6,Q347,IF($B$13&lt;=0.2,R347,R347+2.5*(Q347-R347)*($B$13-0.2)))</f>
        <v/>
      </c>
      <c r="T347">
        <f>IF(A347=1,S347,T346*$B$27+S347*(1-$B$27))</f>
        <v/>
      </c>
      <c r="U347">
        <f>0.6105*EXP(17.27*T347/(T347+237.3))</f>
        <v/>
      </c>
      <c r="V347">
        <f>($B$14*(I347*C347+IF(ABS((D347+0.1)-D347)&lt;0.000000001,4*$B$19*$B$20*(D347+273)^3,$B$19*$B$20*(((D347+0.1)+273)^4-(D347+273)^4)/((D347+0.1)-D347))*D347)+T347/H347)/($B$14*(I347+IF(ABS((D347+0.1)-D347)&lt;0.000000001,4*$B$19*$B$20*(D347+273)^3,$B$19*$B$20*(((D347+0.1)+273)^4-(D347+273)^4)/((D347+0.1)-D347)))+1/H347)</f>
        <v/>
      </c>
      <c r="W347">
        <f>($B$14*(I347*C347+IF(ABS(V347-D347)&lt;0.000000001,4*$B$19*$B$20*(D347+273)^3,$B$19*$B$20*((V347+273)^4-(D347+273)^4)/(V347-D347))*D347)+T347/H347)/($B$14*(I347+IF(ABS(V347-D347)&lt;0.000000001,4*$B$19*$B$20*(D347+273)^3,$B$19*$B$20*((V347+273)^4-(D347+273)^4)/(V347-D347)))+1/H347)</f>
        <v/>
      </c>
      <c r="X347">
        <f>($B$14*(I347*C347+IF(ABS(W347-D347)&lt;0.000000001,4*$B$19*$B$20*(D347+273)^3,$B$19*$B$20*((W347+273)^4-(D347+273)^4)/(W347-D347))*D347)+T347/H347)/($B$14*(I347+IF(ABS(W347-D347)&lt;0.000000001,4*$B$19*$B$20*(D347+273)^3,$B$19*$B$20*((W347+273)^4-(D347+273)^4)/(W347-D347)))+1/H347)</f>
        <v/>
      </c>
      <c r="Y347">
        <f>($B$14*(I347*C347+IF(ABS(X347-D347)&lt;0.000000001,4*$B$19*$B$20*(D347+273)^3,$B$19*$B$20*((X347+273)^4-(D347+273)^4)/(X347-D347))*D347)+T347/H347)/($B$14*(I347+IF(ABS(X347-D347)&lt;0.000000001,4*$B$19*$B$20*(D347+273)^3,$B$19*$B$20*((X347+273)^4-(D347+273)^4)/(X347-D347)))+1/H347)</f>
        <v/>
      </c>
      <c r="Z347">
        <f>IF(ABS(Y347-D347)&lt;0.000000001,4*$B$19*$B$20*(D347+273)^3,$B$19*$B$20*((Y347+273)^4-(D347+273)^4)/(Y347-D347))</f>
        <v/>
      </c>
      <c r="AA347">
        <f>$B$14*I347*(Y347-C347)</f>
        <v/>
      </c>
      <c r="AB347">
        <f>$B$14*Z347*(Y347-D347)</f>
        <v/>
      </c>
      <c r="AC347">
        <f>IF((U347-E347)/G347=0,0.001,(U347-E347)/G347)</f>
        <v/>
      </c>
      <c r="AD347">
        <f>F347-P347-J347-K347-AA347-AB347</f>
        <v/>
      </c>
      <c r="AE347">
        <f>AD347/AC347</f>
        <v/>
      </c>
      <c r="AF347">
        <f>IF(AD347&lt;=0,0,IF(AC347&lt;=0,$B$11,IF(AE347&gt;=1.7,$B$11,MIN(AD347/MAX(0.05,IF(AE347&gt;1,(2-AE347)^2/2,1-AE347^2/2)),$B$11))))</f>
        <v/>
      </c>
      <c r="AG347">
        <f>AG346*$B$28+AF347*(1-$B$28)</f>
        <v/>
      </c>
      <c r="AH347">
        <f>IF(AND(AD347&gt;0,AC347&lt;=0),0,AC347)</f>
        <v/>
      </c>
      <c r="AI347">
        <f>AH347/MAX(AG347,0.000001)</f>
        <v/>
      </c>
      <c r="AJ347">
        <f>MIN(IF(AI347&gt;=0.5,-AI347+SQRT(AI347^2+2),1),$B$12)</f>
        <v/>
      </c>
      <c r="AK347">
        <f>IF(AG347&lt;=0,0,AJ347*AH347)</f>
        <v/>
      </c>
      <c r="AL347">
        <f>IF(AD347&lt;=0,0,AD347)</f>
        <v/>
      </c>
      <c r="AM347">
        <f>AL347-AK347+P347</f>
        <v/>
      </c>
      <c r="AN347">
        <f>((AM347/$B$7+T346*AS346/2-T347*MAX(0.1,MIN(0.3,0.3-0.09*(AR346-36.8)))/2)+AR346*(1-AS346/2))/(1-MAX(0.1,MIN(0.3,0.3-0.09*(AR346-36.8)))/2)</f>
        <v/>
      </c>
      <c r="AO347">
        <f>((AM347/$B$7+T346*AS346/2-T347*MAX(0.1,MIN(0.3,0.3-0.09*(AN347-36.8)))/2)+AR346*(1-AS346/2))/(1-MAX(0.1,MIN(0.3,0.3-0.09*(AN347-36.8)))/2)</f>
        <v/>
      </c>
      <c r="AP347">
        <f>((AM347/$B$7+T346*AS346/2-T347*MAX(0.1,MIN(0.3,0.3-0.09*(AO347-36.8)))/2)+AR346*(1-AS346/2))/(1-MAX(0.1,MIN(0.3,0.3-0.09*(AO347-36.8)))/2)</f>
        <v/>
      </c>
      <c r="AQ347">
        <f>((AM347/$B$7+T346*AS346/2-T347*MAX(0.1,MIN(0.3,0.3-0.09*(AP347-36.8)))/2)+AR346*(1-AS346/2))/(1-MAX(0.1,MIN(0.3,0.3-0.09*(AP347-36.8)))/2)</f>
        <v/>
      </c>
      <c r="AR347">
        <f>((AM347/$B$7+T346*AS346/2-T347*MAX(0.1,MIN(0.3,0.3-0.09*(AQ347-36.8)))/2)+AR346*(1-AS346/2))/(1-MAX(0.1,MIN(0.3,0.3-0.09*(AQ347-36.8)))/2)</f>
        <v/>
      </c>
      <c r="AS347">
        <f>MAX(0.1,MIN(0.3,0.3-0.09*(AR347-36.8)))</f>
        <v/>
      </c>
      <c r="AT347">
        <f>AT346+(2*AR347-1.962*AT346-1.31)/9</f>
        <v/>
      </c>
      <c r="AU347">
        <f>AU346+AG347+K347</f>
        <v/>
      </c>
      <c r="AV347">
        <f>AU347*2.67*$B$6/1.8/60</f>
        <v/>
      </c>
      <c r="AW347">
        <f>IF(AT347&gt;=$B$36,1,0)</f>
        <v/>
      </c>
      <c r="AX347">
        <f>IF(AV347&gt;=$B$21,1,0)</f>
        <v/>
      </c>
    </row>
    <row r="348">
      <c r="A348" t="n">
        <v>275</v>
      </c>
      <c r="B348">
        <f>MATCH(A348-1,$D$61:$D$68,1)</f>
        <v/>
      </c>
      <c r="C348">
        <f>INDEX($G$61:$G$68,B348)</f>
        <v/>
      </c>
      <c r="D348">
        <f>INDEX($L$61:$L$68,B348)</f>
        <v/>
      </c>
      <c r="E348">
        <f>INDEX($M$61:$M$68,B348)</f>
        <v/>
      </c>
      <c r="F348">
        <f>INDEX($N$61:$N$68,B348)</f>
        <v/>
      </c>
      <c r="G348">
        <f>INDEX($AA$61:$AA$68,B348)</f>
        <v/>
      </c>
      <c r="H348">
        <f>INDEX($X$61:$X$68,B348)</f>
        <v/>
      </c>
      <c r="I348">
        <f>INDEX($AF$61:$AF$68,B348)</f>
        <v/>
      </c>
      <c r="J348">
        <f>INDEX($AC$61:$AC$68,B348)</f>
        <v/>
      </c>
      <c r="K348">
        <f>INDEX($AD$61:$AD$68,B348)</f>
        <v/>
      </c>
      <c r="L348">
        <f>INDEX($AG$61:$AG$68,B348)</f>
        <v/>
      </c>
      <c r="M348">
        <f>INDEX($AH$61:$AH$68,B348)</f>
        <v/>
      </c>
      <c r="N348">
        <f>INDEX($AI$61:$AI$68,B348)</f>
        <v/>
      </c>
      <c r="O348">
        <f>O347*$B$26+L348*(1-$B$26)</f>
        <v/>
      </c>
      <c r="P348">
        <f>$B$7*(O348-O347)*(1-AS347)</f>
        <v/>
      </c>
      <c r="Q348">
        <f>M348+0.51274*AT347</f>
        <v/>
      </c>
      <c r="R348">
        <f>N348+0.616*AT347</f>
        <v/>
      </c>
      <c r="S348">
        <f>IF($B$13&gt;=0.6,Q348,IF($B$13&lt;=0.2,R348,R348+2.5*(Q348-R348)*($B$13-0.2)))</f>
        <v/>
      </c>
      <c r="T348">
        <f>IF(A348=1,S348,T347*$B$27+S348*(1-$B$27))</f>
        <v/>
      </c>
      <c r="U348">
        <f>0.6105*EXP(17.27*T348/(T348+237.3))</f>
        <v/>
      </c>
      <c r="V348">
        <f>($B$14*(I348*C348+IF(ABS((D348+0.1)-D348)&lt;0.000000001,4*$B$19*$B$20*(D348+273)^3,$B$19*$B$20*(((D348+0.1)+273)^4-(D348+273)^4)/((D348+0.1)-D348))*D348)+T348/H348)/($B$14*(I348+IF(ABS((D348+0.1)-D348)&lt;0.000000001,4*$B$19*$B$20*(D348+273)^3,$B$19*$B$20*(((D348+0.1)+273)^4-(D348+273)^4)/((D348+0.1)-D348)))+1/H348)</f>
        <v/>
      </c>
      <c r="W348">
        <f>($B$14*(I348*C348+IF(ABS(V348-D348)&lt;0.000000001,4*$B$19*$B$20*(D348+273)^3,$B$19*$B$20*((V348+273)^4-(D348+273)^4)/(V348-D348))*D348)+T348/H348)/($B$14*(I348+IF(ABS(V348-D348)&lt;0.000000001,4*$B$19*$B$20*(D348+273)^3,$B$19*$B$20*((V348+273)^4-(D348+273)^4)/(V348-D348)))+1/H348)</f>
        <v/>
      </c>
      <c r="X348">
        <f>($B$14*(I348*C348+IF(ABS(W348-D348)&lt;0.000000001,4*$B$19*$B$20*(D348+273)^3,$B$19*$B$20*((W348+273)^4-(D348+273)^4)/(W348-D348))*D348)+T348/H348)/($B$14*(I348+IF(ABS(W348-D348)&lt;0.000000001,4*$B$19*$B$20*(D348+273)^3,$B$19*$B$20*((W348+273)^4-(D348+273)^4)/(W348-D348)))+1/H348)</f>
        <v/>
      </c>
      <c r="Y348">
        <f>($B$14*(I348*C348+IF(ABS(X348-D348)&lt;0.000000001,4*$B$19*$B$20*(D348+273)^3,$B$19*$B$20*((X348+273)^4-(D348+273)^4)/(X348-D348))*D348)+T348/H348)/($B$14*(I348+IF(ABS(X348-D348)&lt;0.000000001,4*$B$19*$B$20*(D348+273)^3,$B$19*$B$20*((X348+273)^4-(D348+273)^4)/(X348-D348)))+1/H348)</f>
        <v/>
      </c>
      <c r="Z348">
        <f>IF(ABS(Y348-D348)&lt;0.000000001,4*$B$19*$B$20*(D348+273)^3,$B$19*$B$20*((Y348+273)^4-(D348+273)^4)/(Y348-D348))</f>
        <v/>
      </c>
      <c r="AA348">
        <f>$B$14*I348*(Y348-C348)</f>
        <v/>
      </c>
      <c r="AB348">
        <f>$B$14*Z348*(Y348-D348)</f>
        <v/>
      </c>
      <c r="AC348">
        <f>IF((U348-E348)/G348=0,0.001,(U348-E348)/G348)</f>
        <v/>
      </c>
      <c r="AD348">
        <f>F348-P348-J348-K348-AA348-AB348</f>
        <v/>
      </c>
      <c r="AE348">
        <f>AD348/AC348</f>
        <v/>
      </c>
      <c r="AF348">
        <f>IF(AD348&lt;=0,0,IF(AC348&lt;=0,$B$11,IF(AE348&gt;=1.7,$B$11,MIN(AD348/MAX(0.05,IF(AE348&gt;1,(2-AE348)^2/2,1-AE348^2/2)),$B$11))))</f>
        <v/>
      </c>
      <c r="AG348">
        <f>AG347*$B$28+AF348*(1-$B$28)</f>
        <v/>
      </c>
      <c r="AH348">
        <f>IF(AND(AD348&gt;0,AC348&lt;=0),0,AC348)</f>
        <v/>
      </c>
      <c r="AI348">
        <f>AH348/MAX(AG348,0.000001)</f>
        <v/>
      </c>
      <c r="AJ348">
        <f>MIN(IF(AI348&gt;=0.5,-AI348+SQRT(AI348^2+2),1),$B$12)</f>
        <v/>
      </c>
      <c r="AK348">
        <f>IF(AG348&lt;=0,0,AJ348*AH348)</f>
        <v/>
      </c>
      <c r="AL348">
        <f>IF(AD348&lt;=0,0,AD348)</f>
        <v/>
      </c>
      <c r="AM348">
        <f>AL348-AK348+P348</f>
        <v/>
      </c>
      <c r="AN348">
        <f>((AM348/$B$7+T347*AS347/2-T348*MAX(0.1,MIN(0.3,0.3-0.09*(AR347-36.8)))/2)+AR347*(1-AS347/2))/(1-MAX(0.1,MIN(0.3,0.3-0.09*(AR347-36.8)))/2)</f>
        <v/>
      </c>
      <c r="AO348">
        <f>((AM348/$B$7+T347*AS347/2-T348*MAX(0.1,MIN(0.3,0.3-0.09*(AN348-36.8)))/2)+AR347*(1-AS347/2))/(1-MAX(0.1,MIN(0.3,0.3-0.09*(AN348-36.8)))/2)</f>
        <v/>
      </c>
      <c r="AP348">
        <f>((AM348/$B$7+T347*AS347/2-T348*MAX(0.1,MIN(0.3,0.3-0.09*(AO348-36.8)))/2)+AR347*(1-AS347/2))/(1-MAX(0.1,MIN(0.3,0.3-0.09*(AO348-36.8)))/2)</f>
        <v/>
      </c>
      <c r="AQ348">
        <f>((AM348/$B$7+T347*AS347/2-T348*MAX(0.1,MIN(0.3,0.3-0.09*(AP348-36.8)))/2)+AR347*(1-AS347/2))/(1-MAX(0.1,MIN(0.3,0.3-0.09*(AP348-36.8)))/2)</f>
        <v/>
      </c>
      <c r="AR348">
        <f>((AM348/$B$7+T347*AS347/2-T348*MAX(0.1,MIN(0.3,0.3-0.09*(AQ348-36.8)))/2)+AR347*(1-AS347/2))/(1-MAX(0.1,MIN(0.3,0.3-0.09*(AQ348-36.8)))/2)</f>
        <v/>
      </c>
      <c r="AS348">
        <f>MAX(0.1,MIN(0.3,0.3-0.09*(AR348-36.8)))</f>
        <v/>
      </c>
      <c r="AT348">
        <f>AT347+(2*AR348-1.962*AT347-1.31)/9</f>
        <v/>
      </c>
      <c r="AU348">
        <f>AU347+AG348+K348</f>
        <v/>
      </c>
      <c r="AV348">
        <f>AU348*2.67*$B$6/1.8/60</f>
        <v/>
      </c>
      <c r="AW348">
        <f>IF(AT348&gt;=$B$36,1,0)</f>
        <v/>
      </c>
      <c r="AX348">
        <f>IF(AV348&gt;=$B$21,1,0)</f>
        <v/>
      </c>
    </row>
    <row r="349">
      <c r="A349" t="n">
        <v>276</v>
      </c>
      <c r="B349">
        <f>MATCH(A349-1,$D$61:$D$68,1)</f>
        <v/>
      </c>
      <c r="C349">
        <f>INDEX($G$61:$G$68,B349)</f>
        <v/>
      </c>
      <c r="D349">
        <f>INDEX($L$61:$L$68,B349)</f>
        <v/>
      </c>
      <c r="E349">
        <f>INDEX($M$61:$M$68,B349)</f>
        <v/>
      </c>
      <c r="F349">
        <f>INDEX($N$61:$N$68,B349)</f>
        <v/>
      </c>
      <c r="G349">
        <f>INDEX($AA$61:$AA$68,B349)</f>
        <v/>
      </c>
      <c r="H349">
        <f>INDEX($X$61:$X$68,B349)</f>
        <v/>
      </c>
      <c r="I349">
        <f>INDEX($AF$61:$AF$68,B349)</f>
        <v/>
      </c>
      <c r="J349">
        <f>INDEX($AC$61:$AC$68,B349)</f>
        <v/>
      </c>
      <c r="K349">
        <f>INDEX($AD$61:$AD$68,B349)</f>
        <v/>
      </c>
      <c r="L349">
        <f>INDEX($AG$61:$AG$68,B349)</f>
        <v/>
      </c>
      <c r="M349">
        <f>INDEX($AH$61:$AH$68,B349)</f>
        <v/>
      </c>
      <c r="N349">
        <f>INDEX($AI$61:$AI$68,B349)</f>
        <v/>
      </c>
      <c r="O349">
        <f>O348*$B$26+L349*(1-$B$26)</f>
        <v/>
      </c>
      <c r="P349">
        <f>$B$7*(O349-O348)*(1-AS348)</f>
        <v/>
      </c>
      <c r="Q349">
        <f>M349+0.51274*AT348</f>
        <v/>
      </c>
      <c r="R349">
        <f>N349+0.616*AT348</f>
        <v/>
      </c>
      <c r="S349">
        <f>IF($B$13&gt;=0.6,Q349,IF($B$13&lt;=0.2,R349,R349+2.5*(Q349-R349)*($B$13-0.2)))</f>
        <v/>
      </c>
      <c r="T349">
        <f>IF(A349=1,S349,T348*$B$27+S349*(1-$B$27))</f>
        <v/>
      </c>
      <c r="U349">
        <f>0.6105*EXP(17.27*T349/(T349+237.3))</f>
        <v/>
      </c>
      <c r="V349">
        <f>($B$14*(I349*C349+IF(ABS((D349+0.1)-D349)&lt;0.000000001,4*$B$19*$B$20*(D349+273)^3,$B$19*$B$20*(((D349+0.1)+273)^4-(D349+273)^4)/((D349+0.1)-D349))*D349)+T349/H349)/($B$14*(I349+IF(ABS((D349+0.1)-D349)&lt;0.000000001,4*$B$19*$B$20*(D349+273)^3,$B$19*$B$20*(((D349+0.1)+273)^4-(D349+273)^4)/((D349+0.1)-D349)))+1/H349)</f>
        <v/>
      </c>
      <c r="W349">
        <f>($B$14*(I349*C349+IF(ABS(V349-D349)&lt;0.000000001,4*$B$19*$B$20*(D349+273)^3,$B$19*$B$20*((V349+273)^4-(D349+273)^4)/(V349-D349))*D349)+T349/H349)/($B$14*(I349+IF(ABS(V349-D349)&lt;0.000000001,4*$B$19*$B$20*(D349+273)^3,$B$19*$B$20*((V349+273)^4-(D349+273)^4)/(V349-D349)))+1/H349)</f>
        <v/>
      </c>
      <c r="X349">
        <f>($B$14*(I349*C349+IF(ABS(W349-D349)&lt;0.000000001,4*$B$19*$B$20*(D349+273)^3,$B$19*$B$20*((W349+273)^4-(D349+273)^4)/(W349-D349))*D349)+T349/H349)/($B$14*(I349+IF(ABS(W349-D349)&lt;0.000000001,4*$B$19*$B$20*(D349+273)^3,$B$19*$B$20*((W349+273)^4-(D349+273)^4)/(W349-D349)))+1/H349)</f>
        <v/>
      </c>
      <c r="Y349">
        <f>($B$14*(I349*C349+IF(ABS(X349-D349)&lt;0.000000001,4*$B$19*$B$20*(D349+273)^3,$B$19*$B$20*((X349+273)^4-(D349+273)^4)/(X349-D349))*D349)+T349/H349)/($B$14*(I349+IF(ABS(X349-D349)&lt;0.000000001,4*$B$19*$B$20*(D349+273)^3,$B$19*$B$20*((X349+273)^4-(D349+273)^4)/(X349-D349)))+1/H349)</f>
        <v/>
      </c>
      <c r="Z349">
        <f>IF(ABS(Y349-D349)&lt;0.000000001,4*$B$19*$B$20*(D349+273)^3,$B$19*$B$20*((Y349+273)^4-(D349+273)^4)/(Y349-D349))</f>
        <v/>
      </c>
      <c r="AA349">
        <f>$B$14*I349*(Y349-C349)</f>
        <v/>
      </c>
      <c r="AB349">
        <f>$B$14*Z349*(Y349-D349)</f>
        <v/>
      </c>
      <c r="AC349">
        <f>IF((U349-E349)/G349=0,0.001,(U349-E349)/G349)</f>
        <v/>
      </c>
      <c r="AD349">
        <f>F349-P349-J349-K349-AA349-AB349</f>
        <v/>
      </c>
      <c r="AE349">
        <f>AD349/AC349</f>
        <v/>
      </c>
      <c r="AF349">
        <f>IF(AD349&lt;=0,0,IF(AC349&lt;=0,$B$11,IF(AE349&gt;=1.7,$B$11,MIN(AD349/MAX(0.05,IF(AE349&gt;1,(2-AE349)^2/2,1-AE349^2/2)),$B$11))))</f>
        <v/>
      </c>
      <c r="AG349">
        <f>AG348*$B$28+AF349*(1-$B$28)</f>
        <v/>
      </c>
      <c r="AH349">
        <f>IF(AND(AD349&gt;0,AC349&lt;=0),0,AC349)</f>
        <v/>
      </c>
      <c r="AI349">
        <f>AH349/MAX(AG349,0.000001)</f>
        <v/>
      </c>
      <c r="AJ349">
        <f>MIN(IF(AI349&gt;=0.5,-AI349+SQRT(AI349^2+2),1),$B$12)</f>
        <v/>
      </c>
      <c r="AK349">
        <f>IF(AG349&lt;=0,0,AJ349*AH349)</f>
        <v/>
      </c>
      <c r="AL349">
        <f>IF(AD349&lt;=0,0,AD349)</f>
        <v/>
      </c>
      <c r="AM349">
        <f>AL349-AK349+P349</f>
        <v/>
      </c>
      <c r="AN349">
        <f>((AM349/$B$7+T348*AS348/2-T349*MAX(0.1,MIN(0.3,0.3-0.09*(AR348-36.8)))/2)+AR348*(1-AS348/2))/(1-MAX(0.1,MIN(0.3,0.3-0.09*(AR348-36.8)))/2)</f>
        <v/>
      </c>
      <c r="AO349">
        <f>((AM349/$B$7+T348*AS348/2-T349*MAX(0.1,MIN(0.3,0.3-0.09*(AN349-36.8)))/2)+AR348*(1-AS348/2))/(1-MAX(0.1,MIN(0.3,0.3-0.09*(AN349-36.8)))/2)</f>
        <v/>
      </c>
      <c r="AP349">
        <f>((AM349/$B$7+T348*AS348/2-T349*MAX(0.1,MIN(0.3,0.3-0.09*(AO349-36.8)))/2)+AR348*(1-AS348/2))/(1-MAX(0.1,MIN(0.3,0.3-0.09*(AO349-36.8)))/2)</f>
        <v/>
      </c>
      <c r="AQ349">
        <f>((AM349/$B$7+T348*AS348/2-T349*MAX(0.1,MIN(0.3,0.3-0.09*(AP349-36.8)))/2)+AR348*(1-AS348/2))/(1-MAX(0.1,MIN(0.3,0.3-0.09*(AP349-36.8)))/2)</f>
        <v/>
      </c>
      <c r="AR349">
        <f>((AM349/$B$7+T348*AS348/2-T349*MAX(0.1,MIN(0.3,0.3-0.09*(AQ349-36.8)))/2)+AR348*(1-AS348/2))/(1-MAX(0.1,MIN(0.3,0.3-0.09*(AQ349-36.8)))/2)</f>
        <v/>
      </c>
      <c r="AS349">
        <f>MAX(0.1,MIN(0.3,0.3-0.09*(AR349-36.8)))</f>
        <v/>
      </c>
      <c r="AT349">
        <f>AT348+(2*AR349-1.962*AT348-1.31)/9</f>
        <v/>
      </c>
      <c r="AU349">
        <f>AU348+AG349+K349</f>
        <v/>
      </c>
      <c r="AV349">
        <f>AU349*2.67*$B$6/1.8/60</f>
        <v/>
      </c>
      <c r="AW349">
        <f>IF(AT349&gt;=$B$36,1,0)</f>
        <v/>
      </c>
      <c r="AX349">
        <f>IF(AV349&gt;=$B$21,1,0)</f>
        <v/>
      </c>
    </row>
    <row r="350">
      <c r="A350" t="n">
        <v>277</v>
      </c>
      <c r="B350">
        <f>MATCH(A350-1,$D$61:$D$68,1)</f>
        <v/>
      </c>
      <c r="C350">
        <f>INDEX($G$61:$G$68,B350)</f>
        <v/>
      </c>
      <c r="D350">
        <f>INDEX($L$61:$L$68,B350)</f>
        <v/>
      </c>
      <c r="E350">
        <f>INDEX($M$61:$M$68,B350)</f>
        <v/>
      </c>
      <c r="F350">
        <f>INDEX($N$61:$N$68,B350)</f>
        <v/>
      </c>
      <c r="G350">
        <f>INDEX($AA$61:$AA$68,B350)</f>
        <v/>
      </c>
      <c r="H350">
        <f>INDEX($X$61:$X$68,B350)</f>
        <v/>
      </c>
      <c r="I350">
        <f>INDEX($AF$61:$AF$68,B350)</f>
        <v/>
      </c>
      <c r="J350">
        <f>INDEX($AC$61:$AC$68,B350)</f>
        <v/>
      </c>
      <c r="K350">
        <f>INDEX($AD$61:$AD$68,B350)</f>
        <v/>
      </c>
      <c r="L350">
        <f>INDEX($AG$61:$AG$68,B350)</f>
        <v/>
      </c>
      <c r="M350">
        <f>INDEX($AH$61:$AH$68,B350)</f>
        <v/>
      </c>
      <c r="N350">
        <f>INDEX($AI$61:$AI$68,B350)</f>
        <v/>
      </c>
      <c r="O350">
        <f>O349*$B$26+L350*(1-$B$26)</f>
        <v/>
      </c>
      <c r="P350">
        <f>$B$7*(O350-O349)*(1-AS349)</f>
        <v/>
      </c>
      <c r="Q350">
        <f>M350+0.51274*AT349</f>
        <v/>
      </c>
      <c r="R350">
        <f>N350+0.616*AT349</f>
        <v/>
      </c>
      <c r="S350">
        <f>IF($B$13&gt;=0.6,Q350,IF($B$13&lt;=0.2,R350,R350+2.5*(Q350-R350)*($B$13-0.2)))</f>
        <v/>
      </c>
      <c r="T350">
        <f>IF(A350=1,S350,T349*$B$27+S350*(1-$B$27))</f>
        <v/>
      </c>
      <c r="U350">
        <f>0.6105*EXP(17.27*T350/(T350+237.3))</f>
        <v/>
      </c>
      <c r="V350">
        <f>($B$14*(I350*C350+IF(ABS((D350+0.1)-D350)&lt;0.000000001,4*$B$19*$B$20*(D350+273)^3,$B$19*$B$20*(((D350+0.1)+273)^4-(D350+273)^4)/((D350+0.1)-D350))*D350)+T350/H350)/($B$14*(I350+IF(ABS((D350+0.1)-D350)&lt;0.000000001,4*$B$19*$B$20*(D350+273)^3,$B$19*$B$20*(((D350+0.1)+273)^4-(D350+273)^4)/((D350+0.1)-D350)))+1/H350)</f>
        <v/>
      </c>
      <c r="W350">
        <f>($B$14*(I350*C350+IF(ABS(V350-D350)&lt;0.000000001,4*$B$19*$B$20*(D350+273)^3,$B$19*$B$20*((V350+273)^4-(D350+273)^4)/(V350-D350))*D350)+T350/H350)/($B$14*(I350+IF(ABS(V350-D350)&lt;0.000000001,4*$B$19*$B$20*(D350+273)^3,$B$19*$B$20*((V350+273)^4-(D350+273)^4)/(V350-D350)))+1/H350)</f>
        <v/>
      </c>
      <c r="X350">
        <f>($B$14*(I350*C350+IF(ABS(W350-D350)&lt;0.000000001,4*$B$19*$B$20*(D350+273)^3,$B$19*$B$20*((W350+273)^4-(D350+273)^4)/(W350-D350))*D350)+T350/H350)/($B$14*(I350+IF(ABS(W350-D350)&lt;0.000000001,4*$B$19*$B$20*(D350+273)^3,$B$19*$B$20*((W350+273)^4-(D350+273)^4)/(W350-D350)))+1/H350)</f>
        <v/>
      </c>
      <c r="Y350">
        <f>($B$14*(I350*C350+IF(ABS(X350-D350)&lt;0.000000001,4*$B$19*$B$20*(D350+273)^3,$B$19*$B$20*((X350+273)^4-(D350+273)^4)/(X350-D350))*D350)+T350/H350)/($B$14*(I350+IF(ABS(X350-D350)&lt;0.000000001,4*$B$19*$B$20*(D350+273)^3,$B$19*$B$20*((X350+273)^4-(D350+273)^4)/(X350-D350)))+1/H350)</f>
        <v/>
      </c>
      <c r="Z350">
        <f>IF(ABS(Y350-D350)&lt;0.000000001,4*$B$19*$B$20*(D350+273)^3,$B$19*$B$20*((Y350+273)^4-(D350+273)^4)/(Y350-D350))</f>
        <v/>
      </c>
      <c r="AA350">
        <f>$B$14*I350*(Y350-C350)</f>
        <v/>
      </c>
      <c r="AB350">
        <f>$B$14*Z350*(Y350-D350)</f>
        <v/>
      </c>
      <c r="AC350">
        <f>IF((U350-E350)/G350=0,0.001,(U350-E350)/G350)</f>
        <v/>
      </c>
      <c r="AD350">
        <f>F350-P350-J350-K350-AA350-AB350</f>
        <v/>
      </c>
      <c r="AE350">
        <f>AD350/AC350</f>
        <v/>
      </c>
      <c r="AF350">
        <f>IF(AD350&lt;=0,0,IF(AC350&lt;=0,$B$11,IF(AE350&gt;=1.7,$B$11,MIN(AD350/MAX(0.05,IF(AE350&gt;1,(2-AE350)^2/2,1-AE350^2/2)),$B$11))))</f>
        <v/>
      </c>
      <c r="AG350">
        <f>AG349*$B$28+AF350*(1-$B$28)</f>
        <v/>
      </c>
      <c r="AH350">
        <f>IF(AND(AD350&gt;0,AC350&lt;=0),0,AC350)</f>
        <v/>
      </c>
      <c r="AI350">
        <f>AH350/MAX(AG350,0.000001)</f>
        <v/>
      </c>
      <c r="AJ350">
        <f>MIN(IF(AI350&gt;=0.5,-AI350+SQRT(AI350^2+2),1),$B$12)</f>
        <v/>
      </c>
      <c r="AK350">
        <f>IF(AG350&lt;=0,0,AJ350*AH350)</f>
        <v/>
      </c>
      <c r="AL350">
        <f>IF(AD350&lt;=0,0,AD350)</f>
        <v/>
      </c>
      <c r="AM350">
        <f>AL350-AK350+P350</f>
        <v/>
      </c>
      <c r="AN350">
        <f>((AM350/$B$7+T349*AS349/2-T350*MAX(0.1,MIN(0.3,0.3-0.09*(AR349-36.8)))/2)+AR349*(1-AS349/2))/(1-MAX(0.1,MIN(0.3,0.3-0.09*(AR349-36.8)))/2)</f>
        <v/>
      </c>
      <c r="AO350">
        <f>((AM350/$B$7+T349*AS349/2-T350*MAX(0.1,MIN(0.3,0.3-0.09*(AN350-36.8)))/2)+AR349*(1-AS349/2))/(1-MAX(0.1,MIN(0.3,0.3-0.09*(AN350-36.8)))/2)</f>
        <v/>
      </c>
      <c r="AP350">
        <f>((AM350/$B$7+T349*AS349/2-T350*MAX(0.1,MIN(0.3,0.3-0.09*(AO350-36.8)))/2)+AR349*(1-AS349/2))/(1-MAX(0.1,MIN(0.3,0.3-0.09*(AO350-36.8)))/2)</f>
        <v/>
      </c>
      <c r="AQ350">
        <f>((AM350/$B$7+T349*AS349/2-T350*MAX(0.1,MIN(0.3,0.3-0.09*(AP350-36.8)))/2)+AR349*(1-AS349/2))/(1-MAX(0.1,MIN(0.3,0.3-0.09*(AP350-36.8)))/2)</f>
        <v/>
      </c>
      <c r="AR350">
        <f>((AM350/$B$7+T349*AS349/2-T350*MAX(0.1,MIN(0.3,0.3-0.09*(AQ350-36.8)))/2)+AR349*(1-AS349/2))/(1-MAX(0.1,MIN(0.3,0.3-0.09*(AQ350-36.8)))/2)</f>
        <v/>
      </c>
      <c r="AS350">
        <f>MAX(0.1,MIN(0.3,0.3-0.09*(AR350-36.8)))</f>
        <v/>
      </c>
      <c r="AT350">
        <f>AT349+(2*AR350-1.962*AT349-1.31)/9</f>
        <v/>
      </c>
      <c r="AU350">
        <f>AU349+AG350+K350</f>
        <v/>
      </c>
      <c r="AV350">
        <f>AU350*2.67*$B$6/1.8/60</f>
        <v/>
      </c>
      <c r="AW350">
        <f>IF(AT350&gt;=$B$36,1,0)</f>
        <v/>
      </c>
      <c r="AX350">
        <f>IF(AV350&gt;=$B$21,1,0)</f>
        <v/>
      </c>
    </row>
    <row r="351">
      <c r="A351" t="n">
        <v>278</v>
      </c>
      <c r="B351">
        <f>MATCH(A351-1,$D$61:$D$68,1)</f>
        <v/>
      </c>
      <c r="C351">
        <f>INDEX($G$61:$G$68,B351)</f>
        <v/>
      </c>
      <c r="D351">
        <f>INDEX($L$61:$L$68,B351)</f>
        <v/>
      </c>
      <c r="E351">
        <f>INDEX($M$61:$M$68,B351)</f>
        <v/>
      </c>
      <c r="F351">
        <f>INDEX($N$61:$N$68,B351)</f>
        <v/>
      </c>
      <c r="G351">
        <f>INDEX($AA$61:$AA$68,B351)</f>
        <v/>
      </c>
      <c r="H351">
        <f>INDEX($X$61:$X$68,B351)</f>
        <v/>
      </c>
      <c r="I351">
        <f>INDEX($AF$61:$AF$68,B351)</f>
        <v/>
      </c>
      <c r="J351">
        <f>INDEX($AC$61:$AC$68,B351)</f>
        <v/>
      </c>
      <c r="K351">
        <f>INDEX($AD$61:$AD$68,B351)</f>
        <v/>
      </c>
      <c r="L351">
        <f>INDEX($AG$61:$AG$68,B351)</f>
        <v/>
      </c>
      <c r="M351">
        <f>INDEX($AH$61:$AH$68,B351)</f>
        <v/>
      </c>
      <c r="N351">
        <f>INDEX($AI$61:$AI$68,B351)</f>
        <v/>
      </c>
      <c r="O351">
        <f>O350*$B$26+L351*(1-$B$26)</f>
        <v/>
      </c>
      <c r="P351">
        <f>$B$7*(O351-O350)*(1-AS350)</f>
        <v/>
      </c>
      <c r="Q351">
        <f>M351+0.51274*AT350</f>
        <v/>
      </c>
      <c r="R351">
        <f>N351+0.616*AT350</f>
        <v/>
      </c>
      <c r="S351">
        <f>IF($B$13&gt;=0.6,Q351,IF($B$13&lt;=0.2,R351,R351+2.5*(Q351-R351)*($B$13-0.2)))</f>
        <v/>
      </c>
      <c r="T351">
        <f>IF(A351=1,S351,T350*$B$27+S351*(1-$B$27))</f>
        <v/>
      </c>
      <c r="U351">
        <f>0.6105*EXP(17.27*T351/(T351+237.3))</f>
        <v/>
      </c>
      <c r="V351">
        <f>($B$14*(I351*C351+IF(ABS((D351+0.1)-D351)&lt;0.000000001,4*$B$19*$B$20*(D351+273)^3,$B$19*$B$20*(((D351+0.1)+273)^4-(D351+273)^4)/((D351+0.1)-D351))*D351)+T351/H351)/($B$14*(I351+IF(ABS((D351+0.1)-D351)&lt;0.000000001,4*$B$19*$B$20*(D351+273)^3,$B$19*$B$20*(((D351+0.1)+273)^4-(D351+273)^4)/((D351+0.1)-D351)))+1/H351)</f>
        <v/>
      </c>
      <c r="W351">
        <f>($B$14*(I351*C351+IF(ABS(V351-D351)&lt;0.000000001,4*$B$19*$B$20*(D351+273)^3,$B$19*$B$20*((V351+273)^4-(D351+273)^4)/(V351-D351))*D351)+T351/H351)/($B$14*(I351+IF(ABS(V351-D351)&lt;0.000000001,4*$B$19*$B$20*(D351+273)^3,$B$19*$B$20*((V351+273)^4-(D351+273)^4)/(V351-D351)))+1/H351)</f>
        <v/>
      </c>
      <c r="X351">
        <f>($B$14*(I351*C351+IF(ABS(W351-D351)&lt;0.000000001,4*$B$19*$B$20*(D351+273)^3,$B$19*$B$20*((W351+273)^4-(D351+273)^4)/(W351-D351))*D351)+T351/H351)/($B$14*(I351+IF(ABS(W351-D351)&lt;0.000000001,4*$B$19*$B$20*(D351+273)^3,$B$19*$B$20*((W351+273)^4-(D351+273)^4)/(W351-D351)))+1/H351)</f>
        <v/>
      </c>
      <c r="Y351">
        <f>($B$14*(I351*C351+IF(ABS(X351-D351)&lt;0.000000001,4*$B$19*$B$20*(D351+273)^3,$B$19*$B$20*((X351+273)^4-(D351+273)^4)/(X351-D351))*D351)+T351/H351)/($B$14*(I351+IF(ABS(X351-D351)&lt;0.000000001,4*$B$19*$B$20*(D351+273)^3,$B$19*$B$20*((X351+273)^4-(D351+273)^4)/(X351-D351)))+1/H351)</f>
        <v/>
      </c>
      <c r="Z351">
        <f>IF(ABS(Y351-D351)&lt;0.000000001,4*$B$19*$B$20*(D351+273)^3,$B$19*$B$20*((Y351+273)^4-(D351+273)^4)/(Y351-D351))</f>
        <v/>
      </c>
      <c r="AA351">
        <f>$B$14*I351*(Y351-C351)</f>
        <v/>
      </c>
      <c r="AB351">
        <f>$B$14*Z351*(Y351-D351)</f>
        <v/>
      </c>
      <c r="AC351">
        <f>IF((U351-E351)/G351=0,0.001,(U351-E351)/G351)</f>
        <v/>
      </c>
      <c r="AD351">
        <f>F351-P351-J351-K351-AA351-AB351</f>
        <v/>
      </c>
      <c r="AE351">
        <f>AD351/AC351</f>
        <v/>
      </c>
      <c r="AF351">
        <f>IF(AD351&lt;=0,0,IF(AC351&lt;=0,$B$11,IF(AE351&gt;=1.7,$B$11,MIN(AD351/MAX(0.05,IF(AE351&gt;1,(2-AE351)^2/2,1-AE351^2/2)),$B$11))))</f>
        <v/>
      </c>
      <c r="AG351">
        <f>AG350*$B$28+AF351*(1-$B$28)</f>
        <v/>
      </c>
      <c r="AH351">
        <f>IF(AND(AD351&gt;0,AC351&lt;=0),0,AC351)</f>
        <v/>
      </c>
      <c r="AI351">
        <f>AH351/MAX(AG351,0.000001)</f>
        <v/>
      </c>
      <c r="AJ351">
        <f>MIN(IF(AI351&gt;=0.5,-AI351+SQRT(AI351^2+2),1),$B$12)</f>
        <v/>
      </c>
      <c r="AK351">
        <f>IF(AG351&lt;=0,0,AJ351*AH351)</f>
        <v/>
      </c>
      <c r="AL351">
        <f>IF(AD351&lt;=0,0,AD351)</f>
        <v/>
      </c>
      <c r="AM351">
        <f>AL351-AK351+P351</f>
        <v/>
      </c>
      <c r="AN351">
        <f>((AM351/$B$7+T350*AS350/2-T351*MAX(0.1,MIN(0.3,0.3-0.09*(AR350-36.8)))/2)+AR350*(1-AS350/2))/(1-MAX(0.1,MIN(0.3,0.3-0.09*(AR350-36.8)))/2)</f>
        <v/>
      </c>
      <c r="AO351">
        <f>((AM351/$B$7+T350*AS350/2-T351*MAX(0.1,MIN(0.3,0.3-0.09*(AN351-36.8)))/2)+AR350*(1-AS350/2))/(1-MAX(0.1,MIN(0.3,0.3-0.09*(AN351-36.8)))/2)</f>
        <v/>
      </c>
      <c r="AP351">
        <f>((AM351/$B$7+T350*AS350/2-T351*MAX(0.1,MIN(0.3,0.3-0.09*(AO351-36.8)))/2)+AR350*(1-AS350/2))/(1-MAX(0.1,MIN(0.3,0.3-0.09*(AO351-36.8)))/2)</f>
        <v/>
      </c>
      <c r="AQ351">
        <f>((AM351/$B$7+T350*AS350/2-T351*MAX(0.1,MIN(0.3,0.3-0.09*(AP351-36.8)))/2)+AR350*(1-AS350/2))/(1-MAX(0.1,MIN(0.3,0.3-0.09*(AP351-36.8)))/2)</f>
        <v/>
      </c>
      <c r="AR351">
        <f>((AM351/$B$7+T350*AS350/2-T351*MAX(0.1,MIN(0.3,0.3-0.09*(AQ351-36.8)))/2)+AR350*(1-AS350/2))/(1-MAX(0.1,MIN(0.3,0.3-0.09*(AQ351-36.8)))/2)</f>
        <v/>
      </c>
      <c r="AS351">
        <f>MAX(0.1,MIN(0.3,0.3-0.09*(AR351-36.8)))</f>
        <v/>
      </c>
      <c r="AT351">
        <f>AT350+(2*AR351-1.962*AT350-1.31)/9</f>
        <v/>
      </c>
      <c r="AU351">
        <f>AU350+AG351+K351</f>
        <v/>
      </c>
      <c r="AV351">
        <f>AU351*2.67*$B$6/1.8/60</f>
        <v/>
      </c>
      <c r="AW351">
        <f>IF(AT351&gt;=$B$36,1,0)</f>
        <v/>
      </c>
      <c r="AX351">
        <f>IF(AV351&gt;=$B$21,1,0)</f>
        <v/>
      </c>
    </row>
    <row r="352">
      <c r="A352" t="n">
        <v>279</v>
      </c>
      <c r="B352">
        <f>MATCH(A352-1,$D$61:$D$68,1)</f>
        <v/>
      </c>
      <c r="C352">
        <f>INDEX($G$61:$G$68,B352)</f>
        <v/>
      </c>
      <c r="D352">
        <f>INDEX($L$61:$L$68,B352)</f>
        <v/>
      </c>
      <c r="E352">
        <f>INDEX($M$61:$M$68,B352)</f>
        <v/>
      </c>
      <c r="F352">
        <f>INDEX($N$61:$N$68,B352)</f>
        <v/>
      </c>
      <c r="G352">
        <f>INDEX($AA$61:$AA$68,B352)</f>
        <v/>
      </c>
      <c r="H352">
        <f>INDEX($X$61:$X$68,B352)</f>
        <v/>
      </c>
      <c r="I352">
        <f>INDEX($AF$61:$AF$68,B352)</f>
        <v/>
      </c>
      <c r="J352">
        <f>INDEX($AC$61:$AC$68,B352)</f>
        <v/>
      </c>
      <c r="K352">
        <f>INDEX($AD$61:$AD$68,B352)</f>
        <v/>
      </c>
      <c r="L352">
        <f>INDEX($AG$61:$AG$68,B352)</f>
        <v/>
      </c>
      <c r="M352">
        <f>INDEX($AH$61:$AH$68,B352)</f>
        <v/>
      </c>
      <c r="N352">
        <f>INDEX($AI$61:$AI$68,B352)</f>
        <v/>
      </c>
      <c r="O352">
        <f>O351*$B$26+L352*(1-$B$26)</f>
        <v/>
      </c>
      <c r="P352">
        <f>$B$7*(O352-O351)*(1-AS351)</f>
        <v/>
      </c>
      <c r="Q352">
        <f>M352+0.51274*AT351</f>
        <v/>
      </c>
      <c r="R352">
        <f>N352+0.616*AT351</f>
        <v/>
      </c>
      <c r="S352">
        <f>IF($B$13&gt;=0.6,Q352,IF($B$13&lt;=0.2,R352,R352+2.5*(Q352-R352)*($B$13-0.2)))</f>
        <v/>
      </c>
      <c r="T352">
        <f>IF(A352=1,S352,T351*$B$27+S352*(1-$B$27))</f>
        <v/>
      </c>
      <c r="U352">
        <f>0.6105*EXP(17.27*T352/(T352+237.3))</f>
        <v/>
      </c>
      <c r="V352">
        <f>($B$14*(I352*C352+IF(ABS((D352+0.1)-D352)&lt;0.000000001,4*$B$19*$B$20*(D352+273)^3,$B$19*$B$20*(((D352+0.1)+273)^4-(D352+273)^4)/((D352+0.1)-D352))*D352)+T352/H352)/($B$14*(I352+IF(ABS((D352+0.1)-D352)&lt;0.000000001,4*$B$19*$B$20*(D352+273)^3,$B$19*$B$20*(((D352+0.1)+273)^4-(D352+273)^4)/((D352+0.1)-D352)))+1/H352)</f>
        <v/>
      </c>
      <c r="W352">
        <f>($B$14*(I352*C352+IF(ABS(V352-D352)&lt;0.000000001,4*$B$19*$B$20*(D352+273)^3,$B$19*$B$20*((V352+273)^4-(D352+273)^4)/(V352-D352))*D352)+T352/H352)/($B$14*(I352+IF(ABS(V352-D352)&lt;0.000000001,4*$B$19*$B$20*(D352+273)^3,$B$19*$B$20*((V352+273)^4-(D352+273)^4)/(V352-D352)))+1/H352)</f>
        <v/>
      </c>
      <c r="X352">
        <f>($B$14*(I352*C352+IF(ABS(W352-D352)&lt;0.000000001,4*$B$19*$B$20*(D352+273)^3,$B$19*$B$20*((W352+273)^4-(D352+273)^4)/(W352-D352))*D352)+T352/H352)/($B$14*(I352+IF(ABS(W352-D352)&lt;0.000000001,4*$B$19*$B$20*(D352+273)^3,$B$19*$B$20*((W352+273)^4-(D352+273)^4)/(W352-D352)))+1/H352)</f>
        <v/>
      </c>
      <c r="Y352">
        <f>($B$14*(I352*C352+IF(ABS(X352-D352)&lt;0.000000001,4*$B$19*$B$20*(D352+273)^3,$B$19*$B$20*((X352+273)^4-(D352+273)^4)/(X352-D352))*D352)+T352/H352)/($B$14*(I352+IF(ABS(X352-D352)&lt;0.000000001,4*$B$19*$B$20*(D352+273)^3,$B$19*$B$20*((X352+273)^4-(D352+273)^4)/(X352-D352)))+1/H352)</f>
        <v/>
      </c>
      <c r="Z352">
        <f>IF(ABS(Y352-D352)&lt;0.000000001,4*$B$19*$B$20*(D352+273)^3,$B$19*$B$20*((Y352+273)^4-(D352+273)^4)/(Y352-D352))</f>
        <v/>
      </c>
      <c r="AA352">
        <f>$B$14*I352*(Y352-C352)</f>
        <v/>
      </c>
      <c r="AB352">
        <f>$B$14*Z352*(Y352-D352)</f>
        <v/>
      </c>
      <c r="AC352">
        <f>IF((U352-E352)/G352=0,0.001,(U352-E352)/G352)</f>
        <v/>
      </c>
      <c r="AD352">
        <f>F352-P352-J352-K352-AA352-AB352</f>
        <v/>
      </c>
      <c r="AE352">
        <f>AD352/AC352</f>
        <v/>
      </c>
      <c r="AF352">
        <f>IF(AD352&lt;=0,0,IF(AC352&lt;=0,$B$11,IF(AE352&gt;=1.7,$B$11,MIN(AD352/MAX(0.05,IF(AE352&gt;1,(2-AE352)^2/2,1-AE352^2/2)),$B$11))))</f>
        <v/>
      </c>
      <c r="AG352">
        <f>AG351*$B$28+AF352*(1-$B$28)</f>
        <v/>
      </c>
      <c r="AH352">
        <f>IF(AND(AD352&gt;0,AC352&lt;=0),0,AC352)</f>
        <v/>
      </c>
      <c r="AI352">
        <f>AH352/MAX(AG352,0.000001)</f>
        <v/>
      </c>
      <c r="AJ352">
        <f>MIN(IF(AI352&gt;=0.5,-AI352+SQRT(AI352^2+2),1),$B$12)</f>
        <v/>
      </c>
      <c r="AK352">
        <f>IF(AG352&lt;=0,0,AJ352*AH352)</f>
        <v/>
      </c>
      <c r="AL352">
        <f>IF(AD352&lt;=0,0,AD352)</f>
        <v/>
      </c>
      <c r="AM352">
        <f>AL352-AK352+P352</f>
        <v/>
      </c>
      <c r="AN352">
        <f>((AM352/$B$7+T351*AS351/2-T352*MAX(0.1,MIN(0.3,0.3-0.09*(AR351-36.8)))/2)+AR351*(1-AS351/2))/(1-MAX(0.1,MIN(0.3,0.3-0.09*(AR351-36.8)))/2)</f>
        <v/>
      </c>
      <c r="AO352">
        <f>((AM352/$B$7+T351*AS351/2-T352*MAX(0.1,MIN(0.3,0.3-0.09*(AN352-36.8)))/2)+AR351*(1-AS351/2))/(1-MAX(0.1,MIN(0.3,0.3-0.09*(AN352-36.8)))/2)</f>
        <v/>
      </c>
      <c r="AP352">
        <f>((AM352/$B$7+T351*AS351/2-T352*MAX(0.1,MIN(0.3,0.3-0.09*(AO352-36.8)))/2)+AR351*(1-AS351/2))/(1-MAX(0.1,MIN(0.3,0.3-0.09*(AO352-36.8)))/2)</f>
        <v/>
      </c>
      <c r="AQ352">
        <f>((AM352/$B$7+T351*AS351/2-T352*MAX(0.1,MIN(0.3,0.3-0.09*(AP352-36.8)))/2)+AR351*(1-AS351/2))/(1-MAX(0.1,MIN(0.3,0.3-0.09*(AP352-36.8)))/2)</f>
        <v/>
      </c>
      <c r="AR352">
        <f>((AM352/$B$7+T351*AS351/2-T352*MAX(0.1,MIN(0.3,0.3-0.09*(AQ352-36.8)))/2)+AR351*(1-AS351/2))/(1-MAX(0.1,MIN(0.3,0.3-0.09*(AQ352-36.8)))/2)</f>
        <v/>
      </c>
      <c r="AS352">
        <f>MAX(0.1,MIN(0.3,0.3-0.09*(AR352-36.8)))</f>
        <v/>
      </c>
      <c r="AT352">
        <f>AT351+(2*AR352-1.962*AT351-1.31)/9</f>
        <v/>
      </c>
      <c r="AU352">
        <f>AU351+AG352+K352</f>
        <v/>
      </c>
      <c r="AV352">
        <f>AU352*2.67*$B$6/1.8/60</f>
        <v/>
      </c>
      <c r="AW352">
        <f>IF(AT352&gt;=$B$36,1,0)</f>
        <v/>
      </c>
      <c r="AX352">
        <f>IF(AV352&gt;=$B$21,1,0)</f>
        <v/>
      </c>
    </row>
    <row r="353">
      <c r="A353" t="n">
        <v>280</v>
      </c>
      <c r="B353">
        <f>MATCH(A353-1,$D$61:$D$68,1)</f>
        <v/>
      </c>
      <c r="C353">
        <f>INDEX($G$61:$G$68,B353)</f>
        <v/>
      </c>
      <c r="D353">
        <f>INDEX($L$61:$L$68,B353)</f>
        <v/>
      </c>
      <c r="E353">
        <f>INDEX($M$61:$M$68,B353)</f>
        <v/>
      </c>
      <c r="F353">
        <f>INDEX($N$61:$N$68,B353)</f>
        <v/>
      </c>
      <c r="G353">
        <f>INDEX($AA$61:$AA$68,B353)</f>
        <v/>
      </c>
      <c r="H353">
        <f>INDEX($X$61:$X$68,B353)</f>
        <v/>
      </c>
      <c r="I353">
        <f>INDEX($AF$61:$AF$68,B353)</f>
        <v/>
      </c>
      <c r="J353">
        <f>INDEX($AC$61:$AC$68,B353)</f>
        <v/>
      </c>
      <c r="K353">
        <f>INDEX($AD$61:$AD$68,B353)</f>
        <v/>
      </c>
      <c r="L353">
        <f>INDEX($AG$61:$AG$68,B353)</f>
        <v/>
      </c>
      <c r="M353">
        <f>INDEX($AH$61:$AH$68,B353)</f>
        <v/>
      </c>
      <c r="N353">
        <f>INDEX($AI$61:$AI$68,B353)</f>
        <v/>
      </c>
      <c r="O353">
        <f>O352*$B$26+L353*(1-$B$26)</f>
        <v/>
      </c>
      <c r="P353">
        <f>$B$7*(O353-O352)*(1-AS352)</f>
        <v/>
      </c>
      <c r="Q353">
        <f>M353+0.51274*AT352</f>
        <v/>
      </c>
      <c r="R353">
        <f>N353+0.616*AT352</f>
        <v/>
      </c>
      <c r="S353">
        <f>IF($B$13&gt;=0.6,Q353,IF($B$13&lt;=0.2,R353,R353+2.5*(Q353-R353)*($B$13-0.2)))</f>
        <v/>
      </c>
      <c r="T353">
        <f>IF(A353=1,S353,T352*$B$27+S353*(1-$B$27))</f>
        <v/>
      </c>
      <c r="U353">
        <f>0.6105*EXP(17.27*T353/(T353+237.3))</f>
        <v/>
      </c>
      <c r="V353">
        <f>($B$14*(I353*C353+IF(ABS((D353+0.1)-D353)&lt;0.000000001,4*$B$19*$B$20*(D353+273)^3,$B$19*$B$20*(((D353+0.1)+273)^4-(D353+273)^4)/((D353+0.1)-D353))*D353)+T353/H353)/($B$14*(I353+IF(ABS((D353+0.1)-D353)&lt;0.000000001,4*$B$19*$B$20*(D353+273)^3,$B$19*$B$20*(((D353+0.1)+273)^4-(D353+273)^4)/((D353+0.1)-D353)))+1/H353)</f>
        <v/>
      </c>
      <c r="W353">
        <f>($B$14*(I353*C353+IF(ABS(V353-D353)&lt;0.000000001,4*$B$19*$B$20*(D353+273)^3,$B$19*$B$20*((V353+273)^4-(D353+273)^4)/(V353-D353))*D353)+T353/H353)/($B$14*(I353+IF(ABS(V353-D353)&lt;0.000000001,4*$B$19*$B$20*(D353+273)^3,$B$19*$B$20*((V353+273)^4-(D353+273)^4)/(V353-D353)))+1/H353)</f>
        <v/>
      </c>
      <c r="X353">
        <f>($B$14*(I353*C353+IF(ABS(W353-D353)&lt;0.000000001,4*$B$19*$B$20*(D353+273)^3,$B$19*$B$20*((W353+273)^4-(D353+273)^4)/(W353-D353))*D353)+T353/H353)/($B$14*(I353+IF(ABS(W353-D353)&lt;0.000000001,4*$B$19*$B$20*(D353+273)^3,$B$19*$B$20*((W353+273)^4-(D353+273)^4)/(W353-D353)))+1/H353)</f>
        <v/>
      </c>
      <c r="Y353">
        <f>($B$14*(I353*C353+IF(ABS(X353-D353)&lt;0.000000001,4*$B$19*$B$20*(D353+273)^3,$B$19*$B$20*((X353+273)^4-(D353+273)^4)/(X353-D353))*D353)+T353/H353)/($B$14*(I353+IF(ABS(X353-D353)&lt;0.000000001,4*$B$19*$B$20*(D353+273)^3,$B$19*$B$20*((X353+273)^4-(D353+273)^4)/(X353-D353)))+1/H353)</f>
        <v/>
      </c>
      <c r="Z353">
        <f>IF(ABS(Y353-D353)&lt;0.000000001,4*$B$19*$B$20*(D353+273)^3,$B$19*$B$20*((Y353+273)^4-(D353+273)^4)/(Y353-D353))</f>
        <v/>
      </c>
      <c r="AA353">
        <f>$B$14*I353*(Y353-C353)</f>
        <v/>
      </c>
      <c r="AB353">
        <f>$B$14*Z353*(Y353-D353)</f>
        <v/>
      </c>
      <c r="AC353">
        <f>IF((U353-E353)/G353=0,0.001,(U353-E353)/G353)</f>
        <v/>
      </c>
      <c r="AD353">
        <f>F353-P353-J353-K353-AA353-AB353</f>
        <v/>
      </c>
      <c r="AE353">
        <f>AD353/AC353</f>
        <v/>
      </c>
      <c r="AF353">
        <f>IF(AD353&lt;=0,0,IF(AC353&lt;=0,$B$11,IF(AE353&gt;=1.7,$B$11,MIN(AD353/MAX(0.05,IF(AE353&gt;1,(2-AE353)^2/2,1-AE353^2/2)),$B$11))))</f>
        <v/>
      </c>
      <c r="AG353">
        <f>AG352*$B$28+AF353*(1-$B$28)</f>
        <v/>
      </c>
      <c r="AH353">
        <f>IF(AND(AD353&gt;0,AC353&lt;=0),0,AC353)</f>
        <v/>
      </c>
      <c r="AI353">
        <f>AH353/MAX(AG353,0.000001)</f>
        <v/>
      </c>
      <c r="AJ353">
        <f>MIN(IF(AI353&gt;=0.5,-AI353+SQRT(AI353^2+2),1),$B$12)</f>
        <v/>
      </c>
      <c r="AK353">
        <f>IF(AG353&lt;=0,0,AJ353*AH353)</f>
        <v/>
      </c>
      <c r="AL353">
        <f>IF(AD353&lt;=0,0,AD353)</f>
        <v/>
      </c>
      <c r="AM353">
        <f>AL353-AK353+P353</f>
        <v/>
      </c>
      <c r="AN353">
        <f>((AM353/$B$7+T352*AS352/2-T353*MAX(0.1,MIN(0.3,0.3-0.09*(AR352-36.8)))/2)+AR352*(1-AS352/2))/(1-MAX(0.1,MIN(0.3,0.3-0.09*(AR352-36.8)))/2)</f>
        <v/>
      </c>
      <c r="AO353">
        <f>((AM353/$B$7+T352*AS352/2-T353*MAX(0.1,MIN(0.3,0.3-0.09*(AN353-36.8)))/2)+AR352*(1-AS352/2))/(1-MAX(0.1,MIN(0.3,0.3-0.09*(AN353-36.8)))/2)</f>
        <v/>
      </c>
      <c r="AP353">
        <f>((AM353/$B$7+T352*AS352/2-T353*MAX(0.1,MIN(0.3,0.3-0.09*(AO353-36.8)))/2)+AR352*(1-AS352/2))/(1-MAX(0.1,MIN(0.3,0.3-0.09*(AO353-36.8)))/2)</f>
        <v/>
      </c>
      <c r="AQ353">
        <f>((AM353/$B$7+T352*AS352/2-T353*MAX(0.1,MIN(0.3,0.3-0.09*(AP353-36.8)))/2)+AR352*(1-AS352/2))/(1-MAX(0.1,MIN(0.3,0.3-0.09*(AP353-36.8)))/2)</f>
        <v/>
      </c>
      <c r="AR353">
        <f>((AM353/$B$7+T352*AS352/2-T353*MAX(0.1,MIN(0.3,0.3-0.09*(AQ353-36.8)))/2)+AR352*(1-AS352/2))/(1-MAX(0.1,MIN(0.3,0.3-0.09*(AQ353-36.8)))/2)</f>
        <v/>
      </c>
      <c r="AS353">
        <f>MAX(0.1,MIN(0.3,0.3-0.09*(AR353-36.8)))</f>
        <v/>
      </c>
      <c r="AT353">
        <f>AT352+(2*AR353-1.962*AT352-1.31)/9</f>
        <v/>
      </c>
      <c r="AU353">
        <f>AU352+AG353+K353</f>
        <v/>
      </c>
      <c r="AV353">
        <f>AU353*2.67*$B$6/1.8/60</f>
        <v/>
      </c>
      <c r="AW353">
        <f>IF(AT353&gt;=$B$36,1,0)</f>
        <v/>
      </c>
      <c r="AX353">
        <f>IF(AV353&gt;=$B$21,1,0)</f>
        <v/>
      </c>
    </row>
    <row r="354">
      <c r="A354" t="n">
        <v>281</v>
      </c>
      <c r="B354">
        <f>MATCH(A354-1,$D$61:$D$68,1)</f>
        <v/>
      </c>
      <c r="C354">
        <f>INDEX($G$61:$G$68,B354)</f>
        <v/>
      </c>
      <c r="D354">
        <f>INDEX($L$61:$L$68,B354)</f>
        <v/>
      </c>
      <c r="E354">
        <f>INDEX($M$61:$M$68,B354)</f>
        <v/>
      </c>
      <c r="F354">
        <f>INDEX($N$61:$N$68,B354)</f>
        <v/>
      </c>
      <c r="G354">
        <f>INDEX($AA$61:$AA$68,B354)</f>
        <v/>
      </c>
      <c r="H354">
        <f>INDEX($X$61:$X$68,B354)</f>
        <v/>
      </c>
      <c r="I354">
        <f>INDEX($AF$61:$AF$68,B354)</f>
        <v/>
      </c>
      <c r="J354">
        <f>INDEX($AC$61:$AC$68,B354)</f>
        <v/>
      </c>
      <c r="K354">
        <f>INDEX($AD$61:$AD$68,B354)</f>
        <v/>
      </c>
      <c r="L354">
        <f>INDEX($AG$61:$AG$68,B354)</f>
        <v/>
      </c>
      <c r="M354">
        <f>INDEX($AH$61:$AH$68,B354)</f>
        <v/>
      </c>
      <c r="N354">
        <f>INDEX($AI$61:$AI$68,B354)</f>
        <v/>
      </c>
      <c r="O354">
        <f>O353*$B$26+L354*(1-$B$26)</f>
        <v/>
      </c>
      <c r="P354">
        <f>$B$7*(O354-O353)*(1-AS353)</f>
        <v/>
      </c>
      <c r="Q354">
        <f>M354+0.51274*AT353</f>
        <v/>
      </c>
      <c r="R354">
        <f>N354+0.616*AT353</f>
        <v/>
      </c>
      <c r="S354">
        <f>IF($B$13&gt;=0.6,Q354,IF($B$13&lt;=0.2,R354,R354+2.5*(Q354-R354)*($B$13-0.2)))</f>
        <v/>
      </c>
      <c r="T354">
        <f>IF(A354=1,S354,T353*$B$27+S354*(1-$B$27))</f>
        <v/>
      </c>
      <c r="U354">
        <f>0.6105*EXP(17.27*T354/(T354+237.3))</f>
        <v/>
      </c>
      <c r="V354">
        <f>($B$14*(I354*C354+IF(ABS((D354+0.1)-D354)&lt;0.000000001,4*$B$19*$B$20*(D354+273)^3,$B$19*$B$20*(((D354+0.1)+273)^4-(D354+273)^4)/((D354+0.1)-D354))*D354)+T354/H354)/($B$14*(I354+IF(ABS((D354+0.1)-D354)&lt;0.000000001,4*$B$19*$B$20*(D354+273)^3,$B$19*$B$20*(((D354+0.1)+273)^4-(D354+273)^4)/((D354+0.1)-D354)))+1/H354)</f>
        <v/>
      </c>
      <c r="W354">
        <f>($B$14*(I354*C354+IF(ABS(V354-D354)&lt;0.000000001,4*$B$19*$B$20*(D354+273)^3,$B$19*$B$20*((V354+273)^4-(D354+273)^4)/(V354-D354))*D354)+T354/H354)/($B$14*(I354+IF(ABS(V354-D354)&lt;0.000000001,4*$B$19*$B$20*(D354+273)^3,$B$19*$B$20*((V354+273)^4-(D354+273)^4)/(V354-D354)))+1/H354)</f>
        <v/>
      </c>
      <c r="X354">
        <f>($B$14*(I354*C354+IF(ABS(W354-D354)&lt;0.000000001,4*$B$19*$B$20*(D354+273)^3,$B$19*$B$20*((W354+273)^4-(D354+273)^4)/(W354-D354))*D354)+T354/H354)/($B$14*(I354+IF(ABS(W354-D354)&lt;0.000000001,4*$B$19*$B$20*(D354+273)^3,$B$19*$B$20*((W354+273)^4-(D354+273)^4)/(W354-D354)))+1/H354)</f>
        <v/>
      </c>
      <c r="Y354">
        <f>($B$14*(I354*C354+IF(ABS(X354-D354)&lt;0.000000001,4*$B$19*$B$20*(D354+273)^3,$B$19*$B$20*((X354+273)^4-(D354+273)^4)/(X354-D354))*D354)+T354/H354)/($B$14*(I354+IF(ABS(X354-D354)&lt;0.000000001,4*$B$19*$B$20*(D354+273)^3,$B$19*$B$20*((X354+273)^4-(D354+273)^4)/(X354-D354)))+1/H354)</f>
        <v/>
      </c>
      <c r="Z354">
        <f>IF(ABS(Y354-D354)&lt;0.000000001,4*$B$19*$B$20*(D354+273)^3,$B$19*$B$20*((Y354+273)^4-(D354+273)^4)/(Y354-D354))</f>
        <v/>
      </c>
      <c r="AA354">
        <f>$B$14*I354*(Y354-C354)</f>
        <v/>
      </c>
      <c r="AB354">
        <f>$B$14*Z354*(Y354-D354)</f>
        <v/>
      </c>
      <c r="AC354">
        <f>IF((U354-E354)/G354=0,0.001,(U354-E354)/G354)</f>
        <v/>
      </c>
      <c r="AD354">
        <f>F354-P354-J354-K354-AA354-AB354</f>
        <v/>
      </c>
      <c r="AE354">
        <f>AD354/AC354</f>
        <v/>
      </c>
      <c r="AF354">
        <f>IF(AD354&lt;=0,0,IF(AC354&lt;=0,$B$11,IF(AE354&gt;=1.7,$B$11,MIN(AD354/MAX(0.05,IF(AE354&gt;1,(2-AE354)^2/2,1-AE354^2/2)),$B$11))))</f>
        <v/>
      </c>
      <c r="AG354">
        <f>AG353*$B$28+AF354*(1-$B$28)</f>
        <v/>
      </c>
      <c r="AH354">
        <f>IF(AND(AD354&gt;0,AC354&lt;=0),0,AC354)</f>
        <v/>
      </c>
      <c r="AI354">
        <f>AH354/MAX(AG354,0.000001)</f>
        <v/>
      </c>
      <c r="AJ354">
        <f>MIN(IF(AI354&gt;=0.5,-AI354+SQRT(AI354^2+2),1),$B$12)</f>
        <v/>
      </c>
      <c r="AK354">
        <f>IF(AG354&lt;=0,0,AJ354*AH354)</f>
        <v/>
      </c>
      <c r="AL354">
        <f>IF(AD354&lt;=0,0,AD354)</f>
        <v/>
      </c>
      <c r="AM354">
        <f>AL354-AK354+P354</f>
        <v/>
      </c>
      <c r="AN354">
        <f>((AM354/$B$7+T353*AS353/2-T354*MAX(0.1,MIN(0.3,0.3-0.09*(AR353-36.8)))/2)+AR353*(1-AS353/2))/(1-MAX(0.1,MIN(0.3,0.3-0.09*(AR353-36.8)))/2)</f>
        <v/>
      </c>
      <c r="AO354">
        <f>((AM354/$B$7+T353*AS353/2-T354*MAX(0.1,MIN(0.3,0.3-0.09*(AN354-36.8)))/2)+AR353*(1-AS353/2))/(1-MAX(0.1,MIN(0.3,0.3-0.09*(AN354-36.8)))/2)</f>
        <v/>
      </c>
      <c r="AP354">
        <f>((AM354/$B$7+T353*AS353/2-T354*MAX(0.1,MIN(0.3,0.3-0.09*(AO354-36.8)))/2)+AR353*(1-AS353/2))/(1-MAX(0.1,MIN(0.3,0.3-0.09*(AO354-36.8)))/2)</f>
        <v/>
      </c>
      <c r="AQ354">
        <f>((AM354/$B$7+T353*AS353/2-T354*MAX(0.1,MIN(0.3,0.3-0.09*(AP354-36.8)))/2)+AR353*(1-AS353/2))/(1-MAX(0.1,MIN(0.3,0.3-0.09*(AP354-36.8)))/2)</f>
        <v/>
      </c>
      <c r="AR354">
        <f>((AM354/$B$7+T353*AS353/2-T354*MAX(0.1,MIN(0.3,0.3-0.09*(AQ354-36.8)))/2)+AR353*(1-AS353/2))/(1-MAX(0.1,MIN(0.3,0.3-0.09*(AQ354-36.8)))/2)</f>
        <v/>
      </c>
      <c r="AS354">
        <f>MAX(0.1,MIN(0.3,0.3-0.09*(AR354-36.8)))</f>
        <v/>
      </c>
      <c r="AT354">
        <f>AT353+(2*AR354-1.962*AT353-1.31)/9</f>
        <v/>
      </c>
      <c r="AU354">
        <f>AU353+AG354+K354</f>
        <v/>
      </c>
      <c r="AV354">
        <f>AU354*2.67*$B$6/1.8/60</f>
        <v/>
      </c>
      <c r="AW354">
        <f>IF(AT354&gt;=$B$36,1,0)</f>
        <v/>
      </c>
      <c r="AX354">
        <f>IF(AV354&gt;=$B$21,1,0)</f>
        <v/>
      </c>
    </row>
    <row r="355">
      <c r="A355" t="n">
        <v>282</v>
      </c>
      <c r="B355">
        <f>MATCH(A355-1,$D$61:$D$68,1)</f>
        <v/>
      </c>
      <c r="C355">
        <f>INDEX($G$61:$G$68,B355)</f>
        <v/>
      </c>
      <c r="D355">
        <f>INDEX($L$61:$L$68,B355)</f>
        <v/>
      </c>
      <c r="E355">
        <f>INDEX($M$61:$M$68,B355)</f>
        <v/>
      </c>
      <c r="F355">
        <f>INDEX($N$61:$N$68,B355)</f>
        <v/>
      </c>
      <c r="G355">
        <f>INDEX($AA$61:$AA$68,B355)</f>
        <v/>
      </c>
      <c r="H355">
        <f>INDEX($X$61:$X$68,B355)</f>
        <v/>
      </c>
      <c r="I355">
        <f>INDEX($AF$61:$AF$68,B355)</f>
        <v/>
      </c>
      <c r="J355">
        <f>INDEX($AC$61:$AC$68,B355)</f>
        <v/>
      </c>
      <c r="K355">
        <f>INDEX($AD$61:$AD$68,B355)</f>
        <v/>
      </c>
      <c r="L355">
        <f>INDEX($AG$61:$AG$68,B355)</f>
        <v/>
      </c>
      <c r="M355">
        <f>INDEX($AH$61:$AH$68,B355)</f>
        <v/>
      </c>
      <c r="N355">
        <f>INDEX($AI$61:$AI$68,B355)</f>
        <v/>
      </c>
      <c r="O355">
        <f>O354*$B$26+L355*(1-$B$26)</f>
        <v/>
      </c>
      <c r="P355">
        <f>$B$7*(O355-O354)*(1-AS354)</f>
        <v/>
      </c>
      <c r="Q355">
        <f>M355+0.51274*AT354</f>
        <v/>
      </c>
      <c r="R355">
        <f>N355+0.616*AT354</f>
        <v/>
      </c>
      <c r="S355">
        <f>IF($B$13&gt;=0.6,Q355,IF($B$13&lt;=0.2,R355,R355+2.5*(Q355-R355)*($B$13-0.2)))</f>
        <v/>
      </c>
      <c r="T355">
        <f>IF(A355=1,S355,T354*$B$27+S355*(1-$B$27))</f>
        <v/>
      </c>
      <c r="U355">
        <f>0.6105*EXP(17.27*T355/(T355+237.3))</f>
        <v/>
      </c>
      <c r="V355">
        <f>($B$14*(I355*C355+IF(ABS((D355+0.1)-D355)&lt;0.000000001,4*$B$19*$B$20*(D355+273)^3,$B$19*$B$20*(((D355+0.1)+273)^4-(D355+273)^4)/((D355+0.1)-D355))*D355)+T355/H355)/($B$14*(I355+IF(ABS((D355+0.1)-D355)&lt;0.000000001,4*$B$19*$B$20*(D355+273)^3,$B$19*$B$20*(((D355+0.1)+273)^4-(D355+273)^4)/((D355+0.1)-D355)))+1/H355)</f>
        <v/>
      </c>
      <c r="W355">
        <f>($B$14*(I355*C355+IF(ABS(V355-D355)&lt;0.000000001,4*$B$19*$B$20*(D355+273)^3,$B$19*$B$20*((V355+273)^4-(D355+273)^4)/(V355-D355))*D355)+T355/H355)/($B$14*(I355+IF(ABS(V355-D355)&lt;0.000000001,4*$B$19*$B$20*(D355+273)^3,$B$19*$B$20*((V355+273)^4-(D355+273)^4)/(V355-D355)))+1/H355)</f>
        <v/>
      </c>
      <c r="X355">
        <f>($B$14*(I355*C355+IF(ABS(W355-D355)&lt;0.000000001,4*$B$19*$B$20*(D355+273)^3,$B$19*$B$20*((W355+273)^4-(D355+273)^4)/(W355-D355))*D355)+T355/H355)/($B$14*(I355+IF(ABS(W355-D355)&lt;0.000000001,4*$B$19*$B$20*(D355+273)^3,$B$19*$B$20*((W355+273)^4-(D355+273)^4)/(W355-D355)))+1/H355)</f>
        <v/>
      </c>
      <c r="Y355">
        <f>($B$14*(I355*C355+IF(ABS(X355-D355)&lt;0.000000001,4*$B$19*$B$20*(D355+273)^3,$B$19*$B$20*((X355+273)^4-(D355+273)^4)/(X355-D355))*D355)+T355/H355)/($B$14*(I355+IF(ABS(X355-D355)&lt;0.000000001,4*$B$19*$B$20*(D355+273)^3,$B$19*$B$20*((X355+273)^4-(D355+273)^4)/(X355-D355)))+1/H355)</f>
        <v/>
      </c>
      <c r="Z355">
        <f>IF(ABS(Y355-D355)&lt;0.000000001,4*$B$19*$B$20*(D355+273)^3,$B$19*$B$20*((Y355+273)^4-(D355+273)^4)/(Y355-D355))</f>
        <v/>
      </c>
      <c r="AA355">
        <f>$B$14*I355*(Y355-C355)</f>
        <v/>
      </c>
      <c r="AB355">
        <f>$B$14*Z355*(Y355-D355)</f>
        <v/>
      </c>
      <c r="AC355">
        <f>IF((U355-E355)/G355=0,0.001,(U355-E355)/G355)</f>
        <v/>
      </c>
      <c r="AD355">
        <f>F355-P355-J355-K355-AA355-AB355</f>
        <v/>
      </c>
      <c r="AE355">
        <f>AD355/AC355</f>
        <v/>
      </c>
      <c r="AF355">
        <f>IF(AD355&lt;=0,0,IF(AC355&lt;=0,$B$11,IF(AE355&gt;=1.7,$B$11,MIN(AD355/MAX(0.05,IF(AE355&gt;1,(2-AE355)^2/2,1-AE355^2/2)),$B$11))))</f>
        <v/>
      </c>
      <c r="AG355">
        <f>AG354*$B$28+AF355*(1-$B$28)</f>
        <v/>
      </c>
      <c r="AH355">
        <f>IF(AND(AD355&gt;0,AC355&lt;=0),0,AC355)</f>
        <v/>
      </c>
      <c r="AI355">
        <f>AH355/MAX(AG355,0.000001)</f>
        <v/>
      </c>
      <c r="AJ355">
        <f>MIN(IF(AI355&gt;=0.5,-AI355+SQRT(AI355^2+2),1),$B$12)</f>
        <v/>
      </c>
      <c r="AK355">
        <f>IF(AG355&lt;=0,0,AJ355*AH355)</f>
        <v/>
      </c>
      <c r="AL355">
        <f>IF(AD355&lt;=0,0,AD355)</f>
        <v/>
      </c>
      <c r="AM355">
        <f>AL355-AK355+P355</f>
        <v/>
      </c>
      <c r="AN355">
        <f>((AM355/$B$7+T354*AS354/2-T355*MAX(0.1,MIN(0.3,0.3-0.09*(AR354-36.8)))/2)+AR354*(1-AS354/2))/(1-MAX(0.1,MIN(0.3,0.3-0.09*(AR354-36.8)))/2)</f>
        <v/>
      </c>
      <c r="AO355">
        <f>((AM355/$B$7+T354*AS354/2-T355*MAX(0.1,MIN(0.3,0.3-0.09*(AN355-36.8)))/2)+AR354*(1-AS354/2))/(1-MAX(0.1,MIN(0.3,0.3-0.09*(AN355-36.8)))/2)</f>
        <v/>
      </c>
      <c r="AP355">
        <f>((AM355/$B$7+T354*AS354/2-T355*MAX(0.1,MIN(0.3,0.3-0.09*(AO355-36.8)))/2)+AR354*(1-AS354/2))/(1-MAX(0.1,MIN(0.3,0.3-0.09*(AO355-36.8)))/2)</f>
        <v/>
      </c>
      <c r="AQ355">
        <f>((AM355/$B$7+T354*AS354/2-T355*MAX(0.1,MIN(0.3,0.3-0.09*(AP355-36.8)))/2)+AR354*(1-AS354/2))/(1-MAX(0.1,MIN(0.3,0.3-0.09*(AP355-36.8)))/2)</f>
        <v/>
      </c>
      <c r="AR355">
        <f>((AM355/$B$7+T354*AS354/2-T355*MAX(0.1,MIN(0.3,0.3-0.09*(AQ355-36.8)))/2)+AR354*(1-AS354/2))/(1-MAX(0.1,MIN(0.3,0.3-0.09*(AQ355-36.8)))/2)</f>
        <v/>
      </c>
      <c r="AS355">
        <f>MAX(0.1,MIN(0.3,0.3-0.09*(AR355-36.8)))</f>
        <v/>
      </c>
      <c r="AT355">
        <f>AT354+(2*AR355-1.962*AT354-1.31)/9</f>
        <v/>
      </c>
      <c r="AU355">
        <f>AU354+AG355+K355</f>
        <v/>
      </c>
      <c r="AV355">
        <f>AU355*2.67*$B$6/1.8/60</f>
        <v/>
      </c>
      <c r="AW355">
        <f>IF(AT355&gt;=$B$36,1,0)</f>
        <v/>
      </c>
      <c r="AX355">
        <f>IF(AV355&gt;=$B$21,1,0)</f>
        <v/>
      </c>
    </row>
    <row r="356">
      <c r="A356" t="n">
        <v>283</v>
      </c>
      <c r="B356">
        <f>MATCH(A356-1,$D$61:$D$68,1)</f>
        <v/>
      </c>
      <c r="C356">
        <f>INDEX($G$61:$G$68,B356)</f>
        <v/>
      </c>
      <c r="D356">
        <f>INDEX($L$61:$L$68,B356)</f>
        <v/>
      </c>
      <c r="E356">
        <f>INDEX($M$61:$M$68,B356)</f>
        <v/>
      </c>
      <c r="F356">
        <f>INDEX($N$61:$N$68,B356)</f>
        <v/>
      </c>
      <c r="G356">
        <f>INDEX($AA$61:$AA$68,B356)</f>
        <v/>
      </c>
      <c r="H356">
        <f>INDEX($X$61:$X$68,B356)</f>
        <v/>
      </c>
      <c r="I356">
        <f>INDEX($AF$61:$AF$68,B356)</f>
        <v/>
      </c>
      <c r="J356">
        <f>INDEX($AC$61:$AC$68,B356)</f>
        <v/>
      </c>
      <c r="K356">
        <f>INDEX($AD$61:$AD$68,B356)</f>
        <v/>
      </c>
      <c r="L356">
        <f>INDEX($AG$61:$AG$68,B356)</f>
        <v/>
      </c>
      <c r="M356">
        <f>INDEX($AH$61:$AH$68,B356)</f>
        <v/>
      </c>
      <c r="N356">
        <f>INDEX($AI$61:$AI$68,B356)</f>
        <v/>
      </c>
      <c r="O356">
        <f>O355*$B$26+L356*(1-$B$26)</f>
        <v/>
      </c>
      <c r="P356">
        <f>$B$7*(O356-O355)*(1-AS355)</f>
        <v/>
      </c>
      <c r="Q356">
        <f>M356+0.51274*AT355</f>
        <v/>
      </c>
      <c r="R356">
        <f>N356+0.616*AT355</f>
        <v/>
      </c>
      <c r="S356">
        <f>IF($B$13&gt;=0.6,Q356,IF($B$13&lt;=0.2,R356,R356+2.5*(Q356-R356)*($B$13-0.2)))</f>
        <v/>
      </c>
      <c r="T356">
        <f>IF(A356=1,S356,T355*$B$27+S356*(1-$B$27))</f>
        <v/>
      </c>
      <c r="U356">
        <f>0.6105*EXP(17.27*T356/(T356+237.3))</f>
        <v/>
      </c>
      <c r="V356">
        <f>($B$14*(I356*C356+IF(ABS((D356+0.1)-D356)&lt;0.000000001,4*$B$19*$B$20*(D356+273)^3,$B$19*$B$20*(((D356+0.1)+273)^4-(D356+273)^4)/((D356+0.1)-D356))*D356)+T356/H356)/($B$14*(I356+IF(ABS((D356+0.1)-D356)&lt;0.000000001,4*$B$19*$B$20*(D356+273)^3,$B$19*$B$20*(((D356+0.1)+273)^4-(D356+273)^4)/((D356+0.1)-D356)))+1/H356)</f>
        <v/>
      </c>
      <c r="W356">
        <f>($B$14*(I356*C356+IF(ABS(V356-D356)&lt;0.000000001,4*$B$19*$B$20*(D356+273)^3,$B$19*$B$20*((V356+273)^4-(D356+273)^4)/(V356-D356))*D356)+T356/H356)/($B$14*(I356+IF(ABS(V356-D356)&lt;0.000000001,4*$B$19*$B$20*(D356+273)^3,$B$19*$B$20*((V356+273)^4-(D356+273)^4)/(V356-D356)))+1/H356)</f>
        <v/>
      </c>
      <c r="X356">
        <f>($B$14*(I356*C356+IF(ABS(W356-D356)&lt;0.000000001,4*$B$19*$B$20*(D356+273)^3,$B$19*$B$20*((W356+273)^4-(D356+273)^4)/(W356-D356))*D356)+T356/H356)/($B$14*(I356+IF(ABS(W356-D356)&lt;0.000000001,4*$B$19*$B$20*(D356+273)^3,$B$19*$B$20*((W356+273)^4-(D356+273)^4)/(W356-D356)))+1/H356)</f>
        <v/>
      </c>
      <c r="Y356">
        <f>($B$14*(I356*C356+IF(ABS(X356-D356)&lt;0.000000001,4*$B$19*$B$20*(D356+273)^3,$B$19*$B$20*((X356+273)^4-(D356+273)^4)/(X356-D356))*D356)+T356/H356)/($B$14*(I356+IF(ABS(X356-D356)&lt;0.000000001,4*$B$19*$B$20*(D356+273)^3,$B$19*$B$20*((X356+273)^4-(D356+273)^4)/(X356-D356)))+1/H356)</f>
        <v/>
      </c>
      <c r="Z356">
        <f>IF(ABS(Y356-D356)&lt;0.000000001,4*$B$19*$B$20*(D356+273)^3,$B$19*$B$20*((Y356+273)^4-(D356+273)^4)/(Y356-D356))</f>
        <v/>
      </c>
      <c r="AA356">
        <f>$B$14*I356*(Y356-C356)</f>
        <v/>
      </c>
      <c r="AB356">
        <f>$B$14*Z356*(Y356-D356)</f>
        <v/>
      </c>
      <c r="AC356">
        <f>IF((U356-E356)/G356=0,0.001,(U356-E356)/G356)</f>
        <v/>
      </c>
      <c r="AD356">
        <f>F356-P356-J356-K356-AA356-AB356</f>
        <v/>
      </c>
      <c r="AE356">
        <f>AD356/AC356</f>
        <v/>
      </c>
      <c r="AF356">
        <f>IF(AD356&lt;=0,0,IF(AC356&lt;=0,$B$11,IF(AE356&gt;=1.7,$B$11,MIN(AD356/MAX(0.05,IF(AE356&gt;1,(2-AE356)^2/2,1-AE356^2/2)),$B$11))))</f>
        <v/>
      </c>
      <c r="AG356">
        <f>AG355*$B$28+AF356*(1-$B$28)</f>
        <v/>
      </c>
      <c r="AH356">
        <f>IF(AND(AD356&gt;0,AC356&lt;=0),0,AC356)</f>
        <v/>
      </c>
      <c r="AI356">
        <f>AH356/MAX(AG356,0.000001)</f>
        <v/>
      </c>
      <c r="AJ356">
        <f>MIN(IF(AI356&gt;=0.5,-AI356+SQRT(AI356^2+2),1),$B$12)</f>
        <v/>
      </c>
      <c r="AK356">
        <f>IF(AG356&lt;=0,0,AJ356*AH356)</f>
        <v/>
      </c>
      <c r="AL356">
        <f>IF(AD356&lt;=0,0,AD356)</f>
        <v/>
      </c>
      <c r="AM356">
        <f>AL356-AK356+P356</f>
        <v/>
      </c>
      <c r="AN356">
        <f>((AM356/$B$7+T355*AS355/2-T356*MAX(0.1,MIN(0.3,0.3-0.09*(AR355-36.8)))/2)+AR355*(1-AS355/2))/(1-MAX(0.1,MIN(0.3,0.3-0.09*(AR355-36.8)))/2)</f>
        <v/>
      </c>
      <c r="AO356">
        <f>((AM356/$B$7+T355*AS355/2-T356*MAX(0.1,MIN(0.3,0.3-0.09*(AN356-36.8)))/2)+AR355*(1-AS355/2))/(1-MAX(0.1,MIN(0.3,0.3-0.09*(AN356-36.8)))/2)</f>
        <v/>
      </c>
      <c r="AP356">
        <f>((AM356/$B$7+T355*AS355/2-T356*MAX(0.1,MIN(0.3,0.3-0.09*(AO356-36.8)))/2)+AR355*(1-AS355/2))/(1-MAX(0.1,MIN(0.3,0.3-0.09*(AO356-36.8)))/2)</f>
        <v/>
      </c>
      <c r="AQ356">
        <f>((AM356/$B$7+T355*AS355/2-T356*MAX(0.1,MIN(0.3,0.3-0.09*(AP356-36.8)))/2)+AR355*(1-AS355/2))/(1-MAX(0.1,MIN(0.3,0.3-0.09*(AP356-36.8)))/2)</f>
        <v/>
      </c>
      <c r="AR356">
        <f>((AM356/$B$7+T355*AS355/2-T356*MAX(0.1,MIN(0.3,0.3-0.09*(AQ356-36.8)))/2)+AR355*(1-AS355/2))/(1-MAX(0.1,MIN(0.3,0.3-0.09*(AQ356-36.8)))/2)</f>
        <v/>
      </c>
      <c r="AS356">
        <f>MAX(0.1,MIN(0.3,0.3-0.09*(AR356-36.8)))</f>
        <v/>
      </c>
      <c r="AT356">
        <f>AT355+(2*AR356-1.962*AT355-1.31)/9</f>
        <v/>
      </c>
      <c r="AU356">
        <f>AU355+AG356+K356</f>
        <v/>
      </c>
      <c r="AV356">
        <f>AU356*2.67*$B$6/1.8/60</f>
        <v/>
      </c>
      <c r="AW356">
        <f>IF(AT356&gt;=$B$36,1,0)</f>
        <v/>
      </c>
      <c r="AX356">
        <f>IF(AV356&gt;=$B$21,1,0)</f>
        <v/>
      </c>
    </row>
    <row r="357">
      <c r="A357" t="n">
        <v>284</v>
      </c>
      <c r="B357">
        <f>MATCH(A357-1,$D$61:$D$68,1)</f>
        <v/>
      </c>
      <c r="C357">
        <f>INDEX($G$61:$G$68,B357)</f>
        <v/>
      </c>
      <c r="D357">
        <f>INDEX($L$61:$L$68,B357)</f>
        <v/>
      </c>
      <c r="E357">
        <f>INDEX($M$61:$M$68,B357)</f>
        <v/>
      </c>
      <c r="F357">
        <f>INDEX($N$61:$N$68,B357)</f>
        <v/>
      </c>
      <c r="G357">
        <f>INDEX($AA$61:$AA$68,B357)</f>
        <v/>
      </c>
      <c r="H357">
        <f>INDEX($X$61:$X$68,B357)</f>
        <v/>
      </c>
      <c r="I357">
        <f>INDEX($AF$61:$AF$68,B357)</f>
        <v/>
      </c>
      <c r="J357">
        <f>INDEX($AC$61:$AC$68,B357)</f>
        <v/>
      </c>
      <c r="K357">
        <f>INDEX($AD$61:$AD$68,B357)</f>
        <v/>
      </c>
      <c r="L357">
        <f>INDEX($AG$61:$AG$68,B357)</f>
        <v/>
      </c>
      <c r="M357">
        <f>INDEX($AH$61:$AH$68,B357)</f>
        <v/>
      </c>
      <c r="N357">
        <f>INDEX($AI$61:$AI$68,B357)</f>
        <v/>
      </c>
      <c r="O357">
        <f>O356*$B$26+L357*(1-$B$26)</f>
        <v/>
      </c>
      <c r="P357">
        <f>$B$7*(O357-O356)*(1-AS356)</f>
        <v/>
      </c>
      <c r="Q357">
        <f>M357+0.51274*AT356</f>
        <v/>
      </c>
      <c r="R357">
        <f>N357+0.616*AT356</f>
        <v/>
      </c>
      <c r="S357">
        <f>IF($B$13&gt;=0.6,Q357,IF($B$13&lt;=0.2,R357,R357+2.5*(Q357-R357)*($B$13-0.2)))</f>
        <v/>
      </c>
      <c r="T357">
        <f>IF(A357=1,S357,T356*$B$27+S357*(1-$B$27))</f>
        <v/>
      </c>
      <c r="U357">
        <f>0.6105*EXP(17.27*T357/(T357+237.3))</f>
        <v/>
      </c>
      <c r="V357">
        <f>($B$14*(I357*C357+IF(ABS((D357+0.1)-D357)&lt;0.000000001,4*$B$19*$B$20*(D357+273)^3,$B$19*$B$20*(((D357+0.1)+273)^4-(D357+273)^4)/((D357+0.1)-D357))*D357)+T357/H357)/($B$14*(I357+IF(ABS((D357+0.1)-D357)&lt;0.000000001,4*$B$19*$B$20*(D357+273)^3,$B$19*$B$20*(((D357+0.1)+273)^4-(D357+273)^4)/((D357+0.1)-D357)))+1/H357)</f>
        <v/>
      </c>
      <c r="W357">
        <f>($B$14*(I357*C357+IF(ABS(V357-D357)&lt;0.000000001,4*$B$19*$B$20*(D357+273)^3,$B$19*$B$20*((V357+273)^4-(D357+273)^4)/(V357-D357))*D357)+T357/H357)/($B$14*(I357+IF(ABS(V357-D357)&lt;0.000000001,4*$B$19*$B$20*(D357+273)^3,$B$19*$B$20*((V357+273)^4-(D357+273)^4)/(V357-D357)))+1/H357)</f>
        <v/>
      </c>
      <c r="X357">
        <f>($B$14*(I357*C357+IF(ABS(W357-D357)&lt;0.000000001,4*$B$19*$B$20*(D357+273)^3,$B$19*$B$20*((W357+273)^4-(D357+273)^4)/(W357-D357))*D357)+T357/H357)/($B$14*(I357+IF(ABS(W357-D357)&lt;0.000000001,4*$B$19*$B$20*(D357+273)^3,$B$19*$B$20*((W357+273)^4-(D357+273)^4)/(W357-D357)))+1/H357)</f>
        <v/>
      </c>
      <c r="Y357">
        <f>($B$14*(I357*C357+IF(ABS(X357-D357)&lt;0.000000001,4*$B$19*$B$20*(D357+273)^3,$B$19*$B$20*((X357+273)^4-(D357+273)^4)/(X357-D357))*D357)+T357/H357)/($B$14*(I357+IF(ABS(X357-D357)&lt;0.000000001,4*$B$19*$B$20*(D357+273)^3,$B$19*$B$20*((X357+273)^4-(D357+273)^4)/(X357-D357)))+1/H357)</f>
        <v/>
      </c>
      <c r="Z357">
        <f>IF(ABS(Y357-D357)&lt;0.000000001,4*$B$19*$B$20*(D357+273)^3,$B$19*$B$20*((Y357+273)^4-(D357+273)^4)/(Y357-D357))</f>
        <v/>
      </c>
      <c r="AA357">
        <f>$B$14*I357*(Y357-C357)</f>
        <v/>
      </c>
      <c r="AB357">
        <f>$B$14*Z357*(Y357-D357)</f>
        <v/>
      </c>
      <c r="AC357">
        <f>IF((U357-E357)/G357=0,0.001,(U357-E357)/G357)</f>
        <v/>
      </c>
      <c r="AD357">
        <f>F357-P357-J357-K357-AA357-AB357</f>
        <v/>
      </c>
      <c r="AE357">
        <f>AD357/AC357</f>
        <v/>
      </c>
      <c r="AF357">
        <f>IF(AD357&lt;=0,0,IF(AC357&lt;=0,$B$11,IF(AE357&gt;=1.7,$B$11,MIN(AD357/MAX(0.05,IF(AE357&gt;1,(2-AE357)^2/2,1-AE357^2/2)),$B$11))))</f>
        <v/>
      </c>
      <c r="AG357">
        <f>AG356*$B$28+AF357*(1-$B$28)</f>
        <v/>
      </c>
      <c r="AH357">
        <f>IF(AND(AD357&gt;0,AC357&lt;=0),0,AC357)</f>
        <v/>
      </c>
      <c r="AI357">
        <f>AH357/MAX(AG357,0.000001)</f>
        <v/>
      </c>
      <c r="AJ357">
        <f>MIN(IF(AI357&gt;=0.5,-AI357+SQRT(AI357^2+2),1),$B$12)</f>
        <v/>
      </c>
      <c r="AK357">
        <f>IF(AG357&lt;=0,0,AJ357*AH357)</f>
        <v/>
      </c>
      <c r="AL357">
        <f>IF(AD357&lt;=0,0,AD357)</f>
        <v/>
      </c>
      <c r="AM357">
        <f>AL357-AK357+P357</f>
        <v/>
      </c>
      <c r="AN357">
        <f>((AM357/$B$7+T356*AS356/2-T357*MAX(0.1,MIN(0.3,0.3-0.09*(AR356-36.8)))/2)+AR356*(1-AS356/2))/(1-MAX(0.1,MIN(0.3,0.3-0.09*(AR356-36.8)))/2)</f>
        <v/>
      </c>
      <c r="AO357">
        <f>((AM357/$B$7+T356*AS356/2-T357*MAX(0.1,MIN(0.3,0.3-0.09*(AN357-36.8)))/2)+AR356*(1-AS356/2))/(1-MAX(0.1,MIN(0.3,0.3-0.09*(AN357-36.8)))/2)</f>
        <v/>
      </c>
      <c r="AP357">
        <f>((AM357/$B$7+T356*AS356/2-T357*MAX(0.1,MIN(0.3,0.3-0.09*(AO357-36.8)))/2)+AR356*(1-AS356/2))/(1-MAX(0.1,MIN(0.3,0.3-0.09*(AO357-36.8)))/2)</f>
        <v/>
      </c>
      <c r="AQ357">
        <f>((AM357/$B$7+T356*AS356/2-T357*MAX(0.1,MIN(0.3,0.3-0.09*(AP357-36.8)))/2)+AR356*(1-AS356/2))/(1-MAX(0.1,MIN(0.3,0.3-0.09*(AP357-36.8)))/2)</f>
        <v/>
      </c>
      <c r="AR357">
        <f>((AM357/$B$7+T356*AS356/2-T357*MAX(0.1,MIN(0.3,0.3-0.09*(AQ357-36.8)))/2)+AR356*(1-AS356/2))/(1-MAX(0.1,MIN(0.3,0.3-0.09*(AQ357-36.8)))/2)</f>
        <v/>
      </c>
      <c r="AS357">
        <f>MAX(0.1,MIN(0.3,0.3-0.09*(AR357-36.8)))</f>
        <v/>
      </c>
      <c r="AT357">
        <f>AT356+(2*AR357-1.962*AT356-1.31)/9</f>
        <v/>
      </c>
      <c r="AU357">
        <f>AU356+AG357+K357</f>
        <v/>
      </c>
      <c r="AV357">
        <f>AU357*2.67*$B$6/1.8/60</f>
        <v/>
      </c>
      <c r="AW357">
        <f>IF(AT357&gt;=$B$36,1,0)</f>
        <v/>
      </c>
      <c r="AX357">
        <f>IF(AV357&gt;=$B$21,1,0)</f>
        <v/>
      </c>
    </row>
    <row r="358">
      <c r="A358" t="n">
        <v>285</v>
      </c>
      <c r="B358">
        <f>MATCH(A358-1,$D$61:$D$68,1)</f>
        <v/>
      </c>
      <c r="C358">
        <f>INDEX($G$61:$G$68,B358)</f>
        <v/>
      </c>
      <c r="D358">
        <f>INDEX($L$61:$L$68,B358)</f>
        <v/>
      </c>
      <c r="E358">
        <f>INDEX($M$61:$M$68,B358)</f>
        <v/>
      </c>
      <c r="F358">
        <f>INDEX($N$61:$N$68,B358)</f>
        <v/>
      </c>
      <c r="G358">
        <f>INDEX($AA$61:$AA$68,B358)</f>
        <v/>
      </c>
      <c r="H358">
        <f>INDEX($X$61:$X$68,B358)</f>
        <v/>
      </c>
      <c r="I358">
        <f>INDEX($AF$61:$AF$68,B358)</f>
        <v/>
      </c>
      <c r="J358">
        <f>INDEX($AC$61:$AC$68,B358)</f>
        <v/>
      </c>
      <c r="K358">
        <f>INDEX($AD$61:$AD$68,B358)</f>
        <v/>
      </c>
      <c r="L358">
        <f>INDEX($AG$61:$AG$68,B358)</f>
        <v/>
      </c>
      <c r="M358">
        <f>INDEX($AH$61:$AH$68,B358)</f>
        <v/>
      </c>
      <c r="N358">
        <f>INDEX($AI$61:$AI$68,B358)</f>
        <v/>
      </c>
      <c r="O358">
        <f>O357*$B$26+L358*(1-$B$26)</f>
        <v/>
      </c>
      <c r="P358">
        <f>$B$7*(O358-O357)*(1-AS357)</f>
        <v/>
      </c>
      <c r="Q358">
        <f>M358+0.51274*AT357</f>
        <v/>
      </c>
      <c r="R358">
        <f>N358+0.616*AT357</f>
        <v/>
      </c>
      <c r="S358">
        <f>IF($B$13&gt;=0.6,Q358,IF($B$13&lt;=0.2,R358,R358+2.5*(Q358-R358)*($B$13-0.2)))</f>
        <v/>
      </c>
      <c r="T358">
        <f>IF(A358=1,S358,T357*$B$27+S358*(1-$B$27))</f>
        <v/>
      </c>
      <c r="U358">
        <f>0.6105*EXP(17.27*T358/(T358+237.3))</f>
        <v/>
      </c>
      <c r="V358">
        <f>($B$14*(I358*C358+IF(ABS((D358+0.1)-D358)&lt;0.000000001,4*$B$19*$B$20*(D358+273)^3,$B$19*$B$20*(((D358+0.1)+273)^4-(D358+273)^4)/((D358+0.1)-D358))*D358)+T358/H358)/($B$14*(I358+IF(ABS((D358+0.1)-D358)&lt;0.000000001,4*$B$19*$B$20*(D358+273)^3,$B$19*$B$20*(((D358+0.1)+273)^4-(D358+273)^4)/((D358+0.1)-D358)))+1/H358)</f>
        <v/>
      </c>
      <c r="W358">
        <f>($B$14*(I358*C358+IF(ABS(V358-D358)&lt;0.000000001,4*$B$19*$B$20*(D358+273)^3,$B$19*$B$20*((V358+273)^4-(D358+273)^4)/(V358-D358))*D358)+T358/H358)/($B$14*(I358+IF(ABS(V358-D358)&lt;0.000000001,4*$B$19*$B$20*(D358+273)^3,$B$19*$B$20*((V358+273)^4-(D358+273)^4)/(V358-D358)))+1/H358)</f>
        <v/>
      </c>
      <c r="X358">
        <f>($B$14*(I358*C358+IF(ABS(W358-D358)&lt;0.000000001,4*$B$19*$B$20*(D358+273)^3,$B$19*$B$20*((W358+273)^4-(D358+273)^4)/(W358-D358))*D358)+T358/H358)/($B$14*(I358+IF(ABS(W358-D358)&lt;0.000000001,4*$B$19*$B$20*(D358+273)^3,$B$19*$B$20*((W358+273)^4-(D358+273)^4)/(W358-D358)))+1/H358)</f>
        <v/>
      </c>
      <c r="Y358">
        <f>($B$14*(I358*C358+IF(ABS(X358-D358)&lt;0.000000001,4*$B$19*$B$20*(D358+273)^3,$B$19*$B$20*((X358+273)^4-(D358+273)^4)/(X358-D358))*D358)+T358/H358)/($B$14*(I358+IF(ABS(X358-D358)&lt;0.000000001,4*$B$19*$B$20*(D358+273)^3,$B$19*$B$20*((X358+273)^4-(D358+273)^4)/(X358-D358)))+1/H358)</f>
        <v/>
      </c>
      <c r="Z358">
        <f>IF(ABS(Y358-D358)&lt;0.000000001,4*$B$19*$B$20*(D358+273)^3,$B$19*$B$20*((Y358+273)^4-(D358+273)^4)/(Y358-D358))</f>
        <v/>
      </c>
      <c r="AA358">
        <f>$B$14*I358*(Y358-C358)</f>
        <v/>
      </c>
      <c r="AB358">
        <f>$B$14*Z358*(Y358-D358)</f>
        <v/>
      </c>
      <c r="AC358">
        <f>IF((U358-E358)/G358=0,0.001,(U358-E358)/G358)</f>
        <v/>
      </c>
      <c r="AD358">
        <f>F358-P358-J358-K358-AA358-AB358</f>
        <v/>
      </c>
      <c r="AE358">
        <f>AD358/AC358</f>
        <v/>
      </c>
      <c r="AF358">
        <f>IF(AD358&lt;=0,0,IF(AC358&lt;=0,$B$11,IF(AE358&gt;=1.7,$B$11,MIN(AD358/MAX(0.05,IF(AE358&gt;1,(2-AE358)^2/2,1-AE358^2/2)),$B$11))))</f>
        <v/>
      </c>
      <c r="AG358">
        <f>AG357*$B$28+AF358*(1-$B$28)</f>
        <v/>
      </c>
      <c r="AH358">
        <f>IF(AND(AD358&gt;0,AC358&lt;=0),0,AC358)</f>
        <v/>
      </c>
      <c r="AI358">
        <f>AH358/MAX(AG358,0.000001)</f>
        <v/>
      </c>
      <c r="AJ358">
        <f>MIN(IF(AI358&gt;=0.5,-AI358+SQRT(AI358^2+2),1),$B$12)</f>
        <v/>
      </c>
      <c r="AK358">
        <f>IF(AG358&lt;=0,0,AJ358*AH358)</f>
        <v/>
      </c>
      <c r="AL358">
        <f>IF(AD358&lt;=0,0,AD358)</f>
        <v/>
      </c>
      <c r="AM358">
        <f>AL358-AK358+P358</f>
        <v/>
      </c>
      <c r="AN358">
        <f>((AM358/$B$7+T357*AS357/2-T358*MAX(0.1,MIN(0.3,0.3-0.09*(AR357-36.8)))/2)+AR357*(1-AS357/2))/(1-MAX(0.1,MIN(0.3,0.3-0.09*(AR357-36.8)))/2)</f>
        <v/>
      </c>
      <c r="AO358">
        <f>((AM358/$B$7+T357*AS357/2-T358*MAX(0.1,MIN(0.3,0.3-0.09*(AN358-36.8)))/2)+AR357*(1-AS357/2))/(1-MAX(0.1,MIN(0.3,0.3-0.09*(AN358-36.8)))/2)</f>
        <v/>
      </c>
      <c r="AP358">
        <f>((AM358/$B$7+T357*AS357/2-T358*MAX(0.1,MIN(0.3,0.3-0.09*(AO358-36.8)))/2)+AR357*(1-AS357/2))/(1-MAX(0.1,MIN(0.3,0.3-0.09*(AO358-36.8)))/2)</f>
        <v/>
      </c>
      <c r="AQ358">
        <f>((AM358/$B$7+T357*AS357/2-T358*MAX(0.1,MIN(0.3,0.3-0.09*(AP358-36.8)))/2)+AR357*(1-AS357/2))/(1-MAX(0.1,MIN(0.3,0.3-0.09*(AP358-36.8)))/2)</f>
        <v/>
      </c>
      <c r="AR358">
        <f>((AM358/$B$7+T357*AS357/2-T358*MAX(0.1,MIN(0.3,0.3-0.09*(AQ358-36.8)))/2)+AR357*(1-AS357/2))/(1-MAX(0.1,MIN(0.3,0.3-0.09*(AQ358-36.8)))/2)</f>
        <v/>
      </c>
      <c r="AS358">
        <f>MAX(0.1,MIN(0.3,0.3-0.09*(AR358-36.8)))</f>
        <v/>
      </c>
      <c r="AT358">
        <f>AT357+(2*AR358-1.962*AT357-1.31)/9</f>
        <v/>
      </c>
      <c r="AU358">
        <f>AU357+AG358+K358</f>
        <v/>
      </c>
      <c r="AV358">
        <f>AU358*2.67*$B$6/1.8/60</f>
        <v/>
      </c>
      <c r="AW358">
        <f>IF(AT358&gt;=$B$36,1,0)</f>
        <v/>
      </c>
      <c r="AX358">
        <f>IF(AV358&gt;=$B$21,1,0)</f>
        <v/>
      </c>
    </row>
    <row r="359">
      <c r="A359" t="n">
        <v>286</v>
      </c>
      <c r="B359">
        <f>MATCH(A359-1,$D$61:$D$68,1)</f>
        <v/>
      </c>
      <c r="C359">
        <f>INDEX($G$61:$G$68,B359)</f>
        <v/>
      </c>
      <c r="D359">
        <f>INDEX($L$61:$L$68,B359)</f>
        <v/>
      </c>
      <c r="E359">
        <f>INDEX($M$61:$M$68,B359)</f>
        <v/>
      </c>
      <c r="F359">
        <f>INDEX($N$61:$N$68,B359)</f>
        <v/>
      </c>
      <c r="G359">
        <f>INDEX($AA$61:$AA$68,B359)</f>
        <v/>
      </c>
      <c r="H359">
        <f>INDEX($X$61:$X$68,B359)</f>
        <v/>
      </c>
      <c r="I359">
        <f>INDEX($AF$61:$AF$68,B359)</f>
        <v/>
      </c>
      <c r="J359">
        <f>INDEX($AC$61:$AC$68,B359)</f>
        <v/>
      </c>
      <c r="K359">
        <f>INDEX($AD$61:$AD$68,B359)</f>
        <v/>
      </c>
      <c r="L359">
        <f>INDEX($AG$61:$AG$68,B359)</f>
        <v/>
      </c>
      <c r="M359">
        <f>INDEX($AH$61:$AH$68,B359)</f>
        <v/>
      </c>
      <c r="N359">
        <f>INDEX($AI$61:$AI$68,B359)</f>
        <v/>
      </c>
      <c r="O359">
        <f>O358*$B$26+L359*(1-$B$26)</f>
        <v/>
      </c>
      <c r="P359">
        <f>$B$7*(O359-O358)*(1-AS358)</f>
        <v/>
      </c>
      <c r="Q359">
        <f>M359+0.51274*AT358</f>
        <v/>
      </c>
      <c r="R359">
        <f>N359+0.616*AT358</f>
        <v/>
      </c>
      <c r="S359">
        <f>IF($B$13&gt;=0.6,Q359,IF($B$13&lt;=0.2,R359,R359+2.5*(Q359-R359)*($B$13-0.2)))</f>
        <v/>
      </c>
      <c r="T359">
        <f>IF(A359=1,S359,T358*$B$27+S359*(1-$B$27))</f>
        <v/>
      </c>
      <c r="U359">
        <f>0.6105*EXP(17.27*T359/(T359+237.3))</f>
        <v/>
      </c>
      <c r="V359">
        <f>($B$14*(I359*C359+IF(ABS((D359+0.1)-D359)&lt;0.000000001,4*$B$19*$B$20*(D359+273)^3,$B$19*$B$20*(((D359+0.1)+273)^4-(D359+273)^4)/((D359+0.1)-D359))*D359)+T359/H359)/($B$14*(I359+IF(ABS((D359+0.1)-D359)&lt;0.000000001,4*$B$19*$B$20*(D359+273)^3,$B$19*$B$20*(((D359+0.1)+273)^4-(D359+273)^4)/((D359+0.1)-D359)))+1/H359)</f>
        <v/>
      </c>
      <c r="W359">
        <f>($B$14*(I359*C359+IF(ABS(V359-D359)&lt;0.000000001,4*$B$19*$B$20*(D359+273)^3,$B$19*$B$20*((V359+273)^4-(D359+273)^4)/(V359-D359))*D359)+T359/H359)/($B$14*(I359+IF(ABS(V359-D359)&lt;0.000000001,4*$B$19*$B$20*(D359+273)^3,$B$19*$B$20*((V359+273)^4-(D359+273)^4)/(V359-D359)))+1/H359)</f>
        <v/>
      </c>
      <c r="X359">
        <f>($B$14*(I359*C359+IF(ABS(W359-D359)&lt;0.000000001,4*$B$19*$B$20*(D359+273)^3,$B$19*$B$20*((W359+273)^4-(D359+273)^4)/(W359-D359))*D359)+T359/H359)/($B$14*(I359+IF(ABS(W359-D359)&lt;0.000000001,4*$B$19*$B$20*(D359+273)^3,$B$19*$B$20*((W359+273)^4-(D359+273)^4)/(W359-D359)))+1/H359)</f>
        <v/>
      </c>
      <c r="Y359">
        <f>($B$14*(I359*C359+IF(ABS(X359-D359)&lt;0.000000001,4*$B$19*$B$20*(D359+273)^3,$B$19*$B$20*((X359+273)^4-(D359+273)^4)/(X359-D359))*D359)+T359/H359)/($B$14*(I359+IF(ABS(X359-D359)&lt;0.000000001,4*$B$19*$B$20*(D359+273)^3,$B$19*$B$20*((X359+273)^4-(D359+273)^4)/(X359-D359)))+1/H359)</f>
        <v/>
      </c>
      <c r="Z359">
        <f>IF(ABS(Y359-D359)&lt;0.000000001,4*$B$19*$B$20*(D359+273)^3,$B$19*$B$20*((Y359+273)^4-(D359+273)^4)/(Y359-D359))</f>
        <v/>
      </c>
      <c r="AA359">
        <f>$B$14*I359*(Y359-C359)</f>
        <v/>
      </c>
      <c r="AB359">
        <f>$B$14*Z359*(Y359-D359)</f>
        <v/>
      </c>
      <c r="AC359">
        <f>IF((U359-E359)/G359=0,0.001,(U359-E359)/G359)</f>
        <v/>
      </c>
      <c r="AD359">
        <f>F359-P359-J359-K359-AA359-AB359</f>
        <v/>
      </c>
      <c r="AE359">
        <f>AD359/AC359</f>
        <v/>
      </c>
      <c r="AF359">
        <f>IF(AD359&lt;=0,0,IF(AC359&lt;=0,$B$11,IF(AE359&gt;=1.7,$B$11,MIN(AD359/MAX(0.05,IF(AE359&gt;1,(2-AE359)^2/2,1-AE359^2/2)),$B$11))))</f>
        <v/>
      </c>
      <c r="AG359">
        <f>AG358*$B$28+AF359*(1-$B$28)</f>
        <v/>
      </c>
      <c r="AH359">
        <f>IF(AND(AD359&gt;0,AC359&lt;=0),0,AC359)</f>
        <v/>
      </c>
      <c r="AI359">
        <f>AH359/MAX(AG359,0.000001)</f>
        <v/>
      </c>
      <c r="AJ359">
        <f>MIN(IF(AI359&gt;=0.5,-AI359+SQRT(AI359^2+2),1),$B$12)</f>
        <v/>
      </c>
      <c r="AK359">
        <f>IF(AG359&lt;=0,0,AJ359*AH359)</f>
        <v/>
      </c>
      <c r="AL359">
        <f>IF(AD359&lt;=0,0,AD359)</f>
        <v/>
      </c>
      <c r="AM359">
        <f>AL359-AK359+P359</f>
        <v/>
      </c>
      <c r="AN359">
        <f>((AM359/$B$7+T358*AS358/2-T359*MAX(0.1,MIN(0.3,0.3-0.09*(AR358-36.8)))/2)+AR358*(1-AS358/2))/(1-MAX(0.1,MIN(0.3,0.3-0.09*(AR358-36.8)))/2)</f>
        <v/>
      </c>
      <c r="AO359">
        <f>((AM359/$B$7+T358*AS358/2-T359*MAX(0.1,MIN(0.3,0.3-0.09*(AN359-36.8)))/2)+AR358*(1-AS358/2))/(1-MAX(0.1,MIN(0.3,0.3-0.09*(AN359-36.8)))/2)</f>
        <v/>
      </c>
      <c r="AP359">
        <f>((AM359/$B$7+T358*AS358/2-T359*MAX(0.1,MIN(0.3,0.3-0.09*(AO359-36.8)))/2)+AR358*(1-AS358/2))/(1-MAX(0.1,MIN(0.3,0.3-0.09*(AO359-36.8)))/2)</f>
        <v/>
      </c>
      <c r="AQ359">
        <f>((AM359/$B$7+T358*AS358/2-T359*MAX(0.1,MIN(0.3,0.3-0.09*(AP359-36.8)))/2)+AR358*(1-AS358/2))/(1-MAX(0.1,MIN(0.3,0.3-0.09*(AP359-36.8)))/2)</f>
        <v/>
      </c>
      <c r="AR359">
        <f>((AM359/$B$7+T358*AS358/2-T359*MAX(0.1,MIN(0.3,0.3-0.09*(AQ359-36.8)))/2)+AR358*(1-AS358/2))/(1-MAX(0.1,MIN(0.3,0.3-0.09*(AQ359-36.8)))/2)</f>
        <v/>
      </c>
      <c r="AS359">
        <f>MAX(0.1,MIN(0.3,0.3-0.09*(AR359-36.8)))</f>
        <v/>
      </c>
      <c r="AT359">
        <f>AT358+(2*AR359-1.962*AT358-1.31)/9</f>
        <v/>
      </c>
      <c r="AU359">
        <f>AU358+AG359+K359</f>
        <v/>
      </c>
      <c r="AV359">
        <f>AU359*2.67*$B$6/1.8/60</f>
        <v/>
      </c>
      <c r="AW359">
        <f>IF(AT359&gt;=$B$36,1,0)</f>
        <v/>
      </c>
      <c r="AX359">
        <f>IF(AV359&gt;=$B$21,1,0)</f>
        <v/>
      </c>
    </row>
    <row r="360">
      <c r="A360" t="n">
        <v>287</v>
      </c>
      <c r="B360">
        <f>MATCH(A360-1,$D$61:$D$68,1)</f>
        <v/>
      </c>
      <c r="C360">
        <f>INDEX($G$61:$G$68,B360)</f>
        <v/>
      </c>
      <c r="D360">
        <f>INDEX($L$61:$L$68,B360)</f>
        <v/>
      </c>
      <c r="E360">
        <f>INDEX($M$61:$M$68,B360)</f>
        <v/>
      </c>
      <c r="F360">
        <f>INDEX($N$61:$N$68,B360)</f>
        <v/>
      </c>
      <c r="G360">
        <f>INDEX($AA$61:$AA$68,B360)</f>
        <v/>
      </c>
      <c r="H360">
        <f>INDEX($X$61:$X$68,B360)</f>
        <v/>
      </c>
      <c r="I360">
        <f>INDEX($AF$61:$AF$68,B360)</f>
        <v/>
      </c>
      <c r="J360">
        <f>INDEX($AC$61:$AC$68,B360)</f>
        <v/>
      </c>
      <c r="K360">
        <f>INDEX($AD$61:$AD$68,B360)</f>
        <v/>
      </c>
      <c r="L360">
        <f>INDEX($AG$61:$AG$68,B360)</f>
        <v/>
      </c>
      <c r="M360">
        <f>INDEX($AH$61:$AH$68,B360)</f>
        <v/>
      </c>
      <c r="N360">
        <f>INDEX($AI$61:$AI$68,B360)</f>
        <v/>
      </c>
      <c r="O360">
        <f>O359*$B$26+L360*(1-$B$26)</f>
        <v/>
      </c>
      <c r="P360">
        <f>$B$7*(O360-O359)*(1-AS359)</f>
        <v/>
      </c>
      <c r="Q360">
        <f>M360+0.51274*AT359</f>
        <v/>
      </c>
      <c r="R360">
        <f>N360+0.616*AT359</f>
        <v/>
      </c>
      <c r="S360">
        <f>IF($B$13&gt;=0.6,Q360,IF($B$13&lt;=0.2,R360,R360+2.5*(Q360-R360)*($B$13-0.2)))</f>
        <v/>
      </c>
      <c r="T360">
        <f>IF(A360=1,S360,T359*$B$27+S360*(1-$B$27))</f>
        <v/>
      </c>
      <c r="U360">
        <f>0.6105*EXP(17.27*T360/(T360+237.3))</f>
        <v/>
      </c>
      <c r="V360">
        <f>($B$14*(I360*C360+IF(ABS((D360+0.1)-D360)&lt;0.000000001,4*$B$19*$B$20*(D360+273)^3,$B$19*$B$20*(((D360+0.1)+273)^4-(D360+273)^4)/((D360+0.1)-D360))*D360)+T360/H360)/($B$14*(I360+IF(ABS((D360+0.1)-D360)&lt;0.000000001,4*$B$19*$B$20*(D360+273)^3,$B$19*$B$20*(((D360+0.1)+273)^4-(D360+273)^4)/((D360+0.1)-D360)))+1/H360)</f>
        <v/>
      </c>
      <c r="W360">
        <f>($B$14*(I360*C360+IF(ABS(V360-D360)&lt;0.000000001,4*$B$19*$B$20*(D360+273)^3,$B$19*$B$20*((V360+273)^4-(D360+273)^4)/(V360-D360))*D360)+T360/H360)/($B$14*(I360+IF(ABS(V360-D360)&lt;0.000000001,4*$B$19*$B$20*(D360+273)^3,$B$19*$B$20*((V360+273)^4-(D360+273)^4)/(V360-D360)))+1/H360)</f>
        <v/>
      </c>
      <c r="X360">
        <f>($B$14*(I360*C360+IF(ABS(W360-D360)&lt;0.000000001,4*$B$19*$B$20*(D360+273)^3,$B$19*$B$20*((W360+273)^4-(D360+273)^4)/(W360-D360))*D360)+T360/H360)/($B$14*(I360+IF(ABS(W360-D360)&lt;0.000000001,4*$B$19*$B$20*(D360+273)^3,$B$19*$B$20*((W360+273)^4-(D360+273)^4)/(W360-D360)))+1/H360)</f>
        <v/>
      </c>
      <c r="Y360">
        <f>($B$14*(I360*C360+IF(ABS(X360-D360)&lt;0.000000001,4*$B$19*$B$20*(D360+273)^3,$B$19*$B$20*((X360+273)^4-(D360+273)^4)/(X360-D360))*D360)+T360/H360)/($B$14*(I360+IF(ABS(X360-D360)&lt;0.000000001,4*$B$19*$B$20*(D360+273)^3,$B$19*$B$20*((X360+273)^4-(D360+273)^4)/(X360-D360)))+1/H360)</f>
        <v/>
      </c>
      <c r="Z360">
        <f>IF(ABS(Y360-D360)&lt;0.000000001,4*$B$19*$B$20*(D360+273)^3,$B$19*$B$20*((Y360+273)^4-(D360+273)^4)/(Y360-D360))</f>
        <v/>
      </c>
      <c r="AA360">
        <f>$B$14*I360*(Y360-C360)</f>
        <v/>
      </c>
      <c r="AB360">
        <f>$B$14*Z360*(Y360-D360)</f>
        <v/>
      </c>
      <c r="AC360">
        <f>IF((U360-E360)/G360=0,0.001,(U360-E360)/G360)</f>
        <v/>
      </c>
      <c r="AD360">
        <f>F360-P360-J360-K360-AA360-AB360</f>
        <v/>
      </c>
      <c r="AE360">
        <f>AD360/AC360</f>
        <v/>
      </c>
      <c r="AF360">
        <f>IF(AD360&lt;=0,0,IF(AC360&lt;=0,$B$11,IF(AE360&gt;=1.7,$B$11,MIN(AD360/MAX(0.05,IF(AE360&gt;1,(2-AE360)^2/2,1-AE360^2/2)),$B$11))))</f>
        <v/>
      </c>
      <c r="AG360">
        <f>AG359*$B$28+AF360*(1-$B$28)</f>
        <v/>
      </c>
      <c r="AH360">
        <f>IF(AND(AD360&gt;0,AC360&lt;=0),0,AC360)</f>
        <v/>
      </c>
      <c r="AI360">
        <f>AH360/MAX(AG360,0.000001)</f>
        <v/>
      </c>
      <c r="AJ360">
        <f>MIN(IF(AI360&gt;=0.5,-AI360+SQRT(AI360^2+2),1),$B$12)</f>
        <v/>
      </c>
      <c r="AK360">
        <f>IF(AG360&lt;=0,0,AJ360*AH360)</f>
        <v/>
      </c>
      <c r="AL360">
        <f>IF(AD360&lt;=0,0,AD360)</f>
        <v/>
      </c>
      <c r="AM360">
        <f>AL360-AK360+P360</f>
        <v/>
      </c>
      <c r="AN360">
        <f>((AM360/$B$7+T359*AS359/2-T360*MAX(0.1,MIN(0.3,0.3-0.09*(AR359-36.8)))/2)+AR359*(1-AS359/2))/(1-MAX(0.1,MIN(0.3,0.3-0.09*(AR359-36.8)))/2)</f>
        <v/>
      </c>
      <c r="AO360">
        <f>((AM360/$B$7+T359*AS359/2-T360*MAX(0.1,MIN(0.3,0.3-0.09*(AN360-36.8)))/2)+AR359*(1-AS359/2))/(1-MAX(0.1,MIN(0.3,0.3-0.09*(AN360-36.8)))/2)</f>
        <v/>
      </c>
      <c r="AP360">
        <f>((AM360/$B$7+T359*AS359/2-T360*MAX(0.1,MIN(0.3,0.3-0.09*(AO360-36.8)))/2)+AR359*(1-AS359/2))/(1-MAX(0.1,MIN(0.3,0.3-0.09*(AO360-36.8)))/2)</f>
        <v/>
      </c>
      <c r="AQ360">
        <f>((AM360/$B$7+T359*AS359/2-T360*MAX(0.1,MIN(0.3,0.3-0.09*(AP360-36.8)))/2)+AR359*(1-AS359/2))/(1-MAX(0.1,MIN(0.3,0.3-0.09*(AP360-36.8)))/2)</f>
        <v/>
      </c>
      <c r="AR360">
        <f>((AM360/$B$7+T359*AS359/2-T360*MAX(0.1,MIN(0.3,0.3-0.09*(AQ360-36.8)))/2)+AR359*(1-AS359/2))/(1-MAX(0.1,MIN(0.3,0.3-0.09*(AQ360-36.8)))/2)</f>
        <v/>
      </c>
      <c r="AS360">
        <f>MAX(0.1,MIN(0.3,0.3-0.09*(AR360-36.8)))</f>
        <v/>
      </c>
      <c r="AT360">
        <f>AT359+(2*AR360-1.962*AT359-1.31)/9</f>
        <v/>
      </c>
      <c r="AU360">
        <f>AU359+AG360+K360</f>
        <v/>
      </c>
      <c r="AV360">
        <f>AU360*2.67*$B$6/1.8/60</f>
        <v/>
      </c>
      <c r="AW360">
        <f>IF(AT360&gt;=$B$36,1,0)</f>
        <v/>
      </c>
      <c r="AX360">
        <f>IF(AV360&gt;=$B$21,1,0)</f>
        <v/>
      </c>
    </row>
    <row r="361">
      <c r="A361" t="n">
        <v>288</v>
      </c>
      <c r="B361">
        <f>MATCH(A361-1,$D$61:$D$68,1)</f>
        <v/>
      </c>
      <c r="C361">
        <f>INDEX($G$61:$G$68,B361)</f>
        <v/>
      </c>
      <c r="D361">
        <f>INDEX($L$61:$L$68,B361)</f>
        <v/>
      </c>
      <c r="E361">
        <f>INDEX($M$61:$M$68,B361)</f>
        <v/>
      </c>
      <c r="F361">
        <f>INDEX($N$61:$N$68,B361)</f>
        <v/>
      </c>
      <c r="G361">
        <f>INDEX($AA$61:$AA$68,B361)</f>
        <v/>
      </c>
      <c r="H361">
        <f>INDEX($X$61:$X$68,B361)</f>
        <v/>
      </c>
      <c r="I361">
        <f>INDEX($AF$61:$AF$68,B361)</f>
        <v/>
      </c>
      <c r="J361">
        <f>INDEX($AC$61:$AC$68,B361)</f>
        <v/>
      </c>
      <c r="K361">
        <f>INDEX($AD$61:$AD$68,B361)</f>
        <v/>
      </c>
      <c r="L361">
        <f>INDEX($AG$61:$AG$68,B361)</f>
        <v/>
      </c>
      <c r="M361">
        <f>INDEX($AH$61:$AH$68,B361)</f>
        <v/>
      </c>
      <c r="N361">
        <f>INDEX($AI$61:$AI$68,B361)</f>
        <v/>
      </c>
      <c r="O361">
        <f>O360*$B$26+L361*(1-$B$26)</f>
        <v/>
      </c>
      <c r="P361">
        <f>$B$7*(O361-O360)*(1-AS360)</f>
        <v/>
      </c>
      <c r="Q361">
        <f>M361+0.51274*AT360</f>
        <v/>
      </c>
      <c r="R361">
        <f>N361+0.616*AT360</f>
        <v/>
      </c>
      <c r="S361">
        <f>IF($B$13&gt;=0.6,Q361,IF($B$13&lt;=0.2,R361,R361+2.5*(Q361-R361)*($B$13-0.2)))</f>
        <v/>
      </c>
      <c r="T361">
        <f>IF(A361=1,S361,T360*$B$27+S361*(1-$B$27))</f>
        <v/>
      </c>
      <c r="U361">
        <f>0.6105*EXP(17.27*T361/(T361+237.3))</f>
        <v/>
      </c>
      <c r="V361">
        <f>($B$14*(I361*C361+IF(ABS((D361+0.1)-D361)&lt;0.000000001,4*$B$19*$B$20*(D361+273)^3,$B$19*$B$20*(((D361+0.1)+273)^4-(D361+273)^4)/((D361+0.1)-D361))*D361)+T361/H361)/($B$14*(I361+IF(ABS((D361+0.1)-D361)&lt;0.000000001,4*$B$19*$B$20*(D361+273)^3,$B$19*$B$20*(((D361+0.1)+273)^4-(D361+273)^4)/((D361+0.1)-D361)))+1/H361)</f>
        <v/>
      </c>
      <c r="W361">
        <f>($B$14*(I361*C361+IF(ABS(V361-D361)&lt;0.000000001,4*$B$19*$B$20*(D361+273)^3,$B$19*$B$20*((V361+273)^4-(D361+273)^4)/(V361-D361))*D361)+T361/H361)/($B$14*(I361+IF(ABS(V361-D361)&lt;0.000000001,4*$B$19*$B$20*(D361+273)^3,$B$19*$B$20*((V361+273)^4-(D361+273)^4)/(V361-D361)))+1/H361)</f>
        <v/>
      </c>
      <c r="X361">
        <f>($B$14*(I361*C361+IF(ABS(W361-D361)&lt;0.000000001,4*$B$19*$B$20*(D361+273)^3,$B$19*$B$20*((W361+273)^4-(D361+273)^4)/(W361-D361))*D361)+T361/H361)/($B$14*(I361+IF(ABS(W361-D361)&lt;0.000000001,4*$B$19*$B$20*(D361+273)^3,$B$19*$B$20*((W361+273)^4-(D361+273)^4)/(W361-D361)))+1/H361)</f>
        <v/>
      </c>
      <c r="Y361">
        <f>($B$14*(I361*C361+IF(ABS(X361-D361)&lt;0.000000001,4*$B$19*$B$20*(D361+273)^3,$B$19*$B$20*((X361+273)^4-(D361+273)^4)/(X361-D361))*D361)+T361/H361)/($B$14*(I361+IF(ABS(X361-D361)&lt;0.000000001,4*$B$19*$B$20*(D361+273)^3,$B$19*$B$20*((X361+273)^4-(D361+273)^4)/(X361-D361)))+1/H361)</f>
        <v/>
      </c>
      <c r="Z361">
        <f>IF(ABS(Y361-D361)&lt;0.000000001,4*$B$19*$B$20*(D361+273)^3,$B$19*$B$20*((Y361+273)^4-(D361+273)^4)/(Y361-D361))</f>
        <v/>
      </c>
      <c r="AA361">
        <f>$B$14*I361*(Y361-C361)</f>
        <v/>
      </c>
      <c r="AB361">
        <f>$B$14*Z361*(Y361-D361)</f>
        <v/>
      </c>
      <c r="AC361">
        <f>IF((U361-E361)/G361=0,0.001,(U361-E361)/G361)</f>
        <v/>
      </c>
      <c r="AD361">
        <f>F361-P361-J361-K361-AA361-AB361</f>
        <v/>
      </c>
      <c r="AE361">
        <f>AD361/AC361</f>
        <v/>
      </c>
      <c r="AF361">
        <f>IF(AD361&lt;=0,0,IF(AC361&lt;=0,$B$11,IF(AE361&gt;=1.7,$B$11,MIN(AD361/MAX(0.05,IF(AE361&gt;1,(2-AE361)^2/2,1-AE361^2/2)),$B$11))))</f>
        <v/>
      </c>
      <c r="AG361">
        <f>AG360*$B$28+AF361*(1-$B$28)</f>
        <v/>
      </c>
      <c r="AH361">
        <f>IF(AND(AD361&gt;0,AC361&lt;=0),0,AC361)</f>
        <v/>
      </c>
      <c r="AI361">
        <f>AH361/MAX(AG361,0.000001)</f>
        <v/>
      </c>
      <c r="AJ361">
        <f>MIN(IF(AI361&gt;=0.5,-AI361+SQRT(AI361^2+2),1),$B$12)</f>
        <v/>
      </c>
      <c r="AK361">
        <f>IF(AG361&lt;=0,0,AJ361*AH361)</f>
        <v/>
      </c>
      <c r="AL361">
        <f>IF(AD361&lt;=0,0,AD361)</f>
        <v/>
      </c>
      <c r="AM361">
        <f>AL361-AK361+P361</f>
        <v/>
      </c>
      <c r="AN361">
        <f>((AM361/$B$7+T360*AS360/2-T361*MAX(0.1,MIN(0.3,0.3-0.09*(AR360-36.8)))/2)+AR360*(1-AS360/2))/(1-MAX(0.1,MIN(0.3,0.3-0.09*(AR360-36.8)))/2)</f>
        <v/>
      </c>
      <c r="AO361">
        <f>((AM361/$B$7+T360*AS360/2-T361*MAX(0.1,MIN(0.3,0.3-0.09*(AN361-36.8)))/2)+AR360*(1-AS360/2))/(1-MAX(0.1,MIN(0.3,0.3-0.09*(AN361-36.8)))/2)</f>
        <v/>
      </c>
      <c r="AP361">
        <f>((AM361/$B$7+T360*AS360/2-T361*MAX(0.1,MIN(0.3,0.3-0.09*(AO361-36.8)))/2)+AR360*(1-AS360/2))/(1-MAX(0.1,MIN(0.3,0.3-0.09*(AO361-36.8)))/2)</f>
        <v/>
      </c>
      <c r="AQ361">
        <f>((AM361/$B$7+T360*AS360/2-T361*MAX(0.1,MIN(0.3,0.3-0.09*(AP361-36.8)))/2)+AR360*(1-AS360/2))/(1-MAX(0.1,MIN(0.3,0.3-0.09*(AP361-36.8)))/2)</f>
        <v/>
      </c>
      <c r="AR361">
        <f>((AM361/$B$7+T360*AS360/2-T361*MAX(0.1,MIN(0.3,0.3-0.09*(AQ361-36.8)))/2)+AR360*(1-AS360/2))/(1-MAX(0.1,MIN(0.3,0.3-0.09*(AQ361-36.8)))/2)</f>
        <v/>
      </c>
      <c r="AS361">
        <f>MAX(0.1,MIN(0.3,0.3-0.09*(AR361-36.8)))</f>
        <v/>
      </c>
      <c r="AT361">
        <f>AT360+(2*AR361-1.962*AT360-1.31)/9</f>
        <v/>
      </c>
      <c r="AU361">
        <f>AU360+AG361+K361</f>
        <v/>
      </c>
      <c r="AV361">
        <f>AU361*2.67*$B$6/1.8/60</f>
        <v/>
      </c>
      <c r="AW361">
        <f>IF(AT361&gt;=$B$36,1,0)</f>
        <v/>
      </c>
      <c r="AX361">
        <f>IF(AV361&gt;=$B$21,1,0)</f>
        <v/>
      </c>
    </row>
    <row r="362">
      <c r="A362" t="n">
        <v>289</v>
      </c>
      <c r="B362">
        <f>MATCH(A362-1,$D$61:$D$68,1)</f>
        <v/>
      </c>
      <c r="C362">
        <f>INDEX($G$61:$G$68,B362)</f>
        <v/>
      </c>
      <c r="D362">
        <f>INDEX($L$61:$L$68,B362)</f>
        <v/>
      </c>
      <c r="E362">
        <f>INDEX($M$61:$M$68,B362)</f>
        <v/>
      </c>
      <c r="F362">
        <f>INDEX($N$61:$N$68,B362)</f>
        <v/>
      </c>
      <c r="G362">
        <f>INDEX($AA$61:$AA$68,B362)</f>
        <v/>
      </c>
      <c r="H362">
        <f>INDEX($X$61:$X$68,B362)</f>
        <v/>
      </c>
      <c r="I362">
        <f>INDEX($AF$61:$AF$68,B362)</f>
        <v/>
      </c>
      <c r="J362">
        <f>INDEX($AC$61:$AC$68,B362)</f>
        <v/>
      </c>
      <c r="K362">
        <f>INDEX($AD$61:$AD$68,B362)</f>
        <v/>
      </c>
      <c r="L362">
        <f>INDEX($AG$61:$AG$68,B362)</f>
        <v/>
      </c>
      <c r="M362">
        <f>INDEX($AH$61:$AH$68,B362)</f>
        <v/>
      </c>
      <c r="N362">
        <f>INDEX($AI$61:$AI$68,B362)</f>
        <v/>
      </c>
      <c r="O362">
        <f>O361*$B$26+L362*(1-$B$26)</f>
        <v/>
      </c>
      <c r="P362">
        <f>$B$7*(O362-O361)*(1-AS361)</f>
        <v/>
      </c>
      <c r="Q362">
        <f>M362+0.51274*AT361</f>
        <v/>
      </c>
      <c r="R362">
        <f>N362+0.616*AT361</f>
        <v/>
      </c>
      <c r="S362">
        <f>IF($B$13&gt;=0.6,Q362,IF($B$13&lt;=0.2,R362,R362+2.5*(Q362-R362)*($B$13-0.2)))</f>
        <v/>
      </c>
      <c r="T362">
        <f>IF(A362=1,S362,T361*$B$27+S362*(1-$B$27))</f>
        <v/>
      </c>
      <c r="U362">
        <f>0.6105*EXP(17.27*T362/(T362+237.3))</f>
        <v/>
      </c>
      <c r="V362">
        <f>($B$14*(I362*C362+IF(ABS((D362+0.1)-D362)&lt;0.000000001,4*$B$19*$B$20*(D362+273)^3,$B$19*$B$20*(((D362+0.1)+273)^4-(D362+273)^4)/((D362+0.1)-D362))*D362)+T362/H362)/($B$14*(I362+IF(ABS((D362+0.1)-D362)&lt;0.000000001,4*$B$19*$B$20*(D362+273)^3,$B$19*$B$20*(((D362+0.1)+273)^4-(D362+273)^4)/((D362+0.1)-D362)))+1/H362)</f>
        <v/>
      </c>
      <c r="W362">
        <f>($B$14*(I362*C362+IF(ABS(V362-D362)&lt;0.000000001,4*$B$19*$B$20*(D362+273)^3,$B$19*$B$20*((V362+273)^4-(D362+273)^4)/(V362-D362))*D362)+T362/H362)/($B$14*(I362+IF(ABS(V362-D362)&lt;0.000000001,4*$B$19*$B$20*(D362+273)^3,$B$19*$B$20*((V362+273)^4-(D362+273)^4)/(V362-D362)))+1/H362)</f>
        <v/>
      </c>
      <c r="X362">
        <f>($B$14*(I362*C362+IF(ABS(W362-D362)&lt;0.000000001,4*$B$19*$B$20*(D362+273)^3,$B$19*$B$20*((W362+273)^4-(D362+273)^4)/(W362-D362))*D362)+T362/H362)/($B$14*(I362+IF(ABS(W362-D362)&lt;0.000000001,4*$B$19*$B$20*(D362+273)^3,$B$19*$B$20*((W362+273)^4-(D362+273)^4)/(W362-D362)))+1/H362)</f>
        <v/>
      </c>
      <c r="Y362">
        <f>($B$14*(I362*C362+IF(ABS(X362-D362)&lt;0.000000001,4*$B$19*$B$20*(D362+273)^3,$B$19*$B$20*((X362+273)^4-(D362+273)^4)/(X362-D362))*D362)+T362/H362)/($B$14*(I362+IF(ABS(X362-D362)&lt;0.000000001,4*$B$19*$B$20*(D362+273)^3,$B$19*$B$20*((X362+273)^4-(D362+273)^4)/(X362-D362)))+1/H362)</f>
        <v/>
      </c>
      <c r="Z362">
        <f>IF(ABS(Y362-D362)&lt;0.000000001,4*$B$19*$B$20*(D362+273)^3,$B$19*$B$20*((Y362+273)^4-(D362+273)^4)/(Y362-D362))</f>
        <v/>
      </c>
      <c r="AA362">
        <f>$B$14*I362*(Y362-C362)</f>
        <v/>
      </c>
      <c r="AB362">
        <f>$B$14*Z362*(Y362-D362)</f>
        <v/>
      </c>
      <c r="AC362">
        <f>IF((U362-E362)/G362=0,0.001,(U362-E362)/G362)</f>
        <v/>
      </c>
      <c r="AD362">
        <f>F362-P362-J362-K362-AA362-AB362</f>
        <v/>
      </c>
      <c r="AE362">
        <f>AD362/AC362</f>
        <v/>
      </c>
      <c r="AF362">
        <f>IF(AD362&lt;=0,0,IF(AC362&lt;=0,$B$11,IF(AE362&gt;=1.7,$B$11,MIN(AD362/MAX(0.05,IF(AE362&gt;1,(2-AE362)^2/2,1-AE362^2/2)),$B$11))))</f>
        <v/>
      </c>
      <c r="AG362">
        <f>AG361*$B$28+AF362*(1-$B$28)</f>
        <v/>
      </c>
      <c r="AH362">
        <f>IF(AND(AD362&gt;0,AC362&lt;=0),0,AC362)</f>
        <v/>
      </c>
      <c r="AI362">
        <f>AH362/MAX(AG362,0.000001)</f>
        <v/>
      </c>
      <c r="AJ362">
        <f>MIN(IF(AI362&gt;=0.5,-AI362+SQRT(AI362^2+2),1),$B$12)</f>
        <v/>
      </c>
      <c r="AK362">
        <f>IF(AG362&lt;=0,0,AJ362*AH362)</f>
        <v/>
      </c>
      <c r="AL362">
        <f>IF(AD362&lt;=0,0,AD362)</f>
        <v/>
      </c>
      <c r="AM362">
        <f>AL362-AK362+P362</f>
        <v/>
      </c>
      <c r="AN362">
        <f>((AM362/$B$7+T361*AS361/2-T362*MAX(0.1,MIN(0.3,0.3-0.09*(AR361-36.8)))/2)+AR361*(1-AS361/2))/(1-MAX(0.1,MIN(0.3,0.3-0.09*(AR361-36.8)))/2)</f>
        <v/>
      </c>
      <c r="AO362">
        <f>((AM362/$B$7+T361*AS361/2-T362*MAX(0.1,MIN(0.3,0.3-0.09*(AN362-36.8)))/2)+AR361*(1-AS361/2))/(1-MAX(0.1,MIN(0.3,0.3-0.09*(AN362-36.8)))/2)</f>
        <v/>
      </c>
      <c r="AP362">
        <f>((AM362/$B$7+T361*AS361/2-T362*MAX(0.1,MIN(0.3,0.3-0.09*(AO362-36.8)))/2)+AR361*(1-AS361/2))/(1-MAX(0.1,MIN(0.3,0.3-0.09*(AO362-36.8)))/2)</f>
        <v/>
      </c>
      <c r="AQ362">
        <f>((AM362/$B$7+T361*AS361/2-T362*MAX(0.1,MIN(0.3,0.3-0.09*(AP362-36.8)))/2)+AR361*(1-AS361/2))/(1-MAX(0.1,MIN(0.3,0.3-0.09*(AP362-36.8)))/2)</f>
        <v/>
      </c>
      <c r="AR362">
        <f>((AM362/$B$7+T361*AS361/2-T362*MAX(0.1,MIN(0.3,0.3-0.09*(AQ362-36.8)))/2)+AR361*(1-AS361/2))/(1-MAX(0.1,MIN(0.3,0.3-0.09*(AQ362-36.8)))/2)</f>
        <v/>
      </c>
      <c r="AS362">
        <f>MAX(0.1,MIN(0.3,0.3-0.09*(AR362-36.8)))</f>
        <v/>
      </c>
      <c r="AT362">
        <f>AT361+(2*AR362-1.962*AT361-1.31)/9</f>
        <v/>
      </c>
      <c r="AU362">
        <f>AU361+AG362+K362</f>
        <v/>
      </c>
      <c r="AV362">
        <f>AU362*2.67*$B$6/1.8/60</f>
        <v/>
      </c>
      <c r="AW362">
        <f>IF(AT362&gt;=$B$36,1,0)</f>
        <v/>
      </c>
      <c r="AX362">
        <f>IF(AV362&gt;=$B$21,1,0)</f>
        <v/>
      </c>
    </row>
    <row r="363">
      <c r="A363" t="n">
        <v>290</v>
      </c>
      <c r="B363">
        <f>MATCH(A363-1,$D$61:$D$68,1)</f>
        <v/>
      </c>
      <c r="C363">
        <f>INDEX($G$61:$G$68,B363)</f>
        <v/>
      </c>
      <c r="D363">
        <f>INDEX($L$61:$L$68,B363)</f>
        <v/>
      </c>
      <c r="E363">
        <f>INDEX($M$61:$M$68,B363)</f>
        <v/>
      </c>
      <c r="F363">
        <f>INDEX($N$61:$N$68,B363)</f>
        <v/>
      </c>
      <c r="G363">
        <f>INDEX($AA$61:$AA$68,B363)</f>
        <v/>
      </c>
      <c r="H363">
        <f>INDEX($X$61:$X$68,B363)</f>
        <v/>
      </c>
      <c r="I363">
        <f>INDEX($AF$61:$AF$68,B363)</f>
        <v/>
      </c>
      <c r="J363">
        <f>INDEX($AC$61:$AC$68,B363)</f>
        <v/>
      </c>
      <c r="K363">
        <f>INDEX($AD$61:$AD$68,B363)</f>
        <v/>
      </c>
      <c r="L363">
        <f>INDEX($AG$61:$AG$68,B363)</f>
        <v/>
      </c>
      <c r="M363">
        <f>INDEX($AH$61:$AH$68,B363)</f>
        <v/>
      </c>
      <c r="N363">
        <f>INDEX($AI$61:$AI$68,B363)</f>
        <v/>
      </c>
      <c r="O363">
        <f>O362*$B$26+L363*(1-$B$26)</f>
        <v/>
      </c>
      <c r="P363">
        <f>$B$7*(O363-O362)*(1-AS362)</f>
        <v/>
      </c>
      <c r="Q363">
        <f>M363+0.51274*AT362</f>
        <v/>
      </c>
      <c r="R363">
        <f>N363+0.616*AT362</f>
        <v/>
      </c>
      <c r="S363">
        <f>IF($B$13&gt;=0.6,Q363,IF($B$13&lt;=0.2,R363,R363+2.5*(Q363-R363)*($B$13-0.2)))</f>
        <v/>
      </c>
      <c r="T363">
        <f>IF(A363=1,S363,T362*$B$27+S363*(1-$B$27))</f>
        <v/>
      </c>
      <c r="U363">
        <f>0.6105*EXP(17.27*T363/(T363+237.3))</f>
        <v/>
      </c>
      <c r="V363">
        <f>($B$14*(I363*C363+IF(ABS((D363+0.1)-D363)&lt;0.000000001,4*$B$19*$B$20*(D363+273)^3,$B$19*$B$20*(((D363+0.1)+273)^4-(D363+273)^4)/((D363+0.1)-D363))*D363)+T363/H363)/($B$14*(I363+IF(ABS((D363+0.1)-D363)&lt;0.000000001,4*$B$19*$B$20*(D363+273)^3,$B$19*$B$20*(((D363+0.1)+273)^4-(D363+273)^4)/((D363+0.1)-D363)))+1/H363)</f>
        <v/>
      </c>
      <c r="W363">
        <f>($B$14*(I363*C363+IF(ABS(V363-D363)&lt;0.000000001,4*$B$19*$B$20*(D363+273)^3,$B$19*$B$20*((V363+273)^4-(D363+273)^4)/(V363-D363))*D363)+T363/H363)/($B$14*(I363+IF(ABS(V363-D363)&lt;0.000000001,4*$B$19*$B$20*(D363+273)^3,$B$19*$B$20*((V363+273)^4-(D363+273)^4)/(V363-D363)))+1/H363)</f>
        <v/>
      </c>
      <c r="X363">
        <f>($B$14*(I363*C363+IF(ABS(W363-D363)&lt;0.000000001,4*$B$19*$B$20*(D363+273)^3,$B$19*$B$20*((W363+273)^4-(D363+273)^4)/(W363-D363))*D363)+T363/H363)/($B$14*(I363+IF(ABS(W363-D363)&lt;0.000000001,4*$B$19*$B$20*(D363+273)^3,$B$19*$B$20*((W363+273)^4-(D363+273)^4)/(W363-D363)))+1/H363)</f>
        <v/>
      </c>
      <c r="Y363">
        <f>($B$14*(I363*C363+IF(ABS(X363-D363)&lt;0.000000001,4*$B$19*$B$20*(D363+273)^3,$B$19*$B$20*((X363+273)^4-(D363+273)^4)/(X363-D363))*D363)+T363/H363)/($B$14*(I363+IF(ABS(X363-D363)&lt;0.000000001,4*$B$19*$B$20*(D363+273)^3,$B$19*$B$20*((X363+273)^4-(D363+273)^4)/(X363-D363)))+1/H363)</f>
        <v/>
      </c>
      <c r="Z363">
        <f>IF(ABS(Y363-D363)&lt;0.000000001,4*$B$19*$B$20*(D363+273)^3,$B$19*$B$20*((Y363+273)^4-(D363+273)^4)/(Y363-D363))</f>
        <v/>
      </c>
      <c r="AA363">
        <f>$B$14*I363*(Y363-C363)</f>
        <v/>
      </c>
      <c r="AB363">
        <f>$B$14*Z363*(Y363-D363)</f>
        <v/>
      </c>
      <c r="AC363">
        <f>IF((U363-E363)/G363=0,0.001,(U363-E363)/G363)</f>
        <v/>
      </c>
      <c r="AD363">
        <f>F363-P363-J363-K363-AA363-AB363</f>
        <v/>
      </c>
      <c r="AE363">
        <f>AD363/AC363</f>
        <v/>
      </c>
      <c r="AF363">
        <f>IF(AD363&lt;=0,0,IF(AC363&lt;=0,$B$11,IF(AE363&gt;=1.7,$B$11,MIN(AD363/MAX(0.05,IF(AE363&gt;1,(2-AE363)^2/2,1-AE363^2/2)),$B$11))))</f>
        <v/>
      </c>
      <c r="AG363">
        <f>AG362*$B$28+AF363*(1-$B$28)</f>
        <v/>
      </c>
      <c r="AH363">
        <f>IF(AND(AD363&gt;0,AC363&lt;=0),0,AC363)</f>
        <v/>
      </c>
      <c r="AI363">
        <f>AH363/MAX(AG363,0.000001)</f>
        <v/>
      </c>
      <c r="AJ363">
        <f>MIN(IF(AI363&gt;=0.5,-AI363+SQRT(AI363^2+2),1),$B$12)</f>
        <v/>
      </c>
      <c r="AK363">
        <f>IF(AG363&lt;=0,0,AJ363*AH363)</f>
        <v/>
      </c>
      <c r="AL363">
        <f>IF(AD363&lt;=0,0,AD363)</f>
        <v/>
      </c>
      <c r="AM363">
        <f>AL363-AK363+P363</f>
        <v/>
      </c>
      <c r="AN363">
        <f>((AM363/$B$7+T362*AS362/2-T363*MAX(0.1,MIN(0.3,0.3-0.09*(AR362-36.8)))/2)+AR362*(1-AS362/2))/(1-MAX(0.1,MIN(0.3,0.3-0.09*(AR362-36.8)))/2)</f>
        <v/>
      </c>
      <c r="AO363">
        <f>((AM363/$B$7+T362*AS362/2-T363*MAX(0.1,MIN(0.3,0.3-0.09*(AN363-36.8)))/2)+AR362*(1-AS362/2))/(1-MAX(0.1,MIN(0.3,0.3-0.09*(AN363-36.8)))/2)</f>
        <v/>
      </c>
      <c r="AP363">
        <f>((AM363/$B$7+T362*AS362/2-T363*MAX(0.1,MIN(0.3,0.3-0.09*(AO363-36.8)))/2)+AR362*(1-AS362/2))/(1-MAX(0.1,MIN(0.3,0.3-0.09*(AO363-36.8)))/2)</f>
        <v/>
      </c>
      <c r="AQ363">
        <f>((AM363/$B$7+T362*AS362/2-T363*MAX(0.1,MIN(0.3,0.3-0.09*(AP363-36.8)))/2)+AR362*(1-AS362/2))/(1-MAX(0.1,MIN(0.3,0.3-0.09*(AP363-36.8)))/2)</f>
        <v/>
      </c>
      <c r="AR363">
        <f>((AM363/$B$7+T362*AS362/2-T363*MAX(0.1,MIN(0.3,0.3-0.09*(AQ363-36.8)))/2)+AR362*(1-AS362/2))/(1-MAX(0.1,MIN(0.3,0.3-0.09*(AQ363-36.8)))/2)</f>
        <v/>
      </c>
      <c r="AS363">
        <f>MAX(0.1,MIN(0.3,0.3-0.09*(AR363-36.8)))</f>
        <v/>
      </c>
      <c r="AT363">
        <f>AT362+(2*AR363-1.962*AT362-1.31)/9</f>
        <v/>
      </c>
      <c r="AU363">
        <f>AU362+AG363+K363</f>
        <v/>
      </c>
      <c r="AV363">
        <f>AU363*2.67*$B$6/1.8/60</f>
        <v/>
      </c>
      <c r="AW363">
        <f>IF(AT363&gt;=$B$36,1,0)</f>
        <v/>
      </c>
      <c r="AX363">
        <f>IF(AV363&gt;=$B$21,1,0)</f>
        <v/>
      </c>
    </row>
    <row r="364">
      <c r="A364" t="n">
        <v>291</v>
      </c>
      <c r="B364">
        <f>MATCH(A364-1,$D$61:$D$68,1)</f>
        <v/>
      </c>
      <c r="C364">
        <f>INDEX($G$61:$G$68,B364)</f>
        <v/>
      </c>
      <c r="D364">
        <f>INDEX($L$61:$L$68,B364)</f>
        <v/>
      </c>
      <c r="E364">
        <f>INDEX($M$61:$M$68,B364)</f>
        <v/>
      </c>
      <c r="F364">
        <f>INDEX($N$61:$N$68,B364)</f>
        <v/>
      </c>
      <c r="G364">
        <f>INDEX($AA$61:$AA$68,B364)</f>
        <v/>
      </c>
      <c r="H364">
        <f>INDEX($X$61:$X$68,B364)</f>
        <v/>
      </c>
      <c r="I364">
        <f>INDEX($AF$61:$AF$68,B364)</f>
        <v/>
      </c>
      <c r="J364">
        <f>INDEX($AC$61:$AC$68,B364)</f>
        <v/>
      </c>
      <c r="K364">
        <f>INDEX($AD$61:$AD$68,B364)</f>
        <v/>
      </c>
      <c r="L364">
        <f>INDEX($AG$61:$AG$68,B364)</f>
        <v/>
      </c>
      <c r="M364">
        <f>INDEX($AH$61:$AH$68,B364)</f>
        <v/>
      </c>
      <c r="N364">
        <f>INDEX($AI$61:$AI$68,B364)</f>
        <v/>
      </c>
      <c r="O364">
        <f>O363*$B$26+L364*(1-$B$26)</f>
        <v/>
      </c>
      <c r="P364">
        <f>$B$7*(O364-O363)*(1-AS363)</f>
        <v/>
      </c>
      <c r="Q364">
        <f>M364+0.51274*AT363</f>
        <v/>
      </c>
      <c r="R364">
        <f>N364+0.616*AT363</f>
        <v/>
      </c>
      <c r="S364">
        <f>IF($B$13&gt;=0.6,Q364,IF($B$13&lt;=0.2,R364,R364+2.5*(Q364-R364)*($B$13-0.2)))</f>
        <v/>
      </c>
      <c r="T364">
        <f>IF(A364=1,S364,T363*$B$27+S364*(1-$B$27))</f>
        <v/>
      </c>
      <c r="U364">
        <f>0.6105*EXP(17.27*T364/(T364+237.3))</f>
        <v/>
      </c>
      <c r="V364">
        <f>($B$14*(I364*C364+IF(ABS((D364+0.1)-D364)&lt;0.000000001,4*$B$19*$B$20*(D364+273)^3,$B$19*$B$20*(((D364+0.1)+273)^4-(D364+273)^4)/((D364+0.1)-D364))*D364)+T364/H364)/($B$14*(I364+IF(ABS((D364+0.1)-D364)&lt;0.000000001,4*$B$19*$B$20*(D364+273)^3,$B$19*$B$20*(((D364+0.1)+273)^4-(D364+273)^4)/((D364+0.1)-D364)))+1/H364)</f>
        <v/>
      </c>
      <c r="W364">
        <f>($B$14*(I364*C364+IF(ABS(V364-D364)&lt;0.000000001,4*$B$19*$B$20*(D364+273)^3,$B$19*$B$20*((V364+273)^4-(D364+273)^4)/(V364-D364))*D364)+T364/H364)/($B$14*(I364+IF(ABS(V364-D364)&lt;0.000000001,4*$B$19*$B$20*(D364+273)^3,$B$19*$B$20*((V364+273)^4-(D364+273)^4)/(V364-D364)))+1/H364)</f>
        <v/>
      </c>
      <c r="X364">
        <f>($B$14*(I364*C364+IF(ABS(W364-D364)&lt;0.000000001,4*$B$19*$B$20*(D364+273)^3,$B$19*$B$20*((W364+273)^4-(D364+273)^4)/(W364-D364))*D364)+T364/H364)/($B$14*(I364+IF(ABS(W364-D364)&lt;0.000000001,4*$B$19*$B$20*(D364+273)^3,$B$19*$B$20*((W364+273)^4-(D364+273)^4)/(W364-D364)))+1/H364)</f>
        <v/>
      </c>
      <c r="Y364">
        <f>($B$14*(I364*C364+IF(ABS(X364-D364)&lt;0.000000001,4*$B$19*$B$20*(D364+273)^3,$B$19*$B$20*((X364+273)^4-(D364+273)^4)/(X364-D364))*D364)+T364/H364)/($B$14*(I364+IF(ABS(X364-D364)&lt;0.000000001,4*$B$19*$B$20*(D364+273)^3,$B$19*$B$20*((X364+273)^4-(D364+273)^4)/(X364-D364)))+1/H364)</f>
        <v/>
      </c>
      <c r="Z364">
        <f>IF(ABS(Y364-D364)&lt;0.000000001,4*$B$19*$B$20*(D364+273)^3,$B$19*$B$20*((Y364+273)^4-(D364+273)^4)/(Y364-D364))</f>
        <v/>
      </c>
      <c r="AA364">
        <f>$B$14*I364*(Y364-C364)</f>
        <v/>
      </c>
      <c r="AB364">
        <f>$B$14*Z364*(Y364-D364)</f>
        <v/>
      </c>
      <c r="AC364">
        <f>IF((U364-E364)/G364=0,0.001,(U364-E364)/G364)</f>
        <v/>
      </c>
      <c r="AD364">
        <f>F364-P364-J364-K364-AA364-AB364</f>
        <v/>
      </c>
      <c r="AE364">
        <f>AD364/AC364</f>
        <v/>
      </c>
      <c r="AF364">
        <f>IF(AD364&lt;=0,0,IF(AC364&lt;=0,$B$11,IF(AE364&gt;=1.7,$B$11,MIN(AD364/MAX(0.05,IF(AE364&gt;1,(2-AE364)^2/2,1-AE364^2/2)),$B$11))))</f>
        <v/>
      </c>
      <c r="AG364">
        <f>AG363*$B$28+AF364*(1-$B$28)</f>
        <v/>
      </c>
      <c r="AH364">
        <f>IF(AND(AD364&gt;0,AC364&lt;=0),0,AC364)</f>
        <v/>
      </c>
      <c r="AI364">
        <f>AH364/MAX(AG364,0.000001)</f>
        <v/>
      </c>
      <c r="AJ364">
        <f>MIN(IF(AI364&gt;=0.5,-AI364+SQRT(AI364^2+2),1),$B$12)</f>
        <v/>
      </c>
      <c r="AK364">
        <f>IF(AG364&lt;=0,0,AJ364*AH364)</f>
        <v/>
      </c>
      <c r="AL364">
        <f>IF(AD364&lt;=0,0,AD364)</f>
        <v/>
      </c>
      <c r="AM364">
        <f>AL364-AK364+P364</f>
        <v/>
      </c>
      <c r="AN364">
        <f>((AM364/$B$7+T363*AS363/2-T364*MAX(0.1,MIN(0.3,0.3-0.09*(AR363-36.8)))/2)+AR363*(1-AS363/2))/(1-MAX(0.1,MIN(0.3,0.3-0.09*(AR363-36.8)))/2)</f>
        <v/>
      </c>
      <c r="AO364">
        <f>((AM364/$B$7+T363*AS363/2-T364*MAX(0.1,MIN(0.3,0.3-0.09*(AN364-36.8)))/2)+AR363*(1-AS363/2))/(1-MAX(0.1,MIN(0.3,0.3-0.09*(AN364-36.8)))/2)</f>
        <v/>
      </c>
      <c r="AP364">
        <f>((AM364/$B$7+T363*AS363/2-T364*MAX(0.1,MIN(0.3,0.3-0.09*(AO364-36.8)))/2)+AR363*(1-AS363/2))/(1-MAX(0.1,MIN(0.3,0.3-0.09*(AO364-36.8)))/2)</f>
        <v/>
      </c>
      <c r="AQ364">
        <f>((AM364/$B$7+T363*AS363/2-T364*MAX(0.1,MIN(0.3,0.3-0.09*(AP364-36.8)))/2)+AR363*(1-AS363/2))/(1-MAX(0.1,MIN(0.3,0.3-0.09*(AP364-36.8)))/2)</f>
        <v/>
      </c>
      <c r="AR364">
        <f>((AM364/$B$7+T363*AS363/2-T364*MAX(0.1,MIN(0.3,0.3-0.09*(AQ364-36.8)))/2)+AR363*(1-AS363/2))/(1-MAX(0.1,MIN(0.3,0.3-0.09*(AQ364-36.8)))/2)</f>
        <v/>
      </c>
      <c r="AS364">
        <f>MAX(0.1,MIN(0.3,0.3-0.09*(AR364-36.8)))</f>
        <v/>
      </c>
      <c r="AT364">
        <f>AT363+(2*AR364-1.962*AT363-1.31)/9</f>
        <v/>
      </c>
      <c r="AU364">
        <f>AU363+AG364+K364</f>
        <v/>
      </c>
      <c r="AV364">
        <f>AU364*2.67*$B$6/1.8/60</f>
        <v/>
      </c>
      <c r="AW364">
        <f>IF(AT364&gt;=$B$36,1,0)</f>
        <v/>
      </c>
      <c r="AX364">
        <f>IF(AV364&gt;=$B$21,1,0)</f>
        <v/>
      </c>
    </row>
    <row r="365">
      <c r="A365" t="n">
        <v>292</v>
      </c>
      <c r="B365">
        <f>MATCH(A365-1,$D$61:$D$68,1)</f>
        <v/>
      </c>
      <c r="C365">
        <f>INDEX($G$61:$G$68,B365)</f>
        <v/>
      </c>
      <c r="D365">
        <f>INDEX($L$61:$L$68,B365)</f>
        <v/>
      </c>
      <c r="E365">
        <f>INDEX($M$61:$M$68,B365)</f>
        <v/>
      </c>
      <c r="F365">
        <f>INDEX($N$61:$N$68,B365)</f>
        <v/>
      </c>
      <c r="G365">
        <f>INDEX($AA$61:$AA$68,B365)</f>
        <v/>
      </c>
      <c r="H365">
        <f>INDEX($X$61:$X$68,B365)</f>
        <v/>
      </c>
      <c r="I365">
        <f>INDEX($AF$61:$AF$68,B365)</f>
        <v/>
      </c>
      <c r="J365">
        <f>INDEX($AC$61:$AC$68,B365)</f>
        <v/>
      </c>
      <c r="K365">
        <f>INDEX($AD$61:$AD$68,B365)</f>
        <v/>
      </c>
      <c r="L365">
        <f>INDEX($AG$61:$AG$68,B365)</f>
        <v/>
      </c>
      <c r="M365">
        <f>INDEX($AH$61:$AH$68,B365)</f>
        <v/>
      </c>
      <c r="N365">
        <f>INDEX($AI$61:$AI$68,B365)</f>
        <v/>
      </c>
      <c r="O365">
        <f>O364*$B$26+L365*(1-$B$26)</f>
        <v/>
      </c>
      <c r="P365">
        <f>$B$7*(O365-O364)*(1-AS364)</f>
        <v/>
      </c>
      <c r="Q365">
        <f>M365+0.51274*AT364</f>
        <v/>
      </c>
      <c r="R365">
        <f>N365+0.616*AT364</f>
        <v/>
      </c>
      <c r="S365">
        <f>IF($B$13&gt;=0.6,Q365,IF($B$13&lt;=0.2,R365,R365+2.5*(Q365-R365)*($B$13-0.2)))</f>
        <v/>
      </c>
      <c r="T365">
        <f>IF(A365=1,S365,T364*$B$27+S365*(1-$B$27))</f>
        <v/>
      </c>
      <c r="U365">
        <f>0.6105*EXP(17.27*T365/(T365+237.3))</f>
        <v/>
      </c>
      <c r="V365">
        <f>($B$14*(I365*C365+IF(ABS((D365+0.1)-D365)&lt;0.000000001,4*$B$19*$B$20*(D365+273)^3,$B$19*$B$20*(((D365+0.1)+273)^4-(D365+273)^4)/((D365+0.1)-D365))*D365)+T365/H365)/($B$14*(I365+IF(ABS((D365+0.1)-D365)&lt;0.000000001,4*$B$19*$B$20*(D365+273)^3,$B$19*$B$20*(((D365+0.1)+273)^4-(D365+273)^4)/((D365+0.1)-D365)))+1/H365)</f>
        <v/>
      </c>
      <c r="W365">
        <f>($B$14*(I365*C365+IF(ABS(V365-D365)&lt;0.000000001,4*$B$19*$B$20*(D365+273)^3,$B$19*$B$20*((V365+273)^4-(D365+273)^4)/(V365-D365))*D365)+T365/H365)/($B$14*(I365+IF(ABS(V365-D365)&lt;0.000000001,4*$B$19*$B$20*(D365+273)^3,$B$19*$B$20*((V365+273)^4-(D365+273)^4)/(V365-D365)))+1/H365)</f>
        <v/>
      </c>
      <c r="X365">
        <f>($B$14*(I365*C365+IF(ABS(W365-D365)&lt;0.000000001,4*$B$19*$B$20*(D365+273)^3,$B$19*$B$20*((W365+273)^4-(D365+273)^4)/(W365-D365))*D365)+T365/H365)/($B$14*(I365+IF(ABS(W365-D365)&lt;0.000000001,4*$B$19*$B$20*(D365+273)^3,$B$19*$B$20*((W365+273)^4-(D365+273)^4)/(W365-D365)))+1/H365)</f>
        <v/>
      </c>
      <c r="Y365">
        <f>($B$14*(I365*C365+IF(ABS(X365-D365)&lt;0.000000001,4*$B$19*$B$20*(D365+273)^3,$B$19*$B$20*((X365+273)^4-(D365+273)^4)/(X365-D365))*D365)+T365/H365)/($B$14*(I365+IF(ABS(X365-D365)&lt;0.000000001,4*$B$19*$B$20*(D365+273)^3,$B$19*$B$20*((X365+273)^4-(D365+273)^4)/(X365-D365)))+1/H365)</f>
        <v/>
      </c>
      <c r="Z365">
        <f>IF(ABS(Y365-D365)&lt;0.000000001,4*$B$19*$B$20*(D365+273)^3,$B$19*$B$20*((Y365+273)^4-(D365+273)^4)/(Y365-D365))</f>
        <v/>
      </c>
      <c r="AA365">
        <f>$B$14*I365*(Y365-C365)</f>
        <v/>
      </c>
      <c r="AB365">
        <f>$B$14*Z365*(Y365-D365)</f>
        <v/>
      </c>
      <c r="AC365">
        <f>IF((U365-E365)/G365=0,0.001,(U365-E365)/G365)</f>
        <v/>
      </c>
      <c r="AD365">
        <f>F365-P365-J365-K365-AA365-AB365</f>
        <v/>
      </c>
      <c r="AE365">
        <f>AD365/AC365</f>
        <v/>
      </c>
      <c r="AF365">
        <f>IF(AD365&lt;=0,0,IF(AC365&lt;=0,$B$11,IF(AE365&gt;=1.7,$B$11,MIN(AD365/MAX(0.05,IF(AE365&gt;1,(2-AE365)^2/2,1-AE365^2/2)),$B$11))))</f>
        <v/>
      </c>
      <c r="AG365">
        <f>AG364*$B$28+AF365*(1-$B$28)</f>
        <v/>
      </c>
      <c r="AH365">
        <f>IF(AND(AD365&gt;0,AC365&lt;=0),0,AC365)</f>
        <v/>
      </c>
      <c r="AI365">
        <f>AH365/MAX(AG365,0.000001)</f>
        <v/>
      </c>
      <c r="AJ365">
        <f>MIN(IF(AI365&gt;=0.5,-AI365+SQRT(AI365^2+2),1),$B$12)</f>
        <v/>
      </c>
      <c r="AK365">
        <f>IF(AG365&lt;=0,0,AJ365*AH365)</f>
        <v/>
      </c>
      <c r="AL365">
        <f>IF(AD365&lt;=0,0,AD365)</f>
        <v/>
      </c>
      <c r="AM365">
        <f>AL365-AK365+P365</f>
        <v/>
      </c>
      <c r="AN365">
        <f>((AM365/$B$7+T364*AS364/2-T365*MAX(0.1,MIN(0.3,0.3-0.09*(AR364-36.8)))/2)+AR364*(1-AS364/2))/(1-MAX(0.1,MIN(0.3,0.3-0.09*(AR364-36.8)))/2)</f>
        <v/>
      </c>
      <c r="AO365">
        <f>((AM365/$B$7+T364*AS364/2-T365*MAX(0.1,MIN(0.3,0.3-0.09*(AN365-36.8)))/2)+AR364*(1-AS364/2))/(1-MAX(0.1,MIN(0.3,0.3-0.09*(AN365-36.8)))/2)</f>
        <v/>
      </c>
      <c r="AP365">
        <f>((AM365/$B$7+T364*AS364/2-T365*MAX(0.1,MIN(0.3,0.3-0.09*(AO365-36.8)))/2)+AR364*(1-AS364/2))/(1-MAX(0.1,MIN(0.3,0.3-0.09*(AO365-36.8)))/2)</f>
        <v/>
      </c>
      <c r="AQ365">
        <f>((AM365/$B$7+T364*AS364/2-T365*MAX(0.1,MIN(0.3,0.3-0.09*(AP365-36.8)))/2)+AR364*(1-AS364/2))/(1-MAX(0.1,MIN(0.3,0.3-0.09*(AP365-36.8)))/2)</f>
        <v/>
      </c>
      <c r="AR365">
        <f>((AM365/$B$7+T364*AS364/2-T365*MAX(0.1,MIN(0.3,0.3-0.09*(AQ365-36.8)))/2)+AR364*(1-AS364/2))/(1-MAX(0.1,MIN(0.3,0.3-0.09*(AQ365-36.8)))/2)</f>
        <v/>
      </c>
      <c r="AS365">
        <f>MAX(0.1,MIN(0.3,0.3-0.09*(AR365-36.8)))</f>
        <v/>
      </c>
      <c r="AT365">
        <f>AT364+(2*AR365-1.962*AT364-1.31)/9</f>
        <v/>
      </c>
      <c r="AU365">
        <f>AU364+AG365+K365</f>
        <v/>
      </c>
      <c r="AV365">
        <f>AU365*2.67*$B$6/1.8/60</f>
        <v/>
      </c>
      <c r="AW365">
        <f>IF(AT365&gt;=$B$36,1,0)</f>
        <v/>
      </c>
      <c r="AX365">
        <f>IF(AV365&gt;=$B$21,1,0)</f>
        <v/>
      </c>
    </row>
    <row r="366">
      <c r="A366" t="n">
        <v>293</v>
      </c>
      <c r="B366">
        <f>MATCH(A366-1,$D$61:$D$68,1)</f>
        <v/>
      </c>
      <c r="C366">
        <f>INDEX($G$61:$G$68,B366)</f>
        <v/>
      </c>
      <c r="D366">
        <f>INDEX($L$61:$L$68,B366)</f>
        <v/>
      </c>
      <c r="E366">
        <f>INDEX($M$61:$M$68,B366)</f>
        <v/>
      </c>
      <c r="F366">
        <f>INDEX($N$61:$N$68,B366)</f>
        <v/>
      </c>
      <c r="G366">
        <f>INDEX($AA$61:$AA$68,B366)</f>
        <v/>
      </c>
      <c r="H366">
        <f>INDEX($X$61:$X$68,B366)</f>
        <v/>
      </c>
      <c r="I366">
        <f>INDEX($AF$61:$AF$68,B366)</f>
        <v/>
      </c>
      <c r="J366">
        <f>INDEX($AC$61:$AC$68,B366)</f>
        <v/>
      </c>
      <c r="K366">
        <f>INDEX($AD$61:$AD$68,B366)</f>
        <v/>
      </c>
      <c r="L366">
        <f>INDEX($AG$61:$AG$68,B366)</f>
        <v/>
      </c>
      <c r="M366">
        <f>INDEX($AH$61:$AH$68,B366)</f>
        <v/>
      </c>
      <c r="N366">
        <f>INDEX($AI$61:$AI$68,B366)</f>
        <v/>
      </c>
      <c r="O366">
        <f>O365*$B$26+L366*(1-$B$26)</f>
        <v/>
      </c>
      <c r="P366">
        <f>$B$7*(O366-O365)*(1-AS365)</f>
        <v/>
      </c>
      <c r="Q366">
        <f>M366+0.51274*AT365</f>
        <v/>
      </c>
      <c r="R366">
        <f>N366+0.616*AT365</f>
        <v/>
      </c>
      <c r="S366">
        <f>IF($B$13&gt;=0.6,Q366,IF($B$13&lt;=0.2,R366,R366+2.5*(Q366-R366)*($B$13-0.2)))</f>
        <v/>
      </c>
      <c r="T366">
        <f>IF(A366=1,S366,T365*$B$27+S366*(1-$B$27))</f>
        <v/>
      </c>
      <c r="U366">
        <f>0.6105*EXP(17.27*T366/(T366+237.3))</f>
        <v/>
      </c>
      <c r="V366">
        <f>($B$14*(I366*C366+IF(ABS((D366+0.1)-D366)&lt;0.000000001,4*$B$19*$B$20*(D366+273)^3,$B$19*$B$20*(((D366+0.1)+273)^4-(D366+273)^4)/((D366+0.1)-D366))*D366)+T366/H366)/($B$14*(I366+IF(ABS((D366+0.1)-D366)&lt;0.000000001,4*$B$19*$B$20*(D366+273)^3,$B$19*$B$20*(((D366+0.1)+273)^4-(D366+273)^4)/((D366+0.1)-D366)))+1/H366)</f>
        <v/>
      </c>
      <c r="W366">
        <f>($B$14*(I366*C366+IF(ABS(V366-D366)&lt;0.000000001,4*$B$19*$B$20*(D366+273)^3,$B$19*$B$20*((V366+273)^4-(D366+273)^4)/(V366-D366))*D366)+T366/H366)/($B$14*(I366+IF(ABS(V366-D366)&lt;0.000000001,4*$B$19*$B$20*(D366+273)^3,$B$19*$B$20*((V366+273)^4-(D366+273)^4)/(V366-D366)))+1/H366)</f>
        <v/>
      </c>
      <c r="X366">
        <f>($B$14*(I366*C366+IF(ABS(W366-D366)&lt;0.000000001,4*$B$19*$B$20*(D366+273)^3,$B$19*$B$20*((W366+273)^4-(D366+273)^4)/(W366-D366))*D366)+T366/H366)/($B$14*(I366+IF(ABS(W366-D366)&lt;0.000000001,4*$B$19*$B$20*(D366+273)^3,$B$19*$B$20*((W366+273)^4-(D366+273)^4)/(W366-D366)))+1/H366)</f>
        <v/>
      </c>
      <c r="Y366">
        <f>($B$14*(I366*C366+IF(ABS(X366-D366)&lt;0.000000001,4*$B$19*$B$20*(D366+273)^3,$B$19*$B$20*((X366+273)^4-(D366+273)^4)/(X366-D366))*D366)+T366/H366)/($B$14*(I366+IF(ABS(X366-D366)&lt;0.000000001,4*$B$19*$B$20*(D366+273)^3,$B$19*$B$20*((X366+273)^4-(D366+273)^4)/(X366-D366)))+1/H366)</f>
        <v/>
      </c>
      <c r="Z366">
        <f>IF(ABS(Y366-D366)&lt;0.000000001,4*$B$19*$B$20*(D366+273)^3,$B$19*$B$20*((Y366+273)^4-(D366+273)^4)/(Y366-D366))</f>
        <v/>
      </c>
      <c r="AA366">
        <f>$B$14*I366*(Y366-C366)</f>
        <v/>
      </c>
      <c r="AB366">
        <f>$B$14*Z366*(Y366-D366)</f>
        <v/>
      </c>
      <c r="AC366">
        <f>IF((U366-E366)/G366=0,0.001,(U366-E366)/G366)</f>
        <v/>
      </c>
      <c r="AD366">
        <f>F366-P366-J366-K366-AA366-AB366</f>
        <v/>
      </c>
      <c r="AE366">
        <f>AD366/AC366</f>
        <v/>
      </c>
      <c r="AF366">
        <f>IF(AD366&lt;=0,0,IF(AC366&lt;=0,$B$11,IF(AE366&gt;=1.7,$B$11,MIN(AD366/MAX(0.05,IF(AE366&gt;1,(2-AE366)^2/2,1-AE366^2/2)),$B$11))))</f>
        <v/>
      </c>
      <c r="AG366">
        <f>AG365*$B$28+AF366*(1-$B$28)</f>
        <v/>
      </c>
      <c r="AH366">
        <f>IF(AND(AD366&gt;0,AC366&lt;=0),0,AC366)</f>
        <v/>
      </c>
      <c r="AI366">
        <f>AH366/MAX(AG366,0.000001)</f>
        <v/>
      </c>
      <c r="AJ366">
        <f>MIN(IF(AI366&gt;=0.5,-AI366+SQRT(AI366^2+2),1),$B$12)</f>
        <v/>
      </c>
      <c r="AK366">
        <f>IF(AG366&lt;=0,0,AJ366*AH366)</f>
        <v/>
      </c>
      <c r="AL366">
        <f>IF(AD366&lt;=0,0,AD366)</f>
        <v/>
      </c>
      <c r="AM366">
        <f>AL366-AK366+P366</f>
        <v/>
      </c>
      <c r="AN366">
        <f>((AM366/$B$7+T365*AS365/2-T366*MAX(0.1,MIN(0.3,0.3-0.09*(AR365-36.8)))/2)+AR365*(1-AS365/2))/(1-MAX(0.1,MIN(0.3,0.3-0.09*(AR365-36.8)))/2)</f>
        <v/>
      </c>
      <c r="AO366">
        <f>((AM366/$B$7+T365*AS365/2-T366*MAX(0.1,MIN(0.3,0.3-0.09*(AN366-36.8)))/2)+AR365*(1-AS365/2))/(1-MAX(0.1,MIN(0.3,0.3-0.09*(AN366-36.8)))/2)</f>
        <v/>
      </c>
      <c r="AP366">
        <f>((AM366/$B$7+T365*AS365/2-T366*MAX(0.1,MIN(0.3,0.3-0.09*(AO366-36.8)))/2)+AR365*(1-AS365/2))/(1-MAX(0.1,MIN(0.3,0.3-0.09*(AO366-36.8)))/2)</f>
        <v/>
      </c>
      <c r="AQ366">
        <f>((AM366/$B$7+T365*AS365/2-T366*MAX(0.1,MIN(0.3,0.3-0.09*(AP366-36.8)))/2)+AR365*(1-AS365/2))/(1-MAX(0.1,MIN(0.3,0.3-0.09*(AP366-36.8)))/2)</f>
        <v/>
      </c>
      <c r="AR366">
        <f>((AM366/$B$7+T365*AS365/2-T366*MAX(0.1,MIN(0.3,0.3-0.09*(AQ366-36.8)))/2)+AR365*(1-AS365/2))/(1-MAX(0.1,MIN(0.3,0.3-0.09*(AQ366-36.8)))/2)</f>
        <v/>
      </c>
      <c r="AS366">
        <f>MAX(0.1,MIN(0.3,0.3-0.09*(AR366-36.8)))</f>
        <v/>
      </c>
      <c r="AT366">
        <f>AT365+(2*AR366-1.962*AT365-1.31)/9</f>
        <v/>
      </c>
      <c r="AU366">
        <f>AU365+AG366+K366</f>
        <v/>
      </c>
      <c r="AV366">
        <f>AU366*2.67*$B$6/1.8/60</f>
        <v/>
      </c>
      <c r="AW366">
        <f>IF(AT366&gt;=$B$36,1,0)</f>
        <v/>
      </c>
      <c r="AX366">
        <f>IF(AV366&gt;=$B$21,1,0)</f>
        <v/>
      </c>
    </row>
    <row r="367">
      <c r="A367" t="n">
        <v>294</v>
      </c>
      <c r="B367">
        <f>MATCH(A367-1,$D$61:$D$68,1)</f>
        <v/>
      </c>
      <c r="C367">
        <f>INDEX($G$61:$G$68,B367)</f>
        <v/>
      </c>
      <c r="D367">
        <f>INDEX($L$61:$L$68,B367)</f>
        <v/>
      </c>
      <c r="E367">
        <f>INDEX($M$61:$M$68,B367)</f>
        <v/>
      </c>
      <c r="F367">
        <f>INDEX($N$61:$N$68,B367)</f>
        <v/>
      </c>
      <c r="G367">
        <f>INDEX($AA$61:$AA$68,B367)</f>
        <v/>
      </c>
      <c r="H367">
        <f>INDEX($X$61:$X$68,B367)</f>
        <v/>
      </c>
      <c r="I367">
        <f>INDEX($AF$61:$AF$68,B367)</f>
        <v/>
      </c>
      <c r="J367">
        <f>INDEX($AC$61:$AC$68,B367)</f>
        <v/>
      </c>
      <c r="K367">
        <f>INDEX($AD$61:$AD$68,B367)</f>
        <v/>
      </c>
      <c r="L367">
        <f>INDEX($AG$61:$AG$68,B367)</f>
        <v/>
      </c>
      <c r="M367">
        <f>INDEX($AH$61:$AH$68,B367)</f>
        <v/>
      </c>
      <c r="N367">
        <f>INDEX($AI$61:$AI$68,B367)</f>
        <v/>
      </c>
      <c r="O367">
        <f>O366*$B$26+L367*(1-$B$26)</f>
        <v/>
      </c>
      <c r="P367">
        <f>$B$7*(O367-O366)*(1-AS366)</f>
        <v/>
      </c>
      <c r="Q367">
        <f>M367+0.51274*AT366</f>
        <v/>
      </c>
      <c r="R367">
        <f>N367+0.616*AT366</f>
        <v/>
      </c>
      <c r="S367">
        <f>IF($B$13&gt;=0.6,Q367,IF($B$13&lt;=0.2,R367,R367+2.5*(Q367-R367)*($B$13-0.2)))</f>
        <v/>
      </c>
      <c r="T367">
        <f>IF(A367=1,S367,T366*$B$27+S367*(1-$B$27))</f>
        <v/>
      </c>
      <c r="U367">
        <f>0.6105*EXP(17.27*T367/(T367+237.3))</f>
        <v/>
      </c>
      <c r="V367">
        <f>($B$14*(I367*C367+IF(ABS((D367+0.1)-D367)&lt;0.000000001,4*$B$19*$B$20*(D367+273)^3,$B$19*$B$20*(((D367+0.1)+273)^4-(D367+273)^4)/((D367+0.1)-D367))*D367)+T367/H367)/($B$14*(I367+IF(ABS((D367+0.1)-D367)&lt;0.000000001,4*$B$19*$B$20*(D367+273)^3,$B$19*$B$20*(((D367+0.1)+273)^4-(D367+273)^4)/((D367+0.1)-D367)))+1/H367)</f>
        <v/>
      </c>
      <c r="W367">
        <f>($B$14*(I367*C367+IF(ABS(V367-D367)&lt;0.000000001,4*$B$19*$B$20*(D367+273)^3,$B$19*$B$20*((V367+273)^4-(D367+273)^4)/(V367-D367))*D367)+T367/H367)/($B$14*(I367+IF(ABS(V367-D367)&lt;0.000000001,4*$B$19*$B$20*(D367+273)^3,$B$19*$B$20*((V367+273)^4-(D367+273)^4)/(V367-D367)))+1/H367)</f>
        <v/>
      </c>
      <c r="X367">
        <f>($B$14*(I367*C367+IF(ABS(W367-D367)&lt;0.000000001,4*$B$19*$B$20*(D367+273)^3,$B$19*$B$20*((W367+273)^4-(D367+273)^4)/(W367-D367))*D367)+T367/H367)/($B$14*(I367+IF(ABS(W367-D367)&lt;0.000000001,4*$B$19*$B$20*(D367+273)^3,$B$19*$B$20*((W367+273)^4-(D367+273)^4)/(W367-D367)))+1/H367)</f>
        <v/>
      </c>
      <c r="Y367">
        <f>($B$14*(I367*C367+IF(ABS(X367-D367)&lt;0.000000001,4*$B$19*$B$20*(D367+273)^3,$B$19*$B$20*((X367+273)^4-(D367+273)^4)/(X367-D367))*D367)+T367/H367)/($B$14*(I367+IF(ABS(X367-D367)&lt;0.000000001,4*$B$19*$B$20*(D367+273)^3,$B$19*$B$20*((X367+273)^4-(D367+273)^4)/(X367-D367)))+1/H367)</f>
        <v/>
      </c>
      <c r="Z367">
        <f>IF(ABS(Y367-D367)&lt;0.000000001,4*$B$19*$B$20*(D367+273)^3,$B$19*$B$20*((Y367+273)^4-(D367+273)^4)/(Y367-D367))</f>
        <v/>
      </c>
      <c r="AA367">
        <f>$B$14*I367*(Y367-C367)</f>
        <v/>
      </c>
      <c r="AB367">
        <f>$B$14*Z367*(Y367-D367)</f>
        <v/>
      </c>
      <c r="AC367">
        <f>IF((U367-E367)/G367=0,0.001,(U367-E367)/G367)</f>
        <v/>
      </c>
      <c r="AD367">
        <f>F367-P367-J367-K367-AA367-AB367</f>
        <v/>
      </c>
      <c r="AE367">
        <f>AD367/AC367</f>
        <v/>
      </c>
      <c r="AF367">
        <f>IF(AD367&lt;=0,0,IF(AC367&lt;=0,$B$11,IF(AE367&gt;=1.7,$B$11,MIN(AD367/MAX(0.05,IF(AE367&gt;1,(2-AE367)^2/2,1-AE367^2/2)),$B$11))))</f>
        <v/>
      </c>
      <c r="AG367">
        <f>AG366*$B$28+AF367*(1-$B$28)</f>
        <v/>
      </c>
      <c r="AH367">
        <f>IF(AND(AD367&gt;0,AC367&lt;=0),0,AC367)</f>
        <v/>
      </c>
      <c r="AI367">
        <f>AH367/MAX(AG367,0.000001)</f>
        <v/>
      </c>
      <c r="AJ367">
        <f>MIN(IF(AI367&gt;=0.5,-AI367+SQRT(AI367^2+2),1),$B$12)</f>
        <v/>
      </c>
      <c r="AK367">
        <f>IF(AG367&lt;=0,0,AJ367*AH367)</f>
        <v/>
      </c>
      <c r="AL367">
        <f>IF(AD367&lt;=0,0,AD367)</f>
        <v/>
      </c>
      <c r="AM367">
        <f>AL367-AK367+P367</f>
        <v/>
      </c>
      <c r="AN367">
        <f>((AM367/$B$7+T366*AS366/2-T367*MAX(0.1,MIN(0.3,0.3-0.09*(AR366-36.8)))/2)+AR366*(1-AS366/2))/(1-MAX(0.1,MIN(0.3,0.3-0.09*(AR366-36.8)))/2)</f>
        <v/>
      </c>
      <c r="AO367">
        <f>((AM367/$B$7+T366*AS366/2-T367*MAX(0.1,MIN(0.3,0.3-0.09*(AN367-36.8)))/2)+AR366*(1-AS366/2))/(1-MAX(0.1,MIN(0.3,0.3-0.09*(AN367-36.8)))/2)</f>
        <v/>
      </c>
      <c r="AP367">
        <f>((AM367/$B$7+T366*AS366/2-T367*MAX(0.1,MIN(0.3,0.3-0.09*(AO367-36.8)))/2)+AR366*(1-AS366/2))/(1-MAX(0.1,MIN(0.3,0.3-0.09*(AO367-36.8)))/2)</f>
        <v/>
      </c>
      <c r="AQ367">
        <f>((AM367/$B$7+T366*AS366/2-T367*MAX(0.1,MIN(0.3,0.3-0.09*(AP367-36.8)))/2)+AR366*(1-AS366/2))/(1-MAX(0.1,MIN(0.3,0.3-0.09*(AP367-36.8)))/2)</f>
        <v/>
      </c>
      <c r="AR367">
        <f>((AM367/$B$7+T366*AS366/2-T367*MAX(0.1,MIN(0.3,0.3-0.09*(AQ367-36.8)))/2)+AR366*(1-AS366/2))/(1-MAX(0.1,MIN(0.3,0.3-0.09*(AQ367-36.8)))/2)</f>
        <v/>
      </c>
      <c r="AS367">
        <f>MAX(0.1,MIN(0.3,0.3-0.09*(AR367-36.8)))</f>
        <v/>
      </c>
      <c r="AT367">
        <f>AT366+(2*AR367-1.962*AT366-1.31)/9</f>
        <v/>
      </c>
      <c r="AU367">
        <f>AU366+AG367+K367</f>
        <v/>
      </c>
      <c r="AV367">
        <f>AU367*2.67*$B$6/1.8/60</f>
        <v/>
      </c>
      <c r="AW367">
        <f>IF(AT367&gt;=$B$36,1,0)</f>
        <v/>
      </c>
      <c r="AX367">
        <f>IF(AV367&gt;=$B$21,1,0)</f>
        <v/>
      </c>
    </row>
    <row r="368">
      <c r="A368" t="n">
        <v>295</v>
      </c>
      <c r="B368">
        <f>MATCH(A368-1,$D$61:$D$68,1)</f>
        <v/>
      </c>
      <c r="C368">
        <f>INDEX($G$61:$G$68,B368)</f>
        <v/>
      </c>
      <c r="D368">
        <f>INDEX($L$61:$L$68,B368)</f>
        <v/>
      </c>
      <c r="E368">
        <f>INDEX($M$61:$M$68,B368)</f>
        <v/>
      </c>
      <c r="F368">
        <f>INDEX($N$61:$N$68,B368)</f>
        <v/>
      </c>
      <c r="G368">
        <f>INDEX($AA$61:$AA$68,B368)</f>
        <v/>
      </c>
      <c r="H368">
        <f>INDEX($X$61:$X$68,B368)</f>
        <v/>
      </c>
      <c r="I368">
        <f>INDEX($AF$61:$AF$68,B368)</f>
        <v/>
      </c>
      <c r="J368">
        <f>INDEX($AC$61:$AC$68,B368)</f>
        <v/>
      </c>
      <c r="K368">
        <f>INDEX($AD$61:$AD$68,B368)</f>
        <v/>
      </c>
      <c r="L368">
        <f>INDEX($AG$61:$AG$68,B368)</f>
        <v/>
      </c>
      <c r="M368">
        <f>INDEX($AH$61:$AH$68,B368)</f>
        <v/>
      </c>
      <c r="N368">
        <f>INDEX($AI$61:$AI$68,B368)</f>
        <v/>
      </c>
      <c r="O368">
        <f>O367*$B$26+L368*(1-$B$26)</f>
        <v/>
      </c>
      <c r="P368">
        <f>$B$7*(O368-O367)*(1-AS367)</f>
        <v/>
      </c>
      <c r="Q368">
        <f>M368+0.51274*AT367</f>
        <v/>
      </c>
      <c r="R368">
        <f>N368+0.616*AT367</f>
        <v/>
      </c>
      <c r="S368">
        <f>IF($B$13&gt;=0.6,Q368,IF($B$13&lt;=0.2,R368,R368+2.5*(Q368-R368)*($B$13-0.2)))</f>
        <v/>
      </c>
      <c r="T368">
        <f>IF(A368=1,S368,T367*$B$27+S368*(1-$B$27))</f>
        <v/>
      </c>
      <c r="U368">
        <f>0.6105*EXP(17.27*T368/(T368+237.3))</f>
        <v/>
      </c>
      <c r="V368">
        <f>($B$14*(I368*C368+IF(ABS((D368+0.1)-D368)&lt;0.000000001,4*$B$19*$B$20*(D368+273)^3,$B$19*$B$20*(((D368+0.1)+273)^4-(D368+273)^4)/((D368+0.1)-D368))*D368)+T368/H368)/($B$14*(I368+IF(ABS((D368+0.1)-D368)&lt;0.000000001,4*$B$19*$B$20*(D368+273)^3,$B$19*$B$20*(((D368+0.1)+273)^4-(D368+273)^4)/((D368+0.1)-D368)))+1/H368)</f>
        <v/>
      </c>
      <c r="W368">
        <f>($B$14*(I368*C368+IF(ABS(V368-D368)&lt;0.000000001,4*$B$19*$B$20*(D368+273)^3,$B$19*$B$20*((V368+273)^4-(D368+273)^4)/(V368-D368))*D368)+T368/H368)/($B$14*(I368+IF(ABS(V368-D368)&lt;0.000000001,4*$B$19*$B$20*(D368+273)^3,$B$19*$B$20*((V368+273)^4-(D368+273)^4)/(V368-D368)))+1/H368)</f>
        <v/>
      </c>
      <c r="X368">
        <f>($B$14*(I368*C368+IF(ABS(W368-D368)&lt;0.000000001,4*$B$19*$B$20*(D368+273)^3,$B$19*$B$20*((W368+273)^4-(D368+273)^4)/(W368-D368))*D368)+T368/H368)/($B$14*(I368+IF(ABS(W368-D368)&lt;0.000000001,4*$B$19*$B$20*(D368+273)^3,$B$19*$B$20*((W368+273)^4-(D368+273)^4)/(W368-D368)))+1/H368)</f>
        <v/>
      </c>
      <c r="Y368">
        <f>($B$14*(I368*C368+IF(ABS(X368-D368)&lt;0.000000001,4*$B$19*$B$20*(D368+273)^3,$B$19*$B$20*((X368+273)^4-(D368+273)^4)/(X368-D368))*D368)+T368/H368)/($B$14*(I368+IF(ABS(X368-D368)&lt;0.000000001,4*$B$19*$B$20*(D368+273)^3,$B$19*$B$20*((X368+273)^4-(D368+273)^4)/(X368-D368)))+1/H368)</f>
        <v/>
      </c>
      <c r="Z368">
        <f>IF(ABS(Y368-D368)&lt;0.000000001,4*$B$19*$B$20*(D368+273)^3,$B$19*$B$20*((Y368+273)^4-(D368+273)^4)/(Y368-D368))</f>
        <v/>
      </c>
      <c r="AA368">
        <f>$B$14*I368*(Y368-C368)</f>
        <v/>
      </c>
      <c r="AB368">
        <f>$B$14*Z368*(Y368-D368)</f>
        <v/>
      </c>
      <c r="AC368">
        <f>IF((U368-E368)/G368=0,0.001,(U368-E368)/G368)</f>
        <v/>
      </c>
      <c r="AD368">
        <f>F368-P368-J368-K368-AA368-AB368</f>
        <v/>
      </c>
      <c r="AE368">
        <f>AD368/AC368</f>
        <v/>
      </c>
      <c r="AF368">
        <f>IF(AD368&lt;=0,0,IF(AC368&lt;=0,$B$11,IF(AE368&gt;=1.7,$B$11,MIN(AD368/MAX(0.05,IF(AE368&gt;1,(2-AE368)^2/2,1-AE368^2/2)),$B$11))))</f>
        <v/>
      </c>
      <c r="AG368">
        <f>AG367*$B$28+AF368*(1-$B$28)</f>
        <v/>
      </c>
      <c r="AH368">
        <f>IF(AND(AD368&gt;0,AC368&lt;=0),0,AC368)</f>
        <v/>
      </c>
      <c r="AI368">
        <f>AH368/MAX(AG368,0.000001)</f>
        <v/>
      </c>
      <c r="AJ368">
        <f>MIN(IF(AI368&gt;=0.5,-AI368+SQRT(AI368^2+2),1),$B$12)</f>
        <v/>
      </c>
      <c r="AK368">
        <f>IF(AG368&lt;=0,0,AJ368*AH368)</f>
        <v/>
      </c>
      <c r="AL368">
        <f>IF(AD368&lt;=0,0,AD368)</f>
        <v/>
      </c>
      <c r="AM368">
        <f>AL368-AK368+P368</f>
        <v/>
      </c>
      <c r="AN368">
        <f>((AM368/$B$7+T367*AS367/2-T368*MAX(0.1,MIN(0.3,0.3-0.09*(AR367-36.8)))/2)+AR367*(1-AS367/2))/(1-MAX(0.1,MIN(0.3,0.3-0.09*(AR367-36.8)))/2)</f>
        <v/>
      </c>
      <c r="AO368">
        <f>((AM368/$B$7+T367*AS367/2-T368*MAX(0.1,MIN(0.3,0.3-0.09*(AN368-36.8)))/2)+AR367*(1-AS367/2))/(1-MAX(0.1,MIN(0.3,0.3-0.09*(AN368-36.8)))/2)</f>
        <v/>
      </c>
      <c r="AP368">
        <f>((AM368/$B$7+T367*AS367/2-T368*MAX(0.1,MIN(0.3,0.3-0.09*(AO368-36.8)))/2)+AR367*(1-AS367/2))/(1-MAX(0.1,MIN(0.3,0.3-0.09*(AO368-36.8)))/2)</f>
        <v/>
      </c>
      <c r="AQ368">
        <f>((AM368/$B$7+T367*AS367/2-T368*MAX(0.1,MIN(0.3,0.3-0.09*(AP368-36.8)))/2)+AR367*(1-AS367/2))/(1-MAX(0.1,MIN(0.3,0.3-0.09*(AP368-36.8)))/2)</f>
        <v/>
      </c>
      <c r="AR368">
        <f>((AM368/$B$7+T367*AS367/2-T368*MAX(0.1,MIN(0.3,0.3-0.09*(AQ368-36.8)))/2)+AR367*(1-AS367/2))/(1-MAX(0.1,MIN(0.3,0.3-0.09*(AQ368-36.8)))/2)</f>
        <v/>
      </c>
      <c r="AS368">
        <f>MAX(0.1,MIN(0.3,0.3-0.09*(AR368-36.8)))</f>
        <v/>
      </c>
      <c r="AT368">
        <f>AT367+(2*AR368-1.962*AT367-1.31)/9</f>
        <v/>
      </c>
      <c r="AU368">
        <f>AU367+AG368+K368</f>
        <v/>
      </c>
      <c r="AV368">
        <f>AU368*2.67*$B$6/1.8/60</f>
        <v/>
      </c>
      <c r="AW368">
        <f>IF(AT368&gt;=$B$36,1,0)</f>
        <v/>
      </c>
      <c r="AX368">
        <f>IF(AV368&gt;=$B$21,1,0)</f>
        <v/>
      </c>
    </row>
    <row r="369">
      <c r="A369" t="n">
        <v>296</v>
      </c>
      <c r="B369">
        <f>MATCH(A369-1,$D$61:$D$68,1)</f>
        <v/>
      </c>
      <c r="C369">
        <f>INDEX($G$61:$G$68,B369)</f>
        <v/>
      </c>
      <c r="D369">
        <f>INDEX($L$61:$L$68,B369)</f>
        <v/>
      </c>
      <c r="E369">
        <f>INDEX($M$61:$M$68,B369)</f>
        <v/>
      </c>
      <c r="F369">
        <f>INDEX($N$61:$N$68,B369)</f>
        <v/>
      </c>
      <c r="G369">
        <f>INDEX($AA$61:$AA$68,B369)</f>
        <v/>
      </c>
      <c r="H369">
        <f>INDEX($X$61:$X$68,B369)</f>
        <v/>
      </c>
      <c r="I369">
        <f>INDEX($AF$61:$AF$68,B369)</f>
        <v/>
      </c>
      <c r="J369">
        <f>INDEX($AC$61:$AC$68,B369)</f>
        <v/>
      </c>
      <c r="K369">
        <f>INDEX($AD$61:$AD$68,B369)</f>
        <v/>
      </c>
      <c r="L369">
        <f>INDEX($AG$61:$AG$68,B369)</f>
        <v/>
      </c>
      <c r="M369">
        <f>INDEX($AH$61:$AH$68,B369)</f>
        <v/>
      </c>
      <c r="N369">
        <f>INDEX($AI$61:$AI$68,B369)</f>
        <v/>
      </c>
      <c r="O369">
        <f>O368*$B$26+L369*(1-$B$26)</f>
        <v/>
      </c>
      <c r="P369">
        <f>$B$7*(O369-O368)*(1-AS368)</f>
        <v/>
      </c>
      <c r="Q369">
        <f>M369+0.51274*AT368</f>
        <v/>
      </c>
      <c r="R369">
        <f>N369+0.616*AT368</f>
        <v/>
      </c>
      <c r="S369">
        <f>IF($B$13&gt;=0.6,Q369,IF($B$13&lt;=0.2,R369,R369+2.5*(Q369-R369)*($B$13-0.2)))</f>
        <v/>
      </c>
      <c r="T369">
        <f>IF(A369=1,S369,T368*$B$27+S369*(1-$B$27))</f>
        <v/>
      </c>
      <c r="U369">
        <f>0.6105*EXP(17.27*T369/(T369+237.3))</f>
        <v/>
      </c>
      <c r="V369">
        <f>($B$14*(I369*C369+IF(ABS((D369+0.1)-D369)&lt;0.000000001,4*$B$19*$B$20*(D369+273)^3,$B$19*$B$20*(((D369+0.1)+273)^4-(D369+273)^4)/((D369+0.1)-D369))*D369)+T369/H369)/($B$14*(I369+IF(ABS((D369+0.1)-D369)&lt;0.000000001,4*$B$19*$B$20*(D369+273)^3,$B$19*$B$20*(((D369+0.1)+273)^4-(D369+273)^4)/((D369+0.1)-D369)))+1/H369)</f>
        <v/>
      </c>
      <c r="W369">
        <f>($B$14*(I369*C369+IF(ABS(V369-D369)&lt;0.000000001,4*$B$19*$B$20*(D369+273)^3,$B$19*$B$20*((V369+273)^4-(D369+273)^4)/(V369-D369))*D369)+T369/H369)/($B$14*(I369+IF(ABS(V369-D369)&lt;0.000000001,4*$B$19*$B$20*(D369+273)^3,$B$19*$B$20*((V369+273)^4-(D369+273)^4)/(V369-D369)))+1/H369)</f>
        <v/>
      </c>
      <c r="X369">
        <f>($B$14*(I369*C369+IF(ABS(W369-D369)&lt;0.000000001,4*$B$19*$B$20*(D369+273)^3,$B$19*$B$20*((W369+273)^4-(D369+273)^4)/(W369-D369))*D369)+T369/H369)/($B$14*(I369+IF(ABS(W369-D369)&lt;0.000000001,4*$B$19*$B$20*(D369+273)^3,$B$19*$B$20*((W369+273)^4-(D369+273)^4)/(W369-D369)))+1/H369)</f>
        <v/>
      </c>
      <c r="Y369">
        <f>($B$14*(I369*C369+IF(ABS(X369-D369)&lt;0.000000001,4*$B$19*$B$20*(D369+273)^3,$B$19*$B$20*((X369+273)^4-(D369+273)^4)/(X369-D369))*D369)+T369/H369)/($B$14*(I369+IF(ABS(X369-D369)&lt;0.000000001,4*$B$19*$B$20*(D369+273)^3,$B$19*$B$20*((X369+273)^4-(D369+273)^4)/(X369-D369)))+1/H369)</f>
        <v/>
      </c>
      <c r="Z369">
        <f>IF(ABS(Y369-D369)&lt;0.000000001,4*$B$19*$B$20*(D369+273)^3,$B$19*$B$20*((Y369+273)^4-(D369+273)^4)/(Y369-D369))</f>
        <v/>
      </c>
      <c r="AA369">
        <f>$B$14*I369*(Y369-C369)</f>
        <v/>
      </c>
      <c r="AB369">
        <f>$B$14*Z369*(Y369-D369)</f>
        <v/>
      </c>
      <c r="AC369">
        <f>IF((U369-E369)/G369=0,0.001,(U369-E369)/G369)</f>
        <v/>
      </c>
      <c r="AD369">
        <f>F369-P369-J369-K369-AA369-AB369</f>
        <v/>
      </c>
      <c r="AE369">
        <f>AD369/AC369</f>
        <v/>
      </c>
      <c r="AF369">
        <f>IF(AD369&lt;=0,0,IF(AC369&lt;=0,$B$11,IF(AE369&gt;=1.7,$B$11,MIN(AD369/MAX(0.05,IF(AE369&gt;1,(2-AE369)^2/2,1-AE369^2/2)),$B$11))))</f>
        <v/>
      </c>
      <c r="AG369">
        <f>AG368*$B$28+AF369*(1-$B$28)</f>
        <v/>
      </c>
      <c r="AH369">
        <f>IF(AND(AD369&gt;0,AC369&lt;=0),0,AC369)</f>
        <v/>
      </c>
      <c r="AI369">
        <f>AH369/MAX(AG369,0.000001)</f>
        <v/>
      </c>
      <c r="AJ369">
        <f>MIN(IF(AI369&gt;=0.5,-AI369+SQRT(AI369^2+2),1),$B$12)</f>
        <v/>
      </c>
      <c r="AK369">
        <f>IF(AG369&lt;=0,0,AJ369*AH369)</f>
        <v/>
      </c>
      <c r="AL369">
        <f>IF(AD369&lt;=0,0,AD369)</f>
        <v/>
      </c>
      <c r="AM369">
        <f>AL369-AK369+P369</f>
        <v/>
      </c>
      <c r="AN369">
        <f>((AM369/$B$7+T368*AS368/2-T369*MAX(0.1,MIN(0.3,0.3-0.09*(AR368-36.8)))/2)+AR368*(1-AS368/2))/(1-MAX(0.1,MIN(0.3,0.3-0.09*(AR368-36.8)))/2)</f>
        <v/>
      </c>
      <c r="AO369">
        <f>((AM369/$B$7+T368*AS368/2-T369*MAX(0.1,MIN(0.3,0.3-0.09*(AN369-36.8)))/2)+AR368*(1-AS368/2))/(1-MAX(0.1,MIN(0.3,0.3-0.09*(AN369-36.8)))/2)</f>
        <v/>
      </c>
      <c r="AP369">
        <f>((AM369/$B$7+T368*AS368/2-T369*MAX(0.1,MIN(0.3,0.3-0.09*(AO369-36.8)))/2)+AR368*(1-AS368/2))/(1-MAX(0.1,MIN(0.3,0.3-0.09*(AO369-36.8)))/2)</f>
        <v/>
      </c>
      <c r="AQ369">
        <f>((AM369/$B$7+T368*AS368/2-T369*MAX(0.1,MIN(0.3,0.3-0.09*(AP369-36.8)))/2)+AR368*(1-AS368/2))/(1-MAX(0.1,MIN(0.3,0.3-0.09*(AP369-36.8)))/2)</f>
        <v/>
      </c>
      <c r="AR369">
        <f>((AM369/$B$7+T368*AS368/2-T369*MAX(0.1,MIN(0.3,0.3-0.09*(AQ369-36.8)))/2)+AR368*(1-AS368/2))/(1-MAX(0.1,MIN(0.3,0.3-0.09*(AQ369-36.8)))/2)</f>
        <v/>
      </c>
      <c r="AS369">
        <f>MAX(0.1,MIN(0.3,0.3-0.09*(AR369-36.8)))</f>
        <v/>
      </c>
      <c r="AT369">
        <f>AT368+(2*AR369-1.962*AT368-1.31)/9</f>
        <v/>
      </c>
      <c r="AU369">
        <f>AU368+AG369+K369</f>
        <v/>
      </c>
      <c r="AV369">
        <f>AU369*2.67*$B$6/1.8/60</f>
        <v/>
      </c>
      <c r="AW369">
        <f>IF(AT369&gt;=$B$36,1,0)</f>
        <v/>
      </c>
      <c r="AX369">
        <f>IF(AV369&gt;=$B$21,1,0)</f>
        <v/>
      </c>
    </row>
    <row r="370">
      <c r="A370" t="n">
        <v>297</v>
      </c>
      <c r="B370">
        <f>MATCH(A370-1,$D$61:$D$68,1)</f>
        <v/>
      </c>
      <c r="C370">
        <f>INDEX($G$61:$G$68,B370)</f>
        <v/>
      </c>
      <c r="D370">
        <f>INDEX($L$61:$L$68,B370)</f>
        <v/>
      </c>
      <c r="E370">
        <f>INDEX($M$61:$M$68,B370)</f>
        <v/>
      </c>
      <c r="F370">
        <f>INDEX($N$61:$N$68,B370)</f>
        <v/>
      </c>
      <c r="G370">
        <f>INDEX($AA$61:$AA$68,B370)</f>
        <v/>
      </c>
      <c r="H370">
        <f>INDEX($X$61:$X$68,B370)</f>
        <v/>
      </c>
      <c r="I370">
        <f>INDEX($AF$61:$AF$68,B370)</f>
        <v/>
      </c>
      <c r="J370">
        <f>INDEX($AC$61:$AC$68,B370)</f>
        <v/>
      </c>
      <c r="K370">
        <f>INDEX($AD$61:$AD$68,B370)</f>
        <v/>
      </c>
      <c r="L370">
        <f>INDEX($AG$61:$AG$68,B370)</f>
        <v/>
      </c>
      <c r="M370">
        <f>INDEX($AH$61:$AH$68,B370)</f>
        <v/>
      </c>
      <c r="N370">
        <f>INDEX($AI$61:$AI$68,B370)</f>
        <v/>
      </c>
      <c r="O370">
        <f>O369*$B$26+L370*(1-$B$26)</f>
        <v/>
      </c>
      <c r="P370">
        <f>$B$7*(O370-O369)*(1-AS369)</f>
        <v/>
      </c>
      <c r="Q370">
        <f>M370+0.51274*AT369</f>
        <v/>
      </c>
      <c r="R370">
        <f>N370+0.616*AT369</f>
        <v/>
      </c>
      <c r="S370">
        <f>IF($B$13&gt;=0.6,Q370,IF($B$13&lt;=0.2,R370,R370+2.5*(Q370-R370)*($B$13-0.2)))</f>
        <v/>
      </c>
      <c r="T370">
        <f>IF(A370=1,S370,T369*$B$27+S370*(1-$B$27))</f>
        <v/>
      </c>
      <c r="U370">
        <f>0.6105*EXP(17.27*T370/(T370+237.3))</f>
        <v/>
      </c>
      <c r="V370">
        <f>($B$14*(I370*C370+IF(ABS((D370+0.1)-D370)&lt;0.000000001,4*$B$19*$B$20*(D370+273)^3,$B$19*$B$20*(((D370+0.1)+273)^4-(D370+273)^4)/((D370+0.1)-D370))*D370)+T370/H370)/($B$14*(I370+IF(ABS((D370+0.1)-D370)&lt;0.000000001,4*$B$19*$B$20*(D370+273)^3,$B$19*$B$20*(((D370+0.1)+273)^4-(D370+273)^4)/((D370+0.1)-D370)))+1/H370)</f>
        <v/>
      </c>
      <c r="W370">
        <f>($B$14*(I370*C370+IF(ABS(V370-D370)&lt;0.000000001,4*$B$19*$B$20*(D370+273)^3,$B$19*$B$20*((V370+273)^4-(D370+273)^4)/(V370-D370))*D370)+T370/H370)/($B$14*(I370+IF(ABS(V370-D370)&lt;0.000000001,4*$B$19*$B$20*(D370+273)^3,$B$19*$B$20*((V370+273)^4-(D370+273)^4)/(V370-D370)))+1/H370)</f>
        <v/>
      </c>
      <c r="X370">
        <f>($B$14*(I370*C370+IF(ABS(W370-D370)&lt;0.000000001,4*$B$19*$B$20*(D370+273)^3,$B$19*$B$20*((W370+273)^4-(D370+273)^4)/(W370-D370))*D370)+T370/H370)/($B$14*(I370+IF(ABS(W370-D370)&lt;0.000000001,4*$B$19*$B$20*(D370+273)^3,$B$19*$B$20*((W370+273)^4-(D370+273)^4)/(W370-D370)))+1/H370)</f>
        <v/>
      </c>
      <c r="Y370">
        <f>($B$14*(I370*C370+IF(ABS(X370-D370)&lt;0.000000001,4*$B$19*$B$20*(D370+273)^3,$B$19*$B$20*((X370+273)^4-(D370+273)^4)/(X370-D370))*D370)+T370/H370)/($B$14*(I370+IF(ABS(X370-D370)&lt;0.000000001,4*$B$19*$B$20*(D370+273)^3,$B$19*$B$20*((X370+273)^4-(D370+273)^4)/(X370-D370)))+1/H370)</f>
        <v/>
      </c>
      <c r="Z370">
        <f>IF(ABS(Y370-D370)&lt;0.000000001,4*$B$19*$B$20*(D370+273)^3,$B$19*$B$20*((Y370+273)^4-(D370+273)^4)/(Y370-D370))</f>
        <v/>
      </c>
      <c r="AA370">
        <f>$B$14*I370*(Y370-C370)</f>
        <v/>
      </c>
      <c r="AB370">
        <f>$B$14*Z370*(Y370-D370)</f>
        <v/>
      </c>
      <c r="AC370">
        <f>IF((U370-E370)/G370=0,0.001,(U370-E370)/G370)</f>
        <v/>
      </c>
      <c r="AD370">
        <f>F370-P370-J370-K370-AA370-AB370</f>
        <v/>
      </c>
      <c r="AE370">
        <f>AD370/AC370</f>
        <v/>
      </c>
      <c r="AF370">
        <f>IF(AD370&lt;=0,0,IF(AC370&lt;=0,$B$11,IF(AE370&gt;=1.7,$B$11,MIN(AD370/MAX(0.05,IF(AE370&gt;1,(2-AE370)^2/2,1-AE370^2/2)),$B$11))))</f>
        <v/>
      </c>
      <c r="AG370">
        <f>AG369*$B$28+AF370*(1-$B$28)</f>
        <v/>
      </c>
      <c r="AH370">
        <f>IF(AND(AD370&gt;0,AC370&lt;=0),0,AC370)</f>
        <v/>
      </c>
      <c r="AI370">
        <f>AH370/MAX(AG370,0.000001)</f>
        <v/>
      </c>
      <c r="AJ370">
        <f>MIN(IF(AI370&gt;=0.5,-AI370+SQRT(AI370^2+2),1),$B$12)</f>
        <v/>
      </c>
      <c r="AK370">
        <f>IF(AG370&lt;=0,0,AJ370*AH370)</f>
        <v/>
      </c>
      <c r="AL370">
        <f>IF(AD370&lt;=0,0,AD370)</f>
        <v/>
      </c>
      <c r="AM370">
        <f>AL370-AK370+P370</f>
        <v/>
      </c>
      <c r="AN370">
        <f>((AM370/$B$7+T369*AS369/2-T370*MAX(0.1,MIN(0.3,0.3-0.09*(AR369-36.8)))/2)+AR369*(1-AS369/2))/(1-MAX(0.1,MIN(0.3,0.3-0.09*(AR369-36.8)))/2)</f>
        <v/>
      </c>
      <c r="AO370">
        <f>((AM370/$B$7+T369*AS369/2-T370*MAX(0.1,MIN(0.3,0.3-0.09*(AN370-36.8)))/2)+AR369*(1-AS369/2))/(1-MAX(0.1,MIN(0.3,0.3-0.09*(AN370-36.8)))/2)</f>
        <v/>
      </c>
      <c r="AP370">
        <f>((AM370/$B$7+T369*AS369/2-T370*MAX(0.1,MIN(0.3,0.3-0.09*(AO370-36.8)))/2)+AR369*(1-AS369/2))/(1-MAX(0.1,MIN(0.3,0.3-0.09*(AO370-36.8)))/2)</f>
        <v/>
      </c>
      <c r="AQ370">
        <f>((AM370/$B$7+T369*AS369/2-T370*MAX(0.1,MIN(0.3,0.3-0.09*(AP370-36.8)))/2)+AR369*(1-AS369/2))/(1-MAX(0.1,MIN(0.3,0.3-0.09*(AP370-36.8)))/2)</f>
        <v/>
      </c>
      <c r="AR370">
        <f>((AM370/$B$7+T369*AS369/2-T370*MAX(0.1,MIN(0.3,0.3-0.09*(AQ370-36.8)))/2)+AR369*(1-AS369/2))/(1-MAX(0.1,MIN(0.3,0.3-0.09*(AQ370-36.8)))/2)</f>
        <v/>
      </c>
      <c r="AS370">
        <f>MAX(0.1,MIN(0.3,0.3-0.09*(AR370-36.8)))</f>
        <v/>
      </c>
      <c r="AT370">
        <f>AT369+(2*AR370-1.962*AT369-1.31)/9</f>
        <v/>
      </c>
      <c r="AU370">
        <f>AU369+AG370+K370</f>
        <v/>
      </c>
      <c r="AV370">
        <f>AU370*2.67*$B$6/1.8/60</f>
        <v/>
      </c>
      <c r="AW370">
        <f>IF(AT370&gt;=$B$36,1,0)</f>
        <v/>
      </c>
      <c r="AX370">
        <f>IF(AV370&gt;=$B$21,1,0)</f>
        <v/>
      </c>
    </row>
    <row r="371">
      <c r="A371" t="n">
        <v>298</v>
      </c>
      <c r="B371">
        <f>MATCH(A371-1,$D$61:$D$68,1)</f>
        <v/>
      </c>
      <c r="C371">
        <f>INDEX($G$61:$G$68,B371)</f>
        <v/>
      </c>
      <c r="D371">
        <f>INDEX($L$61:$L$68,B371)</f>
        <v/>
      </c>
      <c r="E371">
        <f>INDEX($M$61:$M$68,B371)</f>
        <v/>
      </c>
      <c r="F371">
        <f>INDEX($N$61:$N$68,B371)</f>
        <v/>
      </c>
      <c r="G371">
        <f>INDEX($AA$61:$AA$68,B371)</f>
        <v/>
      </c>
      <c r="H371">
        <f>INDEX($X$61:$X$68,B371)</f>
        <v/>
      </c>
      <c r="I371">
        <f>INDEX($AF$61:$AF$68,B371)</f>
        <v/>
      </c>
      <c r="J371">
        <f>INDEX($AC$61:$AC$68,B371)</f>
        <v/>
      </c>
      <c r="K371">
        <f>INDEX($AD$61:$AD$68,B371)</f>
        <v/>
      </c>
      <c r="L371">
        <f>INDEX($AG$61:$AG$68,B371)</f>
        <v/>
      </c>
      <c r="M371">
        <f>INDEX($AH$61:$AH$68,B371)</f>
        <v/>
      </c>
      <c r="N371">
        <f>INDEX($AI$61:$AI$68,B371)</f>
        <v/>
      </c>
      <c r="O371">
        <f>O370*$B$26+L371*(1-$B$26)</f>
        <v/>
      </c>
      <c r="P371">
        <f>$B$7*(O371-O370)*(1-AS370)</f>
        <v/>
      </c>
      <c r="Q371">
        <f>M371+0.51274*AT370</f>
        <v/>
      </c>
      <c r="R371">
        <f>N371+0.616*AT370</f>
        <v/>
      </c>
      <c r="S371">
        <f>IF($B$13&gt;=0.6,Q371,IF($B$13&lt;=0.2,R371,R371+2.5*(Q371-R371)*($B$13-0.2)))</f>
        <v/>
      </c>
      <c r="T371">
        <f>IF(A371=1,S371,T370*$B$27+S371*(1-$B$27))</f>
        <v/>
      </c>
      <c r="U371">
        <f>0.6105*EXP(17.27*T371/(T371+237.3))</f>
        <v/>
      </c>
      <c r="V371">
        <f>($B$14*(I371*C371+IF(ABS((D371+0.1)-D371)&lt;0.000000001,4*$B$19*$B$20*(D371+273)^3,$B$19*$B$20*(((D371+0.1)+273)^4-(D371+273)^4)/((D371+0.1)-D371))*D371)+T371/H371)/($B$14*(I371+IF(ABS((D371+0.1)-D371)&lt;0.000000001,4*$B$19*$B$20*(D371+273)^3,$B$19*$B$20*(((D371+0.1)+273)^4-(D371+273)^4)/((D371+0.1)-D371)))+1/H371)</f>
        <v/>
      </c>
      <c r="W371">
        <f>($B$14*(I371*C371+IF(ABS(V371-D371)&lt;0.000000001,4*$B$19*$B$20*(D371+273)^3,$B$19*$B$20*((V371+273)^4-(D371+273)^4)/(V371-D371))*D371)+T371/H371)/($B$14*(I371+IF(ABS(V371-D371)&lt;0.000000001,4*$B$19*$B$20*(D371+273)^3,$B$19*$B$20*((V371+273)^4-(D371+273)^4)/(V371-D371)))+1/H371)</f>
        <v/>
      </c>
      <c r="X371">
        <f>($B$14*(I371*C371+IF(ABS(W371-D371)&lt;0.000000001,4*$B$19*$B$20*(D371+273)^3,$B$19*$B$20*((W371+273)^4-(D371+273)^4)/(W371-D371))*D371)+T371/H371)/($B$14*(I371+IF(ABS(W371-D371)&lt;0.000000001,4*$B$19*$B$20*(D371+273)^3,$B$19*$B$20*((W371+273)^4-(D371+273)^4)/(W371-D371)))+1/H371)</f>
        <v/>
      </c>
      <c r="Y371">
        <f>($B$14*(I371*C371+IF(ABS(X371-D371)&lt;0.000000001,4*$B$19*$B$20*(D371+273)^3,$B$19*$B$20*((X371+273)^4-(D371+273)^4)/(X371-D371))*D371)+T371/H371)/($B$14*(I371+IF(ABS(X371-D371)&lt;0.000000001,4*$B$19*$B$20*(D371+273)^3,$B$19*$B$20*((X371+273)^4-(D371+273)^4)/(X371-D371)))+1/H371)</f>
        <v/>
      </c>
      <c r="Z371">
        <f>IF(ABS(Y371-D371)&lt;0.000000001,4*$B$19*$B$20*(D371+273)^3,$B$19*$B$20*((Y371+273)^4-(D371+273)^4)/(Y371-D371))</f>
        <v/>
      </c>
      <c r="AA371">
        <f>$B$14*I371*(Y371-C371)</f>
        <v/>
      </c>
      <c r="AB371">
        <f>$B$14*Z371*(Y371-D371)</f>
        <v/>
      </c>
      <c r="AC371">
        <f>IF((U371-E371)/G371=0,0.001,(U371-E371)/G371)</f>
        <v/>
      </c>
      <c r="AD371">
        <f>F371-P371-J371-K371-AA371-AB371</f>
        <v/>
      </c>
      <c r="AE371">
        <f>AD371/AC371</f>
        <v/>
      </c>
      <c r="AF371">
        <f>IF(AD371&lt;=0,0,IF(AC371&lt;=0,$B$11,IF(AE371&gt;=1.7,$B$11,MIN(AD371/MAX(0.05,IF(AE371&gt;1,(2-AE371)^2/2,1-AE371^2/2)),$B$11))))</f>
        <v/>
      </c>
      <c r="AG371">
        <f>AG370*$B$28+AF371*(1-$B$28)</f>
        <v/>
      </c>
      <c r="AH371">
        <f>IF(AND(AD371&gt;0,AC371&lt;=0),0,AC371)</f>
        <v/>
      </c>
      <c r="AI371">
        <f>AH371/MAX(AG371,0.000001)</f>
        <v/>
      </c>
      <c r="AJ371">
        <f>MIN(IF(AI371&gt;=0.5,-AI371+SQRT(AI371^2+2),1),$B$12)</f>
        <v/>
      </c>
      <c r="AK371">
        <f>IF(AG371&lt;=0,0,AJ371*AH371)</f>
        <v/>
      </c>
      <c r="AL371">
        <f>IF(AD371&lt;=0,0,AD371)</f>
        <v/>
      </c>
      <c r="AM371">
        <f>AL371-AK371+P371</f>
        <v/>
      </c>
      <c r="AN371">
        <f>((AM371/$B$7+T370*AS370/2-T371*MAX(0.1,MIN(0.3,0.3-0.09*(AR370-36.8)))/2)+AR370*(1-AS370/2))/(1-MAX(0.1,MIN(0.3,0.3-0.09*(AR370-36.8)))/2)</f>
        <v/>
      </c>
      <c r="AO371">
        <f>((AM371/$B$7+T370*AS370/2-T371*MAX(0.1,MIN(0.3,0.3-0.09*(AN371-36.8)))/2)+AR370*(1-AS370/2))/(1-MAX(0.1,MIN(0.3,0.3-0.09*(AN371-36.8)))/2)</f>
        <v/>
      </c>
      <c r="AP371">
        <f>((AM371/$B$7+T370*AS370/2-T371*MAX(0.1,MIN(0.3,0.3-0.09*(AO371-36.8)))/2)+AR370*(1-AS370/2))/(1-MAX(0.1,MIN(0.3,0.3-0.09*(AO371-36.8)))/2)</f>
        <v/>
      </c>
      <c r="AQ371">
        <f>((AM371/$B$7+T370*AS370/2-T371*MAX(0.1,MIN(0.3,0.3-0.09*(AP371-36.8)))/2)+AR370*(1-AS370/2))/(1-MAX(0.1,MIN(0.3,0.3-0.09*(AP371-36.8)))/2)</f>
        <v/>
      </c>
      <c r="AR371">
        <f>((AM371/$B$7+T370*AS370/2-T371*MAX(0.1,MIN(0.3,0.3-0.09*(AQ371-36.8)))/2)+AR370*(1-AS370/2))/(1-MAX(0.1,MIN(0.3,0.3-0.09*(AQ371-36.8)))/2)</f>
        <v/>
      </c>
      <c r="AS371">
        <f>MAX(0.1,MIN(0.3,0.3-0.09*(AR371-36.8)))</f>
        <v/>
      </c>
      <c r="AT371">
        <f>AT370+(2*AR371-1.962*AT370-1.31)/9</f>
        <v/>
      </c>
      <c r="AU371">
        <f>AU370+AG371+K371</f>
        <v/>
      </c>
      <c r="AV371">
        <f>AU371*2.67*$B$6/1.8/60</f>
        <v/>
      </c>
      <c r="AW371">
        <f>IF(AT371&gt;=$B$36,1,0)</f>
        <v/>
      </c>
      <c r="AX371">
        <f>IF(AV371&gt;=$B$21,1,0)</f>
        <v/>
      </c>
    </row>
    <row r="372">
      <c r="A372" t="n">
        <v>299</v>
      </c>
      <c r="B372">
        <f>MATCH(A372-1,$D$61:$D$68,1)</f>
        <v/>
      </c>
      <c r="C372">
        <f>INDEX($G$61:$G$68,B372)</f>
        <v/>
      </c>
      <c r="D372">
        <f>INDEX($L$61:$L$68,B372)</f>
        <v/>
      </c>
      <c r="E372">
        <f>INDEX($M$61:$M$68,B372)</f>
        <v/>
      </c>
      <c r="F372">
        <f>INDEX($N$61:$N$68,B372)</f>
        <v/>
      </c>
      <c r="G372">
        <f>INDEX($AA$61:$AA$68,B372)</f>
        <v/>
      </c>
      <c r="H372">
        <f>INDEX($X$61:$X$68,B372)</f>
        <v/>
      </c>
      <c r="I372">
        <f>INDEX($AF$61:$AF$68,B372)</f>
        <v/>
      </c>
      <c r="J372">
        <f>INDEX($AC$61:$AC$68,B372)</f>
        <v/>
      </c>
      <c r="K372">
        <f>INDEX($AD$61:$AD$68,B372)</f>
        <v/>
      </c>
      <c r="L372">
        <f>INDEX($AG$61:$AG$68,B372)</f>
        <v/>
      </c>
      <c r="M372">
        <f>INDEX($AH$61:$AH$68,B372)</f>
        <v/>
      </c>
      <c r="N372">
        <f>INDEX($AI$61:$AI$68,B372)</f>
        <v/>
      </c>
      <c r="O372">
        <f>O371*$B$26+L372*(1-$B$26)</f>
        <v/>
      </c>
      <c r="P372">
        <f>$B$7*(O372-O371)*(1-AS371)</f>
        <v/>
      </c>
      <c r="Q372">
        <f>M372+0.51274*AT371</f>
        <v/>
      </c>
      <c r="R372">
        <f>N372+0.616*AT371</f>
        <v/>
      </c>
      <c r="S372">
        <f>IF($B$13&gt;=0.6,Q372,IF($B$13&lt;=0.2,R372,R372+2.5*(Q372-R372)*($B$13-0.2)))</f>
        <v/>
      </c>
      <c r="T372">
        <f>IF(A372=1,S372,T371*$B$27+S372*(1-$B$27))</f>
        <v/>
      </c>
      <c r="U372">
        <f>0.6105*EXP(17.27*T372/(T372+237.3))</f>
        <v/>
      </c>
      <c r="V372">
        <f>($B$14*(I372*C372+IF(ABS((D372+0.1)-D372)&lt;0.000000001,4*$B$19*$B$20*(D372+273)^3,$B$19*$B$20*(((D372+0.1)+273)^4-(D372+273)^4)/((D372+0.1)-D372))*D372)+T372/H372)/($B$14*(I372+IF(ABS((D372+0.1)-D372)&lt;0.000000001,4*$B$19*$B$20*(D372+273)^3,$B$19*$B$20*(((D372+0.1)+273)^4-(D372+273)^4)/((D372+0.1)-D372)))+1/H372)</f>
        <v/>
      </c>
      <c r="W372">
        <f>($B$14*(I372*C372+IF(ABS(V372-D372)&lt;0.000000001,4*$B$19*$B$20*(D372+273)^3,$B$19*$B$20*((V372+273)^4-(D372+273)^4)/(V372-D372))*D372)+T372/H372)/($B$14*(I372+IF(ABS(V372-D372)&lt;0.000000001,4*$B$19*$B$20*(D372+273)^3,$B$19*$B$20*((V372+273)^4-(D372+273)^4)/(V372-D372)))+1/H372)</f>
        <v/>
      </c>
      <c r="X372">
        <f>($B$14*(I372*C372+IF(ABS(W372-D372)&lt;0.000000001,4*$B$19*$B$20*(D372+273)^3,$B$19*$B$20*((W372+273)^4-(D372+273)^4)/(W372-D372))*D372)+T372/H372)/($B$14*(I372+IF(ABS(W372-D372)&lt;0.000000001,4*$B$19*$B$20*(D372+273)^3,$B$19*$B$20*((W372+273)^4-(D372+273)^4)/(W372-D372)))+1/H372)</f>
        <v/>
      </c>
      <c r="Y372">
        <f>($B$14*(I372*C372+IF(ABS(X372-D372)&lt;0.000000001,4*$B$19*$B$20*(D372+273)^3,$B$19*$B$20*((X372+273)^4-(D372+273)^4)/(X372-D372))*D372)+T372/H372)/($B$14*(I372+IF(ABS(X372-D372)&lt;0.000000001,4*$B$19*$B$20*(D372+273)^3,$B$19*$B$20*((X372+273)^4-(D372+273)^4)/(X372-D372)))+1/H372)</f>
        <v/>
      </c>
      <c r="Z372">
        <f>IF(ABS(Y372-D372)&lt;0.000000001,4*$B$19*$B$20*(D372+273)^3,$B$19*$B$20*((Y372+273)^4-(D372+273)^4)/(Y372-D372))</f>
        <v/>
      </c>
      <c r="AA372">
        <f>$B$14*I372*(Y372-C372)</f>
        <v/>
      </c>
      <c r="AB372">
        <f>$B$14*Z372*(Y372-D372)</f>
        <v/>
      </c>
      <c r="AC372">
        <f>IF((U372-E372)/G372=0,0.001,(U372-E372)/G372)</f>
        <v/>
      </c>
      <c r="AD372">
        <f>F372-P372-J372-K372-AA372-AB372</f>
        <v/>
      </c>
      <c r="AE372">
        <f>AD372/AC372</f>
        <v/>
      </c>
      <c r="AF372">
        <f>IF(AD372&lt;=0,0,IF(AC372&lt;=0,$B$11,IF(AE372&gt;=1.7,$B$11,MIN(AD372/MAX(0.05,IF(AE372&gt;1,(2-AE372)^2/2,1-AE372^2/2)),$B$11))))</f>
        <v/>
      </c>
      <c r="AG372">
        <f>AG371*$B$28+AF372*(1-$B$28)</f>
        <v/>
      </c>
      <c r="AH372">
        <f>IF(AND(AD372&gt;0,AC372&lt;=0),0,AC372)</f>
        <v/>
      </c>
      <c r="AI372">
        <f>AH372/MAX(AG372,0.000001)</f>
        <v/>
      </c>
      <c r="AJ372">
        <f>MIN(IF(AI372&gt;=0.5,-AI372+SQRT(AI372^2+2),1),$B$12)</f>
        <v/>
      </c>
      <c r="AK372">
        <f>IF(AG372&lt;=0,0,AJ372*AH372)</f>
        <v/>
      </c>
      <c r="AL372">
        <f>IF(AD372&lt;=0,0,AD372)</f>
        <v/>
      </c>
      <c r="AM372">
        <f>AL372-AK372+P372</f>
        <v/>
      </c>
      <c r="AN372">
        <f>((AM372/$B$7+T371*AS371/2-T372*MAX(0.1,MIN(0.3,0.3-0.09*(AR371-36.8)))/2)+AR371*(1-AS371/2))/(1-MAX(0.1,MIN(0.3,0.3-0.09*(AR371-36.8)))/2)</f>
        <v/>
      </c>
      <c r="AO372">
        <f>((AM372/$B$7+T371*AS371/2-T372*MAX(0.1,MIN(0.3,0.3-0.09*(AN372-36.8)))/2)+AR371*(1-AS371/2))/(1-MAX(0.1,MIN(0.3,0.3-0.09*(AN372-36.8)))/2)</f>
        <v/>
      </c>
      <c r="AP372">
        <f>((AM372/$B$7+T371*AS371/2-T372*MAX(0.1,MIN(0.3,0.3-0.09*(AO372-36.8)))/2)+AR371*(1-AS371/2))/(1-MAX(0.1,MIN(0.3,0.3-0.09*(AO372-36.8)))/2)</f>
        <v/>
      </c>
      <c r="AQ372">
        <f>((AM372/$B$7+T371*AS371/2-T372*MAX(0.1,MIN(0.3,0.3-0.09*(AP372-36.8)))/2)+AR371*(1-AS371/2))/(1-MAX(0.1,MIN(0.3,0.3-0.09*(AP372-36.8)))/2)</f>
        <v/>
      </c>
      <c r="AR372">
        <f>((AM372/$B$7+T371*AS371/2-T372*MAX(0.1,MIN(0.3,0.3-0.09*(AQ372-36.8)))/2)+AR371*(1-AS371/2))/(1-MAX(0.1,MIN(0.3,0.3-0.09*(AQ372-36.8)))/2)</f>
        <v/>
      </c>
      <c r="AS372">
        <f>MAX(0.1,MIN(0.3,0.3-0.09*(AR372-36.8)))</f>
        <v/>
      </c>
      <c r="AT372">
        <f>AT371+(2*AR372-1.962*AT371-1.31)/9</f>
        <v/>
      </c>
      <c r="AU372">
        <f>AU371+AG372+K372</f>
        <v/>
      </c>
      <c r="AV372">
        <f>AU372*2.67*$B$6/1.8/60</f>
        <v/>
      </c>
      <c r="AW372">
        <f>IF(AT372&gt;=$B$36,1,0)</f>
        <v/>
      </c>
      <c r="AX372">
        <f>IF(AV372&gt;=$B$21,1,0)</f>
        <v/>
      </c>
    </row>
    <row r="373">
      <c r="A373" t="n">
        <v>300</v>
      </c>
      <c r="B373">
        <f>MATCH(A373-1,$D$61:$D$68,1)</f>
        <v/>
      </c>
      <c r="C373">
        <f>INDEX($G$61:$G$68,B373)</f>
        <v/>
      </c>
      <c r="D373">
        <f>INDEX($L$61:$L$68,B373)</f>
        <v/>
      </c>
      <c r="E373">
        <f>INDEX($M$61:$M$68,B373)</f>
        <v/>
      </c>
      <c r="F373">
        <f>INDEX($N$61:$N$68,B373)</f>
        <v/>
      </c>
      <c r="G373">
        <f>INDEX($AA$61:$AA$68,B373)</f>
        <v/>
      </c>
      <c r="H373">
        <f>INDEX($X$61:$X$68,B373)</f>
        <v/>
      </c>
      <c r="I373">
        <f>INDEX($AF$61:$AF$68,B373)</f>
        <v/>
      </c>
      <c r="J373">
        <f>INDEX($AC$61:$AC$68,B373)</f>
        <v/>
      </c>
      <c r="K373">
        <f>INDEX($AD$61:$AD$68,B373)</f>
        <v/>
      </c>
      <c r="L373">
        <f>INDEX($AG$61:$AG$68,B373)</f>
        <v/>
      </c>
      <c r="M373">
        <f>INDEX($AH$61:$AH$68,B373)</f>
        <v/>
      </c>
      <c r="N373">
        <f>INDEX($AI$61:$AI$68,B373)</f>
        <v/>
      </c>
      <c r="O373">
        <f>O372*$B$26+L373*(1-$B$26)</f>
        <v/>
      </c>
      <c r="P373">
        <f>$B$7*(O373-O372)*(1-AS372)</f>
        <v/>
      </c>
      <c r="Q373">
        <f>M373+0.51274*AT372</f>
        <v/>
      </c>
      <c r="R373">
        <f>N373+0.616*AT372</f>
        <v/>
      </c>
      <c r="S373">
        <f>IF($B$13&gt;=0.6,Q373,IF($B$13&lt;=0.2,R373,R373+2.5*(Q373-R373)*($B$13-0.2)))</f>
        <v/>
      </c>
      <c r="T373">
        <f>IF(A373=1,S373,T372*$B$27+S373*(1-$B$27))</f>
        <v/>
      </c>
      <c r="U373">
        <f>0.6105*EXP(17.27*T373/(T373+237.3))</f>
        <v/>
      </c>
      <c r="V373">
        <f>($B$14*(I373*C373+IF(ABS((D373+0.1)-D373)&lt;0.000000001,4*$B$19*$B$20*(D373+273)^3,$B$19*$B$20*(((D373+0.1)+273)^4-(D373+273)^4)/((D373+0.1)-D373))*D373)+T373/H373)/($B$14*(I373+IF(ABS((D373+0.1)-D373)&lt;0.000000001,4*$B$19*$B$20*(D373+273)^3,$B$19*$B$20*(((D373+0.1)+273)^4-(D373+273)^4)/((D373+0.1)-D373)))+1/H373)</f>
        <v/>
      </c>
      <c r="W373">
        <f>($B$14*(I373*C373+IF(ABS(V373-D373)&lt;0.000000001,4*$B$19*$B$20*(D373+273)^3,$B$19*$B$20*((V373+273)^4-(D373+273)^4)/(V373-D373))*D373)+T373/H373)/($B$14*(I373+IF(ABS(V373-D373)&lt;0.000000001,4*$B$19*$B$20*(D373+273)^3,$B$19*$B$20*((V373+273)^4-(D373+273)^4)/(V373-D373)))+1/H373)</f>
        <v/>
      </c>
      <c r="X373">
        <f>($B$14*(I373*C373+IF(ABS(W373-D373)&lt;0.000000001,4*$B$19*$B$20*(D373+273)^3,$B$19*$B$20*((W373+273)^4-(D373+273)^4)/(W373-D373))*D373)+T373/H373)/($B$14*(I373+IF(ABS(W373-D373)&lt;0.000000001,4*$B$19*$B$20*(D373+273)^3,$B$19*$B$20*((W373+273)^4-(D373+273)^4)/(W373-D373)))+1/H373)</f>
        <v/>
      </c>
      <c r="Y373">
        <f>($B$14*(I373*C373+IF(ABS(X373-D373)&lt;0.000000001,4*$B$19*$B$20*(D373+273)^3,$B$19*$B$20*((X373+273)^4-(D373+273)^4)/(X373-D373))*D373)+T373/H373)/($B$14*(I373+IF(ABS(X373-D373)&lt;0.000000001,4*$B$19*$B$20*(D373+273)^3,$B$19*$B$20*((X373+273)^4-(D373+273)^4)/(X373-D373)))+1/H373)</f>
        <v/>
      </c>
      <c r="Z373">
        <f>IF(ABS(Y373-D373)&lt;0.000000001,4*$B$19*$B$20*(D373+273)^3,$B$19*$B$20*((Y373+273)^4-(D373+273)^4)/(Y373-D373))</f>
        <v/>
      </c>
      <c r="AA373">
        <f>$B$14*I373*(Y373-C373)</f>
        <v/>
      </c>
      <c r="AB373">
        <f>$B$14*Z373*(Y373-D373)</f>
        <v/>
      </c>
      <c r="AC373">
        <f>IF((U373-E373)/G373=0,0.001,(U373-E373)/G373)</f>
        <v/>
      </c>
      <c r="AD373">
        <f>F373-P373-J373-K373-AA373-AB373</f>
        <v/>
      </c>
      <c r="AE373">
        <f>AD373/AC373</f>
        <v/>
      </c>
      <c r="AF373">
        <f>IF(AD373&lt;=0,0,IF(AC373&lt;=0,$B$11,IF(AE373&gt;=1.7,$B$11,MIN(AD373/MAX(0.05,IF(AE373&gt;1,(2-AE373)^2/2,1-AE373^2/2)),$B$11))))</f>
        <v/>
      </c>
      <c r="AG373">
        <f>AG372*$B$28+AF373*(1-$B$28)</f>
        <v/>
      </c>
      <c r="AH373">
        <f>IF(AND(AD373&gt;0,AC373&lt;=0),0,AC373)</f>
        <v/>
      </c>
      <c r="AI373">
        <f>AH373/MAX(AG373,0.000001)</f>
        <v/>
      </c>
      <c r="AJ373">
        <f>MIN(IF(AI373&gt;=0.5,-AI373+SQRT(AI373^2+2),1),$B$12)</f>
        <v/>
      </c>
      <c r="AK373">
        <f>IF(AG373&lt;=0,0,AJ373*AH373)</f>
        <v/>
      </c>
      <c r="AL373">
        <f>IF(AD373&lt;=0,0,AD373)</f>
        <v/>
      </c>
      <c r="AM373">
        <f>AL373-AK373+P373</f>
        <v/>
      </c>
      <c r="AN373">
        <f>((AM373/$B$7+T372*AS372/2-T373*MAX(0.1,MIN(0.3,0.3-0.09*(AR372-36.8)))/2)+AR372*(1-AS372/2))/(1-MAX(0.1,MIN(0.3,0.3-0.09*(AR372-36.8)))/2)</f>
        <v/>
      </c>
      <c r="AO373">
        <f>((AM373/$B$7+T372*AS372/2-T373*MAX(0.1,MIN(0.3,0.3-0.09*(AN373-36.8)))/2)+AR372*(1-AS372/2))/(1-MAX(0.1,MIN(0.3,0.3-0.09*(AN373-36.8)))/2)</f>
        <v/>
      </c>
      <c r="AP373">
        <f>((AM373/$B$7+T372*AS372/2-T373*MAX(0.1,MIN(0.3,0.3-0.09*(AO373-36.8)))/2)+AR372*(1-AS372/2))/(1-MAX(0.1,MIN(0.3,0.3-0.09*(AO373-36.8)))/2)</f>
        <v/>
      </c>
      <c r="AQ373">
        <f>((AM373/$B$7+T372*AS372/2-T373*MAX(0.1,MIN(0.3,0.3-0.09*(AP373-36.8)))/2)+AR372*(1-AS372/2))/(1-MAX(0.1,MIN(0.3,0.3-0.09*(AP373-36.8)))/2)</f>
        <v/>
      </c>
      <c r="AR373">
        <f>((AM373/$B$7+T372*AS372/2-T373*MAX(0.1,MIN(0.3,0.3-0.09*(AQ373-36.8)))/2)+AR372*(1-AS372/2))/(1-MAX(0.1,MIN(0.3,0.3-0.09*(AQ373-36.8)))/2)</f>
        <v/>
      </c>
      <c r="AS373">
        <f>MAX(0.1,MIN(0.3,0.3-0.09*(AR373-36.8)))</f>
        <v/>
      </c>
      <c r="AT373">
        <f>AT372+(2*AR373-1.962*AT372-1.31)/9</f>
        <v/>
      </c>
      <c r="AU373">
        <f>AU372+AG373+K373</f>
        <v/>
      </c>
      <c r="AV373">
        <f>AU373*2.67*$B$6/1.8/60</f>
        <v/>
      </c>
      <c r="AW373">
        <f>IF(AT373&gt;=$B$36,1,0)</f>
        <v/>
      </c>
      <c r="AX373">
        <f>IF(AV373&gt;=$B$21,1,0)</f>
        <v/>
      </c>
    </row>
    <row r="374">
      <c r="A374" t="n">
        <v>301</v>
      </c>
      <c r="B374">
        <f>MATCH(A374-1,$D$61:$D$68,1)</f>
        <v/>
      </c>
      <c r="C374">
        <f>INDEX($G$61:$G$68,B374)</f>
        <v/>
      </c>
      <c r="D374">
        <f>INDEX($L$61:$L$68,B374)</f>
        <v/>
      </c>
      <c r="E374">
        <f>INDEX($M$61:$M$68,B374)</f>
        <v/>
      </c>
      <c r="F374">
        <f>INDEX($N$61:$N$68,B374)</f>
        <v/>
      </c>
      <c r="G374">
        <f>INDEX($AA$61:$AA$68,B374)</f>
        <v/>
      </c>
      <c r="H374">
        <f>INDEX($X$61:$X$68,B374)</f>
        <v/>
      </c>
      <c r="I374">
        <f>INDEX($AF$61:$AF$68,B374)</f>
        <v/>
      </c>
      <c r="J374">
        <f>INDEX($AC$61:$AC$68,B374)</f>
        <v/>
      </c>
      <c r="K374">
        <f>INDEX($AD$61:$AD$68,B374)</f>
        <v/>
      </c>
      <c r="L374">
        <f>INDEX($AG$61:$AG$68,B374)</f>
        <v/>
      </c>
      <c r="M374">
        <f>INDEX($AH$61:$AH$68,B374)</f>
        <v/>
      </c>
      <c r="N374">
        <f>INDEX($AI$61:$AI$68,B374)</f>
        <v/>
      </c>
      <c r="O374">
        <f>O373*$B$26+L374*(1-$B$26)</f>
        <v/>
      </c>
      <c r="P374">
        <f>$B$7*(O374-O373)*(1-AS373)</f>
        <v/>
      </c>
      <c r="Q374">
        <f>M374+0.51274*AT373</f>
        <v/>
      </c>
      <c r="R374">
        <f>N374+0.616*AT373</f>
        <v/>
      </c>
      <c r="S374">
        <f>IF($B$13&gt;=0.6,Q374,IF($B$13&lt;=0.2,R374,R374+2.5*(Q374-R374)*($B$13-0.2)))</f>
        <v/>
      </c>
      <c r="T374">
        <f>IF(A374=1,S374,T373*$B$27+S374*(1-$B$27))</f>
        <v/>
      </c>
      <c r="U374">
        <f>0.6105*EXP(17.27*T374/(T374+237.3))</f>
        <v/>
      </c>
      <c r="V374">
        <f>($B$14*(I374*C374+IF(ABS((D374+0.1)-D374)&lt;0.000000001,4*$B$19*$B$20*(D374+273)^3,$B$19*$B$20*(((D374+0.1)+273)^4-(D374+273)^4)/((D374+0.1)-D374))*D374)+T374/H374)/($B$14*(I374+IF(ABS((D374+0.1)-D374)&lt;0.000000001,4*$B$19*$B$20*(D374+273)^3,$B$19*$B$20*(((D374+0.1)+273)^4-(D374+273)^4)/((D374+0.1)-D374)))+1/H374)</f>
        <v/>
      </c>
      <c r="W374">
        <f>($B$14*(I374*C374+IF(ABS(V374-D374)&lt;0.000000001,4*$B$19*$B$20*(D374+273)^3,$B$19*$B$20*((V374+273)^4-(D374+273)^4)/(V374-D374))*D374)+T374/H374)/($B$14*(I374+IF(ABS(V374-D374)&lt;0.000000001,4*$B$19*$B$20*(D374+273)^3,$B$19*$B$20*((V374+273)^4-(D374+273)^4)/(V374-D374)))+1/H374)</f>
        <v/>
      </c>
      <c r="X374">
        <f>($B$14*(I374*C374+IF(ABS(W374-D374)&lt;0.000000001,4*$B$19*$B$20*(D374+273)^3,$B$19*$B$20*((W374+273)^4-(D374+273)^4)/(W374-D374))*D374)+T374/H374)/($B$14*(I374+IF(ABS(W374-D374)&lt;0.000000001,4*$B$19*$B$20*(D374+273)^3,$B$19*$B$20*((W374+273)^4-(D374+273)^4)/(W374-D374)))+1/H374)</f>
        <v/>
      </c>
      <c r="Y374">
        <f>($B$14*(I374*C374+IF(ABS(X374-D374)&lt;0.000000001,4*$B$19*$B$20*(D374+273)^3,$B$19*$B$20*((X374+273)^4-(D374+273)^4)/(X374-D374))*D374)+T374/H374)/($B$14*(I374+IF(ABS(X374-D374)&lt;0.000000001,4*$B$19*$B$20*(D374+273)^3,$B$19*$B$20*((X374+273)^4-(D374+273)^4)/(X374-D374)))+1/H374)</f>
        <v/>
      </c>
      <c r="Z374">
        <f>IF(ABS(Y374-D374)&lt;0.000000001,4*$B$19*$B$20*(D374+273)^3,$B$19*$B$20*((Y374+273)^4-(D374+273)^4)/(Y374-D374))</f>
        <v/>
      </c>
      <c r="AA374">
        <f>$B$14*I374*(Y374-C374)</f>
        <v/>
      </c>
      <c r="AB374">
        <f>$B$14*Z374*(Y374-D374)</f>
        <v/>
      </c>
      <c r="AC374">
        <f>IF((U374-E374)/G374=0,0.001,(U374-E374)/G374)</f>
        <v/>
      </c>
      <c r="AD374">
        <f>F374-P374-J374-K374-AA374-AB374</f>
        <v/>
      </c>
      <c r="AE374">
        <f>AD374/AC374</f>
        <v/>
      </c>
      <c r="AF374">
        <f>IF(AD374&lt;=0,0,IF(AC374&lt;=0,$B$11,IF(AE374&gt;=1.7,$B$11,MIN(AD374/MAX(0.05,IF(AE374&gt;1,(2-AE374)^2/2,1-AE374^2/2)),$B$11))))</f>
        <v/>
      </c>
      <c r="AG374">
        <f>AG373*$B$28+AF374*(1-$B$28)</f>
        <v/>
      </c>
      <c r="AH374">
        <f>IF(AND(AD374&gt;0,AC374&lt;=0),0,AC374)</f>
        <v/>
      </c>
      <c r="AI374">
        <f>AH374/MAX(AG374,0.000001)</f>
        <v/>
      </c>
      <c r="AJ374">
        <f>MIN(IF(AI374&gt;=0.5,-AI374+SQRT(AI374^2+2),1),$B$12)</f>
        <v/>
      </c>
      <c r="AK374">
        <f>IF(AG374&lt;=0,0,AJ374*AH374)</f>
        <v/>
      </c>
      <c r="AL374">
        <f>IF(AD374&lt;=0,0,AD374)</f>
        <v/>
      </c>
      <c r="AM374">
        <f>AL374-AK374+P374</f>
        <v/>
      </c>
      <c r="AN374">
        <f>((AM374/$B$7+T373*AS373/2-T374*MAX(0.1,MIN(0.3,0.3-0.09*(AR373-36.8)))/2)+AR373*(1-AS373/2))/(1-MAX(0.1,MIN(0.3,0.3-0.09*(AR373-36.8)))/2)</f>
        <v/>
      </c>
      <c r="AO374">
        <f>((AM374/$B$7+T373*AS373/2-T374*MAX(0.1,MIN(0.3,0.3-0.09*(AN374-36.8)))/2)+AR373*(1-AS373/2))/(1-MAX(0.1,MIN(0.3,0.3-0.09*(AN374-36.8)))/2)</f>
        <v/>
      </c>
      <c r="AP374">
        <f>((AM374/$B$7+T373*AS373/2-T374*MAX(0.1,MIN(0.3,0.3-0.09*(AO374-36.8)))/2)+AR373*(1-AS373/2))/(1-MAX(0.1,MIN(0.3,0.3-0.09*(AO374-36.8)))/2)</f>
        <v/>
      </c>
      <c r="AQ374">
        <f>((AM374/$B$7+T373*AS373/2-T374*MAX(0.1,MIN(0.3,0.3-0.09*(AP374-36.8)))/2)+AR373*(1-AS373/2))/(1-MAX(0.1,MIN(0.3,0.3-0.09*(AP374-36.8)))/2)</f>
        <v/>
      </c>
      <c r="AR374">
        <f>((AM374/$B$7+T373*AS373/2-T374*MAX(0.1,MIN(0.3,0.3-0.09*(AQ374-36.8)))/2)+AR373*(1-AS373/2))/(1-MAX(0.1,MIN(0.3,0.3-0.09*(AQ374-36.8)))/2)</f>
        <v/>
      </c>
      <c r="AS374">
        <f>MAX(0.1,MIN(0.3,0.3-0.09*(AR374-36.8)))</f>
        <v/>
      </c>
      <c r="AT374">
        <f>AT373+(2*AR374-1.962*AT373-1.31)/9</f>
        <v/>
      </c>
      <c r="AU374">
        <f>AU373+AG374+K374</f>
        <v/>
      </c>
      <c r="AV374">
        <f>AU374*2.67*$B$6/1.8/60</f>
        <v/>
      </c>
      <c r="AW374">
        <f>IF(AT374&gt;=$B$36,1,0)</f>
        <v/>
      </c>
      <c r="AX374">
        <f>IF(AV374&gt;=$B$21,1,0)</f>
        <v/>
      </c>
    </row>
    <row r="375">
      <c r="A375" t="n">
        <v>302</v>
      </c>
      <c r="B375">
        <f>MATCH(A375-1,$D$61:$D$68,1)</f>
        <v/>
      </c>
      <c r="C375">
        <f>INDEX($G$61:$G$68,B375)</f>
        <v/>
      </c>
      <c r="D375">
        <f>INDEX($L$61:$L$68,B375)</f>
        <v/>
      </c>
      <c r="E375">
        <f>INDEX($M$61:$M$68,B375)</f>
        <v/>
      </c>
      <c r="F375">
        <f>INDEX($N$61:$N$68,B375)</f>
        <v/>
      </c>
      <c r="G375">
        <f>INDEX($AA$61:$AA$68,B375)</f>
        <v/>
      </c>
      <c r="H375">
        <f>INDEX($X$61:$X$68,B375)</f>
        <v/>
      </c>
      <c r="I375">
        <f>INDEX($AF$61:$AF$68,B375)</f>
        <v/>
      </c>
      <c r="J375">
        <f>INDEX($AC$61:$AC$68,B375)</f>
        <v/>
      </c>
      <c r="K375">
        <f>INDEX($AD$61:$AD$68,B375)</f>
        <v/>
      </c>
      <c r="L375">
        <f>INDEX($AG$61:$AG$68,B375)</f>
        <v/>
      </c>
      <c r="M375">
        <f>INDEX($AH$61:$AH$68,B375)</f>
        <v/>
      </c>
      <c r="N375">
        <f>INDEX($AI$61:$AI$68,B375)</f>
        <v/>
      </c>
      <c r="O375">
        <f>O374*$B$26+L375*(1-$B$26)</f>
        <v/>
      </c>
      <c r="P375">
        <f>$B$7*(O375-O374)*(1-AS374)</f>
        <v/>
      </c>
      <c r="Q375">
        <f>M375+0.51274*AT374</f>
        <v/>
      </c>
      <c r="R375">
        <f>N375+0.616*AT374</f>
        <v/>
      </c>
      <c r="S375">
        <f>IF($B$13&gt;=0.6,Q375,IF($B$13&lt;=0.2,R375,R375+2.5*(Q375-R375)*($B$13-0.2)))</f>
        <v/>
      </c>
      <c r="T375">
        <f>IF(A375=1,S375,T374*$B$27+S375*(1-$B$27))</f>
        <v/>
      </c>
      <c r="U375">
        <f>0.6105*EXP(17.27*T375/(T375+237.3))</f>
        <v/>
      </c>
      <c r="V375">
        <f>($B$14*(I375*C375+IF(ABS((D375+0.1)-D375)&lt;0.000000001,4*$B$19*$B$20*(D375+273)^3,$B$19*$B$20*(((D375+0.1)+273)^4-(D375+273)^4)/((D375+0.1)-D375))*D375)+T375/H375)/($B$14*(I375+IF(ABS((D375+0.1)-D375)&lt;0.000000001,4*$B$19*$B$20*(D375+273)^3,$B$19*$B$20*(((D375+0.1)+273)^4-(D375+273)^4)/((D375+0.1)-D375)))+1/H375)</f>
        <v/>
      </c>
      <c r="W375">
        <f>($B$14*(I375*C375+IF(ABS(V375-D375)&lt;0.000000001,4*$B$19*$B$20*(D375+273)^3,$B$19*$B$20*((V375+273)^4-(D375+273)^4)/(V375-D375))*D375)+T375/H375)/($B$14*(I375+IF(ABS(V375-D375)&lt;0.000000001,4*$B$19*$B$20*(D375+273)^3,$B$19*$B$20*((V375+273)^4-(D375+273)^4)/(V375-D375)))+1/H375)</f>
        <v/>
      </c>
      <c r="X375">
        <f>($B$14*(I375*C375+IF(ABS(W375-D375)&lt;0.000000001,4*$B$19*$B$20*(D375+273)^3,$B$19*$B$20*((W375+273)^4-(D375+273)^4)/(W375-D375))*D375)+T375/H375)/($B$14*(I375+IF(ABS(W375-D375)&lt;0.000000001,4*$B$19*$B$20*(D375+273)^3,$B$19*$B$20*((W375+273)^4-(D375+273)^4)/(W375-D375)))+1/H375)</f>
        <v/>
      </c>
      <c r="Y375">
        <f>($B$14*(I375*C375+IF(ABS(X375-D375)&lt;0.000000001,4*$B$19*$B$20*(D375+273)^3,$B$19*$B$20*((X375+273)^4-(D375+273)^4)/(X375-D375))*D375)+T375/H375)/($B$14*(I375+IF(ABS(X375-D375)&lt;0.000000001,4*$B$19*$B$20*(D375+273)^3,$B$19*$B$20*((X375+273)^4-(D375+273)^4)/(X375-D375)))+1/H375)</f>
        <v/>
      </c>
      <c r="Z375">
        <f>IF(ABS(Y375-D375)&lt;0.000000001,4*$B$19*$B$20*(D375+273)^3,$B$19*$B$20*((Y375+273)^4-(D375+273)^4)/(Y375-D375))</f>
        <v/>
      </c>
      <c r="AA375">
        <f>$B$14*I375*(Y375-C375)</f>
        <v/>
      </c>
      <c r="AB375">
        <f>$B$14*Z375*(Y375-D375)</f>
        <v/>
      </c>
      <c r="AC375">
        <f>IF((U375-E375)/G375=0,0.001,(U375-E375)/G375)</f>
        <v/>
      </c>
      <c r="AD375">
        <f>F375-P375-J375-K375-AA375-AB375</f>
        <v/>
      </c>
      <c r="AE375">
        <f>AD375/AC375</f>
        <v/>
      </c>
      <c r="AF375">
        <f>IF(AD375&lt;=0,0,IF(AC375&lt;=0,$B$11,IF(AE375&gt;=1.7,$B$11,MIN(AD375/MAX(0.05,IF(AE375&gt;1,(2-AE375)^2/2,1-AE375^2/2)),$B$11))))</f>
        <v/>
      </c>
      <c r="AG375">
        <f>AG374*$B$28+AF375*(1-$B$28)</f>
        <v/>
      </c>
      <c r="AH375">
        <f>IF(AND(AD375&gt;0,AC375&lt;=0),0,AC375)</f>
        <v/>
      </c>
      <c r="AI375">
        <f>AH375/MAX(AG375,0.000001)</f>
        <v/>
      </c>
      <c r="AJ375">
        <f>MIN(IF(AI375&gt;=0.5,-AI375+SQRT(AI375^2+2),1),$B$12)</f>
        <v/>
      </c>
      <c r="AK375">
        <f>IF(AG375&lt;=0,0,AJ375*AH375)</f>
        <v/>
      </c>
      <c r="AL375">
        <f>IF(AD375&lt;=0,0,AD375)</f>
        <v/>
      </c>
      <c r="AM375">
        <f>AL375-AK375+P375</f>
        <v/>
      </c>
      <c r="AN375">
        <f>((AM375/$B$7+T374*AS374/2-T375*MAX(0.1,MIN(0.3,0.3-0.09*(AR374-36.8)))/2)+AR374*(1-AS374/2))/(1-MAX(0.1,MIN(0.3,0.3-0.09*(AR374-36.8)))/2)</f>
        <v/>
      </c>
      <c r="AO375">
        <f>((AM375/$B$7+T374*AS374/2-T375*MAX(0.1,MIN(0.3,0.3-0.09*(AN375-36.8)))/2)+AR374*(1-AS374/2))/(1-MAX(0.1,MIN(0.3,0.3-0.09*(AN375-36.8)))/2)</f>
        <v/>
      </c>
      <c r="AP375">
        <f>((AM375/$B$7+T374*AS374/2-T375*MAX(0.1,MIN(0.3,0.3-0.09*(AO375-36.8)))/2)+AR374*(1-AS374/2))/(1-MAX(0.1,MIN(0.3,0.3-0.09*(AO375-36.8)))/2)</f>
        <v/>
      </c>
      <c r="AQ375">
        <f>((AM375/$B$7+T374*AS374/2-T375*MAX(0.1,MIN(0.3,0.3-0.09*(AP375-36.8)))/2)+AR374*(1-AS374/2))/(1-MAX(0.1,MIN(0.3,0.3-0.09*(AP375-36.8)))/2)</f>
        <v/>
      </c>
      <c r="AR375">
        <f>((AM375/$B$7+T374*AS374/2-T375*MAX(0.1,MIN(0.3,0.3-0.09*(AQ375-36.8)))/2)+AR374*(1-AS374/2))/(1-MAX(0.1,MIN(0.3,0.3-0.09*(AQ375-36.8)))/2)</f>
        <v/>
      </c>
      <c r="AS375">
        <f>MAX(0.1,MIN(0.3,0.3-0.09*(AR375-36.8)))</f>
        <v/>
      </c>
      <c r="AT375">
        <f>AT374+(2*AR375-1.962*AT374-1.31)/9</f>
        <v/>
      </c>
      <c r="AU375">
        <f>AU374+AG375+K375</f>
        <v/>
      </c>
      <c r="AV375">
        <f>AU375*2.67*$B$6/1.8/60</f>
        <v/>
      </c>
      <c r="AW375">
        <f>IF(AT375&gt;=$B$36,1,0)</f>
        <v/>
      </c>
      <c r="AX375">
        <f>IF(AV375&gt;=$B$21,1,0)</f>
        <v/>
      </c>
    </row>
    <row r="376">
      <c r="A376" t="n">
        <v>303</v>
      </c>
      <c r="B376">
        <f>MATCH(A376-1,$D$61:$D$68,1)</f>
        <v/>
      </c>
      <c r="C376">
        <f>INDEX($G$61:$G$68,B376)</f>
        <v/>
      </c>
      <c r="D376">
        <f>INDEX($L$61:$L$68,B376)</f>
        <v/>
      </c>
      <c r="E376">
        <f>INDEX($M$61:$M$68,B376)</f>
        <v/>
      </c>
      <c r="F376">
        <f>INDEX($N$61:$N$68,B376)</f>
        <v/>
      </c>
      <c r="G376">
        <f>INDEX($AA$61:$AA$68,B376)</f>
        <v/>
      </c>
      <c r="H376">
        <f>INDEX($X$61:$X$68,B376)</f>
        <v/>
      </c>
      <c r="I376">
        <f>INDEX($AF$61:$AF$68,B376)</f>
        <v/>
      </c>
      <c r="J376">
        <f>INDEX($AC$61:$AC$68,B376)</f>
        <v/>
      </c>
      <c r="K376">
        <f>INDEX($AD$61:$AD$68,B376)</f>
        <v/>
      </c>
      <c r="L376">
        <f>INDEX($AG$61:$AG$68,B376)</f>
        <v/>
      </c>
      <c r="M376">
        <f>INDEX($AH$61:$AH$68,B376)</f>
        <v/>
      </c>
      <c r="N376">
        <f>INDEX($AI$61:$AI$68,B376)</f>
        <v/>
      </c>
      <c r="O376">
        <f>O375*$B$26+L376*(1-$B$26)</f>
        <v/>
      </c>
      <c r="P376">
        <f>$B$7*(O376-O375)*(1-AS375)</f>
        <v/>
      </c>
      <c r="Q376">
        <f>M376+0.51274*AT375</f>
        <v/>
      </c>
      <c r="R376">
        <f>N376+0.616*AT375</f>
        <v/>
      </c>
      <c r="S376">
        <f>IF($B$13&gt;=0.6,Q376,IF($B$13&lt;=0.2,R376,R376+2.5*(Q376-R376)*($B$13-0.2)))</f>
        <v/>
      </c>
      <c r="T376">
        <f>IF(A376=1,S376,T375*$B$27+S376*(1-$B$27))</f>
        <v/>
      </c>
      <c r="U376">
        <f>0.6105*EXP(17.27*T376/(T376+237.3))</f>
        <v/>
      </c>
      <c r="V376">
        <f>($B$14*(I376*C376+IF(ABS((D376+0.1)-D376)&lt;0.000000001,4*$B$19*$B$20*(D376+273)^3,$B$19*$B$20*(((D376+0.1)+273)^4-(D376+273)^4)/((D376+0.1)-D376))*D376)+T376/H376)/($B$14*(I376+IF(ABS((D376+0.1)-D376)&lt;0.000000001,4*$B$19*$B$20*(D376+273)^3,$B$19*$B$20*(((D376+0.1)+273)^4-(D376+273)^4)/((D376+0.1)-D376)))+1/H376)</f>
        <v/>
      </c>
      <c r="W376">
        <f>($B$14*(I376*C376+IF(ABS(V376-D376)&lt;0.000000001,4*$B$19*$B$20*(D376+273)^3,$B$19*$B$20*((V376+273)^4-(D376+273)^4)/(V376-D376))*D376)+T376/H376)/($B$14*(I376+IF(ABS(V376-D376)&lt;0.000000001,4*$B$19*$B$20*(D376+273)^3,$B$19*$B$20*((V376+273)^4-(D376+273)^4)/(V376-D376)))+1/H376)</f>
        <v/>
      </c>
      <c r="X376">
        <f>($B$14*(I376*C376+IF(ABS(W376-D376)&lt;0.000000001,4*$B$19*$B$20*(D376+273)^3,$B$19*$B$20*((W376+273)^4-(D376+273)^4)/(W376-D376))*D376)+T376/H376)/($B$14*(I376+IF(ABS(W376-D376)&lt;0.000000001,4*$B$19*$B$20*(D376+273)^3,$B$19*$B$20*((W376+273)^4-(D376+273)^4)/(W376-D376)))+1/H376)</f>
        <v/>
      </c>
      <c r="Y376">
        <f>($B$14*(I376*C376+IF(ABS(X376-D376)&lt;0.000000001,4*$B$19*$B$20*(D376+273)^3,$B$19*$B$20*((X376+273)^4-(D376+273)^4)/(X376-D376))*D376)+T376/H376)/($B$14*(I376+IF(ABS(X376-D376)&lt;0.000000001,4*$B$19*$B$20*(D376+273)^3,$B$19*$B$20*((X376+273)^4-(D376+273)^4)/(X376-D376)))+1/H376)</f>
        <v/>
      </c>
      <c r="Z376">
        <f>IF(ABS(Y376-D376)&lt;0.000000001,4*$B$19*$B$20*(D376+273)^3,$B$19*$B$20*((Y376+273)^4-(D376+273)^4)/(Y376-D376))</f>
        <v/>
      </c>
      <c r="AA376">
        <f>$B$14*I376*(Y376-C376)</f>
        <v/>
      </c>
      <c r="AB376">
        <f>$B$14*Z376*(Y376-D376)</f>
        <v/>
      </c>
      <c r="AC376">
        <f>IF((U376-E376)/G376=0,0.001,(U376-E376)/G376)</f>
        <v/>
      </c>
      <c r="AD376">
        <f>F376-P376-J376-K376-AA376-AB376</f>
        <v/>
      </c>
      <c r="AE376">
        <f>AD376/AC376</f>
        <v/>
      </c>
      <c r="AF376">
        <f>IF(AD376&lt;=0,0,IF(AC376&lt;=0,$B$11,IF(AE376&gt;=1.7,$B$11,MIN(AD376/MAX(0.05,IF(AE376&gt;1,(2-AE376)^2/2,1-AE376^2/2)),$B$11))))</f>
        <v/>
      </c>
      <c r="AG376">
        <f>AG375*$B$28+AF376*(1-$B$28)</f>
        <v/>
      </c>
      <c r="AH376">
        <f>IF(AND(AD376&gt;0,AC376&lt;=0),0,AC376)</f>
        <v/>
      </c>
      <c r="AI376">
        <f>AH376/MAX(AG376,0.000001)</f>
        <v/>
      </c>
      <c r="AJ376">
        <f>MIN(IF(AI376&gt;=0.5,-AI376+SQRT(AI376^2+2),1),$B$12)</f>
        <v/>
      </c>
      <c r="AK376">
        <f>IF(AG376&lt;=0,0,AJ376*AH376)</f>
        <v/>
      </c>
      <c r="AL376">
        <f>IF(AD376&lt;=0,0,AD376)</f>
        <v/>
      </c>
      <c r="AM376">
        <f>AL376-AK376+P376</f>
        <v/>
      </c>
      <c r="AN376">
        <f>((AM376/$B$7+T375*AS375/2-T376*MAX(0.1,MIN(0.3,0.3-0.09*(AR375-36.8)))/2)+AR375*(1-AS375/2))/(1-MAX(0.1,MIN(0.3,0.3-0.09*(AR375-36.8)))/2)</f>
        <v/>
      </c>
      <c r="AO376">
        <f>((AM376/$B$7+T375*AS375/2-T376*MAX(0.1,MIN(0.3,0.3-0.09*(AN376-36.8)))/2)+AR375*(1-AS375/2))/(1-MAX(0.1,MIN(0.3,0.3-0.09*(AN376-36.8)))/2)</f>
        <v/>
      </c>
      <c r="AP376">
        <f>((AM376/$B$7+T375*AS375/2-T376*MAX(0.1,MIN(0.3,0.3-0.09*(AO376-36.8)))/2)+AR375*(1-AS375/2))/(1-MAX(0.1,MIN(0.3,0.3-0.09*(AO376-36.8)))/2)</f>
        <v/>
      </c>
      <c r="AQ376">
        <f>((AM376/$B$7+T375*AS375/2-T376*MAX(0.1,MIN(0.3,0.3-0.09*(AP376-36.8)))/2)+AR375*(1-AS375/2))/(1-MAX(0.1,MIN(0.3,0.3-0.09*(AP376-36.8)))/2)</f>
        <v/>
      </c>
      <c r="AR376">
        <f>((AM376/$B$7+T375*AS375/2-T376*MAX(0.1,MIN(0.3,0.3-0.09*(AQ376-36.8)))/2)+AR375*(1-AS375/2))/(1-MAX(0.1,MIN(0.3,0.3-0.09*(AQ376-36.8)))/2)</f>
        <v/>
      </c>
      <c r="AS376">
        <f>MAX(0.1,MIN(0.3,0.3-0.09*(AR376-36.8)))</f>
        <v/>
      </c>
      <c r="AT376">
        <f>AT375+(2*AR376-1.962*AT375-1.31)/9</f>
        <v/>
      </c>
      <c r="AU376">
        <f>AU375+AG376+K376</f>
        <v/>
      </c>
      <c r="AV376">
        <f>AU376*2.67*$B$6/1.8/60</f>
        <v/>
      </c>
      <c r="AW376">
        <f>IF(AT376&gt;=$B$36,1,0)</f>
        <v/>
      </c>
      <c r="AX376">
        <f>IF(AV376&gt;=$B$21,1,0)</f>
        <v/>
      </c>
    </row>
    <row r="377">
      <c r="A377" t="n">
        <v>304</v>
      </c>
      <c r="B377">
        <f>MATCH(A377-1,$D$61:$D$68,1)</f>
        <v/>
      </c>
      <c r="C377">
        <f>INDEX($G$61:$G$68,B377)</f>
        <v/>
      </c>
      <c r="D377">
        <f>INDEX($L$61:$L$68,B377)</f>
        <v/>
      </c>
      <c r="E377">
        <f>INDEX($M$61:$M$68,B377)</f>
        <v/>
      </c>
      <c r="F377">
        <f>INDEX($N$61:$N$68,B377)</f>
        <v/>
      </c>
      <c r="G377">
        <f>INDEX($AA$61:$AA$68,B377)</f>
        <v/>
      </c>
      <c r="H377">
        <f>INDEX($X$61:$X$68,B377)</f>
        <v/>
      </c>
      <c r="I377">
        <f>INDEX($AF$61:$AF$68,B377)</f>
        <v/>
      </c>
      <c r="J377">
        <f>INDEX($AC$61:$AC$68,B377)</f>
        <v/>
      </c>
      <c r="K377">
        <f>INDEX($AD$61:$AD$68,B377)</f>
        <v/>
      </c>
      <c r="L377">
        <f>INDEX($AG$61:$AG$68,B377)</f>
        <v/>
      </c>
      <c r="M377">
        <f>INDEX($AH$61:$AH$68,B377)</f>
        <v/>
      </c>
      <c r="N377">
        <f>INDEX($AI$61:$AI$68,B377)</f>
        <v/>
      </c>
      <c r="O377">
        <f>O376*$B$26+L377*(1-$B$26)</f>
        <v/>
      </c>
      <c r="P377">
        <f>$B$7*(O377-O376)*(1-AS376)</f>
        <v/>
      </c>
      <c r="Q377">
        <f>M377+0.51274*AT376</f>
        <v/>
      </c>
      <c r="R377">
        <f>N377+0.616*AT376</f>
        <v/>
      </c>
      <c r="S377">
        <f>IF($B$13&gt;=0.6,Q377,IF($B$13&lt;=0.2,R377,R377+2.5*(Q377-R377)*($B$13-0.2)))</f>
        <v/>
      </c>
      <c r="T377">
        <f>IF(A377=1,S377,T376*$B$27+S377*(1-$B$27))</f>
        <v/>
      </c>
      <c r="U377">
        <f>0.6105*EXP(17.27*T377/(T377+237.3))</f>
        <v/>
      </c>
      <c r="V377">
        <f>($B$14*(I377*C377+IF(ABS((D377+0.1)-D377)&lt;0.000000001,4*$B$19*$B$20*(D377+273)^3,$B$19*$B$20*(((D377+0.1)+273)^4-(D377+273)^4)/((D377+0.1)-D377))*D377)+T377/H377)/($B$14*(I377+IF(ABS((D377+0.1)-D377)&lt;0.000000001,4*$B$19*$B$20*(D377+273)^3,$B$19*$B$20*(((D377+0.1)+273)^4-(D377+273)^4)/((D377+0.1)-D377)))+1/H377)</f>
        <v/>
      </c>
      <c r="W377">
        <f>($B$14*(I377*C377+IF(ABS(V377-D377)&lt;0.000000001,4*$B$19*$B$20*(D377+273)^3,$B$19*$B$20*((V377+273)^4-(D377+273)^4)/(V377-D377))*D377)+T377/H377)/($B$14*(I377+IF(ABS(V377-D377)&lt;0.000000001,4*$B$19*$B$20*(D377+273)^3,$B$19*$B$20*((V377+273)^4-(D377+273)^4)/(V377-D377)))+1/H377)</f>
        <v/>
      </c>
      <c r="X377">
        <f>($B$14*(I377*C377+IF(ABS(W377-D377)&lt;0.000000001,4*$B$19*$B$20*(D377+273)^3,$B$19*$B$20*((W377+273)^4-(D377+273)^4)/(W377-D377))*D377)+T377/H377)/($B$14*(I377+IF(ABS(W377-D377)&lt;0.000000001,4*$B$19*$B$20*(D377+273)^3,$B$19*$B$20*((W377+273)^4-(D377+273)^4)/(W377-D377)))+1/H377)</f>
        <v/>
      </c>
      <c r="Y377">
        <f>($B$14*(I377*C377+IF(ABS(X377-D377)&lt;0.000000001,4*$B$19*$B$20*(D377+273)^3,$B$19*$B$20*((X377+273)^4-(D377+273)^4)/(X377-D377))*D377)+T377/H377)/($B$14*(I377+IF(ABS(X377-D377)&lt;0.000000001,4*$B$19*$B$20*(D377+273)^3,$B$19*$B$20*((X377+273)^4-(D377+273)^4)/(X377-D377)))+1/H377)</f>
        <v/>
      </c>
      <c r="Z377">
        <f>IF(ABS(Y377-D377)&lt;0.000000001,4*$B$19*$B$20*(D377+273)^3,$B$19*$B$20*((Y377+273)^4-(D377+273)^4)/(Y377-D377))</f>
        <v/>
      </c>
      <c r="AA377">
        <f>$B$14*I377*(Y377-C377)</f>
        <v/>
      </c>
      <c r="AB377">
        <f>$B$14*Z377*(Y377-D377)</f>
        <v/>
      </c>
      <c r="AC377">
        <f>IF((U377-E377)/G377=0,0.001,(U377-E377)/G377)</f>
        <v/>
      </c>
      <c r="AD377">
        <f>F377-P377-J377-K377-AA377-AB377</f>
        <v/>
      </c>
      <c r="AE377">
        <f>AD377/AC377</f>
        <v/>
      </c>
      <c r="AF377">
        <f>IF(AD377&lt;=0,0,IF(AC377&lt;=0,$B$11,IF(AE377&gt;=1.7,$B$11,MIN(AD377/MAX(0.05,IF(AE377&gt;1,(2-AE377)^2/2,1-AE377^2/2)),$B$11))))</f>
        <v/>
      </c>
      <c r="AG377">
        <f>AG376*$B$28+AF377*(1-$B$28)</f>
        <v/>
      </c>
      <c r="AH377">
        <f>IF(AND(AD377&gt;0,AC377&lt;=0),0,AC377)</f>
        <v/>
      </c>
      <c r="AI377">
        <f>AH377/MAX(AG377,0.000001)</f>
        <v/>
      </c>
      <c r="AJ377">
        <f>MIN(IF(AI377&gt;=0.5,-AI377+SQRT(AI377^2+2),1),$B$12)</f>
        <v/>
      </c>
      <c r="AK377">
        <f>IF(AG377&lt;=0,0,AJ377*AH377)</f>
        <v/>
      </c>
      <c r="AL377">
        <f>IF(AD377&lt;=0,0,AD377)</f>
        <v/>
      </c>
      <c r="AM377">
        <f>AL377-AK377+P377</f>
        <v/>
      </c>
      <c r="AN377">
        <f>((AM377/$B$7+T376*AS376/2-T377*MAX(0.1,MIN(0.3,0.3-0.09*(AR376-36.8)))/2)+AR376*(1-AS376/2))/(1-MAX(0.1,MIN(0.3,0.3-0.09*(AR376-36.8)))/2)</f>
        <v/>
      </c>
      <c r="AO377">
        <f>((AM377/$B$7+T376*AS376/2-T377*MAX(0.1,MIN(0.3,0.3-0.09*(AN377-36.8)))/2)+AR376*(1-AS376/2))/(1-MAX(0.1,MIN(0.3,0.3-0.09*(AN377-36.8)))/2)</f>
        <v/>
      </c>
      <c r="AP377">
        <f>((AM377/$B$7+T376*AS376/2-T377*MAX(0.1,MIN(0.3,0.3-0.09*(AO377-36.8)))/2)+AR376*(1-AS376/2))/(1-MAX(0.1,MIN(0.3,0.3-0.09*(AO377-36.8)))/2)</f>
        <v/>
      </c>
      <c r="AQ377">
        <f>((AM377/$B$7+T376*AS376/2-T377*MAX(0.1,MIN(0.3,0.3-0.09*(AP377-36.8)))/2)+AR376*(1-AS376/2))/(1-MAX(0.1,MIN(0.3,0.3-0.09*(AP377-36.8)))/2)</f>
        <v/>
      </c>
      <c r="AR377">
        <f>((AM377/$B$7+T376*AS376/2-T377*MAX(0.1,MIN(0.3,0.3-0.09*(AQ377-36.8)))/2)+AR376*(1-AS376/2))/(1-MAX(0.1,MIN(0.3,0.3-0.09*(AQ377-36.8)))/2)</f>
        <v/>
      </c>
      <c r="AS377">
        <f>MAX(0.1,MIN(0.3,0.3-0.09*(AR377-36.8)))</f>
        <v/>
      </c>
      <c r="AT377">
        <f>AT376+(2*AR377-1.962*AT376-1.31)/9</f>
        <v/>
      </c>
      <c r="AU377">
        <f>AU376+AG377+K377</f>
        <v/>
      </c>
      <c r="AV377">
        <f>AU377*2.67*$B$6/1.8/60</f>
        <v/>
      </c>
      <c r="AW377">
        <f>IF(AT377&gt;=$B$36,1,0)</f>
        <v/>
      </c>
      <c r="AX377">
        <f>IF(AV377&gt;=$B$21,1,0)</f>
        <v/>
      </c>
    </row>
    <row r="378">
      <c r="A378" t="n">
        <v>305</v>
      </c>
      <c r="B378">
        <f>MATCH(A378-1,$D$61:$D$68,1)</f>
        <v/>
      </c>
      <c r="C378">
        <f>INDEX($G$61:$G$68,B378)</f>
        <v/>
      </c>
      <c r="D378">
        <f>INDEX($L$61:$L$68,B378)</f>
        <v/>
      </c>
      <c r="E378">
        <f>INDEX($M$61:$M$68,B378)</f>
        <v/>
      </c>
      <c r="F378">
        <f>INDEX($N$61:$N$68,B378)</f>
        <v/>
      </c>
      <c r="G378">
        <f>INDEX($AA$61:$AA$68,B378)</f>
        <v/>
      </c>
      <c r="H378">
        <f>INDEX($X$61:$X$68,B378)</f>
        <v/>
      </c>
      <c r="I378">
        <f>INDEX($AF$61:$AF$68,B378)</f>
        <v/>
      </c>
      <c r="J378">
        <f>INDEX($AC$61:$AC$68,B378)</f>
        <v/>
      </c>
      <c r="K378">
        <f>INDEX($AD$61:$AD$68,B378)</f>
        <v/>
      </c>
      <c r="L378">
        <f>INDEX($AG$61:$AG$68,B378)</f>
        <v/>
      </c>
      <c r="M378">
        <f>INDEX($AH$61:$AH$68,B378)</f>
        <v/>
      </c>
      <c r="N378">
        <f>INDEX($AI$61:$AI$68,B378)</f>
        <v/>
      </c>
      <c r="O378">
        <f>O377*$B$26+L378*(1-$B$26)</f>
        <v/>
      </c>
      <c r="P378">
        <f>$B$7*(O378-O377)*(1-AS377)</f>
        <v/>
      </c>
      <c r="Q378">
        <f>M378+0.51274*AT377</f>
        <v/>
      </c>
      <c r="R378">
        <f>N378+0.616*AT377</f>
        <v/>
      </c>
      <c r="S378">
        <f>IF($B$13&gt;=0.6,Q378,IF($B$13&lt;=0.2,R378,R378+2.5*(Q378-R378)*($B$13-0.2)))</f>
        <v/>
      </c>
      <c r="T378">
        <f>IF(A378=1,S378,T377*$B$27+S378*(1-$B$27))</f>
        <v/>
      </c>
      <c r="U378">
        <f>0.6105*EXP(17.27*T378/(T378+237.3))</f>
        <v/>
      </c>
      <c r="V378">
        <f>($B$14*(I378*C378+IF(ABS((D378+0.1)-D378)&lt;0.000000001,4*$B$19*$B$20*(D378+273)^3,$B$19*$B$20*(((D378+0.1)+273)^4-(D378+273)^4)/((D378+0.1)-D378))*D378)+T378/H378)/($B$14*(I378+IF(ABS((D378+0.1)-D378)&lt;0.000000001,4*$B$19*$B$20*(D378+273)^3,$B$19*$B$20*(((D378+0.1)+273)^4-(D378+273)^4)/((D378+0.1)-D378)))+1/H378)</f>
        <v/>
      </c>
      <c r="W378">
        <f>($B$14*(I378*C378+IF(ABS(V378-D378)&lt;0.000000001,4*$B$19*$B$20*(D378+273)^3,$B$19*$B$20*((V378+273)^4-(D378+273)^4)/(V378-D378))*D378)+T378/H378)/($B$14*(I378+IF(ABS(V378-D378)&lt;0.000000001,4*$B$19*$B$20*(D378+273)^3,$B$19*$B$20*((V378+273)^4-(D378+273)^4)/(V378-D378)))+1/H378)</f>
        <v/>
      </c>
      <c r="X378">
        <f>($B$14*(I378*C378+IF(ABS(W378-D378)&lt;0.000000001,4*$B$19*$B$20*(D378+273)^3,$B$19*$B$20*((W378+273)^4-(D378+273)^4)/(W378-D378))*D378)+T378/H378)/($B$14*(I378+IF(ABS(W378-D378)&lt;0.000000001,4*$B$19*$B$20*(D378+273)^3,$B$19*$B$20*((W378+273)^4-(D378+273)^4)/(W378-D378)))+1/H378)</f>
        <v/>
      </c>
      <c r="Y378">
        <f>($B$14*(I378*C378+IF(ABS(X378-D378)&lt;0.000000001,4*$B$19*$B$20*(D378+273)^3,$B$19*$B$20*((X378+273)^4-(D378+273)^4)/(X378-D378))*D378)+T378/H378)/($B$14*(I378+IF(ABS(X378-D378)&lt;0.000000001,4*$B$19*$B$20*(D378+273)^3,$B$19*$B$20*((X378+273)^4-(D378+273)^4)/(X378-D378)))+1/H378)</f>
        <v/>
      </c>
      <c r="Z378">
        <f>IF(ABS(Y378-D378)&lt;0.000000001,4*$B$19*$B$20*(D378+273)^3,$B$19*$B$20*((Y378+273)^4-(D378+273)^4)/(Y378-D378))</f>
        <v/>
      </c>
      <c r="AA378">
        <f>$B$14*I378*(Y378-C378)</f>
        <v/>
      </c>
      <c r="AB378">
        <f>$B$14*Z378*(Y378-D378)</f>
        <v/>
      </c>
      <c r="AC378">
        <f>IF((U378-E378)/G378=0,0.001,(U378-E378)/G378)</f>
        <v/>
      </c>
      <c r="AD378">
        <f>F378-P378-J378-K378-AA378-AB378</f>
        <v/>
      </c>
      <c r="AE378">
        <f>AD378/AC378</f>
        <v/>
      </c>
      <c r="AF378">
        <f>IF(AD378&lt;=0,0,IF(AC378&lt;=0,$B$11,IF(AE378&gt;=1.7,$B$11,MIN(AD378/MAX(0.05,IF(AE378&gt;1,(2-AE378)^2/2,1-AE378^2/2)),$B$11))))</f>
        <v/>
      </c>
      <c r="AG378">
        <f>AG377*$B$28+AF378*(1-$B$28)</f>
        <v/>
      </c>
      <c r="AH378">
        <f>IF(AND(AD378&gt;0,AC378&lt;=0),0,AC378)</f>
        <v/>
      </c>
      <c r="AI378">
        <f>AH378/MAX(AG378,0.000001)</f>
        <v/>
      </c>
      <c r="AJ378">
        <f>MIN(IF(AI378&gt;=0.5,-AI378+SQRT(AI378^2+2),1),$B$12)</f>
        <v/>
      </c>
      <c r="AK378">
        <f>IF(AG378&lt;=0,0,AJ378*AH378)</f>
        <v/>
      </c>
      <c r="AL378">
        <f>IF(AD378&lt;=0,0,AD378)</f>
        <v/>
      </c>
      <c r="AM378">
        <f>AL378-AK378+P378</f>
        <v/>
      </c>
      <c r="AN378">
        <f>((AM378/$B$7+T377*AS377/2-T378*MAX(0.1,MIN(0.3,0.3-0.09*(AR377-36.8)))/2)+AR377*(1-AS377/2))/(1-MAX(0.1,MIN(0.3,0.3-0.09*(AR377-36.8)))/2)</f>
        <v/>
      </c>
      <c r="AO378">
        <f>((AM378/$B$7+T377*AS377/2-T378*MAX(0.1,MIN(0.3,0.3-0.09*(AN378-36.8)))/2)+AR377*(1-AS377/2))/(1-MAX(0.1,MIN(0.3,0.3-0.09*(AN378-36.8)))/2)</f>
        <v/>
      </c>
      <c r="AP378">
        <f>((AM378/$B$7+T377*AS377/2-T378*MAX(0.1,MIN(0.3,0.3-0.09*(AO378-36.8)))/2)+AR377*(1-AS377/2))/(1-MAX(0.1,MIN(0.3,0.3-0.09*(AO378-36.8)))/2)</f>
        <v/>
      </c>
      <c r="AQ378">
        <f>((AM378/$B$7+T377*AS377/2-T378*MAX(0.1,MIN(0.3,0.3-0.09*(AP378-36.8)))/2)+AR377*(1-AS377/2))/(1-MAX(0.1,MIN(0.3,0.3-0.09*(AP378-36.8)))/2)</f>
        <v/>
      </c>
      <c r="AR378">
        <f>((AM378/$B$7+T377*AS377/2-T378*MAX(0.1,MIN(0.3,0.3-0.09*(AQ378-36.8)))/2)+AR377*(1-AS377/2))/(1-MAX(0.1,MIN(0.3,0.3-0.09*(AQ378-36.8)))/2)</f>
        <v/>
      </c>
      <c r="AS378">
        <f>MAX(0.1,MIN(0.3,0.3-0.09*(AR378-36.8)))</f>
        <v/>
      </c>
      <c r="AT378">
        <f>AT377+(2*AR378-1.962*AT377-1.31)/9</f>
        <v/>
      </c>
      <c r="AU378">
        <f>AU377+AG378+K378</f>
        <v/>
      </c>
      <c r="AV378">
        <f>AU378*2.67*$B$6/1.8/60</f>
        <v/>
      </c>
      <c r="AW378">
        <f>IF(AT378&gt;=$B$36,1,0)</f>
        <v/>
      </c>
      <c r="AX378">
        <f>IF(AV378&gt;=$B$21,1,0)</f>
        <v/>
      </c>
    </row>
    <row r="379">
      <c r="A379" t="n">
        <v>306</v>
      </c>
      <c r="B379">
        <f>MATCH(A379-1,$D$61:$D$68,1)</f>
        <v/>
      </c>
      <c r="C379">
        <f>INDEX($G$61:$G$68,B379)</f>
        <v/>
      </c>
      <c r="D379">
        <f>INDEX($L$61:$L$68,B379)</f>
        <v/>
      </c>
      <c r="E379">
        <f>INDEX($M$61:$M$68,B379)</f>
        <v/>
      </c>
      <c r="F379">
        <f>INDEX($N$61:$N$68,B379)</f>
        <v/>
      </c>
      <c r="G379">
        <f>INDEX($AA$61:$AA$68,B379)</f>
        <v/>
      </c>
      <c r="H379">
        <f>INDEX($X$61:$X$68,B379)</f>
        <v/>
      </c>
      <c r="I379">
        <f>INDEX($AF$61:$AF$68,B379)</f>
        <v/>
      </c>
      <c r="J379">
        <f>INDEX($AC$61:$AC$68,B379)</f>
        <v/>
      </c>
      <c r="K379">
        <f>INDEX($AD$61:$AD$68,B379)</f>
        <v/>
      </c>
      <c r="L379">
        <f>INDEX($AG$61:$AG$68,B379)</f>
        <v/>
      </c>
      <c r="M379">
        <f>INDEX($AH$61:$AH$68,B379)</f>
        <v/>
      </c>
      <c r="N379">
        <f>INDEX($AI$61:$AI$68,B379)</f>
        <v/>
      </c>
      <c r="O379">
        <f>O378*$B$26+L379*(1-$B$26)</f>
        <v/>
      </c>
      <c r="P379">
        <f>$B$7*(O379-O378)*(1-AS378)</f>
        <v/>
      </c>
      <c r="Q379">
        <f>M379+0.51274*AT378</f>
        <v/>
      </c>
      <c r="R379">
        <f>N379+0.616*AT378</f>
        <v/>
      </c>
      <c r="S379">
        <f>IF($B$13&gt;=0.6,Q379,IF($B$13&lt;=0.2,R379,R379+2.5*(Q379-R379)*($B$13-0.2)))</f>
        <v/>
      </c>
      <c r="T379">
        <f>IF(A379=1,S379,T378*$B$27+S379*(1-$B$27))</f>
        <v/>
      </c>
      <c r="U379">
        <f>0.6105*EXP(17.27*T379/(T379+237.3))</f>
        <v/>
      </c>
      <c r="V379">
        <f>($B$14*(I379*C379+IF(ABS((D379+0.1)-D379)&lt;0.000000001,4*$B$19*$B$20*(D379+273)^3,$B$19*$B$20*(((D379+0.1)+273)^4-(D379+273)^4)/((D379+0.1)-D379))*D379)+T379/H379)/($B$14*(I379+IF(ABS((D379+0.1)-D379)&lt;0.000000001,4*$B$19*$B$20*(D379+273)^3,$B$19*$B$20*(((D379+0.1)+273)^4-(D379+273)^4)/((D379+0.1)-D379)))+1/H379)</f>
        <v/>
      </c>
      <c r="W379">
        <f>($B$14*(I379*C379+IF(ABS(V379-D379)&lt;0.000000001,4*$B$19*$B$20*(D379+273)^3,$B$19*$B$20*((V379+273)^4-(D379+273)^4)/(V379-D379))*D379)+T379/H379)/($B$14*(I379+IF(ABS(V379-D379)&lt;0.000000001,4*$B$19*$B$20*(D379+273)^3,$B$19*$B$20*((V379+273)^4-(D379+273)^4)/(V379-D379)))+1/H379)</f>
        <v/>
      </c>
      <c r="X379">
        <f>($B$14*(I379*C379+IF(ABS(W379-D379)&lt;0.000000001,4*$B$19*$B$20*(D379+273)^3,$B$19*$B$20*((W379+273)^4-(D379+273)^4)/(W379-D379))*D379)+T379/H379)/($B$14*(I379+IF(ABS(W379-D379)&lt;0.000000001,4*$B$19*$B$20*(D379+273)^3,$B$19*$B$20*((W379+273)^4-(D379+273)^4)/(W379-D379)))+1/H379)</f>
        <v/>
      </c>
      <c r="Y379">
        <f>($B$14*(I379*C379+IF(ABS(X379-D379)&lt;0.000000001,4*$B$19*$B$20*(D379+273)^3,$B$19*$B$20*((X379+273)^4-(D379+273)^4)/(X379-D379))*D379)+T379/H379)/($B$14*(I379+IF(ABS(X379-D379)&lt;0.000000001,4*$B$19*$B$20*(D379+273)^3,$B$19*$B$20*((X379+273)^4-(D379+273)^4)/(X379-D379)))+1/H379)</f>
        <v/>
      </c>
      <c r="Z379">
        <f>IF(ABS(Y379-D379)&lt;0.000000001,4*$B$19*$B$20*(D379+273)^3,$B$19*$B$20*((Y379+273)^4-(D379+273)^4)/(Y379-D379))</f>
        <v/>
      </c>
      <c r="AA379">
        <f>$B$14*I379*(Y379-C379)</f>
        <v/>
      </c>
      <c r="AB379">
        <f>$B$14*Z379*(Y379-D379)</f>
        <v/>
      </c>
      <c r="AC379">
        <f>IF((U379-E379)/G379=0,0.001,(U379-E379)/G379)</f>
        <v/>
      </c>
      <c r="AD379">
        <f>F379-P379-J379-K379-AA379-AB379</f>
        <v/>
      </c>
      <c r="AE379">
        <f>AD379/AC379</f>
        <v/>
      </c>
      <c r="AF379">
        <f>IF(AD379&lt;=0,0,IF(AC379&lt;=0,$B$11,IF(AE379&gt;=1.7,$B$11,MIN(AD379/MAX(0.05,IF(AE379&gt;1,(2-AE379)^2/2,1-AE379^2/2)),$B$11))))</f>
        <v/>
      </c>
      <c r="AG379">
        <f>AG378*$B$28+AF379*(1-$B$28)</f>
        <v/>
      </c>
      <c r="AH379">
        <f>IF(AND(AD379&gt;0,AC379&lt;=0),0,AC379)</f>
        <v/>
      </c>
      <c r="AI379">
        <f>AH379/MAX(AG379,0.000001)</f>
        <v/>
      </c>
      <c r="AJ379">
        <f>MIN(IF(AI379&gt;=0.5,-AI379+SQRT(AI379^2+2),1),$B$12)</f>
        <v/>
      </c>
      <c r="AK379">
        <f>IF(AG379&lt;=0,0,AJ379*AH379)</f>
        <v/>
      </c>
      <c r="AL379">
        <f>IF(AD379&lt;=0,0,AD379)</f>
        <v/>
      </c>
      <c r="AM379">
        <f>AL379-AK379+P379</f>
        <v/>
      </c>
      <c r="AN379">
        <f>((AM379/$B$7+T378*AS378/2-T379*MAX(0.1,MIN(0.3,0.3-0.09*(AR378-36.8)))/2)+AR378*(1-AS378/2))/(1-MAX(0.1,MIN(0.3,0.3-0.09*(AR378-36.8)))/2)</f>
        <v/>
      </c>
      <c r="AO379">
        <f>((AM379/$B$7+T378*AS378/2-T379*MAX(0.1,MIN(0.3,0.3-0.09*(AN379-36.8)))/2)+AR378*(1-AS378/2))/(1-MAX(0.1,MIN(0.3,0.3-0.09*(AN379-36.8)))/2)</f>
        <v/>
      </c>
      <c r="AP379">
        <f>((AM379/$B$7+T378*AS378/2-T379*MAX(0.1,MIN(0.3,0.3-0.09*(AO379-36.8)))/2)+AR378*(1-AS378/2))/(1-MAX(0.1,MIN(0.3,0.3-0.09*(AO379-36.8)))/2)</f>
        <v/>
      </c>
      <c r="AQ379">
        <f>((AM379/$B$7+T378*AS378/2-T379*MAX(0.1,MIN(0.3,0.3-0.09*(AP379-36.8)))/2)+AR378*(1-AS378/2))/(1-MAX(0.1,MIN(0.3,0.3-0.09*(AP379-36.8)))/2)</f>
        <v/>
      </c>
      <c r="AR379">
        <f>((AM379/$B$7+T378*AS378/2-T379*MAX(0.1,MIN(0.3,0.3-0.09*(AQ379-36.8)))/2)+AR378*(1-AS378/2))/(1-MAX(0.1,MIN(0.3,0.3-0.09*(AQ379-36.8)))/2)</f>
        <v/>
      </c>
      <c r="AS379">
        <f>MAX(0.1,MIN(0.3,0.3-0.09*(AR379-36.8)))</f>
        <v/>
      </c>
      <c r="AT379">
        <f>AT378+(2*AR379-1.962*AT378-1.31)/9</f>
        <v/>
      </c>
      <c r="AU379">
        <f>AU378+AG379+K379</f>
        <v/>
      </c>
      <c r="AV379">
        <f>AU379*2.67*$B$6/1.8/60</f>
        <v/>
      </c>
      <c r="AW379">
        <f>IF(AT379&gt;=$B$36,1,0)</f>
        <v/>
      </c>
      <c r="AX379">
        <f>IF(AV379&gt;=$B$21,1,0)</f>
        <v/>
      </c>
    </row>
    <row r="380">
      <c r="A380" t="n">
        <v>307</v>
      </c>
      <c r="B380">
        <f>MATCH(A380-1,$D$61:$D$68,1)</f>
        <v/>
      </c>
      <c r="C380">
        <f>INDEX($G$61:$G$68,B380)</f>
        <v/>
      </c>
      <c r="D380">
        <f>INDEX($L$61:$L$68,B380)</f>
        <v/>
      </c>
      <c r="E380">
        <f>INDEX($M$61:$M$68,B380)</f>
        <v/>
      </c>
      <c r="F380">
        <f>INDEX($N$61:$N$68,B380)</f>
        <v/>
      </c>
      <c r="G380">
        <f>INDEX($AA$61:$AA$68,B380)</f>
        <v/>
      </c>
      <c r="H380">
        <f>INDEX($X$61:$X$68,B380)</f>
        <v/>
      </c>
      <c r="I380">
        <f>INDEX($AF$61:$AF$68,B380)</f>
        <v/>
      </c>
      <c r="J380">
        <f>INDEX($AC$61:$AC$68,B380)</f>
        <v/>
      </c>
      <c r="K380">
        <f>INDEX($AD$61:$AD$68,B380)</f>
        <v/>
      </c>
      <c r="L380">
        <f>INDEX($AG$61:$AG$68,B380)</f>
        <v/>
      </c>
      <c r="M380">
        <f>INDEX($AH$61:$AH$68,B380)</f>
        <v/>
      </c>
      <c r="N380">
        <f>INDEX($AI$61:$AI$68,B380)</f>
        <v/>
      </c>
      <c r="O380">
        <f>O379*$B$26+L380*(1-$B$26)</f>
        <v/>
      </c>
      <c r="P380">
        <f>$B$7*(O380-O379)*(1-AS379)</f>
        <v/>
      </c>
      <c r="Q380">
        <f>M380+0.51274*AT379</f>
        <v/>
      </c>
      <c r="R380">
        <f>N380+0.616*AT379</f>
        <v/>
      </c>
      <c r="S380">
        <f>IF($B$13&gt;=0.6,Q380,IF($B$13&lt;=0.2,R380,R380+2.5*(Q380-R380)*($B$13-0.2)))</f>
        <v/>
      </c>
      <c r="T380">
        <f>IF(A380=1,S380,T379*$B$27+S380*(1-$B$27))</f>
        <v/>
      </c>
      <c r="U380">
        <f>0.6105*EXP(17.27*T380/(T380+237.3))</f>
        <v/>
      </c>
      <c r="V380">
        <f>($B$14*(I380*C380+IF(ABS((D380+0.1)-D380)&lt;0.000000001,4*$B$19*$B$20*(D380+273)^3,$B$19*$B$20*(((D380+0.1)+273)^4-(D380+273)^4)/((D380+0.1)-D380))*D380)+T380/H380)/($B$14*(I380+IF(ABS((D380+0.1)-D380)&lt;0.000000001,4*$B$19*$B$20*(D380+273)^3,$B$19*$B$20*(((D380+0.1)+273)^4-(D380+273)^4)/((D380+0.1)-D380)))+1/H380)</f>
        <v/>
      </c>
      <c r="W380">
        <f>($B$14*(I380*C380+IF(ABS(V380-D380)&lt;0.000000001,4*$B$19*$B$20*(D380+273)^3,$B$19*$B$20*((V380+273)^4-(D380+273)^4)/(V380-D380))*D380)+T380/H380)/($B$14*(I380+IF(ABS(V380-D380)&lt;0.000000001,4*$B$19*$B$20*(D380+273)^3,$B$19*$B$20*((V380+273)^4-(D380+273)^4)/(V380-D380)))+1/H380)</f>
        <v/>
      </c>
      <c r="X380">
        <f>($B$14*(I380*C380+IF(ABS(W380-D380)&lt;0.000000001,4*$B$19*$B$20*(D380+273)^3,$B$19*$B$20*((W380+273)^4-(D380+273)^4)/(W380-D380))*D380)+T380/H380)/($B$14*(I380+IF(ABS(W380-D380)&lt;0.000000001,4*$B$19*$B$20*(D380+273)^3,$B$19*$B$20*((W380+273)^4-(D380+273)^4)/(W380-D380)))+1/H380)</f>
        <v/>
      </c>
      <c r="Y380">
        <f>($B$14*(I380*C380+IF(ABS(X380-D380)&lt;0.000000001,4*$B$19*$B$20*(D380+273)^3,$B$19*$B$20*((X380+273)^4-(D380+273)^4)/(X380-D380))*D380)+T380/H380)/($B$14*(I380+IF(ABS(X380-D380)&lt;0.000000001,4*$B$19*$B$20*(D380+273)^3,$B$19*$B$20*((X380+273)^4-(D380+273)^4)/(X380-D380)))+1/H380)</f>
        <v/>
      </c>
      <c r="Z380">
        <f>IF(ABS(Y380-D380)&lt;0.000000001,4*$B$19*$B$20*(D380+273)^3,$B$19*$B$20*((Y380+273)^4-(D380+273)^4)/(Y380-D380))</f>
        <v/>
      </c>
      <c r="AA380">
        <f>$B$14*I380*(Y380-C380)</f>
        <v/>
      </c>
      <c r="AB380">
        <f>$B$14*Z380*(Y380-D380)</f>
        <v/>
      </c>
      <c r="AC380">
        <f>IF((U380-E380)/G380=0,0.001,(U380-E380)/G380)</f>
        <v/>
      </c>
      <c r="AD380">
        <f>F380-P380-J380-K380-AA380-AB380</f>
        <v/>
      </c>
      <c r="AE380">
        <f>AD380/AC380</f>
        <v/>
      </c>
      <c r="AF380">
        <f>IF(AD380&lt;=0,0,IF(AC380&lt;=0,$B$11,IF(AE380&gt;=1.7,$B$11,MIN(AD380/MAX(0.05,IF(AE380&gt;1,(2-AE380)^2/2,1-AE380^2/2)),$B$11))))</f>
        <v/>
      </c>
      <c r="AG380">
        <f>AG379*$B$28+AF380*(1-$B$28)</f>
        <v/>
      </c>
      <c r="AH380">
        <f>IF(AND(AD380&gt;0,AC380&lt;=0),0,AC380)</f>
        <v/>
      </c>
      <c r="AI380">
        <f>AH380/MAX(AG380,0.000001)</f>
        <v/>
      </c>
      <c r="AJ380">
        <f>MIN(IF(AI380&gt;=0.5,-AI380+SQRT(AI380^2+2),1),$B$12)</f>
        <v/>
      </c>
      <c r="AK380">
        <f>IF(AG380&lt;=0,0,AJ380*AH380)</f>
        <v/>
      </c>
      <c r="AL380">
        <f>IF(AD380&lt;=0,0,AD380)</f>
        <v/>
      </c>
      <c r="AM380">
        <f>AL380-AK380+P380</f>
        <v/>
      </c>
      <c r="AN380">
        <f>((AM380/$B$7+T379*AS379/2-T380*MAX(0.1,MIN(0.3,0.3-0.09*(AR379-36.8)))/2)+AR379*(1-AS379/2))/(1-MAX(0.1,MIN(0.3,0.3-0.09*(AR379-36.8)))/2)</f>
        <v/>
      </c>
      <c r="AO380">
        <f>((AM380/$B$7+T379*AS379/2-T380*MAX(0.1,MIN(0.3,0.3-0.09*(AN380-36.8)))/2)+AR379*(1-AS379/2))/(1-MAX(0.1,MIN(0.3,0.3-0.09*(AN380-36.8)))/2)</f>
        <v/>
      </c>
      <c r="AP380">
        <f>((AM380/$B$7+T379*AS379/2-T380*MAX(0.1,MIN(0.3,0.3-0.09*(AO380-36.8)))/2)+AR379*(1-AS379/2))/(1-MAX(0.1,MIN(0.3,0.3-0.09*(AO380-36.8)))/2)</f>
        <v/>
      </c>
      <c r="AQ380">
        <f>((AM380/$B$7+T379*AS379/2-T380*MAX(0.1,MIN(0.3,0.3-0.09*(AP380-36.8)))/2)+AR379*(1-AS379/2))/(1-MAX(0.1,MIN(0.3,0.3-0.09*(AP380-36.8)))/2)</f>
        <v/>
      </c>
      <c r="AR380">
        <f>((AM380/$B$7+T379*AS379/2-T380*MAX(0.1,MIN(0.3,0.3-0.09*(AQ380-36.8)))/2)+AR379*(1-AS379/2))/(1-MAX(0.1,MIN(0.3,0.3-0.09*(AQ380-36.8)))/2)</f>
        <v/>
      </c>
      <c r="AS380">
        <f>MAX(0.1,MIN(0.3,0.3-0.09*(AR380-36.8)))</f>
        <v/>
      </c>
      <c r="AT380">
        <f>AT379+(2*AR380-1.962*AT379-1.31)/9</f>
        <v/>
      </c>
      <c r="AU380">
        <f>AU379+AG380+K380</f>
        <v/>
      </c>
      <c r="AV380">
        <f>AU380*2.67*$B$6/1.8/60</f>
        <v/>
      </c>
      <c r="AW380">
        <f>IF(AT380&gt;=$B$36,1,0)</f>
        <v/>
      </c>
      <c r="AX380">
        <f>IF(AV380&gt;=$B$21,1,0)</f>
        <v/>
      </c>
    </row>
    <row r="381">
      <c r="A381" t="n">
        <v>308</v>
      </c>
      <c r="B381">
        <f>MATCH(A381-1,$D$61:$D$68,1)</f>
        <v/>
      </c>
      <c r="C381">
        <f>INDEX($G$61:$G$68,B381)</f>
        <v/>
      </c>
      <c r="D381">
        <f>INDEX($L$61:$L$68,B381)</f>
        <v/>
      </c>
      <c r="E381">
        <f>INDEX($M$61:$M$68,B381)</f>
        <v/>
      </c>
      <c r="F381">
        <f>INDEX($N$61:$N$68,B381)</f>
        <v/>
      </c>
      <c r="G381">
        <f>INDEX($AA$61:$AA$68,B381)</f>
        <v/>
      </c>
      <c r="H381">
        <f>INDEX($X$61:$X$68,B381)</f>
        <v/>
      </c>
      <c r="I381">
        <f>INDEX($AF$61:$AF$68,B381)</f>
        <v/>
      </c>
      <c r="J381">
        <f>INDEX($AC$61:$AC$68,B381)</f>
        <v/>
      </c>
      <c r="K381">
        <f>INDEX($AD$61:$AD$68,B381)</f>
        <v/>
      </c>
      <c r="L381">
        <f>INDEX($AG$61:$AG$68,B381)</f>
        <v/>
      </c>
      <c r="M381">
        <f>INDEX($AH$61:$AH$68,B381)</f>
        <v/>
      </c>
      <c r="N381">
        <f>INDEX($AI$61:$AI$68,B381)</f>
        <v/>
      </c>
      <c r="O381">
        <f>O380*$B$26+L381*(1-$B$26)</f>
        <v/>
      </c>
      <c r="P381">
        <f>$B$7*(O381-O380)*(1-AS380)</f>
        <v/>
      </c>
      <c r="Q381">
        <f>M381+0.51274*AT380</f>
        <v/>
      </c>
      <c r="R381">
        <f>N381+0.616*AT380</f>
        <v/>
      </c>
      <c r="S381">
        <f>IF($B$13&gt;=0.6,Q381,IF($B$13&lt;=0.2,R381,R381+2.5*(Q381-R381)*($B$13-0.2)))</f>
        <v/>
      </c>
      <c r="T381">
        <f>IF(A381=1,S381,T380*$B$27+S381*(1-$B$27))</f>
        <v/>
      </c>
      <c r="U381">
        <f>0.6105*EXP(17.27*T381/(T381+237.3))</f>
        <v/>
      </c>
      <c r="V381">
        <f>($B$14*(I381*C381+IF(ABS((D381+0.1)-D381)&lt;0.000000001,4*$B$19*$B$20*(D381+273)^3,$B$19*$B$20*(((D381+0.1)+273)^4-(D381+273)^4)/((D381+0.1)-D381))*D381)+T381/H381)/($B$14*(I381+IF(ABS((D381+0.1)-D381)&lt;0.000000001,4*$B$19*$B$20*(D381+273)^3,$B$19*$B$20*(((D381+0.1)+273)^4-(D381+273)^4)/((D381+0.1)-D381)))+1/H381)</f>
        <v/>
      </c>
      <c r="W381">
        <f>($B$14*(I381*C381+IF(ABS(V381-D381)&lt;0.000000001,4*$B$19*$B$20*(D381+273)^3,$B$19*$B$20*((V381+273)^4-(D381+273)^4)/(V381-D381))*D381)+T381/H381)/($B$14*(I381+IF(ABS(V381-D381)&lt;0.000000001,4*$B$19*$B$20*(D381+273)^3,$B$19*$B$20*((V381+273)^4-(D381+273)^4)/(V381-D381)))+1/H381)</f>
        <v/>
      </c>
      <c r="X381">
        <f>($B$14*(I381*C381+IF(ABS(W381-D381)&lt;0.000000001,4*$B$19*$B$20*(D381+273)^3,$B$19*$B$20*((W381+273)^4-(D381+273)^4)/(W381-D381))*D381)+T381/H381)/($B$14*(I381+IF(ABS(W381-D381)&lt;0.000000001,4*$B$19*$B$20*(D381+273)^3,$B$19*$B$20*((W381+273)^4-(D381+273)^4)/(W381-D381)))+1/H381)</f>
        <v/>
      </c>
      <c r="Y381">
        <f>($B$14*(I381*C381+IF(ABS(X381-D381)&lt;0.000000001,4*$B$19*$B$20*(D381+273)^3,$B$19*$B$20*((X381+273)^4-(D381+273)^4)/(X381-D381))*D381)+T381/H381)/($B$14*(I381+IF(ABS(X381-D381)&lt;0.000000001,4*$B$19*$B$20*(D381+273)^3,$B$19*$B$20*((X381+273)^4-(D381+273)^4)/(X381-D381)))+1/H381)</f>
        <v/>
      </c>
      <c r="Z381">
        <f>IF(ABS(Y381-D381)&lt;0.000000001,4*$B$19*$B$20*(D381+273)^3,$B$19*$B$20*((Y381+273)^4-(D381+273)^4)/(Y381-D381))</f>
        <v/>
      </c>
      <c r="AA381">
        <f>$B$14*I381*(Y381-C381)</f>
        <v/>
      </c>
      <c r="AB381">
        <f>$B$14*Z381*(Y381-D381)</f>
        <v/>
      </c>
      <c r="AC381">
        <f>IF((U381-E381)/G381=0,0.001,(U381-E381)/G381)</f>
        <v/>
      </c>
      <c r="AD381">
        <f>F381-P381-J381-K381-AA381-AB381</f>
        <v/>
      </c>
      <c r="AE381">
        <f>AD381/AC381</f>
        <v/>
      </c>
      <c r="AF381">
        <f>IF(AD381&lt;=0,0,IF(AC381&lt;=0,$B$11,IF(AE381&gt;=1.7,$B$11,MIN(AD381/MAX(0.05,IF(AE381&gt;1,(2-AE381)^2/2,1-AE381^2/2)),$B$11))))</f>
        <v/>
      </c>
      <c r="AG381">
        <f>AG380*$B$28+AF381*(1-$B$28)</f>
        <v/>
      </c>
      <c r="AH381">
        <f>IF(AND(AD381&gt;0,AC381&lt;=0),0,AC381)</f>
        <v/>
      </c>
      <c r="AI381">
        <f>AH381/MAX(AG381,0.000001)</f>
        <v/>
      </c>
      <c r="AJ381">
        <f>MIN(IF(AI381&gt;=0.5,-AI381+SQRT(AI381^2+2),1),$B$12)</f>
        <v/>
      </c>
      <c r="AK381">
        <f>IF(AG381&lt;=0,0,AJ381*AH381)</f>
        <v/>
      </c>
      <c r="AL381">
        <f>IF(AD381&lt;=0,0,AD381)</f>
        <v/>
      </c>
      <c r="AM381">
        <f>AL381-AK381+P381</f>
        <v/>
      </c>
      <c r="AN381">
        <f>((AM381/$B$7+T380*AS380/2-T381*MAX(0.1,MIN(0.3,0.3-0.09*(AR380-36.8)))/2)+AR380*(1-AS380/2))/(1-MAX(0.1,MIN(0.3,0.3-0.09*(AR380-36.8)))/2)</f>
        <v/>
      </c>
      <c r="AO381">
        <f>((AM381/$B$7+T380*AS380/2-T381*MAX(0.1,MIN(0.3,0.3-0.09*(AN381-36.8)))/2)+AR380*(1-AS380/2))/(1-MAX(0.1,MIN(0.3,0.3-0.09*(AN381-36.8)))/2)</f>
        <v/>
      </c>
      <c r="AP381">
        <f>((AM381/$B$7+T380*AS380/2-T381*MAX(0.1,MIN(0.3,0.3-0.09*(AO381-36.8)))/2)+AR380*(1-AS380/2))/(1-MAX(0.1,MIN(0.3,0.3-0.09*(AO381-36.8)))/2)</f>
        <v/>
      </c>
      <c r="AQ381">
        <f>((AM381/$B$7+T380*AS380/2-T381*MAX(0.1,MIN(0.3,0.3-0.09*(AP381-36.8)))/2)+AR380*(1-AS380/2))/(1-MAX(0.1,MIN(0.3,0.3-0.09*(AP381-36.8)))/2)</f>
        <v/>
      </c>
      <c r="AR381">
        <f>((AM381/$B$7+T380*AS380/2-T381*MAX(0.1,MIN(0.3,0.3-0.09*(AQ381-36.8)))/2)+AR380*(1-AS380/2))/(1-MAX(0.1,MIN(0.3,0.3-0.09*(AQ381-36.8)))/2)</f>
        <v/>
      </c>
      <c r="AS381">
        <f>MAX(0.1,MIN(0.3,0.3-0.09*(AR381-36.8)))</f>
        <v/>
      </c>
      <c r="AT381">
        <f>AT380+(2*AR381-1.962*AT380-1.31)/9</f>
        <v/>
      </c>
      <c r="AU381">
        <f>AU380+AG381+K381</f>
        <v/>
      </c>
      <c r="AV381">
        <f>AU381*2.67*$B$6/1.8/60</f>
        <v/>
      </c>
      <c r="AW381">
        <f>IF(AT381&gt;=$B$36,1,0)</f>
        <v/>
      </c>
      <c r="AX381">
        <f>IF(AV381&gt;=$B$21,1,0)</f>
        <v/>
      </c>
    </row>
    <row r="382">
      <c r="A382" t="n">
        <v>309</v>
      </c>
      <c r="B382">
        <f>MATCH(A382-1,$D$61:$D$68,1)</f>
        <v/>
      </c>
      <c r="C382">
        <f>INDEX($G$61:$G$68,B382)</f>
        <v/>
      </c>
      <c r="D382">
        <f>INDEX($L$61:$L$68,B382)</f>
        <v/>
      </c>
      <c r="E382">
        <f>INDEX($M$61:$M$68,B382)</f>
        <v/>
      </c>
      <c r="F382">
        <f>INDEX($N$61:$N$68,B382)</f>
        <v/>
      </c>
      <c r="G382">
        <f>INDEX($AA$61:$AA$68,B382)</f>
        <v/>
      </c>
      <c r="H382">
        <f>INDEX($X$61:$X$68,B382)</f>
        <v/>
      </c>
      <c r="I382">
        <f>INDEX($AF$61:$AF$68,B382)</f>
        <v/>
      </c>
      <c r="J382">
        <f>INDEX($AC$61:$AC$68,B382)</f>
        <v/>
      </c>
      <c r="K382">
        <f>INDEX($AD$61:$AD$68,B382)</f>
        <v/>
      </c>
      <c r="L382">
        <f>INDEX($AG$61:$AG$68,B382)</f>
        <v/>
      </c>
      <c r="M382">
        <f>INDEX($AH$61:$AH$68,B382)</f>
        <v/>
      </c>
      <c r="N382">
        <f>INDEX($AI$61:$AI$68,B382)</f>
        <v/>
      </c>
      <c r="O382">
        <f>O381*$B$26+L382*(1-$B$26)</f>
        <v/>
      </c>
      <c r="P382">
        <f>$B$7*(O382-O381)*(1-AS381)</f>
        <v/>
      </c>
      <c r="Q382">
        <f>M382+0.51274*AT381</f>
        <v/>
      </c>
      <c r="R382">
        <f>N382+0.616*AT381</f>
        <v/>
      </c>
      <c r="S382">
        <f>IF($B$13&gt;=0.6,Q382,IF($B$13&lt;=0.2,R382,R382+2.5*(Q382-R382)*($B$13-0.2)))</f>
        <v/>
      </c>
      <c r="T382">
        <f>IF(A382=1,S382,T381*$B$27+S382*(1-$B$27))</f>
        <v/>
      </c>
      <c r="U382">
        <f>0.6105*EXP(17.27*T382/(T382+237.3))</f>
        <v/>
      </c>
      <c r="V382">
        <f>($B$14*(I382*C382+IF(ABS((D382+0.1)-D382)&lt;0.000000001,4*$B$19*$B$20*(D382+273)^3,$B$19*$B$20*(((D382+0.1)+273)^4-(D382+273)^4)/((D382+0.1)-D382))*D382)+T382/H382)/($B$14*(I382+IF(ABS((D382+0.1)-D382)&lt;0.000000001,4*$B$19*$B$20*(D382+273)^3,$B$19*$B$20*(((D382+0.1)+273)^4-(D382+273)^4)/((D382+0.1)-D382)))+1/H382)</f>
        <v/>
      </c>
      <c r="W382">
        <f>($B$14*(I382*C382+IF(ABS(V382-D382)&lt;0.000000001,4*$B$19*$B$20*(D382+273)^3,$B$19*$B$20*((V382+273)^4-(D382+273)^4)/(V382-D382))*D382)+T382/H382)/($B$14*(I382+IF(ABS(V382-D382)&lt;0.000000001,4*$B$19*$B$20*(D382+273)^3,$B$19*$B$20*((V382+273)^4-(D382+273)^4)/(V382-D382)))+1/H382)</f>
        <v/>
      </c>
      <c r="X382">
        <f>($B$14*(I382*C382+IF(ABS(W382-D382)&lt;0.000000001,4*$B$19*$B$20*(D382+273)^3,$B$19*$B$20*((W382+273)^4-(D382+273)^4)/(W382-D382))*D382)+T382/H382)/($B$14*(I382+IF(ABS(W382-D382)&lt;0.000000001,4*$B$19*$B$20*(D382+273)^3,$B$19*$B$20*((W382+273)^4-(D382+273)^4)/(W382-D382)))+1/H382)</f>
        <v/>
      </c>
      <c r="Y382">
        <f>($B$14*(I382*C382+IF(ABS(X382-D382)&lt;0.000000001,4*$B$19*$B$20*(D382+273)^3,$B$19*$B$20*((X382+273)^4-(D382+273)^4)/(X382-D382))*D382)+T382/H382)/($B$14*(I382+IF(ABS(X382-D382)&lt;0.000000001,4*$B$19*$B$20*(D382+273)^3,$B$19*$B$20*((X382+273)^4-(D382+273)^4)/(X382-D382)))+1/H382)</f>
        <v/>
      </c>
      <c r="Z382">
        <f>IF(ABS(Y382-D382)&lt;0.000000001,4*$B$19*$B$20*(D382+273)^3,$B$19*$B$20*((Y382+273)^4-(D382+273)^4)/(Y382-D382))</f>
        <v/>
      </c>
      <c r="AA382">
        <f>$B$14*I382*(Y382-C382)</f>
        <v/>
      </c>
      <c r="AB382">
        <f>$B$14*Z382*(Y382-D382)</f>
        <v/>
      </c>
      <c r="AC382">
        <f>IF((U382-E382)/G382=0,0.001,(U382-E382)/G382)</f>
        <v/>
      </c>
      <c r="AD382">
        <f>F382-P382-J382-K382-AA382-AB382</f>
        <v/>
      </c>
      <c r="AE382">
        <f>AD382/AC382</f>
        <v/>
      </c>
      <c r="AF382">
        <f>IF(AD382&lt;=0,0,IF(AC382&lt;=0,$B$11,IF(AE382&gt;=1.7,$B$11,MIN(AD382/MAX(0.05,IF(AE382&gt;1,(2-AE382)^2/2,1-AE382^2/2)),$B$11))))</f>
        <v/>
      </c>
      <c r="AG382">
        <f>AG381*$B$28+AF382*(1-$B$28)</f>
        <v/>
      </c>
      <c r="AH382">
        <f>IF(AND(AD382&gt;0,AC382&lt;=0),0,AC382)</f>
        <v/>
      </c>
      <c r="AI382">
        <f>AH382/MAX(AG382,0.000001)</f>
        <v/>
      </c>
      <c r="AJ382">
        <f>MIN(IF(AI382&gt;=0.5,-AI382+SQRT(AI382^2+2),1),$B$12)</f>
        <v/>
      </c>
      <c r="AK382">
        <f>IF(AG382&lt;=0,0,AJ382*AH382)</f>
        <v/>
      </c>
      <c r="AL382">
        <f>IF(AD382&lt;=0,0,AD382)</f>
        <v/>
      </c>
      <c r="AM382">
        <f>AL382-AK382+P382</f>
        <v/>
      </c>
      <c r="AN382">
        <f>((AM382/$B$7+T381*AS381/2-T382*MAX(0.1,MIN(0.3,0.3-0.09*(AR381-36.8)))/2)+AR381*(1-AS381/2))/(1-MAX(0.1,MIN(0.3,0.3-0.09*(AR381-36.8)))/2)</f>
        <v/>
      </c>
      <c r="AO382">
        <f>((AM382/$B$7+T381*AS381/2-T382*MAX(0.1,MIN(0.3,0.3-0.09*(AN382-36.8)))/2)+AR381*(1-AS381/2))/(1-MAX(0.1,MIN(0.3,0.3-0.09*(AN382-36.8)))/2)</f>
        <v/>
      </c>
      <c r="AP382">
        <f>((AM382/$B$7+T381*AS381/2-T382*MAX(0.1,MIN(0.3,0.3-0.09*(AO382-36.8)))/2)+AR381*(1-AS381/2))/(1-MAX(0.1,MIN(0.3,0.3-0.09*(AO382-36.8)))/2)</f>
        <v/>
      </c>
      <c r="AQ382">
        <f>((AM382/$B$7+T381*AS381/2-T382*MAX(0.1,MIN(0.3,0.3-0.09*(AP382-36.8)))/2)+AR381*(1-AS381/2))/(1-MAX(0.1,MIN(0.3,0.3-0.09*(AP382-36.8)))/2)</f>
        <v/>
      </c>
      <c r="AR382">
        <f>((AM382/$B$7+T381*AS381/2-T382*MAX(0.1,MIN(0.3,0.3-0.09*(AQ382-36.8)))/2)+AR381*(1-AS381/2))/(1-MAX(0.1,MIN(0.3,0.3-0.09*(AQ382-36.8)))/2)</f>
        <v/>
      </c>
      <c r="AS382">
        <f>MAX(0.1,MIN(0.3,0.3-0.09*(AR382-36.8)))</f>
        <v/>
      </c>
      <c r="AT382">
        <f>AT381+(2*AR382-1.962*AT381-1.31)/9</f>
        <v/>
      </c>
      <c r="AU382">
        <f>AU381+AG382+K382</f>
        <v/>
      </c>
      <c r="AV382">
        <f>AU382*2.67*$B$6/1.8/60</f>
        <v/>
      </c>
      <c r="AW382">
        <f>IF(AT382&gt;=$B$36,1,0)</f>
        <v/>
      </c>
      <c r="AX382">
        <f>IF(AV382&gt;=$B$21,1,0)</f>
        <v/>
      </c>
    </row>
    <row r="383">
      <c r="A383" t="n">
        <v>310</v>
      </c>
      <c r="B383">
        <f>MATCH(A383-1,$D$61:$D$68,1)</f>
        <v/>
      </c>
      <c r="C383">
        <f>INDEX($G$61:$G$68,B383)</f>
        <v/>
      </c>
      <c r="D383">
        <f>INDEX($L$61:$L$68,B383)</f>
        <v/>
      </c>
      <c r="E383">
        <f>INDEX($M$61:$M$68,B383)</f>
        <v/>
      </c>
      <c r="F383">
        <f>INDEX($N$61:$N$68,B383)</f>
        <v/>
      </c>
      <c r="G383">
        <f>INDEX($AA$61:$AA$68,B383)</f>
        <v/>
      </c>
      <c r="H383">
        <f>INDEX($X$61:$X$68,B383)</f>
        <v/>
      </c>
      <c r="I383">
        <f>INDEX($AF$61:$AF$68,B383)</f>
        <v/>
      </c>
      <c r="J383">
        <f>INDEX($AC$61:$AC$68,B383)</f>
        <v/>
      </c>
      <c r="K383">
        <f>INDEX($AD$61:$AD$68,B383)</f>
        <v/>
      </c>
      <c r="L383">
        <f>INDEX($AG$61:$AG$68,B383)</f>
        <v/>
      </c>
      <c r="M383">
        <f>INDEX($AH$61:$AH$68,B383)</f>
        <v/>
      </c>
      <c r="N383">
        <f>INDEX($AI$61:$AI$68,B383)</f>
        <v/>
      </c>
      <c r="O383">
        <f>O382*$B$26+L383*(1-$B$26)</f>
        <v/>
      </c>
      <c r="P383">
        <f>$B$7*(O383-O382)*(1-AS382)</f>
        <v/>
      </c>
      <c r="Q383">
        <f>M383+0.51274*AT382</f>
        <v/>
      </c>
      <c r="R383">
        <f>N383+0.616*AT382</f>
        <v/>
      </c>
      <c r="S383">
        <f>IF($B$13&gt;=0.6,Q383,IF($B$13&lt;=0.2,R383,R383+2.5*(Q383-R383)*($B$13-0.2)))</f>
        <v/>
      </c>
      <c r="T383">
        <f>IF(A383=1,S383,T382*$B$27+S383*(1-$B$27))</f>
        <v/>
      </c>
      <c r="U383">
        <f>0.6105*EXP(17.27*T383/(T383+237.3))</f>
        <v/>
      </c>
      <c r="V383">
        <f>($B$14*(I383*C383+IF(ABS((D383+0.1)-D383)&lt;0.000000001,4*$B$19*$B$20*(D383+273)^3,$B$19*$B$20*(((D383+0.1)+273)^4-(D383+273)^4)/((D383+0.1)-D383))*D383)+T383/H383)/($B$14*(I383+IF(ABS((D383+0.1)-D383)&lt;0.000000001,4*$B$19*$B$20*(D383+273)^3,$B$19*$B$20*(((D383+0.1)+273)^4-(D383+273)^4)/((D383+0.1)-D383)))+1/H383)</f>
        <v/>
      </c>
      <c r="W383">
        <f>($B$14*(I383*C383+IF(ABS(V383-D383)&lt;0.000000001,4*$B$19*$B$20*(D383+273)^3,$B$19*$B$20*((V383+273)^4-(D383+273)^4)/(V383-D383))*D383)+T383/H383)/($B$14*(I383+IF(ABS(V383-D383)&lt;0.000000001,4*$B$19*$B$20*(D383+273)^3,$B$19*$B$20*((V383+273)^4-(D383+273)^4)/(V383-D383)))+1/H383)</f>
        <v/>
      </c>
      <c r="X383">
        <f>($B$14*(I383*C383+IF(ABS(W383-D383)&lt;0.000000001,4*$B$19*$B$20*(D383+273)^3,$B$19*$B$20*((W383+273)^4-(D383+273)^4)/(W383-D383))*D383)+T383/H383)/($B$14*(I383+IF(ABS(W383-D383)&lt;0.000000001,4*$B$19*$B$20*(D383+273)^3,$B$19*$B$20*((W383+273)^4-(D383+273)^4)/(W383-D383)))+1/H383)</f>
        <v/>
      </c>
      <c r="Y383">
        <f>($B$14*(I383*C383+IF(ABS(X383-D383)&lt;0.000000001,4*$B$19*$B$20*(D383+273)^3,$B$19*$B$20*((X383+273)^4-(D383+273)^4)/(X383-D383))*D383)+T383/H383)/($B$14*(I383+IF(ABS(X383-D383)&lt;0.000000001,4*$B$19*$B$20*(D383+273)^3,$B$19*$B$20*((X383+273)^4-(D383+273)^4)/(X383-D383)))+1/H383)</f>
        <v/>
      </c>
      <c r="Z383">
        <f>IF(ABS(Y383-D383)&lt;0.000000001,4*$B$19*$B$20*(D383+273)^3,$B$19*$B$20*((Y383+273)^4-(D383+273)^4)/(Y383-D383))</f>
        <v/>
      </c>
      <c r="AA383">
        <f>$B$14*I383*(Y383-C383)</f>
        <v/>
      </c>
      <c r="AB383">
        <f>$B$14*Z383*(Y383-D383)</f>
        <v/>
      </c>
      <c r="AC383">
        <f>IF((U383-E383)/G383=0,0.001,(U383-E383)/G383)</f>
        <v/>
      </c>
      <c r="AD383">
        <f>F383-P383-J383-K383-AA383-AB383</f>
        <v/>
      </c>
      <c r="AE383">
        <f>AD383/AC383</f>
        <v/>
      </c>
      <c r="AF383">
        <f>IF(AD383&lt;=0,0,IF(AC383&lt;=0,$B$11,IF(AE383&gt;=1.7,$B$11,MIN(AD383/MAX(0.05,IF(AE383&gt;1,(2-AE383)^2/2,1-AE383^2/2)),$B$11))))</f>
        <v/>
      </c>
      <c r="AG383">
        <f>AG382*$B$28+AF383*(1-$B$28)</f>
        <v/>
      </c>
      <c r="AH383">
        <f>IF(AND(AD383&gt;0,AC383&lt;=0),0,AC383)</f>
        <v/>
      </c>
      <c r="AI383">
        <f>AH383/MAX(AG383,0.000001)</f>
        <v/>
      </c>
      <c r="AJ383">
        <f>MIN(IF(AI383&gt;=0.5,-AI383+SQRT(AI383^2+2),1),$B$12)</f>
        <v/>
      </c>
      <c r="AK383">
        <f>IF(AG383&lt;=0,0,AJ383*AH383)</f>
        <v/>
      </c>
      <c r="AL383">
        <f>IF(AD383&lt;=0,0,AD383)</f>
        <v/>
      </c>
      <c r="AM383">
        <f>AL383-AK383+P383</f>
        <v/>
      </c>
      <c r="AN383">
        <f>((AM383/$B$7+T382*AS382/2-T383*MAX(0.1,MIN(0.3,0.3-0.09*(AR382-36.8)))/2)+AR382*(1-AS382/2))/(1-MAX(0.1,MIN(0.3,0.3-0.09*(AR382-36.8)))/2)</f>
        <v/>
      </c>
      <c r="AO383">
        <f>((AM383/$B$7+T382*AS382/2-T383*MAX(0.1,MIN(0.3,0.3-0.09*(AN383-36.8)))/2)+AR382*(1-AS382/2))/(1-MAX(0.1,MIN(0.3,0.3-0.09*(AN383-36.8)))/2)</f>
        <v/>
      </c>
      <c r="AP383">
        <f>((AM383/$B$7+T382*AS382/2-T383*MAX(0.1,MIN(0.3,0.3-0.09*(AO383-36.8)))/2)+AR382*(1-AS382/2))/(1-MAX(0.1,MIN(0.3,0.3-0.09*(AO383-36.8)))/2)</f>
        <v/>
      </c>
      <c r="AQ383">
        <f>((AM383/$B$7+T382*AS382/2-T383*MAX(0.1,MIN(0.3,0.3-0.09*(AP383-36.8)))/2)+AR382*(1-AS382/2))/(1-MAX(0.1,MIN(0.3,0.3-0.09*(AP383-36.8)))/2)</f>
        <v/>
      </c>
      <c r="AR383">
        <f>((AM383/$B$7+T382*AS382/2-T383*MAX(0.1,MIN(0.3,0.3-0.09*(AQ383-36.8)))/2)+AR382*(1-AS382/2))/(1-MAX(0.1,MIN(0.3,0.3-0.09*(AQ383-36.8)))/2)</f>
        <v/>
      </c>
      <c r="AS383">
        <f>MAX(0.1,MIN(0.3,0.3-0.09*(AR383-36.8)))</f>
        <v/>
      </c>
      <c r="AT383">
        <f>AT382+(2*AR383-1.962*AT382-1.31)/9</f>
        <v/>
      </c>
      <c r="AU383">
        <f>AU382+AG383+K383</f>
        <v/>
      </c>
      <c r="AV383">
        <f>AU383*2.67*$B$6/1.8/60</f>
        <v/>
      </c>
      <c r="AW383">
        <f>IF(AT383&gt;=$B$36,1,0)</f>
        <v/>
      </c>
      <c r="AX383">
        <f>IF(AV383&gt;=$B$21,1,0)</f>
        <v/>
      </c>
    </row>
    <row r="384">
      <c r="A384" t="n">
        <v>311</v>
      </c>
      <c r="B384">
        <f>MATCH(A384-1,$D$61:$D$68,1)</f>
        <v/>
      </c>
      <c r="C384">
        <f>INDEX($G$61:$G$68,B384)</f>
        <v/>
      </c>
      <c r="D384">
        <f>INDEX($L$61:$L$68,B384)</f>
        <v/>
      </c>
      <c r="E384">
        <f>INDEX($M$61:$M$68,B384)</f>
        <v/>
      </c>
      <c r="F384">
        <f>INDEX($N$61:$N$68,B384)</f>
        <v/>
      </c>
      <c r="G384">
        <f>INDEX($AA$61:$AA$68,B384)</f>
        <v/>
      </c>
      <c r="H384">
        <f>INDEX($X$61:$X$68,B384)</f>
        <v/>
      </c>
      <c r="I384">
        <f>INDEX($AF$61:$AF$68,B384)</f>
        <v/>
      </c>
      <c r="J384">
        <f>INDEX($AC$61:$AC$68,B384)</f>
        <v/>
      </c>
      <c r="K384">
        <f>INDEX($AD$61:$AD$68,B384)</f>
        <v/>
      </c>
      <c r="L384">
        <f>INDEX($AG$61:$AG$68,B384)</f>
        <v/>
      </c>
      <c r="M384">
        <f>INDEX($AH$61:$AH$68,B384)</f>
        <v/>
      </c>
      <c r="N384">
        <f>INDEX($AI$61:$AI$68,B384)</f>
        <v/>
      </c>
      <c r="O384">
        <f>O383*$B$26+L384*(1-$B$26)</f>
        <v/>
      </c>
      <c r="P384">
        <f>$B$7*(O384-O383)*(1-AS383)</f>
        <v/>
      </c>
      <c r="Q384">
        <f>M384+0.51274*AT383</f>
        <v/>
      </c>
      <c r="R384">
        <f>N384+0.616*AT383</f>
        <v/>
      </c>
      <c r="S384">
        <f>IF($B$13&gt;=0.6,Q384,IF($B$13&lt;=0.2,R384,R384+2.5*(Q384-R384)*($B$13-0.2)))</f>
        <v/>
      </c>
      <c r="T384">
        <f>IF(A384=1,S384,T383*$B$27+S384*(1-$B$27))</f>
        <v/>
      </c>
      <c r="U384">
        <f>0.6105*EXP(17.27*T384/(T384+237.3))</f>
        <v/>
      </c>
      <c r="V384">
        <f>($B$14*(I384*C384+IF(ABS((D384+0.1)-D384)&lt;0.000000001,4*$B$19*$B$20*(D384+273)^3,$B$19*$B$20*(((D384+0.1)+273)^4-(D384+273)^4)/((D384+0.1)-D384))*D384)+T384/H384)/($B$14*(I384+IF(ABS((D384+0.1)-D384)&lt;0.000000001,4*$B$19*$B$20*(D384+273)^3,$B$19*$B$20*(((D384+0.1)+273)^4-(D384+273)^4)/((D384+0.1)-D384)))+1/H384)</f>
        <v/>
      </c>
      <c r="W384">
        <f>($B$14*(I384*C384+IF(ABS(V384-D384)&lt;0.000000001,4*$B$19*$B$20*(D384+273)^3,$B$19*$B$20*((V384+273)^4-(D384+273)^4)/(V384-D384))*D384)+T384/H384)/($B$14*(I384+IF(ABS(V384-D384)&lt;0.000000001,4*$B$19*$B$20*(D384+273)^3,$B$19*$B$20*((V384+273)^4-(D384+273)^4)/(V384-D384)))+1/H384)</f>
        <v/>
      </c>
      <c r="X384">
        <f>($B$14*(I384*C384+IF(ABS(W384-D384)&lt;0.000000001,4*$B$19*$B$20*(D384+273)^3,$B$19*$B$20*((W384+273)^4-(D384+273)^4)/(W384-D384))*D384)+T384/H384)/($B$14*(I384+IF(ABS(W384-D384)&lt;0.000000001,4*$B$19*$B$20*(D384+273)^3,$B$19*$B$20*((W384+273)^4-(D384+273)^4)/(W384-D384)))+1/H384)</f>
        <v/>
      </c>
      <c r="Y384">
        <f>($B$14*(I384*C384+IF(ABS(X384-D384)&lt;0.000000001,4*$B$19*$B$20*(D384+273)^3,$B$19*$B$20*((X384+273)^4-(D384+273)^4)/(X384-D384))*D384)+T384/H384)/($B$14*(I384+IF(ABS(X384-D384)&lt;0.000000001,4*$B$19*$B$20*(D384+273)^3,$B$19*$B$20*((X384+273)^4-(D384+273)^4)/(X384-D384)))+1/H384)</f>
        <v/>
      </c>
      <c r="Z384">
        <f>IF(ABS(Y384-D384)&lt;0.000000001,4*$B$19*$B$20*(D384+273)^3,$B$19*$B$20*((Y384+273)^4-(D384+273)^4)/(Y384-D384))</f>
        <v/>
      </c>
      <c r="AA384">
        <f>$B$14*I384*(Y384-C384)</f>
        <v/>
      </c>
      <c r="AB384">
        <f>$B$14*Z384*(Y384-D384)</f>
        <v/>
      </c>
      <c r="AC384">
        <f>IF((U384-E384)/G384=0,0.001,(U384-E384)/G384)</f>
        <v/>
      </c>
      <c r="AD384">
        <f>F384-P384-J384-K384-AA384-AB384</f>
        <v/>
      </c>
      <c r="AE384">
        <f>AD384/AC384</f>
        <v/>
      </c>
      <c r="AF384">
        <f>IF(AD384&lt;=0,0,IF(AC384&lt;=0,$B$11,IF(AE384&gt;=1.7,$B$11,MIN(AD384/MAX(0.05,IF(AE384&gt;1,(2-AE384)^2/2,1-AE384^2/2)),$B$11))))</f>
        <v/>
      </c>
      <c r="AG384">
        <f>AG383*$B$28+AF384*(1-$B$28)</f>
        <v/>
      </c>
      <c r="AH384">
        <f>IF(AND(AD384&gt;0,AC384&lt;=0),0,AC384)</f>
        <v/>
      </c>
      <c r="AI384">
        <f>AH384/MAX(AG384,0.000001)</f>
        <v/>
      </c>
      <c r="AJ384">
        <f>MIN(IF(AI384&gt;=0.5,-AI384+SQRT(AI384^2+2),1),$B$12)</f>
        <v/>
      </c>
      <c r="AK384">
        <f>IF(AG384&lt;=0,0,AJ384*AH384)</f>
        <v/>
      </c>
      <c r="AL384">
        <f>IF(AD384&lt;=0,0,AD384)</f>
        <v/>
      </c>
      <c r="AM384">
        <f>AL384-AK384+P384</f>
        <v/>
      </c>
      <c r="AN384">
        <f>((AM384/$B$7+T383*AS383/2-T384*MAX(0.1,MIN(0.3,0.3-0.09*(AR383-36.8)))/2)+AR383*(1-AS383/2))/(1-MAX(0.1,MIN(0.3,0.3-0.09*(AR383-36.8)))/2)</f>
        <v/>
      </c>
      <c r="AO384">
        <f>((AM384/$B$7+T383*AS383/2-T384*MAX(0.1,MIN(0.3,0.3-0.09*(AN384-36.8)))/2)+AR383*(1-AS383/2))/(1-MAX(0.1,MIN(0.3,0.3-0.09*(AN384-36.8)))/2)</f>
        <v/>
      </c>
      <c r="AP384">
        <f>((AM384/$B$7+T383*AS383/2-T384*MAX(0.1,MIN(0.3,0.3-0.09*(AO384-36.8)))/2)+AR383*(1-AS383/2))/(1-MAX(0.1,MIN(0.3,0.3-0.09*(AO384-36.8)))/2)</f>
        <v/>
      </c>
      <c r="AQ384">
        <f>((AM384/$B$7+T383*AS383/2-T384*MAX(0.1,MIN(0.3,0.3-0.09*(AP384-36.8)))/2)+AR383*(1-AS383/2))/(1-MAX(0.1,MIN(0.3,0.3-0.09*(AP384-36.8)))/2)</f>
        <v/>
      </c>
      <c r="AR384">
        <f>((AM384/$B$7+T383*AS383/2-T384*MAX(0.1,MIN(0.3,0.3-0.09*(AQ384-36.8)))/2)+AR383*(1-AS383/2))/(1-MAX(0.1,MIN(0.3,0.3-0.09*(AQ384-36.8)))/2)</f>
        <v/>
      </c>
      <c r="AS384">
        <f>MAX(0.1,MIN(0.3,0.3-0.09*(AR384-36.8)))</f>
        <v/>
      </c>
      <c r="AT384">
        <f>AT383+(2*AR384-1.962*AT383-1.31)/9</f>
        <v/>
      </c>
      <c r="AU384">
        <f>AU383+AG384+K384</f>
        <v/>
      </c>
      <c r="AV384">
        <f>AU384*2.67*$B$6/1.8/60</f>
        <v/>
      </c>
      <c r="AW384">
        <f>IF(AT384&gt;=$B$36,1,0)</f>
        <v/>
      </c>
      <c r="AX384">
        <f>IF(AV384&gt;=$B$21,1,0)</f>
        <v/>
      </c>
    </row>
    <row r="385">
      <c r="A385" t="n">
        <v>312</v>
      </c>
      <c r="B385">
        <f>MATCH(A385-1,$D$61:$D$68,1)</f>
        <v/>
      </c>
      <c r="C385">
        <f>INDEX($G$61:$G$68,B385)</f>
        <v/>
      </c>
      <c r="D385">
        <f>INDEX($L$61:$L$68,B385)</f>
        <v/>
      </c>
      <c r="E385">
        <f>INDEX($M$61:$M$68,B385)</f>
        <v/>
      </c>
      <c r="F385">
        <f>INDEX($N$61:$N$68,B385)</f>
        <v/>
      </c>
      <c r="G385">
        <f>INDEX($AA$61:$AA$68,B385)</f>
        <v/>
      </c>
      <c r="H385">
        <f>INDEX($X$61:$X$68,B385)</f>
        <v/>
      </c>
      <c r="I385">
        <f>INDEX($AF$61:$AF$68,B385)</f>
        <v/>
      </c>
      <c r="J385">
        <f>INDEX($AC$61:$AC$68,B385)</f>
        <v/>
      </c>
      <c r="K385">
        <f>INDEX($AD$61:$AD$68,B385)</f>
        <v/>
      </c>
      <c r="L385">
        <f>INDEX($AG$61:$AG$68,B385)</f>
        <v/>
      </c>
      <c r="M385">
        <f>INDEX($AH$61:$AH$68,B385)</f>
        <v/>
      </c>
      <c r="N385">
        <f>INDEX($AI$61:$AI$68,B385)</f>
        <v/>
      </c>
      <c r="O385">
        <f>O384*$B$26+L385*(1-$B$26)</f>
        <v/>
      </c>
      <c r="P385">
        <f>$B$7*(O385-O384)*(1-AS384)</f>
        <v/>
      </c>
      <c r="Q385">
        <f>M385+0.51274*AT384</f>
        <v/>
      </c>
      <c r="R385">
        <f>N385+0.616*AT384</f>
        <v/>
      </c>
      <c r="S385">
        <f>IF($B$13&gt;=0.6,Q385,IF($B$13&lt;=0.2,R385,R385+2.5*(Q385-R385)*($B$13-0.2)))</f>
        <v/>
      </c>
      <c r="T385">
        <f>IF(A385=1,S385,T384*$B$27+S385*(1-$B$27))</f>
        <v/>
      </c>
      <c r="U385">
        <f>0.6105*EXP(17.27*T385/(T385+237.3))</f>
        <v/>
      </c>
      <c r="V385">
        <f>($B$14*(I385*C385+IF(ABS((D385+0.1)-D385)&lt;0.000000001,4*$B$19*$B$20*(D385+273)^3,$B$19*$B$20*(((D385+0.1)+273)^4-(D385+273)^4)/((D385+0.1)-D385))*D385)+T385/H385)/($B$14*(I385+IF(ABS((D385+0.1)-D385)&lt;0.000000001,4*$B$19*$B$20*(D385+273)^3,$B$19*$B$20*(((D385+0.1)+273)^4-(D385+273)^4)/((D385+0.1)-D385)))+1/H385)</f>
        <v/>
      </c>
      <c r="W385">
        <f>($B$14*(I385*C385+IF(ABS(V385-D385)&lt;0.000000001,4*$B$19*$B$20*(D385+273)^3,$B$19*$B$20*((V385+273)^4-(D385+273)^4)/(V385-D385))*D385)+T385/H385)/($B$14*(I385+IF(ABS(V385-D385)&lt;0.000000001,4*$B$19*$B$20*(D385+273)^3,$B$19*$B$20*((V385+273)^4-(D385+273)^4)/(V385-D385)))+1/H385)</f>
        <v/>
      </c>
      <c r="X385">
        <f>($B$14*(I385*C385+IF(ABS(W385-D385)&lt;0.000000001,4*$B$19*$B$20*(D385+273)^3,$B$19*$B$20*((W385+273)^4-(D385+273)^4)/(W385-D385))*D385)+T385/H385)/($B$14*(I385+IF(ABS(W385-D385)&lt;0.000000001,4*$B$19*$B$20*(D385+273)^3,$B$19*$B$20*((W385+273)^4-(D385+273)^4)/(W385-D385)))+1/H385)</f>
        <v/>
      </c>
      <c r="Y385">
        <f>($B$14*(I385*C385+IF(ABS(X385-D385)&lt;0.000000001,4*$B$19*$B$20*(D385+273)^3,$B$19*$B$20*((X385+273)^4-(D385+273)^4)/(X385-D385))*D385)+T385/H385)/($B$14*(I385+IF(ABS(X385-D385)&lt;0.000000001,4*$B$19*$B$20*(D385+273)^3,$B$19*$B$20*((X385+273)^4-(D385+273)^4)/(X385-D385)))+1/H385)</f>
        <v/>
      </c>
      <c r="Z385">
        <f>IF(ABS(Y385-D385)&lt;0.000000001,4*$B$19*$B$20*(D385+273)^3,$B$19*$B$20*((Y385+273)^4-(D385+273)^4)/(Y385-D385))</f>
        <v/>
      </c>
      <c r="AA385">
        <f>$B$14*I385*(Y385-C385)</f>
        <v/>
      </c>
      <c r="AB385">
        <f>$B$14*Z385*(Y385-D385)</f>
        <v/>
      </c>
      <c r="AC385">
        <f>IF((U385-E385)/G385=0,0.001,(U385-E385)/G385)</f>
        <v/>
      </c>
      <c r="AD385">
        <f>F385-P385-J385-K385-AA385-AB385</f>
        <v/>
      </c>
      <c r="AE385">
        <f>AD385/AC385</f>
        <v/>
      </c>
      <c r="AF385">
        <f>IF(AD385&lt;=0,0,IF(AC385&lt;=0,$B$11,IF(AE385&gt;=1.7,$B$11,MIN(AD385/MAX(0.05,IF(AE385&gt;1,(2-AE385)^2/2,1-AE385^2/2)),$B$11))))</f>
        <v/>
      </c>
      <c r="AG385">
        <f>AG384*$B$28+AF385*(1-$B$28)</f>
        <v/>
      </c>
      <c r="AH385">
        <f>IF(AND(AD385&gt;0,AC385&lt;=0),0,AC385)</f>
        <v/>
      </c>
      <c r="AI385">
        <f>AH385/MAX(AG385,0.000001)</f>
        <v/>
      </c>
      <c r="AJ385">
        <f>MIN(IF(AI385&gt;=0.5,-AI385+SQRT(AI385^2+2),1),$B$12)</f>
        <v/>
      </c>
      <c r="AK385">
        <f>IF(AG385&lt;=0,0,AJ385*AH385)</f>
        <v/>
      </c>
      <c r="AL385">
        <f>IF(AD385&lt;=0,0,AD385)</f>
        <v/>
      </c>
      <c r="AM385">
        <f>AL385-AK385+P385</f>
        <v/>
      </c>
      <c r="AN385">
        <f>((AM385/$B$7+T384*AS384/2-T385*MAX(0.1,MIN(0.3,0.3-0.09*(AR384-36.8)))/2)+AR384*(1-AS384/2))/(1-MAX(0.1,MIN(0.3,0.3-0.09*(AR384-36.8)))/2)</f>
        <v/>
      </c>
      <c r="AO385">
        <f>((AM385/$B$7+T384*AS384/2-T385*MAX(0.1,MIN(0.3,0.3-0.09*(AN385-36.8)))/2)+AR384*(1-AS384/2))/(1-MAX(0.1,MIN(0.3,0.3-0.09*(AN385-36.8)))/2)</f>
        <v/>
      </c>
      <c r="AP385">
        <f>((AM385/$B$7+T384*AS384/2-T385*MAX(0.1,MIN(0.3,0.3-0.09*(AO385-36.8)))/2)+AR384*(1-AS384/2))/(1-MAX(0.1,MIN(0.3,0.3-0.09*(AO385-36.8)))/2)</f>
        <v/>
      </c>
      <c r="AQ385">
        <f>((AM385/$B$7+T384*AS384/2-T385*MAX(0.1,MIN(0.3,0.3-0.09*(AP385-36.8)))/2)+AR384*(1-AS384/2))/(1-MAX(0.1,MIN(0.3,0.3-0.09*(AP385-36.8)))/2)</f>
        <v/>
      </c>
      <c r="AR385">
        <f>((AM385/$B$7+T384*AS384/2-T385*MAX(0.1,MIN(0.3,0.3-0.09*(AQ385-36.8)))/2)+AR384*(1-AS384/2))/(1-MAX(0.1,MIN(0.3,0.3-0.09*(AQ385-36.8)))/2)</f>
        <v/>
      </c>
      <c r="AS385">
        <f>MAX(0.1,MIN(0.3,0.3-0.09*(AR385-36.8)))</f>
        <v/>
      </c>
      <c r="AT385">
        <f>AT384+(2*AR385-1.962*AT384-1.31)/9</f>
        <v/>
      </c>
      <c r="AU385">
        <f>AU384+AG385+K385</f>
        <v/>
      </c>
      <c r="AV385">
        <f>AU385*2.67*$B$6/1.8/60</f>
        <v/>
      </c>
      <c r="AW385">
        <f>IF(AT385&gt;=$B$36,1,0)</f>
        <v/>
      </c>
      <c r="AX385">
        <f>IF(AV385&gt;=$B$21,1,0)</f>
        <v/>
      </c>
    </row>
    <row r="386">
      <c r="A386" t="n">
        <v>313</v>
      </c>
      <c r="B386">
        <f>MATCH(A386-1,$D$61:$D$68,1)</f>
        <v/>
      </c>
      <c r="C386">
        <f>INDEX($G$61:$G$68,B386)</f>
        <v/>
      </c>
      <c r="D386">
        <f>INDEX($L$61:$L$68,B386)</f>
        <v/>
      </c>
      <c r="E386">
        <f>INDEX($M$61:$M$68,B386)</f>
        <v/>
      </c>
      <c r="F386">
        <f>INDEX($N$61:$N$68,B386)</f>
        <v/>
      </c>
      <c r="G386">
        <f>INDEX($AA$61:$AA$68,B386)</f>
        <v/>
      </c>
      <c r="H386">
        <f>INDEX($X$61:$X$68,B386)</f>
        <v/>
      </c>
      <c r="I386">
        <f>INDEX($AF$61:$AF$68,B386)</f>
        <v/>
      </c>
      <c r="J386">
        <f>INDEX($AC$61:$AC$68,B386)</f>
        <v/>
      </c>
      <c r="K386">
        <f>INDEX($AD$61:$AD$68,B386)</f>
        <v/>
      </c>
      <c r="L386">
        <f>INDEX($AG$61:$AG$68,B386)</f>
        <v/>
      </c>
      <c r="M386">
        <f>INDEX($AH$61:$AH$68,B386)</f>
        <v/>
      </c>
      <c r="N386">
        <f>INDEX($AI$61:$AI$68,B386)</f>
        <v/>
      </c>
      <c r="O386">
        <f>O385*$B$26+L386*(1-$B$26)</f>
        <v/>
      </c>
      <c r="P386">
        <f>$B$7*(O386-O385)*(1-AS385)</f>
        <v/>
      </c>
      <c r="Q386">
        <f>M386+0.51274*AT385</f>
        <v/>
      </c>
      <c r="R386">
        <f>N386+0.616*AT385</f>
        <v/>
      </c>
      <c r="S386">
        <f>IF($B$13&gt;=0.6,Q386,IF($B$13&lt;=0.2,R386,R386+2.5*(Q386-R386)*($B$13-0.2)))</f>
        <v/>
      </c>
      <c r="T386">
        <f>IF(A386=1,S386,T385*$B$27+S386*(1-$B$27))</f>
        <v/>
      </c>
      <c r="U386">
        <f>0.6105*EXP(17.27*T386/(T386+237.3))</f>
        <v/>
      </c>
      <c r="V386">
        <f>($B$14*(I386*C386+IF(ABS((D386+0.1)-D386)&lt;0.000000001,4*$B$19*$B$20*(D386+273)^3,$B$19*$B$20*(((D386+0.1)+273)^4-(D386+273)^4)/((D386+0.1)-D386))*D386)+T386/H386)/($B$14*(I386+IF(ABS((D386+0.1)-D386)&lt;0.000000001,4*$B$19*$B$20*(D386+273)^3,$B$19*$B$20*(((D386+0.1)+273)^4-(D386+273)^4)/((D386+0.1)-D386)))+1/H386)</f>
        <v/>
      </c>
      <c r="W386">
        <f>($B$14*(I386*C386+IF(ABS(V386-D386)&lt;0.000000001,4*$B$19*$B$20*(D386+273)^3,$B$19*$B$20*((V386+273)^4-(D386+273)^4)/(V386-D386))*D386)+T386/H386)/($B$14*(I386+IF(ABS(V386-D386)&lt;0.000000001,4*$B$19*$B$20*(D386+273)^3,$B$19*$B$20*((V386+273)^4-(D386+273)^4)/(V386-D386)))+1/H386)</f>
        <v/>
      </c>
      <c r="X386">
        <f>($B$14*(I386*C386+IF(ABS(W386-D386)&lt;0.000000001,4*$B$19*$B$20*(D386+273)^3,$B$19*$B$20*((W386+273)^4-(D386+273)^4)/(W386-D386))*D386)+T386/H386)/($B$14*(I386+IF(ABS(W386-D386)&lt;0.000000001,4*$B$19*$B$20*(D386+273)^3,$B$19*$B$20*((W386+273)^4-(D386+273)^4)/(W386-D386)))+1/H386)</f>
        <v/>
      </c>
      <c r="Y386">
        <f>($B$14*(I386*C386+IF(ABS(X386-D386)&lt;0.000000001,4*$B$19*$B$20*(D386+273)^3,$B$19*$B$20*((X386+273)^4-(D386+273)^4)/(X386-D386))*D386)+T386/H386)/($B$14*(I386+IF(ABS(X386-D386)&lt;0.000000001,4*$B$19*$B$20*(D386+273)^3,$B$19*$B$20*((X386+273)^4-(D386+273)^4)/(X386-D386)))+1/H386)</f>
        <v/>
      </c>
      <c r="Z386">
        <f>IF(ABS(Y386-D386)&lt;0.000000001,4*$B$19*$B$20*(D386+273)^3,$B$19*$B$20*((Y386+273)^4-(D386+273)^4)/(Y386-D386))</f>
        <v/>
      </c>
      <c r="AA386">
        <f>$B$14*I386*(Y386-C386)</f>
        <v/>
      </c>
      <c r="AB386">
        <f>$B$14*Z386*(Y386-D386)</f>
        <v/>
      </c>
      <c r="AC386">
        <f>IF((U386-E386)/G386=0,0.001,(U386-E386)/G386)</f>
        <v/>
      </c>
      <c r="AD386">
        <f>F386-P386-J386-K386-AA386-AB386</f>
        <v/>
      </c>
      <c r="AE386">
        <f>AD386/AC386</f>
        <v/>
      </c>
      <c r="AF386">
        <f>IF(AD386&lt;=0,0,IF(AC386&lt;=0,$B$11,IF(AE386&gt;=1.7,$B$11,MIN(AD386/MAX(0.05,IF(AE386&gt;1,(2-AE386)^2/2,1-AE386^2/2)),$B$11))))</f>
        <v/>
      </c>
      <c r="AG386">
        <f>AG385*$B$28+AF386*(1-$B$28)</f>
        <v/>
      </c>
      <c r="AH386">
        <f>IF(AND(AD386&gt;0,AC386&lt;=0),0,AC386)</f>
        <v/>
      </c>
      <c r="AI386">
        <f>AH386/MAX(AG386,0.000001)</f>
        <v/>
      </c>
      <c r="AJ386">
        <f>MIN(IF(AI386&gt;=0.5,-AI386+SQRT(AI386^2+2),1),$B$12)</f>
        <v/>
      </c>
      <c r="AK386">
        <f>IF(AG386&lt;=0,0,AJ386*AH386)</f>
        <v/>
      </c>
      <c r="AL386">
        <f>IF(AD386&lt;=0,0,AD386)</f>
        <v/>
      </c>
      <c r="AM386">
        <f>AL386-AK386+P386</f>
        <v/>
      </c>
      <c r="AN386">
        <f>((AM386/$B$7+T385*AS385/2-T386*MAX(0.1,MIN(0.3,0.3-0.09*(AR385-36.8)))/2)+AR385*(1-AS385/2))/(1-MAX(0.1,MIN(0.3,0.3-0.09*(AR385-36.8)))/2)</f>
        <v/>
      </c>
      <c r="AO386">
        <f>((AM386/$B$7+T385*AS385/2-T386*MAX(0.1,MIN(0.3,0.3-0.09*(AN386-36.8)))/2)+AR385*(1-AS385/2))/(1-MAX(0.1,MIN(0.3,0.3-0.09*(AN386-36.8)))/2)</f>
        <v/>
      </c>
      <c r="AP386">
        <f>((AM386/$B$7+T385*AS385/2-T386*MAX(0.1,MIN(0.3,0.3-0.09*(AO386-36.8)))/2)+AR385*(1-AS385/2))/(1-MAX(0.1,MIN(0.3,0.3-0.09*(AO386-36.8)))/2)</f>
        <v/>
      </c>
      <c r="AQ386">
        <f>((AM386/$B$7+T385*AS385/2-T386*MAX(0.1,MIN(0.3,0.3-0.09*(AP386-36.8)))/2)+AR385*(1-AS385/2))/(1-MAX(0.1,MIN(0.3,0.3-0.09*(AP386-36.8)))/2)</f>
        <v/>
      </c>
      <c r="AR386">
        <f>((AM386/$B$7+T385*AS385/2-T386*MAX(0.1,MIN(0.3,0.3-0.09*(AQ386-36.8)))/2)+AR385*(1-AS385/2))/(1-MAX(0.1,MIN(0.3,0.3-0.09*(AQ386-36.8)))/2)</f>
        <v/>
      </c>
      <c r="AS386">
        <f>MAX(0.1,MIN(0.3,0.3-0.09*(AR386-36.8)))</f>
        <v/>
      </c>
      <c r="AT386">
        <f>AT385+(2*AR386-1.962*AT385-1.31)/9</f>
        <v/>
      </c>
      <c r="AU386">
        <f>AU385+AG386+K386</f>
        <v/>
      </c>
      <c r="AV386">
        <f>AU386*2.67*$B$6/1.8/60</f>
        <v/>
      </c>
      <c r="AW386">
        <f>IF(AT386&gt;=$B$36,1,0)</f>
        <v/>
      </c>
      <c r="AX386">
        <f>IF(AV386&gt;=$B$21,1,0)</f>
        <v/>
      </c>
    </row>
    <row r="387">
      <c r="A387" t="n">
        <v>314</v>
      </c>
      <c r="B387">
        <f>MATCH(A387-1,$D$61:$D$68,1)</f>
        <v/>
      </c>
      <c r="C387">
        <f>INDEX($G$61:$G$68,B387)</f>
        <v/>
      </c>
      <c r="D387">
        <f>INDEX($L$61:$L$68,B387)</f>
        <v/>
      </c>
      <c r="E387">
        <f>INDEX($M$61:$M$68,B387)</f>
        <v/>
      </c>
      <c r="F387">
        <f>INDEX($N$61:$N$68,B387)</f>
        <v/>
      </c>
      <c r="G387">
        <f>INDEX($AA$61:$AA$68,B387)</f>
        <v/>
      </c>
      <c r="H387">
        <f>INDEX($X$61:$X$68,B387)</f>
        <v/>
      </c>
      <c r="I387">
        <f>INDEX($AF$61:$AF$68,B387)</f>
        <v/>
      </c>
      <c r="J387">
        <f>INDEX($AC$61:$AC$68,B387)</f>
        <v/>
      </c>
      <c r="K387">
        <f>INDEX($AD$61:$AD$68,B387)</f>
        <v/>
      </c>
      <c r="L387">
        <f>INDEX($AG$61:$AG$68,B387)</f>
        <v/>
      </c>
      <c r="M387">
        <f>INDEX($AH$61:$AH$68,B387)</f>
        <v/>
      </c>
      <c r="N387">
        <f>INDEX($AI$61:$AI$68,B387)</f>
        <v/>
      </c>
      <c r="O387">
        <f>O386*$B$26+L387*(1-$B$26)</f>
        <v/>
      </c>
      <c r="P387">
        <f>$B$7*(O387-O386)*(1-AS386)</f>
        <v/>
      </c>
      <c r="Q387">
        <f>M387+0.51274*AT386</f>
        <v/>
      </c>
      <c r="R387">
        <f>N387+0.616*AT386</f>
        <v/>
      </c>
      <c r="S387">
        <f>IF($B$13&gt;=0.6,Q387,IF($B$13&lt;=0.2,R387,R387+2.5*(Q387-R387)*($B$13-0.2)))</f>
        <v/>
      </c>
      <c r="T387">
        <f>IF(A387=1,S387,T386*$B$27+S387*(1-$B$27))</f>
        <v/>
      </c>
      <c r="U387">
        <f>0.6105*EXP(17.27*T387/(T387+237.3))</f>
        <v/>
      </c>
      <c r="V387">
        <f>($B$14*(I387*C387+IF(ABS((D387+0.1)-D387)&lt;0.000000001,4*$B$19*$B$20*(D387+273)^3,$B$19*$B$20*(((D387+0.1)+273)^4-(D387+273)^4)/((D387+0.1)-D387))*D387)+T387/H387)/($B$14*(I387+IF(ABS((D387+0.1)-D387)&lt;0.000000001,4*$B$19*$B$20*(D387+273)^3,$B$19*$B$20*(((D387+0.1)+273)^4-(D387+273)^4)/((D387+0.1)-D387)))+1/H387)</f>
        <v/>
      </c>
      <c r="W387">
        <f>($B$14*(I387*C387+IF(ABS(V387-D387)&lt;0.000000001,4*$B$19*$B$20*(D387+273)^3,$B$19*$B$20*((V387+273)^4-(D387+273)^4)/(V387-D387))*D387)+T387/H387)/($B$14*(I387+IF(ABS(V387-D387)&lt;0.000000001,4*$B$19*$B$20*(D387+273)^3,$B$19*$B$20*((V387+273)^4-(D387+273)^4)/(V387-D387)))+1/H387)</f>
        <v/>
      </c>
      <c r="X387">
        <f>($B$14*(I387*C387+IF(ABS(W387-D387)&lt;0.000000001,4*$B$19*$B$20*(D387+273)^3,$B$19*$B$20*((W387+273)^4-(D387+273)^4)/(W387-D387))*D387)+T387/H387)/($B$14*(I387+IF(ABS(W387-D387)&lt;0.000000001,4*$B$19*$B$20*(D387+273)^3,$B$19*$B$20*((W387+273)^4-(D387+273)^4)/(W387-D387)))+1/H387)</f>
        <v/>
      </c>
      <c r="Y387">
        <f>($B$14*(I387*C387+IF(ABS(X387-D387)&lt;0.000000001,4*$B$19*$B$20*(D387+273)^3,$B$19*$B$20*((X387+273)^4-(D387+273)^4)/(X387-D387))*D387)+T387/H387)/($B$14*(I387+IF(ABS(X387-D387)&lt;0.000000001,4*$B$19*$B$20*(D387+273)^3,$B$19*$B$20*((X387+273)^4-(D387+273)^4)/(X387-D387)))+1/H387)</f>
        <v/>
      </c>
      <c r="Z387">
        <f>IF(ABS(Y387-D387)&lt;0.000000001,4*$B$19*$B$20*(D387+273)^3,$B$19*$B$20*((Y387+273)^4-(D387+273)^4)/(Y387-D387))</f>
        <v/>
      </c>
      <c r="AA387">
        <f>$B$14*I387*(Y387-C387)</f>
        <v/>
      </c>
      <c r="AB387">
        <f>$B$14*Z387*(Y387-D387)</f>
        <v/>
      </c>
      <c r="AC387">
        <f>IF((U387-E387)/G387=0,0.001,(U387-E387)/G387)</f>
        <v/>
      </c>
      <c r="AD387">
        <f>F387-P387-J387-K387-AA387-AB387</f>
        <v/>
      </c>
      <c r="AE387">
        <f>AD387/AC387</f>
        <v/>
      </c>
      <c r="AF387">
        <f>IF(AD387&lt;=0,0,IF(AC387&lt;=0,$B$11,IF(AE387&gt;=1.7,$B$11,MIN(AD387/MAX(0.05,IF(AE387&gt;1,(2-AE387)^2/2,1-AE387^2/2)),$B$11))))</f>
        <v/>
      </c>
      <c r="AG387">
        <f>AG386*$B$28+AF387*(1-$B$28)</f>
        <v/>
      </c>
      <c r="AH387">
        <f>IF(AND(AD387&gt;0,AC387&lt;=0),0,AC387)</f>
        <v/>
      </c>
      <c r="AI387">
        <f>AH387/MAX(AG387,0.000001)</f>
        <v/>
      </c>
      <c r="AJ387">
        <f>MIN(IF(AI387&gt;=0.5,-AI387+SQRT(AI387^2+2),1),$B$12)</f>
        <v/>
      </c>
      <c r="AK387">
        <f>IF(AG387&lt;=0,0,AJ387*AH387)</f>
        <v/>
      </c>
      <c r="AL387">
        <f>IF(AD387&lt;=0,0,AD387)</f>
        <v/>
      </c>
      <c r="AM387">
        <f>AL387-AK387+P387</f>
        <v/>
      </c>
      <c r="AN387">
        <f>((AM387/$B$7+T386*AS386/2-T387*MAX(0.1,MIN(0.3,0.3-0.09*(AR386-36.8)))/2)+AR386*(1-AS386/2))/(1-MAX(0.1,MIN(0.3,0.3-0.09*(AR386-36.8)))/2)</f>
        <v/>
      </c>
      <c r="AO387">
        <f>((AM387/$B$7+T386*AS386/2-T387*MAX(0.1,MIN(0.3,0.3-0.09*(AN387-36.8)))/2)+AR386*(1-AS386/2))/(1-MAX(0.1,MIN(0.3,0.3-0.09*(AN387-36.8)))/2)</f>
        <v/>
      </c>
      <c r="AP387">
        <f>((AM387/$B$7+T386*AS386/2-T387*MAX(0.1,MIN(0.3,0.3-0.09*(AO387-36.8)))/2)+AR386*(1-AS386/2))/(1-MAX(0.1,MIN(0.3,0.3-0.09*(AO387-36.8)))/2)</f>
        <v/>
      </c>
      <c r="AQ387">
        <f>((AM387/$B$7+T386*AS386/2-T387*MAX(0.1,MIN(0.3,0.3-0.09*(AP387-36.8)))/2)+AR386*(1-AS386/2))/(1-MAX(0.1,MIN(0.3,0.3-0.09*(AP387-36.8)))/2)</f>
        <v/>
      </c>
      <c r="AR387">
        <f>((AM387/$B$7+T386*AS386/2-T387*MAX(0.1,MIN(0.3,0.3-0.09*(AQ387-36.8)))/2)+AR386*(1-AS386/2))/(1-MAX(0.1,MIN(0.3,0.3-0.09*(AQ387-36.8)))/2)</f>
        <v/>
      </c>
      <c r="AS387">
        <f>MAX(0.1,MIN(0.3,0.3-0.09*(AR387-36.8)))</f>
        <v/>
      </c>
      <c r="AT387">
        <f>AT386+(2*AR387-1.962*AT386-1.31)/9</f>
        <v/>
      </c>
      <c r="AU387">
        <f>AU386+AG387+K387</f>
        <v/>
      </c>
      <c r="AV387">
        <f>AU387*2.67*$B$6/1.8/60</f>
        <v/>
      </c>
      <c r="AW387">
        <f>IF(AT387&gt;=$B$36,1,0)</f>
        <v/>
      </c>
      <c r="AX387">
        <f>IF(AV387&gt;=$B$21,1,0)</f>
        <v/>
      </c>
    </row>
    <row r="388">
      <c r="A388" t="n">
        <v>315</v>
      </c>
      <c r="B388">
        <f>MATCH(A388-1,$D$61:$D$68,1)</f>
        <v/>
      </c>
      <c r="C388">
        <f>INDEX($G$61:$G$68,B388)</f>
        <v/>
      </c>
      <c r="D388">
        <f>INDEX($L$61:$L$68,B388)</f>
        <v/>
      </c>
      <c r="E388">
        <f>INDEX($M$61:$M$68,B388)</f>
        <v/>
      </c>
      <c r="F388">
        <f>INDEX($N$61:$N$68,B388)</f>
        <v/>
      </c>
      <c r="G388">
        <f>INDEX($AA$61:$AA$68,B388)</f>
        <v/>
      </c>
      <c r="H388">
        <f>INDEX($X$61:$X$68,B388)</f>
        <v/>
      </c>
      <c r="I388">
        <f>INDEX($AF$61:$AF$68,B388)</f>
        <v/>
      </c>
      <c r="J388">
        <f>INDEX($AC$61:$AC$68,B388)</f>
        <v/>
      </c>
      <c r="K388">
        <f>INDEX($AD$61:$AD$68,B388)</f>
        <v/>
      </c>
      <c r="L388">
        <f>INDEX($AG$61:$AG$68,B388)</f>
        <v/>
      </c>
      <c r="M388">
        <f>INDEX($AH$61:$AH$68,B388)</f>
        <v/>
      </c>
      <c r="N388">
        <f>INDEX($AI$61:$AI$68,B388)</f>
        <v/>
      </c>
      <c r="O388">
        <f>O387*$B$26+L388*(1-$B$26)</f>
        <v/>
      </c>
      <c r="P388">
        <f>$B$7*(O388-O387)*(1-AS387)</f>
        <v/>
      </c>
      <c r="Q388">
        <f>M388+0.51274*AT387</f>
        <v/>
      </c>
      <c r="R388">
        <f>N388+0.616*AT387</f>
        <v/>
      </c>
      <c r="S388">
        <f>IF($B$13&gt;=0.6,Q388,IF($B$13&lt;=0.2,R388,R388+2.5*(Q388-R388)*($B$13-0.2)))</f>
        <v/>
      </c>
      <c r="T388">
        <f>IF(A388=1,S388,T387*$B$27+S388*(1-$B$27))</f>
        <v/>
      </c>
      <c r="U388">
        <f>0.6105*EXP(17.27*T388/(T388+237.3))</f>
        <v/>
      </c>
      <c r="V388">
        <f>($B$14*(I388*C388+IF(ABS((D388+0.1)-D388)&lt;0.000000001,4*$B$19*$B$20*(D388+273)^3,$B$19*$B$20*(((D388+0.1)+273)^4-(D388+273)^4)/((D388+0.1)-D388))*D388)+T388/H388)/($B$14*(I388+IF(ABS((D388+0.1)-D388)&lt;0.000000001,4*$B$19*$B$20*(D388+273)^3,$B$19*$B$20*(((D388+0.1)+273)^4-(D388+273)^4)/((D388+0.1)-D388)))+1/H388)</f>
        <v/>
      </c>
      <c r="W388">
        <f>($B$14*(I388*C388+IF(ABS(V388-D388)&lt;0.000000001,4*$B$19*$B$20*(D388+273)^3,$B$19*$B$20*((V388+273)^4-(D388+273)^4)/(V388-D388))*D388)+T388/H388)/($B$14*(I388+IF(ABS(V388-D388)&lt;0.000000001,4*$B$19*$B$20*(D388+273)^3,$B$19*$B$20*((V388+273)^4-(D388+273)^4)/(V388-D388)))+1/H388)</f>
        <v/>
      </c>
      <c r="X388">
        <f>($B$14*(I388*C388+IF(ABS(W388-D388)&lt;0.000000001,4*$B$19*$B$20*(D388+273)^3,$B$19*$B$20*((W388+273)^4-(D388+273)^4)/(W388-D388))*D388)+T388/H388)/($B$14*(I388+IF(ABS(W388-D388)&lt;0.000000001,4*$B$19*$B$20*(D388+273)^3,$B$19*$B$20*((W388+273)^4-(D388+273)^4)/(W388-D388)))+1/H388)</f>
        <v/>
      </c>
      <c r="Y388">
        <f>($B$14*(I388*C388+IF(ABS(X388-D388)&lt;0.000000001,4*$B$19*$B$20*(D388+273)^3,$B$19*$B$20*((X388+273)^4-(D388+273)^4)/(X388-D388))*D388)+T388/H388)/($B$14*(I388+IF(ABS(X388-D388)&lt;0.000000001,4*$B$19*$B$20*(D388+273)^3,$B$19*$B$20*((X388+273)^4-(D388+273)^4)/(X388-D388)))+1/H388)</f>
        <v/>
      </c>
      <c r="Z388">
        <f>IF(ABS(Y388-D388)&lt;0.000000001,4*$B$19*$B$20*(D388+273)^3,$B$19*$B$20*((Y388+273)^4-(D388+273)^4)/(Y388-D388))</f>
        <v/>
      </c>
      <c r="AA388">
        <f>$B$14*I388*(Y388-C388)</f>
        <v/>
      </c>
      <c r="AB388">
        <f>$B$14*Z388*(Y388-D388)</f>
        <v/>
      </c>
      <c r="AC388">
        <f>IF((U388-E388)/G388=0,0.001,(U388-E388)/G388)</f>
        <v/>
      </c>
      <c r="AD388">
        <f>F388-P388-J388-K388-AA388-AB388</f>
        <v/>
      </c>
      <c r="AE388">
        <f>AD388/AC388</f>
        <v/>
      </c>
      <c r="AF388">
        <f>IF(AD388&lt;=0,0,IF(AC388&lt;=0,$B$11,IF(AE388&gt;=1.7,$B$11,MIN(AD388/MAX(0.05,IF(AE388&gt;1,(2-AE388)^2/2,1-AE388^2/2)),$B$11))))</f>
        <v/>
      </c>
      <c r="AG388">
        <f>AG387*$B$28+AF388*(1-$B$28)</f>
        <v/>
      </c>
      <c r="AH388">
        <f>IF(AND(AD388&gt;0,AC388&lt;=0),0,AC388)</f>
        <v/>
      </c>
      <c r="AI388">
        <f>AH388/MAX(AG388,0.000001)</f>
        <v/>
      </c>
      <c r="AJ388">
        <f>MIN(IF(AI388&gt;=0.5,-AI388+SQRT(AI388^2+2),1),$B$12)</f>
        <v/>
      </c>
      <c r="AK388">
        <f>IF(AG388&lt;=0,0,AJ388*AH388)</f>
        <v/>
      </c>
      <c r="AL388">
        <f>IF(AD388&lt;=0,0,AD388)</f>
        <v/>
      </c>
      <c r="AM388">
        <f>AL388-AK388+P388</f>
        <v/>
      </c>
      <c r="AN388">
        <f>((AM388/$B$7+T387*AS387/2-T388*MAX(0.1,MIN(0.3,0.3-0.09*(AR387-36.8)))/2)+AR387*(1-AS387/2))/(1-MAX(0.1,MIN(0.3,0.3-0.09*(AR387-36.8)))/2)</f>
        <v/>
      </c>
      <c r="AO388">
        <f>((AM388/$B$7+T387*AS387/2-T388*MAX(0.1,MIN(0.3,0.3-0.09*(AN388-36.8)))/2)+AR387*(1-AS387/2))/(1-MAX(0.1,MIN(0.3,0.3-0.09*(AN388-36.8)))/2)</f>
        <v/>
      </c>
      <c r="AP388">
        <f>((AM388/$B$7+T387*AS387/2-T388*MAX(0.1,MIN(0.3,0.3-0.09*(AO388-36.8)))/2)+AR387*(1-AS387/2))/(1-MAX(0.1,MIN(0.3,0.3-0.09*(AO388-36.8)))/2)</f>
        <v/>
      </c>
      <c r="AQ388">
        <f>((AM388/$B$7+T387*AS387/2-T388*MAX(0.1,MIN(0.3,0.3-0.09*(AP388-36.8)))/2)+AR387*(1-AS387/2))/(1-MAX(0.1,MIN(0.3,0.3-0.09*(AP388-36.8)))/2)</f>
        <v/>
      </c>
      <c r="AR388">
        <f>((AM388/$B$7+T387*AS387/2-T388*MAX(0.1,MIN(0.3,0.3-0.09*(AQ388-36.8)))/2)+AR387*(1-AS387/2))/(1-MAX(0.1,MIN(0.3,0.3-0.09*(AQ388-36.8)))/2)</f>
        <v/>
      </c>
      <c r="AS388">
        <f>MAX(0.1,MIN(0.3,0.3-0.09*(AR388-36.8)))</f>
        <v/>
      </c>
      <c r="AT388">
        <f>AT387+(2*AR388-1.962*AT387-1.31)/9</f>
        <v/>
      </c>
      <c r="AU388">
        <f>AU387+AG388+K388</f>
        <v/>
      </c>
      <c r="AV388">
        <f>AU388*2.67*$B$6/1.8/60</f>
        <v/>
      </c>
      <c r="AW388">
        <f>IF(AT388&gt;=$B$36,1,0)</f>
        <v/>
      </c>
      <c r="AX388">
        <f>IF(AV388&gt;=$B$21,1,0)</f>
        <v/>
      </c>
    </row>
    <row r="389">
      <c r="A389" t="n">
        <v>316</v>
      </c>
      <c r="B389">
        <f>MATCH(A389-1,$D$61:$D$68,1)</f>
        <v/>
      </c>
      <c r="C389">
        <f>INDEX($G$61:$G$68,B389)</f>
        <v/>
      </c>
      <c r="D389">
        <f>INDEX($L$61:$L$68,B389)</f>
        <v/>
      </c>
      <c r="E389">
        <f>INDEX($M$61:$M$68,B389)</f>
        <v/>
      </c>
      <c r="F389">
        <f>INDEX($N$61:$N$68,B389)</f>
        <v/>
      </c>
      <c r="G389">
        <f>INDEX($AA$61:$AA$68,B389)</f>
        <v/>
      </c>
      <c r="H389">
        <f>INDEX($X$61:$X$68,B389)</f>
        <v/>
      </c>
      <c r="I389">
        <f>INDEX($AF$61:$AF$68,B389)</f>
        <v/>
      </c>
      <c r="J389">
        <f>INDEX($AC$61:$AC$68,B389)</f>
        <v/>
      </c>
      <c r="K389">
        <f>INDEX($AD$61:$AD$68,B389)</f>
        <v/>
      </c>
      <c r="L389">
        <f>INDEX($AG$61:$AG$68,B389)</f>
        <v/>
      </c>
      <c r="M389">
        <f>INDEX($AH$61:$AH$68,B389)</f>
        <v/>
      </c>
      <c r="N389">
        <f>INDEX($AI$61:$AI$68,B389)</f>
        <v/>
      </c>
      <c r="O389">
        <f>O388*$B$26+L389*(1-$B$26)</f>
        <v/>
      </c>
      <c r="P389">
        <f>$B$7*(O389-O388)*(1-AS388)</f>
        <v/>
      </c>
      <c r="Q389">
        <f>M389+0.51274*AT388</f>
        <v/>
      </c>
      <c r="R389">
        <f>N389+0.616*AT388</f>
        <v/>
      </c>
      <c r="S389">
        <f>IF($B$13&gt;=0.6,Q389,IF($B$13&lt;=0.2,R389,R389+2.5*(Q389-R389)*($B$13-0.2)))</f>
        <v/>
      </c>
      <c r="T389">
        <f>IF(A389=1,S389,T388*$B$27+S389*(1-$B$27))</f>
        <v/>
      </c>
      <c r="U389">
        <f>0.6105*EXP(17.27*T389/(T389+237.3))</f>
        <v/>
      </c>
      <c r="V389">
        <f>($B$14*(I389*C389+IF(ABS((D389+0.1)-D389)&lt;0.000000001,4*$B$19*$B$20*(D389+273)^3,$B$19*$B$20*(((D389+0.1)+273)^4-(D389+273)^4)/((D389+0.1)-D389))*D389)+T389/H389)/($B$14*(I389+IF(ABS((D389+0.1)-D389)&lt;0.000000001,4*$B$19*$B$20*(D389+273)^3,$B$19*$B$20*(((D389+0.1)+273)^4-(D389+273)^4)/((D389+0.1)-D389)))+1/H389)</f>
        <v/>
      </c>
      <c r="W389">
        <f>($B$14*(I389*C389+IF(ABS(V389-D389)&lt;0.000000001,4*$B$19*$B$20*(D389+273)^3,$B$19*$B$20*((V389+273)^4-(D389+273)^4)/(V389-D389))*D389)+T389/H389)/($B$14*(I389+IF(ABS(V389-D389)&lt;0.000000001,4*$B$19*$B$20*(D389+273)^3,$B$19*$B$20*((V389+273)^4-(D389+273)^4)/(V389-D389)))+1/H389)</f>
        <v/>
      </c>
      <c r="X389">
        <f>($B$14*(I389*C389+IF(ABS(W389-D389)&lt;0.000000001,4*$B$19*$B$20*(D389+273)^3,$B$19*$B$20*((W389+273)^4-(D389+273)^4)/(W389-D389))*D389)+T389/H389)/($B$14*(I389+IF(ABS(W389-D389)&lt;0.000000001,4*$B$19*$B$20*(D389+273)^3,$B$19*$B$20*((W389+273)^4-(D389+273)^4)/(W389-D389)))+1/H389)</f>
        <v/>
      </c>
      <c r="Y389">
        <f>($B$14*(I389*C389+IF(ABS(X389-D389)&lt;0.000000001,4*$B$19*$B$20*(D389+273)^3,$B$19*$B$20*((X389+273)^4-(D389+273)^4)/(X389-D389))*D389)+T389/H389)/($B$14*(I389+IF(ABS(X389-D389)&lt;0.000000001,4*$B$19*$B$20*(D389+273)^3,$B$19*$B$20*((X389+273)^4-(D389+273)^4)/(X389-D389)))+1/H389)</f>
        <v/>
      </c>
      <c r="Z389">
        <f>IF(ABS(Y389-D389)&lt;0.000000001,4*$B$19*$B$20*(D389+273)^3,$B$19*$B$20*((Y389+273)^4-(D389+273)^4)/(Y389-D389))</f>
        <v/>
      </c>
      <c r="AA389">
        <f>$B$14*I389*(Y389-C389)</f>
        <v/>
      </c>
      <c r="AB389">
        <f>$B$14*Z389*(Y389-D389)</f>
        <v/>
      </c>
      <c r="AC389">
        <f>IF((U389-E389)/G389=0,0.001,(U389-E389)/G389)</f>
        <v/>
      </c>
      <c r="AD389">
        <f>F389-P389-J389-K389-AA389-AB389</f>
        <v/>
      </c>
      <c r="AE389">
        <f>AD389/AC389</f>
        <v/>
      </c>
      <c r="AF389">
        <f>IF(AD389&lt;=0,0,IF(AC389&lt;=0,$B$11,IF(AE389&gt;=1.7,$B$11,MIN(AD389/MAX(0.05,IF(AE389&gt;1,(2-AE389)^2/2,1-AE389^2/2)),$B$11))))</f>
        <v/>
      </c>
      <c r="AG389">
        <f>AG388*$B$28+AF389*(1-$B$28)</f>
        <v/>
      </c>
      <c r="AH389">
        <f>IF(AND(AD389&gt;0,AC389&lt;=0),0,AC389)</f>
        <v/>
      </c>
      <c r="AI389">
        <f>AH389/MAX(AG389,0.000001)</f>
        <v/>
      </c>
      <c r="AJ389">
        <f>MIN(IF(AI389&gt;=0.5,-AI389+SQRT(AI389^2+2),1),$B$12)</f>
        <v/>
      </c>
      <c r="AK389">
        <f>IF(AG389&lt;=0,0,AJ389*AH389)</f>
        <v/>
      </c>
      <c r="AL389">
        <f>IF(AD389&lt;=0,0,AD389)</f>
        <v/>
      </c>
      <c r="AM389">
        <f>AL389-AK389+P389</f>
        <v/>
      </c>
      <c r="AN389">
        <f>((AM389/$B$7+T388*AS388/2-T389*MAX(0.1,MIN(0.3,0.3-0.09*(AR388-36.8)))/2)+AR388*(1-AS388/2))/(1-MAX(0.1,MIN(0.3,0.3-0.09*(AR388-36.8)))/2)</f>
        <v/>
      </c>
      <c r="AO389">
        <f>((AM389/$B$7+T388*AS388/2-T389*MAX(0.1,MIN(0.3,0.3-0.09*(AN389-36.8)))/2)+AR388*(1-AS388/2))/(1-MAX(0.1,MIN(0.3,0.3-0.09*(AN389-36.8)))/2)</f>
        <v/>
      </c>
      <c r="AP389">
        <f>((AM389/$B$7+T388*AS388/2-T389*MAX(0.1,MIN(0.3,0.3-0.09*(AO389-36.8)))/2)+AR388*(1-AS388/2))/(1-MAX(0.1,MIN(0.3,0.3-0.09*(AO389-36.8)))/2)</f>
        <v/>
      </c>
      <c r="AQ389">
        <f>((AM389/$B$7+T388*AS388/2-T389*MAX(0.1,MIN(0.3,0.3-0.09*(AP389-36.8)))/2)+AR388*(1-AS388/2))/(1-MAX(0.1,MIN(0.3,0.3-0.09*(AP389-36.8)))/2)</f>
        <v/>
      </c>
      <c r="AR389">
        <f>((AM389/$B$7+T388*AS388/2-T389*MAX(0.1,MIN(0.3,0.3-0.09*(AQ389-36.8)))/2)+AR388*(1-AS388/2))/(1-MAX(0.1,MIN(0.3,0.3-0.09*(AQ389-36.8)))/2)</f>
        <v/>
      </c>
      <c r="AS389">
        <f>MAX(0.1,MIN(0.3,0.3-0.09*(AR389-36.8)))</f>
        <v/>
      </c>
      <c r="AT389">
        <f>AT388+(2*AR389-1.962*AT388-1.31)/9</f>
        <v/>
      </c>
      <c r="AU389">
        <f>AU388+AG389+K389</f>
        <v/>
      </c>
      <c r="AV389">
        <f>AU389*2.67*$B$6/1.8/60</f>
        <v/>
      </c>
      <c r="AW389">
        <f>IF(AT389&gt;=$B$36,1,0)</f>
        <v/>
      </c>
      <c r="AX389">
        <f>IF(AV389&gt;=$B$21,1,0)</f>
        <v/>
      </c>
    </row>
    <row r="390">
      <c r="A390" t="n">
        <v>317</v>
      </c>
      <c r="B390">
        <f>MATCH(A390-1,$D$61:$D$68,1)</f>
        <v/>
      </c>
      <c r="C390">
        <f>INDEX($G$61:$G$68,B390)</f>
        <v/>
      </c>
      <c r="D390">
        <f>INDEX($L$61:$L$68,B390)</f>
        <v/>
      </c>
      <c r="E390">
        <f>INDEX($M$61:$M$68,B390)</f>
        <v/>
      </c>
      <c r="F390">
        <f>INDEX($N$61:$N$68,B390)</f>
        <v/>
      </c>
      <c r="G390">
        <f>INDEX($AA$61:$AA$68,B390)</f>
        <v/>
      </c>
      <c r="H390">
        <f>INDEX($X$61:$X$68,B390)</f>
        <v/>
      </c>
      <c r="I390">
        <f>INDEX($AF$61:$AF$68,B390)</f>
        <v/>
      </c>
      <c r="J390">
        <f>INDEX($AC$61:$AC$68,B390)</f>
        <v/>
      </c>
      <c r="K390">
        <f>INDEX($AD$61:$AD$68,B390)</f>
        <v/>
      </c>
      <c r="L390">
        <f>INDEX($AG$61:$AG$68,B390)</f>
        <v/>
      </c>
      <c r="M390">
        <f>INDEX($AH$61:$AH$68,B390)</f>
        <v/>
      </c>
      <c r="N390">
        <f>INDEX($AI$61:$AI$68,B390)</f>
        <v/>
      </c>
      <c r="O390">
        <f>O389*$B$26+L390*(1-$B$26)</f>
        <v/>
      </c>
      <c r="P390">
        <f>$B$7*(O390-O389)*(1-AS389)</f>
        <v/>
      </c>
      <c r="Q390">
        <f>M390+0.51274*AT389</f>
        <v/>
      </c>
      <c r="R390">
        <f>N390+0.616*AT389</f>
        <v/>
      </c>
      <c r="S390">
        <f>IF($B$13&gt;=0.6,Q390,IF($B$13&lt;=0.2,R390,R390+2.5*(Q390-R390)*($B$13-0.2)))</f>
        <v/>
      </c>
      <c r="T390">
        <f>IF(A390=1,S390,T389*$B$27+S390*(1-$B$27))</f>
        <v/>
      </c>
      <c r="U390">
        <f>0.6105*EXP(17.27*T390/(T390+237.3))</f>
        <v/>
      </c>
      <c r="V390">
        <f>($B$14*(I390*C390+IF(ABS((D390+0.1)-D390)&lt;0.000000001,4*$B$19*$B$20*(D390+273)^3,$B$19*$B$20*(((D390+0.1)+273)^4-(D390+273)^4)/((D390+0.1)-D390))*D390)+T390/H390)/($B$14*(I390+IF(ABS((D390+0.1)-D390)&lt;0.000000001,4*$B$19*$B$20*(D390+273)^3,$B$19*$B$20*(((D390+0.1)+273)^4-(D390+273)^4)/((D390+0.1)-D390)))+1/H390)</f>
        <v/>
      </c>
      <c r="W390">
        <f>($B$14*(I390*C390+IF(ABS(V390-D390)&lt;0.000000001,4*$B$19*$B$20*(D390+273)^3,$B$19*$B$20*((V390+273)^4-(D390+273)^4)/(V390-D390))*D390)+T390/H390)/($B$14*(I390+IF(ABS(V390-D390)&lt;0.000000001,4*$B$19*$B$20*(D390+273)^3,$B$19*$B$20*((V390+273)^4-(D390+273)^4)/(V390-D390)))+1/H390)</f>
        <v/>
      </c>
      <c r="X390">
        <f>($B$14*(I390*C390+IF(ABS(W390-D390)&lt;0.000000001,4*$B$19*$B$20*(D390+273)^3,$B$19*$B$20*((W390+273)^4-(D390+273)^4)/(W390-D390))*D390)+T390/H390)/($B$14*(I390+IF(ABS(W390-D390)&lt;0.000000001,4*$B$19*$B$20*(D390+273)^3,$B$19*$B$20*((W390+273)^4-(D390+273)^4)/(W390-D390)))+1/H390)</f>
        <v/>
      </c>
      <c r="Y390">
        <f>($B$14*(I390*C390+IF(ABS(X390-D390)&lt;0.000000001,4*$B$19*$B$20*(D390+273)^3,$B$19*$B$20*((X390+273)^4-(D390+273)^4)/(X390-D390))*D390)+T390/H390)/($B$14*(I390+IF(ABS(X390-D390)&lt;0.000000001,4*$B$19*$B$20*(D390+273)^3,$B$19*$B$20*((X390+273)^4-(D390+273)^4)/(X390-D390)))+1/H390)</f>
        <v/>
      </c>
      <c r="Z390">
        <f>IF(ABS(Y390-D390)&lt;0.000000001,4*$B$19*$B$20*(D390+273)^3,$B$19*$B$20*((Y390+273)^4-(D390+273)^4)/(Y390-D390))</f>
        <v/>
      </c>
      <c r="AA390">
        <f>$B$14*I390*(Y390-C390)</f>
        <v/>
      </c>
      <c r="AB390">
        <f>$B$14*Z390*(Y390-D390)</f>
        <v/>
      </c>
      <c r="AC390">
        <f>IF((U390-E390)/G390=0,0.001,(U390-E390)/G390)</f>
        <v/>
      </c>
      <c r="AD390">
        <f>F390-P390-J390-K390-AA390-AB390</f>
        <v/>
      </c>
      <c r="AE390">
        <f>AD390/AC390</f>
        <v/>
      </c>
      <c r="AF390">
        <f>IF(AD390&lt;=0,0,IF(AC390&lt;=0,$B$11,IF(AE390&gt;=1.7,$B$11,MIN(AD390/MAX(0.05,IF(AE390&gt;1,(2-AE390)^2/2,1-AE390^2/2)),$B$11))))</f>
        <v/>
      </c>
      <c r="AG390">
        <f>AG389*$B$28+AF390*(1-$B$28)</f>
        <v/>
      </c>
      <c r="AH390">
        <f>IF(AND(AD390&gt;0,AC390&lt;=0),0,AC390)</f>
        <v/>
      </c>
      <c r="AI390">
        <f>AH390/MAX(AG390,0.000001)</f>
        <v/>
      </c>
      <c r="AJ390">
        <f>MIN(IF(AI390&gt;=0.5,-AI390+SQRT(AI390^2+2),1),$B$12)</f>
        <v/>
      </c>
      <c r="AK390">
        <f>IF(AG390&lt;=0,0,AJ390*AH390)</f>
        <v/>
      </c>
      <c r="AL390">
        <f>IF(AD390&lt;=0,0,AD390)</f>
        <v/>
      </c>
      <c r="AM390">
        <f>AL390-AK390+P390</f>
        <v/>
      </c>
      <c r="AN390">
        <f>((AM390/$B$7+T389*AS389/2-T390*MAX(0.1,MIN(0.3,0.3-0.09*(AR389-36.8)))/2)+AR389*(1-AS389/2))/(1-MAX(0.1,MIN(0.3,0.3-0.09*(AR389-36.8)))/2)</f>
        <v/>
      </c>
      <c r="AO390">
        <f>((AM390/$B$7+T389*AS389/2-T390*MAX(0.1,MIN(0.3,0.3-0.09*(AN390-36.8)))/2)+AR389*(1-AS389/2))/(1-MAX(0.1,MIN(0.3,0.3-0.09*(AN390-36.8)))/2)</f>
        <v/>
      </c>
      <c r="AP390">
        <f>((AM390/$B$7+T389*AS389/2-T390*MAX(0.1,MIN(0.3,0.3-0.09*(AO390-36.8)))/2)+AR389*(1-AS389/2))/(1-MAX(0.1,MIN(0.3,0.3-0.09*(AO390-36.8)))/2)</f>
        <v/>
      </c>
      <c r="AQ390">
        <f>((AM390/$B$7+T389*AS389/2-T390*MAX(0.1,MIN(0.3,0.3-0.09*(AP390-36.8)))/2)+AR389*(1-AS389/2))/(1-MAX(0.1,MIN(0.3,0.3-0.09*(AP390-36.8)))/2)</f>
        <v/>
      </c>
      <c r="AR390">
        <f>((AM390/$B$7+T389*AS389/2-T390*MAX(0.1,MIN(0.3,0.3-0.09*(AQ390-36.8)))/2)+AR389*(1-AS389/2))/(1-MAX(0.1,MIN(0.3,0.3-0.09*(AQ390-36.8)))/2)</f>
        <v/>
      </c>
      <c r="AS390">
        <f>MAX(0.1,MIN(0.3,0.3-0.09*(AR390-36.8)))</f>
        <v/>
      </c>
      <c r="AT390">
        <f>AT389+(2*AR390-1.962*AT389-1.31)/9</f>
        <v/>
      </c>
      <c r="AU390">
        <f>AU389+AG390+K390</f>
        <v/>
      </c>
      <c r="AV390">
        <f>AU390*2.67*$B$6/1.8/60</f>
        <v/>
      </c>
      <c r="AW390">
        <f>IF(AT390&gt;=$B$36,1,0)</f>
        <v/>
      </c>
      <c r="AX390">
        <f>IF(AV390&gt;=$B$21,1,0)</f>
        <v/>
      </c>
    </row>
    <row r="391">
      <c r="A391" t="n">
        <v>318</v>
      </c>
      <c r="B391">
        <f>MATCH(A391-1,$D$61:$D$68,1)</f>
        <v/>
      </c>
      <c r="C391">
        <f>INDEX($G$61:$G$68,B391)</f>
        <v/>
      </c>
      <c r="D391">
        <f>INDEX($L$61:$L$68,B391)</f>
        <v/>
      </c>
      <c r="E391">
        <f>INDEX($M$61:$M$68,B391)</f>
        <v/>
      </c>
      <c r="F391">
        <f>INDEX($N$61:$N$68,B391)</f>
        <v/>
      </c>
      <c r="G391">
        <f>INDEX($AA$61:$AA$68,B391)</f>
        <v/>
      </c>
      <c r="H391">
        <f>INDEX($X$61:$X$68,B391)</f>
        <v/>
      </c>
      <c r="I391">
        <f>INDEX($AF$61:$AF$68,B391)</f>
        <v/>
      </c>
      <c r="J391">
        <f>INDEX($AC$61:$AC$68,B391)</f>
        <v/>
      </c>
      <c r="K391">
        <f>INDEX($AD$61:$AD$68,B391)</f>
        <v/>
      </c>
      <c r="L391">
        <f>INDEX($AG$61:$AG$68,B391)</f>
        <v/>
      </c>
      <c r="M391">
        <f>INDEX($AH$61:$AH$68,B391)</f>
        <v/>
      </c>
      <c r="N391">
        <f>INDEX($AI$61:$AI$68,B391)</f>
        <v/>
      </c>
      <c r="O391">
        <f>O390*$B$26+L391*(1-$B$26)</f>
        <v/>
      </c>
      <c r="P391">
        <f>$B$7*(O391-O390)*(1-AS390)</f>
        <v/>
      </c>
      <c r="Q391">
        <f>M391+0.51274*AT390</f>
        <v/>
      </c>
      <c r="R391">
        <f>N391+0.616*AT390</f>
        <v/>
      </c>
      <c r="S391">
        <f>IF($B$13&gt;=0.6,Q391,IF($B$13&lt;=0.2,R391,R391+2.5*(Q391-R391)*($B$13-0.2)))</f>
        <v/>
      </c>
      <c r="T391">
        <f>IF(A391=1,S391,T390*$B$27+S391*(1-$B$27))</f>
        <v/>
      </c>
      <c r="U391">
        <f>0.6105*EXP(17.27*T391/(T391+237.3))</f>
        <v/>
      </c>
      <c r="V391">
        <f>($B$14*(I391*C391+IF(ABS((D391+0.1)-D391)&lt;0.000000001,4*$B$19*$B$20*(D391+273)^3,$B$19*$B$20*(((D391+0.1)+273)^4-(D391+273)^4)/((D391+0.1)-D391))*D391)+T391/H391)/($B$14*(I391+IF(ABS((D391+0.1)-D391)&lt;0.000000001,4*$B$19*$B$20*(D391+273)^3,$B$19*$B$20*(((D391+0.1)+273)^4-(D391+273)^4)/((D391+0.1)-D391)))+1/H391)</f>
        <v/>
      </c>
      <c r="W391">
        <f>($B$14*(I391*C391+IF(ABS(V391-D391)&lt;0.000000001,4*$B$19*$B$20*(D391+273)^3,$B$19*$B$20*((V391+273)^4-(D391+273)^4)/(V391-D391))*D391)+T391/H391)/($B$14*(I391+IF(ABS(V391-D391)&lt;0.000000001,4*$B$19*$B$20*(D391+273)^3,$B$19*$B$20*((V391+273)^4-(D391+273)^4)/(V391-D391)))+1/H391)</f>
        <v/>
      </c>
      <c r="X391">
        <f>($B$14*(I391*C391+IF(ABS(W391-D391)&lt;0.000000001,4*$B$19*$B$20*(D391+273)^3,$B$19*$B$20*((W391+273)^4-(D391+273)^4)/(W391-D391))*D391)+T391/H391)/($B$14*(I391+IF(ABS(W391-D391)&lt;0.000000001,4*$B$19*$B$20*(D391+273)^3,$B$19*$B$20*((W391+273)^4-(D391+273)^4)/(W391-D391)))+1/H391)</f>
        <v/>
      </c>
      <c r="Y391">
        <f>($B$14*(I391*C391+IF(ABS(X391-D391)&lt;0.000000001,4*$B$19*$B$20*(D391+273)^3,$B$19*$B$20*((X391+273)^4-(D391+273)^4)/(X391-D391))*D391)+T391/H391)/($B$14*(I391+IF(ABS(X391-D391)&lt;0.000000001,4*$B$19*$B$20*(D391+273)^3,$B$19*$B$20*((X391+273)^4-(D391+273)^4)/(X391-D391)))+1/H391)</f>
        <v/>
      </c>
      <c r="Z391">
        <f>IF(ABS(Y391-D391)&lt;0.000000001,4*$B$19*$B$20*(D391+273)^3,$B$19*$B$20*((Y391+273)^4-(D391+273)^4)/(Y391-D391))</f>
        <v/>
      </c>
      <c r="AA391">
        <f>$B$14*I391*(Y391-C391)</f>
        <v/>
      </c>
      <c r="AB391">
        <f>$B$14*Z391*(Y391-D391)</f>
        <v/>
      </c>
      <c r="AC391">
        <f>IF((U391-E391)/G391=0,0.001,(U391-E391)/G391)</f>
        <v/>
      </c>
      <c r="AD391">
        <f>F391-P391-J391-K391-AA391-AB391</f>
        <v/>
      </c>
      <c r="AE391">
        <f>AD391/AC391</f>
        <v/>
      </c>
      <c r="AF391">
        <f>IF(AD391&lt;=0,0,IF(AC391&lt;=0,$B$11,IF(AE391&gt;=1.7,$B$11,MIN(AD391/MAX(0.05,IF(AE391&gt;1,(2-AE391)^2/2,1-AE391^2/2)),$B$11))))</f>
        <v/>
      </c>
      <c r="AG391">
        <f>AG390*$B$28+AF391*(1-$B$28)</f>
        <v/>
      </c>
      <c r="AH391">
        <f>IF(AND(AD391&gt;0,AC391&lt;=0),0,AC391)</f>
        <v/>
      </c>
      <c r="AI391">
        <f>AH391/MAX(AG391,0.000001)</f>
        <v/>
      </c>
      <c r="AJ391">
        <f>MIN(IF(AI391&gt;=0.5,-AI391+SQRT(AI391^2+2),1),$B$12)</f>
        <v/>
      </c>
      <c r="AK391">
        <f>IF(AG391&lt;=0,0,AJ391*AH391)</f>
        <v/>
      </c>
      <c r="AL391">
        <f>IF(AD391&lt;=0,0,AD391)</f>
        <v/>
      </c>
      <c r="AM391">
        <f>AL391-AK391+P391</f>
        <v/>
      </c>
      <c r="AN391">
        <f>((AM391/$B$7+T390*AS390/2-T391*MAX(0.1,MIN(0.3,0.3-0.09*(AR390-36.8)))/2)+AR390*(1-AS390/2))/(1-MAX(0.1,MIN(0.3,0.3-0.09*(AR390-36.8)))/2)</f>
        <v/>
      </c>
      <c r="AO391">
        <f>((AM391/$B$7+T390*AS390/2-T391*MAX(0.1,MIN(0.3,0.3-0.09*(AN391-36.8)))/2)+AR390*(1-AS390/2))/(1-MAX(0.1,MIN(0.3,0.3-0.09*(AN391-36.8)))/2)</f>
        <v/>
      </c>
      <c r="AP391">
        <f>((AM391/$B$7+T390*AS390/2-T391*MAX(0.1,MIN(0.3,0.3-0.09*(AO391-36.8)))/2)+AR390*(1-AS390/2))/(1-MAX(0.1,MIN(0.3,0.3-0.09*(AO391-36.8)))/2)</f>
        <v/>
      </c>
      <c r="AQ391">
        <f>((AM391/$B$7+T390*AS390/2-T391*MAX(0.1,MIN(0.3,0.3-0.09*(AP391-36.8)))/2)+AR390*(1-AS390/2))/(1-MAX(0.1,MIN(0.3,0.3-0.09*(AP391-36.8)))/2)</f>
        <v/>
      </c>
      <c r="AR391">
        <f>((AM391/$B$7+T390*AS390/2-T391*MAX(0.1,MIN(0.3,0.3-0.09*(AQ391-36.8)))/2)+AR390*(1-AS390/2))/(1-MAX(0.1,MIN(0.3,0.3-0.09*(AQ391-36.8)))/2)</f>
        <v/>
      </c>
      <c r="AS391">
        <f>MAX(0.1,MIN(0.3,0.3-0.09*(AR391-36.8)))</f>
        <v/>
      </c>
      <c r="AT391">
        <f>AT390+(2*AR391-1.962*AT390-1.31)/9</f>
        <v/>
      </c>
      <c r="AU391">
        <f>AU390+AG391+K391</f>
        <v/>
      </c>
      <c r="AV391">
        <f>AU391*2.67*$B$6/1.8/60</f>
        <v/>
      </c>
      <c r="AW391">
        <f>IF(AT391&gt;=$B$36,1,0)</f>
        <v/>
      </c>
      <c r="AX391">
        <f>IF(AV391&gt;=$B$21,1,0)</f>
        <v/>
      </c>
    </row>
    <row r="392">
      <c r="A392" t="n">
        <v>319</v>
      </c>
      <c r="B392">
        <f>MATCH(A392-1,$D$61:$D$68,1)</f>
        <v/>
      </c>
      <c r="C392">
        <f>INDEX($G$61:$G$68,B392)</f>
        <v/>
      </c>
      <c r="D392">
        <f>INDEX($L$61:$L$68,B392)</f>
        <v/>
      </c>
      <c r="E392">
        <f>INDEX($M$61:$M$68,B392)</f>
        <v/>
      </c>
      <c r="F392">
        <f>INDEX($N$61:$N$68,B392)</f>
        <v/>
      </c>
      <c r="G392">
        <f>INDEX($AA$61:$AA$68,B392)</f>
        <v/>
      </c>
      <c r="H392">
        <f>INDEX($X$61:$X$68,B392)</f>
        <v/>
      </c>
      <c r="I392">
        <f>INDEX($AF$61:$AF$68,B392)</f>
        <v/>
      </c>
      <c r="J392">
        <f>INDEX($AC$61:$AC$68,B392)</f>
        <v/>
      </c>
      <c r="K392">
        <f>INDEX($AD$61:$AD$68,B392)</f>
        <v/>
      </c>
      <c r="L392">
        <f>INDEX($AG$61:$AG$68,B392)</f>
        <v/>
      </c>
      <c r="M392">
        <f>INDEX($AH$61:$AH$68,B392)</f>
        <v/>
      </c>
      <c r="N392">
        <f>INDEX($AI$61:$AI$68,B392)</f>
        <v/>
      </c>
      <c r="O392">
        <f>O391*$B$26+L392*(1-$B$26)</f>
        <v/>
      </c>
      <c r="P392">
        <f>$B$7*(O392-O391)*(1-AS391)</f>
        <v/>
      </c>
      <c r="Q392">
        <f>M392+0.51274*AT391</f>
        <v/>
      </c>
      <c r="R392">
        <f>N392+0.616*AT391</f>
        <v/>
      </c>
      <c r="S392">
        <f>IF($B$13&gt;=0.6,Q392,IF($B$13&lt;=0.2,R392,R392+2.5*(Q392-R392)*($B$13-0.2)))</f>
        <v/>
      </c>
      <c r="T392">
        <f>IF(A392=1,S392,T391*$B$27+S392*(1-$B$27))</f>
        <v/>
      </c>
      <c r="U392">
        <f>0.6105*EXP(17.27*T392/(T392+237.3))</f>
        <v/>
      </c>
      <c r="V392">
        <f>($B$14*(I392*C392+IF(ABS((D392+0.1)-D392)&lt;0.000000001,4*$B$19*$B$20*(D392+273)^3,$B$19*$B$20*(((D392+0.1)+273)^4-(D392+273)^4)/((D392+0.1)-D392))*D392)+T392/H392)/($B$14*(I392+IF(ABS((D392+0.1)-D392)&lt;0.000000001,4*$B$19*$B$20*(D392+273)^3,$B$19*$B$20*(((D392+0.1)+273)^4-(D392+273)^4)/((D392+0.1)-D392)))+1/H392)</f>
        <v/>
      </c>
      <c r="W392">
        <f>($B$14*(I392*C392+IF(ABS(V392-D392)&lt;0.000000001,4*$B$19*$B$20*(D392+273)^3,$B$19*$B$20*((V392+273)^4-(D392+273)^4)/(V392-D392))*D392)+T392/H392)/($B$14*(I392+IF(ABS(V392-D392)&lt;0.000000001,4*$B$19*$B$20*(D392+273)^3,$B$19*$B$20*((V392+273)^4-(D392+273)^4)/(V392-D392)))+1/H392)</f>
        <v/>
      </c>
      <c r="X392">
        <f>($B$14*(I392*C392+IF(ABS(W392-D392)&lt;0.000000001,4*$B$19*$B$20*(D392+273)^3,$B$19*$B$20*((W392+273)^4-(D392+273)^4)/(W392-D392))*D392)+T392/H392)/($B$14*(I392+IF(ABS(W392-D392)&lt;0.000000001,4*$B$19*$B$20*(D392+273)^3,$B$19*$B$20*((W392+273)^4-(D392+273)^4)/(W392-D392)))+1/H392)</f>
        <v/>
      </c>
      <c r="Y392">
        <f>($B$14*(I392*C392+IF(ABS(X392-D392)&lt;0.000000001,4*$B$19*$B$20*(D392+273)^3,$B$19*$B$20*((X392+273)^4-(D392+273)^4)/(X392-D392))*D392)+T392/H392)/($B$14*(I392+IF(ABS(X392-D392)&lt;0.000000001,4*$B$19*$B$20*(D392+273)^3,$B$19*$B$20*((X392+273)^4-(D392+273)^4)/(X392-D392)))+1/H392)</f>
        <v/>
      </c>
      <c r="Z392">
        <f>IF(ABS(Y392-D392)&lt;0.000000001,4*$B$19*$B$20*(D392+273)^3,$B$19*$B$20*((Y392+273)^4-(D392+273)^4)/(Y392-D392))</f>
        <v/>
      </c>
      <c r="AA392">
        <f>$B$14*I392*(Y392-C392)</f>
        <v/>
      </c>
      <c r="AB392">
        <f>$B$14*Z392*(Y392-D392)</f>
        <v/>
      </c>
      <c r="AC392">
        <f>IF((U392-E392)/G392=0,0.001,(U392-E392)/G392)</f>
        <v/>
      </c>
      <c r="AD392">
        <f>F392-P392-J392-K392-AA392-AB392</f>
        <v/>
      </c>
      <c r="AE392">
        <f>AD392/AC392</f>
        <v/>
      </c>
      <c r="AF392">
        <f>IF(AD392&lt;=0,0,IF(AC392&lt;=0,$B$11,IF(AE392&gt;=1.7,$B$11,MIN(AD392/MAX(0.05,IF(AE392&gt;1,(2-AE392)^2/2,1-AE392^2/2)),$B$11))))</f>
        <v/>
      </c>
      <c r="AG392">
        <f>AG391*$B$28+AF392*(1-$B$28)</f>
        <v/>
      </c>
      <c r="AH392">
        <f>IF(AND(AD392&gt;0,AC392&lt;=0),0,AC392)</f>
        <v/>
      </c>
      <c r="AI392">
        <f>AH392/MAX(AG392,0.000001)</f>
        <v/>
      </c>
      <c r="AJ392">
        <f>MIN(IF(AI392&gt;=0.5,-AI392+SQRT(AI392^2+2),1),$B$12)</f>
        <v/>
      </c>
      <c r="AK392">
        <f>IF(AG392&lt;=0,0,AJ392*AH392)</f>
        <v/>
      </c>
      <c r="AL392">
        <f>IF(AD392&lt;=0,0,AD392)</f>
        <v/>
      </c>
      <c r="AM392">
        <f>AL392-AK392+P392</f>
        <v/>
      </c>
      <c r="AN392">
        <f>((AM392/$B$7+T391*AS391/2-T392*MAX(0.1,MIN(0.3,0.3-0.09*(AR391-36.8)))/2)+AR391*(1-AS391/2))/(1-MAX(0.1,MIN(0.3,0.3-0.09*(AR391-36.8)))/2)</f>
        <v/>
      </c>
      <c r="AO392">
        <f>((AM392/$B$7+T391*AS391/2-T392*MAX(0.1,MIN(0.3,0.3-0.09*(AN392-36.8)))/2)+AR391*(1-AS391/2))/(1-MAX(0.1,MIN(0.3,0.3-0.09*(AN392-36.8)))/2)</f>
        <v/>
      </c>
      <c r="AP392">
        <f>((AM392/$B$7+T391*AS391/2-T392*MAX(0.1,MIN(0.3,0.3-0.09*(AO392-36.8)))/2)+AR391*(1-AS391/2))/(1-MAX(0.1,MIN(0.3,0.3-0.09*(AO392-36.8)))/2)</f>
        <v/>
      </c>
      <c r="AQ392">
        <f>((AM392/$B$7+T391*AS391/2-T392*MAX(0.1,MIN(0.3,0.3-0.09*(AP392-36.8)))/2)+AR391*(1-AS391/2))/(1-MAX(0.1,MIN(0.3,0.3-0.09*(AP392-36.8)))/2)</f>
        <v/>
      </c>
      <c r="AR392">
        <f>((AM392/$B$7+T391*AS391/2-T392*MAX(0.1,MIN(0.3,0.3-0.09*(AQ392-36.8)))/2)+AR391*(1-AS391/2))/(1-MAX(0.1,MIN(0.3,0.3-0.09*(AQ392-36.8)))/2)</f>
        <v/>
      </c>
      <c r="AS392">
        <f>MAX(0.1,MIN(0.3,0.3-0.09*(AR392-36.8)))</f>
        <v/>
      </c>
      <c r="AT392">
        <f>AT391+(2*AR392-1.962*AT391-1.31)/9</f>
        <v/>
      </c>
      <c r="AU392">
        <f>AU391+AG392+K392</f>
        <v/>
      </c>
      <c r="AV392">
        <f>AU392*2.67*$B$6/1.8/60</f>
        <v/>
      </c>
      <c r="AW392">
        <f>IF(AT392&gt;=$B$36,1,0)</f>
        <v/>
      </c>
      <c r="AX392">
        <f>IF(AV392&gt;=$B$21,1,0)</f>
        <v/>
      </c>
    </row>
    <row r="393">
      <c r="A393" t="n">
        <v>320</v>
      </c>
      <c r="B393">
        <f>MATCH(A393-1,$D$61:$D$68,1)</f>
        <v/>
      </c>
      <c r="C393">
        <f>INDEX($G$61:$G$68,B393)</f>
        <v/>
      </c>
      <c r="D393">
        <f>INDEX($L$61:$L$68,B393)</f>
        <v/>
      </c>
      <c r="E393">
        <f>INDEX($M$61:$M$68,B393)</f>
        <v/>
      </c>
      <c r="F393">
        <f>INDEX($N$61:$N$68,B393)</f>
        <v/>
      </c>
      <c r="G393">
        <f>INDEX($AA$61:$AA$68,B393)</f>
        <v/>
      </c>
      <c r="H393">
        <f>INDEX($X$61:$X$68,B393)</f>
        <v/>
      </c>
      <c r="I393">
        <f>INDEX($AF$61:$AF$68,B393)</f>
        <v/>
      </c>
      <c r="J393">
        <f>INDEX($AC$61:$AC$68,B393)</f>
        <v/>
      </c>
      <c r="K393">
        <f>INDEX($AD$61:$AD$68,B393)</f>
        <v/>
      </c>
      <c r="L393">
        <f>INDEX($AG$61:$AG$68,B393)</f>
        <v/>
      </c>
      <c r="M393">
        <f>INDEX($AH$61:$AH$68,B393)</f>
        <v/>
      </c>
      <c r="N393">
        <f>INDEX($AI$61:$AI$68,B393)</f>
        <v/>
      </c>
      <c r="O393">
        <f>O392*$B$26+L393*(1-$B$26)</f>
        <v/>
      </c>
      <c r="P393">
        <f>$B$7*(O393-O392)*(1-AS392)</f>
        <v/>
      </c>
      <c r="Q393">
        <f>M393+0.51274*AT392</f>
        <v/>
      </c>
      <c r="R393">
        <f>N393+0.616*AT392</f>
        <v/>
      </c>
      <c r="S393">
        <f>IF($B$13&gt;=0.6,Q393,IF($B$13&lt;=0.2,R393,R393+2.5*(Q393-R393)*($B$13-0.2)))</f>
        <v/>
      </c>
      <c r="T393">
        <f>IF(A393=1,S393,T392*$B$27+S393*(1-$B$27))</f>
        <v/>
      </c>
      <c r="U393">
        <f>0.6105*EXP(17.27*T393/(T393+237.3))</f>
        <v/>
      </c>
      <c r="V393">
        <f>($B$14*(I393*C393+IF(ABS((D393+0.1)-D393)&lt;0.000000001,4*$B$19*$B$20*(D393+273)^3,$B$19*$B$20*(((D393+0.1)+273)^4-(D393+273)^4)/((D393+0.1)-D393))*D393)+T393/H393)/($B$14*(I393+IF(ABS((D393+0.1)-D393)&lt;0.000000001,4*$B$19*$B$20*(D393+273)^3,$B$19*$B$20*(((D393+0.1)+273)^4-(D393+273)^4)/((D393+0.1)-D393)))+1/H393)</f>
        <v/>
      </c>
      <c r="W393">
        <f>($B$14*(I393*C393+IF(ABS(V393-D393)&lt;0.000000001,4*$B$19*$B$20*(D393+273)^3,$B$19*$B$20*((V393+273)^4-(D393+273)^4)/(V393-D393))*D393)+T393/H393)/($B$14*(I393+IF(ABS(V393-D393)&lt;0.000000001,4*$B$19*$B$20*(D393+273)^3,$B$19*$B$20*((V393+273)^4-(D393+273)^4)/(V393-D393)))+1/H393)</f>
        <v/>
      </c>
      <c r="X393">
        <f>($B$14*(I393*C393+IF(ABS(W393-D393)&lt;0.000000001,4*$B$19*$B$20*(D393+273)^3,$B$19*$B$20*((W393+273)^4-(D393+273)^4)/(W393-D393))*D393)+T393/H393)/($B$14*(I393+IF(ABS(W393-D393)&lt;0.000000001,4*$B$19*$B$20*(D393+273)^3,$B$19*$B$20*((W393+273)^4-(D393+273)^4)/(W393-D393)))+1/H393)</f>
        <v/>
      </c>
      <c r="Y393">
        <f>($B$14*(I393*C393+IF(ABS(X393-D393)&lt;0.000000001,4*$B$19*$B$20*(D393+273)^3,$B$19*$B$20*((X393+273)^4-(D393+273)^4)/(X393-D393))*D393)+T393/H393)/($B$14*(I393+IF(ABS(X393-D393)&lt;0.000000001,4*$B$19*$B$20*(D393+273)^3,$B$19*$B$20*((X393+273)^4-(D393+273)^4)/(X393-D393)))+1/H393)</f>
        <v/>
      </c>
      <c r="Z393">
        <f>IF(ABS(Y393-D393)&lt;0.000000001,4*$B$19*$B$20*(D393+273)^3,$B$19*$B$20*((Y393+273)^4-(D393+273)^4)/(Y393-D393))</f>
        <v/>
      </c>
      <c r="AA393">
        <f>$B$14*I393*(Y393-C393)</f>
        <v/>
      </c>
      <c r="AB393">
        <f>$B$14*Z393*(Y393-D393)</f>
        <v/>
      </c>
      <c r="AC393">
        <f>IF((U393-E393)/G393=0,0.001,(U393-E393)/G393)</f>
        <v/>
      </c>
      <c r="AD393">
        <f>F393-P393-J393-K393-AA393-AB393</f>
        <v/>
      </c>
      <c r="AE393">
        <f>AD393/AC393</f>
        <v/>
      </c>
      <c r="AF393">
        <f>IF(AD393&lt;=0,0,IF(AC393&lt;=0,$B$11,IF(AE393&gt;=1.7,$B$11,MIN(AD393/MAX(0.05,IF(AE393&gt;1,(2-AE393)^2/2,1-AE393^2/2)),$B$11))))</f>
        <v/>
      </c>
      <c r="AG393">
        <f>AG392*$B$28+AF393*(1-$B$28)</f>
        <v/>
      </c>
      <c r="AH393">
        <f>IF(AND(AD393&gt;0,AC393&lt;=0),0,AC393)</f>
        <v/>
      </c>
      <c r="AI393">
        <f>AH393/MAX(AG393,0.000001)</f>
        <v/>
      </c>
      <c r="AJ393">
        <f>MIN(IF(AI393&gt;=0.5,-AI393+SQRT(AI393^2+2),1),$B$12)</f>
        <v/>
      </c>
      <c r="AK393">
        <f>IF(AG393&lt;=0,0,AJ393*AH393)</f>
        <v/>
      </c>
      <c r="AL393">
        <f>IF(AD393&lt;=0,0,AD393)</f>
        <v/>
      </c>
      <c r="AM393">
        <f>AL393-AK393+P393</f>
        <v/>
      </c>
      <c r="AN393">
        <f>((AM393/$B$7+T392*AS392/2-T393*MAX(0.1,MIN(0.3,0.3-0.09*(AR392-36.8)))/2)+AR392*(1-AS392/2))/(1-MAX(0.1,MIN(0.3,0.3-0.09*(AR392-36.8)))/2)</f>
        <v/>
      </c>
      <c r="AO393">
        <f>((AM393/$B$7+T392*AS392/2-T393*MAX(0.1,MIN(0.3,0.3-0.09*(AN393-36.8)))/2)+AR392*(1-AS392/2))/(1-MAX(0.1,MIN(0.3,0.3-0.09*(AN393-36.8)))/2)</f>
        <v/>
      </c>
      <c r="AP393">
        <f>((AM393/$B$7+T392*AS392/2-T393*MAX(0.1,MIN(0.3,0.3-0.09*(AO393-36.8)))/2)+AR392*(1-AS392/2))/(1-MAX(0.1,MIN(0.3,0.3-0.09*(AO393-36.8)))/2)</f>
        <v/>
      </c>
      <c r="AQ393">
        <f>((AM393/$B$7+T392*AS392/2-T393*MAX(0.1,MIN(0.3,0.3-0.09*(AP393-36.8)))/2)+AR392*(1-AS392/2))/(1-MAX(0.1,MIN(0.3,0.3-0.09*(AP393-36.8)))/2)</f>
        <v/>
      </c>
      <c r="AR393">
        <f>((AM393/$B$7+T392*AS392/2-T393*MAX(0.1,MIN(0.3,0.3-0.09*(AQ393-36.8)))/2)+AR392*(1-AS392/2))/(1-MAX(0.1,MIN(0.3,0.3-0.09*(AQ393-36.8)))/2)</f>
        <v/>
      </c>
      <c r="AS393">
        <f>MAX(0.1,MIN(0.3,0.3-0.09*(AR393-36.8)))</f>
        <v/>
      </c>
      <c r="AT393">
        <f>AT392+(2*AR393-1.962*AT392-1.31)/9</f>
        <v/>
      </c>
      <c r="AU393">
        <f>AU392+AG393+K393</f>
        <v/>
      </c>
      <c r="AV393">
        <f>AU393*2.67*$B$6/1.8/60</f>
        <v/>
      </c>
      <c r="AW393">
        <f>IF(AT393&gt;=$B$36,1,0)</f>
        <v/>
      </c>
      <c r="AX393">
        <f>IF(AV393&gt;=$B$21,1,0)</f>
        <v/>
      </c>
    </row>
    <row r="394">
      <c r="A394" t="n">
        <v>321</v>
      </c>
      <c r="B394">
        <f>MATCH(A394-1,$D$61:$D$68,1)</f>
        <v/>
      </c>
      <c r="C394">
        <f>INDEX($G$61:$G$68,B394)</f>
        <v/>
      </c>
      <c r="D394">
        <f>INDEX($L$61:$L$68,B394)</f>
        <v/>
      </c>
      <c r="E394">
        <f>INDEX($M$61:$M$68,B394)</f>
        <v/>
      </c>
      <c r="F394">
        <f>INDEX($N$61:$N$68,B394)</f>
        <v/>
      </c>
      <c r="G394">
        <f>INDEX($AA$61:$AA$68,B394)</f>
        <v/>
      </c>
      <c r="H394">
        <f>INDEX($X$61:$X$68,B394)</f>
        <v/>
      </c>
      <c r="I394">
        <f>INDEX($AF$61:$AF$68,B394)</f>
        <v/>
      </c>
      <c r="J394">
        <f>INDEX($AC$61:$AC$68,B394)</f>
        <v/>
      </c>
      <c r="K394">
        <f>INDEX($AD$61:$AD$68,B394)</f>
        <v/>
      </c>
      <c r="L394">
        <f>INDEX($AG$61:$AG$68,B394)</f>
        <v/>
      </c>
      <c r="M394">
        <f>INDEX($AH$61:$AH$68,B394)</f>
        <v/>
      </c>
      <c r="N394">
        <f>INDEX($AI$61:$AI$68,B394)</f>
        <v/>
      </c>
      <c r="O394">
        <f>O393*$B$26+L394*(1-$B$26)</f>
        <v/>
      </c>
      <c r="P394">
        <f>$B$7*(O394-O393)*(1-AS393)</f>
        <v/>
      </c>
      <c r="Q394">
        <f>M394+0.51274*AT393</f>
        <v/>
      </c>
      <c r="R394">
        <f>N394+0.616*AT393</f>
        <v/>
      </c>
      <c r="S394">
        <f>IF($B$13&gt;=0.6,Q394,IF($B$13&lt;=0.2,R394,R394+2.5*(Q394-R394)*($B$13-0.2)))</f>
        <v/>
      </c>
      <c r="T394">
        <f>IF(A394=1,S394,T393*$B$27+S394*(1-$B$27))</f>
        <v/>
      </c>
      <c r="U394">
        <f>0.6105*EXP(17.27*T394/(T394+237.3))</f>
        <v/>
      </c>
      <c r="V394">
        <f>($B$14*(I394*C394+IF(ABS((D394+0.1)-D394)&lt;0.000000001,4*$B$19*$B$20*(D394+273)^3,$B$19*$B$20*(((D394+0.1)+273)^4-(D394+273)^4)/((D394+0.1)-D394))*D394)+T394/H394)/($B$14*(I394+IF(ABS((D394+0.1)-D394)&lt;0.000000001,4*$B$19*$B$20*(D394+273)^3,$B$19*$B$20*(((D394+0.1)+273)^4-(D394+273)^4)/((D394+0.1)-D394)))+1/H394)</f>
        <v/>
      </c>
      <c r="W394">
        <f>($B$14*(I394*C394+IF(ABS(V394-D394)&lt;0.000000001,4*$B$19*$B$20*(D394+273)^3,$B$19*$B$20*((V394+273)^4-(D394+273)^4)/(V394-D394))*D394)+T394/H394)/($B$14*(I394+IF(ABS(V394-D394)&lt;0.000000001,4*$B$19*$B$20*(D394+273)^3,$B$19*$B$20*((V394+273)^4-(D394+273)^4)/(V394-D394)))+1/H394)</f>
        <v/>
      </c>
      <c r="X394">
        <f>($B$14*(I394*C394+IF(ABS(W394-D394)&lt;0.000000001,4*$B$19*$B$20*(D394+273)^3,$B$19*$B$20*((W394+273)^4-(D394+273)^4)/(W394-D394))*D394)+T394/H394)/($B$14*(I394+IF(ABS(W394-D394)&lt;0.000000001,4*$B$19*$B$20*(D394+273)^3,$B$19*$B$20*((W394+273)^4-(D394+273)^4)/(W394-D394)))+1/H394)</f>
        <v/>
      </c>
      <c r="Y394">
        <f>($B$14*(I394*C394+IF(ABS(X394-D394)&lt;0.000000001,4*$B$19*$B$20*(D394+273)^3,$B$19*$B$20*((X394+273)^4-(D394+273)^4)/(X394-D394))*D394)+T394/H394)/($B$14*(I394+IF(ABS(X394-D394)&lt;0.000000001,4*$B$19*$B$20*(D394+273)^3,$B$19*$B$20*((X394+273)^4-(D394+273)^4)/(X394-D394)))+1/H394)</f>
        <v/>
      </c>
      <c r="Z394">
        <f>IF(ABS(Y394-D394)&lt;0.000000001,4*$B$19*$B$20*(D394+273)^3,$B$19*$B$20*((Y394+273)^4-(D394+273)^4)/(Y394-D394))</f>
        <v/>
      </c>
      <c r="AA394">
        <f>$B$14*I394*(Y394-C394)</f>
        <v/>
      </c>
      <c r="AB394">
        <f>$B$14*Z394*(Y394-D394)</f>
        <v/>
      </c>
      <c r="AC394">
        <f>IF((U394-E394)/G394=0,0.001,(U394-E394)/G394)</f>
        <v/>
      </c>
      <c r="AD394">
        <f>F394-P394-J394-K394-AA394-AB394</f>
        <v/>
      </c>
      <c r="AE394">
        <f>AD394/AC394</f>
        <v/>
      </c>
      <c r="AF394">
        <f>IF(AD394&lt;=0,0,IF(AC394&lt;=0,$B$11,IF(AE394&gt;=1.7,$B$11,MIN(AD394/MAX(0.05,IF(AE394&gt;1,(2-AE394)^2/2,1-AE394^2/2)),$B$11))))</f>
        <v/>
      </c>
      <c r="AG394">
        <f>AG393*$B$28+AF394*(1-$B$28)</f>
        <v/>
      </c>
      <c r="AH394">
        <f>IF(AND(AD394&gt;0,AC394&lt;=0),0,AC394)</f>
        <v/>
      </c>
      <c r="AI394">
        <f>AH394/MAX(AG394,0.000001)</f>
        <v/>
      </c>
      <c r="AJ394">
        <f>MIN(IF(AI394&gt;=0.5,-AI394+SQRT(AI394^2+2),1),$B$12)</f>
        <v/>
      </c>
      <c r="AK394">
        <f>IF(AG394&lt;=0,0,AJ394*AH394)</f>
        <v/>
      </c>
      <c r="AL394">
        <f>IF(AD394&lt;=0,0,AD394)</f>
        <v/>
      </c>
      <c r="AM394">
        <f>AL394-AK394+P394</f>
        <v/>
      </c>
      <c r="AN394">
        <f>((AM394/$B$7+T393*AS393/2-T394*MAX(0.1,MIN(0.3,0.3-0.09*(AR393-36.8)))/2)+AR393*(1-AS393/2))/(1-MAX(0.1,MIN(0.3,0.3-0.09*(AR393-36.8)))/2)</f>
        <v/>
      </c>
      <c r="AO394">
        <f>((AM394/$B$7+T393*AS393/2-T394*MAX(0.1,MIN(0.3,0.3-0.09*(AN394-36.8)))/2)+AR393*(1-AS393/2))/(1-MAX(0.1,MIN(0.3,0.3-0.09*(AN394-36.8)))/2)</f>
        <v/>
      </c>
      <c r="AP394">
        <f>((AM394/$B$7+T393*AS393/2-T394*MAX(0.1,MIN(0.3,0.3-0.09*(AO394-36.8)))/2)+AR393*(1-AS393/2))/(1-MAX(0.1,MIN(0.3,0.3-0.09*(AO394-36.8)))/2)</f>
        <v/>
      </c>
      <c r="AQ394">
        <f>((AM394/$B$7+T393*AS393/2-T394*MAX(0.1,MIN(0.3,0.3-0.09*(AP394-36.8)))/2)+AR393*(1-AS393/2))/(1-MAX(0.1,MIN(0.3,0.3-0.09*(AP394-36.8)))/2)</f>
        <v/>
      </c>
      <c r="AR394">
        <f>((AM394/$B$7+T393*AS393/2-T394*MAX(0.1,MIN(0.3,0.3-0.09*(AQ394-36.8)))/2)+AR393*(1-AS393/2))/(1-MAX(0.1,MIN(0.3,0.3-0.09*(AQ394-36.8)))/2)</f>
        <v/>
      </c>
      <c r="AS394">
        <f>MAX(0.1,MIN(0.3,0.3-0.09*(AR394-36.8)))</f>
        <v/>
      </c>
      <c r="AT394">
        <f>AT393+(2*AR394-1.962*AT393-1.31)/9</f>
        <v/>
      </c>
      <c r="AU394">
        <f>AU393+AG394+K394</f>
        <v/>
      </c>
      <c r="AV394">
        <f>AU394*2.67*$B$6/1.8/60</f>
        <v/>
      </c>
      <c r="AW394">
        <f>IF(AT394&gt;=$B$36,1,0)</f>
        <v/>
      </c>
      <c r="AX394">
        <f>IF(AV394&gt;=$B$21,1,0)</f>
        <v/>
      </c>
    </row>
    <row r="395">
      <c r="A395" t="n">
        <v>322</v>
      </c>
      <c r="B395">
        <f>MATCH(A395-1,$D$61:$D$68,1)</f>
        <v/>
      </c>
      <c r="C395">
        <f>INDEX($G$61:$G$68,B395)</f>
        <v/>
      </c>
      <c r="D395">
        <f>INDEX($L$61:$L$68,B395)</f>
        <v/>
      </c>
      <c r="E395">
        <f>INDEX($M$61:$M$68,B395)</f>
        <v/>
      </c>
      <c r="F395">
        <f>INDEX($N$61:$N$68,B395)</f>
        <v/>
      </c>
      <c r="G395">
        <f>INDEX($AA$61:$AA$68,B395)</f>
        <v/>
      </c>
      <c r="H395">
        <f>INDEX($X$61:$X$68,B395)</f>
        <v/>
      </c>
      <c r="I395">
        <f>INDEX($AF$61:$AF$68,B395)</f>
        <v/>
      </c>
      <c r="J395">
        <f>INDEX($AC$61:$AC$68,B395)</f>
        <v/>
      </c>
      <c r="K395">
        <f>INDEX($AD$61:$AD$68,B395)</f>
        <v/>
      </c>
      <c r="L395">
        <f>INDEX($AG$61:$AG$68,B395)</f>
        <v/>
      </c>
      <c r="M395">
        <f>INDEX($AH$61:$AH$68,B395)</f>
        <v/>
      </c>
      <c r="N395">
        <f>INDEX($AI$61:$AI$68,B395)</f>
        <v/>
      </c>
      <c r="O395">
        <f>O394*$B$26+L395*(1-$B$26)</f>
        <v/>
      </c>
      <c r="P395">
        <f>$B$7*(O395-O394)*(1-AS394)</f>
        <v/>
      </c>
      <c r="Q395">
        <f>M395+0.51274*AT394</f>
        <v/>
      </c>
      <c r="R395">
        <f>N395+0.616*AT394</f>
        <v/>
      </c>
      <c r="S395">
        <f>IF($B$13&gt;=0.6,Q395,IF($B$13&lt;=0.2,R395,R395+2.5*(Q395-R395)*($B$13-0.2)))</f>
        <v/>
      </c>
      <c r="T395">
        <f>IF(A395=1,S395,T394*$B$27+S395*(1-$B$27))</f>
        <v/>
      </c>
      <c r="U395">
        <f>0.6105*EXP(17.27*T395/(T395+237.3))</f>
        <v/>
      </c>
      <c r="V395">
        <f>($B$14*(I395*C395+IF(ABS((D395+0.1)-D395)&lt;0.000000001,4*$B$19*$B$20*(D395+273)^3,$B$19*$B$20*(((D395+0.1)+273)^4-(D395+273)^4)/((D395+0.1)-D395))*D395)+T395/H395)/($B$14*(I395+IF(ABS((D395+0.1)-D395)&lt;0.000000001,4*$B$19*$B$20*(D395+273)^3,$B$19*$B$20*(((D395+0.1)+273)^4-(D395+273)^4)/((D395+0.1)-D395)))+1/H395)</f>
        <v/>
      </c>
      <c r="W395">
        <f>($B$14*(I395*C395+IF(ABS(V395-D395)&lt;0.000000001,4*$B$19*$B$20*(D395+273)^3,$B$19*$B$20*((V395+273)^4-(D395+273)^4)/(V395-D395))*D395)+T395/H395)/($B$14*(I395+IF(ABS(V395-D395)&lt;0.000000001,4*$B$19*$B$20*(D395+273)^3,$B$19*$B$20*((V395+273)^4-(D395+273)^4)/(V395-D395)))+1/H395)</f>
        <v/>
      </c>
      <c r="X395">
        <f>($B$14*(I395*C395+IF(ABS(W395-D395)&lt;0.000000001,4*$B$19*$B$20*(D395+273)^3,$B$19*$B$20*((W395+273)^4-(D395+273)^4)/(W395-D395))*D395)+T395/H395)/($B$14*(I395+IF(ABS(W395-D395)&lt;0.000000001,4*$B$19*$B$20*(D395+273)^3,$B$19*$B$20*((W395+273)^4-(D395+273)^4)/(W395-D395)))+1/H395)</f>
        <v/>
      </c>
      <c r="Y395">
        <f>($B$14*(I395*C395+IF(ABS(X395-D395)&lt;0.000000001,4*$B$19*$B$20*(D395+273)^3,$B$19*$B$20*((X395+273)^4-(D395+273)^4)/(X395-D395))*D395)+T395/H395)/($B$14*(I395+IF(ABS(X395-D395)&lt;0.000000001,4*$B$19*$B$20*(D395+273)^3,$B$19*$B$20*((X395+273)^4-(D395+273)^4)/(X395-D395)))+1/H395)</f>
        <v/>
      </c>
      <c r="Z395">
        <f>IF(ABS(Y395-D395)&lt;0.000000001,4*$B$19*$B$20*(D395+273)^3,$B$19*$B$20*((Y395+273)^4-(D395+273)^4)/(Y395-D395))</f>
        <v/>
      </c>
      <c r="AA395">
        <f>$B$14*I395*(Y395-C395)</f>
        <v/>
      </c>
      <c r="AB395">
        <f>$B$14*Z395*(Y395-D395)</f>
        <v/>
      </c>
      <c r="AC395">
        <f>IF((U395-E395)/G395=0,0.001,(U395-E395)/G395)</f>
        <v/>
      </c>
      <c r="AD395">
        <f>F395-P395-J395-K395-AA395-AB395</f>
        <v/>
      </c>
      <c r="AE395">
        <f>AD395/AC395</f>
        <v/>
      </c>
      <c r="AF395">
        <f>IF(AD395&lt;=0,0,IF(AC395&lt;=0,$B$11,IF(AE395&gt;=1.7,$B$11,MIN(AD395/MAX(0.05,IF(AE395&gt;1,(2-AE395)^2/2,1-AE395^2/2)),$B$11))))</f>
        <v/>
      </c>
      <c r="AG395">
        <f>AG394*$B$28+AF395*(1-$B$28)</f>
        <v/>
      </c>
      <c r="AH395">
        <f>IF(AND(AD395&gt;0,AC395&lt;=0),0,AC395)</f>
        <v/>
      </c>
      <c r="AI395">
        <f>AH395/MAX(AG395,0.000001)</f>
        <v/>
      </c>
      <c r="AJ395">
        <f>MIN(IF(AI395&gt;=0.5,-AI395+SQRT(AI395^2+2),1),$B$12)</f>
        <v/>
      </c>
      <c r="AK395">
        <f>IF(AG395&lt;=0,0,AJ395*AH395)</f>
        <v/>
      </c>
      <c r="AL395">
        <f>IF(AD395&lt;=0,0,AD395)</f>
        <v/>
      </c>
      <c r="AM395">
        <f>AL395-AK395+P395</f>
        <v/>
      </c>
      <c r="AN395">
        <f>((AM395/$B$7+T394*AS394/2-T395*MAX(0.1,MIN(0.3,0.3-0.09*(AR394-36.8)))/2)+AR394*(1-AS394/2))/(1-MAX(0.1,MIN(0.3,0.3-0.09*(AR394-36.8)))/2)</f>
        <v/>
      </c>
      <c r="AO395">
        <f>((AM395/$B$7+T394*AS394/2-T395*MAX(0.1,MIN(0.3,0.3-0.09*(AN395-36.8)))/2)+AR394*(1-AS394/2))/(1-MAX(0.1,MIN(0.3,0.3-0.09*(AN395-36.8)))/2)</f>
        <v/>
      </c>
      <c r="AP395">
        <f>((AM395/$B$7+T394*AS394/2-T395*MAX(0.1,MIN(0.3,0.3-0.09*(AO395-36.8)))/2)+AR394*(1-AS394/2))/(1-MAX(0.1,MIN(0.3,0.3-0.09*(AO395-36.8)))/2)</f>
        <v/>
      </c>
      <c r="AQ395">
        <f>((AM395/$B$7+T394*AS394/2-T395*MAX(0.1,MIN(0.3,0.3-0.09*(AP395-36.8)))/2)+AR394*(1-AS394/2))/(1-MAX(0.1,MIN(0.3,0.3-0.09*(AP395-36.8)))/2)</f>
        <v/>
      </c>
      <c r="AR395">
        <f>((AM395/$B$7+T394*AS394/2-T395*MAX(0.1,MIN(0.3,0.3-0.09*(AQ395-36.8)))/2)+AR394*(1-AS394/2))/(1-MAX(0.1,MIN(0.3,0.3-0.09*(AQ395-36.8)))/2)</f>
        <v/>
      </c>
      <c r="AS395">
        <f>MAX(0.1,MIN(0.3,0.3-0.09*(AR395-36.8)))</f>
        <v/>
      </c>
      <c r="AT395">
        <f>AT394+(2*AR395-1.962*AT394-1.31)/9</f>
        <v/>
      </c>
      <c r="AU395">
        <f>AU394+AG395+K395</f>
        <v/>
      </c>
      <c r="AV395">
        <f>AU395*2.67*$B$6/1.8/60</f>
        <v/>
      </c>
      <c r="AW395">
        <f>IF(AT395&gt;=$B$36,1,0)</f>
        <v/>
      </c>
      <c r="AX395">
        <f>IF(AV395&gt;=$B$21,1,0)</f>
        <v/>
      </c>
    </row>
    <row r="396">
      <c r="A396" t="n">
        <v>323</v>
      </c>
      <c r="B396">
        <f>MATCH(A396-1,$D$61:$D$68,1)</f>
        <v/>
      </c>
      <c r="C396">
        <f>INDEX($G$61:$G$68,B396)</f>
        <v/>
      </c>
      <c r="D396">
        <f>INDEX($L$61:$L$68,B396)</f>
        <v/>
      </c>
      <c r="E396">
        <f>INDEX($M$61:$M$68,B396)</f>
        <v/>
      </c>
      <c r="F396">
        <f>INDEX($N$61:$N$68,B396)</f>
        <v/>
      </c>
      <c r="G396">
        <f>INDEX($AA$61:$AA$68,B396)</f>
        <v/>
      </c>
      <c r="H396">
        <f>INDEX($X$61:$X$68,B396)</f>
        <v/>
      </c>
      <c r="I396">
        <f>INDEX($AF$61:$AF$68,B396)</f>
        <v/>
      </c>
      <c r="J396">
        <f>INDEX($AC$61:$AC$68,B396)</f>
        <v/>
      </c>
      <c r="K396">
        <f>INDEX($AD$61:$AD$68,B396)</f>
        <v/>
      </c>
      <c r="L396">
        <f>INDEX($AG$61:$AG$68,B396)</f>
        <v/>
      </c>
      <c r="M396">
        <f>INDEX($AH$61:$AH$68,B396)</f>
        <v/>
      </c>
      <c r="N396">
        <f>INDEX($AI$61:$AI$68,B396)</f>
        <v/>
      </c>
      <c r="O396">
        <f>O395*$B$26+L396*(1-$B$26)</f>
        <v/>
      </c>
      <c r="P396">
        <f>$B$7*(O396-O395)*(1-AS395)</f>
        <v/>
      </c>
      <c r="Q396">
        <f>M396+0.51274*AT395</f>
        <v/>
      </c>
      <c r="R396">
        <f>N396+0.616*AT395</f>
        <v/>
      </c>
      <c r="S396">
        <f>IF($B$13&gt;=0.6,Q396,IF($B$13&lt;=0.2,R396,R396+2.5*(Q396-R396)*($B$13-0.2)))</f>
        <v/>
      </c>
      <c r="T396">
        <f>IF(A396=1,S396,T395*$B$27+S396*(1-$B$27))</f>
        <v/>
      </c>
      <c r="U396">
        <f>0.6105*EXP(17.27*T396/(T396+237.3))</f>
        <v/>
      </c>
      <c r="V396">
        <f>($B$14*(I396*C396+IF(ABS((D396+0.1)-D396)&lt;0.000000001,4*$B$19*$B$20*(D396+273)^3,$B$19*$B$20*(((D396+0.1)+273)^4-(D396+273)^4)/((D396+0.1)-D396))*D396)+T396/H396)/($B$14*(I396+IF(ABS((D396+0.1)-D396)&lt;0.000000001,4*$B$19*$B$20*(D396+273)^3,$B$19*$B$20*(((D396+0.1)+273)^4-(D396+273)^4)/((D396+0.1)-D396)))+1/H396)</f>
        <v/>
      </c>
      <c r="W396">
        <f>($B$14*(I396*C396+IF(ABS(V396-D396)&lt;0.000000001,4*$B$19*$B$20*(D396+273)^3,$B$19*$B$20*((V396+273)^4-(D396+273)^4)/(V396-D396))*D396)+T396/H396)/($B$14*(I396+IF(ABS(V396-D396)&lt;0.000000001,4*$B$19*$B$20*(D396+273)^3,$B$19*$B$20*((V396+273)^4-(D396+273)^4)/(V396-D396)))+1/H396)</f>
        <v/>
      </c>
      <c r="X396">
        <f>($B$14*(I396*C396+IF(ABS(W396-D396)&lt;0.000000001,4*$B$19*$B$20*(D396+273)^3,$B$19*$B$20*((W396+273)^4-(D396+273)^4)/(W396-D396))*D396)+T396/H396)/($B$14*(I396+IF(ABS(W396-D396)&lt;0.000000001,4*$B$19*$B$20*(D396+273)^3,$B$19*$B$20*((W396+273)^4-(D396+273)^4)/(W396-D396)))+1/H396)</f>
        <v/>
      </c>
      <c r="Y396">
        <f>($B$14*(I396*C396+IF(ABS(X396-D396)&lt;0.000000001,4*$B$19*$B$20*(D396+273)^3,$B$19*$B$20*((X396+273)^4-(D396+273)^4)/(X396-D396))*D396)+T396/H396)/($B$14*(I396+IF(ABS(X396-D396)&lt;0.000000001,4*$B$19*$B$20*(D396+273)^3,$B$19*$B$20*((X396+273)^4-(D396+273)^4)/(X396-D396)))+1/H396)</f>
        <v/>
      </c>
      <c r="Z396">
        <f>IF(ABS(Y396-D396)&lt;0.000000001,4*$B$19*$B$20*(D396+273)^3,$B$19*$B$20*((Y396+273)^4-(D396+273)^4)/(Y396-D396))</f>
        <v/>
      </c>
      <c r="AA396">
        <f>$B$14*I396*(Y396-C396)</f>
        <v/>
      </c>
      <c r="AB396">
        <f>$B$14*Z396*(Y396-D396)</f>
        <v/>
      </c>
      <c r="AC396">
        <f>IF((U396-E396)/G396=0,0.001,(U396-E396)/G396)</f>
        <v/>
      </c>
      <c r="AD396">
        <f>F396-P396-J396-K396-AA396-AB396</f>
        <v/>
      </c>
      <c r="AE396">
        <f>AD396/AC396</f>
        <v/>
      </c>
      <c r="AF396">
        <f>IF(AD396&lt;=0,0,IF(AC396&lt;=0,$B$11,IF(AE396&gt;=1.7,$B$11,MIN(AD396/MAX(0.05,IF(AE396&gt;1,(2-AE396)^2/2,1-AE396^2/2)),$B$11))))</f>
        <v/>
      </c>
      <c r="AG396">
        <f>AG395*$B$28+AF396*(1-$B$28)</f>
        <v/>
      </c>
      <c r="AH396">
        <f>IF(AND(AD396&gt;0,AC396&lt;=0),0,AC396)</f>
        <v/>
      </c>
      <c r="AI396">
        <f>AH396/MAX(AG396,0.000001)</f>
        <v/>
      </c>
      <c r="AJ396">
        <f>MIN(IF(AI396&gt;=0.5,-AI396+SQRT(AI396^2+2),1),$B$12)</f>
        <v/>
      </c>
      <c r="AK396">
        <f>IF(AG396&lt;=0,0,AJ396*AH396)</f>
        <v/>
      </c>
      <c r="AL396">
        <f>IF(AD396&lt;=0,0,AD396)</f>
        <v/>
      </c>
      <c r="AM396">
        <f>AL396-AK396+P396</f>
        <v/>
      </c>
      <c r="AN396">
        <f>((AM396/$B$7+T395*AS395/2-T396*MAX(0.1,MIN(0.3,0.3-0.09*(AR395-36.8)))/2)+AR395*(1-AS395/2))/(1-MAX(0.1,MIN(0.3,0.3-0.09*(AR395-36.8)))/2)</f>
        <v/>
      </c>
      <c r="AO396">
        <f>((AM396/$B$7+T395*AS395/2-T396*MAX(0.1,MIN(0.3,0.3-0.09*(AN396-36.8)))/2)+AR395*(1-AS395/2))/(1-MAX(0.1,MIN(0.3,0.3-0.09*(AN396-36.8)))/2)</f>
        <v/>
      </c>
      <c r="AP396">
        <f>((AM396/$B$7+T395*AS395/2-T396*MAX(0.1,MIN(0.3,0.3-0.09*(AO396-36.8)))/2)+AR395*(1-AS395/2))/(1-MAX(0.1,MIN(0.3,0.3-0.09*(AO396-36.8)))/2)</f>
        <v/>
      </c>
      <c r="AQ396">
        <f>((AM396/$B$7+T395*AS395/2-T396*MAX(0.1,MIN(0.3,0.3-0.09*(AP396-36.8)))/2)+AR395*(1-AS395/2))/(1-MAX(0.1,MIN(0.3,0.3-0.09*(AP396-36.8)))/2)</f>
        <v/>
      </c>
      <c r="AR396">
        <f>((AM396/$B$7+T395*AS395/2-T396*MAX(0.1,MIN(0.3,0.3-0.09*(AQ396-36.8)))/2)+AR395*(1-AS395/2))/(1-MAX(0.1,MIN(0.3,0.3-0.09*(AQ396-36.8)))/2)</f>
        <v/>
      </c>
      <c r="AS396">
        <f>MAX(0.1,MIN(0.3,0.3-0.09*(AR396-36.8)))</f>
        <v/>
      </c>
      <c r="AT396">
        <f>AT395+(2*AR396-1.962*AT395-1.31)/9</f>
        <v/>
      </c>
      <c r="AU396">
        <f>AU395+AG396+K396</f>
        <v/>
      </c>
      <c r="AV396">
        <f>AU396*2.67*$B$6/1.8/60</f>
        <v/>
      </c>
      <c r="AW396">
        <f>IF(AT396&gt;=$B$36,1,0)</f>
        <v/>
      </c>
      <c r="AX396">
        <f>IF(AV396&gt;=$B$21,1,0)</f>
        <v/>
      </c>
    </row>
    <row r="397">
      <c r="A397" t="n">
        <v>324</v>
      </c>
      <c r="B397">
        <f>MATCH(A397-1,$D$61:$D$68,1)</f>
        <v/>
      </c>
      <c r="C397">
        <f>INDEX($G$61:$G$68,B397)</f>
        <v/>
      </c>
      <c r="D397">
        <f>INDEX($L$61:$L$68,B397)</f>
        <v/>
      </c>
      <c r="E397">
        <f>INDEX($M$61:$M$68,B397)</f>
        <v/>
      </c>
      <c r="F397">
        <f>INDEX($N$61:$N$68,B397)</f>
        <v/>
      </c>
      <c r="G397">
        <f>INDEX($AA$61:$AA$68,B397)</f>
        <v/>
      </c>
      <c r="H397">
        <f>INDEX($X$61:$X$68,B397)</f>
        <v/>
      </c>
      <c r="I397">
        <f>INDEX($AF$61:$AF$68,B397)</f>
        <v/>
      </c>
      <c r="J397">
        <f>INDEX($AC$61:$AC$68,B397)</f>
        <v/>
      </c>
      <c r="K397">
        <f>INDEX($AD$61:$AD$68,B397)</f>
        <v/>
      </c>
      <c r="L397">
        <f>INDEX($AG$61:$AG$68,B397)</f>
        <v/>
      </c>
      <c r="M397">
        <f>INDEX($AH$61:$AH$68,B397)</f>
        <v/>
      </c>
      <c r="N397">
        <f>INDEX($AI$61:$AI$68,B397)</f>
        <v/>
      </c>
      <c r="O397">
        <f>O396*$B$26+L397*(1-$B$26)</f>
        <v/>
      </c>
      <c r="P397">
        <f>$B$7*(O397-O396)*(1-AS396)</f>
        <v/>
      </c>
      <c r="Q397">
        <f>M397+0.51274*AT396</f>
        <v/>
      </c>
      <c r="R397">
        <f>N397+0.616*AT396</f>
        <v/>
      </c>
      <c r="S397">
        <f>IF($B$13&gt;=0.6,Q397,IF($B$13&lt;=0.2,R397,R397+2.5*(Q397-R397)*($B$13-0.2)))</f>
        <v/>
      </c>
      <c r="T397">
        <f>IF(A397=1,S397,T396*$B$27+S397*(1-$B$27))</f>
        <v/>
      </c>
      <c r="U397">
        <f>0.6105*EXP(17.27*T397/(T397+237.3))</f>
        <v/>
      </c>
      <c r="V397">
        <f>($B$14*(I397*C397+IF(ABS((D397+0.1)-D397)&lt;0.000000001,4*$B$19*$B$20*(D397+273)^3,$B$19*$B$20*(((D397+0.1)+273)^4-(D397+273)^4)/((D397+0.1)-D397))*D397)+T397/H397)/($B$14*(I397+IF(ABS((D397+0.1)-D397)&lt;0.000000001,4*$B$19*$B$20*(D397+273)^3,$B$19*$B$20*(((D397+0.1)+273)^4-(D397+273)^4)/((D397+0.1)-D397)))+1/H397)</f>
        <v/>
      </c>
      <c r="W397">
        <f>($B$14*(I397*C397+IF(ABS(V397-D397)&lt;0.000000001,4*$B$19*$B$20*(D397+273)^3,$B$19*$B$20*((V397+273)^4-(D397+273)^4)/(V397-D397))*D397)+T397/H397)/($B$14*(I397+IF(ABS(V397-D397)&lt;0.000000001,4*$B$19*$B$20*(D397+273)^3,$B$19*$B$20*((V397+273)^4-(D397+273)^4)/(V397-D397)))+1/H397)</f>
        <v/>
      </c>
      <c r="X397">
        <f>($B$14*(I397*C397+IF(ABS(W397-D397)&lt;0.000000001,4*$B$19*$B$20*(D397+273)^3,$B$19*$B$20*((W397+273)^4-(D397+273)^4)/(W397-D397))*D397)+T397/H397)/($B$14*(I397+IF(ABS(W397-D397)&lt;0.000000001,4*$B$19*$B$20*(D397+273)^3,$B$19*$B$20*((W397+273)^4-(D397+273)^4)/(W397-D397)))+1/H397)</f>
        <v/>
      </c>
      <c r="Y397">
        <f>($B$14*(I397*C397+IF(ABS(X397-D397)&lt;0.000000001,4*$B$19*$B$20*(D397+273)^3,$B$19*$B$20*((X397+273)^4-(D397+273)^4)/(X397-D397))*D397)+T397/H397)/($B$14*(I397+IF(ABS(X397-D397)&lt;0.000000001,4*$B$19*$B$20*(D397+273)^3,$B$19*$B$20*((X397+273)^4-(D397+273)^4)/(X397-D397)))+1/H397)</f>
        <v/>
      </c>
      <c r="Z397">
        <f>IF(ABS(Y397-D397)&lt;0.000000001,4*$B$19*$B$20*(D397+273)^3,$B$19*$B$20*((Y397+273)^4-(D397+273)^4)/(Y397-D397))</f>
        <v/>
      </c>
      <c r="AA397">
        <f>$B$14*I397*(Y397-C397)</f>
        <v/>
      </c>
      <c r="AB397">
        <f>$B$14*Z397*(Y397-D397)</f>
        <v/>
      </c>
      <c r="AC397">
        <f>IF((U397-E397)/G397=0,0.001,(U397-E397)/G397)</f>
        <v/>
      </c>
      <c r="AD397">
        <f>F397-P397-J397-K397-AA397-AB397</f>
        <v/>
      </c>
      <c r="AE397">
        <f>AD397/AC397</f>
        <v/>
      </c>
      <c r="AF397">
        <f>IF(AD397&lt;=0,0,IF(AC397&lt;=0,$B$11,IF(AE397&gt;=1.7,$B$11,MIN(AD397/MAX(0.05,IF(AE397&gt;1,(2-AE397)^2/2,1-AE397^2/2)),$B$11))))</f>
        <v/>
      </c>
      <c r="AG397">
        <f>AG396*$B$28+AF397*(1-$B$28)</f>
        <v/>
      </c>
      <c r="AH397">
        <f>IF(AND(AD397&gt;0,AC397&lt;=0),0,AC397)</f>
        <v/>
      </c>
      <c r="AI397">
        <f>AH397/MAX(AG397,0.000001)</f>
        <v/>
      </c>
      <c r="AJ397">
        <f>MIN(IF(AI397&gt;=0.5,-AI397+SQRT(AI397^2+2),1),$B$12)</f>
        <v/>
      </c>
      <c r="AK397">
        <f>IF(AG397&lt;=0,0,AJ397*AH397)</f>
        <v/>
      </c>
      <c r="AL397">
        <f>IF(AD397&lt;=0,0,AD397)</f>
        <v/>
      </c>
      <c r="AM397">
        <f>AL397-AK397+P397</f>
        <v/>
      </c>
      <c r="AN397">
        <f>((AM397/$B$7+T396*AS396/2-T397*MAX(0.1,MIN(0.3,0.3-0.09*(AR396-36.8)))/2)+AR396*(1-AS396/2))/(1-MAX(0.1,MIN(0.3,0.3-0.09*(AR396-36.8)))/2)</f>
        <v/>
      </c>
      <c r="AO397">
        <f>((AM397/$B$7+T396*AS396/2-T397*MAX(0.1,MIN(0.3,0.3-0.09*(AN397-36.8)))/2)+AR396*(1-AS396/2))/(1-MAX(0.1,MIN(0.3,0.3-0.09*(AN397-36.8)))/2)</f>
        <v/>
      </c>
      <c r="AP397">
        <f>((AM397/$B$7+T396*AS396/2-T397*MAX(0.1,MIN(0.3,0.3-0.09*(AO397-36.8)))/2)+AR396*(1-AS396/2))/(1-MAX(0.1,MIN(0.3,0.3-0.09*(AO397-36.8)))/2)</f>
        <v/>
      </c>
      <c r="AQ397">
        <f>((AM397/$B$7+T396*AS396/2-T397*MAX(0.1,MIN(0.3,0.3-0.09*(AP397-36.8)))/2)+AR396*(1-AS396/2))/(1-MAX(0.1,MIN(0.3,0.3-0.09*(AP397-36.8)))/2)</f>
        <v/>
      </c>
      <c r="AR397">
        <f>((AM397/$B$7+T396*AS396/2-T397*MAX(0.1,MIN(0.3,0.3-0.09*(AQ397-36.8)))/2)+AR396*(1-AS396/2))/(1-MAX(0.1,MIN(0.3,0.3-0.09*(AQ397-36.8)))/2)</f>
        <v/>
      </c>
      <c r="AS397">
        <f>MAX(0.1,MIN(0.3,0.3-0.09*(AR397-36.8)))</f>
        <v/>
      </c>
      <c r="AT397">
        <f>AT396+(2*AR397-1.962*AT396-1.31)/9</f>
        <v/>
      </c>
      <c r="AU397">
        <f>AU396+AG397+K397</f>
        <v/>
      </c>
      <c r="AV397">
        <f>AU397*2.67*$B$6/1.8/60</f>
        <v/>
      </c>
      <c r="AW397">
        <f>IF(AT397&gt;=$B$36,1,0)</f>
        <v/>
      </c>
      <c r="AX397">
        <f>IF(AV397&gt;=$B$21,1,0)</f>
        <v/>
      </c>
    </row>
    <row r="398">
      <c r="A398" t="n">
        <v>325</v>
      </c>
      <c r="B398">
        <f>MATCH(A398-1,$D$61:$D$68,1)</f>
        <v/>
      </c>
      <c r="C398">
        <f>INDEX($G$61:$G$68,B398)</f>
        <v/>
      </c>
      <c r="D398">
        <f>INDEX($L$61:$L$68,B398)</f>
        <v/>
      </c>
      <c r="E398">
        <f>INDEX($M$61:$M$68,B398)</f>
        <v/>
      </c>
      <c r="F398">
        <f>INDEX($N$61:$N$68,B398)</f>
        <v/>
      </c>
      <c r="G398">
        <f>INDEX($AA$61:$AA$68,B398)</f>
        <v/>
      </c>
      <c r="H398">
        <f>INDEX($X$61:$X$68,B398)</f>
        <v/>
      </c>
      <c r="I398">
        <f>INDEX($AF$61:$AF$68,B398)</f>
        <v/>
      </c>
      <c r="J398">
        <f>INDEX($AC$61:$AC$68,B398)</f>
        <v/>
      </c>
      <c r="K398">
        <f>INDEX($AD$61:$AD$68,B398)</f>
        <v/>
      </c>
      <c r="L398">
        <f>INDEX($AG$61:$AG$68,B398)</f>
        <v/>
      </c>
      <c r="M398">
        <f>INDEX($AH$61:$AH$68,B398)</f>
        <v/>
      </c>
      <c r="N398">
        <f>INDEX($AI$61:$AI$68,B398)</f>
        <v/>
      </c>
      <c r="O398">
        <f>O397*$B$26+L398*(1-$B$26)</f>
        <v/>
      </c>
      <c r="P398">
        <f>$B$7*(O398-O397)*(1-AS397)</f>
        <v/>
      </c>
      <c r="Q398">
        <f>M398+0.51274*AT397</f>
        <v/>
      </c>
      <c r="R398">
        <f>N398+0.616*AT397</f>
        <v/>
      </c>
      <c r="S398">
        <f>IF($B$13&gt;=0.6,Q398,IF($B$13&lt;=0.2,R398,R398+2.5*(Q398-R398)*($B$13-0.2)))</f>
        <v/>
      </c>
      <c r="T398">
        <f>IF(A398=1,S398,T397*$B$27+S398*(1-$B$27))</f>
        <v/>
      </c>
      <c r="U398">
        <f>0.6105*EXP(17.27*T398/(T398+237.3))</f>
        <v/>
      </c>
      <c r="V398">
        <f>($B$14*(I398*C398+IF(ABS((D398+0.1)-D398)&lt;0.000000001,4*$B$19*$B$20*(D398+273)^3,$B$19*$B$20*(((D398+0.1)+273)^4-(D398+273)^4)/((D398+0.1)-D398))*D398)+T398/H398)/($B$14*(I398+IF(ABS((D398+0.1)-D398)&lt;0.000000001,4*$B$19*$B$20*(D398+273)^3,$B$19*$B$20*(((D398+0.1)+273)^4-(D398+273)^4)/((D398+0.1)-D398)))+1/H398)</f>
        <v/>
      </c>
      <c r="W398">
        <f>($B$14*(I398*C398+IF(ABS(V398-D398)&lt;0.000000001,4*$B$19*$B$20*(D398+273)^3,$B$19*$B$20*((V398+273)^4-(D398+273)^4)/(V398-D398))*D398)+T398/H398)/($B$14*(I398+IF(ABS(V398-D398)&lt;0.000000001,4*$B$19*$B$20*(D398+273)^3,$B$19*$B$20*((V398+273)^4-(D398+273)^4)/(V398-D398)))+1/H398)</f>
        <v/>
      </c>
      <c r="X398">
        <f>($B$14*(I398*C398+IF(ABS(W398-D398)&lt;0.000000001,4*$B$19*$B$20*(D398+273)^3,$B$19*$B$20*((W398+273)^4-(D398+273)^4)/(W398-D398))*D398)+T398/H398)/($B$14*(I398+IF(ABS(W398-D398)&lt;0.000000001,4*$B$19*$B$20*(D398+273)^3,$B$19*$B$20*((W398+273)^4-(D398+273)^4)/(W398-D398)))+1/H398)</f>
        <v/>
      </c>
      <c r="Y398">
        <f>($B$14*(I398*C398+IF(ABS(X398-D398)&lt;0.000000001,4*$B$19*$B$20*(D398+273)^3,$B$19*$B$20*((X398+273)^4-(D398+273)^4)/(X398-D398))*D398)+T398/H398)/($B$14*(I398+IF(ABS(X398-D398)&lt;0.000000001,4*$B$19*$B$20*(D398+273)^3,$B$19*$B$20*((X398+273)^4-(D398+273)^4)/(X398-D398)))+1/H398)</f>
        <v/>
      </c>
      <c r="Z398">
        <f>IF(ABS(Y398-D398)&lt;0.000000001,4*$B$19*$B$20*(D398+273)^3,$B$19*$B$20*((Y398+273)^4-(D398+273)^4)/(Y398-D398))</f>
        <v/>
      </c>
      <c r="AA398">
        <f>$B$14*I398*(Y398-C398)</f>
        <v/>
      </c>
      <c r="AB398">
        <f>$B$14*Z398*(Y398-D398)</f>
        <v/>
      </c>
      <c r="AC398">
        <f>IF((U398-E398)/G398=0,0.001,(U398-E398)/G398)</f>
        <v/>
      </c>
      <c r="AD398">
        <f>F398-P398-J398-K398-AA398-AB398</f>
        <v/>
      </c>
      <c r="AE398">
        <f>AD398/AC398</f>
        <v/>
      </c>
      <c r="AF398">
        <f>IF(AD398&lt;=0,0,IF(AC398&lt;=0,$B$11,IF(AE398&gt;=1.7,$B$11,MIN(AD398/MAX(0.05,IF(AE398&gt;1,(2-AE398)^2/2,1-AE398^2/2)),$B$11))))</f>
        <v/>
      </c>
      <c r="AG398">
        <f>AG397*$B$28+AF398*(1-$B$28)</f>
        <v/>
      </c>
      <c r="AH398">
        <f>IF(AND(AD398&gt;0,AC398&lt;=0),0,AC398)</f>
        <v/>
      </c>
      <c r="AI398">
        <f>AH398/MAX(AG398,0.000001)</f>
        <v/>
      </c>
      <c r="AJ398">
        <f>MIN(IF(AI398&gt;=0.5,-AI398+SQRT(AI398^2+2),1),$B$12)</f>
        <v/>
      </c>
      <c r="AK398">
        <f>IF(AG398&lt;=0,0,AJ398*AH398)</f>
        <v/>
      </c>
      <c r="AL398">
        <f>IF(AD398&lt;=0,0,AD398)</f>
        <v/>
      </c>
      <c r="AM398">
        <f>AL398-AK398+P398</f>
        <v/>
      </c>
      <c r="AN398">
        <f>((AM398/$B$7+T397*AS397/2-T398*MAX(0.1,MIN(0.3,0.3-0.09*(AR397-36.8)))/2)+AR397*(1-AS397/2))/(1-MAX(0.1,MIN(0.3,0.3-0.09*(AR397-36.8)))/2)</f>
        <v/>
      </c>
      <c r="AO398">
        <f>((AM398/$B$7+T397*AS397/2-T398*MAX(0.1,MIN(0.3,0.3-0.09*(AN398-36.8)))/2)+AR397*(1-AS397/2))/(1-MAX(0.1,MIN(0.3,0.3-0.09*(AN398-36.8)))/2)</f>
        <v/>
      </c>
      <c r="AP398">
        <f>((AM398/$B$7+T397*AS397/2-T398*MAX(0.1,MIN(0.3,0.3-0.09*(AO398-36.8)))/2)+AR397*(1-AS397/2))/(1-MAX(0.1,MIN(0.3,0.3-0.09*(AO398-36.8)))/2)</f>
        <v/>
      </c>
      <c r="AQ398">
        <f>((AM398/$B$7+T397*AS397/2-T398*MAX(0.1,MIN(0.3,0.3-0.09*(AP398-36.8)))/2)+AR397*(1-AS397/2))/(1-MAX(0.1,MIN(0.3,0.3-0.09*(AP398-36.8)))/2)</f>
        <v/>
      </c>
      <c r="AR398">
        <f>((AM398/$B$7+T397*AS397/2-T398*MAX(0.1,MIN(0.3,0.3-0.09*(AQ398-36.8)))/2)+AR397*(1-AS397/2))/(1-MAX(0.1,MIN(0.3,0.3-0.09*(AQ398-36.8)))/2)</f>
        <v/>
      </c>
      <c r="AS398">
        <f>MAX(0.1,MIN(0.3,0.3-0.09*(AR398-36.8)))</f>
        <v/>
      </c>
      <c r="AT398">
        <f>AT397+(2*AR398-1.962*AT397-1.31)/9</f>
        <v/>
      </c>
      <c r="AU398">
        <f>AU397+AG398+K398</f>
        <v/>
      </c>
      <c r="AV398">
        <f>AU398*2.67*$B$6/1.8/60</f>
        <v/>
      </c>
      <c r="AW398">
        <f>IF(AT398&gt;=$B$36,1,0)</f>
        <v/>
      </c>
      <c r="AX398">
        <f>IF(AV398&gt;=$B$21,1,0)</f>
        <v/>
      </c>
    </row>
    <row r="399">
      <c r="A399" t="n">
        <v>326</v>
      </c>
      <c r="B399">
        <f>MATCH(A399-1,$D$61:$D$68,1)</f>
        <v/>
      </c>
      <c r="C399">
        <f>INDEX($G$61:$G$68,B399)</f>
        <v/>
      </c>
      <c r="D399">
        <f>INDEX($L$61:$L$68,B399)</f>
        <v/>
      </c>
      <c r="E399">
        <f>INDEX($M$61:$M$68,B399)</f>
        <v/>
      </c>
      <c r="F399">
        <f>INDEX($N$61:$N$68,B399)</f>
        <v/>
      </c>
      <c r="G399">
        <f>INDEX($AA$61:$AA$68,B399)</f>
        <v/>
      </c>
      <c r="H399">
        <f>INDEX($X$61:$X$68,B399)</f>
        <v/>
      </c>
      <c r="I399">
        <f>INDEX($AF$61:$AF$68,B399)</f>
        <v/>
      </c>
      <c r="J399">
        <f>INDEX($AC$61:$AC$68,B399)</f>
        <v/>
      </c>
      <c r="K399">
        <f>INDEX($AD$61:$AD$68,B399)</f>
        <v/>
      </c>
      <c r="L399">
        <f>INDEX($AG$61:$AG$68,B399)</f>
        <v/>
      </c>
      <c r="M399">
        <f>INDEX($AH$61:$AH$68,B399)</f>
        <v/>
      </c>
      <c r="N399">
        <f>INDEX($AI$61:$AI$68,B399)</f>
        <v/>
      </c>
      <c r="O399">
        <f>O398*$B$26+L399*(1-$B$26)</f>
        <v/>
      </c>
      <c r="P399">
        <f>$B$7*(O399-O398)*(1-AS398)</f>
        <v/>
      </c>
      <c r="Q399">
        <f>M399+0.51274*AT398</f>
        <v/>
      </c>
      <c r="R399">
        <f>N399+0.616*AT398</f>
        <v/>
      </c>
      <c r="S399">
        <f>IF($B$13&gt;=0.6,Q399,IF($B$13&lt;=0.2,R399,R399+2.5*(Q399-R399)*($B$13-0.2)))</f>
        <v/>
      </c>
      <c r="T399">
        <f>IF(A399=1,S399,T398*$B$27+S399*(1-$B$27))</f>
        <v/>
      </c>
      <c r="U399">
        <f>0.6105*EXP(17.27*T399/(T399+237.3))</f>
        <v/>
      </c>
      <c r="V399">
        <f>($B$14*(I399*C399+IF(ABS((D399+0.1)-D399)&lt;0.000000001,4*$B$19*$B$20*(D399+273)^3,$B$19*$B$20*(((D399+0.1)+273)^4-(D399+273)^4)/((D399+0.1)-D399))*D399)+T399/H399)/($B$14*(I399+IF(ABS((D399+0.1)-D399)&lt;0.000000001,4*$B$19*$B$20*(D399+273)^3,$B$19*$B$20*(((D399+0.1)+273)^4-(D399+273)^4)/((D399+0.1)-D399)))+1/H399)</f>
        <v/>
      </c>
      <c r="W399">
        <f>($B$14*(I399*C399+IF(ABS(V399-D399)&lt;0.000000001,4*$B$19*$B$20*(D399+273)^3,$B$19*$B$20*((V399+273)^4-(D399+273)^4)/(V399-D399))*D399)+T399/H399)/($B$14*(I399+IF(ABS(V399-D399)&lt;0.000000001,4*$B$19*$B$20*(D399+273)^3,$B$19*$B$20*((V399+273)^4-(D399+273)^4)/(V399-D399)))+1/H399)</f>
        <v/>
      </c>
      <c r="X399">
        <f>($B$14*(I399*C399+IF(ABS(W399-D399)&lt;0.000000001,4*$B$19*$B$20*(D399+273)^3,$B$19*$B$20*((W399+273)^4-(D399+273)^4)/(W399-D399))*D399)+T399/H399)/($B$14*(I399+IF(ABS(W399-D399)&lt;0.000000001,4*$B$19*$B$20*(D399+273)^3,$B$19*$B$20*((W399+273)^4-(D399+273)^4)/(W399-D399)))+1/H399)</f>
        <v/>
      </c>
      <c r="Y399">
        <f>($B$14*(I399*C399+IF(ABS(X399-D399)&lt;0.000000001,4*$B$19*$B$20*(D399+273)^3,$B$19*$B$20*((X399+273)^4-(D399+273)^4)/(X399-D399))*D399)+T399/H399)/($B$14*(I399+IF(ABS(X399-D399)&lt;0.000000001,4*$B$19*$B$20*(D399+273)^3,$B$19*$B$20*((X399+273)^4-(D399+273)^4)/(X399-D399)))+1/H399)</f>
        <v/>
      </c>
      <c r="Z399">
        <f>IF(ABS(Y399-D399)&lt;0.000000001,4*$B$19*$B$20*(D399+273)^3,$B$19*$B$20*((Y399+273)^4-(D399+273)^4)/(Y399-D399))</f>
        <v/>
      </c>
      <c r="AA399">
        <f>$B$14*I399*(Y399-C399)</f>
        <v/>
      </c>
      <c r="AB399">
        <f>$B$14*Z399*(Y399-D399)</f>
        <v/>
      </c>
      <c r="AC399">
        <f>IF((U399-E399)/G399=0,0.001,(U399-E399)/G399)</f>
        <v/>
      </c>
      <c r="AD399">
        <f>F399-P399-J399-K399-AA399-AB399</f>
        <v/>
      </c>
      <c r="AE399">
        <f>AD399/AC399</f>
        <v/>
      </c>
      <c r="AF399">
        <f>IF(AD399&lt;=0,0,IF(AC399&lt;=0,$B$11,IF(AE399&gt;=1.7,$B$11,MIN(AD399/MAX(0.05,IF(AE399&gt;1,(2-AE399)^2/2,1-AE399^2/2)),$B$11))))</f>
        <v/>
      </c>
      <c r="AG399">
        <f>AG398*$B$28+AF399*(1-$B$28)</f>
        <v/>
      </c>
      <c r="AH399">
        <f>IF(AND(AD399&gt;0,AC399&lt;=0),0,AC399)</f>
        <v/>
      </c>
      <c r="AI399">
        <f>AH399/MAX(AG399,0.000001)</f>
        <v/>
      </c>
      <c r="AJ399">
        <f>MIN(IF(AI399&gt;=0.5,-AI399+SQRT(AI399^2+2),1),$B$12)</f>
        <v/>
      </c>
      <c r="AK399">
        <f>IF(AG399&lt;=0,0,AJ399*AH399)</f>
        <v/>
      </c>
      <c r="AL399">
        <f>IF(AD399&lt;=0,0,AD399)</f>
        <v/>
      </c>
      <c r="AM399">
        <f>AL399-AK399+P399</f>
        <v/>
      </c>
      <c r="AN399">
        <f>((AM399/$B$7+T398*AS398/2-T399*MAX(0.1,MIN(0.3,0.3-0.09*(AR398-36.8)))/2)+AR398*(1-AS398/2))/(1-MAX(0.1,MIN(0.3,0.3-0.09*(AR398-36.8)))/2)</f>
        <v/>
      </c>
      <c r="AO399">
        <f>((AM399/$B$7+T398*AS398/2-T399*MAX(0.1,MIN(0.3,0.3-0.09*(AN399-36.8)))/2)+AR398*(1-AS398/2))/(1-MAX(0.1,MIN(0.3,0.3-0.09*(AN399-36.8)))/2)</f>
        <v/>
      </c>
      <c r="AP399">
        <f>((AM399/$B$7+T398*AS398/2-T399*MAX(0.1,MIN(0.3,0.3-0.09*(AO399-36.8)))/2)+AR398*(1-AS398/2))/(1-MAX(0.1,MIN(0.3,0.3-0.09*(AO399-36.8)))/2)</f>
        <v/>
      </c>
      <c r="AQ399">
        <f>((AM399/$B$7+T398*AS398/2-T399*MAX(0.1,MIN(0.3,0.3-0.09*(AP399-36.8)))/2)+AR398*(1-AS398/2))/(1-MAX(0.1,MIN(0.3,0.3-0.09*(AP399-36.8)))/2)</f>
        <v/>
      </c>
      <c r="AR399">
        <f>((AM399/$B$7+T398*AS398/2-T399*MAX(0.1,MIN(0.3,0.3-0.09*(AQ399-36.8)))/2)+AR398*(1-AS398/2))/(1-MAX(0.1,MIN(0.3,0.3-0.09*(AQ399-36.8)))/2)</f>
        <v/>
      </c>
      <c r="AS399">
        <f>MAX(0.1,MIN(0.3,0.3-0.09*(AR399-36.8)))</f>
        <v/>
      </c>
      <c r="AT399">
        <f>AT398+(2*AR399-1.962*AT398-1.31)/9</f>
        <v/>
      </c>
      <c r="AU399">
        <f>AU398+AG399+K399</f>
        <v/>
      </c>
      <c r="AV399">
        <f>AU399*2.67*$B$6/1.8/60</f>
        <v/>
      </c>
      <c r="AW399">
        <f>IF(AT399&gt;=$B$36,1,0)</f>
        <v/>
      </c>
      <c r="AX399">
        <f>IF(AV399&gt;=$B$21,1,0)</f>
        <v/>
      </c>
    </row>
    <row r="400">
      <c r="A400" t="n">
        <v>327</v>
      </c>
      <c r="B400">
        <f>MATCH(A400-1,$D$61:$D$68,1)</f>
        <v/>
      </c>
      <c r="C400">
        <f>INDEX($G$61:$G$68,B400)</f>
        <v/>
      </c>
      <c r="D400">
        <f>INDEX($L$61:$L$68,B400)</f>
        <v/>
      </c>
      <c r="E400">
        <f>INDEX($M$61:$M$68,B400)</f>
        <v/>
      </c>
      <c r="F400">
        <f>INDEX($N$61:$N$68,B400)</f>
        <v/>
      </c>
      <c r="G400">
        <f>INDEX($AA$61:$AA$68,B400)</f>
        <v/>
      </c>
      <c r="H400">
        <f>INDEX($X$61:$X$68,B400)</f>
        <v/>
      </c>
      <c r="I400">
        <f>INDEX($AF$61:$AF$68,B400)</f>
        <v/>
      </c>
      <c r="J400">
        <f>INDEX($AC$61:$AC$68,B400)</f>
        <v/>
      </c>
      <c r="K400">
        <f>INDEX($AD$61:$AD$68,B400)</f>
        <v/>
      </c>
      <c r="L400">
        <f>INDEX($AG$61:$AG$68,B400)</f>
        <v/>
      </c>
      <c r="M400">
        <f>INDEX($AH$61:$AH$68,B400)</f>
        <v/>
      </c>
      <c r="N400">
        <f>INDEX($AI$61:$AI$68,B400)</f>
        <v/>
      </c>
      <c r="O400">
        <f>O399*$B$26+L400*(1-$B$26)</f>
        <v/>
      </c>
      <c r="P400">
        <f>$B$7*(O400-O399)*(1-AS399)</f>
        <v/>
      </c>
      <c r="Q400">
        <f>M400+0.51274*AT399</f>
        <v/>
      </c>
      <c r="R400">
        <f>N400+0.616*AT399</f>
        <v/>
      </c>
      <c r="S400">
        <f>IF($B$13&gt;=0.6,Q400,IF($B$13&lt;=0.2,R400,R400+2.5*(Q400-R400)*($B$13-0.2)))</f>
        <v/>
      </c>
      <c r="T400">
        <f>IF(A400=1,S400,T399*$B$27+S400*(1-$B$27))</f>
        <v/>
      </c>
      <c r="U400">
        <f>0.6105*EXP(17.27*T400/(T400+237.3))</f>
        <v/>
      </c>
      <c r="V400">
        <f>($B$14*(I400*C400+IF(ABS((D400+0.1)-D400)&lt;0.000000001,4*$B$19*$B$20*(D400+273)^3,$B$19*$B$20*(((D400+0.1)+273)^4-(D400+273)^4)/((D400+0.1)-D400))*D400)+T400/H400)/($B$14*(I400+IF(ABS((D400+0.1)-D400)&lt;0.000000001,4*$B$19*$B$20*(D400+273)^3,$B$19*$B$20*(((D400+0.1)+273)^4-(D400+273)^4)/((D400+0.1)-D400)))+1/H400)</f>
        <v/>
      </c>
      <c r="W400">
        <f>($B$14*(I400*C400+IF(ABS(V400-D400)&lt;0.000000001,4*$B$19*$B$20*(D400+273)^3,$B$19*$B$20*((V400+273)^4-(D400+273)^4)/(V400-D400))*D400)+T400/H400)/($B$14*(I400+IF(ABS(V400-D400)&lt;0.000000001,4*$B$19*$B$20*(D400+273)^3,$B$19*$B$20*((V400+273)^4-(D400+273)^4)/(V400-D400)))+1/H400)</f>
        <v/>
      </c>
      <c r="X400">
        <f>($B$14*(I400*C400+IF(ABS(W400-D400)&lt;0.000000001,4*$B$19*$B$20*(D400+273)^3,$B$19*$B$20*((W400+273)^4-(D400+273)^4)/(W400-D400))*D400)+T400/H400)/($B$14*(I400+IF(ABS(W400-D400)&lt;0.000000001,4*$B$19*$B$20*(D400+273)^3,$B$19*$B$20*((W400+273)^4-(D400+273)^4)/(W400-D400)))+1/H400)</f>
        <v/>
      </c>
      <c r="Y400">
        <f>($B$14*(I400*C400+IF(ABS(X400-D400)&lt;0.000000001,4*$B$19*$B$20*(D400+273)^3,$B$19*$B$20*((X400+273)^4-(D400+273)^4)/(X400-D400))*D400)+T400/H400)/($B$14*(I400+IF(ABS(X400-D400)&lt;0.000000001,4*$B$19*$B$20*(D400+273)^3,$B$19*$B$20*((X400+273)^4-(D400+273)^4)/(X400-D400)))+1/H400)</f>
        <v/>
      </c>
      <c r="Z400">
        <f>IF(ABS(Y400-D400)&lt;0.000000001,4*$B$19*$B$20*(D400+273)^3,$B$19*$B$20*((Y400+273)^4-(D400+273)^4)/(Y400-D400))</f>
        <v/>
      </c>
      <c r="AA400">
        <f>$B$14*I400*(Y400-C400)</f>
        <v/>
      </c>
      <c r="AB400">
        <f>$B$14*Z400*(Y400-D400)</f>
        <v/>
      </c>
      <c r="AC400">
        <f>IF((U400-E400)/G400=0,0.001,(U400-E400)/G400)</f>
        <v/>
      </c>
      <c r="AD400">
        <f>F400-P400-J400-K400-AA400-AB400</f>
        <v/>
      </c>
      <c r="AE400">
        <f>AD400/AC400</f>
        <v/>
      </c>
      <c r="AF400">
        <f>IF(AD400&lt;=0,0,IF(AC400&lt;=0,$B$11,IF(AE400&gt;=1.7,$B$11,MIN(AD400/MAX(0.05,IF(AE400&gt;1,(2-AE400)^2/2,1-AE400^2/2)),$B$11))))</f>
        <v/>
      </c>
      <c r="AG400">
        <f>AG399*$B$28+AF400*(1-$B$28)</f>
        <v/>
      </c>
      <c r="AH400">
        <f>IF(AND(AD400&gt;0,AC400&lt;=0),0,AC400)</f>
        <v/>
      </c>
      <c r="AI400">
        <f>AH400/MAX(AG400,0.000001)</f>
        <v/>
      </c>
      <c r="AJ400">
        <f>MIN(IF(AI400&gt;=0.5,-AI400+SQRT(AI400^2+2),1),$B$12)</f>
        <v/>
      </c>
      <c r="AK400">
        <f>IF(AG400&lt;=0,0,AJ400*AH400)</f>
        <v/>
      </c>
      <c r="AL400">
        <f>IF(AD400&lt;=0,0,AD400)</f>
        <v/>
      </c>
      <c r="AM400">
        <f>AL400-AK400+P400</f>
        <v/>
      </c>
      <c r="AN400">
        <f>((AM400/$B$7+T399*AS399/2-T400*MAX(0.1,MIN(0.3,0.3-0.09*(AR399-36.8)))/2)+AR399*(1-AS399/2))/(1-MAX(0.1,MIN(0.3,0.3-0.09*(AR399-36.8)))/2)</f>
        <v/>
      </c>
      <c r="AO400">
        <f>((AM400/$B$7+T399*AS399/2-T400*MAX(0.1,MIN(0.3,0.3-0.09*(AN400-36.8)))/2)+AR399*(1-AS399/2))/(1-MAX(0.1,MIN(0.3,0.3-0.09*(AN400-36.8)))/2)</f>
        <v/>
      </c>
      <c r="AP400">
        <f>((AM400/$B$7+T399*AS399/2-T400*MAX(0.1,MIN(0.3,0.3-0.09*(AO400-36.8)))/2)+AR399*(1-AS399/2))/(1-MAX(0.1,MIN(0.3,0.3-0.09*(AO400-36.8)))/2)</f>
        <v/>
      </c>
      <c r="AQ400">
        <f>((AM400/$B$7+T399*AS399/2-T400*MAX(0.1,MIN(0.3,0.3-0.09*(AP400-36.8)))/2)+AR399*(1-AS399/2))/(1-MAX(0.1,MIN(0.3,0.3-0.09*(AP400-36.8)))/2)</f>
        <v/>
      </c>
      <c r="AR400">
        <f>((AM400/$B$7+T399*AS399/2-T400*MAX(0.1,MIN(0.3,0.3-0.09*(AQ400-36.8)))/2)+AR399*(1-AS399/2))/(1-MAX(0.1,MIN(0.3,0.3-0.09*(AQ400-36.8)))/2)</f>
        <v/>
      </c>
      <c r="AS400">
        <f>MAX(0.1,MIN(0.3,0.3-0.09*(AR400-36.8)))</f>
        <v/>
      </c>
      <c r="AT400">
        <f>AT399+(2*AR400-1.962*AT399-1.31)/9</f>
        <v/>
      </c>
      <c r="AU400">
        <f>AU399+AG400+K400</f>
        <v/>
      </c>
      <c r="AV400">
        <f>AU400*2.67*$B$6/1.8/60</f>
        <v/>
      </c>
      <c r="AW400">
        <f>IF(AT400&gt;=$B$36,1,0)</f>
        <v/>
      </c>
      <c r="AX400">
        <f>IF(AV400&gt;=$B$21,1,0)</f>
        <v/>
      </c>
    </row>
    <row r="401">
      <c r="A401" t="n">
        <v>328</v>
      </c>
      <c r="B401">
        <f>MATCH(A401-1,$D$61:$D$68,1)</f>
        <v/>
      </c>
      <c r="C401">
        <f>INDEX($G$61:$G$68,B401)</f>
        <v/>
      </c>
      <c r="D401">
        <f>INDEX($L$61:$L$68,B401)</f>
        <v/>
      </c>
      <c r="E401">
        <f>INDEX($M$61:$M$68,B401)</f>
        <v/>
      </c>
      <c r="F401">
        <f>INDEX($N$61:$N$68,B401)</f>
        <v/>
      </c>
      <c r="G401">
        <f>INDEX($AA$61:$AA$68,B401)</f>
        <v/>
      </c>
      <c r="H401">
        <f>INDEX($X$61:$X$68,B401)</f>
        <v/>
      </c>
      <c r="I401">
        <f>INDEX($AF$61:$AF$68,B401)</f>
        <v/>
      </c>
      <c r="J401">
        <f>INDEX($AC$61:$AC$68,B401)</f>
        <v/>
      </c>
      <c r="K401">
        <f>INDEX($AD$61:$AD$68,B401)</f>
        <v/>
      </c>
      <c r="L401">
        <f>INDEX($AG$61:$AG$68,B401)</f>
        <v/>
      </c>
      <c r="M401">
        <f>INDEX($AH$61:$AH$68,B401)</f>
        <v/>
      </c>
      <c r="N401">
        <f>INDEX($AI$61:$AI$68,B401)</f>
        <v/>
      </c>
      <c r="O401">
        <f>O400*$B$26+L401*(1-$B$26)</f>
        <v/>
      </c>
      <c r="P401">
        <f>$B$7*(O401-O400)*(1-AS400)</f>
        <v/>
      </c>
      <c r="Q401">
        <f>M401+0.51274*AT400</f>
        <v/>
      </c>
      <c r="R401">
        <f>N401+0.616*AT400</f>
        <v/>
      </c>
      <c r="S401">
        <f>IF($B$13&gt;=0.6,Q401,IF($B$13&lt;=0.2,R401,R401+2.5*(Q401-R401)*($B$13-0.2)))</f>
        <v/>
      </c>
      <c r="T401">
        <f>IF(A401=1,S401,T400*$B$27+S401*(1-$B$27))</f>
        <v/>
      </c>
      <c r="U401">
        <f>0.6105*EXP(17.27*T401/(T401+237.3))</f>
        <v/>
      </c>
      <c r="V401">
        <f>($B$14*(I401*C401+IF(ABS((D401+0.1)-D401)&lt;0.000000001,4*$B$19*$B$20*(D401+273)^3,$B$19*$B$20*(((D401+0.1)+273)^4-(D401+273)^4)/((D401+0.1)-D401))*D401)+T401/H401)/($B$14*(I401+IF(ABS((D401+0.1)-D401)&lt;0.000000001,4*$B$19*$B$20*(D401+273)^3,$B$19*$B$20*(((D401+0.1)+273)^4-(D401+273)^4)/((D401+0.1)-D401)))+1/H401)</f>
        <v/>
      </c>
      <c r="W401">
        <f>($B$14*(I401*C401+IF(ABS(V401-D401)&lt;0.000000001,4*$B$19*$B$20*(D401+273)^3,$B$19*$B$20*((V401+273)^4-(D401+273)^4)/(V401-D401))*D401)+T401/H401)/($B$14*(I401+IF(ABS(V401-D401)&lt;0.000000001,4*$B$19*$B$20*(D401+273)^3,$B$19*$B$20*((V401+273)^4-(D401+273)^4)/(V401-D401)))+1/H401)</f>
        <v/>
      </c>
      <c r="X401">
        <f>($B$14*(I401*C401+IF(ABS(W401-D401)&lt;0.000000001,4*$B$19*$B$20*(D401+273)^3,$B$19*$B$20*((W401+273)^4-(D401+273)^4)/(W401-D401))*D401)+T401/H401)/($B$14*(I401+IF(ABS(W401-D401)&lt;0.000000001,4*$B$19*$B$20*(D401+273)^3,$B$19*$B$20*((W401+273)^4-(D401+273)^4)/(W401-D401)))+1/H401)</f>
        <v/>
      </c>
      <c r="Y401">
        <f>($B$14*(I401*C401+IF(ABS(X401-D401)&lt;0.000000001,4*$B$19*$B$20*(D401+273)^3,$B$19*$B$20*((X401+273)^4-(D401+273)^4)/(X401-D401))*D401)+T401/H401)/($B$14*(I401+IF(ABS(X401-D401)&lt;0.000000001,4*$B$19*$B$20*(D401+273)^3,$B$19*$B$20*((X401+273)^4-(D401+273)^4)/(X401-D401)))+1/H401)</f>
        <v/>
      </c>
      <c r="Z401">
        <f>IF(ABS(Y401-D401)&lt;0.000000001,4*$B$19*$B$20*(D401+273)^3,$B$19*$B$20*((Y401+273)^4-(D401+273)^4)/(Y401-D401))</f>
        <v/>
      </c>
      <c r="AA401">
        <f>$B$14*I401*(Y401-C401)</f>
        <v/>
      </c>
      <c r="AB401">
        <f>$B$14*Z401*(Y401-D401)</f>
        <v/>
      </c>
      <c r="AC401">
        <f>IF((U401-E401)/G401=0,0.001,(U401-E401)/G401)</f>
        <v/>
      </c>
      <c r="AD401">
        <f>F401-P401-J401-K401-AA401-AB401</f>
        <v/>
      </c>
      <c r="AE401">
        <f>AD401/AC401</f>
        <v/>
      </c>
      <c r="AF401">
        <f>IF(AD401&lt;=0,0,IF(AC401&lt;=0,$B$11,IF(AE401&gt;=1.7,$B$11,MIN(AD401/MAX(0.05,IF(AE401&gt;1,(2-AE401)^2/2,1-AE401^2/2)),$B$11))))</f>
        <v/>
      </c>
      <c r="AG401">
        <f>AG400*$B$28+AF401*(1-$B$28)</f>
        <v/>
      </c>
      <c r="AH401">
        <f>IF(AND(AD401&gt;0,AC401&lt;=0),0,AC401)</f>
        <v/>
      </c>
      <c r="AI401">
        <f>AH401/MAX(AG401,0.000001)</f>
        <v/>
      </c>
      <c r="AJ401">
        <f>MIN(IF(AI401&gt;=0.5,-AI401+SQRT(AI401^2+2),1),$B$12)</f>
        <v/>
      </c>
      <c r="AK401">
        <f>IF(AG401&lt;=0,0,AJ401*AH401)</f>
        <v/>
      </c>
      <c r="AL401">
        <f>IF(AD401&lt;=0,0,AD401)</f>
        <v/>
      </c>
      <c r="AM401">
        <f>AL401-AK401+P401</f>
        <v/>
      </c>
      <c r="AN401">
        <f>((AM401/$B$7+T400*AS400/2-T401*MAX(0.1,MIN(0.3,0.3-0.09*(AR400-36.8)))/2)+AR400*(1-AS400/2))/(1-MAX(0.1,MIN(0.3,0.3-0.09*(AR400-36.8)))/2)</f>
        <v/>
      </c>
      <c r="AO401">
        <f>((AM401/$B$7+T400*AS400/2-T401*MAX(0.1,MIN(0.3,0.3-0.09*(AN401-36.8)))/2)+AR400*(1-AS400/2))/(1-MAX(0.1,MIN(0.3,0.3-0.09*(AN401-36.8)))/2)</f>
        <v/>
      </c>
      <c r="AP401">
        <f>((AM401/$B$7+T400*AS400/2-T401*MAX(0.1,MIN(0.3,0.3-0.09*(AO401-36.8)))/2)+AR400*(1-AS400/2))/(1-MAX(0.1,MIN(0.3,0.3-0.09*(AO401-36.8)))/2)</f>
        <v/>
      </c>
      <c r="AQ401">
        <f>((AM401/$B$7+T400*AS400/2-T401*MAX(0.1,MIN(0.3,0.3-0.09*(AP401-36.8)))/2)+AR400*(1-AS400/2))/(1-MAX(0.1,MIN(0.3,0.3-0.09*(AP401-36.8)))/2)</f>
        <v/>
      </c>
      <c r="AR401">
        <f>((AM401/$B$7+T400*AS400/2-T401*MAX(0.1,MIN(0.3,0.3-0.09*(AQ401-36.8)))/2)+AR400*(1-AS400/2))/(1-MAX(0.1,MIN(0.3,0.3-0.09*(AQ401-36.8)))/2)</f>
        <v/>
      </c>
      <c r="AS401">
        <f>MAX(0.1,MIN(0.3,0.3-0.09*(AR401-36.8)))</f>
        <v/>
      </c>
      <c r="AT401">
        <f>AT400+(2*AR401-1.962*AT400-1.31)/9</f>
        <v/>
      </c>
      <c r="AU401">
        <f>AU400+AG401+K401</f>
        <v/>
      </c>
      <c r="AV401">
        <f>AU401*2.67*$B$6/1.8/60</f>
        <v/>
      </c>
      <c r="AW401">
        <f>IF(AT401&gt;=$B$36,1,0)</f>
        <v/>
      </c>
      <c r="AX401">
        <f>IF(AV401&gt;=$B$21,1,0)</f>
        <v/>
      </c>
    </row>
    <row r="402">
      <c r="A402" t="n">
        <v>329</v>
      </c>
      <c r="B402">
        <f>MATCH(A402-1,$D$61:$D$68,1)</f>
        <v/>
      </c>
      <c r="C402">
        <f>INDEX($G$61:$G$68,B402)</f>
        <v/>
      </c>
      <c r="D402">
        <f>INDEX($L$61:$L$68,B402)</f>
        <v/>
      </c>
      <c r="E402">
        <f>INDEX($M$61:$M$68,B402)</f>
        <v/>
      </c>
      <c r="F402">
        <f>INDEX($N$61:$N$68,B402)</f>
        <v/>
      </c>
      <c r="G402">
        <f>INDEX($AA$61:$AA$68,B402)</f>
        <v/>
      </c>
      <c r="H402">
        <f>INDEX($X$61:$X$68,B402)</f>
        <v/>
      </c>
      <c r="I402">
        <f>INDEX($AF$61:$AF$68,B402)</f>
        <v/>
      </c>
      <c r="J402">
        <f>INDEX($AC$61:$AC$68,B402)</f>
        <v/>
      </c>
      <c r="K402">
        <f>INDEX($AD$61:$AD$68,B402)</f>
        <v/>
      </c>
      <c r="L402">
        <f>INDEX($AG$61:$AG$68,B402)</f>
        <v/>
      </c>
      <c r="M402">
        <f>INDEX($AH$61:$AH$68,B402)</f>
        <v/>
      </c>
      <c r="N402">
        <f>INDEX($AI$61:$AI$68,B402)</f>
        <v/>
      </c>
      <c r="O402">
        <f>O401*$B$26+L402*(1-$B$26)</f>
        <v/>
      </c>
      <c r="P402">
        <f>$B$7*(O402-O401)*(1-AS401)</f>
        <v/>
      </c>
      <c r="Q402">
        <f>M402+0.51274*AT401</f>
        <v/>
      </c>
      <c r="R402">
        <f>N402+0.616*AT401</f>
        <v/>
      </c>
      <c r="S402">
        <f>IF($B$13&gt;=0.6,Q402,IF($B$13&lt;=0.2,R402,R402+2.5*(Q402-R402)*($B$13-0.2)))</f>
        <v/>
      </c>
      <c r="T402">
        <f>IF(A402=1,S402,T401*$B$27+S402*(1-$B$27))</f>
        <v/>
      </c>
      <c r="U402">
        <f>0.6105*EXP(17.27*T402/(T402+237.3))</f>
        <v/>
      </c>
      <c r="V402">
        <f>($B$14*(I402*C402+IF(ABS((D402+0.1)-D402)&lt;0.000000001,4*$B$19*$B$20*(D402+273)^3,$B$19*$B$20*(((D402+0.1)+273)^4-(D402+273)^4)/((D402+0.1)-D402))*D402)+T402/H402)/($B$14*(I402+IF(ABS((D402+0.1)-D402)&lt;0.000000001,4*$B$19*$B$20*(D402+273)^3,$B$19*$B$20*(((D402+0.1)+273)^4-(D402+273)^4)/((D402+0.1)-D402)))+1/H402)</f>
        <v/>
      </c>
      <c r="W402">
        <f>($B$14*(I402*C402+IF(ABS(V402-D402)&lt;0.000000001,4*$B$19*$B$20*(D402+273)^3,$B$19*$B$20*((V402+273)^4-(D402+273)^4)/(V402-D402))*D402)+T402/H402)/($B$14*(I402+IF(ABS(V402-D402)&lt;0.000000001,4*$B$19*$B$20*(D402+273)^3,$B$19*$B$20*((V402+273)^4-(D402+273)^4)/(V402-D402)))+1/H402)</f>
        <v/>
      </c>
      <c r="X402">
        <f>($B$14*(I402*C402+IF(ABS(W402-D402)&lt;0.000000001,4*$B$19*$B$20*(D402+273)^3,$B$19*$B$20*((W402+273)^4-(D402+273)^4)/(W402-D402))*D402)+T402/H402)/($B$14*(I402+IF(ABS(W402-D402)&lt;0.000000001,4*$B$19*$B$20*(D402+273)^3,$B$19*$B$20*((W402+273)^4-(D402+273)^4)/(W402-D402)))+1/H402)</f>
        <v/>
      </c>
      <c r="Y402">
        <f>($B$14*(I402*C402+IF(ABS(X402-D402)&lt;0.000000001,4*$B$19*$B$20*(D402+273)^3,$B$19*$B$20*((X402+273)^4-(D402+273)^4)/(X402-D402))*D402)+T402/H402)/($B$14*(I402+IF(ABS(X402-D402)&lt;0.000000001,4*$B$19*$B$20*(D402+273)^3,$B$19*$B$20*((X402+273)^4-(D402+273)^4)/(X402-D402)))+1/H402)</f>
        <v/>
      </c>
      <c r="Z402">
        <f>IF(ABS(Y402-D402)&lt;0.000000001,4*$B$19*$B$20*(D402+273)^3,$B$19*$B$20*((Y402+273)^4-(D402+273)^4)/(Y402-D402))</f>
        <v/>
      </c>
      <c r="AA402">
        <f>$B$14*I402*(Y402-C402)</f>
        <v/>
      </c>
      <c r="AB402">
        <f>$B$14*Z402*(Y402-D402)</f>
        <v/>
      </c>
      <c r="AC402">
        <f>IF((U402-E402)/G402=0,0.001,(U402-E402)/G402)</f>
        <v/>
      </c>
      <c r="AD402">
        <f>F402-P402-J402-K402-AA402-AB402</f>
        <v/>
      </c>
      <c r="AE402">
        <f>AD402/AC402</f>
        <v/>
      </c>
      <c r="AF402">
        <f>IF(AD402&lt;=0,0,IF(AC402&lt;=0,$B$11,IF(AE402&gt;=1.7,$B$11,MIN(AD402/MAX(0.05,IF(AE402&gt;1,(2-AE402)^2/2,1-AE402^2/2)),$B$11))))</f>
        <v/>
      </c>
      <c r="AG402">
        <f>AG401*$B$28+AF402*(1-$B$28)</f>
        <v/>
      </c>
      <c r="AH402">
        <f>IF(AND(AD402&gt;0,AC402&lt;=0),0,AC402)</f>
        <v/>
      </c>
      <c r="AI402">
        <f>AH402/MAX(AG402,0.000001)</f>
        <v/>
      </c>
      <c r="AJ402">
        <f>MIN(IF(AI402&gt;=0.5,-AI402+SQRT(AI402^2+2),1),$B$12)</f>
        <v/>
      </c>
      <c r="AK402">
        <f>IF(AG402&lt;=0,0,AJ402*AH402)</f>
        <v/>
      </c>
      <c r="AL402">
        <f>IF(AD402&lt;=0,0,AD402)</f>
        <v/>
      </c>
      <c r="AM402">
        <f>AL402-AK402+P402</f>
        <v/>
      </c>
      <c r="AN402">
        <f>((AM402/$B$7+T401*AS401/2-T402*MAX(0.1,MIN(0.3,0.3-0.09*(AR401-36.8)))/2)+AR401*(1-AS401/2))/(1-MAX(0.1,MIN(0.3,0.3-0.09*(AR401-36.8)))/2)</f>
        <v/>
      </c>
      <c r="AO402">
        <f>((AM402/$B$7+T401*AS401/2-T402*MAX(0.1,MIN(0.3,0.3-0.09*(AN402-36.8)))/2)+AR401*(1-AS401/2))/(1-MAX(0.1,MIN(0.3,0.3-0.09*(AN402-36.8)))/2)</f>
        <v/>
      </c>
      <c r="AP402">
        <f>((AM402/$B$7+T401*AS401/2-T402*MAX(0.1,MIN(0.3,0.3-0.09*(AO402-36.8)))/2)+AR401*(1-AS401/2))/(1-MAX(0.1,MIN(0.3,0.3-0.09*(AO402-36.8)))/2)</f>
        <v/>
      </c>
      <c r="AQ402">
        <f>((AM402/$B$7+T401*AS401/2-T402*MAX(0.1,MIN(0.3,0.3-0.09*(AP402-36.8)))/2)+AR401*(1-AS401/2))/(1-MAX(0.1,MIN(0.3,0.3-0.09*(AP402-36.8)))/2)</f>
        <v/>
      </c>
      <c r="AR402">
        <f>((AM402/$B$7+T401*AS401/2-T402*MAX(0.1,MIN(0.3,0.3-0.09*(AQ402-36.8)))/2)+AR401*(1-AS401/2))/(1-MAX(0.1,MIN(0.3,0.3-0.09*(AQ402-36.8)))/2)</f>
        <v/>
      </c>
      <c r="AS402">
        <f>MAX(0.1,MIN(0.3,0.3-0.09*(AR402-36.8)))</f>
        <v/>
      </c>
      <c r="AT402">
        <f>AT401+(2*AR402-1.962*AT401-1.31)/9</f>
        <v/>
      </c>
      <c r="AU402">
        <f>AU401+AG402+K402</f>
        <v/>
      </c>
      <c r="AV402">
        <f>AU402*2.67*$B$6/1.8/60</f>
        <v/>
      </c>
      <c r="AW402">
        <f>IF(AT402&gt;=$B$36,1,0)</f>
        <v/>
      </c>
      <c r="AX402">
        <f>IF(AV402&gt;=$B$21,1,0)</f>
        <v/>
      </c>
    </row>
    <row r="403">
      <c r="A403" t="n">
        <v>330</v>
      </c>
      <c r="B403">
        <f>MATCH(A403-1,$D$61:$D$68,1)</f>
        <v/>
      </c>
      <c r="C403">
        <f>INDEX($G$61:$G$68,B403)</f>
        <v/>
      </c>
      <c r="D403">
        <f>INDEX($L$61:$L$68,B403)</f>
        <v/>
      </c>
      <c r="E403">
        <f>INDEX($M$61:$M$68,B403)</f>
        <v/>
      </c>
      <c r="F403">
        <f>INDEX($N$61:$N$68,B403)</f>
        <v/>
      </c>
      <c r="G403">
        <f>INDEX($AA$61:$AA$68,B403)</f>
        <v/>
      </c>
      <c r="H403">
        <f>INDEX($X$61:$X$68,B403)</f>
        <v/>
      </c>
      <c r="I403">
        <f>INDEX($AF$61:$AF$68,B403)</f>
        <v/>
      </c>
      <c r="J403">
        <f>INDEX($AC$61:$AC$68,B403)</f>
        <v/>
      </c>
      <c r="K403">
        <f>INDEX($AD$61:$AD$68,B403)</f>
        <v/>
      </c>
      <c r="L403">
        <f>INDEX($AG$61:$AG$68,B403)</f>
        <v/>
      </c>
      <c r="M403">
        <f>INDEX($AH$61:$AH$68,B403)</f>
        <v/>
      </c>
      <c r="N403">
        <f>INDEX($AI$61:$AI$68,B403)</f>
        <v/>
      </c>
      <c r="O403">
        <f>O402*$B$26+L403*(1-$B$26)</f>
        <v/>
      </c>
      <c r="P403">
        <f>$B$7*(O403-O402)*(1-AS402)</f>
        <v/>
      </c>
      <c r="Q403">
        <f>M403+0.51274*AT402</f>
        <v/>
      </c>
      <c r="R403">
        <f>N403+0.616*AT402</f>
        <v/>
      </c>
      <c r="S403">
        <f>IF($B$13&gt;=0.6,Q403,IF($B$13&lt;=0.2,R403,R403+2.5*(Q403-R403)*($B$13-0.2)))</f>
        <v/>
      </c>
      <c r="T403">
        <f>IF(A403=1,S403,T402*$B$27+S403*(1-$B$27))</f>
        <v/>
      </c>
      <c r="U403">
        <f>0.6105*EXP(17.27*T403/(T403+237.3))</f>
        <v/>
      </c>
      <c r="V403">
        <f>($B$14*(I403*C403+IF(ABS((D403+0.1)-D403)&lt;0.000000001,4*$B$19*$B$20*(D403+273)^3,$B$19*$B$20*(((D403+0.1)+273)^4-(D403+273)^4)/((D403+0.1)-D403))*D403)+T403/H403)/($B$14*(I403+IF(ABS((D403+0.1)-D403)&lt;0.000000001,4*$B$19*$B$20*(D403+273)^3,$B$19*$B$20*(((D403+0.1)+273)^4-(D403+273)^4)/((D403+0.1)-D403)))+1/H403)</f>
        <v/>
      </c>
      <c r="W403">
        <f>($B$14*(I403*C403+IF(ABS(V403-D403)&lt;0.000000001,4*$B$19*$B$20*(D403+273)^3,$B$19*$B$20*((V403+273)^4-(D403+273)^4)/(V403-D403))*D403)+T403/H403)/($B$14*(I403+IF(ABS(V403-D403)&lt;0.000000001,4*$B$19*$B$20*(D403+273)^3,$B$19*$B$20*((V403+273)^4-(D403+273)^4)/(V403-D403)))+1/H403)</f>
        <v/>
      </c>
      <c r="X403">
        <f>($B$14*(I403*C403+IF(ABS(W403-D403)&lt;0.000000001,4*$B$19*$B$20*(D403+273)^3,$B$19*$B$20*((W403+273)^4-(D403+273)^4)/(W403-D403))*D403)+T403/H403)/($B$14*(I403+IF(ABS(W403-D403)&lt;0.000000001,4*$B$19*$B$20*(D403+273)^3,$B$19*$B$20*((W403+273)^4-(D403+273)^4)/(W403-D403)))+1/H403)</f>
        <v/>
      </c>
      <c r="Y403">
        <f>($B$14*(I403*C403+IF(ABS(X403-D403)&lt;0.000000001,4*$B$19*$B$20*(D403+273)^3,$B$19*$B$20*((X403+273)^4-(D403+273)^4)/(X403-D403))*D403)+T403/H403)/($B$14*(I403+IF(ABS(X403-D403)&lt;0.000000001,4*$B$19*$B$20*(D403+273)^3,$B$19*$B$20*((X403+273)^4-(D403+273)^4)/(X403-D403)))+1/H403)</f>
        <v/>
      </c>
      <c r="Z403">
        <f>IF(ABS(Y403-D403)&lt;0.000000001,4*$B$19*$B$20*(D403+273)^3,$B$19*$B$20*((Y403+273)^4-(D403+273)^4)/(Y403-D403))</f>
        <v/>
      </c>
      <c r="AA403">
        <f>$B$14*I403*(Y403-C403)</f>
        <v/>
      </c>
      <c r="AB403">
        <f>$B$14*Z403*(Y403-D403)</f>
        <v/>
      </c>
      <c r="AC403">
        <f>IF((U403-E403)/G403=0,0.001,(U403-E403)/G403)</f>
        <v/>
      </c>
      <c r="AD403">
        <f>F403-P403-J403-K403-AA403-AB403</f>
        <v/>
      </c>
      <c r="AE403">
        <f>AD403/AC403</f>
        <v/>
      </c>
      <c r="AF403">
        <f>IF(AD403&lt;=0,0,IF(AC403&lt;=0,$B$11,IF(AE403&gt;=1.7,$B$11,MIN(AD403/MAX(0.05,IF(AE403&gt;1,(2-AE403)^2/2,1-AE403^2/2)),$B$11))))</f>
        <v/>
      </c>
      <c r="AG403">
        <f>AG402*$B$28+AF403*(1-$B$28)</f>
        <v/>
      </c>
      <c r="AH403">
        <f>IF(AND(AD403&gt;0,AC403&lt;=0),0,AC403)</f>
        <v/>
      </c>
      <c r="AI403">
        <f>AH403/MAX(AG403,0.000001)</f>
        <v/>
      </c>
      <c r="AJ403">
        <f>MIN(IF(AI403&gt;=0.5,-AI403+SQRT(AI403^2+2),1),$B$12)</f>
        <v/>
      </c>
      <c r="AK403">
        <f>IF(AG403&lt;=0,0,AJ403*AH403)</f>
        <v/>
      </c>
      <c r="AL403">
        <f>IF(AD403&lt;=0,0,AD403)</f>
        <v/>
      </c>
      <c r="AM403">
        <f>AL403-AK403+P403</f>
        <v/>
      </c>
      <c r="AN403">
        <f>((AM403/$B$7+T402*AS402/2-T403*MAX(0.1,MIN(0.3,0.3-0.09*(AR402-36.8)))/2)+AR402*(1-AS402/2))/(1-MAX(0.1,MIN(0.3,0.3-0.09*(AR402-36.8)))/2)</f>
        <v/>
      </c>
      <c r="AO403">
        <f>((AM403/$B$7+T402*AS402/2-T403*MAX(0.1,MIN(0.3,0.3-0.09*(AN403-36.8)))/2)+AR402*(1-AS402/2))/(1-MAX(0.1,MIN(0.3,0.3-0.09*(AN403-36.8)))/2)</f>
        <v/>
      </c>
      <c r="AP403">
        <f>((AM403/$B$7+T402*AS402/2-T403*MAX(0.1,MIN(0.3,0.3-0.09*(AO403-36.8)))/2)+AR402*(1-AS402/2))/(1-MAX(0.1,MIN(0.3,0.3-0.09*(AO403-36.8)))/2)</f>
        <v/>
      </c>
      <c r="AQ403">
        <f>((AM403/$B$7+T402*AS402/2-T403*MAX(0.1,MIN(0.3,0.3-0.09*(AP403-36.8)))/2)+AR402*(1-AS402/2))/(1-MAX(0.1,MIN(0.3,0.3-0.09*(AP403-36.8)))/2)</f>
        <v/>
      </c>
      <c r="AR403">
        <f>((AM403/$B$7+T402*AS402/2-T403*MAX(0.1,MIN(0.3,0.3-0.09*(AQ403-36.8)))/2)+AR402*(1-AS402/2))/(1-MAX(0.1,MIN(0.3,0.3-0.09*(AQ403-36.8)))/2)</f>
        <v/>
      </c>
      <c r="AS403">
        <f>MAX(0.1,MIN(0.3,0.3-0.09*(AR403-36.8)))</f>
        <v/>
      </c>
      <c r="AT403">
        <f>AT402+(2*AR403-1.962*AT402-1.31)/9</f>
        <v/>
      </c>
      <c r="AU403">
        <f>AU402+AG403+K403</f>
        <v/>
      </c>
      <c r="AV403">
        <f>AU403*2.67*$B$6/1.8/60</f>
        <v/>
      </c>
      <c r="AW403">
        <f>IF(AT403&gt;=$B$36,1,0)</f>
        <v/>
      </c>
      <c r="AX403">
        <f>IF(AV403&gt;=$B$21,1,0)</f>
        <v/>
      </c>
    </row>
    <row r="404">
      <c r="A404" t="n">
        <v>331</v>
      </c>
      <c r="B404">
        <f>MATCH(A404-1,$D$61:$D$68,1)</f>
        <v/>
      </c>
      <c r="C404">
        <f>INDEX($G$61:$G$68,B404)</f>
        <v/>
      </c>
      <c r="D404">
        <f>INDEX($L$61:$L$68,B404)</f>
        <v/>
      </c>
      <c r="E404">
        <f>INDEX($M$61:$M$68,B404)</f>
        <v/>
      </c>
      <c r="F404">
        <f>INDEX($N$61:$N$68,B404)</f>
        <v/>
      </c>
      <c r="G404">
        <f>INDEX($AA$61:$AA$68,B404)</f>
        <v/>
      </c>
      <c r="H404">
        <f>INDEX($X$61:$X$68,B404)</f>
        <v/>
      </c>
      <c r="I404">
        <f>INDEX($AF$61:$AF$68,B404)</f>
        <v/>
      </c>
      <c r="J404">
        <f>INDEX($AC$61:$AC$68,B404)</f>
        <v/>
      </c>
      <c r="K404">
        <f>INDEX($AD$61:$AD$68,B404)</f>
        <v/>
      </c>
      <c r="L404">
        <f>INDEX($AG$61:$AG$68,B404)</f>
        <v/>
      </c>
      <c r="M404">
        <f>INDEX($AH$61:$AH$68,B404)</f>
        <v/>
      </c>
      <c r="N404">
        <f>INDEX($AI$61:$AI$68,B404)</f>
        <v/>
      </c>
      <c r="O404">
        <f>O403*$B$26+L404*(1-$B$26)</f>
        <v/>
      </c>
      <c r="P404">
        <f>$B$7*(O404-O403)*(1-AS403)</f>
        <v/>
      </c>
      <c r="Q404">
        <f>M404+0.51274*AT403</f>
        <v/>
      </c>
      <c r="R404">
        <f>N404+0.616*AT403</f>
        <v/>
      </c>
      <c r="S404">
        <f>IF($B$13&gt;=0.6,Q404,IF($B$13&lt;=0.2,R404,R404+2.5*(Q404-R404)*($B$13-0.2)))</f>
        <v/>
      </c>
      <c r="T404">
        <f>IF(A404=1,S404,T403*$B$27+S404*(1-$B$27))</f>
        <v/>
      </c>
      <c r="U404">
        <f>0.6105*EXP(17.27*T404/(T404+237.3))</f>
        <v/>
      </c>
      <c r="V404">
        <f>($B$14*(I404*C404+IF(ABS((D404+0.1)-D404)&lt;0.000000001,4*$B$19*$B$20*(D404+273)^3,$B$19*$B$20*(((D404+0.1)+273)^4-(D404+273)^4)/((D404+0.1)-D404))*D404)+T404/H404)/($B$14*(I404+IF(ABS((D404+0.1)-D404)&lt;0.000000001,4*$B$19*$B$20*(D404+273)^3,$B$19*$B$20*(((D404+0.1)+273)^4-(D404+273)^4)/((D404+0.1)-D404)))+1/H404)</f>
        <v/>
      </c>
      <c r="W404">
        <f>($B$14*(I404*C404+IF(ABS(V404-D404)&lt;0.000000001,4*$B$19*$B$20*(D404+273)^3,$B$19*$B$20*((V404+273)^4-(D404+273)^4)/(V404-D404))*D404)+T404/H404)/($B$14*(I404+IF(ABS(V404-D404)&lt;0.000000001,4*$B$19*$B$20*(D404+273)^3,$B$19*$B$20*((V404+273)^4-(D404+273)^4)/(V404-D404)))+1/H404)</f>
        <v/>
      </c>
      <c r="X404">
        <f>($B$14*(I404*C404+IF(ABS(W404-D404)&lt;0.000000001,4*$B$19*$B$20*(D404+273)^3,$B$19*$B$20*((W404+273)^4-(D404+273)^4)/(W404-D404))*D404)+T404/H404)/($B$14*(I404+IF(ABS(W404-D404)&lt;0.000000001,4*$B$19*$B$20*(D404+273)^3,$B$19*$B$20*((W404+273)^4-(D404+273)^4)/(W404-D404)))+1/H404)</f>
        <v/>
      </c>
      <c r="Y404">
        <f>($B$14*(I404*C404+IF(ABS(X404-D404)&lt;0.000000001,4*$B$19*$B$20*(D404+273)^3,$B$19*$B$20*((X404+273)^4-(D404+273)^4)/(X404-D404))*D404)+T404/H404)/($B$14*(I404+IF(ABS(X404-D404)&lt;0.000000001,4*$B$19*$B$20*(D404+273)^3,$B$19*$B$20*((X404+273)^4-(D404+273)^4)/(X404-D404)))+1/H404)</f>
        <v/>
      </c>
      <c r="Z404">
        <f>IF(ABS(Y404-D404)&lt;0.000000001,4*$B$19*$B$20*(D404+273)^3,$B$19*$B$20*((Y404+273)^4-(D404+273)^4)/(Y404-D404))</f>
        <v/>
      </c>
      <c r="AA404">
        <f>$B$14*I404*(Y404-C404)</f>
        <v/>
      </c>
      <c r="AB404">
        <f>$B$14*Z404*(Y404-D404)</f>
        <v/>
      </c>
      <c r="AC404">
        <f>IF((U404-E404)/G404=0,0.001,(U404-E404)/G404)</f>
        <v/>
      </c>
      <c r="AD404">
        <f>F404-P404-J404-K404-AA404-AB404</f>
        <v/>
      </c>
      <c r="AE404">
        <f>AD404/AC404</f>
        <v/>
      </c>
      <c r="AF404">
        <f>IF(AD404&lt;=0,0,IF(AC404&lt;=0,$B$11,IF(AE404&gt;=1.7,$B$11,MIN(AD404/MAX(0.05,IF(AE404&gt;1,(2-AE404)^2/2,1-AE404^2/2)),$B$11))))</f>
        <v/>
      </c>
      <c r="AG404">
        <f>AG403*$B$28+AF404*(1-$B$28)</f>
        <v/>
      </c>
      <c r="AH404">
        <f>IF(AND(AD404&gt;0,AC404&lt;=0),0,AC404)</f>
        <v/>
      </c>
      <c r="AI404">
        <f>AH404/MAX(AG404,0.000001)</f>
        <v/>
      </c>
      <c r="AJ404">
        <f>MIN(IF(AI404&gt;=0.5,-AI404+SQRT(AI404^2+2),1),$B$12)</f>
        <v/>
      </c>
      <c r="AK404">
        <f>IF(AG404&lt;=0,0,AJ404*AH404)</f>
        <v/>
      </c>
      <c r="AL404">
        <f>IF(AD404&lt;=0,0,AD404)</f>
        <v/>
      </c>
      <c r="AM404">
        <f>AL404-AK404+P404</f>
        <v/>
      </c>
      <c r="AN404">
        <f>((AM404/$B$7+T403*AS403/2-T404*MAX(0.1,MIN(0.3,0.3-0.09*(AR403-36.8)))/2)+AR403*(1-AS403/2))/(1-MAX(0.1,MIN(0.3,0.3-0.09*(AR403-36.8)))/2)</f>
        <v/>
      </c>
      <c r="AO404">
        <f>((AM404/$B$7+T403*AS403/2-T404*MAX(0.1,MIN(0.3,0.3-0.09*(AN404-36.8)))/2)+AR403*(1-AS403/2))/(1-MAX(0.1,MIN(0.3,0.3-0.09*(AN404-36.8)))/2)</f>
        <v/>
      </c>
      <c r="AP404">
        <f>((AM404/$B$7+T403*AS403/2-T404*MAX(0.1,MIN(0.3,0.3-0.09*(AO404-36.8)))/2)+AR403*(1-AS403/2))/(1-MAX(0.1,MIN(0.3,0.3-0.09*(AO404-36.8)))/2)</f>
        <v/>
      </c>
      <c r="AQ404">
        <f>((AM404/$B$7+T403*AS403/2-T404*MAX(0.1,MIN(0.3,0.3-0.09*(AP404-36.8)))/2)+AR403*(1-AS403/2))/(1-MAX(0.1,MIN(0.3,0.3-0.09*(AP404-36.8)))/2)</f>
        <v/>
      </c>
      <c r="AR404">
        <f>((AM404/$B$7+T403*AS403/2-T404*MAX(0.1,MIN(0.3,0.3-0.09*(AQ404-36.8)))/2)+AR403*(1-AS403/2))/(1-MAX(0.1,MIN(0.3,0.3-0.09*(AQ404-36.8)))/2)</f>
        <v/>
      </c>
      <c r="AS404">
        <f>MAX(0.1,MIN(0.3,0.3-0.09*(AR404-36.8)))</f>
        <v/>
      </c>
      <c r="AT404">
        <f>AT403+(2*AR404-1.962*AT403-1.31)/9</f>
        <v/>
      </c>
      <c r="AU404">
        <f>AU403+AG404+K404</f>
        <v/>
      </c>
      <c r="AV404">
        <f>AU404*2.67*$B$6/1.8/60</f>
        <v/>
      </c>
      <c r="AW404">
        <f>IF(AT404&gt;=$B$36,1,0)</f>
        <v/>
      </c>
      <c r="AX404">
        <f>IF(AV404&gt;=$B$21,1,0)</f>
        <v/>
      </c>
    </row>
    <row r="405">
      <c r="A405" t="n">
        <v>332</v>
      </c>
      <c r="B405">
        <f>MATCH(A405-1,$D$61:$D$68,1)</f>
        <v/>
      </c>
      <c r="C405">
        <f>INDEX($G$61:$G$68,B405)</f>
        <v/>
      </c>
      <c r="D405">
        <f>INDEX($L$61:$L$68,B405)</f>
        <v/>
      </c>
      <c r="E405">
        <f>INDEX($M$61:$M$68,B405)</f>
        <v/>
      </c>
      <c r="F405">
        <f>INDEX($N$61:$N$68,B405)</f>
        <v/>
      </c>
      <c r="G405">
        <f>INDEX($AA$61:$AA$68,B405)</f>
        <v/>
      </c>
      <c r="H405">
        <f>INDEX($X$61:$X$68,B405)</f>
        <v/>
      </c>
      <c r="I405">
        <f>INDEX($AF$61:$AF$68,B405)</f>
        <v/>
      </c>
      <c r="J405">
        <f>INDEX($AC$61:$AC$68,B405)</f>
        <v/>
      </c>
      <c r="K405">
        <f>INDEX($AD$61:$AD$68,B405)</f>
        <v/>
      </c>
      <c r="L405">
        <f>INDEX($AG$61:$AG$68,B405)</f>
        <v/>
      </c>
      <c r="M405">
        <f>INDEX($AH$61:$AH$68,B405)</f>
        <v/>
      </c>
      <c r="N405">
        <f>INDEX($AI$61:$AI$68,B405)</f>
        <v/>
      </c>
      <c r="O405">
        <f>O404*$B$26+L405*(1-$B$26)</f>
        <v/>
      </c>
      <c r="P405">
        <f>$B$7*(O405-O404)*(1-AS404)</f>
        <v/>
      </c>
      <c r="Q405">
        <f>M405+0.51274*AT404</f>
        <v/>
      </c>
      <c r="R405">
        <f>N405+0.616*AT404</f>
        <v/>
      </c>
      <c r="S405">
        <f>IF($B$13&gt;=0.6,Q405,IF($B$13&lt;=0.2,R405,R405+2.5*(Q405-R405)*($B$13-0.2)))</f>
        <v/>
      </c>
      <c r="T405">
        <f>IF(A405=1,S405,T404*$B$27+S405*(1-$B$27))</f>
        <v/>
      </c>
      <c r="U405">
        <f>0.6105*EXP(17.27*T405/(T405+237.3))</f>
        <v/>
      </c>
      <c r="V405">
        <f>($B$14*(I405*C405+IF(ABS((D405+0.1)-D405)&lt;0.000000001,4*$B$19*$B$20*(D405+273)^3,$B$19*$B$20*(((D405+0.1)+273)^4-(D405+273)^4)/((D405+0.1)-D405))*D405)+T405/H405)/($B$14*(I405+IF(ABS((D405+0.1)-D405)&lt;0.000000001,4*$B$19*$B$20*(D405+273)^3,$B$19*$B$20*(((D405+0.1)+273)^4-(D405+273)^4)/((D405+0.1)-D405)))+1/H405)</f>
        <v/>
      </c>
      <c r="W405">
        <f>($B$14*(I405*C405+IF(ABS(V405-D405)&lt;0.000000001,4*$B$19*$B$20*(D405+273)^3,$B$19*$B$20*((V405+273)^4-(D405+273)^4)/(V405-D405))*D405)+T405/H405)/($B$14*(I405+IF(ABS(V405-D405)&lt;0.000000001,4*$B$19*$B$20*(D405+273)^3,$B$19*$B$20*((V405+273)^4-(D405+273)^4)/(V405-D405)))+1/H405)</f>
        <v/>
      </c>
      <c r="X405">
        <f>($B$14*(I405*C405+IF(ABS(W405-D405)&lt;0.000000001,4*$B$19*$B$20*(D405+273)^3,$B$19*$B$20*((W405+273)^4-(D405+273)^4)/(W405-D405))*D405)+T405/H405)/($B$14*(I405+IF(ABS(W405-D405)&lt;0.000000001,4*$B$19*$B$20*(D405+273)^3,$B$19*$B$20*((W405+273)^4-(D405+273)^4)/(W405-D405)))+1/H405)</f>
        <v/>
      </c>
      <c r="Y405">
        <f>($B$14*(I405*C405+IF(ABS(X405-D405)&lt;0.000000001,4*$B$19*$B$20*(D405+273)^3,$B$19*$B$20*((X405+273)^4-(D405+273)^4)/(X405-D405))*D405)+T405/H405)/($B$14*(I405+IF(ABS(X405-D405)&lt;0.000000001,4*$B$19*$B$20*(D405+273)^3,$B$19*$B$20*((X405+273)^4-(D405+273)^4)/(X405-D405)))+1/H405)</f>
        <v/>
      </c>
      <c r="Z405">
        <f>IF(ABS(Y405-D405)&lt;0.000000001,4*$B$19*$B$20*(D405+273)^3,$B$19*$B$20*((Y405+273)^4-(D405+273)^4)/(Y405-D405))</f>
        <v/>
      </c>
      <c r="AA405">
        <f>$B$14*I405*(Y405-C405)</f>
        <v/>
      </c>
      <c r="AB405">
        <f>$B$14*Z405*(Y405-D405)</f>
        <v/>
      </c>
      <c r="AC405">
        <f>IF((U405-E405)/G405=0,0.001,(U405-E405)/G405)</f>
        <v/>
      </c>
      <c r="AD405">
        <f>F405-P405-J405-K405-AA405-AB405</f>
        <v/>
      </c>
      <c r="AE405">
        <f>AD405/AC405</f>
        <v/>
      </c>
      <c r="AF405">
        <f>IF(AD405&lt;=0,0,IF(AC405&lt;=0,$B$11,IF(AE405&gt;=1.7,$B$11,MIN(AD405/MAX(0.05,IF(AE405&gt;1,(2-AE405)^2/2,1-AE405^2/2)),$B$11))))</f>
        <v/>
      </c>
      <c r="AG405">
        <f>AG404*$B$28+AF405*(1-$B$28)</f>
        <v/>
      </c>
      <c r="AH405">
        <f>IF(AND(AD405&gt;0,AC405&lt;=0),0,AC405)</f>
        <v/>
      </c>
      <c r="AI405">
        <f>AH405/MAX(AG405,0.000001)</f>
        <v/>
      </c>
      <c r="AJ405">
        <f>MIN(IF(AI405&gt;=0.5,-AI405+SQRT(AI405^2+2),1),$B$12)</f>
        <v/>
      </c>
      <c r="AK405">
        <f>IF(AG405&lt;=0,0,AJ405*AH405)</f>
        <v/>
      </c>
      <c r="AL405">
        <f>IF(AD405&lt;=0,0,AD405)</f>
        <v/>
      </c>
      <c r="AM405">
        <f>AL405-AK405+P405</f>
        <v/>
      </c>
      <c r="AN405">
        <f>((AM405/$B$7+T404*AS404/2-T405*MAX(0.1,MIN(0.3,0.3-0.09*(AR404-36.8)))/2)+AR404*(1-AS404/2))/(1-MAX(0.1,MIN(0.3,0.3-0.09*(AR404-36.8)))/2)</f>
        <v/>
      </c>
      <c r="AO405">
        <f>((AM405/$B$7+T404*AS404/2-T405*MAX(0.1,MIN(0.3,0.3-0.09*(AN405-36.8)))/2)+AR404*(1-AS404/2))/(1-MAX(0.1,MIN(0.3,0.3-0.09*(AN405-36.8)))/2)</f>
        <v/>
      </c>
      <c r="AP405">
        <f>((AM405/$B$7+T404*AS404/2-T405*MAX(0.1,MIN(0.3,0.3-0.09*(AO405-36.8)))/2)+AR404*(1-AS404/2))/(1-MAX(0.1,MIN(0.3,0.3-0.09*(AO405-36.8)))/2)</f>
        <v/>
      </c>
      <c r="AQ405">
        <f>((AM405/$B$7+T404*AS404/2-T405*MAX(0.1,MIN(0.3,0.3-0.09*(AP405-36.8)))/2)+AR404*(1-AS404/2))/(1-MAX(0.1,MIN(0.3,0.3-0.09*(AP405-36.8)))/2)</f>
        <v/>
      </c>
      <c r="AR405">
        <f>((AM405/$B$7+T404*AS404/2-T405*MAX(0.1,MIN(0.3,0.3-0.09*(AQ405-36.8)))/2)+AR404*(1-AS404/2))/(1-MAX(0.1,MIN(0.3,0.3-0.09*(AQ405-36.8)))/2)</f>
        <v/>
      </c>
      <c r="AS405">
        <f>MAX(0.1,MIN(0.3,0.3-0.09*(AR405-36.8)))</f>
        <v/>
      </c>
      <c r="AT405">
        <f>AT404+(2*AR405-1.962*AT404-1.31)/9</f>
        <v/>
      </c>
      <c r="AU405">
        <f>AU404+AG405+K405</f>
        <v/>
      </c>
      <c r="AV405">
        <f>AU405*2.67*$B$6/1.8/60</f>
        <v/>
      </c>
      <c r="AW405">
        <f>IF(AT405&gt;=$B$36,1,0)</f>
        <v/>
      </c>
      <c r="AX405">
        <f>IF(AV405&gt;=$B$21,1,0)</f>
        <v/>
      </c>
    </row>
    <row r="406">
      <c r="A406" t="n">
        <v>333</v>
      </c>
      <c r="B406">
        <f>MATCH(A406-1,$D$61:$D$68,1)</f>
        <v/>
      </c>
      <c r="C406">
        <f>INDEX($G$61:$G$68,B406)</f>
        <v/>
      </c>
      <c r="D406">
        <f>INDEX($L$61:$L$68,B406)</f>
        <v/>
      </c>
      <c r="E406">
        <f>INDEX($M$61:$M$68,B406)</f>
        <v/>
      </c>
      <c r="F406">
        <f>INDEX($N$61:$N$68,B406)</f>
        <v/>
      </c>
      <c r="G406">
        <f>INDEX($AA$61:$AA$68,B406)</f>
        <v/>
      </c>
      <c r="H406">
        <f>INDEX($X$61:$X$68,B406)</f>
        <v/>
      </c>
      <c r="I406">
        <f>INDEX($AF$61:$AF$68,B406)</f>
        <v/>
      </c>
      <c r="J406">
        <f>INDEX($AC$61:$AC$68,B406)</f>
        <v/>
      </c>
      <c r="K406">
        <f>INDEX($AD$61:$AD$68,B406)</f>
        <v/>
      </c>
      <c r="L406">
        <f>INDEX($AG$61:$AG$68,B406)</f>
        <v/>
      </c>
      <c r="M406">
        <f>INDEX($AH$61:$AH$68,B406)</f>
        <v/>
      </c>
      <c r="N406">
        <f>INDEX($AI$61:$AI$68,B406)</f>
        <v/>
      </c>
      <c r="O406">
        <f>O405*$B$26+L406*(1-$B$26)</f>
        <v/>
      </c>
      <c r="P406">
        <f>$B$7*(O406-O405)*(1-AS405)</f>
        <v/>
      </c>
      <c r="Q406">
        <f>M406+0.51274*AT405</f>
        <v/>
      </c>
      <c r="R406">
        <f>N406+0.616*AT405</f>
        <v/>
      </c>
      <c r="S406">
        <f>IF($B$13&gt;=0.6,Q406,IF($B$13&lt;=0.2,R406,R406+2.5*(Q406-R406)*($B$13-0.2)))</f>
        <v/>
      </c>
      <c r="T406">
        <f>IF(A406=1,S406,T405*$B$27+S406*(1-$B$27))</f>
        <v/>
      </c>
      <c r="U406">
        <f>0.6105*EXP(17.27*T406/(T406+237.3))</f>
        <v/>
      </c>
      <c r="V406">
        <f>($B$14*(I406*C406+IF(ABS((D406+0.1)-D406)&lt;0.000000001,4*$B$19*$B$20*(D406+273)^3,$B$19*$B$20*(((D406+0.1)+273)^4-(D406+273)^4)/((D406+0.1)-D406))*D406)+T406/H406)/($B$14*(I406+IF(ABS((D406+0.1)-D406)&lt;0.000000001,4*$B$19*$B$20*(D406+273)^3,$B$19*$B$20*(((D406+0.1)+273)^4-(D406+273)^4)/((D406+0.1)-D406)))+1/H406)</f>
        <v/>
      </c>
      <c r="W406">
        <f>($B$14*(I406*C406+IF(ABS(V406-D406)&lt;0.000000001,4*$B$19*$B$20*(D406+273)^3,$B$19*$B$20*((V406+273)^4-(D406+273)^4)/(V406-D406))*D406)+T406/H406)/($B$14*(I406+IF(ABS(V406-D406)&lt;0.000000001,4*$B$19*$B$20*(D406+273)^3,$B$19*$B$20*((V406+273)^4-(D406+273)^4)/(V406-D406)))+1/H406)</f>
        <v/>
      </c>
      <c r="X406">
        <f>($B$14*(I406*C406+IF(ABS(W406-D406)&lt;0.000000001,4*$B$19*$B$20*(D406+273)^3,$B$19*$B$20*((W406+273)^4-(D406+273)^4)/(W406-D406))*D406)+T406/H406)/($B$14*(I406+IF(ABS(W406-D406)&lt;0.000000001,4*$B$19*$B$20*(D406+273)^3,$B$19*$B$20*((W406+273)^4-(D406+273)^4)/(W406-D406)))+1/H406)</f>
        <v/>
      </c>
      <c r="Y406">
        <f>($B$14*(I406*C406+IF(ABS(X406-D406)&lt;0.000000001,4*$B$19*$B$20*(D406+273)^3,$B$19*$B$20*((X406+273)^4-(D406+273)^4)/(X406-D406))*D406)+T406/H406)/($B$14*(I406+IF(ABS(X406-D406)&lt;0.000000001,4*$B$19*$B$20*(D406+273)^3,$B$19*$B$20*((X406+273)^4-(D406+273)^4)/(X406-D406)))+1/H406)</f>
        <v/>
      </c>
      <c r="Z406">
        <f>IF(ABS(Y406-D406)&lt;0.000000001,4*$B$19*$B$20*(D406+273)^3,$B$19*$B$20*((Y406+273)^4-(D406+273)^4)/(Y406-D406))</f>
        <v/>
      </c>
      <c r="AA406">
        <f>$B$14*I406*(Y406-C406)</f>
        <v/>
      </c>
      <c r="AB406">
        <f>$B$14*Z406*(Y406-D406)</f>
        <v/>
      </c>
      <c r="AC406">
        <f>IF((U406-E406)/G406=0,0.001,(U406-E406)/G406)</f>
        <v/>
      </c>
      <c r="AD406">
        <f>F406-P406-J406-K406-AA406-AB406</f>
        <v/>
      </c>
      <c r="AE406">
        <f>AD406/AC406</f>
        <v/>
      </c>
      <c r="AF406">
        <f>IF(AD406&lt;=0,0,IF(AC406&lt;=0,$B$11,IF(AE406&gt;=1.7,$B$11,MIN(AD406/MAX(0.05,IF(AE406&gt;1,(2-AE406)^2/2,1-AE406^2/2)),$B$11))))</f>
        <v/>
      </c>
      <c r="AG406">
        <f>AG405*$B$28+AF406*(1-$B$28)</f>
        <v/>
      </c>
      <c r="AH406">
        <f>IF(AND(AD406&gt;0,AC406&lt;=0),0,AC406)</f>
        <v/>
      </c>
      <c r="AI406">
        <f>AH406/MAX(AG406,0.000001)</f>
        <v/>
      </c>
      <c r="AJ406">
        <f>MIN(IF(AI406&gt;=0.5,-AI406+SQRT(AI406^2+2),1),$B$12)</f>
        <v/>
      </c>
      <c r="AK406">
        <f>IF(AG406&lt;=0,0,AJ406*AH406)</f>
        <v/>
      </c>
      <c r="AL406">
        <f>IF(AD406&lt;=0,0,AD406)</f>
        <v/>
      </c>
      <c r="AM406">
        <f>AL406-AK406+P406</f>
        <v/>
      </c>
      <c r="AN406">
        <f>((AM406/$B$7+T405*AS405/2-T406*MAX(0.1,MIN(0.3,0.3-0.09*(AR405-36.8)))/2)+AR405*(1-AS405/2))/(1-MAX(0.1,MIN(0.3,0.3-0.09*(AR405-36.8)))/2)</f>
        <v/>
      </c>
      <c r="AO406">
        <f>((AM406/$B$7+T405*AS405/2-T406*MAX(0.1,MIN(0.3,0.3-0.09*(AN406-36.8)))/2)+AR405*(1-AS405/2))/(1-MAX(0.1,MIN(0.3,0.3-0.09*(AN406-36.8)))/2)</f>
        <v/>
      </c>
      <c r="AP406">
        <f>((AM406/$B$7+T405*AS405/2-T406*MAX(0.1,MIN(0.3,0.3-0.09*(AO406-36.8)))/2)+AR405*(1-AS405/2))/(1-MAX(0.1,MIN(0.3,0.3-0.09*(AO406-36.8)))/2)</f>
        <v/>
      </c>
      <c r="AQ406">
        <f>((AM406/$B$7+T405*AS405/2-T406*MAX(0.1,MIN(0.3,0.3-0.09*(AP406-36.8)))/2)+AR405*(1-AS405/2))/(1-MAX(0.1,MIN(0.3,0.3-0.09*(AP406-36.8)))/2)</f>
        <v/>
      </c>
      <c r="AR406">
        <f>((AM406/$B$7+T405*AS405/2-T406*MAX(0.1,MIN(0.3,0.3-0.09*(AQ406-36.8)))/2)+AR405*(1-AS405/2))/(1-MAX(0.1,MIN(0.3,0.3-0.09*(AQ406-36.8)))/2)</f>
        <v/>
      </c>
      <c r="AS406">
        <f>MAX(0.1,MIN(0.3,0.3-0.09*(AR406-36.8)))</f>
        <v/>
      </c>
      <c r="AT406">
        <f>AT405+(2*AR406-1.962*AT405-1.31)/9</f>
        <v/>
      </c>
      <c r="AU406">
        <f>AU405+AG406+K406</f>
        <v/>
      </c>
      <c r="AV406">
        <f>AU406*2.67*$B$6/1.8/60</f>
        <v/>
      </c>
      <c r="AW406">
        <f>IF(AT406&gt;=$B$36,1,0)</f>
        <v/>
      </c>
      <c r="AX406">
        <f>IF(AV406&gt;=$B$21,1,0)</f>
        <v/>
      </c>
    </row>
    <row r="407">
      <c r="A407" t="n">
        <v>334</v>
      </c>
      <c r="B407">
        <f>MATCH(A407-1,$D$61:$D$68,1)</f>
        <v/>
      </c>
      <c r="C407">
        <f>INDEX($G$61:$G$68,B407)</f>
        <v/>
      </c>
      <c r="D407">
        <f>INDEX($L$61:$L$68,B407)</f>
        <v/>
      </c>
      <c r="E407">
        <f>INDEX($M$61:$M$68,B407)</f>
        <v/>
      </c>
      <c r="F407">
        <f>INDEX($N$61:$N$68,B407)</f>
        <v/>
      </c>
      <c r="G407">
        <f>INDEX($AA$61:$AA$68,B407)</f>
        <v/>
      </c>
      <c r="H407">
        <f>INDEX($X$61:$X$68,B407)</f>
        <v/>
      </c>
      <c r="I407">
        <f>INDEX($AF$61:$AF$68,B407)</f>
        <v/>
      </c>
      <c r="J407">
        <f>INDEX($AC$61:$AC$68,B407)</f>
        <v/>
      </c>
      <c r="K407">
        <f>INDEX($AD$61:$AD$68,B407)</f>
        <v/>
      </c>
      <c r="L407">
        <f>INDEX($AG$61:$AG$68,B407)</f>
        <v/>
      </c>
      <c r="M407">
        <f>INDEX($AH$61:$AH$68,B407)</f>
        <v/>
      </c>
      <c r="N407">
        <f>INDEX($AI$61:$AI$68,B407)</f>
        <v/>
      </c>
      <c r="O407">
        <f>O406*$B$26+L407*(1-$B$26)</f>
        <v/>
      </c>
      <c r="P407">
        <f>$B$7*(O407-O406)*(1-AS406)</f>
        <v/>
      </c>
      <c r="Q407">
        <f>M407+0.51274*AT406</f>
        <v/>
      </c>
      <c r="R407">
        <f>N407+0.616*AT406</f>
        <v/>
      </c>
      <c r="S407">
        <f>IF($B$13&gt;=0.6,Q407,IF($B$13&lt;=0.2,R407,R407+2.5*(Q407-R407)*($B$13-0.2)))</f>
        <v/>
      </c>
      <c r="T407">
        <f>IF(A407=1,S407,T406*$B$27+S407*(1-$B$27))</f>
        <v/>
      </c>
      <c r="U407">
        <f>0.6105*EXP(17.27*T407/(T407+237.3))</f>
        <v/>
      </c>
      <c r="V407">
        <f>($B$14*(I407*C407+IF(ABS((D407+0.1)-D407)&lt;0.000000001,4*$B$19*$B$20*(D407+273)^3,$B$19*$B$20*(((D407+0.1)+273)^4-(D407+273)^4)/((D407+0.1)-D407))*D407)+T407/H407)/($B$14*(I407+IF(ABS((D407+0.1)-D407)&lt;0.000000001,4*$B$19*$B$20*(D407+273)^3,$B$19*$B$20*(((D407+0.1)+273)^4-(D407+273)^4)/((D407+0.1)-D407)))+1/H407)</f>
        <v/>
      </c>
      <c r="W407">
        <f>($B$14*(I407*C407+IF(ABS(V407-D407)&lt;0.000000001,4*$B$19*$B$20*(D407+273)^3,$B$19*$B$20*((V407+273)^4-(D407+273)^4)/(V407-D407))*D407)+T407/H407)/($B$14*(I407+IF(ABS(V407-D407)&lt;0.000000001,4*$B$19*$B$20*(D407+273)^3,$B$19*$B$20*((V407+273)^4-(D407+273)^4)/(V407-D407)))+1/H407)</f>
        <v/>
      </c>
      <c r="X407">
        <f>($B$14*(I407*C407+IF(ABS(W407-D407)&lt;0.000000001,4*$B$19*$B$20*(D407+273)^3,$B$19*$B$20*((W407+273)^4-(D407+273)^4)/(W407-D407))*D407)+T407/H407)/($B$14*(I407+IF(ABS(W407-D407)&lt;0.000000001,4*$B$19*$B$20*(D407+273)^3,$B$19*$B$20*((W407+273)^4-(D407+273)^4)/(W407-D407)))+1/H407)</f>
        <v/>
      </c>
      <c r="Y407">
        <f>($B$14*(I407*C407+IF(ABS(X407-D407)&lt;0.000000001,4*$B$19*$B$20*(D407+273)^3,$B$19*$B$20*((X407+273)^4-(D407+273)^4)/(X407-D407))*D407)+T407/H407)/($B$14*(I407+IF(ABS(X407-D407)&lt;0.000000001,4*$B$19*$B$20*(D407+273)^3,$B$19*$B$20*((X407+273)^4-(D407+273)^4)/(X407-D407)))+1/H407)</f>
        <v/>
      </c>
      <c r="Z407">
        <f>IF(ABS(Y407-D407)&lt;0.000000001,4*$B$19*$B$20*(D407+273)^3,$B$19*$B$20*((Y407+273)^4-(D407+273)^4)/(Y407-D407))</f>
        <v/>
      </c>
      <c r="AA407">
        <f>$B$14*I407*(Y407-C407)</f>
        <v/>
      </c>
      <c r="AB407">
        <f>$B$14*Z407*(Y407-D407)</f>
        <v/>
      </c>
      <c r="AC407">
        <f>IF((U407-E407)/G407=0,0.001,(U407-E407)/G407)</f>
        <v/>
      </c>
      <c r="AD407">
        <f>F407-P407-J407-K407-AA407-AB407</f>
        <v/>
      </c>
      <c r="AE407">
        <f>AD407/AC407</f>
        <v/>
      </c>
      <c r="AF407">
        <f>IF(AD407&lt;=0,0,IF(AC407&lt;=0,$B$11,IF(AE407&gt;=1.7,$B$11,MIN(AD407/MAX(0.05,IF(AE407&gt;1,(2-AE407)^2/2,1-AE407^2/2)),$B$11))))</f>
        <v/>
      </c>
      <c r="AG407">
        <f>AG406*$B$28+AF407*(1-$B$28)</f>
        <v/>
      </c>
      <c r="AH407">
        <f>IF(AND(AD407&gt;0,AC407&lt;=0),0,AC407)</f>
        <v/>
      </c>
      <c r="AI407">
        <f>AH407/MAX(AG407,0.000001)</f>
        <v/>
      </c>
      <c r="AJ407">
        <f>MIN(IF(AI407&gt;=0.5,-AI407+SQRT(AI407^2+2),1),$B$12)</f>
        <v/>
      </c>
      <c r="AK407">
        <f>IF(AG407&lt;=0,0,AJ407*AH407)</f>
        <v/>
      </c>
      <c r="AL407">
        <f>IF(AD407&lt;=0,0,AD407)</f>
        <v/>
      </c>
      <c r="AM407">
        <f>AL407-AK407+P407</f>
        <v/>
      </c>
      <c r="AN407">
        <f>((AM407/$B$7+T406*AS406/2-T407*MAX(0.1,MIN(0.3,0.3-0.09*(AR406-36.8)))/2)+AR406*(1-AS406/2))/(1-MAX(0.1,MIN(0.3,0.3-0.09*(AR406-36.8)))/2)</f>
        <v/>
      </c>
      <c r="AO407">
        <f>((AM407/$B$7+T406*AS406/2-T407*MAX(0.1,MIN(0.3,0.3-0.09*(AN407-36.8)))/2)+AR406*(1-AS406/2))/(1-MAX(0.1,MIN(0.3,0.3-0.09*(AN407-36.8)))/2)</f>
        <v/>
      </c>
      <c r="AP407">
        <f>((AM407/$B$7+T406*AS406/2-T407*MAX(0.1,MIN(0.3,0.3-0.09*(AO407-36.8)))/2)+AR406*(1-AS406/2))/(1-MAX(0.1,MIN(0.3,0.3-0.09*(AO407-36.8)))/2)</f>
        <v/>
      </c>
      <c r="AQ407">
        <f>((AM407/$B$7+T406*AS406/2-T407*MAX(0.1,MIN(0.3,0.3-0.09*(AP407-36.8)))/2)+AR406*(1-AS406/2))/(1-MAX(0.1,MIN(0.3,0.3-0.09*(AP407-36.8)))/2)</f>
        <v/>
      </c>
      <c r="AR407">
        <f>((AM407/$B$7+T406*AS406/2-T407*MAX(0.1,MIN(0.3,0.3-0.09*(AQ407-36.8)))/2)+AR406*(1-AS406/2))/(1-MAX(0.1,MIN(0.3,0.3-0.09*(AQ407-36.8)))/2)</f>
        <v/>
      </c>
      <c r="AS407">
        <f>MAX(0.1,MIN(0.3,0.3-0.09*(AR407-36.8)))</f>
        <v/>
      </c>
      <c r="AT407">
        <f>AT406+(2*AR407-1.962*AT406-1.31)/9</f>
        <v/>
      </c>
      <c r="AU407">
        <f>AU406+AG407+K407</f>
        <v/>
      </c>
      <c r="AV407">
        <f>AU407*2.67*$B$6/1.8/60</f>
        <v/>
      </c>
      <c r="AW407">
        <f>IF(AT407&gt;=$B$36,1,0)</f>
        <v/>
      </c>
      <c r="AX407">
        <f>IF(AV407&gt;=$B$21,1,0)</f>
        <v/>
      </c>
    </row>
    <row r="408">
      <c r="A408" t="n">
        <v>335</v>
      </c>
      <c r="B408">
        <f>MATCH(A408-1,$D$61:$D$68,1)</f>
        <v/>
      </c>
      <c r="C408">
        <f>INDEX($G$61:$G$68,B408)</f>
        <v/>
      </c>
      <c r="D408">
        <f>INDEX($L$61:$L$68,B408)</f>
        <v/>
      </c>
      <c r="E408">
        <f>INDEX($M$61:$M$68,B408)</f>
        <v/>
      </c>
      <c r="F408">
        <f>INDEX($N$61:$N$68,B408)</f>
        <v/>
      </c>
      <c r="G408">
        <f>INDEX($AA$61:$AA$68,B408)</f>
        <v/>
      </c>
      <c r="H408">
        <f>INDEX($X$61:$X$68,B408)</f>
        <v/>
      </c>
      <c r="I408">
        <f>INDEX($AF$61:$AF$68,B408)</f>
        <v/>
      </c>
      <c r="J408">
        <f>INDEX($AC$61:$AC$68,B408)</f>
        <v/>
      </c>
      <c r="K408">
        <f>INDEX($AD$61:$AD$68,B408)</f>
        <v/>
      </c>
      <c r="L408">
        <f>INDEX($AG$61:$AG$68,B408)</f>
        <v/>
      </c>
      <c r="M408">
        <f>INDEX($AH$61:$AH$68,B408)</f>
        <v/>
      </c>
      <c r="N408">
        <f>INDEX($AI$61:$AI$68,B408)</f>
        <v/>
      </c>
      <c r="O408">
        <f>O407*$B$26+L408*(1-$B$26)</f>
        <v/>
      </c>
      <c r="P408">
        <f>$B$7*(O408-O407)*(1-AS407)</f>
        <v/>
      </c>
      <c r="Q408">
        <f>M408+0.51274*AT407</f>
        <v/>
      </c>
      <c r="R408">
        <f>N408+0.616*AT407</f>
        <v/>
      </c>
      <c r="S408">
        <f>IF($B$13&gt;=0.6,Q408,IF($B$13&lt;=0.2,R408,R408+2.5*(Q408-R408)*($B$13-0.2)))</f>
        <v/>
      </c>
      <c r="T408">
        <f>IF(A408=1,S408,T407*$B$27+S408*(1-$B$27))</f>
        <v/>
      </c>
      <c r="U408">
        <f>0.6105*EXP(17.27*T408/(T408+237.3))</f>
        <v/>
      </c>
      <c r="V408">
        <f>($B$14*(I408*C408+IF(ABS((D408+0.1)-D408)&lt;0.000000001,4*$B$19*$B$20*(D408+273)^3,$B$19*$B$20*(((D408+0.1)+273)^4-(D408+273)^4)/((D408+0.1)-D408))*D408)+T408/H408)/($B$14*(I408+IF(ABS((D408+0.1)-D408)&lt;0.000000001,4*$B$19*$B$20*(D408+273)^3,$B$19*$B$20*(((D408+0.1)+273)^4-(D408+273)^4)/((D408+0.1)-D408)))+1/H408)</f>
        <v/>
      </c>
      <c r="W408">
        <f>($B$14*(I408*C408+IF(ABS(V408-D408)&lt;0.000000001,4*$B$19*$B$20*(D408+273)^3,$B$19*$B$20*((V408+273)^4-(D408+273)^4)/(V408-D408))*D408)+T408/H408)/($B$14*(I408+IF(ABS(V408-D408)&lt;0.000000001,4*$B$19*$B$20*(D408+273)^3,$B$19*$B$20*((V408+273)^4-(D408+273)^4)/(V408-D408)))+1/H408)</f>
        <v/>
      </c>
      <c r="X408">
        <f>($B$14*(I408*C408+IF(ABS(W408-D408)&lt;0.000000001,4*$B$19*$B$20*(D408+273)^3,$B$19*$B$20*((W408+273)^4-(D408+273)^4)/(W408-D408))*D408)+T408/H408)/($B$14*(I408+IF(ABS(W408-D408)&lt;0.000000001,4*$B$19*$B$20*(D408+273)^3,$B$19*$B$20*((W408+273)^4-(D408+273)^4)/(W408-D408)))+1/H408)</f>
        <v/>
      </c>
      <c r="Y408">
        <f>($B$14*(I408*C408+IF(ABS(X408-D408)&lt;0.000000001,4*$B$19*$B$20*(D408+273)^3,$B$19*$B$20*((X408+273)^4-(D408+273)^4)/(X408-D408))*D408)+T408/H408)/($B$14*(I408+IF(ABS(X408-D408)&lt;0.000000001,4*$B$19*$B$20*(D408+273)^3,$B$19*$B$20*((X408+273)^4-(D408+273)^4)/(X408-D408)))+1/H408)</f>
        <v/>
      </c>
      <c r="Z408">
        <f>IF(ABS(Y408-D408)&lt;0.000000001,4*$B$19*$B$20*(D408+273)^3,$B$19*$B$20*((Y408+273)^4-(D408+273)^4)/(Y408-D408))</f>
        <v/>
      </c>
      <c r="AA408">
        <f>$B$14*I408*(Y408-C408)</f>
        <v/>
      </c>
      <c r="AB408">
        <f>$B$14*Z408*(Y408-D408)</f>
        <v/>
      </c>
      <c r="AC408">
        <f>IF((U408-E408)/G408=0,0.001,(U408-E408)/G408)</f>
        <v/>
      </c>
      <c r="AD408">
        <f>F408-P408-J408-K408-AA408-AB408</f>
        <v/>
      </c>
      <c r="AE408">
        <f>AD408/AC408</f>
        <v/>
      </c>
      <c r="AF408">
        <f>IF(AD408&lt;=0,0,IF(AC408&lt;=0,$B$11,IF(AE408&gt;=1.7,$B$11,MIN(AD408/MAX(0.05,IF(AE408&gt;1,(2-AE408)^2/2,1-AE408^2/2)),$B$11))))</f>
        <v/>
      </c>
      <c r="AG408">
        <f>AG407*$B$28+AF408*(1-$B$28)</f>
        <v/>
      </c>
      <c r="AH408">
        <f>IF(AND(AD408&gt;0,AC408&lt;=0),0,AC408)</f>
        <v/>
      </c>
      <c r="AI408">
        <f>AH408/MAX(AG408,0.000001)</f>
        <v/>
      </c>
      <c r="AJ408">
        <f>MIN(IF(AI408&gt;=0.5,-AI408+SQRT(AI408^2+2),1),$B$12)</f>
        <v/>
      </c>
      <c r="AK408">
        <f>IF(AG408&lt;=0,0,AJ408*AH408)</f>
        <v/>
      </c>
      <c r="AL408">
        <f>IF(AD408&lt;=0,0,AD408)</f>
        <v/>
      </c>
      <c r="AM408">
        <f>AL408-AK408+P408</f>
        <v/>
      </c>
      <c r="AN408">
        <f>((AM408/$B$7+T407*AS407/2-T408*MAX(0.1,MIN(0.3,0.3-0.09*(AR407-36.8)))/2)+AR407*(1-AS407/2))/(1-MAX(0.1,MIN(0.3,0.3-0.09*(AR407-36.8)))/2)</f>
        <v/>
      </c>
      <c r="AO408">
        <f>((AM408/$B$7+T407*AS407/2-T408*MAX(0.1,MIN(0.3,0.3-0.09*(AN408-36.8)))/2)+AR407*(1-AS407/2))/(1-MAX(0.1,MIN(0.3,0.3-0.09*(AN408-36.8)))/2)</f>
        <v/>
      </c>
      <c r="AP408">
        <f>((AM408/$B$7+T407*AS407/2-T408*MAX(0.1,MIN(0.3,0.3-0.09*(AO408-36.8)))/2)+AR407*(1-AS407/2))/(1-MAX(0.1,MIN(0.3,0.3-0.09*(AO408-36.8)))/2)</f>
        <v/>
      </c>
      <c r="AQ408">
        <f>((AM408/$B$7+T407*AS407/2-T408*MAX(0.1,MIN(0.3,0.3-0.09*(AP408-36.8)))/2)+AR407*(1-AS407/2))/(1-MAX(0.1,MIN(0.3,0.3-0.09*(AP408-36.8)))/2)</f>
        <v/>
      </c>
      <c r="AR408">
        <f>((AM408/$B$7+T407*AS407/2-T408*MAX(0.1,MIN(0.3,0.3-0.09*(AQ408-36.8)))/2)+AR407*(1-AS407/2))/(1-MAX(0.1,MIN(0.3,0.3-0.09*(AQ408-36.8)))/2)</f>
        <v/>
      </c>
      <c r="AS408">
        <f>MAX(0.1,MIN(0.3,0.3-0.09*(AR408-36.8)))</f>
        <v/>
      </c>
      <c r="AT408">
        <f>AT407+(2*AR408-1.962*AT407-1.31)/9</f>
        <v/>
      </c>
      <c r="AU408">
        <f>AU407+AG408+K408</f>
        <v/>
      </c>
      <c r="AV408">
        <f>AU408*2.67*$B$6/1.8/60</f>
        <v/>
      </c>
      <c r="AW408">
        <f>IF(AT408&gt;=$B$36,1,0)</f>
        <v/>
      </c>
      <c r="AX408">
        <f>IF(AV408&gt;=$B$21,1,0)</f>
        <v/>
      </c>
    </row>
    <row r="409">
      <c r="A409" t="n">
        <v>336</v>
      </c>
      <c r="B409">
        <f>MATCH(A409-1,$D$61:$D$68,1)</f>
        <v/>
      </c>
      <c r="C409">
        <f>INDEX($G$61:$G$68,B409)</f>
        <v/>
      </c>
      <c r="D409">
        <f>INDEX($L$61:$L$68,B409)</f>
        <v/>
      </c>
      <c r="E409">
        <f>INDEX($M$61:$M$68,B409)</f>
        <v/>
      </c>
      <c r="F409">
        <f>INDEX($N$61:$N$68,B409)</f>
        <v/>
      </c>
      <c r="G409">
        <f>INDEX($AA$61:$AA$68,B409)</f>
        <v/>
      </c>
      <c r="H409">
        <f>INDEX($X$61:$X$68,B409)</f>
        <v/>
      </c>
      <c r="I409">
        <f>INDEX($AF$61:$AF$68,B409)</f>
        <v/>
      </c>
      <c r="J409">
        <f>INDEX($AC$61:$AC$68,B409)</f>
        <v/>
      </c>
      <c r="K409">
        <f>INDEX($AD$61:$AD$68,B409)</f>
        <v/>
      </c>
      <c r="L409">
        <f>INDEX($AG$61:$AG$68,B409)</f>
        <v/>
      </c>
      <c r="M409">
        <f>INDEX($AH$61:$AH$68,B409)</f>
        <v/>
      </c>
      <c r="N409">
        <f>INDEX($AI$61:$AI$68,B409)</f>
        <v/>
      </c>
      <c r="O409">
        <f>O408*$B$26+L409*(1-$B$26)</f>
        <v/>
      </c>
      <c r="P409">
        <f>$B$7*(O409-O408)*(1-AS408)</f>
        <v/>
      </c>
      <c r="Q409">
        <f>M409+0.51274*AT408</f>
        <v/>
      </c>
      <c r="R409">
        <f>N409+0.616*AT408</f>
        <v/>
      </c>
      <c r="S409">
        <f>IF($B$13&gt;=0.6,Q409,IF($B$13&lt;=0.2,R409,R409+2.5*(Q409-R409)*($B$13-0.2)))</f>
        <v/>
      </c>
      <c r="T409">
        <f>IF(A409=1,S409,T408*$B$27+S409*(1-$B$27))</f>
        <v/>
      </c>
      <c r="U409">
        <f>0.6105*EXP(17.27*T409/(T409+237.3))</f>
        <v/>
      </c>
      <c r="V409">
        <f>($B$14*(I409*C409+IF(ABS((D409+0.1)-D409)&lt;0.000000001,4*$B$19*$B$20*(D409+273)^3,$B$19*$B$20*(((D409+0.1)+273)^4-(D409+273)^4)/((D409+0.1)-D409))*D409)+T409/H409)/($B$14*(I409+IF(ABS((D409+0.1)-D409)&lt;0.000000001,4*$B$19*$B$20*(D409+273)^3,$B$19*$B$20*(((D409+0.1)+273)^4-(D409+273)^4)/((D409+0.1)-D409)))+1/H409)</f>
        <v/>
      </c>
      <c r="W409">
        <f>($B$14*(I409*C409+IF(ABS(V409-D409)&lt;0.000000001,4*$B$19*$B$20*(D409+273)^3,$B$19*$B$20*((V409+273)^4-(D409+273)^4)/(V409-D409))*D409)+T409/H409)/($B$14*(I409+IF(ABS(V409-D409)&lt;0.000000001,4*$B$19*$B$20*(D409+273)^3,$B$19*$B$20*((V409+273)^4-(D409+273)^4)/(V409-D409)))+1/H409)</f>
        <v/>
      </c>
      <c r="X409">
        <f>($B$14*(I409*C409+IF(ABS(W409-D409)&lt;0.000000001,4*$B$19*$B$20*(D409+273)^3,$B$19*$B$20*((W409+273)^4-(D409+273)^4)/(W409-D409))*D409)+T409/H409)/($B$14*(I409+IF(ABS(W409-D409)&lt;0.000000001,4*$B$19*$B$20*(D409+273)^3,$B$19*$B$20*((W409+273)^4-(D409+273)^4)/(W409-D409)))+1/H409)</f>
        <v/>
      </c>
      <c r="Y409">
        <f>($B$14*(I409*C409+IF(ABS(X409-D409)&lt;0.000000001,4*$B$19*$B$20*(D409+273)^3,$B$19*$B$20*((X409+273)^4-(D409+273)^4)/(X409-D409))*D409)+T409/H409)/($B$14*(I409+IF(ABS(X409-D409)&lt;0.000000001,4*$B$19*$B$20*(D409+273)^3,$B$19*$B$20*((X409+273)^4-(D409+273)^4)/(X409-D409)))+1/H409)</f>
        <v/>
      </c>
      <c r="Z409">
        <f>IF(ABS(Y409-D409)&lt;0.000000001,4*$B$19*$B$20*(D409+273)^3,$B$19*$B$20*((Y409+273)^4-(D409+273)^4)/(Y409-D409))</f>
        <v/>
      </c>
      <c r="AA409">
        <f>$B$14*I409*(Y409-C409)</f>
        <v/>
      </c>
      <c r="AB409">
        <f>$B$14*Z409*(Y409-D409)</f>
        <v/>
      </c>
      <c r="AC409">
        <f>IF((U409-E409)/G409=0,0.001,(U409-E409)/G409)</f>
        <v/>
      </c>
      <c r="AD409">
        <f>F409-P409-J409-K409-AA409-AB409</f>
        <v/>
      </c>
      <c r="AE409">
        <f>AD409/AC409</f>
        <v/>
      </c>
      <c r="AF409">
        <f>IF(AD409&lt;=0,0,IF(AC409&lt;=0,$B$11,IF(AE409&gt;=1.7,$B$11,MIN(AD409/MAX(0.05,IF(AE409&gt;1,(2-AE409)^2/2,1-AE409^2/2)),$B$11))))</f>
        <v/>
      </c>
      <c r="AG409">
        <f>AG408*$B$28+AF409*(1-$B$28)</f>
        <v/>
      </c>
      <c r="AH409">
        <f>IF(AND(AD409&gt;0,AC409&lt;=0),0,AC409)</f>
        <v/>
      </c>
      <c r="AI409">
        <f>AH409/MAX(AG409,0.000001)</f>
        <v/>
      </c>
      <c r="AJ409">
        <f>MIN(IF(AI409&gt;=0.5,-AI409+SQRT(AI409^2+2),1),$B$12)</f>
        <v/>
      </c>
      <c r="AK409">
        <f>IF(AG409&lt;=0,0,AJ409*AH409)</f>
        <v/>
      </c>
      <c r="AL409">
        <f>IF(AD409&lt;=0,0,AD409)</f>
        <v/>
      </c>
      <c r="AM409">
        <f>AL409-AK409+P409</f>
        <v/>
      </c>
      <c r="AN409">
        <f>((AM409/$B$7+T408*AS408/2-T409*MAX(0.1,MIN(0.3,0.3-0.09*(AR408-36.8)))/2)+AR408*(1-AS408/2))/(1-MAX(0.1,MIN(0.3,0.3-0.09*(AR408-36.8)))/2)</f>
        <v/>
      </c>
      <c r="AO409">
        <f>((AM409/$B$7+T408*AS408/2-T409*MAX(0.1,MIN(0.3,0.3-0.09*(AN409-36.8)))/2)+AR408*(1-AS408/2))/(1-MAX(0.1,MIN(0.3,0.3-0.09*(AN409-36.8)))/2)</f>
        <v/>
      </c>
      <c r="AP409">
        <f>((AM409/$B$7+T408*AS408/2-T409*MAX(0.1,MIN(0.3,0.3-0.09*(AO409-36.8)))/2)+AR408*(1-AS408/2))/(1-MAX(0.1,MIN(0.3,0.3-0.09*(AO409-36.8)))/2)</f>
        <v/>
      </c>
      <c r="AQ409">
        <f>((AM409/$B$7+T408*AS408/2-T409*MAX(0.1,MIN(0.3,0.3-0.09*(AP409-36.8)))/2)+AR408*(1-AS408/2))/(1-MAX(0.1,MIN(0.3,0.3-0.09*(AP409-36.8)))/2)</f>
        <v/>
      </c>
      <c r="AR409">
        <f>((AM409/$B$7+T408*AS408/2-T409*MAX(0.1,MIN(0.3,0.3-0.09*(AQ409-36.8)))/2)+AR408*(1-AS408/2))/(1-MAX(0.1,MIN(0.3,0.3-0.09*(AQ409-36.8)))/2)</f>
        <v/>
      </c>
      <c r="AS409">
        <f>MAX(0.1,MIN(0.3,0.3-0.09*(AR409-36.8)))</f>
        <v/>
      </c>
      <c r="AT409">
        <f>AT408+(2*AR409-1.962*AT408-1.31)/9</f>
        <v/>
      </c>
      <c r="AU409">
        <f>AU408+AG409+K409</f>
        <v/>
      </c>
      <c r="AV409">
        <f>AU409*2.67*$B$6/1.8/60</f>
        <v/>
      </c>
      <c r="AW409">
        <f>IF(AT409&gt;=$B$36,1,0)</f>
        <v/>
      </c>
      <c r="AX409">
        <f>IF(AV409&gt;=$B$21,1,0)</f>
        <v/>
      </c>
    </row>
    <row r="410">
      <c r="A410" t="n">
        <v>337</v>
      </c>
      <c r="B410">
        <f>MATCH(A410-1,$D$61:$D$68,1)</f>
        <v/>
      </c>
      <c r="C410">
        <f>INDEX($G$61:$G$68,B410)</f>
        <v/>
      </c>
      <c r="D410">
        <f>INDEX($L$61:$L$68,B410)</f>
        <v/>
      </c>
      <c r="E410">
        <f>INDEX($M$61:$M$68,B410)</f>
        <v/>
      </c>
      <c r="F410">
        <f>INDEX($N$61:$N$68,B410)</f>
        <v/>
      </c>
      <c r="G410">
        <f>INDEX($AA$61:$AA$68,B410)</f>
        <v/>
      </c>
      <c r="H410">
        <f>INDEX($X$61:$X$68,B410)</f>
        <v/>
      </c>
      <c r="I410">
        <f>INDEX($AF$61:$AF$68,B410)</f>
        <v/>
      </c>
      <c r="J410">
        <f>INDEX($AC$61:$AC$68,B410)</f>
        <v/>
      </c>
      <c r="K410">
        <f>INDEX($AD$61:$AD$68,B410)</f>
        <v/>
      </c>
      <c r="L410">
        <f>INDEX($AG$61:$AG$68,B410)</f>
        <v/>
      </c>
      <c r="M410">
        <f>INDEX($AH$61:$AH$68,B410)</f>
        <v/>
      </c>
      <c r="N410">
        <f>INDEX($AI$61:$AI$68,B410)</f>
        <v/>
      </c>
      <c r="O410">
        <f>O409*$B$26+L410*(1-$B$26)</f>
        <v/>
      </c>
      <c r="P410">
        <f>$B$7*(O410-O409)*(1-AS409)</f>
        <v/>
      </c>
      <c r="Q410">
        <f>M410+0.51274*AT409</f>
        <v/>
      </c>
      <c r="R410">
        <f>N410+0.616*AT409</f>
        <v/>
      </c>
      <c r="S410">
        <f>IF($B$13&gt;=0.6,Q410,IF($B$13&lt;=0.2,R410,R410+2.5*(Q410-R410)*($B$13-0.2)))</f>
        <v/>
      </c>
      <c r="T410">
        <f>IF(A410=1,S410,T409*$B$27+S410*(1-$B$27))</f>
        <v/>
      </c>
      <c r="U410">
        <f>0.6105*EXP(17.27*T410/(T410+237.3))</f>
        <v/>
      </c>
      <c r="V410">
        <f>($B$14*(I410*C410+IF(ABS((D410+0.1)-D410)&lt;0.000000001,4*$B$19*$B$20*(D410+273)^3,$B$19*$B$20*(((D410+0.1)+273)^4-(D410+273)^4)/((D410+0.1)-D410))*D410)+T410/H410)/($B$14*(I410+IF(ABS((D410+0.1)-D410)&lt;0.000000001,4*$B$19*$B$20*(D410+273)^3,$B$19*$B$20*(((D410+0.1)+273)^4-(D410+273)^4)/((D410+0.1)-D410)))+1/H410)</f>
        <v/>
      </c>
      <c r="W410">
        <f>($B$14*(I410*C410+IF(ABS(V410-D410)&lt;0.000000001,4*$B$19*$B$20*(D410+273)^3,$B$19*$B$20*((V410+273)^4-(D410+273)^4)/(V410-D410))*D410)+T410/H410)/($B$14*(I410+IF(ABS(V410-D410)&lt;0.000000001,4*$B$19*$B$20*(D410+273)^3,$B$19*$B$20*((V410+273)^4-(D410+273)^4)/(V410-D410)))+1/H410)</f>
        <v/>
      </c>
      <c r="X410">
        <f>($B$14*(I410*C410+IF(ABS(W410-D410)&lt;0.000000001,4*$B$19*$B$20*(D410+273)^3,$B$19*$B$20*((W410+273)^4-(D410+273)^4)/(W410-D410))*D410)+T410/H410)/($B$14*(I410+IF(ABS(W410-D410)&lt;0.000000001,4*$B$19*$B$20*(D410+273)^3,$B$19*$B$20*((W410+273)^4-(D410+273)^4)/(W410-D410)))+1/H410)</f>
        <v/>
      </c>
      <c r="Y410">
        <f>($B$14*(I410*C410+IF(ABS(X410-D410)&lt;0.000000001,4*$B$19*$B$20*(D410+273)^3,$B$19*$B$20*((X410+273)^4-(D410+273)^4)/(X410-D410))*D410)+T410/H410)/($B$14*(I410+IF(ABS(X410-D410)&lt;0.000000001,4*$B$19*$B$20*(D410+273)^3,$B$19*$B$20*((X410+273)^4-(D410+273)^4)/(X410-D410)))+1/H410)</f>
        <v/>
      </c>
      <c r="Z410">
        <f>IF(ABS(Y410-D410)&lt;0.000000001,4*$B$19*$B$20*(D410+273)^3,$B$19*$B$20*((Y410+273)^4-(D410+273)^4)/(Y410-D410))</f>
        <v/>
      </c>
      <c r="AA410">
        <f>$B$14*I410*(Y410-C410)</f>
        <v/>
      </c>
      <c r="AB410">
        <f>$B$14*Z410*(Y410-D410)</f>
        <v/>
      </c>
      <c r="AC410">
        <f>IF((U410-E410)/G410=0,0.001,(U410-E410)/G410)</f>
        <v/>
      </c>
      <c r="AD410">
        <f>F410-P410-J410-K410-AA410-AB410</f>
        <v/>
      </c>
      <c r="AE410">
        <f>AD410/AC410</f>
        <v/>
      </c>
      <c r="AF410">
        <f>IF(AD410&lt;=0,0,IF(AC410&lt;=0,$B$11,IF(AE410&gt;=1.7,$B$11,MIN(AD410/MAX(0.05,IF(AE410&gt;1,(2-AE410)^2/2,1-AE410^2/2)),$B$11))))</f>
        <v/>
      </c>
      <c r="AG410">
        <f>AG409*$B$28+AF410*(1-$B$28)</f>
        <v/>
      </c>
      <c r="AH410">
        <f>IF(AND(AD410&gt;0,AC410&lt;=0),0,AC410)</f>
        <v/>
      </c>
      <c r="AI410">
        <f>AH410/MAX(AG410,0.000001)</f>
        <v/>
      </c>
      <c r="AJ410">
        <f>MIN(IF(AI410&gt;=0.5,-AI410+SQRT(AI410^2+2),1),$B$12)</f>
        <v/>
      </c>
      <c r="AK410">
        <f>IF(AG410&lt;=0,0,AJ410*AH410)</f>
        <v/>
      </c>
      <c r="AL410">
        <f>IF(AD410&lt;=0,0,AD410)</f>
        <v/>
      </c>
      <c r="AM410">
        <f>AL410-AK410+P410</f>
        <v/>
      </c>
      <c r="AN410">
        <f>((AM410/$B$7+T409*AS409/2-T410*MAX(0.1,MIN(0.3,0.3-0.09*(AR409-36.8)))/2)+AR409*(1-AS409/2))/(1-MAX(0.1,MIN(0.3,0.3-0.09*(AR409-36.8)))/2)</f>
        <v/>
      </c>
      <c r="AO410">
        <f>((AM410/$B$7+T409*AS409/2-T410*MAX(0.1,MIN(0.3,0.3-0.09*(AN410-36.8)))/2)+AR409*(1-AS409/2))/(1-MAX(0.1,MIN(0.3,0.3-0.09*(AN410-36.8)))/2)</f>
        <v/>
      </c>
      <c r="AP410">
        <f>((AM410/$B$7+T409*AS409/2-T410*MAX(0.1,MIN(0.3,0.3-0.09*(AO410-36.8)))/2)+AR409*(1-AS409/2))/(1-MAX(0.1,MIN(0.3,0.3-0.09*(AO410-36.8)))/2)</f>
        <v/>
      </c>
      <c r="AQ410">
        <f>((AM410/$B$7+T409*AS409/2-T410*MAX(0.1,MIN(0.3,0.3-0.09*(AP410-36.8)))/2)+AR409*(1-AS409/2))/(1-MAX(0.1,MIN(0.3,0.3-0.09*(AP410-36.8)))/2)</f>
        <v/>
      </c>
      <c r="AR410">
        <f>((AM410/$B$7+T409*AS409/2-T410*MAX(0.1,MIN(0.3,0.3-0.09*(AQ410-36.8)))/2)+AR409*(1-AS409/2))/(1-MAX(0.1,MIN(0.3,0.3-0.09*(AQ410-36.8)))/2)</f>
        <v/>
      </c>
      <c r="AS410">
        <f>MAX(0.1,MIN(0.3,0.3-0.09*(AR410-36.8)))</f>
        <v/>
      </c>
      <c r="AT410">
        <f>AT409+(2*AR410-1.962*AT409-1.31)/9</f>
        <v/>
      </c>
      <c r="AU410">
        <f>AU409+AG410+K410</f>
        <v/>
      </c>
      <c r="AV410">
        <f>AU410*2.67*$B$6/1.8/60</f>
        <v/>
      </c>
      <c r="AW410">
        <f>IF(AT410&gt;=$B$36,1,0)</f>
        <v/>
      </c>
      <c r="AX410">
        <f>IF(AV410&gt;=$B$21,1,0)</f>
        <v/>
      </c>
    </row>
    <row r="411">
      <c r="A411" t="n">
        <v>338</v>
      </c>
      <c r="B411">
        <f>MATCH(A411-1,$D$61:$D$68,1)</f>
        <v/>
      </c>
      <c r="C411">
        <f>INDEX($G$61:$G$68,B411)</f>
        <v/>
      </c>
      <c r="D411">
        <f>INDEX($L$61:$L$68,B411)</f>
        <v/>
      </c>
      <c r="E411">
        <f>INDEX($M$61:$M$68,B411)</f>
        <v/>
      </c>
      <c r="F411">
        <f>INDEX($N$61:$N$68,B411)</f>
        <v/>
      </c>
      <c r="G411">
        <f>INDEX($AA$61:$AA$68,B411)</f>
        <v/>
      </c>
      <c r="H411">
        <f>INDEX($X$61:$X$68,B411)</f>
        <v/>
      </c>
      <c r="I411">
        <f>INDEX($AF$61:$AF$68,B411)</f>
        <v/>
      </c>
      <c r="J411">
        <f>INDEX($AC$61:$AC$68,B411)</f>
        <v/>
      </c>
      <c r="K411">
        <f>INDEX($AD$61:$AD$68,B411)</f>
        <v/>
      </c>
      <c r="L411">
        <f>INDEX($AG$61:$AG$68,B411)</f>
        <v/>
      </c>
      <c r="M411">
        <f>INDEX($AH$61:$AH$68,B411)</f>
        <v/>
      </c>
      <c r="N411">
        <f>INDEX($AI$61:$AI$68,B411)</f>
        <v/>
      </c>
      <c r="O411">
        <f>O410*$B$26+L411*(1-$B$26)</f>
        <v/>
      </c>
      <c r="P411">
        <f>$B$7*(O411-O410)*(1-AS410)</f>
        <v/>
      </c>
      <c r="Q411">
        <f>M411+0.51274*AT410</f>
        <v/>
      </c>
      <c r="R411">
        <f>N411+0.616*AT410</f>
        <v/>
      </c>
      <c r="S411">
        <f>IF($B$13&gt;=0.6,Q411,IF($B$13&lt;=0.2,R411,R411+2.5*(Q411-R411)*($B$13-0.2)))</f>
        <v/>
      </c>
      <c r="T411">
        <f>IF(A411=1,S411,T410*$B$27+S411*(1-$B$27))</f>
        <v/>
      </c>
      <c r="U411">
        <f>0.6105*EXP(17.27*T411/(T411+237.3))</f>
        <v/>
      </c>
      <c r="V411">
        <f>($B$14*(I411*C411+IF(ABS((D411+0.1)-D411)&lt;0.000000001,4*$B$19*$B$20*(D411+273)^3,$B$19*$B$20*(((D411+0.1)+273)^4-(D411+273)^4)/((D411+0.1)-D411))*D411)+T411/H411)/($B$14*(I411+IF(ABS((D411+0.1)-D411)&lt;0.000000001,4*$B$19*$B$20*(D411+273)^3,$B$19*$B$20*(((D411+0.1)+273)^4-(D411+273)^4)/((D411+0.1)-D411)))+1/H411)</f>
        <v/>
      </c>
      <c r="W411">
        <f>($B$14*(I411*C411+IF(ABS(V411-D411)&lt;0.000000001,4*$B$19*$B$20*(D411+273)^3,$B$19*$B$20*((V411+273)^4-(D411+273)^4)/(V411-D411))*D411)+T411/H411)/($B$14*(I411+IF(ABS(V411-D411)&lt;0.000000001,4*$B$19*$B$20*(D411+273)^3,$B$19*$B$20*((V411+273)^4-(D411+273)^4)/(V411-D411)))+1/H411)</f>
        <v/>
      </c>
      <c r="X411">
        <f>($B$14*(I411*C411+IF(ABS(W411-D411)&lt;0.000000001,4*$B$19*$B$20*(D411+273)^3,$B$19*$B$20*((W411+273)^4-(D411+273)^4)/(W411-D411))*D411)+T411/H411)/($B$14*(I411+IF(ABS(W411-D411)&lt;0.000000001,4*$B$19*$B$20*(D411+273)^3,$B$19*$B$20*((W411+273)^4-(D411+273)^4)/(W411-D411)))+1/H411)</f>
        <v/>
      </c>
      <c r="Y411">
        <f>($B$14*(I411*C411+IF(ABS(X411-D411)&lt;0.000000001,4*$B$19*$B$20*(D411+273)^3,$B$19*$B$20*((X411+273)^4-(D411+273)^4)/(X411-D411))*D411)+T411/H411)/($B$14*(I411+IF(ABS(X411-D411)&lt;0.000000001,4*$B$19*$B$20*(D411+273)^3,$B$19*$B$20*((X411+273)^4-(D411+273)^4)/(X411-D411)))+1/H411)</f>
        <v/>
      </c>
      <c r="Z411">
        <f>IF(ABS(Y411-D411)&lt;0.000000001,4*$B$19*$B$20*(D411+273)^3,$B$19*$B$20*((Y411+273)^4-(D411+273)^4)/(Y411-D411))</f>
        <v/>
      </c>
      <c r="AA411">
        <f>$B$14*I411*(Y411-C411)</f>
        <v/>
      </c>
      <c r="AB411">
        <f>$B$14*Z411*(Y411-D411)</f>
        <v/>
      </c>
      <c r="AC411">
        <f>IF((U411-E411)/G411=0,0.001,(U411-E411)/G411)</f>
        <v/>
      </c>
      <c r="AD411">
        <f>F411-P411-J411-K411-AA411-AB411</f>
        <v/>
      </c>
      <c r="AE411">
        <f>AD411/AC411</f>
        <v/>
      </c>
      <c r="AF411">
        <f>IF(AD411&lt;=0,0,IF(AC411&lt;=0,$B$11,IF(AE411&gt;=1.7,$B$11,MIN(AD411/MAX(0.05,IF(AE411&gt;1,(2-AE411)^2/2,1-AE411^2/2)),$B$11))))</f>
        <v/>
      </c>
      <c r="AG411">
        <f>AG410*$B$28+AF411*(1-$B$28)</f>
        <v/>
      </c>
      <c r="AH411">
        <f>IF(AND(AD411&gt;0,AC411&lt;=0),0,AC411)</f>
        <v/>
      </c>
      <c r="AI411">
        <f>AH411/MAX(AG411,0.000001)</f>
        <v/>
      </c>
      <c r="AJ411">
        <f>MIN(IF(AI411&gt;=0.5,-AI411+SQRT(AI411^2+2),1),$B$12)</f>
        <v/>
      </c>
      <c r="AK411">
        <f>IF(AG411&lt;=0,0,AJ411*AH411)</f>
        <v/>
      </c>
      <c r="AL411">
        <f>IF(AD411&lt;=0,0,AD411)</f>
        <v/>
      </c>
      <c r="AM411">
        <f>AL411-AK411+P411</f>
        <v/>
      </c>
      <c r="AN411">
        <f>((AM411/$B$7+T410*AS410/2-T411*MAX(0.1,MIN(0.3,0.3-0.09*(AR410-36.8)))/2)+AR410*(1-AS410/2))/(1-MAX(0.1,MIN(0.3,0.3-0.09*(AR410-36.8)))/2)</f>
        <v/>
      </c>
      <c r="AO411">
        <f>((AM411/$B$7+T410*AS410/2-T411*MAX(0.1,MIN(0.3,0.3-0.09*(AN411-36.8)))/2)+AR410*(1-AS410/2))/(1-MAX(0.1,MIN(0.3,0.3-0.09*(AN411-36.8)))/2)</f>
        <v/>
      </c>
      <c r="AP411">
        <f>((AM411/$B$7+T410*AS410/2-T411*MAX(0.1,MIN(0.3,0.3-0.09*(AO411-36.8)))/2)+AR410*(1-AS410/2))/(1-MAX(0.1,MIN(0.3,0.3-0.09*(AO411-36.8)))/2)</f>
        <v/>
      </c>
      <c r="AQ411">
        <f>((AM411/$B$7+T410*AS410/2-T411*MAX(0.1,MIN(0.3,0.3-0.09*(AP411-36.8)))/2)+AR410*(1-AS410/2))/(1-MAX(0.1,MIN(0.3,0.3-0.09*(AP411-36.8)))/2)</f>
        <v/>
      </c>
      <c r="AR411">
        <f>((AM411/$B$7+T410*AS410/2-T411*MAX(0.1,MIN(0.3,0.3-0.09*(AQ411-36.8)))/2)+AR410*(1-AS410/2))/(1-MAX(0.1,MIN(0.3,0.3-0.09*(AQ411-36.8)))/2)</f>
        <v/>
      </c>
      <c r="AS411">
        <f>MAX(0.1,MIN(0.3,0.3-0.09*(AR411-36.8)))</f>
        <v/>
      </c>
      <c r="AT411">
        <f>AT410+(2*AR411-1.962*AT410-1.31)/9</f>
        <v/>
      </c>
      <c r="AU411">
        <f>AU410+AG411+K411</f>
        <v/>
      </c>
      <c r="AV411">
        <f>AU411*2.67*$B$6/1.8/60</f>
        <v/>
      </c>
      <c r="AW411">
        <f>IF(AT411&gt;=$B$36,1,0)</f>
        <v/>
      </c>
      <c r="AX411">
        <f>IF(AV411&gt;=$B$21,1,0)</f>
        <v/>
      </c>
    </row>
    <row r="412">
      <c r="A412" t="n">
        <v>339</v>
      </c>
      <c r="B412">
        <f>MATCH(A412-1,$D$61:$D$68,1)</f>
        <v/>
      </c>
      <c r="C412">
        <f>INDEX($G$61:$G$68,B412)</f>
        <v/>
      </c>
      <c r="D412">
        <f>INDEX($L$61:$L$68,B412)</f>
        <v/>
      </c>
      <c r="E412">
        <f>INDEX($M$61:$M$68,B412)</f>
        <v/>
      </c>
      <c r="F412">
        <f>INDEX($N$61:$N$68,B412)</f>
        <v/>
      </c>
      <c r="G412">
        <f>INDEX($AA$61:$AA$68,B412)</f>
        <v/>
      </c>
      <c r="H412">
        <f>INDEX($X$61:$X$68,B412)</f>
        <v/>
      </c>
      <c r="I412">
        <f>INDEX($AF$61:$AF$68,B412)</f>
        <v/>
      </c>
      <c r="J412">
        <f>INDEX($AC$61:$AC$68,B412)</f>
        <v/>
      </c>
      <c r="K412">
        <f>INDEX($AD$61:$AD$68,B412)</f>
        <v/>
      </c>
      <c r="L412">
        <f>INDEX($AG$61:$AG$68,B412)</f>
        <v/>
      </c>
      <c r="M412">
        <f>INDEX($AH$61:$AH$68,B412)</f>
        <v/>
      </c>
      <c r="N412">
        <f>INDEX($AI$61:$AI$68,B412)</f>
        <v/>
      </c>
      <c r="O412">
        <f>O411*$B$26+L412*(1-$B$26)</f>
        <v/>
      </c>
      <c r="P412">
        <f>$B$7*(O412-O411)*(1-AS411)</f>
        <v/>
      </c>
      <c r="Q412">
        <f>M412+0.51274*AT411</f>
        <v/>
      </c>
      <c r="R412">
        <f>N412+0.616*AT411</f>
        <v/>
      </c>
      <c r="S412">
        <f>IF($B$13&gt;=0.6,Q412,IF($B$13&lt;=0.2,R412,R412+2.5*(Q412-R412)*($B$13-0.2)))</f>
        <v/>
      </c>
      <c r="T412">
        <f>IF(A412=1,S412,T411*$B$27+S412*(1-$B$27))</f>
        <v/>
      </c>
      <c r="U412">
        <f>0.6105*EXP(17.27*T412/(T412+237.3))</f>
        <v/>
      </c>
      <c r="V412">
        <f>($B$14*(I412*C412+IF(ABS((D412+0.1)-D412)&lt;0.000000001,4*$B$19*$B$20*(D412+273)^3,$B$19*$B$20*(((D412+0.1)+273)^4-(D412+273)^4)/((D412+0.1)-D412))*D412)+T412/H412)/($B$14*(I412+IF(ABS((D412+0.1)-D412)&lt;0.000000001,4*$B$19*$B$20*(D412+273)^3,$B$19*$B$20*(((D412+0.1)+273)^4-(D412+273)^4)/((D412+0.1)-D412)))+1/H412)</f>
        <v/>
      </c>
      <c r="W412">
        <f>($B$14*(I412*C412+IF(ABS(V412-D412)&lt;0.000000001,4*$B$19*$B$20*(D412+273)^3,$B$19*$B$20*((V412+273)^4-(D412+273)^4)/(V412-D412))*D412)+T412/H412)/($B$14*(I412+IF(ABS(V412-D412)&lt;0.000000001,4*$B$19*$B$20*(D412+273)^3,$B$19*$B$20*((V412+273)^4-(D412+273)^4)/(V412-D412)))+1/H412)</f>
        <v/>
      </c>
      <c r="X412">
        <f>($B$14*(I412*C412+IF(ABS(W412-D412)&lt;0.000000001,4*$B$19*$B$20*(D412+273)^3,$B$19*$B$20*((W412+273)^4-(D412+273)^4)/(W412-D412))*D412)+T412/H412)/($B$14*(I412+IF(ABS(W412-D412)&lt;0.000000001,4*$B$19*$B$20*(D412+273)^3,$B$19*$B$20*((W412+273)^4-(D412+273)^4)/(W412-D412)))+1/H412)</f>
        <v/>
      </c>
      <c r="Y412">
        <f>($B$14*(I412*C412+IF(ABS(X412-D412)&lt;0.000000001,4*$B$19*$B$20*(D412+273)^3,$B$19*$B$20*((X412+273)^4-(D412+273)^4)/(X412-D412))*D412)+T412/H412)/($B$14*(I412+IF(ABS(X412-D412)&lt;0.000000001,4*$B$19*$B$20*(D412+273)^3,$B$19*$B$20*((X412+273)^4-(D412+273)^4)/(X412-D412)))+1/H412)</f>
        <v/>
      </c>
      <c r="Z412">
        <f>IF(ABS(Y412-D412)&lt;0.000000001,4*$B$19*$B$20*(D412+273)^3,$B$19*$B$20*((Y412+273)^4-(D412+273)^4)/(Y412-D412))</f>
        <v/>
      </c>
      <c r="AA412">
        <f>$B$14*I412*(Y412-C412)</f>
        <v/>
      </c>
      <c r="AB412">
        <f>$B$14*Z412*(Y412-D412)</f>
        <v/>
      </c>
      <c r="AC412">
        <f>IF((U412-E412)/G412=0,0.001,(U412-E412)/G412)</f>
        <v/>
      </c>
      <c r="AD412">
        <f>F412-P412-J412-K412-AA412-AB412</f>
        <v/>
      </c>
      <c r="AE412">
        <f>AD412/AC412</f>
        <v/>
      </c>
      <c r="AF412">
        <f>IF(AD412&lt;=0,0,IF(AC412&lt;=0,$B$11,IF(AE412&gt;=1.7,$B$11,MIN(AD412/MAX(0.05,IF(AE412&gt;1,(2-AE412)^2/2,1-AE412^2/2)),$B$11))))</f>
        <v/>
      </c>
      <c r="AG412">
        <f>AG411*$B$28+AF412*(1-$B$28)</f>
        <v/>
      </c>
      <c r="AH412">
        <f>IF(AND(AD412&gt;0,AC412&lt;=0),0,AC412)</f>
        <v/>
      </c>
      <c r="AI412">
        <f>AH412/MAX(AG412,0.000001)</f>
        <v/>
      </c>
      <c r="AJ412">
        <f>MIN(IF(AI412&gt;=0.5,-AI412+SQRT(AI412^2+2),1),$B$12)</f>
        <v/>
      </c>
      <c r="AK412">
        <f>IF(AG412&lt;=0,0,AJ412*AH412)</f>
        <v/>
      </c>
      <c r="AL412">
        <f>IF(AD412&lt;=0,0,AD412)</f>
        <v/>
      </c>
      <c r="AM412">
        <f>AL412-AK412+P412</f>
        <v/>
      </c>
      <c r="AN412">
        <f>((AM412/$B$7+T411*AS411/2-T412*MAX(0.1,MIN(0.3,0.3-0.09*(AR411-36.8)))/2)+AR411*(1-AS411/2))/(1-MAX(0.1,MIN(0.3,0.3-0.09*(AR411-36.8)))/2)</f>
        <v/>
      </c>
      <c r="AO412">
        <f>((AM412/$B$7+T411*AS411/2-T412*MAX(0.1,MIN(0.3,0.3-0.09*(AN412-36.8)))/2)+AR411*(1-AS411/2))/(1-MAX(0.1,MIN(0.3,0.3-0.09*(AN412-36.8)))/2)</f>
        <v/>
      </c>
      <c r="AP412">
        <f>((AM412/$B$7+T411*AS411/2-T412*MAX(0.1,MIN(0.3,0.3-0.09*(AO412-36.8)))/2)+AR411*(1-AS411/2))/(1-MAX(0.1,MIN(0.3,0.3-0.09*(AO412-36.8)))/2)</f>
        <v/>
      </c>
      <c r="AQ412">
        <f>((AM412/$B$7+T411*AS411/2-T412*MAX(0.1,MIN(0.3,0.3-0.09*(AP412-36.8)))/2)+AR411*(1-AS411/2))/(1-MAX(0.1,MIN(0.3,0.3-0.09*(AP412-36.8)))/2)</f>
        <v/>
      </c>
      <c r="AR412">
        <f>((AM412/$B$7+T411*AS411/2-T412*MAX(0.1,MIN(0.3,0.3-0.09*(AQ412-36.8)))/2)+AR411*(1-AS411/2))/(1-MAX(0.1,MIN(0.3,0.3-0.09*(AQ412-36.8)))/2)</f>
        <v/>
      </c>
      <c r="AS412">
        <f>MAX(0.1,MIN(0.3,0.3-0.09*(AR412-36.8)))</f>
        <v/>
      </c>
      <c r="AT412">
        <f>AT411+(2*AR412-1.962*AT411-1.31)/9</f>
        <v/>
      </c>
      <c r="AU412">
        <f>AU411+AG412+K412</f>
        <v/>
      </c>
      <c r="AV412">
        <f>AU412*2.67*$B$6/1.8/60</f>
        <v/>
      </c>
      <c r="AW412">
        <f>IF(AT412&gt;=$B$36,1,0)</f>
        <v/>
      </c>
      <c r="AX412">
        <f>IF(AV412&gt;=$B$21,1,0)</f>
        <v/>
      </c>
    </row>
    <row r="413">
      <c r="A413" t="n">
        <v>340</v>
      </c>
      <c r="B413">
        <f>MATCH(A413-1,$D$61:$D$68,1)</f>
        <v/>
      </c>
      <c r="C413">
        <f>INDEX($G$61:$G$68,B413)</f>
        <v/>
      </c>
      <c r="D413">
        <f>INDEX($L$61:$L$68,B413)</f>
        <v/>
      </c>
      <c r="E413">
        <f>INDEX($M$61:$M$68,B413)</f>
        <v/>
      </c>
      <c r="F413">
        <f>INDEX($N$61:$N$68,B413)</f>
        <v/>
      </c>
      <c r="G413">
        <f>INDEX($AA$61:$AA$68,B413)</f>
        <v/>
      </c>
      <c r="H413">
        <f>INDEX($X$61:$X$68,B413)</f>
        <v/>
      </c>
      <c r="I413">
        <f>INDEX($AF$61:$AF$68,B413)</f>
        <v/>
      </c>
      <c r="J413">
        <f>INDEX($AC$61:$AC$68,B413)</f>
        <v/>
      </c>
      <c r="K413">
        <f>INDEX($AD$61:$AD$68,B413)</f>
        <v/>
      </c>
      <c r="L413">
        <f>INDEX($AG$61:$AG$68,B413)</f>
        <v/>
      </c>
      <c r="M413">
        <f>INDEX($AH$61:$AH$68,B413)</f>
        <v/>
      </c>
      <c r="N413">
        <f>INDEX($AI$61:$AI$68,B413)</f>
        <v/>
      </c>
      <c r="O413">
        <f>O412*$B$26+L413*(1-$B$26)</f>
        <v/>
      </c>
      <c r="P413">
        <f>$B$7*(O413-O412)*(1-AS412)</f>
        <v/>
      </c>
      <c r="Q413">
        <f>M413+0.51274*AT412</f>
        <v/>
      </c>
      <c r="R413">
        <f>N413+0.616*AT412</f>
        <v/>
      </c>
      <c r="S413">
        <f>IF($B$13&gt;=0.6,Q413,IF($B$13&lt;=0.2,R413,R413+2.5*(Q413-R413)*($B$13-0.2)))</f>
        <v/>
      </c>
      <c r="T413">
        <f>IF(A413=1,S413,T412*$B$27+S413*(1-$B$27))</f>
        <v/>
      </c>
      <c r="U413">
        <f>0.6105*EXP(17.27*T413/(T413+237.3))</f>
        <v/>
      </c>
      <c r="V413">
        <f>($B$14*(I413*C413+IF(ABS((D413+0.1)-D413)&lt;0.000000001,4*$B$19*$B$20*(D413+273)^3,$B$19*$B$20*(((D413+0.1)+273)^4-(D413+273)^4)/((D413+0.1)-D413))*D413)+T413/H413)/($B$14*(I413+IF(ABS((D413+0.1)-D413)&lt;0.000000001,4*$B$19*$B$20*(D413+273)^3,$B$19*$B$20*(((D413+0.1)+273)^4-(D413+273)^4)/((D413+0.1)-D413)))+1/H413)</f>
        <v/>
      </c>
      <c r="W413">
        <f>($B$14*(I413*C413+IF(ABS(V413-D413)&lt;0.000000001,4*$B$19*$B$20*(D413+273)^3,$B$19*$B$20*((V413+273)^4-(D413+273)^4)/(V413-D413))*D413)+T413/H413)/($B$14*(I413+IF(ABS(V413-D413)&lt;0.000000001,4*$B$19*$B$20*(D413+273)^3,$B$19*$B$20*((V413+273)^4-(D413+273)^4)/(V413-D413)))+1/H413)</f>
        <v/>
      </c>
      <c r="X413">
        <f>($B$14*(I413*C413+IF(ABS(W413-D413)&lt;0.000000001,4*$B$19*$B$20*(D413+273)^3,$B$19*$B$20*((W413+273)^4-(D413+273)^4)/(W413-D413))*D413)+T413/H413)/($B$14*(I413+IF(ABS(W413-D413)&lt;0.000000001,4*$B$19*$B$20*(D413+273)^3,$B$19*$B$20*((W413+273)^4-(D413+273)^4)/(W413-D413)))+1/H413)</f>
        <v/>
      </c>
      <c r="Y413">
        <f>($B$14*(I413*C413+IF(ABS(X413-D413)&lt;0.000000001,4*$B$19*$B$20*(D413+273)^3,$B$19*$B$20*((X413+273)^4-(D413+273)^4)/(X413-D413))*D413)+T413/H413)/($B$14*(I413+IF(ABS(X413-D413)&lt;0.000000001,4*$B$19*$B$20*(D413+273)^3,$B$19*$B$20*((X413+273)^4-(D413+273)^4)/(X413-D413)))+1/H413)</f>
        <v/>
      </c>
      <c r="Z413">
        <f>IF(ABS(Y413-D413)&lt;0.000000001,4*$B$19*$B$20*(D413+273)^3,$B$19*$B$20*((Y413+273)^4-(D413+273)^4)/(Y413-D413))</f>
        <v/>
      </c>
      <c r="AA413">
        <f>$B$14*I413*(Y413-C413)</f>
        <v/>
      </c>
      <c r="AB413">
        <f>$B$14*Z413*(Y413-D413)</f>
        <v/>
      </c>
      <c r="AC413">
        <f>IF((U413-E413)/G413=0,0.001,(U413-E413)/G413)</f>
        <v/>
      </c>
      <c r="AD413">
        <f>F413-P413-J413-K413-AA413-AB413</f>
        <v/>
      </c>
      <c r="AE413">
        <f>AD413/AC413</f>
        <v/>
      </c>
      <c r="AF413">
        <f>IF(AD413&lt;=0,0,IF(AC413&lt;=0,$B$11,IF(AE413&gt;=1.7,$B$11,MIN(AD413/MAX(0.05,IF(AE413&gt;1,(2-AE413)^2/2,1-AE413^2/2)),$B$11))))</f>
        <v/>
      </c>
      <c r="AG413">
        <f>AG412*$B$28+AF413*(1-$B$28)</f>
        <v/>
      </c>
      <c r="AH413">
        <f>IF(AND(AD413&gt;0,AC413&lt;=0),0,AC413)</f>
        <v/>
      </c>
      <c r="AI413">
        <f>AH413/MAX(AG413,0.000001)</f>
        <v/>
      </c>
      <c r="AJ413">
        <f>MIN(IF(AI413&gt;=0.5,-AI413+SQRT(AI413^2+2),1),$B$12)</f>
        <v/>
      </c>
      <c r="AK413">
        <f>IF(AG413&lt;=0,0,AJ413*AH413)</f>
        <v/>
      </c>
      <c r="AL413">
        <f>IF(AD413&lt;=0,0,AD413)</f>
        <v/>
      </c>
      <c r="AM413">
        <f>AL413-AK413+P413</f>
        <v/>
      </c>
      <c r="AN413">
        <f>((AM413/$B$7+T412*AS412/2-T413*MAX(0.1,MIN(0.3,0.3-0.09*(AR412-36.8)))/2)+AR412*(1-AS412/2))/(1-MAX(0.1,MIN(0.3,0.3-0.09*(AR412-36.8)))/2)</f>
        <v/>
      </c>
      <c r="AO413">
        <f>((AM413/$B$7+T412*AS412/2-T413*MAX(0.1,MIN(0.3,0.3-0.09*(AN413-36.8)))/2)+AR412*(1-AS412/2))/(1-MAX(0.1,MIN(0.3,0.3-0.09*(AN413-36.8)))/2)</f>
        <v/>
      </c>
      <c r="AP413">
        <f>((AM413/$B$7+T412*AS412/2-T413*MAX(0.1,MIN(0.3,0.3-0.09*(AO413-36.8)))/2)+AR412*(1-AS412/2))/(1-MAX(0.1,MIN(0.3,0.3-0.09*(AO413-36.8)))/2)</f>
        <v/>
      </c>
      <c r="AQ413">
        <f>((AM413/$B$7+T412*AS412/2-T413*MAX(0.1,MIN(0.3,0.3-0.09*(AP413-36.8)))/2)+AR412*(1-AS412/2))/(1-MAX(0.1,MIN(0.3,0.3-0.09*(AP413-36.8)))/2)</f>
        <v/>
      </c>
      <c r="AR413">
        <f>((AM413/$B$7+T412*AS412/2-T413*MAX(0.1,MIN(0.3,0.3-0.09*(AQ413-36.8)))/2)+AR412*(1-AS412/2))/(1-MAX(0.1,MIN(0.3,0.3-0.09*(AQ413-36.8)))/2)</f>
        <v/>
      </c>
      <c r="AS413">
        <f>MAX(0.1,MIN(0.3,0.3-0.09*(AR413-36.8)))</f>
        <v/>
      </c>
      <c r="AT413">
        <f>AT412+(2*AR413-1.962*AT412-1.31)/9</f>
        <v/>
      </c>
      <c r="AU413">
        <f>AU412+AG413+K413</f>
        <v/>
      </c>
      <c r="AV413">
        <f>AU413*2.67*$B$6/1.8/60</f>
        <v/>
      </c>
      <c r="AW413">
        <f>IF(AT413&gt;=$B$36,1,0)</f>
        <v/>
      </c>
      <c r="AX413">
        <f>IF(AV413&gt;=$B$21,1,0)</f>
        <v/>
      </c>
    </row>
    <row r="414">
      <c r="A414" t="n">
        <v>341</v>
      </c>
      <c r="B414">
        <f>MATCH(A414-1,$D$61:$D$68,1)</f>
        <v/>
      </c>
      <c r="C414">
        <f>INDEX($G$61:$G$68,B414)</f>
        <v/>
      </c>
      <c r="D414">
        <f>INDEX($L$61:$L$68,B414)</f>
        <v/>
      </c>
      <c r="E414">
        <f>INDEX($M$61:$M$68,B414)</f>
        <v/>
      </c>
      <c r="F414">
        <f>INDEX($N$61:$N$68,B414)</f>
        <v/>
      </c>
      <c r="G414">
        <f>INDEX($AA$61:$AA$68,B414)</f>
        <v/>
      </c>
      <c r="H414">
        <f>INDEX($X$61:$X$68,B414)</f>
        <v/>
      </c>
      <c r="I414">
        <f>INDEX($AF$61:$AF$68,B414)</f>
        <v/>
      </c>
      <c r="J414">
        <f>INDEX($AC$61:$AC$68,B414)</f>
        <v/>
      </c>
      <c r="K414">
        <f>INDEX($AD$61:$AD$68,B414)</f>
        <v/>
      </c>
      <c r="L414">
        <f>INDEX($AG$61:$AG$68,B414)</f>
        <v/>
      </c>
      <c r="M414">
        <f>INDEX($AH$61:$AH$68,B414)</f>
        <v/>
      </c>
      <c r="N414">
        <f>INDEX($AI$61:$AI$68,B414)</f>
        <v/>
      </c>
      <c r="O414">
        <f>O413*$B$26+L414*(1-$B$26)</f>
        <v/>
      </c>
      <c r="P414">
        <f>$B$7*(O414-O413)*(1-AS413)</f>
        <v/>
      </c>
      <c r="Q414">
        <f>M414+0.51274*AT413</f>
        <v/>
      </c>
      <c r="R414">
        <f>N414+0.616*AT413</f>
        <v/>
      </c>
      <c r="S414">
        <f>IF($B$13&gt;=0.6,Q414,IF($B$13&lt;=0.2,R414,R414+2.5*(Q414-R414)*($B$13-0.2)))</f>
        <v/>
      </c>
      <c r="T414">
        <f>IF(A414=1,S414,T413*$B$27+S414*(1-$B$27))</f>
        <v/>
      </c>
      <c r="U414">
        <f>0.6105*EXP(17.27*T414/(T414+237.3))</f>
        <v/>
      </c>
      <c r="V414">
        <f>($B$14*(I414*C414+IF(ABS((D414+0.1)-D414)&lt;0.000000001,4*$B$19*$B$20*(D414+273)^3,$B$19*$B$20*(((D414+0.1)+273)^4-(D414+273)^4)/((D414+0.1)-D414))*D414)+T414/H414)/($B$14*(I414+IF(ABS((D414+0.1)-D414)&lt;0.000000001,4*$B$19*$B$20*(D414+273)^3,$B$19*$B$20*(((D414+0.1)+273)^4-(D414+273)^4)/((D414+0.1)-D414)))+1/H414)</f>
        <v/>
      </c>
      <c r="W414">
        <f>($B$14*(I414*C414+IF(ABS(V414-D414)&lt;0.000000001,4*$B$19*$B$20*(D414+273)^3,$B$19*$B$20*((V414+273)^4-(D414+273)^4)/(V414-D414))*D414)+T414/H414)/($B$14*(I414+IF(ABS(V414-D414)&lt;0.000000001,4*$B$19*$B$20*(D414+273)^3,$B$19*$B$20*((V414+273)^4-(D414+273)^4)/(V414-D414)))+1/H414)</f>
        <v/>
      </c>
      <c r="X414">
        <f>($B$14*(I414*C414+IF(ABS(W414-D414)&lt;0.000000001,4*$B$19*$B$20*(D414+273)^3,$B$19*$B$20*((W414+273)^4-(D414+273)^4)/(W414-D414))*D414)+T414/H414)/($B$14*(I414+IF(ABS(W414-D414)&lt;0.000000001,4*$B$19*$B$20*(D414+273)^3,$B$19*$B$20*((W414+273)^4-(D414+273)^4)/(W414-D414)))+1/H414)</f>
        <v/>
      </c>
      <c r="Y414">
        <f>($B$14*(I414*C414+IF(ABS(X414-D414)&lt;0.000000001,4*$B$19*$B$20*(D414+273)^3,$B$19*$B$20*((X414+273)^4-(D414+273)^4)/(X414-D414))*D414)+T414/H414)/($B$14*(I414+IF(ABS(X414-D414)&lt;0.000000001,4*$B$19*$B$20*(D414+273)^3,$B$19*$B$20*((X414+273)^4-(D414+273)^4)/(X414-D414)))+1/H414)</f>
        <v/>
      </c>
      <c r="Z414">
        <f>IF(ABS(Y414-D414)&lt;0.000000001,4*$B$19*$B$20*(D414+273)^3,$B$19*$B$20*((Y414+273)^4-(D414+273)^4)/(Y414-D414))</f>
        <v/>
      </c>
      <c r="AA414">
        <f>$B$14*I414*(Y414-C414)</f>
        <v/>
      </c>
      <c r="AB414">
        <f>$B$14*Z414*(Y414-D414)</f>
        <v/>
      </c>
      <c r="AC414">
        <f>IF((U414-E414)/G414=0,0.001,(U414-E414)/G414)</f>
        <v/>
      </c>
      <c r="AD414">
        <f>F414-P414-J414-K414-AA414-AB414</f>
        <v/>
      </c>
      <c r="AE414">
        <f>AD414/AC414</f>
        <v/>
      </c>
      <c r="AF414">
        <f>IF(AD414&lt;=0,0,IF(AC414&lt;=0,$B$11,IF(AE414&gt;=1.7,$B$11,MIN(AD414/MAX(0.05,IF(AE414&gt;1,(2-AE414)^2/2,1-AE414^2/2)),$B$11))))</f>
        <v/>
      </c>
      <c r="AG414">
        <f>AG413*$B$28+AF414*(1-$B$28)</f>
        <v/>
      </c>
      <c r="AH414">
        <f>IF(AND(AD414&gt;0,AC414&lt;=0),0,AC414)</f>
        <v/>
      </c>
      <c r="AI414">
        <f>AH414/MAX(AG414,0.000001)</f>
        <v/>
      </c>
      <c r="AJ414">
        <f>MIN(IF(AI414&gt;=0.5,-AI414+SQRT(AI414^2+2),1),$B$12)</f>
        <v/>
      </c>
      <c r="AK414">
        <f>IF(AG414&lt;=0,0,AJ414*AH414)</f>
        <v/>
      </c>
      <c r="AL414">
        <f>IF(AD414&lt;=0,0,AD414)</f>
        <v/>
      </c>
      <c r="AM414">
        <f>AL414-AK414+P414</f>
        <v/>
      </c>
      <c r="AN414">
        <f>((AM414/$B$7+T413*AS413/2-T414*MAX(0.1,MIN(0.3,0.3-0.09*(AR413-36.8)))/2)+AR413*(1-AS413/2))/(1-MAX(0.1,MIN(0.3,0.3-0.09*(AR413-36.8)))/2)</f>
        <v/>
      </c>
      <c r="AO414">
        <f>((AM414/$B$7+T413*AS413/2-T414*MAX(0.1,MIN(0.3,0.3-0.09*(AN414-36.8)))/2)+AR413*(1-AS413/2))/(1-MAX(0.1,MIN(0.3,0.3-0.09*(AN414-36.8)))/2)</f>
        <v/>
      </c>
      <c r="AP414">
        <f>((AM414/$B$7+T413*AS413/2-T414*MAX(0.1,MIN(0.3,0.3-0.09*(AO414-36.8)))/2)+AR413*(1-AS413/2))/(1-MAX(0.1,MIN(0.3,0.3-0.09*(AO414-36.8)))/2)</f>
        <v/>
      </c>
      <c r="AQ414">
        <f>((AM414/$B$7+T413*AS413/2-T414*MAX(0.1,MIN(0.3,0.3-0.09*(AP414-36.8)))/2)+AR413*(1-AS413/2))/(1-MAX(0.1,MIN(0.3,0.3-0.09*(AP414-36.8)))/2)</f>
        <v/>
      </c>
      <c r="AR414">
        <f>((AM414/$B$7+T413*AS413/2-T414*MAX(0.1,MIN(0.3,0.3-0.09*(AQ414-36.8)))/2)+AR413*(1-AS413/2))/(1-MAX(0.1,MIN(0.3,0.3-0.09*(AQ414-36.8)))/2)</f>
        <v/>
      </c>
      <c r="AS414">
        <f>MAX(0.1,MIN(0.3,0.3-0.09*(AR414-36.8)))</f>
        <v/>
      </c>
      <c r="AT414">
        <f>AT413+(2*AR414-1.962*AT413-1.31)/9</f>
        <v/>
      </c>
      <c r="AU414">
        <f>AU413+AG414+K414</f>
        <v/>
      </c>
      <c r="AV414">
        <f>AU414*2.67*$B$6/1.8/60</f>
        <v/>
      </c>
      <c r="AW414">
        <f>IF(AT414&gt;=$B$36,1,0)</f>
        <v/>
      </c>
      <c r="AX414">
        <f>IF(AV414&gt;=$B$21,1,0)</f>
        <v/>
      </c>
    </row>
    <row r="415">
      <c r="A415" t="n">
        <v>342</v>
      </c>
      <c r="B415">
        <f>MATCH(A415-1,$D$61:$D$68,1)</f>
        <v/>
      </c>
      <c r="C415">
        <f>INDEX($G$61:$G$68,B415)</f>
        <v/>
      </c>
      <c r="D415">
        <f>INDEX($L$61:$L$68,B415)</f>
        <v/>
      </c>
      <c r="E415">
        <f>INDEX($M$61:$M$68,B415)</f>
        <v/>
      </c>
      <c r="F415">
        <f>INDEX($N$61:$N$68,B415)</f>
        <v/>
      </c>
      <c r="G415">
        <f>INDEX($AA$61:$AA$68,B415)</f>
        <v/>
      </c>
      <c r="H415">
        <f>INDEX($X$61:$X$68,B415)</f>
        <v/>
      </c>
      <c r="I415">
        <f>INDEX($AF$61:$AF$68,B415)</f>
        <v/>
      </c>
      <c r="J415">
        <f>INDEX($AC$61:$AC$68,B415)</f>
        <v/>
      </c>
      <c r="K415">
        <f>INDEX($AD$61:$AD$68,B415)</f>
        <v/>
      </c>
      <c r="L415">
        <f>INDEX($AG$61:$AG$68,B415)</f>
        <v/>
      </c>
      <c r="M415">
        <f>INDEX($AH$61:$AH$68,B415)</f>
        <v/>
      </c>
      <c r="N415">
        <f>INDEX($AI$61:$AI$68,B415)</f>
        <v/>
      </c>
      <c r="O415">
        <f>O414*$B$26+L415*(1-$B$26)</f>
        <v/>
      </c>
      <c r="P415">
        <f>$B$7*(O415-O414)*(1-AS414)</f>
        <v/>
      </c>
      <c r="Q415">
        <f>M415+0.51274*AT414</f>
        <v/>
      </c>
      <c r="R415">
        <f>N415+0.616*AT414</f>
        <v/>
      </c>
      <c r="S415">
        <f>IF($B$13&gt;=0.6,Q415,IF($B$13&lt;=0.2,R415,R415+2.5*(Q415-R415)*($B$13-0.2)))</f>
        <v/>
      </c>
      <c r="T415">
        <f>IF(A415=1,S415,T414*$B$27+S415*(1-$B$27))</f>
        <v/>
      </c>
      <c r="U415">
        <f>0.6105*EXP(17.27*T415/(T415+237.3))</f>
        <v/>
      </c>
      <c r="V415">
        <f>($B$14*(I415*C415+IF(ABS((D415+0.1)-D415)&lt;0.000000001,4*$B$19*$B$20*(D415+273)^3,$B$19*$B$20*(((D415+0.1)+273)^4-(D415+273)^4)/((D415+0.1)-D415))*D415)+T415/H415)/($B$14*(I415+IF(ABS((D415+0.1)-D415)&lt;0.000000001,4*$B$19*$B$20*(D415+273)^3,$B$19*$B$20*(((D415+0.1)+273)^4-(D415+273)^4)/((D415+0.1)-D415)))+1/H415)</f>
        <v/>
      </c>
      <c r="W415">
        <f>($B$14*(I415*C415+IF(ABS(V415-D415)&lt;0.000000001,4*$B$19*$B$20*(D415+273)^3,$B$19*$B$20*((V415+273)^4-(D415+273)^4)/(V415-D415))*D415)+T415/H415)/($B$14*(I415+IF(ABS(V415-D415)&lt;0.000000001,4*$B$19*$B$20*(D415+273)^3,$B$19*$B$20*((V415+273)^4-(D415+273)^4)/(V415-D415)))+1/H415)</f>
        <v/>
      </c>
      <c r="X415">
        <f>($B$14*(I415*C415+IF(ABS(W415-D415)&lt;0.000000001,4*$B$19*$B$20*(D415+273)^3,$B$19*$B$20*((W415+273)^4-(D415+273)^4)/(W415-D415))*D415)+T415/H415)/($B$14*(I415+IF(ABS(W415-D415)&lt;0.000000001,4*$B$19*$B$20*(D415+273)^3,$B$19*$B$20*((W415+273)^4-(D415+273)^4)/(W415-D415)))+1/H415)</f>
        <v/>
      </c>
      <c r="Y415">
        <f>($B$14*(I415*C415+IF(ABS(X415-D415)&lt;0.000000001,4*$B$19*$B$20*(D415+273)^3,$B$19*$B$20*((X415+273)^4-(D415+273)^4)/(X415-D415))*D415)+T415/H415)/($B$14*(I415+IF(ABS(X415-D415)&lt;0.000000001,4*$B$19*$B$20*(D415+273)^3,$B$19*$B$20*((X415+273)^4-(D415+273)^4)/(X415-D415)))+1/H415)</f>
        <v/>
      </c>
      <c r="Z415">
        <f>IF(ABS(Y415-D415)&lt;0.000000001,4*$B$19*$B$20*(D415+273)^3,$B$19*$B$20*((Y415+273)^4-(D415+273)^4)/(Y415-D415))</f>
        <v/>
      </c>
      <c r="AA415">
        <f>$B$14*I415*(Y415-C415)</f>
        <v/>
      </c>
      <c r="AB415">
        <f>$B$14*Z415*(Y415-D415)</f>
        <v/>
      </c>
      <c r="AC415">
        <f>IF((U415-E415)/G415=0,0.001,(U415-E415)/G415)</f>
        <v/>
      </c>
      <c r="AD415">
        <f>F415-P415-J415-K415-AA415-AB415</f>
        <v/>
      </c>
      <c r="AE415">
        <f>AD415/AC415</f>
        <v/>
      </c>
      <c r="AF415">
        <f>IF(AD415&lt;=0,0,IF(AC415&lt;=0,$B$11,IF(AE415&gt;=1.7,$B$11,MIN(AD415/MAX(0.05,IF(AE415&gt;1,(2-AE415)^2/2,1-AE415^2/2)),$B$11))))</f>
        <v/>
      </c>
      <c r="AG415">
        <f>AG414*$B$28+AF415*(1-$B$28)</f>
        <v/>
      </c>
      <c r="AH415">
        <f>IF(AND(AD415&gt;0,AC415&lt;=0),0,AC415)</f>
        <v/>
      </c>
      <c r="AI415">
        <f>AH415/MAX(AG415,0.000001)</f>
        <v/>
      </c>
      <c r="AJ415">
        <f>MIN(IF(AI415&gt;=0.5,-AI415+SQRT(AI415^2+2),1),$B$12)</f>
        <v/>
      </c>
      <c r="AK415">
        <f>IF(AG415&lt;=0,0,AJ415*AH415)</f>
        <v/>
      </c>
      <c r="AL415">
        <f>IF(AD415&lt;=0,0,AD415)</f>
        <v/>
      </c>
      <c r="AM415">
        <f>AL415-AK415+P415</f>
        <v/>
      </c>
      <c r="AN415">
        <f>((AM415/$B$7+T414*AS414/2-T415*MAX(0.1,MIN(0.3,0.3-0.09*(AR414-36.8)))/2)+AR414*(1-AS414/2))/(1-MAX(0.1,MIN(0.3,0.3-0.09*(AR414-36.8)))/2)</f>
        <v/>
      </c>
      <c r="AO415">
        <f>((AM415/$B$7+T414*AS414/2-T415*MAX(0.1,MIN(0.3,0.3-0.09*(AN415-36.8)))/2)+AR414*(1-AS414/2))/(1-MAX(0.1,MIN(0.3,0.3-0.09*(AN415-36.8)))/2)</f>
        <v/>
      </c>
      <c r="AP415">
        <f>((AM415/$B$7+T414*AS414/2-T415*MAX(0.1,MIN(0.3,0.3-0.09*(AO415-36.8)))/2)+AR414*(1-AS414/2))/(1-MAX(0.1,MIN(0.3,0.3-0.09*(AO415-36.8)))/2)</f>
        <v/>
      </c>
      <c r="AQ415">
        <f>((AM415/$B$7+T414*AS414/2-T415*MAX(0.1,MIN(0.3,0.3-0.09*(AP415-36.8)))/2)+AR414*(1-AS414/2))/(1-MAX(0.1,MIN(0.3,0.3-0.09*(AP415-36.8)))/2)</f>
        <v/>
      </c>
      <c r="AR415">
        <f>((AM415/$B$7+T414*AS414/2-T415*MAX(0.1,MIN(0.3,0.3-0.09*(AQ415-36.8)))/2)+AR414*(1-AS414/2))/(1-MAX(0.1,MIN(0.3,0.3-0.09*(AQ415-36.8)))/2)</f>
        <v/>
      </c>
      <c r="AS415">
        <f>MAX(0.1,MIN(0.3,0.3-0.09*(AR415-36.8)))</f>
        <v/>
      </c>
      <c r="AT415">
        <f>AT414+(2*AR415-1.962*AT414-1.31)/9</f>
        <v/>
      </c>
      <c r="AU415">
        <f>AU414+AG415+K415</f>
        <v/>
      </c>
      <c r="AV415">
        <f>AU415*2.67*$B$6/1.8/60</f>
        <v/>
      </c>
      <c r="AW415">
        <f>IF(AT415&gt;=$B$36,1,0)</f>
        <v/>
      </c>
      <c r="AX415">
        <f>IF(AV415&gt;=$B$21,1,0)</f>
        <v/>
      </c>
    </row>
    <row r="416">
      <c r="A416" t="n">
        <v>343</v>
      </c>
      <c r="B416">
        <f>MATCH(A416-1,$D$61:$D$68,1)</f>
        <v/>
      </c>
      <c r="C416">
        <f>INDEX($G$61:$G$68,B416)</f>
        <v/>
      </c>
      <c r="D416">
        <f>INDEX($L$61:$L$68,B416)</f>
        <v/>
      </c>
      <c r="E416">
        <f>INDEX($M$61:$M$68,B416)</f>
        <v/>
      </c>
      <c r="F416">
        <f>INDEX($N$61:$N$68,B416)</f>
        <v/>
      </c>
      <c r="G416">
        <f>INDEX($AA$61:$AA$68,B416)</f>
        <v/>
      </c>
      <c r="H416">
        <f>INDEX($X$61:$X$68,B416)</f>
        <v/>
      </c>
      <c r="I416">
        <f>INDEX($AF$61:$AF$68,B416)</f>
        <v/>
      </c>
      <c r="J416">
        <f>INDEX($AC$61:$AC$68,B416)</f>
        <v/>
      </c>
      <c r="K416">
        <f>INDEX($AD$61:$AD$68,B416)</f>
        <v/>
      </c>
      <c r="L416">
        <f>INDEX($AG$61:$AG$68,B416)</f>
        <v/>
      </c>
      <c r="M416">
        <f>INDEX($AH$61:$AH$68,B416)</f>
        <v/>
      </c>
      <c r="N416">
        <f>INDEX($AI$61:$AI$68,B416)</f>
        <v/>
      </c>
      <c r="O416">
        <f>O415*$B$26+L416*(1-$B$26)</f>
        <v/>
      </c>
      <c r="P416">
        <f>$B$7*(O416-O415)*(1-AS415)</f>
        <v/>
      </c>
      <c r="Q416">
        <f>M416+0.51274*AT415</f>
        <v/>
      </c>
      <c r="R416">
        <f>N416+0.616*AT415</f>
        <v/>
      </c>
      <c r="S416">
        <f>IF($B$13&gt;=0.6,Q416,IF($B$13&lt;=0.2,R416,R416+2.5*(Q416-R416)*($B$13-0.2)))</f>
        <v/>
      </c>
      <c r="T416">
        <f>IF(A416=1,S416,T415*$B$27+S416*(1-$B$27))</f>
        <v/>
      </c>
      <c r="U416">
        <f>0.6105*EXP(17.27*T416/(T416+237.3))</f>
        <v/>
      </c>
      <c r="V416">
        <f>($B$14*(I416*C416+IF(ABS((D416+0.1)-D416)&lt;0.000000001,4*$B$19*$B$20*(D416+273)^3,$B$19*$B$20*(((D416+0.1)+273)^4-(D416+273)^4)/((D416+0.1)-D416))*D416)+T416/H416)/($B$14*(I416+IF(ABS((D416+0.1)-D416)&lt;0.000000001,4*$B$19*$B$20*(D416+273)^3,$B$19*$B$20*(((D416+0.1)+273)^4-(D416+273)^4)/((D416+0.1)-D416)))+1/H416)</f>
        <v/>
      </c>
      <c r="W416">
        <f>($B$14*(I416*C416+IF(ABS(V416-D416)&lt;0.000000001,4*$B$19*$B$20*(D416+273)^3,$B$19*$B$20*((V416+273)^4-(D416+273)^4)/(V416-D416))*D416)+T416/H416)/($B$14*(I416+IF(ABS(V416-D416)&lt;0.000000001,4*$B$19*$B$20*(D416+273)^3,$B$19*$B$20*((V416+273)^4-(D416+273)^4)/(V416-D416)))+1/H416)</f>
        <v/>
      </c>
      <c r="X416">
        <f>($B$14*(I416*C416+IF(ABS(W416-D416)&lt;0.000000001,4*$B$19*$B$20*(D416+273)^3,$B$19*$B$20*((W416+273)^4-(D416+273)^4)/(W416-D416))*D416)+T416/H416)/($B$14*(I416+IF(ABS(W416-D416)&lt;0.000000001,4*$B$19*$B$20*(D416+273)^3,$B$19*$B$20*((W416+273)^4-(D416+273)^4)/(W416-D416)))+1/H416)</f>
        <v/>
      </c>
      <c r="Y416">
        <f>($B$14*(I416*C416+IF(ABS(X416-D416)&lt;0.000000001,4*$B$19*$B$20*(D416+273)^3,$B$19*$B$20*((X416+273)^4-(D416+273)^4)/(X416-D416))*D416)+T416/H416)/($B$14*(I416+IF(ABS(X416-D416)&lt;0.000000001,4*$B$19*$B$20*(D416+273)^3,$B$19*$B$20*((X416+273)^4-(D416+273)^4)/(X416-D416)))+1/H416)</f>
        <v/>
      </c>
      <c r="Z416">
        <f>IF(ABS(Y416-D416)&lt;0.000000001,4*$B$19*$B$20*(D416+273)^3,$B$19*$B$20*((Y416+273)^4-(D416+273)^4)/(Y416-D416))</f>
        <v/>
      </c>
      <c r="AA416">
        <f>$B$14*I416*(Y416-C416)</f>
        <v/>
      </c>
      <c r="AB416">
        <f>$B$14*Z416*(Y416-D416)</f>
        <v/>
      </c>
      <c r="AC416">
        <f>IF((U416-E416)/G416=0,0.001,(U416-E416)/G416)</f>
        <v/>
      </c>
      <c r="AD416">
        <f>F416-P416-J416-K416-AA416-AB416</f>
        <v/>
      </c>
      <c r="AE416">
        <f>AD416/AC416</f>
        <v/>
      </c>
      <c r="AF416">
        <f>IF(AD416&lt;=0,0,IF(AC416&lt;=0,$B$11,IF(AE416&gt;=1.7,$B$11,MIN(AD416/MAX(0.05,IF(AE416&gt;1,(2-AE416)^2/2,1-AE416^2/2)),$B$11))))</f>
        <v/>
      </c>
      <c r="AG416">
        <f>AG415*$B$28+AF416*(1-$B$28)</f>
        <v/>
      </c>
      <c r="AH416">
        <f>IF(AND(AD416&gt;0,AC416&lt;=0),0,AC416)</f>
        <v/>
      </c>
      <c r="AI416">
        <f>AH416/MAX(AG416,0.000001)</f>
        <v/>
      </c>
      <c r="AJ416">
        <f>MIN(IF(AI416&gt;=0.5,-AI416+SQRT(AI416^2+2),1),$B$12)</f>
        <v/>
      </c>
      <c r="AK416">
        <f>IF(AG416&lt;=0,0,AJ416*AH416)</f>
        <v/>
      </c>
      <c r="AL416">
        <f>IF(AD416&lt;=0,0,AD416)</f>
        <v/>
      </c>
      <c r="AM416">
        <f>AL416-AK416+P416</f>
        <v/>
      </c>
      <c r="AN416">
        <f>((AM416/$B$7+T415*AS415/2-T416*MAX(0.1,MIN(0.3,0.3-0.09*(AR415-36.8)))/2)+AR415*(1-AS415/2))/(1-MAX(0.1,MIN(0.3,0.3-0.09*(AR415-36.8)))/2)</f>
        <v/>
      </c>
      <c r="AO416">
        <f>((AM416/$B$7+T415*AS415/2-T416*MAX(0.1,MIN(0.3,0.3-0.09*(AN416-36.8)))/2)+AR415*(1-AS415/2))/(1-MAX(0.1,MIN(0.3,0.3-0.09*(AN416-36.8)))/2)</f>
        <v/>
      </c>
      <c r="AP416">
        <f>((AM416/$B$7+T415*AS415/2-T416*MAX(0.1,MIN(0.3,0.3-0.09*(AO416-36.8)))/2)+AR415*(1-AS415/2))/(1-MAX(0.1,MIN(0.3,0.3-0.09*(AO416-36.8)))/2)</f>
        <v/>
      </c>
      <c r="AQ416">
        <f>((AM416/$B$7+T415*AS415/2-T416*MAX(0.1,MIN(0.3,0.3-0.09*(AP416-36.8)))/2)+AR415*(1-AS415/2))/(1-MAX(0.1,MIN(0.3,0.3-0.09*(AP416-36.8)))/2)</f>
        <v/>
      </c>
      <c r="AR416">
        <f>((AM416/$B$7+T415*AS415/2-T416*MAX(0.1,MIN(0.3,0.3-0.09*(AQ416-36.8)))/2)+AR415*(1-AS415/2))/(1-MAX(0.1,MIN(0.3,0.3-0.09*(AQ416-36.8)))/2)</f>
        <v/>
      </c>
      <c r="AS416">
        <f>MAX(0.1,MIN(0.3,0.3-0.09*(AR416-36.8)))</f>
        <v/>
      </c>
      <c r="AT416">
        <f>AT415+(2*AR416-1.962*AT415-1.31)/9</f>
        <v/>
      </c>
      <c r="AU416">
        <f>AU415+AG416+K416</f>
        <v/>
      </c>
      <c r="AV416">
        <f>AU416*2.67*$B$6/1.8/60</f>
        <v/>
      </c>
      <c r="AW416">
        <f>IF(AT416&gt;=$B$36,1,0)</f>
        <v/>
      </c>
      <c r="AX416">
        <f>IF(AV416&gt;=$B$21,1,0)</f>
        <v/>
      </c>
    </row>
    <row r="417">
      <c r="A417" t="n">
        <v>344</v>
      </c>
      <c r="B417">
        <f>MATCH(A417-1,$D$61:$D$68,1)</f>
        <v/>
      </c>
      <c r="C417">
        <f>INDEX($G$61:$G$68,B417)</f>
        <v/>
      </c>
      <c r="D417">
        <f>INDEX($L$61:$L$68,B417)</f>
        <v/>
      </c>
      <c r="E417">
        <f>INDEX($M$61:$M$68,B417)</f>
        <v/>
      </c>
      <c r="F417">
        <f>INDEX($N$61:$N$68,B417)</f>
        <v/>
      </c>
      <c r="G417">
        <f>INDEX($AA$61:$AA$68,B417)</f>
        <v/>
      </c>
      <c r="H417">
        <f>INDEX($X$61:$X$68,B417)</f>
        <v/>
      </c>
      <c r="I417">
        <f>INDEX($AF$61:$AF$68,B417)</f>
        <v/>
      </c>
      <c r="J417">
        <f>INDEX($AC$61:$AC$68,B417)</f>
        <v/>
      </c>
      <c r="K417">
        <f>INDEX($AD$61:$AD$68,B417)</f>
        <v/>
      </c>
      <c r="L417">
        <f>INDEX($AG$61:$AG$68,B417)</f>
        <v/>
      </c>
      <c r="M417">
        <f>INDEX($AH$61:$AH$68,B417)</f>
        <v/>
      </c>
      <c r="N417">
        <f>INDEX($AI$61:$AI$68,B417)</f>
        <v/>
      </c>
      <c r="O417">
        <f>O416*$B$26+L417*(1-$B$26)</f>
        <v/>
      </c>
      <c r="P417">
        <f>$B$7*(O417-O416)*(1-AS416)</f>
        <v/>
      </c>
      <c r="Q417">
        <f>M417+0.51274*AT416</f>
        <v/>
      </c>
      <c r="R417">
        <f>N417+0.616*AT416</f>
        <v/>
      </c>
      <c r="S417">
        <f>IF($B$13&gt;=0.6,Q417,IF($B$13&lt;=0.2,R417,R417+2.5*(Q417-R417)*($B$13-0.2)))</f>
        <v/>
      </c>
      <c r="T417">
        <f>IF(A417=1,S417,T416*$B$27+S417*(1-$B$27))</f>
        <v/>
      </c>
      <c r="U417">
        <f>0.6105*EXP(17.27*T417/(T417+237.3))</f>
        <v/>
      </c>
      <c r="V417">
        <f>($B$14*(I417*C417+IF(ABS((D417+0.1)-D417)&lt;0.000000001,4*$B$19*$B$20*(D417+273)^3,$B$19*$B$20*(((D417+0.1)+273)^4-(D417+273)^4)/((D417+0.1)-D417))*D417)+T417/H417)/($B$14*(I417+IF(ABS((D417+0.1)-D417)&lt;0.000000001,4*$B$19*$B$20*(D417+273)^3,$B$19*$B$20*(((D417+0.1)+273)^4-(D417+273)^4)/((D417+0.1)-D417)))+1/H417)</f>
        <v/>
      </c>
      <c r="W417">
        <f>($B$14*(I417*C417+IF(ABS(V417-D417)&lt;0.000000001,4*$B$19*$B$20*(D417+273)^3,$B$19*$B$20*((V417+273)^4-(D417+273)^4)/(V417-D417))*D417)+T417/H417)/($B$14*(I417+IF(ABS(V417-D417)&lt;0.000000001,4*$B$19*$B$20*(D417+273)^3,$B$19*$B$20*((V417+273)^4-(D417+273)^4)/(V417-D417)))+1/H417)</f>
        <v/>
      </c>
      <c r="X417">
        <f>($B$14*(I417*C417+IF(ABS(W417-D417)&lt;0.000000001,4*$B$19*$B$20*(D417+273)^3,$B$19*$B$20*((W417+273)^4-(D417+273)^4)/(W417-D417))*D417)+T417/H417)/($B$14*(I417+IF(ABS(W417-D417)&lt;0.000000001,4*$B$19*$B$20*(D417+273)^3,$B$19*$B$20*((W417+273)^4-(D417+273)^4)/(W417-D417)))+1/H417)</f>
        <v/>
      </c>
      <c r="Y417">
        <f>($B$14*(I417*C417+IF(ABS(X417-D417)&lt;0.000000001,4*$B$19*$B$20*(D417+273)^3,$B$19*$B$20*((X417+273)^4-(D417+273)^4)/(X417-D417))*D417)+T417/H417)/($B$14*(I417+IF(ABS(X417-D417)&lt;0.000000001,4*$B$19*$B$20*(D417+273)^3,$B$19*$B$20*((X417+273)^4-(D417+273)^4)/(X417-D417)))+1/H417)</f>
        <v/>
      </c>
      <c r="Z417">
        <f>IF(ABS(Y417-D417)&lt;0.000000001,4*$B$19*$B$20*(D417+273)^3,$B$19*$B$20*((Y417+273)^4-(D417+273)^4)/(Y417-D417))</f>
        <v/>
      </c>
      <c r="AA417">
        <f>$B$14*I417*(Y417-C417)</f>
        <v/>
      </c>
      <c r="AB417">
        <f>$B$14*Z417*(Y417-D417)</f>
        <v/>
      </c>
      <c r="AC417">
        <f>IF((U417-E417)/G417=0,0.001,(U417-E417)/G417)</f>
        <v/>
      </c>
      <c r="AD417">
        <f>F417-P417-J417-K417-AA417-AB417</f>
        <v/>
      </c>
      <c r="AE417">
        <f>AD417/AC417</f>
        <v/>
      </c>
      <c r="AF417">
        <f>IF(AD417&lt;=0,0,IF(AC417&lt;=0,$B$11,IF(AE417&gt;=1.7,$B$11,MIN(AD417/MAX(0.05,IF(AE417&gt;1,(2-AE417)^2/2,1-AE417^2/2)),$B$11))))</f>
        <v/>
      </c>
      <c r="AG417">
        <f>AG416*$B$28+AF417*(1-$B$28)</f>
        <v/>
      </c>
      <c r="AH417">
        <f>IF(AND(AD417&gt;0,AC417&lt;=0),0,AC417)</f>
        <v/>
      </c>
      <c r="AI417">
        <f>AH417/MAX(AG417,0.000001)</f>
        <v/>
      </c>
      <c r="AJ417">
        <f>MIN(IF(AI417&gt;=0.5,-AI417+SQRT(AI417^2+2),1),$B$12)</f>
        <v/>
      </c>
      <c r="AK417">
        <f>IF(AG417&lt;=0,0,AJ417*AH417)</f>
        <v/>
      </c>
      <c r="AL417">
        <f>IF(AD417&lt;=0,0,AD417)</f>
        <v/>
      </c>
      <c r="AM417">
        <f>AL417-AK417+P417</f>
        <v/>
      </c>
      <c r="AN417">
        <f>((AM417/$B$7+T416*AS416/2-T417*MAX(0.1,MIN(0.3,0.3-0.09*(AR416-36.8)))/2)+AR416*(1-AS416/2))/(1-MAX(0.1,MIN(0.3,0.3-0.09*(AR416-36.8)))/2)</f>
        <v/>
      </c>
      <c r="AO417">
        <f>((AM417/$B$7+T416*AS416/2-T417*MAX(0.1,MIN(0.3,0.3-0.09*(AN417-36.8)))/2)+AR416*(1-AS416/2))/(1-MAX(0.1,MIN(0.3,0.3-0.09*(AN417-36.8)))/2)</f>
        <v/>
      </c>
      <c r="AP417">
        <f>((AM417/$B$7+T416*AS416/2-T417*MAX(0.1,MIN(0.3,0.3-0.09*(AO417-36.8)))/2)+AR416*(1-AS416/2))/(1-MAX(0.1,MIN(0.3,0.3-0.09*(AO417-36.8)))/2)</f>
        <v/>
      </c>
      <c r="AQ417">
        <f>((AM417/$B$7+T416*AS416/2-T417*MAX(0.1,MIN(0.3,0.3-0.09*(AP417-36.8)))/2)+AR416*(1-AS416/2))/(1-MAX(0.1,MIN(0.3,0.3-0.09*(AP417-36.8)))/2)</f>
        <v/>
      </c>
      <c r="AR417">
        <f>((AM417/$B$7+T416*AS416/2-T417*MAX(0.1,MIN(0.3,0.3-0.09*(AQ417-36.8)))/2)+AR416*(1-AS416/2))/(1-MAX(0.1,MIN(0.3,0.3-0.09*(AQ417-36.8)))/2)</f>
        <v/>
      </c>
      <c r="AS417">
        <f>MAX(0.1,MIN(0.3,0.3-0.09*(AR417-36.8)))</f>
        <v/>
      </c>
      <c r="AT417">
        <f>AT416+(2*AR417-1.962*AT416-1.31)/9</f>
        <v/>
      </c>
      <c r="AU417">
        <f>AU416+AG417+K417</f>
        <v/>
      </c>
      <c r="AV417">
        <f>AU417*2.67*$B$6/1.8/60</f>
        <v/>
      </c>
      <c r="AW417">
        <f>IF(AT417&gt;=$B$36,1,0)</f>
        <v/>
      </c>
      <c r="AX417">
        <f>IF(AV417&gt;=$B$21,1,0)</f>
        <v/>
      </c>
    </row>
    <row r="418">
      <c r="A418" t="n">
        <v>345</v>
      </c>
      <c r="B418">
        <f>MATCH(A418-1,$D$61:$D$68,1)</f>
        <v/>
      </c>
      <c r="C418">
        <f>INDEX($G$61:$G$68,B418)</f>
        <v/>
      </c>
      <c r="D418">
        <f>INDEX($L$61:$L$68,B418)</f>
        <v/>
      </c>
      <c r="E418">
        <f>INDEX($M$61:$M$68,B418)</f>
        <v/>
      </c>
      <c r="F418">
        <f>INDEX($N$61:$N$68,B418)</f>
        <v/>
      </c>
      <c r="G418">
        <f>INDEX($AA$61:$AA$68,B418)</f>
        <v/>
      </c>
      <c r="H418">
        <f>INDEX($X$61:$X$68,B418)</f>
        <v/>
      </c>
      <c r="I418">
        <f>INDEX($AF$61:$AF$68,B418)</f>
        <v/>
      </c>
      <c r="J418">
        <f>INDEX($AC$61:$AC$68,B418)</f>
        <v/>
      </c>
      <c r="K418">
        <f>INDEX($AD$61:$AD$68,B418)</f>
        <v/>
      </c>
      <c r="L418">
        <f>INDEX($AG$61:$AG$68,B418)</f>
        <v/>
      </c>
      <c r="M418">
        <f>INDEX($AH$61:$AH$68,B418)</f>
        <v/>
      </c>
      <c r="N418">
        <f>INDEX($AI$61:$AI$68,B418)</f>
        <v/>
      </c>
      <c r="O418">
        <f>O417*$B$26+L418*(1-$B$26)</f>
        <v/>
      </c>
      <c r="P418">
        <f>$B$7*(O418-O417)*(1-AS417)</f>
        <v/>
      </c>
      <c r="Q418">
        <f>M418+0.51274*AT417</f>
        <v/>
      </c>
      <c r="R418">
        <f>N418+0.616*AT417</f>
        <v/>
      </c>
      <c r="S418">
        <f>IF($B$13&gt;=0.6,Q418,IF($B$13&lt;=0.2,R418,R418+2.5*(Q418-R418)*($B$13-0.2)))</f>
        <v/>
      </c>
      <c r="T418">
        <f>IF(A418=1,S418,T417*$B$27+S418*(1-$B$27))</f>
        <v/>
      </c>
      <c r="U418">
        <f>0.6105*EXP(17.27*T418/(T418+237.3))</f>
        <v/>
      </c>
      <c r="V418">
        <f>($B$14*(I418*C418+IF(ABS((D418+0.1)-D418)&lt;0.000000001,4*$B$19*$B$20*(D418+273)^3,$B$19*$B$20*(((D418+0.1)+273)^4-(D418+273)^4)/((D418+0.1)-D418))*D418)+T418/H418)/($B$14*(I418+IF(ABS((D418+0.1)-D418)&lt;0.000000001,4*$B$19*$B$20*(D418+273)^3,$B$19*$B$20*(((D418+0.1)+273)^4-(D418+273)^4)/((D418+0.1)-D418)))+1/H418)</f>
        <v/>
      </c>
      <c r="W418">
        <f>($B$14*(I418*C418+IF(ABS(V418-D418)&lt;0.000000001,4*$B$19*$B$20*(D418+273)^3,$B$19*$B$20*((V418+273)^4-(D418+273)^4)/(V418-D418))*D418)+T418/H418)/($B$14*(I418+IF(ABS(V418-D418)&lt;0.000000001,4*$B$19*$B$20*(D418+273)^3,$B$19*$B$20*((V418+273)^4-(D418+273)^4)/(V418-D418)))+1/H418)</f>
        <v/>
      </c>
      <c r="X418">
        <f>($B$14*(I418*C418+IF(ABS(W418-D418)&lt;0.000000001,4*$B$19*$B$20*(D418+273)^3,$B$19*$B$20*((W418+273)^4-(D418+273)^4)/(W418-D418))*D418)+T418/H418)/($B$14*(I418+IF(ABS(W418-D418)&lt;0.000000001,4*$B$19*$B$20*(D418+273)^3,$B$19*$B$20*((W418+273)^4-(D418+273)^4)/(W418-D418)))+1/H418)</f>
        <v/>
      </c>
      <c r="Y418">
        <f>($B$14*(I418*C418+IF(ABS(X418-D418)&lt;0.000000001,4*$B$19*$B$20*(D418+273)^3,$B$19*$B$20*((X418+273)^4-(D418+273)^4)/(X418-D418))*D418)+T418/H418)/($B$14*(I418+IF(ABS(X418-D418)&lt;0.000000001,4*$B$19*$B$20*(D418+273)^3,$B$19*$B$20*((X418+273)^4-(D418+273)^4)/(X418-D418)))+1/H418)</f>
        <v/>
      </c>
      <c r="Z418">
        <f>IF(ABS(Y418-D418)&lt;0.000000001,4*$B$19*$B$20*(D418+273)^3,$B$19*$B$20*((Y418+273)^4-(D418+273)^4)/(Y418-D418))</f>
        <v/>
      </c>
      <c r="AA418">
        <f>$B$14*I418*(Y418-C418)</f>
        <v/>
      </c>
      <c r="AB418">
        <f>$B$14*Z418*(Y418-D418)</f>
        <v/>
      </c>
      <c r="AC418">
        <f>IF((U418-E418)/G418=0,0.001,(U418-E418)/G418)</f>
        <v/>
      </c>
      <c r="AD418">
        <f>F418-P418-J418-K418-AA418-AB418</f>
        <v/>
      </c>
      <c r="AE418">
        <f>AD418/AC418</f>
        <v/>
      </c>
      <c r="AF418">
        <f>IF(AD418&lt;=0,0,IF(AC418&lt;=0,$B$11,IF(AE418&gt;=1.7,$B$11,MIN(AD418/MAX(0.05,IF(AE418&gt;1,(2-AE418)^2/2,1-AE418^2/2)),$B$11))))</f>
        <v/>
      </c>
      <c r="AG418">
        <f>AG417*$B$28+AF418*(1-$B$28)</f>
        <v/>
      </c>
      <c r="AH418">
        <f>IF(AND(AD418&gt;0,AC418&lt;=0),0,AC418)</f>
        <v/>
      </c>
      <c r="AI418">
        <f>AH418/MAX(AG418,0.000001)</f>
        <v/>
      </c>
      <c r="AJ418">
        <f>MIN(IF(AI418&gt;=0.5,-AI418+SQRT(AI418^2+2),1),$B$12)</f>
        <v/>
      </c>
      <c r="AK418">
        <f>IF(AG418&lt;=0,0,AJ418*AH418)</f>
        <v/>
      </c>
      <c r="AL418">
        <f>IF(AD418&lt;=0,0,AD418)</f>
        <v/>
      </c>
      <c r="AM418">
        <f>AL418-AK418+P418</f>
        <v/>
      </c>
      <c r="AN418">
        <f>((AM418/$B$7+T417*AS417/2-T418*MAX(0.1,MIN(0.3,0.3-0.09*(AR417-36.8)))/2)+AR417*(1-AS417/2))/(1-MAX(0.1,MIN(0.3,0.3-0.09*(AR417-36.8)))/2)</f>
        <v/>
      </c>
      <c r="AO418">
        <f>((AM418/$B$7+T417*AS417/2-T418*MAX(0.1,MIN(0.3,0.3-0.09*(AN418-36.8)))/2)+AR417*(1-AS417/2))/(1-MAX(0.1,MIN(0.3,0.3-0.09*(AN418-36.8)))/2)</f>
        <v/>
      </c>
      <c r="AP418">
        <f>((AM418/$B$7+T417*AS417/2-T418*MAX(0.1,MIN(0.3,0.3-0.09*(AO418-36.8)))/2)+AR417*(1-AS417/2))/(1-MAX(0.1,MIN(0.3,0.3-0.09*(AO418-36.8)))/2)</f>
        <v/>
      </c>
      <c r="AQ418">
        <f>((AM418/$B$7+T417*AS417/2-T418*MAX(0.1,MIN(0.3,0.3-0.09*(AP418-36.8)))/2)+AR417*(1-AS417/2))/(1-MAX(0.1,MIN(0.3,0.3-0.09*(AP418-36.8)))/2)</f>
        <v/>
      </c>
      <c r="AR418">
        <f>((AM418/$B$7+T417*AS417/2-T418*MAX(0.1,MIN(0.3,0.3-0.09*(AQ418-36.8)))/2)+AR417*(1-AS417/2))/(1-MAX(0.1,MIN(0.3,0.3-0.09*(AQ418-36.8)))/2)</f>
        <v/>
      </c>
      <c r="AS418">
        <f>MAX(0.1,MIN(0.3,0.3-0.09*(AR418-36.8)))</f>
        <v/>
      </c>
      <c r="AT418">
        <f>AT417+(2*AR418-1.962*AT417-1.31)/9</f>
        <v/>
      </c>
      <c r="AU418">
        <f>AU417+AG418+K418</f>
        <v/>
      </c>
      <c r="AV418">
        <f>AU418*2.67*$B$6/1.8/60</f>
        <v/>
      </c>
      <c r="AW418">
        <f>IF(AT418&gt;=$B$36,1,0)</f>
        <v/>
      </c>
      <c r="AX418">
        <f>IF(AV418&gt;=$B$21,1,0)</f>
        <v/>
      </c>
    </row>
    <row r="419">
      <c r="A419" t="n">
        <v>346</v>
      </c>
      <c r="B419">
        <f>MATCH(A419-1,$D$61:$D$68,1)</f>
        <v/>
      </c>
      <c r="C419">
        <f>INDEX($G$61:$G$68,B419)</f>
        <v/>
      </c>
      <c r="D419">
        <f>INDEX($L$61:$L$68,B419)</f>
        <v/>
      </c>
      <c r="E419">
        <f>INDEX($M$61:$M$68,B419)</f>
        <v/>
      </c>
      <c r="F419">
        <f>INDEX($N$61:$N$68,B419)</f>
        <v/>
      </c>
      <c r="G419">
        <f>INDEX($AA$61:$AA$68,B419)</f>
        <v/>
      </c>
      <c r="H419">
        <f>INDEX($X$61:$X$68,B419)</f>
        <v/>
      </c>
      <c r="I419">
        <f>INDEX($AF$61:$AF$68,B419)</f>
        <v/>
      </c>
      <c r="J419">
        <f>INDEX($AC$61:$AC$68,B419)</f>
        <v/>
      </c>
      <c r="K419">
        <f>INDEX($AD$61:$AD$68,B419)</f>
        <v/>
      </c>
      <c r="L419">
        <f>INDEX($AG$61:$AG$68,B419)</f>
        <v/>
      </c>
      <c r="M419">
        <f>INDEX($AH$61:$AH$68,B419)</f>
        <v/>
      </c>
      <c r="N419">
        <f>INDEX($AI$61:$AI$68,B419)</f>
        <v/>
      </c>
      <c r="O419">
        <f>O418*$B$26+L419*(1-$B$26)</f>
        <v/>
      </c>
      <c r="P419">
        <f>$B$7*(O419-O418)*(1-AS418)</f>
        <v/>
      </c>
      <c r="Q419">
        <f>M419+0.51274*AT418</f>
        <v/>
      </c>
      <c r="R419">
        <f>N419+0.616*AT418</f>
        <v/>
      </c>
      <c r="S419">
        <f>IF($B$13&gt;=0.6,Q419,IF($B$13&lt;=0.2,R419,R419+2.5*(Q419-R419)*($B$13-0.2)))</f>
        <v/>
      </c>
      <c r="T419">
        <f>IF(A419=1,S419,T418*$B$27+S419*(1-$B$27))</f>
        <v/>
      </c>
      <c r="U419">
        <f>0.6105*EXP(17.27*T419/(T419+237.3))</f>
        <v/>
      </c>
      <c r="V419">
        <f>($B$14*(I419*C419+IF(ABS((D419+0.1)-D419)&lt;0.000000001,4*$B$19*$B$20*(D419+273)^3,$B$19*$B$20*(((D419+0.1)+273)^4-(D419+273)^4)/((D419+0.1)-D419))*D419)+T419/H419)/($B$14*(I419+IF(ABS((D419+0.1)-D419)&lt;0.000000001,4*$B$19*$B$20*(D419+273)^3,$B$19*$B$20*(((D419+0.1)+273)^4-(D419+273)^4)/((D419+0.1)-D419)))+1/H419)</f>
        <v/>
      </c>
      <c r="W419">
        <f>($B$14*(I419*C419+IF(ABS(V419-D419)&lt;0.000000001,4*$B$19*$B$20*(D419+273)^3,$B$19*$B$20*((V419+273)^4-(D419+273)^4)/(V419-D419))*D419)+T419/H419)/($B$14*(I419+IF(ABS(V419-D419)&lt;0.000000001,4*$B$19*$B$20*(D419+273)^3,$B$19*$B$20*((V419+273)^4-(D419+273)^4)/(V419-D419)))+1/H419)</f>
        <v/>
      </c>
      <c r="X419">
        <f>($B$14*(I419*C419+IF(ABS(W419-D419)&lt;0.000000001,4*$B$19*$B$20*(D419+273)^3,$B$19*$B$20*((W419+273)^4-(D419+273)^4)/(W419-D419))*D419)+T419/H419)/($B$14*(I419+IF(ABS(W419-D419)&lt;0.000000001,4*$B$19*$B$20*(D419+273)^3,$B$19*$B$20*((W419+273)^4-(D419+273)^4)/(W419-D419)))+1/H419)</f>
        <v/>
      </c>
      <c r="Y419">
        <f>($B$14*(I419*C419+IF(ABS(X419-D419)&lt;0.000000001,4*$B$19*$B$20*(D419+273)^3,$B$19*$B$20*((X419+273)^4-(D419+273)^4)/(X419-D419))*D419)+T419/H419)/($B$14*(I419+IF(ABS(X419-D419)&lt;0.000000001,4*$B$19*$B$20*(D419+273)^3,$B$19*$B$20*((X419+273)^4-(D419+273)^4)/(X419-D419)))+1/H419)</f>
        <v/>
      </c>
      <c r="Z419">
        <f>IF(ABS(Y419-D419)&lt;0.000000001,4*$B$19*$B$20*(D419+273)^3,$B$19*$B$20*((Y419+273)^4-(D419+273)^4)/(Y419-D419))</f>
        <v/>
      </c>
      <c r="AA419">
        <f>$B$14*I419*(Y419-C419)</f>
        <v/>
      </c>
      <c r="AB419">
        <f>$B$14*Z419*(Y419-D419)</f>
        <v/>
      </c>
      <c r="AC419">
        <f>IF((U419-E419)/G419=0,0.001,(U419-E419)/G419)</f>
        <v/>
      </c>
      <c r="AD419">
        <f>F419-P419-J419-K419-AA419-AB419</f>
        <v/>
      </c>
      <c r="AE419">
        <f>AD419/AC419</f>
        <v/>
      </c>
      <c r="AF419">
        <f>IF(AD419&lt;=0,0,IF(AC419&lt;=0,$B$11,IF(AE419&gt;=1.7,$B$11,MIN(AD419/MAX(0.05,IF(AE419&gt;1,(2-AE419)^2/2,1-AE419^2/2)),$B$11))))</f>
        <v/>
      </c>
      <c r="AG419">
        <f>AG418*$B$28+AF419*(1-$B$28)</f>
        <v/>
      </c>
      <c r="AH419">
        <f>IF(AND(AD419&gt;0,AC419&lt;=0),0,AC419)</f>
        <v/>
      </c>
      <c r="AI419">
        <f>AH419/MAX(AG419,0.000001)</f>
        <v/>
      </c>
      <c r="AJ419">
        <f>MIN(IF(AI419&gt;=0.5,-AI419+SQRT(AI419^2+2),1),$B$12)</f>
        <v/>
      </c>
      <c r="AK419">
        <f>IF(AG419&lt;=0,0,AJ419*AH419)</f>
        <v/>
      </c>
      <c r="AL419">
        <f>IF(AD419&lt;=0,0,AD419)</f>
        <v/>
      </c>
      <c r="AM419">
        <f>AL419-AK419+P419</f>
        <v/>
      </c>
      <c r="AN419">
        <f>((AM419/$B$7+T418*AS418/2-T419*MAX(0.1,MIN(0.3,0.3-0.09*(AR418-36.8)))/2)+AR418*(1-AS418/2))/(1-MAX(0.1,MIN(0.3,0.3-0.09*(AR418-36.8)))/2)</f>
        <v/>
      </c>
      <c r="AO419">
        <f>((AM419/$B$7+T418*AS418/2-T419*MAX(0.1,MIN(0.3,0.3-0.09*(AN419-36.8)))/2)+AR418*(1-AS418/2))/(1-MAX(0.1,MIN(0.3,0.3-0.09*(AN419-36.8)))/2)</f>
        <v/>
      </c>
      <c r="AP419">
        <f>((AM419/$B$7+T418*AS418/2-T419*MAX(0.1,MIN(0.3,0.3-0.09*(AO419-36.8)))/2)+AR418*(1-AS418/2))/(1-MAX(0.1,MIN(0.3,0.3-0.09*(AO419-36.8)))/2)</f>
        <v/>
      </c>
      <c r="AQ419">
        <f>((AM419/$B$7+T418*AS418/2-T419*MAX(0.1,MIN(0.3,0.3-0.09*(AP419-36.8)))/2)+AR418*(1-AS418/2))/(1-MAX(0.1,MIN(0.3,0.3-0.09*(AP419-36.8)))/2)</f>
        <v/>
      </c>
      <c r="AR419">
        <f>((AM419/$B$7+T418*AS418/2-T419*MAX(0.1,MIN(0.3,0.3-0.09*(AQ419-36.8)))/2)+AR418*(1-AS418/2))/(1-MAX(0.1,MIN(0.3,0.3-0.09*(AQ419-36.8)))/2)</f>
        <v/>
      </c>
      <c r="AS419">
        <f>MAX(0.1,MIN(0.3,0.3-0.09*(AR419-36.8)))</f>
        <v/>
      </c>
      <c r="AT419">
        <f>AT418+(2*AR419-1.962*AT418-1.31)/9</f>
        <v/>
      </c>
      <c r="AU419">
        <f>AU418+AG419+K419</f>
        <v/>
      </c>
      <c r="AV419">
        <f>AU419*2.67*$B$6/1.8/60</f>
        <v/>
      </c>
      <c r="AW419">
        <f>IF(AT419&gt;=$B$36,1,0)</f>
        <v/>
      </c>
      <c r="AX419">
        <f>IF(AV419&gt;=$B$21,1,0)</f>
        <v/>
      </c>
    </row>
    <row r="420">
      <c r="A420" t="n">
        <v>347</v>
      </c>
      <c r="B420">
        <f>MATCH(A420-1,$D$61:$D$68,1)</f>
        <v/>
      </c>
      <c r="C420">
        <f>INDEX($G$61:$G$68,B420)</f>
        <v/>
      </c>
      <c r="D420">
        <f>INDEX($L$61:$L$68,B420)</f>
        <v/>
      </c>
      <c r="E420">
        <f>INDEX($M$61:$M$68,B420)</f>
        <v/>
      </c>
      <c r="F420">
        <f>INDEX($N$61:$N$68,B420)</f>
        <v/>
      </c>
      <c r="G420">
        <f>INDEX($AA$61:$AA$68,B420)</f>
        <v/>
      </c>
      <c r="H420">
        <f>INDEX($X$61:$X$68,B420)</f>
        <v/>
      </c>
      <c r="I420">
        <f>INDEX($AF$61:$AF$68,B420)</f>
        <v/>
      </c>
      <c r="J420">
        <f>INDEX($AC$61:$AC$68,B420)</f>
        <v/>
      </c>
      <c r="K420">
        <f>INDEX($AD$61:$AD$68,B420)</f>
        <v/>
      </c>
      <c r="L420">
        <f>INDEX($AG$61:$AG$68,B420)</f>
        <v/>
      </c>
      <c r="M420">
        <f>INDEX($AH$61:$AH$68,B420)</f>
        <v/>
      </c>
      <c r="N420">
        <f>INDEX($AI$61:$AI$68,B420)</f>
        <v/>
      </c>
      <c r="O420">
        <f>O419*$B$26+L420*(1-$B$26)</f>
        <v/>
      </c>
      <c r="P420">
        <f>$B$7*(O420-O419)*(1-AS419)</f>
        <v/>
      </c>
      <c r="Q420">
        <f>M420+0.51274*AT419</f>
        <v/>
      </c>
      <c r="R420">
        <f>N420+0.616*AT419</f>
        <v/>
      </c>
      <c r="S420">
        <f>IF($B$13&gt;=0.6,Q420,IF($B$13&lt;=0.2,R420,R420+2.5*(Q420-R420)*($B$13-0.2)))</f>
        <v/>
      </c>
      <c r="T420">
        <f>IF(A420=1,S420,T419*$B$27+S420*(1-$B$27))</f>
        <v/>
      </c>
      <c r="U420">
        <f>0.6105*EXP(17.27*T420/(T420+237.3))</f>
        <v/>
      </c>
      <c r="V420">
        <f>($B$14*(I420*C420+IF(ABS((D420+0.1)-D420)&lt;0.000000001,4*$B$19*$B$20*(D420+273)^3,$B$19*$B$20*(((D420+0.1)+273)^4-(D420+273)^4)/((D420+0.1)-D420))*D420)+T420/H420)/($B$14*(I420+IF(ABS((D420+0.1)-D420)&lt;0.000000001,4*$B$19*$B$20*(D420+273)^3,$B$19*$B$20*(((D420+0.1)+273)^4-(D420+273)^4)/((D420+0.1)-D420)))+1/H420)</f>
        <v/>
      </c>
      <c r="W420">
        <f>($B$14*(I420*C420+IF(ABS(V420-D420)&lt;0.000000001,4*$B$19*$B$20*(D420+273)^3,$B$19*$B$20*((V420+273)^4-(D420+273)^4)/(V420-D420))*D420)+T420/H420)/($B$14*(I420+IF(ABS(V420-D420)&lt;0.000000001,4*$B$19*$B$20*(D420+273)^3,$B$19*$B$20*((V420+273)^4-(D420+273)^4)/(V420-D420)))+1/H420)</f>
        <v/>
      </c>
      <c r="X420">
        <f>($B$14*(I420*C420+IF(ABS(W420-D420)&lt;0.000000001,4*$B$19*$B$20*(D420+273)^3,$B$19*$B$20*((W420+273)^4-(D420+273)^4)/(W420-D420))*D420)+T420/H420)/($B$14*(I420+IF(ABS(W420-D420)&lt;0.000000001,4*$B$19*$B$20*(D420+273)^3,$B$19*$B$20*((W420+273)^4-(D420+273)^4)/(W420-D420)))+1/H420)</f>
        <v/>
      </c>
      <c r="Y420">
        <f>($B$14*(I420*C420+IF(ABS(X420-D420)&lt;0.000000001,4*$B$19*$B$20*(D420+273)^3,$B$19*$B$20*((X420+273)^4-(D420+273)^4)/(X420-D420))*D420)+T420/H420)/($B$14*(I420+IF(ABS(X420-D420)&lt;0.000000001,4*$B$19*$B$20*(D420+273)^3,$B$19*$B$20*((X420+273)^4-(D420+273)^4)/(X420-D420)))+1/H420)</f>
        <v/>
      </c>
      <c r="Z420">
        <f>IF(ABS(Y420-D420)&lt;0.000000001,4*$B$19*$B$20*(D420+273)^3,$B$19*$B$20*((Y420+273)^4-(D420+273)^4)/(Y420-D420))</f>
        <v/>
      </c>
      <c r="AA420">
        <f>$B$14*I420*(Y420-C420)</f>
        <v/>
      </c>
      <c r="AB420">
        <f>$B$14*Z420*(Y420-D420)</f>
        <v/>
      </c>
      <c r="AC420">
        <f>IF((U420-E420)/G420=0,0.001,(U420-E420)/G420)</f>
        <v/>
      </c>
      <c r="AD420">
        <f>F420-P420-J420-K420-AA420-AB420</f>
        <v/>
      </c>
      <c r="AE420">
        <f>AD420/AC420</f>
        <v/>
      </c>
      <c r="AF420">
        <f>IF(AD420&lt;=0,0,IF(AC420&lt;=0,$B$11,IF(AE420&gt;=1.7,$B$11,MIN(AD420/MAX(0.05,IF(AE420&gt;1,(2-AE420)^2/2,1-AE420^2/2)),$B$11))))</f>
        <v/>
      </c>
      <c r="AG420">
        <f>AG419*$B$28+AF420*(1-$B$28)</f>
        <v/>
      </c>
      <c r="AH420">
        <f>IF(AND(AD420&gt;0,AC420&lt;=0),0,AC420)</f>
        <v/>
      </c>
      <c r="AI420">
        <f>AH420/MAX(AG420,0.000001)</f>
        <v/>
      </c>
      <c r="AJ420">
        <f>MIN(IF(AI420&gt;=0.5,-AI420+SQRT(AI420^2+2),1),$B$12)</f>
        <v/>
      </c>
      <c r="AK420">
        <f>IF(AG420&lt;=0,0,AJ420*AH420)</f>
        <v/>
      </c>
      <c r="AL420">
        <f>IF(AD420&lt;=0,0,AD420)</f>
        <v/>
      </c>
      <c r="AM420">
        <f>AL420-AK420+P420</f>
        <v/>
      </c>
      <c r="AN420">
        <f>((AM420/$B$7+T419*AS419/2-T420*MAX(0.1,MIN(0.3,0.3-0.09*(AR419-36.8)))/2)+AR419*(1-AS419/2))/(1-MAX(0.1,MIN(0.3,0.3-0.09*(AR419-36.8)))/2)</f>
        <v/>
      </c>
      <c r="AO420">
        <f>((AM420/$B$7+T419*AS419/2-T420*MAX(0.1,MIN(0.3,0.3-0.09*(AN420-36.8)))/2)+AR419*(1-AS419/2))/(1-MAX(0.1,MIN(0.3,0.3-0.09*(AN420-36.8)))/2)</f>
        <v/>
      </c>
      <c r="AP420">
        <f>((AM420/$B$7+T419*AS419/2-T420*MAX(0.1,MIN(0.3,0.3-0.09*(AO420-36.8)))/2)+AR419*(1-AS419/2))/(1-MAX(0.1,MIN(0.3,0.3-0.09*(AO420-36.8)))/2)</f>
        <v/>
      </c>
      <c r="AQ420">
        <f>((AM420/$B$7+T419*AS419/2-T420*MAX(0.1,MIN(0.3,0.3-0.09*(AP420-36.8)))/2)+AR419*(1-AS419/2))/(1-MAX(0.1,MIN(0.3,0.3-0.09*(AP420-36.8)))/2)</f>
        <v/>
      </c>
      <c r="AR420">
        <f>((AM420/$B$7+T419*AS419/2-T420*MAX(0.1,MIN(0.3,0.3-0.09*(AQ420-36.8)))/2)+AR419*(1-AS419/2))/(1-MAX(0.1,MIN(0.3,0.3-0.09*(AQ420-36.8)))/2)</f>
        <v/>
      </c>
      <c r="AS420">
        <f>MAX(0.1,MIN(0.3,0.3-0.09*(AR420-36.8)))</f>
        <v/>
      </c>
      <c r="AT420">
        <f>AT419+(2*AR420-1.962*AT419-1.31)/9</f>
        <v/>
      </c>
      <c r="AU420">
        <f>AU419+AG420+K420</f>
        <v/>
      </c>
      <c r="AV420">
        <f>AU420*2.67*$B$6/1.8/60</f>
        <v/>
      </c>
      <c r="AW420">
        <f>IF(AT420&gt;=$B$36,1,0)</f>
        <v/>
      </c>
      <c r="AX420">
        <f>IF(AV420&gt;=$B$21,1,0)</f>
        <v/>
      </c>
    </row>
    <row r="421">
      <c r="A421" t="n">
        <v>348</v>
      </c>
      <c r="B421">
        <f>MATCH(A421-1,$D$61:$D$68,1)</f>
        <v/>
      </c>
      <c r="C421">
        <f>INDEX($G$61:$G$68,B421)</f>
        <v/>
      </c>
      <c r="D421">
        <f>INDEX($L$61:$L$68,B421)</f>
        <v/>
      </c>
      <c r="E421">
        <f>INDEX($M$61:$M$68,B421)</f>
        <v/>
      </c>
      <c r="F421">
        <f>INDEX($N$61:$N$68,B421)</f>
        <v/>
      </c>
      <c r="G421">
        <f>INDEX($AA$61:$AA$68,B421)</f>
        <v/>
      </c>
      <c r="H421">
        <f>INDEX($X$61:$X$68,B421)</f>
        <v/>
      </c>
      <c r="I421">
        <f>INDEX($AF$61:$AF$68,B421)</f>
        <v/>
      </c>
      <c r="J421">
        <f>INDEX($AC$61:$AC$68,B421)</f>
        <v/>
      </c>
      <c r="K421">
        <f>INDEX($AD$61:$AD$68,B421)</f>
        <v/>
      </c>
      <c r="L421">
        <f>INDEX($AG$61:$AG$68,B421)</f>
        <v/>
      </c>
      <c r="M421">
        <f>INDEX($AH$61:$AH$68,B421)</f>
        <v/>
      </c>
      <c r="N421">
        <f>INDEX($AI$61:$AI$68,B421)</f>
        <v/>
      </c>
      <c r="O421">
        <f>O420*$B$26+L421*(1-$B$26)</f>
        <v/>
      </c>
      <c r="P421">
        <f>$B$7*(O421-O420)*(1-AS420)</f>
        <v/>
      </c>
      <c r="Q421">
        <f>M421+0.51274*AT420</f>
        <v/>
      </c>
      <c r="R421">
        <f>N421+0.616*AT420</f>
        <v/>
      </c>
      <c r="S421">
        <f>IF($B$13&gt;=0.6,Q421,IF($B$13&lt;=0.2,R421,R421+2.5*(Q421-R421)*($B$13-0.2)))</f>
        <v/>
      </c>
      <c r="T421">
        <f>IF(A421=1,S421,T420*$B$27+S421*(1-$B$27))</f>
        <v/>
      </c>
      <c r="U421">
        <f>0.6105*EXP(17.27*T421/(T421+237.3))</f>
        <v/>
      </c>
      <c r="V421">
        <f>($B$14*(I421*C421+IF(ABS((D421+0.1)-D421)&lt;0.000000001,4*$B$19*$B$20*(D421+273)^3,$B$19*$B$20*(((D421+0.1)+273)^4-(D421+273)^4)/((D421+0.1)-D421))*D421)+T421/H421)/($B$14*(I421+IF(ABS((D421+0.1)-D421)&lt;0.000000001,4*$B$19*$B$20*(D421+273)^3,$B$19*$B$20*(((D421+0.1)+273)^4-(D421+273)^4)/((D421+0.1)-D421)))+1/H421)</f>
        <v/>
      </c>
      <c r="W421">
        <f>($B$14*(I421*C421+IF(ABS(V421-D421)&lt;0.000000001,4*$B$19*$B$20*(D421+273)^3,$B$19*$B$20*((V421+273)^4-(D421+273)^4)/(V421-D421))*D421)+T421/H421)/($B$14*(I421+IF(ABS(V421-D421)&lt;0.000000001,4*$B$19*$B$20*(D421+273)^3,$B$19*$B$20*((V421+273)^4-(D421+273)^4)/(V421-D421)))+1/H421)</f>
        <v/>
      </c>
      <c r="X421">
        <f>($B$14*(I421*C421+IF(ABS(W421-D421)&lt;0.000000001,4*$B$19*$B$20*(D421+273)^3,$B$19*$B$20*((W421+273)^4-(D421+273)^4)/(W421-D421))*D421)+T421/H421)/($B$14*(I421+IF(ABS(W421-D421)&lt;0.000000001,4*$B$19*$B$20*(D421+273)^3,$B$19*$B$20*((W421+273)^4-(D421+273)^4)/(W421-D421)))+1/H421)</f>
        <v/>
      </c>
      <c r="Y421">
        <f>($B$14*(I421*C421+IF(ABS(X421-D421)&lt;0.000000001,4*$B$19*$B$20*(D421+273)^3,$B$19*$B$20*((X421+273)^4-(D421+273)^4)/(X421-D421))*D421)+T421/H421)/($B$14*(I421+IF(ABS(X421-D421)&lt;0.000000001,4*$B$19*$B$20*(D421+273)^3,$B$19*$B$20*((X421+273)^4-(D421+273)^4)/(X421-D421)))+1/H421)</f>
        <v/>
      </c>
      <c r="Z421">
        <f>IF(ABS(Y421-D421)&lt;0.000000001,4*$B$19*$B$20*(D421+273)^3,$B$19*$B$20*((Y421+273)^4-(D421+273)^4)/(Y421-D421))</f>
        <v/>
      </c>
      <c r="AA421">
        <f>$B$14*I421*(Y421-C421)</f>
        <v/>
      </c>
      <c r="AB421">
        <f>$B$14*Z421*(Y421-D421)</f>
        <v/>
      </c>
      <c r="AC421">
        <f>IF((U421-E421)/G421=0,0.001,(U421-E421)/G421)</f>
        <v/>
      </c>
      <c r="AD421">
        <f>F421-P421-J421-K421-AA421-AB421</f>
        <v/>
      </c>
      <c r="AE421">
        <f>AD421/AC421</f>
        <v/>
      </c>
      <c r="AF421">
        <f>IF(AD421&lt;=0,0,IF(AC421&lt;=0,$B$11,IF(AE421&gt;=1.7,$B$11,MIN(AD421/MAX(0.05,IF(AE421&gt;1,(2-AE421)^2/2,1-AE421^2/2)),$B$11))))</f>
        <v/>
      </c>
      <c r="AG421">
        <f>AG420*$B$28+AF421*(1-$B$28)</f>
        <v/>
      </c>
      <c r="AH421">
        <f>IF(AND(AD421&gt;0,AC421&lt;=0),0,AC421)</f>
        <v/>
      </c>
      <c r="AI421">
        <f>AH421/MAX(AG421,0.000001)</f>
        <v/>
      </c>
      <c r="AJ421">
        <f>MIN(IF(AI421&gt;=0.5,-AI421+SQRT(AI421^2+2),1),$B$12)</f>
        <v/>
      </c>
      <c r="AK421">
        <f>IF(AG421&lt;=0,0,AJ421*AH421)</f>
        <v/>
      </c>
      <c r="AL421">
        <f>IF(AD421&lt;=0,0,AD421)</f>
        <v/>
      </c>
      <c r="AM421">
        <f>AL421-AK421+P421</f>
        <v/>
      </c>
      <c r="AN421">
        <f>((AM421/$B$7+T420*AS420/2-T421*MAX(0.1,MIN(0.3,0.3-0.09*(AR420-36.8)))/2)+AR420*(1-AS420/2))/(1-MAX(0.1,MIN(0.3,0.3-0.09*(AR420-36.8)))/2)</f>
        <v/>
      </c>
      <c r="AO421">
        <f>((AM421/$B$7+T420*AS420/2-T421*MAX(0.1,MIN(0.3,0.3-0.09*(AN421-36.8)))/2)+AR420*(1-AS420/2))/(1-MAX(0.1,MIN(0.3,0.3-0.09*(AN421-36.8)))/2)</f>
        <v/>
      </c>
      <c r="AP421">
        <f>((AM421/$B$7+T420*AS420/2-T421*MAX(0.1,MIN(0.3,0.3-0.09*(AO421-36.8)))/2)+AR420*(1-AS420/2))/(1-MAX(0.1,MIN(0.3,0.3-0.09*(AO421-36.8)))/2)</f>
        <v/>
      </c>
      <c r="AQ421">
        <f>((AM421/$B$7+T420*AS420/2-T421*MAX(0.1,MIN(0.3,0.3-0.09*(AP421-36.8)))/2)+AR420*(1-AS420/2))/(1-MAX(0.1,MIN(0.3,0.3-0.09*(AP421-36.8)))/2)</f>
        <v/>
      </c>
      <c r="AR421">
        <f>((AM421/$B$7+T420*AS420/2-T421*MAX(0.1,MIN(0.3,0.3-0.09*(AQ421-36.8)))/2)+AR420*(1-AS420/2))/(1-MAX(0.1,MIN(0.3,0.3-0.09*(AQ421-36.8)))/2)</f>
        <v/>
      </c>
      <c r="AS421">
        <f>MAX(0.1,MIN(0.3,0.3-0.09*(AR421-36.8)))</f>
        <v/>
      </c>
      <c r="AT421">
        <f>AT420+(2*AR421-1.962*AT420-1.31)/9</f>
        <v/>
      </c>
      <c r="AU421">
        <f>AU420+AG421+K421</f>
        <v/>
      </c>
      <c r="AV421">
        <f>AU421*2.67*$B$6/1.8/60</f>
        <v/>
      </c>
      <c r="AW421">
        <f>IF(AT421&gt;=$B$36,1,0)</f>
        <v/>
      </c>
      <c r="AX421">
        <f>IF(AV421&gt;=$B$21,1,0)</f>
        <v/>
      </c>
    </row>
    <row r="422">
      <c r="A422" t="n">
        <v>349</v>
      </c>
      <c r="B422">
        <f>MATCH(A422-1,$D$61:$D$68,1)</f>
        <v/>
      </c>
      <c r="C422">
        <f>INDEX($G$61:$G$68,B422)</f>
        <v/>
      </c>
      <c r="D422">
        <f>INDEX($L$61:$L$68,B422)</f>
        <v/>
      </c>
      <c r="E422">
        <f>INDEX($M$61:$M$68,B422)</f>
        <v/>
      </c>
      <c r="F422">
        <f>INDEX($N$61:$N$68,B422)</f>
        <v/>
      </c>
      <c r="G422">
        <f>INDEX($AA$61:$AA$68,B422)</f>
        <v/>
      </c>
      <c r="H422">
        <f>INDEX($X$61:$X$68,B422)</f>
        <v/>
      </c>
      <c r="I422">
        <f>INDEX($AF$61:$AF$68,B422)</f>
        <v/>
      </c>
      <c r="J422">
        <f>INDEX($AC$61:$AC$68,B422)</f>
        <v/>
      </c>
      <c r="K422">
        <f>INDEX($AD$61:$AD$68,B422)</f>
        <v/>
      </c>
      <c r="L422">
        <f>INDEX($AG$61:$AG$68,B422)</f>
        <v/>
      </c>
      <c r="M422">
        <f>INDEX($AH$61:$AH$68,B422)</f>
        <v/>
      </c>
      <c r="N422">
        <f>INDEX($AI$61:$AI$68,B422)</f>
        <v/>
      </c>
      <c r="O422">
        <f>O421*$B$26+L422*(1-$B$26)</f>
        <v/>
      </c>
      <c r="P422">
        <f>$B$7*(O422-O421)*(1-AS421)</f>
        <v/>
      </c>
      <c r="Q422">
        <f>M422+0.51274*AT421</f>
        <v/>
      </c>
      <c r="R422">
        <f>N422+0.616*AT421</f>
        <v/>
      </c>
      <c r="S422">
        <f>IF($B$13&gt;=0.6,Q422,IF($B$13&lt;=0.2,R422,R422+2.5*(Q422-R422)*($B$13-0.2)))</f>
        <v/>
      </c>
      <c r="T422">
        <f>IF(A422=1,S422,T421*$B$27+S422*(1-$B$27))</f>
        <v/>
      </c>
      <c r="U422">
        <f>0.6105*EXP(17.27*T422/(T422+237.3))</f>
        <v/>
      </c>
      <c r="V422">
        <f>($B$14*(I422*C422+IF(ABS((D422+0.1)-D422)&lt;0.000000001,4*$B$19*$B$20*(D422+273)^3,$B$19*$B$20*(((D422+0.1)+273)^4-(D422+273)^4)/((D422+0.1)-D422))*D422)+T422/H422)/($B$14*(I422+IF(ABS((D422+0.1)-D422)&lt;0.000000001,4*$B$19*$B$20*(D422+273)^3,$B$19*$B$20*(((D422+0.1)+273)^4-(D422+273)^4)/((D422+0.1)-D422)))+1/H422)</f>
        <v/>
      </c>
      <c r="W422">
        <f>($B$14*(I422*C422+IF(ABS(V422-D422)&lt;0.000000001,4*$B$19*$B$20*(D422+273)^3,$B$19*$B$20*((V422+273)^4-(D422+273)^4)/(V422-D422))*D422)+T422/H422)/($B$14*(I422+IF(ABS(V422-D422)&lt;0.000000001,4*$B$19*$B$20*(D422+273)^3,$B$19*$B$20*((V422+273)^4-(D422+273)^4)/(V422-D422)))+1/H422)</f>
        <v/>
      </c>
      <c r="X422">
        <f>($B$14*(I422*C422+IF(ABS(W422-D422)&lt;0.000000001,4*$B$19*$B$20*(D422+273)^3,$B$19*$B$20*((W422+273)^4-(D422+273)^4)/(W422-D422))*D422)+T422/H422)/($B$14*(I422+IF(ABS(W422-D422)&lt;0.000000001,4*$B$19*$B$20*(D422+273)^3,$B$19*$B$20*((W422+273)^4-(D422+273)^4)/(W422-D422)))+1/H422)</f>
        <v/>
      </c>
      <c r="Y422">
        <f>($B$14*(I422*C422+IF(ABS(X422-D422)&lt;0.000000001,4*$B$19*$B$20*(D422+273)^3,$B$19*$B$20*((X422+273)^4-(D422+273)^4)/(X422-D422))*D422)+T422/H422)/($B$14*(I422+IF(ABS(X422-D422)&lt;0.000000001,4*$B$19*$B$20*(D422+273)^3,$B$19*$B$20*((X422+273)^4-(D422+273)^4)/(X422-D422)))+1/H422)</f>
        <v/>
      </c>
      <c r="Z422">
        <f>IF(ABS(Y422-D422)&lt;0.000000001,4*$B$19*$B$20*(D422+273)^3,$B$19*$B$20*((Y422+273)^4-(D422+273)^4)/(Y422-D422))</f>
        <v/>
      </c>
      <c r="AA422">
        <f>$B$14*I422*(Y422-C422)</f>
        <v/>
      </c>
      <c r="AB422">
        <f>$B$14*Z422*(Y422-D422)</f>
        <v/>
      </c>
      <c r="AC422">
        <f>IF((U422-E422)/G422=0,0.001,(U422-E422)/G422)</f>
        <v/>
      </c>
      <c r="AD422">
        <f>F422-P422-J422-K422-AA422-AB422</f>
        <v/>
      </c>
      <c r="AE422">
        <f>AD422/AC422</f>
        <v/>
      </c>
      <c r="AF422">
        <f>IF(AD422&lt;=0,0,IF(AC422&lt;=0,$B$11,IF(AE422&gt;=1.7,$B$11,MIN(AD422/MAX(0.05,IF(AE422&gt;1,(2-AE422)^2/2,1-AE422^2/2)),$B$11))))</f>
        <v/>
      </c>
      <c r="AG422">
        <f>AG421*$B$28+AF422*(1-$B$28)</f>
        <v/>
      </c>
      <c r="AH422">
        <f>IF(AND(AD422&gt;0,AC422&lt;=0),0,AC422)</f>
        <v/>
      </c>
      <c r="AI422">
        <f>AH422/MAX(AG422,0.000001)</f>
        <v/>
      </c>
      <c r="AJ422">
        <f>MIN(IF(AI422&gt;=0.5,-AI422+SQRT(AI422^2+2),1),$B$12)</f>
        <v/>
      </c>
      <c r="AK422">
        <f>IF(AG422&lt;=0,0,AJ422*AH422)</f>
        <v/>
      </c>
      <c r="AL422">
        <f>IF(AD422&lt;=0,0,AD422)</f>
        <v/>
      </c>
      <c r="AM422">
        <f>AL422-AK422+P422</f>
        <v/>
      </c>
      <c r="AN422">
        <f>((AM422/$B$7+T421*AS421/2-T422*MAX(0.1,MIN(0.3,0.3-0.09*(AR421-36.8)))/2)+AR421*(1-AS421/2))/(1-MAX(0.1,MIN(0.3,0.3-0.09*(AR421-36.8)))/2)</f>
        <v/>
      </c>
      <c r="AO422">
        <f>((AM422/$B$7+T421*AS421/2-T422*MAX(0.1,MIN(0.3,0.3-0.09*(AN422-36.8)))/2)+AR421*(1-AS421/2))/(1-MAX(0.1,MIN(0.3,0.3-0.09*(AN422-36.8)))/2)</f>
        <v/>
      </c>
      <c r="AP422">
        <f>((AM422/$B$7+T421*AS421/2-T422*MAX(0.1,MIN(0.3,0.3-0.09*(AO422-36.8)))/2)+AR421*(1-AS421/2))/(1-MAX(0.1,MIN(0.3,0.3-0.09*(AO422-36.8)))/2)</f>
        <v/>
      </c>
      <c r="AQ422">
        <f>((AM422/$B$7+T421*AS421/2-T422*MAX(0.1,MIN(0.3,0.3-0.09*(AP422-36.8)))/2)+AR421*(1-AS421/2))/(1-MAX(0.1,MIN(0.3,0.3-0.09*(AP422-36.8)))/2)</f>
        <v/>
      </c>
      <c r="AR422">
        <f>((AM422/$B$7+T421*AS421/2-T422*MAX(0.1,MIN(0.3,0.3-0.09*(AQ422-36.8)))/2)+AR421*(1-AS421/2))/(1-MAX(0.1,MIN(0.3,0.3-0.09*(AQ422-36.8)))/2)</f>
        <v/>
      </c>
      <c r="AS422">
        <f>MAX(0.1,MIN(0.3,0.3-0.09*(AR422-36.8)))</f>
        <v/>
      </c>
      <c r="AT422">
        <f>AT421+(2*AR422-1.962*AT421-1.31)/9</f>
        <v/>
      </c>
      <c r="AU422">
        <f>AU421+AG422+K422</f>
        <v/>
      </c>
      <c r="AV422">
        <f>AU422*2.67*$B$6/1.8/60</f>
        <v/>
      </c>
      <c r="AW422">
        <f>IF(AT422&gt;=$B$36,1,0)</f>
        <v/>
      </c>
      <c r="AX422">
        <f>IF(AV422&gt;=$B$21,1,0)</f>
        <v/>
      </c>
    </row>
    <row r="423">
      <c r="A423" t="n">
        <v>350</v>
      </c>
      <c r="B423">
        <f>MATCH(A423-1,$D$61:$D$68,1)</f>
        <v/>
      </c>
      <c r="C423">
        <f>INDEX($G$61:$G$68,B423)</f>
        <v/>
      </c>
      <c r="D423">
        <f>INDEX($L$61:$L$68,B423)</f>
        <v/>
      </c>
      <c r="E423">
        <f>INDEX($M$61:$M$68,B423)</f>
        <v/>
      </c>
      <c r="F423">
        <f>INDEX($N$61:$N$68,B423)</f>
        <v/>
      </c>
      <c r="G423">
        <f>INDEX($AA$61:$AA$68,B423)</f>
        <v/>
      </c>
      <c r="H423">
        <f>INDEX($X$61:$X$68,B423)</f>
        <v/>
      </c>
      <c r="I423">
        <f>INDEX($AF$61:$AF$68,B423)</f>
        <v/>
      </c>
      <c r="J423">
        <f>INDEX($AC$61:$AC$68,B423)</f>
        <v/>
      </c>
      <c r="K423">
        <f>INDEX($AD$61:$AD$68,B423)</f>
        <v/>
      </c>
      <c r="L423">
        <f>INDEX($AG$61:$AG$68,B423)</f>
        <v/>
      </c>
      <c r="M423">
        <f>INDEX($AH$61:$AH$68,B423)</f>
        <v/>
      </c>
      <c r="N423">
        <f>INDEX($AI$61:$AI$68,B423)</f>
        <v/>
      </c>
      <c r="O423">
        <f>O422*$B$26+L423*(1-$B$26)</f>
        <v/>
      </c>
      <c r="P423">
        <f>$B$7*(O423-O422)*(1-AS422)</f>
        <v/>
      </c>
      <c r="Q423">
        <f>M423+0.51274*AT422</f>
        <v/>
      </c>
      <c r="R423">
        <f>N423+0.616*AT422</f>
        <v/>
      </c>
      <c r="S423">
        <f>IF($B$13&gt;=0.6,Q423,IF($B$13&lt;=0.2,R423,R423+2.5*(Q423-R423)*($B$13-0.2)))</f>
        <v/>
      </c>
      <c r="T423">
        <f>IF(A423=1,S423,T422*$B$27+S423*(1-$B$27))</f>
        <v/>
      </c>
      <c r="U423">
        <f>0.6105*EXP(17.27*T423/(T423+237.3))</f>
        <v/>
      </c>
      <c r="V423">
        <f>($B$14*(I423*C423+IF(ABS((D423+0.1)-D423)&lt;0.000000001,4*$B$19*$B$20*(D423+273)^3,$B$19*$B$20*(((D423+0.1)+273)^4-(D423+273)^4)/((D423+0.1)-D423))*D423)+T423/H423)/($B$14*(I423+IF(ABS((D423+0.1)-D423)&lt;0.000000001,4*$B$19*$B$20*(D423+273)^3,$B$19*$B$20*(((D423+0.1)+273)^4-(D423+273)^4)/((D423+0.1)-D423)))+1/H423)</f>
        <v/>
      </c>
      <c r="W423">
        <f>($B$14*(I423*C423+IF(ABS(V423-D423)&lt;0.000000001,4*$B$19*$B$20*(D423+273)^3,$B$19*$B$20*((V423+273)^4-(D423+273)^4)/(V423-D423))*D423)+T423/H423)/($B$14*(I423+IF(ABS(V423-D423)&lt;0.000000001,4*$B$19*$B$20*(D423+273)^3,$B$19*$B$20*((V423+273)^4-(D423+273)^4)/(V423-D423)))+1/H423)</f>
        <v/>
      </c>
      <c r="X423">
        <f>($B$14*(I423*C423+IF(ABS(W423-D423)&lt;0.000000001,4*$B$19*$B$20*(D423+273)^3,$B$19*$B$20*((W423+273)^4-(D423+273)^4)/(W423-D423))*D423)+T423/H423)/($B$14*(I423+IF(ABS(W423-D423)&lt;0.000000001,4*$B$19*$B$20*(D423+273)^3,$B$19*$B$20*((W423+273)^4-(D423+273)^4)/(W423-D423)))+1/H423)</f>
        <v/>
      </c>
      <c r="Y423">
        <f>($B$14*(I423*C423+IF(ABS(X423-D423)&lt;0.000000001,4*$B$19*$B$20*(D423+273)^3,$B$19*$B$20*((X423+273)^4-(D423+273)^4)/(X423-D423))*D423)+T423/H423)/($B$14*(I423+IF(ABS(X423-D423)&lt;0.000000001,4*$B$19*$B$20*(D423+273)^3,$B$19*$B$20*((X423+273)^4-(D423+273)^4)/(X423-D423)))+1/H423)</f>
        <v/>
      </c>
      <c r="Z423">
        <f>IF(ABS(Y423-D423)&lt;0.000000001,4*$B$19*$B$20*(D423+273)^3,$B$19*$B$20*((Y423+273)^4-(D423+273)^4)/(Y423-D423))</f>
        <v/>
      </c>
      <c r="AA423">
        <f>$B$14*I423*(Y423-C423)</f>
        <v/>
      </c>
      <c r="AB423">
        <f>$B$14*Z423*(Y423-D423)</f>
        <v/>
      </c>
      <c r="AC423">
        <f>IF((U423-E423)/G423=0,0.001,(U423-E423)/G423)</f>
        <v/>
      </c>
      <c r="AD423">
        <f>F423-P423-J423-K423-AA423-AB423</f>
        <v/>
      </c>
      <c r="AE423">
        <f>AD423/AC423</f>
        <v/>
      </c>
      <c r="AF423">
        <f>IF(AD423&lt;=0,0,IF(AC423&lt;=0,$B$11,IF(AE423&gt;=1.7,$B$11,MIN(AD423/MAX(0.05,IF(AE423&gt;1,(2-AE423)^2/2,1-AE423^2/2)),$B$11))))</f>
        <v/>
      </c>
      <c r="AG423">
        <f>AG422*$B$28+AF423*(1-$B$28)</f>
        <v/>
      </c>
      <c r="AH423">
        <f>IF(AND(AD423&gt;0,AC423&lt;=0),0,AC423)</f>
        <v/>
      </c>
      <c r="AI423">
        <f>AH423/MAX(AG423,0.000001)</f>
        <v/>
      </c>
      <c r="AJ423">
        <f>MIN(IF(AI423&gt;=0.5,-AI423+SQRT(AI423^2+2),1),$B$12)</f>
        <v/>
      </c>
      <c r="AK423">
        <f>IF(AG423&lt;=0,0,AJ423*AH423)</f>
        <v/>
      </c>
      <c r="AL423">
        <f>IF(AD423&lt;=0,0,AD423)</f>
        <v/>
      </c>
      <c r="AM423">
        <f>AL423-AK423+P423</f>
        <v/>
      </c>
      <c r="AN423">
        <f>((AM423/$B$7+T422*AS422/2-T423*MAX(0.1,MIN(0.3,0.3-0.09*(AR422-36.8)))/2)+AR422*(1-AS422/2))/(1-MAX(0.1,MIN(0.3,0.3-0.09*(AR422-36.8)))/2)</f>
        <v/>
      </c>
      <c r="AO423">
        <f>((AM423/$B$7+T422*AS422/2-T423*MAX(0.1,MIN(0.3,0.3-0.09*(AN423-36.8)))/2)+AR422*(1-AS422/2))/(1-MAX(0.1,MIN(0.3,0.3-0.09*(AN423-36.8)))/2)</f>
        <v/>
      </c>
      <c r="AP423">
        <f>((AM423/$B$7+T422*AS422/2-T423*MAX(0.1,MIN(0.3,0.3-0.09*(AO423-36.8)))/2)+AR422*(1-AS422/2))/(1-MAX(0.1,MIN(0.3,0.3-0.09*(AO423-36.8)))/2)</f>
        <v/>
      </c>
      <c r="AQ423">
        <f>((AM423/$B$7+T422*AS422/2-T423*MAX(0.1,MIN(0.3,0.3-0.09*(AP423-36.8)))/2)+AR422*(1-AS422/2))/(1-MAX(0.1,MIN(0.3,0.3-0.09*(AP423-36.8)))/2)</f>
        <v/>
      </c>
      <c r="AR423">
        <f>((AM423/$B$7+T422*AS422/2-T423*MAX(0.1,MIN(0.3,0.3-0.09*(AQ423-36.8)))/2)+AR422*(1-AS422/2))/(1-MAX(0.1,MIN(0.3,0.3-0.09*(AQ423-36.8)))/2)</f>
        <v/>
      </c>
      <c r="AS423">
        <f>MAX(0.1,MIN(0.3,0.3-0.09*(AR423-36.8)))</f>
        <v/>
      </c>
      <c r="AT423">
        <f>AT422+(2*AR423-1.962*AT422-1.31)/9</f>
        <v/>
      </c>
      <c r="AU423">
        <f>AU422+AG423+K423</f>
        <v/>
      </c>
      <c r="AV423">
        <f>AU423*2.67*$B$6/1.8/60</f>
        <v/>
      </c>
      <c r="AW423">
        <f>IF(AT423&gt;=$B$36,1,0)</f>
        <v/>
      </c>
      <c r="AX423">
        <f>IF(AV423&gt;=$B$21,1,0)</f>
        <v/>
      </c>
    </row>
    <row r="424">
      <c r="A424" t="n">
        <v>351</v>
      </c>
      <c r="B424">
        <f>MATCH(A424-1,$D$61:$D$68,1)</f>
        <v/>
      </c>
      <c r="C424">
        <f>INDEX($G$61:$G$68,B424)</f>
        <v/>
      </c>
      <c r="D424">
        <f>INDEX($L$61:$L$68,B424)</f>
        <v/>
      </c>
      <c r="E424">
        <f>INDEX($M$61:$M$68,B424)</f>
        <v/>
      </c>
      <c r="F424">
        <f>INDEX($N$61:$N$68,B424)</f>
        <v/>
      </c>
      <c r="G424">
        <f>INDEX($AA$61:$AA$68,B424)</f>
        <v/>
      </c>
      <c r="H424">
        <f>INDEX($X$61:$X$68,B424)</f>
        <v/>
      </c>
      <c r="I424">
        <f>INDEX($AF$61:$AF$68,B424)</f>
        <v/>
      </c>
      <c r="J424">
        <f>INDEX($AC$61:$AC$68,B424)</f>
        <v/>
      </c>
      <c r="K424">
        <f>INDEX($AD$61:$AD$68,B424)</f>
        <v/>
      </c>
      <c r="L424">
        <f>INDEX($AG$61:$AG$68,B424)</f>
        <v/>
      </c>
      <c r="M424">
        <f>INDEX($AH$61:$AH$68,B424)</f>
        <v/>
      </c>
      <c r="N424">
        <f>INDEX($AI$61:$AI$68,B424)</f>
        <v/>
      </c>
      <c r="O424">
        <f>O423*$B$26+L424*(1-$B$26)</f>
        <v/>
      </c>
      <c r="P424">
        <f>$B$7*(O424-O423)*(1-AS423)</f>
        <v/>
      </c>
      <c r="Q424">
        <f>M424+0.51274*AT423</f>
        <v/>
      </c>
      <c r="R424">
        <f>N424+0.616*AT423</f>
        <v/>
      </c>
      <c r="S424">
        <f>IF($B$13&gt;=0.6,Q424,IF($B$13&lt;=0.2,R424,R424+2.5*(Q424-R424)*($B$13-0.2)))</f>
        <v/>
      </c>
      <c r="T424">
        <f>IF(A424=1,S424,T423*$B$27+S424*(1-$B$27))</f>
        <v/>
      </c>
      <c r="U424">
        <f>0.6105*EXP(17.27*T424/(T424+237.3))</f>
        <v/>
      </c>
      <c r="V424">
        <f>($B$14*(I424*C424+IF(ABS((D424+0.1)-D424)&lt;0.000000001,4*$B$19*$B$20*(D424+273)^3,$B$19*$B$20*(((D424+0.1)+273)^4-(D424+273)^4)/((D424+0.1)-D424))*D424)+T424/H424)/($B$14*(I424+IF(ABS((D424+0.1)-D424)&lt;0.000000001,4*$B$19*$B$20*(D424+273)^3,$B$19*$B$20*(((D424+0.1)+273)^4-(D424+273)^4)/((D424+0.1)-D424)))+1/H424)</f>
        <v/>
      </c>
      <c r="W424">
        <f>($B$14*(I424*C424+IF(ABS(V424-D424)&lt;0.000000001,4*$B$19*$B$20*(D424+273)^3,$B$19*$B$20*((V424+273)^4-(D424+273)^4)/(V424-D424))*D424)+T424/H424)/($B$14*(I424+IF(ABS(V424-D424)&lt;0.000000001,4*$B$19*$B$20*(D424+273)^3,$B$19*$B$20*((V424+273)^4-(D424+273)^4)/(V424-D424)))+1/H424)</f>
        <v/>
      </c>
      <c r="X424">
        <f>($B$14*(I424*C424+IF(ABS(W424-D424)&lt;0.000000001,4*$B$19*$B$20*(D424+273)^3,$B$19*$B$20*((W424+273)^4-(D424+273)^4)/(W424-D424))*D424)+T424/H424)/($B$14*(I424+IF(ABS(W424-D424)&lt;0.000000001,4*$B$19*$B$20*(D424+273)^3,$B$19*$B$20*((W424+273)^4-(D424+273)^4)/(W424-D424)))+1/H424)</f>
        <v/>
      </c>
      <c r="Y424">
        <f>($B$14*(I424*C424+IF(ABS(X424-D424)&lt;0.000000001,4*$B$19*$B$20*(D424+273)^3,$B$19*$B$20*((X424+273)^4-(D424+273)^4)/(X424-D424))*D424)+T424/H424)/($B$14*(I424+IF(ABS(X424-D424)&lt;0.000000001,4*$B$19*$B$20*(D424+273)^3,$B$19*$B$20*((X424+273)^4-(D424+273)^4)/(X424-D424)))+1/H424)</f>
        <v/>
      </c>
      <c r="Z424">
        <f>IF(ABS(Y424-D424)&lt;0.000000001,4*$B$19*$B$20*(D424+273)^3,$B$19*$B$20*((Y424+273)^4-(D424+273)^4)/(Y424-D424))</f>
        <v/>
      </c>
      <c r="AA424">
        <f>$B$14*I424*(Y424-C424)</f>
        <v/>
      </c>
      <c r="AB424">
        <f>$B$14*Z424*(Y424-D424)</f>
        <v/>
      </c>
      <c r="AC424">
        <f>IF((U424-E424)/G424=0,0.001,(U424-E424)/G424)</f>
        <v/>
      </c>
      <c r="AD424">
        <f>F424-P424-J424-K424-AA424-AB424</f>
        <v/>
      </c>
      <c r="AE424">
        <f>AD424/AC424</f>
        <v/>
      </c>
      <c r="AF424">
        <f>IF(AD424&lt;=0,0,IF(AC424&lt;=0,$B$11,IF(AE424&gt;=1.7,$B$11,MIN(AD424/MAX(0.05,IF(AE424&gt;1,(2-AE424)^2/2,1-AE424^2/2)),$B$11))))</f>
        <v/>
      </c>
      <c r="AG424">
        <f>AG423*$B$28+AF424*(1-$B$28)</f>
        <v/>
      </c>
      <c r="AH424">
        <f>IF(AND(AD424&gt;0,AC424&lt;=0),0,AC424)</f>
        <v/>
      </c>
      <c r="AI424">
        <f>AH424/MAX(AG424,0.000001)</f>
        <v/>
      </c>
      <c r="AJ424">
        <f>MIN(IF(AI424&gt;=0.5,-AI424+SQRT(AI424^2+2),1),$B$12)</f>
        <v/>
      </c>
      <c r="AK424">
        <f>IF(AG424&lt;=0,0,AJ424*AH424)</f>
        <v/>
      </c>
      <c r="AL424">
        <f>IF(AD424&lt;=0,0,AD424)</f>
        <v/>
      </c>
      <c r="AM424">
        <f>AL424-AK424+P424</f>
        <v/>
      </c>
      <c r="AN424">
        <f>((AM424/$B$7+T423*AS423/2-T424*MAX(0.1,MIN(0.3,0.3-0.09*(AR423-36.8)))/2)+AR423*(1-AS423/2))/(1-MAX(0.1,MIN(0.3,0.3-0.09*(AR423-36.8)))/2)</f>
        <v/>
      </c>
      <c r="AO424">
        <f>((AM424/$B$7+T423*AS423/2-T424*MAX(0.1,MIN(0.3,0.3-0.09*(AN424-36.8)))/2)+AR423*(1-AS423/2))/(1-MAX(0.1,MIN(0.3,0.3-0.09*(AN424-36.8)))/2)</f>
        <v/>
      </c>
      <c r="AP424">
        <f>((AM424/$B$7+T423*AS423/2-T424*MAX(0.1,MIN(0.3,0.3-0.09*(AO424-36.8)))/2)+AR423*(1-AS423/2))/(1-MAX(0.1,MIN(0.3,0.3-0.09*(AO424-36.8)))/2)</f>
        <v/>
      </c>
      <c r="AQ424">
        <f>((AM424/$B$7+T423*AS423/2-T424*MAX(0.1,MIN(0.3,0.3-0.09*(AP424-36.8)))/2)+AR423*(1-AS423/2))/(1-MAX(0.1,MIN(0.3,0.3-0.09*(AP424-36.8)))/2)</f>
        <v/>
      </c>
      <c r="AR424">
        <f>((AM424/$B$7+T423*AS423/2-T424*MAX(0.1,MIN(0.3,0.3-0.09*(AQ424-36.8)))/2)+AR423*(1-AS423/2))/(1-MAX(0.1,MIN(0.3,0.3-0.09*(AQ424-36.8)))/2)</f>
        <v/>
      </c>
      <c r="AS424">
        <f>MAX(0.1,MIN(0.3,0.3-0.09*(AR424-36.8)))</f>
        <v/>
      </c>
      <c r="AT424">
        <f>AT423+(2*AR424-1.962*AT423-1.31)/9</f>
        <v/>
      </c>
      <c r="AU424">
        <f>AU423+AG424+K424</f>
        <v/>
      </c>
      <c r="AV424">
        <f>AU424*2.67*$B$6/1.8/60</f>
        <v/>
      </c>
      <c r="AW424">
        <f>IF(AT424&gt;=$B$36,1,0)</f>
        <v/>
      </c>
      <c r="AX424">
        <f>IF(AV424&gt;=$B$21,1,0)</f>
        <v/>
      </c>
    </row>
    <row r="425">
      <c r="A425" t="n">
        <v>352</v>
      </c>
      <c r="B425">
        <f>MATCH(A425-1,$D$61:$D$68,1)</f>
        <v/>
      </c>
      <c r="C425">
        <f>INDEX($G$61:$G$68,B425)</f>
        <v/>
      </c>
      <c r="D425">
        <f>INDEX($L$61:$L$68,B425)</f>
        <v/>
      </c>
      <c r="E425">
        <f>INDEX($M$61:$M$68,B425)</f>
        <v/>
      </c>
      <c r="F425">
        <f>INDEX($N$61:$N$68,B425)</f>
        <v/>
      </c>
      <c r="G425">
        <f>INDEX($AA$61:$AA$68,B425)</f>
        <v/>
      </c>
      <c r="H425">
        <f>INDEX($X$61:$X$68,B425)</f>
        <v/>
      </c>
      <c r="I425">
        <f>INDEX($AF$61:$AF$68,B425)</f>
        <v/>
      </c>
      <c r="J425">
        <f>INDEX($AC$61:$AC$68,B425)</f>
        <v/>
      </c>
      <c r="K425">
        <f>INDEX($AD$61:$AD$68,B425)</f>
        <v/>
      </c>
      <c r="L425">
        <f>INDEX($AG$61:$AG$68,B425)</f>
        <v/>
      </c>
      <c r="M425">
        <f>INDEX($AH$61:$AH$68,B425)</f>
        <v/>
      </c>
      <c r="N425">
        <f>INDEX($AI$61:$AI$68,B425)</f>
        <v/>
      </c>
      <c r="O425">
        <f>O424*$B$26+L425*(1-$B$26)</f>
        <v/>
      </c>
      <c r="P425">
        <f>$B$7*(O425-O424)*(1-AS424)</f>
        <v/>
      </c>
      <c r="Q425">
        <f>M425+0.51274*AT424</f>
        <v/>
      </c>
      <c r="R425">
        <f>N425+0.616*AT424</f>
        <v/>
      </c>
      <c r="S425">
        <f>IF($B$13&gt;=0.6,Q425,IF($B$13&lt;=0.2,R425,R425+2.5*(Q425-R425)*($B$13-0.2)))</f>
        <v/>
      </c>
      <c r="T425">
        <f>IF(A425=1,S425,T424*$B$27+S425*(1-$B$27))</f>
        <v/>
      </c>
      <c r="U425">
        <f>0.6105*EXP(17.27*T425/(T425+237.3))</f>
        <v/>
      </c>
      <c r="V425">
        <f>($B$14*(I425*C425+IF(ABS((D425+0.1)-D425)&lt;0.000000001,4*$B$19*$B$20*(D425+273)^3,$B$19*$B$20*(((D425+0.1)+273)^4-(D425+273)^4)/((D425+0.1)-D425))*D425)+T425/H425)/($B$14*(I425+IF(ABS((D425+0.1)-D425)&lt;0.000000001,4*$B$19*$B$20*(D425+273)^3,$B$19*$B$20*(((D425+0.1)+273)^4-(D425+273)^4)/((D425+0.1)-D425)))+1/H425)</f>
        <v/>
      </c>
      <c r="W425">
        <f>($B$14*(I425*C425+IF(ABS(V425-D425)&lt;0.000000001,4*$B$19*$B$20*(D425+273)^3,$B$19*$B$20*((V425+273)^4-(D425+273)^4)/(V425-D425))*D425)+T425/H425)/($B$14*(I425+IF(ABS(V425-D425)&lt;0.000000001,4*$B$19*$B$20*(D425+273)^3,$B$19*$B$20*((V425+273)^4-(D425+273)^4)/(V425-D425)))+1/H425)</f>
        <v/>
      </c>
      <c r="X425">
        <f>($B$14*(I425*C425+IF(ABS(W425-D425)&lt;0.000000001,4*$B$19*$B$20*(D425+273)^3,$B$19*$B$20*((W425+273)^4-(D425+273)^4)/(W425-D425))*D425)+T425/H425)/($B$14*(I425+IF(ABS(W425-D425)&lt;0.000000001,4*$B$19*$B$20*(D425+273)^3,$B$19*$B$20*((W425+273)^4-(D425+273)^4)/(W425-D425)))+1/H425)</f>
        <v/>
      </c>
      <c r="Y425">
        <f>($B$14*(I425*C425+IF(ABS(X425-D425)&lt;0.000000001,4*$B$19*$B$20*(D425+273)^3,$B$19*$B$20*((X425+273)^4-(D425+273)^4)/(X425-D425))*D425)+T425/H425)/($B$14*(I425+IF(ABS(X425-D425)&lt;0.000000001,4*$B$19*$B$20*(D425+273)^3,$B$19*$B$20*((X425+273)^4-(D425+273)^4)/(X425-D425)))+1/H425)</f>
        <v/>
      </c>
      <c r="Z425">
        <f>IF(ABS(Y425-D425)&lt;0.000000001,4*$B$19*$B$20*(D425+273)^3,$B$19*$B$20*((Y425+273)^4-(D425+273)^4)/(Y425-D425))</f>
        <v/>
      </c>
      <c r="AA425">
        <f>$B$14*I425*(Y425-C425)</f>
        <v/>
      </c>
      <c r="AB425">
        <f>$B$14*Z425*(Y425-D425)</f>
        <v/>
      </c>
      <c r="AC425">
        <f>IF((U425-E425)/G425=0,0.001,(U425-E425)/G425)</f>
        <v/>
      </c>
      <c r="AD425">
        <f>F425-P425-J425-K425-AA425-AB425</f>
        <v/>
      </c>
      <c r="AE425">
        <f>AD425/AC425</f>
        <v/>
      </c>
      <c r="AF425">
        <f>IF(AD425&lt;=0,0,IF(AC425&lt;=0,$B$11,IF(AE425&gt;=1.7,$B$11,MIN(AD425/MAX(0.05,IF(AE425&gt;1,(2-AE425)^2/2,1-AE425^2/2)),$B$11))))</f>
        <v/>
      </c>
      <c r="AG425">
        <f>AG424*$B$28+AF425*(1-$B$28)</f>
        <v/>
      </c>
      <c r="AH425">
        <f>IF(AND(AD425&gt;0,AC425&lt;=0),0,AC425)</f>
        <v/>
      </c>
      <c r="AI425">
        <f>AH425/MAX(AG425,0.000001)</f>
        <v/>
      </c>
      <c r="AJ425">
        <f>MIN(IF(AI425&gt;=0.5,-AI425+SQRT(AI425^2+2),1),$B$12)</f>
        <v/>
      </c>
      <c r="AK425">
        <f>IF(AG425&lt;=0,0,AJ425*AH425)</f>
        <v/>
      </c>
      <c r="AL425">
        <f>IF(AD425&lt;=0,0,AD425)</f>
        <v/>
      </c>
      <c r="AM425">
        <f>AL425-AK425+P425</f>
        <v/>
      </c>
      <c r="AN425">
        <f>((AM425/$B$7+T424*AS424/2-T425*MAX(0.1,MIN(0.3,0.3-0.09*(AR424-36.8)))/2)+AR424*(1-AS424/2))/(1-MAX(0.1,MIN(0.3,0.3-0.09*(AR424-36.8)))/2)</f>
        <v/>
      </c>
      <c r="AO425">
        <f>((AM425/$B$7+T424*AS424/2-T425*MAX(0.1,MIN(0.3,0.3-0.09*(AN425-36.8)))/2)+AR424*(1-AS424/2))/(1-MAX(0.1,MIN(0.3,0.3-0.09*(AN425-36.8)))/2)</f>
        <v/>
      </c>
      <c r="AP425">
        <f>((AM425/$B$7+T424*AS424/2-T425*MAX(0.1,MIN(0.3,0.3-0.09*(AO425-36.8)))/2)+AR424*(1-AS424/2))/(1-MAX(0.1,MIN(0.3,0.3-0.09*(AO425-36.8)))/2)</f>
        <v/>
      </c>
      <c r="AQ425">
        <f>((AM425/$B$7+T424*AS424/2-T425*MAX(0.1,MIN(0.3,0.3-0.09*(AP425-36.8)))/2)+AR424*(1-AS424/2))/(1-MAX(0.1,MIN(0.3,0.3-0.09*(AP425-36.8)))/2)</f>
        <v/>
      </c>
      <c r="AR425">
        <f>((AM425/$B$7+T424*AS424/2-T425*MAX(0.1,MIN(0.3,0.3-0.09*(AQ425-36.8)))/2)+AR424*(1-AS424/2))/(1-MAX(0.1,MIN(0.3,0.3-0.09*(AQ425-36.8)))/2)</f>
        <v/>
      </c>
      <c r="AS425">
        <f>MAX(0.1,MIN(0.3,0.3-0.09*(AR425-36.8)))</f>
        <v/>
      </c>
      <c r="AT425">
        <f>AT424+(2*AR425-1.962*AT424-1.31)/9</f>
        <v/>
      </c>
      <c r="AU425">
        <f>AU424+AG425+K425</f>
        <v/>
      </c>
      <c r="AV425">
        <f>AU425*2.67*$B$6/1.8/60</f>
        <v/>
      </c>
      <c r="AW425">
        <f>IF(AT425&gt;=$B$36,1,0)</f>
        <v/>
      </c>
      <c r="AX425">
        <f>IF(AV425&gt;=$B$21,1,0)</f>
        <v/>
      </c>
    </row>
    <row r="426">
      <c r="A426" t="n">
        <v>353</v>
      </c>
      <c r="B426">
        <f>MATCH(A426-1,$D$61:$D$68,1)</f>
        <v/>
      </c>
      <c r="C426">
        <f>INDEX($G$61:$G$68,B426)</f>
        <v/>
      </c>
      <c r="D426">
        <f>INDEX($L$61:$L$68,B426)</f>
        <v/>
      </c>
      <c r="E426">
        <f>INDEX($M$61:$M$68,B426)</f>
        <v/>
      </c>
      <c r="F426">
        <f>INDEX($N$61:$N$68,B426)</f>
        <v/>
      </c>
      <c r="G426">
        <f>INDEX($AA$61:$AA$68,B426)</f>
        <v/>
      </c>
      <c r="H426">
        <f>INDEX($X$61:$X$68,B426)</f>
        <v/>
      </c>
      <c r="I426">
        <f>INDEX($AF$61:$AF$68,B426)</f>
        <v/>
      </c>
      <c r="J426">
        <f>INDEX($AC$61:$AC$68,B426)</f>
        <v/>
      </c>
      <c r="K426">
        <f>INDEX($AD$61:$AD$68,B426)</f>
        <v/>
      </c>
      <c r="L426">
        <f>INDEX($AG$61:$AG$68,B426)</f>
        <v/>
      </c>
      <c r="M426">
        <f>INDEX($AH$61:$AH$68,B426)</f>
        <v/>
      </c>
      <c r="N426">
        <f>INDEX($AI$61:$AI$68,B426)</f>
        <v/>
      </c>
      <c r="O426">
        <f>O425*$B$26+L426*(1-$B$26)</f>
        <v/>
      </c>
      <c r="P426">
        <f>$B$7*(O426-O425)*(1-AS425)</f>
        <v/>
      </c>
      <c r="Q426">
        <f>M426+0.51274*AT425</f>
        <v/>
      </c>
      <c r="R426">
        <f>N426+0.616*AT425</f>
        <v/>
      </c>
      <c r="S426">
        <f>IF($B$13&gt;=0.6,Q426,IF($B$13&lt;=0.2,R426,R426+2.5*(Q426-R426)*($B$13-0.2)))</f>
        <v/>
      </c>
      <c r="T426">
        <f>IF(A426=1,S426,T425*$B$27+S426*(1-$B$27))</f>
        <v/>
      </c>
      <c r="U426">
        <f>0.6105*EXP(17.27*T426/(T426+237.3))</f>
        <v/>
      </c>
      <c r="V426">
        <f>($B$14*(I426*C426+IF(ABS((D426+0.1)-D426)&lt;0.000000001,4*$B$19*$B$20*(D426+273)^3,$B$19*$B$20*(((D426+0.1)+273)^4-(D426+273)^4)/((D426+0.1)-D426))*D426)+T426/H426)/($B$14*(I426+IF(ABS((D426+0.1)-D426)&lt;0.000000001,4*$B$19*$B$20*(D426+273)^3,$B$19*$B$20*(((D426+0.1)+273)^4-(D426+273)^4)/((D426+0.1)-D426)))+1/H426)</f>
        <v/>
      </c>
      <c r="W426">
        <f>($B$14*(I426*C426+IF(ABS(V426-D426)&lt;0.000000001,4*$B$19*$B$20*(D426+273)^3,$B$19*$B$20*((V426+273)^4-(D426+273)^4)/(V426-D426))*D426)+T426/H426)/($B$14*(I426+IF(ABS(V426-D426)&lt;0.000000001,4*$B$19*$B$20*(D426+273)^3,$B$19*$B$20*((V426+273)^4-(D426+273)^4)/(V426-D426)))+1/H426)</f>
        <v/>
      </c>
      <c r="X426">
        <f>($B$14*(I426*C426+IF(ABS(W426-D426)&lt;0.000000001,4*$B$19*$B$20*(D426+273)^3,$B$19*$B$20*((W426+273)^4-(D426+273)^4)/(W426-D426))*D426)+T426/H426)/($B$14*(I426+IF(ABS(W426-D426)&lt;0.000000001,4*$B$19*$B$20*(D426+273)^3,$B$19*$B$20*((W426+273)^4-(D426+273)^4)/(W426-D426)))+1/H426)</f>
        <v/>
      </c>
      <c r="Y426">
        <f>($B$14*(I426*C426+IF(ABS(X426-D426)&lt;0.000000001,4*$B$19*$B$20*(D426+273)^3,$B$19*$B$20*((X426+273)^4-(D426+273)^4)/(X426-D426))*D426)+T426/H426)/($B$14*(I426+IF(ABS(X426-D426)&lt;0.000000001,4*$B$19*$B$20*(D426+273)^3,$B$19*$B$20*((X426+273)^4-(D426+273)^4)/(X426-D426)))+1/H426)</f>
        <v/>
      </c>
      <c r="Z426">
        <f>IF(ABS(Y426-D426)&lt;0.000000001,4*$B$19*$B$20*(D426+273)^3,$B$19*$B$20*((Y426+273)^4-(D426+273)^4)/(Y426-D426))</f>
        <v/>
      </c>
      <c r="AA426">
        <f>$B$14*I426*(Y426-C426)</f>
        <v/>
      </c>
      <c r="AB426">
        <f>$B$14*Z426*(Y426-D426)</f>
        <v/>
      </c>
      <c r="AC426">
        <f>IF((U426-E426)/G426=0,0.001,(U426-E426)/G426)</f>
        <v/>
      </c>
      <c r="AD426">
        <f>F426-P426-J426-K426-AA426-AB426</f>
        <v/>
      </c>
      <c r="AE426">
        <f>AD426/AC426</f>
        <v/>
      </c>
      <c r="AF426">
        <f>IF(AD426&lt;=0,0,IF(AC426&lt;=0,$B$11,IF(AE426&gt;=1.7,$B$11,MIN(AD426/MAX(0.05,IF(AE426&gt;1,(2-AE426)^2/2,1-AE426^2/2)),$B$11))))</f>
        <v/>
      </c>
      <c r="AG426">
        <f>AG425*$B$28+AF426*(1-$B$28)</f>
        <v/>
      </c>
      <c r="AH426">
        <f>IF(AND(AD426&gt;0,AC426&lt;=0),0,AC426)</f>
        <v/>
      </c>
      <c r="AI426">
        <f>AH426/MAX(AG426,0.000001)</f>
        <v/>
      </c>
      <c r="AJ426">
        <f>MIN(IF(AI426&gt;=0.5,-AI426+SQRT(AI426^2+2),1),$B$12)</f>
        <v/>
      </c>
      <c r="AK426">
        <f>IF(AG426&lt;=0,0,AJ426*AH426)</f>
        <v/>
      </c>
      <c r="AL426">
        <f>IF(AD426&lt;=0,0,AD426)</f>
        <v/>
      </c>
      <c r="AM426">
        <f>AL426-AK426+P426</f>
        <v/>
      </c>
      <c r="AN426">
        <f>((AM426/$B$7+T425*AS425/2-T426*MAX(0.1,MIN(0.3,0.3-0.09*(AR425-36.8)))/2)+AR425*(1-AS425/2))/(1-MAX(0.1,MIN(0.3,0.3-0.09*(AR425-36.8)))/2)</f>
        <v/>
      </c>
      <c r="AO426">
        <f>((AM426/$B$7+T425*AS425/2-T426*MAX(0.1,MIN(0.3,0.3-0.09*(AN426-36.8)))/2)+AR425*(1-AS425/2))/(1-MAX(0.1,MIN(0.3,0.3-0.09*(AN426-36.8)))/2)</f>
        <v/>
      </c>
      <c r="AP426">
        <f>((AM426/$B$7+T425*AS425/2-T426*MAX(0.1,MIN(0.3,0.3-0.09*(AO426-36.8)))/2)+AR425*(1-AS425/2))/(1-MAX(0.1,MIN(0.3,0.3-0.09*(AO426-36.8)))/2)</f>
        <v/>
      </c>
      <c r="AQ426">
        <f>((AM426/$B$7+T425*AS425/2-T426*MAX(0.1,MIN(0.3,0.3-0.09*(AP426-36.8)))/2)+AR425*(1-AS425/2))/(1-MAX(0.1,MIN(0.3,0.3-0.09*(AP426-36.8)))/2)</f>
        <v/>
      </c>
      <c r="AR426">
        <f>((AM426/$B$7+T425*AS425/2-T426*MAX(0.1,MIN(0.3,0.3-0.09*(AQ426-36.8)))/2)+AR425*(1-AS425/2))/(1-MAX(0.1,MIN(0.3,0.3-0.09*(AQ426-36.8)))/2)</f>
        <v/>
      </c>
      <c r="AS426">
        <f>MAX(0.1,MIN(0.3,0.3-0.09*(AR426-36.8)))</f>
        <v/>
      </c>
      <c r="AT426">
        <f>AT425+(2*AR426-1.962*AT425-1.31)/9</f>
        <v/>
      </c>
      <c r="AU426">
        <f>AU425+AG426+K426</f>
        <v/>
      </c>
      <c r="AV426">
        <f>AU426*2.67*$B$6/1.8/60</f>
        <v/>
      </c>
      <c r="AW426">
        <f>IF(AT426&gt;=$B$36,1,0)</f>
        <v/>
      </c>
      <c r="AX426">
        <f>IF(AV426&gt;=$B$21,1,0)</f>
        <v/>
      </c>
    </row>
    <row r="427">
      <c r="A427" t="n">
        <v>354</v>
      </c>
      <c r="B427">
        <f>MATCH(A427-1,$D$61:$D$68,1)</f>
        <v/>
      </c>
      <c r="C427">
        <f>INDEX($G$61:$G$68,B427)</f>
        <v/>
      </c>
      <c r="D427">
        <f>INDEX($L$61:$L$68,B427)</f>
        <v/>
      </c>
      <c r="E427">
        <f>INDEX($M$61:$M$68,B427)</f>
        <v/>
      </c>
      <c r="F427">
        <f>INDEX($N$61:$N$68,B427)</f>
        <v/>
      </c>
      <c r="G427">
        <f>INDEX($AA$61:$AA$68,B427)</f>
        <v/>
      </c>
      <c r="H427">
        <f>INDEX($X$61:$X$68,B427)</f>
        <v/>
      </c>
      <c r="I427">
        <f>INDEX($AF$61:$AF$68,B427)</f>
        <v/>
      </c>
      <c r="J427">
        <f>INDEX($AC$61:$AC$68,B427)</f>
        <v/>
      </c>
      <c r="K427">
        <f>INDEX($AD$61:$AD$68,B427)</f>
        <v/>
      </c>
      <c r="L427">
        <f>INDEX($AG$61:$AG$68,B427)</f>
        <v/>
      </c>
      <c r="M427">
        <f>INDEX($AH$61:$AH$68,B427)</f>
        <v/>
      </c>
      <c r="N427">
        <f>INDEX($AI$61:$AI$68,B427)</f>
        <v/>
      </c>
      <c r="O427">
        <f>O426*$B$26+L427*(1-$B$26)</f>
        <v/>
      </c>
      <c r="P427">
        <f>$B$7*(O427-O426)*(1-AS426)</f>
        <v/>
      </c>
      <c r="Q427">
        <f>M427+0.51274*AT426</f>
        <v/>
      </c>
      <c r="R427">
        <f>N427+0.616*AT426</f>
        <v/>
      </c>
      <c r="S427">
        <f>IF($B$13&gt;=0.6,Q427,IF($B$13&lt;=0.2,R427,R427+2.5*(Q427-R427)*($B$13-0.2)))</f>
        <v/>
      </c>
      <c r="T427">
        <f>IF(A427=1,S427,T426*$B$27+S427*(1-$B$27))</f>
        <v/>
      </c>
      <c r="U427">
        <f>0.6105*EXP(17.27*T427/(T427+237.3))</f>
        <v/>
      </c>
      <c r="V427">
        <f>($B$14*(I427*C427+IF(ABS((D427+0.1)-D427)&lt;0.000000001,4*$B$19*$B$20*(D427+273)^3,$B$19*$B$20*(((D427+0.1)+273)^4-(D427+273)^4)/((D427+0.1)-D427))*D427)+T427/H427)/($B$14*(I427+IF(ABS((D427+0.1)-D427)&lt;0.000000001,4*$B$19*$B$20*(D427+273)^3,$B$19*$B$20*(((D427+0.1)+273)^4-(D427+273)^4)/((D427+0.1)-D427)))+1/H427)</f>
        <v/>
      </c>
      <c r="W427">
        <f>($B$14*(I427*C427+IF(ABS(V427-D427)&lt;0.000000001,4*$B$19*$B$20*(D427+273)^3,$B$19*$B$20*((V427+273)^4-(D427+273)^4)/(V427-D427))*D427)+T427/H427)/($B$14*(I427+IF(ABS(V427-D427)&lt;0.000000001,4*$B$19*$B$20*(D427+273)^3,$B$19*$B$20*((V427+273)^4-(D427+273)^4)/(V427-D427)))+1/H427)</f>
        <v/>
      </c>
      <c r="X427">
        <f>($B$14*(I427*C427+IF(ABS(W427-D427)&lt;0.000000001,4*$B$19*$B$20*(D427+273)^3,$B$19*$B$20*((W427+273)^4-(D427+273)^4)/(W427-D427))*D427)+T427/H427)/($B$14*(I427+IF(ABS(W427-D427)&lt;0.000000001,4*$B$19*$B$20*(D427+273)^3,$B$19*$B$20*((W427+273)^4-(D427+273)^4)/(W427-D427)))+1/H427)</f>
        <v/>
      </c>
      <c r="Y427">
        <f>($B$14*(I427*C427+IF(ABS(X427-D427)&lt;0.000000001,4*$B$19*$B$20*(D427+273)^3,$B$19*$B$20*((X427+273)^4-(D427+273)^4)/(X427-D427))*D427)+T427/H427)/($B$14*(I427+IF(ABS(X427-D427)&lt;0.000000001,4*$B$19*$B$20*(D427+273)^3,$B$19*$B$20*((X427+273)^4-(D427+273)^4)/(X427-D427)))+1/H427)</f>
        <v/>
      </c>
      <c r="Z427">
        <f>IF(ABS(Y427-D427)&lt;0.000000001,4*$B$19*$B$20*(D427+273)^3,$B$19*$B$20*((Y427+273)^4-(D427+273)^4)/(Y427-D427))</f>
        <v/>
      </c>
      <c r="AA427">
        <f>$B$14*I427*(Y427-C427)</f>
        <v/>
      </c>
      <c r="AB427">
        <f>$B$14*Z427*(Y427-D427)</f>
        <v/>
      </c>
      <c r="AC427">
        <f>IF((U427-E427)/G427=0,0.001,(U427-E427)/G427)</f>
        <v/>
      </c>
      <c r="AD427">
        <f>F427-P427-J427-K427-AA427-AB427</f>
        <v/>
      </c>
      <c r="AE427">
        <f>AD427/AC427</f>
        <v/>
      </c>
      <c r="AF427">
        <f>IF(AD427&lt;=0,0,IF(AC427&lt;=0,$B$11,IF(AE427&gt;=1.7,$B$11,MIN(AD427/MAX(0.05,IF(AE427&gt;1,(2-AE427)^2/2,1-AE427^2/2)),$B$11))))</f>
        <v/>
      </c>
      <c r="AG427">
        <f>AG426*$B$28+AF427*(1-$B$28)</f>
        <v/>
      </c>
      <c r="AH427">
        <f>IF(AND(AD427&gt;0,AC427&lt;=0),0,AC427)</f>
        <v/>
      </c>
      <c r="AI427">
        <f>AH427/MAX(AG427,0.000001)</f>
        <v/>
      </c>
      <c r="AJ427">
        <f>MIN(IF(AI427&gt;=0.5,-AI427+SQRT(AI427^2+2),1),$B$12)</f>
        <v/>
      </c>
      <c r="AK427">
        <f>IF(AG427&lt;=0,0,AJ427*AH427)</f>
        <v/>
      </c>
      <c r="AL427">
        <f>IF(AD427&lt;=0,0,AD427)</f>
        <v/>
      </c>
      <c r="AM427">
        <f>AL427-AK427+P427</f>
        <v/>
      </c>
      <c r="AN427">
        <f>((AM427/$B$7+T426*AS426/2-T427*MAX(0.1,MIN(0.3,0.3-0.09*(AR426-36.8)))/2)+AR426*(1-AS426/2))/(1-MAX(0.1,MIN(0.3,0.3-0.09*(AR426-36.8)))/2)</f>
        <v/>
      </c>
      <c r="AO427">
        <f>((AM427/$B$7+T426*AS426/2-T427*MAX(0.1,MIN(0.3,0.3-0.09*(AN427-36.8)))/2)+AR426*(1-AS426/2))/(1-MAX(0.1,MIN(0.3,0.3-0.09*(AN427-36.8)))/2)</f>
        <v/>
      </c>
      <c r="AP427">
        <f>((AM427/$B$7+T426*AS426/2-T427*MAX(0.1,MIN(0.3,0.3-0.09*(AO427-36.8)))/2)+AR426*(1-AS426/2))/(1-MAX(0.1,MIN(0.3,0.3-0.09*(AO427-36.8)))/2)</f>
        <v/>
      </c>
      <c r="AQ427">
        <f>((AM427/$B$7+T426*AS426/2-T427*MAX(0.1,MIN(0.3,0.3-0.09*(AP427-36.8)))/2)+AR426*(1-AS426/2))/(1-MAX(0.1,MIN(0.3,0.3-0.09*(AP427-36.8)))/2)</f>
        <v/>
      </c>
      <c r="AR427">
        <f>((AM427/$B$7+T426*AS426/2-T427*MAX(0.1,MIN(0.3,0.3-0.09*(AQ427-36.8)))/2)+AR426*(1-AS426/2))/(1-MAX(0.1,MIN(0.3,0.3-0.09*(AQ427-36.8)))/2)</f>
        <v/>
      </c>
      <c r="AS427">
        <f>MAX(0.1,MIN(0.3,0.3-0.09*(AR427-36.8)))</f>
        <v/>
      </c>
      <c r="AT427">
        <f>AT426+(2*AR427-1.962*AT426-1.31)/9</f>
        <v/>
      </c>
      <c r="AU427">
        <f>AU426+AG427+K427</f>
        <v/>
      </c>
      <c r="AV427">
        <f>AU427*2.67*$B$6/1.8/60</f>
        <v/>
      </c>
      <c r="AW427">
        <f>IF(AT427&gt;=$B$36,1,0)</f>
        <v/>
      </c>
      <c r="AX427">
        <f>IF(AV427&gt;=$B$21,1,0)</f>
        <v/>
      </c>
    </row>
    <row r="428">
      <c r="A428" t="n">
        <v>355</v>
      </c>
      <c r="B428">
        <f>MATCH(A428-1,$D$61:$D$68,1)</f>
        <v/>
      </c>
      <c r="C428">
        <f>INDEX($G$61:$G$68,B428)</f>
        <v/>
      </c>
      <c r="D428">
        <f>INDEX($L$61:$L$68,B428)</f>
        <v/>
      </c>
      <c r="E428">
        <f>INDEX($M$61:$M$68,B428)</f>
        <v/>
      </c>
      <c r="F428">
        <f>INDEX($N$61:$N$68,B428)</f>
        <v/>
      </c>
      <c r="G428">
        <f>INDEX($AA$61:$AA$68,B428)</f>
        <v/>
      </c>
      <c r="H428">
        <f>INDEX($X$61:$X$68,B428)</f>
        <v/>
      </c>
      <c r="I428">
        <f>INDEX($AF$61:$AF$68,B428)</f>
        <v/>
      </c>
      <c r="J428">
        <f>INDEX($AC$61:$AC$68,B428)</f>
        <v/>
      </c>
      <c r="K428">
        <f>INDEX($AD$61:$AD$68,B428)</f>
        <v/>
      </c>
      <c r="L428">
        <f>INDEX($AG$61:$AG$68,B428)</f>
        <v/>
      </c>
      <c r="M428">
        <f>INDEX($AH$61:$AH$68,B428)</f>
        <v/>
      </c>
      <c r="N428">
        <f>INDEX($AI$61:$AI$68,B428)</f>
        <v/>
      </c>
      <c r="O428">
        <f>O427*$B$26+L428*(1-$B$26)</f>
        <v/>
      </c>
      <c r="P428">
        <f>$B$7*(O428-O427)*(1-AS427)</f>
        <v/>
      </c>
      <c r="Q428">
        <f>M428+0.51274*AT427</f>
        <v/>
      </c>
      <c r="R428">
        <f>N428+0.616*AT427</f>
        <v/>
      </c>
      <c r="S428">
        <f>IF($B$13&gt;=0.6,Q428,IF($B$13&lt;=0.2,R428,R428+2.5*(Q428-R428)*($B$13-0.2)))</f>
        <v/>
      </c>
      <c r="T428">
        <f>IF(A428=1,S428,T427*$B$27+S428*(1-$B$27))</f>
        <v/>
      </c>
      <c r="U428">
        <f>0.6105*EXP(17.27*T428/(T428+237.3))</f>
        <v/>
      </c>
      <c r="V428">
        <f>($B$14*(I428*C428+IF(ABS((D428+0.1)-D428)&lt;0.000000001,4*$B$19*$B$20*(D428+273)^3,$B$19*$B$20*(((D428+0.1)+273)^4-(D428+273)^4)/((D428+0.1)-D428))*D428)+T428/H428)/($B$14*(I428+IF(ABS((D428+0.1)-D428)&lt;0.000000001,4*$B$19*$B$20*(D428+273)^3,$B$19*$B$20*(((D428+0.1)+273)^4-(D428+273)^4)/((D428+0.1)-D428)))+1/H428)</f>
        <v/>
      </c>
      <c r="W428">
        <f>($B$14*(I428*C428+IF(ABS(V428-D428)&lt;0.000000001,4*$B$19*$B$20*(D428+273)^3,$B$19*$B$20*((V428+273)^4-(D428+273)^4)/(V428-D428))*D428)+T428/H428)/($B$14*(I428+IF(ABS(V428-D428)&lt;0.000000001,4*$B$19*$B$20*(D428+273)^3,$B$19*$B$20*((V428+273)^4-(D428+273)^4)/(V428-D428)))+1/H428)</f>
        <v/>
      </c>
      <c r="X428">
        <f>($B$14*(I428*C428+IF(ABS(W428-D428)&lt;0.000000001,4*$B$19*$B$20*(D428+273)^3,$B$19*$B$20*((W428+273)^4-(D428+273)^4)/(W428-D428))*D428)+T428/H428)/($B$14*(I428+IF(ABS(W428-D428)&lt;0.000000001,4*$B$19*$B$20*(D428+273)^3,$B$19*$B$20*((W428+273)^4-(D428+273)^4)/(W428-D428)))+1/H428)</f>
        <v/>
      </c>
      <c r="Y428">
        <f>($B$14*(I428*C428+IF(ABS(X428-D428)&lt;0.000000001,4*$B$19*$B$20*(D428+273)^3,$B$19*$B$20*((X428+273)^4-(D428+273)^4)/(X428-D428))*D428)+T428/H428)/($B$14*(I428+IF(ABS(X428-D428)&lt;0.000000001,4*$B$19*$B$20*(D428+273)^3,$B$19*$B$20*((X428+273)^4-(D428+273)^4)/(X428-D428)))+1/H428)</f>
        <v/>
      </c>
      <c r="Z428">
        <f>IF(ABS(Y428-D428)&lt;0.000000001,4*$B$19*$B$20*(D428+273)^3,$B$19*$B$20*((Y428+273)^4-(D428+273)^4)/(Y428-D428))</f>
        <v/>
      </c>
      <c r="AA428">
        <f>$B$14*I428*(Y428-C428)</f>
        <v/>
      </c>
      <c r="AB428">
        <f>$B$14*Z428*(Y428-D428)</f>
        <v/>
      </c>
      <c r="AC428">
        <f>IF((U428-E428)/G428=0,0.001,(U428-E428)/G428)</f>
        <v/>
      </c>
      <c r="AD428">
        <f>F428-P428-J428-K428-AA428-AB428</f>
        <v/>
      </c>
      <c r="AE428">
        <f>AD428/AC428</f>
        <v/>
      </c>
      <c r="AF428">
        <f>IF(AD428&lt;=0,0,IF(AC428&lt;=0,$B$11,IF(AE428&gt;=1.7,$B$11,MIN(AD428/MAX(0.05,IF(AE428&gt;1,(2-AE428)^2/2,1-AE428^2/2)),$B$11))))</f>
        <v/>
      </c>
      <c r="AG428">
        <f>AG427*$B$28+AF428*(1-$B$28)</f>
        <v/>
      </c>
      <c r="AH428">
        <f>IF(AND(AD428&gt;0,AC428&lt;=0),0,AC428)</f>
        <v/>
      </c>
      <c r="AI428">
        <f>AH428/MAX(AG428,0.000001)</f>
        <v/>
      </c>
      <c r="AJ428">
        <f>MIN(IF(AI428&gt;=0.5,-AI428+SQRT(AI428^2+2),1),$B$12)</f>
        <v/>
      </c>
      <c r="AK428">
        <f>IF(AG428&lt;=0,0,AJ428*AH428)</f>
        <v/>
      </c>
      <c r="AL428">
        <f>IF(AD428&lt;=0,0,AD428)</f>
        <v/>
      </c>
      <c r="AM428">
        <f>AL428-AK428+P428</f>
        <v/>
      </c>
      <c r="AN428">
        <f>((AM428/$B$7+T427*AS427/2-T428*MAX(0.1,MIN(0.3,0.3-0.09*(AR427-36.8)))/2)+AR427*(1-AS427/2))/(1-MAX(0.1,MIN(0.3,0.3-0.09*(AR427-36.8)))/2)</f>
        <v/>
      </c>
      <c r="AO428">
        <f>((AM428/$B$7+T427*AS427/2-T428*MAX(0.1,MIN(0.3,0.3-0.09*(AN428-36.8)))/2)+AR427*(1-AS427/2))/(1-MAX(0.1,MIN(0.3,0.3-0.09*(AN428-36.8)))/2)</f>
        <v/>
      </c>
      <c r="AP428">
        <f>((AM428/$B$7+T427*AS427/2-T428*MAX(0.1,MIN(0.3,0.3-0.09*(AO428-36.8)))/2)+AR427*(1-AS427/2))/(1-MAX(0.1,MIN(0.3,0.3-0.09*(AO428-36.8)))/2)</f>
        <v/>
      </c>
      <c r="AQ428">
        <f>((AM428/$B$7+T427*AS427/2-T428*MAX(0.1,MIN(0.3,0.3-0.09*(AP428-36.8)))/2)+AR427*(1-AS427/2))/(1-MAX(0.1,MIN(0.3,0.3-0.09*(AP428-36.8)))/2)</f>
        <v/>
      </c>
      <c r="AR428">
        <f>((AM428/$B$7+T427*AS427/2-T428*MAX(0.1,MIN(0.3,0.3-0.09*(AQ428-36.8)))/2)+AR427*(1-AS427/2))/(1-MAX(0.1,MIN(0.3,0.3-0.09*(AQ428-36.8)))/2)</f>
        <v/>
      </c>
      <c r="AS428">
        <f>MAX(0.1,MIN(0.3,0.3-0.09*(AR428-36.8)))</f>
        <v/>
      </c>
      <c r="AT428">
        <f>AT427+(2*AR428-1.962*AT427-1.31)/9</f>
        <v/>
      </c>
      <c r="AU428">
        <f>AU427+AG428+K428</f>
        <v/>
      </c>
      <c r="AV428">
        <f>AU428*2.67*$B$6/1.8/60</f>
        <v/>
      </c>
      <c r="AW428">
        <f>IF(AT428&gt;=$B$36,1,0)</f>
        <v/>
      </c>
      <c r="AX428">
        <f>IF(AV428&gt;=$B$21,1,0)</f>
        <v/>
      </c>
    </row>
    <row r="429">
      <c r="A429" t="n">
        <v>356</v>
      </c>
      <c r="B429">
        <f>MATCH(A429-1,$D$61:$D$68,1)</f>
        <v/>
      </c>
      <c r="C429">
        <f>INDEX($G$61:$G$68,B429)</f>
        <v/>
      </c>
      <c r="D429">
        <f>INDEX($L$61:$L$68,B429)</f>
        <v/>
      </c>
      <c r="E429">
        <f>INDEX($M$61:$M$68,B429)</f>
        <v/>
      </c>
      <c r="F429">
        <f>INDEX($N$61:$N$68,B429)</f>
        <v/>
      </c>
      <c r="G429">
        <f>INDEX($AA$61:$AA$68,B429)</f>
        <v/>
      </c>
      <c r="H429">
        <f>INDEX($X$61:$X$68,B429)</f>
        <v/>
      </c>
      <c r="I429">
        <f>INDEX($AF$61:$AF$68,B429)</f>
        <v/>
      </c>
      <c r="J429">
        <f>INDEX($AC$61:$AC$68,B429)</f>
        <v/>
      </c>
      <c r="K429">
        <f>INDEX($AD$61:$AD$68,B429)</f>
        <v/>
      </c>
      <c r="L429">
        <f>INDEX($AG$61:$AG$68,B429)</f>
        <v/>
      </c>
      <c r="M429">
        <f>INDEX($AH$61:$AH$68,B429)</f>
        <v/>
      </c>
      <c r="N429">
        <f>INDEX($AI$61:$AI$68,B429)</f>
        <v/>
      </c>
      <c r="O429">
        <f>O428*$B$26+L429*(1-$B$26)</f>
        <v/>
      </c>
      <c r="P429">
        <f>$B$7*(O429-O428)*(1-AS428)</f>
        <v/>
      </c>
      <c r="Q429">
        <f>M429+0.51274*AT428</f>
        <v/>
      </c>
      <c r="R429">
        <f>N429+0.616*AT428</f>
        <v/>
      </c>
      <c r="S429">
        <f>IF($B$13&gt;=0.6,Q429,IF($B$13&lt;=0.2,R429,R429+2.5*(Q429-R429)*($B$13-0.2)))</f>
        <v/>
      </c>
      <c r="T429">
        <f>IF(A429=1,S429,T428*$B$27+S429*(1-$B$27))</f>
        <v/>
      </c>
      <c r="U429">
        <f>0.6105*EXP(17.27*T429/(T429+237.3))</f>
        <v/>
      </c>
      <c r="V429">
        <f>($B$14*(I429*C429+IF(ABS((D429+0.1)-D429)&lt;0.000000001,4*$B$19*$B$20*(D429+273)^3,$B$19*$B$20*(((D429+0.1)+273)^4-(D429+273)^4)/((D429+0.1)-D429))*D429)+T429/H429)/($B$14*(I429+IF(ABS((D429+0.1)-D429)&lt;0.000000001,4*$B$19*$B$20*(D429+273)^3,$B$19*$B$20*(((D429+0.1)+273)^4-(D429+273)^4)/((D429+0.1)-D429)))+1/H429)</f>
        <v/>
      </c>
      <c r="W429">
        <f>($B$14*(I429*C429+IF(ABS(V429-D429)&lt;0.000000001,4*$B$19*$B$20*(D429+273)^3,$B$19*$B$20*((V429+273)^4-(D429+273)^4)/(V429-D429))*D429)+T429/H429)/($B$14*(I429+IF(ABS(V429-D429)&lt;0.000000001,4*$B$19*$B$20*(D429+273)^3,$B$19*$B$20*((V429+273)^4-(D429+273)^4)/(V429-D429)))+1/H429)</f>
        <v/>
      </c>
      <c r="X429">
        <f>($B$14*(I429*C429+IF(ABS(W429-D429)&lt;0.000000001,4*$B$19*$B$20*(D429+273)^3,$B$19*$B$20*((W429+273)^4-(D429+273)^4)/(W429-D429))*D429)+T429/H429)/($B$14*(I429+IF(ABS(W429-D429)&lt;0.000000001,4*$B$19*$B$20*(D429+273)^3,$B$19*$B$20*((W429+273)^4-(D429+273)^4)/(W429-D429)))+1/H429)</f>
        <v/>
      </c>
      <c r="Y429">
        <f>($B$14*(I429*C429+IF(ABS(X429-D429)&lt;0.000000001,4*$B$19*$B$20*(D429+273)^3,$B$19*$B$20*((X429+273)^4-(D429+273)^4)/(X429-D429))*D429)+T429/H429)/($B$14*(I429+IF(ABS(X429-D429)&lt;0.000000001,4*$B$19*$B$20*(D429+273)^3,$B$19*$B$20*((X429+273)^4-(D429+273)^4)/(X429-D429)))+1/H429)</f>
        <v/>
      </c>
      <c r="Z429">
        <f>IF(ABS(Y429-D429)&lt;0.000000001,4*$B$19*$B$20*(D429+273)^3,$B$19*$B$20*((Y429+273)^4-(D429+273)^4)/(Y429-D429))</f>
        <v/>
      </c>
      <c r="AA429">
        <f>$B$14*I429*(Y429-C429)</f>
        <v/>
      </c>
      <c r="AB429">
        <f>$B$14*Z429*(Y429-D429)</f>
        <v/>
      </c>
      <c r="AC429">
        <f>IF((U429-E429)/G429=0,0.001,(U429-E429)/G429)</f>
        <v/>
      </c>
      <c r="AD429">
        <f>F429-P429-J429-K429-AA429-AB429</f>
        <v/>
      </c>
      <c r="AE429">
        <f>AD429/AC429</f>
        <v/>
      </c>
      <c r="AF429">
        <f>IF(AD429&lt;=0,0,IF(AC429&lt;=0,$B$11,IF(AE429&gt;=1.7,$B$11,MIN(AD429/MAX(0.05,IF(AE429&gt;1,(2-AE429)^2/2,1-AE429^2/2)),$B$11))))</f>
        <v/>
      </c>
      <c r="AG429">
        <f>AG428*$B$28+AF429*(1-$B$28)</f>
        <v/>
      </c>
      <c r="AH429">
        <f>IF(AND(AD429&gt;0,AC429&lt;=0),0,AC429)</f>
        <v/>
      </c>
      <c r="AI429">
        <f>AH429/MAX(AG429,0.000001)</f>
        <v/>
      </c>
      <c r="AJ429">
        <f>MIN(IF(AI429&gt;=0.5,-AI429+SQRT(AI429^2+2),1),$B$12)</f>
        <v/>
      </c>
      <c r="AK429">
        <f>IF(AG429&lt;=0,0,AJ429*AH429)</f>
        <v/>
      </c>
      <c r="AL429">
        <f>IF(AD429&lt;=0,0,AD429)</f>
        <v/>
      </c>
      <c r="AM429">
        <f>AL429-AK429+P429</f>
        <v/>
      </c>
      <c r="AN429">
        <f>((AM429/$B$7+T428*AS428/2-T429*MAX(0.1,MIN(0.3,0.3-0.09*(AR428-36.8)))/2)+AR428*(1-AS428/2))/(1-MAX(0.1,MIN(0.3,0.3-0.09*(AR428-36.8)))/2)</f>
        <v/>
      </c>
      <c r="AO429">
        <f>((AM429/$B$7+T428*AS428/2-T429*MAX(0.1,MIN(0.3,0.3-0.09*(AN429-36.8)))/2)+AR428*(1-AS428/2))/(1-MAX(0.1,MIN(0.3,0.3-0.09*(AN429-36.8)))/2)</f>
        <v/>
      </c>
      <c r="AP429">
        <f>((AM429/$B$7+T428*AS428/2-T429*MAX(0.1,MIN(0.3,0.3-0.09*(AO429-36.8)))/2)+AR428*(1-AS428/2))/(1-MAX(0.1,MIN(0.3,0.3-0.09*(AO429-36.8)))/2)</f>
        <v/>
      </c>
      <c r="AQ429">
        <f>((AM429/$B$7+T428*AS428/2-T429*MAX(0.1,MIN(0.3,0.3-0.09*(AP429-36.8)))/2)+AR428*(1-AS428/2))/(1-MAX(0.1,MIN(0.3,0.3-0.09*(AP429-36.8)))/2)</f>
        <v/>
      </c>
      <c r="AR429">
        <f>((AM429/$B$7+T428*AS428/2-T429*MAX(0.1,MIN(0.3,0.3-0.09*(AQ429-36.8)))/2)+AR428*(1-AS428/2))/(1-MAX(0.1,MIN(0.3,0.3-0.09*(AQ429-36.8)))/2)</f>
        <v/>
      </c>
      <c r="AS429">
        <f>MAX(0.1,MIN(0.3,0.3-0.09*(AR429-36.8)))</f>
        <v/>
      </c>
      <c r="AT429">
        <f>AT428+(2*AR429-1.962*AT428-1.31)/9</f>
        <v/>
      </c>
      <c r="AU429">
        <f>AU428+AG429+K429</f>
        <v/>
      </c>
      <c r="AV429">
        <f>AU429*2.67*$B$6/1.8/60</f>
        <v/>
      </c>
      <c r="AW429">
        <f>IF(AT429&gt;=$B$36,1,0)</f>
        <v/>
      </c>
      <c r="AX429">
        <f>IF(AV429&gt;=$B$21,1,0)</f>
        <v/>
      </c>
    </row>
    <row r="430">
      <c r="A430" t="n">
        <v>357</v>
      </c>
      <c r="B430">
        <f>MATCH(A430-1,$D$61:$D$68,1)</f>
        <v/>
      </c>
      <c r="C430">
        <f>INDEX($G$61:$G$68,B430)</f>
        <v/>
      </c>
      <c r="D430">
        <f>INDEX($L$61:$L$68,B430)</f>
        <v/>
      </c>
      <c r="E430">
        <f>INDEX($M$61:$M$68,B430)</f>
        <v/>
      </c>
      <c r="F430">
        <f>INDEX($N$61:$N$68,B430)</f>
        <v/>
      </c>
      <c r="G430">
        <f>INDEX($AA$61:$AA$68,B430)</f>
        <v/>
      </c>
      <c r="H430">
        <f>INDEX($X$61:$X$68,B430)</f>
        <v/>
      </c>
      <c r="I430">
        <f>INDEX($AF$61:$AF$68,B430)</f>
        <v/>
      </c>
      <c r="J430">
        <f>INDEX($AC$61:$AC$68,B430)</f>
        <v/>
      </c>
      <c r="K430">
        <f>INDEX($AD$61:$AD$68,B430)</f>
        <v/>
      </c>
      <c r="L430">
        <f>INDEX($AG$61:$AG$68,B430)</f>
        <v/>
      </c>
      <c r="M430">
        <f>INDEX($AH$61:$AH$68,B430)</f>
        <v/>
      </c>
      <c r="N430">
        <f>INDEX($AI$61:$AI$68,B430)</f>
        <v/>
      </c>
      <c r="O430">
        <f>O429*$B$26+L430*(1-$B$26)</f>
        <v/>
      </c>
      <c r="P430">
        <f>$B$7*(O430-O429)*(1-AS429)</f>
        <v/>
      </c>
      <c r="Q430">
        <f>M430+0.51274*AT429</f>
        <v/>
      </c>
      <c r="R430">
        <f>N430+0.616*AT429</f>
        <v/>
      </c>
      <c r="S430">
        <f>IF($B$13&gt;=0.6,Q430,IF($B$13&lt;=0.2,R430,R430+2.5*(Q430-R430)*($B$13-0.2)))</f>
        <v/>
      </c>
      <c r="T430">
        <f>IF(A430=1,S430,T429*$B$27+S430*(1-$B$27))</f>
        <v/>
      </c>
      <c r="U430">
        <f>0.6105*EXP(17.27*T430/(T430+237.3))</f>
        <v/>
      </c>
      <c r="V430">
        <f>($B$14*(I430*C430+IF(ABS((D430+0.1)-D430)&lt;0.000000001,4*$B$19*$B$20*(D430+273)^3,$B$19*$B$20*(((D430+0.1)+273)^4-(D430+273)^4)/((D430+0.1)-D430))*D430)+T430/H430)/($B$14*(I430+IF(ABS((D430+0.1)-D430)&lt;0.000000001,4*$B$19*$B$20*(D430+273)^3,$B$19*$B$20*(((D430+0.1)+273)^4-(D430+273)^4)/((D430+0.1)-D430)))+1/H430)</f>
        <v/>
      </c>
      <c r="W430">
        <f>($B$14*(I430*C430+IF(ABS(V430-D430)&lt;0.000000001,4*$B$19*$B$20*(D430+273)^3,$B$19*$B$20*((V430+273)^4-(D430+273)^4)/(V430-D430))*D430)+T430/H430)/($B$14*(I430+IF(ABS(V430-D430)&lt;0.000000001,4*$B$19*$B$20*(D430+273)^3,$B$19*$B$20*((V430+273)^4-(D430+273)^4)/(V430-D430)))+1/H430)</f>
        <v/>
      </c>
      <c r="X430">
        <f>($B$14*(I430*C430+IF(ABS(W430-D430)&lt;0.000000001,4*$B$19*$B$20*(D430+273)^3,$B$19*$B$20*((W430+273)^4-(D430+273)^4)/(W430-D430))*D430)+T430/H430)/($B$14*(I430+IF(ABS(W430-D430)&lt;0.000000001,4*$B$19*$B$20*(D430+273)^3,$B$19*$B$20*((W430+273)^4-(D430+273)^4)/(W430-D430)))+1/H430)</f>
        <v/>
      </c>
      <c r="Y430">
        <f>($B$14*(I430*C430+IF(ABS(X430-D430)&lt;0.000000001,4*$B$19*$B$20*(D430+273)^3,$B$19*$B$20*((X430+273)^4-(D430+273)^4)/(X430-D430))*D430)+T430/H430)/($B$14*(I430+IF(ABS(X430-D430)&lt;0.000000001,4*$B$19*$B$20*(D430+273)^3,$B$19*$B$20*((X430+273)^4-(D430+273)^4)/(X430-D430)))+1/H430)</f>
        <v/>
      </c>
      <c r="Z430">
        <f>IF(ABS(Y430-D430)&lt;0.000000001,4*$B$19*$B$20*(D430+273)^3,$B$19*$B$20*((Y430+273)^4-(D430+273)^4)/(Y430-D430))</f>
        <v/>
      </c>
      <c r="AA430">
        <f>$B$14*I430*(Y430-C430)</f>
        <v/>
      </c>
      <c r="AB430">
        <f>$B$14*Z430*(Y430-D430)</f>
        <v/>
      </c>
      <c r="AC430">
        <f>IF((U430-E430)/G430=0,0.001,(U430-E430)/G430)</f>
        <v/>
      </c>
      <c r="AD430">
        <f>F430-P430-J430-K430-AA430-AB430</f>
        <v/>
      </c>
      <c r="AE430">
        <f>AD430/AC430</f>
        <v/>
      </c>
      <c r="AF430">
        <f>IF(AD430&lt;=0,0,IF(AC430&lt;=0,$B$11,IF(AE430&gt;=1.7,$B$11,MIN(AD430/MAX(0.05,IF(AE430&gt;1,(2-AE430)^2/2,1-AE430^2/2)),$B$11))))</f>
        <v/>
      </c>
      <c r="AG430">
        <f>AG429*$B$28+AF430*(1-$B$28)</f>
        <v/>
      </c>
      <c r="AH430">
        <f>IF(AND(AD430&gt;0,AC430&lt;=0),0,AC430)</f>
        <v/>
      </c>
      <c r="AI430">
        <f>AH430/MAX(AG430,0.000001)</f>
        <v/>
      </c>
      <c r="AJ430">
        <f>MIN(IF(AI430&gt;=0.5,-AI430+SQRT(AI430^2+2),1),$B$12)</f>
        <v/>
      </c>
      <c r="AK430">
        <f>IF(AG430&lt;=0,0,AJ430*AH430)</f>
        <v/>
      </c>
      <c r="AL430">
        <f>IF(AD430&lt;=0,0,AD430)</f>
        <v/>
      </c>
      <c r="AM430">
        <f>AL430-AK430+P430</f>
        <v/>
      </c>
      <c r="AN430">
        <f>((AM430/$B$7+T429*AS429/2-T430*MAX(0.1,MIN(0.3,0.3-0.09*(AR429-36.8)))/2)+AR429*(1-AS429/2))/(1-MAX(0.1,MIN(0.3,0.3-0.09*(AR429-36.8)))/2)</f>
        <v/>
      </c>
      <c r="AO430">
        <f>((AM430/$B$7+T429*AS429/2-T430*MAX(0.1,MIN(0.3,0.3-0.09*(AN430-36.8)))/2)+AR429*(1-AS429/2))/(1-MAX(0.1,MIN(0.3,0.3-0.09*(AN430-36.8)))/2)</f>
        <v/>
      </c>
      <c r="AP430">
        <f>((AM430/$B$7+T429*AS429/2-T430*MAX(0.1,MIN(0.3,0.3-0.09*(AO430-36.8)))/2)+AR429*(1-AS429/2))/(1-MAX(0.1,MIN(0.3,0.3-0.09*(AO430-36.8)))/2)</f>
        <v/>
      </c>
      <c r="AQ430">
        <f>((AM430/$B$7+T429*AS429/2-T430*MAX(0.1,MIN(0.3,0.3-0.09*(AP430-36.8)))/2)+AR429*(1-AS429/2))/(1-MAX(0.1,MIN(0.3,0.3-0.09*(AP430-36.8)))/2)</f>
        <v/>
      </c>
      <c r="AR430">
        <f>((AM430/$B$7+T429*AS429/2-T430*MAX(0.1,MIN(0.3,0.3-0.09*(AQ430-36.8)))/2)+AR429*(1-AS429/2))/(1-MAX(0.1,MIN(0.3,0.3-0.09*(AQ430-36.8)))/2)</f>
        <v/>
      </c>
      <c r="AS430">
        <f>MAX(0.1,MIN(0.3,0.3-0.09*(AR430-36.8)))</f>
        <v/>
      </c>
      <c r="AT430">
        <f>AT429+(2*AR430-1.962*AT429-1.31)/9</f>
        <v/>
      </c>
      <c r="AU430">
        <f>AU429+AG430+K430</f>
        <v/>
      </c>
      <c r="AV430">
        <f>AU430*2.67*$B$6/1.8/60</f>
        <v/>
      </c>
      <c r="AW430">
        <f>IF(AT430&gt;=$B$36,1,0)</f>
        <v/>
      </c>
      <c r="AX430">
        <f>IF(AV430&gt;=$B$21,1,0)</f>
        <v/>
      </c>
    </row>
    <row r="431">
      <c r="A431" t="n">
        <v>358</v>
      </c>
      <c r="B431">
        <f>MATCH(A431-1,$D$61:$D$68,1)</f>
        <v/>
      </c>
      <c r="C431">
        <f>INDEX($G$61:$G$68,B431)</f>
        <v/>
      </c>
      <c r="D431">
        <f>INDEX($L$61:$L$68,B431)</f>
        <v/>
      </c>
      <c r="E431">
        <f>INDEX($M$61:$M$68,B431)</f>
        <v/>
      </c>
      <c r="F431">
        <f>INDEX($N$61:$N$68,B431)</f>
        <v/>
      </c>
      <c r="G431">
        <f>INDEX($AA$61:$AA$68,B431)</f>
        <v/>
      </c>
      <c r="H431">
        <f>INDEX($X$61:$X$68,B431)</f>
        <v/>
      </c>
      <c r="I431">
        <f>INDEX($AF$61:$AF$68,B431)</f>
        <v/>
      </c>
      <c r="J431">
        <f>INDEX($AC$61:$AC$68,B431)</f>
        <v/>
      </c>
      <c r="K431">
        <f>INDEX($AD$61:$AD$68,B431)</f>
        <v/>
      </c>
      <c r="L431">
        <f>INDEX($AG$61:$AG$68,B431)</f>
        <v/>
      </c>
      <c r="M431">
        <f>INDEX($AH$61:$AH$68,B431)</f>
        <v/>
      </c>
      <c r="N431">
        <f>INDEX($AI$61:$AI$68,B431)</f>
        <v/>
      </c>
      <c r="O431">
        <f>O430*$B$26+L431*(1-$B$26)</f>
        <v/>
      </c>
      <c r="P431">
        <f>$B$7*(O431-O430)*(1-AS430)</f>
        <v/>
      </c>
      <c r="Q431">
        <f>M431+0.51274*AT430</f>
        <v/>
      </c>
      <c r="R431">
        <f>N431+0.616*AT430</f>
        <v/>
      </c>
      <c r="S431">
        <f>IF($B$13&gt;=0.6,Q431,IF($B$13&lt;=0.2,R431,R431+2.5*(Q431-R431)*($B$13-0.2)))</f>
        <v/>
      </c>
      <c r="T431">
        <f>IF(A431=1,S431,T430*$B$27+S431*(1-$B$27))</f>
        <v/>
      </c>
      <c r="U431">
        <f>0.6105*EXP(17.27*T431/(T431+237.3))</f>
        <v/>
      </c>
      <c r="V431">
        <f>($B$14*(I431*C431+IF(ABS((D431+0.1)-D431)&lt;0.000000001,4*$B$19*$B$20*(D431+273)^3,$B$19*$B$20*(((D431+0.1)+273)^4-(D431+273)^4)/((D431+0.1)-D431))*D431)+T431/H431)/($B$14*(I431+IF(ABS((D431+0.1)-D431)&lt;0.000000001,4*$B$19*$B$20*(D431+273)^3,$B$19*$B$20*(((D431+0.1)+273)^4-(D431+273)^4)/((D431+0.1)-D431)))+1/H431)</f>
        <v/>
      </c>
      <c r="W431">
        <f>($B$14*(I431*C431+IF(ABS(V431-D431)&lt;0.000000001,4*$B$19*$B$20*(D431+273)^3,$B$19*$B$20*((V431+273)^4-(D431+273)^4)/(V431-D431))*D431)+T431/H431)/($B$14*(I431+IF(ABS(V431-D431)&lt;0.000000001,4*$B$19*$B$20*(D431+273)^3,$B$19*$B$20*((V431+273)^4-(D431+273)^4)/(V431-D431)))+1/H431)</f>
        <v/>
      </c>
      <c r="X431">
        <f>($B$14*(I431*C431+IF(ABS(W431-D431)&lt;0.000000001,4*$B$19*$B$20*(D431+273)^3,$B$19*$B$20*((W431+273)^4-(D431+273)^4)/(W431-D431))*D431)+T431/H431)/($B$14*(I431+IF(ABS(W431-D431)&lt;0.000000001,4*$B$19*$B$20*(D431+273)^3,$B$19*$B$20*((W431+273)^4-(D431+273)^4)/(W431-D431)))+1/H431)</f>
        <v/>
      </c>
      <c r="Y431">
        <f>($B$14*(I431*C431+IF(ABS(X431-D431)&lt;0.000000001,4*$B$19*$B$20*(D431+273)^3,$B$19*$B$20*((X431+273)^4-(D431+273)^4)/(X431-D431))*D431)+T431/H431)/($B$14*(I431+IF(ABS(X431-D431)&lt;0.000000001,4*$B$19*$B$20*(D431+273)^3,$B$19*$B$20*((X431+273)^4-(D431+273)^4)/(X431-D431)))+1/H431)</f>
        <v/>
      </c>
      <c r="Z431">
        <f>IF(ABS(Y431-D431)&lt;0.000000001,4*$B$19*$B$20*(D431+273)^3,$B$19*$B$20*((Y431+273)^4-(D431+273)^4)/(Y431-D431))</f>
        <v/>
      </c>
      <c r="AA431">
        <f>$B$14*I431*(Y431-C431)</f>
        <v/>
      </c>
      <c r="AB431">
        <f>$B$14*Z431*(Y431-D431)</f>
        <v/>
      </c>
      <c r="AC431">
        <f>IF((U431-E431)/G431=0,0.001,(U431-E431)/G431)</f>
        <v/>
      </c>
      <c r="AD431">
        <f>F431-P431-J431-K431-AA431-AB431</f>
        <v/>
      </c>
      <c r="AE431">
        <f>AD431/AC431</f>
        <v/>
      </c>
      <c r="AF431">
        <f>IF(AD431&lt;=0,0,IF(AC431&lt;=0,$B$11,IF(AE431&gt;=1.7,$B$11,MIN(AD431/MAX(0.05,IF(AE431&gt;1,(2-AE431)^2/2,1-AE431^2/2)),$B$11))))</f>
        <v/>
      </c>
      <c r="AG431">
        <f>AG430*$B$28+AF431*(1-$B$28)</f>
        <v/>
      </c>
      <c r="AH431">
        <f>IF(AND(AD431&gt;0,AC431&lt;=0),0,AC431)</f>
        <v/>
      </c>
      <c r="AI431">
        <f>AH431/MAX(AG431,0.000001)</f>
        <v/>
      </c>
      <c r="AJ431">
        <f>MIN(IF(AI431&gt;=0.5,-AI431+SQRT(AI431^2+2),1),$B$12)</f>
        <v/>
      </c>
      <c r="AK431">
        <f>IF(AG431&lt;=0,0,AJ431*AH431)</f>
        <v/>
      </c>
      <c r="AL431">
        <f>IF(AD431&lt;=0,0,AD431)</f>
        <v/>
      </c>
      <c r="AM431">
        <f>AL431-AK431+P431</f>
        <v/>
      </c>
      <c r="AN431">
        <f>((AM431/$B$7+T430*AS430/2-T431*MAX(0.1,MIN(0.3,0.3-0.09*(AR430-36.8)))/2)+AR430*(1-AS430/2))/(1-MAX(0.1,MIN(0.3,0.3-0.09*(AR430-36.8)))/2)</f>
        <v/>
      </c>
      <c r="AO431">
        <f>((AM431/$B$7+T430*AS430/2-T431*MAX(0.1,MIN(0.3,0.3-0.09*(AN431-36.8)))/2)+AR430*(1-AS430/2))/(1-MAX(0.1,MIN(0.3,0.3-0.09*(AN431-36.8)))/2)</f>
        <v/>
      </c>
      <c r="AP431">
        <f>((AM431/$B$7+T430*AS430/2-T431*MAX(0.1,MIN(0.3,0.3-0.09*(AO431-36.8)))/2)+AR430*(1-AS430/2))/(1-MAX(0.1,MIN(0.3,0.3-0.09*(AO431-36.8)))/2)</f>
        <v/>
      </c>
      <c r="AQ431">
        <f>((AM431/$B$7+T430*AS430/2-T431*MAX(0.1,MIN(0.3,0.3-0.09*(AP431-36.8)))/2)+AR430*(1-AS430/2))/(1-MAX(0.1,MIN(0.3,0.3-0.09*(AP431-36.8)))/2)</f>
        <v/>
      </c>
      <c r="AR431">
        <f>((AM431/$B$7+T430*AS430/2-T431*MAX(0.1,MIN(0.3,0.3-0.09*(AQ431-36.8)))/2)+AR430*(1-AS430/2))/(1-MAX(0.1,MIN(0.3,0.3-0.09*(AQ431-36.8)))/2)</f>
        <v/>
      </c>
      <c r="AS431">
        <f>MAX(0.1,MIN(0.3,0.3-0.09*(AR431-36.8)))</f>
        <v/>
      </c>
      <c r="AT431">
        <f>AT430+(2*AR431-1.962*AT430-1.31)/9</f>
        <v/>
      </c>
      <c r="AU431">
        <f>AU430+AG431+K431</f>
        <v/>
      </c>
      <c r="AV431">
        <f>AU431*2.67*$B$6/1.8/60</f>
        <v/>
      </c>
      <c r="AW431">
        <f>IF(AT431&gt;=$B$36,1,0)</f>
        <v/>
      </c>
      <c r="AX431">
        <f>IF(AV431&gt;=$B$21,1,0)</f>
        <v/>
      </c>
    </row>
    <row r="432">
      <c r="A432" t="n">
        <v>359</v>
      </c>
      <c r="B432">
        <f>MATCH(A432-1,$D$61:$D$68,1)</f>
        <v/>
      </c>
      <c r="C432">
        <f>INDEX($G$61:$G$68,B432)</f>
        <v/>
      </c>
      <c r="D432">
        <f>INDEX($L$61:$L$68,B432)</f>
        <v/>
      </c>
      <c r="E432">
        <f>INDEX($M$61:$M$68,B432)</f>
        <v/>
      </c>
      <c r="F432">
        <f>INDEX($N$61:$N$68,B432)</f>
        <v/>
      </c>
      <c r="G432">
        <f>INDEX($AA$61:$AA$68,B432)</f>
        <v/>
      </c>
      <c r="H432">
        <f>INDEX($X$61:$X$68,B432)</f>
        <v/>
      </c>
      <c r="I432">
        <f>INDEX($AF$61:$AF$68,B432)</f>
        <v/>
      </c>
      <c r="J432">
        <f>INDEX($AC$61:$AC$68,B432)</f>
        <v/>
      </c>
      <c r="K432">
        <f>INDEX($AD$61:$AD$68,B432)</f>
        <v/>
      </c>
      <c r="L432">
        <f>INDEX($AG$61:$AG$68,B432)</f>
        <v/>
      </c>
      <c r="M432">
        <f>INDEX($AH$61:$AH$68,B432)</f>
        <v/>
      </c>
      <c r="N432">
        <f>INDEX($AI$61:$AI$68,B432)</f>
        <v/>
      </c>
      <c r="O432">
        <f>O431*$B$26+L432*(1-$B$26)</f>
        <v/>
      </c>
      <c r="P432">
        <f>$B$7*(O432-O431)*(1-AS431)</f>
        <v/>
      </c>
      <c r="Q432">
        <f>M432+0.51274*AT431</f>
        <v/>
      </c>
      <c r="R432">
        <f>N432+0.616*AT431</f>
        <v/>
      </c>
      <c r="S432">
        <f>IF($B$13&gt;=0.6,Q432,IF($B$13&lt;=0.2,R432,R432+2.5*(Q432-R432)*($B$13-0.2)))</f>
        <v/>
      </c>
      <c r="T432">
        <f>IF(A432=1,S432,T431*$B$27+S432*(1-$B$27))</f>
        <v/>
      </c>
      <c r="U432">
        <f>0.6105*EXP(17.27*T432/(T432+237.3))</f>
        <v/>
      </c>
      <c r="V432">
        <f>($B$14*(I432*C432+IF(ABS((D432+0.1)-D432)&lt;0.000000001,4*$B$19*$B$20*(D432+273)^3,$B$19*$B$20*(((D432+0.1)+273)^4-(D432+273)^4)/((D432+0.1)-D432))*D432)+T432/H432)/($B$14*(I432+IF(ABS((D432+0.1)-D432)&lt;0.000000001,4*$B$19*$B$20*(D432+273)^3,$B$19*$B$20*(((D432+0.1)+273)^4-(D432+273)^4)/((D432+0.1)-D432)))+1/H432)</f>
        <v/>
      </c>
      <c r="W432">
        <f>($B$14*(I432*C432+IF(ABS(V432-D432)&lt;0.000000001,4*$B$19*$B$20*(D432+273)^3,$B$19*$B$20*((V432+273)^4-(D432+273)^4)/(V432-D432))*D432)+T432/H432)/($B$14*(I432+IF(ABS(V432-D432)&lt;0.000000001,4*$B$19*$B$20*(D432+273)^3,$B$19*$B$20*((V432+273)^4-(D432+273)^4)/(V432-D432)))+1/H432)</f>
        <v/>
      </c>
      <c r="X432">
        <f>($B$14*(I432*C432+IF(ABS(W432-D432)&lt;0.000000001,4*$B$19*$B$20*(D432+273)^3,$B$19*$B$20*((W432+273)^4-(D432+273)^4)/(W432-D432))*D432)+T432/H432)/($B$14*(I432+IF(ABS(W432-D432)&lt;0.000000001,4*$B$19*$B$20*(D432+273)^3,$B$19*$B$20*((W432+273)^4-(D432+273)^4)/(W432-D432)))+1/H432)</f>
        <v/>
      </c>
      <c r="Y432">
        <f>($B$14*(I432*C432+IF(ABS(X432-D432)&lt;0.000000001,4*$B$19*$B$20*(D432+273)^3,$B$19*$B$20*((X432+273)^4-(D432+273)^4)/(X432-D432))*D432)+T432/H432)/($B$14*(I432+IF(ABS(X432-D432)&lt;0.000000001,4*$B$19*$B$20*(D432+273)^3,$B$19*$B$20*((X432+273)^4-(D432+273)^4)/(X432-D432)))+1/H432)</f>
        <v/>
      </c>
      <c r="Z432">
        <f>IF(ABS(Y432-D432)&lt;0.000000001,4*$B$19*$B$20*(D432+273)^3,$B$19*$B$20*((Y432+273)^4-(D432+273)^4)/(Y432-D432))</f>
        <v/>
      </c>
      <c r="AA432">
        <f>$B$14*I432*(Y432-C432)</f>
        <v/>
      </c>
      <c r="AB432">
        <f>$B$14*Z432*(Y432-D432)</f>
        <v/>
      </c>
      <c r="AC432">
        <f>IF((U432-E432)/G432=0,0.001,(U432-E432)/G432)</f>
        <v/>
      </c>
      <c r="AD432">
        <f>F432-P432-J432-K432-AA432-AB432</f>
        <v/>
      </c>
      <c r="AE432">
        <f>AD432/AC432</f>
        <v/>
      </c>
      <c r="AF432">
        <f>IF(AD432&lt;=0,0,IF(AC432&lt;=0,$B$11,IF(AE432&gt;=1.7,$B$11,MIN(AD432/MAX(0.05,IF(AE432&gt;1,(2-AE432)^2/2,1-AE432^2/2)),$B$11))))</f>
        <v/>
      </c>
      <c r="AG432">
        <f>AG431*$B$28+AF432*(1-$B$28)</f>
        <v/>
      </c>
      <c r="AH432">
        <f>IF(AND(AD432&gt;0,AC432&lt;=0),0,AC432)</f>
        <v/>
      </c>
      <c r="AI432">
        <f>AH432/MAX(AG432,0.000001)</f>
        <v/>
      </c>
      <c r="AJ432">
        <f>MIN(IF(AI432&gt;=0.5,-AI432+SQRT(AI432^2+2),1),$B$12)</f>
        <v/>
      </c>
      <c r="AK432">
        <f>IF(AG432&lt;=0,0,AJ432*AH432)</f>
        <v/>
      </c>
      <c r="AL432">
        <f>IF(AD432&lt;=0,0,AD432)</f>
        <v/>
      </c>
      <c r="AM432">
        <f>AL432-AK432+P432</f>
        <v/>
      </c>
      <c r="AN432">
        <f>((AM432/$B$7+T431*AS431/2-T432*MAX(0.1,MIN(0.3,0.3-0.09*(AR431-36.8)))/2)+AR431*(1-AS431/2))/(1-MAX(0.1,MIN(0.3,0.3-0.09*(AR431-36.8)))/2)</f>
        <v/>
      </c>
      <c r="AO432">
        <f>((AM432/$B$7+T431*AS431/2-T432*MAX(0.1,MIN(0.3,0.3-0.09*(AN432-36.8)))/2)+AR431*(1-AS431/2))/(1-MAX(0.1,MIN(0.3,0.3-0.09*(AN432-36.8)))/2)</f>
        <v/>
      </c>
      <c r="AP432">
        <f>((AM432/$B$7+T431*AS431/2-T432*MAX(0.1,MIN(0.3,0.3-0.09*(AO432-36.8)))/2)+AR431*(1-AS431/2))/(1-MAX(0.1,MIN(0.3,0.3-0.09*(AO432-36.8)))/2)</f>
        <v/>
      </c>
      <c r="AQ432">
        <f>((AM432/$B$7+T431*AS431/2-T432*MAX(0.1,MIN(0.3,0.3-0.09*(AP432-36.8)))/2)+AR431*(1-AS431/2))/(1-MAX(0.1,MIN(0.3,0.3-0.09*(AP432-36.8)))/2)</f>
        <v/>
      </c>
      <c r="AR432">
        <f>((AM432/$B$7+T431*AS431/2-T432*MAX(0.1,MIN(0.3,0.3-0.09*(AQ432-36.8)))/2)+AR431*(1-AS431/2))/(1-MAX(0.1,MIN(0.3,0.3-0.09*(AQ432-36.8)))/2)</f>
        <v/>
      </c>
      <c r="AS432">
        <f>MAX(0.1,MIN(0.3,0.3-0.09*(AR432-36.8)))</f>
        <v/>
      </c>
      <c r="AT432">
        <f>AT431+(2*AR432-1.962*AT431-1.31)/9</f>
        <v/>
      </c>
      <c r="AU432">
        <f>AU431+AG432+K432</f>
        <v/>
      </c>
      <c r="AV432">
        <f>AU432*2.67*$B$6/1.8/60</f>
        <v/>
      </c>
      <c r="AW432">
        <f>IF(AT432&gt;=$B$36,1,0)</f>
        <v/>
      </c>
      <c r="AX432">
        <f>IF(AV432&gt;=$B$21,1,0)</f>
        <v/>
      </c>
    </row>
    <row r="433">
      <c r="A433" t="n">
        <v>360</v>
      </c>
      <c r="B433">
        <f>MATCH(A433-1,$D$61:$D$68,1)</f>
        <v/>
      </c>
      <c r="C433">
        <f>INDEX($G$61:$G$68,B433)</f>
        <v/>
      </c>
      <c r="D433">
        <f>INDEX($L$61:$L$68,B433)</f>
        <v/>
      </c>
      <c r="E433">
        <f>INDEX($M$61:$M$68,B433)</f>
        <v/>
      </c>
      <c r="F433">
        <f>INDEX($N$61:$N$68,B433)</f>
        <v/>
      </c>
      <c r="G433">
        <f>INDEX($AA$61:$AA$68,B433)</f>
        <v/>
      </c>
      <c r="H433">
        <f>INDEX($X$61:$X$68,B433)</f>
        <v/>
      </c>
      <c r="I433">
        <f>INDEX($AF$61:$AF$68,B433)</f>
        <v/>
      </c>
      <c r="J433">
        <f>INDEX($AC$61:$AC$68,B433)</f>
        <v/>
      </c>
      <c r="K433">
        <f>INDEX($AD$61:$AD$68,B433)</f>
        <v/>
      </c>
      <c r="L433">
        <f>INDEX($AG$61:$AG$68,B433)</f>
        <v/>
      </c>
      <c r="M433">
        <f>INDEX($AH$61:$AH$68,B433)</f>
        <v/>
      </c>
      <c r="N433">
        <f>INDEX($AI$61:$AI$68,B433)</f>
        <v/>
      </c>
      <c r="O433">
        <f>O432*$B$26+L433*(1-$B$26)</f>
        <v/>
      </c>
      <c r="P433">
        <f>$B$7*(O433-O432)*(1-AS432)</f>
        <v/>
      </c>
      <c r="Q433">
        <f>M433+0.51274*AT432</f>
        <v/>
      </c>
      <c r="R433">
        <f>N433+0.616*AT432</f>
        <v/>
      </c>
      <c r="S433">
        <f>IF($B$13&gt;=0.6,Q433,IF($B$13&lt;=0.2,R433,R433+2.5*(Q433-R433)*($B$13-0.2)))</f>
        <v/>
      </c>
      <c r="T433">
        <f>IF(A433=1,S433,T432*$B$27+S433*(1-$B$27))</f>
        <v/>
      </c>
      <c r="U433">
        <f>0.6105*EXP(17.27*T433/(T433+237.3))</f>
        <v/>
      </c>
      <c r="V433">
        <f>($B$14*(I433*C433+IF(ABS((D433+0.1)-D433)&lt;0.000000001,4*$B$19*$B$20*(D433+273)^3,$B$19*$B$20*(((D433+0.1)+273)^4-(D433+273)^4)/((D433+0.1)-D433))*D433)+T433/H433)/($B$14*(I433+IF(ABS((D433+0.1)-D433)&lt;0.000000001,4*$B$19*$B$20*(D433+273)^3,$B$19*$B$20*(((D433+0.1)+273)^4-(D433+273)^4)/((D433+0.1)-D433)))+1/H433)</f>
        <v/>
      </c>
      <c r="W433">
        <f>($B$14*(I433*C433+IF(ABS(V433-D433)&lt;0.000000001,4*$B$19*$B$20*(D433+273)^3,$B$19*$B$20*((V433+273)^4-(D433+273)^4)/(V433-D433))*D433)+T433/H433)/($B$14*(I433+IF(ABS(V433-D433)&lt;0.000000001,4*$B$19*$B$20*(D433+273)^3,$B$19*$B$20*((V433+273)^4-(D433+273)^4)/(V433-D433)))+1/H433)</f>
        <v/>
      </c>
      <c r="X433">
        <f>($B$14*(I433*C433+IF(ABS(W433-D433)&lt;0.000000001,4*$B$19*$B$20*(D433+273)^3,$B$19*$B$20*((W433+273)^4-(D433+273)^4)/(W433-D433))*D433)+T433/H433)/($B$14*(I433+IF(ABS(W433-D433)&lt;0.000000001,4*$B$19*$B$20*(D433+273)^3,$B$19*$B$20*((W433+273)^4-(D433+273)^4)/(W433-D433)))+1/H433)</f>
        <v/>
      </c>
      <c r="Y433">
        <f>($B$14*(I433*C433+IF(ABS(X433-D433)&lt;0.000000001,4*$B$19*$B$20*(D433+273)^3,$B$19*$B$20*((X433+273)^4-(D433+273)^4)/(X433-D433))*D433)+T433/H433)/($B$14*(I433+IF(ABS(X433-D433)&lt;0.000000001,4*$B$19*$B$20*(D433+273)^3,$B$19*$B$20*((X433+273)^4-(D433+273)^4)/(X433-D433)))+1/H433)</f>
        <v/>
      </c>
      <c r="Z433">
        <f>IF(ABS(Y433-D433)&lt;0.000000001,4*$B$19*$B$20*(D433+273)^3,$B$19*$B$20*((Y433+273)^4-(D433+273)^4)/(Y433-D433))</f>
        <v/>
      </c>
      <c r="AA433">
        <f>$B$14*I433*(Y433-C433)</f>
        <v/>
      </c>
      <c r="AB433">
        <f>$B$14*Z433*(Y433-D433)</f>
        <v/>
      </c>
      <c r="AC433">
        <f>IF((U433-E433)/G433=0,0.001,(U433-E433)/G433)</f>
        <v/>
      </c>
      <c r="AD433">
        <f>F433-P433-J433-K433-AA433-AB433</f>
        <v/>
      </c>
      <c r="AE433">
        <f>AD433/AC433</f>
        <v/>
      </c>
      <c r="AF433">
        <f>IF(AD433&lt;=0,0,IF(AC433&lt;=0,$B$11,IF(AE433&gt;=1.7,$B$11,MIN(AD433/MAX(0.05,IF(AE433&gt;1,(2-AE433)^2/2,1-AE433^2/2)),$B$11))))</f>
        <v/>
      </c>
      <c r="AG433">
        <f>AG432*$B$28+AF433*(1-$B$28)</f>
        <v/>
      </c>
      <c r="AH433">
        <f>IF(AND(AD433&gt;0,AC433&lt;=0),0,AC433)</f>
        <v/>
      </c>
      <c r="AI433">
        <f>AH433/MAX(AG433,0.000001)</f>
        <v/>
      </c>
      <c r="AJ433">
        <f>MIN(IF(AI433&gt;=0.5,-AI433+SQRT(AI433^2+2),1),$B$12)</f>
        <v/>
      </c>
      <c r="AK433">
        <f>IF(AG433&lt;=0,0,AJ433*AH433)</f>
        <v/>
      </c>
      <c r="AL433">
        <f>IF(AD433&lt;=0,0,AD433)</f>
        <v/>
      </c>
      <c r="AM433">
        <f>AL433-AK433+P433</f>
        <v/>
      </c>
      <c r="AN433">
        <f>((AM433/$B$7+T432*AS432/2-T433*MAX(0.1,MIN(0.3,0.3-0.09*(AR432-36.8)))/2)+AR432*(1-AS432/2))/(1-MAX(0.1,MIN(0.3,0.3-0.09*(AR432-36.8)))/2)</f>
        <v/>
      </c>
      <c r="AO433">
        <f>((AM433/$B$7+T432*AS432/2-T433*MAX(0.1,MIN(0.3,0.3-0.09*(AN433-36.8)))/2)+AR432*(1-AS432/2))/(1-MAX(0.1,MIN(0.3,0.3-0.09*(AN433-36.8)))/2)</f>
        <v/>
      </c>
      <c r="AP433">
        <f>((AM433/$B$7+T432*AS432/2-T433*MAX(0.1,MIN(0.3,0.3-0.09*(AO433-36.8)))/2)+AR432*(1-AS432/2))/(1-MAX(0.1,MIN(0.3,0.3-0.09*(AO433-36.8)))/2)</f>
        <v/>
      </c>
      <c r="AQ433">
        <f>((AM433/$B$7+T432*AS432/2-T433*MAX(0.1,MIN(0.3,0.3-0.09*(AP433-36.8)))/2)+AR432*(1-AS432/2))/(1-MAX(0.1,MIN(0.3,0.3-0.09*(AP433-36.8)))/2)</f>
        <v/>
      </c>
      <c r="AR433">
        <f>((AM433/$B$7+T432*AS432/2-T433*MAX(0.1,MIN(0.3,0.3-0.09*(AQ433-36.8)))/2)+AR432*(1-AS432/2))/(1-MAX(0.1,MIN(0.3,0.3-0.09*(AQ433-36.8)))/2)</f>
        <v/>
      </c>
      <c r="AS433">
        <f>MAX(0.1,MIN(0.3,0.3-0.09*(AR433-36.8)))</f>
        <v/>
      </c>
      <c r="AT433">
        <f>AT432+(2*AR433-1.962*AT432-1.31)/9</f>
        <v/>
      </c>
      <c r="AU433">
        <f>AU432+AG433+K433</f>
        <v/>
      </c>
      <c r="AV433">
        <f>AU433*2.67*$B$6/1.8/60</f>
        <v/>
      </c>
      <c r="AW433">
        <f>IF(AT433&gt;=$B$36,1,0)</f>
        <v/>
      </c>
      <c r="AX433">
        <f>IF(AV433&gt;=$B$21,1,0)</f>
        <v/>
      </c>
    </row>
    <row r="434">
      <c r="A434" t="n">
        <v>361</v>
      </c>
      <c r="B434">
        <f>MATCH(A434-1,$D$61:$D$68,1)</f>
        <v/>
      </c>
      <c r="C434">
        <f>INDEX($G$61:$G$68,B434)</f>
        <v/>
      </c>
      <c r="D434">
        <f>INDEX($L$61:$L$68,B434)</f>
        <v/>
      </c>
      <c r="E434">
        <f>INDEX($M$61:$M$68,B434)</f>
        <v/>
      </c>
      <c r="F434">
        <f>INDEX($N$61:$N$68,B434)</f>
        <v/>
      </c>
      <c r="G434">
        <f>INDEX($AA$61:$AA$68,B434)</f>
        <v/>
      </c>
      <c r="H434">
        <f>INDEX($X$61:$X$68,B434)</f>
        <v/>
      </c>
      <c r="I434">
        <f>INDEX($AF$61:$AF$68,B434)</f>
        <v/>
      </c>
      <c r="J434">
        <f>INDEX($AC$61:$AC$68,B434)</f>
        <v/>
      </c>
      <c r="K434">
        <f>INDEX($AD$61:$AD$68,B434)</f>
        <v/>
      </c>
      <c r="L434">
        <f>INDEX($AG$61:$AG$68,B434)</f>
        <v/>
      </c>
      <c r="M434">
        <f>INDEX($AH$61:$AH$68,B434)</f>
        <v/>
      </c>
      <c r="N434">
        <f>INDEX($AI$61:$AI$68,B434)</f>
        <v/>
      </c>
      <c r="O434">
        <f>O433*$B$26+L434*(1-$B$26)</f>
        <v/>
      </c>
      <c r="P434">
        <f>$B$7*(O434-O433)*(1-AS433)</f>
        <v/>
      </c>
      <c r="Q434">
        <f>M434+0.51274*AT433</f>
        <v/>
      </c>
      <c r="R434">
        <f>N434+0.616*AT433</f>
        <v/>
      </c>
      <c r="S434">
        <f>IF($B$13&gt;=0.6,Q434,IF($B$13&lt;=0.2,R434,R434+2.5*(Q434-R434)*($B$13-0.2)))</f>
        <v/>
      </c>
      <c r="T434">
        <f>IF(A434=1,S434,T433*$B$27+S434*(1-$B$27))</f>
        <v/>
      </c>
      <c r="U434">
        <f>0.6105*EXP(17.27*T434/(T434+237.3))</f>
        <v/>
      </c>
      <c r="V434">
        <f>($B$14*(I434*C434+IF(ABS((D434+0.1)-D434)&lt;0.000000001,4*$B$19*$B$20*(D434+273)^3,$B$19*$B$20*(((D434+0.1)+273)^4-(D434+273)^4)/((D434+0.1)-D434))*D434)+T434/H434)/($B$14*(I434+IF(ABS((D434+0.1)-D434)&lt;0.000000001,4*$B$19*$B$20*(D434+273)^3,$B$19*$B$20*(((D434+0.1)+273)^4-(D434+273)^4)/((D434+0.1)-D434)))+1/H434)</f>
        <v/>
      </c>
      <c r="W434">
        <f>($B$14*(I434*C434+IF(ABS(V434-D434)&lt;0.000000001,4*$B$19*$B$20*(D434+273)^3,$B$19*$B$20*((V434+273)^4-(D434+273)^4)/(V434-D434))*D434)+T434/H434)/($B$14*(I434+IF(ABS(V434-D434)&lt;0.000000001,4*$B$19*$B$20*(D434+273)^3,$B$19*$B$20*((V434+273)^4-(D434+273)^4)/(V434-D434)))+1/H434)</f>
        <v/>
      </c>
      <c r="X434">
        <f>($B$14*(I434*C434+IF(ABS(W434-D434)&lt;0.000000001,4*$B$19*$B$20*(D434+273)^3,$B$19*$B$20*((W434+273)^4-(D434+273)^4)/(W434-D434))*D434)+T434/H434)/($B$14*(I434+IF(ABS(W434-D434)&lt;0.000000001,4*$B$19*$B$20*(D434+273)^3,$B$19*$B$20*((W434+273)^4-(D434+273)^4)/(W434-D434)))+1/H434)</f>
        <v/>
      </c>
      <c r="Y434">
        <f>($B$14*(I434*C434+IF(ABS(X434-D434)&lt;0.000000001,4*$B$19*$B$20*(D434+273)^3,$B$19*$B$20*((X434+273)^4-(D434+273)^4)/(X434-D434))*D434)+T434/H434)/($B$14*(I434+IF(ABS(X434-D434)&lt;0.000000001,4*$B$19*$B$20*(D434+273)^3,$B$19*$B$20*((X434+273)^4-(D434+273)^4)/(X434-D434)))+1/H434)</f>
        <v/>
      </c>
      <c r="Z434">
        <f>IF(ABS(Y434-D434)&lt;0.000000001,4*$B$19*$B$20*(D434+273)^3,$B$19*$B$20*((Y434+273)^4-(D434+273)^4)/(Y434-D434))</f>
        <v/>
      </c>
      <c r="AA434">
        <f>$B$14*I434*(Y434-C434)</f>
        <v/>
      </c>
      <c r="AB434">
        <f>$B$14*Z434*(Y434-D434)</f>
        <v/>
      </c>
      <c r="AC434">
        <f>IF((U434-E434)/G434=0,0.001,(U434-E434)/G434)</f>
        <v/>
      </c>
      <c r="AD434">
        <f>F434-P434-J434-K434-AA434-AB434</f>
        <v/>
      </c>
      <c r="AE434">
        <f>AD434/AC434</f>
        <v/>
      </c>
      <c r="AF434">
        <f>IF(AD434&lt;=0,0,IF(AC434&lt;=0,$B$11,IF(AE434&gt;=1.7,$B$11,MIN(AD434/MAX(0.05,IF(AE434&gt;1,(2-AE434)^2/2,1-AE434^2/2)),$B$11))))</f>
        <v/>
      </c>
      <c r="AG434">
        <f>AG433*$B$28+AF434*(1-$B$28)</f>
        <v/>
      </c>
      <c r="AH434">
        <f>IF(AND(AD434&gt;0,AC434&lt;=0),0,AC434)</f>
        <v/>
      </c>
      <c r="AI434">
        <f>AH434/MAX(AG434,0.000001)</f>
        <v/>
      </c>
      <c r="AJ434">
        <f>MIN(IF(AI434&gt;=0.5,-AI434+SQRT(AI434^2+2),1),$B$12)</f>
        <v/>
      </c>
      <c r="AK434">
        <f>IF(AG434&lt;=0,0,AJ434*AH434)</f>
        <v/>
      </c>
      <c r="AL434">
        <f>IF(AD434&lt;=0,0,AD434)</f>
        <v/>
      </c>
      <c r="AM434">
        <f>AL434-AK434+P434</f>
        <v/>
      </c>
      <c r="AN434">
        <f>((AM434/$B$7+T433*AS433/2-T434*MAX(0.1,MIN(0.3,0.3-0.09*(AR433-36.8)))/2)+AR433*(1-AS433/2))/(1-MAX(0.1,MIN(0.3,0.3-0.09*(AR433-36.8)))/2)</f>
        <v/>
      </c>
      <c r="AO434">
        <f>((AM434/$B$7+T433*AS433/2-T434*MAX(0.1,MIN(0.3,0.3-0.09*(AN434-36.8)))/2)+AR433*(1-AS433/2))/(1-MAX(0.1,MIN(0.3,0.3-0.09*(AN434-36.8)))/2)</f>
        <v/>
      </c>
      <c r="AP434">
        <f>((AM434/$B$7+T433*AS433/2-T434*MAX(0.1,MIN(0.3,0.3-0.09*(AO434-36.8)))/2)+AR433*(1-AS433/2))/(1-MAX(0.1,MIN(0.3,0.3-0.09*(AO434-36.8)))/2)</f>
        <v/>
      </c>
      <c r="AQ434">
        <f>((AM434/$B$7+T433*AS433/2-T434*MAX(0.1,MIN(0.3,0.3-0.09*(AP434-36.8)))/2)+AR433*(1-AS433/2))/(1-MAX(0.1,MIN(0.3,0.3-0.09*(AP434-36.8)))/2)</f>
        <v/>
      </c>
      <c r="AR434">
        <f>((AM434/$B$7+T433*AS433/2-T434*MAX(0.1,MIN(0.3,0.3-0.09*(AQ434-36.8)))/2)+AR433*(1-AS433/2))/(1-MAX(0.1,MIN(0.3,0.3-0.09*(AQ434-36.8)))/2)</f>
        <v/>
      </c>
      <c r="AS434">
        <f>MAX(0.1,MIN(0.3,0.3-0.09*(AR434-36.8)))</f>
        <v/>
      </c>
      <c r="AT434">
        <f>AT433+(2*AR434-1.962*AT433-1.31)/9</f>
        <v/>
      </c>
      <c r="AU434">
        <f>AU433+AG434+K434</f>
        <v/>
      </c>
      <c r="AV434">
        <f>AU434*2.67*$B$6/1.8/60</f>
        <v/>
      </c>
      <c r="AW434">
        <f>IF(AT434&gt;=$B$36,1,0)</f>
        <v/>
      </c>
      <c r="AX434">
        <f>IF(AV434&gt;=$B$21,1,0)</f>
        <v/>
      </c>
    </row>
    <row r="435">
      <c r="A435" t="n">
        <v>362</v>
      </c>
      <c r="B435">
        <f>MATCH(A435-1,$D$61:$D$68,1)</f>
        <v/>
      </c>
      <c r="C435">
        <f>INDEX($G$61:$G$68,B435)</f>
        <v/>
      </c>
      <c r="D435">
        <f>INDEX($L$61:$L$68,B435)</f>
        <v/>
      </c>
      <c r="E435">
        <f>INDEX($M$61:$M$68,B435)</f>
        <v/>
      </c>
      <c r="F435">
        <f>INDEX($N$61:$N$68,B435)</f>
        <v/>
      </c>
      <c r="G435">
        <f>INDEX($AA$61:$AA$68,B435)</f>
        <v/>
      </c>
      <c r="H435">
        <f>INDEX($X$61:$X$68,B435)</f>
        <v/>
      </c>
      <c r="I435">
        <f>INDEX($AF$61:$AF$68,B435)</f>
        <v/>
      </c>
      <c r="J435">
        <f>INDEX($AC$61:$AC$68,B435)</f>
        <v/>
      </c>
      <c r="K435">
        <f>INDEX($AD$61:$AD$68,B435)</f>
        <v/>
      </c>
      <c r="L435">
        <f>INDEX($AG$61:$AG$68,B435)</f>
        <v/>
      </c>
      <c r="M435">
        <f>INDEX($AH$61:$AH$68,B435)</f>
        <v/>
      </c>
      <c r="N435">
        <f>INDEX($AI$61:$AI$68,B435)</f>
        <v/>
      </c>
      <c r="O435">
        <f>O434*$B$26+L435*(1-$B$26)</f>
        <v/>
      </c>
      <c r="P435">
        <f>$B$7*(O435-O434)*(1-AS434)</f>
        <v/>
      </c>
      <c r="Q435">
        <f>M435+0.51274*AT434</f>
        <v/>
      </c>
      <c r="R435">
        <f>N435+0.616*AT434</f>
        <v/>
      </c>
      <c r="S435">
        <f>IF($B$13&gt;=0.6,Q435,IF($B$13&lt;=0.2,R435,R435+2.5*(Q435-R435)*($B$13-0.2)))</f>
        <v/>
      </c>
      <c r="T435">
        <f>IF(A435=1,S435,T434*$B$27+S435*(1-$B$27))</f>
        <v/>
      </c>
      <c r="U435">
        <f>0.6105*EXP(17.27*T435/(T435+237.3))</f>
        <v/>
      </c>
      <c r="V435">
        <f>($B$14*(I435*C435+IF(ABS((D435+0.1)-D435)&lt;0.000000001,4*$B$19*$B$20*(D435+273)^3,$B$19*$B$20*(((D435+0.1)+273)^4-(D435+273)^4)/((D435+0.1)-D435))*D435)+T435/H435)/($B$14*(I435+IF(ABS((D435+0.1)-D435)&lt;0.000000001,4*$B$19*$B$20*(D435+273)^3,$B$19*$B$20*(((D435+0.1)+273)^4-(D435+273)^4)/((D435+0.1)-D435)))+1/H435)</f>
        <v/>
      </c>
      <c r="W435">
        <f>($B$14*(I435*C435+IF(ABS(V435-D435)&lt;0.000000001,4*$B$19*$B$20*(D435+273)^3,$B$19*$B$20*((V435+273)^4-(D435+273)^4)/(V435-D435))*D435)+T435/H435)/($B$14*(I435+IF(ABS(V435-D435)&lt;0.000000001,4*$B$19*$B$20*(D435+273)^3,$B$19*$B$20*((V435+273)^4-(D435+273)^4)/(V435-D435)))+1/H435)</f>
        <v/>
      </c>
      <c r="X435">
        <f>($B$14*(I435*C435+IF(ABS(W435-D435)&lt;0.000000001,4*$B$19*$B$20*(D435+273)^3,$B$19*$B$20*((W435+273)^4-(D435+273)^4)/(W435-D435))*D435)+T435/H435)/($B$14*(I435+IF(ABS(W435-D435)&lt;0.000000001,4*$B$19*$B$20*(D435+273)^3,$B$19*$B$20*((W435+273)^4-(D435+273)^4)/(W435-D435)))+1/H435)</f>
        <v/>
      </c>
      <c r="Y435">
        <f>($B$14*(I435*C435+IF(ABS(X435-D435)&lt;0.000000001,4*$B$19*$B$20*(D435+273)^3,$B$19*$B$20*((X435+273)^4-(D435+273)^4)/(X435-D435))*D435)+T435/H435)/($B$14*(I435+IF(ABS(X435-D435)&lt;0.000000001,4*$B$19*$B$20*(D435+273)^3,$B$19*$B$20*((X435+273)^4-(D435+273)^4)/(X435-D435)))+1/H435)</f>
        <v/>
      </c>
      <c r="Z435">
        <f>IF(ABS(Y435-D435)&lt;0.000000001,4*$B$19*$B$20*(D435+273)^3,$B$19*$B$20*((Y435+273)^4-(D435+273)^4)/(Y435-D435))</f>
        <v/>
      </c>
      <c r="AA435">
        <f>$B$14*I435*(Y435-C435)</f>
        <v/>
      </c>
      <c r="AB435">
        <f>$B$14*Z435*(Y435-D435)</f>
        <v/>
      </c>
      <c r="AC435">
        <f>IF((U435-E435)/G435=0,0.001,(U435-E435)/G435)</f>
        <v/>
      </c>
      <c r="AD435">
        <f>F435-P435-J435-K435-AA435-AB435</f>
        <v/>
      </c>
      <c r="AE435">
        <f>AD435/AC435</f>
        <v/>
      </c>
      <c r="AF435">
        <f>IF(AD435&lt;=0,0,IF(AC435&lt;=0,$B$11,IF(AE435&gt;=1.7,$B$11,MIN(AD435/MAX(0.05,IF(AE435&gt;1,(2-AE435)^2/2,1-AE435^2/2)),$B$11))))</f>
        <v/>
      </c>
      <c r="AG435">
        <f>AG434*$B$28+AF435*(1-$B$28)</f>
        <v/>
      </c>
      <c r="AH435">
        <f>IF(AND(AD435&gt;0,AC435&lt;=0),0,AC435)</f>
        <v/>
      </c>
      <c r="AI435">
        <f>AH435/MAX(AG435,0.000001)</f>
        <v/>
      </c>
      <c r="AJ435">
        <f>MIN(IF(AI435&gt;=0.5,-AI435+SQRT(AI435^2+2),1),$B$12)</f>
        <v/>
      </c>
      <c r="AK435">
        <f>IF(AG435&lt;=0,0,AJ435*AH435)</f>
        <v/>
      </c>
      <c r="AL435">
        <f>IF(AD435&lt;=0,0,AD435)</f>
        <v/>
      </c>
      <c r="AM435">
        <f>AL435-AK435+P435</f>
        <v/>
      </c>
      <c r="AN435">
        <f>((AM435/$B$7+T434*AS434/2-T435*MAX(0.1,MIN(0.3,0.3-0.09*(AR434-36.8)))/2)+AR434*(1-AS434/2))/(1-MAX(0.1,MIN(0.3,0.3-0.09*(AR434-36.8)))/2)</f>
        <v/>
      </c>
      <c r="AO435">
        <f>((AM435/$B$7+T434*AS434/2-T435*MAX(0.1,MIN(0.3,0.3-0.09*(AN435-36.8)))/2)+AR434*(1-AS434/2))/(1-MAX(0.1,MIN(0.3,0.3-0.09*(AN435-36.8)))/2)</f>
        <v/>
      </c>
      <c r="AP435">
        <f>((AM435/$B$7+T434*AS434/2-T435*MAX(0.1,MIN(0.3,0.3-0.09*(AO435-36.8)))/2)+AR434*(1-AS434/2))/(1-MAX(0.1,MIN(0.3,0.3-0.09*(AO435-36.8)))/2)</f>
        <v/>
      </c>
      <c r="AQ435">
        <f>((AM435/$B$7+T434*AS434/2-T435*MAX(0.1,MIN(0.3,0.3-0.09*(AP435-36.8)))/2)+AR434*(1-AS434/2))/(1-MAX(0.1,MIN(0.3,0.3-0.09*(AP435-36.8)))/2)</f>
        <v/>
      </c>
      <c r="AR435">
        <f>((AM435/$B$7+T434*AS434/2-T435*MAX(0.1,MIN(0.3,0.3-0.09*(AQ435-36.8)))/2)+AR434*(1-AS434/2))/(1-MAX(0.1,MIN(0.3,0.3-0.09*(AQ435-36.8)))/2)</f>
        <v/>
      </c>
      <c r="AS435">
        <f>MAX(0.1,MIN(0.3,0.3-0.09*(AR435-36.8)))</f>
        <v/>
      </c>
      <c r="AT435">
        <f>AT434+(2*AR435-1.962*AT434-1.31)/9</f>
        <v/>
      </c>
      <c r="AU435">
        <f>AU434+AG435+K435</f>
        <v/>
      </c>
      <c r="AV435">
        <f>AU435*2.67*$B$6/1.8/60</f>
        <v/>
      </c>
      <c r="AW435">
        <f>IF(AT435&gt;=$B$36,1,0)</f>
        <v/>
      </c>
      <c r="AX435">
        <f>IF(AV435&gt;=$B$21,1,0)</f>
        <v/>
      </c>
    </row>
    <row r="436">
      <c r="A436" t="n">
        <v>363</v>
      </c>
      <c r="B436">
        <f>MATCH(A436-1,$D$61:$D$68,1)</f>
        <v/>
      </c>
      <c r="C436">
        <f>INDEX($G$61:$G$68,B436)</f>
        <v/>
      </c>
      <c r="D436">
        <f>INDEX($L$61:$L$68,B436)</f>
        <v/>
      </c>
      <c r="E436">
        <f>INDEX($M$61:$M$68,B436)</f>
        <v/>
      </c>
      <c r="F436">
        <f>INDEX($N$61:$N$68,B436)</f>
        <v/>
      </c>
      <c r="G436">
        <f>INDEX($AA$61:$AA$68,B436)</f>
        <v/>
      </c>
      <c r="H436">
        <f>INDEX($X$61:$X$68,B436)</f>
        <v/>
      </c>
      <c r="I436">
        <f>INDEX($AF$61:$AF$68,B436)</f>
        <v/>
      </c>
      <c r="J436">
        <f>INDEX($AC$61:$AC$68,B436)</f>
        <v/>
      </c>
      <c r="K436">
        <f>INDEX($AD$61:$AD$68,B436)</f>
        <v/>
      </c>
      <c r="L436">
        <f>INDEX($AG$61:$AG$68,B436)</f>
        <v/>
      </c>
      <c r="M436">
        <f>INDEX($AH$61:$AH$68,B436)</f>
        <v/>
      </c>
      <c r="N436">
        <f>INDEX($AI$61:$AI$68,B436)</f>
        <v/>
      </c>
      <c r="O436">
        <f>O435*$B$26+L436*(1-$B$26)</f>
        <v/>
      </c>
      <c r="P436">
        <f>$B$7*(O436-O435)*(1-AS435)</f>
        <v/>
      </c>
      <c r="Q436">
        <f>M436+0.51274*AT435</f>
        <v/>
      </c>
      <c r="R436">
        <f>N436+0.616*AT435</f>
        <v/>
      </c>
      <c r="S436">
        <f>IF($B$13&gt;=0.6,Q436,IF($B$13&lt;=0.2,R436,R436+2.5*(Q436-R436)*($B$13-0.2)))</f>
        <v/>
      </c>
      <c r="T436">
        <f>IF(A436=1,S436,T435*$B$27+S436*(1-$B$27))</f>
        <v/>
      </c>
      <c r="U436">
        <f>0.6105*EXP(17.27*T436/(T436+237.3))</f>
        <v/>
      </c>
      <c r="V436">
        <f>($B$14*(I436*C436+IF(ABS((D436+0.1)-D436)&lt;0.000000001,4*$B$19*$B$20*(D436+273)^3,$B$19*$B$20*(((D436+0.1)+273)^4-(D436+273)^4)/((D436+0.1)-D436))*D436)+T436/H436)/($B$14*(I436+IF(ABS((D436+0.1)-D436)&lt;0.000000001,4*$B$19*$B$20*(D436+273)^3,$B$19*$B$20*(((D436+0.1)+273)^4-(D436+273)^4)/((D436+0.1)-D436)))+1/H436)</f>
        <v/>
      </c>
      <c r="W436">
        <f>($B$14*(I436*C436+IF(ABS(V436-D436)&lt;0.000000001,4*$B$19*$B$20*(D436+273)^3,$B$19*$B$20*((V436+273)^4-(D436+273)^4)/(V436-D436))*D436)+T436/H436)/($B$14*(I436+IF(ABS(V436-D436)&lt;0.000000001,4*$B$19*$B$20*(D436+273)^3,$B$19*$B$20*((V436+273)^4-(D436+273)^4)/(V436-D436)))+1/H436)</f>
        <v/>
      </c>
      <c r="X436">
        <f>($B$14*(I436*C436+IF(ABS(W436-D436)&lt;0.000000001,4*$B$19*$B$20*(D436+273)^3,$B$19*$B$20*((W436+273)^4-(D436+273)^4)/(W436-D436))*D436)+T436/H436)/($B$14*(I436+IF(ABS(W436-D436)&lt;0.000000001,4*$B$19*$B$20*(D436+273)^3,$B$19*$B$20*((W436+273)^4-(D436+273)^4)/(W436-D436)))+1/H436)</f>
        <v/>
      </c>
      <c r="Y436">
        <f>($B$14*(I436*C436+IF(ABS(X436-D436)&lt;0.000000001,4*$B$19*$B$20*(D436+273)^3,$B$19*$B$20*((X436+273)^4-(D436+273)^4)/(X436-D436))*D436)+T436/H436)/($B$14*(I436+IF(ABS(X436-D436)&lt;0.000000001,4*$B$19*$B$20*(D436+273)^3,$B$19*$B$20*((X436+273)^4-(D436+273)^4)/(X436-D436)))+1/H436)</f>
        <v/>
      </c>
      <c r="Z436">
        <f>IF(ABS(Y436-D436)&lt;0.000000001,4*$B$19*$B$20*(D436+273)^3,$B$19*$B$20*((Y436+273)^4-(D436+273)^4)/(Y436-D436))</f>
        <v/>
      </c>
      <c r="AA436">
        <f>$B$14*I436*(Y436-C436)</f>
        <v/>
      </c>
      <c r="AB436">
        <f>$B$14*Z436*(Y436-D436)</f>
        <v/>
      </c>
      <c r="AC436">
        <f>IF((U436-E436)/G436=0,0.001,(U436-E436)/G436)</f>
        <v/>
      </c>
      <c r="AD436">
        <f>F436-P436-J436-K436-AA436-AB436</f>
        <v/>
      </c>
      <c r="AE436">
        <f>AD436/AC436</f>
        <v/>
      </c>
      <c r="AF436">
        <f>IF(AD436&lt;=0,0,IF(AC436&lt;=0,$B$11,IF(AE436&gt;=1.7,$B$11,MIN(AD436/MAX(0.05,IF(AE436&gt;1,(2-AE436)^2/2,1-AE436^2/2)),$B$11))))</f>
        <v/>
      </c>
      <c r="AG436">
        <f>AG435*$B$28+AF436*(1-$B$28)</f>
        <v/>
      </c>
      <c r="AH436">
        <f>IF(AND(AD436&gt;0,AC436&lt;=0),0,AC436)</f>
        <v/>
      </c>
      <c r="AI436">
        <f>AH436/MAX(AG436,0.000001)</f>
        <v/>
      </c>
      <c r="AJ436">
        <f>MIN(IF(AI436&gt;=0.5,-AI436+SQRT(AI436^2+2),1),$B$12)</f>
        <v/>
      </c>
      <c r="AK436">
        <f>IF(AG436&lt;=0,0,AJ436*AH436)</f>
        <v/>
      </c>
      <c r="AL436">
        <f>IF(AD436&lt;=0,0,AD436)</f>
        <v/>
      </c>
      <c r="AM436">
        <f>AL436-AK436+P436</f>
        <v/>
      </c>
      <c r="AN436">
        <f>((AM436/$B$7+T435*AS435/2-T436*MAX(0.1,MIN(0.3,0.3-0.09*(AR435-36.8)))/2)+AR435*(1-AS435/2))/(1-MAX(0.1,MIN(0.3,0.3-0.09*(AR435-36.8)))/2)</f>
        <v/>
      </c>
      <c r="AO436">
        <f>((AM436/$B$7+T435*AS435/2-T436*MAX(0.1,MIN(0.3,0.3-0.09*(AN436-36.8)))/2)+AR435*(1-AS435/2))/(1-MAX(0.1,MIN(0.3,0.3-0.09*(AN436-36.8)))/2)</f>
        <v/>
      </c>
      <c r="AP436">
        <f>((AM436/$B$7+T435*AS435/2-T436*MAX(0.1,MIN(0.3,0.3-0.09*(AO436-36.8)))/2)+AR435*(1-AS435/2))/(1-MAX(0.1,MIN(0.3,0.3-0.09*(AO436-36.8)))/2)</f>
        <v/>
      </c>
      <c r="AQ436">
        <f>((AM436/$B$7+T435*AS435/2-T436*MAX(0.1,MIN(0.3,0.3-0.09*(AP436-36.8)))/2)+AR435*(1-AS435/2))/(1-MAX(0.1,MIN(0.3,0.3-0.09*(AP436-36.8)))/2)</f>
        <v/>
      </c>
      <c r="AR436">
        <f>((AM436/$B$7+T435*AS435/2-T436*MAX(0.1,MIN(0.3,0.3-0.09*(AQ436-36.8)))/2)+AR435*(1-AS435/2))/(1-MAX(0.1,MIN(0.3,0.3-0.09*(AQ436-36.8)))/2)</f>
        <v/>
      </c>
      <c r="AS436">
        <f>MAX(0.1,MIN(0.3,0.3-0.09*(AR436-36.8)))</f>
        <v/>
      </c>
      <c r="AT436">
        <f>AT435+(2*AR436-1.962*AT435-1.31)/9</f>
        <v/>
      </c>
      <c r="AU436">
        <f>AU435+AG436+K436</f>
        <v/>
      </c>
      <c r="AV436">
        <f>AU436*2.67*$B$6/1.8/60</f>
        <v/>
      </c>
      <c r="AW436">
        <f>IF(AT436&gt;=$B$36,1,0)</f>
        <v/>
      </c>
      <c r="AX436">
        <f>IF(AV436&gt;=$B$21,1,0)</f>
        <v/>
      </c>
    </row>
    <row r="437">
      <c r="A437" t="n">
        <v>364</v>
      </c>
      <c r="B437">
        <f>MATCH(A437-1,$D$61:$D$68,1)</f>
        <v/>
      </c>
      <c r="C437">
        <f>INDEX($G$61:$G$68,B437)</f>
        <v/>
      </c>
      <c r="D437">
        <f>INDEX($L$61:$L$68,B437)</f>
        <v/>
      </c>
      <c r="E437">
        <f>INDEX($M$61:$M$68,B437)</f>
        <v/>
      </c>
      <c r="F437">
        <f>INDEX($N$61:$N$68,B437)</f>
        <v/>
      </c>
      <c r="G437">
        <f>INDEX($AA$61:$AA$68,B437)</f>
        <v/>
      </c>
      <c r="H437">
        <f>INDEX($X$61:$X$68,B437)</f>
        <v/>
      </c>
      <c r="I437">
        <f>INDEX($AF$61:$AF$68,B437)</f>
        <v/>
      </c>
      <c r="J437">
        <f>INDEX($AC$61:$AC$68,B437)</f>
        <v/>
      </c>
      <c r="K437">
        <f>INDEX($AD$61:$AD$68,B437)</f>
        <v/>
      </c>
      <c r="L437">
        <f>INDEX($AG$61:$AG$68,B437)</f>
        <v/>
      </c>
      <c r="M437">
        <f>INDEX($AH$61:$AH$68,B437)</f>
        <v/>
      </c>
      <c r="N437">
        <f>INDEX($AI$61:$AI$68,B437)</f>
        <v/>
      </c>
      <c r="O437">
        <f>O436*$B$26+L437*(1-$B$26)</f>
        <v/>
      </c>
      <c r="P437">
        <f>$B$7*(O437-O436)*(1-AS436)</f>
        <v/>
      </c>
      <c r="Q437">
        <f>M437+0.51274*AT436</f>
        <v/>
      </c>
      <c r="R437">
        <f>N437+0.616*AT436</f>
        <v/>
      </c>
      <c r="S437">
        <f>IF($B$13&gt;=0.6,Q437,IF($B$13&lt;=0.2,R437,R437+2.5*(Q437-R437)*($B$13-0.2)))</f>
        <v/>
      </c>
      <c r="T437">
        <f>IF(A437=1,S437,T436*$B$27+S437*(1-$B$27))</f>
        <v/>
      </c>
      <c r="U437">
        <f>0.6105*EXP(17.27*T437/(T437+237.3))</f>
        <v/>
      </c>
      <c r="V437">
        <f>($B$14*(I437*C437+IF(ABS((D437+0.1)-D437)&lt;0.000000001,4*$B$19*$B$20*(D437+273)^3,$B$19*$B$20*(((D437+0.1)+273)^4-(D437+273)^4)/((D437+0.1)-D437))*D437)+T437/H437)/($B$14*(I437+IF(ABS((D437+0.1)-D437)&lt;0.000000001,4*$B$19*$B$20*(D437+273)^3,$B$19*$B$20*(((D437+0.1)+273)^4-(D437+273)^4)/((D437+0.1)-D437)))+1/H437)</f>
        <v/>
      </c>
      <c r="W437">
        <f>($B$14*(I437*C437+IF(ABS(V437-D437)&lt;0.000000001,4*$B$19*$B$20*(D437+273)^3,$B$19*$B$20*((V437+273)^4-(D437+273)^4)/(V437-D437))*D437)+T437/H437)/($B$14*(I437+IF(ABS(V437-D437)&lt;0.000000001,4*$B$19*$B$20*(D437+273)^3,$B$19*$B$20*((V437+273)^4-(D437+273)^4)/(V437-D437)))+1/H437)</f>
        <v/>
      </c>
      <c r="X437">
        <f>($B$14*(I437*C437+IF(ABS(W437-D437)&lt;0.000000001,4*$B$19*$B$20*(D437+273)^3,$B$19*$B$20*((W437+273)^4-(D437+273)^4)/(W437-D437))*D437)+T437/H437)/($B$14*(I437+IF(ABS(W437-D437)&lt;0.000000001,4*$B$19*$B$20*(D437+273)^3,$B$19*$B$20*((W437+273)^4-(D437+273)^4)/(W437-D437)))+1/H437)</f>
        <v/>
      </c>
      <c r="Y437">
        <f>($B$14*(I437*C437+IF(ABS(X437-D437)&lt;0.000000001,4*$B$19*$B$20*(D437+273)^3,$B$19*$B$20*((X437+273)^4-(D437+273)^4)/(X437-D437))*D437)+T437/H437)/($B$14*(I437+IF(ABS(X437-D437)&lt;0.000000001,4*$B$19*$B$20*(D437+273)^3,$B$19*$B$20*((X437+273)^4-(D437+273)^4)/(X437-D437)))+1/H437)</f>
        <v/>
      </c>
      <c r="Z437">
        <f>IF(ABS(Y437-D437)&lt;0.000000001,4*$B$19*$B$20*(D437+273)^3,$B$19*$B$20*((Y437+273)^4-(D437+273)^4)/(Y437-D437))</f>
        <v/>
      </c>
      <c r="AA437">
        <f>$B$14*I437*(Y437-C437)</f>
        <v/>
      </c>
      <c r="AB437">
        <f>$B$14*Z437*(Y437-D437)</f>
        <v/>
      </c>
      <c r="AC437">
        <f>IF((U437-E437)/G437=0,0.001,(U437-E437)/G437)</f>
        <v/>
      </c>
      <c r="AD437">
        <f>F437-P437-J437-K437-AA437-AB437</f>
        <v/>
      </c>
      <c r="AE437">
        <f>AD437/AC437</f>
        <v/>
      </c>
      <c r="AF437">
        <f>IF(AD437&lt;=0,0,IF(AC437&lt;=0,$B$11,IF(AE437&gt;=1.7,$B$11,MIN(AD437/MAX(0.05,IF(AE437&gt;1,(2-AE437)^2/2,1-AE437^2/2)),$B$11))))</f>
        <v/>
      </c>
      <c r="AG437">
        <f>AG436*$B$28+AF437*(1-$B$28)</f>
        <v/>
      </c>
      <c r="AH437">
        <f>IF(AND(AD437&gt;0,AC437&lt;=0),0,AC437)</f>
        <v/>
      </c>
      <c r="AI437">
        <f>AH437/MAX(AG437,0.000001)</f>
        <v/>
      </c>
      <c r="AJ437">
        <f>MIN(IF(AI437&gt;=0.5,-AI437+SQRT(AI437^2+2),1),$B$12)</f>
        <v/>
      </c>
      <c r="AK437">
        <f>IF(AG437&lt;=0,0,AJ437*AH437)</f>
        <v/>
      </c>
      <c r="AL437">
        <f>IF(AD437&lt;=0,0,AD437)</f>
        <v/>
      </c>
      <c r="AM437">
        <f>AL437-AK437+P437</f>
        <v/>
      </c>
      <c r="AN437">
        <f>((AM437/$B$7+T436*AS436/2-T437*MAX(0.1,MIN(0.3,0.3-0.09*(AR436-36.8)))/2)+AR436*(1-AS436/2))/(1-MAX(0.1,MIN(0.3,0.3-0.09*(AR436-36.8)))/2)</f>
        <v/>
      </c>
      <c r="AO437">
        <f>((AM437/$B$7+T436*AS436/2-T437*MAX(0.1,MIN(0.3,0.3-0.09*(AN437-36.8)))/2)+AR436*(1-AS436/2))/(1-MAX(0.1,MIN(0.3,0.3-0.09*(AN437-36.8)))/2)</f>
        <v/>
      </c>
      <c r="AP437">
        <f>((AM437/$B$7+T436*AS436/2-T437*MAX(0.1,MIN(0.3,0.3-0.09*(AO437-36.8)))/2)+AR436*(1-AS436/2))/(1-MAX(0.1,MIN(0.3,0.3-0.09*(AO437-36.8)))/2)</f>
        <v/>
      </c>
      <c r="AQ437">
        <f>((AM437/$B$7+T436*AS436/2-T437*MAX(0.1,MIN(0.3,0.3-0.09*(AP437-36.8)))/2)+AR436*(1-AS436/2))/(1-MAX(0.1,MIN(0.3,0.3-0.09*(AP437-36.8)))/2)</f>
        <v/>
      </c>
      <c r="AR437">
        <f>((AM437/$B$7+T436*AS436/2-T437*MAX(0.1,MIN(0.3,0.3-0.09*(AQ437-36.8)))/2)+AR436*(1-AS436/2))/(1-MAX(0.1,MIN(0.3,0.3-0.09*(AQ437-36.8)))/2)</f>
        <v/>
      </c>
      <c r="AS437">
        <f>MAX(0.1,MIN(0.3,0.3-0.09*(AR437-36.8)))</f>
        <v/>
      </c>
      <c r="AT437">
        <f>AT436+(2*AR437-1.962*AT436-1.31)/9</f>
        <v/>
      </c>
      <c r="AU437">
        <f>AU436+AG437+K437</f>
        <v/>
      </c>
      <c r="AV437">
        <f>AU437*2.67*$B$6/1.8/60</f>
        <v/>
      </c>
      <c r="AW437">
        <f>IF(AT437&gt;=$B$36,1,0)</f>
        <v/>
      </c>
      <c r="AX437">
        <f>IF(AV437&gt;=$B$21,1,0)</f>
        <v/>
      </c>
    </row>
    <row r="438">
      <c r="A438" t="n">
        <v>365</v>
      </c>
      <c r="B438">
        <f>MATCH(A438-1,$D$61:$D$68,1)</f>
        <v/>
      </c>
      <c r="C438">
        <f>INDEX($G$61:$G$68,B438)</f>
        <v/>
      </c>
      <c r="D438">
        <f>INDEX($L$61:$L$68,B438)</f>
        <v/>
      </c>
      <c r="E438">
        <f>INDEX($M$61:$M$68,B438)</f>
        <v/>
      </c>
      <c r="F438">
        <f>INDEX($N$61:$N$68,B438)</f>
        <v/>
      </c>
      <c r="G438">
        <f>INDEX($AA$61:$AA$68,B438)</f>
        <v/>
      </c>
      <c r="H438">
        <f>INDEX($X$61:$X$68,B438)</f>
        <v/>
      </c>
      <c r="I438">
        <f>INDEX($AF$61:$AF$68,B438)</f>
        <v/>
      </c>
      <c r="J438">
        <f>INDEX($AC$61:$AC$68,B438)</f>
        <v/>
      </c>
      <c r="K438">
        <f>INDEX($AD$61:$AD$68,B438)</f>
        <v/>
      </c>
      <c r="L438">
        <f>INDEX($AG$61:$AG$68,B438)</f>
        <v/>
      </c>
      <c r="M438">
        <f>INDEX($AH$61:$AH$68,B438)</f>
        <v/>
      </c>
      <c r="N438">
        <f>INDEX($AI$61:$AI$68,B438)</f>
        <v/>
      </c>
      <c r="O438">
        <f>O437*$B$26+L438*(1-$B$26)</f>
        <v/>
      </c>
      <c r="P438">
        <f>$B$7*(O438-O437)*(1-AS437)</f>
        <v/>
      </c>
      <c r="Q438">
        <f>M438+0.51274*AT437</f>
        <v/>
      </c>
      <c r="R438">
        <f>N438+0.616*AT437</f>
        <v/>
      </c>
      <c r="S438">
        <f>IF($B$13&gt;=0.6,Q438,IF($B$13&lt;=0.2,R438,R438+2.5*(Q438-R438)*($B$13-0.2)))</f>
        <v/>
      </c>
      <c r="T438">
        <f>IF(A438=1,S438,T437*$B$27+S438*(1-$B$27))</f>
        <v/>
      </c>
      <c r="U438">
        <f>0.6105*EXP(17.27*T438/(T438+237.3))</f>
        <v/>
      </c>
      <c r="V438">
        <f>($B$14*(I438*C438+IF(ABS((D438+0.1)-D438)&lt;0.000000001,4*$B$19*$B$20*(D438+273)^3,$B$19*$B$20*(((D438+0.1)+273)^4-(D438+273)^4)/((D438+0.1)-D438))*D438)+T438/H438)/($B$14*(I438+IF(ABS((D438+0.1)-D438)&lt;0.000000001,4*$B$19*$B$20*(D438+273)^3,$B$19*$B$20*(((D438+0.1)+273)^4-(D438+273)^4)/((D438+0.1)-D438)))+1/H438)</f>
        <v/>
      </c>
      <c r="W438">
        <f>($B$14*(I438*C438+IF(ABS(V438-D438)&lt;0.000000001,4*$B$19*$B$20*(D438+273)^3,$B$19*$B$20*((V438+273)^4-(D438+273)^4)/(V438-D438))*D438)+T438/H438)/($B$14*(I438+IF(ABS(V438-D438)&lt;0.000000001,4*$B$19*$B$20*(D438+273)^3,$B$19*$B$20*((V438+273)^4-(D438+273)^4)/(V438-D438)))+1/H438)</f>
        <v/>
      </c>
      <c r="X438">
        <f>($B$14*(I438*C438+IF(ABS(W438-D438)&lt;0.000000001,4*$B$19*$B$20*(D438+273)^3,$B$19*$B$20*((W438+273)^4-(D438+273)^4)/(W438-D438))*D438)+T438/H438)/($B$14*(I438+IF(ABS(W438-D438)&lt;0.000000001,4*$B$19*$B$20*(D438+273)^3,$B$19*$B$20*((W438+273)^4-(D438+273)^4)/(W438-D438)))+1/H438)</f>
        <v/>
      </c>
      <c r="Y438">
        <f>($B$14*(I438*C438+IF(ABS(X438-D438)&lt;0.000000001,4*$B$19*$B$20*(D438+273)^3,$B$19*$B$20*((X438+273)^4-(D438+273)^4)/(X438-D438))*D438)+T438/H438)/($B$14*(I438+IF(ABS(X438-D438)&lt;0.000000001,4*$B$19*$B$20*(D438+273)^3,$B$19*$B$20*((X438+273)^4-(D438+273)^4)/(X438-D438)))+1/H438)</f>
        <v/>
      </c>
      <c r="Z438">
        <f>IF(ABS(Y438-D438)&lt;0.000000001,4*$B$19*$B$20*(D438+273)^3,$B$19*$B$20*((Y438+273)^4-(D438+273)^4)/(Y438-D438))</f>
        <v/>
      </c>
      <c r="AA438">
        <f>$B$14*I438*(Y438-C438)</f>
        <v/>
      </c>
      <c r="AB438">
        <f>$B$14*Z438*(Y438-D438)</f>
        <v/>
      </c>
      <c r="AC438">
        <f>IF((U438-E438)/G438=0,0.001,(U438-E438)/G438)</f>
        <v/>
      </c>
      <c r="AD438">
        <f>F438-P438-J438-K438-AA438-AB438</f>
        <v/>
      </c>
      <c r="AE438">
        <f>AD438/AC438</f>
        <v/>
      </c>
      <c r="AF438">
        <f>IF(AD438&lt;=0,0,IF(AC438&lt;=0,$B$11,IF(AE438&gt;=1.7,$B$11,MIN(AD438/MAX(0.05,IF(AE438&gt;1,(2-AE438)^2/2,1-AE438^2/2)),$B$11))))</f>
        <v/>
      </c>
      <c r="AG438">
        <f>AG437*$B$28+AF438*(1-$B$28)</f>
        <v/>
      </c>
      <c r="AH438">
        <f>IF(AND(AD438&gt;0,AC438&lt;=0),0,AC438)</f>
        <v/>
      </c>
      <c r="AI438">
        <f>AH438/MAX(AG438,0.000001)</f>
        <v/>
      </c>
      <c r="AJ438">
        <f>MIN(IF(AI438&gt;=0.5,-AI438+SQRT(AI438^2+2),1),$B$12)</f>
        <v/>
      </c>
      <c r="AK438">
        <f>IF(AG438&lt;=0,0,AJ438*AH438)</f>
        <v/>
      </c>
      <c r="AL438">
        <f>IF(AD438&lt;=0,0,AD438)</f>
        <v/>
      </c>
      <c r="AM438">
        <f>AL438-AK438+P438</f>
        <v/>
      </c>
      <c r="AN438">
        <f>((AM438/$B$7+T437*AS437/2-T438*MAX(0.1,MIN(0.3,0.3-0.09*(AR437-36.8)))/2)+AR437*(1-AS437/2))/(1-MAX(0.1,MIN(0.3,0.3-0.09*(AR437-36.8)))/2)</f>
        <v/>
      </c>
      <c r="AO438">
        <f>((AM438/$B$7+T437*AS437/2-T438*MAX(0.1,MIN(0.3,0.3-0.09*(AN438-36.8)))/2)+AR437*(1-AS437/2))/(1-MAX(0.1,MIN(0.3,0.3-0.09*(AN438-36.8)))/2)</f>
        <v/>
      </c>
      <c r="AP438">
        <f>((AM438/$B$7+T437*AS437/2-T438*MAX(0.1,MIN(0.3,0.3-0.09*(AO438-36.8)))/2)+AR437*(1-AS437/2))/(1-MAX(0.1,MIN(0.3,0.3-0.09*(AO438-36.8)))/2)</f>
        <v/>
      </c>
      <c r="AQ438">
        <f>((AM438/$B$7+T437*AS437/2-T438*MAX(0.1,MIN(0.3,0.3-0.09*(AP438-36.8)))/2)+AR437*(1-AS437/2))/(1-MAX(0.1,MIN(0.3,0.3-0.09*(AP438-36.8)))/2)</f>
        <v/>
      </c>
      <c r="AR438">
        <f>((AM438/$B$7+T437*AS437/2-T438*MAX(0.1,MIN(0.3,0.3-0.09*(AQ438-36.8)))/2)+AR437*(1-AS437/2))/(1-MAX(0.1,MIN(0.3,0.3-0.09*(AQ438-36.8)))/2)</f>
        <v/>
      </c>
      <c r="AS438">
        <f>MAX(0.1,MIN(0.3,0.3-0.09*(AR438-36.8)))</f>
        <v/>
      </c>
      <c r="AT438">
        <f>AT437+(2*AR438-1.962*AT437-1.31)/9</f>
        <v/>
      </c>
      <c r="AU438">
        <f>AU437+AG438+K438</f>
        <v/>
      </c>
      <c r="AV438">
        <f>AU438*2.67*$B$6/1.8/60</f>
        <v/>
      </c>
      <c r="AW438">
        <f>IF(AT438&gt;=$B$36,1,0)</f>
        <v/>
      </c>
      <c r="AX438">
        <f>IF(AV438&gt;=$B$21,1,0)</f>
        <v/>
      </c>
    </row>
    <row r="439">
      <c r="A439" t="n">
        <v>366</v>
      </c>
      <c r="B439">
        <f>MATCH(A439-1,$D$61:$D$68,1)</f>
        <v/>
      </c>
      <c r="C439">
        <f>INDEX($G$61:$G$68,B439)</f>
        <v/>
      </c>
      <c r="D439">
        <f>INDEX($L$61:$L$68,B439)</f>
        <v/>
      </c>
      <c r="E439">
        <f>INDEX($M$61:$M$68,B439)</f>
        <v/>
      </c>
      <c r="F439">
        <f>INDEX($N$61:$N$68,B439)</f>
        <v/>
      </c>
      <c r="G439">
        <f>INDEX($AA$61:$AA$68,B439)</f>
        <v/>
      </c>
      <c r="H439">
        <f>INDEX($X$61:$X$68,B439)</f>
        <v/>
      </c>
      <c r="I439">
        <f>INDEX($AF$61:$AF$68,B439)</f>
        <v/>
      </c>
      <c r="J439">
        <f>INDEX($AC$61:$AC$68,B439)</f>
        <v/>
      </c>
      <c r="K439">
        <f>INDEX($AD$61:$AD$68,B439)</f>
        <v/>
      </c>
      <c r="L439">
        <f>INDEX($AG$61:$AG$68,B439)</f>
        <v/>
      </c>
      <c r="M439">
        <f>INDEX($AH$61:$AH$68,B439)</f>
        <v/>
      </c>
      <c r="N439">
        <f>INDEX($AI$61:$AI$68,B439)</f>
        <v/>
      </c>
      <c r="O439">
        <f>O438*$B$26+L439*(1-$B$26)</f>
        <v/>
      </c>
      <c r="P439">
        <f>$B$7*(O439-O438)*(1-AS438)</f>
        <v/>
      </c>
      <c r="Q439">
        <f>M439+0.51274*AT438</f>
        <v/>
      </c>
      <c r="R439">
        <f>N439+0.616*AT438</f>
        <v/>
      </c>
      <c r="S439">
        <f>IF($B$13&gt;=0.6,Q439,IF($B$13&lt;=0.2,R439,R439+2.5*(Q439-R439)*($B$13-0.2)))</f>
        <v/>
      </c>
      <c r="T439">
        <f>IF(A439=1,S439,T438*$B$27+S439*(1-$B$27))</f>
        <v/>
      </c>
      <c r="U439">
        <f>0.6105*EXP(17.27*T439/(T439+237.3))</f>
        <v/>
      </c>
      <c r="V439">
        <f>($B$14*(I439*C439+IF(ABS((D439+0.1)-D439)&lt;0.000000001,4*$B$19*$B$20*(D439+273)^3,$B$19*$B$20*(((D439+0.1)+273)^4-(D439+273)^4)/((D439+0.1)-D439))*D439)+T439/H439)/($B$14*(I439+IF(ABS((D439+0.1)-D439)&lt;0.000000001,4*$B$19*$B$20*(D439+273)^3,$B$19*$B$20*(((D439+0.1)+273)^4-(D439+273)^4)/((D439+0.1)-D439)))+1/H439)</f>
        <v/>
      </c>
      <c r="W439">
        <f>($B$14*(I439*C439+IF(ABS(V439-D439)&lt;0.000000001,4*$B$19*$B$20*(D439+273)^3,$B$19*$B$20*((V439+273)^4-(D439+273)^4)/(V439-D439))*D439)+T439/H439)/($B$14*(I439+IF(ABS(V439-D439)&lt;0.000000001,4*$B$19*$B$20*(D439+273)^3,$B$19*$B$20*((V439+273)^4-(D439+273)^4)/(V439-D439)))+1/H439)</f>
        <v/>
      </c>
      <c r="X439">
        <f>($B$14*(I439*C439+IF(ABS(W439-D439)&lt;0.000000001,4*$B$19*$B$20*(D439+273)^3,$B$19*$B$20*((W439+273)^4-(D439+273)^4)/(W439-D439))*D439)+T439/H439)/($B$14*(I439+IF(ABS(W439-D439)&lt;0.000000001,4*$B$19*$B$20*(D439+273)^3,$B$19*$B$20*((W439+273)^4-(D439+273)^4)/(W439-D439)))+1/H439)</f>
        <v/>
      </c>
      <c r="Y439">
        <f>($B$14*(I439*C439+IF(ABS(X439-D439)&lt;0.000000001,4*$B$19*$B$20*(D439+273)^3,$B$19*$B$20*((X439+273)^4-(D439+273)^4)/(X439-D439))*D439)+T439/H439)/($B$14*(I439+IF(ABS(X439-D439)&lt;0.000000001,4*$B$19*$B$20*(D439+273)^3,$B$19*$B$20*((X439+273)^4-(D439+273)^4)/(X439-D439)))+1/H439)</f>
        <v/>
      </c>
      <c r="Z439">
        <f>IF(ABS(Y439-D439)&lt;0.000000001,4*$B$19*$B$20*(D439+273)^3,$B$19*$B$20*((Y439+273)^4-(D439+273)^4)/(Y439-D439))</f>
        <v/>
      </c>
      <c r="AA439">
        <f>$B$14*I439*(Y439-C439)</f>
        <v/>
      </c>
      <c r="AB439">
        <f>$B$14*Z439*(Y439-D439)</f>
        <v/>
      </c>
      <c r="AC439">
        <f>IF((U439-E439)/G439=0,0.001,(U439-E439)/G439)</f>
        <v/>
      </c>
      <c r="AD439">
        <f>F439-P439-J439-K439-AA439-AB439</f>
        <v/>
      </c>
      <c r="AE439">
        <f>AD439/AC439</f>
        <v/>
      </c>
      <c r="AF439">
        <f>IF(AD439&lt;=0,0,IF(AC439&lt;=0,$B$11,IF(AE439&gt;=1.7,$B$11,MIN(AD439/MAX(0.05,IF(AE439&gt;1,(2-AE439)^2/2,1-AE439^2/2)),$B$11))))</f>
        <v/>
      </c>
      <c r="AG439">
        <f>AG438*$B$28+AF439*(1-$B$28)</f>
        <v/>
      </c>
      <c r="AH439">
        <f>IF(AND(AD439&gt;0,AC439&lt;=0),0,AC439)</f>
        <v/>
      </c>
      <c r="AI439">
        <f>AH439/MAX(AG439,0.000001)</f>
        <v/>
      </c>
      <c r="AJ439">
        <f>MIN(IF(AI439&gt;=0.5,-AI439+SQRT(AI439^2+2),1),$B$12)</f>
        <v/>
      </c>
      <c r="AK439">
        <f>IF(AG439&lt;=0,0,AJ439*AH439)</f>
        <v/>
      </c>
      <c r="AL439">
        <f>IF(AD439&lt;=0,0,AD439)</f>
        <v/>
      </c>
      <c r="AM439">
        <f>AL439-AK439+P439</f>
        <v/>
      </c>
      <c r="AN439">
        <f>((AM439/$B$7+T438*AS438/2-T439*MAX(0.1,MIN(0.3,0.3-0.09*(AR438-36.8)))/2)+AR438*(1-AS438/2))/(1-MAX(0.1,MIN(0.3,0.3-0.09*(AR438-36.8)))/2)</f>
        <v/>
      </c>
      <c r="AO439">
        <f>((AM439/$B$7+T438*AS438/2-T439*MAX(0.1,MIN(0.3,0.3-0.09*(AN439-36.8)))/2)+AR438*(1-AS438/2))/(1-MAX(0.1,MIN(0.3,0.3-0.09*(AN439-36.8)))/2)</f>
        <v/>
      </c>
      <c r="AP439">
        <f>((AM439/$B$7+T438*AS438/2-T439*MAX(0.1,MIN(0.3,0.3-0.09*(AO439-36.8)))/2)+AR438*(1-AS438/2))/(1-MAX(0.1,MIN(0.3,0.3-0.09*(AO439-36.8)))/2)</f>
        <v/>
      </c>
      <c r="AQ439">
        <f>((AM439/$B$7+T438*AS438/2-T439*MAX(0.1,MIN(0.3,0.3-0.09*(AP439-36.8)))/2)+AR438*(1-AS438/2))/(1-MAX(0.1,MIN(0.3,0.3-0.09*(AP439-36.8)))/2)</f>
        <v/>
      </c>
      <c r="AR439">
        <f>((AM439/$B$7+T438*AS438/2-T439*MAX(0.1,MIN(0.3,0.3-0.09*(AQ439-36.8)))/2)+AR438*(1-AS438/2))/(1-MAX(0.1,MIN(0.3,0.3-0.09*(AQ439-36.8)))/2)</f>
        <v/>
      </c>
      <c r="AS439">
        <f>MAX(0.1,MIN(0.3,0.3-0.09*(AR439-36.8)))</f>
        <v/>
      </c>
      <c r="AT439">
        <f>AT438+(2*AR439-1.962*AT438-1.31)/9</f>
        <v/>
      </c>
      <c r="AU439">
        <f>AU438+AG439+K439</f>
        <v/>
      </c>
      <c r="AV439">
        <f>AU439*2.67*$B$6/1.8/60</f>
        <v/>
      </c>
      <c r="AW439">
        <f>IF(AT439&gt;=$B$36,1,0)</f>
        <v/>
      </c>
      <c r="AX439">
        <f>IF(AV439&gt;=$B$21,1,0)</f>
        <v/>
      </c>
    </row>
    <row r="440">
      <c r="A440" t="n">
        <v>367</v>
      </c>
      <c r="B440">
        <f>MATCH(A440-1,$D$61:$D$68,1)</f>
        <v/>
      </c>
      <c r="C440">
        <f>INDEX($G$61:$G$68,B440)</f>
        <v/>
      </c>
      <c r="D440">
        <f>INDEX($L$61:$L$68,B440)</f>
        <v/>
      </c>
      <c r="E440">
        <f>INDEX($M$61:$M$68,B440)</f>
        <v/>
      </c>
      <c r="F440">
        <f>INDEX($N$61:$N$68,B440)</f>
        <v/>
      </c>
      <c r="G440">
        <f>INDEX($AA$61:$AA$68,B440)</f>
        <v/>
      </c>
      <c r="H440">
        <f>INDEX($X$61:$X$68,B440)</f>
        <v/>
      </c>
      <c r="I440">
        <f>INDEX($AF$61:$AF$68,B440)</f>
        <v/>
      </c>
      <c r="J440">
        <f>INDEX($AC$61:$AC$68,B440)</f>
        <v/>
      </c>
      <c r="K440">
        <f>INDEX($AD$61:$AD$68,B440)</f>
        <v/>
      </c>
      <c r="L440">
        <f>INDEX($AG$61:$AG$68,B440)</f>
        <v/>
      </c>
      <c r="M440">
        <f>INDEX($AH$61:$AH$68,B440)</f>
        <v/>
      </c>
      <c r="N440">
        <f>INDEX($AI$61:$AI$68,B440)</f>
        <v/>
      </c>
      <c r="O440">
        <f>O439*$B$26+L440*(1-$B$26)</f>
        <v/>
      </c>
      <c r="P440">
        <f>$B$7*(O440-O439)*(1-AS439)</f>
        <v/>
      </c>
      <c r="Q440">
        <f>M440+0.51274*AT439</f>
        <v/>
      </c>
      <c r="R440">
        <f>N440+0.616*AT439</f>
        <v/>
      </c>
      <c r="S440">
        <f>IF($B$13&gt;=0.6,Q440,IF($B$13&lt;=0.2,R440,R440+2.5*(Q440-R440)*($B$13-0.2)))</f>
        <v/>
      </c>
      <c r="T440">
        <f>IF(A440=1,S440,T439*$B$27+S440*(1-$B$27))</f>
        <v/>
      </c>
      <c r="U440">
        <f>0.6105*EXP(17.27*T440/(T440+237.3))</f>
        <v/>
      </c>
      <c r="V440">
        <f>($B$14*(I440*C440+IF(ABS((D440+0.1)-D440)&lt;0.000000001,4*$B$19*$B$20*(D440+273)^3,$B$19*$B$20*(((D440+0.1)+273)^4-(D440+273)^4)/((D440+0.1)-D440))*D440)+T440/H440)/($B$14*(I440+IF(ABS((D440+0.1)-D440)&lt;0.000000001,4*$B$19*$B$20*(D440+273)^3,$B$19*$B$20*(((D440+0.1)+273)^4-(D440+273)^4)/((D440+0.1)-D440)))+1/H440)</f>
        <v/>
      </c>
      <c r="W440">
        <f>($B$14*(I440*C440+IF(ABS(V440-D440)&lt;0.000000001,4*$B$19*$B$20*(D440+273)^3,$B$19*$B$20*((V440+273)^4-(D440+273)^4)/(V440-D440))*D440)+T440/H440)/($B$14*(I440+IF(ABS(V440-D440)&lt;0.000000001,4*$B$19*$B$20*(D440+273)^3,$B$19*$B$20*((V440+273)^4-(D440+273)^4)/(V440-D440)))+1/H440)</f>
        <v/>
      </c>
      <c r="X440">
        <f>($B$14*(I440*C440+IF(ABS(W440-D440)&lt;0.000000001,4*$B$19*$B$20*(D440+273)^3,$B$19*$B$20*((W440+273)^4-(D440+273)^4)/(W440-D440))*D440)+T440/H440)/($B$14*(I440+IF(ABS(W440-D440)&lt;0.000000001,4*$B$19*$B$20*(D440+273)^3,$B$19*$B$20*((W440+273)^4-(D440+273)^4)/(W440-D440)))+1/H440)</f>
        <v/>
      </c>
      <c r="Y440">
        <f>($B$14*(I440*C440+IF(ABS(X440-D440)&lt;0.000000001,4*$B$19*$B$20*(D440+273)^3,$B$19*$B$20*((X440+273)^4-(D440+273)^4)/(X440-D440))*D440)+T440/H440)/($B$14*(I440+IF(ABS(X440-D440)&lt;0.000000001,4*$B$19*$B$20*(D440+273)^3,$B$19*$B$20*((X440+273)^4-(D440+273)^4)/(X440-D440)))+1/H440)</f>
        <v/>
      </c>
      <c r="Z440">
        <f>IF(ABS(Y440-D440)&lt;0.000000001,4*$B$19*$B$20*(D440+273)^3,$B$19*$B$20*((Y440+273)^4-(D440+273)^4)/(Y440-D440))</f>
        <v/>
      </c>
      <c r="AA440">
        <f>$B$14*I440*(Y440-C440)</f>
        <v/>
      </c>
      <c r="AB440">
        <f>$B$14*Z440*(Y440-D440)</f>
        <v/>
      </c>
      <c r="AC440">
        <f>IF((U440-E440)/G440=0,0.001,(U440-E440)/G440)</f>
        <v/>
      </c>
      <c r="AD440">
        <f>F440-P440-J440-K440-AA440-AB440</f>
        <v/>
      </c>
      <c r="AE440">
        <f>AD440/AC440</f>
        <v/>
      </c>
      <c r="AF440">
        <f>IF(AD440&lt;=0,0,IF(AC440&lt;=0,$B$11,IF(AE440&gt;=1.7,$B$11,MIN(AD440/MAX(0.05,IF(AE440&gt;1,(2-AE440)^2/2,1-AE440^2/2)),$B$11))))</f>
        <v/>
      </c>
      <c r="AG440">
        <f>AG439*$B$28+AF440*(1-$B$28)</f>
        <v/>
      </c>
      <c r="AH440">
        <f>IF(AND(AD440&gt;0,AC440&lt;=0),0,AC440)</f>
        <v/>
      </c>
      <c r="AI440">
        <f>AH440/MAX(AG440,0.000001)</f>
        <v/>
      </c>
      <c r="AJ440">
        <f>MIN(IF(AI440&gt;=0.5,-AI440+SQRT(AI440^2+2),1),$B$12)</f>
        <v/>
      </c>
      <c r="AK440">
        <f>IF(AG440&lt;=0,0,AJ440*AH440)</f>
        <v/>
      </c>
      <c r="AL440">
        <f>IF(AD440&lt;=0,0,AD440)</f>
        <v/>
      </c>
      <c r="AM440">
        <f>AL440-AK440+P440</f>
        <v/>
      </c>
      <c r="AN440">
        <f>((AM440/$B$7+T439*AS439/2-T440*MAX(0.1,MIN(0.3,0.3-0.09*(AR439-36.8)))/2)+AR439*(1-AS439/2))/(1-MAX(0.1,MIN(0.3,0.3-0.09*(AR439-36.8)))/2)</f>
        <v/>
      </c>
      <c r="AO440">
        <f>((AM440/$B$7+T439*AS439/2-T440*MAX(0.1,MIN(0.3,0.3-0.09*(AN440-36.8)))/2)+AR439*(1-AS439/2))/(1-MAX(0.1,MIN(0.3,0.3-0.09*(AN440-36.8)))/2)</f>
        <v/>
      </c>
      <c r="AP440">
        <f>((AM440/$B$7+T439*AS439/2-T440*MAX(0.1,MIN(0.3,0.3-0.09*(AO440-36.8)))/2)+AR439*(1-AS439/2))/(1-MAX(0.1,MIN(0.3,0.3-0.09*(AO440-36.8)))/2)</f>
        <v/>
      </c>
      <c r="AQ440">
        <f>((AM440/$B$7+T439*AS439/2-T440*MAX(0.1,MIN(0.3,0.3-0.09*(AP440-36.8)))/2)+AR439*(1-AS439/2))/(1-MAX(0.1,MIN(0.3,0.3-0.09*(AP440-36.8)))/2)</f>
        <v/>
      </c>
      <c r="AR440">
        <f>((AM440/$B$7+T439*AS439/2-T440*MAX(0.1,MIN(0.3,0.3-0.09*(AQ440-36.8)))/2)+AR439*(1-AS439/2))/(1-MAX(0.1,MIN(0.3,0.3-0.09*(AQ440-36.8)))/2)</f>
        <v/>
      </c>
      <c r="AS440">
        <f>MAX(0.1,MIN(0.3,0.3-0.09*(AR440-36.8)))</f>
        <v/>
      </c>
      <c r="AT440">
        <f>AT439+(2*AR440-1.962*AT439-1.31)/9</f>
        <v/>
      </c>
      <c r="AU440">
        <f>AU439+AG440+K440</f>
        <v/>
      </c>
      <c r="AV440">
        <f>AU440*2.67*$B$6/1.8/60</f>
        <v/>
      </c>
      <c r="AW440">
        <f>IF(AT440&gt;=$B$36,1,0)</f>
        <v/>
      </c>
      <c r="AX440">
        <f>IF(AV440&gt;=$B$21,1,0)</f>
        <v/>
      </c>
    </row>
    <row r="441">
      <c r="A441" t="n">
        <v>368</v>
      </c>
      <c r="B441">
        <f>MATCH(A441-1,$D$61:$D$68,1)</f>
        <v/>
      </c>
      <c r="C441">
        <f>INDEX($G$61:$G$68,B441)</f>
        <v/>
      </c>
      <c r="D441">
        <f>INDEX($L$61:$L$68,B441)</f>
        <v/>
      </c>
      <c r="E441">
        <f>INDEX($M$61:$M$68,B441)</f>
        <v/>
      </c>
      <c r="F441">
        <f>INDEX($N$61:$N$68,B441)</f>
        <v/>
      </c>
      <c r="G441">
        <f>INDEX($AA$61:$AA$68,B441)</f>
        <v/>
      </c>
      <c r="H441">
        <f>INDEX($X$61:$X$68,B441)</f>
        <v/>
      </c>
      <c r="I441">
        <f>INDEX($AF$61:$AF$68,B441)</f>
        <v/>
      </c>
      <c r="J441">
        <f>INDEX($AC$61:$AC$68,B441)</f>
        <v/>
      </c>
      <c r="K441">
        <f>INDEX($AD$61:$AD$68,B441)</f>
        <v/>
      </c>
      <c r="L441">
        <f>INDEX($AG$61:$AG$68,B441)</f>
        <v/>
      </c>
      <c r="M441">
        <f>INDEX($AH$61:$AH$68,B441)</f>
        <v/>
      </c>
      <c r="N441">
        <f>INDEX($AI$61:$AI$68,B441)</f>
        <v/>
      </c>
      <c r="O441">
        <f>O440*$B$26+L441*(1-$B$26)</f>
        <v/>
      </c>
      <c r="P441">
        <f>$B$7*(O441-O440)*(1-AS440)</f>
        <v/>
      </c>
      <c r="Q441">
        <f>M441+0.51274*AT440</f>
        <v/>
      </c>
      <c r="R441">
        <f>N441+0.616*AT440</f>
        <v/>
      </c>
      <c r="S441">
        <f>IF($B$13&gt;=0.6,Q441,IF($B$13&lt;=0.2,R441,R441+2.5*(Q441-R441)*($B$13-0.2)))</f>
        <v/>
      </c>
      <c r="T441">
        <f>IF(A441=1,S441,T440*$B$27+S441*(1-$B$27))</f>
        <v/>
      </c>
      <c r="U441">
        <f>0.6105*EXP(17.27*T441/(T441+237.3))</f>
        <v/>
      </c>
      <c r="V441">
        <f>($B$14*(I441*C441+IF(ABS((D441+0.1)-D441)&lt;0.000000001,4*$B$19*$B$20*(D441+273)^3,$B$19*$B$20*(((D441+0.1)+273)^4-(D441+273)^4)/((D441+0.1)-D441))*D441)+T441/H441)/($B$14*(I441+IF(ABS((D441+0.1)-D441)&lt;0.000000001,4*$B$19*$B$20*(D441+273)^3,$B$19*$B$20*(((D441+0.1)+273)^4-(D441+273)^4)/((D441+0.1)-D441)))+1/H441)</f>
        <v/>
      </c>
      <c r="W441">
        <f>($B$14*(I441*C441+IF(ABS(V441-D441)&lt;0.000000001,4*$B$19*$B$20*(D441+273)^3,$B$19*$B$20*((V441+273)^4-(D441+273)^4)/(V441-D441))*D441)+T441/H441)/($B$14*(I441+IF(ABS(V441-D441)&lt;0.000000001,4*$B$19*$B$20*(D441+273)^3,$B$19*$B$20*((V441+273)^4-(D441+273)^4)/(V441-D441)))+1/H441)</f>
        <v/>
      </c>
      <c r="X441">
        <f>($B$14*(I441*C441+IF(ABS(W441-D441)&lt;0.000000001,4*$B$19*$B$20*(D441+273)^3,$B$19*$B$20*((W441+273)^4-(D441+273)^4)/(W441-D441))*D441)+T441/H441)/($B$14*(I441+IF(ABS(W441-D441)&lt;0.000000001,4*$B$19*$B$20*(D441+273)^3,$B$19*$B$20*((W441+273)^4-(D441+273)^4)/(W441-D441)))+1/H441)</f>
        <v/>
      </c>
      <c r="Y441">
        <f>($B$14*(I441*C441+IF(ABS(X441-D441)&lt;0.000000001,4*$B$19*$B$20*(D441+273)^3,$B$19*$B$20*((X441+273)^4-(D441+273)^4)/(X441-D441))*D441)+T441/H441)/($B$14*(I441+IF(ABS(X441-D441)&lt;0.000000001,4*$B$19*$B$20*(D441+273)^3,$B$19*$B$20*((X441+273)^4-(D441+273)^4)/(X441-D441)))+1/H441)</f>
        <v/>
      </c>
      <c r="Z441">
        <f>IF(ABS(Y441-D441)&lt;0.000000001,4*$B$19*$B$20*(D441+273)^3,$B$19*$B$20*((Y441+273)^4-(D441+273)^4)/(Y441-D441))</f>
        <v/>
      </c>
      <c r="AA441">
        <f>$B$14*I441*(Y441-C441)</f>
        <v/>
      </c>
      <c r="AB441">
        <f>$B$14*Z441*(Y441-D441)</f>
        <v/>
      </c>
      <c r="AC441">
        <f>IF((U441-E441)/G441=0,0.001,(U441-E441)/G441)</f>
        <v/>
      </c>
      <c r="AD441">
        <f>F441-P441-J441-K441-AA441-AB441</f>
        <v/>
      </c>
      <c r="AE441">
        <f>AD441/AC441</f>
        <v/>
      </c>
      <c r="AF441">
        <f>IF(AD441&lt;=0,0,IF(AC441&lt;=0,$B$11,IF(AE441&gt;=1.7,$B$11,MIN(AD441/MAX(0.05,IF(AE441&gt;1,(2-AE441)^2/2,1-AE441^2/2)),$B$11))))</f>
        <v/>
      </c>
      <c r="AG441">
        <f>AG440*$B$28+AF441*(1-$B$28)</f>
        <v/>
      </c>
      <c r="AH441">
        <f>IF(AND(AD441&gt;0,AC441&lt;=0),0,AC441)</f>
        <v/>
      </c>
      <c r="AI441">
        <f>AH441/MAX(AG441,0.000001)</f>
        <v/>
      </c>
      <c r="AJ441">
        <f>MIN(IF(AI441&gt;=0.5,-AI441+SQRT(AI441^2+2),1),$B$12)</f>
        <v/>
      </c>
      <c r="AK441">
        <f>IF(AG441&lt;=0,0,AJ441*AH441)</f>
        <v/>
      </c>
      <c r="AL441">
        <f>IF(AD441&lt;=0,0,AD441)</f>
        <v/>
      </c>
      <c r="AM441">
        <f>AL441-AK441+P441</f>
        <v/>
      </c>
      <c r="AN441">
        <f>((AM441/$B$7+T440*AS440/2-T441*MAX(0.1,MIN(0.3,0.3-0.09*(AR440-36.8)))/2)+AR440*(1-AS440/2))/(1-MAX(0.1,MIN(0.3,0.3-0.09*(AR440-36.8)))/2)</f>
        <v/>
      </c>
      <c r="AO441">
        <f>((AM441/$B$7+T440*AS440/2-T441*MAX(0.1,MIN(0.3,0.3-0.09*(AN441-36.8)))/2)+AR440*(1-AS440/2))/(1-MAX(0.1,MIN(0.3,0.3-0.09*(AN441-36.8)))/2)</f>
        <v/>
      </c>
      <c r="AP441">
        <f>((AM441/$B$7+T440*AS440/2-T441*MAX(0.1,MIN(0.3,0.3-0.09*(AO441-36.8)))/2)+AR440*(1-AS440/2))/(1-MAX(0.1,MIN(0.3,0.3-0.09*(AO441-36.8)))/2)</f>
        <v/>
      </c>
      <c r="AQ441">
        <f>((AM441/$B$7+T440*AS440/2-T441*MAX(0.1,MIN(0.3,0.3-0.09*(AP441-36.8)))/2)+AR440*(1-AS440/2))/(1-MAX(0.1,MIN(0.3,0.3-0.09*(AP441-36.8)))/2)</f>
        <v/>
      </c>
      <c r="AR441">
        <f>((AM441/$B$7+T440*AS440/2-T441*MAX(0.1,MIN(0.3,0.3-0.09*(AQ441-36.8)))/2)+AR440*(1-AS440/2))/(1-MAX(0.1,MIN(0.3,0.3-0.09*(AQ441-36.8)))/2)</f>
        <v/>
      </c>
      <c r="AS441">
        <f>MAX(0.1,MIN(0.3,0.3-0.09*(AR441-36.8)))</f>
        <v/>
      </c>
      <c r="AT441">
        <f>AT440+(2*AR441-1.962*AT440-1.31)/9</f>
        <v/>
      </c>
      <c r="AU441">
        <f>AU440+AG441+K441</f>
        <v/>
      </c>
      <c r="AV441">
        <f>AU441*2.67*$B$6/1.8/60</f>
        <v/>
      </c>
      <c r="AW441">
        <f>IF(AT441&gt;=$B$36,1,0)</f>
        <v/>
      </c>
      <c r="AX441">
        <f>IF(AV441&gt;=$B$21,1,0)</f>
        <v/>
      </c>
    </row>
    <row r="442">
      <c r="A442" t="n">
        <v>369</v>
      </c>
      <c r="B442">
        <f>MATCH(A442-1,$D$61:$D$68,1)</f>
        <v/>
      </c>
      <c r="C442">
        <f>INDEX($G$61:$G$68,B442)</f>
        <v/>
      </c>
      <c r="D442">
        <f>INDEX($L$61:$L$68,B442)</f>
        <v/>
      </c>
      <c r="E442">
        <f>INDEX($M$61:$M$68,B442)</f>
        <v/>
      </c>
      <c r="F442">
        <f>INDEX($N$61:$N$68,B442)</f>
        <v/>
      </c>
      <c r="G442">
        <f>INDEX($AA$61:$AA$68,B442)</f>
        <v/>
      </c>
      <c r="H442">
        <f>INDEX($X$61:$X$68,B442)</f>
        <v/>
      </c>
      <c r="I442">
        <f>INDEX($AF$61:$AF$68,B442)</f>
        <v/>
      </c>
      <c r="J442">
        <f>INDEX($AC$61:$AC$68,B442)</f>
        <v/>
      </c>
      <c r="K442">
        <f>INDEX($AD$61:$AD$68,B442)</f>
        <v/>
      </c>
      <c r="L442">
        <f>INDEX($AG$61:$AG$68,B442)</f>
        <v/>
      </c>
      <c r="M442">
        <f>INDEX($AH$61:$AH$68,B442)</f>
        <v/>
      </c>
      <c r="N442">
        <f>INDEX($AI$61:$AI$68,B442)</f>
        <v/>
      </c>
      <c r="O442">
        <f>O441*$B$26+L442*(1-$B$26)</f>
        <v/>
      </c>
      <c r="P442">
        <f>$B$7*(O442-O441)*(1-AS441)</f>
        <v/>
      </c>
      <c r="Q442">
        <f>M442+0.51274*AT441</f>
        <v/>
      </c>
      <c r="R442">
        <f>N442+0.616*AT441</f>
        <v/>
      </c>
      <c r="S442">
        <f>IF($B$13&gt;=0.6,Q442,IF($B$13&lt;=0.2,R442,R442+2.5*(Q442-R442)*($B$13-0.2)))</f>
        <v/>
      </c>
      <c r="T442">
        <f>IF(A442=1,S442,T441*$B$27+S442*(1-$B$27))</f>
        <v/>
      </c>
      <c r="U442">
        <f>0.6105*EXP(17.27*T442/(T442+237.3))</f>
        <v/>
      </c>
      <c r="V442">
        <f>($B$14*(I442*C442+IF(ABS((D442+0.1)-D442)&lt;0.000000001,4*$B$19*$B$20*(D442+273)^3,$B$19*$B$20*(((D442+0.1)+273)^4-(D442+273)^4)/((D442+0.1)-D442))*D442)+T442/H442)/($B$14*(I442+IF(ABS((D442+0.1)-D442)&lt;0.000000001,4*$B$19*$B$20*(D442+273)^3,$B$19*$B$20*(((D442+0.1)+273)^4-(D442+273)^4)/((D442+0.1)-D442)))+1/H442)</f>
        <v/>
      </c>
      <c r="W442">
        <f>($B$14*(I442*C442+IF(ABS(V442-D442)&lt;0.000000001,4*$B$19*$B$20*(D442+273)^3,$B$19*$B$20*((V442+273)^4-(D442+273)^4)/(V442-D442))*D442)+T442/H442)/($B$14*(I442+IF(ABS(V442-D442)&lt;0.000000001,4*$B$19*$B$20*(D442+273)^3,$B$19*$B$20*((V442+273)^4-(D442+273)^4)/(V442-D442)))+1/H442)</f>
        <v/>
      </c>
      <c r="X442">
        <f>($B$14*(I442*C442+IF(ABS(W442-D442)&lt;0.000000001,4*$B$19*$B$20*(D442+273)^3,$B$19*$B$20*((W442+273)^4-(D442+273)^4)/(W442-D442))*D442)+T442/H442)/($B$14*(I442+IF(ABS(W442-D442)&lt;0.000000001,4*$B$19*$B$20*(D442+273)^3,$B$19*$B$20*((W442+273)^4-(D442+273)^4)/(W442-D442)))+1/H442)</f>
        <v/>
      </c>
      <c r="Y442">
        <f>($B$14*(I442*C442+IF(ABS(X442-D442)&lt;0.000000001,4*$B$19*$B$20*(D442+273)^3,$B$19*$B$20*((X442+273)^4-(D442+273)^4)/(X442-D442))*D442)+T442/H442)/($B$14*(I442+IF(ABS(X442-D442)&lt;0.000000001,4*$B$19*$B$20*(D442+273)^3,$B$19*$B$20*((X442+273)^4-(D442+273)^4)/(X442-D442)))+1/H442)</f>
        <v/>
      </c>
      <c r="Z442">
        <f>IF(ABS(Y442-D442)&lt;0.000000001,4*$B$19*$B$20*(D442+273)^3,$B$19*$B$20*((Y442+273)^4-(D442+273)^4)/(Y442-D442))</f>
        <v/>
      </c>
      <c r="AA442">
        <f>$B$14*I442*(Y442-C442)</f>
        <v/>
      </c>
      <c r="AB442">
        <f>$B$14*Z442*(Y442-D442)</f>
        <v/>
      </c>
      <c r="AC442">
        <f>IF((U442-E442)/G442=0,0.001,(U442-E442)/G442)</f>
        <v/>
      </c>
      <c r="AD442">
        <f>F442-P442-J442-K442-AA442-AB442</f>
        <v/>
      </c>
      <c r="AE442">
        <f>AD442/AC442</f>
        <v/>
      </c>
      <c r="AF442">
        <f>IF(AD442&lt;=0,0,IF(AC442&lt;=0,$B$11,IF(AE442&gt;=1.7,$B$11,MIN(AD442/MAX(0.05,IF(AE442&gt;1,(2-AE442)^2/2,1-AE442^2/2)),$B$11))))</f>
        <v/>
      </c>
      <c r="AG442">
        <f>AG441*$B$28+AF442*(1-$B$28)</f>
        <v/>
      </c>
      <c r="AH442">
        <f>IF(AND(AD442&gt;0,AC442&lt;=0),0,AC442)</f>
        <v/>
      </c>
      <c r="AI442">
        <f>AH442/MAX(AG442,0.000001)</f>
        <v/>
      </c>
      <c r="AJ442">
        <f>MIN(IF(AI442&gt;=0.5,-AI442+SQRT(AI442^2+2),1),$B$12)</f>
        <v/>
      </c>
      <c r="AK442">
        <f>IF(AG442&lt;=0,0,AJ442*AH442)</f>
        <v/>
      </c>
      <c r="AL442">
        <f>IF(AD442&lt;=0,0,AD442)</f>
        <v/>
      </c>
      <c r="AM442">
        <f>AL442-AK442+P442</f>
        <v/>
      </c>
      <c r="AN442">
        <f>((AM442/$B$7+T441*AS441/2-T442*MAX(0.1,MIN(0.3,0.3-0.09*(AR441-36.8)))/2)+AR441*(1-AS441/2))/(1-MAX(0.1,MIN(0.3,0.3-0.09*(AR441-36.8)))/2)</f>
        <v/>
      </c>
      <c r="AO442">
        <f>((AM442/$B$7+T441*AS441/2-T442*MAX(0.1,MIN(0.3,0.3-0.09*(AN442-36.8)))/2)+AR441*(1-AS441/2))/(1-MAX(0.1,MIN(0.3,0.3-0.09*(AN442-36.8)))/2)</f>
        <v/>
      </c>
      <c r="AP442">
        <f>((AM442/$B$7+T441*AS441/2-T442*MAX(0.1,MIN(0.3,0.3-0.09*(AO442-36.8)))/2)+AR441*(1-AS441/2))/(1-MAX(0.1,MIN(0.3,0.3-0.09*(AO442-36.8)))/2)</f>
        <v/>
      </c>
      <c r="AQ442">
        <f>((AM442/$B$7+T441*AS441/2-T442*MAX(0.1,MIN(0.3,0.3-0.09*(AP442-36.8)))/2)+AR441*(1-AS441/2))/(1-MAX(0.1,MIN(0.3,0.3-0.09*(AP442-36.8)))/2)</f>
        <v/>
      </c>
      <c r="AR442">
        <f>((AM442/$B$7+T441*AS441/2-T442*MAX(0.1,MIN(0.3,0.3-0.09*(AQ442-36.8)))/2)+AR441*(1-AS441/2))/(1-MAX(0.1,MIN(0.3,0.3-0.09*(AQ442-36.8)))/2)</f>
        <v/>
      </c>
      <c r="AS442">
        <f>MAX(0.1,MIN(0.3,0.3-0.09*(AR442-36.8)))</f>
        <v/>
      </c>
      <c r="AT442">
        <f>AT441+(2*AR442-1.962*AT441-1.31)/9</f>
        <v/>
      </c>
      <c r="AU442">
        <f>AU441+AG442+K442</f>
        <v/>
      </c>
      <c r="AV442">
        <f>AU442*2.67*$B$6/1.8/60</f>
        <v/>
      </c>
      <c r="AW442">
        <f>IF(AT442&gt;=$B$36,1,0)</f>
        <v/>
      </c>
      <c r="AX442">
        <f>IF(AV442&gt;=$B$21,1,0)</f>
        <v/>
      </c>
    </row>
    <row r="443">
      <c r="A443" t="n">
        <v>370</v>
      </c>
      <c r="B443">
        <f>MATCH(A443-1,$D$61:$D$68,1)</f>
        <v/>
      </c>
      <c r="C443">
        <f>INDEX($G$61:$G$68,B443)</f>
        <v/>
      </c>
      <c r="D443">
        <f>INDEX($L$61:$L$68,B443)</f>
        <v/>
      </c>
      <c r="E443">
        <f>INDEX($M$61:$M$68,B443)</f>
        <v/>
      </c>
      <c r="F443">
        <f>INDEX($N$61:$N$68,B443)</f>
        <v/>
      </c>
      <c r="G443">
        <f>INDEX($AA$61:$AA$68,B443)</f>
        <v/>
      </c>
      <c r="H443">
        <f>INDEX($X$61:$X$68,B443)</f>
        <v/>
      </c>
      <c r="I443">
        <f>INDEX($AF$61:$AF$68,B443)</f>
        <v/>
      </c>
      <c r="J443">
        <f>INDEX($AC$61:$AC$68,B443)</f>
        <v/>
      </c>
      <c r="K443">
        <f>INDEX($AD$61:$AD$68,B443)</f>
        <v/>
      </c>
      <c r="L443">
        <f>INDEX($AG$61:$AG$68,B443)</f>
        <v/>
      </c>
      <c r="M443">
        <f>INDEX($AH$61:$AH$68,B443)</f>
        <v/>
      </c>
      <c r="N443">
        <f>INDEX($AI$61:$AI$68,B443)</f>
        <v/>
      </c>
      <c r="O443">
        <f>O442*$B$26+L443*(1-$B$26)</f>
        <v/>
      </c>
      <c r="P443">
        <f>$B$7*(O443-O442)*(1-AS442)</f>
        <v/>
      </c>
      <c r="Q443">
        <f>M443+0.51274*AT442</f>
        <v/>
      </c>
      <c r="R443">
        <f>N443+0.616*AT442</f>
        <v/>
      </c>
      <c r="S443">
        <f>IF($B$13&gt;=0.6,Q443,IF($B$13&lt;=0.2,R443,R443+2.5*(Q443-R443)*($B$13-0.2)))</f>
        <v/>
      </c>
      <c r="T443">
        <f>IF(A443=1,S443,T442*$B$27+S443*(1-$B$27))</f>
        <v/>
      </c>
      <c r="U443">
        <f>0.6105*EXP(17.27*T443/(T443+237.3))</f>
        <v/>
      </c>
      <c r="V443">
        <f>($B$14*(I443*C443+IF(ABS((D443+0.1)-D443)&lt;0.000000001,4*$B$19*$B$20*(D443+273)^3,$B$19*$B$20*(((D443+0.1)+273)^4-(D443+273)^4)/((D443+0.1)-D443))*D443)+T443/H443)/($B$14*(I443+IF(ABS((D443+0.1)-D443)&lt;0.000000001,4*$B$19*$B$20*(D443+273)^3,$B$19*$B$20*(((D443+0.1)+273)^4-(D443+273)^4)/((D443+0.1)-D443)))+1/H443)</f>
        <v/>
      </c>
      <c r="W443">
        <f>($B$14*(I443*C443+IF(ABS(V443-D443)&lt;0.000000001,4*$B$19*$B$20*(D443+273)^3,$B$19*$B$20*((V443+273)^4-(D443+273)^4)/(V443-D443))*D443)+T443/H443)/($B$14*(I443+IF(ABS(V443-D443)&lt;0.000000001,4*$B$19*$B$20*(D443+273)^3,$B$19*$B$20*((V443+273)^4-(D443+273)^4)/(V443-D443)))+1/H443)</f>
        <v/>
      </c>
      <c r="X443">
        <f>($B$14*(I443*C443+IF(ABS(W443-D443)&lt;0.000000001,4*$B$19*$B$20*(D443+273)^3,$B$19*$B$20*((W443+273)^4-(D443+273)^4)/(W443-D443))*D443)+T443/H443)/($B$14*(I443+IF(ABS(W443-D443)&lt;0.000000001,4*$B$19*$B$20*(D443+273)^3,$B$19*$B$20*((W443+273)^4-(D443+273)^4)/(W443-D443)))+1/H443)</f>
        <v/>
      </c>
      <c r="Y443">
        <f>($B$14*(I443*C443+IF(ABS(X443-D443)&lt;0.000000001,4*$B$19*$B$20*(D443+273)^3,$B$19*$B$20*((X443+273)^4-(D443+273)^4)/(X443-D443))*D443)+T443/H443)/($B$14*(I443+IF(ABS(X443-D443)&lt;0.000000001,4*$B$19*$B$20*(D443+273)^3,$B$19*$B$20*((X443+273)^4-(D443+273)^4)/(X443-D443)))+1/H443)</f>
        <v/>
      </c>
      <c r="Z443">
        <f>IF(ABS(Y443-D443)&lt;0.000000001,4*$B$19*$B$20*(D443+273)^3,$B$19*$B$20*((Y443+273)^4-(D443+273)^4)/(Y443-D443))</f>
        <v/>
      </c>
      <c r="AA443">
        <f>$B$14*I443*(Y443-C443)</f>
        <v/>
      </c>
      <c r="AB443">
        <f>$B$14*Z443*(Y443-D443)</f>
        <v/>
      </c>
      <c r="AC443">
        <f>IF((U443-E443)/G443=0,0.001,(U443-E443)/G443)</f>
        <v/>
      </c>
      <c r="AD443">
        <f>F443-P443-J443-K443-AA443-AB443</f>
        <v/>
      </c>
      <c r="AE443">
        <f>AD443/AC443</f>
        <v/>
      </c>
      <c r="AF443">
        <f>IF(AD443&lt;=0,0,IF(AC443&lt;=0,$B$11,IF(AE443&gt;=1.7,$B$11,MIN(AD443/MAX(0.05,IF(AE443&gt;1,(2-AE443)^2/2,1-AE443^2/2)),$B$11))))</f>
        <v/>
      </c>
      <c r="AG443">
        <f>AG442*$B$28+AF443*(1-$B$28)</f>
        <v/>
      </c>
      <c r="AH443">
        <f>IF(AND(AD443&gt;0,AC443&lt;=0),0,AC443)</f>
        <v/>
      </c>
      <c r="AI443">
        <f>AH443/MAX(AG443,0.000001)</f>
        <v/>
      </c>
      <c r="AJ443">
        <f>MIN(IF(AI443&gt;=0.5,-AI443+SQRT(AI443^2+2),1),$B$12)</f>
        <v/>
      </c>
      <c r="AK443">
        <f>IF(AG443&lt;=0,0,AJ443*AH443)</f>
        <v/>
      </c>
      <c r="AL443">
        <f>IF(AD443&lt;=0,0,AD443)</f>
        <v/>
      </c>
      <c r="AM443">
        <f>AL443-AK443+P443</f>
        <v/>
      </c>
      <c r="AN443">
        <f>((AM443/$B$7+T442*AS442/2-T443*MAX(0.1,MIN(0.3,0.3-0.09*(AR442-36.8)))/2)+AR442*(1-AS442/2))/(1-MAX(0.1,MIN(0.3,0.3-0.09*(AR442-36.8)))/2)</f>
        <v/>
      </c>
      <c r="AO443">
        <f>((AM443/$B$7+T442*AS442/2-T443*MAX(0.1,MIN(0.3,0.3-0.09*(AN443-36.8)))/2)+AR442*(1-AS442/2))/(1-MAX(0.1,MIN(0.3,0.3-0.09*(AN443-36.8)))/2)</f>
        <v/>
      </c>
      <c r="AP443">
        <f>((AM443/$B$7+T442*AS442/2-T443*MAX(0.1,MIN(0.3,0.3-0.09*(AO443-36.8)))/2)+AR442*(1-AS442/2))/(1-MAX(0.1,MIN(0.3,0.3-0.09*(AO443-36.8)))/2)</f>
        <v/>
      </c>
      <c r="AQ443">
        <f>((AM443/$B$7+T442*AS442/2-T443*MAX(0.1,MIN(0.3,0.3-0.09*(AP443-36.8)))/2)+AR442*(1-AS442/2))/(1-MAX(0.1,MIN(0.3,0.3-0.09*(AP443-36.8)))/2)</f>
        <v/>
      </c>
      <c r="AR443">
        <f>((AM443/$B$7+T442*AS442/2-T443*MAX(0.1,MIN(0.3,0.3-0.09*(AQ443-36.8)))/2)+AR442*(1-AS442/2))/(1-MAX(0.1,MIN(0.3,0.3-0.09*(AQ443-36.8)))/2)</f>
        <v/>
      </c>
      <c r="AS443">
        <f>MAX(0.1,MIN(0.3,0.3-0.09*(AR443-36.8)))</f>
        <v/>
      </c>
      <c r="AT443">
        <f>AT442+(2*AR443-1.962*AT442-1.31)/9</f>
        <v/>
      </c>
      <c r="AU443">
        <f>AU442+AG443+K443</f>
        <v/>
      </c>
      <c r="AV443">
        <f>AU443*2.67*$B$6/1.8/60</f>
        <v/>
      </c>
      <c r="AW443">
        <f>IF(AT443&gt;=$B$36,1,0)</f>
        <v/>
      </c>
      <c r="AX443">
        <f>IF(AV443&gt;=$B$21,1,0)</f>
        <v/>
      </c>
    </row>
    <row r="444">
      <c r="A444" t="n">
        <v>371</v>
      </c>
      <c r="B444">
        <f>MATCH(A444-1,$D$61:$D$68,1)</f>
        <v/>
      </c>
      <c r="C444">
        <f>INDEX($G$61:$G$68,B444)</f>
        <v/>
      </c>
      <c r="D444">
        <f>INDEX($L$61:$L$68,B444)</f>
        <v/>
      </c>
      <c r="E444">
        <f>INDEX($M$61:$M$68,B444)</f>
        <v/>
      </c>
      <c r="F444">
        <f>INDEX($N$61:$N$68,B444)</f>
        <v/>
      </c>
      <c r="G444">
        <f>INDEX($AA$61:$AA$68,B444)</f>
        <v/>
      </c>
      <c r="H444">
        <f>INDEX($X$61:$X$68,B444)</f>
        <v/>
      </c>
      <c r="I444">
        <f>INDEX($AF$61:$AF$68,B444)</f>
        <v/>
      </c>
      <c r="J444">
        <f>INDEX($AC$61:$AC$68,B444)</f>
        <v/>
      </c>
      <c r="K444">
        <f>INDEX($AD$61:$AD$68,B444)</f>
        <v/>
      </c>
      <c r="L444">
        <f>INDEX($AG$61:$AG$68,B444)</f>
        <v/>
      </c>
      <c r="M444">
        <f>INDEX($AH$61:$AH$68,B444)</f>
        <v/>
      </c>
      <c r="N444">
        <f>INDEX($AI$61:$AI$68,B444)</f>
        <v/>
      </c>
      <c r="O444">
        <f>O443*$B$26+L444*(1-$B$26)</f>
        <v/>
      </c>
      <c r="P444">
        <f>$B$7*(O444-O443)*(1-AS443)</f>
        <v/>
      </c>
      <c r="Q444">
        <f>M444+0.51274*AT443</f>
        <v/>
      </c>
      <c r="R444">
        <f>N444+0.616*AT443</f>
        <v/>
      </c>
      <c r="S444">
        <f>IF($B$13&gt;=0.6,Q444,IF($B$13&lt;=0.2,R444,R444+2.5*(Q444-R444)*($B$13-0.2)))</f>
        <v/>
      </c>
      <c r="T444">
        <f>IF(A444=1,S444,T443*$B$27+S444*(1-$B$27))</f>
        <v/>
      </c>
      <c r="U444">
        <f>0.6105*EXP(17.27*T444/(T444+237.3))</f>
        <v/>
      </c>
      <c r="V444">
        <f>($B$14*(I444*C444+IF(ABS((D444+0.1)-D444)&lt;0.000000001,4*$B$19*$B$20*(D444+273)^3,$B$19*$B$20*(((D444+0.1)+273)^4-(D444+273)^4)/((D444+0.1)-D444))*D444)+T444/H444)/($B$14*(I444+IF(ABS((D444+0.1)-D444)&lt;0.000000001,4*$B$19*$B$20*(D444+273)^3,$B$19*$B$20*(((D444+0.1)+273)^4-(D444+273)^4)/((D444+0.1)-D444)))+1/H444)</f>
        <v/>
      </c>
      <c r="W444">
        <f>($B$14*(I444*C444+IF(ABS(V444-D444)&lt;0.000000001,4*$B$19*$B$20*(D444+273)^3,$B$19*$B$20*((V444+273)^4-(D444+273)^4)/(V444-D444))*D444)+T444/H444)/($B$14*(I444+IF(ABS(V444-D444)&lt;0.000000001,4*$B$19*$B$20*(D444+273)^3,$B$19*$B$20*((V444+273)^4-(D444+273)^4)/(V444-D444)))+1/H444)</f>
        <v/>
      </c>
      <c r="X444">
        <f>($B$14*(I444*C444+IF(ABS(W444-D444)&lt;0.000000001,4*$B$19*$B$20*(D444+273)^3,$B$19*$B$20*((W444+273)^4-(D444+273)^4)/(W444-D444))*D444)+T444/H444)/($B$14*(I444+IF(ABS(W444-D444)&lt;0.000000001,4*$B$19*$B$20*(D444+273)^3,$B$19*$B$20*((W444+273)^4-(D444+273)^4)/(W444-D444)))+1/H444)</f>
        <v/>
      </c>
      <c r="Y444">
        <f>($B$14*(I444*C444+IF(ABS(X444-D444)&lt;0.000000001,4*$B$19*$B$20*(D444+273)^3,$B$19*$B$20*((X444+273)^4-(D444+273)^4)/(X444-D444))*D444)+T444/H444)/($B$14*(I444+IF(ABS(X444-D444)&lt;0.000000001,4*$B$19*$B$20*(D444+273)^3,$B$19*$B$20*((X444+273)^4-(D444+273)^4)/(X444-D444)))+1/H444)</f>
        <v/>
      </c>
      <c r="Z444">
        <f>IF(ABS(Y444-D444)&lt;0.000000001,4*$B$19*$B$20*(D444+273)^3,$B$19*$B$20*((Y444+273)^4-(D444+273)^4)/(Y444-D444))</f>
        <v/>
      </c>
      <c r="AA444">
        <f>$B$14*I444*(Y444-C444)</f>
        <v/>
      </c>
      <c r="AB444">
        <f>$B$14*Z444*(Y444-D444)</f>
        <v/>
      </c>
      <c r="AC444">
        <f>IF((U444-E444)/G444=0,0.001,(U444-E444)/G444)</f>
        <v/>
      </c>
      <c r="AD444">
        <f>F444-P444-J444-K444-AA444-AB444</f>
        <v/>
      </c>
      <c r="AE444">
        <f>AD444/AC444</f>
        <v/>
      </c>
      <c r="AF444">
        <f>IF(AD444&lt;=0,0,IF(AC444&lt;=0,$B$11,IF(AE444&gt;=1.7,$B$11,MIN(AD444/MAX(0.05,IF(AE444&gt;1,(2-AE444)^2/2,1-AE444^2/2)),$B$11))))</f>
        <v/>
      </c>
      <c r="AG444">
        <f>AG443*$B$28+AF444*(1-$B$28)</f>
        <v/>
      </c>
      <c r="AH444">
        <f>IF(AND(AD444&gt;0,AC444&lt;=0),0,AC444)</f>
        <v/>
      </c>
      <c r="AI444">
        <f>AH444/MAX(AG444,0.000001)</f>
        <v/>
      </c>
      <c r="AJ444">
        <f>MIN(IF(AI444&gt;=0.5,-AI444+SQRT(AI444^2+2),1),$B$12)</f>
        <v/>
      </c>
      <c r="AK444">
        <f>IF(AG444&lt;=0,0,AJ444*AH444)</f>
        <v/>
      </c>
      <c r="AL444">
        <f>IF(AD444&lt;=0,0,AD444)</f>
        <v/>
      </c>
      <c r="AM444">
        <f>AL444-AK444+P444</f>
        <v/>
      </c>
      <c r="AN444">
        <f>((AM444/$B$7+T443*AS443/2-T444*MAX(0.1,MIN(0.3,0.3-0.09*(AR443-36.8)))/2)+AR443*(1-AS443/2))/(1-MAX(0.1,MIN(0.3,0.3-0.09*(AR443-36.8)))/2)</f>
        <v/>
      </c>
      <c r="AO444">
        <f>((AM444/$B$7+T443*AS443/2-T444*MAX(0.1,MIN(0.3,0.3-0.09*(AN444-36.8)))/2)+AR443*(1-AS443/2))/(1-MAX(0.1,MIN(0.3,0.3-0.09*(AN444-36.8)))/2)</f>
        <v/>
      </c>
      <c r="AP444">
        <f>((AM444/$B$7+T443*AS443/2-T444*MAX(0.1,MIN(0.3,0.3-0.09*(AO444-36.8)))/2)+AR443*(1-AS443/2))/(1-MAX(0.1,MIN(0.3,0.3-0.09*(AO444-36.8)))/2)</f>
        <v/>
      </c>
      <c r="AQ444">
        <f>((AM444/$B$7+T443*AS443/2-T444*MAX(0.1,MIN(0.3,0.3-0.09*(AP444-36.8)))/2)+AR443*(1-AS443/2))/(1-MAX(0.1,MIN(0.3,0.3-0.09*(AP444-36.8)))/2)</f>
        <v/>
      </c>
      <c r="AR444">
        <f>((AM444/$B$7+T443*AS443/2-T444*MAX(0.1,MIN(0.3,0.3-0.09*(AQ444-36.8)))/2)+AR443*(1-AS443/2))/(1-MAX(0.1,MIN(0.3,0.3-0.09*(AQ444-36.8)))/2)</f>
        <v/>
      </c>
      <c r="AS444">
        <f>MAX(0.1,MIN(0.3,0.3-0.09*(AR444-36.8)))</f>
        <v/>
      </c>
      <c r="AT444">
        <f>AT443+(2*AR444-1.962*AT443-1.31)/9</f>
        <v/>
      </c>
      <c r="AU444">
        <f>AU443+AG444+K444</f>
        <v/>
      </c>
      <c r="AV444">
        <f>AU444*2.67*$B$6/1.8/60</f>
        <v/>
      </c>
      <c r="AW444">
        <f>IF(AT444&gt;=$B$36,1,0)</f>
        <v/>
      </c>
      <c r="AX444">
        <f>IF(AV444&gt;=$B$21,1,0)</f>
        <v/>
      </c>
    </row>
    <row r="445">
      <c r="A445" t="n">
        <v>372</v>
      </c>
      <c r="B445">
        <f>MATCH(A445-1,$D$61:$D$68,1)</f>
        <v/>
      </c>
      <c r="C445">
        <f>INDEX($G$61:$G$68,B445)</f>
        <v/>
      </c>
      <c r="D445">
        <f>INDEX($L$61:$L$68,B445)</f>
        <v/>
      </c>
      <c r="E445">
        <f>INDEX($M$61:$M$68,B445)</f>
        <v/>
      </c>
      <c r="F445">
        <f>INDEX($N$61:$N$68,B445)</f>
        <v/>
      </c>
      <c r="G445">
        <f>INDEX($AA$61:$AA$68,B445)</f>
        <v/>
      </c>
      <c r="H445">
        <f>INDEX($X$61:$X$68,B445)</f>
        <v/>
      </c>
      <c r="I445">
        <f>INDEX($AF$61:$AF$68,B445)</f>
        <v/>
      </c>
      <c r="J445">
        <f>INDEX($AC$61:$AC$68,B445)</f>
        <v/>
      </c>
      <c r="K445">
        <f>INDEX($AD$61:$AD$68,B445)</f>
        <v/>
      </c>
      <c r="L445">
        <f>INDEX($AG$61:$AG$68,B445)</f>
        <v/>
      </c>
      <c r="M445">
        <f>INDEX($AH$61:$AH$68,B445)</f>
        <v/>
      </c>
      <c r="N445">
        <f>INDEX($AI$61:$AI$68,B445)</f>
        <v/>
      </c>
      <c r="O445">
        <f>O444*$B$26+L445*(1-$B$26)</f>
        <v/>
      </c>
      <c r="P445">
        <f>$B$7*(O445-O444)*(1-AS444)</f>
        <v/>
      </c>
      <c r="Q445">
        <f>M445+0.51274*AT444</f>
        <v/>
      </c>
      <c r="R445">
        <f>N445+0.616*AT444</f>
        <v/>
      </c>
      <c r="S445">
        <f>IF($B$13&gt;=0.6,Q445,IF($B$13&lt;=0.2,R445,R445+2.5*(Q445-R445)*($B$13-0.2)))</f>
        <v/>
      </c>
      <c r="T445">
        <f>IF(A445=1,S445,T444*$B$27+S445*(1-$B$27))</f>
        <v/>
      </c>
      <c r="U445">
        <f>0.6105*EXP(17.27*T445/(T445+237.3))</f>
        <v/>
      </c>
      <c r="V445">
        <f>($B$14*(I445*C445+IF(ABS((D445+0.1)-D445)&lt;0.000000001,4*$B$19*$B$20*(D445+273)^3,$B$19*$B$20*(((D445+0.1)+273)^4-(D445+273)^4)/((D445+0.1)-D445))*D445)+T445/H445)/($B$14*(I445+IF(ABS((D445+0.1)-D445)&lt;0.000000001,4*$B$19*$B$20*(D445+273)^3,$B$19*$B$20*(((D445+0.1)+273)^4-(D445+273)^4)/((D445+0.1)-D445)))+1/H445)</f>
        <v/>
      </c>
      <c r="W445">
        <f>($B$14*(I445*C445+IF(ABS(V445-D445)&lt;0.000000001,4*$B$19*$B$20*(D445+273)^3,$B$19*$B$20*((V445+273)^4-(D445+273)^4)/(V445-D445))*D445)+T445/H445)/($B$14*(I445+IF(ABS(V445-D445)&lt;0.000000001,4*$B$19*$B$20*(D445+273)^3,$B$19*$B$20*((V445+273)^4-(D445+273)^4)/(V445-D445)))+1/H445)</f>
        <v/>
      </c>
      <c r="X445">
        <f>($B$14*(I445*C445+IF(ABS(W445-D445)&lt;0.000000001,4*$B$19*$B$20*(D445+273)^3,$B$19*$B$20*((W445+273)^4-(D445+273)^4)/(W445-D445))*D445)+T445/H445)/($B$14*(I445+IF(ABS(W445-D445)&lt;0.000000001,4*$B$19*$B$20*(D445+273)^3,$B$19*$B$20*((W445+273)^4-(D445+273)^4)/(W445-D445)))+1/H445)</f>
        <v/>
      </c>
      <c r="Y445">
        <f>($B$14*(I445*C445+IF(ABS(X445-D445)&lt;0.000000001,4*$B$19*$B$20*(D445+273)^3,$B$19*$B$20*((X445+273)^4-(D445+273)^4)/(X445-D445))*D445)+T445/H445)/($B$14*(I445+IF(ABS(X445-D445)&lt;0.000000001,4*$B$19*$B$20*(D445+273)^3,$B$19*$B$20*((X445+273)^4-(D445+273)^4)/(X445-D445)))+1/H445)</f>
        <v/>
      </c>
      <c r="Z445">
        <f>IF(ABS(Y445-D445)&lt;0.000000001,4*$B$19*$B$20*(D445+273)^3,$B$19*$B$20*((Y445+273)^4-(D445+273)^4)/(Y445-D445))</f>
        <v/>
      </c>
      <c r="AA445">
        <f>$B$14*I445*(Y445-C445)</f>
        <v/>
      </c>
      <c r="AB445">
        <f>$B$14*Z445*(Y445-D445)</f>
        <v/>
      </c>
      <c r="AC445">
        <f>IF((U445-E445)/G445=0,0.001,(U445-E445)/G445)</f>
        <v/>
      </c>
      <c r="AD445">
        <f>F445-P445-J445-K445-AA445-AB445</f>
        <v/>
      </c>
      <c r="AE445">
        <f>AD445/AC445</f>
        <v/>
      </c>
      <c r="AF445">
        <f>IF(AD445&lt;=0,0,IF(AC445&lt;=0,$B$11,IF(AE445&gt;=1.7,$B$11,MIN(AD445/MAX(0.05,IF(AE445&gt;1,(2-AE445)^2/2,1-AE445^2/2)),$B$11))))</f>
        <v/>
      </c>
      <c r="AG445">
        <f>AG444*$B$28+AF445*(1-$B$28)</f>
        <v/>
      </c>
      <c r="AH445">
        <f>IF(AND(AD445&gt;0,AC445&lt;=0),0,AC445)</f>
        <v/>
      </c>
      <c r="AI445">
        <f>AH445/MAX(AG445,0.000001)</f>
        <v/>
      </c>
      <c r="AJ445">
        <f>MIN(IF(AI445&gt;=0.5,-AI445+SQRT(AI445^2+2),1),$B$12)</f>
        <v/>
      </c>
      <c r="AK445">
        <f>IF(AG445&lt;=0,0,AJ445*AH445)</f>
        <v/>
      </c>
      <c r="AL445">
        <f>IF(AD445&lt;=0,0,AD445)</f>
        <v/>
      </c>
      <c r="AM445">
        <f>AL445-AK445+P445</f>
        <v/>
      </c>
      <c r="AN445">
        <f>((AM445/$B$7+T444*AS444/2-T445*MAX(0.1,MIN(0.3,0.3-0.09*(AR444-36.8)))/2)+AR444*(1-AS444/2))/(1-MAX(0.1,MIN(0.3,0.3-0.09*(AR444-36.8)))/2)</f>
        <v/>
      </c>
      <c r="AO445">
        <f>((AM445/$B$7+T444*AS444/2-T445*MAX(0.1,MIN(0.3,0.3-0.09*(AN445-36.8)))/2)+AR444*(1-AS444/2))/(1-MAX(0.1,MIN(0.3,0.3-0.09*(AN445-36.8)))/2)</f>
        <v/>
      </c>
      <c r="AP445">
        <f>((AM445/$B$7+T444*AS444/2-T445*MAX(0.1,MIN(0.3,0.3-0.09*(AO445-36.8)))/2)+AR444*(1-AS444/2))/(1-MAX(0.1,MIN(0.3,0.3-0.09*(AO445-36.8)))/2)</f>
        <v/>
      </c>
      <c r="AQ445">
        <f>((AM445/$B$7+T444*AS444/2-T445*MAX(0.1,MIN(0.3,0.3-0.09*(AP445-36.8)))/2)+AR444*(1-AS444/2))/(1-MAX(0.1,MIN(0.3,0.3-0.09*(AP445-36.8)))/2)</f>
        <v/>
      </c>
      <c r="AR445">
        <f>((AM445/$B$7+T444*AS444/2-T445*MAX(0.1,MIN(0.3,0.3-0.09*(AQ445-36.8)))/2)+AR444*(1-AS444/2))/(1-MAX(0.1,MIN(0.3,0.3-0.09*(AQ445-36.8)))/2)</f>
        <v/>
      </c>
      <c r="AS445">
        <f>MAX(0.1,MIN(0.3,0.3-0.09*(AR445-36.8)))</f>
        <v/>
      </c>
      <c r="AT445">
        <f>AT444+(2*AR445-1.962*AT444-1.31)/9</f>
        <v/>
      </c>
      <c r="AU445">
        <f>AU444+AG445+K445</f>
        <v/>
      </c>
      <c r="AV445">
        <f>AU445*2.67*$B$6/1.8/60</f>
        <v/>
      </c>
      <c r="AW445">
        <f>IF(AT445&gt;=$B$36,1,0)</f>
        <v/>
      </c>
      <c r="AX445">
        <f>IF(AV445&gt;=$B$21,1,0)</f>
        <v/>
      </c>
    </row>
    <row r="446">
      <c r="A446" t="n">
        <v>373</v>
      </c>
      <c r="B446">
        <f>MATCH(A446-1,$D$61:$D$68,1)</f>
        <v/>
      </c>
      <c r="C446">
        <f>INDEX($G$61:$G$68,B446)</f>
        <v/>
      </c>
      <c r="D446">
        <f>INDEX($L$61:$L$68,B446)</f>
        <v/>
      </c>
      <c r="E446">
        <f>INDEX($M$61:$M$68,B446)</f>
        <v/>
      </c>
      <c r="F446">
        <f>INDEX($N$61:$N$68,B446)</f>
        <v/>
      </c>
      <c r="G446">
        <f>INDEX($AA$61:$AA$68,B446)</f>
        <v/>
      </c>
      <c r="H446">
        <f>INDEX($X$61:$X$68,B446)</f>
        <v/>
      </c>
      <c r="I446">
        <f>INDEX($AF$61:$AF$68,B446)</f>
        <v/>
      </c>
      <c r="J446">
        <f>INDEX($AC$61:$AC$68,B446)</f>
        <v/>
      </c>
      <c r="K446">
        <f>INDEX($AD$61:$AD$68,B446)</f>
        <v/>
      </c>
      <c r="L446">
        <f>INDEX($AG$61:$AG$68,B446)</f>
        <v/>
      </c>
      <c r="M446">
        <f>INDEX($AH$61:$AH$68,B446)</f>
        <v/>
      </c>
      <c r="N446">
        <f>INDEX($AI$61:$AI$68,B446)</f>
        <v/>
      </c>
      <c r="O446">
        <f>O445*$B$26+L446*(1-$B$26)</f>
        <v/>
      </c>
      <c r="P446">
        <f>$B$7*(O446-O445)*(1-AS445)</f>
        <v/>
      </c>
      <c r="Q446">
        <f>M446+0.51274*AT445</f>
        <v/>
      </c>
      <c r="R446">
        <f>N446+0.616*AT445</f>
        <v/>
      </c>
      <c r="S446">
        <f>IF($B$13&gt;=0.6,Q446,IF($B$13&lt;=0.2,R446,R446+2.5*(Q446-R446)*($B$13-0.2)))</f>
        <v/>
      </c>
      <c r="T446">
        <f>IF(A446=1,S446,T445*$B$27+S446*(1-$B$27))</f>
        <v/>
      </c>
      <c r="U446">
        <f>0.6105*EXP(17.27*T446/(T446+237.3))</f>
        <v/>
      </c>
      <c r="V446">
        <f>($B$14*(I446*C446+IF(ABS((D446+0.1)-D446)&lt;0.000000001,4*$B$19*$B$20*(D446+273)^3,$B$19*$B$20*(((D446+0.1)+273)^4-(D446+273)^4)/((D446+0.1)-D446))*D446)+T446/H446)/($B$14*(I446+IF(ABS((D446+0.1)-D446)&lt;0.000000001,4*$B$19*$B$20*(D446+273)^3,$B$19*$B$20*(((D446+0.1)+273)^4-(D446+273)^4)/((D446+0.1)-D446)))+1/H446)</f>
        <v/>
      </c>
      <c r="W446">
        <f>($B$14*(I446*C446+IF(ABS(V446-D446)&lt;0.000000001,4*$B$19*$B$20*(D446+273)^3,$B$19*$B$20*((V446+273)^4-(D446+273)^4)/(V446-D446))*D446)+T446/H446)/($B$14*(I446+IF(ABS(V446-D446)&lt;0.000000001,4*$B$19*$B$20*(D446+273)^3,$B$19*$B$20*((V446+273)^4-(D446+273)^4)/(V446-D446)))+1/H446)</f>
        <v/>
      </c>
      <c r="X446">
        <f>($B$14*(I446*C446+IF(ABS(W446-D446)&lt;0.000000001,4*$B$19*$B$20*(D446+273)^3,$B$19*$B$20*((W446+273)^4-(D446+273)^4)/(W446-D446))*D446)+T446/H446)/($B$14*(I446+IF(ABS(W446-D446)&lt;0.000000001,4*$B$19*$B$20*(D446+273)^3,$B$19*$B$20*((W446+273)^4-(D446+273)^4)/(W446-D446)))+1/H446)</f>
        <v/>
      </c>
      <c r="Y446">
        <f>($B$14*(I446*C446+IF(ABS(X446-D446)&lt;0.000000001,4*$B$19*$B$20*(D446+273)^3,$B$19*$B$20*((X446+273)^4-(D446+273)^4)/(X446-D446))*D446)+T446/H446)/($B$14*(I446+IF(ABS(X446-D446)&lt;0.000000001,4*$B$19*$B$20*(D446+273)^3,$B$19*$B$20*((X446+273)^4-(D446+273)^4)/(X446-D446)))+1/H446)</f>
        <v/>
      </c>
      <c r="Z446">
        <f>IF(ABS(Y446-D446)&lt;0.000000001,4*$B$19*$B$20*(D446+273)^3,$B$19*$B$20*((Y446+273)^4-(D446+273)^4)/(Y446-D446))</f>
        <v/>
      </c>
      <c r="AA446">
        <f>$B$14*I446*(Y446-C446)</f>
        <v/>
      </c>
      <c r="AB446">
        <f>$B$14*Z446*(Y446-D446)</f>
        <v/>
      </c>
      <c r="AC446">
        <f>IF((U446-E446)/G446=0,0.001,(U446-E446)/G446)</f>
        <v/>
      </c>
      <c r="AD446">
        <f>F446-P446-J446-K446-AA446-AB446</f>
        <v/>
      </c>
      <c r="AE446">
        <f>AD446/AC446</f>
        <v/>
      </c>
      <c r="AF446">
        <f>IF(AD446&lt;=0,0,IF(AC446&lt;=0,$B$11,IF(AE446&gt;=1.7,$B$11,MIN(AD446/MAX(0.05,IF(AE446&gt;1,(2-AE446)^2/2,1-AE446^2/2)),$B$11))))</f>
        <v/>
      </c>
      <c r="AG446">
        <f>AG445*$B$28+AF446*(1-$B$28)</f>
        <v/>
      </c>
      <c r="AH446">
        <f>IF(AND(AD446&gt;0,AC446&lt;=0),0,AC446)</f>
        <v/>
      </c>
      <c r="AI446">
        <f>AH446/MAX(AG446,0.000001)</f>
        <v/>
      </c>
      <c r="AJ446">
        <f>MIN(IF(AI446&gt;=0.5,-AI446+SQRT(AI446^2+2),1),$B$12)</f>
        <v/>
      </c>
      <c r="AK446">
        <f>IF(AG446&lt;=0,0,AJ446*AH446)</f>
        <v/>
      </c>
      <c r="AL446">
        <f>IF(AD446&lt;=0,0,AD446)</f>
        <v/>
      </c>
      <c r="AM446">
        <f>AL446-AK446+P446</f>
        <v/>
      </c>
      <c r="AN446">
        <f>((AM446/$B$7+T445*AS445/2-T446*MAX(0.1,MIN(0.3,0.3-0.09*(AR445-36.8)))/2)+AR445*(1-AS445/2))/(1-MAX(0.1,MIN(0.3,0.3-0.09*(AR445-36.8)))/2)</f>
        <v/>
      </c>
      <c r="AO446">
        <f>((AM446/$B$7+T445*AS445/2-T446*MAX(0.1,MIN(0.3,0.3-0.09*(AN446-36.8)))/2)+AR445*(1-AS445/2))/(1-MAX(0.1,MIN(0.3,0.3-0.09*(AN446-36.8)))/2)</f>
        <v/>
      </c>
      <c r="AP446">
        <f>((AM446/$B$7+T445*AS445/2-T446*MAX(0.1,MIN(0.3,0.3-0.09*(AO446-36.8)))/2)+AR445*(1-AS445/2))/(1-MAX(0.1,MIN(0.3,0.3-0.09*(AO446-36.8)))/2)</f>
        <v/>
      </c>
      <c r="AQ446">
        <f>((AM446/$B$7+T445*AS445/2-T446*MAX(0.1,MIN(0.3,0.3-0.09*(AP446-36.8)))/2)+AR445*(1-AS445/2))/(1-MAX(0.1,MIN(0.3,0.3-0.09*(AP446-36.8)))/2)</f>
        <v/>
      </c>
      <c r="AR446">
        <f>((AM446/$B$7+T445*AS445/2-T446*MAX(0.1,MIN(0.3,0.3-0.09*(AQ446-36.8)))/2)+AR445*(1-AS445/2))/(1-MAX(0.1,MIN(0.3,0.3-0.09*(AQ446-36.8)))/2)</f>
        <v/>
      </c>
      <c r="AS446">
        <f>MAX(0.1,MIN(0.3,0.3-0.09*(AR446-36.8)))</f>
        <v/>
      </c>
      <c r="AT446">
        <f>AT445+(2*AR446-1.962*AT445-1.31)/9</f>
        <v/>
      </c>
      <c r="AU446">
        <f>AU445+AG446+K446</f>
        <v/>
      </c>
      <c r="AV446">
        <f>AU446*2.67*$B$6/1.8/60</f>
        <v/>
      </c>
      <c r="AW446">
        <f>IF(AT446&gt;=$B$36,1,0)</f>
        <v/>
      </c>
      <c r="AX446">
        <f>IF(AV446&gt;=$B$21,1,0)</f>
        <v/>
      </c>
    </row>
    <row r="447">
      <c r="A447" t="n">
        <v>374</v>
      </c>
      <c r="B447">
        <f>MATCH(A447-1,$D$61:$D$68,1)</f>
        <v/>
      </c>
      <c r="C447">
        <f>INDEX($G$61:$G$68,B447)</f>
        <v/>
      </c>
      <c r="D447">
        <f>INDEX($L$61:$L$68,B447)</f>
        <v/>
      </c>
      <c r="E447">
        <f>INDEX($M$61:$M$68,B447)</f>
        <v/>
      </c>
      <c r="F447">
        <f>INDEX($N$61:$N$68,B447)</f>
        <v/>
      </c>
      <c r="G447">
        <f>INDEX($AA$61:$AA$68,B447)</f>
        <v/>
      </c>
      <c r="H447">
        <f>INDEX($X$61:$X$68,B447)</f>
        <v/>
      </c>
      <c r="I447">
        <f>INDEX($AF$61:$AF$68,B447)</f>
        <v/>
      </c>
      <c r="J447">
        <f>INDEX($AC$61:$AC$68,B447)</f>
        <v/>
      </c>
      <c r="K447">
        <f>INDEX($AD$61:$AD$68,B447)</f>
        <v/>
      </c>
      <c r="L447">
        <f>INDEX($AG$61:$AG$68,B447)</f>
        <v/>
      </c>
      <c r="M447">
        <f>INDEX($AH$61:$AH$68,B447)</f>
        <v/>
      </c>
      <c r="N447">
        <f>INDEX($AI$61:$AI$68,B447)</f>
        <v/>
      </c>
      <c r="O447">
        <f>O446*$B$26+L447*(1-$B$26)</f>
        <v/>
      </c>
      <c r="P447">
        <f>$B$7*(O447-O446)*(1-AS446)</f>
        <v/>
      </c>
      <c r="Q447">
        <f>M447+0.51274*AT446</f>
        <v/>
      </c>
      <c r="R447">
        <f>N447+0.616*AT446</f>
        <v/>
      </c>
      <c r="S447">
        <f>IF($B$13&gt;=0.6,Q447,IF($B$13&lt;=0.2,R447,R447+2.5*(Q447-R447)*($B$13-0.2)))</f>
        <v/>
      </c>
      <c r="T447">
        <f>IF(A447=1,S447,T446*$B$27+S447*(1-$B$27))</f>
        <v/>
      </c>
      <c r="U447">
        <f>0.6105*EXP(17.27*T447/(T447+237.3))</f>
        <v/>
      </c>
      <c r="V447">
        <f>($B$14*(I447*C447+IF(ABS((D447+0.1)-D447)&lt;0.000000001,4*$B$19*$B$20*(D447+273)^3,$B$19*$B$20*(((D447+0.1)+273)^4-(D447+273)^4)/((D447+0.1)-D447))*D447)+T447/H447)/($B$14*(I447+IF(ABS((D447+0.1)-D447)&lt;0.000000001,4*$B$19*$B$20*(D447+273)^3,$B$19*$B$20*(((D447+0.1)+273)^4-(D447+273)^4)/((D447+0.1)-D447)))+1/H447)</f>
        <v/>
      </c>
      <c r="W447">
        <f>($B$14*(I447*C447+IF(ABS(V447-D447)&lt;0.000000001,4*$B$19*$B$20*(D447+273)^3,$B$19*$B$20*((V447+273)^4-(D447+273)^4)/(V447-D447))*D447)+T447/H447)/($B$14*(I447+IF(ABS(V447-D447)&lt;0.000000001,4*$B$19*$B$20*(D447+273)^3,$B$19*$B$20*((V447+273)^4-(D447+273)^4)/(V447-D447)))+1/H447)</f>
        <v/>
      </c>
      <c r="X447">
        <f>($B$14*(I447*C447+IF(ABS(W447-D447)&lt;0.000000001,4*$B$19*$B$20*(D447+273)^3,$B$19*$B$20*((W447+273)^4-(D447+273)^4)/(W447-D447))*D447)+T447/H447)/($B$14*(I447+IF(ABS(W447-D447)&lt;0.000000001,4*$B$19*$B$20*(D447+273)^3,$B$19*$B$20*((W447+273)^4-(D447+273)^4)/(W447-D447)))+1/H447)</f>
        <v/>
      </c>
      <c r="Y447">
        <f>($B$14*(I447*C447+IF(ABS(X447-D447)&lt;0.000000001,4*$B$19*$B$20*(D447+273)^3,$B$19*$B$20*((X447+273)^4-(D447+273)^4)/(X447-D447))*D447)+T447/H447)/($B$14*(I447+IF(ABS(X447-D447)&lt;0.000000001,4*$B$19*$B$20*(D447+273)^3,$B$19*$B$20*((X447+273)^4-(D447+273)^4)/(X447-D447)))+1/H447)</f>
        <v/>
      </c>
      <c r="Z447">
        <f>IF(ABS(Y447-D447)&lt;0.000000001,4*$B$19*$B$20*(D447+273)^3,$B$19*$B$20*((Y447+273)^4-(D447+273)^4)/(Y447-D447))</f>
        <v/>
      </c>
      <c r="AA447">
        <f>$B$14*I447*(Y447-C447)</f>
        <v/>
      </c>
      <c r="AB447">
        <f>$B$14*Z447*(Y447-D447)</f>
        <v/>
      </c>
      <c r="AC447">
        <f>IF((U447-E447)/G447=0,0.001,(U447-E447)/G447)</f>
        <v/>
      </c>
      <c r="AD447">
        <f>F447-P447-J447-K447-AA447-AB447</f>
        <v/>
      </c>
      <c r="AE447">
        <f>AD447/AC447</f>
        <v/>
      </c>
      <c r="AF447">
        <f>IF(AD447&lt;=0,0,IF(AC447&lt;=0,$B$11,IF(AE447&gt;=1.7,$B$11,MIN(AD447/MAX(0.05,IF(AE447&gt;1,(2-AE447)^2/2,1-AE447^2/2)),$B$11))))</f>
        <v/>
      </c>
      <c r="AG447">
        <f>AG446*$B$28+AF447*(1-$B$28)</f>
        <v/>
      </c>
      <c r="AH447">
        <f>IF(AND(AD447&gt;0,AC447&lt;=0),0,AC447)</f>
        <v/>
      </c>
      <c r="AI447">
        <f>AH447/MAX(AG447,0.000001)</f>
        <v/>
      </c>
      <c r="AJ447">
        <f>MIN(IF(AI447&gt;=0.5,-AI447+SQRT(AI447^2+2),1),$B$12)</f>
        <v/>
      </c>
      <c r="AK447">
        <f>IF(AG447&lt;=0,0,AJ447*AH447)</f>
        <v/>
      </c>
      <c r="AL447">
        <f>IF(AD447&lt;=0,0,AD447)</f>
        <v/>
      </c>
      <c r="AM447">
        <f>AL447-AK447+P447</f>
        <v/>
      </c>
      <c r="AN447">
        <f>((AM447/$B$7+T446*AS446/2-T447*MAX(0.1,MIN(0.3,0.3-0.09*(AR446-36.8)))/2)+AR446*(1-AS446/2))/(1-MAX(0.1,MIN(0.3,0.3-0.09*(AR446-36.8)))/2)</f>
        <v/>
      </c>
      <c r="AO447">
        <f>((AM447/$B$7+T446*AS446/2-T447*MAX(0.1,MIN(0.3,0.3-0.09*(AN447-36.8)))/2)+AR446*(1-AS446/2))/(1-MAX(0.1,MIN(0.3,0.3-0.09*(AN447-36.8)))/2)</f>
        <v/>
      </c>
      <c r="AP447">
        <f>((AM447/$B$7+T446*AS446/2-T447*MAX(0.1,MIN(0.3,0.3-0.09*(AO447-36.8)))/2)+AR446*(1-AS446/2))/(1-MAX(0.1,MIN(0.3,0.3-0.09*(AO447-36.8)))/2)</f>
        <v/>
      </c>
      <c r="AQ447">
        <f>((AM447/$B$7+T446*AS446/2-T447*MAX(0.1,MIN(0.3,0.3-0.09*(AP447-36.8)))/2)+AR446*(1-AS446/2))/(1-MAX(0.1,MIN(0.3,0.3-0.09*(AP447-36.8)))/2)</f>
        <v/>
      </c>
      <c r="AR447">
        <f>((AM447/$B$7+T446*AS446/2-T447*MAX(0.1,MIN(0.3,0.3-0.09*(AQ447-36.8)))/2)+AR446*(1-AS446/2))/(1-MAX(0.1,MIN(0.3,0.3-0.09*(AQ447-36.8)))/2)</f>
        <v/>
      </c>
      <c r="AS447">
        <f>MAX(0.1,MIN(0.3,0.3-0.09*(AR447-36.8)))</f>
        <v/>
      </c>
      <c r="AT447">
        <f>AT446+(2*AR447-1.962*AT446-1.31)/9</f>
        <v/>
      </c>
      <c r="AU447">
        <f>AU446+AG447+K447</f>
        <v/>
      </c>
      <c r="AV447">
        <f>AU447*2.67*$B$6/1.8/60</f>
        <v/>
      </c>
      <c r="AW447">
        <f>IF(AT447&gt;=$B$36,1,0)</f>
        <v/>
      </c>
      <c r="AX447">
        <f>IF(AV447&gt;=$B$21,1,0)</f>
        <v/>
      </c>
    </row>
    <row r="448">
      <c r="A448" t="n">
        <v>375</v>
      </c>
      <c r="B448">
        <f>MATCH(A448-1,$D$61:$D$68,1)</f>
        <v/>
      </c>
      <c r="C448">
        <f>INDEX($G$61:$G$68,B448)</f>
        <v/>
      </c>
      <c r="D448">
        <f>INDEX($L$61:$L$68,B448)</f>
        <v/>
      </c>
      <c r="E448">
        <f>INDEX($M$61:$M$68,B448)</f>
        <v/>
      </c>
      <c r="F448">
        <f>INDEX($N$61:$N$68,B448)</f>
        <v/>
      </c>
      <c r="G448">
        <f>INDEX($AA$61:$AA$68,B448)</f>
        <v/>
      </c>
      <c r="H448">
        <f>INDEX($X$61:$X$68,B448)</f>
        <v/>
      </c>
      <c r="I448">
        <f>INDEX($AF$61:$AF$68,B448)</f>
        <v/>
      </c>
      <c r="J448">
        <f>INDEX($AC$61:$AC$68,B448)</f>
        <v/>
      </c>
      <c r="K448">
        <f>INDEX($AD$61:$AD$68,B448)</f>
        <v/>
      </c>
      <c r="L448">
        <f>INDEX($AG$61:$AG$68,B448)</f>
        <v/>
      </c>
      <c r="M448">
        <f>INDEX($AH$61:$AH$68,B448)</f>
        <v/>
      </c>
      <c r="N448">
        <f>INDEX($AI$61:$AI$68,B448)</f>
        <v/>
      </c>
      <c r="O448">
        <f>O447*$B$26+L448*(1-$B$26)</f>
        <v/>
      </c>
      <c r="P448">
        <f>$B$7*(O448-O447)*(1-AS447)</f>
        <v/>
      </c>
      <c r="Q448">
        <f>M448+0.51274*AT447</f>
        <v/>
      </c>
      <c r="R448">
        <f>N448+0.616*AT447</f>
        <v/>
      </c>
      <c r="S448">
        <f>IF($B$13&gt;=0.6,Q448,IF($B$13&lt;=0.2,R448,R448+2.5*(Q448-R448)*($B$13-0.2)))</f>
        <v/>
      </c>
      <c r="T448">
        <f>IF(A448=1,S448,T447*$B$27+S448*(1-$B$27))</f>
        <v/>
      </c>
      <c r="U448">
        <f>0.6105*EXP(17.27*T448/(T448+237.3))</f>
        <v/>
      </c>
      <c r="V448">
        <f>($B$14*(I448*C448+IF(ABS((D448+0.1)-D448)&lt;0.000000001,4*$B$19*$B$20*(D448+273)^3,$B$19*$B$20*(((D448+0.1)+273)^4-(D448+273)^4)/((D448+0.1)-D448))*D448)+T448/H448)/($B$14*(I448+IF(ABS((D448+0.1)-D448)&lt;0.000000001,4*$B$19*$B$20*(D448+273)^3,$B$19*$B$20*(((D448+0.1)+273)^4-(D448+273)^4)/((D448+0.1)-D448)))+1/H448)</f>
        <v/>
      </c>
      <c r="W448">
        <f>($B$14*(I448*C448+IF(ABS(V448-D448)&lt;0.000000001,4*$B$19*$B$20*(D448+273)^3,$B$19*$B$20*((V448+273)^4-(D448+273)^4)/(V448-D448))*D448)+T448/H448)/($B$14*(I448+IF(ABS(V448-D448)&lt;0.000000001,4*$B$19*$B$20*(D448+273)^3,$B$19*$B$20*((V448+273)^4-(D448+273)^4)/(V448-D448)))+1/H448)</f>
        <v/>
      </c>
      <c r="X448">
        <f>($B$14*(I448*C448+IF(ABS(W448-D448)&lt;0.000000001,4*$B$19*$B$20*(D448+273)^3,$B$19*$B$20*((W448+273)^4-(D448+273)^4)/(W448-D448))*D448)+T448/H448)/($B$14*(I448+IF(ABS(W448-D448)&lt;0.000000001,4*$B$19*$B$20*(D448+273)^3,$B$19*$B$20*((W448+273)^4-(D448+273)^4)/(W448-D448)))+1/H448)</f>
        <v/>
      </c>
      <c r="Y448">
        <f>($B$14*(I448*C448+IF(ABS(X448-D448)&lt;0.000000001,4*$B$19*$B$20*(D448+273)^3,$B$19*$B$20*((X448+273)^4-(D448+273)^4)/(X448-D448))*D448)+T448/H448)/($B$14*(I448+IF(ABS(X448-D448)&lt;0.000000001,4*$B$19*$B$20*(D448+273)^3,$B$19*$B$20*((X448+273)^4-(D448+273)^4)/(X448-D448)))+1/H448)</f>
        <v/>
      </c>
      <c r="Z448">
        <f>IF(ABS(Y448-D448)&lt;0.000000001,4*$B$19*$B$20*(D448+273)^3,$B$19*$B$20*((Y448+273)^4-(D448+273)^4)/(Y448-D448))</f>
        <v/>
      </c>
      <c r="AA448">
        <f>$B$14*I448*(Y448-C448)</f>
        <v/>
      </c>
      <c r="AB448">
        <f>$B$14*Z448*(Y448-D448)</f>
        <v/>
      </c>
      <c r="AC448">
        <f>IF((U448-E448)/G448=0,0.001,(U448-E448)/G448)</f>
        <v/>
      </c>
      <c r="AD448">
        <f>F448-P448-J448-K448-AA448-AB448</f>
        <v/>
      </c>
      <c r="AE448">
        <f>AD448/AC448</f>
        <v/>
      </c>
      <c r="AF448">
        <f>IF(AD448&lt;=0,0,IF(AC448&lt;=0,$B$11,IF(AE448&gt;=1.7,$B$11,MIN(AD448/MAX(0.05,IF(AE448&gt;1,(2-AE448)^2/2,1-AE448^2/2)),$B$11))))</f>
        <v/>
      </c>
      <c r="AG448">
        <f>AG447*$B$28+AF448*(1-$B$28)</f>
        <v/>
      </c>
      <c r="AH448">
        <f>IF(AND(AD448&gt;0,AC448&lt;=0),0,AC448)</f>
        <v/>
      </c>
      <c r="AI448">
        <f>AH448/MAX(AG448,0.000001)</f>
        <v/>
      </c>
      <c r="AJ448">
        <f>MIN(IF(AI448&gt;=0.5,-AI448+SQRT(AI448^2+2),1),$B$12)</f>
        <v/>
      </c>
      <c r="AK448">
        <f>IF(AG448&lt;=0,0,AJ448*AH448)</f>
        <v/>
      </c>
      <c r="AL448">
        <f>IF(AD448&lt;=0,0,AD448)</f>
        <v/>
      </c>
      <c r="AM448">
        <f>AL448-AK448+P448</f>
        <v/>
      </c>
      <c r="AN448">
        <f>((AM448/$B$7+T447*AS447/2-T448*MAX(0.1,MIN(0.3,0.3-0.09*(AR447-36.8)))/2)+AR447*(1-AS447/2))/(1-MAX(0.1,MIN(0.3,0.3-0.09*(AR447-36.8)))/2)</f>
        <v/>
      </c>
      <c r="AO448">
        <f>((AM448/$B$7+T447*AS447/2-T448*MAX(0.1,MIN(0.3,0.3-0.09*(AN448-36.8)))/2)+AR447*(1-AS447/2))/(1-MAX(0.1,MIN(0.3,0.3-0.09*(AN448-36.8)))/2)</f>
        <v/>
      </c>
      <c r="AP448">
        <f>((AM448/$B$7+T447*AS447/2-T448*MAX(0.1,MIN(0.3,0.3-0.09*(AO448-36.8)))/2)+AR447*(1-AS447/2))/(1-MAX(0.1,MIN(0.3,0.3-0.09*(AO448-36.8)))/2)</f>
        <v/>
      </c>
      <c r="AQ448">
        <f>((AM448/$B$7+T447*AS447/2-T448*MAX(0.1,MIN(0.3,0.3-0.09*(AP448-36.8)))/2)+AR447*(1-AS447/2))/(1-MAX(0.1,MIN(0.3,0.3-0.09*(AP448-36.8)))/2)</f>
        <v/>
      </c>
      <c r="AR448">
        <f>((AM448/$B$7+T447*AS447/2-T448*MAX(0.1,MIN(0.3,0.3-0.09*(AQ448-36.8)))/2)+AR447*(1-AS447/2))/(1-MAX(0.1,MIN(0.3,0.3-0.09*(AQ448-36.8)))/2)</f>
        <v/>
      </c>
      <c r="AS448">
        <f>MAX(0.1,MIN(0.3,0.3-0.09*(AR448-36.8)))</f>
        <v/>
      </c>
      <c r="AT448">
        <f>AT447+(2*AR448-1.962*AT447-1.31)/9</f>
        <v/>
      </c>
      <c r="AU448">
        <f>AU447+AG448+K448</f>
        <v/>
      </c>
      <c r="AV448">
        <f>AU448*2.67*$B$6/1.8/60</f>
        <v/>
      </c>
      <c r="AW448">
        <f>IF(AT448&gt;=$B$36,1,0)</f>
        <v/>
      </c>
      <c r="AX448">
        <f>IF(AV448&gt;=$B$21,1,0)</f>
        <v/>
      </c>
    </row>
    <row r="449">
      <c r="A449" t="n">
        <v>376</v>
      </c>
      <c r="B449">
        <f>MATCH(A449-1,$D$61:$D$68,1)</f>
        <v/>
      </c>
      <c r="C449">
        <f>INDEX($G$61:$G$68,B449)</f>
        <v/>
      </c>
      <c r="D449">
        <f>INDEX($L$61:$L$68,B449)</f>
        <v/>
      </c>
      <c r="E449">
        <f>INDEX($M$61:$M$68,B449)</f>
        <v/>
      </c>
      <c r="F449">
        <f>INDEX($N$61:$N$68,B449)</f>
        <v/>
      </c>
      <c r="G449">
        <f>INDEX($AA$61:$AA$68,B449)</f>
        <v/>
      </c>
      <c r="H449">
        <f>INDEX($X$61:$X$68,B449)</f>
        <v/>
      </c>
      <c r="I449">
        <f>INDEX($AF$61:$AF$68,B449)</f>
        <v/>
      </c>
      <c r="J449">
        <f>INDEX($AC$61:$AC$68,B449)</f>
        <v/>
      </c>
      <c r="K449">
        <f>INDEX($AD$61:$AD$68,B449)</f>
        <v/>
      </c>
      <c r="L449">
        <f>INDEX($AG$61:$AG$68,B449)</f>
        <v/>
      </c>
      <c r="M449">
        <f>INDEX($AH$61:$AH$68,B449)</f>
        <v/>
      </c>
      <c r="N449">
        <f>INDEX($AI$61:$AI$68,B449)</f>
        <v/>
      </c>
      <c r="O449">
        <f>O448*$B$26+L449*(1-$B$26)</f>
        <v/>
      </c>
      <c r="P449">
        <f>$B$7*(O449-O448)*(1-AS448)</f>
        <v/>
      </c>
      <c r="Q449">
        <f>M449+0.51274*AT448</f>
        <v/>
      </c>
      <c r="R449">
        <f>N449+0.616*AT448</f>
        <v/>
      </c>
      <c r="S449">
        <f>IF($B$13&gt;=0.6,Q449,IF($B$13&lt;=0.2,R449,R449+2.5*(Q449-R449)*($B$13-0.2)))</f>
        <v/>
      </c>
      <c r="T449">
        <f>IF(A449=1,S449,T448*$B$27+S449*(1-$B$27))</f>
        <v/>
      </c>
      <c r="U449">
        <f>0.6105*EXP(17.27*T449/(T449+237.3))</f>
        <v/>
      </c>
      <c r="V449">
        <f>($B$14*(I449*C449+IF(ABS((D449+0.1)-D449)&lt;0.000000001,4*$B$19*$B$20*(D449+273)^3,$B$19*$B$20*(((D449+0.1)+273)^4-(D449+273)^4)/((D449+0.1)-D449))*D449)+T449/H449)/($B$14*(I449+IF(ABS((D449+0.1)-D449)&lt;0.000000001,4*$B$19*$B$20*(D449+273)^3,$B$19*$B$20*(((D449+0.1)+273)^4-(D449+273)^4)/((D449+0.1)-D449)))+1/H449)</f>
        <v/>
      </c>
      <c r="W449">
        <f>($B$14*(I449*C449+IF(ABS(V449-D449)&lt;0.000000001,4*$B$19*$B$20*(D449+273)^3,$B$19*$B$20*((V449+273)^4-(D449+273)^4)/(V449-D449))*D449)+T449/H449)/($B$14*(I449+IF(ABS(V449-D449)&lt;0.000000001,4*$B$19*$B$20*(D449+273)^3,$B$19*$B$20*((V449+273)^4-(D449+273)^4)/(V449-D449)))+1/H449)</f>
        <v/>
      </c>
      <c r="X449">
        <f>($B$14*(I449*C449+IF(ABS(W449-D449)&lt;0.000000001,4*$B$19*$B$20*(D449+273)^3,$B$19*$B$20*((W449+273)^4-(D449+273)^4)/(W449-D449))*D449)+T449/H449)/($B$14*(I449+IF(ABS(W449-D449)&lt;0.000000001,4*$B$19*$B$20*(D449+273)^3,$B$19*$B$20*((W449+273)^4-(D449+273)^4)/(W449-D449)))+1/H449)</f>
        <v/>
      </c>
      <c r="Y449">
        <f>($B$14*(I449*C449+IF(ABS(X449-D449)&lt;0.000000001,4*$B$19*$B$20*(D449+273)^3,$B$19*$B$20*((X449+273)^4-(D449+273)^4)/(X449-D449))*D449)+T449/H449)/($B$14*(I449+IF(ABS(X449-D449)&lt;0.000000001,4*$B$19*$B$20*(D449+273)^3,$B$19*$B$20*((X449+273)^4-(D449+273)^4)/(X449-D449)))+1/H449)</f>
        <v/>
      </c>
      <c r="Z449">
        <f>IF(ABS(Y449-D449)&lt;0.000000001,4*$B$19*$B$20*(D449+273)^3,$B$19*$B$20*((Y449+273)^4-(D449+273)^4)/(Y449-D449))</f>
        <v/>
      </c>
      <c r="AA449">
        <f>$B$14*I449*(Y449-C449)</f>
        <v/>
      </c>
      <c r="AB449">
        <f>$B$14*Z449*(Y449-D449)</f>
        <v/>
      </c>
      <c r="AC449">
        <f>IF((U449-E449)/G449=0,0.001,(U449-E449)/G449)</f>
        <v/>
      </c>
      <c r="AD449">
        <f>F449-P449-J449-K449-AA449-AB449</f>
        <v/>
      </c>
      <c r="AE449">
        <f>AD449/AC449</f>
        <v/>
      </c>
      <c r="AF449">
        <f>IF(AD449&lt;=0,0,IF(AC449&lt;=0,$B$11,IF(AE449&gt;=1.7,$B$11,MIN(AD449/MAX(0.05,IF(AE449&gt;1,(2-AE449)^2/2,1-AE449^2/2)),$B$11))))</f>
        <v/>
      </c>
      <c r="AG449">
        <f>AG448*$B$28+AF449*(1-$B$28)</f>
        <v/>
      </c>
      <c r="AH449">
        <f>IF(AND(AD449&gt;0,AC449&lt;=0),0,AC449)</f>
        <v/>
      </c>
      <c r="AI449">
        <f>AH449/MAX(AG449,0.000001)</f>
        <v/>
      </c>
      <c r="AJ449">
        <f>MIN(IF(AI449&gt;=0.5,-AI449+SQRT(AI449^2+2),1),$B$12)</f>
        <v/>
      </c>
      <c r="AK449">
        <f>IF(AG449&lt;=0,0,AJ449*AH449)</f>
        <v/>
      </c>
      <c r="AL449">
        <f>IF(AD449&lt;=0,0,AD449)</f>
        <v/>
      </c>
      <c r="AM449">
        <f>AL449-AK449+P449</f>
        <v/>
      </c>
      <c r="AN449">
        <f>((AM449/$B$7+T448*AS448/2-T449*MAX(0.1,MIN(0.3,0.3-0.09*(AR448-36.8)))/2)+AR448*(1-AS448/2))/(1-MAX(0.1,MIN(0.3,0.3-0.09*(AR448-36.8)))/2)</f>
        <v/>
      </c>
      <c r="AO449">
        <f>((AM449/$B$7+T448*AS448/2-T449*MAX(0.1,MIN(0.3,0.3-0.09*(AN449-36.8)))/2)+AR448*(1-AS448/2))/(1-MAX(0.1,MIN(0.3,0.3-0.09*(AN449-36.8)))/2)</f>
        <v/>
      </c>
      <c r="AP449">
        <f>((AM449/$B$7+T448*AS448/2-T449*MAX(0.1,MIN(0.3,0.3-0.09*(AO449-36.8)))/2)+AR448*(1-AS448/2))/(1-MAX(0.1,MIN(0.3,0.3-0.09*(AO449-36.8)))/2)</f>
        <v/>
      </c>
      <c r="AQ449">
        <f>((AM449/$B$7+T448*AS448/2-T449*MAX(0.1,MIN(0.3,0.3-0.09*(AP449-36.8)))/2)+AR448*(1-AS448/2))/(1-MAX(0.1,MIN(0.3,0.3-0.09*(AP449-36.8)))/2)</f>
        <v/>
      </c>
      <c r="AR449">
        <f>((AM449/$B$7+T448*AS448/2-T449*MAX(0.1,MIN(0.3,0.3-0.09*(AQ449-36.8)))/2)+AR448*(1-AS448/2))/(1-MAX(0.1,MIN(0.3,0.3-0.09*(AQ449-36.8)))/2)</f>
        <v/>
      </c>
      <c r="AS449">
        <f>MAX(0.1,MIN(0.3,0.3-0.09*(AR449-36.8)))</f>
        <v/>
      </c>
      <c r="AT449">
        <f>AT448+(2*AR449-1.962*AT448-1.31)/9</f>
        <v/>
      </c>
      <c r="AU449">
        <f>AU448+AG449+K449</f>
        <v/>
      </c>
      <c r="AV449">
        <f>AU449*2.67*$B$6/1.8/60</f>
        <v/>
      </c>
      <c r="AW449">
        <f>IF(AT449&gt;=$B$36,1,0)</f>
        <v/>
      </c>
      <c r="AX449">
        <f>IF(AV449&gt;=$B$21,1,0)</f>
        <v/>
      </c>
    </row>
    <row r="450">
      <c r="A450" t="n">
        <v>377</v>
      </c>
      <c r="B450">
        <f>MATCH(A450-1,$D$61:$D$68,1)</f>
        <v/>
      </c>
      <c r="C450">
        <f>INDEX($G$61:$G$68,B450)</f>
        <v/>
      </c>
      <c r="D450">
        <f>INDEX($L$61:$L$68,B450)</f>
        <v/>
      </c>
      <c r="E450">
        <f>INDEX($M$61:$M$68,B450)</f>
        <v/>
      </c>
      <c r="F450">
        <f>INDEX($N$61:$N$68,B450)</f>
        <v/>
      </c>
      <c r="G450">
        <f>INDEX($AA$61:$AA$68,B450)</f>
        <v/>
      </c>
      <c r="H450">
        <f>INDEX($X$61:$X$68,B450)</f>
        <v/>
      </c>
      <c r="I450">
        <f>INDEX($AF$61:$AF$68,B450)</f>
        <v/>
      </c>
      <c r="J450">
        <f>INDEX($AC$61:$AC$68,B450)</f>
        <v/>
      </c>
      <c r="K450">
        <f>INDEX($AD$61:$AD$68,B450)</f>
        <v/>
      </c>
      <c r="L450">
        <f>INDEX($AG$61:$AG$68,B450)</f>
        <v/>
      </c>
      <c r="M450">
        <f>INDEX($AH$61:$AH$68,B450)</f>
        <v/>
      </c>
      <c r="N450">
        <f>INDEX($AI$61:$AI$68,B450)</f>
        <v/>
      </c>
      <c r="O450">
        <f>O449*$B$26+L450*(1-$B$26)</f>
        <v/>
      </c>
      <c r="P450">
        <f>$B$7*(O450-O449)*(1-AS449)</f>
        <v/>
      </c>
      <c r="Q450">
        <f>M450+0.51274*AT449</f>
        <v/>
      </c>
      <c r="R450">
        <f>N450+0.616*AT449</f>
        <v/>
      </c>
      <c r="S450">
        <f>IF($B$13&gt;=0.6,Q450,IF($B$13&lt;=0.2,R450,R450+2.5*(Q450-R450)*($B$13-0.2)))</f>
        <v/>
      </c>
      <c r="T450">
        <f>IF(A450=1,S450,T449*$B$27+S450*(1-$B$27))</f>
        <v/>
      </c>
      <c r="U450">
        <f>0.6105*EXP(17.27*T450/(T450+237.3))</f>
        <v/>
      </c>
      <c r="V450">
        <f>($B$14*(I450*C450+IF(ABS((D450+0.1)-D450)&lt;0.000000001,4*$B$19*$B$20*(D450+273)^3,$B$19*$B$20*(((D450+0.1)+273)^4-(D450+273)^4)/((D450+0.1)-D450))*D450)+T450/H450)/($B$14*(I450+IF(ABS((D450+0.1)-D450)&lt;0.000000001,4*$B$19*$B$20*(D450+273)^3,$B$19*$B$20*(((D450+0.1)+273)^4-(D450+273)^4)/((D450+0.1)-D450)))+1/H450)</f>
        <v/>
      </c>
      <c r="W450">
        <f>($B$14*(I450*C450+IF(ABS(V450-D450)&lt;0.000000001,4*$B$19*$B$20*(D450+273)^3,$B$19*$B$20*((V450+273)^4-(D450+273)^4)/(V450-D450))*D450)+T450/H450)/($B$14*(I450+IF(ABS(V450-D450)&lt;0.000000001,4*$B$19*$B$20*(D450+273)^3,$B$19*$B$20*((V450+273)^4-(D450+273)^4)/(V450-D450)))+1/H450)</f>
        <v/>
      </c>
      <c r="X450">
        <f>($B$14*(I450*C450+IF(ABS(W450-D450)&lt;0.000000001,4*$B$19*$B$20*(D450+273)^3,$B$19*$B$20*((W450+273)^4-(D450+273)^4)/(W450-D450))*D450)+T450/H450)/($B$14*(I450+IF(ABS(W450-D450)&lt;0.000000001,4*$B$19*$B$20*(D450+273)^3,$B$19*$B$20*((W450+273)^4-(D450+273)^4)/(W450-D450)))+1/H450)</f>
        <v/>
      </c>
      <c r="Y450">
        <f>($B$14*(I450*C450+IF(ABS(X450-D450)&lt;0.000000001,4*$B$19*$B$20*(D450+273)^3,$B$19*$B$20*((X450+273)^4-(D450+273)^4)/(X450-D450))*D450)+T450/H450)/($B$14*(I450+IF(ABS(X450-D450)&lt;0.000000001,4*$B$19*$B$20*(D450+273)^3,$B$19*$B$20*((X450+273)^4-(D450+273)^4)/(X450-D450)))+1/H450)</f>
        <v/>
      </c>
      <c r="Z450">
        <f>IF(ABS(Y450-D450)&lt;0.000000001,4*$B$19*$B$20*(D450+273)^3,$B$19*$B$20*((Y450+273)^4-(D450+273)^4)/(Y450-D450))</f>
        <v/>
      </c>
      <c r="AA450">
        <f>$B$14*I450*(Y450-C450)</f>
        <v/>
      </c>
      <c r="AB450">
        <f>$B$14*Z450*(Y450-D450)</f>
        <v/>
      </c>
      <c r="AC450">
        <f>IF((U450-E450)/G450=0,0.001,(U450-E450)/G450)</f>
        <v/>
      </c>
      <c r="AD450">
        <f>F450-P450-J450-K450-AA450-AB450</f>
        <v/>
      </c>
      <c r="AE450">
        <f>AD450/AC450</f>
        <v/>
      </c>
      <c r="AF450">
        <f>IF(AD450&lt;=0,0,IF(AC450&lt;=0,$B$11,IF(AE450&gt;=1.7,$B$11,MIN(AD450/MAX(0.05,IF(AE450&gt;1,(2-AE450)^2/2,1-AE450^2/2)),$B$11))))</f>
        <v/>
      </c>
      <c r="AG450">
        <f>AG449*$B$28+AF450*(1-$B$28)</f>
        <v/>
      </c>
      <c r="AH450">
        <f>IF(AND(AD450&gt;0,AC450&lt;=0),0,AC450)</f>
        <v/>
      </c>
      <c r="AI450">
        <f>AH450/MAX(AG450,0.000001)</f>
        <v/>
      </c>
      <c r="AJ450">
        <f>MIN(IF(AI450&gt;=0.5,-AI450+SQRT(AI450^2+2),1),$B$12)</f>
        <v/>
      </c>
      <c r="AK450">
        <f>IF(AG450&lt;=0,0,AJ450*AH450)</f>
        <v/>
      </c>
      <c r="AL450">
        <f>IF(AD450&lt;=0,0,AD450)</f>
        <v/>
      </c>
      <c r="AM450">
        <f>AL450-AK450+P450</f>
        <v/>
      </c>
      <c r="AN450">
        <f>((AM450/$B$7+T449*AS449/2-T450*MAX(0.1,MIN(0.3,0.3-0.09*(AR449-36.8)))/2)+AR449*(1-AS449/2))/(1-MAX(0.1,MIN(0.3,0.3-0.09*(AR449-36.8)))/2)</f>
        <v/>
      </c>
      <c r="AO450">
        <f>((AM450/$B$7+T449*AS449/2-T450*MAX(0.1,MIN(0.3,0.3-0.09*(AN450-36.8)))/2)+AR449*(1-AS449/2))/(1-MAX(0.1,MIN(0.3,0.3-0.09*(AN450-36.8)))/2)</f>
        <v/>
      </c>
      <c r="AP450">
        <f>((AM450/$B$7+T449*AS449/2-T450*MAX(0.1,MIN(0.3,0.3-0.09*(AO450-36.8)))/2)+AR449*(1-AS449/2))/(1-MAX(0.1,MIN(0.3,0.3-0.09*(AO450-36.8)))/2)</f>
        <v/>
      </c>
      <c r="AQ450">
        <f>((AM450/$B$7+T449*AS449/2-T450*MAX(0.1,MIN(0.3,0.3-0.09*(AP450-36.8)))/2)+AR449*(1-AS449/2))/(1-MAX(0.1,MIN(0.3,0.3-0.09*(AP450-36.8)))/2)</f>
        <v/>
      </c>
      <c r="AR450">
        <f>((AM450/$B$7+T449*AS449/2-T450*MAX(0.1,MIN(0.3,0.3-0.09*(AQ450-36.8)))/2)+AR449*(1-AS449/2))/(1-MAX(0.1,MIN(0.3,0.3-0.09*(AQ450-36.8)))/2)</f>
        <v/>
      </c>
      <c r="AS450">
        <f>MAX(0.1,MIN(0.3,0.3-0.09*(AR450-36.8)))</f>
        <v/>
      </c>
      <c r="AT450">
        <f>AT449+(2*AR450-1.962*AT449-1.31)/9</f>
        <v/>
      </c>
      <c r="AU450">
        <f>AU449+AG450+K450</f>
        <v/>
      </c>
      <c r="AV450">
        <f>AU450*2.67*$B$6/1.8/60</f>
        <v/>
      </c>
      <c r="AW450">
        <f>IF(AT450&gt;=$B$36,1,0)</f>
        <v/>
      </c>
      <c r="AX450">
        <f>IF(AV450&gt;=$B$21,1,0)</f>
        <v/>
      </c>
    </row>
    <row r="451">
      <c r="A451" t="n">
        <v>378</v>
      </c>
      <c r="B451">
        <f>MATCH(A451-1,$D$61:$D$68,1)</f>
        <v/>
      </c>
      <c r="C451">
        <f>INDEX($G$61:$G$68,B451)</f>
        <v/>
      </c>
      <c r="D451">
        <f>INDEX($L$61:$L$68,B451)</f>
        <v/>
      </c>
      <c r="E451">
        <f>INDEX($M$61:$M$68,B451)</f>
        <v/>
      </c>
      <c r="F451">
        <f>INDEX($N$61:$N$68,B451)</f>
        <v/>
      </c>
      <c r="G451">
        <f>INDEX($AA$61:$AA$68,B451)</f>
        <v/>
      </c>
      <c r="H451">
        <f>INDEX($X$61:$X$68,B451)</f>
        <v/>
      </c>
      <c r="I451">
        <f>INDEX($AF$61:$AF$68,B451)</f>
        <v/>
      </c>
      <c r="J451">
        <f>INDEX($AC$61:$AC$68,B451)</f>
        <v/>
      </c>
      <c r="K451">
        <f>INDEX($AD$61:$AD$68,B451)</f>
        <v/>
      </c>
      <c r="L451">
        <f>INDEX($AG$61:$AG$68,B451)</f>
        <v/>
      </c>
      <c r="M451">
        <f>INDEX($AH$61:$AH$68,B451)</f>
        <v/>
      </c>
      <c r="N451">
        <f>INDEX($AI$61:$AI$68,B451)</f>
        <v/>
      </c>
      <c r="O451">
        <f>O450*$B$26+L451*(1-$B$26)</f>
        <v/>
      </c>
      <c r="P451">
        <f>$B$7*(O451-O450)*(1-AS450)</f>
        <v/>
      </c>
      <c r="Q451">
        <f>M451+0.51274*AT450</f>
        <v/>
      </c>
      <c r="R451">
        <f>N451+0.616*AT450</f>
        <v/>
      </c>
      <c r="S451">
        <f>IF($B$13&gt;=0.6,Q451,IF($B$13&lt;=0.2,R451,R451+2.5*(Q451-R451)*($B$13-0.2)))</f>
        <v/>
      </c>
      <c r="T451">
        <f>IF(A451=1,S451,T450*$B$27+S451*(1-$B$27))</f>
        <v/>
      </c>
      <c r="U451">
        <f>0.6105*EXP(17.27*T451/(T451+237.3))</f>
        <v/>
      </c>
      <c r="V451">
        <f>($B$14*(I451*C451+IF(ABS((D451+0.1)-D451)&lt;0.000000001,4*$B$19*$B$20*(D451+273)^3,$B$19*$B$20*(((D451+0.1)+273)^4-(D451+273)^4)/((D451+0.1)-D451))*D451)+T451/H451)/($B$14*(I451+IF(ABS((D451+0.1)-D451)&lt;0.000000001,4*$B$19*$B$20*(D451+273)^3,$B$19*$B$20*(((D451+0.1)+273)^4-(D451+273)^4)/((D451+0.1)-D451)))+1/H451)</f>
        <v/>
      </c>
      <c r="W451">
        <f>($B$14*(I451*C451+IF(ABS(V451-D451)&lt;0.000000001,4*$B$19*$B$20*(D451+273)^3,$B$19*$B$20*((V451+273)^4-(D451+273)^4)/(V451-D451))*D451)+T451/H451)/($B$14*(I451+IF(ABS(V451-D451)&lt;0.000000001,4*$B$19*$B$20*(D451+273)^3,$B$19*$B$20*((V451+273)^4-(D451+273)^4)/(V451-D451)))+1/H451)</f>
        <v/>
      </c>
      <c r="X451">
        <f>($B$14*(I451*C451+IF(ABS(W451-D451)&lt;0.000000001,4*$B$19*$B$20*(D451+273)^3,$B$19*$B$20*((W451+273)^4-(D451+273)^4)/(W451-D451))*D451)+T451/H451)/($B$14*(I451+IF(ABS(W451-D451)&lt;0.000000001,4*$B$19*$B$20*(D451+273)^3,$B$19*$B$20*((W451+273)^4-(D451+273)^4)/(W451-D451)))+1/H451)</f>
        <v/>
      </c>
      <c r="Y451">
        <f>($B$14*(I451*C451+IF(ABS(X451-D451)&lt;0.000000001,4*$B$19*$B$20*(D451+273)^3,$B$19*$B$20*((X451+273)^4-(D451+273)^4)/(X451-D451))*D451)+T451/H451)/($B$14*(I451+IF(ABS(X451-D451)&lt;0.000000001,4*$B$19*$B$20*(D451+273)^3,$B$19*$B$20*((X451+273)^4-(D451+273)^4)/(X451-D451)))+1/H451)</f>
        <v/>
      </c>
      <c r="Z451">
        <f>IF(ABS(Y451-D451)&lt;0.000000001,4*$B$19*$B$20*(D451+273)^3,$B$19*$B$20*((Y451+273)^4-(D451+273)^4)/(Y451-D451))</f>
        <v/>
      </c>
      <c r="AA451">
        <f>$B$14*I451*(Y451-C451)</f>
        <v/>
      </c>
      <c r="AB451">
        <f>$B$14*Z451*(Y451-D451)</f>
        <v/>
      </c>
      <c r="AC451">
        <f>IF((U451-E451)/G451=0,0.001,(U451-E451)/G451)</f>
        <v/>
      </c>
      <c r="AD451">
        <f>F451-P451-J451-K451-AA451-AB451</f>
        <v/>
      </c>
      <c r="AE451">
        <f>AD451/AC451</f>
        <v/>
      </c>
      <c r="AF451">
        <f>IF(AD451&lt;=0,0,IF(AC451&lt;=0,$B$11,IF(AE451&gt;=1.7,$B$11,MIN(AD451/MAX(0.05,IF(AE451&gt;1,(2-AE451)^2/2,1-AE451^2/2)),$B$11))))</f>
        <v/>
      </c>
      <c r="AG451">
        <f>AG450*$B$28+AF451*(1-$B$28)</f>
        <v/>
      </c>
      <c r="AH451">
        <f>IF(AND(AD451&gt;0,AC451&lt;=0),0,AC451)</f>
        <v/>
      </c>
      <c r="AI451">
        <f>AH451/MAX(AG451,0.000001)</f>
        <v/>
      </c>
      <c r="AJ451">
        <f>MIN(IF(AI451&gt;=0.5,-AI451+SQRT(AI451^2+2),1),$B$12)</f>
        <v/>
      </c>
      <c r="AK451">
        <f>IF(AG451&lt;=0,0,AJ451*AH451)</f>
        <v/>
      </c>
      <c r="AL451">
        <f>IF(AD451&lt;=0,0,AD451)</f>
        <v/>
      </c>
      <c r="AM451">
        <f>AL451-AK451+P451</f>
        <v/>
      </c>
      <c r="AN451">
        <f>((AM451/$B$7+T450*AS450/2-T451*MAX(0.1,MIN(0.3,0.3-0.09*(AR450-36.8)))/2)+AR450*(1-AS450/2))/(1-MAX(0.1,MIN(0.3,0.3-0.09*(AR450-36.8)))/2)</f>
        <v/>
      </c>
      <c r="AO451">
        <f>((AM451/$B$7+T450*AS450/2-T451*MAX(0.1,MIN(0.3,0.3-0.09*(AN451-36.8)))/2)+AR450*(1-AS450/2))/(1-MAX(0.1,MIN(0.3,0.3-0.09*(AN451-36.8)))/2)</f>
        <v/>
      </c>
      <c r="AP451">
        <f>((AM451/$B$7+T450*AS450/2-T451*MAX(0.1,MIN(0.3,0.3-0.09*(AO451-36.8)))/2)+AR450*(1-AS450/2))/(1-MAX(0.1,MIN(0.3,0.3-0.09*(AO451-36.8)))/2)</f>
        <v/>
      </c>
      <c r="AQ451">
        <f>((AM451/$B$7+T450*AS450/2-T451*MAX(0.1,MIN(0.3,0.3-0.09*(AP451-36.8)))/2)+AR450*(1-AS450/2))/(1-MAX(0.1,MIN(0.3,0.3-0.09*(AP451-36.8)))/2)</f>
        <v/>
      </c>
      <c r="AR451">
        <f>((AM451/$B$7+T450*AS450/2-T451*MAX(0.1,MIN(0.3,0.3-0.09*(AQ451-36.8)))/2)+AR450*(1-AS450/2))/(1-MAX(0.1,MIN(0.3,0.3-0.09*(AQ451-36.8)))/2)</f>
        <v/>
      </c>
      <c r="AS451">
        <f>MAX(0.1,MIN(0.3,0.3-0.09*(AR451-36.8)))</f>
        <v/>
      </c>
      <c r="AT451">
        <f>AT450+(2*AR451-1.962*AT450-1.31)/9</f>
        <v/>
      </c>
      <c r="AU451">
        <f>AU450+AG451+K451</f>
        <v/>
      </c>
      <c r="AV451">
        <f>AU451*2.67*$B$6/1.8/60</f>
        <v/>
      </c>
      <c r="AW451">
        <f>IF(AT451&gt;=$B$36,1,0)</f>
        <v/>
      </c>
      <c r="AX451">
        <f>IF(AV451&gt;=$B$21,1,0)</f>
        <v/>
      </c>
    </row>
    <row r="452">
      <c r="A452" t="n">
        <v>379</v>
      </c>
      <c r="B452">
        <f>MATCH(A452-1,$D$61:$D$68,1)</f>
        <v/>
      </c>
      <c r="C452">
        <f>INDEX($G$61:$G$68,B452)</f>
        <v/>
      </c>
      <c r="D452">
        <f>INDEX($L$61:$L$68,B452)</f>
        <v/>
      </c>
      <c r="E452">
        <f>INDEX($M$61:$M$68,B452)</f>
        <v/>
      </c>
      <c r="F452">
        <f>INDEX($N$61:$N$68,B452)</f>
        <v/>
      </c>
      <c r="G452">
        <f>INDEX($AA$61:$AA$68,B452)</f>
        <v/>
      </c>
      <c r="H452">
        <f>INDEX($X$61:$X$68,B452)</f>
        <v/>
      </c>
      <c r="I452">
        <f>INDEX($AF$61:$AF$68,B452)</f>
        <v/>
      </c>
      <c r="J452">
        <f>INDEX($AC$61:$AC$68,B452)</f>
        <v/>
      </c>
      <c r="K452">
        <f>INDEX($AD$61:$AD$68,B452)</f>
        <v/>
      </c>
      <c r="L452">
        <f>INDEX($AG$61:$AG$68,B452)</f>
        <v/>
      </c>
      <c r="M452">
        <f>INDEX($AH$61:$AH$68,B452)</f>
        <v/>
      </c>
      <c r="N452">
        <f>INDEX($AI$61:$AI$68,B452)</f>
        <v/>
      </c>
      <c r="O452">
        <f>O451*$B$26+L452*(1-$B$26)</f>
        <v/>
      </c>
      <c r="P452">
        <f>$B$7*(O452-O451)*(1-AS451)</f>
        <v/>
      </c>
      <c r="Q452">
        <f>M452+0.51274*AT451</f>
        <v/>
      </c>
      <c r="R452">
        <f>N452+0.616*AT451</f>
        <v/>
      </c>
      <c r="S452">
        <f>IF($B$13&gt;=0.6,Q452,IF($B$13&lt;=0.2,R452,R452+2.5*(Q452-R452)*($B$13-0.2)))</f>
        <v/>
      </c>
      <c r="T452">
        <f>IF(A452=1,S452,T451*$B$27+S452*(1-$B$27))</f>
        <v/>
      </c>
      <c r="U452">
        <f>0.6105*EXP(17.27*T452/(T452+237.3))</f>
        <v/>
      </c>
      <c r="V452">
        <f>($B$14*(I452*C452+IF(ABS((D452+0.1)-D452)&lt;0.000000001,4*$B$19*$B$20*(D452+273)^3,$B$19*$B$20*(((D452+0.1)+273)^4-(D452+273)^4)/((D452+0.1)-D452))*D452)+T452/H452)/($B$14*(I452+IF(ABS((D452+0.1)-D452)&lt;0.000000001,4*$B$19*$B$20*(D452+273)^3,$B$19*$B$20*(((D452+0.1)+273)^4-(D452+273)^4)/((D452+0.1)-D452)))+1/H452)</f>
        <v/>
      </c>
      <c r="W452">
        <f>($B$14*(I452*C452+IF(ABS(V452-D452)&lt;0.000000001,4*$B$19*$B$20*(D452+273)^3,$B$19*$B$20*((V452+273)^4-(D452+273)^4)/(V452-D452))*D452)+T452/H452)/($B$14*(I452+IF(ABS(V452-D452)&lt;0.000000001,4*$B$19*$B$20*(D452+273)^3,$B$19*$B$20*((V452+273)^4-(D452+273)^4)/(V452-D452)))+1/H452)</f>
        <v/>
      </c>
      <c r="X452">
        <f>($B$14*(I452*C452+IF(ABS(W452-D452)&lt;0.000000001,4*$B$19*$B$20*(D452+273)^3,$B$19*$B$20*((W452+273)^4-(D452+273)^4)/(W452-D452))*D452)+T452/H452)/($B$14*(I452+IF(ABS(W452-D452)&lt;0.000000001,4*$B$19*$B$20*(D452+273)^3,$B$19*$B$20*((W452+273)^4-(D452+273)^4)/(W452-D452)))+1/H452)</f>
        <v/>
      </c>
      <c r="Y452">
        <f>($B$14*(I452*C452+IF(ABS(X452-D452)&lt;0.000000001,4*$B$19*$B$20*(D452+273)^3,$B$19*$B$20*((X452+273)^4-(D452+273)^4)/(X452-D452))*D452)+T452/H452)/($B$14*(I452+IF(ABS(X452-D452)&lt;0.000000001,4*$B$19*$B$20*(D452+273)^3,$B$19*$B$20*((X452+273)^4-(D452+273)^4)/(X452-D452)))+1/H452)</f>
        <v/>
      </c>
      <c r="Z452">
        <f>IF(ABS(Y452-D452)&lt;0.000000001,4*$B$19*$B$20*(D452+273)^3,$B$19*$B$20*((Y452+273)^4-(D452+273)^4)/(Y452-D452))</f>
        <v/>
      </c>
      <c r="AA452">
        <f>$B$14*I452*(Y452-C452)</f>
        <v/>
      </c>
      <c r="AB452">
        <f>$B$14*Z452*(Y452-D452)</f>
        <v/>
      </c>
      <c r="AC452">
        <f>IF((U452-E452)/G452=0,0.001,(U452-E452)/G452)</f>
        <v/>
      </c>
      <c r="AD452">
        <f>F452-P452-J452-K452-AA452-AB452</f>
        <v/>
      </c>
      <c r="AE452">
        <f>AD452/AC452</f>
        <v/>
      </c>
      <c r="AF452">
        <f>IF(AD452&lt;=0,0,IF(AC452&lt;=0,$B$11,IF(AE452&gt;=1.7,$B$11,MIN(AD452/MAX(0.05,IF(AE452&gt;1,(2-AE452)^2/2,1-AE452^2/2)),$B$11))))</f>
        <v/>
      </c>
      <c r="AG452">
        <f>AG451*$B$28+AF452*(1-$B$28)</f>
        <v/>
      </c>
      <c r="AH452">
        <f>IF(AND(AD452&gt;0,AC452&lt;=0),0,AC452)</f>
        <v/>
      </c>
      <c r="AI452">
        <f>AH452/MAX(AG452,0.000001)</f>
        <v/>
      </c>
      <c r="AJ452">
        <f>MIN(IF(AI452&gt;=0.5,-AI452+SQRT(AI452^2+2),1),$B$12)</f>
        <v/>
      </c>
      <c r="AK452">
        <f>IF(AG452&lt;=0,0,AJ452*AH452)</f>
        <v/>
      </c>
      <c r="AL452">
        <f>IF(AD452&lt;=0,0,AD452)</f>
        <v/>
      </c>
      <c r="AM452">
        <f>AL452-AK452+P452</f>
        <v/>
      </c>
      <c r="AN452">
        <f>((AM452/$B$7+T451*AS451/2-T452*MAX(0.1,MIN(0.3,0.3-0.09*(AR451-36.8)))/2)+AR451*(1-AS451/2))/(1-MAX(0.1,MIN(0.3,0.3-0.09*(AR451-36.8)))/2)</f>
        <v/>
      </c>
      <c r="AO452">
        <f>((AM452/$B$7+T451*AS451/2-T452*MAX(0.1,MIN(0.3,0.3-0.09*(AN452-36.8)))/2)+AR451*(1-AS451/2))/(1-MAX(0.1,MIN(0.3,0.3-0.09*(AN452-36.8)))/2)</f>
        <v/>
      </c>
      <c r="AP452">
        <f>((AM452/$B$7+T451*AS451/2-T452*MAX(0.1,MIN(0.3,0.3-0.09*(AO452-36.8)))/2)+AR451*(1-AS451/2))/(1-MAX(0.1,MIN(0.3,0.3-0.09*(AO452-36.8)))/2)</f>
        <v/>
      </c>
      <c r="AQ452">
        <f>((AM452/$B$7+T451*AS451/2-T452*MAX(0.1,MIN(0.3,0.3-0.09*(AP452-36.8)))/2)+AR451*(1-AS451/2))/(1-MAX(0.1,MIN(0.3,0.3-0.09*(AP452-36.8)))/2)</f>
        <v/>
      </c>
      <c r="AR452">
        <f>((AM452/$B$7+T451*AS451/2-T452*MAX(0.1,MIN(0.3,0.3-0.09*(AQ452-36.8)))/2)+AR451*(1-AS451/2))/(1-MAX(0.1,MIN(0.3,0.3-0.09*(AQ452-36.8)))/2)</f>
        <v/>
      </c>
      <c r="AS452">
        <f>MAX(0.1,MIN(0.3,0.3-0.09*(AR452-36.8)))</f>
        <v/>
      </c>
      <c r="AT452">
        <f>AT451+(2*AR452-1.962*AT451-1.31)/9</f>
        <v/>
      </c>
      <c r="AU452">
        <f>AU451+AG452+K452</f>
        <v/>
      </c>
      <c r="AV452">
        <f>AU452*2.67*$B$6/1.8/60</f>
        <v/>
      </c>
      <c r="AW452">
        <f>IF(AT452&gt;=$B$36,1,0)</f>
        <v/>
      </c>
      <c r="AX452">
        <f>IF(AV452&gt;=$B$21,1,0)</f>
        <v/>
      </c>
    </row>
    <row r="453">
      <c r="A453" t="n">
        <v>380</v>
      </c>
      <c r="B453">
        <f>MATCH(A453-1,$D$61:$D$68,1)</f>
        <v/>
      </c>
      <c r="C453">
        <f>INDEX($G$61:$G$68,B453)</f>
        <v/>
      </c>
      <c r="D453">
        <f>INDEX($L$61:$L$68,B453)</f>
        <v/>
      </c>
      <c r="E453">
        <f>INDEX($M$61:$M$68,B453)</f>
        <v/>
      </c>
      <c r="F453">
        <f>INDEX($N$61:$N$68,B453)</f>
        <v/>
      </c>
      <c r="G453">
        <f>INDEX($AA$61:$AA$68,B453)</f>
        <v/>
      </c>
      <c r="H453">
        <f>INDEX($X$61:$X$68,B453)</f>
        <v/>
      </c>
      <c r="I453">
        <f>INDEX($AF$61:$AF$68,B453)</f>
        <v/>
      </c>
      <c r="J453">
        <f>INDEX($AC$61:$AC$68,B453)</f>
        <v/>
      </c>
      <c r="K453">
        <f>INDEX($AD$61:$AD$68,B453)</f>
        <v/>
      </c>
      <c r="L453">
        <f>INDEX($AG$61:$AG$68,B453)</f>
        <v/>
      </c>
      <c r="M453">
        <f>INDEX($AH$61:$AH$68,B453)</f>
        <v/>
      </c>
      <c r="N453">
        <f>INDEX($AI$61:$AI$68,B453)</f>
        <v/>
      </c>
      <c r="O453">
        <f>O452*$B$26+L453*(1-$B$26)</f>
        <v/>
      </c>
      <c r="P453">
        <f>$B$7*(O453-O452)*(1-AS452)</f>
        <v/>
      </c>
      <c r="Q453">
        <f>M453+0.51274*AT452</f>
        <v/>
      </c>
      <c r="R453">
        <f>N453+0.616*AT452</f>
        <v/>
      </c>
      <c r="S453">
        <f>IF($B$13&gt;=0.6,Q453,IF($B$13&lt;=0.2,R453,R453+2.5*(Q453-R453)*($B$13-0.2)))</f>
        <v/>
      </c>
      <c r="T453">
        <f>IF(A453=1,S453,T452*$B$27+S453*(1-$B$27))</f>
        <v/>
      </c>
      <c r="U453">
        <f>0.6105*EXP(17.27*T453/(T453+237.3))</f>
        <v/>
      </c>
      <c r="V453">
        <f>($B$14*(I453*C453+IF(ABS((D453+0.1)-D453)&lt;0.000000001,4*$B$19*$B$20*(D453+273)^3,$B$19*$B$20*(((D453+0.1)+273)^4-(D453+273)^4)/((D453+0.1)-D453))*D453)+T453/H453)/($B$14*(I453+IF(ABS((D453+0.1)-D453)&lt;0.000000001,4*$B$19*$B$20*(D453+273)^3,$B$19*$B$20*(((D453+0.1)+273)^4-(D453+273)^4)/((D453+0.1)-D453)))+1/H453)</f>
        <v/>
      </c>
      <c r="W453">
        <f>($B$14*(I453*C453+IF(ABS(V453-D453)&lt;0.000000001,4*$B$19*$B$20*(D453+273)^3,$B$19*$B$20*((V453+273)^4-(D453+273)^4)/(V453-D453))*D453)+T453/H453)/($B$14*(I453+IF(ABS(V453-D453)&lt;0.000000001,4*$B$19*$B$20*(D453+273)^3,$B$19*$B$20*((V453+273)^4-(D453+273)^4)/(V453-D453)))+1/H453)</f>
        <v/>
      </c>
      <c r="X453">
        <f>($B$14*(I453*C453+IF(ABS(W453-D453)&lt;0.000000001,4*$B$19*$B$20*(D453+273)^3,$B$19*$B$20*((W453+273)^4-(D453+273)^4)/(W453-D453))*D453)+T453/H453)/($B$14*(I453+IF(ABS(W453-D453)&lt;0.000000001,4*$B$19*$B$20*(D453+273)^3,$B$19*$B$20*((W453+273)^4-(D453+273)^4)/(W453-D453)))+1/H453)</f>
        <v/>
      </c>
      <c r="Y453">
        <f>($B$14*(I453*C453+IF(ABS(X453-D453)&lt;0.000000001,4*$B$19*$B$20*(D453+273)^3,$B$19*$B$20*((X453+273)^4-(D453+273)^4)/(X453-D453))*D453)+T453/H453)/($B$14*(I453+IF(ABS(X453-D453)&lt;0.000000001,4*$B$19*$B$20*(D453+273)^3,$B$19*$B$20*((X453+273)^4-(D453+273)^4)/(X453-D453)))+1/H453)</f>
        <v/>
      </c>
      <c r="Z453">
        <f>IF(ABS(Y453-D453)&lt;0.000000001,4*$B$19*$B$20*(D453+273)^3,$B$19*$B$20*((Y453+273)^4-(D453+273)^4)/(Y453-D453))</f>
        <v/>
      </c>
      <c r="AA453">
        <f>$B$14*I453*(Y453-C453)</f>
        <v/>
      </c>
      <c r="AB453">
        <f>$B$14*Z453*(Y453-D453)</f>
        <v/>
      </c>
      <c r="AC453">
        <f>IF((U453-E453)/G453=0,0.001,(U453-E453)/G453)</f>
        <v/>
      </c>
      <c r="AD453">
        <f>F453-P453-J453-K453-AA453-AB453</f>
        <v/>
      </c>
      <c r="AE453">
        <f>AD453/AC453</f>
        <v/>
      </c>
      <c r="AF453">
        <f>IF(AD453&lt;=0,0,IF(AC453&lt;=0,$B$11,IF(AE453&gt;=1.7,$B$11,MIN(AD453/MAX(0.05,IF(AE453&gt;1,(2-AE453)^2/2,1-AE453^2/2)),$B$11))))</f>
        <v/>
      </c>
      <c r="AG453">
        <f>AG452*$B$28+AF453*(1-$B$28)</f>
        <v/>
      </c>
      <c r="AH453">
        <f>IF(AND(AD453&gt;0,AC453&lt;=0),0,AC453)</f>
        <v/>
      </c>
      <c r="AI453">
        <f>AH453/MAX(AG453,0.000001)</f>
        <v/>
      </c>
      <c r="AJ453">
        <f>MIN(IF(AI453&gt;=0.5,-AI453+SQRT(AI453^2+2),1),$B$12)</f>
        <v/>
      </c>
      <c r="AK453">
        <f>IF(AG453&lt;=0,0,AJ453*AH453)</f>
        <v/>
      </c>
      <c r="AL453">
        <f>IF(AD453&lt;=0,0,AD453)</f>
        <v/>
      </c>
      <c r="AM453">
        <f>AL453-AK453+P453</f>
        <v/>
      </c>
      <c r="AN453">
        <f>((AM453/$B$7+T452*AS452/2-T453*MAX(0.1,MIN(0.3,0.3-0.09*(AR452-36.8)))/2)+AR452*(1-AS452/2))/(1-MAX(0.1,MIN(0.3,0.3-0.09*(AR452-36.8)))/2)</f>
        <v/>
      </c>
      <c r="AO453">
        <f>((AM453/$B$7+T452*AS452/2-T453*MAX(0.1,MIN(0.3,0.3-0.09*(AN453-36.8)))/2)+AR452*(1-AS452/2))/(1-MAX(0.1,MIN(0.3,0.3-0.09*(AN453-36.8)))/2)</f>
        <v/>
      </c>
      <c r="AP453">
        <f>((AM453/$B$7+T452*AS452/2-T453*MAX(0.1,MIN(0.3,0.3-0.09*(AO453-36.8)))/2)+AR452*(1-AS452/2))/(1-MAX(0.1,MIN(0.3,0.3-0.09*(AO453-36.8)))/2)</f>
        <v/>
      </c>
      <c r="AQ453">
        <f>((AM453/$B$7+T452*AS452/2-T453*MAX(0.1,MIN(0.3,0.3-0.09*(AP453-36.8)))/2)+AR452*(1-AS452/2))/(1-MAX(0.1,MIN(0.3,0.3-0.09*(AP453-36.8)))/2)</f>
        <v/>
      </c>
      <c r="AR453">
        <f>((AM453/$B$7+T452*AS452/2-T453*MAX(0.1,MIN(0.3,0.3-0.09*(AQ453-36.8)))/2)+AR452*(1-AS452/2))/(1-MAX(0.1,MIN(0.3,0.3-0.09*(AQ453-36.8)))/2)</f>
        <v/>
      </c>
      <c r="AS453">
        <f>MAX(0.1,MIN(0.3,0.3-0.09*(AR453-36.8)))</f>
        <v/>
      </c>
      <c r="AT453">
        <f>AT452+(2*AR453-1.962*AT452-1.31)/9</f>
        <v/>
      </c>
      <c r="AU453">
        <f>AU452+AG453+K453</f>
        <v/>
      </c>
      <c r="AV453">
        <f>AU453*2.67*$B$6/1.8/60</f>
        <v/>
      </c>
      <c r="AW453">
        <f>IF(AT453&gt;=$B$36,1,0)</f>
        <v/>
      </c>
      <c r="AX453">
        <f>IF(AV453&gt;=$B$21,1,0)</f>
        <v/>
      </c>
    </row>
    <row r="454">
      <c r="A454" t="n">
        <v>381</v>
      </c>
      <c r="B454">
        <f>MATCH(A454-1,$D$61:$D$68,1)</f>
        <v/>
      </c>
      <c r="C454">
        <f>INDEX($G$61:$G$68,B454)</f>
        <v/>
      </c>
      <c r="D454">
        <f>INDEX($L$61:$L$68,B454)</f>
        <v/>
      </c>
      <c r="E454">
        <f>INDEX($M$61:$M$68,B454)</f>
        <v/>
      </c>
      <c r="F454">
        <f>INDEX($N$61:$N$68,B454)</f>
        <v/>
      </c>
      <c r="G454">
        <f>INDEX($AA$61:$AA$68,B454)</f>
        <v/>
      </c>
      <c r="H454">
        <f>INDEX($X$61:$X$68,B454)</f>
        <v/>
      </c>
      <c r="I454">
        <f>INDEX($AF$61:$AF$68,B454)</f>
        <v/>
      </c>
      <c r="J454">
        <f>INDEX($AC$61:$AC$68,B454)</f>
        <v/>
      </c>
      <c r="K454">
        <f>INDEX($AD$61:$AD$68,B454)</f>
        <v/>
      </c>
      <c r="L454">
        <f>INDEX($AG$61:$AG$68,B454)</f>
        <v/>
      </c>
      <c r="M454">
        <f>INDEX($AH$61:$AH$68,B454)</f>
        <v/>
      </c>
      <c r="N454">
        <f>INDEX($AI$61:$AI$68,B454)</f>
        <v/>
      </c>
      <c r="O454">
        <f>O453*$B$26+L454*(1-$B$26)</f>
        <v/>
      </c>
      <c r="P454">
        <f>$B$7*(O454-O453)*(1-AS453)</f>
        <v/>
      </c>
      <c r="Q454">
        <f>M454+0.51274*AT453</f>
        <v/>
      </c>
      <c r="R454">
        <f>N454+0.616*AT453</f>
        <v/>
      </c>
      <c r="S454">
        <f>IF($B$13&gt;=0.6,Q454,IF($B$13&lt;=0.2,R454,R454+2.5*(Q454-R454)*($B$13-0.2)))</f>
        <v/>
      </c>
      <c r="T454">
        <f>IF(A454=1,S454,T453*$B$27+S454*(1-$B$27))</f>
        <v/>
      </c>
      <c r="U454">
        <f>0.6105*EXP(17.27*T454/(T454+237.3))</f>
        <v/>
      </c>
      <c r="V454">
        <f>($B$14*(I454*C454+IF(ABS((D454+0.1)-D454)&lt;0.000000001,4*$B$19*$B$20*(D454+273)^3,$B$19*$B$20*(((D454+0.1)+273)^4-(D454+273)^4)/((D454+0.1)-D454))*D454)+T454/H454)/($B$14*(I454+IF(ABS((D454+0.1)-D454)&lt;0.000000001,4*$B$19*$B$20*(D454+273)^3,$B$19*$B$20*(((D454+0.1)+273)^4-(D454+273)^4)/((D454+0.1)-D454)))+1/H454)</f>
        <v/>
      </c>
      <c r="W454">
        <f>($B$14*(I454*C454+IF(ABS(V454-D454)&lt;0.000000001,4*$B$19*$B$20*(D454+273)^3,$B$19*$B$20*((V454+273)^4-(D454+273)^4)/(V454-D454))*D454)+T454/H454)/($B$14*(I454+IF(ABS(V454-D454)&lt;0.000000001,4*$B$19*$B$20*(D454+273)^3,$B$19*$B$20*((V454+273)^4-(D454+273)^4)/(V454-D454)))+1/H454)</f>
        <v/>
      </c>
      <c r="X454">
        <f>($B$14*(I454*C454+IF(ABS(W454-D454)&lt;0.000000001,4*$B$19*$B$20*(D454+273)^3,$B$19*$B$20*((W454+273)^4-(D454+273)^4)/(W454-D454))*D454)+T454/H454)/($B$14*(I454+IF(ABS(W454-D454)&lt;0.000000001,4*$B$19*$B$20*(D454+273)^3,$B$19*$B$20*((W454+273)^4-(D454+273)^4)/(W454-D454)))+1/H454)</f>
        <v/>
      </c>
      <c r="Y454">
        <f>($B$14*(I454*C454+IF(ABS(X454-D454)&lt;0.000000001,4*$B$19*$B$20*(D454+273)^3,$B$19*$B$20*((X454+273)^4-(D454+273)^4)/(X454-D454))*D454)+T454/H454)/($B$14*(I454+IF(ABS(X454-D454)&lt;0.000000001,4*$B$19*$B$20*(D454+273)^3,$B$19*$B$20*((X454+273)^4-(D454+273)^4)/(X454-D454)))+1/H454)</f>
        <v/>
      </c>
      <c r="Z454">
        <f>IF(ABS(Y454-D454)&lt;0.000000001,4*$B$19*$B$20*(D454+273)^3,$B$19*$B$20*((Y454+273)^4-(D454+273)^4)/(Y454-D454))</f>
        <v/>
      </c>
      <c r="AA454">
        <f>$B$14*I454*(Y454-C454)</f>
        <v/>
      </c>
      <c r="AB454">
        <f>$B$14*Z454*(Y454-D454)</f>
        <v/>
      </c>
      <c r="AC454">
        <f>IF((U454-E454)/G454=0,0.001,(U454-E454)/G454)</f>
        <v/>
      </c>
      <c r="AD454">
        <f>F454-P454-J454-K454-AA454-AB454</f>
        <v/>
      </c>
      <c r="AE454">
        <f>AD454/AC454</f>
        <v/>
      </c>
      <c r="AF454">
        <f>IF(AD454&lt;=0,0,IF(AC454&lt;=0,$B$11,IF(AE454&gt;=1.7,$B$11,MIN(AD454/MAX(0.05,IF(AE454&gt;1,(2-AE454)^2/2,1-AE454^2/2)),$B$11))))</f>
        <v/>
      </c>
      <c r="AG454">
        <f>AG453*$B$28+AF454*(1-$B$28)</f>
        <v/>
      </c>
      <c r="AH454">
        <f>IF(AND(AD454&gt;0,AC454&lt;=0),0,AC454)</f>
        <v/>
      </c>
      <c r="AI454">
        <f>AH454/MAX(AG454,0.000001)</f>
        <v/>
      </c>
      <c r="AJ454">
        <f>MIN(IF(AI454&gt;=0.5,-AI454+SQRT(AI454^2+2),1),$B$12)</f>
        <v/>
      </c>
      <c r="AK454">
        <f>IF(AG454&lt;=0,0,AJ454*AH454)</f>
        <v/>
      </c>
      <c r="AL454">
        <f>IF(AD454&lt;=0,0,AD454)</f>
        <v/>
      </c>
      <c r="AM454">
        <f>AL454-AK454+P454</f>
        <v/>
      </c>
      <c r="AN454">
        <f>((AM454/$B$7+T453*AS453/2-T454*MAX(0.1,MIN(0.3,0.3-0.09*(AR453-36.8)))/2)+AR453*(1-AS453/2))/(1-MAX(0.1,MIN(0.3,0.3-0.09*(AR453-36.8)))/2)</f>
        <v/>
      </c>
      <c r="AO454">
        <f>((AM454/$B$7+T453*AS453/2-T454*MAX(0.1,MIN(0.3,0.3-0.09*(AN454-36.8)))/2)+AR453*(1-AS453/2))/(1-MAX(0.1,MIN(0.3,0.3-0.09*(AN454-36.8)))/2)</f>
        <v/>
      </c>
      <c r="AP454">
        <f>((AM454/$B$7+T453*AS453/2-T454*MAX(0.1,MIN(0.3,0.3-0.09*(AO454-36.8)))/2)+AR453*(1-AS453/2))/(1-MAX(0.1,MIN(0.3,0.3-0.09*(AO454-36.8)))/2)</f>
        <v/>
      </c>
      <c r="AQ454">
        <f>((AM454/$B$7+T453*AS453/2-T454*MAX(0.1,MIN(0.3,0.3-0.09*(AP454-36.8)))/2)+AR453*(1-AS453/2))/(1-MAX(0.1,MIN(0.3,0.3-0.09*(AP454-36.8)))/2)</f>
        <v/>
      </c>
      <c r="AR454">
        <f>((AM454/$B$7+T453*AS453/2-T454*MAX(0.1,MIN(0.3,0.3-0.09*(AQ454-36.8)))/2)+AR453*(1-AS453/2))/(1-MAX(0.1,MIN(0.3,0.3-0.09*(AQ454-36.8)))/2)</f>
        <v/>
      </c>
      <c r="AS454">
        <f>MAX(0.1,MIN(0.3,0.3-0.09*(AR454-36.8)))</f>
        <v/>
      </c>
      <c r="AT454">
        <f>AT453+(2*AR454-1.962*AT453-1.31)/9</f>
        <v/>
      </c>
      <c r="AU454">
        <f>AU453+AG454+K454</f>
        <v/>
      </c>
      <c r="AV454">
        <f>AU454*2.67*$B$6/1.8/60</f>
        <v/>
      </c>
      <c r="AW454">
        <f>IF(AT454&gt;=$B$36,1,0)</f>
        <v/>
      </c>
      <c r="AX454">
        <f>IF(AV454&gt;=$B$21,1,0)</f>
        <v/>
      </c>
    </row>
    <row r="455">
      <c r="A455" t="n">
        <v>382</v>
      </c>
      <c r="B455">
        <f>MATCH(A455-1,$D$61:$D$68,1)</f>
        <v/>
      </c>
      <c r="C455">
        <f>INDEX($G$61:$G$68,B455)</f>
        <v/>
      </c>
      <c r="D455">
        <f>INDEX($L$61:$L$68,B455)</f>
        <v/>
      </c>
      <c r="E455">
        <f>INDEX($M$61:$M$68,B455)</f>
        <v/>
      </c>
      <c r="F455">
        <f>INDEX($N$61:$N$68,B455)</f>
        <v/>
      </c>
      <c r="G455">
        <f>INDEX($AA$61:$AA$68,B455)</f>
        <v/>
      </c>
      <c r="H455">
        <f>INDEX($X$61:$X$68,B455)</f>
        <v/>
      </c>
      <c r="I455">
        <f>INDEX($AF$61:$AF$68,B455)</f>
        <v/>
      </c>
      <c r="J455">
        <f>INDEX($AC$61:$AC$68,B455)</f>
        <v/>
      </c>
      <c r="K455">
        <f>INDEX($AD$61:$AD$68,B455)</f>
        <v/>
      </c>
      <c r="L455">
        <f>INDEX($AG$61:$AG$68,B455)</f>
        <v/>
      </c>
      <c r="M455">
        <f>INDEX($AH$61:$AH$68,B455)</f>
        <v/>
      </c>
      <c r="N455">
        <f>INDEX($AI$61:$AI$68,B455)</f>
        <v/>
      </c>
      <c r="O455">
        <f>O454*$B$26+L455*(1-$B$26)</f>
        <v/>
      </c>
      <c r="P455">
        <f>$B$7*(O455-O454)*(1-AS454)</f>
        <v/>
      </c>
      <c r="Q455">
        <f>M455+0.51274*AT454</f>
        <v/>
      </c>
      <c r="R455">
        <f>N455+0.616*AT454</f>
        <v/>
      </c>
      <c r="S455">
        <f>IF($B$13&gt;=0.6,Q455,IF($B$13&lt;=0.2,R455,R455+2.5*(Q455-R455)*($B$13-0.2)))</f>
        <v/>
      </c>
      <c r="T455">
        <f>IF(A455=1,S455,T454*$B$27+S455*(1-$B$27))</f>
        <v/>
      </c>
      <c r="U455">
        <f>0.6105*EXP(17.27*T455/(T455+237.3))</f>
        <v/>
      </c>
      <c r="V455">
        <f>($B$14*(I455*C455+IF(ABS((D455+0.1)-D455)&lt;0.000000001,4*$B$19*$B$20*(D455+273)^3,$B$19*$B$20*(((D455+0.1)+273)^4-(D455+273)^4)/((D455+0.1)-D455))*D455)+T455/H455)/($B$14*(I455+IF(ABS((D455+0.1)-D455)&lt;0.000000001,4*$B$19*$B$20*(D455+273)^3,$B$19*$B$20*(((D455+0.1)+273)^4-(D455+273)^4)/((D455+0.1)-D455)))+1/H455)</f>
        <v/>
      </c>
      <c r="W455">
        <f>($B$14*(I455*C455+IF(ABS(V455-D455)&lt;0.000000001,4*$B$19*$B$20*(D455+273)^3,$B$19*$B$20*((V455+273)^4-(D455+273)^4)/(V455-D455))*D455)+T455/H455)/($B$14*(I455+IF(ABS(V455-D455)&lt;0.000000001,4*$B$19*$B$20*(D455+273)^3,$B$19*$B$20*((V455+273)^4-(D455+273)^4)/(V455-D455)))+1/H455)</f>
        <v/>
      </c>
      <c r="X455">
        <f>($B$14*(I455*C455+IF(ABS(W455-D455)&lt;0.000000001,4*$B$19*$B$20*(D455+273)^3,$B$19*$B$20*((W455+273)^4-(D455+273)^4)/(W455-D455))*D455)+T455/H455)/($B$14*(I455+IF(ABS(W455-D455)&lt;0.000000001,4*$B$19*$B$20*(D455+273)^3,$B$19*$B$20*((W455+273)^4-(D455+273)^4)/(W455-D455)))+1/H455)</f>
        <v/>
      </c>
      <c r="Y455">
        <f>($B$14*(I455*C455+IF(ABS(X455-D455)&lt;0.000000001,4*$B$19*$B$20*(D455+273)^3,$B$19*$B$20*((X455+273)^4-(D455+273)^4)/(X455-D455))*D455)+T455/H455)/($B$14*(I455+IF(ABS(X455-D455)&lt;0.000000001,4*$B$19*$B$20*(D455+273)^3,$B$19*$B$20*((X455+273)^4-(D455+273)^4)/(X455-D455)))+1/H455)</f>
        <v/>
      </c>
      <c r="Z455">
        <f>IF(ABS(Y455-D455)&lt;0.000000001,4*$B$19*$B$20*(D455+273)^3,$B$19*$B$20*((Y455+273)^4-(D455+273)^4)/(Y455-D455))</f>
        <v/>
      </c>
      <c r="AA455">
        <f>$B$14*I455*(Y455-C455)</f>
        <v/>
      </c>
      <c r="AB455">
        <f>$B$14*Z455*(Y455-D455)</f>
        <v/>
      </c>
      <c r="AC455">
        <f>IF((U455-E455)/G455=0,0.001,(U455-E455)/G455)</f>
        <v/>
      </c>
      <c r="AD455">
        <f>F455-P455-J455-K455-AA455-AB455</f>
        <v/>
      </c>
      <c r="AE455">
        <f>AD455/AC455</f>
        <v/>
      </c>
      <c r="AF455">
        <f>IF(AD455&lt;=0,0,IF(AC455&lt;=0,$B$11,IF(AE455&gt;=1.7,$B$11,MIN(AD455/MAX(0.05,IF(AE455&gt;1,(2-AE455)^2/2,1-AE455^2/2)),$B$11))))</f>
        <v/>
      </c>
      <c r="AG455">
        <f>AG454*$B$28+AF455*(1-$B$28)</f>
        <v/>
      </c>
      <c r="AH455">
        <f>IF(AND(AD455&gt;0,AC455&lt;=0),0,AC455)</f>
        <v/>
      </c>
      <c r="AI455">
        <f>AH455/MAX(AG455,0.000001)</f>
        <v/>
      </c>
      <c r="AJ455">
        <f>MIN(IF(AI455&gt;=0.5,-AI455+SQRT(AI455^2+2),1),$B$12)</f>
        <v/>
      </c>
      <c r="AK455">
        <f>IF(AG455&lt;=0,0,AJ455*AH455)</f>
        <v/>
      </c>
      <c r="AL455">
        <f>IF(AD455&lt;=0,0,AD455)</f>
        <v/>
      </c>
      <c r="AM455">
        <f>AL455-AK455+P455</f>
        <v/>
      </c>
      <c r="AN455">
        <f>((AM455/$B$7+T454*AS454/2-T455*MAX(0.1,MIN(0.3,0.3-0.09*(AR454-36.8)))/2)+AR454*(1-AS454/2))/(1-MAX(0.1,MIN(0.3,0.3-0.09*(AR454-36.8)))/2)</f>
        <v/>
      </c>
      <c r="AO455">
        <f>((AM455/$B$7+T454*AS454/2-T455*MAX(0.1,MIN(0.3,0.3-0.09*(AN455-36.8)))/2)+AR454*(1-AS454/2))/(1-MAX(0.1,MIN(0.3,0.3-0.09*(AN455-36.8)))/2)</f>
        <v/>
      </c>
      <c r="AP455">
        <f>((AM455/$B$7+T454*AS454/2-T455*MAX(0.1,MIN(0.3,0.3-0.09*(AO455-36.8)))/2)+AR454*(1-AS454/2))/(1-MAX(0.1,MIN(0.3,0.3-0.09*(AO455-36.8)))/2)</f>
        <v/>
      </c>
      <c r="AQ455">
        <f>((AM455/$B$7+T454*AS454/2-T455*MAX(0.1,MIN(0.3,0.3-0.09*(AP455-36.8)))/2)+AR454*(1-AS454/2))/(1-MAX(0.1,MIN(0.3,0.3-0.09*(AP455-36.8)))/2)</f>
        <v/>
      </c>
      <c r="AR455">
        <f>((AM455/$B$7+T454*AS454/2-T455*MAX(0.1,MIN(0.3,0.3-0.09*(AQ455-36.8)))/2)+AR454*(1-AS454/2))/(1-MAX(0.1,MIN(0.3,0.3-0.09*(AQ455-36.8)))/2)</f>
        <v/>
      </c>
      <c r="AS455">
        <f>MAX(0.1,MIN(0.3,0.3-0.09*(AR455-36.8)))</f>
        <v/>
      </c>
      <c r="AT455">
        <f>AT454+(2*AR455-1.962*AT454-1.31)/9</f>
        <v/>
      </c>
      <c r="AU455">
        <f>AU454+AG455+K455</f>
        <v/>
      </c>
      <c r="AV455">
        <f>AU455*2.67*$B$6/1.8/60</f>
        <v/>
      </c>
      <c r="AW455">
        <f>IF(AT455&gt;=$B$36,1,0)</f>
        <v/>
      </c>
      <c r="AX455">
        <f>IF(AV455&gt;=$B$21,1,0)</f>
        <v/>
      </c>
    </row>
    <row r="456">
      <c r="A456" t="n">
        <v>383</v>
      </c>
      <c r="B456">
        <f>MATCH(A456-1,$D$61:$D$68,1)</f>
        <v/>
      </c>
      <c r="C456">
        <f>INDEX($G$61:$G$68,B456)</f>
        <v/>
      </c>
      <c r="D456">
        <f>INDEX($L$61:$L$68,B456)</f>
        <v/>
      </c>
      <c r="E456">
        <f>INDEX($M$61:$M$68,B456)</f>
        <v/>
      </c>
      <c r="F456">
        <f>INDEX($N$61:$N$68,B456)</f>
        <v/>
      </c>
      <c r="G456">
        <f>INDEX($AA$61:$AA$68,B456)</f>
        <v/>
      </c>
      <c r="H456">
        <f>INDEX($X$61:$X$68,B456)</f>
        <v/>
      </c>
      <c r="I456">
        <f>INDEX($AF$61:$AF$68,B456)</f>
        <v/>
      </c>
      <c r="J456">
        <f>INDEX($AC$61:$AC$68,B456)</f>
        <v/>
      </c>
      <c r="K456">
        <f>INDEX($AD$61:$AD$68,B456)</f>
        <v/>
      </c>
      <c r="L456">
        <f>INDEX($AG$61:$AG$68,B456)</f>
        <v/>
      </c>
      <c r="M456">
        <f>INDEX($AH$61:$AH$68,B456)</f>
        <v/>
      </c>
      <c r="N456">
        <f>INDEX($AI$61:$AI$68,B456)</f>
        <v/>
      </c>
      <c r="O456">
        <f>O455*$B$26+L456*(1-$B$26)</f>
        <v/>
      </c>
      <c r="P456">
        <f>$B$7*(O456-O455)*(1-AS455)</f>
        <v/>
      </c>
      <c r="Q456">
        <f>M456+0.51274*AT455</f>
        <v/>
      </c>
      <c r="R456">
        <f>N456+0.616*AT455</f>
        <v/>
      </c>
      <c r="S456">
        <f>IF($B$13&gt;=0.6,Q456,IF($B$13&lt;=0.2,R456,R456+2.5*(Q456-R456)*($B$13-0.2)))</f>
        <v/>
      </c>
      <c r="T456">
        <f>IF(A456=1,S456,T455*$B$27+S456*(1-$B$27))</f>
        <v/>
      </c>
      <c r="U456">
        <f>0.6105*EXP(17.27*T456/(T456+237.3))</f>
        <v/>
      </c>
      <c r="V456">
        <f>($B$14*(I456*C456+IF(ABS((D456+0.1)-D456)&lt;0.000000001,4*$B$19*$B$20*(D456+273)^3,$B$19*$B$20*(((D456+0.1)+273)^4-(D456+273)^4)/((D456+0.1)-D456))*D456)+T456/H456)/($B$14*(I456+IF(ABS((D456+0.1)-D456)&lt;0.000000001,4*$B$19*$B$20*(D456+273)^3,$B$19*$B$20*(((D456+0.1)+273)^4-(D456+273)^4)/((D456+0.1)-D456)))+1/H456)</f>
        <v/>
      </c>
      <c r="W456">
        <f>($B$14*(I456*C456+IF(ABS(V456-D456)&lt;0.000000001,4*$B$19*$B$20*(D456+273)^3,$B$19*$B$20*((V456+273)^4-(D456+273)^4)/(V456-D456))*D456)+T456/H456)/($B$14*(I456+IF(ABS(V456-D456)&lt;0.000000001,4*$B$19*$B$20*(D456+273)^3,$B$19*$B$20*((V456+273)^4-(D456+273)^4)/(V456-D456)))+1/H456)</f>
        <v/>
      </c>
      <c r="X456">
        <f>($B$14*(I456*C456+IF(ABS(W456-D456)&lt;0.000000001,4*$B$19*$B$20*(D456+273)^3,$B$19*$B$20*((W456+273)^4-(D456+273)^4)/(W456-D456))*D456)+T456/H456)/($B$14*(I456+IF(ABS(W456-D456)&lt;0.000000001,4*$B$19*$B$20*(D456+273)^3,$B$19*$B$20*((W456+273)^4-(D456+273)^4)/(W456-D456)))+1/H456)</f>
        <v/>
      </c>
      <c r="Y456">
        <f>($B$14*(I456*C456+IF(ABS(X456-D456)&lt;0.000000001,4*$B$19*$B$20*(D456+273)^3,$B$19*$B$20*((X456+273)^4-(D456+273)^4)/(X456-D456))*D456)+T456/H456)/($B$14*(I456+IF(ABS(X456-D456)&lt;0.000000001,4*$B$19*$B$20*(D456+273)^3,$B$19*$B$20*((X456+273)^4-(D456+273)^4)/(X456-D456)))+1/H456)</f>
        <v/>
      </c>
      <c r="Z456">
        <f>IF(ABS(Y456-D456)&lt;0.000000001,4*$B$19*$B$20*(D456+273)^3,$B$19*$B$20*((Y456+273)^4-(D456+273)^4)/(Y456-D456))</f>
        <v/>
      </c>
      <c r="AA456">
        <f>$B$14*I456*(Y456-C456)</f>
        <v/>
      </c>
      <c r="AB456">
        <f>$B$14*Z456*(Y456-D456)</f>
        <v/>
      </c>
      <c r="AC456">
        <f>IF((U456-E456)/G456=0,0.001,(U456-E456)/G456)</f>
        <v/>
      </c>
      <c r="AD456">
        <f>F456-P456-J456-K456-AA456-AB456</f>
        <v/>
      </c>
      <c r="AE456">
        <f>AD456/AC456</f>
        <v/>
      </c>
      <c r="AF456">
        <f>IF(AD456&lt;=0,0,IF(AC456&lt;=0,$B$11,IF(AE456&gt;=1.7,$B$11,MIN(AD456/MAX(0.05,IF(AE456&gt;1,(2-AE456)^2/2,1-AE456^2/2)),$B$11))))</f>
        <v/>
      </c>
      <c r="AG456">
        <f>AG455*$B$28+AF456*(1-$B$28)</f>
        <v/>
      </c>
      <c r="AH456">
        <f>IF(AND(AD456&gt;0,AC456&lt;=0),0,AC456)</f>
        <v/>
      </c>
      <c r="AI456">
        <f>AH456/MAX(AG456,0.000001)</f>
        <v/>
      </c>
      <c r="AJ456">
        <f>MIN(IF(AI456&gt;=0.5,-AI456+SQRT(AI456^2+2),1),$B$12)</f>
        <v/>
      </c>
      <c r="AK456">
        <f>IF(AG456&lt;=0,0,AJ456*AH456)</f>
        <v/>
      </c>
      <c r="AL456">
        <f>IF(AD456&lt;=0,0,AD456)</f>
        <v/>
      </c>
      <c r="AM456">
        <f>AL456-AK456+P456</f>
        <v/>
      </c>
      <c r="AN456">
        <f>((AM456/$B$7+T455*AS455/2-T456*MAX(0.1,MIN(0.3,0.3-0.09*(AR455-36.8)))/2)+AR455*(1-AS455/2))/(1-MAX(0.1,MIN(0.3,0.3-0.09*(AR455-36.8)))/2)</f>
        <v/>
      </c>
      <c r="AO456">
        <f>((AM456/$B$7+T455*AS455/2-T456*MAX(0.1,MIN(0.3,0.3-0.09*(AN456-36.8)))/2)+AR455*(1-AS455/2))/(1-MAX(0.1,MIN(0.3,0.3-0.09*(AN456-36.8)))/2)</f>
        <v/>
      </c>
      <c r="AP456">
        <f>((AM456/$B$7+T455*AS455/2-T456*MAX(0.1,MIN(0.3,0.3-0.09*(AO456-36.8)))/2)+AR455*(1-AS455/2))/(1-MAX(0.1,MIN(0.3,0.3-0.09*(AO456-36.8)))/2)</f>
        <v/>
      </c>
      <c r="AQ456">
        <f>((AM456/$B$7+T455*AS455/2-T456*MAX(0.1,MIN(0.3,0.3-0.09*(AP456-36.8)))/2)+AR455*(1-AS455/2))/(1-MAX(0.1,MIN(0.3,0.3-0.09*(AP456-36.8)))/2)</f>
        <v/>
      </c>
      <c r="AR456">
        <f>((AM456/$B$7+T455*AS455/2-T456*MAX(0.1,MIN(0.3,0.3-0.09*(AQ456-36.8)))/2)+AR455*(1-AS455/2))/(1-MAX(0.1,MIN(0.3,0.3-0.09*(AQ456-36.8)))/2)</f>
        <v/>
      </c>
      <c r="AS456">
        <f>MAX(0.1,MIN(0.3,0.3-0.09*(AR456-36.8)))</f>
        <v/>
      </c>
      <c r="AT456">
        <f>AT455+(2*AR456-1.962*AT455-1.31)/9</f>
        <v/>
      </c>
      <c r="AU456">
        <f>AU455+AG456+K456</f>
        <v/>
      </c>
      <c r="AV456">
        <f>AU456*2.67*$B$6/1.8/60</f>
        <v/>
      </c>
      <c r="AW456">
        <f>IF(AT456&gt;=$B$36,1,0)</f>
        <v/>
      </c>
      <c r="AX456">
        <f>IF(AV456&gt;=$B$21,1,0)</f>
        <v/>
      </c>
    </row>
    <row r="457">
      <c r="A457" t="n">
        <v>384</v>
      </c>
      <c r="B457">
        <f>MATCH(A457-1,$D$61:$D$68,1)</f>
        <v/>
      </c>
      <c r="C457">
        <f>INDEX($G$61:$G$68,B457)</f>
        <v/>
      </c>
      <c r="D457">
        <f>INDEX($L$61:$L$68,B457)</f>
        <v/>
      </c>
      <c r="E457">
        <f>INDEX($M$61:$M$68,B457)</f>
        <v/>
      </c>
      <c r="F457">
        <f>INDEX($N$61:$N$68,B457)</f>
        <v/>
      </c>
      <c r="G457">
        <f>INDEX($AA$61:$AA$68,B457)</f>
        <v/>
      </c>
      <c r="H457">
        <f>INDEX($X$61:$X$68,B457)</f>
        <v/>
      </c>
      <c r="I457">
        <f>INDEX($AF$61:$AF$68,B457)</f>
        <v/>
      </c>
      <c r="J457">
        <f>INDEX($AC$61:$AC$68,B457)</f>
        <v/>
      </c>
      <c r="K457">
        <f>INDEX($AD$61:$AD$68,B457)</f>
        <v/>
      </c>
      <c r="L457">
        <f>INDEX($AG$61:$AG$68,B457)</f>
        <v/>
      </c>
      <c r="M457">
        <f>INDEX($AH$61:$AH$68,B457)</f>
        <v/>
      </c>
      <c r="N457">
        <f>INDEX($AI$61:$AI$68,B457)</f>
        <v/>
      </c>
      <c r="O457">
        <f>O456*$B$26+L457*(1-$B$26)</f>
        <v/>
      </c>
      <c r="P457">
        <f>$B$7*(O457-O456)*(1-AS456)</f>
        <v/>
      </c>
      <c r="Q457">
        <f>M457+0.51274*AT456</f>
        <v/>
      </c>
      <c r="R457">
        <f>N457+0.616*AT456</f>
        <v/>
      </c>
      <c r="S457">
        <f>IF($B$13&gt;=0.6,Q457,IF($B$13&lt;=0.2,R457,R457+2.5*(Q457-R457)*($B$13-0.2)))</f>
        <v/>
      </c>
      <c r="T457">
        <f>IF(A457=1,S457,T456*$B$27+S457*(1-$B$27))</f>
        <v/>
      </c>
      <c r="U457">
        <f>0.6105*EXP(17.27*T457/(T457+237.3))</f>
        <v/>
      </c>
      <c r="V457">
        <f>($B$14*(I457*C457+IF(ABS((D457+0.1)-D457)&lt;0.000000001,4*$B$19*$B$20*(D457+273)^3,$B$19*$B$20*(((D457+0.1)+273)^4-(D457+273)^4)/((D457+0.1)-D457))*D457)+T457/H457)/($B$14*(I457+IF(ABS((D457+0.1)-D457)&lt;0.000000001,4*$B$19*$B$20*(D457+273)^3,$B$19*$B$20*(((D457+0.1)+273)^4-(D457+273)^4)/((D457+0.1)-D457)))+1/H457)</f>
        <v/>
      </c>
      <c r="W457">
        <f>($B$14*(I457*C457+IF(ABS(V457-D457)&lt;0.000000001,4*$B$19*$B$20*(D457+273)^3,$B$19*$B$20*((V457+273)^4-(D457+273)^4)/(V457-D457))*D457)+T457/H457)/($B$14*(I457+IF(ABS(V457-D457)&lt;0.000000001,4*$B$19*$B$20*(D457+273)^3,$B$19*$B$20*((V457+273)^4-(D457+273)^4)/(V457-D457)))+1/H457)</f>
        <v/>
      </c>
      <c r="X457">
        <f>($B$14*(I457*C457+IF(ABS(W457-D457)&lt;0.000000001,4*$B$19*$B$20*(D457+273)^3,$B$19*$B$20*((W457+273)^4-(D457+273)^4)/(W457-D457))*D457)+T457/H457)/($B$14*(I457+IF(ABS(W457-D457)&lt;0.000000001,4*$B$19*$B$20*(D457+273)^3,$B$19*$B$20*((W457+273)^4-(D457+273)^4)/(W457-D457)))+1/H457)</f>
        <v/>
      </c>
      <c r="Y457">
        <f>($B$14*(I457*C457+IF(ABS(X457-D457)&lt;0.000000001,4*$B$19*$B$20*(D457+273)^3,$B$19*$B$20*((X457+273)^4-(D457+273)^4)/(X457-D457))*D457)+T457/H457)/($B$14*(I457+IF(ABS(X457-D457)&lt;0.000000001,4*$B$19*$B$20*(D457+273)^3,$B$19*$B$20*((X457+273)^4-(D457+273)^4)/(X457-D457)))+1/H457)</f>
        <v/>
      </c>
      <c r="Z457">
        <f>IF(ABS(Y457-D457)&lt;0.000000001,4*$B$19*$B$20*(D457+273)^3,$B$19*$B$20*((Y457+273)^4-(D457+273)^4)/(Y457-D457))</f>
        <v/>
      </c>
      <c r="AA457">
        <f>$B$14*I457*(Y457-C457)</f>
        <v/>
      </c>
      <c r="AB457">
        <f>$B$14*Z457*(Y457-D457)</f>
        <v/>
      </c>
      <c r="AC457">
        <f>IF((U457-E457)/G457=0,0.001,(U457-E457)/G457)</f>
        <v/>
      </c>
      <c r="AD457">
        <f>F457-P457-J457-K457-AA457-AB457</f>
        <v/>
      </c>
      <c r="AE457">
        <f>AD457/AC457</f>
        <v/>
      </c>
      <c r="AF457">
        <f>IF(AD457&lt;=0,0,IF(AC457&lt;=0,$B$11,IF(AE457&gt;=1.7,$B$11,MIN(AD457/MAX(0.05,IF(AE457&gt;1,(2-AE457)^2/2,1-AE457^2/2)),$B$11))))</f>
        <v/>
      </c>
      <c r="AG457">
        <f>AG456*$B$28+AF457*(1-$B$28)</f>
        <v/>
      </c>
      <c r="AH457">
        <f>IF(AND(AD457&gt;0,AC457&lt;=0),0,AC457)</f>
        <v/>
      </c>
      <c r="AI457">
        <f>AH457/MAX(AG457,0.000001)</f>
        <v/>
      </c>
      <c r="AJ457">
        <f>MIN(IF(AI457&gt;=0.5,-AI457+SQRT(AI457^2+2),1),$B$12)</f>
        <v/>
      </c>
      <c r="AK457">
        <f>IF(AG457&lt;=0,0,AJ457*AH457)</f>
        <v/>
      </c>
      <c r="AL457">
        <f>IF(AD457&lt;=0,0,AD457)</f>
        <v/>
      </c>
      <c r="AM457">
        <f>AL457-AK457+P457</f>
        <v/>
      </c>
      <c r="AN457">
        <f>((AM457/$B$7+T456*AS456/2-T457*MAX(0.1,MIN(0.3,0.3-0.09*(AR456-36.8)))/2)+AR456*(1-AS456/2))/(1-MAX(0.1,MIN(0.3,0.3-0.09*(AR456-36.8)))/2)</f>
        <v/>
      </c>
      <c r="AO457">
        <f>((AM457/$B$7+T456*AS456/2-T457*MAX(0.1,MIN(0.3,0.3-0.09*(AN457-36.8)))/2)+AR456*(1-AS456/2))/(1-MAX(0.1,MIN(0.3,0.3-0.09*(AN457-36.8)))/2)</f>
        <v/>
      </c>
      <c r="AP457">
        <f>((AM457/$B$7+T456*AS456/2-T457*MAX(0.1,MIN(0.3,0.3-0.09*(AO457-36.8)))/2)+AR456*(1-AS456/2))/(1-MAX(0.1,MIN(0.3,0.3-0.09*(AO457-36.8)))/2)</f>
        <v/>
      </c>
      <c r="AQ457">
        <f>((AM457/$B$7+T456*AS456/2-T457*MAX(0.1,MIN(0.3,0.3-0.09*(AP457-36.8)))/2)+AR456*(1-AS456/2))/(1-MAX(0.1,MIN(0.3,0.3-0.09*(AP457-36.8)))/2)</f>
        <v/>
      </c>
      <c r="AR457">
        <f>((AM457/$B$7+T456*AS456/2-T457*MAX(0.1,MIN(0.3,0.3-0.09*(AQ457-36.8)))/2)+AR456*(1-AS456/2))/(1-MAX(0.1,MIN(0.3,0.3-0.09*(AQ457-36.8)))/2)</f>
        <v/>
      </c>
      <c r="AS457">
        <f>MAX(0.1,MIN(0.3,0.3-0.09*(AR457-36.8)))</f>
        <v/>
      </c>
      <c r="AT457">
        <f>AT456+(2*AR457-1.962*AT456-1.31)/9</f>
        <v/>
      </c>
      <c r="AU457">
        <f>AU456+AG457+K457</f>
        <v/>
      </c>
      <c r="AV457">
        <f>AU457*2.67*$B$6/1.8/60</f>
        <v/>
      </c>
      <c r="AW457">
        <f>IF(AT457&gt;=$B$36,1,0)</f>
        <v/>
      </c>
      <c r="AX457">
        <f>IF(AV457&gt;=$B$21,1,0)</f>
        <v/>
      </c>
    </row>
    <row r="458">
      <c r="A458" t="n">
        <v>385</v>
      </c>
      <c r="B458">
        <f>MATCH(A458-1,$D$61:$D$68,1)</f>
        <v/>
      </c>
      <c r="C458">
        <f>INDEX($G$61:$G$68,B458)</f>
        <v/>
      </c>
      <c r="D458">
        <f>INDEX($L$61:$L$68,B458)</f>
        <v/>
      </c>
      <c r="E458">
        <f>INDEX($M$61:$M$68,B458)</f>
        <v/>
      </c>
      <c r="F458">
        <f>INDEX($N$61:$N$68,B458)</f>
        <v/>
      </c>
      <c r="G458">
        <f>INDEX($AA$61:$AA$68,B458)</f>
        <v/>
      </c>
      <c r="H458">
        <f>INDEX($X$61:$X$68,B458)</f>
        <v/>
      </c>
      <c r="I458">
        <f>INDEX($AF$61:$AF$68,B458)</f>
        <v/>
      </c>
      <c r="J458">
        <f>INDEX($AC$61:$AC$68,B458)</f>
        <v/>
      </c>
      <c r="K458">
        <f>INDEX($AD$61:$AD$68,B458)</f>
        <v/>
      </c>
      <c r="L458">
        <f>INDEX($AG$61:$AG$68,B458)</f>
        <v/>
      </c>
      <c r="M458">
        <f>INDEX($AH$61:$AH$68,B458)</f>
        <v/>
      </c>
      <c r="N458">
        <f>INDEX($AI$61:$AI$68,B458)</f>
        <v/>
      </c>
      <c r="O458">
        <f>O457*$B$26+L458*(1-$B$26)</f>
        <v/>
      </c>
      <c r="P458">
        <f>$B$7*(O458-O457)*(1-AS457)</f>
        <v/>
      </c>
      <c r="Q458">
        <f>M458+0.51274*AT457</f>
        <v/>
      </c>
      <c r="R458">
        <f>N458+0.616*AT457</f>
        <v/>
      </c>
      <c r="S458">
        <f>IF($B$13&gt;=0.6,Q458,IF($B$13&lt;=0.2,R458,R458+2.5*(Q458-R458)*($B$13-0.2)))</f>
        <v/>
      </c>
      <c r="T458">
        <f>IF(A458=1,S458,T457*$B$27+S458*(1-$B$27))</f>
        <v/>
      </c>
      <c r="U458">
        <f>0.6105*EXP(17.27*T458/(T458+237.3))</f>
        <v/>
      </c>
      <c r="V458">
        <f>($B$14*(I458*C458+IF(ABS((D458+0.1)-D458)&lt;0.000000001,4*$B$19*$B$20*(D458+273)^3,$B$19*$B$20*(((D458+0.1)+273)^4-(D458+273)^4)/((D458+0.1)-D458))*D458)+T458/H458)/($B$14*(I458+IF(ABS((D458+0.1)-D458)&lt;0.000000001,4*$B$19*$B$20*(D458+273)^3,$B$19*$B$20*(((D458+0.1)+273)^4-(D458+273)^4)/((D458+0.1)-D458)))+1/H458)</f>
        <v/>
      </c>
      <c r="W458">
        <f>($B$14*(I458*C458+IF(ABS(V458-D458)&lt;0.000000001,4*$B$19*$B$20*(D458+273)^3,$B$19*$B$20*((V458+273)^4-(D458+273)^4)/(V458-D458))*D458)+T458/H458)/($B$14*(I458+IF(ABS(V458-D458)&lt;0.000000001,4*$B$19*$B$20*(D458+273)^3,$B$19*$B$20*((V458+273)^4-(D458+273)^4)/(V458-D458)))+1/H458)</f>
        <v/>
      </c>
      <c r="X458">
        <f>($B$14*(I458*C458+IF(ABS(W458-D458)&lt;0.000000001,4*$B$19*$B$20*(D458+273)^3,$B$19*$B$20*((W458+273)^4-(D458+273)^4)/(W458-D458))*D458)+T458/H458)/($B$14*(I458+IF(ABS(W458-D458)&lt;0.000000001,4*$B$19*$B$20*(D458+273)^3,$B$19*$B$20*((W458+273)^4-(D458+273)^4)/(W458-D458)))+1/H458)</f>
        <v/>
      </c>
      <c r="Y458">
        <f>($B$14*(I458*C458+IF(ABS(X458-D458)&lt;0.000000001,4*$B$19*$B$20*(D458+273)^3,$B$19*$B$20*((X458+273)^4-(D458+273)^4)/(X458-D458))*D458)+T458/H458)/($B$14*(I458+IF(ABS(X458-D458)&lt;0.000000001,4*$B$19*$B$20*(D458+273)^3,$B$19*$B$20*((X458+273)^4-(D458+273)^4)/(X458-D458)))+1/H458)</f>
        <v/>
      </c>
      <c r="Z458">
        <f>IF(ABS(Y458-D458)&lt;0.000000001,4*$B$19*$B$20*(D458+273)^3,$B$19*$B$20*((Y458+273)^4-(D458+273)^4)/(Y458-D458))</f>
        <v/>
      </c>
      <c r="AA458">
        <f>$B$14*I458*(Y458-C458)</f>
        <v/>
      </c>
      <c r="AB458">
        <f>$B$14*Z458*(Y458-D458)</f>
        <v/>
      </c>
      <c r="AC458">
        <f>IF((U458-E458)/G458=0,0.001,(U458-E458)/G458)</f>
        <v/>
      </c>
      <c r="AD458">
        <f>F458-P458-J458-K458-AA458-AB458</f>
        <v/>
      </c>
      <c r="AE458">
        <f>AD458/AC458</f>
        <v/>
      </c>
      <c r="AF458">
        <f>IF(AD458&lt;=0,0,IF(AC458&lt;=0,$B$11,IF(AE458&gt;=1.7,$B$11,MIN(AD458/MAX(0.05,IF(AE458&gt;1,(2-AE458)^2/2,1-AE458^2/2)),$B$11))))</f>
        <v/>
      </c>
      <c r="AG458">
        <f>AG457*$B$28+AF458*(1-$B$28)</f>
        <v/>
      </c>
      <c r="AH458">
        <f>IF(AND(AD458&gt;0,AC458&lt;=0),0,AC458)</f>
        <v/>
      </c>
      <c r="AI458">
        <f>AH458/MAX(AG458,0.000001)</f>
        <v/>
      </c>
      <c r="AJ458">
        <f>MIN(IF(AI458&gt;=0.5,-AI458+SQRT(AI458^2+2),1),$B$12)</f>
        <v/>
      </c>
      <c r="AK458">
        <f>IF(AG458&lt;=0,0,AJ458*AH458)</f>
        <v/>
      </c>
      <c r="AL458">
        <f>IF(AD458&lt;=0,0,AD458)</f>
        <v/>
      </c>
      <c r="AM458">
        <f>AL458-AK458+P458</f>
        <v/>
      </c>
      <c r="AN458">
        <f>((AM458/$B$7+T457*AS457/2-T458*MAX(0.1,MIN(0.3,0.3-0.09*(AR457-36.8)))/2)+AR457*(1-AS457/2))/(1-MAX(0.1,MIN(0.3,0.3-0.09*(AR457-36.8)))/2)</f>
        <v/>
      </c>
      <c r="AO458">
        <f>((AM458/$B$7+T457*AS457/2-T458*MAX(0.1,MIN(0.3,0.3-0.09*(AN458-36.8)))/2)+AR457*(1-AS457/2))/(1-MAX(0.1,MIN(0.3,0.3-0.09*(AN458-36.8)))/2)</f>
        <v/>
      </c>
      <c r="AP458">
        <f>((AM458/$B$7+T457*AS457/2-T458*MAX(0.1,MIN(0.3,0.3-0.09*(AO458-36.8)))/2)+AR457*(1-AS457/2))/(1-MAX(0.1,MIN(0.3,0.3-0.09*(AO458-36.8)))/2)</f>
        <v/>
      </c>
      <c r="AQ458">
        <f>((AM458/$B$7+T457*AS457/2-T458*MAX(0.1,MIN(0.3,0.3-0.09*(AP458-36.8)))/2)+AR457*(1-AS457/2))/(1-MAX(0.1,MIN(0.3,0.3-0.09*(AP458-36.8)))/2)</f>
        <v/>
      </c>
      <c r="AR458">
        <f>((AM458/$B$7+T457*AS457/2-T458*MAX(0.1,MIN(0.3,0.3-0.09*(AQ458-36.8)))/2)+AR457*(1-AS457/2))/(1-MAX(0.1,MIN(0.3,0.3-0.09*(AQ458-36.8)))/2)</f>
        <v/>
      </c>
      <c r="AS458">
        <f>MAX(0.1,MIN(0.3,0.3-0.09*(AR458-36.8)))</f>
        <v/>
      </c>
      <c r="AT458">
        <f>AT457+(2*AR458-1.962*AT457-1.31)/9</f>
        <v/>
      </c>
      <c r="AU458">
        <f>AU457+AG458+K458</f>
        <v/>
      </c>
      <c r="AV458">
        <f>AU458*2.67*$B$6/1.8/60</f>
        <v/>
      </c>
      <c r="AW458">
        <f>IF(AT458&gt;=$B$36,1,0)</f>
        <v/>
      </c>
      <c r="AX458">
        <f>IF(AV458&gt;=$B$21,1,0)</f>
        <v/>
      </c>
    </row>
    <row r="459">
      <c r="A459" t="n">
        <v>386</v>
      </c>
      <c r="B459">
        <f>MATCH(A459-1,$D$61:$D$68,1)</f>
        <v/>
      </c>
      <c r="C459">
        <f>INDEX($G$61:$G$68,B459)</f>
        <v/>
      </c>
      <c r="D459">
        <f>INDEX($L$61:$L$68,B459)</f>
        <v/>
      </c>
      <c r="E459">
        <f>INDEX($M$61:$M$68,B459)</f>
        <v/>
      </c>
      <c r="F459">
        <f>INDEX($N$61:$N$68,B459)</f>
        <v/>
      </c>
      <c r="G459">
        <f>INDEX($AA$61:$AA$68,B459)</f>
        <v/>
      </c>
      <c r="H459">
        <f>INDEX($X$61:$X$68,B459)</f>
        <v/>
      </c>
      <c r="I459">
        <f>INDEX($AF$61:$AF$68,B459)</f>
        <v/>
      </c>
      <c r="J459">
        <f>INDEX($AC$61:$AC$68,B459)</f>
        <v/>
      </c>
      <c r="K459">
        <f>INDEX($AD$61:$AD$68,B459)</f>
        <v/>
      </c>
      <c r="L459">
        <f>INDEX($AG$61:$AG$68,B459)</f>
        <v/>
      </c>
      <c r="M459">
        <f>INDEX($AH$61:$AH$68,B459)</f>
        <v/>
      </c>
      <c r="N459">
        <f>INDEX($AI$61:$AI$68,B459)</f>
        <v/>
      </c>
      <c r="O459">
        <f>O458*$B$26+L459*(1-$B$26)</f>
        <v/>
      </c>
      <c r="P459">
        <f>$B$7*(O459-O458)*(1-AS458)</f>
        <v/>
      </c>
      <c r="Q459">
        <f>M459+0.51274*AT458</f>
        <v/>
      </c>
      <c r="R459">
        <f>N459+0.616*AT458</f>
        <v/>
      </c>
      <c r="S459">
        <f>IF($B$13&gt;=0.6,Q459,IF($B$13&lt;=0.2,R459,R459+2.5*(Q459-R459)*($B$13-0.2)))</f>
        <v/>
      </c>
      <c r="T459">
        <f>IF(A459=1,S459,T458*$B$27+S459*(1-$B$27))</f>
        <v/>
      </c>
      <c r="U459">
        <f>0.6105*EXP(17.27*T459/(T459+237.3))</f>
        <v/>
      </c>
      <c r="V459">
        <f>($B$14*(I459*C459+IF(ABS((D459+0.1)-D459)&lt;0.000000001,4*$B$19*$B$20*(D459+273)^3,$B$19*$B$20*(((D459+0.1)+273)^4-(D459+273)^4)/((D459+0.1)-D459))*D459)+T459/H459)/($B$14*(I459+IF(ABS((D459+0.1)-D459)&lt;0.000000001,4*$B$19*$B$20*(D459+273)^3,$B$19*$B$20*(((D459+0.1)+273)^4-(D459+273)^4)/((D459+0.1)-D459)))+1/H459)</f>
        <v/>
      </c>
      <c r="W459">
        <f>($B$14*(I459*C459+IF(ABS(V459-D459)&lt;0.000000001,4*$B$19*$B$20*(D459+273)^3,$B$19*$B$20*((V459+273)^4-(D459+273)^4)/(V459-D459))*D459)+T459/H459)/($B$14*(I459+IF(ABS(V459-D459)&lt;0.000000001,4*$B$19*$B$20*(D459+273)^3,$B$19*$B$20*((V459+273)^4-(D459+273)^4)/(V459-D459)))+1/H459)</f>
        <v/>
      </c>
      <c r="X459">
        <f>($B$14*(I459*C459+IF(ABS(W459-D459)&lt;0.000000001,4*$B$19*$B$20*(D459+273)^3,$B$19*$B$20*((W459+273)^4-(D459+273)^4)/(W459-D459))*D459)+T459/H459)/($B$14*(I459+IF(ABS(W459-D459)&lt;0.000000001,4*$B$19*$B$20*(D459+273)^3,$B$19*$B$20*((W459+273)^4-(D459+273)^4)/(W459-D459)))+1/H459)</f>
        <v/>
      </c>
      <c r="Y459">
        <f>($B$14*(I459*C459+IF(ABS(X459-D459)&lt;0.000000001,4*$B$19*$B$20*(D459+273)^3,$B$19*$B$20*((X459+273)^4-(D459+273)^4)/(X459-D459))*D459)+T459/H459)/($B$14*(I459+IF(ABS(X459-D459)&lt;0.000000001,4*$B$19*$B$20*(D459+273)^3,$B$19*$B$20*((X459+273)^4-(D459+273)^4)/(X459-D459)))+1/H459)</f>
        <v/>
      </c>
      <c r="Z459">
        <f>IF(ABS(Y459-D459)&lt;0.000000001,4*$B$19*$B$20*(D459+273)^3,$B$19*$B$20*((Y459+273)^4-(D459+273)^4)/(Y459-D459))</f>
        <v/>
      </c>
      <c r="AA459">
        <f>$B$14*I459*(Y459-C459)</f>
        <v/>
      </c>
      <c r="AB459">
        <f>$B$14*Z459*(Y459-D459)</f>
        <v/>
      </c>
      <c r="AC459">
        <f>IF((U459-E459)/G459=0,0.001,(U459-E459)/G459)</f>
        <v/>
      </c>
      <c r="AD459">
        <f>F459-P459-J459-K459-AA459-AB459</f>
        <v/>
      </c>
      <c r="AE459">
        <f>AD459/AC459</f>
        <v/>
      </c>
      <c r="AF459">
        <f>IF(AD459&lt;=0,0,IF(AC459&lt;=0,$B$11,IF(AE459&gt;=1.7,$B$11,MIN(AD459/MAX(0.05,IF(AE459&gt;1,(2-AE459)^2/2,1-AE459^2/2)),$B$11))))</f>
        <v/>
      </c>
      <c r="AG459">
        <f>AG458*$B$28+AF459*(1-$B$28)</f>
        <v/>
      </c>
      <c r="AH459">
        <f>IF(AND(AD459&gt;0,AC459&lt;=0),0,AC459)</f>
        <v/>
      </c>
      <c r="AI459">
        <f>AH459/MAX(AG459,0.000001)</f>
        <v/>
      </c>
      <c r="AJ459">
        <f>MIN(IF(AI459&gt;=0.5,-AI459+SQRT(AI459^2+2),1),$B$12)</f>
        <v/>
      </c>
      <c r="AK459">
        <f>IF(AG459&lt;=0,0,AJ459*AH459)</f>
        <v/>
      </c>
      <c r="AL459">
        <f>IF(AD459&lt;=0,0,AD459)</f>
        <v/>
      </c>
      <c r="AM459">
        <f>AL459-AK459+P459</f>
        <v/>
      </c>
      <c r="AN459">
        <f>((AM459/$B$7+T458*AS458/2-T459*MAX(0.1,MIN(0.3,0.3-0.09*(AR458-36.8)))/2)+AR458*(1-AS458/2))/(1-MAX(0.1,MIN(0.3,0.3-0.09*(AR458-36.8)))/2)</f>
        <v/>
      </c>
      <c r="AO459">
        <f>((AM459/$B$7+T458*AS458/2-T459*MAX(0.1,MIN(0.3,0.3-0.09*(AN459-36.8)))/2)+AR458*(1-AS458/2))/(1-MAX(0.1,MIN(0.3,0.3-0.09*(AN459-36.8)))/2)</f>
        <v/>
      </c>
      <c r="AP459">
        <f>((AM459/$B$7+T458*AS458/2-T459*MAX(0.1,MIN(0.3,0.3-0.09*(AO459-36.8)))/2)+AR458*(1-AS458/2))/(1-MAX(0.1,MIN(0.3,0.3-0.09*(AO459-36.8)))/2)</f>
        <v/>
      </c>
      <c r="AQ459">
        <f>((AM459/$B$7+T458*AS458/2-T459*MAX(0.1,MIN(0.3,0.3-0.09*(AP459-36.8)))/2)+AR458*(1-AS458/2))/(1-MAX(0.1,MIN(0.3,0.3-0.09*(AP459-36.8)))/2)</f>
        <v/>
      </c>
      <c r="AR459">
        <f>((AM459/$B$7+T458*AS458/2-T459*MAX(0.1,MIN(0.3,0.3-0.09*(AQ459-36.8)))/2)+AR458*(1-AS458/2))/(1-MAX(0.1,MIN(0.3,0.3-0.09*(AQ459-36.8)))/2)</f>
        <v/>
      </c>
      <c r="AS459">
        <f>MAX(0.1,MIN(0.3,0.3-0.09*(AR459-36.8)))</f>
        <v/>
      </c>
      <c r="AT459">
        <f>AT458+(2*AR459-1.962*AT458-1.31)/9</f>
        <v/>
      </c>
      <c r="AU459">
        <f>AU458+AG459+K459</f>
        <v/>
      </c>
      <c r="AV459">
        <f>AU459*2.67*$B$6/1.8/60</f>
        <v/>
      </c>
      <c r="AW459">
        <f>IF(AT459&gt;=$B$36,1,0)</f>
        <v/>
      </c>
      <c r="AX459">
        <f>IF(AV459&gt;=$B$21,1,0)</f>
        <v/>
      </c>
    </row>
    <row r="460">
      <c r="A460" t="n">
        <v>387</v>
      </c>
      <c r="B460">
        <f>MATCH(A460-1,$D$61:$D$68,1)</f>
        <v/>
      </c>
      <c r="C460">
        <f>INDEX($G$61:$G$68,B460)</f>
        <v/>
      </c>
      <c r="D460">
        <f>INDEX($L$61:$L$68,B460)</f>
        <v/>
      </c>
      <c r="E460">
        <f>INDEX($M$61:$M$68,B460)</f>
        <v/>
      </c>
      <c r="F460">
        <f>INDEX($N$61:$N$68,B460)</f>
        <v/>
      </c>
      <c r="G460">
        <f>INDEX($AA$61:$AA$68,B460)</f>
        <v/>
      </c>
      <c r="H460">
        <f>INDEX($X$61:$X$68,B460)</f>
        <v/>
      </c>
      <c r="I460">
        <f>INDEX($AF$61:$AF$68,B460)</f>
        <v/>
      </c>
      <c r="J460">
        <f>INDEX($AC$61:$AC$68,B460)</f>
        <v/>
      </c>
      <c r="K460">
        <f>INDEX($AD$61:$AD$68,B460)</f>
        <v/>
      </c>
      <c r="L460">
        <f>INDEX($AG$61:$AG$68,B460)</f>
        <v/>
      </c>
      <c r="M460">
        <f>INDEX($AH$61:$AH$68,B460)</f>
        <v/>
      </c>
      <c r="N460">
        <f>INDEX($AI$61:$AI$68,B460)</f>
        <v/>
      </c>
      <c r="O460">
        <f>O459*$B$26+L460*(1-$B$26)</f>
        <v/>
      </c>
      <c r="P460">
        <f>$B$7*(O460-O459)*(1-AS459)</f>
        <v/>
      </c>
      <c r="Q460">
        <f>M460+0.51274*AT459</f>
        <v/>
      </c>
      <c r="R460">
        <f>N460+0.616*AT459</f>
        <v/>
      </c>
      <c r="S460">
        <f>IF($B$13&gt;=0.6,Q460,IF($B$13&lt;=0.2,R460,R460+2.5*(Q460-R460)*($B$13-0.2)))</f>
        <v/>
      </c>
      <c r="T460">
        <f>IF(A460=1,S460,T459*$B$27+S460*(1-$B$27))</f>
        <v/>
      </c>
      <c r="U460">
        <f>0.6105*EXP(17.27*T460/(T460+237.3))</f>
        <v/>
      </c>
      <c r="V460">
        <f>($B$14*(I460*C460+IF(ABS((D460+0.1)-D460)&lt;0.000000001,4*$B$19*$B$20*(D460+273)^3,$B$19*$B$20*(((D460+0.1)+273)^4-(D460+273)^4)/((D460+0.1)-D460))*D460)+T460/H460)/($B$14*(I460+IF(ABS((D460+0.1)-D460)&lt;0.000000001,4*$B$19*$B$20*(D460+273)^3,$B$19*$B$20*(((D460+0.1)+273)^4-(D460+273)^4)/((D460+0.1)-D460)))+1/H460)</f>
        <v/>
      </c>
      <c r="W460">
        <f>($B$14*(I460*C460+IF(ABS(V460-D460)&lt;0.000000001,4*$B$19*$B$20*(D460+273)^3,$B$19*$B$20*((V460+273)^4-(D460+273)^4)/(V460-D460))*D460)+T460/H460)/($B$14*(I460+IF(ABS(V460-D460)&lt;0.000000001,4*$B$19*$B$20*(D460+273)^3,$B$19*$B$20*((V460+273)^4-(D460+273)^4)/(V460-D460)))+1/H460)</f>
        <v/>
      </c>
      <c r="X460">
        <f>($B$14*(I460*C460+IF(ABS(W460-D460)&lt;0.000000001,4*$B$19*$B$20*(D460+273)^3,$B$19*$B$20*((W460+273)^4-(D460+273)^4)/(W460-D460))*D460)+T460/H460)/($B$14*(I460+IF(ABS(W460-D460)&lt;0.000000001,4*$B$19*$B$20*(D460+273)^3,$B$19*$B$20*((W460+273)^4-(D460+273)^4)/(W460-D460)))+1/H460)</f>
        <v/>
      </c>
      <c r="Y460">
        <f>($B$14*(I460*C460+IF(ABS(X460-D460)&lt;0.000000001,4*$B$19*$B$20*(D460+273)^3,$B$19*$B$20*((X460+273)^4-(D460+273)^4)/(X460-D460))*D460)+T460/H460)/($B$14*(I460+IF(ABS(X460-D460)&lt;0.000000001,4*$B$19*$B$20*(D460+273)^3,$B$19*$B$20*((X460+273)^4-(D460+273)^4)/(X460-D460)))+1/H460)</f>
        <v/>
      </c>
      <c r="Z460">
        <f>IF(ABS(Y460-D460)&lt;0.000000001,4*$B$19*$B$20*(D460+273)^3,$B$19*$B$20*((Y460+273)^4-(D460+273)^4)/(Y460-D460))</f>
        <v/>
      </c>
      <c r="AA460">
        <f>$B$14*I460*(Y460-C460)</f>
        <v/>
      </c>
      <c r="AB460">
        <f>$B$14*Z460*(Y460-D460)</f>
        <v/>
      </c>
      <c r="AC460">
        <f>IF((U460-E460)/G460=0,0.001,(U460-E460)/G460)</f>
        <v/>
      </c>
      <c r="AD460">
        <f>F460-P460-J460-K460-AA460-AB460</f>
        <v/>
      </c>
      <c r="AE460">
        <f>AD460/AC460</f>
        <v/>
      </c>
      <c r="AF460">
        <f>IF(AD460&lt;=0,0,IF(AC460&lt;=0,$B$11,IF(AE460&gt;=1.7,$B$11,MIN(AD460/MAX(0.05,IF(AE460&gt;1,(2-AE460)^2/2,1-AE460^2/2)),$B$11))))</f>
        <v/>
      </c>
      <c r="AG460">
        <f>AG459*$B$28+AF460*(1-$B$28)</f>
        <v/>
      </c>
      <c r="AH460">
        <f>IF(AND(AD460&gt;0,AC460&lt;=0),0,AC460)</f>
        <v/>
      </c>
      <c r="AI460">
        <f>AH460/MAX(AG460,0.000001)</f>
        <v/>
      </c>
      <c r="AJ460">
        <f>MIN(IF(AI460&gt;=0.5,-AI460+SQRT(AI460^2+2),1),$B$12)</f>
        <v/>
      </c>
      <c r="AK460">
        <f>IF(AG460&lt;=0,0,AJ460*AH460)</f>
        <v/>
      </c>
      <c r="AL460">
        <f>IF(AD460&lt;=0,0,AD460)</f>
        <v/>
      </c>
      <c r="AM460">
        <f>AL460-AK460+P460</f>
        <v/>
      </c>
      <c r="AN460">
        <f>((AM460/$B$7+T459*AS459/2-T460*MAX(0.1,MIN(0.3,0.3-0.09*(AR459-36.8)))/2)+AR459*(1-AS459/2))/(1-MAX(0.1,MIN(0.3,0.3-0.09*(AR459-36.8)))/2)</f>
        <v/>
      </c>
      <c r="AO460">
        <f>((AM460/$B$7+T459*AS459/2-T460*MAX(0.1,MIN(0.3,0.3-0.09*(AN460-36.8)))/2)+AR459*(1-AS459/2))/(1-MAX(0.1,MIN(0.3,0.3-0.09*(AN460-36.8)))/2)</f>
        <v/>
      </c>
      <c r="AP460">
        <f>((AM460/$B$7+T459*AS459/2-T460*MAX(0.1,MIN(0.3,0.3-0.09*(AO460-36.8)))/2)+AR459*(1-AS459/2))/(1-MAX(0.1,MIN(0.3,0.3-0.09*(AO460-36.8)))/2)</f>
        <v/>
      </c>
      <c r="AQ460">
        <f>((AM460/$B$7+T459*AS459/2-T460*MAX(0.1,MIN(0.3,0.3-0.09*(AP460-36.8)))/2)+AR459*(1-AS459/2))/(1-MAX(0.1,MIN(0.3,0.3-0.09*(AP460-36.8)))/2)</f>
        <v/>
      </c>
      <c r="AR460">
        <f>((AM460/$B$7+T459*AS459/2-T460*MAX(0.1,MIN(0.3,0.3-0.09*(AQ460-36.8)))/2)+AR459*(1-AS459/2))/(1-MAX(0.1,MIN(0.3,0.3-0.09*(AQ460-36.8)))/2)</f>
        <v/>
      </c>
      <c r="AS460">
        <f>MAX(0.1,MIN(0.3,0.3-0.09*(AR460-36.8)))</f>
        <v/>
      </c>
      <c r="AT460">
        <f>AT459+(2*AR460-1.962*AT459-1.31)/9</f>
        <v/>
      </c>
      <c r="AU460">
        <f>AU459+AG460+K460</f>
        <v/>
      </c>
      <c r="AV460">
        <f>AU460*2.67*$B$6/1.8/60</f>
        <v/>
      </c>
      <c r="AW460">
        <f>IF(AT460&gt;=$B$36,1,0)</f>
        <v/>
      </c>
      <c r="AX460">
        <f>IF(AV460&gt;=$B$21,1,0)</f>
        <v/>
      </c>
    </row>
    <row r="461">
      <c r="A461" t="n">
        <v>388</v>
      </c>
      <c r="B461">
        <f>MATCH(A461-1,$D$61:$D$68,1)</f>
        <v/>
      </c>
      <c r="C461">
        <f>INDEX($G$61:$G$68,B461)</f>
        <v/>
      </c>
      <c r="D461">
        <f>INDEX($L$61:$L$68,B461)</f>
        <v/>
      </c>
      <c r="E461">
        <f>INDEX($M$61:$M$68,B461)</f>
        <v/>
      </c>
      <c r="F461">
        <f>INDEX($N$61:$N$68,B461)</f>
        <v/>
      </c>
      <c r="G461">
        <f>INDEX($AA$61:$AA$68,B461)</f>
        <v/>
      </c>
      <c r="H461">
        <f>INDEX($X$61:$X$68,B461)</f>
        <v/>
      </c>
      <c r="I461">
        <f>INDEX($AF$61:$AF$68,B461)</f>
        <v/>
      </c>
      <c r="J461">
        <f>INDEX($AC$61:$AC$68,B461)</f>
        <v/>
      </c>
      <c r="K461">
        <f>INDEX($AD$61:$AD$68,B461)</f>
        <v/>
      </c>
      <c r="L461">
        <f>INDEX($AG$61:$AG$68,B461)</f>
        <v/>
      </c>
      <c r="M461">
        <f>INDEX($AH$61:$AH$68,B461)</f>
        <v/>
      </c>
      <c r="N461">
        <f>INDEX($AI$61:$AI$68,B461)</f>
        <v/>
      </c>
      <c r="O461">
        <f>O460*$B$26+L461*(1-$B$26)</f>
        <v/>
      </c>
      <c r="P461">
        <f>$B$7*(O461-O460)*(1-AS460)</f>
        <v/>
      </c>
      <c r="Q461">
        <f>M461+0.51274*AT460</f>
        <v/>
      </c>
      <c r="R461">
        <f>N461+0.616*AT460</f>
        <v/>
      </c>
      <c r="S461">
        <f>IF($B$13&gt;=0.6,Q461,IF($B$13&lt;=0.2,R461,R461+2.5*(Q461-R461)*($B$13-0.2)))</f>
        <v/>
      </c>
      <c r="T461">
        <f>IF(A461=1,S461,T460*$B$27+S461*(1-$B$27))</f>
        <v/>
      </c>
      <c r="U461">
        <f>0.6105*EXP(17.27*T461/(T461+237.3))</f>
        <v/>
      </c>
      <c r="V461">
        <f>($B$14*(I461*C461+IF(ABS((D461+0.1)-D461)&lt;0.000000001,4*$B$19*$B$20*(D461+273)^3,$B$19*$B$20*(((D461+0.1)+273)^4-(D461+273)^4)/((D461+0.1)-D461))*D461)+T461/H461)/($B$14*(I461+IF(ABS((D461+0.1)-D461)&lt;0.000000001,4*$B$19*$B$20*(D461+273)^3,$B$19*$B$20*(((D461+0.1)+273)^4-(D461+273)^4)/((D461+0.1)-D461)))+1/H461)</f>
        <v/>
      </c>
      <c r="W461">
        <f>($B$14*(I461*C461+IF(ABS(V461-D461)&lt;0.000000001,4*$B$19*$B$20*(D461+273)^3,$B$19*$B$20*((V461+273)^4-(D461+273)^4)/(V461-D461))*D461)+T461/H461)/($B$14*(I461+IF(ABS(V461-D461)&lt;0.000000001,4*$B$19*$B$20*(D461+273)^3,$B$19*$B$20*((V461+273)^4-(D461+273)^4)/(V461-D461)))+1/H461)</f>
        <v/>
      </c>
      <c r="X461">
        <f>($B$14*(I461*C461+IF(ABS(W461-D461)&lt;0.000000001,4*$B$19*$B$20*(D461+273)^3,$B$19*$B$20*((W461+273)^4-(D461+273)^4)/(W461-D461))*D461)+T461/H461)/($B$14*(I461+IF(ABS(W461-D461)&lt;0.000000001,4*$B$19*$B$20*(D461+273)^3,$B$19*$B$20*((W461+273)^4-(D461+273)^4)/(W461-D461)))+1/H461)</f>
        <v/>
      </c>
      <c r="Y461">
        <f>($B$14*(I461*C461+IF(ABS(X461-D461)&lt;0.000000001,4*$B$19*$B$20*(D461+273)^3,$B$19*$B$20*((X461+273)^4-(D461+273)^4)/(X461-D461))*D461)+T461/H461)/($B$14*(I461+IF(ABS(X461-D461)&lt;0.000000001,4*$B$19*$B$20*(D461+273)^3,$B$19*$B$20*((X461+273)^4-(D461+273)^4)/(X461-D461)))+1/H461)</f>
        <v/>
      </c>
      <c r="Z461">
        <f>IF(ABS(Y461-D461)&lt;0.000000001,4*$B$19*$B$20*(D461+273)^3,$B$19*$B$20*((Y461+273)^4-(D461+273)^4)/(Y461-D461))</f>
        <v/>
      </c>
      <c r="AA461">
        <f>$B$14*I461*(Y461-C461)</f>
        <v/>
      </c>
      <c r="AB461">
        <f>$B$14*Z461*(Y461-D461)</f>
        <v/>
      </c>
      <c r="AC461">
        <f>IF((U461-E461)/G461=0,0.001,(U461-E461)/G461)</f>
        <v/>
      </c>
      <c r="AD461">
        <f>F461-P461-J461-K461-AA461-AB461</f>
        <v/>
      </c>
      <c r="AE461">
        <f>AD461/AC461</f>
        <v/>
      </c>
      <c r="AF461">
        <f>IF(AD461&lt;=0,0,IF(AC461&lt;=0,$B$11,IF(AE461&gt;=1.7,$B$11,MIN(AD461/MAX(0.05,IF(AE461&gt;1,(2-AE461)^2/2,1-AE461^2/2)),$B$11))))</f>
        <v/>
      </c>
      <c r="AG461">
        <f>AG460*$B$28+AF461*(1-$B$28)</f>
        <v/>
      </c>
      <c r="AH461">
        <f>IF(AND(AD461&gt;0,AC461&lt;=0),0,AC461)</f>
        <v/>
      </c>
      <c r="AI461">
        <f>AH461/MAX(AG461,0.000001)</f>
        <v/>
      </c>
      <c r="AJ461">
        <f>MIN(IF(AI461&gt;=0.5,-AI461+SQRT(AI461^2+2),1),$B$12)</f>
        <v/>
      </c>
      <c r="AK461">
        <f>IF(AG461&lt;=0,0,AJ461*AH461)</f>
        <v/>
      </c>
      <c r="AL461">
        <f>IF(AD461&lt;=0,0,AD461)</f>
        <v/>
      </c>
      <c r="AM461">
        <f>AL461-AK461+P461</f>
        <v/>
      </c>
      <c r="AN461">
        <f>((AM461/$B$7+T460*AS460/2-T461*MAX(0.1,MIN(0.3,0.3-0.09*(AR460-36.8)))/2)+AR460*(1-AS460/2))/(1-MAX(0.1,MIN(0.3,0.3-0.09*(AR460-36.8)))/2)</f>
        <v/>
      </c>
      <c r="AO461">
        <f>((AM461/$B$7+T460*AS460/2-T461*MAX(0.1,MIN(0.3,0.3-0.09*(AN461-36.8)))/2)+AR460*(1-AS460/2))/(1-MAX(0.1,MIN(0.3,0.3-0.09*(AN461-36.8)))/2)</f>
        <v/>
      </c>
      <c r="AP461">
        <f>((AM461/$B$7+T460*AS460/2-T461*MAX(0.1,MIN(0.3,0.3-0.09*(AO461-36.8)))/2)+AR460*(1-AS460/2))/(1-MAX(0.1,MIN(0.3,0.3-0.09*(AO461-36.8)))/2)</f>
        <v/>
      </c>
      <c r="AQ461">
        <f>((AM461/$B$7+T460*AS460/2-T461*MAX(0.1,MIN(0.3,0.3-0.09*(AP461-36.8)))/2)+AR460*(1-AS460/2))/(1-MAX(0.1,MIN(0.3,0.3-0.09*(AP461-36.8)))/2)</f>
        <v/>
      </c>
      <c r="AR461">
        <f>((AM461/$B$7+T460*AS460/2-T461*MAX(0.1,MIN(0.3,0.3-0.09*(AQ461-36.8)))/2)+AR460*(1-AS460/2))/(1-MAX(0.1,MIN(0.3,0.3-0.09*(AQ461-36.8)))/2)</f>
        <v/>
      </c>
      <c r="AS461">
        <f>MAX(0.1,MIN(0.3,0.3-0.09*(AR461-36.8)))</f>
        <v/>
      </c>
      <c r="AT461">
        <f>AT460+(2*AR461-1.962*AT460-1.31)/9</f>
        <v/>
      </c>
      <c r="AU461">
        <f>AU460+AG461+K461</f>
        <v/>
      </c>
      <c r="AV461">
        <f>AU461*2.67*$B$6/1.8/60</f>
        <v/>
      </c>
      <c r="AW461">
        <f>IF(AT461&gt;=$B$36,1,0)</f>
        <v/>
      </c>
      <c r="AX461">
        <f>IF(AV461&gt;=$B$21,1,0)</f>
        <v/>
      </c>
    </row>
    <row r="462">
      <c r="A462" t="n">
        <v>389</v>
      </c>
      <c r="B462">
        <f>MATCH(A462-1,$D$61:$D$68,1)</f>
        <v/>
      </c>
      <c r="C462">
        <f>INDEX($G$61:$G$68,B462)</f>
        <v/>
      </c>
      <c r="D462">
        <f>INDEX($L$61:$L$68,B462)</f>
        <v/>
      </c>
      <c r="E462">
        <f>INDEX($M$61:$M$68,B462)</f>
        <v/>
      </c>
      <c r="F462">
        <f>INDEX($N$61:$N$68,B462)</f>
        <v/>
      </c>
      <c r="G462">
        <f>INDEX($AA$61:$AA$68,B462)</f>
        <v/>
      </c>
      <c r="H462">
        <f>INDEX($X$61:$X$68,B462)</f>
        <v/>
      </c>
      <c r="I462">
        <f>INDEX($AF$61:$AF$68,B462)</f>
        <v/>
      </c>
      <c r="J462">
        <f>INDEX($AC$61:$AC$68,B462)</f>
        <v/>
      </c>
      <c r="K462">
        <f>INDEX($AD$61:$AD$68,B462)</f>
        <v/>
      </c>
      <c r="L462">
        <f>INDEX($AG$61:$AG$68,B462)</f>
        <v/>
      </c>
      <c r="M462">
        <f>INDEX($AH$61:$AH$68,B462)</f>
        <v/>
      </c>
      <c r="N462">
        <f>INDEX($AI$61:$AI$68,B462)</f>
        <v/>
      </c>
      <c r="O462">
        <f>O461*$B$26+L462*(1-$B$26)</f>
        <v/>
      </c>
      <c r="P462">
        <f>$B$7*(O462-O461)*(1-AS461)</f>
        <v/>
      </c>
      <c r="Q462">
        <f>M462+0.51274*AT461</f>
        <v/>
      </c>
      <c r="R462">
        <f>N462+0.616*AT461</f>
        <v/>
      </c>
      <c r="S462">
        <f>IF($B$13&gt;=0.6,Q462,IF($B$13&lt;=0.2,R462,R462+2.5*(Q462-R462)*($B$13-0.2)))</f>
        <v/>
      </c>
      <c r="T462">
        <f>IF(A462=1,S462,T461*$B$27+S462*(1-$B$27))</f>
        <v/>
      </c>
      <c r="U462">
        <f>0.6105*EXP(17.27*T462/(T462+237.3))</f>
        <v/>
      </c>
      <c r="V462">
        <f>($B$14*(I462*C462+IF(ABS((D462+0.1)-D462)&lt;0.000000001,4*$B$19*$B$20*(D462+273)^3,$B$19*$B$20*(((D462+0.1)+273)^4-(D462+273)^4)/((D462+0.1)-D462))*D462)+T462/H462)/($B$14*(I462+IF(ABS((D462+0.1)-D462)&lt;0.000000001,4*$B$19*$B$20*(D462+273)^3,$B$19*$B$20*(((D462+0.1)+273)^4-(D462+273)^4)/((D462+0.1)-D462)))+1/H462)</f>
        <v/>
      </c>
      <c r="W462">
        <f>($B$14*(I462*C462+IF(ABS(V462-D462)&lt;0.000000001,4*$B$19*$B$20*(D462+273)^3,$B$19*$B$20*((V462+273)^4-(D462+273)^4)/(V462-D462))*D462)+T462/H462)/($B$14*(I462+IF(ABS(V462-D462)&lt;0.000000001,4*$B$19*$B$20*(D462+273)^3,$B$19*$B$20*((V462+273)^4-(D462+273)^4)/(V462-D462)))+1/H462)</f>
        <v/>
      </c>
      <c r="X462">
        <f>($B$14*(I462*C462+IF(ABS(W462-D462)&lt;0.000000001,4*$B$19*$B$20*(D462+273)^3,$B$19*$B$20*((W462+273)^4-(D462+273)^4)/(W462-D462))*D462)+T462/H462)/($B$14*(I462+IF(ABS(W462-D462)&lt;0.000000001,4*$B$19*$B$20*(D462+273)^3,$B$19*$B$20*((W462+273)^4-(D462+273)^4)/(W462-D462)))+1/H462)</f>
        <v/>
      </c>
      <c r="Y462">
        <f>($B$14*(I462*C462+IF(ABS(X462-D462)&lt;0.000000001,4*$B$19*$B$20*(D462+273)^3,$B$19*$B$20*((X462+273)^4-(D462+273)^4)/(X462-D462))*D462)+T462/H462)/($B$14*(I462+IF(ABS(X462-D462)&lt;0.000000001,4*$B$19*$B$20*(D462+273)^3,$B$19*$B$20*((X462+273)^4-(D462+273)^4)/(X462-D462)))+1/H462)</f>
        <v/>
      </c>
      <c r="Z462">
        <f>IF(ABS(Y462-D462)&lt;0.000000001,4*$B$19*$B$20*(D462+273)^3,$B$19*$B$20*((Y462+273)^4-(D462+273)^4)/(Y462-D462))</f>
        <v/>
      </c>
      <c r="AA462">
        <f>$B$14*I462*(Y462-C462)</f>
        <v/>
      </c>
      <c r="AB462">
        <f>$B$14*Z462*(Y462-D462)</f>
        <v/>
      </c>
      <c r="AC462">
        <f>IF((U462-E462)/G462=0,0.001,(U462-E462)/G462)</f>
        <v/>
      </c>
      <c r="AD462">
        <f>F462-P462-J462-K462-AA462-AB462</f>
        <v/>
      </c>
      <c r="AE462">
        <f>AD462/AC462</f>
        <v/>
      </c>
      <c r="AF462">
        <f>IF(AD462&lt;=0,0,IF(AC462&lt;=0,$B$11,IF(AE462&gt;=1.7,$B$11,MIN(AD462/MAX(0.05,IF(AE462&gt;1,(2-AE462)^2/2,1-AE462^2/2)),$B$11))))</f>
        <v/>
      </c>
      <c r="AG462">
        <f>AG461*$B$28+AF462*(1-$B$28)</f>
        <v/>
      </c>
      <c r="AH462">
        <f>IF(AND(AD462&gt;0,AC462&lt;=0),0,AC462)</f>
        <v/>
      </c>
      <c r="AI462">
        <f>AH462/MAX(AG462,0.000001)</f>
        <v/>
      </c>
      <c r="AJ462">
        <f>MIN(IF(AI462&gt;=0.5,-AI462+SQRT(AI462^2+2),1),$B$12)</f>
        <v/>
      </c>
      <c r="AK462">
        <f>IF(AG462&lt;=0,0,AJ462*AH462)</f>
        <v/>
      </c>
      <c r="AL462">
        <f>IF(AD462&lt;=0,0,AD462)</f>
        <v/>
      </c>
      <c r="AM462">
        <f>AL462-AK462+P462</f>
        <v/>
      </c>
      <c r="AN462">
        <f>((AM462/$B$7+T461*AS461/2-T462*MAX(0.1,MIN(0.3,0.3-0.09*(AR461-36.8)))/2)+AR461*(1-AS461/2))/(1-MAX(0.1,MIN(0.3,0.3-0.09*(AR461-36.8)))/2)</f>
        <v/>
      </c>
      <c r="AO462">
        <f>((AM462/$B$7+T461*AS461/2-T462*MAX(0.1,MIN(0.3,0.3-0.09*(AN462-36.8)))/2)+AR461*(1-AS461/2))/(1-MAX(0.1,MIN(0.3,0.3-0.09*(AN462-36.8)))/2)</f>
        <v/>
      </c>
      <c r="AP462">
        <f>((AM462/$B$7+T461*AS461/2-T462*MAX(0.1,MIN(0.3,0.3-0.09*(AO462-36.8)))/2)+AR461*(1-AS461/2))/(1-MAX(0.1,MIN(0.3,0.3-0.09*(AO462-36.8)))/2)</f>
        <v/>
      </c>
      <c r="AQ462">
        <f>((AM462/$B$7+T461*AS461/2-T462*MAX(0.1,MIN(0.3,0.3-0.09*(AP462-36.8)))/2)+AR461*(1-AS461/2))/(1-MAX(0.1,MIN(0.3,0.3-0.09*(AP462-36.8)))/2)</f>
        <v/>
      </c>
      <c r="AR462">
        <f>((AM462/$B$7+T461*AS461/2-T462*MAX(0.1,MIN(0.3,0.3-0.09*(AQ462-36.8)))/2)+AR461*(1-AS461/2))/(1-MAX(0.1,MIN(0.3,0.3-0.09*(AQ462-36.8)))/2)</f>
        <v/>
      </c>
      <c r="AS462">
        <f>MAX(0.1,MIN(0.3,0.3-0.09*(AR462-36.8)))</f>
        <v/>
      </c>
      <c r="AT462">
        <f>AT461+(2*AR462-1.962*AT461-1.31)/9</f>
        <v/>
      </c>
      <c r="AU462">
        <f>AU461+AG462+K462</f>
        <v/>
      </c>
      <c r="AV462">
        <f>AU462*2.67*$B$6/1.8/60</f>
        <v/>
      </c>
      <c r="AW462">
        <f>IF(AT462&gt;=$B$36,1,0)</f>
        <v/>
      </c>
      <c r="AX462">
        <f>IF(AV462&gt;=$B$21,1,0)</f>
        <v/>
      </c>
    </row>
    <row r="463">
      <c r="A463" t="n">
        <v>390</v>
      </c>
      <c r="B463">
        <f>MATCH(A463-1,$D$61:$D$68,1)</f>
        <v/>
      </c>
      <c r="C463">
        <f>INDEX($G$61:$G$68,B463)</f>
        <v/>
      </c>
      <c r="D463">
        <f>INDEX($L$61:$L$68,B463)</f>
        <v/>
      </c>
      <c r="E463">
        <f>INDEX($M$61:$M$68,B463)</f>
        <v/>
      </c>
      <c r="F463">
        <f>INDEX($N$61:$N$68,B463)</f>
        <v/>
      </c>
      <c r="G463">
        <f>INDEX($AA$61:$AA$68,B463)</f>
        <v/>
      </c>
      <c r="H463">
        <f>INDEX($X$61:$X$68,B463)</f>
        <v/>
      </c>
      <c r="I463">
        <f>INDEX($AF$61:$AF$68,B463)</f>
        <v/>
      </c>
      <c r="J463">
        <f>INDEX($AC$61:$AC$68,B463)</f>
        <v/>
      </c>
      <c r="K463">
        <f>INDEX($AD$61:$AD$68,B463)</f>
        <v/>
      </c>
      <c r="L463">
        <f>INDEX($AG$61:$AG$68,B463)</f>
        <v/>
      </c>
      <c r="M463">
        <f>INDEX($AH$61:$AH$68,B463)</f>
        <v/>
      </c>
      <c r="N463">
        <f>INDEX($AI$61:$AI$68,B463)</f>
        <v/>
      </c>
      <c r="O463">
        <f>O462*$B$26+L463*(1-$B$26)</f>
        <v/>
      </c>
      <c r="P463">
        <f>$B$7*(O463-O462)*(1-AS462)</f>
        <v/>
      </c>
      <c r="Q463">
        <f>M463+0.51274*AT462</f>
        <v/>
      </c>
      <c r="R463">
        <f>N463+0.616*AT462</f>
        <v/>
      </c>
      <c r="S463">
        <f>IF($B$13&gt;=0.6,Q463,IF($B$13&lt;=0.2,R463,R463+2.5*(Q463-R463)*($B$13-0.2)))</f>
        <v/>
      </c>
      <c r="T463">
        <f>IF(A463=1,S463,T462*$B$27+S463*(1-$B$27))</f>
        <v/>
      </c>
      <c r="U463">
        <f>0.6105*EXP(17.27*T463/(T463+237.3))</f>
        <v/>
      </c>
      <c r="V463">
        <f>($B$14*(I463*C463+IF(ABS((D463+0.1)-D463)&lt;0.000000001,4*$B$19*$B$20*(D463+273)^3,$B$19*$B$20*(((D463+0.1)+273)^4-(D463+273)^4)/((D463+0.1)-D463))*D463)+T463/H463)/($B$14*(I463+IF(ABS((D463+0.1)-D463)&lt;0.000000001,4*$B$19*$B$20*(D463+273)^3,$B$19*$B$20*(((D463+0.1)+273)^4-(D463+273)^4)/((D463+0.1)-D463)))+1/H463)</f>
        <v/>
      </c>
      <c r="W463">
        <f>($B$14*(I463*C463+IF(ABS(V463-D463)&lt;0.000000001,4*$B$19*$B$20*(D463+273)^3,$B$19*$B$20*((V463+273)^4-(D463+273)^4)/(V463-D463))*D463)+T463/H463)/($B$14*(I463+IF(ABS(V463-D463)&lt;0.000000001,4*$B$19*$B$20*(D463+273)^3,$B$19*$B$20*((V463+273)^4-(D463+273)^4)/(V463-D463)))+1/H463)</f>
        <v/>
      </c>
      <c r="X463">
        <f>($B$14*(I463*C463+IF(ABS(W463-D463)&lt;0.000000001,4*$B$19*$B$20*(D463+273)^3,$B$19*$B$20*((W463+273)^4-(D463+273)^4)/(W463-D463))*D463)+T463/H463)/($B$14*(I463+IF(ABS(W463-D463)&lt;0.000000001,4*$B$19*$B$20*(D463+273)^3,$B$19*$B$20*((W463+273)^4-(D463+273)^4)/(W463-D463)))+1/H463)</f>
        <v/>
      </c>
      <c r="Y463">
        <f>($B$14*(I463*C463+IF(ABS(X463-D463)&lt;0.000000001,4*$B$19*$B$20*(D463+273)^3,$B$19*$B$20*((X463+273)^4-(D463+273)^4)/(X463-D463))*D463)+T463/H463)/($B$14*(I463+IF(ABS(X463-D463)&lt;0.000000001,4*$B$19*$B$20*(D463+273)^3,$B$19*$B$20*((X463+273)^4-(D463+273)^4)/(X463-D463)))+1/H463)</f>
        <v/>
      </c>
      <c r="Z463">
        <f>IF(ABS(Y463-D463)&lt;0.000000001,4*$B$19*$B$20*(D463+273)^3,$B$19*$B$20*((Y463+273)^4-(D463+273)^4)/(Y463-D463))</f>
        <v/>
      </c>
      <c r="AA463">
        <f>$B$14*I463*(Y463-C463)</f>
        <v/>
      </c>
      <c r="AB463">
        <f>$B$14*Z463*(Y463-D463)</f>
        <v/>
      </c>
      <c r="AC463">
        <f>IF((U463-E463)/G463=0,0.001,(U463-E463)/G463)</f>
        <v/>
      </c>
      <c r="AD463">
        <f>F463-P463-J463-K463-AA463-AB463</f>
        <v/>
      </c>
      <c r="AE463">
        <f>AD463/AC463</f>
        <v/>
      </c>
      <c r="AF463">
        <f>IF(AD463&lt;=0,0,IF(AC463&lt;=0,$B$11,IF(AE463&gt;=1.7,$B$11,MIN(AD463/MAX(0.05,IF(AE463&gt;1,(2-AE463)^2/2,1-AE463^2/2)),$B$11))))</f>
        <v/>
      </c>
      <c r="AG463">
        <f>AG462*$B$28+AF463*(1-$B$28)</f>
        <v/>
      </c>
      <c r="AH463">
        <f>IF(AND(AD463&gt;0,AC463&lt;=0),0,AC463)</f>
        <v/>
      </c>
      <c r="AI463">
        <f>AH463/MAX(AG463,0.000001)</f>
        <v/>
      </c>
      <c r="AJ463">
        <f>MIN(IF(AI463&gt;=0.5,-AI463+SQRT(AI463^2+2),1),$B$12)</f>
        <v/>
      </c>
      <c r="AK463">
        <f>IF(AG463&lt;=0,0,AJ463*AH463)</f>
        <v/>
      </c>
      <c r="AL463">
        <f>IF(AD463&lt;=0,0,AD463)</f>
        <v/>
      </c>
      <c r="AM463">
        <f>AL463-AK463+P463</f>
        <v/>
      </c>
      <c r="AN463">
        <f>((AM463/$B$7+T462*AS462/2-T463*MAX(0.1,MIN(0.3,0.3-0.09*(AR462-36.8)))/2)+AR462*(1-AS462/2))/(1-MAX(0.1,MIN(0.3,0.3-0.09*(AR462-36.8)))/2)</f>
        <v/>
      </c>
      <c r="AO463">
        <f>((AM463/$B$7+T462*AS462/2-T463*MAX(0.1,MIN(0.3,0.3-0.09*(AN463-36.8)))/2)+AR462*(1-AS462/2))/(1-MAX(0.1,MIN(0.3,0.3-0.09*(AN463-36.8)))/2)</f>
        <v/>
      </c>
      <c r="AP463">
        <f>((AM463/$B$7+T462*AS462/2-T463*MAX(0.1,MIN(0.3,0.3-0.09*(AO463-36.8)))/2)+AR462*(1-AS462/2))/(1-MAX(0.1,MIN(0.3,0.3-0.09*(AO463-36.8)))/2)</f>
        <v/>
      </c>
      <c r="AQ463">
        <f>((AM463/$B$7+T462*AS462/2-T463*MAX(0.1,MIN(0.3,0.3-0.09*(AP463-36.8)))/2)+AR462*(1-AS462/2))/(1-MAX(0.1,MIN(0.3,0.3-0.09*(AP463-36.8)))/2)</f>
        <v/>
      </c>
      <c r="AR463">
        <f>((AM463/$B$7+T462*AS462/2-T463*MAX(0.1,MIN(0.3,0.3-0.09*(AQ463-36.8)))/2)+AR462*(1-AS462/2))/(1-MAX(0.1,MIN(0.3,0.3-0.09*(AQ463-36.8)))/2)</f>
        <v/>
      </c>
      <c r="AS463">
        <f>MAX(0.1,MIN(0.3,0.3-0.09*(AR463-36.8)))</f>
        <v/>
      </c>
      <c r="AT463">
        <f>AT462+(2*AR463-1.962*AT462-1.31)/9</f>
        <v/>
      </c>
      <c r="AU463">
        <f>AU462+AG463+K463</f>
        <v/>
      </c>
      <c r="AV463">
        <f>AU463*2.67*$B$6/1.8/60</f>
        <v/>
      </c>
      <c r="AW463">
        <f>IF(AT463&gt;=$B$36,1,0)</f>
        <v/>
      </c>
      <c r="AX463">
        <f>IF(AV463&gt;=$B$21,1,0)</f>
        <v/>
      </c>
    </row>
    <row r="464">
      <c r="A464" t="n">
        <v>391</v>
      </c>
      <c r="B464">
        <f>MATCH(A464-1,$D$61:$D$68,1)</f>
        <v/>
      </c>
      <c r="C464">
        <f>INDEX($G$61:$G$68,B464)</f>
        <v/>
      </c>
      <c r="D464">
        <f>INDEX($L$61:$L$68,B464)</f>
        <v/>
      </c>
      <c r="E464">
        <f>INDEX($M$61:$M$68,B464)</f>
        <v/>
      </c>
      <c r="F464">
        <f>INDEX($N$61:$N$68,B464)</f>
        <v/>
      </c>
      <c r="G464">
        <f>INDEX($AA$61:$AA$68,B464)</f>
        <v/>
      </c>
      <c r="H464">
        <f>INDEX($X$61:$X$68,B464)</f>
        <v/>
      </c>
      <c r="I464">
        <f>INDEX($AF$61:$AF$68,B464)</f>
        <v/>
      </c>
      <c r="J464">
        <f>INDEX($AC$61:$AC$68,B464)</f>
        <v/>
      </c>
      <c r="K464">
        <f>INDEX($AD$61:$AD$68,B464)</f>
        <v/>
      </c>
      <c r="L464">
        <f>INDEX($AG$61:$AG$68,B464)</f>
        <v/>
      </c>
      <c r="M464">
        <f>INDEX($AH$61:$AH$68,B464)</f>
        <v/>
      </c>
      <c r="N464">
        <f>INDEX($AI$61:$AI$68,B464)</f>
        <v/>
      </c>
      <c r="O464">
        <f>O463*$B$26+L464*(1-$B$26)</f>
        <v/>
      </c>
      <c r="P464">
        <f>$B$7*(O464-O463)*(1-AS463)</f>
        <v/>
      </c>
      <c r="Q464">
        <f>M464+0.51274*AT463</f>
        <v/>
      </c>
      <c r="R464">
        <f>N464+0.616*AT463</f>
        <v/>
      </c>
      <c r="S464">
        <f>IF($B$13&gt;=0.6,Q464,IF($B$13&lt;=0.2,R464,R464+2.5*(Q464-R464)*($B$13-0.2)))</f>
        <v/>
      </c>
      <c r="T464">
        <f>IF(A464=1,S464,T463*$B$27+S464*(1-$B$27))</f>
        <v/>
      </c>
      <c r="U464">
        <f>0.6105*EXP(17.27*T464/(T464+237.3))</f>
        <v/>
      </c>
      <c r="V464">
        <f>($B$14*(I464*C464+IF(ABS((D464+0.1)-D464)&lt;0.000000001,4*$B$19*$B$20*(D464+273)^3,$B$19*$B$20*(((D464+0.1)+273)^4-(D464+273)^4)/((D464+0.1)-D464))*D464)+T464/H464)/($B$14*(I464+IF(ABS((D464+0.1)-D464)&lt;0.000000001,4*$B$19*$B$20*(D464+273)^3,$B$19*$B$20*(((D464+0.1)+273)^4-(D464+273)^4)/((D464+0.1)-D464)))+1/H464)</f>
        <v/>
      </c>
      <c r="W464">
        <f>($B$14*(I464*C464+IF(ABS(V464-D464)&lt;0.000000001,4*$B$19*$B$20*(D464+273)^3,$B$19*$B$20*((V464+273)^4-(D464+273)^4)/(V464-D464))*D464)+T464/H464)/($B$14*(I464+IF(ABS(V464-D464)&lt;0.000000001,4*$B$19*$B$20*(D464+273)^3,$B$19*$B$20*((V464+273)^4-(D464+273)^4)/(V464-D464)))+1/H464)</f>
        <v/>
      </c>
      <c r="X464">
        <f>($B$14*(I464*C464+IF(ABS(W464-D464)&lt;0.000000001,4*$B$19*$B$20*(D464+273)^3,$B$19*$B$20*((W464+273)^4-(D464+273)^4)/(W464-D464))*D464)+T464/H464)/($B$14*(I464+IF(ABS(W464-D464)&lt;0.000000001,4*$B$19*$B$20*(D464+273)^3,$B$19*$B$20*((W464+273)^4-(D464+273)^4)/(W464-D464)))+1/H464)</f>
        <v/>
      </c>
      <c r="Y464">
        <f>($B$14*(I464*C464+IF(ABS(X464-D464)&lt;0.000000001,4*$B$19*$B$20*(D464+273)^3,$B$19*$B$20*((X464+273)^4-(D464+273)^4)/(X464-D464))*D464)+T464/H464)/($B$14*(I464+IF(ABS(X464-D464)&lt;0.000000001,4*$B$19*$B$20*(D464+273)^3,$B$19*$B$20*((X464+273)^4-(D464+273)^4)/(X464-D464)))+1/H464)</f>
        <v/>
      </c>
      <c r="Z464">
        <f>IF(ABS(Y464-D464)&lt;0.000000001,4*$B$19*$B$20*(D464+273)^3,$B$19*$B$20*((Y464+273)^4-(D464+273)^4)/(Y464-D464))</f>
        <v/>
      </c>
      <c r="AA464">
        <f>$B$14*I464*(Y464-C464)</f>
        <v/>
      </c>
      <c r="AB464">
        <f>$B$14*Z464*(Y464-D464)</f>
        <v/>
      </c>
      <c r="AC464">
        <f>IF((U464-E464)/G464=0,0.001,(U464-E464)/G464)</f>
        <v/>
      </c>
      <c r="AD464">
        <f>F464-P464-J464-K464-AA464-AB464</f>
        <v/>
      </c>
      <c r="AE464">
        <f>AD464/AC464</f>
        <v/>
      </c>
      <c r="AF464">
        <f>IF(AD464&lt;=0,0,IF(AC464&lt;=0,$B$11,IF(AE464&gt;=1.7,$B$11,MIN(AD464/MAX(0.05,IF(AE464&gt;1,(2-AE464)^2/2,1-AE464^2/2)),$B$11))))</f>
        <v/>
      </c>
      <c r="AG464">
        <f>AG463*$B$28+AF464*(1-$B$28)</f>
        <v/>
      </c>
      <c r="AH464">
        <f>IF(AND(AD464&gt;0,AC464&lt;=0),0,AC464)</f>
        <v/>
      </c>
      <c r="AI464">
        <f>AH464/MAX(AG464,0.000001)</f>
        <v/>
      </c>
      <c r="AJ464">
        <f>MIN(IF(AI464&gt;=0.5,-AI464+SQRT(AI464^2+2),1),$B$12)</f>
        <v/>
      </c>
      <c r="AK464">
        <f>IF(AG464&lt;=0,0,AJ464*AH464)</f>
        <v/>
      </c>
      <c r="AL464">
        <f>IF(AD464&lt;=0,0,AD464)</f>
        <v/>
      </c>
      <c r="AM464">
        <f>AL464-AK464+P464</f>
        <v/>
      </c>
      <c r="AN464">
        <f>((AM464/$B$7+T463*AS463/2-T464*MAX(0.1,MIN(0.3,0.3-0.09*(AR463-36.8)))/2)+AR463*(1-AS463/2))/(1-MAX(0.1,MIN(0.3,0.3-0.09*(AR463-36.8)))/2)</f>
        <v/>
      </c>
      <c r="AO464">
        <f>((AM464/$B$7+T463*AS463/2-T464*MAX(0.1,MIN(0.3,0.3-0.09*(AN464-36.8)))/2)+AR463*(1-AS463/2))/(1-MAX(0.1,MIN(0.3,0.3-0.09*(AN464-36.8)))/2)</f>
        <v/>
      </c>
      <c r="AP464">
        <f>((AM464/$B$7+T463*AS463/2-T464*MAX(0.1,MIN(0.3,0.3-0.09*(AO464-36.8)))/2)+AR463*(1-AS463/2))/(1-MAX(0.1,MIN(0.3,0.3-0.09*(AO464-36.8)))/2)</f>
        <v/>
      </c>
      <c r="AQ464">
        <f>((AM464/$B$7+T463*AS463/2-T464*MAX(0.1,MIN(0.3,0.3-0.09*(AP464-36.8)))/2)+AR463*(1-AS463/2))/(1-MAX(0.1,MIN(0.3,0.3-0.09*(AP464-36.8)))/2)</f>
        <v/>
      </c>
      <c r="AR464">
        <f>((AM464/$B$7+T463*AS463/2-T464*MAX(0.1,MIN(0.3,0.3-0.09*(AQ464-36.8)))/2)+AR463*(1-AS463/2))/(1-MAX(0.1,MIN(0.3,0.3-0.09*(AQ464-36.8)))/2)</f>
        <v/>
      </c>
      <c r="AS464">
        <f>MAX(0.1,MIN(0.3,0.3-0.09*(AR464-36.8)))</f>
        <v/>
      </c>
      <c r="AT464">
        <f>AT463+(2*AR464-1.962*AT463-1.31)/9</f>
        <v/>
      </c>
      <c r="AU464">
        <f>AU463+AG464+K464</f>
        <v/>
      </c>
      <c r="AV464">
        <f>AU464*2.67*$B$6/1.8/60</f>
        <v/>
      </c>
      <c r="AW464">
        <f>IF(AT464&gt;=$B$36,1,0)</f>
        <v/>
      </c>
      <c r="AX464">
        <f>IF(AV464&gt;=$B$21,1,0)</f>
        <v/>
      </c>
    </row>
    <row r="465">
      <c r="A465" t="n">
        <v>392</v>
      </c>
      <c r="B465">
        <f>MATCH(A465-1,$D$61:$D$68,1)</f>
        <v/>
      </c>
      <c r="C465">
        <f>INDEX($G$61:$G$68,B465)</f>
        <v/>
      </c>
      <c r="D465">
        <f>INDEX($L$61:$L$68,B465)</f>
        <v/>
      </c>
      <c r="E465">
        <f>INDEX($M$61:$M$68,B465)</f>
        <v/>
      </c>
      <c r="F465">
        <f>INDEX($N$61:$N$68,B465)</f>
        <v/>
      </c>
      <c r="G465">
        <f>INDEX($AA$61:$AA$68,B465)</f>
        <v/>
      </c>
      <c r="H465">
        <f>INDEX($X$61:$X$68,B465)</f>
        <v/>
      </c>
      <c r="I465">
        <f>INDEX($AF$61:$AF$68,B465)</f>
        <v/>
      </c>
      <c r="J465">
        <f>INDEX($AC$61:$AC$68,B465)</f>
        <v/>
      </c>
      <c r="K465">
        <f>INDEX($AD$61:$AD$68,B465)</f>
        <v/>
      </c>
      <c r="L465">
        <f>INDEX($AG$61:$AG$68,B465)</f>
        <v/>
      </c>
      <c r="M465">
        <f>INDEX($AH$61:$AH$68,B465)</f>
        <v/>
      </c>
      <c r="N465">
        <f>INDEX($AI$61:$AI$68,B465)</f>
        <v/>
      </c>
      <c r="O465">
        <f>O464*$B$26+L465*(1-$B$26)</f>
        <v/>
      </c>
      <c r="P465">
        <f>$B$7*(O465-O464)*(1-AS464)</f>
        <v/>
      </c>
      <c r="Q465">
        <f>M465+0.51274*AT464</f>
        <v/>
      </c>
      <c r="R465">
        <f>N465+0.616*AT464</f>
        <v/>
      </c>
      <c r="S465">
        <f>IF($B$13&gt;=0.6,Q465,IF($B$13&lt;=0.2,R465,R465+2.5*(Q465-R465)*($B$13-0.2)))</f>
        <v/>
      </c>
      <c r="T465">
        <f>IF(A465=1,S465,T464*$B$27+S465*(1-$B$27))</f>
        <v/>
      </c>
      <c r="U465">
        <f>0.6105*EXP(17.27*T465/(T465+237.3))</f>
        <v/>
      </c>
      <c r="V465">
        <f>($B$14*(I465*C465+IF(ABS((D465+0.1)-D465)&lt;0.000000001,4*$B$19*$B$20*(D465+273)^3,$B$19*$B$20*(((D465+0.1)+273)^4-(D465+273)^4)/((D465+0.1)-D465))*D465)+T465/H465)/($B$14*(I465+IF(ABS((D465+0.1)-D465)&lt;0.000000001,4*$B$19*$B$20*(D465+273)^3,$B$19*$B$20*(((D465+0.1)+273)^4-(D465+273)^4)/((D465+0.1)-D465)))+1/H465)</f>
        <v/>
      </c>
      <c r="W465">
        <f>($B$14*(I465*C465+IF(ABS(V465-D465)&lt;0.000000001,4*$B$19*$B$20*(D465+273)^3,$B$19*$B$20*((V465+273)^4-(D465+273)^4)/(V465-D465))*D465)+T465/H465)/($B$14*(I465+IF(ABS(V465-D465)&lt;0.000000001,4*$B$19*$B$20*(D465+273)^3,$B$19*$B$20*((V465+273)^4-(D465+273)^4)/(V465-D465)))+1/H465)</f>
        <v/>
      </c>
      <c r="X465">
        <f>($B$14*(I465*C465+IF(ABS(W465-D465)&lt;0.000000001,4*$B$19*$B$20*(D465+273)^3,$B$19*$B$20*((W465+273)^4-(D465+273)^4)/(W465-D465))*D465)+T465/H465)/($B$14*(I465+IF(ABS(W465-D465)&lt;0.000000001,4*$B$19*$B$20*(D465+273)^3,$B$19*$B$20*((W465+273)^4-(D465+273)^4)/(W465-D465)))+1/H465)</f>
        <v/>
      </c>
      <c r="Y465">
        <f>($B$14*(I465*C465+IF(ABS(X465-D465)&lt;0.000000001,4*$B$19*$B$20*(D465+273)^3,$B$19*$B$20*((X465+273)^4-(D465+273)^4)/(X465-D465))*D465)+T465/H465)/($B$14*(I465+IF(ABS(X465-D465)&lt;0.000000001,4*$B$19*$B$20*(D465+273)^3,$B$19*$B$20*((X465+273)^4-(D465+273)^4)/(X465-D465)))+1/H465)</f>
        <v/>
      </c>
      <c r="Z465">
        <f>IF(ABS(Y465-D465)&lt;0.000000001,4*$B$19*$B$20*(D465+273)^3,$B$19*$B$20*((Y465+273)^4-(D465+273)^4)/(Y465-D465))</f>
        <v/>
      </c>
      <c r="AA465">
        <f>$B$14*I465*(Y465-C465)</f>
        <v/>
      </c>
      <c r="AB465">
        <f>$B$14*Z465*(Y465-D465)</f>
        <v/>
      </c>
      <c r="AC465">
        <f>IF((U465-E465)/G465=0,0.001,(U465-E465)/G465)</f>
        <v/>
      </c>
      <c r="AD465">
        <f>F465-P465-J465-K465-AA465-AB465</f>
        <v/>
      </c>
      <c r="AE465">
        <f>AD465/AC465</f>
        <v/>
      </c>
      <c r="AF465">
        <f>IF(AD465&lt;=0,0,IF(AC465&lt;=0,$B$11,IF(AE465&gt;=1.7,$B$11,MIN(AD465/MAX(0.05,IF(AE465&gt;1,(2-AE465)^2/2,1-AE465^2/2)),$B$11))))</f>
        <v/>
      </c>
      <c r="AG465">
        <f>AG464*$B$28+AF465*(1-$B$28)</f>
        <v/>
      </c>
      <c r="AH465">
        <f>IF(AND(AD465&gt;0,AC465&lt;=0),0,AC465)</f>
        <v/>
      </c>
      <c r="AI465">
        <f>AH465/MAX(AG465,0.000001)</f>
        <v/>
      </c>
      <c r="AJ465">
        <f>MIN(IF(AI465&gt;=0.5,-AI465+SQRT(AI465^2+2),1),$B$12)</f>
        <v/>
      </c>
      <c r="AK465">
        <f>IF(AG465&lt;=0,0,AJ465*AH465)</f>
        <v/>
      </c>
      <c r="AL465">
        <f>IF(AD465&lt;=0,0,AD465)</f>
        <v/>
      </c>
      <c r="AM465">
        <f>AL465-AK465+P465</f>
        <v/>
      </c>
      <c r="AN465">
        <f>((AM465/$B$7+T464*AS464/2-T465*MAX(0.1,MIN(0.3,0.3-0.09*(AR464-36.8)))/2)+AR464*(1-AS464/2))/(1-MAX(0.1,MIN(0.3,0.3-0.09*(AR464-36.8)))/2)</f>
        <v/>
      </c>
      <c r="AO465">
        <f>((AM465/$B$7+T464*AS464/2-T465*MAX(0.1,MIN(0.3,0.3-0.09*(AN465-36.8)))/2)+AR464*(1-AS464/2))/(1-MAX(0.1,MIN(0.3,0.3-0.09*(AN465-36.8)))/2)</f>
        <v/>
      </c>
      <c r="AP465">
        <f>((AM465/$B$7+T464*AS464/2-T465*MAX(0.1,MIN(0.3,0.3-0.09*(AO465-36.8)))/2)+AR464*(1-AS464/2))/(1-MAX(0.1,MIN(0.3,0.3-0.09*(AO465-36.8)))/2)</f>
        <v/>
      </c>
      <c r="AQ465">
        <f>((AM465/$B$7+T464*AS464/2-T465*MAX(0.1,MIN(0.3,0.3-0.09*(AP465-36.8)))/2)+AR464*(1-AS464/2))/(1-MAX(0.1,MIN(0.3,0.3-0.09*(AP465-36.8)))/2)</f>
        <v/>
      </c>
      <c r="AR465">
        <f>((AM465/$B$7+T464*AS464/2-T465*MAX(0.1,MIN(0.3,0.3-0.09*(AQ465-36.8)))/2)+AR464*(1-AS464/2))/(1-MAX(0.1,MIN(0.3,0.3-0.09*(AQ465-36.8)))/2)</f>
        <v/>
      </c>
      <c r="AS465">
        <f>MAX(0.1,MIN(0.3,0.3-0.09*(AR465-36.8)))</f>
        <v/>
      </c>
      <c r="AT465">
        <f>AT464+(2*AR465-1.962*AT464-1.31)/9</f>
        <v/>
      </c>
      <c r="AU465">
        <f>AU464+AG465+K465</f>
        <v/>
      </c>
      <c r="AV465">
        <f>AU465*2.67*$B$6/1.8/60</f>
        <v/>
      </c>
      <c r="AW465">
        <f>IF(AT465&gt;=$B$36,1,0)</f>
        <v/>
      </c>
      <c r="AX465">
        <f>IF(AV465&gt;=$B$21,1,0)</f>
        <v/>
      </c>
    </row>
    <row r="466">
      <c r="A466" t="n">
        <v>393</v>
      </c>
      <c r="B466">
        <f>MATCH(A466-1,$D$61:$D$68,1)</f>
        <v/>
      </c>
      <c r="C466">
        <f>INDEX($G$61:$G$68,B466)</f>
        <v/>
      </c>
      <c r="D466">
        <f>INDEX($L$61:$L$68,B466)</f>
        <v/>
      </c>
      <c r="E466">
        <f>INDEX($M$61:$M$68,B466)</f>
        <v/>
      </c>
      <c r="F466">
        <f>INDEX($N$61:$N$68,B466)</f>
        <v/>
      </c>
      <c r="G466">
        <f>INDEX($AA$61:$AA$68,B466)</f>
        <v/>
      </c>
      <c r="H466">
        <f>INDEX($X$61:$X$68,B466)</f>
        <v/>
      </c>
      <c r="I466">
        <f>INDEX($AF$61:$AF$68,B466)</f>
        <v/>
      </c>
      <c r="J466">
        <f>INDEX($AC$61:$AC$68,B466)</f>
        <v/>
      </c>
      <c r="K466">
        <f>INDEX($AD$61:$AD$68,B466)</f>
        <v/>
      </c>
      <c r="L466">
        <f>INDEX($AG$61:$AG$68,B466)</f>
        <v/>
      </c>
      <c r="M466">
        <f>INDEX($AH$61:$AH$68,B466)</f>
        <v/>
      </c>
      <c r="N466">
        <f>INDEX($AI$61:$AI$68,B466)</f>
        <v/>
      </c>
      <c r="O466">
        <f>O465*$B$26+L466*(1-$B$26)</f>
        <v/>
      </c>
      <c r="P466">
        <f>$B$7*(O466-O465)*(1-AS465)</f>
        <v/>
      </c>
      <c r="Q466">
        <f>M466+0.51274*AT465</f>
        <v/>
      </c>
      <c r="R466">
        <f>N466+0.616*AT465</f>
        <v/>
      </c>
      <c r="S466">
        <f>IF($B$13&gt;=0.6,Q466,IF($B$13&lt;=0.2,R466,R466+2.5*(Q466-R466)*($B$13-0.2)))</f>
        <v/>
      </c>
      <c r="T466">
        <f>IF(A466=1,S466,T465*$B$27+S466*(1-$B$27))</f>
        <v/>
      </c>
      <c r="U466">
        <f>0.6105*EXP(17.27*T466/(T466+237.3))</f>
        <v/>
      </c>
      <c r="V466">
        <f>($B$14*(I466*C466+IF(ABS((D466+0.1)-D466)&lt;0.000000001,4*$B$19*$B$20*(D466+273)^3,$B$19*$B$20*(((D466+0.1)+273)^4-(D466+273)^4)/((D466+0.1)-D466))*D466)+T466/H466)/($B$14*(I466+IF(ABS((D466+0.1)-D466)&lt;0.000000001,4*$B$19*$B$20*(D466+273)^3,$B$19*$B$20*(((D466+0.1)+273)^4-(D466+273)^4)/((D466+0.1)-D466)))+1/H466)</f>
        <v/>
      </c>
      <c r="W466">
        <f>($B$14*(I466*C466+IF(ABS(V466-D466)&lt;0.000000001,4*$B$19*$B$20*(D466+273)^3,$B$19*$B$20*((V466+273)^4-(D466+273)^4)/(V466-D466))*D466)+T466/H466)/($B$14*(I466+IF(ABS(V466-D466)&lt;0.000000001,4*$B$19*$B$20*(D466+273)^3,$B$19*$B$20*((V466+273)^4-(D466+273)^4)/(V466-D466)))+1/H466)</f>
        <v/>
      </c>
      <c r="X466">
        <f>($B$14*(I466*C466+IF(ABS(W466-D466)&lt;0.000000001,4*$B$19*$B$20*(D466+273)^3,$B$19*$B$20*((W466+273)^4-(D466+273)^4)/(W466-D466))*D466)+T466/H466)/($B$14*(I466+IF(ABS(W466-D466)&lt;0.000000001,4*$B$19*$B$20*(D466+273)^3,$B$19*$B$20*((W466+273)^4-(D466+273)^4)/(W466-D466)))+1/H466)</f>
        <v/>
      </c>
      <c r="Y466">
        <f>($B$14*(I466*C466+IF(ABS(X466-D466)&lt;0.000000001,4*$B$19*$B$20*(D466+273)^3,$B$19*$B$20*((X466+273)^4-(D466+273)^4)/(X466-D466))*D466)+T466/H466)/($B$14*(I466+IF(ABS(X466-D466)&lt;0.000000001,4*$B$19*$B$20*(D466+273)^3,$B$19*$B$20*((X466+273)^4-(D466+273)^4)/(X466-D466)))+1/H466)</f>
        <v/>
      </c>
      <c r="Z466">
        <f>IF(ABS(Y466-D466)&lt;0.000000001,4*$B$19*$B$20*(D466+273)^3,$B$19*$B$20*((Y466+273)^4-(D466+273)^4)/(Y466-D466))</f>
        <v/>
      </c>
      <c r="AA466">
        <f>$B$14*I466*(Y466-C466)</f>
        <v/>
      </c>
      <c r="AB466">
        <f>$B$14*Z466*(Y466-D466)</f>
        <v/>
      </c>
      <c r="AC466">
        <f>IF((U466-E466)/G466=0,0.001,(U466-E466)/G466)</f>
        <v/>
      </c>
      <c r="AD466">
        <f>F466-P466-J466-K466-AA466-AB466</f>
        <v/>
      </c>
      <c r="AE466">
        <f>AD466/AC466</f>
        <v/>
      </c>
      <c r="AF466">
        <f>IF(AD466&lt;=0,0,IF(AC466&lt;=0,$B$11,IF(AE466&gt;=1.7,$B$11,MIN(AD466/MAX(0.05,IF(AE466&gt;1,(2-AE466)^2/2,1-AE466^2/2)),$B$11))))</f>
        <v/>
      </c>
      <c r="AG466">
        <f>AG465*$B$28+AF466*(1-$B$28)</f>
        <v/>
      </c>
      <c r="AH466">
        <f>IF(AND(AD466&gt;0,AC466&lt;=0),0,AC466)</f>
        <v/>
      </c>
      <c r="AI466">
        <f>AH466/MAX(AG466,0.000001)</f>
        <v/>
      </c>
      <c r="AJ466">
        <f>MIN(IF(AI466&gt;=0.5,-AI466+SQRT(AI466^2+2),1),$B$12)</f>
        <v/>
      </c>
      <c r="AK466">
        <f>IF(AG466&lt;=0,0,AJ466*AH466)</f>
        <v/>
      </c>
      <c r="AL466">
        <f>IF(AD466&lt;=0,0,AD466)</f>
        <v/>
      </c>
      <c r="AM466">
        <f>AL466-AK466+P466</f>
        <v/>
      </c>
      <c r="AN466">
        <f>((AM466/$B$7+T465*AS465/2-T466*MAX(0.1,MIN(0.3,0.3-0.09*(AR465-36.8)))/2)+AR465*(1-AS465/2))/(1-MAX(0.1,MIN(0.3,0.3-0.09*(AR465-36.8)))/2)</f>
        <v/>
      </c>
      <c r="AO466">
        <f>((AM466/$B$7+T465*AS465/2-T466*MAX(0.1,MIN(0.3,0.3-0.09*(AN466-36.8)))/2)+AR465*(1-AS465/2))/(1-MAX(0.1,MIN(0.3,0.3-0.09*(AN466-36.8)))/2)</f>
        <v/>
      </c>
      <c r="AP466">
        <f>((AM466/$B$7+T465*AS465/2-T466*MAX(0.1,MIN(0.3,0.3-0.09*(AO466-36.8)))/2)+AR465*(1-AS465/2))/(1-MAX(0.1,MIN(0.3,0.3-0.09*(AO466-36.8)))/2)</f>
        <v/>
      </c>
      <c r="AQ466">
        <f>((AM466/$B$7+T465*AS465/2-T466*MAX(0.1,MIN(0.3,0.3-0.09*(AP466-36.8)))/2)+AR465*(1-AS465/2))/(1-MAX(0.1,MIN(0.3,0.3-0.09*(AP466-36.8)))/2)</f>
        <v/>
      </c>
      <c r="AR466">
        <f>((AM466/$B$7+T465*AS465/2-T466*MAX(0.1,MIN(0.3,0.3-0.09*(AQ466-36.8)))/2)+AR465*(1-AS465/2))/(1-MAX(0.1,MIN(0.3,0.3-0.09*(AQ466-36.8)))/2)</f>
        <v/>
      </c>
      <c r="AS466">
        <f>MAX(0.1,MIN(0.3,0.3-0.09*(AR466-36.8)))</f>
        <v/>
      </c>
      <c r="AT466">
        <f>AT465+(2*AR466-1.962*AT465-1.31)/9</f>
        <v/>
      </c>
      <c r="AU466">
        <f>AU465+AG466+K466</f>
        <v/>
      </c>
      <c r="AV466">
        <f>AU466*2.67*$B$6/1.8/60</f>
        <v/>
      </c>
      <c r="AW466">
        <f>IF(AT466&gt;=$B$36,1,0)</f>
        <v/>
      </c>
      <c r="AX466">
        <f>IF(AV466&gt;=$B$21,1,0)</f>
        <v/>
      </c>
    </row>
    <row r="467">
      <c r="A467" t="n">
        <v>394</v>
      </c>
      <c r="B467">
        <f>MATCH(A467-1,$D$61:$D$68,1)</f>
        <v/>
      </c>
      <c r="C467">
        <f>INDEX($G$61:$G$68,B467)</f>
        <v/>
      </c>
      <c r="D467">
        <f>INDEX($L$61:$L$68,B467)</f>
        <v/>
      </c>
      <c r="E467">
        <f>INDEX($M$61:$M$68,B467)</f>
        <v/>
      </c>
      <c r="F467">
        <f>INDEX($N$61:$N$68,B467)</f>
        <v/>
      </c>
      <c r="G467">
        <f>INDEX($AA$61:$AA$68,B467)</f>
        <v/>
      </c>
      <c r="H467">
        <f>INDEX($X$61:$X$68,B467)</f>
        <v/>
      </c>
      <c r="I467">
        <f>INDEX($AF$61:$AF$68,B467)</f>
        <v/>
      </c>
      <c r="J467">
        <f>INDEX($AC$61:$AC$68,B467)</f>
        <v/>
      </c>
      <c r="K467">
        <f>INDEX($AD$61:$AD$68,B467)</f>
        <v/>
      </c>
      <c r="L467">
        <f>INDEX($AG$61:$AG$68,B467)</f>
        <v/>
      </c>
      <c r="M467">
        <f>INDEX($AH$61:$AH$68,B467)</f>
        <v/>
      </c>
      <c r="N467">
        <f>INDEX($AI$61:$AI$68,B467)</f>
        <v/>
      </c>
      <c r="O467">
        <f>O466*$B$26+L467*(1-$B$26)</f>
        <v/>
      </c>
      <c r="P467">
        <f>$B$7*(O467-O466)*(1-AS466)</f>
        <v/>
      </c>
      <c r="Q467">
        <f>M467+0.51274*AT466</f>
        <v/>
      </c>
      <c r="R467">
        <f>N467+0.616*AT466</f>
        <v/>
      </c>
      <c r="S467">
        <f>IF($B$13&gt;=0.6,Q467,IF($B$13&lt;=0.2,R467,R467+2.5*(Q467-R467)*($B$13-0.2)))</f>
        <v/>
      </c>
      <c r="T467">
        <f>IF(A467=1,S467,T466*$B$27+S467*(1-$B$27))</f>
        <v/>
      </c>
      <c r="U467">
        <f>0.6105*EXP(17.27*T467/(T467+237.3))</f>
        <v/>
      </c>
      <c r="V467">
        <f>($B$14*(I467*C467+IF(ABS((D467+0.1)-D467)&lt;0.000000001,4*$B$19*$B$20*(D467+273)^3,$B$19*$B$20*(((D467+0.1)+273)^4-(D467+273)^4)/((D467+0.1)-D467))*D467)+T467/H467)/($B$14*(I467+IF(ABS((D467+0.1)-D467)&lt;0.000000001,4*$B$19*$B$20*(D467+273)^3,$B$19*$B$20*(((D467+0.1)+273)^4-(D467+273)^4)/((D467+0.1)-D467)))+1/H467)</f>
        <v/>
      </c>
      <c r="W467">
        <f>($B$14*(I467*C467+IF(ABS(V467-D467)&lt;0.000000001,4*$B$19*$B$20*(D467+273)^3,$B$19*$B$20*((V467+273)^4-(D467+273)^4)/(V467-D467))*D467)+T467/H467)/($B$14*(I467+IF(ABS(V467-D467)&lt;0.000000001,4*$B$19*$B$20*(D467+273)^3,$B$19*$B$20*((V467+273)^4-(D467+273)^4)/(V467-D467)))+1/H467)</f>
        <v/>
      </c>
      <c r="X467">
        <f>($B$14*(I467*C467+IF(ABS(W467-D467)&lt;0.000000001,4*$B$19*$B$20*(D467+273)^3,$B$19*$B$20*((W467+273)^4-(D467+273)^4)/(W467-D467))*D467)+T467/H467)/($B$14*(I467+IF(ABS(W467-D467)&lt;0.000000001,4*$B$19*$B$20*(D467+273)^3,$B$19*$B$20*((W467+273)^4-(D467+273)^4)/(W467-D467)))+1/H467)</f>
        <v/>
      </c>
      <c r="Y467">
        <f>($B$14*(I467*C467+IF(ABS(X467-D467)&lt;0.000000001,4*$B$19*$B$20*(D467+273)^3,$B$19*$B$20*((X467+273)^4-(D467+273)^4)/(X467-D467))*D467)+T467/H467)/($B$14*(I467+IF(ABS(X467-D467)&lt;0.000000001,4*$B$19*$B$20*(D467+273)^3,$B$19*$B$20*((X467+273)^4-(D467+273)^4)/(X467-D467)))+1/H467)</f>
        <v/>
      </c>
      <c r="Z467">
        <f>IF(ABS(Y467-D467)&lt;0.000000001,4*$B$19*$B$20*(D467+273)^3,$B$19*$B$20*((Y467+273)^4-(D467+273)^4)/(Y467-D467))</f>
        <v/>
      </c>
      <c r="AA467">
        <f>$B$14*I467*(Y467-C467)</f>
        <v/>
      </c>
      <c r="AB467">
        <f>$B$14*Z467*(Y467-D467)</f>
        <v/>
      </c>
      <c r="AC467">
        <f>IF((U467-E467)/G467=0,0.001,(U467-E467)/G467)</f>
        <v/>
      </c>
      <c r="AD467">
        <f>F467-P467-J467-K467-AA467-AB467</f>
        <v/>
      </c>
      <c r="AE467">
        <f>AD467/AC467</f>
        <v/>
      </c>
      <c r="AF467">
        <f>IF(AD467&lt;=0,0,IF(AC467&lt;=0,$B$11,IF(AE467&gt;=1.7,$B$11,MIN(AD467/MAX(0.05,IF(AE467&gt;1,(2-AE467)^2/2,1-AE467^2/2)),$B$11))))</f>
        <v/>
      </c>
      <c r="AG467">
        <f>AG466*$B$28+AF467*(1-$B$28)</f>
        <v/>
      </c>
      <c r="AH467">
        <f>IF(AND(AD467&gt;0,AC467&lt;=0),0,AC467)</f>
        <v/>
      </c>
      <c r="AI467">
        <f>AH467/MAX(AG467,0.000001)</f>
        <v/>
      </c>
      <c r="AJ467">
        <f>MIN(IF(AI467&gt;=0.5,-AI467+SQRT(AI467^2+2),1),$B$12)</f>
        <v/>
      </c>
      <c r="AK467">
        <f>IF(AG467&lt;=0,0,AJ467*AH467)</f>
        <v/>
      </c>
      <c r="AL467">
        <f>IF(AD467&lt;=0,0,AD467)</f>
        <v/>
      </c>
      <c r="AM467">
        <f>AL467-AK467+P467</f>
        <v/>
      </c>
      <c r="AN467">
        <f>((AM467/$B$7+T466*AS466/2-T467*MAX(0.1,MIN(0.3,0.3-0.09*(AR466-36.8)))/2)+AR466*(1-AS466/2))/(1-MAX(0.1,MIN(0.3,0.3-0.09*(AR466-36.8)))/2)</f>
        <v/>
      </c>
      <c r="AO467">
        <f>((AM467/$B$7+T466*AS466/2-T467*MAX(0.1,MIN(0.3,0.3-0.09*(AN467-36.8)))/2)+AR466*(1-AS466/2))/(1-MAX(0.1,MIN(0.3,0.3-0.09*(AN467-36.8)))/2)</f>
        <v/>
      </c>
      <c r="AP467">
        <f>((AM467/$B$7+T466*AS466/2-T467*MAX(0.1,MIN(0.3,0.3-0.09*(AO467-36.8)))/2)+AR466*(1-AS466/2))/(1-MAX(0.1,MIN(0.3,0.3-0.09*(AO467-36.8)))/2)</f>
        <v/>
      </c>
      <c r="AQ467">
        <f>((AM467/$B$7+T466*AS466/2-T467*MAX(0.1,MIN(0.3,0.3-0.09*(AP467-36.8)))/2)+AR466*(1-AS466/2))/(1-MAX(0.1,MIN(0.3,0.3-0.09*(AP467-36.8)))/2)</f>
        <v/>
      </c>
      <c r="AR467">
        <f>((AM467/$B$7+T466*AS466/2-T467*MAX(0.1,MIN(0.3,0.3-0.09*(AQ467-36.8)))/2)+AR466*(1-AS466/2))/(1-MAX(0.1,MIN(0.3,0.3-0.09*(AQ467-36.8)))/2)</f>
        <v/>
      </c>
      <c r="AS467">
        <f>MAX(0.1,MIN(0.3,0.3-0.09*(AR467-36.8)))</f>
        <v/>
      </c>
      <c r="AT467">
        <f>AT466+(2*AR467-1.962*AT466-1.31)/9</f>
        <v/>
      </c>
      <c r="AU467">
        <f>AU466+AG467+K467</f>
        <v/>
      </c>
      <c r="AV467">
        <f>AU467*2.67*$B$6/1.8/60</f>
        <v/>
      </c>
      <c r="AW467">
        <f>IF(AT467&gt;=$B$36,1,0)</f>
        <v/>
      </c>
      <c r="AX467">
        <f>IF(AV467&gt;=$B$21,1,0)</f>
        <v/>
      </c>
    </row>
    <row r="468">
      <c r="A468" t="n">
        <v>395</v>
      </c>
      <c r="B468">
        <f>MATCH(A468-1,$D$61:$D$68,1)</f>
        <v/>
      </c>
      <c r="C468">
        <f>INDEX($G$61:$G$68,B468)</f>
        <v/>
      </c>
      <c r="D468">
        <f>INDEX($L$61:$L$68,B468)</f>
        <v/>
      </c>
      <c r="E468">
        <f>INDEX($M$61:$M$68,B468)</f>
        <v/>
      </c>
      <c r="F468">
        <f>INDEX($N$61:$N$68,B468)</f>
        <v/>
      </c>
      <c r="G468">
        <f>INDEX($AA$61:$AA$68,B468)</f>
        <v/>
      </c>
      <c r="H468">
        <f>INDEX($X$61:$X$68,B468)</f>
        <v/>
      </c>
      <c r="I468">
        <f>INDEX($AF$61:$AF$68,B468)</f>
        <v/>
      </c>
      <c r="J468">
        <f>INDEX($AC$61:$AC$68,B468)</f>
        <v/>
      </c>
      <c r="K468">
        <f>INDEX($AD$61:$AD$68,B468)</f>
        <v/>
      </c>
      <c r="L468">
        <f>INDEX($AG$61:$AG$68,B468)</f>
        <v/>
      </c>
      <c r="M468">
        <f>INDEX($AH$61:$AH$68,B468)</f>
        <v/>
      </c>
      <c r="N468">
        <f>INDEX($AI$61:$AI$68,B468)</f>
        <v/>
      </c>
      <c r="O468">
        <f>O467*$B$26+L468*(1-$B$26)</f>
        <v/>
      </c>
      <c r="P468">
        <f>$B$7*(O468-O467)*(1-AS467)</f>
        <v/>
      </c>
      <c r="Q468">
        <f>M468+0.51274*AT467</f>
        <v/>
      </c>
      <c r="R468">
        <f>N468+0.616*AT467</f>
        <v/>
      </c>
      <c r="S468">
        <f>IF($B$13&gt;=0.6,Q468,IF($B$13&lt;=0.2,R468,R468+2.5*(Q468-R468)*($B$13-0.2)))</f>
        <v/>
      </c>
      <c r="T468">
        <f>IF(A468=1,S468,T467*$B$27+S468*(1-$B$27))</f>
        <v/>
      </c>
      <c r="U468">
        <f>0.6105*EXP(17.27*T468/(T468+237.3))</f>
        <v/>
      </c>
      <c r="V468">
        <f>($B$14*(I468*C468+IF(ABS((D468+0.1)-D468)&lt;0.000000001,4*$B$19*$B$20*(D468+273)^3,$B$19*$B$20*(((D468+0.1)+273)^4-(D468+273)^4)/((D468+0.1)-D468))*D468)+T468/H468)/($B$14*(I468+IF(ABS((D468+0.1)-D468)&lt;0.000000001,4*$B$19*$B$20*(D468+273)^3,$B$19*$B$20*(((D468+0.1)+273)^4-(D468+273)^4)/((D468+0.1)-D468)))+1/H468)</f>
        <v/>
      </c>
      <c r="W468">
        <f>($B$14*(I468*C468+IF(ABS(V468-D468)&lt;0.000000001,4*$B$19*$B$20*(D468+273)^3,$B$19*$B$20*((V468+273)^4-(D468+273)^4)/(V468-D468))*D468)+T468/H468)/($B$14*(I468+IF(ABS(V468-D468)&lt;0.000000001,4*$B$19*$B$20*(D468+273)^3,$B$19*$B$20*((V468+273)^4-(D468+273)^4)/(V468-D468)))+1/H468)</f>
        <v/>
      </c>
      <c r="X468">
        <f>($B$14*(I468*C468+IF(ABS(W468-D468)&lt;0.000000001,4*$B$19*$B$20*(D468+273)^3,$B$19*$B$20*((W468+273)^4-(D468+273)^4)/(W468-D468))*D468)+T468/H468)/($B$14*(I468+IF(ABS(W468-D468)&lt;0.000000001,4*$B$19*$B$20*(D468+273)^3,$B$19*$B$20*((W468+273)^4-(D468+273)^4)/(W468-D468)))+1/H468)</f>
        <v/>
      </c>
      <c r="Y468">
        <f>($B$14*(I468*C468+IF(ABS(X468-D468)&lt;0.000000001,4*$B$19*$B$20*(D468+273)^3,$B$19*$B$20*((X468+273)^4-(D468+273)^4)/(X468-D468))*D468)+T468/H468)/($B$14*(I468+IF(ABS(X468-D468)&lt;0.000000001,4*$B$19*$B$20*(D468+273)^3,$B$19*$B$20*((X468+273)^4-(D468+273)^4)/(X468-D468)))+1/H468)</f>
        <v/>
      </c>
      <c r="Z468">
        <f>IF(ABS(Y468-D468)&lt;0.000000001,4*$B$19*$B$20*(D468+273)^3,$B$19*$B$20*((Y468+273)^4-(D468+273)^4)/(Y468-D468))</f>
        <v/>
      </c>
      <c r="AA468">
        <f>$B$14*I468*(Y468-C468)</f>
        <v/>
      </c>
      <c r="AB468">
        <f>$B$14*Z468*(Y468-D468)</f>
        <v/>
      </c>
      <c r="AC468">
        <f>IF((U468-E468)/G468=0,0.001,(U468-E468)/G468)</f>
        <v/>
      </c>
      <c r="AD468">
        <f>F468-P468-J468-K468-AA468-AB468</f>
        <v/>
      </c>
      <c r="AE468">
        <f>AD468/AC468</f>
        <v/>
      </c>
      <c r="AF468">
        <f>IF(AD468&lt;=0,0,IF(AC468&lt;=0,$B$11,IF(AE468&gt;=1.7,$B$11,MIN(AD468/MAX(0.05,IF(AE468&gt;1,(2-AE468)^2/2,1-AE468^2/2)),$B$11))))</f>
        <v/>
      </c>
      <c r="AG468">
        <f>AG467*$B$28+AF468*(1-$B$28)</f>
        <v/>
      </c>
      <c r="AH468">
        <f>IF(AND(AD468&gt;0,AC468&lt;=0),0,AC468)</f>
        <v/>
      </c>
      <c r="AI468">
        <f>AH468/MAX(AG468,0.000001)</f>
        <v/>
      </c>
      <c r="AJ468">
        <f>MIN(IF(AI468&gt;=0.5,-AI468+SQRT(AI468^2+2),1),$B$12)</f>
        <v/>
      </c>
      <c r="AK468">
        <f>IF(AG468&lt;=0,0,AJ468*AH468)</f>
        <v/>
      </c>
      <c r="AL468">
        <f>IF(AD468&lt;=0,0,AD468)</f>
        <v/>
      </c>
      <c r="AM468">
        <f>AL468-AK468+P468</f>
        <v/>
      </c>
      <c r="AN468">
        <f>((AM468/$B$7+T467*AS467/2-T468*MAX(0.1,MIN(0.3,0.3-0.09*(AR467-36.8)))/2)+AR467*(1-AS467/2))/(1-MAX(0.1,MIN(0.3,0.3-0.09*(AR467-36.8)))/2)</f>
        <v/>
      </c>
      <c r="AO468">
        <f>((AM468/$B$7+T467*AS467/2-T468*MAX(0.1,MIN(0.3,0.3-0.09*(AN468-36.8)))/2)+AR467*(1-AS467/2))/(1-MAX(0.1,MIN(0.3,0.3-0.09*(AN468-36.8)))/2)</f>
        <v/>
      </c>
      <c r="AP468">
        <f>((AM468/$B$7+T467*AS467/2-T468*MAX(0.1,MIN(0.3,0.3-0.09*(AO468-36.8)))/2)+AR467*(1-AS467/2))/(1-MAX(0.1,MIN(0.3,0.3-0.09*(AO468-36.8)))/2)</f>
        <v/>
      </c>
      <c r="AQ468">
        <f>((AM468/$B$7+T467*AS467/2-T468*MAX(0.1,MIN(0.3,0.3-0.09*(AP468-36.8)))/2)+AR467*(1-AS467/2))/(1-MAX(0.1,MIN(0.3,0.3-0.09*(AP468-36.8)))/2)</f>
        <v/>
      </c>
      <c r="AR468">
        <f>((AM468/$B$7+T467*AS467/2-T468*MAX(0.1,MIN(0.3,0.3-0.09*(AQ468-36.8)))/2)+AR467*(1-AS467/2))/(1-MAX(0.1,MIN(0.3,0.3-0.09*(AQ468-36.8)))/2)</f>
        <v/>
      </c>
      <c r="AS468">
        <f>MAX(0.1,MIN(0.3,0.3-0.09*(AR468-36.8)))</f>
        <v/>
      </c>
      <c r="AT468">
        <f>AT467+(2*AR468-1.962*AT467-1.31)/9</f>
        <v/>
      </c>
      <c r="AU468">
        <f>AU467+AG468+K468</f>
        <v/>
      </c>
      <c r="AV468">
        <f>AU468*2.67*$B$6/1.8/60</f>
        <v/>
      </c>
      <c r="AW468">
        <f>IF(AT468&gt;=$B$36,1,0)</f>
        <v/>
      </c>
      <c r="AX468">
        <f>IF(AV468&gt;=$B$21,1,0)</f>
        <v/>
      </c>
    </row>
    <row r="469">
      <c r="A469" t="n">
        <v>396</v>
      </c>
      <c r="B469">
        <f>MATCH(A469-1,$D$61:$D$68,1)</f>
        <v/>
      </c>
      <c r="C469">
        <f>INDEX($G$61:$G$68,B469)</f>
        <v/>
      </c>
      <c r="D469">
        <f>INDEX($L$61:$L$68,B469)</f>
        <v/>
      </c>
      <c r="E469">
        <f>INDEX($M$61:$M$68,B469)</f>
        <v/>
      </c>
      <c r="F469">
        <f>INDEX($N$61:$N$68,B469)</f>
        <v/>
      </c>
      <c r="G469">
        <f>INDEX($AA$61:$AA$68,B469)</f>
        <v/>
      </c>
      <c r="H469">
        <f>INDEX($X$61:$X$68,B469)</f>
        <v/>
      </c>
      <c r="I469">
        <f>INDEX($AF$61:$AF$68,B469)</f>
        <v/>
      </c>
      <c r="J469">
        <f>INDEX($AC$61:$AC$68,B469)</f>
        <v/>
      </c>
      <c r="K469">
        <f>INDEX($AD$61:$AD$68,B469)</f>
        <v/>
      </c>
      <c r="L469">
        <f>INDEX($AG$61:$AG$68,B469)</f>
        <v/>
      </c>
      <c r="M469">
        <f>INDEX($AH$61:$AH$68,B469)</f>
        <v/>
      </c>
      <c r="N469">
        <f>INDEX($AI$61:$AI$68,B469)</f>
        <v/>
      </c>
      <c r="O469">
        <f>O468*$B$26+L469*(1-$B$26)</f>
        <v/>
      </c>
      <c r="P469">
        <f>$B$7*(O469-O468)*(1-AS468)</f>
        <v/>
      </c>
      <c r="Q469">
        <f>M469+0.51274*AT468</f>
        <v/>
      </c>
      <c r="R469">
        <f>N469+0.616*AT468</f>
        <v/>
      </c>
      <c r="S469">
        <f>IF($B$13&gt;=0.6,Q469,IF($B$13&lt;=0.2,R469,R469+2.5*(Q469-R469)*($B$13-0.2)))</f>
        <v/>
      </c>
      <c r="T469">
        <f>IF(A469=1,S469,T468*$B$27+S469*(1-$B$27))</f>
        <v/>
      </c>
      <c r="U469">
        <f>0.6105*EXP(17.27*T469/(T469+237.3))</f>
        <v/>
      </c>
      <c r="V469">
        <f>($B$14*(I469*C469+IF(ABS((D469+0.1)-D469)&lt;0.000000001,4*$B$19*$B$20*(D469+273)^3,$B$19*$B$20*(((D469+0.1)+273)^4-(D469+273)^4)/((D469+0.1)-D469))*D469)+T469/H469)/($B$14*(I469+IF(ABS((D469+0.1)-D469)&lt;0.000000001,4*$B$19*$B$20*(D469+273)^3,$B$19*$B$20*(((D469+0.1)+273)^4-(D469+273)^4)/((D469+0.1)-D469)))+1/H469)</f>
        <v/>
      </c>
      <c r="W469">
        <f>($B$14*(I469*C469+IF(ABS(V469-D469)&lt;0.000000001,4*$B$19*$B$20*(D469+273)^3,$B$19*$B$20*((V469+273)^4-(D469+273)^4)/(V469-D469))*D469)+T469/H469)/($B$14*(I469+IF(ABS(V469-D469)&lt;0.000000001,4*$B$19*$B$20*(D469+273)^3,$B$19*$B$20*((V469+273)^4-(D469+273)^4)/(V469-D469)))+1/H469)</f>
        <v/>
      </c>
      <c r="X469">
        <f>($B$14*(I469*C469+IF(ABS(W469-D469)&lt;0.000000001,4*$B$19*$B$20*(D469+273)^3,$B$19*$B$20*((W469+273)^4-(D469+273)^4)/(W469-D469))*D469)+T469/H469)/($B$14*(I469+IF(ABS(W469-D469)&lt;0.000000001,4*$B$19*$B$20*(D469+273)^3,$B$19*$B$20*((W469+273)^4-(D469+273)^4)/(W469-D469)))+1/H469)</f>
        <v/>
      </c>
      <c r="Y469">
        <f>($B$14*(I469*C469+IF(ABS(X469-D469)&lt;0.000000001,4*$B$19*$B$20*(D469+273)^3,$B$19*$B$20*((X469+273)^4-(D469+273)^4)/(X469-D469))*D469)+T469/H469)/($B$14*(I469+IF(ABS(X469-D469)&lt;0.000000001,4*$B$19*$B$20*(D469+273)^3,$B$19*$B$20*((X469+273)^4-(D469+273)^4)/(X469-D469)))+1/H469)</f>
        <v/>
      </c>
      <c r="Z469">
        <f>IF(ABS(Y469-D469)&lt;0.000000001,4*$B$19*$B$20*(D469+273)^3,$B$19*$B$20*((Y469+273)^4-(D469+273)^4)/(Y469-D469))</f>
        <v/>
      </c>
      <c r="AA469">
        <f>$B$14*I469*(Y469-C469)</f>
        <v/>
      </c>
      <c r="AB469">
        <f>$B$14*Z469*(Y469-D469)</f>
        <v/>
      </c>
      <c r="AC469">
        <f>IF((U469-E469)/G469=0,0.001,(U469-E469)/G469)</f>
        <v/>
      </c>
      <c r="AD469">
        <f>F469-P469-J469-K469-AA469-AB469</f>
        <v/>
      </c>
      <c r="AE469">
        <f>AD469/AC469</f>
        <v/>
      </c>
      <c r="AF469">
        <f>IF(AD469&lt;=0,0,IF(AC469&lt;=0,$B$11,IF(AE469&gt;=1.7,$B$11,MIN(AD469/MAX(0.05,IF(AE469&gt;1,(2-AE469)^2/2,1-AE469^2/2)),$B$11))))</f>
        <v/>
      </c>
      <c r="AG469">
        <f>AG468*$B$28+AF469*(1-$B$28)</f>
        <v/>
      </c>
      <c r="AH469">
        <f>IF(AND(AD469&gt;0,AC469&lt;=0),0,AC469)</f>
        <v/>
      </c>
      <c r="AI469">
        <f>AH469/MAX(AG469,0.000001)</f>
        <v/>
      </c>
      <c r="AJ469">
        <f>MIN(IF(AI469&gt;=0.5,-AI469+SQRT(AI469^2+2),1),$B$12)</f>
        <v/>
      </c>
      <c r="AK469">
        <f>IF(AG469&lt;=0,0,AJ469*AH469)</f>
        <v/>
      </c>
      <c r="AL469">
        <f>IF(AD469&lt;=0,0,AD469)</f>
        <v/>
      </c>
      <c r="AM469">
        <f>AL469-AK469+P469</f>
        <v/>
      </c>
      <c r="AN469">
        <f>((AM469/$B$7+T468*AS468/2-T469*MAX(0.1,MIN(0.3,0.3-0.09*(AR468-36.8)))/2)+AR468*(1-AS468/2))/(1-MAX(0.1,MIN(0.3,0.3-0.09*(AR468-36.8)))/2)</f>
        <v/>
      </c>
      <c r="AO469">
        <f>((AM469/$B$7+T468*AS468/2-T469*MAX(0.1,MIN(0.3,0.3-0.09*(AN469-36.8)))/2)+AR468*(1-AS468/2))/(1-MAX(0.1,MIN(0.3,0.3-0.09*(AN469-36.8)))/2)</f>
        <v/>
      </c>
      <c r="AP469">
        <f>((AM469/$B$7+T468*AS468/2-T469*MAX(0.1,MIN(0.3,0.3-0.09*(AO469-36.8)))/2)+AR468*(1-AS468/2))/(1-MAX(0.1,MIN(0.3,0.3-0.09*(AO469-36.8)))/2)</f>
        <v/>
      </c>
      <c r="AQ469">
        <f>((AM469/$B$7+T468*AS468/2-T469*MAX(0.1,MIN(0.3,0.3-0.09*(AP469-36.8)))/2)+AR468*(1-AS468/2))/(1-MAX(0.1,MIN(0.3,0.3-0.09*(AP469-36.8)))/2)</f>
        <v/>
      </c>
      <c r="AR469">
        <f>((AM469/$B$7+T468*AS468/2-T469*MAX(0.1,MIN(0.3,0.3-0.09*(AQ469-36.8)))/2)+AR468*(1-AS468/2))/(1-MAX(0.1,MIN(0.3,0.3-0.09*(AQ469-36.8)))/2)</f>
        <v/>
      </c>
      <c r="AS469">
        <f>MAX(0.1,MIN(0.3,0.3-0.09*(AR469-36.8)))</f>
        <v/>
      </c>
      <c r="AT469">
        <f>AT468+(2*AR469-1.962*AT468-1.31)/9</f>
        <v/>
      </c>
      <c r="AU469">
        <f>AU468+AG469+K469</f>
        <v/>
      </c>
      <c r="AV469">
        <f>AU469*2.67*$B$6/1.8/60</f>
        <v/>
      </c>
      <c r="AW469">
        <f>IF(AT469&gt;=$B$36,1,0)</f>
        <v/>
      </c>
      <c r="AX469">
        <f>IF(AV469&gt;=$B$21,1,0)</f>
        <v/>
      </c>
    </row>
    <row r="470">
      <c r="A470" t="n">
        <v>397</v>
      </c>
      <c r="B470">
        <f>MATCH(A470-1,$D$61:$D$68,1)</f>
        <v/>
      </c>
      <c r="C470">
        <f>INDEX($G$61:$G$68,B470)</f>
        <v/>
      </c>
      <c r="D470">
        <f>INDEX($L$61:$L$68,B470)</f>
        <v/>
      </c>
      <c r="E470">
        <f>INDEX($M$61:$M$68,B470)</f>
        <v/>
      </c>
      <c r="F470">
        <f>INDEX($N$61:$N$68,B470)</f>
        <v/>
      </c>
      <c r="G470">
        <f>INDEX($AA$61:$AA$68,B470)</f>
        <v/>
      </c>
      <c r="H470">
        <f>INDEX($X$61:$X$68,B470)</f>
        <v/>
      </c>
      <c r="I470">
        <f>INDEX($AF$61:$AF$68,B470)</f>
        <v/>
      </c>
      <c r="J470">
        <f>INDEX($AC$61:$AC$68,B470)</f>
        <v/>
      </c>
      <c r="K470">
        <f>INDEX($AD$61:$AD$68,B470)</f>
        <v/>
      </c>
      <c r="L470">
        <f>INDEX($AG$61:$AG$68,B470)</f>
        <v/>
      </c>
      <c r="M470">
        <f>INDEX($AH$61:$AH$68,B470)</f>
        <v/>
      </c>
      <c r="N470">
        <f>INDEX($AI$61:$AI$68,B470)</f>
        <v/>
      </c>
      <c r="O470">
        <f>O469*$B$26+L470*(1-$B$26)</f>
        <v/>
      </c>
      <c r="P470">
        <f>$B$7*(O470-O469)*(1-AS469)</f>
        <v/>
      </c>
      <c r="Q470">
        <f>M470+0.51274*AT469</f>
        <v/>
      </c>
      <c r="R470">
        <f>N470+0.616*AT469</f>
        <v/>
      </c>
      <c r="S470">
        <f>IF($B$13&gt;=0.6,Q470,IF($B$13&lt;=0.2,R470,R470+2.5*(Q470-R470)*($B$13-0.2)))</f>
        <v/>
      </c>
      <c r="T470">
        <f>IF(A470=1,S470,T469*$B$27+S470*(1-$B$27))</f>
        <v/>
      </c>
      <c r="U470">
        <f>0.6105*EXP(17.27*T470/(T470+237.3))</f>
        <v/>
      </c>
      <c r="V470">
        <f>($B$14*(I470*C470+IF(ABS((D470+0.1)-D470)&lt;0.000000001,4*$B$19*$B$20*(D470+273)^3,$B$19*$B$20*(((D470+0.1)+273)^4-(D470+273)^4)/((D470+0.1)-D470))*D470)+T470/H470)/($B$14*(I470+IF(ABS((D470+0.1)-D470)&lt;0.000000001,4*$B$19*$B$20*(D470+273)^3,$B$19*$B$20*(((D470+0.1)+273)^4-(D470+273)^4)/((D470+0.1)-D470)))+1/H470)</f>
        <v/>
      </c>
      <c r="W470">
        <f>($B$14*(I470*C470+IF(ABS(V470-D470)&lt;0.000000001,4*$B$19*$B$20*(D470+273)^3,$B$19*$B$20*((V470+273)^4-(D470+273)^4)/(V470-D470))*D470)+T470/H470)/($B$14*(I470+IF(ABS(V470-D470)&lt;0.000000001,4*$B$19*$B$20*(D470+273)^3,$B$19*$B$20*((V470+273)^4-(D470+273)^4)/(V470-D470)))+1/H470)</f>
        <v/>
      </c>
      <c r="X470">
        <f>($B$14*(I470*C470+IF(ABS(W470-D470)&lt;0.000000001,4*$B$19*$B$20*(D470+273)^3,$B$19*$B$20*((W470+273)^4-(D470+273)^4)/(W470-D470))*D470)+T470/H470)/($B$14*(I470+IF(ABS(W470-D470)&lt;0.000000001,4*$B$19*$B$20*(D470+273)^3,$B$19*$B$20*((W470+273)^4-(D470+273)^4)/(W470-D470)))+1/H470)</f>
        <v/>
      </c>
      <c r="Y470">
        <f>($B$14*(I470*C470+IF(ABS(X470-D470)&lt;0.000000001,4*$B$19*$B$20*(D470+273)^3,$B$19*$B$20*((X470+273)^4-(D470+273)^4)/(X470-D470))*D470)+T470/H470)/($B$14*(I470+IF(ABS(X470-D470)&lt;0.000000001,4*$B$19*$B$20*(D470+273)^3,$B$19*$B$20*((X470+273)^4-(D470+273)^4)/(X470-D470)))+1/H470)</f>
        <v/>
      </c>
      <c r="Z470">
        <f>IF(ABS(Y470-D470)&lt;0.000000001,4*$B$19*$B$20*(D470+273)^3,$B$19*$B$20*((Y470+273)^4-(D470+273)^4)/(Y470-D470))</f>
        <v/>
      </c>
      <c r="AA470">
        <f>$B$14*I470*(Y470-C470)</f>
        <v/>
      </c>
      <c r="AB470">
        <f>$B$14*Z470*(Y470-D470)</f>
        <v/>
      </c>
      <c r="AC470">
        <f>IF((U470-E470)/G470=0,0.001,(U470-E470)/G470)</f>
        <v/>
      </c>
      <c r="AD470">
        <f>F470-P470-J470-K470-AA470-AB470</f>
        <v/>
      </c>
      <c r="AE470">
        <f>AD470/AC470</f>
        <v/>
      </c>
      <c r="AF470">
        <f>IF(AD470&lt;=0,0,IF(AC470&lt;=0,$B$11,IF(AE470&gt;=1.7,$B$11,MIN(AD470/MAX(0.05,IF(AE470&gt;1,(2-AE470)^2/2,1-AE470^2/2)),$B$11))))</f>
        <v/>
      </c>
      <c r="AG470">
        <f>AG469*$B$28+AF470*(1-$B$28)</f>
        <v/>
      </c>
      <c r="AH470">
        <f>IF(AND(AD470&gt;0,AC470&lt;=0),0,AC470)</f>
        <v/>
      </c>
      <c r="AI470">
        <f>AH470/MAX(AG470,0.000001)</f>
        <v/>
      </c>
      <c r="AJ470">
        <f>MIN(IF(AI470&gt;=0.5,-AI470+SQRT(AI470^2+2),1),$B$12)</f>
        <v/>
      </c>
      <c r="AK470">
        <f>IF(AG470&lt;=0,0,AJ470*AH470)</f>
        <v/>
      </c>
      <c r="AL470">
        <f>IF(AD470&lt;=0,0,AD470)</f>
        <v/>
      </c>
      <c r="AM470">
        <f>AL470-AK470+P470</f>
        <v/>
      </c>
      <c r="AN470">
        <f>((AM470/$B$7+T469*AS469/2-T470*MAX(0.1,MIN(0.3,0.3-0.09*(AR469-36.8)))/2)+AR469*(1-AS469/2))/(1-MAX(0.1,MIN(0.3,0.3-0.09*(AR469-36.8)))/2)</f>
        <v/>
      </c>
      <c r="AO470">
        <f>((AM470/$B$7+T469*AS469/2-T470*MAX(0.1,MIN(0.3,0.3-0.09*(AN470-36.8)))/2)+AR469*(1-AS469/2))/(1-MAX(0.1,MIN(0.3,0.3-0.09*(AN470-36.8)))/2)</f>
        <v/>
      </c>
      <c r="AP470">
        <f>((AM470/$B$7+T469*AS469/2-T470*MAX(0.1,MIN(0.3,0.3-0.09*(AO470-36.8)))/2)+AR469*(1-AS469/2))/(1-MAX(0.1,MIN(0.3,0.3-0.09*(AO470-36.8)))/2)</f>
        <v/>
      </c>
      <c r="AQ470">
        <f>((AM470/$B$7+T469*AS469/2-T470*MAX(0.1,MIN(0.3,0.3-0.09*(AP470-36.8)))/2)+AR469*(1-AS469/2))/(1-MAX(0.1,MIN(0.3,0.3-0.09*(AP470-36.8)))/2)</f>
        <v/>
      </c>
      <c r="AR470">
        <f>((AM470/$B$7+T469*AS469/2-T470*MAX(0.1,MIN(0.3,0.3-0.09*(AQ470-36.8)))/2)+AR469*(1-AS469/2))/(1-MAX(0.1,MIN(0.3,0.3-0.09*(AQ470-36.8)))/2)</f>
        <v/>
      </c>
      <c r="AS470">
        <f>MAX(0.1,MIN(0.3,0.3-0.09*(AR470-36.8)))</f>
        <v/>
      </c>
      <c r="AT470">
        <f>AT469+(2*AR470-1.962*AT469-1.31)/9</f>
        <v/>
      </c>
      <c r="AU470">
        <f>AU469+AG470+K470</f>
        <v/>
      </c>
      <c r="AV470">
        <f>AU470*2.67*$B$6/1.8/60</f>
        <v/>
      </c>
      <c r="AW470">
        <f>IF(AT470&gt;=$B$36,1,0)</f>
        <v/>
      </c>
      <c r="AX470">
        <f>IF(AV470&gt;=$B$21,1,0)</f>
        <v/>
      </c>
    </row>
    <row r="471">
      <c r="A471" t="n">
        <v>398</v>
      </c>
      <c r="B471">
        <f>MATCH(A471-1,$D$61:$D$68,1)</f>
        <v/>
      </c>
      <c r="C471">
        <f>INDEX($G$61:$G$68,B471)</f>
        <v/>
      </c>
      <c r="D471">
        <f>INDEX($L$61:$L$68,B471)</f>
        <v/>
      </c>
      <c r="E471">
        <f>INDEX($M$61:$M$68,B471)</f>
        <v/>
      </c>
      <c r="F471">
        <f>INDEX($N$61:$N$68,B471)</f>
        <v/>
      </c>
      <c r="G471">
        <f>INDEX($AA$61:$AA$68,B471)</f>
        <v/>
      </c>
      <c r="H471">
        <f>INDEX($X$61:$X$68,B471)</f>
        <v/>
      </c>
      <c r="I471">
        <f>INDEX($AF$61:$AF$68,B471)</f>
        <v/>
      </c>
      <c r="J471">
        <f>INDEX($AC$61:$AC$68,B471)</f>
        <v/>
      </c>
      <c r="K471">
        <f>INDEX($AD$61:$AD$68,B471)</f>
        <v/>
      </c>
      <c r="L471">
        <f>INDEX($AG$61:$AG$68,B471)</f>
        <v/>
      </c>
      <c r="M471">
        <f>INDEX($AH$61:$AH$68,B471)</f>
        <v/>
      </c>
      <c r="N471">
        <f>INDEX($AI$61:$AI$68,B471)</f>
        <v/>
      </c>
      <c r="O471">
        <f>O470*$B$26+L471*(1-$B$26)</f>
        <v/>
      </c>
      <c r="P471">
        <f>$B$7*(O471-O470)*(1-AS470)</f>
        <v/>
      </c>
      <c r="Q471">
        <f>M471+0.51274*AT470</f>
        <v/>
      </c>
      <c r="R471">
        <f>N471+0.616*AT470</f>
        <v/>
      </c>
      <c r="S471">
        <f>IF($B$13&gt;=0.6,Q471,IF($B$13&lt;=0.2,R471,R471+2.5*(Q471-R471)*($B$13-0.2)))</f>
        <v/>
      </c>
      <c r="T471">
        <f>IF(A471=1,S471,T470*$B$27+S471*(1-$B$27))</f>
        <v/>
      </c>
      <c r="U471">
        <f>0.6105*EXP(17.27*T471/(T471+237.3))</f>
        <v/>
      </c>
      <c r="V471">
        <f>($B$14*(I471*C471+IF(ABS((D471+0.1)-D471)&lt;0.000000001,4*$B$19*$B$20*(D471+273)^3,$B$19*$B$20*(((D471+0.1)+273)^4-(D471+273)^4)/((D471+0.1)-D471))*D471)+T471/H471)/($B$14*(I471+IF(ABS((D471+0.1)-D471)&lt;0.000000001,4*$B$19*$B$20*(D471+273)^3,$B$19*$B$20*(((D471+0.1)+273)^4-(D471+273)^4)/((D471+0.1)-D471)))+1/H471)</f>
        <v/>
      </c>
      <c r="W471">
        <f>($B$14*(I471*C471+IF(ABS(V471-D471)&lt;0.000000001,4*$B$19*$B$20*(D471+273)^3,$B$19*$B$20*((V471+273)^4-(D471+273)^4)/(V471-D471))*D471)+T471/H471)/($B$14*(I471+IF(ABS(V471-D471)&lt;0.000000001,4*$B$19*$B$20*(D471+273)^3,$B$19*$B$20*((V471+273)^4-(D471+273)^4)/(V471-D471)))+1/H471)</f>
        <v/>
      </c>
      <c r="X471">
        <f>($B$14*(I471*C471+IF(ABS(W471-D471)&lt;0.000000001,4*$B$19*$B$20*(D471+273)^3,$B$19*$B$20*((W471+273)^4-(D471+273)^4)/(W471-D471))*D471)+T471/H471)/($B$14*(I471+IF(ABS(W471-D471)&lt;0.000000001,4*$B$19*$B$20*(D471+273)^3,$B$19*$B$20*((W471+273)^4-(D471+273)^4)/(W471-D471)))+1/H471)</f>
        <v/>
      </c>
      <c r="Y471">
        <f>($B$14*(I471*C471+IF(ABS(X471-D471)&lt;0.000000001,4*$B$19*$B$20*(D471+273)^3,$B$19*$B$20*((X471+273)^4-(D471+273)^4)/(X471-D471))*D471)+T471/H471)/($B$14*(I471+IF(ABS(X471-D471)&lt;0.000000001,4*$B$19*$B$20*(D471+273)^3,$B$19*$B$20*((X471+273)^4-(D471+273)^4)/(X471-D471)))+1/H471)</f>
        <v/>
      </c>
      <c r="Z471">
        <f>IF(ABS(Y471-D471)&lt;0.000000001,4*$B$19*$B$20*(D471+273)^3,$B$19*$B$20*((Y471+273)^4-(D471+273)^4)/(Y471-D471))</f>
        <v/>
      </c>
      <c r="AA471">
        <f>$B$14*I471*(Y471-C471)</f>
        <v/>
      </c>
      <c r="AB471">
        <f>$B$14*Z471*(Y471-D471)</f>
        <v/>
      </c>
      <c r="AC471">
        <f>IF((U471-E471)/G471=0,0.001,(U471-E471)/G471)</f>
        <v/>
      </c>
      <c r="AD471">
        <f>F471-P471-J471-K471-AA471-AB471</f>
        <v/>
      </c>
      <c r="AE471">
        <f>AD471/AC471</f>
        <v/>
      </c>
      <c r="AF471">
        <f>IF(AD471&lt;=0,0,IF(AC471&lt;=0,$B$11,IF(AE471&gt;=1.7,$B$11,MIN(AD471/MAX(0.05,IF(AE471&gt;1,(2-AE471)^2/2,1-AE471^2/2)),$B$11))))</f>
        <v/>
      </c>
      <c r="AG471">
        <f>AG470*$B$28+AF471*(1-$B$28)</f>
        <v/>
      </c>
      <c r="AH471">
        <f>IF(AND(AD471&gt;0,AC471&lt;=0),0,AC471)</f>
        <v/>
      </c>
      <c r="AI471">
        <f>AH471/MAX(AG471,0.000001)</f>
        <v/>
      </c>
      <c r="AJ471">
        <f>MIN(IF(AI471&gt;=0.5,-AI471+SQRT(AI471^2+2),1),$B$12)</f>
        <v/>
      </c>
      <c r="AK471">
        <f>IF(AG471&lt;=0,0,AJ471*AH471)</f>
        <v/>
      </c>
      <c r="AL471">
        <f>IF(AD471&lt;=0,0,AD471)</f>
        <v/>
      </c>
      <c r="AM471">
        <f>AL471-AK471+P471</f>
        <v/>
      </c>
      <c r="AN471">
        <f>((AM471/$B$7+T470*AS470/2-T471*MAX(0.1,MIN(0.3,0.3-0.09*(AR470-36.8)))/2)+AR470*(1-AS470/2))/(1-MAX(0.1,MIN(0.3,0.3-0.09*(AR470-36.8)))/2)</f>
        <v/>
      </c>
      <c r="AO471">
        <f>((AM471/$B$7+T470*AS470/2-T471*MAX(0.1,MIN(0.3,0.3-0.09*(AN471-36.8)))/2)+AR470*(1-AS470/2))/(1-MAX(0.1,MIN(0.3,0.3-0.09*(AN471-36.8)))/2)</f>
        <v/>
      </c>
      <c r="AP471">
        <f>((AM471/$B$7+T470*AS470/2-T471*MAX(0.1,MIN(0.3,0.3-0.09*(AO471-36.8)))/2)+AR470*(1-AS470/2))/(1-MAX(0.1,MIN(0.3,0.3-0.09*(AO471-36.8)))/2)</f>
        <v/>
      </c>
      <c r="AQ471">
        <f>((AM471/$B$7+T470*AS470/2-T471*MAX(0.1,MIN(0.3,0.3-0.09*(AP471-36.8)))/2)+AR470*(1-AS470/2))/(1-MAX(0.1,MIN(0.3,0.3-0.09*(AP471-36.8)))/2)</f>
        <v/>
      </c>
      <c r="AR471">
        <f>((AM471/$B$7+T470*AS470/2-T471*MAX(0.1,MIN(0.3,0.3-0.09*(AQ471-36.8)))/2)+AR470*(1-AS470/2))/(1-MAX(0.1,MIN(0.3,0.3-0.09*(AQ471-36.8)))/2)</f>
        <v/>
      </c>
      <c r="AS471">
        <f>MAX(0.1,MIN(0.3,0.3-0.09*(AR471-36.8)))</f>
        <v/>
      </c>
      <c r="AT471">
        <f>AT470+(2*AR471-1.962*AT470-1.31)/9</f>
        <v/>
      </c>
      <c r="AU471">
        <f>AU470+AG471+K471</f>
        <v/>
      </c>
      <c r="AV471">
        <f>AU471*2.67*$B$6/1.8/60</f>
        <v/>
      </c>
      <c r="AW471">
        <f>IF(AT471&gt;=$B$36,1,0)</f>
        <v/>
      </c>
      <c r="AX471">
        <f>IF(AV471&gt;=$B$21,1,0)</f>
        <v/>
      </c>
    </row>
    <row r="472">
      <c r="A472" t="n">
        <v>399</v>
      </c>
      <c r="B472">
        <f>MATCH(A472-1,$D$61:$D$68,1)</f>
        <v/>
      </c>
      <c r="C472">
        <f>INDEX($G$61:$G$68,B472)</f>
        <v/>
      </c>
      <c r="D472">
        <f>INDEX($L$61:$L$68,B472)</f>
        <v/>
      </c>
      <c r="E472">
        <f>INDEX($M$61:$M$68,B472)</f>
        <v/>
      </c>
      <c r="F472">
        <f>INDEX($N$61:$N$68,B472)</f>
        <v/>
      </c>
      <c r="G472">
        <f>INDEX($AA$61:$AA$68,B472)</f>
        <v/>
      </c>
      <c r="H472">
        <f>INDEX($X$61:$X$68,B472)</f>
        <v/>
      </c>
      <c r="I472">
        <f>INDEX($AF$61:$AF$68,B472)</f>
        <v/>
      </c>
      <c r="J472">
        <f>INDEX($AC$61:$AC$68,B472)</f>
        <v/>
      </c>
      <c r="K472">
        <f>INDEX($AD$61:$AD$68,B472)</f>
        <v/>
      </c>
      <c r="L472">
        <f>INDEX($AG$61:$AG$68,B472)</f>
        <v/>
      </c>
      <c r="M472">
        <f>INDEX($AH$61:$AH$68,B472)</f>
        <v/>
      </c>
      <c r="N472">
        <f>INDEX($AI$61:$AI$68,B472)</f>
        <v/>
      </c>
      <c r="O472">
        <f>O471*$B$26+L472*(1-$B$26)</f>
        <v/>
      </c>
      <c r="P472">
        <f>$B$7*(O472-O471)*(1-AS471)</f>
        <v/>
      </c>
      <c r="Q472">
        <f>M472+0.51274*AT471</f>
        <v/>
      </c>
      <c r="R472">
        <f>N472+0.616*AT471</f>
        <v/>
      </c>
      <c r="S472">
        <f>IF($B$13&gt;=0.6,Q472,IF($B$13&lt;=0.2,R472,R472+2.5*(Q472-R472)*($B$13-0.2)))</f>
        <v/>
      </c>
      <c r="T472">
        <f>IF(A472=1,S472,T471*$B$27+S472*(1-$B$27))</f>
        <v/>
      </c>
      <c r="U472">
        <f>0.6105*EXP(17.27*T472/(T472+237.3))</f>
        <v/>
      </c>
      <c r="V472">
        <f>($B$14*(I472*C472+IF(ABS((D472+0.1)-D472)&lt;0.000000001,4*$B$19*$B$20*(D472+273)^3,$B$19*$B$20*(((D472+0.1)+273)^4-(D472+273)^4)/((D472+0.1)-D472))*D472)+T472/H472)/($B$14*(I472+IF(ABS((D472+0.1)-D472)&lt;0.000000001,4*$B$19*$B$20*(D472+273)^3,$B$19*$B$20*(((D472+0.1)+273)^4-(D472+273)^4)/((D472+0.1)-D472)))+1/H472)</f>
        <v/>
      </c>
      <c r="W472">
        <f>($B$14*(I472*C472+IF(ABS(V472-D472)&lt;0.000000001,4*$B$19*$B$20*(D472+273)^3,$B$19*$B$20*((V472+273)^4-(D472+273)^4)/(V472-D472))*D472)+T472/H472)/($B$14*(I472+IF(ABS(V472-D472)&lt;0.000000001,4*$B$19*$B$20*(D472+273)^3,$B$19*$B$20*((V472+273)^4-(D472+273)^4)/(V472-D472)))+1/H472)</f>
        <v/>
      </c>
      <c r="X472">
        <f>($B$14*(I472*C472+IF(ABS(W472-D472)&lt;0.000000001,4*$B$19*$B$20*(D472+273)^3,$B$19*$B$20*((W472+273)^4-(D472+273)^4)/(W472-D472))*D472)+T472/H472)/($B$14*(I472+IF(ABS(W472-D472)&lt;0.000000001,4*$B$19*$B$20*(D472+273)^3,$B$19*$B$20*((W472+273)^4-(D472+273)^4)/(W472-D472)))+1/H472)</f>
        <v/>
      </c>
      <c r="Y472">
        <f>($B$14*(I472*C472+IF(ABS(X472-D472)&lt;0.000000001,4*$B$19*$B$20*(D472+273)^3,$B$19*$B$20*((X472+273)^4-(D472+273)^4)/(X472-D472))*D472)+T472/H472)/($B$14*(I472+IF(ABS(X472-D472)&lt;0.000000001,4*$B$19*$B$20*(D472+273)^3,$B$19*$B$20*((X472+273)^4-(D472+273)^4)/(X472-D472)))+1/H472)</f>
        <v/>
      </c>
      <c r="Z472">
        <f>IF(ABS(Y472-D472)&lt;0.000000001,4*$B$19*$B$20*(D472+273)^3,$B$19*$B$20*((Y472+273)^4-(D472+273)^4)/(Y472-D472))</f>
        <v/>
      </c>
      <c r="AA472">
        <f>$B$14*I472*(Y472-C472)</f>
        <v/>
      </c>
      <c r="AB472">
        <f>$B$14*Z472*(Y472-D472)</f>
        <v/>
      </c>
      <c r="AC472">
        <f>IF((U472-E472)/G472=0,0.001,(U472-E472)/G472)</f>
        <v/>
      </c>
      <c r="AD472">
        <f>F472-P472-J472-K472-AA472-AB472</f>
        <v/>
      </c>
      <c r="AE472">
        <f>AD472/AC472</f>
        <v/>
      </c>
      <c r="AF472">
        <f>IF(AD472&lt;=0,0,IF(AC472&lt;=0,$B$11,IF(AE472&gt;=1.7,$B$11,MIN(AD472/MAX(0.05,IF(AE472&gt;1,(2-AE472)^2/2,1-AE472^2/2)),$B$11))))</f>
        <v/>
      </c>
      <c r="AG472">
        <f>AG471*$B$28+AF472*(1-$B$28)</f>
        <v/>
      </c>
      <c r="AH472">
        <f>IF(AND(AD472&gt;0,AC472&lt;=0),0,AC472)</f>
        <v/>
      </c>
      <c r="AI472">
        <f>AH472/MAX(AG472,0.000001)</f>
        <v/>
      </c>
      <c r="AJ472">
        <f>MIN(IF(AI472&gt;=0.5,-AI472+SQRT(AI472^2+2),1),$B$12)</f>
        <v/>
      </c>
      <c r="AK472">
        <f>IF(AG472&lt;=0,0,AJ472*AH472)</f>
        <v/>
      </c>
      <c r="AL472">
        <f>IF(AD472&lt;=0,0,AD472)</f>
        <v/>
      </c>
      <c r="AM472">
        <f>AL472-AK472+P472</f>
        <v/>
      </c>
      <c r="AN472">
        <f>((AM472/$B$7+T471*AS471/2-T472*MAX(0.1,MIN(0.3,0.3-0.09*(AR471-36.8)))/2)+AR471*(1-AS471/2))/(1-MAX(0.1,MIN(0.3,0.3-0.09*(AR471-36.8)))/2)</f>
        <v/>
      </c>
      <c r="AO472">
        <f>((AM472/$B$7+T471*AS471/2-T472*MAX(0.1,MIN(0.3,0.3-0.09*(AN472-36.8)))/2)+AR471*(1-AS471/2))/(1-MAX(0.1,MIN(0.3,0.3-0.09*(AN472-36.8)))/2)</f>
        <v/>
      </c>
      <c r="AP472">
        <f>((AM472/$B$7+T471*AS471/2-T472*MAX(0.1,MIN(0.3,0.3-0.09*(AO472-36.8)))/2)+AR471*(1-AS471/2))/(1-MAX(0.1,MIN(0.3,0.3-0.09*(AO472-36.8)))/2)</f>
        <v/>
      </c>
      <c r="AQ472">
        <f>((AM472/$B$7+T471*AS471/2-T472*MAX(0.1,MIN(0.3,0.3-0.09*(AP472-36.8)))/2)+AR471*(1-AS471/2))/(1-MAX(0.1,MIN(0.3,0.3-0.09*(AP472-36.8)))/2)</f>
        <v/>
      </c>
      <c r="AR472">
        <f>((AM472/$B$7+T471*AS471/2-T472*MAX(0.1,MIN(0.3,0.3-0.09*(AQ472-36.8)))/2)+AR471*(1-AS471/2))/(1-MAX(0.1,MIN(0.3,0.3-0.09*(AQ472-36.8)))/2)</f>
        <v/>
      </c>
      <c r="AS472">
        <f>MAX(0.1,MIN(0.3,0.3-0.09*(AR472-36.8)))</f>
        <v/>
      </c>
      <c r="AT472">
        <f>AT471+(2*AR472-1.962*AT471-1.31)/9</f>
        <v/>
      </c>
      <c r="AU472">
        <f>AU471+AG472+K472</f>
        <v/>
      </c>
      <c r="AV472">
        <f>AU472*2.67*$B$6/1.8/60</f>
        <v/>
      </c>
      <c r="AW472">
        <f>IF(AT472&gt;=$B$36,1,0)</f>
        <v/>
      </c>
      <c r="AX472">
        <f>IF(AV472&gt;=$B$21,1,0)</f>
        <v/>
      </c>
    </row>
    <row r="473">
      <c r="A473" t="n">
        <v>400</v>
      </c>
      <c r="B473">
        <f>MATCH(A473-1,$D$61:$D$68,1)</f>
        <v/>
      </c>
      <c r="C473">
        <f>INDEX($G$61:$G$68,B473)</f>
        <v/>
      </c>
      <c r="D473">
        <f>INDEX($L$61:$L$68,B473)</f>
        <v/>
      </c>
      <c r="E473">
        <f>INDEX($M$61:$M$68,B473)</f>
        <v/>
      </c>
      <c r="F473">
        <f>INDEX($N$61:$N$68,B473)</f>
        <v/>
      </c>
      <c r="G473">
        <f>INDEX($AA$61:$AA$68,B473)</f>
        <v/>
      </c>
      <c r="H473">
        <f>INDEX($X$61:$X$68,B473)</f>
        <v/>
      </c>
      <c r="I473">
        <f>INDEX($AF$61:$AF$68,B473)</f>
        <v/>
      </c>
      <c r="J473">
        <f>INDEX($AC$61:$AC$68,B473)</f>
        <v/>
      </c>
      <c r="K473">
        <f>INDEX($AD$61:$AD$68,B473)</f>
        <v/>
      </c>
      <c r="L473">
        <f>INDEX($AG$61:$AG$68,B473)</f>
        <v/>
      </c>
      <c r="M473">
        <f>INDEX($AH$61:$AH$68,B473)</f>
        <v/>
      </c>
      <c r="N473">
        <f>INDEX($AI$61:$AI$68,B473)</f>
        <v/>
      </c>
      <c r="O473">
        <f>O472*$B$26+L473*(1-$B$26)</f>
        <v/>
      </c>
      <c r="P473">
        <f>$B$7*(O473-O472)*(1-AS472)</f>
        <v/>
      </c>
      <c r="Q473">
        <f>M473+0.51274*AT472</f>
        <v/>
      </c>
      <c r="R473">
        <f>N473+0.616*AT472</f>
        <v/>
      </c>
      <c r="S473">
        <f>IF($B$13&gt;=0.6,Q473,IF($B$13&lt;=0.2,R473,R473+2.5*(Q473-R473)*($B$13-0.2)))</f>
        <v/>
      </c>
      <c r="T473">
        <f>IF(A473=1,S473,T472*$B$27+S473*(1-$B$27))</f>
        <v/>
      </c>
      <c r="U473">
        <f>0.6105*EXP(17.27*T473/(T473+237.3))</f>
        <v/>
      </c>
      <c r="V473">
        <f>($B$14*(I473*C473+IF(ABS((D473+0.1)-D473)&lt;0.000000001,4*$B$19*$B$20*(D473+273)^3,$B$19*$B$20*(((D473+0.1)+273)^4-(D473+273)^4)/((D473+0.1)-D473))*D473)+T473/H473)/($B$14*(I473+IF(ABS((D473+0.1)-D473)&lt;0.000000001,4*$B$19*$B$20*(D473+273)^3,$B$19*$B$20*(((D473+0.1)+273)^4-(D473+273)^4)/((D473+0.1)-D473)))+1/H473)</f>
        <v/>
      </c>
      <c r="W473">
        <f>($B$14*(I473*C473+IF(ABS(V473-D473)&lt;0.000000001,4*$B$19*$B$20*(D473+273)^3,$B$19*$B$20*((V473+273)^4-(D473+273)^4)/(V473-D473))*D473)+T473/H473)/($B$14*(I473+IF(ABS(V473-D473)&lt;0.000000001,4*$B$19*$B$20*(D473+273)^3,$B$19*$B$20*((V473+273)^4-(D473+273)^4)/(V473-D473)))+1/H473)</f>
        <v/>
      </c>
      <c r="X473">
        <f>($B$14*(I473*C473+IF(ABS(W473-D473)&lt;0.000000001,4*$B$19*$B$20*(D473+273)^3,$B$19*$B$20*((W473+273)^4-(D473+273)^4)/(W473-D473))*D473)+T473/H473)/($B$14*(I473+IF(ABS(W473-D473)&lt;0.000000001,4*$B$19*$B$20*(D473+273)^3,$B$19*$B$20*((W473+273)^4-(D473+273)^4)/(W473-D473)))+1/H473)</f>
        <v/>
      </c>
      <c r="Y473">
        <f>($B$14*(I473*C473+IF(ABS(X473-D473)&lt;0.000000001,4*$B$19*$B$20*(D473+273)^3,$B$19*$B$20*((X473+273)^4-(D473+273)^4)/(X473-D473))*D473)+T473/H473)/($B$14*(I473+IF(ABS(X473-D473)&lt;0.000000001,4*$B$19*$B$20*(D473+273)^3,$B$19*$B$20*((X473+273)^4-(D473+273)^4)/(X473-D473)))+1/H473)</f>
        <v/>
      </c>
      <c r="Z473">
        <f>IF(ABS(Y473-D473)&lt;0.000000001,4*$B$19*$B$20*(D473+273)^3,$B$19*$B$20*((Y473+273)^4-(D473+273)^4)/(Y473-D473))</f>
        <v/>
      </c>
      <c r="AA473">
        <f>$B$14*I473*(Y473-C473)</f>
        <v/>
      </c>
      <c r="AB473">
        <f>$B$14*Z473*(Y473-D473)</f>
        <v/>
      </c>
      <c r="AC473">
        <f>IF((U473-E473)/G473=0,0.001,(U473-E473)/G473)</f>
        <v/>
      </c>
      <c r="AD473">
        <f>F473-P473-J473-K473-AA473-AB473</f>
        <v/>
      </c>
      <c r="AE473">
        <f>AD473/AC473</f>
        <v/>
      </c>
      <c r="AF473">
        <f>IF(AD473&lt;=0,0,IF(AC473&lt;=0,$B$11,IF(AE473&gt;=1.7,$B$11,MIN(AD473/MAX(0.05,IF(AE473&gt;1,(2-AE473)^2/2,1-AE473^2/2)),$B$11))))</f>
        <v/>
      </c>
      <c r="AG473">
        <f>AG472*$B$28+AF473*(1-$B$28)</f>
        <v/>
      </c>
      <c r="AH473">
        <f>IF(AND(AD473&gt;0,AC473&lt;=0),0,AC473)</f>
        <v/>
      </c>
      <c r="AI473">
        <f>AH473/MAX(AG473,0.000001)</f>
        <v/>
      </c>
      <c r="AJ473">
        <f>MIN(IF(AI473&gt;=0.5,-AI473+SQRT(AI473^2+2),1),$B$12)</f>
        <v/>
      </c>
      <c r="AK473">
        <f>IF(AG473&lt;=0,0,AJ473*AH473)</f>
        <v/>
      </c>
      <c r="AL473">
        <f>IF(AD473&lt;=0,0,AD473)</f>
        <v/>
      </c>
      <c r="AM473">
        <f>AL473-AK473+P473</f>
        <v/>
      </c>
      <c r="AN473">
        <f>((AM473/$B$7+T472*AS472/2-T473*MAX(0.1,MIN(0.3,0.3-0.09*(AR472-36.8)))/2)+AR472*(1-AS472/2))/(1-MAX(0.1,MIN(0.3,0.3-0.09*(AR472-36.8)))/2)</f>
        <v/>
      </c>
      <c r="AO473">
        <f>((AM473/$B$7+T472*AS472/2-T473*MAX(0.1,MIN(0.3,0.3-0.09*(AN473-36.8)))/2)+AR472*(1-AS472/2))/(1-MAX(0.1,MIN(0.3,0.3-0.09*(AN473-36.8)))/2)</f>
        <v/>
      </c>
      <c r="AP473">
        <f>((AM473/$B$7+T472*AS472/2-T473*MAX(0.1,MIN(0.3,0.3-0.09*(AO473-36.8)))/2)+AR472*(1-AS472/2))/(1-MAX(0.1,MIN(0.3,0.3-0.09*(AO473-36.8)))/2)</f>
        <v/>
      </c>
      <c r="AQ473">
        <f>((AM473/$B$7+T472*AS472/2-T473*MAX(0.1,MIN(0.3,0.3-0.09*(AP473-36.8)))/2)+AR472*(1-AS472/2))/(1-MAX(0.1,MIN(0.3,0.3-0.09*(AP473-36.8)))/2)</f>
        <v/>
      </c>
      <c r="AR473">
        <f>((AM473/$B$7+T472*AS472/2-T473*MAX(0.1,MIN(0.3,0.3-0.09*(AQ473-36.8)))/2)+AR472*(1-AS472/2))/(1-MAX(0.1,MIN(0.3,0.3-0.09*(AQ473-36.8)))/2)</f>
        <v/>
      </c>
      <c r="AS473">
        <f>MAX(0.1,MIN(0.3,0.3-0.09*(AR473-36.8)))</f>
        <v/>
      </c>
      <c r="AT473">
        <f>AT472+(2*AR473-1.962*AT472-1.31)/9</f>
        <v/>
      </c>
      <c r="AU473">
        <f>AU472+AG473+K473</f>
        <v/>
      </c>
      <c r="AV473">
        <f>AU473*2.67*$B$6/1.8/60</f>
        <v/>
      </c>
      <c r="AW473">
        <f>IF(AT473&gt;=$B$36,1,0)</f>
        <v/>
      </c>
      <c r="AX473">
        <f>IF(AV473&gt;=$B$21,1,0)</f>
        <v/>
      </c>
    </row>
    <row r="474">
      <c r="A474" t="n">
        <v>401</v>
      </c>
      <c r="B474">
        <f>MATCH(A474-1,$D$61:$D$68,1)</f>
        <v/>
      </c>
      <c r="C474">
        <f>INDEX($G$61:$G$68,B474)</f>
        <v/>
      </c>
      <c r="D474">
        <f>INDEX($L$61:$L$68,B474)</f>
        <v/>
      </c>
      <c r="E474">
        <f>INDEX($M$61:$M$68,B474)</f>
        <v/>
      </c>
      <c r="F474">
        <f>INDEX($N$61:$N$68,B474)</f>
        <v/>
      </c>
      <c r="G474">
        <f>INDEX($AA$61:$AA$68,B474)</f>
        <v/>
      </c>
      <c r="H474">
        <f>INDEX($X$61:$X$68,B474)</f>
        <v/>
      </c>
      <c r="I474">
        <f>INDEX($AF$61:$AF$68,B474)</f>
        <v/>
      </c>
      <c r="J474">
        <f>INDEX($AC$61:$AC$68,B474)</f>
        <v/>
      </c>
      <c r="K474">
        <f>INDEX($AD$61:$AD$68,B474)</f>
        <v/>
      </c>
      <c r="L474">
        <f>INDEX($AG$61:$AG$68,B474)</f>
        <v/>
      </c>
      <c r="M474">
        <f>INDEX($AH$61:$AH$68,B474)</f>
        <v/>
      </c>
      <c r="N474">
        <f>INDEX($AI$61:$AI$68,B474)</f>
        <v/>
      </c>
      <c r="O474">
        <f>O473*$B$26+L474*(1-$B$26)</f>
        <v/>
      </c>
      <c r="P474">
        <f>$B$7*(O474-O473)*(1-AS473)</f>
        <v/>
      </c>
      <c r="Q474">
        <f>M474+0.51274*AT473</f>
        <v/>
      </c>
      <c r="R474">
        <f>N474+0.616*AT473</f>
        <v/>
      </c>
      <c r="S474">
        <f>IF($B$13&gt;=0.6,Q474,IF($B$13&lt;=0.2,R474,R474+2.5*(Q474-R474)*($B$13-0.2)))</f>
        <v/>
      </c>
      <c r="T474">
        <f>IF(A474=1,S474,T473*$B$27+S474*(1-$B$27))</f>
        <v/>
      </c>
      <c r="U474">
        <f>0.6105*EXP(17.27*T474/(T474+237.3))</f>
        <v/>
      </c>
      <c r="V474">
        <f>($B$14*(I474*C474+IF(ABS((D474+0.1)-D474)&lt;0.000000001,4*$B$19*$B$20*(D474+273)^3,$B$19*$B$20*(((D474+0.1)+273)^4-(D474+273)^4)/((D474+0.1)-D474))*D474)+T474/H474)/($B$14*(I474+IF(ABS((D474+0.1)-D474)&lt;0.000000001,4*$B$19*$B$20*(D474+273)^3,$B$19*$B$20*(((D474+0.1)+273)^4-(D474+273)^4)/((D474+0.1)-D474)))+1/H474)</f>
        <v/>
      </c>
      <c r="W474">
        <f>($B$14*(I474*C474+IF(ABS(V474-D474)&lt;0.000000001,4*$B$19*$B$20*(D474+273)^3,$B$19*$B$20*((V474+273)^4-(D474+273)^4)/(V474-D474))*D474)+T474/H474)/($B$14*(I474+IF(ABS(V474-D474)&lt;0.000000001,4*$B$19*$B$20*(D474+273)^3,$B$19*$B$20*((V474+273)^4-(D474+273)^4)/(V474-D474)))+1/H474)</f>
        <v/>
      </c>
      <c r="X474">
        <f>($B$14*(I474*C474+IF(ABS(W474-D474)&lt;0.000000001,4*$B$19*$B$20*(D474+273)^3,$B$19*$B$20*((W474+273)^4-(D474+273)^4)/(W474-D474))*D474)+T474/H474)/($B$14*(I474+IF(ABS(W474-D474)&lt;0.000000001,4*$B$19*$B$20*(D474+273)^3,$B$19*$B$20*((W474+273)^4-(D474+273)^4)/(W474-D474)))+1/H474)</f>
        <v/>
      </c>
      <c r="Y474">
        <f>($B$14*(I474*C474+IF(ABS(X474-D474)&lt;0.000000001,4*$B$19*$B$20*(D474+273)^3,$B$19*$B$20*((X474+273)^4-(D474+273)^4)/(X474-D474))*D474)+T474/H474)/($B$14*(I474+IF(ABS(X474-D474)&lt;0.000000001,4*$B$19*$B$20*(D474+273)^3,$B$19*$B$20*((X474+273)^4-(D474+273)^4)/(X474-D474)))+1/H474)</f>
        <v/>
      </c>
      <c r="Z474">
        <f>IF(ABS(Y474-D474)&lt;0.000000001,4*$B$19*$B$20*(D474+273)^3,$B$19*$B$20*((Y474+273)^4-(D474+273)^4)/(Y474-D474))</f>
        <v/>
      </c>
      <c r="AA474">
        <f>$B$14*I474*(Y474-C474)</f>
        <v/>
      </c>
      <c r="AB474">
        <f>$B$14*Z474*(Y474-D474)</f>
        <v/>
      </c>
      <c r="AC474">
        <f>IF((U474-E474)/G474=0,0.001,(U474-E474)/G474)</f>
        <v/>
      </c>
      <c r="AD474">
        <f>F474-P474-J474-K474-AA474-AB474</f>
        <v/>
      </c>
      <c r="AE474">
        <f>AD474/AC474</f>
        <v/>
      </c>
      <c r="AF474">
        <f>IF(AD474&lt;=0,0,IF(AC474&lt;=0,$B$11,IF(AE474&gt;=1.7,$B$11,MIN(AD474/MAX(0.05,IF(AE474&gt;1,(2-AE474)^2/2,1-AE474^2/2)),$B$11))))</f>
        <v/>
      </c>
      <c r="AG474">
        <f>AG473*$B$28+AF474*(1-$B$28)</f>
        <v/>
      </c>
      <c r="AH474">
        <f>IF(AND(AD474&gt;0,AC474&lt;=0),0,AC474)</f>
        <v/>
      </c>
      <c r="AI474">
        <f>AH474/MAX(AG474,0.000001)</f>
        <v/>
      </c>
      <c r="AJ474">
        <f>MIN(IF(AI474&gt;=0.5,-AI474+SQRT(AI474^2+2),1),$B$12)</f>
        <v/>
      </c>
      <c r="AK474">
        <f>IF(AG474&lt;=0,0,AJ474*AH474)</f>
        <v/>
      </c>
      <c r="AL474">
        <f>IF(AD474&lt;=0,0,AD474)</f>
        <v/>
      </c>
      <c r="AM474">
        <f>AL474-AK474+P474</f>
        <v/>
      </c>
      <c r="AN474">
        <f>((AM474/$B$7+T473*AS473/2-T474*MAX(0.1,MIN(0.3,0.3-0.09*(AR473-36.8)))/2)+AR473*(1-AS473/2))/(1-MAX(0.1,MIN(0.3,0.3-0.09*(AR473-36.8)))/2)</f>
        <v/>
      </c>
      <c r="AO474">
        <f>((AM474/$B$7+T473*AS473/2-T474*MAX(0.1,MIN(0.3,0.3-0.09*(AN474-36.8)))/2)+AR473*(1-AS473/2))/(1-MAX(0.1,MIN(0.3,0.3-0.09*(AN474-36.8)))/2)</f>
        <v/>
      </c>
      <c r="AP474">
        <f>((AM474/$B$7+T473*AS473/2-T474*MAX(0.1,MIN(0.3,0.3-0.09*(AO474-36.8)))/2)+AR473*(1-AS473/2))/(1-MAX(0.1,MIN(0.3,0.3-0.09*(AO474-36.8)))/2)</f>
        <v/>
      </c>
      <c r="AQ474">
        <f>((AM474/$B$7+T473*AS473/2-T474*MAX(0.1,MIN(0.3,0.3-0.09*(AP474-36.8)))/2)+AR473*(1-AS473/2))/(1-MAX(0.1,MIN(0.3,0.3-0.09*(AP474-36.8)))/2)</f>
        <v/>
      </c>
      <c r="AR474">
        <f>((AM474/$B$7+T473*AS473/2-T474*MAX(0.1,MIN(0.3,0.3-0.09*(AQ474-36.8)))/2)+AR473*(1-AS473/2))/(1-MAX(0.1,MIN(0.3,0.3-0.09*(AQ474-36.8)))/2)</f>
        <v/>
      </c>
      <c r="AS474">
        <f>MAX(0.1,MIN(0.3,0.3-0.09*(AR474-36.8)))</f>
        <v/>
      </c>
      <c r="AT474">
        <f>AT473+(2*AR474-1.962*AT473-1.31)/9</f>
        <v/>
      </c>
      <c r="AU474">
        <f>AU473+AG474+K474</f>
        <v/>
      </c>
      <c r="AV474">
        <f>AU474*2.67*$B$6/1.8/60</f>
        <v/>
      </c>
      <c r="AW474">
        <f>IF(AT474&gt;=$B$36,1,0)</f>
        <v/>
      </c>
      <c r="AX474">
        <f>IF(AV474&gt;=$B$21,1,0)</f>
        <v/>
      </c>
    </row>
    <row r="475">
      <c r="A475" t="n">
        <v>402</v>
      </c>
      <c r="B475">
        <f>MATCH(A475-1,$D$61:$D$68,1)</f>
        <v/>
      </c>
      <c r="C475">
        <f>INDEX($G$61:$G$68,B475)</f>
        <v/>
      </c>
      <c r="D475">
        <f>INDEX($L$61:$L$68,B475)</f>
        <v/>
      </c>
      <c r="E475">
        <f>INDEX($M$61:$M$68,B475)</f>
        <v/>
      </c>
      <c r="F475">
        <f>INDEX($N$61:$N$68,B475)</f>
        <v/>
      </c>
      <c r="G475">
        <f>INDEX($AA$61:$AA$68,B475)</f>
        <v/>
      </c>
      <c r="H475">
        <f>INDEX($X$61:$X$68,B475)</f>
        <v/>
      </c>
      <c r="I475">
        <f>INDEX($AF$61:$AF$68,B475)</f>
        <v/>
      </c>
      <c r="J475">
        <f>INDEX($AC$61:$AC$68,B475)</f>
        <v/>
      </c>
      <c r="K475">
        <f>INDEX($AD$61:$AD$68,B475)</f>
        <v/>
      </c>
      <c r="L475">
        <f>INDEX($AG$61:$AG$68,B475)</f>
        <v/>
      </c>
      <c r="M475">
        <f>INDEX($AH$61:$AH$68,B475)</f>
        <v/>
      </c>
      <c r="N475">
        <f>INDEX($AI$61:$AI$68,B475)</f>
        <v/>
      </c>
      <c r="O475">
        <f>O474*$B$26+L475*(1-$B$26)</f>
        <v/>
      </c>
      <c r="P475">
        <f>$B$7*(O475-O474)*(1-AS474)</f>
        <v/>
      </c>
      <c r="Q475">
        <f>M475+0.51274*AT474</f>
        <v/>
      </c>
      <c r="R475">
        <f>N475+0.616*AT474</f>
        <v/>
      </c>
      <c r="S475">
        <f>IF($B$13&gt;=0.6,Q475,IF($B$13&lt;=0.2,R475,R475+2.5*(Q475-R475)*($B$13-0.2)))</f>
        <v/>
      </c>
      <c r="T475">
        <f>IF(A475=1,S475,T474*$B$27+S475*(1-$B$27))</f>
        <v/>
      </c>
      <c r="U475">
        <f>0.6105*EXP(17.27*T475/(T475+237.3))</f>
        <v/>
      </c>
      <c r="V475">
        <f>($B$14*(I475*C475+IF(ABS((D475+0.1)-D475)&lt;0.000000001,4*$B$19*$B$20*(D475+273)^3,$B$19*$B$20*(((D475+0.1)+273)^4-(D475+273)^4)/((D475+0.1)-D475))*D475)+T475/H475)/($B$14*(I475+IF(ABS((D475+0.1)-D475)&lt;0.000000001,4*$B$19*$B$20*(D475+273)^3,$B$19*$B$20*(((D475+0.1)+273)^4-(D475+273)^4)/((D475+0.1)-D475)))+1/H475)</f>
        <v/>
      </c>
      <c r="W475">
        <f>($B$14*(I475*C475+IF(ABS(V475-D475)&lt;0.000000001,4*$B$19*$B$20*(D475+273)^3,$B$19*$B$20*((V475+273)^4-(D475+273)^4)/(V475-D475))*D475)+T475/H475)/($B$14*(I475+IF(ABS(V475-D475)&lt;0.000000001,4*$B$19*$B$20*(D475+273)^3,$B$19*$B$20*((V475+273)^4-(D475+273)^4)/(V475-D475)))+1/H475)</f>
        <v/>
      </c>
      <c r="X475">
        <f>($B$14*(I475*C475+IF(ABS(W475-D475)&lt;0.000000001,4*$B$19*$B$20*(D475+273)^3,$B$19*$B$20*((W475+273)^4-(D475+273)^4)/(W475-D475))*D475)+T475/H475)/($B$14*(I475+IF(ABS(W475-D475)&lt;0.000000001,4*$B$19*$B$20*(D475+273)^3,$B$19*$B$20*((W475+273)^4-(D475+273)^4)/(W475-D475)))+1/H475)</f>
        <v/>
      </c>
      <c r="Y475">
        <f>($B$14*(I475*C475+IF(ABS(X475-D475)&lt;0.000000001,4*$B$19*$B$20*(D475+273)^3,$B$19*$B$20*((X475+273)^4-(D475+273)^4)/(X475-D475))*D475)+T475/H475)/($B$14*(I475+IF(ABS(X475-D475)&lt;0.000000001,4*$B$19*$B$20*(D475+273)^3,$B$19*$B$20*((X475+273)^4-(D475+273)^4)/(X475-D475)))+1/H475)</f>
        <v/>
      </c>
      <c r="Z475">
        <f>IF(ABS(Y475-D475)&lt;0.000000001,4*$B$19*$B$20*(D475+273)^3,$B$19*$B$20*((Y475+273)^4-(D475+273)^4)/(Y475-D475))</f>
        <v/>
      </c>
      <c r="AA475">
        <f>$B$14*I475*(Y475-C475)</f>
        <v/>
      </c>
      <c r="AB475">
        <f>$B$14*Z475*(Y475-D475)</f>
        <v/>
      </c>
      <c r="AC475">
        <f>IF((U475-E475)/G475=0,0.001,(U475-E475)/G475)</f>
        <v/>
      </c>
      <c r="AD475">
        <f>F475-P475-J475-K475-AA475-AB475</f>
        <v/>
      </c>
      <c r="AE475">
        <f>AD475/AC475</f>
        <v/>
      </c>
      <c r="AF475">
        <f>IF(AD475&lt;=0,0,IF(AC475&lt;=0,$B$11,IF(AE475&gt;=1.7,$B$11,MIN(AD475/MAX(0.05,IF(AE475&gt;1,(2-AE475)^2/2,1-AE475^2/2)),$B$11))))</f>
        <v/>
      </c>
      <c r="AG475">
        <f>AG474*$B$28+AF475*(1-$B$28)</f>
        <v/>
      </c>
      <c r="AH475">
        <f>IF(AND(AD475&gt;0,AC475&lt;=0),0,AC475)</f>
        <v/>
      </c>
      <c r="AI475">
        <f>AH475/MAX(AG475,0.000001)</f>
        <v/>
      </c>
      <c r="AJ475">
        <f>MIN(IF(AI475&gt;=0.5,-AI475+SQRT(AI475^2+2),1),$B$12)</f>
        <v/>
      </c>
      <c r="AK475">
        <f>IF(AG475&lt;=0,0,AJ475*AH475)</f>
        <v/>
      </c>
      <c r="AL475">
        <f>IF(AD475&lt;=0,0,AD475)</f>
        <v/>
      </c>
      <c r="AM475">
        <f>AL475-AK475+P475</f>
        <v/>
      </c>
      <c r="AN475">
        <f>((AM475/$B$7+T474*AS474/2-T475*MAX(0.1,MIN(0.3,0.3-0.09*(AR474-36.8)))/2)+AR474*(1-AS474/2))/(1-MAX(0.1,MIN(0.3,0.3-0.09*(AR474-36.8)))/2)</f>
        <v/>
      </c>
      <c r="AO475">
        <f>((AM475/$B$7+T474*AS474/2-T475*MAX(0.1,MIN(0.3,0.3-0.09*(AN475-36.8)))/2)+AR474*(1-AS474/2))/(1-MAX(0.1,MIN(0.3,0.3-0.09*(AN475-36.8)))/2)</f>
        <v/>
      </c>
      <c r="AP475">
        <f>((AM475/$B$7+T474*AS474/2-T475*MAX(0.1,MIN(0.3,0.3-0.09*(AO475-36.8)))/2)+AR474*(1-AS474/2))/(1-MAX(0.1,MIN(0.3,0.3-0.09*(AO475-36.8)))/2)</f>
        <v/>
      </c>
      <c r="AQ475">
        <f>((AM475/$B$7+T474*AS474/2-T475*MAX(0.1,MIN(0.3,0.3-0.09*(AP475-36.8)))/2)+AR474*(1-AS474/2))/(1-MAX(0.1,MIN(0.3,0.3-0.09*(AP475-36.8)))/2)</f>
        <v/>
      </c>
      <c r="AR475">
        <f>((AM475/$B$7+T474*AS474/2-T475*MAX(0.1,MIN(0.3,0.3-0.09*(AQ475-36.8)))/2)+AR474*(1-AS474/2))/(1-MAX(0.1,MIN(0.3,0.3-0.09*(AQ475-36.8)))/2)</f>
        <v/>
      </c>
      <c r="AS475">
        <f>MAX(0.1,MIN(0.3,0.3-0.09*(AR475-36.8)))</f>
        <v/>
      </c>
      <c r="AT475">
        <f>AT474+(2*AR475-1.962*AT474-1.31)/9</f>
        <v/>
      </c>
      <c r="AU475">
        <f>AU474+AG475+K475</f>
        <v/>
      </c>
      <c r="AV475">
        <f>AU475*2.67*$B$6/1.8/60</f>
        <v/>
      </c>
      <c r="AW475">
        <f>IF(AT475&gt;=$B$36,1,0)</f>
        <v/>
      </c>
      <c r="AX475">
        <f>IF(AV475&gt;=$B$21,1,0)</f>
        <v/>
      </c>
    </row>
    <row r="476">
      <c r="A476" t="n">
        <v>403</v>
      </c>
      <c r="B476">
        <f>MATCH(A476-1,$D$61:$D$68,1)</f>
        <v/>
      </c>
      <c r="C476">
        <f>INDEX($G$61:$G$68,B476)</f>
        <v/>
      </c>
      <c r="D476">
        <f>INDEX($L$61:$L$68,B476)</f>
        <v/>
      </c>
      <c r="E476">
        <f>INDEX($M$61:$M$68,B476)</f>
        <v/>
      </c>
      <c r="F476">
        <f>INDEX($N$61:$N$68,B476)</f>
        <v/>
      </c>
      <c r="G476">
        <f>INDEX($AA$61:$AA$68,B476)</f>
        <v/>
      </c>
      <c r="H476">
        <f>INDEX($X$61:$X$68,B476)</f>
        <v/>
      </c>
      <c r="I476">
        <f>INDEX($AF$61:$AF$68,B476)</f>
        <v/>
      </c>
      <c r="J476">
        <f>INDEX($AC$61:$AC$68,B476)</f>
        <v/>
      </c>
      <c r="K476">
        <f>INDEX($AD$61:$AD$68,B476)</f>
        <v/>
      </c>
      <c r="L476">
        <f>INDEX($AG$61:$AG$68,B476)</f>
        <v/>
      </c>
      <c r="M476">
        <f>INDEX($AH$61:$AH$68,B476)</f>
        <v/>
      </c>
      <c r="N476">
        <f>INDEX($AI$61:$AI$68,B476)</f>
        <v/>
      </c>
      <c r="O476">
        <f>O475*$B$26+L476*(1-$B$26)</f>
        <v/>
      </c>
      <c r="P476">
        <f>$B$7*(O476-O475)*(1-AS475)</f>
        <v/>
      </c>
      <c r="Q476">
        <f>M476+0.51274*AT475</f>
        <v/>
      </c>
      <c r="R476">
        <f>N476+0.616*AT475</f>
        <v/>
      </c>
      <c r="S476">
        <f>IF($B$13&gt;=0.6,Q476,IF($B$13&lt;=0.2,R476,R476+2.5*(Q476-R476)*($B$13-0.2)))</f>
        <v/>
      </c>
      <c r="T476">
        <f>IF(A476=1,S476,T475*$B$27+S476*(1-$B$27))</f>
        <v/>
      </c>
      <c r="U476">
        <f>0.6105*EXP(17.27*T476/(T476+237.3))</f>
        <v/>
      </c>
      <c r="V476">
        <f>($B$14*(I476*C476+IF(ABS((D476+0.1)-D476)&lt;0.000000001,4*$B$19*$B$20*(D476+273)^3,$B$19*$B$20*(((D476+0.1)+273)^4-(D476+273)^4)/((D476+0.1)-D476))*D476)+T476/H476)/($B$14*(I476+IF(ABS((D476+0.1)-D476)&lt;0.000000001,4*$B$19*$B$20*(D476+273)^3,$B$19*$B$20*(((D476+0.1)+273)^4-(D476+273)^4)/((D476+0.1)-D476)))+1/H476)</f>
        <v/>
      </c>
      <c r="W476">
        <f>($B$14*(I476*C476+IF(ABS(V476-D476)&lt;0.000000001,4*$B$19*$B$20*(D476+273)^3,$B$19*$B$20*((V476+273)^4-(D476+273)^4)/(V476-D476))*D476)+T476/H476)/($B$14*(I476+IF(ABS(V476-D476)&lt;0.000000001,4*$B$19*$B$20*(D476+273)^3,$B$19*$B$20*((V476+273)^4-(D476+273)^4)/(V476-D476)))+1/H476)</f>
        <v/>
      </c>
      <c r="X476">
        <f>($B$14*(I476*C476+IF(ABS(W476-D476)&lt;0.000000001,4*$B$19*$B$20*(D476+273)^3,$B$19*$B$20*((W476+273)^4-(D476+273)^4)/(W476-D476))*D476)+T476/H476)/($B$14*(I476+IF(ABS(W476-D476)&lt;0.000000001,4*$B$19*$B$20*(D476+273)^3,$B$19*$B$20*((W476+273)^4-(D476+273)^4)/(W476-D476)))+1/H476)</f>
        <v/>
      </c>
      <c r="Y476">
        <f>($B$14*(I476*C476+IF(ABS(X476-D476)&lt;0.000000001,4*$B$19*$B$20*(D476+273)^3,$B$19*$B$20*((X476+273)^4-(D476+273)^4)/(X476-D476))*D476)+T476/H476)/($B$14*(I476+IF(ABS(X476-D476)&lt;0.000000001,4*$B$19*$B$20*(D476+273)^3,$B$19*$B$20*((X476+273)^4-(D476+273)^4)/(X476-D476)))+1/H476)</f>
        <v/>
      </c>
      <c r="Z476">
        <f>IF(ABS(Y476-D476)&lt;0.000000001,4*$B$19*$B$20*(D476+273)^3,$B$19*$B$20*((Y476+273)^4-(D476+273)^4)/(Y476-D476))</f>
        <v/>
      </c>
      <c r="AA476">
        <f>$B$14*I476*(Y476-C476)</f>
        <v/>
      </c>
      <c r="AB476">
        <f>$B$14*Z476*(Y476-D476)</f>
        <v/>
      </c>
      <c r="AC476">
        <f>IF((U476-E476)/G476=0,0.001,(U476-E476)/G476)</f>
        <v/>
      </c>
      <c r="AD476">
        <f>F476-P476-J476-K476-AA476-AB476</f>
        <v/>
      </c>
      <c r="AE476">
        <f>AD476/AC476</f>
        <v/>
      </c>
      <c r="AF476">
        <f>IF(AD476&lt;=0,0,IF(AC476&lt;=0,$B$11,IF(AE476&gt;=1.7,$B$11,MIN(AD476/MAX(0.05,IF(AE476&gt;1,(2-AE476)^2/2,1-AE476^2/2)),$B$11))))</f>
        <v/>
      </c>
      <c r="AG476">
        <f>AG475*$B$28+AF476*(1-$B$28)</f>
        <v/>
      </c>
      <c r="AH476">
        <f>IF(AND(AD476&gt;0,AC476&lt;=0),0,AC476)</f>
        <v/>
      </c>
      <c r="AI476">
        <f>AH476/MAX(AG476,0.000001)</f>
        <v/>
      </c>
      <c r="AJ476">
        <f>MIN(IF(AI476&gt;=0.5,-AI476+SQRT(AI476^2+2),1),$B$12)</f>
        <v/>
      </c>
      <c r="AK476">
        <f>IF(AG476&lt;=0,0,AJ476*AH476)</f>
        <v/>
      </c>
      <c r="AL476">
        <f>IF(AD476&lt;=0,0,AD476)</f>
        <v/>
      </c>
      <c r="AM476">
        <f>AL476-AK476+P476</f>
        <v/>
      </c>
      <c r="AN476">
        <f>((AM476/$B$7+T475*AS475/2-T476*MAX(0.1,MIN(0.3,0.3-0.09*(AR475-36.8)))/2)+AR475*(1-AS475/2))/(1-MAX(0.1,MIN(0.3,0.3-0.09*(AR475-36.8)))/2)</f>
        <v/>
      </c>
      <c r="AO476">
        <f>((AM476/$B$7+T475*AS475/2-T476*MAX(0.1,MIN(0.3,0.3-0.09*(AN476-36.8)))/2)+AR475*(1-AS475/2))/(1-MAX(0.1,MIN(0.3,0.3-0.09*(AN476-36.8)))/2)</f>
        <v/>
      </c>
      <c r="AP476">
        <f>((AM476/$B$7+T475*AS475/2-T476*MAX(0.1,MIN(0.3,0.3-0.09*(AO476-36.8)))/2)+AR475*(1-AS475/2))/(1-MAX(0.1,MIN(0.3,0.3-0.09*(AO476-36.8)))/2)</f>
        <v/>
      </c>
      <c r="AQ476">
        <f>((AM476/$B$7+T475*AS475/2-T476*MAX(0.1,MIN(0.3,0.3-0.09*(AP476-36.8)))/2)+AR475*(1-AS475/2))/(1-MAX(0.1,MIN(0.3,0.3-0.09*(AP476-36.8)))/2)</f>
        <v/>
      </c>
      <c r="AR476">
        <f>((AM476/$B$7+T475*AS475/2-T476*MAX(0.1,MIN(0.3,0.3-0.09*(AQ476-36.8)))/2)+AR475*(1-AS475/2))/(1-MAX(0.1,MIN(0.3,0.3-0.09*(AQ476-36.8)))/2)</f>
        <v/>
      </c>
      <c r="AS476">
        <f>MAX(0.1,MIN(0.3,0.3-0.09*(AR476-36.8)))</f>
        <v/>
      </c>
      <c r="AT476">
        <f>AT475+(2*AR476-1.962*AT475-1.31)/9</f>
        <v/>
      </c>
      <c r="AU476">
        <f>AU475+AG476+K476</f>
        <v/>
      </c>
      <c r="AV476">
        <f>AU476*2.67*$B$6/1.8/60</f>
        <v/>
      </c>
      <c r="AW476">
        <f>IF(AT476&gt;=$B$36,1,0)</f>
        <v/>
      </c>
      <c r="AX476">
        <f>IF(AV476&gt;=$B$21,1,0)</f>
        <v/>
      </c>
    </row>
    <row r="477">
      <c r="A477" t="n">
        <v>404</v>
      </c>
      <c r="B477">
        <f>MATCH(A477-1,$D$61:$D$68,1)</f>
        <v/>
      </c>
      <c r="C477">
        <f>INDEX($G$61:$G$68,B477)</f>
        <v/>
      </c>
      <c r="D477">
        <f>INDEX($L$61:$L$68,B477)</f>
        <v/>
      </c>
      <c r="E477">
        <f>INDEX($M$61:$M$68,B477)</f>
        <v/>
      </c>
      <c r="F477">
        <f>INDEX($N$61:$N$68,B477)</f>
        <v/>
      </c>
      <c r="G477">
        <f>INDEX($AA$61:$AA$68,B477)</f>
        <v/>
      </c>
      <c r="H477">
        <f>INDEX($X$61:$X$68,B477)</f>
        <v/>
      </c>
      <c r="I477">
        <f>INDEX($AF$61:$AF$68,B477)</f>
        <v/>
      </c>
      <c r="J477">
        <f>INDEX($AC$61:$AC$68,B477)</f>
        <v/>
      </c>
      <c r="K477">
        <f>INDEX($AD$61:$AD$68,B477)</f>
        <v/>
      </c>
      <c r="L477">
        <f>INDEX($AG$61:$AG$68,B477)</f>
        <v/>
      </c>
      <c r="M477">
        <f>INDEX($AH$61:$AH$68,B477)</f>
        <v/>
      </c>
      <c r="N477">
        <f>INDEX($AI$61:$AI$68,B477)</f>
        <v/>
      </c>
      <c r="O477">
        <f>O476*$B$26+L477*(1-$B$26)</f>
        <v/>
      </c>
      <c r="P477">
        <f>$B$7*(O477-O476)*(1-AS476)</f>
        <v/>
      </c>
      <c r="Q477">
        <f>M477+0.51274*AT476</f>
        <v/>
      </c>
      <c r="R477">
        <f>N477+0.616*AT476</f>
        <v/>
      </c>
      <c r="S477">
        <f>IF($B$13&gt;=0.6,Q477,IF($B$13&lt;=0.2,R477,R477+2.5*(Q477-R477)*($B$13-0.2)))</f>
        <v/>
      </c>
      <c r="T477">
        <f>IF(A477=1,S477,T476*$B$27+S477*(1-$B$27))</f>
        <v/>
      </c>
      <c r="U477">
        <f>0.6105*EXP(17.27*T477/(T477+237.3))</f>
        <v/>
      </c>
      <c r="V477">
        <f>($B$14*(I477*C477+IF(ABS((D477+0.1)-D477)&lt;0.000000001,4*$B$19*$B$20*(D477+273)^3,$B$19*$B$20*(((D477+0.1)+273)^4-(D477+273)^4)/((D477+0.1)-D477))*D477)+T477/H477)/($B$14*(I477+IF(ABS((D477+0.1)-D477)&lt;0.000000001,4*$B$19*$B$20*(D477+273)^3,$B$19*$B$20*(((D477+0.1)+273)^4-(D477+273)^4)/((D477+0.1)-D477)))+1/H477)</f>
        <v/>
      </c>
      <c r="W477">
        <f>($B$14*(I477*C477+IF(ABS(V477-D477)&lt;0.000000001,4*$B$19*$B$20*(D477+273)^3,$B$19*$B$20*((V477+273)^4-(D477+273)^4)/(V477-D477))*D477)+T477/H477)/($B$14*(I477+IF(ABS(V477-D477)&lt;0.000000001,4*$B$19*$B$20*(D477+273)^3,$B$19*$B$20*((V477+273)^4-(D477+273)^4)/(V477-D477)))+1/H477)</f>
        <v/>
      </c>
      <c r="X477">
        <f>($B$14*(I477*C477+IF(ABS(W477-D477)&lt;0.000000001,4*$B$19*$B$20*(D477+273)^3,$B$19*$B$20*((W477+273)^4-(D477+273)^4)/(W477-D477))*D477)+T477/H477)/($B$14*(I477+IF(ABS(W477-D477)&lt;0.000000001,4*$B$19*$B$20*(D477+273)^3,$B$19*$B$20*((W477+273)^4-(D477+273)^4)/(W477-D477)))+1/H477)</f>
        <v/>
      </c>
      <c r="Y477">
        <f>($B$14*(I477*C477+IF(ABS(X477-D477)&lt;0.000000001,4*$B$19*$B$20*(D477+273)^3,$B$19*$B$20*((X477+273)^4-(D477+273)^4)/(X477-D477))*D477)+T477/H477)/($B$14*(I477+IF(ABS(X477-D477)&lt;0.000000001,4*$B$19*$B$20*(D477+273)^3,$B$19*$B$20*((X477+273)^4-(D477+273)^4)/(X477-D477)))+1/H477)</f>
        <v/>
      </c>
      <c r="Z477">
        <f>IF(ABS(Y477-D477)&lt;0.000000001,4*$B$19*$B$20*(D477+273)^3,$B$19*$B$20*((Y477+273)^4-(D477+273)^4)/(Y477-D477))</f>
        <v/>
      </c>
      <c r="AA477">
        <f>$B$14*I477*(Y477-C477)</f>
        <v/>
      </c>
      <c r="AB477">
        <f>$B$14*Z477*(Y477-D477)</f>
        <v/>
      </c>
      <c r="AC477">
        <f>IF((U477-E477)/G477=0,0.001,(U477-E477)/G477)</f>
        <v/>
      </c>
      <c r="AD477">
        <f>F477-P477-J477-K477-AA477-AB477</f>
        <v/>
      </c>
      <c r="AE477">
        <f>AD477/AC477</f>
        <v/>
      </c>
      <c r="AF477">
        <f>IF(AD477&lt;=0,0,IF(AC477&lt;=0,$B$11,IF(AE477&gt;=1.7,$B$11,MIN(AD477/MAX(0.05,IF(AE477&gt;1,(2-AE477)^2/2,1-AE477^2/2)),$B$11))))</f>
        <v/>
      </c>
      <c r="AG477">
        <f>AG476*$B$28+AF477*(1-$B$28)</f>
        <v/>
      </c>
      <c r="AH477">
        <f>IF(AND(AD477&gt;0,AC477&lt;=0),0,AC477)</f>
        <v/>
      </c>
      <c r="AI477">
        <f>AH477/MAX(AG477,0.000001)</f>
        <v/>
      </c>
      <c r="AJ477">
        <f>MIN(IF(AI477&gt;=0.5,-AI477+SQRT(AI477^2+2),1),$B$12)</f>
        <v/>
      </c>
      <c r="AK477">
        <f>IF(AG477&lt;=0,0,AJ477*AH477)</f>
        <v/>
      </c>
      <c r="AL477">
        <f>IF(AD477&lt;=0,0,AD477)</f>
        <v/>
      </c>
      <c r="AM477">
        <f>AL477-AK477+P477</f>
        <v/>
      </c>
      <c r="AN477">
        <f>((AM477/$B$7+T476*AS476/2-T477*MAX(0.1,MIN(0.3,0.3-0.09*(AR476-36.8)))/2)+AR476*(1-AS476/2))/(1-MAX(0.1,MIN(0.3,0.3-0.09*(AR476-36.8)))/2)</f>
        <v/>
      </c>
      <c r="AO477">
        <f>((AM477/$B$7+T476*AS476/2-T477*MAX(0.1,MIN(0.3,0.3-0.09*(AN477-36.8)))/2)+AR476*(1-AS476/2))/(1-MAX(0.1,MIN(0.3,0.3-0.09*(AN477-36.8)))/2)</f>
        <v/>
      </c>
      <c r="AP477">
        <f>((AM477/$B$7+T476*AS476/2-T477*MAX(0.1,MIN(0.3,0.3-0.09*(AO477-36.8)))/2)+AR476*(1-AS476/2))/(1-MAX(0.1,MIN(0.3,0.3-0.09*(AO477-36.8)))/2)</f>
        <v/>
      </c>
      <c r="AQ477">
        <f>((AM477/$B$7+T476*AS476/2-T477*MAX(0.1,MIN(0.3,0.3-0.09*(AP477-36.8)))/2)+AR476*(1-AS476/2))/(1-MAX(0.1,MIN(0.3,0.3-0.09*(AP477-36.8)))/2)</f>
        <v/>
      </c>
      <c r="AR477">
        <f>((AM477/$B$7+T476*AS476/2-T477*MAX(0.1,MIN(0.3,0.3-0.09*(AQ477-36.8)))/2)+AR476*(1-AS476/2))/(1-MAX(0.1,MIN(0.3,0.3-0.09*(AQ477-36.8)))/2)</f>
        <v/>
      </c>
      <c r="AS477">
        <f>MAX(0.1,MIN(0.3,0.3-0.09*(AR477-36.8)))</f>
        <v/>
      </c>
      <c r="AT477">
        <f>AT476+(2*AR477-1.962*AT476-1.31)/9</f>
        <v/>
      </c>
      <c r="AU477">
        <f>AU476+AG477+K477</f>
        <v/>
      </c>
      <c r="AV477">
        <f>AU477*2.67*$B$6/1.8/60</f>
        <v/>
      </c>
      <c r="AW477">
        <f>IF(AT477&gt;=$B$36,1,0)</f>
        <v/>
      </c>
      <c r="AX477">
        <f>IF(AV477&gt;=$B$21,1,0)</f>
        <v/>
      </c>
    </row>
    <row r="478">
      <c r="A478" t="n">
        <v>405</v>
      </c>
      <c r="B478">
        <f>MATCH(A478-1,$D$61:$D$68,1)</f>
        <v/>
      </c>
      <c r="C478">
        <f>INDEX($G$61:$G$68,B478)</f>
        <v/>
      </c>
      <c r="D478">
        <f>INDEX($L$61:$L$68,B478)</f>
        <v/>
      </c>
      <c r="E478">
        <f>INDEX($M$61:$M$68,B478)</f>
        <v/>
      </c>
      <c r="F478">
        <f>INDEX($N$61:$N$68,B478)</f>
        <v/>
      </c>
      <c r="G478">
        <f>INDEX($AA$61:$AA$68,B478)</f>
        <v/>
      </c>
      <c r="H478">
        <f>INDEX($X$61:$X$68,B478)</f>
        <v/>
      </c>
      <c r="I478">
        <f>INDEX($AF$61:$AF$68,B478)</f>
        <v/>
      </c>
      <c r="J478">
        <f>INDEX($AC$61:$AC$68,B478)</f>
        <v/>
      </c>
      <c r="K478">
        <f>INDEX($AD$61:$AD$68,B478)</f>
        <v/>
      </c>
      <c r="L478">
        <f>INDEX($AG$61:$AG$68,B478)</f>
        <v/>
      </c>
      <c r="M478">
        <f>INDEX($AH$61:$AH$68,B478)</f>
        <v/>
      </c>
      <c r="N478">
        <f>INDEX($AI$61:$AI$68,B478)</f>
        <v/>
      </c>
      <c r="O478">
        <f>O477*$B$26+L478*(1-$B$26)</f>
        <v/>
      </c>
      <c r="P478">
        <f>$B$7*(O478-O477)*(1-AS477)</f>
        <v/>
      </c>
      <c r="Q478">
        <f>M478+0.51274*AT477</f>
        <v/>
      </c>
      <c r="R478">
        <f>N478+0.616*AT477</f>
        <v/>
      </c>
      <c r="S478">
        <f>IF($B$13&gt;=0.6,Q478,IF($B$13&lt;=0.2,R478,R478+2.5*(Q478-R478)*($B$13-0.2)))</f>
        <v/>
      </c>
      <c r="T478">
        <f>IF(A478=1,S478,T477*$B$27+S478*(1-$B$27))</f>
        <v/>
      </c>
      <c r="U478">
        <f>0.6105*EXP(17.27*T478/(T478+237.3))</f>
        <v/>
      </c>
      <c r="V478">
        <f>($B$14*(I478*C478+IF(ABS((D478+0.1)-D478)&lt;0.000000001,4*$B$19*$B$20*(D478+273)^3,$B$19*$B$20*(((D478+0.1)+273)^4-(D478+273)^4)/((D478+0.1)-D478))*D478)+T478/H478)/($B$14*(I478+IF(ABS((D478+0.1)-D478)&lt;0.000000001,4*$B$19*$B$20*(D478+273)^3,$B$19*$B$20*(((D478+0.1)+273)^4-(D478+273)^4)/((D478+0.1)-D478)))+1/H478)</f>
        <v/>
      </c>
      <c r="W478">
        <f>($B$14*(I478*C478+IF(ABS(V478-D478)&lt;0.000000001,4*$B$19*$B$20*(D478+273)^3,$B$19*$B$20*((V478+273)^4-(D478+273)^4)/(V478-D478))*D478)+T478/H478)/($B$14*(I478+IF(ABS(V478-D478)&lt;0.000000001,4*$B$19*$B$20*(D478+273)^3,$B$19*$B$20*((V478+273)^4-(D478+273)^4)/(V478-D478)))+1/H478)</f>
        <v/>
      </c>
      <c r="X478">
        <f>($B$14*(I478*C478+IF(ABS(W478-D478)&lt;0.000000001,4*$B$19*$B$20*(D478+273)^3,$B$19*$B$20*((W478+273)^4-(D478+273)^4)/(W478-D478))*D478)+T478/H478)/($B$14*(I478+IF(ABS(W478-D478)&lt;0.000000001,4*$B$19*$B$20*(D478+273)^3,$B$19*$B$20*((W478+273)^4-(D478+273)^4)/(W478-D478)))+1/H478)</f>
        <v/>
      </c>
      <c r="Y478">
        <f>($B$14*(I478*C478+IF(ABS(X478-D478)&lt;0.000000001,4*$B$19*$B$20*(D478+273)^3,$B$19*$B$20*((X478+273)^4-(D478+273)^4)/(X478-D478))*D478)+T478/H478)/($B$14*(I478+IF(ABS(X478-D478)&lt;0.000000001,4*$B$19*$B$20*(D478+273)^3,$B$19*$B$20*((X478+273)^4-(D478+273)^4)/(X478-D478)))+1/H478)</f>
        <v/>
      </c>
      <c r="Z478">
        <f>IF(ABS(Y478-D478)&lt;0.000000001,4*$B$19*$B$20*(D478+273)^3,$B$19*$B$20*((Y478+273)^4-(D478+273)^4)/(Y478-D478))</f>
        <v/>
      </c>
      <c r="AA478">
        <f>$B$14*I478*(Y478-C478)</f>
        <v/>
      </c>
      <c r="AB478">
        <f>$B$14*Z478*(Y478-D478)</f>
        <v/>
      </c>
      <c r="AC478">
        <f>IF((U478-E478)/G478=0,0.001,(U478-E478)/G478)</f>
        <v/>
      </c>
      <c r="AD478">
        <f>F478-P478-J478-K478-AA478-AB478</f>
        <v/>
      </c>
      <c r="AE478">
        <f>AD478/AC478</f>
        <v/>
      </c>
      <c r="AF478">
        <f>IF(AD478&lt;=0,0,IF(AC478&lt;=0,$B$11,IF(AE478&gt;=1.7,$B$11,MIN(AD478/MAX(0.05,IF(AE478&gt;1,(2-AE478)^2/2,1-AE478^2/2)),$B$11))))</f>
        <v/>
      </c>
      <c r="AG478">
        <f>AG477*$B$28+AF478*(1-$B$28)</f>
        <v/>
      </c>
      <c r="AH478">
        <f>IF(AND(AD478&gt;0,AC478&lt;=0),0,AC478)</f>
        <v/>
      </c>
      <c r="AI478">
        <f>AH478/MAX(AG478,0.000001)</f>
        <v/>
      </c>
      <c r="AJ478">
        <f>MIN(IF(AI478&gt;=0.5,-AI478+SQRT(AI478^2+2),1),$B$12)</f>
        <v/>
      </c>
      <c r="AK478">
        <f>IF(AG478&lt;=0,0,AJ478*AH478)</f>
        <v/>
      </c>
      <c r="AL478">
        <f>IF(AD478&lt;=0,0,AD478)</f>
        <v/>
      </c>
      <c r="AM478">
        <f>AL478-AK478+P478</f>
        <v/>
      </c>
      <c r="AN478">
        <f>((AM478/$B$7+T477*AS477/2-T478*MAX(0.1,MIN(0.3,0.3-0.09*(AR477-36.8)))/2)+AR477*(1-AS477/2))/(1-MAX(0.1,MIN(0.3,0.3-0.09*(AR477-36.8)))/2)</f>
        <v/>
      </c>
      <c r="AO478">
        <f>((AM478/$B$7+T477*AS477/2-T478*MAX(0.1,MIN(0.3,0.3-0.09*(AN478-36.8)))/2)+AR477*(1-AS477/2))/(1-MAX(0.1,MIN(0.3,0.3-0.09*(AN478-36.8)))/2)</f>
        <v/>
      </c>
      <c r="AP478">
        <f>((AM478/$B$7+T477*AS477/2-T478*MAX(0.1,MIN(0.3,0.3-0.09*(AO478-36.8)))/2)+AR477*(1-AS477/2))/(1-MAX(0.1,MIN(0.3,0.3-0.09*(AO478-36.8)))/2)</f>
        <v/>
      </c>
      <c r="AQ478">
        <f>((AM478/$B$7+T477*AS477/2-T478*MAX(0.1,MIN(0.3,0.3-0.09*(AP478-36.8)))/2)+AR477*(1-AS477/2))/(1-MAX(0.1,MIN(0.3,0.3-0.09*(AP478-36.8)))/2)</f>
        <v/>
      </c>
      <c r="AR478">
        <f>((AM478/$B$7+T477*AS477/2-T478*MAX(0.1,MIN(0.3,0.3-0.09*(AQ478-36.8)))/2)+AR477*(1-AS477/2))/(1-MAX(0.1,MIN(0.3,0.3-0.09*(AQ478-36.8)))/2)</f>
        <v/>
      </c>
      <c r="AS478">
        <f>MAX(0.1,MIN(0.3,0.3-0.09*(AR478-36.8)))</f>
        <v/>
      </c>
      <c r="AT478">
        <f>AT477+(2*AR478-1.962*AT477-1.31)/9</f>
        <v/>
      </c>
      <c r="AU478">
        <f>AU477+AG478+K478</f>
        <v/>
      </c>
      <c r="AV478">
        <f>AU478*2.67*$B$6/1.8/60</f>
        <v/>
      </c>
      <c r="AW478">
        <f>IF(AT478&gt;=$B$36,1,0)</f>
        <v/>
      </c>
      <c r="AX478">
        <f>IF(AV478&gt;=$B$21,1,0)</f>
        <v/>
      </c>
    </row>
    <row r="479">
      <c r="A479" t="n">
        <v>406</v>
      </c>
      <c r="B479">
        <f>MATCH(A479-1,$D$61:$D$68,1)</f>
        <v/>
      </c>
      <c r="C479">
        <f>INDEX($G$61:$G$68,B479)</f>
        <v/>
      </c>
      <c r="D479">
        <f>INDEX($L$61:$L$68,B479)</f>
        <v/>
      </c>
      <c r="E479">
        <f>INDEX($M$61:$M$68,B479)</f>
        <v/>
      </c>
      <c r="F479">
        <f>INDEX($N$61:$N$68,B479)</f>
        <v/>
      </c>
      <c r="G479">
        <f>INDEX($AA$61:$AA$68,B479)</f>
        <v/>
      </c>
      <c r="H479">
        <f>INDEX($X$61:$X$68,B479)</f>
        <v/>
      </c>
      <c r="I479">
        <f>INDEX($AF$61:$AF$68,B479)</f>
        <v/>
      </c>
      <c r="J479">
        <f>INDEX($AC$61:$AC$68,B479)</f>
        <v/>
      </c>
      <c r="K479">
        <f>INDEX($AD$61:$AD$68,B479)</f>
        <v/>
      </c>
      <c r="L479">
        <f>INDEX($AG$61:$AG$68,B479)</f>
        <v/>
      </c>
      <c r="M479">
        <f>INDEX($AH$61:$AH$68,B479)</f>
        <v/>
      </c>
      <c r="N479">
        <f>INDEX($AI$61:$AI$68,B479)</f>
        <v/>
      </c>
      <c r="O479">
        <f>O478*$B$26+L479*(1-$B$26)</f>
        <v/>
      </c>
      <c r="P479">
        <f>$B$7*(O479-O478)*(1-AS478)</f>
        <v/>
      </c>
      <c r="Q479">
        <f>M479+0.51274*AT478</f>
        <v/>
      </c>
      <c r="R479">
        <f>N479+0.616*AT478</f>
        <v/>
      </c>
      <c r="S479">
        <f>IF($B$13&gt;=0.6,Q479,IF($B$13&lt;=0.2,R479,R479+2.5*(Q479-R479)*($B$13-0.2)))</f>
        <v/>
      </c>
      <c r="T479">
        <f>IF(A479=1,S479,T478*$B$27+S479*(1-$B$27))</f>
        <v/>
      </c>
      <c r="U479">
        <f>0.6105*EXP(17.27*T479/(T479+237.3))</f>
        <v/>
      </c>
      <c r="V479">
        <f>($B$14*(I479*C479+IF(ABS((D479+0.1)-D479)&lt;0.000000001,4*$B$19*$B$20*(D479+273)^3,$B$19*$B$20*(((D479+0.1)+273)^4-(D479+273)^4)/((D479+0.1)-D479))*D479)+T479/H479)/($B$14*(I479+IF(ABS((D479+0.1)-D479)&lt;0.000000001,4*$B$19*$B$20*(D479+273)^3,$B$19*$B$20*(((D479+0.1)+273)^4-(D479+273)^4)/((D479+0.1)-D479)))+1/H479)</f>
        <v/>
      </c>
      <c r="W479">
        <f>($B$14*(I479*C479+IF(ABS(V479-D479)&lt;0.000000001,4*$B$19*$B$20*(D479+273)^3,$B$19*$B$20*((V479+273)^4-(D479+273)^4)/(V479-D479))*D479)+T479/H479)/($B$14*(I479+IF(ABS(V479-D479)&lt;0.000000001,4*$B$19*$B$20*(D479+273)^3,$B$19*$B$20*((V479+273)^4-(D479+273)^4)/(V479-D479)))+1/H479)</f>
        <v/>
      </c>
      <c r="X479">
        <f>($B$14*(I479*C479+IF(ABS(W479-D479)&lt;0.000000001,4*$B$19*$B$20*(D479+273)^3,$B$19*$B$20*((W479+273)^4-(D479+273)^4)/(W479-D479))*D479)+T479/H479)/($B$14*(I479+IF(ABS(W479-D479)&lt;0.000000001,4*$B$19*$B$20*(D479+273)^3,$B$19*$B$20*((W479+273)^4-(D479+273)^4)/(W479-D479)))+1/H479)</f>
        <v/>
      </c>
      <c r="Y479">
        <f>($B$14*(I479*C479+IF(ABS(X479-D479)&lt;0.000000001,4*$B$19*$B$20*(D479+273)^3,$B$19*$B$20*((X479+273)^4-(D479+273)^4)/(X479-D479))*D479)+T479/H479)/($B$14*(I479+IF(ABS(X479-D479)&lt;0.000000001,4*$B$19*$B$20*(D479+273)^3,$B$19*$B$20*((X479+273)^4-(D479+273)^4)/(X479-D479)))+1/H479)</f>
        <v/>
      </c>
      <c r="Z479">
        <f>IF(ABS(Y479-D479)&lt;0.000000001,4*$B$19*$B$20*(D479+273)^3,$B$19*$B$20*((Y479+273)^4-(D479+273)^4)/(Y479-D479))</f>
        <v/>
      </c>
      <c r="AA479">
        <f>$B$14*I479*(Y479-C479)</f>
        <v/>
      </c>
      <c r="AB479">
        <f>$B$14*Z479*(Y479-D479)</f>
        <v/>
      </c>
      <c r="AC479">
        <f>IF((U479-E479)/G479=0,0.001,(U479-E479)/G479)</f>
        <v/>
      </c>
      <c r="AD479">
        <f>F479-P479-J479-K479-AA479-AB479</f>
        <v/>
      </c>
      <c r="AE479">
        <f>AD479/AC479</f>
        <v/>
      </c>
      <c r="AF479">
        <f>IF(AD479&lt;=0,0,IF(AC479&lt;=0,$B$11,IF(AE479&gt;=1.7,$B$11,MIN(AD479/MAX(0.05,IF(AE479&gt;1,(2-AE479)^2/2,1-AE479^2/2)),$B$11))))</f>
        <v/>
      </c>
      <c r="AG479">
        <f>AG478*$B$28+AF479*(1-$B$28)</f>
        <v/>
      </c>
      <c r="AH479">
        <f>IF(AND(AD479&gt;0,AC479&lt;=0),0,AC479)</f>
        <v/>
      </c>
      <c r="AI479">
        <f>AH479/MAX(AG479,0.000001)</f>
        <v/>
      </c>
      <c r="AJ479">
        <f>MIN(IF(AI479&gt;=0.5,-AI479+SQRT(AI479^2+2),1),$B$12)</f>
        <v/>
      </c>
      <c r="AK479">
        <f>IF(AG479&lt;=0,0,AJ479*AH479)</f>
        <v/>
      </c>
      <c r="AL479">
        <f>IF(AD479&lt;=0,0,AD479)</f>
        <v/>
      </c>
      <c r="AM479">
        <f>AL479-AK479+P479</f>
        <v/>
      </c>
      <c r="AN479">
        <f>((AM479/$B$7+T478*AS478/2-T479*MAX(0.1,MIN(0.3,0.3-0.09*(AR478-36.8)))/2)+AR478*(1-AS478/2))/(1-MAX(0.1,MIN(0.3,0.3-0.09*(AR478-36.8)))/2)</f>
        <v/>
      </c>
      <c r="AO479">
        <f>((AM479/$B$7+T478*AS478/2-T479*MAX(0.1,MIN(0.3,0.3-0.09*(AN479-36.8)))/2)+AR478*(1-AS478/2))/(1-MAX(0.1,MIN(0.3,0.3-0.09*(AN479-36.8)))/2)</f>
        <v/>
      </c>
      <c r="AP479">
        <f>((AM479/$B$7+T478*AS478/2-T479*MAX(0.1,MIN(0.3,0.3-0.09*(AO479-36.8)))/2)+AR478*(1-AS478/2))/(1-MAX(0.1,MIN(0.3,0.3-0.09*(AO479-36.8)))/2)</f>
        <v/>
      </c>
      <c r="AQ479">
        <f>((AM479/$B$7+T478*AS478/2-T479*MAX(0.1,MIN(0.3,0.3-0.09*(AP479-36.8)))/2)+AR478*(1-AS478/2))/(1-MAX(0.1,MIN(0.3,0.3-0.09*(AP479-36.8)))/2)</f>
        <v/>
      </c>
      <c r="AR479">
        <f>((AM479/$B$7+T478*AS478/2-T479*MAX(0.1,MIN(0.3,0.3-0.09*(AQ479-36.8)))/2)+AR478*(1-AS478/2))/(1-MAX(0.1,MIN(0.3,0.3-0.09*(AQ479-36.8)))/2)</f>
        <v/>
      </c>
      <c r="AS479">
        <f>MAX(0.1,MIN(0.3,0.3-0.09*(AR479-36.8)))</f>
        <v/>
      </c>
      <c r="AT479">
        <f>AT478+(2*AR479-1.962*AT478-1.31)/9</f>
        <v/>
      </c>
      <c r="AU479">
        <f>AU478+AG479+K479</f>
        <v/>
      </c>
      <c r="AV479">
        <f>AU479*2.67*$B$6/1.8/60</f>
        <v/>
      </c>
      <c r="AW479">
        <f>IF(AT479&gt;=$B$36,1,0)</f>
        <v/>
      </c>
      <c r="AX479">
        <f>IF(AV479&gt;=$B$21,1,0)</f>
        <v/>
      </c>
    </row>
    <row r="480">
      <c r="A480" t="n">
        <v>407</v>
      </c>
      <c r="B480">
        <f>MATCH(A480-1,$D$61:$D$68,1)</f>
        <v/>
      </c>
      <c r="C480">
        <f>INDEX($G$61:$G$68,B480)</f>
        <v/>
      </c>
      <c r="D480">
        <f>INDEX($L$61:$L$68,B480)</f>
        <v/>
      </c>
      <c r="E480">
        <f>INDEX($M$61:$M$68,B480)</f>
        <v/>
      </c>
      <c r="F480">
        <f>INDEX($N$61:$N$68,B480)</f>
        <v/>
      </c>
      <c r="G480">
        <f>INDEX($AA$61:$AA$68,B480)</f>
        <v/>
      </c>
      <c r="H480">
        <f>INDEX($X$61:$X$68,B480)</f>
        <v/>
      </c>
      <c r="I480">
        <f>INDEX($AF$61:$AF$68,B480)</f>
        <v/>
      </c>
      <c r="J480">
        <f>INDEX($AC$61:$AC$68,B480)</f>
        <v/>
      </c>
      <c r="K480">
        <f>INDEX($AD$61:$AD$68,B480)</f>
        <v/>
      </c>
      <c r="L480">
        <f>INDEX($AG$61:$AG$68,B480)</f>
        <v/>
      </c>
      <c r="M480">
        <f>INDEX($AH$61:$AH$68,B480)</f>
        <v/>
      </c>
      <c r="N480">
        <f>INDEX($AI$61:$AI$68,B480)</f>
        <v/>
      </c>
      <c r="O480">
        <f>O479*$B$26+L480*(1-$B$26)</f>
        <v/>
      </c>
      <c r="P480">
        <f>$B$7*(O480-O479)*(1-AS479)</f>
        <v/>
      </c>
      <c r="Q480">
        <f>M480+0.51274*AT479</f>
        <v/>
      </c>
      <c r="R480">
        <f>N480+0.616*AT479</f>
        <v/>
      </c>
      <c r="S480">
        <f>IF($B$13&gt;=0.6,Q480,IF($B$13&lt;=0.2,R480,R480+2.5*(Q480-R480)*($B$13-0.2)))</f>
        <v/>
      </c>
      <c r="T480">
        <f>IF(A480=1,S480,T479*$B$27+S480*(1-$B$27))</f>
        <v/>
      </c>
      <c r="U480">
        <f>0.6105*EXP(17.27*T480/(T480+237.3))</f>
        <v/>
      </c>
      <c r="V480">
        <f>($B$14*(I480*C480+IF(ABS((D480+0.1)-D480)&lt;0.000000001,4*$B$19*$B$20*(D480+273)^3,$B$19*$B$20*(((D480+0.1)+273)^4-(D480+273)^4)/((D480+0.1)-D480))*D480)+T480/H480)/($B$14*(I480+IF(ABS((D480+0.1)-D480)&lt;0.000000001,4*$B$19*$B$20*(D480+273)^3,$B$19*$B$20*(((D480+0.1)+273)^4-(D480+273)^4)/((D480+0.1)-D480)))+1/H480)</f>
        <v/>
      </c>
      <c r="W480">
        <f>($B$14*(I480*C480+IF(ABS(V480-D480)&lt;0.000000001,4*$B$19*$B$20*(D480+273)^3,$B$19*$B$20*((V480+273)^4-(D480+273)^4)/(V480-D480))*D480)+T480/H480)/($B$14*(I480+IF(ABS(V480-D480)&lt;0.000000001,4*$B$19*$B$20*(D480+273)^3,$B$19*$B$20*((V480+273)^4-(D480+273)^4)/(V480-D480)))+1/H480)</f>
        <v/>
      </c>
      <c r="X480">
        <f>($B$14*(I480*C480+IF(ABS(W480-D480)&lt;0.000000001,4*$B$19*$B$20*(D480+273)^3,$B$19*$B$20*((W480+273)^4-(D480+273)^4)/(W480-D480))*D480)+T480/H480)/($B$14*(I480+IF(ABS(W480-D480)&lt;0.000000001,4*$B$19*$B$20*(D480+273)^3,$B$19*$B$20*((W480+273)^4-(D480+273)^4)/(W480-D480)))+1/H480)</f>
        <v/>
      </c>
      <c r="Y480">
        <f>($B$14*(I480*C480+IF(ABS(X480-D480)&lt;0.000000001,4*$B$19*$B$20*(D480+273)^3,$B$19*$B$20*((X480+273)^4-(D480+273)^4)/(X480-D480))*D480)+T480/H480)/($B$14*(I480+IF(ABS(X480-D480)&lt;0.000000001,4*$B$19*$B$20*(D480+273)^3,$B$19*$B$20*((X480+273)^4-(D480+273)^4)/(X480-D480)))+1/H480)</f>
        <v/>
      </c>
      <c r="Z480">
        <f>IF(ABS(Y480-D480)&lt;0.000000001,4*$B$19*$B$20*(D480+273)^3,$B$19*$B$20*((Y480+273)^4-(D480+273)^4)/(Y480-D480))</f>
        <v/>
      </c>
      <c r="AA480">
        <f>$B$14*I480*(Y480-C480)</f>
        <v/>
      </c>
      <c r="AB480">
        <f>$B$14*Z480*(Y480-D480)</f>
        <v/>
      </c>
      <c r="AC480">
        <f>IF((U480-E480)/G480=0,0.001,(U480-E480)/G480)</f>
        <v/>
      </c>
      <c r="AD480">
        <f>F480-P480-J480-K480-AA480-AB480</f>
        <v/>
      </c>
      <c r="AE480">
        <f>AD480/AC480</f>
        <v/>
      </c>
      <c r="AF480">
        <f>IF(AD480&lt;=0,0,IF(AC480&lt;=0,$B$11,IF(AE480&gt;=1.7,$B$11,MIN(AD480/MAX(0.05,IF(AE480&gt;1,(2-AE480)^2/2,1-AE480^2/2)),$B$11))))</f>
        <v/>
      </c>
      <c r="AG480">
        <f>AG479*$B$28+AF480*(1-$B$28)</f>
        <v/>
      </c>
      <c r="AH480">
        <f>IF(AND(AD480&gt;0,AC480&lt;=0),0,AC480)</f>
        <v/>
      </c>
      <c r="AI480">
        <f>AH480/MAX(AG480,0.000001)</f>
        <v/>
      </c>
      <c r="AJ480">
        <f>MIN(IF(AI480&gt;=0.5,-AI480+SQRT(AI480^2+2),1),$B$12)</f>
        <v/>
      </c>
      <c r="AK480">
        <f>IF(AG480&lt;=0,0,AJ480*AH480)</f>
        <v/>
      </c>
      <c r="AL480">
        <f>IF(AD480&lt;=0,0,AD480)</f>
        <v/>
      </c>
      <c r="AM480">
        <f>AL480-AK480+P480</f>
        <v/>
      </c>
      <c r="AN480">
        <f>((AM480/$B$7+T479*AS479/2-T480*MAX(0.1,MIN(0.3,0.3-0.09*(AR479-36.8)))/2)+AR479*(1-AS479/2))/(1-MAX(0.1,MIN(0.3,0.3-0.09*(AR479-36.8)))/2)</f>
        <v/>
      </c>
      <c r="AO480">
        <f>((AM480/$B$7+T479*AS479/2-T480*MAX(0.1,MIN(0.3,0.3-0.09*(AN480-36.8)))/2)+AR479*(1-AS479/2))/(1-MAX(0.1,MIN(0.3,0.3-0.09*(AN480-36.8)))/2)</f>
        <v/>
      </c>
      <c r="AP480">
        <f>((AM480/$B$7+T479*AS479/2-T480*MAX(0.1,MIN(0.3,0.3-0.09*(AO480-36.8)))/2)+AR479*(1-AS479/2))/(1-MAX(0.1,MIN(0.3,0.3-0.09*(AO480-36.8)))/2)</f>
        <v/>
      </c>
      <c r="AQ480">
        <f>((AM480/$B$7+T479*AS479/2-T480*MAX(0.1,MIN(0.3,0.3-0.09*(AP480-36.8)))/2)+AR479*(1-AS479/2))/(1-MAX(0.1,MIN(0.3,0.3-0.09*(AP480-36.8)))/2)</f>
        <v/>
      </c>
      <c r="AR480">
        <f>((AM480/$B$7+T479*AS479/2-T480*MAX(0.1,MIN(0.3,0.3-0.09*(AQ480-36.8)))/2)+AR479*(1-AS479/2))/(1-MAX(0.1,MIN(0.3,0.3-0.09*(AQ480-36.8)))/2)</f>
        <v/>
      </c>
      <c r="AS480">
        <f>MAX(0.1,MIN(0.3,0.3-0.09*(AR480-36.8)))</f>
        <v/>
      </c>
      <c r="AT480">
        <f>AT479+(2*AR480-1.962*AT479-1.31)/9</f>
        <v/>
      </c>
      <c r="AU480">
        <f>AU479+AG480+K480</f>
        <v/>
      </c>
      <c r="AV480">
        <f>AU480*2.67*$B$6/1.8/60</f>
        <v/>
      </c>
      <c r="AW480">
        <f>IF(AT480&gt;=$B$36,1,0)</f>
        <v/>
      </c>
      <c r="AX480">
        <f>IF(AV480&gt;=$B$21,1,0)</f>
        <v/>
      </c>
    </row>
    <row r="481">
      <c r="A481" t="n">
        <v>408</v>
      </c>
      <c r="B481">
        <f>MATCH(A481-1,$D$61:$D$68,1)</f>
        <v/>
      </c>
      <c r="C481">
        <f>INDEX($G$61:$G$68,B481)</f>
        <v/>
      </c>
      <c r="D481">
        <f>INDEX($L$61:$L$68,B481)</f>
        <v/>
      </c>
      <c r="E481">
        <f>INDEX($M$61:$M$68,B481)</f>
        <v/>
      </c>
      <c r="F481">
        <f>INDEX($N$61:$N$68,B481)</f>
        <v/>
      </c>
      <c r="G481">
        <f>INDEX($AA$61:$AA$68,B481)</f>
        <v/>
      </c>
      <c r="H481">
        <f>INDEX($X$61:$X$68,B481)</f>
        <v/>
      </c>
      <c r="I481">
        <f>INDEX($AF$61:$AF$68,B481)</f>
        <v/>
      </c>
      <c r="J481">
        <f>INDEX($AC$61:$AC$68,B481)</f>
        <v/>
      </c>
      <c r="K481">
        <f>INDEX($AD$61:$AD$68,B481)</f>
        <v/>
      </c>
      <c r="L481">
        <f>INDEX($AG$61:$AG$68,B481)</f>
        <v/>
      </c>
      <c r="M481">
        <f>INDEX($AH$61:$AH$68,B481)</f>
        <v/>
      </c>
      <c r="N481">
        <f>INDEX($AI$61:$AI$68,B481)</f>
        <v/>
      </c>
      <c r="O481">
        <f>O480*$B$26+L481*(1-$B$26)</f>
        <v/>
      </c>
      <c r="P481">
        <f>$B$7*(O481-O480)*(1-AS480)</f>
        <v/>
      </c>
      <c r="Q481">
        <f>M481+0.51274*AT480</f>
        <v/>
      </c>
      <c r="R481">
        <f>N481+0.616*AT480</f>
        <v/>
      </c>
      <c r="S481">
        <f>IF($B$13&gt;=0.6,Q481,IF($B$13&lt;=0.2,R481,R481+2.5*(Q481-R481)*($B$13-0.2)))</f>
        <v/>
      </c>
      <c r="T481">
        <f>IF(A481=1,S481,T480*$B$27+S481*(1-$B$27))</f>
        <v/>
      </c>
      <c r="U481">
        <f>0.6105*EXP(17.27*T481/(T481+237.3))</f>
        <v/>
      </c>
      <c r="V481">
        <f>($B$14*(I481*C481+IF(ABS((D481+0.1)-D481)&lt;0.000000001,4*$B$19*$B$20*(D481+273)^3,$B$19*$B$20*(((D481+0.1)+273)^4-(D481+273)^4)/((D481+0.1)-D481))*D481)+T481/H481)/($B$14*(I481+IF(ABS((D481+0.1)-D481)&lt;0.000000001,4*$B$19*$B$20*(D481+273)^3,$B$19*$B$20*(((D481+0.1)+273)^4-(D481+273)^4)/((D481+0.1)-D481)))+1/H481)</f>
        <v/>
      </c>
      <c r="W481">
        <f>($B$14*(I481*C481+IF(ABS(V481-D481)&lt;0.000000001,4*$B$19*$B$20*(D481+273)^3,$B$19*$B$20*((V481+273)^4-(D481+273)^4)/(V481-D481))*D481)+T481/H481)/($B$14*(I481+IF(ABS(V481-D481)&lt;0.000000001,4*$B$19*$B$20*(D481+273)^3,$B$19*$B$20*((V481+273)^4-(D481+273)^4)/(V481-D481)))+1/H481)</f>
        <v/>
      </c>
      <c r="X481">
        <f>($B$14*(I481*C481+IF(ABS(W481-D481)&lt;0.000000001,4*$B$19*$B$20*(D481+273)^3,$B$19*$B$20*((W481+273)^4-(D481+273)^4)/(W481-D481))*D481)+T481/H481)/($B$14*(I481+IF(ABS(W481-D481)&lt;0.000000001,4*$B$19*$B$20*(D481+273)^3,$B$19*$B$20*((W481+273)^4-(D481+273)^4)/(W481-D481)))+1/H481)</f>
        <v/>
      </c>
      <c r="Y481">
        <f>($B$14*(I481*C481+IF(ABS(X481-D481)&lt;0.000000001,4*$B$19*$B$20*(D481+273)^3,$B$19*$B$20*((X481+273)^4-(D481+273)^4)/(X481-D481))*D481)+T481/H481)/($B$14*(I481+IF(ABS(X481-D481)&lt;0.000000001,4*$B$19*$B$20*(D481+273)^3,$B$19*$B$20*((X481+273)^4-(D481+273)^4)/(X481-D481)))+1/H481)</f>
        <v/>
      </c>
      <c r="Z481">
        <f>IF(ABS(Y481-D481)&lt;0.000000001,4*$B$19*$B$20*(D481+273)^3,$B$19*$B$20*((Y481+273)^4-(D481+273)^4)/(Y481-D481))</f>
        <v/>
      </c>
      <c r="AA481">
        <f>$B$14*I481*(Y481-C481)</f>
        <v/>
      </c>
      <c r="AB481">
        <f>$B$14*Z481*(Y481-D481)</f>
        <v/>
      </c>
      <c r="AC481">
        <f>IF((U481-E481)/G481=0,0.001,(U481-E481)/G481)</f>
        <v/>
      </c>
      <c r="AD481">
        <f>F481-P481-J481-K481-AA481-AB481</f>
        <v/>
      </c>
      <c r="AE481">
        <f>AD481/AC481</f>
        <v/>
      </c>
      <c r="AF481">
        <f>IF(AD481&lt;=0,0,IF(AC481&lt;=0,$B$11,IF(AE481&gt;=1.7,$B$11,MIN(AD481/MAX(0.05,IF(AE481&gt;1,(2-AE481)^2/2,1-AE481^2/2)),$B$11))))</f>
        <v/>
      </c>
      <c r="AG481">
        <f>AG480*$B$28+AF481*(1-$B$28)</f>
        <v/>
      </c>
      <c r="AH481">
        <f>IF(AND(AD481&gt;0,AC481&lt;=0),0,AC481)</f>
        <v/>
      </c>
      <c r="AI481">
        <f>AH481/MAX(AG481,0.000001)</f>
        <v/>
      </c>
      <c r="AJ481">
        <f>MIN(IF(AI481&gt;=0.5,-AI481+SQRT(AI481^2+2),1),$B$12)</f>
        <v/>
      </c>
      <c r="AK481">
        <f>IF(AG481&lt;=0,0,AJ481*AH481)</f>
        <v/>
      </c>
      <c r="AL481">
        <f>IF(AD481&lt;=0,0,AD481)</f>
        <v/>
      </c>
      <c r="AM481">
        <f>AL481-AK481+P481</f>
        <v/>
      </c>
      <c r="AN481">
        <f>((AM481/$B$7+T480*AS480/2-T481*MAX(0.1,MIN(0.3,0.3-0.09*(AR480-36.8)))/2)+AR480*(1-AS480/2))/(1-MAX(0.1,MIN(0.3,0.3-0.09*(AR480-36.8)))/2)</f>
        <v/>
      </c>
      <c r="AO481">
        <f>((AM481/$B$7+T480*AS480/2-T481*MAX(0.1,MIN(0.3,0.3-0.09*(AN481-36.8)))/2)+AR480*(1-AS480/2))/(1-MAX(0.1,MIN(0.3,0.3-0.09*(AN481-36.8)))/2)</f>
        <v/>
      </c>
      <c r="AP481">
        <f>((AM481/$B$7+T480*AS480/2-T481*MAX(0.1,MIN(0.3,0.3-0.09*(AO481-36.8)))/2)+AR480*(1-AS480/2))/(1-MAX(0.1,MIN(0.3,0.3-0.09*(AO481-36.8)))/2)</f>
        <v/>
      </c>
      <c r="AQ481">
        <f>((AM481/$B$7+T480*AS480/2-T481*MAX(0.1,MIN(0.3,0.3-0.09*(AP481-36.8)))/2)+AR480*(1-AS480/2))/(1-MAX(0.1,MIN(0.3,0.3-0.09*(AP481-36.8)))/2)</f>
        <v/>
      </c>
      <c r="AR481">
        <f>((AM481/$B$7+T480*AS480/2-T481*MAX(0.1,MIN(0.3,0.3-0.09*(AQ481-36.8)))/2)+AR480*(1-AS480/2))/(1-MAX(0.1,MIN(0.3,0.3-0.09*(AQ481-36.8)))/2)</f>
        <v/>
      </c>
      <c r="AS481">
        <f>MAX(0.1,MIN(0.3,0.3-0.09*(AR481-36.8)))</f>
        <v/>
      </c>
      <c r="AT481">
        <f>AT480+(2*AR481-1.962*AT480-1.31)/9</f>
        <v/>
      </c>
      <c r="AU481">
        <f>AU480+AG481+K481</f>
        <v/>
      </c>
      <c r="AV481">
        <f>AU481*2.67*$B$6/1.8/60</f>
        <v/>
      </c>
      <c r="AW481">
        <f>IF(AT481&gt;=$B$36,1,0)</f>
        <v/>
      </c>
      <c r="AX481">
        <f>IF(AV481&gt;=$B$21,1,0)</f>
        <v/>
      </c>
    </row>
    <row r="482">
      <c r="A482" t="n">
        <v>409</v>
      </c>
      <c r="B482">
        <f>MATCH(A482-1,$D$61:$D$68,1)</f>
        <v/>
      </c>
      <c r="C482">
        <f>INDEX($G$61:$G$68,B482)</f>
        <v/>
      </c>
      <c r="D482">
        <f>INDEX($L$61:$L$68,B482)</f>
        <v/>
      </c>
      <c r="E482">
        <f>INDEX($M$61:$M$68,B482)</f>
        <v/>
      </c>
      <c r="F482">
        <f>INDEX($N$61:$N$68,B482)</f>
        <v/>
      </c>
      <c r="G482">
        <f>INDEX($AA$61:$AA$68,B482)</f>
        <v/>
      </c>
      <c r="H482">
        <f>INDEX($X$61:$X$68,B482)</f>
        <v/>
      </c>
      <c r="I482">
        <f>INDEX($AF$61:$AF$68,B482)</f>
        <v/>
      </c>
      <c r="J482">
        <f>INDEX($AC$61:$AC$68,B482)</f>
        <v/>
      </c>
      <c r="K482">
        <f>INDEX($AD$61:$AD$68,B482)</f>
        <v/>
      </c>
      <c r="L482">
        <f>INDEX($AG$61:$AG$68,B482)</f>
        <v/>
      </c>
      <c r="M482">
        <f>INDEX($AH$61:$AH$68,B482)</f>
        <v/>
      </c>
      <c r="N482">
        <f>INDEX($AI$61:$AI$68,B482)</f>
        <v/>
      </c>
      <c r="O482">
        <f>O481*$B$26+L482*(1-$B$26)</f>
        <v/>
      </c>
      <c r="P482">
        <f>$B$7*(O482-O481)*(1-AS481)</f>
        <v/>
      </c>
      <c r="Q482">
        <f>M482+0.51274*AT481</f>
        <v/>
      </c>
      <c r="R482">
        <f>N482+0.616*AT481</f>
        <v/>
      </c>
      <c r="S482">
        <f>IF($B$13&gt;=0.6,Q482,IF($B$13&lt;=0.2,R482,R482+2.5*(Q482-R482)*($B$13-0.2)))</f>
        <v/>
      </c>
      <c r="T482">
        <f>IF(A482=1,S482,T481*$B$27+S482*(1-$B$27))</f>
        <v/>
      </c>
      <c r="U482">
        <f>0.6105*EXP(17.27*T482/(T482+237.3))</f>
        <v/>
      </c>
      <c r="V482">
        <f>($B$14*(I482*C482+IF(ABS((D482+0.1)-D482)&lt;0.000000001,4*$B$19*$B$20*(D482+273)^3,$B$19*$B$20*(((D482+0.1)+273)^4-(D482+273)^4)/((D482+0.1)-D482))*D482)+T482/H482)/($B$14*(I482+IF(ABS((D482+0.1)-D482)&lt;0.000000001,4*$B$19*$B$20*(D482+273)^3,$B$19*$B$20*(((D482+0.1)+273)^4-(D482+273)^4)/((D482+0.1)-D482)))+1/H482)</f>
        <v/>
      </c>
      <c r="W482">
        <f>($B$14*(I482*C482+IF(ABS(V482-D482)&lt;0.000000001,4*$B$19*$B$20*(D482+273)^3,$B$19*$B$20*((V482+273)^4-(D482+273)^4)/(V482-D482))*D482)+T482/H482)/($B$14*(I482+IF(ABS(V482-D482)&lt;0.000000001,4*$B$19*$B$20*(D482+273)^3,$B$19*$B$20*((V482+273)^4-(D482+273)^4)/(V482-D482)))+1/H482)</f>
        <v/>
      </c>
      <c r="X482">
        <f>($B$14*(I482*C482+IF(ABS(W482-D482)&lt;0.000000001,4*$B$19*$B$20*(D482+273)^3,$B$19*$B$20*((W482+273)^4-(D482+273)^4)/(W482-D482))*D482)+T482/H482)/($B$14*(I482+IF(ABS(W482-D482)&lt;0.000000001,4*$B$19*$B$20*(D482+273)^3,$B$19*$B$20*((W482+273)^4-(D482+273)^4)/(W482-D482)))+1/H482)</f>
        <v/>
      </c>
      <c r="Y482">
        <f>($B$14*(I482*C482+IF(ABS(X482-D482)&lt;0.000000001,4*$B$19*$B$20*(D482+273)^3,$B$19*$B$20*((X482+273)^4-(D482+273)^4)/(X482-D482))*D482)+T482/H482)/($B$14*(I482+IF(ABS(X482-D482)&lt;0.000000001,4*$B$19*$B$20*(D482+273)^3,$B$19*$B$20*((X482+273)^4-(D482+273)^4)/(X482-D482)))+1/H482)</f>
        <v/>
      </c>
      <c r="Z482">
        <f>IF(ABS(Y482-D482)&lt;0.000000001,4*$B$19*$B$20*(D482+273)^3,$B$19*$B$20*((Y482+273)^4-(D482+273)^4)/(Y482-D482))</f>
        <v/>
      </c>
      <c r="AA482">
        <f>$B$14*I482*(Y482-C482)</f>
        <v/>
      </c>
      <c r="AB482">
        <f>$B$14*Z482*(Y482-D482)</f>
        <v/>
      </c>
      <c r="AC482">
        <f>IF((U482-E482)/G482=0,0.001,(U482-E482)/G482)</f>
        <v/>
      </c>
      <c r="AD482">
        <f>F482-P482-J482-K482-AA482-AB482</f>
        <v/>
      </c>
      <c r="AE482">
        <f>AD482/AC482</f>
        <v/>
      </c>
      <c r="AF482">
        <f>IF(AD482&lt;=0,0,IF(AC482&lt;=0,$B$11,IF(AE482&gt;=1.7,$B$11,MIN(AD482/MAX(0.05,IF(AE482&gt;1,(2-AE482)^2/2,1-AE482^2/2)),$B$11))))</f>
        <v/>
      </c>
      <c r="AG482">
        <f>AG481*$B$28+AF482*(1-$B$28)</f>
        <v/>
      </c>
      <c r="AH482">
        <f>IF(AND(AD482&gt;0,AC482&lt;=0),0,AC482)</f>
        <v/>
      </c>
      <c r="AI482">
        <f>AH482/MAX(AG482,0.000001)</f>
        <v/>
      </c>
      <c r="AJ482">
        <f>MIN(IF(AI482&gt;=0.5,-AI482+SQRT(AI482^2+2),1),$B$12)</f>
        <v/>
      </c>
      <c r="AK482">
        <f>IF(AG482&lt;=0,0,AJ482*AH482)</f>
        <v/>
      </c>
      <c r="AL482">
        <f>IF(AD482&lt;=0,0,AD482)</f>
        <v/>
      </c>
      <c r="AM482">
        <f>AL482-AK482+P482</f>
        <v/>
      </c>
      <c r="AN482">
        <f>((AM482/$B$7+T481*AS481/2-T482*MAX(0.1,MIN(0.3,0.3-0.09*(AR481-36.8)))/2)+AR481*(1-AS481/2))/(1-MAX(0.1,MIN(0.3,0.3-0.09*(AR481-36.8)))/2)</f>
        <v/>
      </c>
      <c r="AO482">
        <f>((AM482/$B$7+T481*AS481/2-T482*MAX(0.1,MIN(0.3,0.3-0.09*(AN482-36.8)))/2)+AR481*(1-AS481/2))/(1-MAX(0.1,MIN(0.3,0.3-0.09*(AN482-36.8)))/2)</f>
        <v/>
      </c>
      <c r="AP482">
        <f>((AM482/$B$7+T481*AS481/2-T482*MAX(0.1,MIN(0.3,0.3-0.09*(AO482-36.8)))/2)+AR481*(1-AS481/2))/(1-MAX(0.1,MIN(0.3,0.3-0.09*(AO482-36.8)))/2)</f>
        <v/>
      </c>
      <c r="AQ482">
        <f>((AM482/$B$7+T481*AS481/2-T482*MAX(0.1,MIN(0.3,0.3-0.09*(AP482-36.8)))/2)+AR481*(1-AS481/2))/(1-MAX(0.1,MIN(0.3,0.3-0.09*(AP482-36.8)))/2)</f>
        <v/>
      </c>
      <c r="AR482">
        <f>((AM482/$B$7+T481*AS481/2-T482*MAX(0.1,MIN(0.3,0.3-0.09*(AQ482-36.8)))/2)+AR481*(1-AS481/2))/(1-MAX(0.1,MIN(0.3,0.3-0.09*(AQ482-36.8)))/2)</f>
        <v/>
      </c>
      <c r="AS482">
        <f>MAX(0.1,MIN(0.3,0.3-0.09*(AR482-36.8)))</f>
        <v/>
      </c>
      <c r="AT482">
        <f>AT481+(2*AR482-1.962*AT481-1.31)/9</f>
        <v/>
      </c>
      <c r="AU482">
        <f>AU481+AG482+K482</f>
        <v/>
      </c>
      <c r="AV482">
        <f>AU482*2.67*$B$6/1.8/60</f>
        <v/>
      </c>
      <c r="AW482">
        <f>IF(AT482&gt;=$B$36,1,0)</f>
        <v/>
      </c>
      <c r="AX482">
        <f>IF(AV482&gt;=$B$21,1,0)</f>
        <v/>
      </c>
    </row>
    <row r="483">
      <c r="A483" t="n">
        <v>410</v>
      </c>
      <c r="B483">
        <f>MATCH(A483-1,$D$61:$D$68,1)</f>
        <v/>
      </c>
      <c r="C483">
        <f>INDEX($G$61:$G$68,B483)</f>
        <v/>
      </c>
      <c r="D483">
        <f>INDEX($L$61:$L$68,B483)</f>
        <v/>
      </c>
      <c r="E483">
        <f>INDEX($M$61:$M$68,B483)</f>
        <v/>
      </c>
      <c r="F483">
        <f>INDEX($N$61:$N$68,B483)</f>
        <v/>
      </c>
      <c r="G483">
        <f>INDEX($AA$61:$AA$68,B483)</f>
        <v/>
      </c>
      <c r="H483">
        <f>INDEX($X$61:$X$68,B483)</f>
        <v/>
      </c>
      <c r="I483">
        <f>INDEX($AF$61:$AF$68,B483)</f>
        <v/>
      </c>
      <c r="J483">
        <f>INDEX($AC$61:$AC$68,B483)</f>
        <v/>
      </c>
      <c r="K483">
        <f>INDEX($AD$61:$AD$68,B483)</f>
        <v/>
      </c>
      <c r="L483">
        <f>INDEX($AG$61:$AG$68,B483)</f>
        <v/>
      </c>
      <c r="M483">
        <f>INDEX($AH$61:$AH$68,B483)</f>
        <v/>
      </c>
      <c r="N483">
        <f>INDEX($AI$61:$AI$68,B483)</f>
        <v/>
      </c>
      <c r="O483">
        <f>O482*$B$26+L483*(1-$B$26)</f>
        <v/>
      </c>
      <c r="P483">
        <f>$B$7*(O483-O482)*(1-AS482)</f>
        <v/>
      </c>
      <c r="Q483">
        <f>M483+0.51274*AT482</f>
        <v/>
      </c>
      <c r="R483">
        <f>N483+0.616*AT482</f>
        <v/>
      </c>
      <c r="S483">
        <f>IF($B$13&gt;=0.6,Q483,IF($B$13&lt;=0.2,R483,R483+2.5*(Q483-R483)*($B$13-0.2)))</f>
        <v/>
      </c>
      <c r="T483">
        <f>IF(A483=1,S483,T482*$B$27+S483*(1-$B$27))</f>
        <v/>
      </c>
      <c r="U483">
        <f>0.6105*EXP(17.27*T483/(T483+237.3))</f>
        <v/>
      </c>
      <c r="V483">
        <f>($B$14*(I483*C483+IF(ABS((D483+0.1)-D483)&lt;0.000000001,4*$B$19*$B$20*(D483+273)^3,$B$19*$B$20*(((D483+0.1)+273)^4-(D483+273)^4)/((D483+0.1)-D483))*D483)+T483/H483)/($B$14*(I483+IF(ABS((D483+0.1)-D483)&lt;0.000000001,4*$B$19*$B$20*(D483+273)^3,$B$19*$B$20*(((D483+0.1)+273)^4-(D483+273)^4)/((D483+0.1)-D483)))+1/H483)</f>
        <v/>
      </c>
      <c r="W483">
        <f>($B$14*(I483*C483+IF(ABS(V483-D483)&lt;0.000000001,4*$B$19*$B$20*(D483+273)^3,$B$19*$B$20*((V483+273)^4-(D483+273)^4)/(V483-D483))*D483)+T483/H483)/($B$14*(I483+IF(ABS(V483-D483)&lt;0.000000001,4*$B$19*$B$20*(D483+273)^3,$B$19*$B$20*((V483+273)^4-(D483+273)^4)/(V483-D483)))+1/H483)</f>
        <v/>
      </c>
      <c r="X483">
        <f>($B$14*(I483*C483+IF(ABS(W483-D483)&lt;0.000000001,4*$B$19*$B$20*(D483+273)^3,$B$19*$B$20*((W483+273)^4-(D483+273)^4)/(W483-D483))*D483)+T483/H483)/($B$14*(I483+IF(ABS(W483-D483)&lt;0.000000001,4*$B$19*$B$20*(D483+273)^3,$B$19*$B$20*((W483+273)^4-(D483+273)^4)/(W483-D483)))+1/H483)</f>
        <v/>
      </c>
      <c r="Y483">
        <f>($B$14*(I483*C483+IF(ABS(X483-D483)&lt;0.000000001,4*$B$19*$B$20*(D483+273)^3,$B$19*$B$20*((X483+273)^4-(D483+273)^4)/(X483-D483))*D483)+T483/H483)/($B$14*(I483+IF(ABS(X483-D483)&lt;0.000000001,4*$B$19*$B$20*(D483+273)^3,$B$19*$B$20*((X483+273)^4-(D483+273)^4)/(X483-D483)))+1/H483)</f>
        <v/>
      </c>
      <c r="Z483">
        <f>IF(ABS(Y483-D483)&lt;0.000000001,4*$B$19*$B$20*(D483+273)^3,$B$19*$B$20*((Y483+273)^4-(D483+273)^4)/(Y483-D483))</f>
        <v/>
      </c>
      <c r="AA483">
        <f>$B$14*I483*(Y483-C483)</f>
        <v/>
      </c>
      <c r="AB483">
        <f>$B$14*Z483*(Y483-D483)</f>
        <v/>
      </c>
      <c r="AC483">
        <f>IF((U483-E483)/G483=0,0.001,(U483-E483)/G483)</f>
        <v/>
      </c>
      <c r="AD483">
        <f>F483-P483-J483-K483-AA483-AB483</f>
        <v/>
      </c>
      <c r="AE483">
        <f>AD483/AC483</f>
        <v/>
      </c>
      <c r="AF483">
        <f>IF(AD483&lt;=0,0,IF(AC483&lt;=0,$B$11,IF(AE483&gt;=1.7,$B$11,MIN(AD483/MAX(0.05,IF(AE483&gt;1,(2-AE483)^2/2,1-AE483^2/2)),$B$11))))</f>
        <v/>
      </c>
      <c r="AG483">
        <f>AG482*$B$28+AF483*(1-$B$28)</f>
        <v/>
      </c>
      <c r="AH483">
        <f>IF(AND(AD483&gt;0,AC483&lt;=0),0,AC483)</f>
        <v/>
      </c>
      <c r="AI483">
        <f>AH483/MAX(AG483,0.000001)</f>
        <v/>
      </c>
      <c r="AJ483">
        <f>MIN(IF(AI483&gt;=0.5,-AI483+SQRT(AI483^2+2),1),$B$12)</f>
        <v/>
      </c>
      <c r="AK483">
        <f>IF(AG483&lt;=0,0,AJ483*AH483)</f>
        <v/>
      </c>
      <c r="AL483">
        <f>IF(AD483&lt;=0,0,AD483)</f>
        <v/>
      </c>
      <c r="AM483">
        <f>AL483-AK483+P483</f>
        <v/>
      </c>
      <c r="AN483">
        <f>((AM483/$B$7+T482*AS482/2-T483*MAX(0.1,MIN(0.3,0.3-0.09*(AR482-36.8)))/2)+AR482*(1-AS482/2))/(1-MAX(0.1,MIN(0.3,0.3-0.09*(AR482-36.8)))/2)</f>
        <v/>
      </c>
      <c r="AO483">
        <f>((AM483/$B$7+T482*AS482/2-T483*MAX(0.1,MIN(0.3,0.3-0.09*(AN483-36.8)))/2)+AR482*(1-AS482/2))/(1-MAX(0.1,MIN(0.3,0.3-0.09*(AN483-36.8)))/2)</f>
        <v/>
      </c>
      <c r="AP483">
        <f>((AM483/$B$7+T482*AS482/2-T483*MAX(0.1,MIN(0.3,0.3-0.09*(AO483-36.8)))/2)+AR482*(1-AS482/2))/(1-MAX(0.1,MIN(0.3,0.3-0.09*(AO483-36.8)))/2)</f>
        <v/>
      </c>
      <c r="AQ483">
        <f>((AM483/$B$7+T482*AS482/2-T483*MAX(0.1,MIN(0.3,0.3-0.09*(AP483-36.8)))/2)+AR482*(1-AS482/2))/(1-MAX(0.1,MIN(0.3,0.3-0.09*(AP483-36.8)))/2)</f>
        <v/>
      </c>
      <c r="AR483">
        <f>((AM483/$B$7+T482*AS482/2-T483*MAX(0.1,MIN(0.3,0.3-0.09*(AQ483-36.8)))/2)+AR482*(1-AS482/2))/(1-MAX(0.1,MIN(0.3,0.3-0.09*(AQ483-36.8)))/2)</f>
        <v/>
      </c>
      <c r="AS483">
        <f>MAX(0.1,MIN(0.3,0.3-0.09*(AR483-36.8)))</f>
        <v/>
      </c>
      <c r="AT483">
        <f>AT482+(2*AR483-1.962*AT482-1.31)/9</f>
        <v/>
      </c>
      <c r="AU483">
        <f>AU482+AG483+K483</f>
        <v/>
      </c>
      <c r="AV483">
        <f>AU483*2.67*$B$6/1.8/60</f>
        <v/>
      </c>
      <c r="AW483">
        <f>IF(AT483&gt;=$B$36,1,0)</f>
        <v/>
      </c>
      <c r="AX483">
        <f>IF(AV483&gt;=$B$21,1,0)</f>
        <v/>
      </c>
    </row>
    <row r="484">
      <c r="A484" t="n">
        <v>411</v>
      </c>
      <c r="B484">
        <f>MATCH(A484-1,$D$61:$D$68,1)</f>
        <v/>
      </c>
      <c r="C484">
        <f>INDEX($G$61:$G$68,B484)</f>
        <v/>
      </c>
      <c r="D484">
        <f>INDEX($L$61:$L$68,B484)</f>
        <v/>
      </c>
      <c r="E484">
        <f>INDEX($M$61:$M$68,B484)</f>
        <v/>
      </c>
      <c r="F484">
        <f>INDEX($N$61:$N$68,B484)</f>
        <v/>
      </c>
      <c r="G484">
        <f>INDEX($AA$61:$AA$68,B484)</f>
        <v/>
      </c>
      <c r="H484">
        <f>INDEX($X$61:$X$68,B484)</f>
        <v/>
      </c>
      <c r="I484">
        <f>INDEX($AF$61:$AF$68,B484)</f>
        <v/>
      </c>
      <c r="J484">
        <f>INDEX($AC$61:$AC$68,B484)</f>
        <v/>
      </c>
      <c r="K484">
        <f>INDEX($AD$61:$AD$68,B484)</f>
        <v/>
      </c>
      <c r="L484">
        <f>INDEX($AG$61:$AG$68,B484)</f>
        <v/>
      </c>
      <c r="M484">
        <f>INDEX($AH$61:$AH$68,B484)</f>
        <v/>
      </c>
      <c r="N484">
        <f>INDEX($AI$61:$AI$68,B484)</f>
        <v/>
      </c>
      <c r="O484">
        <f>O483*$B$26+L484*(1-$B$26)</f>
        <v/>
      </c>
      <c r="P484">
        <f>$B$7*(O484-O483)*(1-AS483)</f>
        <v/>
      </c>
      <c r="Q484">
        <f>M484+0.51274*AT483</f>
        <v/>
      </c>
      <c r="R484">
        <f>N484+0.616*AT483</f>
        <v/>
      </c>
      <c r="S484">
        <f>IF($B$13&gt;=0.6,Q484,IF($B$13&lt;=0.2,R484,R484+2.5*(Q484-R484)*($B$13-0.2)))</f>
        <v/>
      </c>
      <c r="T484">
        <f>IF(A484=1,S484,T483*$B$27+S484*(1-$B$27))</f>
        <v/>
      </c>
      <c r="U484">
        <f>0.6105*EXP(17.27*T484/(T484+237.3))</f>
        <v/>
      </c>
      <c r="V484">
        <f>($B$14*(I484*C484+IF(ABS((D484+0.1)-D484)&lt;0.000000001,4*$B$19*$B$20*(D484+273)^3,$B$19*$B$20*(((D484+0.1)+273)^4-(D484+273)^4)/((D484+0.1)-D484))*D484)+T484/H484)/($B$14*(I484+IF(ABS((D484+0.1)-D484)&lt;0.000000001,4*$B$19*$B$20*(D484+273)^3,$B$19*$B$20*(((D484+0.1)+273)^4-(D484+273)^4)/((D484+0.1)-D484)))+1/H484)</f>
        <v/>
      </c>
      <c r="W484">
        <f>($B$14*(I484*C484+IF(ABS(V484-D484)&lt;0.000000001,4*$B$19*$B$20*(D484+273)^3,$B$19*$B$20*((V484+273)^4-(D484+273)^4)/(V484-D484))*D484)+T484/H484)/($B$14*(I484+IF(ABS(V484-D484)&lt;0.000000001,4*$B$19*$B$20*(D484+273)^3,$B$19*$B$20*((V484+273)^4-(D484+273)^4)/(V484-D484)))+1/H484)</f>
        <v/>
      </c>
      <c r="X484">
        <f>($B$14*(I484*C484+IF(ABS(W484-D484)&lt;0.000000001,4*$B$19*$B$20*(D484+273)^3,$B$19*$B$20*((W484+273)^4-(D484+273)^4)/(W484-D484))*D484)+T484/H484)/($B$14*(I484+IF(ABS(W484-D484)&lt;0.000000001,4*$B$19*$B$20*(D484+273)^3,$B$19*$B$20*((W484+273)^4-(D484+273)^4)/(W484-D484)))+1/H484)</f>
        <v/>
      </c>
      <c r="Y484">
        <f>($B$14*(I484*C484+IF(ABS(X484-D484)&lt;0.000000001,4*$B$19*$B$20*(D484+273)^3,$B$19*$B$20*((X484+273)^4-(D484+273)^4)/(X484-D484))*D484)+T484/H484)/($B$14*(I484+IF(ABS(X484-D484)&lt;0.000000001,4*$B$19*$B$20*(D484+273)^3,$B$19*$B$20*((X484+273)^4-(D484+273)^4)/(X484-D484)))+1/H484)</f>
        <v/>
      </c>
      <c r="Z484">
        <f>IF(ABS(Y484-D484)&lt;0.000000001,4*$B$19*$B$20*(D484+273)^3,$B$19*$B$20*((Y484+273)^4-(D484+273)^4)/(Y484-D484))</f>
        <v/>
      </c>
      <c r="AA484">
        <f>$B$14*I484*(Y484-C484)</f>
        <v/>
      </c>
      <c r="AB484">
        <f>$B$14*Z484*(Y484-D484)</f>
        <v/>
      </c>
      <c r="AC484">
        <f>IF((U484-E484)/G484=0,0.001,(U484-E484)/G484)</f>
        <v/>
      </c>
      <c r="AD484">
        <f>F484-P484-J484-K484-AA484-AB484</f>
        <v/>
      </c>
      <c r="AE484">
        <f>AD484/AC484</f>
        <v/>
      </c>
      <c r="AF484">
        <f>IF(AD484&lt;=0,0,IF(AC484&lt;=0,$B$11,IF(AE484&gt;=1.7,$B$11,MIN(AD484/MAX(0.05,IF(AE484&gt;1,(2-AE484)^2/2,1-AE484^2/2)),$B$11))))</f>
        <v/>
      </c>
      <c r="AG484">
        <f>AG483*$B$28+AF484*(1-$B$28)</f>
        <v/>
      </c>
      <c r="AH484">
        <f>IF(AND(AD484&gt;0,AC484&lt;=0),0,AC484)</f>
        <v/>
      </c>
      <c r="AI484">
        <f>AH484/MAX(AG484,0.000001)</f>
        <v/>
      </c>
      <c r="AJ484">
        <f>MIN(IF(AI484&gt;=0.5,-AI484+SQRT(AI484^2+2),1),$B$12)</f>
        <v/>
      </c>
      <c r="AK484">
        <f>IF(AG484&lt;=0,0,AJ484*AH484)</f>
        <v/>
      </c>
      <c r="AL484">
        <f>IF(AD484&lt;=0,0,AD484)</f>
        <v/>
      </c>
      <c r="AM484">
        <f>AL484-AK484+P484</f>
        <v/>
      </c>
      <c r="AN484">
        <f>((AM484/$B$7+T483*AS483/2-T484*MAX(0.1,MIN(0.3,0.3-0.09*(AR483-36.8)))/2)+AR483*(1-AS483/2))/(1-MAX(0.1,MIN(0.3,0.3-0.09*(AR483-36.8)))/2)</f>
        <v/>
      </c>
      <c r="AO484">
        <f>((AM484/$B$7+T483*AS483/2-T484*MAX(0.1,MIN(0.3,0.3-0.09*(AN484-36.8)))/2)+AR483*(1-AS483/2))/(1-MAX(0.1,MIN(0.3,0.3-0.09*(AN484-36.8)))/2)</f>
        <v/>
      </c>
      <c r="AP484">
        <f>((AM484/$B$7+T483*AS483/2-T484*MAX(0.1,MIN(0.3,0.3-0.09*(AO484-36.8)))/2)+AR483*(1-AS483/2))/(1-MAX(0.1,MIN(0.3,0.3-0.09*(AO484-36.8)))/2)</f>
        <v/>
      </c>
      <c r="AQ484">
        <f>((AM484/$B$7+T483*AS483/2-T484*MAX(0.1,MIN(0.3,0.3-0.09*(AP484-36.8)))/2)+AR483*(1-AS483/2))/(1-MAX(0.1,MIN(0.3,0.3-0.09*(AP484-36.8)))/2)</f>
        <v/>
      </c>
      <c r="AR484">
        <f>((AM484/$B$7+T483*AS483/2-T484*MAX(0.1,MIN(0.3,0.3-0.09*(AQ484-36.8)))/2)+AR483*(1-AS483/2))/(1-MAX(0.1,MIN(0.3,0.3-0.09*(AQ484-36.8)))/2)</f>
        <v/>
      </c>
      <c r="AS484">
        <f>MAX(0.1,MIN(0.3,0.3-0.09*(AR484-36.8)))</f>
        <v/>
      </c>
      <c r="AT484">
        <f>AT483+(2*AR484-1.962*AT483-1.31)/9</f>
        <v/>
      </c>
      <c r="AU484">
        <f>AU483+AG484+K484</f>
        <v/>
      </c>
      <c r="AV484">
        <f>AU484*2.67*$B$6/1.8/60</f>
        <v/>
      </c>
      <c r="AW484">
        <f>IF(AT484&gt;=$B$36,1,0)</f>
        <v/>
      </c>
      <c r="AX484">
        <f>IF(AV484&gt;=$B$21,1,0)</f>
        <v/>
      </c>
    </row>
    <row r="485">
      <c r="A485" t="n">
        <v>412</v>
      </c>
      <c r="B485">
        <f>MATCH(A485-1,$D$61:$D$68,1)</f>
        <v/>
      </c>
      <c r="C485">
        <f>INDEX($G$61:$G$68,B485)</f>
        <v/>
      </c>
      <c r="D485">
        <f>INDEX($L$61:$L$68,B485)</f>
        <v/>
      </c>
      <c r="E485">
        <f>INDEX($M$61:$M$68,B485)</f>
        <v/>
      </c>
      <c r="F485">
        <f>INDEX($N$61:$N$68,B485)</f>
        <v/>
      </c>
      <c r="G485">
        <f>INDEX($AA$61:$AA$68,B485)</f>
        <v/>
      </c>
      <c r="H485">
        <f>INDEX($X$61:$X$68,B485)</f>
        <v/>
      </c>
      <c r="I485">
        <f>INDEX($AF$61:$AF$68,B485)</f>
        <v/>
      </c>
      <c r="J485">
        <f>INDEX($AC$61:$AC$68,B485)</f>
        <v/>
      </c>
      <c r="K485">
        <f>INDEX($AD$61:$AD$68,B485)</f>
        <v/>
      </c>
      <c r="L485">
        <f>INDEX($AG$61:$AG$68,B485)</f>
        <v/>
      </c>
      <c r="M485">
        <f>INDEX($AH$61:$AH$68,B485)</f>
        <v/>
      </c>
      <c r="N485">
        <f>INDEX($AI$61:$AI$68,B485)</f>
        <v/>
      </c>
      <c r="O485">
        <f>O484*$B$26+L485*(1-$B$26)</f>
        <v/>
      </c>
      <c r="P485">
        <f>$B$7*(O485-O484)*(1-AS484)</f>
        <v/>
      </c>
      <c r="Q485">
        <f>M485+0.51274*AT484</f>
        <v/>
      </c>
      <c r="R485">
        <f>N485+0.616*AT484</f>
        <v/>
      </c>
      <c r="S485">
        <f>IF($B$13&gt;=0.6,Q485,IF($B$13&lt;=0.2,R485,R485+2.5*(Q485-R485)*($B$13-0.2)))</f>
        <v/>
      </c>
      <c r="T485">
        <f>IF(A485=1,S485,T484*$B$27+S485*(1-$B$27))</f>
        <v/>
      </c>
      <c r="U485">
        <f>0.6105*EXP(17.27*T485/(T485+237.3))</f>
        <v/>
      </c>
      <c r="V485">
        <f>($B$14*(I485*C485+IF(ABS((D485+0.1)-D485)&lt;0.000000001,4*$B$19*$B$20*(D485+273)^3,$B$19*$B$20*(((D485+0.1)+273)^4-(D485+273)^4)/((D485+0.1)-D485))*D485)+T485/H485)/($B$14*(I485+IF(ABS((D485+0.1)-D485)&lt;0.000000001,4*$B$19*$B$20*(D485+273)^3,$B$19*$B$20*(((D485+0.1)+273)^4-(D485+273)^4)/((D485+0.1)-D485)))+1/H485)</f>
        <v/>
      </c>
      <c r="W485">
        <f>($B$14*(I485*C485+IF(ABS(V485-D485)&lt;0.000000001,4*$B$19*$B$20*(D485+273)^3,$B$19*$B$20*((V485+273)^4-(D485+273)^4)/(V485-D485))*D485)+T485/H485)/($B$14*(I485+IF(ABS(V485-D485)&lt;0.000000001,4*$B$19*$B$20*(D485+273)^3,$B$19*$B$20*((V485+273)^4-(D485+273)^4)/(V485-D485)))+1/H485)</f>
        <v/>
      </c>
      <c r="X485">
        <f>($B$14*(I485*C485+IF(ABS(W485-D485)&lt;0.000000001,4*$B$19*$B$20*(D485+273)^3,$B$19*$B$20*((W485+273)^4-(D485+273)^4)/(W485-D485))*D485)+T485/H485)/($B$14*(I485+IF(ABS(W485-D485)&lt;0.000000001,4*$B$19*$B$20*(D485+273)^3,$B$19*$B$20*((W485+273)^4-(D485+273)^4)/(W485-D485)))+1/H485)</f>
        <v/>
      </c>
      <c r="Y485">
        <f>($B$14*(I485*C485+IF(ABS(X485-D485)&lt;0.000000001,4*$B$19*$B$20*(D485+273)^3,$B$19*$B$20*((X485+273)^4-(D485+273)^4)/(X485-D485))*D485)+T485/H485)/($B$14*(I485+IF(ABS(X485-D485)&lt;0.000000001,4*$B$19*$B$20*(D485+273)^3,$B$19*$B$20*((X485+273)^4-(D485+273)^4)/(X485-D485)))+1/H485)</f>
        <v/>
      </c>
      <c r="Z485">
        <f>IF(ABS(Y485-D485)&lt;0.000000001,4*$B$19*$B$20*(D485+273)^3,$B$19*$B$20*((Y485+273)^4-(D485+273)^4)/(Y485-D485))</f>
        <v/>
      </c>
      <c r="AA485">
        <f>$B$14*I485*(Y485-C485)</f>
        <v/>
      </c>
      <c r="AB485">
        <f>$B$14*Z485*(Y485-D485)</f>
        <v/>
      </c>
      <c r="AC485">
        <f>IF((U485-E485)/G485=0,0.001,(U485-E485)/G485)</f>
        <v/>
      </c>
      <c r="AD485">
        <f>F485-P485-J485-K485-AA485-AB485</f>
        <v/>
      </c>
      <c r="AE485">
        <f>AD485/AC485</f>
        <v/>
      </c>
      <c r="AF485">
        <f>IF(AD485&lt;=0,0,IF(AC485&lt;=0,$B$11,IF(AE485&gt;=1.7,$B$11,MIN(AD485/MAX(0.05,IF(AE485&gt;1,(2-AE485)^2/2,1-AE485^2/2)),$B$11))))</f>
        <v/>
      </c>
      <c r="AG485">
        <f>AG484*$B$28+AF485*(1-$B$28)</f>
        <v/>
      </c>
      <c r="AH485">
        <f>IF(AND(AD485&gt;0,AC485&lt;=0),0,AC485)</f>
        <v/>
      </c>
      <c r="AI485">
        <f>AH485/MAX(AG485,0.000001)</f>
        <v/>
      </c>
      <c r="AJ485">
        <f>MIN(IF(AI485&gt;=0.5,-AI485+SQRT(AI485^2+2),1),$B$12)</f>
        <v/>
      </c>
      <c r="AK485">
        <f>IF(AG485&lt;=0,0,AJ485*AH485)</f>
        <v/>
      </c>
      <c r="AL485">
        <f>IF(AD485&lt;=0,0,AD485)</f>
        <v/>
      </c>
      <c r="AM485">
        <f>AL485-AK485+P485</f>
        <v/>
      </c>
      <c r="AN485">
        <f>((AM485/$B$7+T484*AS484/2-T485*MAX(0.1,MIN(0.3,0.3-0.09*(AR484-36.8)))/2)+AR484*(1-AS484/2))/(1-MAX(0.1,MIN(0.3,0.3-0.09*(AR484-36.8)))/2)</f>
        <v/>
      </c>
      <c r="AO485">
        <f>((AM485/$B$7+T484*AS484/2-T485*MAX(0.1,MIN(0.3,0.3-0.09*(AN485-36.8)))/2)+AR484*(1-AS484/2))/(1-MAX(0.1,MIN(0.3,0.3-0.09*(AN485-36.8)))/2)</f>
        <v/>
      </c>
      <c r="AP485">
        <f>((AM485/$B$7+T484*AS484/2-T485*MAX(0.1,MIN(0.3,0.3-0.09*(AO485-36.8)))/2)+AR484*(1-AS484/2))/(1-MAX(0.1,MIN(0.3,0.3-0.09*(AO485-36.8)))/2)</f>
        <v/>
      </c>
      <c r="AQ485">
        <f>((AM485/$B$7+T484*AS484/2-T485*MAX(0.1,MIN(0.3,0.3-0.09*(AP485-36.8)))/2)+AR484*(1-AS484/2))/(1-MAX(0.1,MIN(0.3,0.3-0.09*(AP485-36.8)))/2)</f>
        <v/>
      </c>
      <c r="AR485">
        <f>((AM485/$B$7+T484*AS484/2-T485*MAX(0.1,MIN(0.3,0.3-0.09*(AQ485-36.8)))/2)+AR484*(1-AS484/2))/(1-MAX(0.1,MIN(0.3,0.3-0.09*(AQ485-36.8)))/2)</f>
        <v/>
      </c>
      <c r="AS485">
        <f>MAX(0.1,MIN(0.3,0.3-0.09*(AR485-36.8)))</f>
        <v/>
      </c>
      <c r="AT485">
        <f>AT484+(2*AR485-1.962*AT484-1.31)/9</f>
        <v/>
      </c>
      <c r="AU485">
        <f>AU484+AG485+K485</f>
        <v/>
      </c>
      <c r="AV485">
        <f>AU485*2.67*$B$6/1.8/60</f>
        <v/>
      </c>
      <c r="AW485">
        <f>IF(AT485&gt;=$B$36,1,0)</f>
        <v/>
      </c>
      <c r="AX485">
        <f>IF(AV485&gt;=$B$21,1,0)</f>
        <v/>
      </c>
    </row>
    <row r="486">
      <c r="A486" t="n">
        <v>413</v>
      </c>
      <c r="B486">
        <f>MATCH(A486-1,$D$61:$D$68,1)</f>
        <v/>
      </c>
      <c r="C486">
        <f>INDEX($G$61:$G$68,B486)</f>
        <v/>
      </c>
      <c r="D486">
        <f>INDEX($L$61:$L$68,B486)</f>
        <v/>
      </c>
      <c r="E486">
        <f>INDEX($M$61:$M$68,B486)</f>
        <v/>
      </c>
      <c r="F486">
        <f>INDEX($N$61:$N$68,B486)</f>
        <v/>
      </c>
      <c r="G486">
        <f>INDEX($AA$61:$AA$68,B486)</f>
        <v/>
      </c>
      <c r="H486">
        <f>INDEX($X$61:$X$68,B486)</f>
        <v/>
      </c>
      <c r="I486">
        <f>INDEX($AF$61:$AF$68,B486)</f>
        <v/>
      </c>
      <c r="J486">
        <f>INDEX($AC$61:$AC$68,B486)</f>
        <v/>
      </c>
      <c r="K486">
        <f>INDEX($AD$61:$AD$68,B486)</f>
        <v/>
      </c>
      <c r="L486">
        <f>INDEX($AG$61:$AG$68,B486)</f>
        <v/>
      </c>
      <c r="M486">
        <f>INDEX($AH$61:$AH$68,B486)</f>
        <v/>
      </c>
      <c r="N486">
        <f>INDEX($AI$61:$AI$68,B486)</f>
        <v/>
      </c>
      <c r="O486">
        <f>O485*$B$26+L486*(1-$B$26)</f>
        <v/>
      </c>
      <c r="P486">
        <f>$B$7*(O486-O485)*(1-AS485)</f>
        <v/>
      </c>
      <c r="Q486">
        <f>M486+0.51274*AT485</f>
        <v/>
      </c>
      <c r="R486">
        <f>N486+0.616*AT485</f>
        <v/>
      </c>
      <c r="S486">
        <f>IF($B$13&gt;=0.6,Q486,IF($B$13&lt;=0.2,R486,R486+2.5*(Q486-R486)*($B$13-0.2)))</f>
        <v/>
      </c>
      <c r="T486">
        <f>IF(A486=1,S486,T485*$B$27+S486*(1-$B$27))</f>
        <v/>
      </c>
      <c r="U486">
        <f>0.6105*EXP(17.27*T486/(T486+237.3))</f>
        <v/>
      </c>
      <c r="V486">
        <f>($B$14*(I486*C486+IF(ABS((D486+0.1)-D486)&lt;0.000000001,4*$B$19*$B$20*(D486+273)^3,$B$19*$B$20*(((D486+0.1)+273)^4-(D486+273)^4)/((D486+0.1)-D486))*D486)+T486/H486)/($B$14*(I486+IF(ABS((D486+0.1)-D486)&lt;0.000000001,4*$B$19*$B$20*(D486+273)^3,$B$19*$B$20*(((D486+0.1)+273)^4-(D486+273)^4)/((D486+0.1)-D486)))+1/H486)</f>
        <v/>
      </c>
      <c r="W486">
        <f>($B$14*(I486*C486+IF(ABS(V486-D486)&lt;0.000000001,4*$B$19*$B$20*(D486+273)^3,$B$19*$B$20*((V486+273)^4-(D486+273)^4)/(V486-D486))*D486)+T486/H486)/($B$14*(I486+IF(ABS(V486-D486)&lt;0.000000001,4*$B$19*$B$20*(D486+273)^3,$B$19*$B$20*((V486+273)^4-(D486+273)^4)/(V486-D486)))+1/H486)</f>
        <v/>
      </c>
      <c r="X486">
        <f>($B$14*(I486*C486+IF(ABS(W486-D486)&lt;0.000000001,4*$B$19*$B$20*(D486+273)^3,$B$19*$B$20*((W486+273)^4-(D486+273)^4)/(W486-D486))*D486)+T486/H486)/($B$14*(I486+IF(ABS(W486-D486)&lt;0.000000001,4*$B$19*$B$20*(D486+273)^3,$B$19*$B$20*((W486+273)^4-(D486+273)^4)/(W486-D486)))+1/H486)</f>
        <v/>
      </c>
      <c r="Y486">
        <f>($B$14*(I486*C486+IF(ABS(X486-D486)&lt;0.000000001,4*$B$19*$B$20*(D486+273)^3,$B$19*$B$20*((X486+273)^4-(D486+273)^4)/(X486-D486))*D486)+T486/H486)/($B$14*(I486+IF(ABS(X486-D486)&lt;0.000000001,4*$B$19*$B$20*(D486+273)^3,$B$19*$B$20*((X486+273)^4-(D486+273)^4)/(X486-D486)))+1/H486)</f>
        <v/>
      </c>
      <c r="Z486">
        <f>IF(ABS(Y486-D486)&lt;0.000000001,4*$B$19*$B$20*(D486+273)^3,$B$19*$B$20*((Y486+273)^4-(D486+273)^4)/(Y486-D486))</f>
        <v/>
      </c>
      <c r="AA486">
        <f>$B$14*I486*(Y486-C486)</f>
        <v/>
      </c>
      <c r="AB486">
        <f>$B$14*Z486*(Y486-D486)</f>
        <v/>
      </c>
      <c r="AC486">
        <f>IF((U486-E486)/G486=0,0.001,(U486-E486)/G486)</f>
        <v/>
      </c>
      <c r="AD486">
        <f>F486-P486-J486-K486-AA486-AB486</f>
        <v/>
      </c>
      <c r="AE486">
        <f>AD486/AC486</f>
        <v/>
      </c>
      <c r="AF486">
        <f>IF(AD486&lt;=0,0,IF(AC486&lt;=0,$B$11,IF(AE486&gt;=1.7,$B$11,MIN(AD486/MAX(0.05,IF(AE486&gt;1,(2-AE486)^2/2,1-AE486^2/2)),$B$11))))</f>
        <v/>
      </c>
      <c r="AG486">
        <f>AG485*$B$28+AF486*(1-$B$28)</f>
        <v/>
      </c>
      <c r="AH486">
        <f>IF(AND(AD486&gt;0,AC486&lt;=0),0,AC486)</f>
        <v/>
      </c>
      <c r="AI486">
        <f>AH486/MAX(AG486,0.000001)</f>
        <v/>
      </c>
      <c r="AJ486">
        <f>MIN(IF(AI486&gt;=0.5,-AI486+SQRT(AI486^2+2),1),$B$12)</f>
        <v/>
      </c>
      <c r="AK486">
        <f>IF(AG486&lt;=0,0,AJ486*AH486)</f>
        <v/>
      </c>
      <c r="AL486">
        <f>IF(AD486&lt;=0,0,AD486)</f>
        <v/>
      </c>
      <c r="AM486">
        <f>AL486-AK486+P486</f>
        <v/>
      </c>
      <c r="AN486">
        <f>((AM486/$B$7+T485*AS485/2-T486*MAX(0.1,MIN(0.3,0.3-0.09*(AR485-36.8)))/2)+AR485*(1-AS485/2))/(1-MAX(0.1,MIN(0.3,0.3-0.09*(AR485-36.8)))/2)</f>
        <v/>
      </c>
      <c r="AO486">
        <f>((AM486/$B$7+T485*AS485/2-T486*MAX(0.1,MIN(0.3,0.3-0.09*(AN486-36.8)))/2)+AR485*(1-AS485/2))/(1-MAX(0.1,MIN(0.3,0.3-0.09*(AN486-36.8)))/2)</f>
        <v/>
      </c>
      <c r="AP486">
        <f>((AM486/$B$7+T485*AS485/2-T486*MAX(0.1,MIN(0.3,0.3-0.09*(AO486-36.8)))/2)+AR485*(1-AS485/2))/(1-MAX(0.1,MIN(0.3,0.3-0.09*(AO486-36.8)))/2)</f>
        <v/>
      </c>
      <c r="AQ486">
        <f>((AM486/$B$7+T485*AS485/2-T486*MAX(0.1,MIN(0.3,0.3-0.09*(AP486-36.8)))/2)+AR485*(1-AS485/2))/(1-MAX(0.1,MIN(0.3,0.3-0.09*(AP486-36.8)))/2)</f>
        <v/>
      </c>
      <c r="AR486">
        <f>((AM486/$B$7+T485*AS485/2-T486*MAX(0.1,MIN(0.3,0.3-0.09*(AQ486-36.8)))/2)+AR485*(1-AS485/2))/(1-MAX(0.1,MIN(0.3,0.3-0.09*(AQ486-36.8)))/2)</f>
        <v/>
      </c>
      <c r="AS486">
        <f>MAX(0.1,MIN(0.3,0.3-0.09*(AR486-36.8)))</f>
        <v/>
      </c>
      <c r="AT486">
        <f>AT485+(2*AR486-1.962*AT485-1.31)/9</f>
        <v/>
      </c>
      <c r="AU486">
        <f>AU485+AG486+K486</f>
        <v/>
      </c>
      <c r="AV486">
        <f>AU486*2.67*$B$6/1.8/60</f>
        <v/>
      </c>
      <c r="AW486">
        <f>IF(AT486&gt;=$B$36,1,0)</f>
        <v/>
      </c>
      <c r="AX486">
        <f>IF(AV486&gt;=$B$21,1,0)</f>
        <v/>
      </c>
    </row>
    <row r="487">
      <c r="A487" t="n">
        <v>414</v>
      </c>
      <c r="B487">
        <f>MATCH(A487-1,$D$61:$D$68,1)</f>
        <v/>
      </c>
      <c r="C487">
        <f>INDEX($G$61:$G$68,B487)</f>
        <v/>
      </c>
      <c r="D487">
        <f>INDEX($L$61:$L$68,B487)</f>
        <v/>
      </c>
      <c r="E487">
        <f>INDEX($M$61:$M$68,B487)</f>
        <v/>
      </c>
      <c r="F487">
        <f>INDEX($N$61:$N$68,B487)</f>
        <v/>
      </c>
      <c r="G487">
        <f>INDEX($AA$61:$AA$68,B487)</f>
        <v/>
      </c>
      <c r="H487">
        <f>INDEX($X$61:$X$68,B487)</f>
        <v/>
      </c>
      <c r="I487">
        <f>INDEX($AF$61:$AF$68,B487)</f>
        <v/>
      </c>
      <c r="J487">
        <f>INDEX($AC$61:$AC$68,B487)</f>
        <v/>
      </c>
      <c r="K487">
        <f>INDEX($AD$61:$AD$68,B487)</f>
        <v/>
      </c>
      <c r="L487">
        <f>INDEX($AG$61:$AG$68,B487)</f>
        <v/>
      </c>
      <c r="M487">
        <f>INDEX($AH$61:$AH$68,B487)</f>
        <v/>
      </c>
      <c r="N487">
        <f>INDEX($AI$61:$AI$68,B487)</f>
        <v/>
      </c>
      <c r="O487">
        <f>O486*$B$26+L487*(1-$B$26)</f>
        <v/>
      </c>
      <c r="P487">
        <f>$B$7*(O487-O486)*(1-AS486)</f>
        <v/>
      </c>
      <c r="Q487">
        <f>M487+0.51274*AT486</f>
        <v/>
      </c>
      <c r="R487">
        <f>N487+0.616*AT486</f>
        <v/>
      </c>
      <c r="S487">
        <f>IF($B$13&gt;=0.6,Q487,IF($B$13&lt;=0.2,R487,R487+2.5*(Q487-R487)*($B$13-0.2)))</f>
        <v/>
      </c>
      <c r="T487">
        <f>IF(A487=1,S487,T486*$B$27+S487*(1-$B$27))</f>
        <v/>
      </c>
      <c r="U487">
        <f>0.6105*EXP(17.27*T487/(T487+237.3))</f>
        <v/>
      </c>
      <c r="V487">
        <f>($B$14*(I487*C487+IF(ABS((D487+0.1)-D487)&lt;0.000000001,4*$B$19*$B$20*(D487+273)^3,$B$19*$B$20*(((D487+0.1)+273)^4-(D487+273)^4)/((D487+0.1)-D487))*D487)+T487/H487)/($B$14*(I487+IF(ABS((D487+0.1)-D487)&lt;0.000000001,4*$B$19*$B$20*(D487+273)^3,$B$19*$B$20*(((D487+0.1)+273)^4-(D487+273)^4)/((D487+0.1)-D487)))+1/H487)</f>
        <v/>
      </c>
      <c r="W487">
        <f>($B$14*(I487*C487+IF(ABS(V487-D487)&lt;0.000000001,4*$B$19*$B$20*(D487+273)^3,$B$19*$B$20*((V487+273)^4-(D487+273)^4)/(V487-D487))*D487)+T487/H487)/($B$14*(I487+IF(ABS(V487-D487)&lt;0.000000001,4*$B$19*$B$20*(D487+273)^3,$B$19*$B$20*((V487+273)^4-(D487+273)^4)/(V487-D487)))+1/H487)</f>
        <v/>
      </c>
      <c r="X487">
        <f>($B$14*(I487*C487+IF(ABS(W487-D487)&lt;0.000000001,4*$B$19*$B$20*(D487+273)^3,$B$19*$B$20*((W487+273)^4-(D487+273)^4)/(W487-D487))*D487)+T487/H487)/($B$14*(I487+IF(ABS(W487-D487)&lt;0.000000001,4*$B$19*$B$20*(D487+273)^3,$B$19*$B$20*((W487+273)^4-(D487+273)^4)/(W487-D487)))+1/H487)</f>
        <v/>
      </c>
      <c r="Y487">
        <f>($B$14*(I487*C487+IF(ABS(X487-D487)&lt;0.000000001,4*$B$19*$B$20*(D487+273)^3,$B$19*$B$20*((X487+273)^4-(D487+273)^4)/(X487-D487))*D487)+T487/H487)/($B$14*(I487+IF(ABS(X487-D487)&lt;0.000000001,4*$B$19*$B$20*(D487+273)^3,$B$19*$B$20*((X487+273)^4-(D487+273)^4)/(X487-D487)))+1/H487)</f>
        <v/>
      </c>
      <c r="Z487">
        <f>IF(ABS(Y487-D487)&lt;0.000000001,4*$B$19*$B$20*(D487+273)^3,$B$19*$B$20*((Y487+273)^4-(D487+273)^4)/(Y487-D487))</f>
        <v/>
      </c>
      <c r="AA487">
        <f>$B$14*I487*(Y487-C487)</f>
        <v/>
      </c>
      <c r="AB487">
        <f>$B$14*Z487*(Y487-D487)</f>
        <v/>
      </c>
      <c r="AC487">
        <f>IF((U487-E487)/G487=0,0.001,(U487-E487)/G487)</f>
        <v/>
      </c>
      <c r="AD487">
        <f>F487-P487-J487-K487-AA487-AB487</f>
        <v/>
      </c>
      <c r="AE487">
        <f>AD487/AC487</f>
        <v/>
      </c>
      <c r="AF487">
        <f>IF(AD487&lt;=0,0,IF(AC487&lt;=0,$B$11,IF(AE487&gt;=1.7,$B$11,MIN(AD487/MAX(0.05,IF(AE487&gt;1,(2-AE487)^2/2,1-AE487^2/2)),$B$11))))</f>
        <v/>
      </c>
      <c r="AG487">
        <f>AG486*$B$28+AF487*(1-$B$28)</f>
        <v/>
      </c>
      <c r="AH487">
        <f>IF(AND(AD487&gt;0,AC487&lt;=0),0,AC487)</f>
        <v/>
      </c>
      <c r="AI487">
        <f>AH487/MAX(AG487,0.000001)</f>
        <v/>
      </c>
      <c r="AJ487">
        <f>MIN(IF(AI487&gt;=0.5,-AI487+SQRT(AI487^2+2),1),$B$12)</f>
        <v/>
      </c>
      <c r="AK487">
        <f>IF(AG487&lt;=0,0,AJ487*AH487)</f>
        <v/>
      </c>
      <c r="AL487">
        <f>IF(AD487&lt;=0,0,AD487)</f>
        <v/>
      </c>
      <c r="AM487">
        <f>AL487-AK487+P487</f>
        <v/>
      </c>
      <c r="AN487">
        <f>((AM487/$B$7+T486*AS486/2-T487*MAX(0.1,MIN(0.3,0.3-0.09*(AR486-36.8)))/2)+AR486*(1-AS486/2))/(1-MAX(0.1,MIN(0.3,0.3-0.09*(AR486-36.8)))/2)</f>
        <v/>
      </c>
      <c r="AO487">
        <f>((AM487/$B$7+T486*AS486/2-T487*MAX(0.1,MIN(0.3,0.3-0.09*(AN487-36.8)))/2)+AR486*(1-AS486/2))/(1-MAX(0.1,MIN(0.3,0.3-0.09*(AN487-36.8)))/2)</f>
        <v/>
      </c>
      <c r="AP487">
        <f>((AM487/$B$7+T486*AS486/2-T487*MAX(0.1,MIN(0.3,0.3-0.09*(AO487-36.8)))/2)+AR486*(1-AS486/2))/(1-MAX(0.1,MIN(0.3,0.3-0.09*(AO487-36.8)))/2)</f>
        <v/>
      </c>
      <c r="AQ487">
        <f>((AM487/$B$7+T486*AS486/2-T487*MAX(0.1,MIN(0.3,0.3-0.09*(AP487-36.8)))/2)+AR486*(1-AS486/2))/(1-MAX(0.1,MIN(0.3,0.3-0.09*(AP487-36.8)))/2)</f>
        <v/>
      </c>
      <c r="AR487">
        <f>((AM487/$B$7+T486*AS486/2-T487*MAX(0.1,MIN(0.3,0.3-0.09*(AQ487-36.8)))/2)+AR486*(1-AS486/2))/(1-MAX(0.1,MIN(0.3,0.3-0.09*(AQ487-36.8)))/2)</f>
        <v/>
      </c>
      <c r="AS487">
        <f>MAX(0.1,MIN(0.3,0.3-0.09*(AR487-36.8)))</f>
        <v/>
      </c>
      <c r="AT487">
        <f>AT486+(2*AR487-1.962*AT486-1.31)/9</f>
        <v/>
      </c>
      <c r="AU487">
        <f>AU486+AG487+K487</f>
        <v/>
      </c>
      <c r="AV487">
        <f>AU487*2.67*$B$6/1.8/60</f>
        <v/>
      </c>
      <c r="AW487">
        <f>IF(AT487&gt;=$B$36,1,0)</f>
        <v/>
      </c>
      <c r="AX487">
        <f>IF(AV487&gt;=$B$21,1,0)</f>
        <v/>
      </c>
    </row>
    <row r="488">
      <c r="A488" t="n">
        <v>415</v>
      </c>
      <c r="B488">
        <f>MATCH(A488-1,$D$61:$D$68,1)</f>
        <v/>
      </c>
      <c r="C488">
        <f>INDEX($G$61:$G$68,B488)</f>
        <v/>
      </c>
      <c r="D488">
        <f>INDEX($L$61:$L$68,B488)</f>
        <v/>
      </c>
      <c r="E488">
        <f>INDEX($M$61:$M$68,B488)</f>
        <v/>
      </c>
      <c r="F488">
        <f>INDEX($N$61:$N$68,B488)</f>
        <v/>
      </c>
      <c r="G488">
        <f>INDEX($AA$61:$AA$68,B488)</f>
        <v/>
      </c>
      <c r="H488">
        <f>INDEX($X$61:$X$68,B488)</f>
        <v/>
      </c>
      <c r="I488">
        <f>INDEX($AF$61:$AF$68,B488)</f>
        <v/>
      </c>
      <c r="J488">
        <f>INDEX($AC$61:$AC$68,B488)</f>
        <v/>
      </c>
      <c r="K488">
        <f>INDEX($AD$61:$AD$68,B488)</f>
        <v/>
      </c>
      <c r="L488">
        <f>INDEX($AG$61:$AG$68,B488)</f>
        <v/>
      </c>
      <c r="M488">
        <f>INDEX($AH$61:$AH$68,B488)</f>
        <v/>
      </c>
      <c r="N488">
        <f>INDEX($AI$61:$AI$68,B488)</f>
        <v/>
      </c>
      <c r="O488">
        <f>O487*$B$26+L488*(1-$B$26)</f>
        <v/>
      </c>
      <c r="P488">
        <f>$B$7*(O488-O487)*(1-AS487)</f>
        <v/>
      </c>
      <c r="Q488">
        <f>M488+0.51274*AT487</f>
        <v/>
      </c>
      <c r="R488">
        <f>N488+0.616*AT487</f>
        <v/>
      </c>
      <c r="S488">
        <f>IF($B$13&gt;=0.6,Q488,IF($B$13&lt;=0.2,R488,R488+2.5*(Q488-R488)*($B$13-0.2)))</f>
        <v/>
      </c>
      <c r="T488">
        <f>IF(A488=1,S488,T487*$B$27+S488*(1-$B$27))</f>
        <v/>
      </c>
      <c r="U488">
        <f>0.6105*EXP(17.27*T488/(T488+237.3))</f>
        <v/>
      </c>
      <c r="V488">
        <f>($B$14*(I488*C488+IF(ABS((D488+0.1)-D488)&lt;0.000000001,4*$B$19*$B$20*(D488+273)^3,$B$19*$B$20*(((D488+0.1)+273)^4-(D488+273)^4)/((D488+0.1)-D488))*D488)+T488/H488)/($B$14*(I488+IF(ABS((D488+0.1)-D488)&lt;0.000000001,4*$B$19*$B$20*(D488+273)^3,$B$19*$B$20*(((D488+0.1)+273)^4-(D488+273)^4)/((D488+0.1)-D488)))+1/H488)</f>
        <v/>
      </c>
      <c r="W488">
        <f>($B$14*(I488*C488+IF(ABS(V488-D488)&lt;0.000000001,4*$B$19*$B$20*(D488+273)^3,$B$19*$B$20*((V488+273)^4-(D488+273)^4)/(V488-D488))*D488)+T488/H488)/($B$14*(I488+IF(ABS(V488-D488)&lt;0.000000001,4*$B$19*$B$20*(D488+273)^3,$B$19*$B$20*((V488+273)^4-(D488+273)^4)/(V488-D488)))+1/H488)</f>
        <v/>
      </c>
      <c r="X488">
        <f>($B$14*(I488*C488+IF(ABS(W488-D488)&lt;0.000000001,4*$B$19*$B$20*(D488+273)^3,$B$19*$B$20*((W488+273)^4-(D488+273)^4)/(W488-D488))*D488)+T488/H488)/($B$14*(I488+IF(ABS(W488-D488)&lt;0.000000001,4*$B$19*$B$20*(D488+273)^3,$B$19*$B$20*((W488+273)^4-(D488+273)^4)/(W488-D488)))+1/H488)</f>
        <v/>
      </c>
      <c r="Y488">
        <f>($B$14*(I488*C488+IF(ABS(X488-D488)&lt;0.000000001,4*$B$19*$B$20*(D488+273)^3,$B$19*$B$20*((X488+273)^4-(D488+273)^4)/(X488-D488))*D488)+T488/H488)/($B$14*(I488+IF(ABS(X488-D488)&lt;0.000000001,4*$B$19*$B$20*(D488+273)^3,$B$19*$B$20*((X488+273)^4-(D488+273)^4)/(X488-D488)))+1/H488)</f>
        <v/>
      </c>
      <c r="Z488">
        <f>IF(ABS(Y488-D488)&lt;0.000000001,4*$B$19*$B$20*(D488+273)^3,$B$19*$B$20*((Y488+273)^4-(D488+273)^4)/(Y488-D488))</f>
        <v/>
      </c>
      <c r="AA488">
        <f>$B$14*I488*(Y488-C488)</f>
        <v/>
      </c>
      <c r="AB488">
        <f>$B$14*Z488*(Y488-D488)</f>
        <v/>
      </c>
      <c r="AC488">
        <f>IF((U488-E488)/G488=0,0.001,(U488-E488)/G488)</f>
        <v/>
      </c>
      <c r="AD488">
        <f>F488-P488-J488-K488-AA488-AB488</f>
        <v/>
      </c>
      <c r="AE488">
        <f>AD488/AC488</f>
        <v/>
      </c>
      <c r="AF488">
        <f>IF(AD488&lt;=0,0,IF(AC488&lt;=0,$B$11,IF(AE488&gt;=1.7,$B$11,MIN(AD488/MAX(0.05,IF(AE488&gt;1,(2-AE488)^2/2,1-AE488^2/2)),$B$11))))</f>
        <v/>
      </c>
      <c r="AG488">
        <f>AG487*$B$28+AF488*(1-$B$28)</f>
        <v/>
      </c>
      <c r="AH488">
        <f>IF(AND(AD488&gt;0,AC488&lt;=0),0,AC488)</f>
        <v/>
      </c>
      <c r="AI488">
        <f>AH488/MAX(AG488,0.000001)</f>
        <v/>
      </c>
      <c r="AJ488">
        <f>MIN(IF(AI488&gt;=0.5,-AI488+SQRT(AI488^2+2),1),$B$12)</f>
        <v/>
      </c>
      <c r="AK488">
        <f>IF(AG488&lt;=0,0,AJ488*AH488)</f>
        <v/>
      </c>
      <c r="AL488">
        <f>IF(AD488&lt;=0,0,AD488)</f>
        <v/>
      </c>
      <c r="AM488">
        <f>AL488-AK488+P488</f>
        <v/>
      </c>
      <c r="AN488">
        <f>((AM488/$B$7+T487*AS487/2-T488*MAX(0.1,MIN(0.3,0.3-0.09*(AR487-36.8)))/2)+AR487*(1-AS487/2))/(1-MAX(0.1,MIN(0.3,0.3-0.09*(AR487-36.8)))/2)</f>
        <v/>
      </c>
      <c r="AO488">
        <f>((AM488/$B$7+T487*AS487/2-T488*MAX(0.1,MIN(0.3,0.3-0.09*(AN488-36.8)))/2)+AR487*(1-AS487/2))/(1-MAX(0.1,MIN(0.3,0.3-0.09*(AN488-36.8)))/2)</f>
        <v/>
      </c>
      <c r="AP488">
        <f>((AM488/$B$7+T487*AS487/2-T488*MAX(0.1,MIN(0.3,0.3-0.09*(AO488-36.8)))/2)+AR487*(1-AS487/2))/(1-MAX(0.1,MIN(0.3,0.3-0.09*(AO488-36.8)))/2)</f>
        <v/>
      </c>
      <c r="AQ488">
        <f>((AM488/$B$7+T487*AS487/2-T488*MAX(0.1,MIN(0.3,0.3-0.09*(AP488-36.8)))/2)+AR487*(1-AS487/2))/(1-MAX(0.1,MIN(0.3,0.3-0.09*(AP488-36.8)))/2)</f>
        <v/>
      </c>
      <c r="AR488">
        <f>((AM488/$B$7+T487*AS487/2-T488*MAX(0.1,MIN(0.3,0.3-0.09*(AQ488-36.8)))/2)+AR487*(1-AS487/2))/(1-MAX(0.1,MIN(0.3,0.3-0.09*(AQ488-36.8)))/2)</f>
        <v/>
      </c>
      <c r="AS488">
        <f>MAX(0.1,MIN(0.3,0.3-0.09*(AR488-36.8)))</f>
        <v/>
      </c>
      <c r="AT488">
        <f>AT487+(2*AR488-1.962*AT487-1.31)/9</f>
        <v/>
      </c>
      <c r="AU488">
        <f>AU487+AG488+K488</f>
        <v/>
      </c>
      <c r="AV488">
        <f>AU488*2.67*$B$6/1.8/60</f>
        <v/>
      </c>
      <c r="AW488">
        <f>IF(AT488&gt;=$B$36,1,0)</f>
        <v/>
      </c>
      <c r="AX488">
        <f>IF(AV488&gt;=$B$21,1,0)</f>
        <v/>
      </c>
    </row>
    <row r="489">
      <c r="A489" t="n">
        <v>416</v>
      </c>
      <c r="B489">
        <f>MATCH(A489-1,$D$61:$D$68,1)</f>
        <v/>
      </c>
      <c r="C489">
        <f>INDEX($G$61:$G$68,B489)</f>
        <v/>
      </c>
      <c r="D489">
        <f>INDEX($L$61:$L$68,B489)</f>
        <v/>
      </c>
      <c r="E489">
        <f>INDEX($M$61:$M$68,B489)</f>
        <v/>
      </c>
      <c r="F489">
        <f>INDEX($N$61:$N$68,B489)</f>
        <v/>
      </c>
      <c r="G489">
        <f>INDEX($AA$61:$AA$68,B489)</f>
        <v/>
      </c>
      <c r="H489">
        <f>INDEX($X$61:$X$68,B489)</f>
        <v/>
      </c>
      <c r="I489">
        <f>INDEX($AF$61:$AF$68,B489)</f>
        <v/>
      </c>
      <c r="J489">
        <f>INDEX($AC$61:$AC$68,B489)</f>
        <v/>
      </c>
      <c r="K489">
        <f>INDEX($AD$61:$AD$68,B489)</f>
        <v/>
      </c>
      <c r="L489">
        <f>INDEX($AG$61:$AG$68,B489)</f>
        <v/>
      </c>
      <c r="M489">
        <f>INDEX($AH$61:$AH$68,B489)</f>
        <v/>
      </c>
      <c r="N489">
        <f>INDEX($AI$61:$AI$68,B489)</f>
        <v/>
      </c>
      <c r="O489">
        <f>O488*$B$26+L489*(1-$B$26)</f>
        <v/>
      </c>
      <c r="P489">
        <f>$B$7*(O489-O488)*(1-AS488)</f>
        <v/>
      </c>
      <c r="Q489">
        <f>M489+0.51274*AT488</f>
        <v/>
      </c>
      <c r="R489">
        <f>N489+0.616*AT488</f>
        <v/>
      </c>
      <c r="S489">
        <f>IF($B$13&gt;=0.6,Q489,IF($B$13&lt;=0.2,R489,R489+2.5*(Q489-R489)*($B$13-0.2)))</f>
        <v/>
      </c>
      <c r="T489">
        <f>IF(A489=1,S489,T488*$B$27+S489*(1-$B$27))</f>
        <v/>
      </c>
      <c r="U489">
        <f>0.6105*EXP(17.27*T489/(T489+237.3))</f>
        <v/>
      </c>
      <c r="V489">
        <f>($B$14*(I489*C489+IF(ABS((D489+0.1)-D489)&lt;0.000000001,4*$B$19*$B$20*(D489+273)^3,$B$19*$B$20*(((D489+0.1)+273)^4-(D489+273)^4)/((D489+0.1)-D489))*D489)+T489/H489)/($B$14*(I489+IF(ABS((D489+0.1)-D489)&lt;0.000000001,4*$B$19*$B$20*(D489+273)^3,$B$19*$B$20*(((D489+0.1)+273)^4-(D489+273)^4)/((D489+0.1)-D489)))+1/H489)</f>
        <v/>
      </c>
      <c r="W489">
        <f>($B$14*(I489*C489+IF(ABS(V489-D489)&lt;0.000000001,4*$B$19*$B$20*(D489+273)^3,$B$19*$B$20*((V489+273)^4-(D489+273)^4)/(V489-D489))*D489)+T489/H489)/($B$14*(I489+IF(ABS(V489-D489)&lt;0.000000001,4*$B$19*$B$20*(D489+273)^3,$B$19*$B$20*((V489+273)^4-(D489+273)^4)/(V489-D489)))+1/H489)</f>
        <v/>
      </c>
      <c r="X489">
        <f>($B$14*(I489*C489+IF(ABS(W489-D489)&lt;0.000000001,4*$B$19*$B$20*(D489+273)^3,$B$19*$B$20*((W489+273)^4-(D489+273)^4)/(W489-D489))*D489)+T489/H489)/($B$14*(I489+IF(ABS(W489-D489)&lt;0.000000001,4*$B$19*$B$20*(D489+273)^3,$B$19*$B$20*((W489+273)^4-(D489+273)^4)/(W489-D489)))+1/H489)</f>
        <v/>
      </c>
      <c r="Y489">
        <f>($B$14*(I489*C489+IF(ABS(X489-D489)&lt;0.000000001,4*$B$19*$B$20*(D489+273)^3,$B$19*$B$20*((X489+273)^4-(D489+273)^4)/(X489-D489))*D489)+T489/H489)/($B$14*(I489+IF(ABS(X489-D489)&lt;0.000000001,4*$B$19*$B$20*(D489+273)^3,$B$19*$B$20*((X489+273)^4-(D489+273)^4)/(X489-D489)))+1/H489)</f>
        <v/>
      </c>
      <c r="Z489">
        <f>IF(ABS(Y489-D489)&lt;0.000000001,4*$B$19*$B$20*(D489+273)^3,$B$19*$B$20*((Y489+273)^4-(D489+273)^4)/(Y489-D489))</f>
        <v/>
      </c>
      <c r="AA489">
        <f>$B$14*I489*(Y489-C489)</f>
        <v/>
      </c>
      <c r="AB489">
        <f>$B$14*Z489*(Y489-D489)</f>
        <v/>
      </c>
      <c r="AC489">
        <f>IF((U489-E489)/G489=0,0.001,(U489-E489)/G489)</f>
        <v/>
      </c>
      <c r="AD489">
        <f>F489-P489-J489-K489-AA489-AB489</f>
        <v/>
      </c>
      <c r="AE489">
        <f>AD489/AC489</f>
        <v/>
      </c>
      <c r="AF489">
        <f>IF(AD489&lt;=0,0,IF(AC489&lt;=0,$B$11,IF(AE489&gt;=1.7,$B$11,MIN(AD489/MAX(0.05,IF(AE489&gt;1,(2-AE489)^2/2,1-AE489^2/2)),$B$11))))</f>
        <v/>
      </c>
      <c r="AG489">
        <f>AG488*$B$28+AF489*(1-$B$28)</f>
        <v/>
      </c>
      <c r="AH489">
        <f>IF(AND(AD489&gt;0,AC489&lt;=0),0,AC489)</f>
        <v/>
      </c>
      <c r="AI489">
        <f>AH489/MAX(AG489,0.000001)</f>
        <v/>
      </c>
      <c r="AJ489">
        <f>MIN(IF(AI489&gt;=0.5,-AI489+SQRT(AI489^2+2),1),$B$12)</f>
        <v/>
      </c>
      <c r="AK489">
        <f>IF(AG489&lt;=0,0,AJ489*AH489)</f>
        <v/>
      </c>
      <c r="AL489">
        <f>IF(AD489&lt;=0,0,AD489)</f>
        <v/>
      </c>
      <c r="AM489">
        <f>AL489-AK489+P489</f>
        <v/>
      </c>
      <c r="AN489">
        <f>((AM489/$B$7+T488*AS488/2-T489*MAX(0.1,MIN(0.3,0.3-0.09*(AR488-36.8)))/2)+AR488*(1-AS488/2))/(1-MAX(0.1,MIN(0.3,0.3-0.09*(AR488-36.8)))/2)</f>
        <v/>
      </c>
      <c r="AO489">
        <f>((AM489/$B$7+T488*AS488/2-T489*MAX(0.1,MIN(0.3,0.3-0.09*(AN489-36.8)))/2)+AR488*(1-AS488/2))/(1-MAX(0.1,MIN(0.3,0.3-0.09*(AN489-36.8)))/2)</f>
        <v/>
      </c>
      <c r="AP489">
        <f>((AM489/$B$7+T488*AS488/2-T489*MAX(0.1,MIN(0.3,0.3-0.09*(AO489-36.8)))/2)+AR488*(1-AS488/2))/(1-MAX(0.1,MIN(0.3,0.3-0.09*(AO489-36.8)))/2)</f>
        <v/>
      </c>
      <c r="AQ489">
        <f>((AM489/$B$7+T488*AS488/2-T489*MAX(0.1,MIN(0.3,0.3-0.09*(AP489-36.8)))/2)+AR488*(1-AS488/2))/(1-MAX(0.1,MIN(0.3,0.3-0.09*(AP489-36.8)))/2)</f>
        <v/>
      </c>
      <c r="AR489">
        <f>((AM489/$B$7+T488*AS488/2-T489*MAX(0.1,MIN(0.3,0.3-0.09*(AQ489-36.8)))/2)+AR488*(1-AS488/2))/(1-MAX(0.1,MIN(0.3,0.3-0.09*(AQ489-36.8)))/2)</f>
        <v/>
      </c>
      <c r="AS489">
        <f>MAX(0.1,MIN(0.3,0.3-0.09*(AR489-36.8)))</f>
        <v/>
      </c>
      <c r="AT489">
        <f>AT488+(2*AR489-1.962*AT488-1.31)/9</f>
        <v/>
      </c>
      <c r="AU489">
        <f>AU488+AG489+K489</f>
        <v/>
      </c>
      <c r="AV489">
        <f>AU489*2.67*$B$6/1.8/60</f>
        <v/>
      </c>
      <c r="AW489">
        <f>IF(AT489&gt;=$B$36,1,0)</f>
        <v/>
      </c>
      <c r="AX489">
        <f>IF(AV489&gt;=$B$21,1,0)</f>
        <v/>
      </c>
    </row>
    <row r="490">
      <c r="A490" t="n">
        <v>417</v>
      </c>
      <c r="B490">
        <f>MATCH(A490-1,$D$61:$D$68,1)</f>
        <v/>
      </c>
      <c r="C490">
        <f>INDEX($G$61:$G$68,B490)</f>
        <v/>
      </c>
      <c r="D490">
        <f>INDEX($L$61:$L$68,B490)</f>
        <v/>
      </c>
      <c r="E490">
        <f>INDEX($M$61:$M$68,B490)</f>
        <v/>
      </c>
      <c r="F490">
        <f>INDEX($N$61:$N$68,B490)</f>
        <v/>
      </c>
      <c r="G490">
        <f>INDEX($AA$61:$AA$68,B490)</f>
        <v/>
      </c>
      <c r="H490">
        <f>INDEX($X$61:$X$68,B490)</f>
        <v/>
      </c>
      <c r="I490">
        <f>INDEX($AF$61:$AF$68,B490)</f>
        <v/>
      </c>
      <c r="J490">
        <f>INDEX($AC$61:$AC$68,B490)</f>
        <v/>
      </c>
      <c r="K490">
        <f>INDEX($AD$61:$AD$68,B490)</f>
        <v/>
      </c>
      <c r="L490">
        <f>INDEX($AG$61:$AG$68,B490)</f>
        <v/>
      </c>
      <c r="M490">
        <f>INDEX($AH$61:$AH$68,B490)</f>
        <v/>
      </c>
      <c r="N490">
        <f>INDEX($AI$61:$AI$68,B490)</f>
        <v/>
      </c>
      <c r="O490">
        <f>O489*$B$26+L490*(1-$B$26)</f>
        <v/>
      </c>
      <c r="P490">
        <f>$B$7*(O490-O489)*(1-AS489)</f>
        <v/>
      </c>
      <c r="Q490">
        <f>M490+0.51274*AT489</f>
        <v/>
      </c>
      <c r="R490">
        <f>N490+0.616*AT489</f>
        <v/>
      </c>
      <c r="S490">
        <f>IF($B$13&gt;=0.6,Q490,IF($B$13&lt;=0.2,R490,R490+2.5*(Q490-R490)*($B$13-0.2)))</f>
        <v/>
      </c>
      <c r="T490">
        <f>IF(A490=1,S490,T489*$B$27+S490*(1-$B$27))</f>
        <v/>
      </c>
      <c r="U490">
        <f>0.6105*EXP(17.27*T490/(T490+237.3))</f>
        <v/>
      </c>
      <c r="V490">
        <f>($B$14*(I490*C490+IF(ABS((D490+0.1)-D490)&lt;0.000000001,4*$B$19*$B$20*(D490+273)^3,$B$19*$B$20*(((D490+0.1)+273)^4-(D490+273)^4)/((D490+0.1)-D490))*D490)+T490/H490)/($B$14*(I490+IF(ABS((D490+0.1)-D490)&lt;0.000000001,4*$B$19*$B$20*(D490+273)^3,$B$19*$B$20*(((D490+0.1)+273)^4-(D490+273)^4)/((D490+0.1)-D490)))+1/H490)</f>
        <v/>
      </c>
      <c r="W490">
        <f>($B$14*(I490*C490+IF(ABS(V490-D490)&lt;0.000000001,4*$B$19*$B$20*(D490+273)^3,$B$19*$B$20*((V490+273)^4-(D490+273)^4)/(V490-D490))*D490)+T490/H490)/($B$14*(I490+IF(ABS(V490-D490)&lt;0.000000001,4*$B$19*$B$20*(D490+273)^3,$B$19*$B$20*((V490+273)^4-(D490+273)^4)/(V490-D490)))+1/H490)</f>
        <v/>
      </c>
      <c r="X490">
        <f>($B$14*(I490*C490+IF(ABS(W490-D490)&lt;0.000000001,4*$B$19*$B$20*(D490+273)^3,$B$19*$B$20*((W490+273)^4-(D490+273)^4)/(W490-D490))*D490)+T490/H490)/($B$14*(I490+IF(ABS(W490-D490)&lt;0.000000001,4*$B$19*$B$20*(D490+273)^3,$B$19*$B$20*((W490+273)^4-(D490+273)^4)/(W490-D490)))+1/H490)</f>
        <v/>
      </c>
      <c r="Y490">
        <f>($B$14*(I490*C490+IF(ABS(X490-D490)&lt;0.000000001,4*$B$19*$B$20*(D490+273)^3,$B$19*$B$20*((X490+273)^4-(D490+273)^4)/(X490-D490))*D490)+T490/H490)/($B$14*(I490+IF(ABS(X490-D490)&lt;0.000000001,4*$B$19*$B$20*(D490+273)^3,$B$19*$B$20*((X490+273)^4-(D490+273)^4)/(X490-D490)))+1/H490)</f>
        <v/>
      </c>
      <c r="Z490">
        <f>IF(ABS(Y490-D490)&lt;0.000000001,4*$B$19*$B$20*(D490+273)^3,$B$19*$B$20*((Y490+273)^4-(D490+273)^4)/(Y490-D490))</f>
        <v/>
      </c>
      <c r="AA490">
        <f>$B$14*I490*(Y490-C490)</f>
        <v/>
      </c>
      <c r="AB490">
        <f>$B$14*Z490*(Y490-D490)</f>
        <v/>
      </c>
      <c r="AC490">
        <f>IF((U490-E490)/G490=0,0.001,(U490-E490)/G490)</f>
        <v/>
      </c>
      <c r="AD490">
        <f>F490-P490-J490-K490-AA490-AB490</f>
        <v/>
      </c>
      <c r="AE490">
        <f>AD490/AC490</f>
        <v/>
      </c>
      <c r="AF490">
        <f>IF(AD490&lt;=0,0,IF(AC490&lt;=0,$B$11,IF(AE490&gt;=1.7,$B$11,MIN(AD490/MAX(0.05,IF(AE490&gt;1,(2-AE490)^2/2,1-AE490^2/2)),$B$11))))</f>
        <v/>
      </c>
      <c r="AG490">
        <f>AG489*$B$28+AF490*(1-$B$28)</f>
        <v/>
      </c>
      <c r="AH490">
        <f>IF(AND(AD490&gt;0,AC490&lt;=0),0,AC490)</f>
        <v/>
      </c>
      <c r="AI490">
        <f>AH490/MAX(AG490,0.000001)</f>
        <v/>
      </c>
      <c r="AJ490">
        <f>MIN(IF(AI490&gt;=0.5,-AI490+SQRT(AI490^2+2),1),$B$12)</f>
        <v/>
      </c>
      <c r="AK490">
        <f>IF(AG490&lt;=0,0,AJ490*AH490)</f>
        <v/>
      </c>
      <c r="AL490">
        <f>IF(AD490&lt;=0,0,AD490)</f>
        <v/>
      </c>
      <c r="AM490">
        <f>AL490-AK490+P490</f>
        <v/>
      </c>
      <c r="AN490">
        <f>((AM490/$B$7+T489*AS489/2-T490*MAX(0.1,MIN(0.3,0.3-0.09*(AR489-36.8)))/2)+AR489*(1-AS489/2))/(1-MAX(0.1,MIN(0.3,0.3-0.09*(AR489-36.8)))/2)</f>
        <v/>
      </c>
      <c r="AO490">
        <f>((AM490/$B$7+T489*AS489/2-T490*MAX(0.1,MIN(0.3,0.3-0.09*(AN490-36.8)))/2)+AR489*(1-AS489/2))/(1-MAX(0.1,MIN(0.3,0.3-0.09*(AN490-36.8)))/2)</f>
        <v/>
      </c>
      <c r="AP490">
        <f>((AM490/$B$7+T489*AS489/2-T490*MAX(0.1,MIN(0.3,0.3-0.09*(AO490-36.8)))/2)+AR489*(1-AS489/2))/(1-MAX(0.1,MIN(0.3,0.3-0.09*(AO490-36.8)))/2)</f>
        <v/>
      </c>
      <c r="AQ490">
        <f>((AM490/$B$7+T489*AS489/2-T490*MAX(0.1,MIN(0.3,0.3-0.09*(AP490-36.8)))/2)+AR489*(1-AS489/2))/(1-MAX(0.1,MIN(0.3,0.3-0.09*(AP490-36.8)))/2)</f>
        <v/>
      </c>
      <c r="AR490">
        <f>((AM490/$B$7+T489*AS489/2-T490*MAX(0.1,MIN(0.3,0.3-0.09*(AQ490-36.8)))/2)+AR489*(1-AS489/2))/(1-MAX(0.1,MIN(0.3,0.3-0.09*(AQ490-36.8)))/2)</f>
        <v/>
      </c>
      <c r="AS490">
        <f>MAX(0.1,MIN(0.3,0.3-0.09*(AR490-36.8)))</f>
        <v/>
      </c>
      <c r="AT490">
        <f>AT489+(2*AR490-1.962*AT489-1.31)/9</f>
        <v/>
      </c>
      <c r="AU490">
        <f>AU489+AG490+K490</f>
        <v/>
      </c>
      <c r="AV490">
        <f>AU490*2.67*$B$6/1.8/60</f>
        <v/>
      </c>
      <c r="AW490">
        <f>IF(AT490&gt;=$B$36,1,0)</f>
        <v/>
      </c>
      <c r="AX490">
        <f>IF(AV490&gt;=$B$21,1,0)</f>
        <v/>
      </c>
    </row>
    <row r="491">
      <c r="A491" t="n">
        <v>418</v>
      </c>
      <c r="B491">
        <f>MATCH(A491-1,$D$61:$D$68,1)</f>
        <v/>
      </c>
      <c r="C491">
        <f>INDEX($G$61:$G$68,B491)</f>
        <v/>
      </c>
      <c r="D491">
        <f>INDEX($L$61:$L$68,B491)</f>
        <v/>
      </c>
      <c r="E491">
        <f>INDEX($M$61:$M$68,B491)</f>
        <v/>
      </c>
      <c r="F491">
        <f>INDEX($N$61:$N$68,B491)</f>
        <v/>
      </c>
      <c r="G491">
        <f>INDEX($AA$61:$AA$68,B491)</f>
        <v/>
      </c>
      <c r="H491">
        <f>INDEX($X$61:$X$68,B491)</f>
        <v/>
      </c>
      <c r="I491">
        <f>INDEX($AF$61:$AF$68,B491)</f>
        <v/>
      </c>
      <c r="J491">
        <f>INDEX($AC$61:$AC$68,B491)</f>
        <v/>
      </c>
      <c r="K491">
        <f>INDEX($AD$61:$AD$68,B491)</f>
        <v/>
      </c>
      <c r="L491">
        <f>INDEX($AG$61:$AG$68,B491)</f>
        <v/>
      </c>
      <c r="M491">
        <f>INDEX($AH$61:$AH$68,B491)</f>
        <v/>
      </c>
      <c r="N491">
        <f>INDEX($AI$61:$AI$68,B491)</f>
        <v/>
      </c>
      <c r="O491">
        <f>O490*$B$26+L491*(1-$B$26)</f>
        <v/>
      </c>
      <c r="P491">
        <f>$B$7*(O491-O490)*(1-AS490)</f>
        <v/>
      </c>
      <c r="Q491">
        <f>M491+0.51274*AT490</f>
        <v/>
      </c>
      <c r="R491">
        <f>N491+0.616*AT490</f>
        <v/>
      </c>
      <c r="S491">
        <f>IF($B$13&gt;=0.6,Q491,IF($B$13&lt;=0.2,R491,R491+2.5*(Q491-R491)*($B$13-0.2)))</f>
        <v/>
      </c>
      <c r="T491">
        <f>IF(A491=1,S491,T490*$B$27+S491*(1-$B$27))</f>
        <v/>
      </c>
      <c r="U491">
        <f>0.6105*EXP(17.27*T491/(T491+237.3))</f>
        <v/>
      </c>
      <c r="V491">
        <f>($B$14*(I491*C491+IF(ABS((D491+0.1)-D491)&lt;0.000000001,4*$B$19*$B$20*(D491+273)^3,$B$19*$B$20*(((D491+0.1)+273)^4-(D491+273)^4)/((D491+0.1)-D491))*D491)+T491/H491)/($B$14*(I491+IF(ABS((D491+0.1)-D491)&lt;0.000000001,4*$B$19*$B$20*(D491+273)^3,$B$19*$B$20*(((D491+0.1)+273)^4-(D491+273)^4)/((D491+0.1)-D491)))+1/H491)</f>
        <v/>
      </c>
      <c r="W491">
        <f>($B$14*(I491*C491+IF(ABS(V491-D491)&lt;0.000000001,4*$B$19*$B$20*(D491+273)^3,$B$19*$B$20*((V491+273)^4-(D491+273)^4)/(V491-D491))*D491)+T491/H491)/($B$14*(I491+IF(ABS(V491-D491)&lt;0.000000001,4*$B$19*$B$20*(D491+273)^3,$B$19*$B$20*((V491+273)^4-(D491+273)^4)/(V491-D491)))+1/H491)</f>
        <v/>
      </c>
      <c r="X491">
        <f>($B$14*(I491*C491+IF(ABS(W491-D491)&lt;0.000000001,4*$B$19*$B$20*(D491+273)^3,$B$19*$B$20*((W491+273)^4-(D491+273)^4)/(W491-D491))*D491)+T491/H491)/($B$14*(I491+IF(ABS(W491-D491)&lt;0.000000001,4*$B$19*$B$20*(D491+273)^3,$B$19*$B$20*((W491+273)^4-(D491+273)^4)/(W491-D491)))+1/H491)</f>
        <v/>
      </c>
      <c r="Y491">
        <f>($B$14*(I491*C491+IF(ABS(X491-D491)&lt;0.000000001,4*$B$19*$B$20*(D491+273)^3,$B$19*$B$20*((X491+273)^4-(D491+273)^4)/(X491-D491))*D491)+T491/H491)/($B$14*(I491+IF(ABS(X491-D491)&lt;0.000000001,4*$B$19*$B$20*(D491+273)^3,$B$19*$B$20*((X491+273)^4-(D491+273)^4)/(X491-D491)))+1/H491)</f>
        <v/>
      </c>
      <c r="Z491">
        <f>IF(ABS(Y491-D491)&lt;0.000000001,4*$B$19*$B$20*(D491+273)^3,$B$19*$B$20*((Y491+273)^4-(D491+273)^4)/(Y491-D491))</f>
        <v/>
      </c>
      <c r="AA491">
        <f>$B$14*I491*(Y491-C491)</f>
        <v/>
      </c>
      <c r="AB491">
        <f>$B$14*Z491*(Y491-D491)</f>
        <v/>
      </c>
      <c r="AC491">
        <f>IF((U491-E491)/G491=0,0.001,(U491-E491)/G491)</f>
        <v/>
      </c>
      <c r="AD491">
        <f>F491-P491-J491-K491-AA491-AB491</f>
        <v/>
      </c>
      <c r="AE491">
        <f>AD491/AC491</f>
        <v/>
      </c>
      <c r="AF491">
        <f>IF(AD491&lt;=0,0,IF(AC491&lt;=0,$B$11,IF(AE491&gt;=1.7,$B$11,MIN(AD491/MAX(0.05,IF(AE491&gt;1,(2-AE491)^2/2,1-AE491^2/2)),$B$11))))</f>
        <v/>
      </c>
      <c r="AG491">
        <f>AG490*$B$28+AF491*(1-$B$28)</f>
        <v/>
      </c>
      <c r="AH491">
        <f>IF(AND(AD491&gt;0,AC491&lt;=0),0,AC491)</f>
        <v/>
      </c>
      <c r="AI491">
        <f>AH491/MAX(AG491,0.000001)</f>
        <v/>
      </c>
      <c r="AJ491">
        <f>MIN(IF(AI491&gt;=0.5,-AI491+SQRT(AI491^2+2),1),$B$12)</f>
        <v/>
      </c>
      <c r="AK491">
        <f>IF(AG491&lt;=0,0,AJ491*AH491)</f>
        <v/>
      </c>
      <c r="AL491">
        <f>IF(AD491&lt;=0,0,AD491)</f>
        <v/>
      </c>
      <c r="AM491">
        <f>AL491-AK491+P491</f>
        <v/>
      </c>
      <c r="AN491">
        <f>((AM491/$B$7+T490*AS490/2-T491*MAX(0.1,MIN(0.3,0.3-0.09*(AR490-36.8)))/2)+AR490*(1-AS490/2))/(1-MAX(0.1,MIN(0.3,0.3-0.09*(AR490-36.8)))/2)</f>
        <v/>
      </c>
      <c r="AO491">
        <f>((AM491/$B$7+T490*AS490/2-T491*MAX(0.1,MIN(0.3,0.3-0.09*(AN491-36.8)))/2)+AR490*(1-AS490/2))/(1-MAX(0.1,MIN(0.3,0.3-0.09*(AN491-36.8)))/2)</f>
        <v/>
      </c>
      <c r="AP491">
        <f>((AM491/$B$7+T490*AS490/2-T491*MAX(0.1,MIN(0.3,0.3-0.09*(AO491-36.8)))/2)+AR490*(1-AS490/2))/(1-MAX(0.1,MIN(0.3,0.3-0.09*(AO491-36.8)))/2)</f>
        <v/>
      </c>
      <c r="AQ491">
        <f>((AM491/$B$7+T490*AS490/2-T491*MAX(0.1,MIN(0.3,0.3-0.09*(AP491-36.8)))/2)+AR490*(1-AS490/2))/(1-MAX(0.1,MIN(0.3,0.3-0.09*(AP491-36.8)))/2)</f>
        <v/>
      </c>
      <c r="AR491">
        <f>((AM491/$B$7+T490*AS490/2-T491*MAX(0.1,MIN(0.3,0.3-0.09*(AQ491-36.8)))/2)+AR490*(1-AS490/2))/(1-MAX(0.1,MIN(0.3,0.3-0.09*(AQ491-36.8)))/2)</f>
        <v/>
      </c>
      <c r="AS491">
        <f>MAX(0.1,MIN(0.3,0.3-0.09*(AR491-36.8)))</f>
        <v/>
      </c>
      <c r="AT491">
        <f>AT490+(2*AR491-1.962*AT490-1.31)/9</f>
        <v/>
      </c>
      <c r="AU491">
        <f>AU490+AG491+K491</f>
        <v/>
      </c>
      <c r="AV491">
        <f>AU491*2.67*$B$6/1.8/60</f>
        <v/>
      </c>
      <c r="AW491">
        <f>IF(AT491&gt;=$B$36,1,0)</f>
        <v/>
      </c>
      <c r="AX491">
        <f>IF(AV491&gt;=$B$21,1,0)</f>
        <v/>
      </c>
    </row>
    <row r="492">
      <c r="A492" t="n">
        <v>419</v>
      </c>
      <c r="B492">
        <f>MATCH(A492-1,$D$61:$D$68,1)</f>
        <v/>
      </c>
      <c r="C492">
        <f>INDEX($G$61:$G$68,B492)</f>
        <v/>
      </c>
      <c r="D492">
        <f>INDEX($L$61:$L$68,B492)</f>
        <v/>
      </c>
      <c r="E492">
        <f>INDEX($M$61:$M$68,B492)</f>
        <v/>
      </c>
      <c r="F492">
        <f>INDEX($N$61:$N$68,B492)</f>
        <v/>
      </c>
      <c r="G492">
        <f>INDEX($AA$61:$AA$68,B492)</f>
        <v/>
      </c>
      <c r="H492">
        <f>INDEX($X$61:$X$68,B492)</f>
        <v/>
      </c>
      <c r="I492">
        <f>INDEX($AF$61:$AF$68,B492)</f>
        <v/>
      </c>
      <c r="J492">
        <f>INDEX($AC$61:$AC$68,B492)</f>
        <v/>
      </c>
      <c r="K492">
        <f>INDEX($AD$61:$AD$68,B492)</f>
        <v/>
      </c>
      <c r="L492">
        <f>INDEX($AG$61:$AG$68,B492)</f>
        <v/>
      </c>
      <c r="M492">
        <f>INDEX($AH$61:$AH$68,B492)</f>
        <v/>
      </c>
      <c r="N492">
        <f>INDEX($AI$61:$AI$68,B492)</f>
        <v/>
      </c>
      <c r="O492">
        <f>O491*$B$26+L492*(1-$B$26)</f>
        <v/>
      </c>
      <c r="P492">
        <f>$B$7*(O492-O491)*(1-AS491)</f>
        <v/>
      </c>
      <c r="Q492">
        <f>M492+0.51274*AT491</f>
        <v/>
      </c>
      <c r="R492">
        <f>N492+0.616*AT491</f>
        <v/>
      </c>
      <c r="S492">
        <f>IF($B$13&gt;=0.6,Q492,IF($B$13&lt;=0.2,R492,R492+2.5*(Q492-R492)*($B$13-0.2)))</f>
        <v/>
      </c>
      <c r="T492">
        <f>IF(A492=1,S492,T491*$B$27+S492*(1-$B$27))</f>
        <v/>
      </c>
      <c r="U492">
        <f>0.6105*EXP(17.27*T492/(T492+237.3))</f>
        <v/>
      </c>
      <c r="V492">
        <f>($B$14*(I492*C492+IF(ABS((D492+0.1)-D492)&lt;0.000000001,4*$B$19*$B$20*(D492+273)^3,$B$19*$B$20*(((D492+0.1)+273)^4-(D492+273)^4)/((D492+0.1)-D492))*D492)+T492/H492)/($B$14*(I492+IF(ABS((D492+0.1)-D492)&lt;0.000000001,4*$B$19*$B$20*(D492+273)^3,$B$19*$B$20*(((D492+0.1)+273)^4-(D492+273)^4)/((D492+0.1)-D492)))+1/H492)</f>
        <v/>
      </c>
      <c r="W492">
        <f>($B$14*(I492*C492+IF(ABS(V492-D492)&lt;0.000000001,4*$B$19*$B$20*(D492+273)^3,$B$19*$B$20*((V492+273)^4-(D492+273)^4)/(V492-D492))*D492)+T492/H492)/($B$14*(I492+IF(ABS(V492-D492)&lt;0.000000001,4*$B$19*$B$20*(D492+273)^3,$B$19*$B$20*((V492+273)^4-(D492+273)^4)/(V492-D492)))+1/H492)</f>
        <v/>
      </c>
      <c r="X492">
        <f>($B$14*(I492*C492+IF(ABS(W492-D492)&lt;0.000000001,4*$B$19*$B$20*(D492+273)^3,$B$19*$B$20*((W492+273)^4-(D492+273)^4)/(W492-D492))*D492)+T492/H492)/($B$14*(I492+IF(ABS(W492-D492)&lt;0.000000001,4*$B$19*$B$20*(D492+273)^3,$B$19*$B$20*((W492+273)^4-(D492+273)^4)/(W492-D492)))+1/H492)</f>
        <v/>
      </c>
      <c r="Y492">
        <f>($B$14*(I492*C492+IF(ABS(X492-D492)&lt;0.000000001,4*$B$19*$B$20*(D492+273)^3,$B$19*$B$20*((X492+273)^4-(D492+273)^4)/(X492-D492))*D492)+T492/H492)/($B$14*(I492+IF(ABS(X492-D492)&lt;0.000000001,4*$B$19*$B$20*(D492+273)^3,$B$19*$B$20*((X492+273)^4-(D492+273)^4)/(X492-D492)))+1/H492)</f>
        <v/>
      </c>
      <c r="Z492">
        <f>IF(ABS(Y492-D492)&lt;0.000000001,4*$B$19*$B$20*(D492+273)^3,$B$19*$B$20*((Y492+273)^4-(D492+273)^4)/(Y492-D492))</f>
        <v/>
      </c>
      <c r="AA492">
        <f>$B$14*I492*(Y492-C492)</f>
        <v/>
      </c>
      <c r="AB492">
        <f>$B$14*Z492*(Y492-D492)</f>
        <v/>
      </c>
      <c r="AC492">
        <f>IF((U492-E492)/G492=0,0.001,(U492-E492)/G492)</f>
        <v/>
      </c>
      <c r="AD492">
        <f>F492-P492-J492-K492-AA492-AB492</f>
        <v/>
      </c>
      <c r="AE492">
        <f>AD492/AC492</f>
        <v/>
      </c>
      <c r="AF492">
        <f>IF(AD492&lt;=0,0,IF(AC492&lt;=0,$B$11,IF(AE492&gt;=1.7,$B$11,MIN(AD492/MAX(0.05,IF(AE492&gt;1,(2-AE492)^2/2,1-AE492^2/2)),$B$11))))</f>
        <v/>
      </c>
      <c r="AG492">
        <f>AG491*$B$28+AF492*(1-$B$28)</f>
        <v/>
      </c>
      <c r="AH492">
        <f>IF(AND(AD492&gt;0,AC492&lt;=0),0,AC492)</f>
        <v/>
      </c>
      <c r="AI492">
        <f>AH492/MAX(AG492,0.000001)</f>
        <v/>
      </c>
      <c r="AJ492">
        <f>MIN(IF(AI492&gt;=0.5,-AI492+SQRT(AI492^2+2),1),$B$12)</f>
        <v/>
      </c>
      <c r="AK492">
        <f>IF(AG492&lt;=0,0,AJ492*AH492)</f>
        <v/>
      </c>
      <c r="AL492">
        <f>IF(AD492&lt;=0,0,AD492)</f>
        <v/>
      </c>
      <c r="AM492">
        <f>AL492-AK492+P492</f>
        <v/>
      </c>
      <c r="AN492">
        <f>((AM492/$B$7+T491*AS491/2-T492*MAX(0.1,MIN(0.3,0.3-0.09*(AR491-36.8)))/2)+AR491*(1-AS491/2))/(1-MAX(0.1,MIN(0.3,0.3-0.09*(AR491-36.8)))/2)</f>
        <v/>
      </c>
      <c r="AO492">
        <f>((AM492/$B$7+T491*AS491/2-T492*MAX(0.1,MIN(0.3,0.3-0.09*(AN492-36.8)))/2)+AR491*(1-AS491/2))/(1-MAX(0.1,MIN(0.3,0.3-0.09*(AN492-36.8)))/2)</f>
        <v/>
      </c>
      <c r="AP492">
        <f>((AM492/$B$7+T491*AS491/2-T492*MAX(0.1,MIN(0.3,0.3-0.09*(AO492-36.8)))/2)+AR491*(1-AS491/2))/(1-MAX(0.1,MIN(0.3,0.3-0.09*(AO492-36.8)))/2)</f>
        <v/>
      </c>
      <c r="AQ492">
        <f>((AM492/$B$7+T491*AS491/2-T492*MAX(0.1,MIN(0.3,0.3-0.09*(AP492-36.8)))/2)+AR491*(1-AS491/2))/(1-MAX(0.1,MIN(0.3,0.3-0.09*(AP492-36.8)))/2)</f>
        <v/>
      </c>
      <c r="AR492">
        <f>((AM492/$B$7+T491*AS491/2-T492*MAX(0.1,MIN(0.3,0.3-0.09*(AQ492-36.8)))/2)+AR491*(1-AS491/2))/(1-MAX(0.1,MIN(0.3,0.3-0.09*(AQ492-36.8)))/2)</f>
        <v/>
      </c>
      <c r="AS492">
        <f>MAX(0.1,MIN(0.3,0.3-0.09*(AR492-36.8)))</f>
        <v/>
      </c>
      <c r="AT492">
        <f>AT491+(2*AR492-1.962*AT491-1.31)/9</f>
        <v/>
      </c>
      <c r="AU492">
        <f>AU491+AG492+K492</f>
        <v/>
      </c>
      <c r="AV492">
        <f>AU492*2.67*$B$6/1.8/60</f>
        <v/>
      </c>
      <c r="AW492">
        <f>IF(AT492&gt;=$B$36,1,0)</f>
        <v/>
      </c>
      <c r="AX492">
        <f>IF(AV492&gt;=$B$21,1,0)</f>
        <v/>
      </c>
    </row>
    <row r="493">
      <c r="A493" t="n">
        <v>420</v>
      </c>
      <c r="B493">
        <f>MATCH(A493-1,$D$61:$D$68,1)</f>
        <v/>
      </c>
      <c r="C493">
        <f>INDEX($G$61:$G$68,B493)</f>
        <v/>
      </c>
      <c r="D493">
        <f>INDEX($L$61:$L$68,B493)</f>
        <v/>
      </c>
      <c r="E493">
        <f>INDEX($M$61:$M$68,B493)</f>
        <v/>
      </c>
      <c r="F493">
        <f>INDEX($N$61:$N$68,B493)</f>
        <v/>
      </c>
      <c r="G493">
        <f>INDEX($AA$61:$AA$68,B493)</f>
        <v/>
      </c>
      <c r="H493">
        <f>INDEX($X$61:$X$68,B493)</f>
        <v/>
      </c>
      <c r="I493">
        <f>INDEX($AF$61:$AF$68,B493)</f>
        <v/>
      </c>
      <c r="J493">
        <f>INDEX($AC$61:$AC$68,B493)</f>
        <v/>
      </c>
      <c r="K493">
        <f>INDEX($AD$61:$AD$68,B493)</f>
        <v/>
      </c>
      <c r="L493">
        <f>INDEX($AG$61:$AG$68,B493)</f>
        <v/>
      </c>
      <c r="M493">
        <f>INDEX($AH$61:$AH$68,B493)</f>
        <v/>
      </c>
      <c r="N493">
        <f>INDEX($AI$61:$AI$68,B493)</f>
        <v/>
      </c>
      <c r="O493">
        <f>O492*$B$26+L493*(1-$B$26)</f>
        <v/>
      </c>
      <c r="P493">
        <f>$B$7*(O493-O492)*(1-AS492)</f>
        <v/>
      </c>
      <c r="Q493">
        <f>M493+0.51274*AT492</f>
        <v/>
      </c>
      <c r="R493">
        <f>N493+0.616*AT492</f>
        <v/>
      </c>
      <c r="S493">
        <f>IF($B$13&gt;=0.6,Q493,IF($B$13&lt;=0.2,R493,R493+2.5*(Q493-R493)*($B$13-0.2)))</f>
        <v/>
      </c>
      <c r="T493">
        <f>IF(A493=1,S493,T492*$B$27+S493*(1-$B$27))</f>
        <v/>
      </c>
      <c r="U493">
        <f>0.6105*EXP(17.27*T493/(T493+237.3))</f>
        <v/>
      </c>
      <c r="V493">
        <f>($B$14*(I493*C493+IF(ABS((D493+0.1)-D493)&lt;0.000000001,4*$B$19*$B$20*(D493+273)^3,$B$19*$B$20*(((D493+0.1)+273)^4-(D493+273)^4)/((D493+0.1)-D493))*D493)+T493/H493)/($B$14*(I493+IF(ABS((D493+0.1)-D493)&lt;0.000000001,4*$B$19*$B$20*(D493+273)^3,$B$19*$B$20*(((D493+0.1)+273)^4-(D493+273)^4)/((D493+0.1)-D493)))+1/H493)</f>
        <v/>
      </c>
      <c r="W493">
        <f>($B$14*(I493*C493+IF(ABS(V493-D493)&lt;0.000000001,4*$B$19*$B$20*(D493+273)^3,$B$19*$B$20*((V493+273)^4-(D493+273)^4)/(V493-D493))*D493)+T493/H493)/($B$14*(I493+IF(ABS(V493-D493)&lt;0.000000001,4*$B$19*$B$20*(D493+273)^3,$B$19*$B$20*((V493+273)^4-(D493+273)^4)/(V493-D493)))+1/H493)</f>
        <v/>
      </c>
      <c r="X493">
        <f>($B$14*(I493*C493+IF(ABS(W493-D493)&lt;0.000000001,4*$B$19*$B$20*(D493+273)^3,$B$19*$B$20*((W493+273)^4-(D493+273)^4)/(W493-D493))*D493)+T493/H493)/($B$14*(I493+IF(ABS(W493-D493)&lt;0.000000001,4*$B$19*$B$20*(D493+273)^3,$B$19*$B$20*((W493+273)^4-(D493+273)^4)/(W493-D493)))+1/H493)</f>
        <v/>
      </c>
      <c r="Y493">
        <f>($B$14*(I493*C493+IF(ABS(X493-D493)&lt;0.000000001,4*$B$19*$B$20*(D493+273)^3,$B$19*$B$20*((X493+273)^4-(D493+273)^4)/(X493-D493))*D493)+T493/H493)/($B$14*(I493+IF(ABS(X493-D493)&lt;0.000000001,4*$B$19*$B$20*(D493+273)^3,$B$19*$B$20*((X493+273)^4-(D493+273)^4)/(X493-D493)))+1/H493)</f>
        <v/>
      </c>
      <c r="Z493">
        <f>IF(ABS(Y493-D493)&lt;0.000000001,4*$B$19*$B$20*(D493+273)^3,$B$19*$B$20*((Y493+273)^4-(D493+273)^4)/(Y493-D493))</f>
        <v/>
      </c>
      <c r="AA493">
        <f>$B$14*I493*(Y493-C493)</f>
        <v/>
      </c>
      <c r="AB493">
        <f>$B$14*Z493*(Y493-D493)</f>
        <v/>
      </c>
      <c r="AC493">
        <f>IF((U493-E493)/G493=0,0.001,(U493-E493)/G493)</f>
        <v/>
      </c>
      <c r="AD493">
        <f>F493-P493-J493-K493-AA493-AB493</f>
        <v/>
      </c>
      <c r="AE493">
        <f>AD493/AC493</f>
        <v/>
      </c>
      <c r="AF493">
        <f>IF(AD493&lt;=0,0,IF(AC493&lt;=0,$B$11,IF(AE493&gt;=1.7,$B$11,MIN(AD493/MAX(0.05,IF(AE493&gt;1,(2-AE493)^2/2,1-AE493^2/2)),$B$11))))</f>
        <v/>
      </c>
      <c r="AG493">
        <f>AG492*$B$28+AF493*(1-$B$28)</f>
        <v/>
      </c>
      <c r="AH493">
        <f>IF(AND(AD493&gt;0,AC493&lt;=0),0,AC493)</f>
        <v/>
      </c>
      <c r="AI493">
        <f>AH493/MAX(AG493,0.000001)</f>
        <v/>
      </c>
      <c r="AJ493">
        <f>MIN(IF(AI493&gt;=0.5,-AI493+SQRT(AI493^2+2),1),$B$12)</f>
        <v/>
      </c>
      <c r="AK493">
        <f>IF(AG493&lt;=0,0,AJ493*AH493)</f>
        <v/>
      </c>
      <c r="AL493">
        <f>IF(AD493&lt;=0,0,AD493)</f>
        <v/>
      </c>
      <c r="AM493">
        <f>AL493-AK493+P493</f>
        <v/>
      </c>
      <c r="AN493">
        <f>((AM493/$B$7+T492*AS492/2-T493*MAX(0.1,MIN(0.3,0.3-0.09*(AR492-36.8)))/2)+AR492*(1-AS492/2))/(1-MAX(0.1,MIN(0.3,0.3-0.09*(AR492-36.8)))/2)</f>
        <v/>
      </c>
      <c r="AO493">
        <f>((AM493/$B$7+T492*AS492/2-T493*MAX(0.1,MIN(0.3,0.3-0.09*(AN493-36.8)))/2)+AR492*(1-AS492/2))/(1-MAX(0.1,MIN(0.3,0.3-0.09*(AN493-36.8)))/2)</f>
        <v/>
      </c>
      <c r="AP493">
        <f>((AM493/$B$7+T492*AS492/2-T493*MAX(0.1,MIN(0.3,0.3-0.09*(AO493-36.8)))/2)+AR492*(1-AS492/2))/(1-MAX(0.1,MIN(0.3,0.3-0.09*(AO493-36.8)))/2)</f>
        <v/>
      </c>
      <c r="AQ493">
        <f>((AM493/$B$7+T492*AS492/2-T493*MAX(0.1,MIN(0.3,0.3-0.09*(AP493-36.8)))/2)+AR492*(1-AS492/2))/(1-MAX(0.1,MIN(0.3,0.3-0.09*(AP493-36.8)))/2)</f>
        <v/>
      </c>
      <c r="AR493">
        <f>((AM493/$B$7+T492*AS492/2-T493*MAX(0.1,MIN(0.3,0.3-0.09*(AQ493-36.8)))/2)+AR492*(1-AS492/2))/(1-MAX(0.1,MIN(0.3,0.3-0.09*(AQ493-36.8)))/2)</f>
        <v/>
      </c>
      <c r="AS493">
        <f>MAX(0.1,MIN(0.3,0.3-0.09*(AR493-36.8)))</f>
        <v/>
      </c>
      <c r="AT493">
        <f>AT492+(2*AR493-1.962*AT492-1.31)/9</f>
        <v/>
      </c>
      <c r="AU493">
        <f>AU492+AG493+K493</f>
        <v/>
      </c>
      <c r="AV493">
        <f>AU493*2.67*$B$6/1.8/60</f>
        <v/>
      </c>
      <c r="AW493">
        <f>IF(AT493&gt;=$B$36,1,0)</f>
        <v/>
      </c>
      <c r="AX493">
        <f>IF(AV493&gt;=$B$21,1,0)</f>
        <v/>
      </c>
    </row>
    <row r="494">
      <c r="A494" t="n">
        <v>421</v>
      </c>
      <c r="B494">
        <f>MATCH(A494-1,$D$61:$D$68,1)</f>
        <v/>
      </c>
      <c r="C494">
        <f>INDEX($G$61:$G$68,B494)</f>
        <v/>
      </c>
      <c r="D494">
        <f>INDEX($L$61:$L$68,B494)</f>
        <v/>
      </c>
      <c r="E494">
        <f>INDEX($M$61:$M$68,B494)</f>
        <v/>
      </c>
      <c r="F494">
        <f>INDEX($N$61:$N$68,B494)</f>
        <v/>
      </c>
      <c r="G494">
        <f>INDEX($AA$61:$AA$68,B494)</f>
        <v/>
      </c>
      <c r="H494">
        <f>INDEX($X$61:$X$68,B494)</f>
        <v/>
      </c>
      <c r="I494">
        <f>INDEX($AF$61:$AF$68,B494)</f>
        <v/>
      </c>
      <c r="J494">
        <f>INDEX($AC$61:$AC$68,B494)</f>
        <v/>
      </c>
      <c r="K494">
        <f>INDEX($AD$61:$AD$68,B494)</f>
        <v/>
      </c>
      <c r="L494">
        <f>INDEX($AG$61:$AG$68,B494)</f>
        <v/>
      </c>
      <c r="M494">
        <f>INDEX($AH$61:$AH$68,B494)</f>
        <v/>
      </c>
      <c r="N494">
        <f>INDEX($AI$61:$AI$68,B494)</f>
        <v/>
      </c>
      <c r="O494">
        <f>O493*$B$26+L494*(1-$B$26)</f>
        <v/>
      </c>
      <c r="P494">
        <f>$B$7*(O494-O493)*(1-AS493)</f>
        <v/>
      </c>
      <c r="Q494">
        <f>M494+0.51274*AT493</f>
        <v/>
      </c>
      <c r="R494">
        <f>N494+0.616*AT493</f>
        <v/>
      </c>
      <c r="S494">
        <f>IF($B$13&gt;=0.6,Q494,IF($B$13&lt;=0.2,R494,R494+2.5*(Q494-R494)*($B$13-0.2)))</f>
        <v/>
      </c>
      <c r="T494">
        <f>IF(A494=1,S494,T493*$B$27+S494*(1-$B$27))</f>
        <v/>
      </c>
      <c r="U494">
        <f>0.6105*EXP(17.27*T494/(T494+237.3))</f>
        <v/>
      </c>
      <c r="V494">
        <f>($B$14*(I494*C494+IF(ABS((D494+0.1)-D494)&lt;0.000000001,4*$B$19*$B$20*(D494+273)^3,$B$19*$B$20*(((D494+0.1)+273)^4-(D494+273)^4)/((D494+0.1)-D494))*D494)+T494/H494)/($B$14*(I494+IF(ABS((D494+0.1)-D494)&lt;0.000000001,4*$B$19*$B$20*(D494+273)^3,$B$19*$B$20*(((D494+0.1)+273)^4-(D494+273)^4)/((D494+0.1)-D494)))+1/H494)</f>
        <v/>
      </c>
      <c r="W494">
        <f>($B$14*(I494*C494+IF(ABS(V494-D494)&lt;0.000000001,4*$B$19*$B$20*(D494+273)^3,$B$19*$B$20*((V494+273)^4-(D494+273)^4)/(V494-D494))*D494)+T494/H494)/($B$14*(I494+IF(ABS(V494-D494)&lt;0.000000001,4*$B$19*$B$20*(D494+273)^3,$B$19*$B$20*((V494+273)^4-(D494+273)^4)/(V494-D494)))+1/H494)</f>
        <v/>
      </c>
      <c r="X494">
        <f>($B$14*(I494*C494+IF(ABS(W494-D494)&lt;0.000000001,4*$B$19*$B$20*(D494+273)^3,$B$19*$B$20*((W494+273)^4-(D494+273)^4)/(W494-D494))*D494)+T494/H494)/($B$14*(I494+IF(ABS(W494-D494)&lt;0.000000001,4*$B$19*$B$20*(D494+273)^3,$B$19*$B$20*((W494+273)^4-(D494+273)^4)/(W494-D494)))+1/H494)</f>
        <v/>
      </c>
      <c r="Y494">
        <f>($B$14*(I494*C494+IF(ABS(X494-D494)&lt;0.000000001,4*$B$19*$B$20*(D494+273)^3,$B$19*$B$20*((X494+273)^4-(D494+273)^4)/(X494-D494))*D494)+T494/H494)/($B$14*(I494+IF(ABS(X494-D494)&lt;0.000000001,4*$B$19*$B$20*(D494+273)^3,$B$19*$B$20*((X494+273)^4-(D494+273)^4)/(X494-D494)))+1/H494)</f>
        <v/>
      </c>
      <c r="Z494">
        <f>IF(ABS(Y494-D494)&lt;0.000000001,4*$B$19*$B$20*(D494+273)^3,$B$19*$B$20*((Y494+273)^4-(D494+273)^4)/(Y494-D494))</f>
        <v/>
      </c>
      <c r="AA494">
        <f>$B$14*I494*(Y494-C494)</f>
        <v/>
      </c>
      <c r="AB494">
        <f>$B$14*Z494*(Y494-D494)</f>
        <v/>
      </c>
      <c r="AC494">
        <f>IF((U494-E494)/G494=0,0.001,(U494-E494)/G494)</f>
        <v/>
      </c>
      <c r="AD494">
        <f>F494-P494-J494-K494-AA494-AB494</f>
        <v/>
      </c>
      <c r="AE494">
        <f>AD494/AC494</f>
        <v/>
      </c>
      <c r="AF494">
        <f>IF(AD494&lt;=0,0,IF(AC494&lt;=0,$B$11,IF(AE494&gt;=1.7,$B$11,MIN(AD494/MAX(0.05,IF(AE494&gt;1,(2-AE494)^2/2,1-AE494^2/2)),$B$11))))</f>
        <v/>
      </c>
      <c r="AG494">
        <f>AG493*$B$28+AF494*(1-$B$28)</f>
        <v/>
      </c>
      <c r="AH494">
        <f>IF(AND(AD494&gt;0,AC494&lt;=0),0,AC494)</f>
        <v/>
      </c>
      <c r="AI494">
        <f>AH494/MAX(AG494,0.000001)</f>
        <v/>
      </c>
      <c r="AJ494">
        <f>MIN(IF(AI494&gt;=0.5,-AI494+SQRT(AI494^2+2),1),$B$12)</f>
        <v/>
      </c>
      <c r="AK494">
        <f>IF(AG494&lt;=0,0,AJ494*AH494)</f>
        <v/>
      </c>
      <c r="AL494">
        <f>IF(AD494&lt;=0,0,AD494)</f>
        <v/>
      </c>
      <c r="AM494">
        <f>AL494-AK494+P494</f>
        <v/>
      </c>
      <c r="AN494">
        <f>((AM494/$B$7+T493*AS493/2-T494*MAX(0.1,MIN(0.3,0.3-0.09*(AR493-36.8)))/2)+AR493*(1-AS493/2))/(1-MAX(0.1,MIN(0.3,0.3-0.09*(AR493-36.8)))/2)</f>
        <v/>
      </c>
      <c r="AO494">
        <f>((AM494/$B$7+T493*AS493/2-T494*MAX(0.1,MIN(0.3,0.3-0.09*(AN494-36.8)))/2)+AR493*(1-AS493/2))/(1-MAX(0.1,MIN(0.3,0.3-0.09*(AN494-36.8)))/2)</f>
        <v/>
      </c>
      <c r="AP494">
        <f>((AM494/$B$7+T493*AS493/2-T494*MAX(0.1,MIN(0.3,0.3-0.09*(AO494-36.8)))/2)+AR493*(1-AS493/2))/(1-MAX(0.1,MIN(0.3,0.3-0.09*(AO494-36.8)))/2)</f>
        <v/>
      </c>
      <c r="AQ494">
        <f>((AM494/$B$7+T493*AS493/2-T494*MAX(0.1,MIN(0.3,0.3-0.09*(AP494-36.8)))/2)+AR493*(1-AS493/2))/(1-MAX(0.1,MIN(0.3,0.3-0.09*(AP494-36.8)))/2)</f>
        <v/>
      </c>
      <c r="AR494">
        <f>((AM494/$B$7+T493*AS493/2-T494*MAX(0.1,MIN(0.3,0.3-0.09*(AQ494-36.8)))/2)+AR493*(1-AS493/2))/(1-MAX(0.1,MIN(0.3,0.3-0.09*(AQ494-36.8)))/2)</f>
        <v/>
      </c>
      <c r="AS494">
        <f>MAX(0.1,MIN(0.3,0.3-0.09*(AR494-36.8)))</f>
        <v/>
      </c>
      <c r="AT494">
        <f>AT493+(2*AR494-1.962*AT493-1.31)/9</f>
        <v/>
      </c>
      <c r="AU494">
        <f>AU493+AG494+K494</f>
        <v/>
      </c>
      <c r="AV494">
        <f>AU494*2.67*$B$6/1.8/60</f>
        <v/>
      </c>
      <c r="AW494">
        <f>IF(AT494&gt;=$B$36,1,0)</f>
        <v/>
      </c>
      <c r="AX494">
        <f>IF(AV494&gt;=$B$21,1,0)</f>
        <v/>
      </c>
    </row>
    <row r="495">
      <c r="A495" t="n">
        <v>422</v>
      </c>
      <c r="B495">
        <f>MATCH(A495-1,$D$61:$D$68,1)</f>
        <v/>
      </c>
      <c r="C495">
        <f>INDEX($G$61:$G$68,B495)</f>
        <v/>
      </c>
      <c r="D495">
        <f>INDEX($L$61:$L$68,B495)</f>
        <v/>
      </c>
      <c r="E495">
        <f>INDEX($M$61:$M$68,B495)</f>
        <v/>
      </c>
      <c r="F495">
        <f>INDEX($N$61:$N$68,B495)</f>
        <v/>
      </c>
      <c r="G495">
        <f>INDEX($AA$61:$AA$68,B495)</f>
        <v/>
      </c>
      <c r="H495">
        <f>INDEX($X$61:$X$68,B495)</f>
        <v/>
      </c>
      <c r="I495">
        <f>INDEX($AF$61:$AF$68,B495)</f>
        <v/>
      </c>
      <c r="J495">
        <f>INDEX($AC$61:$AC$68,B495)</f>
        <v/>
      </c>
      <c r="K495">
        <f>INDEX($AD$61:$AD$68,B495)</f>
        <v/>
      </c>
      <c r="L495">
        <f>INDEX($AG$61:$AG$68,B495)</f>
        <v/>
      </c>
      <c r="M495">
        <f>INDEX($AH$61:$AH$68,B495)</f>
        <v/>
      </c>
      <c r="N495">
        <f>INDEX($AI$61:$AI$68,B495)</f>
        <v/>
      </c>
      <c r="O495">
        <f>O494*$B$26+L495*(1-$B$26)</f>
        <v/>
      </c>
      <c r="P495">
        <f>$B$7*(O495-O494)*(1-AS494)</f>
        <v/>
      </c>
      <c r="Q495">
        <f>M495+0.51274*AT494</f>
        <v/>
      </c>
      <c r="R495">
        <f>N495+0.616*AT494</f>
        <v/>
      </c>
      <c r="S495">
        <f>IF($B$13&gt;=0.6,Q495,IF($B$13&lt;=0.2,R495,R495+2.5*(Q495-R495)*($B$13-0.2)))</f>
        <v/>
      </c>
      <c r="T495">
        <f>IF(A495=1,S495,T494*$B$27+S495*(1-$B$27))</f>
        <v/>
      </c>
      <c r="U495">
        <f>0.6105*EXP(17.27*T495/(T495+237.3))</f>
        <v/>
      </c>
      <c r="V495">
        <f>($B$14*(I495*C495+IF(ABS((D495+0.1)-D495)&lt;0.000000001,4*$B$19*$B$20*(D495+273)^3,$B$19*$B$20*(((D495+0.1)+273)^4-(D495+273)^4)/((D495+0.1)-D495))*D495)+T495/H495)/($B$14*(I495+IF(ABS((D495+0.1)-D495)&lt;0.000000001,4*$B$19*$B$20*(D495+273)^3,$B$19*$B$20*(((D495+0.1)+273)^4-(D495+273)^4)/((D495+0.1)-D495)))+1/H495)</f>
        <v/>
      </c>
      <c r="W495">
        <f>($B$14*(I495*C495+IF(ABS(V495-D495)&lt;0.000000001,4*$B$19*$B$20*(D495+273)^3,$B$19*$B$20*((V495+273)^4-(D495+273)^4)/(V495-D495))*D495)+T495/H495)/($B$14*(I495+IF(ABS(V495-D495)&lt;0.000000001,4*$B$19*$B$20*(D495+273)^3,$B$19*$B$20*((V495+273)^4-(D495+273)^4)/(V495-D495)))+1/H495)</f>
        <v/>
      </c>
      <c r="X495">
        <f>($B$14*(I495*C495+IF(ABS(W495-D495)&lt;0.000000001,4*$B$19*$B$20*(D495+273)^3,$B$19*$B$20*((W495+273)^4-(D495+273)^4)/(W495-D495))*D495)+T495/H495)/($B$14*(I495+IF(ABS(W495-D495)&lt;0.000000001,4*$B$19*$B$20*(D495+273)^3,$B$19*$B$20*((W495+273)^4-(D495+273)^4)/(W495-D495)))+1/H495)</f>
        <v/>
      </c>
      <c r="Y495">
        <f>($B$14*(I495*C495+IF(ABS(X495-D495)&lt;0.000000001,4*$B$19*$B$20*(D495+273)^3,$B$19*$B$20*((X495+273)^4-(D495+273)^4)/(X495-D495))*D495)+T495/H495)/($B$14*(I495+IF(ABS(X495-D495)&lt;0.000000001,4*$B$19*$B$20*(D495+273)^3,$B$19*$B$20*((X495+273)^4-(D495+273)^4)/(X495-D495)))+1/H495)</f>
        <v/>
      </c>
      <c r="Z495">
        <f>IF(ABS(Y495-D495)&lt;0.000000001,4*$B$19*$B$20*(D495+273)^3,$B$19*$B$20*((Y495+273)^4-(D495+273)^4)/(Y495-D495))</f>
        <v/>
      </c>
      <c r="AA495">
        <f>$B$14*I495*(Y495-C495)</f>
        <v/>
      </c>
      <c r="AB495">
        <f>$B$14*Z495*(Y495-D495)</f>
        <v/>
      </c>
      <c r="AC495">
        <f>IF((U495-E495)/G495=0,0.001,(U495-E495)/G495)</f>
        <v/>
      </c>
      <c r="AD495">
        <f>F495-P495-J495-K495-AA495-AB495</f>
        <v/>
      </c>
      <c r="AE495">
        <f>AD495/AC495</f>
        <v/>
      </c>
      <c r="AF495">
        <f>IF(AD495&lt;=0,0,IF(AC495&lt;=0,$B$11,IF(AE495&gt;=1.7,$B$11,MIN(AD495/MAX(0.05,IF(AE495&gt;1,(2-AE495)^2/2,1-AE495^2/2)),$B$11))))</f>
        <v/>
      </c>
      <c r="AG495">
        <f>AG494*$B$28+AF495*(1-$B$28)</f>
        <v/>
      </c>
      <c r="AH495">
        <f>IF(AND(AD495&gt;0,AC495&lt;=0),0,AC495)</f>
        <v/>
      </c>
      <c r="AI495">
        <f>AH495/MAX(AG495,0.000001)</f>
        <v/>
      </c>
      <c r="AJ495">
        <f>MIN(IF(AI495&gt;=0.5,-AI495+SQRT(AI495^2+2),1),$B$12)</f>
        <v/>
      </c>
      <c r="AK495">
        <f>IF(AG495&lt;=0,0,AJ495*AH495)</f>
        <v/>
      </c>
      <c r="AL495">
        <f>IF(AD495&lt;=0,0,AD495)</f>
        <v/>
      </c>
      <c r="AM495">
        <f>AL495-AK495+P495</f>
        <v/>
      </c>
      <c r="AN495">
        <f>((AM495/$B$7+T494*AS494/2-T495*MAX(0.1,MIN(0.3,0.3-0.09*(AR494-36.8)))/2)+AR494*(1-AS494/2))/(1-MAX(0.1,MIN(0.3,0.3-0.09*(AR494-36.8)))/2)</f>
        <v/>
      </c>
      <c r="AO495">
        <f>((AM495/$B$7+T494*AS494/2-T495*MAX(0.1,MIN(0.3,0.3-0.09*(AN495-36.8)))/2)+AR494*(1-AS494/2))/(1-MAX(0.1,MIN(0.3,0.3-0.09*(AN495-36.8)))/2)</f>
        <v/>
      </c>
      <c r="AP495">
        <f>((AM495/$B$7+T494*AS494/2-T495*MAX(0.1,MIN(0.3,0.3-0.09*(AO495-36.8)))/2)+AR494*(1-AS494/2))/(1-MAX(0.1,MIN(0.3,0.3-0.09*(AO495-36.8)))/2)</f>
        <v/>
      </c>
      <c r="AQ495">
        <f>((AM495/$B$7+T494*AS494/2-T495*MAX(0.1,MIN(0.3,0.3-0.09*(AP495-36.8)))/2)+AR494*(1-AS494/2))/(1-MAX(0.1,MIN(0.3,0.3-0.09*(AP495-36.8)))/2)</f>
        <v/>
      </c>
      <c r="AR495">
        <f>((AM495/$B$7+T494*AS494/2-T495*MAX(0.1,MIN(0.3,0.3-0.09*(AQ495-36.8)))/2)+AR494*(1-AS494/2))/(1-MAX(0.1,MIN(0.3,0.3-0.09*(AQ495-36.8)))/2)</f>
        <v/>
      </c>
      <c r="AS495">
        <f>MAX(0.1,MIN(0.3,0.3-0.09*(AR495-36.8)))</f>
        <v/>
      </c>
      <c r="AT495">
        <f>AT494+(2*AR495-1.962*AT494-1.31)/9</f>
        <v/>
      </c>
      <c r="AU495">
        <f>AU494+AG495+K495</f>
        <v/>
      </c>
      <c r="AV495">
        <f>AU495*2.67*$B$6/1.8/60</f>
        <v/>
      </c>
      <c r="AW495">
        <f>IF(AT495&gt;=$B$36,1,0)</f>
        <v/>
      </c>
      <c r="AX495">
        <f>IF(AV495&gt;=$B$21,1,0)</f>
        <v/>
      </c>
    </row>
    <row r="496">
      <c r="A496" t="n">
        <v>423</v>
      </c>
      <c r="B496">
        <f>MATCH(A496-1,$D$61:$D$68,1)</f>
        <v/>
      </c>
      <c r="C496">
        <f>INDEX($G$61:$G$68,B496)</f>
        <v/>
      </c>
      <c r="D496">
        <f>INDEX($L$61:$L$68,B496)</f>
        <v/>
      </c>
      <c r="E496">
        <f>INDEX($M$61:$M$68,B496)</f>
        <v/>
      </c>
      <c r="F496">
        <f>INDEX($N$61:$N$68,B496)</f>
        <v/>
      </c>
      <c r="G496">
        <f>INDEX($AA$61:$AA$68,B496)</f>
        <v/>
      </c>
      <c r="H496">
        <f>INDEX($X$61:$X$68,B496)</f>
        <v/>
      </c>
      <c r="I496">
        <f>INDEX($AF$61:$AF$68,B496)</f>
        <v/>
      </c>
      <c r="J496">
        <f>INDEX($AC$61:$AC$68,B496)</f>
        <v/>
      </c>
      <c r="K496">
        <f>INDEX($AD$61:$AD$68,B496)</f>
        <v/>
      </c>
      <c r="L496">
        <f>INDEX($AG$61:$AG$68,B496)</f>
        <v/>
      </c>
      <c r="M496">
        <f>INDEX($AH$61:$AH$68,B496)</f>
        <v/>
      </c>
      <c r="N496">
        <f>INDEX($AI$61:$AI$68,B496)</f>
        <v/>
      </c>
      <c r="O496">
        <f>O495*$B$26+L496*(1-$B$26)</f>
        <v/>
      </c>
      <c r="P496">
        <f>$B$7*(O496-O495)*(1-AS495)</f>
        <v/>
      </c>
      <c r="Q496">
        <f>M496+0.51274*AT495</f>
        <v/>
      </c>
      <c r="R496">
        <f>N496+0.616*AT495</f>
        <v/>
      </c>
      <c r="S496">
        <f>IF($B$13&gt;=0.6,Q496,IF($B$13&lt;=0.2,R496,R496+2.5*(Q496-R496)*($B$13-0.2)))</f>
        <v/>
      </c>
      <c r="T496">
        <f>IF(A496=1,S496,T495*$B$27+S496*(1-$B$27))</f>
        <v/>
      </c>
      <c r="U496">
        <f>0.6105*EXP(17.27*T496/(T496+237.3))</f>
        <v/>
      </c>
      <c r="V496">
        <f>($B$14*(I496*C496+IF(ABS((D496+0.1)-D496)&lt;0.000000001,4*$B$19*$B$20*(D496+273)^3,$B$19*$B$20*(((D496+0.1)+273)^4-(D496+273)^4)/((D496+0.1)-D496))*D496)+T496/H496)/($B$14*(I496+IF(ABS((D496+0.1)-D496)&lt;0.000000001,4*$B$19*$B$20*(D496+273)^3,$B$19*$B$20*(((D496+0.1)+273)^4-(D496+273)^4)/((D496+0.1)-D496)))+1/H496)</f>
        <v/>
      </c>
      <c r="W496">
        <f>($B$14*(I496*C496+IF(ABS(V496-D496)&lt;0.000000001,4*$B$19*$B$20*(D496+273)^3,$B$19*$B$20*((V496+273)^4-(D496+273)^4)/(V496-D496))*D496)+T496/H496)/($B$14*(I496+IF(ABS(V496-D496)&lt;0.000000001,4*$B$19*$B$20*(D496+273)^3,$B$19*$B$20*((V496+273)^4-(D496+273)^4)/(V496-D496)))+1/H496)</f>
        <v/>
      </c>
      <c r="X496">
        <f>($B$14*(I496*C496+IF(ABS(W496-D496)&lt;0.000000001,4*$B$19*$B$20*(D496+273)^3,$B$19*$B$20*((W496+273)^4-(D496+273)^4)/(W496-D496))*D496)+T496/H496)/($B$14*(I496+IF(ABS(W496-D496)&lt;0.000000001,4*$B$19*$B$20*(D496+273)^3,$B$19*$B$20*((W496+273)^4-(D496+273)^4)/(W496-D496)))+1/H496)</f>
        <v/>
      </c>
      <c r="Y496">
        <f>($B$14*(I496*C496+IF(ABS(X496-D496)&lt;0.000000001,4*$B$19*$B$20*(D496+273)^3,$B$19*$B$20*((X496+273)^4-(D496+273)^4)/(X496-D496))*D496)+T496/H496)/($B$14*(I496+IF(ABS(X496-D496)&lt;0.000000001,4*$B$19*$B$20*(D496+273)^3,$B$19*$B$20*((X496+273)^4-(D496+273)^4)/(X496-D496)))+1/H496)</f>
        <v/>
      </c>
      <c r="Z496">
        <f>IF(ABS(Y496-D496)&lt;0.000000001,4*$B$19*$B$20*(D496+273)^3,$B$19*$B$20*((Y496+273)^4-(D496+273)^4)/(Y496-D496))</f>
        <v/>
      </c>
      <c r="AA496">
        <f>$B$14*I496*(Y496-C496)</f>
        <v/>
      </c>
      <c r="AB496">
        <f>$B$14*Z496*(Y496-D496)</f>
        <v/>
      </c>
      <c r="AC496">
        <f>IF((U496-E496)/G496=0,0.001,(U496-E496)/G496)</f>
        <v/>
      </c>
      <c r="AD496">
        <f>F496-P496-J496-K496-AA496-AB496</f>
        <v/>
      </c>
      <c r="AE496">
        <f>AD496/AC496</f>
        <v/>
      </c>
      <c r="AF496">
        <f>IF(AD496&lt;=0,0,IF(AC496&lt;=0,$B$11,IF(AE496&gt;=1.7,$B$11,MIN(AD496/MAX(0.05,IF(AE496&gt;1,(2-AE496)^2/2,1-AE496^2/2)),$B$11))))</f>
        <v/>
      </c>
      <c r="AG496">
        <f>AG495*$B$28+AF496*(1-$B$28)</f>
        <v/>
      </c>
      <c r="AH496">
        <f>IF(AND(AD496&gt;0,AC496&lt;=0),0,AC496)</f>
        <v/>
      </c>
      <c r="AI496">
        <f>AH496/MAX(AG496,0.000001)</f>
        <v/>
      </c>
      <c r="AJ496">
        <f>MIN(IF(AI496&gt;=0.5,-AI496+SQRT(AI496^2+2),1),$B$12)</f>
        <v/>
      </c>
      <c r="AK496">
        <f>IF(AG496&lt;=0,0,AJ496*AH496)</f>
        <v/>
      </c>
      <c r="AL496">
        <f>IF(AD496&lt;=0,0,AD496)</f>
        <v/>
      </c>
      <c r="AM496">
        <f>AL496-AK496+P496</f>
        <v/>
      </c>
      <c r="AN496">
        <f>((AM496/$B$7+T495*AS495/2-T496*MAX(0.1,MIN(0.3,0.3-0.09*(AR495-36.8)))/2)+AR495*(1-AS495/2))/(1-MAX(0.1,MIN(0.3,0.3-0.09*(AR495-36.8)))/2)</f>
        <v/>
      </c>
      <c r="AO496">
        <f>((AM496/$B$7+T495*AS495/2-T496*MAX(0.1,MIN(0.3,0.3-0.09*(AN496-36.8)))/2)+AR495*(1-AS495/2))/(1-MAX(0.1,MIN(0.3,0.3-0.09*(AN496-36.8)))/2)</f>
        <v/>
      </c>
      <c r="AP496">
        <f>((AM496/$B$7+T495*AS495/2-T496*MAX(0.1,MIN(0.3,0.3-0.09*(AO496-36.8)))/2)+AR495*(1-AS495/2))/(1-MAX(0.1,MIN(0.3,0.3-0.09*(AO496-36.8)))/2)</f>
        <v/>
      </c>
      <c r="AQ496">
        <f>((AM496/$B$7+T495*AS495/2-T496*MAX(0.1,MIN(0.3,0.3-0.09*(AP496-36.8)))/2)+AR495*(1-AS495/2))/(1-MAX(0.1,MIN(0.3,0.3-0.09*(AP496-36.8)))/2)</f>
        <v/>
      </c>
      <c r="AR496">
        <f>((AM496/$B$7+T495*AS495/2-T496*MAX(0.1,MIN(0.3,0.3-0.09*(AQ496-36.8)))/2)+AR495*(1-AS495/2))/(1-MAX(0.1,MIN(0.3,0.3-0.09*(AQ496-36.8)))/2)</f>
        <v/>
      </c>
      <c r="AS496">
        <f>MAX(0.1,MIN(0.3,0.3-0.09*(AR496-36.8)))</f>
        <v/>
      </c>
      <c r="AT496">
        <f>AT495+(2*AR496-1.962*AT495-1.31)/9</f>
        <v/>
      </c>
      <c r="AU496">
        <f>AU495+AG496+K496</f>
        <v/>
      </c>
      <c r="AV496">
        <f>AU496*2.67*$B$6/1.8/60</f>
        <v/>
      </c>
      <c r="AW496">
        <f>IF(AT496&gt;=$B$36,1,0)</f>
        <v/>
      </c>
      <c r="AX496">
        <f>IF(AV496&gt;=$B$21,1,0)</f>
        <v/>
      </c>
    </row>
    <row r="497">
      <c r="A497" t="n">
        <v>424</v>
      </c>
      <c r="B497">
        <f>MATCH(A497-1,$D$61:$D$68,1)</f>
        <v/>
      </c>
      <c r="C497">
        <f>INDEX($G$61:$G$68,B497)</f>
        <v/>
      </c>
      <c r="D497">
        <f>INDEX($L$61:$L$68,B497)</f>
        <v/>
      </c>
      <c r="E497">
        <f>INDEX($M$61:$M$68,B497)</f>
        <v/>
      </c>
      <c r="F497">
        <f>INDEX($N$61:$N$68,B497)</f>
        <v/>
      </c>
      <c r="G497">
        <f>INDEX($AA$61:$AA$68,B497)</f>
        <v/>
      </c>
      <c r="H497">
        <f>INDEX($X$61:$X$68,B497)</f>
        <v/>
      </c>
      <c r="I497">
        <f>INDEX($AF$61:$AF$68,B497)</f>
        <v/>
      </c>
      <c r="J497">
        <f>INDEX($AC$61:$AC$68,B497)</f>
        <v/>
      </c>
      <c r="K497">
        <f>INDEX($AD$61:$AD$68,B497)</f>
        <v/>
      </c>
      <c r="L497">
        <f>INDEX($AG$61:$AG$68,B497)</f>
        <v/>
      </c>
      <c r="M497">
        <f>INDEX($AH$61:$AH$68,B497)</f>
        <v/>
      </c>
      <c r="N497">
        <f>INDEX($AI$61:$AI$68,B497)</f>
        <v/>
      </c>
      <c r="O497">
        <f>O496*$B$26+L497*(1-$B$26)</f>
        <v/>
      </c>
      <c r="P497">
        <f>$B$7*(O497-O496)*(1-AS496)</f>
        <v/>
      </c>
      <c r="Q497">
        <f>M497+0.51274*AT496</f>
        <v/>
      </c>
      <c r="R497">
        <f>N497+0.616*AT496</f>
        <v/>
      </c>
      <c r="S497">
        <f>IF($B$13&gt;=0.6,Q497,IF($B$13&lt;=0.2,R497,R497+2.5*(Q497-R497)*($B$13-0.2)))</f>
        <v/>
      </c>
      <c r="T497">
        <f>IF(A497=1,S497,T496*$B$27+S497*(1-$B$27))</f>
        <v/>
      </c>
      <c r="U497">
        <f>0.6105*EXP(17.27*T497/(T497+237.3))</f>
        <v/>
      </c>
      <c r="V497">
        <f>($B$14*(I497*C497+IF(ABS((D497+0.1)-D497)&lt;0.000000001,4*$B$19*$B$20*(D497+273)^3,$B$19*$B$20*(((D497+0.1)+273)^4-(D497+273)^4)/((D497+0.1)-D497))*D497)+T497/H497)/($B$14*(I497+IF(ABS((D497+0.1)-D497)&lt;0.000000001,4*$B$19*$B$20*(D497+273)^3,$B$19*$B$20*(((D497+0.1)+273)^4-(D497+273)^4)/((D497+0.1)-D497)))+1/H497)</f>
        <v/>
      </c>
      <c r="W497">
        <f>($B$14*(I497*C497+IF(ABS(V497-D497)&lt;0.000000001,4*$B$19*$B$20*(D497+273)^3,$B$19*$B$20*((V497+273)^4-(D497+273)^4)/(V497-D497))*D497)+T497/H497)/($B$14*(I497+IF(ABS(V497-D497)&lt;0.000000001,4*$B$19*$B$20*(D497+273)^3,$B$19*$B$20*((V497+273)^4-(D497+273)^4)/(V497-D497)))+1/H497)</f>
        <v/>
      </c>
      <c r="X497">
        <f>($B$14*(I497*C497+IF(ABS(W497-D497)&lt;0.000000001,4*$B$19*$B$20*(D497+273)^3,$B$19*$B$20*((W497+273)^4-(D497+273)^4)/(W497-D497))*D497)+T497/H497)/($B$14*(I497+IF(ABS(W497-D497)&lt;0.000000001,4*$B$19*$B$20*(D497+273)^3,$B$19*$B$20*((W497+273)^4-(D497+273)^4)/(W497-D497)))+1/H497)</f>
        <v/>
      </c>
      <c r="Y497">
        <f>($B$14*(I497*C497+IF(ABS(X497-D497)&lt;0.000000001,4*$B$19*$B$20*(D497+273)^3,$B$19*$B$20*((X497+273)^4-(D497+273)^4)/(X497-D497))*D497)+T497/H497)/($B$14*(I497+IF(ABS(X497-D497)&lt;0.000000001,4*$B$19*$B$20*(D497+273)^3,$B$19*$B$20*((X497+273)^4-(D497+273)^4)/(X497-D497)))+1/H497)</f>
        <v/>
      </c>
      <c r="Z497">
        <f>IF(ABS(Y497-D497)&lt;0.000000001,4*$B$19*$B$20*(D497+273)^3,$B$19*$B$20*((Y497+273)^4-(D497+273)^4)/(Y497-D497))</f>
        <v/>
      </c>
      <c r="AA497">
        <f>$B$14*I497*(Y497-C497)</f>
        <v/>
      </c>
      <c r="AB497">
        <f>$B$14*Z497*(Y497-D497)</f>
        <v/>
      </c>
      <c r="AC497">
        <f>IF((U497-E497)/G497=0,0.001,(U497-E497)/G497)</f>
        <v/>
      </c>
      <c r="AD497">
        <f>F497-P497-J497-K497-AA497-AB497</f>
        <v/>
      </c>
      <c r="AE497">
        <f>AD497/AC497</f>
        <v/>
      </c>
      <c r="AF497">
        <f>IF(AD497&lt;=0,0,IF(AC497&lt;=0,$B$11,IF(AE497&gt;=1.7,$B$11,MIN(AD497/MAX(0.05,IF(AE497&gt;1,(2-AE497)^2/2,1-AE497^2/2)),$B$11))))</f>
        <v/>
      </c>
      <c r="AG497">
        <f>AG496*$B$28+AF497*(1-$B$28)</f>
        <v/>
      </c>
      <c r="AH497">
        <f>IF(AND(AD497&gt;0,AC497&lt;=0),0,AC497)</f>
        <v/>
      </c>
      <c r="AI497">
        <f>AH497/MAX(AG497,0.000001)</f>
        <v/>
      </c>
      <c r="AJ497">
        <f>MIN(IF(AI497&gt;=0.5,-AI497+SQRT(AI497^2+2),1),$B$12)</f>
        <v/>
      </c>
      <c r="AK497">
        <f>IF(AG497&lt;=0,0,AJ497*AH497)</f>
        <v/>
      </c>
      <c r="AL497">
        <f>IF(AD497&lt;=0,0,AD497)</f>
        <v/>
      </c>
      <c r="AM497">
        <f>AL497-AK497+P497</f>
        <v/>
      </c>
      <c r="AN497">
        <f>((AM497/$B$7+T496*AS496/2-T497*MAX(0.1,MIN(0.3,0.3-0.09*(AR496-36.8)))/2)+AR496*(1-AS496/2))/(1-MAX(0.1,MIN(0.3,0.3-0.09*(AR496-36.8)))/2)</f>
        <v/>
      </c>
      <c r="AO497">
        <f>((AM497/$B$7+T496*AS496/2-T497*MAX(0.1,MIN(0.3,0.3-0.09*(AN497-36.8)))/2)+AR496*(1-AS496/2))/(1-MAX(0.1,MIN(0.3,0.3-0.09*(AN497-36.8)))/2)</f>
        <v/>
      </c>
      <c r="AP497">
        <f>((AM497/$B$7+T496*AS496/2-T497*MAX(0.1,MIN(0.3,0.3-0.09*(AO497-36.8)))/2)+AR496*(1-AS496/2))/(1-MAX(0.1,MIN(0.3,0.3-0.09*(AO497-36.8)))/2)</f>
        <v/>
      </c>
      <c r="AQ497">
        <f>((AM497/$B$7+T496*AS496/2-T497*MAX(0.1,MIN(0.3,0.3-0.09*(AP497-36.8)))/2)+AR496*(1-AS496/2))/(1-MAX(0.1,MIN(0.3,0.3-0.09*(AP497-36.8)))/2)</f>
        <v/>
      </c>
      <c r="AR497">
        <f>((AM497/$B$7+T496*AS496/2-T497*MAX(0.1,MIN(0.3,0.3-0.09*(AQ497-36.8)))/2)+AR496*(1-AS496/2))/(1-MAX(0.1,MIN(0.3,0.3-0.09*(AQ497-36.8)))/2)</f>
        <v/>
      </c>
      <c r="AS497">
        <f>MAX(0.1,MIN(0.3,0.3-0.09*(AR497-36.8)))</f>
        <v/>
      </c>
      <c r="AT497">
        <f>AT496+(2*AR497-1.962*AT496-1.31)/9</f>
        <v/>
      </c>
      <c r="AU497">
        <f>AU496+AG497+K497</f>
        <v/>
      </c>
      <c r="AV497">
        <f>AU497*2.67*$B$6/1.8/60</f>
        <v/>
      </c>
      <c r="AW497">
        <f>IF(AT497&gt;=$B$36,1,0)</f>
        <v/>
      </c>
      <c r="AX497">
        <f>IF(AV497&gt;=$B$21,1,0)</f>
        <v/>
      </c>
    </row>
    <row r="498">
      <c r="A498" t="n">
        <v>425</v>
      </c>
      <c r="B498">
        <f>MATCH(A498-1,$D$61:$D$68,1)</f>
        <v/>
      </c>
      <c r="C498">
        <f>INDEX($G$61:$G$68,B498)</f>
        <v/>
      </c>
      <c r="D498">
        <f>INDEX($L$61:$L$68,B498)</f>
        <v/>
      </c>
      <c r="E498">
        <f>INDEX($M$61:$M$68,B498)</f>
        <v/>
      </c>
      <c r="F498">
        <f>INDEX($N$61:$N$68,B498)</f>
        <v/>
      </c>
      <c r="G498">
        <f>INDEX($AA$61:$AA$68,B498)</f>
        <v/>
      </c>
      <c r="H498">
        <f>INDEX($X$61:$X$68,B498)</f>
        <v/>
      </c>
      <c r="I498">
        <f>INDEX($AF$61:$AF$68,B498)</f>
        <v/>
      </c>
      <c r="J498">
        <f>INDEX($AC$61:$AC$68,B498)</f>
        <v/>
      </c>
      <c r="K498">
        <f>INDEX($AD$61:$AD$68,B498)</f>
        <v/>
      </c>
      <c r="L498">
        <f>INDEX($AG$61:$AG$68,B498)</f>
        <v/>
      </c>
      <c r="M498">
        <f>INDEX($AH$61:$AH$68,B498)</f>
        <v/>
      </c>
      <c r="N498">
        <f>INDEX($AI$61:$AI$68,B498)</f>
        <v/>
      </c>
      <c r="O498">
        <f>O497*$B$26+L498*(1-$B$26)</f>
        <v/>
      </c>
      <c r="P498">
        <f>$B$7*(O498-O497)*(1-AS497)</f>
        <v/>
      </c>
      <c r="Q498">
        <f>M498+0.51274*AT497</f>
        <v/>
      </c>
      <c r="R498">
        <f>N498+0.616*AT497</f>
        <v/>
      </c>
      <c r="S498">
        <f>IF($B$13&gt;=0.6,Q498,IF($B$13&lt;=0.2,R498,R498+2.5*(Q498-R498)*($B$13-0.2)))</f>
        <v/>
      </c>
      <c r="T498">
        <f>IF(A498=1,S498,T497*$B$27+S498*(1-$B$27))</f>
        <v/>
      </c>
      <c r="U498">
        <f>0.6105*EXP(17.27*T498/(T498+237.3))</f>
        <v/>
      </c>
      <c r="V498">
        <f>($B$14*(I498*C498+IF(ABS((D498+0.1)-D498)&lt;0.000000001,4*$B$19*$B$20*(D498+273)^3,$B$19*$B$20*(((D498+0.1)+273)^4-(D498+273)^4)/((D498+0.1)-D498))*D498)+T498/H498)/($B$14*(I498+IF(ABS((D498+0.1)-D498)&lt;0.000000001,4*$B$19*$B$20*(D498+273)^3,$B$19*$B$20*(((D498+0.1)+273)^4-(D498+273)^4)/((D498+0.1)-D498)))+1/H498)</f>
        <v/>
      </c>
      <c r="W498">
        <f>($B$14*(I498*C498+IF(ABS(V498-D498)&lt;0.000000001,4*$B$19*$B$20*(D498+273)^3,$B$19*$B$20*((V498+273)^4-(D498+273)^4)/(V498-D498))*D498)+T498/H498)/($B$14*(I498+IF(ABS(V498-D498)&lt;0.000000001,4*$B$19*$B$20*(D498+273)^3,$B$19*$B$20*((V498+273)^4-(D498+273)^4)/(V498-D498)))+1/H498)</f>
        <v/>
      </c>
      <c r="X498">
        <f>($B$14*(I498*C498+IF(ABS(W498-D498)&lt;0.000000001,4*$B$19*$B$20*(D498+273)^3,$B$19*$B$20*((W498+273)^4-(D498+273)^4)/(W498-D498))*D498)+T498/H498)/($B$14*(I498+IF(ABS(W498-D498)&lt;0.000000001,4*$B$19*$B$20*(D498+273)^3,$B$19*$B$20*((W498+273)^4-(D498+273)^4)/(W498-D498)))+1/H498)</f>
        <v/>
      </c>
      <c r="Y498">
        <f>($B$14*(I498*C498+IF(ABS(X498-D498)&lt;0.000000001,4*$B$19*$B$20*(D498+273)^3,$B$19*$B$20*((X498+273)^4-(D498+273)^4)/(X498-D498))*D498)+T498/H498)/($B$14*(I498+IF(ABS(X498-D498)&lt;0.000000001,4*$B$19*$B$20*(D498+273)^3,$B$19*$B$20*((X498+273)^4-(D498+273)^4)/(X498-D498)))+1/H498)</f>
        <v/>
      </c>
      <c r="Z498">
        <f>IF(ABS(Y498-D498)&lt;0.000000001,4*$B$19*$B$20*(D498+273)^3,$B$19*$B$20*((Y498+273)^4-(D498+273)^4)/(Y498-D498))</f>
        <v/>
      </c>
      <c r="AA498">
        <f>$B$14*I498*(Y498-C498)</f>
        <v/>
      </c>
      <c r="AB498">
        <f>$B$14*Z498*(Y498-D498)</f>
        <v/>
      </c>
      <c r="AC498">
        <f>IF((U498-E498)/G498=0,0.001,(U498-E498)/G498)</f>
        <v/>
      </c>
      <c r="AD498">
        <f>F498-P498-J498-K498-AA498-AB498</f>
        <v/>
      </c>
      <c r="AE498">
        <f>AD498/AC498</f>
        <v/>
      </c>
      <c r="AF498">
        <f>IF(AD498&lt;=0,0,IF(AC498&lt;=0,$B$11,IF(AE498&gt;=1.7,$B$11,MIN(AD498/MAX(0.05,IF(AE498&gt;1,(2-AE498)^2/2,1-AE498^2/2)),$B$11))))</f>
        <v/>
      </c>
      <c r="AG498">
        <f>AG497*$B$28+AF498*(1-$B$28)</f>
        <v/>
      </c>
      <c r="AH498">
        <f>IF(AND(AD498&gt;0,AC498&lt;=0),0,AC498)</f>
        <v/>
      </c>
      <c r="AI498">
        <f>AH498/MAX(AG498,0.000001)</f>
        <v/>
      </c>
      <c r="AJ498">
        <f>MIN(IF(AI498&gt;=0.5,-AI498+SQRT(AI498^2+2),1),$B$12)</f>
        <v/>
      </c>
      <c r="AK498">
        <f>IF(AG498&lt;=0,0,AJ498*AH498)</f>
        <v/>
      </c>
      <c r="AL498">
        <f>IF(AD498&lt;=0,0,AD498)</f>
        <v/>
      </c>
      <c r="AM498">
        <f>AL498-AK498+P498</f>
        <v/>
      </c>
      <c r="AN498">
        <f>((AM498/$B$7+T497*AS497/2-T498*MAX(0.1,MIN(0.3,0.3-0.09*(AR497-36.8)))/2)+AR497*(1-AS497/2))/(1-MAX(0.1,MIN(0.3,0.3-0.09*(AR497-36.8)))/2)</f>
        <v/>
      </c>
      <c r="AO498">
        <f>((AM498/$B$7+T497*AS497/2-T498*MAX(0.1,MIN(0.3,0.3-0.09*(AN498-36.8)))/2)+AR497*(1-AS497/2))/(1-MAX(0.1,MIN(0.3,0.3-0.09*(AN498-36.8)))/2)</f>
        <v/>
      </c>
      <c r="AP498">
        <f>((AM498/$B$7+T497*AS497/2-T498*MAX(0.1,MIN(0.3,0.3-0.09*(AO498-36.8)))/2)+AR497*(1-AS497/2))/(1-MAX(0.1,MIN(0.3,0.3-0.09*(AO498-36.8)))/2)</f>
        <v/>
      </c>
      <c r="AQ498">
        <f>((AM498/$B$7+T497*AS497/2-T498*MAX(0.1,MIN(0.3,0.3-0.09*(AP498-36.8)))/2)+AR497*(1-AS497/2))/(1-MAX(0.1,MIN(0.3,0.3-0.09*(AP498-36.8)))/2)</f>
        <v/>
      </c>
      <c r="AR498">
        <f>((AM498/$B$7+T497*AS497/2-T498*MAX(0.1,MIN(0.3,0.3-0.09*(AQ498-36.8)))/2)+AR497*(1-AS497/2))/(1-MAX(0.1,MIN(0.3,0.3-0.09*(AQ498-36.8)))/2)</f>
        <v/>
      </c>
      <c r="AS498">
        <f>MAX(0.1,MIN(0.3,0.3-0.09*(AR498-36.8)))</f>
        <v/>
      </c>
      <c r="AT498">
        <f>AT497+(2*AR498-1.962*AT497-1.31)/9</f>
        <v/>
      </c>
      <c r="AU498">
        <f>AU497+AG498+K498</f>
        <v/>
      </c>
      <c r="AV498">
        <f>AU498*2.67*$B$6/1.8/60</f>
        <v/>
      </c>
      <c r="AW498">
        <f>IF(AT498&gt;=$B$36,1,0)</f>
        <v/>
      </c>
      <c r="AX498">
        <f>IF(AV498&gt;=$B$21,1,0)</f>
        <v/>
      </c>
    </row>
    <row r="499">
      <c r="A499" t="n">
        <v>426</v>
      </c>
      <c r="B499">
        <f>MATCH(A499-1,$D$61:$D$68,1)</f>
        <v/>
      </c>
      <c r="C499">
        <f>INDEX($G$61:$G$68,B499)</f>
        <v/>
      </c>
      <c r="D499">
        <f>INDEX($L$61:$L$68,B499)</f>
        <v/>
      </c>
      <c r="E499">
        <f>INDEX($M$61:$M$68,B499)</f>
        <v/>
      </c>
      <c r="F499">
        <f>INDEX($N$61:$N$68,B499)</f>
        <v/>
      </c>
      <c r="G499">
        <f>INDEX($AA$61:$AA$68,B499)</f>
        <v/>
      </c>
      <c r="H499">
        <f>INDEX($X$61:$X$68,B499)</f>
        <v/>
      </c>
      <c r="I499">
        <f>INDEX($AF$61:$AF$68,B499)</f>
        <v/>
      </c>
      <c r="J499">
        <f>INDEX($AC$61:$AC$68,B499)</f>
        <v/>
      </c>
      <c r="K499">
        <f>INDEX($AD$61:$AD$68,B499)</f>
        <v/>
      </c>
      <c r="L499">
        <f>INDEX($AG$61:$AG$68,B499)</f>
        <v/>
      </c>
      <c r="M499">
        <f>INDEX($AH$61:$AH$68,B499)</f>
        <v/>
      </c>
      <c r="N499">
        <f>INDEX($AI$61:$AI$68,B499)</f>
        <v/>
      </c>
      <c r="O499">
        <f>O498*$B$26+L499*(1-$B$26)</f>
        <v/>
      </c>
      <c r="P499">
        <f>$B$7*(O499-O498)*(1-AS498)</f>
        <v/>
      </c>
      <c r="Q499">
        <f>M499+0.51274*AT498</f>
        <v/>
      </c>
      <c r="R499">
        <f>N499+0.616*AT498</f>
        <v/>
      </c>
      <c r="S499">
        <f>IF($B$13&gt;=0.6,Q499,IF($B$13&lt;=0.2,R499,R499+2.5*(Q499-R499)*($B$13-0.2)))</f>
        <v/>
      </c>
      <c r="T499">
        <f>IF(A499=1,S499,T498*$B$27+S499*(1-$B$27))</f>
        <v/>
      </c>
      <c r="U499">
        <f>0.6105*EXP(17.27*T499/(T499+237.3))</f>
        <v/>
      </c>
      <c r="V499">
        <f>($B$14*(I499*C499+IF(ABS((D499+0.1)-D499)&lt;0.000000001,4*$B$19*$B$20*(D499+273)^3,$B$19*$B$20*(((D499+0.1)+273)^4-(D499+273)^4)/((D499+0.1)-D499))*D499)+T499/H499)/($B$14*(I499+IF(ABS((D499+0.1)-D499)&lt;0.000000001,4*$B$19*$B$20*(D499+273)^3,$B$19*$B$20*(((D499+0.1)+273)^4-(D499+273)^4)/((D499+0.1)-D499)))+1/H499)</f>
        <v/>
      </c>
      <c r="W499">
        <f>($B$14*(I499*C499+IF(ABS(V499-D499)&lt;0.000000001,4*$B$19*$B$20*(D499+273)^3,$B$19*$B$20*((V499+273)^4-(D499+273)^4)/(V499-D499))*D499)+T499/H499)/($B$14*(I499+IF(ABS(V499-D499)&lt;0.000000001,4*$B$19*$B$20*(D499+273)^3,$B$19*$B$20*((V499+273)^4-(D499+273)^4)/(V499-D499)))+1/H499)</f>
        <v/>
      </c>
      <c r="X499">
        <f>($B$14*(I499*C499+IF(ABS(W499-D499)&lt;0.000000001,4*$B$19*$B$20*(D499+273)^3,$B$19*$B$20*((W499+273)^4-(D499+273)^4)/(W499-D499))*D499)+T499/H499)/($B$14*(I499+IF(ABS(W499-D499)&lt;0.000000001,4*$B$19*$B$20*(D499+273)^3,$B$19*$B$20*((W499+273)^4-(D499+273)^4)/(W499-D499)))+1/H499)</f>
        <v/>
      </c>
      <c r="Y499">
        <f>($B$14*(I499*C499+IF(ABS(X499-D499)&lt;0.000000001,4*$B$19*$B$20*(D499+273)^3,$B$19*$B$20*((X499+273)^4-(D499+273)^4)/(X499-D499))*D499)+T499/H499)/($B$14*(I499+IF(ABS(X499-D499)&lt;0.000000001,4*$B$19*$B$20*(D499+273)^3,$B$19*$B$20*((X499+273)^4-(D499+273)^4)/(X499-D499)))+1/H499)</f>
        <v/>
      </c>
      <c r="Z499">
        <f>IF(ABS(Y499-D499)&lt;0.000000001,4*$B$19*$B$20*(D499+273)^3,$B$19*$B$20*((Y499+273)^4-(D499+273)^4)/(Y499-D499))</f>
        <v/>
      </c>
      <c r="AA499">
        <f>$B$14*I499*(Y499-C499)</f>
        <v/>
      </c>
      <c r="AB499">
        <f>$B$14*Z499*(Y499-D499)</f>
        <v/>
      </c>
      <c r="AC499">
        <f>IF((U499-E499)/G499=0,0.001,(U499-E499)/G499)</f>
        <v/>
      </c>
      <c r="AD499">
        <f>F499-P499-J499-K499-AA499-AB499</f>
        <v/>
      </c>
      <c r="AE499">
        <f>AD499/AC499</f>
        <v/>
      </c>
      <c r="AF499">
        <f>IF(AD499&lt;=0,0,IF(AC499&lt;=0,$B$11,IF(AE499&gt;=1.7,$B$11,MIN(AD499/MAX(0.05,IF(AE499&gt;1,(2-AE499)^2/2,1-AE499^2/2)),$B$11))))</f>
        <v/>
      </c>
      <c r="AG499">
        <f>AG498*$B$28+AF499*(1-$B$28)</f>
        <v/>
      </c>
      <c r="AH499">
        <f>IF(AND(AD499&gt;0,AC499&lt;=0),0,AC499)</f>
        <v/>
      </c>
      <c r="AI499">
        <f>AH499/MAX(AG499,0.000001)</f>
        <v/>
      </c>
      <c r="AJ499">
        <f>MIN(IF(AI499&gt;=0.5,-AI499+SQRT(AI499^2+2),1),$B$12)</f>
        <v/>
      </c>
      <c r="AK499">
        <f>IF(AG499&lt;=0,0,AJ499*AH499)</f>
        <v/>
      </c>
      <c r="AL499">
        <f>IF(AD499&lt;=0,0,AD499)</f>
        <v/>
      </c>
      <c r="AM499">
        <f>AL499-AK499+P499</f>
        <v/>
      </c>
      <c r="AN499">
        <f>((AM499/$B$7+T498*AS498/2-T499*MAX(0.1,MIN(0.3,0.3-0.09*(AR498-36.8)))/2)+AR498*(1-AS498/2))/(1-MAX(0.1,MIN(0.3,0.3-0.09*(AR498-36.8)))/2)</f>
        <v/>
      </c>
      <c r="AO499">
        <f>((AM499/$B$7+T498*AS498/2-T499*MAX(0.1,MIN(0.3,0.3-0.09*(AN499-36.8)))/2)+AR498*(1-AS498/2))/(1-MAX(0.1,MIN(0.3,0.3-0.09*(AN499-36.8)))/2)</f>
        <v/>
      </c>
      <c r="AP499">
        <f>((AM499/$B$7+T498*AS498/2-T499*MAX(0.1,MIN(0.3,0.3-0.09*(AO499-36.8)))/2)+AR498*(1-AS498/2))/(1-MAX(0.1,MIN(0.3,0.3-0.09*(AO499-36.8)))/2)</f>
        <v/>
      </c>
      <c r="AQ499">
        <f>((AM499/$B$7+T498*AS498/2-T499*MAX(0.1,MIN(0.3,0.3-0.09*(AP499-36.8)))/2)+AR498*(1-AS498/2))/(1-MAX(0.1,MIN(0.3,0.3-0.09*(AP499-36.8)))/2)</f>
        <v/>
      </c>
      <c r="AR499">
        <f>((AM499/$B$7+T498*AS498/2-T499*MAX(0.1,MIN(0.3,0.3-0.09*(AQ499-36.8)))/2)+AR498*(1-AS498/2))/(1-MAX(0.1,MIN(0.3,0.3-0.09*(AQ499-36.8)))/2)</f>
        <v/>
      </c>
      <c r="AS499">
        <f>MAX(0.1,MIN(0.3,0.3-0.09*(AR499-36.8)))</f>
        <v/>
      </c>
      <c r="AT499">
        <f>AT498+(2*AR499-1.962*AT498-1.31)/9</f>
        <v/>
      </c>
      <c r="AU499">
        <f>AU498+AG499+K499</f>
        <v/>
      </c>
      <c r="AV499">
        <f>AU499*2.67*$B$6/1.8/60</f>
        <v/>
      </c>
      <c r="AW499">
        <f>IF(AT499&gt;=$B$36,1,0)</f>
        <v/>
      </c>
      <c r="AX499">
        <f>IF(AV499&gt;=$B$21,1,0)</f>
        <v/>
      </c>
    </row>
    <row r="500">
      <c r="A500" t="n">
        <v>427</v>
      </c>
      <c r="B500">
        <f>MATCH(A500-1,$D$61:$D$68,1)</f>
        <v/>
      </c>
      <c r="C500">
        <f>INDEX($G$61:$G$68,B500)</f>
        <v/>
      </c>
      <c r="D500">
        <f>INDEX($L$61:$L$68,B500)</f>
        <v/>
      </c>
      <c r="E500">
        <f>INDEX($M$61:$M$68,B500)</f>
        <v/>
      </c>
      <c r="F500">
        <f>INDEX($N$61:$N$68,B500)</f>
        <v/>
      </c>
      <c r="G500">
        <f>INDEX($AA$61:$AA$68,B500)</f>
        <v/>
      </c>
      <c r="H500">
        <f>INDEX($X$61:$X$68,B500)</f>
        <v/>
      </c>
      <c r="I500">
        <f>INDEX($AF$61:$AF$68,B500)</f>
        <v/>
      </c>
      <c r="J500">
        <f>INDEX($AC$61:$AC$68,B500)</f>
        <v/>
      </c>
      <c r="K500">
        <f>INDEX($AD$61:$AD$68,B500)</f>
        <v/>
      </c>
      <c r="L500">
        <f>INDEX($AG$61:$AG$68,B500)</f>
        <v/>
      </c>
      <c r="M500">
        <f>INDEX($AH$61:$AH$68,B500)</f>
        <v/>
      </c>
      <c r="N500">
        <f>INDEX($AI$61:$AI$68,B500)</f>
        <v/>
      </c>
      <c r="O500">
        <f>O499*$B$26+L500*(1-$B$26)</f>
        <v/>
      </c>
      <c r="P500">
        <f>$B$7*(O500-O499)*(1-AS499)</f>
        <v/>
      </c>
      <c r="Q500">
        <f>M500+0.51274*AT499</f>
        <v/>
      </c>
      <c r="R500">
        <f>N500+0.616*AT499</f>
        <v/>
      </c>
      <c r="S500">
        <f>IF($B$13&gt;=0.6,Q500,IF($B$13&lt;=0.2,R500,R500+2.5*(Q500-R500)*($B$13-0.2)))</f>
        <v/>
      </c>
      <c r="T500">
        <f>IF(A500=1,S500,T499*$B$27+S500*(1-$B$27))</f>
        <v/>
      </c>
      <c r="U500">
        <f>0.6105*EXP(17.27*T500/(T500+237.3))</f>
        <v/>
      </c>
      <c r="V500">
        <f>($B$14*(I500*C500+IF(ABS((D500+0.1)-D500)&lt;0.000000001,4*$B$19*$B$20*(D500+273)^3,$B$19*$B$20*(((D500+0.1)+273)^4-(D500+273)^4)/((D500+0.1)-D500))*D500)+T500/H500)/($B$14*(I500+IF(ABS((D500+0.1)-D500)&lt;0.000000001,4*$B$19*$B$20*(D500+273)^3,$B$19*$B$20*(((D500+0.1)+273)^4-(D500+273)^4)/((D500+0.1)-D500)))+1/H500)</f>
        <v/>
      </c>
      <c r="W500">
        <f>($B$14*(I500*C500+IF(ABS(V500-D500)&lt;0.000000001,4*$B$19*$B$20*(D500+273)^3,$B$19*$B$20*((V500+273)^4-(D500+273)^4)/(V500-D500))*D500)+T500/H500)/($B$14*(I500+IF(ABS(V500-D500)&lt;0.000000001,4*$B$19*$B$20*(D500+273)^3,$B$19*$B$20*((V500+273)^4-(D500+273)^4)/(V500-D500)))+1/H500)</f>
        <v/>
      </c>
      <c r="X500">
        <f>($B$14*(I500*C500+IF(ABS(W500-D500)&lt;0.000000001,4*$B$19*$B$20*(D500+273)^3,$B$19*$B$20*((W500+273)^4-(D500+273)^4)/(W500-D500))*D500)+T500/H500)/($B$14*(I500+IF(ABS(W500-D500)&lt;0.000000001,4*$B$19*$B$20*(D500+273)^3,$B$19*$B$20*((W500+273)^4-(D500+273)^4)/(W500-D500)))+1/H500)</f>
        <v/>
      </c>
      <c r="Y500">
        <f>($B$14*(I500*C500+IF(ABS(X500-D500)&lt;0.000000001,4*$B$19*$B$20*(D500+273)^3,$B$19*$B$20*((X500+273)^4-(D500+273)^4)/(X500-D500))*D500)+T500/H500)/($B$14*(I500+IF(ABS(X500-D500)&lt;0.000000001,4*$B$19*$B$20*(D500+273)^3,$B$19*$B$20*((X500+273)^4-(D500+273)^4)/(X500-D500)))+1/H500)</f>
        <v/>
      </c>
      <c r="Z500">
        <f>IF(ABS(Y500-D500)&lt;0.000000001,4*$B$19*$B$20*(D500+273)^3,$B$19*$B$20*((Y500+273)^4-(D500+273)^4)/(Y500-D500))</f>
        <v/>
      </c>
      <c r="AA500">
        <f>$B$14*I500*(Y500-C500)</f>
        <v/>
      </c>
      <c r="AB500">
        <f>$B$14*Z500*(Y500-D500)</f>
        <v/>
      </c>
      <c r="AC500">
        <f>IF((U500-E500)/G500=0,0.001,(U500-E500)/G500)</f>
        <v/>
      </c>
      <c r="AD500">
        <f>F500-P500-J500-K500-AA500-AB500</f>
        <v/>
      </c>
      <c r="AE500">
        <f>AD500/AC500</f>
        <v/>
      </c>
      <c r="AF500">
        <f>IF(AD500&lt;=0,0,IF(AC500&lt;=0,$B$11,IF(AE500&gt;=1.7,$B$11,MIN(AD500/MAX(0.05,IF(AE500&gt;1,(2-AE500)^2/2,1-AE500^2/2)),$B$11))))</f>
        <v/>
      </c>
      <c r="AG500">
        <f>AG499*$B$28+AF500*(1-$B$28)</f>
        <v/>
      </c>
      <c r="AH500">
        <f>IF(AND(AD500&gt;0,AC500&lt;=0),0,AC500)</f>
        <v/>
      </c>
      <c r="AI500">
        <f>AH500/MAX(AG500,0.000001)</f>
        <v/>
      </c>
      <c r="AJ500">
        <f>MIN(IF(AI500&gt;=0.5,-AI500+SQRT(AI500^2+2),1),$B$12)</f>
        <v/>
      </c>
      <c r="AK500">
        <f>IF(AG500&lt;=0,0,AJ500*AH500)</f>
        <v/>
      </c>
      <c r="AL500">
        <f>IF(AD500&lt;=0,0,AD500)</f>
        <v/>
      </c>
      <c r="AM500">
        <f>AL500-AK500+P500</f>
        <v/>
      </c>
      <c r="AN500">
        <f>((AM500/$B$7+T499*AS499/2-T500*MAX(0.1,MIN(0.3,0.3-0.09*(AR499-36.8)))/2)+AR499*(1-AS499/2))/(1-MAX(0.1,MIN(0.3,0.3-0.09*(AR499-36.8)))/2)</f>
        <v/>
      </c>
      <c r="AO500">
        <f>((AM500/$B$7+T499*AS499/2-T500*MAX(0.1,MIN(0.3,0.3-0.09*(AN500-36.8)))/2)+AR499*(1-AS499/2))/(1-MAX(0.1,MIN(0.3,0.3-0.09*(AN500-36.8)))/2)</f>
        <v/>
      </c>
      <c r="AP500">
        <f>((AM500/$B$7+T499*AS499/2-T500*MAX(0.1,MIN(0.3,0.3-0.09*(AO500-36.8)))/2)+AR499*(1-AS499/2))/(1-MAX(0.1,MIN(0.3,0.3-0.09*(AO500-36.8)))/2)</f>
        <v/>
      </c>
      <c r="AQ500">
        <f>((AM500/$B$7+T499*AS499/2-T500*MAX(0.1,MIN(0.3,0.3-0.09*(AP500-36.8)))/2)+AR499*(1-AS499/2))/(1-MAX(0.1,MIN(0.3,0.3-0.09*(AP500-36.8)))/2)</f>
        <v/>
      </c>
      <c r="AR500">
        <f>((AM500/$B$7+T499*AS499/2-T500*MAX(0.1,MIN(0.3,0.3-0.09*(AQ500-36.8)))/2)+AR499*(1-AS499/2))/(1-MAX(0.1,MIN(0.3,0.3-0.09*(AQ500-36.8)))/2)</f>
        <v/>
      </c>
      <c r="AS500">
        <f>MAX(0.1,MIN(0.3,0.3-0.09*(AR500-36.8)))</f>
        <v/>
      </c>
      <c r="AT500">
        <f>AT499+(2*AR500-1.962*AT499-1.31)/9</f>
        <v/>
      </c>
      <c r="AU500">
        <f>AU499+AG500+K500</f>
        <v/>
      </c>
      <c r="AV500">
        <f>AU500*2.67*$B$6/1.8/60</f>
        <v/>
      </c>
      <c r="AW500">
        <f>IF(AT500&gt;=$B$36,1,0)</f>
        <v/>
      </c>
      <c r="AX500">
        <f>IF(AV500&gt;=$B$21,1,0)</f>
        <v/>
      </c>
    </row>
    <row r="501">
      <c r="A501" t="n">
        <v>428</v>
      </c>
      <c r="B501">
        <f>MATCH(A501-1,$D$61:$D$68,1)</f>
        <v/>
      </c>
      <c r="C501">
        <f>INDEX($G$61:$G$68,B501)</f>
        <v/>
      </c>
      <c r="D501">
        <f>INDEX($L$61:$L$68,B501)</f>
        <v/>
      </c>
      <c r="E501">
        <f>INDEX($M$61:$M$68,B501)</f>
        <v/>
      </c>
      <c r="F501">
        <f>INDEX($N$61:$N$68,B501)</f>
        <v/>
      </c>
      <c r="G501">
        <f>INDEX($AA$61:$AA$68,B501)</f>
        <v/>
      </c>
      <c r="H501">
        <f>INDEX($X$61:$X$68,B501)</f>
        <v/>
      </c>
      <c r="I501">
        <f>INDEX($AF$61:$AF$68,B501)</f>
        <v/>
      </c>
      <c r="J501">
        <f>INDEX($AC$61:$AC$68,B501)</f>
        <v/>
      </c>
      <c r="K501">
        <f>INDEX($AD$61:$AD$68,B501)</f>
        <v/>
      </c>
      <c r="L501">
        <f>INDEX($AG$61:$AG$68,B501)</f>
        <v/>
      </c>
      <c r="M501">
        <f>INDEX($AH$61:$AH$68,B501)</f>
        <v/>
      </c>
      <c r="N501">
        <f>INDEX($AI$61:$AI$68,B501)</f>
        <v/>
      </c>
      <c r="O501">
        <f>O500*$B$26+L501*(1-$B$26)</f>
        <v/>
      </c>
      <c r="P501">
        <f>$B$7*(O501-O500)*(1-AS500)</f>
        <v/>
      </c>
      <c r="Q501">
        <f>M501+0.51274*AT500</f>
        <v/>
      </c>
      <c r="R501">
        <f>N501+0.616*AT500</f>
        <v/>
      </c>
      <c r="S501">
        <f>IF($B$13&gt;=0.6,Q501,IF($B$13&lt;=0.2,R501,R501+2.5*(Q501-R501)*($B$13-0.2)))</f>
        <v/>
      </c>
      <c r="T501">
        <f>IF(A501=1,S501,T500*$B$27+S501*(1-$B$27))</f>
        <v/>
      </c>
      <c r="U501">
        <f>0.6105*EXP(17.27*T501/(T501+237.3))</f>
        <v/>
      </c>
      <c r="V501">
        <f>($B$14*(I501*C501+IF(ABS((D501+0.1)-D501)&lt;0.000000001,4*$B$19*$B$20*(D501+273)^3,$B$19*$B$20*(((D501+0.1)+273)^4-(D501+273)^4)/((D501+0.1)-D501))*D501)+T501/H501)/($B$14*(I501+IF(ABS((D501+0.1)-D501)&lt;0.000000001,4*$B$19*$B$20*(D501+273)^3,$B$19*$B$20*(((D501+0.1)+273)^4-(D501+273)^4)/((D501+0.1)-D501)))+1/H501)</f>
        <v/>
      </c>
      <c r="W501">
        <f>($B$14*(I501*C501+IF(ABS(V501-D501)&lt;0.000000001,4*$B$19*$B$20*(D501+273)^3,$B$19*$B$20*((V501+273)^4-(D501+273)^4)/(V501-D501))*D501)+T501/H501)/($B$14*(I501+IF(ABS(V501-D501)&lt;0.000000001,4*$B$19*$B$20*(D501+273)^3,$B$19*$B$20*((V501+273)^4-(D501+273)^4)/(V501-D501)))+1/H501)</f>
        <v/>
      </c>
      <c r="X501">
        <f>($B$14*(I501*C501+IF(ABS(W501-D501)&lt;0.000000001,4*$B$19*$B$20*(D501+273)^3,$B$19*$B$20*((W501+273)^4-(D501+273)^4)/(W501-D501))*D501)+T501/H501)/($B$14*(I501+IF(ABS(W501-D501)&lt;0.000000001,4*$B$19*$B$20*(D501+273)^3,$B$19*$B$20*((W501+273)^4-(D501+273)^4)/(W501-D501)))+1/H501)</f>
        <v/>
      </c>
      <c r="Y501">
        <f>($B$14*(I501*C501+IF(ABS(X501-D501)&lt;0.000000001,4*$B$19*$B$20*(D501+273)^3,$B$19*$B$20*((X501+273)^4-(D501+273)^4)/(X501-D501))*D501)+T501/H501)/($B$14*(I501+IF(ABS(X501-D501)&lt;0.000000001,4*$B$19*$B$20*(D501+273)^3,$B$19*$B$20*((X501+273)^4-(D501+273)^4)/(X501-D501)))+1/H501)</f>
        <v/>
      </c>
      <c r="Z501">
        <f>IF(ABS(Y501-D501)&lt;0.000000001,4*$B$19*$B$20*(D501+273)^3,$B$19*$B$20*((Y501+273)^4-(D501+273)^4)/(Y501-D501))</f>
        <v/>
      </c>
      <c r="AA501">
        <f>$B$14*I501*(Y501-C501)</f>
        <v/>
      </c>
      <c r="AB501">
        <f>$B$14*Z501*(Y501-D501)</f>
        <v/>
      </c>
      <c r="AC501">
        <f>IF((U501-E501)/G501=0,0.001,(U501-E501)/G501)</f>
        <v/>
      </c>
      <c r="AD501">
        <f>F501-P501-J501-K501-AA501-AB501</f>
        <v/>
      </c>
      <c r="AE501">
        <f>AD501/AC501</f>
        <v/>
      </c>
      <c r="AF501">
        <f>IF(AD501&lt;=0,0,IF(AC501&lt;=0,$B$11,IF(AE501&gt;=1.7,$B$11,MIN(AD501/MAX(0.05,IF(AE501&gt;1,(2-AE501)^2/2,1-AE501^2/2)),$B$11))))</f>
        <v/>
      </c>
      <c r="AG501">
        <f>AG500*$B$28+AF501*(1-$B$28)</f>
        <v/>
      </c>
      <c r="AH501">
        <f>IF(AND(AD501&gt;0,AC501&lt;=0),0,AC501)</f>
        <v/>
      </c>
      <c r="AI501">
        <f>AH501/MAX(AG501,0.000001)</f>
        <v/>
      </c>
      <c r="AJ501">
        <f>MIN(IF(AI501&gt;=0.5,-AI501+SQRT(AI501^2+2),1),$B$12)</f>
        <v/>
      </c>
      <c r="AK501">
        <f>IF(AG501&lt;=0,0,AJ501*AH501)</f>
        <v/>
      </c>
      <c r="AL501">
        <f>IF(AD501&lt;=0,0,AD501)</f>
        <v/>
      </c>
      <c r="AM501">
        <f>AL501-AK501+P501</f>
        <v/>
      </c>
      <c r="AN501">
        <f>((AM501/$B$7+T500*AS500/2-T501*MAX(0.1,MIN(0.3,0.3-0.09*(AR500-36.8)))/2)+AR500*(1-AS500/2))/(1-MAX(0.1,MIN(0.3,0.3-0.09*(AR500-36.8)))/2)</f>
        <v/>
      </c>
      <c r="AO501">
        <f>((AM501/$B$7+T500*AS500/2-T501*MAX(0.1,MIN(0.3,0.3-0.09*(AN501-36.8)))/2)+AR500*(1-AS500/2))/(1-MAX(0.1,MIN(0.3,0.3-0.09*(AN501-36.8)))/2)</f>
        <v/>
      </c>
      <c r="AP501">
        <f>((AM501/$B$7+T500*AS500/2-T501*MAX(0.1,MIN(0.3,0.3-0.09*(AO501-36.8)))/2)+AR500*(1-AS500/2))/(1-MAX(0.1,MIN(0.3,0.3-0.09*(AO501-36.8)))/2)</f>
        <v/>
      </c>
      <c r="AQ501">
        <f>((AM501/$B$7+T500*AS500/2-T501*MAX(0.1,MIN(0.3,0.3-0.09*(AP501-36.8)))/2)+AR500*(1-AS500/2))/(1-MAX(0.1,MIN(0.3,0.3-0.09*(AP501-36.8)))/2)</f>
        <v/>
      </c>
      <c r="AR501">
        <f>((AM501/$B$7+T500*AS500/2-T501*MAX(0.1,MIN(0.3,0.3-0.09*(AQ501-36.8)))/2)+AR500*(1-AS500/2))/(1-MAX(0.1,MIN(0.3,0.3-0.09*(AQ501-36.8)))/2)</f>
        <v/>
      </c>
      <c r="AS501">
        <f>MAX(0.1,MIN(0.3,0.3-0.09*(AR501-36.8)))</f>
        <v/>
      </c>
      <c r="AT501">
        <f>AT500+(2*AR501-1.962*AT500-1.31)/9</f>
        <v/>
      </c>
      <c r="AU501">
        <f>AU500+AG501+K501</f>
        <v/>
      </c>
      <c r="AV501">
        <f>AU501*2.67*$B$6/1.8/60</f>
        <v/>
      </c>
      <c r="AW501">
        <f>IF(AT501&gt;=$B$36,1,0)</f>
        <v/>
      </c>
      <c r="AX501">
        <f>IF(AV501&gt;=$B$21,1,0)</f>
        <v/>
      </c>
    </row>
    <row r="502">
      <c r="A502" t="n">
        <v>429</v>
      </c>
      <c r="B502">
        <f>MATCH(A502-1,$D$61:$D$68,1)</f>
        <v/>
      </c>
      <c r="C502">
        <f>INDEX($G$61:$G$68,B502)</f>
        <v/>
      </c>
      <c r="D502">
        <f>INDEX($L$61:$L$68,B502)</f>
        <v/>
      </c>
      <c r="E502">
        <f>INDEX($M$61:$M$68,B502)</f>
        <v/>
      </c>
      <c r="F502">
        <f>INDEX($N$61:$N$68,B502)</f>
        <v/>
      </c>
      <c r="G502">
        <f>INDEX($AA$61:$AA$68,B502)</f>
        <v/>
      </c>
      <c r="H502">
        <f>INDEX($X$61:$X$68,B502)</f>
        <v/>
      </c>
      <c r="I502">
        <f>INDEX($AF$61:$AF$68,B502)</f>
        <v/>
      </c>
      <c r="J502">
        <f>INDEX($AC$61:$AC$68,B502)</f>
        <v/>
      </c>
      <c r="K502">
        <f>INDEX($AD$61:$AD$68,B502)</f>
        <v/>
      </c>
      <c r="L502">
        <f>INDEX($AG$61:$AG$68,B502)</f>
        <v/>
      </c>
      <c r="M502">
        <f>INDEX($AH$61:$AH$68,B502)</f>
        <v/>
      </c>
      <c r="N502">
        <f>INDEX($AI$61:$AI$68,B502)</f>
        <v/>
      </c>
      <c r="O502">
        <f>O501*$B$26+L502*(1-$B$26)</f>
        <v/>
      </c>
      <c r="P502">
        <f>$B$7*(O502-O501)*(1-AS501)</f>
        <v/>
      </c>
      <c r="Q502">
        <f>M502+0.51274*AT501</f>
        <v/>
      </c>
      <c r="R502">
        <f>N502+0.616*AT501</f>
        <v/>
      </c>
      <c r="S502">
        <f>IF($B$13&gt;=0.6,Q502,IF($B$13&lt;=0.2,R502,R502+2.5*(Q502-R502)*($B$13-0.2)))</f>
        <v/>
      </c>
      <c r="T502">
        <f>IF(A502=1,S502,T501*$B$27+S502*(1-$B$27))</f>
        <v/>
      </c>
      <c r="U502">
        <f>0.6105*EXP(17.27*T502/(T502+237.3))</f>
        <v/>
      </c>
      <c r="V502">
        <f>($B$14*(I502*C502+IF(ABS((D502+0.1)-D502)&lt;0.000000001,4*$B$19*$B$20*(D502+273)^3,$B$19*$B$20*(((D502+0.1)+273)^4-(D502+273)^4)/((D502+0.1)-D502))*D502)+T502/H502)/($B$14*(I502+IF(ABS((D502+0.1)-D502)&lt;0.000000001,4*$B$19*$B$20*(D502+273)^3,$B$19*$B$20*(((D502+0.1)+273)^4-(D502+273)^4)/((D502+0.1)-D502)))+1/H502)</f>
        <v/>
      </c>
      <c r="W502">
        <f>($B$14*(I502*C502+IF(ABS(V502-D502)&lt;0.000000001,4*$B$19*$B$20*(D502+273)^3,$B$19*$B$20*((V502+273)^4-(D502+273)^4)/(V502-D502))*D502)+T502/H502)/($B$14*(I502+IF(ABS(V502-D502)&lt;0.000000001,4*$B$19*$B$20*(D502+273)^3,$B$19*$B$20*((V502+273)^4-(D502+273)^4)/(V502-D502)))+1/H502)</f>
        <v/>
      </c>
      <c r="X502">
        <f>($B$14*(I502*C502+IF(ABS(W502-D502)&lt;0.000000001,4*$B$19*$B$20*(D502+273)^3,$B$19*$B$20*((W502+273)^4-(D502+273)^4)/(W502-D502))*D502)+T502/H502)/($B$14*(I502+IF(ABS(W502-D502)&lt;0.000000001,4*$B$19*$B$20*(D502+273)^3,$B$19*$B$20*((W502+273)^4-(D502+273)^4)/(W502-D502)))+1/H502)</f>
        <v/>
      </c>
      <c r="Y502">
        <f>($B$14*(I502*C502+IF(ABS(X502-D502)&lt;0.000000001,4*$B$19*$B$20*(D502+273)^3,$B$19*$B$20*((X502+273)^4-(D502+273)^4)/(X502-D502))*D502)+T502/H502)/($B$14*(I502+IF(ABS(X502-D502)&lt;0.000000001,4*$B$19*$B$20*(D502+273)^3,$B$19*$B$20*((X502+273)^4-(D502+273)^4)/(X502-D502)))+1/H502)</f>
        <v/>
      </c>
      <c r="Z502">
        <f>IF(ABS(Y502-D502)&lt;0.000000001,4*$B$19*$B$20*(D502+273)^3,$B$19*$B$20*((Y502+273)^4-(D502+273)^4)/(Y502-D502))</f>
        <v/>
      </c>
      <c r="AA502">
        <f>$B$14*I502*(Y502-C502)</f>
        <v/>
      </c>
      <c r="AB502">
        <f>$B$14*Z502*(Y502-D502)</f>
        <v/>
      </c>
      <c r="AC502">
        <f>IF((U502-E502)/G502=0,0.001,(U502-E502)/G502)</f>
        <v/>
      </c>
      <c r="AD502">
        <f>F502-P502-J502-K502-AA502-AB502</f>
        <v/>
      </c>
      <c r="AE502">
        <f>AD502/AC502</f>
        <v/>
      </c>
      <c r="AF502">
        <f>IF(AD502&lt;=0,0,IF(AC502&lt;=0,$B$11,IF(AE502&gt;=1.7,$B$11,MIN(AD502/MAX(0.05,IF(AE502&gt;1,(2-AE502)^2/2,1-AE502^2/2)),$B$11))))</f>
        <v/>
      </c>
      <c r="AG502">
        <f>AG501*$B$28+AF502*(1-$B$28)</f>
        <v/>
      </c>
      <c r="AH502">
        <f>IF(AND(AD502&gt;0,AC502&lt;=0),0,AC502)</f>
        <v/>
      </c>
      <c r="AI502">
        <f>AH502/MAX(AG502,0.000001)</f>
        <v/>
      </c>
      <c r="AJ502">
        <f>MIN(IF(AI502&gt;=0.5,-AI502+SQRT(AI502^2+2),1),$B$12)</f>
        <v/>
      </c>
      <c r="AK502">
        <f>IF(AG502&lt;=0,0,AJ502*AH502)</f>
        <v/>
      </c>
      <c r="AL502">
        <f>IF(AD502&lt;=0,0,AD502)</f>
        <v/>
      </c>
      <c r="AM502">
        <f>AL502-AK502+P502</f>
        <v/>
      </c>
      <c r="AN502">
        <f>((AM502/$B$7+T501*AS501/2-T502*MAX(0.1,MIN(0.3,0.3-0.09*(AR501-36.8)))/2)+AR501*(1-AS501/2))/(1-MAX(0.1,MIN(0.3,0.3-0.09*(AR501-36.8)))/2)</f>
        <v/>
      </c>
      <c r="AO502">
        <f>((AM502/$B$7+T501*AS501/2-T502*MAX(0.1,MIN(0.3,0.3-0.09*(AN502-36.8)))/2)+AR501*(1-AS501/2))/(1-MAX(0.1,MIN(0.3,0.3-0.09*(AN502-36.8)))/2)</f>
        <v/>
      </c>
      <c r="AP502">
        <f>((AM502/$B$7+T501*AS501/2-T502*MAX(0.1,MIN(0.3,0.3-0.09*(AO502-36.8)))/2)+AR501*(1-AS501/2))/(1-MAX(0.1,MIN(0.3,0.3-0.09*(AO502-36.8)))/2)</f>
        <v/>
      </c>
      <c r="AQ502">
        <f>((AM502/$B$7+T501*AS501/2-T502*MAX(0.1,MIN(0.3,0.3-0.09*(AP502-36.8)))/2)+AR501*(1-AS501/2))/(1-MAX(0.1,MIN(0.3,0.3-0.09*(AP502-36.8)))/2)</f>
        <v/>
      </c>
      <c r="AR502">
        <f>((AM502/$B$7+T501*AS501/2-T502*MAX(0.1,MIN(0.3,0.3-0.09*(AQ502-36.8)))/2)+AR501*(1-AS501/2))/(1-MAX(0.1,MIN(0.3,0.3-0.09*(AQ502-36.8)))/2)</f>
        <v/>
      </c>
      <c r="AS502">
        <f>MAX(0.1,MIN(0.3,0.3-0.09*(AR502-36.8)))</f>
        <v/>
      </c>
      <c r="AT502">
        <f>AT501+(2*AR502-1.962*AT501-1.31)/9</f>
        <v/>
      </c>
      <c r="AU502">
        <f>AU501+AG502+K502</f>
        <v/>
      </c>
      <c r="AV502">
        <f>AU502*2.67*$B$6/1.8/60</f>
        <v/>
      </c>
      <c r="AW502">
        <f>IF(AT502&gt;=$B$36,1,0)</f>
        <v/>
      </c>
      <c r="AX502">
        <f>IF(AV502&gt;=$B$21,1,0)</f>
        <v/>
      </c>
    </row>
    <row r="503">
      <c r="A503" t="n">
        <v>430</v>
      </c>
      <c r="B503">
        <f>MATCH(A503-1,$D$61:$D$68,1)</f>
        <v/>
      </c>
      <c r="C503">
        <f>INDEX($G$61:$G$68,B503)</f>
        <v/>
      </c>
      <c r="D503">
        <f>INDEX($L$61:$L$68,B503)</f>
        <v/>
      </c>
      <c r="E503">
        <f>INDEX($M$61:$M$68,B503)</f>
        <v/>
      </c>
      <c r="F503">
        <f>INDEX($N$61:$N$68,B503)</f>
        <v/>
      </c>
      <c r="G503">
        <f>INDEX($AA$61:$AA$68,B503)</f>
        <v/>
      </c>
      <c r="H503">
        <f>INDEX($X$61:$X$68,B503)</f>
        <v/>
      </c>
      <c r="I503">
        <f>INDEX($AF$61:$AF$68,B503)</f>
        <v/>
      </c>
      <c r="J503">
        <f>INDEX($AC$61:$AC$68,B503)</f>
        <v/>
      </c>
      <c r="K503">
        <f>INDEX($AD$61:$AD$68,B503)</f>
        <v/>
      </c>
      <c r="L503">
        <f>INDEX($AG$61:$AG$68,B503)</f>
        <v/>
      </c>
      <c r="M503">
        <f>INDEX($AH$61:$AH$68,B503)</f>
        <v/>
      </c>
      <c r="N503">
        <f>INDEX($AI$61:$AI$68,B503)</f>
        <v/>
      </c>
      <c r="O503">
        <f>O502*$B$26+L503*(1-$B$26)</f>
        <v/>
      </c>
      <c r="P503">
        <f>$B$7*(O503-O502)*(1-AS502)</f>
        <v/>
      </c>
      <c r="Q503">
        <f>M503+0.51274*AT502</f>
        <v/>
      </c>
      <c r="R503">
        <f>N503+0.616*AT502</f>
        <v/>
      </c>
      <c r="S503">
        <f>IF($B$13&gt;=0.6,Q503,IF($B$13&lt;=0.2,R503,R503+2.5*(Q503-R503)*($B$13-0.2)))</f>
        <v/>
      </c>
      <c r="T503">
        <f>IF(A503=1,S503,T502*$B$27+S503*(1-$B$27))</f>
        <v/>
      </c>
      <c r="U503">
        <f>0.6105*EXP(17.27*T503/(T503+237.3))</f>
        <v/>
      </c>
      <c r="V503">
        <f>($B$14*(I503*C503+IF(ABS((D503+0.1)-D503)&lt;0.000000001,4*$B$19*$B$20*(D503+273)^3,$B$19*$B$20*(((D503+0.1)+273)^4-(D503+273)^4)/((D503+0.1)-D503))*D503)+T503/H503)/($B$14*(I503+IF(ABS((D503+0.1)-D503)&lt;0.000000001,4*$B$19*$B$20*(D503+273)^3,$B$19*$B$20*(((D503+0.1)+273)^4-(D503+273)^4)/((D503+0.1)-D503)))+1/H503)</f>
        <v/>
      </c>
      <c r="W503">
        <f>($B$14*(I503*C503+IF(ABS(V503-D503)&lt;0.000000001,4*$B$19*$B$20*(D503+273)^3,$B$19*$B$20*((V503+273)^4-(D503+273)^4)/(V503-D503))*D503)+T503/H503)/($B$14*(I503+IF(ABS(V503-D503)&lt;0.000000001,4*$B$19*$B$20*(D503+273)^3,$B$19*$B$20*((V503+273)^4-(D503+273)^4)/(V503-D503)))+1/H503)</f>
        <v/>
      </c>
      <c r="X503">
        <f>($B$14*(I503*C503+IF(ABS(W503-D503)&lt;0.000000001,4*$B$19*$B$20*(D503+273)^3,$B$19*$B$20*((W503+273)^4-(D503+273)^4)/(W503-D503))*D503)+T503/H503)/($B$14*(I503+IF(ABS(W503-D503)&lt;0.000000001,4*$B$19*$B$20*(D503+273)^3,$B$19*$B$20*((W503+273)^4-(D503+273)^4)/(W503-D503)))+1/H503)</f>
        <v/>
      </c>
      <c r="Y503">
        <f>($B$14*(I503*C503+IF(ABS(X503-D503)&lt;0.000000001,4*$B$19*$B$20*(D503+273)^3,$B$19*$B$20*((X503+273)^4-(D503+273)^4)/(X503-D503))*D503)+T503/H503)/($B$14*(I503+IF(ABS(X503-D503)&lt;0.000000001,4*$B$19*$B$20*(D503+273)^3,$B$19*$B$20*((X503+273)^4-(D503+273)^4)/(X503-D503)))+1/H503)</f>
        <v/>
      </c>
      <c r="Z503">
        <f>IF(ABS(Y503-D503)&lt;0.000000001,4*$B$19*$B$20*(D503+273)^3,$B$19*$B$20*((Y503+273)^4-(D503+273)^4)/(Y503-D503))</f>
        <v/>
      </c>
      <c r="AA503">
        <f>$B$14*I503*(Y503-C503)</f>
        <v/>
      </c>
      <c r="AB503">
        <f>$B$14*Z503*(Y503-D503)</f>
        <v/>
      </c>
      <c r="AC503">
        <f>IF((U503-E503)/G503=0,0.001,(U503-E503)/G503)</f>
        <v/>
      </c>
      <c r="AD503">
        <f>F503-P503-J503-K503-AA503-AB503</f>
        <v/>
      </c>
      <c r="AE503">
        <f>AD503/AC503</f>
        <v/>
      </c>
      <c r="AF503">
        <f>IF(AD503&lt;=0,0,IF(AC503&lt;=0,$B$11,IF(AE503&gt;=1.7,$B$11,MIN(AD503/MAX(0.05,IF(AE503&gt;1,(2-AE503)^2/2,1-AE503^2/2)),$B$11))))</f>
        <v/>
      </c>
      <c r="AG503">
        <f>AG502*$B$28+AF503*(1-$B$28)</f>
        <v/>
      </c>
      <c r="AH503">
        <f>IF(AND(AD503&gt;0,AC503&lt;=0),0,AC503)</f>
        <v/>
      </c>
      <c r="AI503">
        <f>AH503/MAX(AG503,0.000001)</f>
        <v/>
      </c>
      <c r="AJ503">
        <f>MIN(IF(AI503&gt;=0.5,-AI503+SQRT(AI503^2+2),1),$B$12)</f>
        <v/>
      </c>
      <c r="AK503">
        <f>IF(AG503&lt;=0,0,AJ503*AH503)</f>
        <v/>
      </c>
      <c r="AL503">
        <f>IF(AD503&lt;=0,0,AD503)</f>
        <v/>
      </c>
      <c r="AM503">
        <f>AL503-AK503+P503</f>
        <v/>
      </c>
      <c r="AN503">
        <f>((AM503/$B$7+T502*AS502/2-T503*MAX(0.1,MIN(0.3,0.3-0.09*(AR502-36.8)))/2)+AR502*(1-AS502/2))/(1-MAX(0.1,MIN(0.3,0.3-0.09*(AR502-36.8)))/2)</f>
        <v/>
      </c>
      <c r="AO503">
        <f>((AM503/$B$7+T502*AS502/2-T503*MAX(0.1,MIN(0.3,0.3-0.09*(AN503-36.8)))/2)+AR502*(1-AS502/2))/(1-MAX(0.1,MIN(0.3,0.3-0.09*(AN503-36.8)))/2)</f>
        <v/>
      </c>
      <c r="AP503">
        <f>((AM503/$B$7+T502*AS502/2-T503*MAX(0.1,MIN(0.3,0.3-0.09*(AO503-36.8)))/2)+AR502*(1-AS502/2))/(1-MAX(0.1,MIN(0.3,0.3-0.09*(AO503-36.8)))/2)</f>
        <v/>
      </c>
      <c r="AQ503">
        <f>((AM503/$B$7+T502*AS502/2-T503*MAX(0.1,MIN(0.3,0.3-0.09*(AP503-36.8)))/2)+AR502*(1-AS502/2))/(1-MAX(0.1,MIN(0.3,0.3-0.09*(AP503-36.8)))/2)</f>
        <v/>
      </c>
      <c r="AR503">
        <f>((AM503/$B$7+T502*AS502/2-T503*MAX(0.1,MIN(0.3,0.3-0.09*(AQ503-36.8)))/2)+AR502*(1-AS502/2))/(1-MAX(0.1,MIN(0.3,0.3-0.09*(AQ503-36.8)))/2)</f>
        <v/>
      </c>
      <c r="AS503">
        <f>MAX(0.1,MIN(0.3,0.3-0.09*(AR503-36.8)))</f>
        <v/>
      </c>
      <c r="AT503">
        <f>AT502+(2*AR503-1.962*AT502-1.31)/9</f>
        <v/>
      </c>
      <c r="AU503">
        <f>AU502+AG503+K503</f>
        <v/>
      </c>
      <c r="AV503">
        <f>AU503*2.67*$B$6/1.8/60</f>
        <v/>
      </c>
      <c r="AW503">
        <f>IF(AT503&gt;=$B$36,1,0)</f>
        <v/>
      </c>
      <c r="AX503">
        <f>IF(AV503&gt;=$B$21,1,0)</f>
        <v/>
      </c>
    </row>
    <row r="504">
      <c r="A504" t="n">
        <v>431</v>
      </c>
      <c r="B504">
        <f>MATCH(A504-1,$D$61:$D$68,1)</f>
        <v/>
      </c>
      <c r="C504">
        <f>INDEX($G$61:$G$68,B504)</f>
        <v/>
      </c>
      <c r="D504">
        <f>INDEX($L$61:$L$68,B504)</f>
        <v/>
      </c>
      <c r="E504">
        <f>INDEX($M$61:$M$68,B504)</f>
        <v/>
      </c>
      <c r="F504">
        <f>INDEX($N$61:$N$68,B504)</f>
        <v/>
      </c>
      <c r="G504">
        <f>INDEX($AA$61:$AA$68,B504)</f>
        <v/>
      </c>
      <c r="H504">
        <f>INDEX($X$61:$X$68,B504)</f>
        <v/>
      </c>
      <c r="I504">
        <f>INDEX($AF$61:$AF$68,B504)</f>
        <v/>
      </c>
      <c r="J504">
        <f>INDEX($AC$61:$AC$68,B504)</f>
        <v/>
      </c>
      <c r="K504">
        <f>INDEX($AD$61:$AD$68,B504)</f>
        <v/>
      </c>
      <c r="L504">
        <f>INDEX($AG$61:$AG$68,B504)</f>
        <v/>
      </c>
      <c r="M504">
        <f>INDEX($AH$61:$AH$68,B504)</f>
        <v/>
      </c>
      <c r="N504">
        <f>INDEX($AI$61:$AI$68,B504)</f>
        <v/>
      </c>
      <c r="O504">
        <f>O503*$B$26+L504*(1-$B$26)</f>
        <v/>
      </c>
      <c r="P504">
        <f>$B$7*(O504-O503)*(1-AS503)</f>
        <v/>
      </c>
      <c r="Q504">
        <f>M504+0.51274*AT503</f>
        <v/>
      </c>
      <c r="R504">
        <f>N504+0.616*AT503</f>
        <v/>
      </c>
      <c r="S504">
        <f>IF($B$13&gt;=0.6,Q504,IF($B$13&lt;=0.2,R504,R504+2.5*(Q504-R504)*($B$13-0.2)))</f>
        <v/>
      </c>
      <c r="T504">
        <f>IF(A504=1,S504,T503*$B$27+S504*(1-$B$27))</f>
        <v/>
      </c>
      <c r="U504">
        <f>0.6105*EXP(17.27*T504/(T504+237.3))</f>
        <v/>
      </c>
      <c r="V504">
        <f>($B$14*(I504*C504+IF(ABS((D504+0.1)-D504)&lt;0.000000001,4*$B$19*$B$20*(D504+273)^3,$B$19*$B$20*(((D504+0.1)+273)^4-(D504+273)^4)/((D504+0.1)-D504))*D504)+T504/H504)/($B$14*(I504+IF(ABS((D504+0.1)-D504)&lt;0.000000001,4*$B$19*$B$20*(D504+273)^3,$B$19*$B$20*(((D504+0.1)+273)^4-(D504+273)^4)/((D504+0.1)-D504)))+1/H504)</f>
        <v/>
      </c>
      <c r="W504">
        <f>($B$14*(I504*C504+IF(ABS(V504-D504)&lt;0.000000001,4*$B$19*$B$20*(D504+273)^3,$B$19*$B$20*((V504+273)^4-(D504+273)^4)/(V504-D504))*D504)+T504/H504)/($B$14*(I504+IF(ABS(V504-D504)&lt;0.000000001,4*$B$19*$B$20*(D504+273)^3,$B$19*$B$20*((V504+273)^4-(D504+273)^4)/(V504-D504)))+1/H504)</f>
        <v/>
      </c>
      <c r="X504">
        <f>($B$14*(I504*C504+IF(ABS(W504-D504)&lt;0.000000001,4*$B$19*$B$20*(D504+273)^3,$B$19*$B$20*((W504+273)^4-(D504+273)^4)/(W504-D504))*D504)+T504/H504)/($B$14*(I504+IF(ABS(W504-D504)&lt;0.000000001,4*$B$19*$B$20*(D504+273)^3,$B$19*$B$20*((W504+273)^4-(D504+273)^4)/(W504-D504)))+1/H504)</f>
        <v/>
      </c>
      <c r="Y504">
        <f>($B$14*(I504*C504+IF(ABS(X504-D504)&lt;0.000000001,4*$B$19*$B$20*(D504+273)^3,$B$19*$B$20*((X504+273)^4-(D504+273)^4)/(X504-D504))*D504)+T504/H504)/($B$14*(I504+IF(ABS(X504-D504)&lt;0.000000001,4*$B$19*$B$20*(D504+273)^3,$B$19*$B$20*((X504+273)^4-(D504+273)^4)/(X504-D504)))+1/H504)</f>
        <v/>
      </c>
      <c r="Z504">
        <f>IF(ABS(Y504-D504)&lt;0.000000001,4*$B$19*$B$20*(D504+273)^3,$B$19*$B$20*((Y504+273)^4-(D504+273)^4)/(Y504-D504))</f>
        <v/>
      </c>
      <c r="AA504">
        <f>$B$14*I504*(Y504-C504)</f>
        <v/>
      </c>
      <c r="AB504">
        <f>$B$14*Z504*(Y504-D504)</f>
        <v/>
      </c>
      <c r="AC504">
        <f>IF((U504-E504)/G504=0,0.001,(U504-E504)/G504)</f>
        <v/>
      </c>
      <c r="AD504">
        <f>F504-P504-J504-K504-AA504-AB504</f>
        <v/>
      </c>
      <c r="AE504">
        <f>AD504/AC504</f>
        <v/>
      </c>
      <c r="AF504">
        <f>IF(AD504&lt;=0,0,IF(AC504&lt;=0,$B$11,IF(AE504&gt;=1.7,$B$11,MIN(AD504/MAX(0.05,IF(AE504&gt;1,(2-AE504)^2/2,1-AE504^2/2)),$B$11))))</f>
        <v/>
      </c>
      <c r="AG504">
        <f>AG503*$B$28+AF504*(1-$B$28)</f>
        <v/>
      </c>
      <c r="AH504">
        <f>IF(AND(AD504&gt;0,AC504&lt;=0),0,AC504)</f>
        <v/>
      </c>
      <c r="AI504">
        <f>AH504/MAX(AG504,0.000001)</f>
        <v/>
      </c>
      <c r="AJ504">
        <f>MIN(IF(AI504&gt;=0.5,-AI504+SQRT(AI504^2+2),1),$B$12)</f>
        <v/>
      </c>
      <c r="AK504">
        <f>IF(AG504&lt;=0,0,AJ504*AH504)</f>
        <v/>
      </c>
      <c r="AL504">
        <f>IF(AD504&lt;=0,0,AD504)</f>
        <v/>
      </c>
      <c r="AM504">
        <f>AL504-AK504+P504</f>
        <v/>
      </c>
      <c r="AN504">
        <f>((AM504/$B$7+T503*AS503/2-T504*MAX(0.1,MIN(0.3,0.3-0.09*(AR503-36.8)))/2)+AR503*(1-AS503/2))/(1-MAX(0.1,MIN(0.3,0.3-0.09*(AR503-36.8)))/2)</f>
        <v/>
      </c>
      <c r="AO504">
        <f>((AM504/$B$7+T503*AS503/2-T504*MAX(0.1,MIN(0.3,0.3-0.09*(AN504-36.8)))/2)+AR503*(1-AS503/2))/(1-MAX(0.1,MIN(0.3,0.3-0.09*(AN504-36.8)))/2)</f>
        <v/>
      </c>
      <c r="AP504">
        <f>((AM504/$B$7+T503*AS503/2-T504*MAX(0.1,MIN(0.3,0.3-0.09*(AO504-36.8)))/2)+AR503*(1-AS503/2))/(1-MAX(0.1,MIN(0.3,0.3-0.09*(AO504-36.8)))/2)</f>
        <v/>
      </c>
      <c r="AQ504">
        <f>((AM504/$B$7+T503*AS503/2-T504*MAX(0.1,MIN(0.3,0.3-0.09*(AP504-36.8)))/2)+AR503*(1-AS503/2))/(1-MAX(0.1,MIN(0.3,0.3-0.09*(AP504-36.8)))/2)</f>
        <v/>
      </c>
      <c r="AR504">
        <f>((AM504/$B$7+T503*AS503/2-T504*MAX(0.1,MIN(0.3,0.3-0.09*(AQ504-36.8)))/2)+AR503*(1-AS503/2))/(1-MAX(0.1,MIN(0.3,0.3-0.09*(AQ504-36.8)))/2)</f>
        <v/>
      </c>
      <c r="AS504">
        <f>MAX(0.1,MIN(0.3,0.3-0.09*(AR504-36.8)))</f>
        <v/>
      </c>
      <c r="AT504">
        <f>AT503+(2*AR504-1.962*AT503-1.31)/9</f>
        <v/>
      </c>
      <c r="AU504">
        <f>AU503+AG504+K504</f>
        <v/>
      </c>
      <c r="AV504">
        <f>AU504*2.67*$B$6/1.8/60</f>
        <v/>
      </c>
      <c r="AW504">
        <f>IF(AT504&gt;=$B$36,1,0)</f>
        <v/>
      </c>
      <c r="AX504">
        <f>IF(AV504&gt;=$B$21,1,0)</f>
        <v/>
      </c>
    </row>
    <row r="505">
      <c r="A505" t="n">
        <v>432</v>
      </c>
      <c r="B505">
        <f>MATCH(A505-1,$D$61:$D$68,1)</f>
        <v/>
      </c>
      <c r="C505">
        <f>INDEX($G$61:$G$68,B505)</f>
        <v/>
      </c>
      <c r="D505">
        <f>INDEX($L$61:$L$68,B505)</f>
        <v/>
      </c>
      <c r="E505">
        <f>INDEX($M$61:$M$68,B505)</f>
        <v/>
      </c>
      <c r="F505">
        <f>INDEX($N$61:$N$68,B505)</f>
        <v/>
      </c>
      <c r="G505">
        <f>INDEX($AA$61:$AA$68,B505)</f>
        <v/>
      </c>
      <c r="H505">
        <f>INDEX($X$61:$X$68,B505)</f>
        <v/>
      </c>
      <c r="I505">
        <f>INDEX($AF$61:$AF$68,B505)</f>
        <v/>
      </c>
      <c r="J505">
        <f>INDEX($AC$61:$AC$68,B505)</f>
        <v/>
      </c>
      <c r="K505">
        <f>INDEX($AD$61:$AD$68,B505)</f>
        <v/>
      </c>
      <c r="L505">
        <f>INDEX($AG$61:$AG$68,B505)</f>
        <v/>
      </c>
      <c r="M505">
        <f>INDEX($AH$61:$AH$68,B505)</f>
        <v/>
      </c>
      <c r="N505">
        <f>INDEX($AI$61:$AI$68,B505)</f>
        <v/>
      </c>
      <c r="O505">
        <f>O504*$B$26+L505*(1-$B$26)</f>
        <v/>
      </c>
      <c r="P505">
        <f>$B$7*(O505-O504)*(1-AS504)</f>
        <v/>
      </c>
      <c r="Q505">
        <f>M505+0.51274*AT504</f>
        <v/>
      </c>
      <c r="R505">
        <f>N505+0.616*AT504</f>
        <v/>
      </c>
      <c r="S505">
        <f>IF($B$13&gt;=0.6,Q505,IF($B$13&lt;=0.2,R505,R505+2.5*(Q505-R505)*($B$13-0.2)))</f>
        <v/>
      </c>
      <c r="T505">
        <f>IF(A505=1,S505,T504*$B$27+S505*(1-$B$27))</f>
        <v/>
      </c>
      <c r="U505">
        <f>0.6105*EXP(17.27*T505/(T505+237.3))</f>
        <v/>
      </c>
      <c r="V505">
        <f>($B$14*(I505*C505+IF(ABS((D505+0.1)-D505)&lt;0.000000001,4*$B$19*$B$20*(D505+273)^3,$B$19*$B$20*(((D505+0.1)+273)^4-(D505+273)^4)/((D505+0.1)-D505))*D505)+T505/H505)/($B$14*(I505+IF(ABS((D505+0.1)-D505)&lt;0.000000001,4*$B$19*$B$20*(D505+273)^3,$B$19*$B$20*(((D505+0.1)+273)^4-(D505+273)^4)/((D505+0.1)-D505)))+1/H505)</f>
        <v/>
      </c>
      <c r="W505">
        <f>($B$14*(I505*C505+IF(ABS(V505-D505)&lt;0.000000001,4*$B$19*$B$20*(D505+273)^3,$B$19*$B$20*((V505+273)^4-(D505+273)^4)/(V505-D505))*D505)+T505/H505)/($B$14*(I505+IF(ABS(V505-D505)&lt;0.000000001,4*$B$19*$B$20*(D505+273)^3,$B$19*$B$20*((V505+273)^4-(D505+273)^4)/(V505-D505)))+1/H505)</f>
        <v/>
      </c>
      <c r="X505">
        <f>($B$14*(I505*C505+IF(ABS(W505-D505)&lt;0.000000001,4*$B$19*$B$20*(D505+273)^3,$B$19*$B$20*((W505+273)^4-(D505+273)^4)/(W505-D505))*D505)+T505/H505)/($B$14*(I505+IF(ABS(W505-D505)&lt;0.000000001,4*$B$19*$B$20*(D505+273)^3,$B$19*$B$20*((W505+273)^4-(D505+273)^4)/(W505-D505)))+1/H505)</f>
        <v/>
      </c>
      <c r="Y505">
        <f>($B$14*(I505*C505+IF(ABS(X505-D505)&lt;0.000000001,4*$B$19*$B$20*(D505+273)^3,$B$19*$B$20*((X505+273)^4-(D505+273)^4)/(X505-D505))*D505)+T505/H505)/($B$14*(I505+IF(ABS(X505-D505)&lt;0.000000001,4*$B$19*$B$20*(D505+273)^3,$B$19*$B$20*((X505+273)^4-(D505+273)^4)/(X505-D505)))+1/H505)</f>
        <v/>
      </c>
      <c r="Z505">
        <f>IF(ABS(Y505-D505)&lt;0.000000001,4*$B$19*$B$20*(D505+273)^3,$B$19*$B$20*((Y505+273)^4-(D505+273)^4)/(Y505-D505))</f>
        <v/>
      </c>
      <c r="AA505">
        <f>$B$14*I505*(Y505-C505)</f>
        <v/>
      </c>
      <c r="AB505">
        <f>$B$14*Z505*(Y505-D505)</f>
        <v/>
      </c>
      <c r="AC505">
        <f>IF((U505-E505)/G505=0,0.001,(U505-E505)/G505)</f>
        <v/>
      </c>
      <c r="AD505">
        <f>F505-P505-J505-K505-AA505-AB505</f>
        <v/>
      </c>
      <c r="AE505">
        <f>AD505/AC505</f>
        <v/>
      </c>
      <c r="AF505">
        <f>IF(AD505&lt;=0,0,IF(AC505&lt;=0,$B$11,IF(AE505&gt;=1.7,$B$11,MIN(AD505/MAX(0.05,IF(AE505&gt;1,(2-AE505)^2/2,1-AE505^2/2)),$B$11))))</f>
        <v/>
      </c>
      <c r="AG505">
        <f>AG504*$B$28+AF505*(1-$B$28)</f>
        <v/>
      </c>
      <c r="AH505">
        <f>IF(AND(AD505&gt;0,AC505&lt;=0),0,AC505)</f>
        <v/>
      </c>
      <c r="AI505">
        <f>AH505/MAX(AG505,0.000001)</f>
        <v/>
      </c>
      <c r="AJ505">
        <f>MIN(IF(AI505&gt;=0.5,-AI505+SQRT(AI505^2+2),1),$B$12)</f>
        <v/>
      </c>
      <c r="AK505">
        <f>IF(AG505&lt;=0,0,AJ505*AH505)</f>
        <v/>
      </c>
      <c r="AL505">
        <f>IF(AD505&lt;=0,0,AD505)</f>
        <v/>
      </c>
      <c r="AM505">
        <f>AL505-AK505+P505</f>
        <v/>
      </c>
      <c r="AN505">
        <f>((AM505/$B$7+T504*AS504/2-T505*MAX(0.1,MIN(0.3,0.3-0.09*(AR504-36.8)))/2)+AR504*(1-AS504/2))/(1-MAX(0.1,MIN(0.3,0.3-0.09*(AR504-36.8)))/2)</f>
        <v/>
      </c>
      <c r="AO505">
        <f>((AM505/$B$7+T504*AS504/2-T505*MAX(0.1,MIN(0.3,0.3-0.09*(AN505-36.8)))/2)+AR504*(1-AS504/2))/(1-MAX(0.1,MIN(0.3,0.3-0.09*(AN505-36.8)))/2)</f>
        <v/>
      </c>
      <c r="AP505">
        <f>((AM505/$B$7+T504*AS504/2-T505*MAX(0.1,MIN(0.3,0.3-0.09*(AO505-36.8)))/2)+AR504*(1-AS504/2))/(1-MAX(0.1,MIN(0.3,0.3-0.09*(AO505-36.8)))/2)</f>
        <v/>
      </c>
      <c r="AQ505">
        <f>((AM505/$B$7+T504*AS504/2-T505*MAX(0.1,MIN(0.3,0.3-0.09*(AP505-36.8)))/2)+AR504*(1-AS504/2))/(1-MAX(0.1,MIN(0.3,0.3-0.09*(AP505-36.8)))/2)</f>
        <v/>
      </c>
      <c r="AR505">
        <f>((AM505/$B$7+T504*AS504/2-T505*MAX(0.1,MIN(0.3,0.3-0.09*(AQ505-36.8)))/2)+AR504*(1-AS504/2))/(1-MAX(0.1,MIN(0.3,0.3-0.09*(AQ505-36.8)))/2)</f>
        <v/>
      </c>
      <c r="AS505">
        <f>MAX(0.1,MIN(0.3,0.3-0.09*(AR505-36.8)))</f>
        <v/>
      </c>
      <c r="AT505">
        <f>AT504+(2*AR505-1.962*AT504-1.31)/9</f>
        <v/>
      </c>
      <c r="AU505">
        <f>AU504+AG505+K505</f>
        <v/>
      </c>
      <c r="AV505">
        <f>AU505*2.67*$B$6/1.8/60</f>
        <v/>
      </c>
      <c r="AW505">
        <f>IF(AT505&gt;=$B$36,1,0)</f>
        <v/>
      </c>
      <c r="AX505">
        <f>IF(AV505&gt;=$B$21,1,0)</f>
        <v/>
      </c>
    </row>
    <row r="506">
      <c r="A506" t="n">
        <v>433</v>
      </c>
      <c r="B506">
        <f>MATCH(A506-1,$D$61:$D$68,1)</f>
        <v/>
      </c>
      <c r="C506">
        <f>INDEX($G$61:$G$68,B506)</f>
        <v/>
      </c>
      <c r="D506">
        <f>INDEX($L$61:$L$68,B506)</f>
        <v/>
      </c>
      <c r="E506">
        <f>INDEX($M$61:$M$68,B506)</f>
        <v/>
      </c>
      <c r="F506">
        <f>INDEX($N$61:$N$68,B506)</f>
        <v/>
      </c>
      <c r="G506">
        <f>INDEX($AA$61:$AA$68,B506)</f>
        <v/>
      </c>
      <c r="H506">
        <f>INDEX($X$61:$X$68,B506)</f>
        <v/>
      </c>
      <c r="I506">
        <f>INDEX($AF$61:$AF$68,B506)</f>
        <v/>
      </c>
      <c r="J506">
        <f>INDEX($AC$61:$AC$68,B506)</f>
        <v/>
      </c>
      <c r="K506">
        <f>INDEX($AD$61:$AD$68,B506)</f>
        <v/>
      </c>
      <c r="L506">
        <f>INDEX($AG$61:$AG$68,B506)</f>
        <v/>
      </c>
      <c r="M506">
        <f>INDEX($AH$61:$AH$68,B506)</f>
        <v/>
      </c>
      <c r="N506">
        <f>INDEX($AI$61:$AI$68,B506)</f>
        <v/>
      </c>
      <c r="O506">
        <f>O505*$B$26+L506*(1-$B$26)</f>
        <v/>
      </c>
      <c r="P506">
        <f>$B$7*(O506-O505)*(1-AS505)</f>
        <v/>
      </c>
      <c r="Q506">
        <f>M506+0.51274*AT505</f>
        <v/>
      </c>
      <c r="R506">
        <f>N506+0.616*AT505</f>
        <v/>
      </c>
      <c r="S506">
        <f>IF($B$13&gt;=0.6,Q506,IF($B$13&lt;=0.2,R506,R506+2.5*(Q506-R506)*($B$13-0.2)))</f>
        <v/>
      </c>
      <c r="T506">
        <f>IF(A506=1,S506,T505*$B$27+S506*(1-$B$27))</f>
        <v/>
      </c>
      <c r="U506">
        <f>0.6105*EXP(17.27*T506/(T506+237.3))</f>
        <v/>
      </c>
      <c r="V506">
        <f>($B$14*(I506*C506+IF(ABS((D506+0.1)-D506)&lt;0.000000001,4*$B$19*$B$20*(D506+273)^3,$B$19*$B$20*(((D506+0.1)+273)^4-(D506+273)^4)/((D506+0.1)-D506))*D506)+T506/H506)/($B$14*(I506+IF(ABS((D506+0.1)-D506)&lt;0.000000001,4*$B$19*$B$20*(D506+273)^3,$B$19*$B$20*(((D506+0.1)+273)^4-(D506+273)^4)/((D506+0.1)-D506)))+1/H506)</f>
        <v/>
      </c>
      <c r="W506">
        <f>($B$14*(I506*C506+IF(ABS(V506-D506)&lt;0.000000001,4*$B$19*$B$20*(D506+273)^3,$B$19*$B$20*((V506+273)^4-(D506+273)^4)/(V506-D506))*D506)+T506/H506)/($B$14*(I506+IF(ABS(V506-D506)&lt;0.000000001,4*$B$19*$B$20*(D506+273)^3,$B$19*$B$20*((V506+273)^4-(D506+273)^4)/(V506-D506)))+1/H506)</f>
        <v/>
      </c>
      <c r="X506">
        <f>($B$14*(I506*C506+IF(ABS(W506-D506)&lt;0.000000001,4*$B$19*$B$20*(D506+273)^3,$B$19*$B$20*((W506+273)^4-(D506+273)^4)/(W506-D506))*D506)+T506/H506)/($B$14*(I506+IF(ABS(W506-D506)&lt;0.000000001,4*$B$19*$B$20*(D506+273)^3,$B$19*$B$20*((W506+273)^4-(D506+273)^4)/(W506-D506)))+1/H506)</f>
        <v/>
      </c>
      <c r="Y506">
        <f>($B$14*(I506*C506+IF(ABS(X506-D506)&lt;0.000000001,4*$B$19*$B$20*(D506+273)^3,$B$19*$B$20*((X506+273)^4-(D506+273)^4)/(X506-D506))*D506)+T506/H506)/($B$14*(I506+IF(ABS(X506-D506)&lt;0.000000001,4*$B$19*$B$20*(D506+273)^3,$B$19*$B$20*((X506+273)^4-(D506+273)^4)/(X506-D506)))+1/H506)</f>
        <v/>
      </c>
      <c r="Z506">
        <f>IF(ABS(Y506-D506)&lt;0.000000001,4*$B$19*$B$20*(D506+273)^3,$B$19*$B$20*((Y506+273)^4-(D506+273)^4)/(Y506-D506))</f>
        <v/>
      </c>
      <c r="AA506">
        <f>$B$14*I506*(Y506-C506)</f>
        <v/>
      </c>
      <c r="AB506">
        <f>$B$14*Z506*(Y506-D506)</f>
        <v/>
      </c>
      <c r="AC506">
        <f>IF((U506-E506)/G506=0,0.001,(U506-E506)/G506)</f>
        <v/>
      </c>
      <c r="AD506">
        <f>F506-P506-J506-K506-AA506-AB506</f>
        <v/>
      </c>
      <c r="AE506">
        <f>AD506/AC506</f>
        <v/>
      </c>
      <c r="AF506">
        <f>IF(AD506&lt;=0,0,IF(AC506&lt;=0,$B$11,IF(AE506&gt;=1.7,$B$11,MIN(AD506/MAX(0.05,IF(AE506&gt;1,(2-AE506)^2/2,1-AE506^2/2)),$B$11))))</f>
        <v/>
      </c>
      <c r="AG506">
        <f>AG505*$B$28+AF506*(1-$B$28)</f>
        <v/>
      </c>
      <c r="AH506">
        <f>IF(AND(AD506&gt;0,AC506&lt;=0),0,AC506)</f>
        <v/>
      </c>
      <c r="AI506">
        <f>AH506/MAX(AG506,0.000001)</f>
        <v/>
      </c>
      <c r="AJ506">
        <f>MIN(IF(AI506&gt;=0.5,-AI506+SQRT(AI506^2+2),1),$B$12)</f>
        <v/>
      </c>
      <c r="AK506">
        <f>IF(AG506&lt;=0,0,AJ506*AH506)</f>
        <v/>
      </c>
      <c r="AL506">
        <f>IF(AD506&lt;=0,0,AD506)</f>
        <v/>
      </c>
      <c r="AM506">
        <f>AL506-AK506+P506</f>
        <v/>
      </c>
      <c r="AN506">
        <f>((AM506/$B$7+T505*AS505/2-T506*MAX(0.1,MIN(0.3,0.3-0.09*(AR505-36.8)))/2)+AR505*(1-AS505/2))/(1-MAX(0.1,MIN(0.3,0.3-0.09*(AR505-36.8)))/2)</f>
        <v/>
      </c>
      <c r="AO506">
        <f>((AM506/$B$7+T505*AS505/2-T506*MAX(0.1,MIN(0.3,0.3-0.09*(AN506-36.8)))/2)+AR505*(1-AS505/2))/(1-MAX(0.1,MIN(0.3,0.3-0.09*(AN506-36.8)))/2)</f>
        <v/>
      </c>
      <c r="AP506">
        <f>((AM506/$B$7+T505*AS505/2-T506*MAX(0.1,MIN(0.3,0.3-0.09*(AO506-36.8)))/2)+AR505*(1-AS505/2))/(1-MAX(0.1,MIN(0.3,0.3-0.09*(AO506-36.8)))/2)</f>
        <v/>
      </c>
      <c r="AQ506">
        <f>((AM506/$B$7+T505*AS505/2-T506*MAX(0.1,MIN(0.3,0.3-0.09*(AP506-36.8)))/2)+AR505*(1-AS505/2))/(1-MAX(0.1,MIN(0.3,0.3-0.09*(AP506-36.8)))/2)</f>
        <v/>
      </c>
      <c r="AR506">
        <f>((AM506/$B$7+T505*AS505/2-T506*MAX(0.1,MIN(0.3,0.3-0.09*(AQ506-36.8)))/2)+AR505*(1-AS505/2))/(1-MAX(0.1,MIN(0.3,0.3-0.09*(AQ506-36.8)))/2)</f>
        <v/>
      </c>
      <c r="AS506">
        <f>MAX(0.1,MIN(0.3,0.3-0.09*(AR506-36.8)))</f>
        <v/>
      </c>
      <c r="AT506">
        <f>AT505+(2*AR506-1.962*AT505-1.31)/9</f>
        <v/>
      </c>
      <c r="AU506">
        <f>AU505+AG506+K506</f>
        <v/>
      </c>
      <c r="AV506">
        <f>AU506*2.67*$B$6/1.8/60</f>
        <v/>
      </c>
      <c r="AW506">
        <f>IF(AT506&gt;=$B$36,1,0)</f>
        <v/>
      </c>
      <c r="AX506">
        <f>IF(AV506&gt;=$B$21,1,0)</f>
        <v/>
      </c>
    </row>
    <row r="507">
      <c r="A507" t="n">
        <v>434</v>
      </c>
      <c r="B507">
        <f>MATCH(A507-1,$D$61:$D$68,1)</f>
        <v/>
      </c>
      <c r="C507">
        <f>INDEX($G$61:$G$68,B507)</f>
        <v/>
      </c>
      <c r="D507">
        <f>INDEX($L$61:$L$68,B507)</f>
        <v/>
      </c>
      <c r="E507">
        <f>INDEX($M$61:$M$68,B507)</f>
        <v/>
      </c>
      <c r="F507">
        <f>INDEX($N$61:$N$68,B507)</f>
        <v/>
      </c>
      <c r="G507">
        <f>INDEX($AA$61:$AA$68,B507)</f>
        <v/>
      </c>
      <c r="H507">
        <f>INDEX($X$61:$X$68,B507)</f>
        <v/>
      </c>
      <c r="I507">
        <f>INDEX($AF$61:$AF$68,B507)</f>
        <v/>
      </c>
      <c r="J507">
        <f>INDEX($AC$61:$AC$68,B507)</f>
        <v/>
      </c>
      <c r="K507">
        <f>INDEX($AD$61:$AD$68,B507)</f>
        <v/>
      </c>
      <c r="L507">
        <f>INDEX($AG$61:$AG$68,B507)</f>
        <v/>
      </c>
      <c r="M507">
        <f>INDEX($AH$61:$AH$68,B507)</f>
        <v/>
      </c>
      <c r="N507">
        <f>INDEX($AI$61:$AI$68,B507)</f>
        <v/>
      </c>
      <c r="O507">
        <f>O506*$B$26+L507*(1-$B$26)</f>
        <v/>
      </c>
      <c r="P507">
        <f>$B$7*(O507-O506)*(1-AS506)</f>
        <v/>
      </c>
      <c r="Q507">
        <f>M507+0.51274*AT506</f>
        <v/>
      </c>
      <c r="R507">
        <f>N507+0.616*AT506</f>
        <v/>
      </c>
      <c r="S507">
        <f>IF($B$13&gt;=0.6,Q507,IF($B$13&lt;=0.2,R507,R507+2.5*(Q507-R507)*($B$13-0.2)))</f>
        <v/>
      </c>
      <c r="T507">
        <f>IF(A507=1,S507,T506*$B$27+S507*(1-$B$27))</f>
        <v/>
      </c>
      <c r="U507">
        <f>0.6105*EXP(17.27*T507/(T507+237.3))</f>
        <v/>
      </c>
      <c r="V507">
        <f>($B$14*(I507*C507+IF(ABS((D507+0.1)-D507)&lt;0.000000001,4*$B$19*$B$20*(D507+273)^3,$B$19*$B$20*(((D507+0.1)+273)^4-(D507+273)^4)/((D507+0.1)-D507))*D507)+T507/H507)/($B$14*(I507+IF(ABS((D507+0.1)-D507)&lt;0.000000001,4*$B$19*$B$20*(D507+273)^3,$B$19*$B$20*(((D507+0.1)+273)^4-(D507+273)^4)/((D507+0.1)-D507)))+1/H507)</f>
        <v/>
      </c>
      <c r="W507">
        <f>($B$14*(I507*C507+IF(ABS(V507-D507)&lt;0.000000001,4*$B$19*$B$20*(D507+273)^3,$B$19*$B$20*((V507+273)^4-(D507+273)^4)/(V507-D507))*D507)+T507/H507)/($B$14*(I507+IF(ABS(V507-D507)&lt;0.000000001,4*$B$19*$B$20*(D507+273)^3,$B$19*$B$20*((V507+273)^4-(D507+273)^4)/(V507-D507)))+1/H507)</f>
        <v/>
      </c>
      <c r="X507">
        <f>($B$14*(I507*C507+IF(ABS(W507-D507)&lt;0.000000001,4*$B$19*$B$20*(D507+273)^3,$B$19*$B$20*((W507+273)^4-(D507+273)^4)/(W507-D507))*D507)+T507/H507)/($B$14*(I507+IF(ABS(W507-D507)&lt;0.000000001,4*$B$19*$B$20*(D507+273)^3,$B$19*$B$20*((W507+273)^4-(D507+273)^4)/(W507-D507)))+1/H507)</f>
        <v/>
      </c>
      <c r="Y507">
        <f>($B$14*(I507*C507+IF(ABS(X507-D507)&lt;0.000000001,4*$B$19*$B$20*(D507+273)^3,$B$19*$B$20*((X507+273)^4-(D507+273)^4)/(X507-D507))*D507)+T507/H507)/($B$14*(I507+IF(ABS(X507-D507)&lt;0.000000001,4*$B$19*$B$20*(D507+273)^3,$B$19*$B$20*((X507+273)^4-(D507+273)^4)/(X507-D507)))+1/H507)</f>
        <v/>
      </c>
      <c r="Z507">
        <f>IF(ABS(Y507-D507)&lt;0.000000001,4*$B$19*$B$20*(D507+273)^3,$B$19*$B$20*((Y507+273)^4-(D507+273)^4)/(Y507-D507))</f>
        <v/>
      </c>
      <c r="AA507">
        <f>$B$14*I507*(Y507-C507)</f>
        <v/>
      </c>
      <c r="AB507">
        <f>$B$14*Z507*(Y507-D507)</f>
        <v/>
      </c>
      <c r="AC507">
        <f>IF((U507-E507)/G507=0,0.001,(U507-E507)/G507)</f>
        <v/>
      </c>
      <c r="AD507">
        <f>F507-P507-J507-K507-AA507-AB507</f>
        <v/>
      </c>
      <c r="AE507">
        <f>AD507/AC507</f>
        <v/>
      </c>
      <c r="AF507">
        <f>IF(AD507&lt;=0,0,IF(AC507&lt;=0,$B$11,IF(AE507&gt;=1.7,$B$11,MIN(AD507/MAX(0.05,IF(AE507&gt;1,(2-AE507)^2/2,1-AE507^2/2)),$B$11))))</f>
        <v/>
      </c>
      <c r="AG507">
        <f>AG506*$B$28+AF507*(1-$B$28)</f>
        <v/>
      </c>
      <c r="AH507">
        <f>IF(AND(AD507&gt;0,AC507&lt;=0),0,AC507)</f>
        <v/>
      </c>
      <c r="AI507">
        <f>AH507/MAX(AG507,0.000001)</f>
        <v/>
      </c>
      <c r="AJ507">
        <f>MIN(IF(AI507&gt;=0.5,-AI507+SQRT(AI507^2+2),1),$B$12)</f>
        <v/>
      </c>
      <c r="AK507">
        <f>IF(AG507&lt;=0,0,AJ507*AH507)</f>
        <v/>
      </c>
      <c r="AL507">
        <f>IF(AD507&lt;=0,0,AD507)</f>
        <v/>
      </c>
      <c r="AM507">
        <f>AL507-AK507+P507</f>
        <v/>
      </c>
      <c r="AN507">
        <f>((AM507/$B$7+T506*AS506/2-T507*MAX(0.1,MIN(0.3,0.3-0.09*(AR506-36.8)))/2)+AR506*(1-AS506/2))/(1-MAX(0.1,MIN(0.3,0.3-0.09*(AR506-36.8)))/2)</f>
        <v/>
      </c>
      <c r="AO507">
        <f>((AM507/$B$7+T506*AS506/2-T507*MAX(0.1,MIN(0.3,0.3-0.09*(AN507-36.8)))/2)+AR506*(1-AS506/2))/(1-MAX(0.1,MIN(0.3,0.3-0.09*(AN507-36.8)))/2)</f>
        <v/>
      </c>
      <c r="AP507">
        <f>((AM507/$B$7+T506*AS506/2-T507*MAX(0.1,MIN(0.3,0.3-0.09*(AO507-36.8)))/2)+AR506*(1-AS506/2))/(1-MAX(0.1,MIN(0.3,0.3-0.09*(AO507-36.8)))/2)</f>
        <v/>
      </c>
      <c r="AQ507">
        <f>((AM507/$B$7+T506*AS506/2-T507*MAX(0.1,MIN(0.3,0.3-0.09*(AP507-36.8)))/2)+AR506*(1-AS506/2))/(1-MAX(0.1,MIN(0.3,0.3-0.09*(AP507-36.8)))/2)</f>
        <v/>
      </c>
      <c r="AR507">
        <f>((AM507/$B$7+T506*AS506/2-T507*MAX(0.1,MIN(0.3,0.3-0.09*(AQ507-36.8)))/2)+AR506*(1-AS506/2))/(1-MAX(0.1,MIN(0.3,0.3-0.09*(AQ507-36.8)))/2)</f>
        <v/>
      </c>
      <c r="AS507">
        <f>MAX(0.1,MIN(0.3,0.3-0.09*(AR507-36.8)))</f>
        <v/>
      </c>
      <c r="AT507">
        <f>AT506+(2*AR507-1.962*AT506-1.31)/9</f>
        <v/>
      </c>
      <c r="AU507">
        <f>AU506+AG507+K507</f>
        <v/>
      </c>
      <c r="AV507">
        <f>AU507*2.67*$B$6/1.8/60</f>
        <v/>
      </c>
      <c r="AW507">
        <f>IF(AT507&gt;=$B$36,1,0)</f>
        <v/>
      </c>
      <c r="AX507">
        <f>IF(AV507&gt;=$B$21,1,0)</f>
        <v/>
      </c>
    </row>
    <row r="508">
      <c r="A508" t="n">
        <v>435</v>
      </c>
      <c r="B508">
        <f>MATCH(A508-1,$D$61:$D$68,1)</f>
        <v/>
      </c>
      <c r="C508">
        <f>INDEX($G$61:$G$68,B508)</f>
        <v/>
      </c>
      <c r="D508">
        <f>INDEX($L$61:$L$68,B508)</f>
        <v/>
      </c>
      <c r="E508">
        <f>INDEX($M$61:$M$68,B508)</f>
        <v/>
      </c>
      <c r="F508">
        <f>INDEX($N$61:$N$68,B508)</f>
        <v/>
      </c>
      <c r="G508">
        <f>INDEX($AA$61:$AA$68,B508)</f>
        <v/>
      </c>
      <c r="H508">
        <f>INDEX($X$61:$X$68,B508)</f>
        <v/>
      </c>
      <c r="I508">
        <f>INDEX($AF$61:$AF$68,B508)</f>
        <v/>
      </c>
      <c r="J508">
        <f>INDEX($AC$61:$AC$68,B508)</f>
        <v/>
      </c>
      <c r="K508">
        <f>INDEX($AD$61:$AD$68,B508)</f>
        <v/>
      </c>
      <c r="L508">
        <f>INDEX($AG$61:$AG$68,B508)</f>
        <v/>
      </c>
      <c r="M508">
        <f>INDEX($AH$61:$AH$68,B508)</f>
        <v/>
      </c>
      <c r="N508">
        <f>INDEX($AI$61:$AI$68,B508)</f>
        <v/>
      </c>
      <c r="O508">
        <f>O507*$B$26+L508*(1-$B$26)</f>
        <v/>
      </c>
      <c r="P508">
        <f>$B$7*(O508-O507)*(1-AS507)</f>
        <v/>
      </c>
      <c r="Q508">
        <f>M508+0.51274*AT507</f>
        <v/>
      </c>
      <c r="R508">
        <f>N508+0.616*AT507</f>
        <v/>
      </c>
      <c r="S508">
        <f>IF($B$13&gt;=0.6,Q508,IF($B$13&lt;=0.2,R508,R508+2.5*(Q508-R508)*($B$13-0.2)))</f>
        <v/>
      </c>
      <c r="T508">
        <f>IF(A508=1,S508,T507*$B$27+S508*(1-$B$27))</f>
        <v/>
      </c>
      <c r="U508">
        <f>0.6105*EXP(17.27*T508/(T508+237.3))</f>
        <v/>
      </c>
      <c r="V508">
        <f>($B$14*(I508*C508+IF(ABS((D508+0.1)-D508)&lt;0.000000001,4*$B$19*$B$20*(D508+273)^3,$B$19*$B$20*(((D508+0.1)+273)^4-(D508+273)^4)/((D508+0.1)-D508))*D508)+T508/H508)/($B$14*(I508+IF(ABS((D508+0.1)-D508)&lt;0.000000001,4*$B$19*$B$20*(D508+273)^3,$B$19*$B$20*(((D508+0.1)+273)^4-(D508+273)^4)/((D508+0.1)-D508)))+1/H508)</f>
        <v/>
      </c>
      <c r="W508">
        <f>($B$14*(I508*C508+IF(ABS(V508-D508)&lt;0.000000001,4*$B$19*$B$20*(D508+273)^3,$B$19*$B$20*((V508+273)^4-(D508+273)^4)/(V508-D508))*D508)+T508/H508)/($B$14*(I508+IF(ABS(V508-D508)&lt;0.000000001,4*$B$19*$B$20*(D508+273)^3,$B$19*$B$20*((V508+273)^4-(D508+273)^4)/(V508-D508)))+1/H508)</f>
        <v/>
      </c>
      <c r="X508">
        <f>($B$14*(I508*C508+IF(ABS(W508-D508)&lt;0.000000001,4*$B$19*$B$20*(D508+273)^3,$B$19*$B$20*((W508+273)^4-(D508+273)^4)/(W508-D508))*D508)+T508/H508)/($B$14*(I508+IF(ABS(W508-D508)&lt;0.000000001,4*$B$19*$B$20*(D508+273)^3,$B$19*$B$20*((W508+273)^4-(D508+273)^4)/(W508-D508)))+1/H508)</f>
        <v/>
      </c>
      <c r="Y508">
        <f>($B$14*(I508*C508+IF(ABS(X508-D508)&lt;0.000000001,4*$B$19*$B$20*(D508+273)^3,$B$19*$B$20*((X508+273)^4-(D508+273)^4)/(X508-D508))*D508)+T508/H508)/($B$14*(I508+IF(ABS(X508-D508)&lt;0.000000001,4*$B$19*$B$20*(D508+273)^3,$B$19*$B$20*((X508+273)^4-(D508+273)^4)/(X508-D508)))+1/H508)</f>
        <v/>
      </c>
      <c r="Z508">
        <f>IF(ABS(Y508-D508)&lt;0.000000001,4*$B$19*$B$20*(D508+273)^3,$B$19*$B$20*((Y508+273)^4-(D508+273)^4)/(Y508-D508))</f>
        <v/>
      </c>
      <c r="AA508">
        <f>$B$14*I508*(Y508-C508)</f>
        <v/>
      </c>
      <c r="AB508">
        <f>$B$14*Z508*(Y508-D508)</f>
        <v/>
      </c>
      <c r="AC508">
        <f>IF((U508-E508)/G508=0,0.001,(U508-E508)/G508)</f>
        <v/>
      </c>
      <c r="AD508">
        <f>F508-P508-J508-K508-AA508-AB508</f>
        <v/>
      </c>
      <c r="AE508">
        <f>AD508/AC508</f>
        <v/>
      </c>
      <c r="AF508">
        <f>IF(AD508&lt;=0,0,IF(AC508&lt;=0,$B$11,IF(AE508&gt;=1.7,$B$11,MIN(AD508/MAX(0.05,IF(AE508&gt;1,(2-AE508)^2/2,1-AE508^2/2)),$B$11))))</f>
        <v/>
      </c>
      <c r="AG508">
        <f>AG507*$B$28+AF508*(1-$B$28)</f>
        <v/>
      </c>
      <c r="AH508">
        <f>IF(AND(AD508&gt;0,AC508&lt;=0),0,AC508)</f>
        <v/>
      </c>
      <c r="AI508">
        <f>AH508/MAX(AG508,0.000001)</f>
        <v/>
      </c>
      <c r="AJ508">
        <f>MIN(IF(AI508&gt;=0.5,-AI508+SQRT(AI508^2+2),1),$B$12)</f>
        <v/>
      </c>
      <c r="AK508">
        <f>IF(AG508&lt;=0,0,AJ508*AH508)</f>
        <v/>
      </c>
      <c r="AL508">
        <f>IF(AD508&lt;=0,0,AD508)</f>
        <v/>
      </c>
      <c r="AM508">
        <f>AL508-AK508+P508</f>
        <v/>
      </c>
      <c r="AN508">
        <f>((AM508/$B$7+T507*AS507/2-T508*MAX(0.1,MIN(0.3,0.3-0.09*(AR507-36.8)))/2)+AR507*(1-AS507/2))/(1-MAX(0.1,MIN(0.3,0.3-0.09*(AR507-36.8)))/2)</f>
        <v/>
      </c>
      <c r="AO508">
        <f>((AM508/$B$7+T507*AS507/2-T508*MAX(0.1,MIN(0.3,0.3-0.09*(AN508-36.8)))/2)+AR507*(1-AS507/2))/(1-MAX(0.1,MIN(0.3,0.3-0.09*(AN508-36.8)))/2)</f>
        <v/>
      </c>
      <c r="AP508">
        <f>((AM508/$B$7+T507*AS507/2-T508*MAX(0.1,MIN(0.3,0.3-0.09*(AO508-36.8)))/2)+AR507*(1-AS507/2))/(1-MAX(0.1,MIN(0.3,0.3-0.09*(AO508-36.8)))/2)</f>
        <v/>
      </c>
      <c r="AQ508">
        <f>((AM508/$B$7+T507*AS507/2-T508*MAX(0.1,MIN(0.3,0.3-0.09*(AP508-36.8)))/2)+AR507*(1-AS507/2))/(1-MAX(0.1,MIN(0.3,0.3-0.09*(AP508-36.8)))/2)</f>
        <v/>
      </c>
      <c r="AR508">
        <f>((AM508/$B$7+T507*AS507/2-T508*MAX(0.1,MIN(0.3,0.3-0.09*(AQ508-36.8)))/2)+AR507*(1-AS507/2))/(1-MAX(0.1,MIN(0.3,0.3-0.09*(AQ508-36.8)))/2)</f>
        <v/>
      </c>
      <c r="AS508">
        <f>MAX(0.1,MIN(0.3,0.3-0.09*(AR508-36.8)))</f>
        <v/>
      </c>
      <c r="AT508">
        <f>AT507+(2*AR508-1.962*AT507-1.31)/9</f>
        <v/>
      </c>
      <c r="AU508">
        <f>AU507+AG508+K508</f>
        <v/>
      </c>
      <c r="AV508">
        <f>AU508*2.67*$B$6/1.8/60</f>
        <v/>
      </c>
      <c r="AW508">
        <f>IF(AT508&gt;=$B$36,1,0)</f>
        <v/>
      </c>
      <c r="AX508">
        <f>IF(AV508&gt;=$B$21,1,0)</f>
        <v/>
      </c>
    </row>
    <row r="509">
      <c r="A509" t="n">
        <v>436</v>
      </c>
      <c r="B509">
        <f>MATCH(A509-1,$D$61:$D$68,1)</f>
        <v/>
      </c>
      <c r="C509">
        <f>INDEX($G$61:$G$68,B509)</f>
        <v/>
      </c>
      <c r="D509">
        <f>INDEX($L$61:$L$68,B509)</f>
        <v/>
      </c>
      <c r="E509">
        <f>INDEX($M$61:$M$68,B509)</f>
        <v/>
      </c>
      <c r="F509">
        <f>INDEX($N$61:$N$68,B509)</f>
        <v/>
      </c>
      <c r="G509">
        <f>INDEX($AA$61:$AA$68,B509)</f>
        <v/>
      </c>
      <c r="H509">
        <f>INDEX($X$61:$X$68,B509)</f>
        <v/>
      </c>
      <c r="I509">
        <f>INDEX($AF$61:$AF$68,B509)</f>
        <v/>
      </c>
      <c r="J509">
        <f>INDEX($AC$61:$AC$68,B509)</f>
        <v/>
      </c>
      <c r="K509">
        <f>INDEX($AD$61:$AD$68,B509)</f>
        <v/>
      </c>
      <c r="L509">
        <f>INDEX($AG$61:$AG$68,B509)</f>
        <v/>
      </c>
      <c r="M509">
        <f>INDEX($AH$61:$AH$68,B509)</f>
        <v/>
      </c>
      <c r="N509">
        <f>INDEX($AI$61:$AI$68,B509)</f>
        <v/>
      </c>
      <c r="O509">
        <f>O508*$B$26+L509*(1-$B$26)</f>
        <v/>
      </c>
      <c r="P509">
        <f>$B$7*(O509-O508)*(1-AS508)</f>
        <v/>
      </c>
      <c r="Q509">
        <f>M509+0.51274*AT508</f>
        <v/>
      </c>
      <c r="R509">
        <f>N509+0.616*AT508</f>
        <v/>
      </c>
      <c r="S509">
        <f>IF($B$13&gt;=0.6,Q509,IF($B$13&lt;=0.2,R509,R509+2.5*(Q509-R509)*($B$13-0.2)))</f>
        <v/>
      </c>
      <c r="T509">
        <f>IF(A509=1,S509,T508*$B$27+S509*(1-$B$27))</f>
        <v/>
      </c>
      <c r="U509">
        <f>0.6105*EXP(17.27*T509/(T509+237.3))</f>
        <v/>
      </c>
      <c r="V509">
        <f>($B$14*(I509*C509+IF(ABS((D509+0.1)-D509)&lt;0.000000001,4*$B$19*$B$20*(D509+273)^3,$B$19*$B$20*(((D509+0.1)+273)^4-(D509+273)^4)/((D509+0.1)-D509))*D509)+T509/H509)/($B$14*(I509+IF(ABS((D509+0.1)-D509)&lt;0.000000001,4*$B$19*$B$20*(D509+273)^3,$B$19*$B$20*(((D509+0.1)+273)^4-(D509+273)^4)/((D509+0.1)-D509)))+1/H509)</f>
        <v/>
      </c>
      <c r="W509">
        <f>($B$14*(I509*C509+IF(ABS(V509-D509)&lt;0.000000001,4*$B$19*$B$20*(D509+273)^3,$B$19*$B$20*((V509+273)^4-(D509+273)^4)/(V509-D509))*D509)+T509/H509)/($B$14*(I509+IF(ABS(V509-D509)&lt;0.000000001,4*$B$19*$B$20*(D509+273)^3,$B$19*$B$20*((V509+273)^4-(D509+273)^4)/(V509-D509)))+1/H509)</f>
        <v/>
      </c>
      <c r="X509">
        <f>($B$14*(I509*C509+IF(ABS(W509-D509)&lt;0.000000001,4*$B$19*$B$20*(D509+273)^3,$B$19*$B$20*((W509+273)^4-(D509+273)^4)/(W509-D509))*D509)+T509/H509)/($B$14*(I509+IF(ABS(W509-D509)&lt;0.000000001,4*$B$19*$B$20*(D509+273)^3,$B$19*$B$20*((W509+273)^4-(D509+273)^4)/(W509-D509)))+1/H509)</f>
        <v/>
      </c>
      <c r="Y509">
        <f>($B$14*(I509*C509+IF(ABS(X509-D509)&lt;0.000000001,4*$B$19*$B$20*(D509+273)^3,$B$19*$B$20*((X509+273)^4-(D509+273)^4)/(X509-D509))*D509)+T509/H509)/($B$14*(I509+IF(ABS(X509-D509)&lt;0.000000001,4*$B$19*$B$20*(D509+273)^3,$B$19*$B$20*((X509+273)^4-(D509+273)^4)/(X509-D509)))+1/H509)</f>
        <v/>
      </c>
      <c r="Z509">
        <f>IF(ABS(Y509-D509)&lt;0.000000001,4*$B$19*$B$20*(D509+273)^3,$B$19*$B$20*((Y509+273)^4-(D509+273)^4)/(Y509-D509))</f>
        <v/>
      </c>
      <c r="AA509">
        <f>$B$14*I509*(Y509-C509)</f>
        <v/>
      </c>
      <c r="AB509">
        <f>$B$14*Z509*(Y509-D509)</f>
        <v/>
      </c>
      <c r="AC509">
        <f>IF((U509-E509)/G509=0,0.001,(U509-E509)/G509)</f>
        <v/>
      </c>
      <c r="AD509">
        <f>F509-P509-J509-K509-AA509-AB509</f>
        <v/>
      </c>
      <c r="AE509">
        <f>AD509/AC509</f>
        <v/>
      </c>
      <c r="AF509">
        <f>IF(AD509&lt;=0,0,IF(AC509&lt;=0,$B$11,IF(AE509&gt;=1.7,$B$11,MIN(AD509/MAX(0.05,IF(AE509&gt;1,(2-AE509)^2/2,1-AE509^2/2)),$B$11))))</f>
        <v/>
      </c>
      <c r="AG509">
        <f>AG508*$B$28+AF509*(1-$B$28)</f>
        <v/>
      </c>
      <c r="AH509">
        <f>IF(AND(AD509&gt;0,AC509&lt;=0),0,AC509)</f>
        <v/>
      </c>
      <c r="AI509">
        <f>AH509/MAX(AG509,0.000001)</f>
        <v/>
      </c>
      <c r="AJ509">
        <f>MIN(IF(AI509&gt;=0.5,-AI509+SQRT(AI509^2+2),1),$B$12)</f>
        <v/>
      </c>
      <c r="AK509">
        <f>IF(AG509&lt;=0,0,AJ509*AH509)</f>
        <v/>
      </c>
      <c r="AL509">
        <f>IF(AD509&lt;=0,0,AD509)</f>
        <v/>
      </c>
      <c r="AM509">
        <f>AL509-AK509+P509</f>
        <v/>
      </c>
      <c r="AN509">
        <f>((AM509/$B$7+T508*AS508/2-T509*MAX(0.1,MIN(0.3,0.3-0.09*(AR508-36.8)))/2)+AR508*(1-AS508/2))/(1-MAX(0.1,MIN(0.3,0.3-0.09*(AR508-36.8)))/2)</f>
        <v/>
      </c>
      <c r="AO509">
        <f>((AM509/$B$7+T508*AS508/2-T509*MAX(0.1,MIN(0.3,0.3-0.09*(AN509-36.8)))/2)+AR508*(1-AS508/2))/(1-MAX(0.1,MIN(0.3,0.3-0.09*(AN509-36.8)))/2)</f>
        <v/>
      </c>
      <c r="AP509">
        <f>((AM509/$B$7+T508*AS508/2-T509*MAX(0.1,MIN(0.3,0.3-0.09*(AO509-36.8)))/2)+AR508*(1-AS508/2))/(1-MAX(0.1,MIN(0.3,0.3-0.09*(AO509-36.8)))/2)</f>
        <v/>
      </c>
      <c r="AQ509">
        <f>((AM509/$B$7+T508*AS508/2-T509*MAX(0.1,MIN(0.3,0.3-0.09*(AP509-36.8)))/2)+AR508*(1-AS508/2))/(1-MAX(0.1,MIN(0.3,0.3-0.09*(AP509-36.8)))/2)</f>
        <v/>
      </c>
      <c r="AR509">
        <f>((AM509/$B$7+T508*AS508/2-T509*MAX(0.1,MIN(0.3,0.3-0.09*(AQ509-36.8)))/2)+AR508*(1-AS508/2))/(1-MAX(0.1,MIN(0.3,0.3-0.09*(AQ509-36.8)))/2)</f>
        <v/>
      </c>
      <c r="AS509">
        <f>MAX(0.1,MIN(0.3,0.3-0.09*(AR509-36.8)))</f>
        <v/>
      </c>
      <c r="AT509">
        <f>AT508+(2*AR509-1.962*AT508-1.31)/9</f>
        <v/>
      </c>
      <c r="AU509">
        <f>AU508+AG509+K509</f>
        <v/>
      </c>
      <c r="AV509">
        <f>AU509*2.67*$B$6/1.8/60</f>
        <v/>
      </c>
      <c r="AW509">
        <f>IF(AT509&gt;=$B$36,1,0)</f>
        <v/>
      </c>
      <c r="AX509">
        <f>IF(AV509&gt;=$B$21,1,0)</f>
        <v/>
      </c>
    </row>
    <row r="510">
      <c r="A510" t="n">
        <v>437</v>
      </c>
      <c r="B510">
        <f>MATCH(A510-1,$D$61:$D$68,1)</f>
        <v/>
      </c>
      <c r="C510">
        <f>INDEX($G$61:$G$68,B510)</f>
        <v/>
      </c>
      <c r="D510">
        <f>INDEX($L$61:$L$68,B510)</f>
        <v/>
      </c>
      <c r="E510">
        <f>INDEX($M$61:$M$68,B510)</f>
        <v/>
      </c>
      <c r="F510">
        <f>INDEX($N$61:$N$68,B510)</f>
        <v/>
      </c>
      <c r="G510">
        <f>INDEX($AA$61:$AA$68,B510)</f>
        <v/>
      </c>
      <c r="H510">
        <f>INDEX($X$61:$X$68,B510)</f>
        <v/>
      </c>
      <c r="I510">
        <f>INDEX($AF$61:$AF$68,B510)</f>
        <v/>
      </c>
      <c r="J510">
        <f>INDEX($AC$61:$AC$68,B510)</f>
        <v/>
      </c>
      <c r="K510">
        <f>INDEX($AD$61:$AD$68,B510)</f>
        <v/>
      </c>
      <c r="L510">
        <f>INDEX($AG$61:$AG$68,B510)</f>
        <v/>
      </c>
      <c r="M510">
        <f>INDEX($AH$61:$AH$68,B510)</f>
        <v/>
      </c>
      <c r="N510">
        <f>INDEX($AI$61:$AI$68,B510)</f>
        <v/>
      </c>
      <c r="O510">
        <f>O509*$B$26+L510*(1-$B$26)</f>
        <v/>
      </c>
      <c r="P510">
        <f>$B$7*(O510-O509)*(1-AS509)</f>
        <v/>
      </c>
      <c r="Q510">
        <f>M510+0.51274*AT509</f>
        <v/>
      </c>
      <c r="R510">
        <f>N510+0.616*AT509</f>
        <v/>
      </c>
      <c r="S510">
        <f>IF($B$13&gt;=0.6,Q510,IF($B$13&lt;=0.2,R510,R510+2.5*(Q510-R510)*($B$13-0.2)))</f>
        <v/>
      </c>
      <c r="T510">
        <f>IF(A510=1,S510,T509*$B$27+S510*(1-$B$27))</f>
        <v/>
      </c>
      <c r="U510">
        <f>0.6105*EXP(17.27*T510/(T510+237.3))</f>
        <v/>
      </c>
      <c r="V510">
        <f>($B$14*(I510*C510+IF(ABS((D510+0.1)-D510)&lt;0.000000001,4*$B$19*$B$20*(D510+273)^3,$B$19*$B$20*(((D510+0.1)+273)^4-(D510+273)^4)/((D510+0.1)-D510))*D510)+T510/H510)/($B$14*(I510+IF(ABS((D510+0.1)-D510)&lt;0.000000001,4*$B$19*$B$20*(D510+273)^3,$B$19*$B$20*(((D510+0.1)+273)^4-(D510+273)^4)/((D510+0.1)-D510)))+1/H510)</f>
        <v/>
      </c>
      <c r="W510">
        <f>($B$14*(I510*C510+IF(ABS(V510-D510)&lt;0.000000001,4*$B$19*$B$20*(D510+273)^3,$B$19*$B$20*((V510+273)^4-(D510+273)^4)/(V510-D510))*D510)+T510/H510)/($B$14*(I510+IF(ABS(V510-D510)&lt;0.000000001,4*$B$19*$B$20*(D510+273)^3,$B$19*$B$20*((V510+273)^4-(D510+273)^4)/(V510-D510)))+1/H510)</f>
        <v/>
      </c>
      <c r="X510">
        <f>($B$14*(I510*C510+IF(ABS(W510-D510)&lt;0.000000001,4*$B$19*$B$20*(D510+273)^3,$B$19*$B$20*((W510+273)^4-(D510+273)^4)/(W510-D510))*D510)+T510/H510)/($B$14*(I510+IF(ABS(W510-D510)&lt;0.000000001,4*$B$19*$B$20*(D510+273)^3,$B$19*$B$20*((W510+273)^4-(D510+273)^4)/(W510-D510)))+1/H510)</f>
        <v/>
      </c>
      <c r="Y510">
        <f>($B$14*(I510*C510+IF(ABS(X510-D510)&lt;0.000000001,4*$B$19*$B$20*(D510+273)^3,$B$19*$B$20*((X510+273)^4-(D510+273)^4)/(X510-D510))*D510)+T510/H510)/($B$14*(I510+IF(ABS(X510-D510)&lt;0.000000001,4*$B$19*$B$20*(D510+273)^3,$B$19*$B$20*((X510+273)^4-(D510+273)^4)/(X510-D510)))+1/H510)</f>
        <v/>
      </c>
      <c r="Z510">
        <f>IF(ABS(Y510-D510)&lt;0.000000001,4*$B$19*$B$20*(D510+273)^3,$B$19*$B$20*((Y510+273)^4-(D510+273)^4)/(Y510-D510))</f>
        <v/>
      </c>
      <c r="AA510">
        <f>$B$14*I510*(Y510-C510)</f>
        <v/>
      </c>
      <c r="AB510">
        <f>$B$14*Z510*(Y510-D510)</f>
        <v/>
      </c>
      <c r="AC510">
        <f>IF((U510-E510)/G510=0,0.001,(U510-E510)/G510)</f>
        <v/>
      </c>
      <c r="AD510">
        <f>F510-P510-J510-K510-AA510-AB510</f>
        <v/>
      </c>
      <c r="AE510">
        <f>AD510/AC510</f>
        <v/>
      </c>
      <c r="AF510">
        <f>IF(AD510&lt;=0,0,IF(AC510&lt;=0,$B$11,IF(AE510&gt;=1.7,$B$11,MIN(AD510/MAX(0.05,IF(AE510&gt;1,(2-AE510)^2/2,1-AE510^2/2)),$B$11))))</f>
        <v/>
      </c>
      <c r="AG510">
        <f>AG509*$B$28+AF510*(1-$B$28)</f>
        <v/>
      </c>
      <c r="AH510">
        <f>IF(AND(AD510&gt;0,AC510&lt;=0),0,AC510)</f>
        <v/>
      </c>
      <c r="AI510">
        <f>AH510/MAX(AG510,0.000001)</f>
        <v/>
      </c>
      <c r="AJ510">
        <f>MIN(IF(AI510&gt;=0.5,-AI510+SQRT(AI510^2+2),1),$B$12)</f>
        <v/>
      </c>
      <c r="AK510">
        <f>IF(AG510&lt;=0,0,AJ510*AH510)</f>
        <v/>
      </c>
      <c r="AL510">
        <f>IF(AD510&lt;=0,0,AD510)</f>
        <v/>
      </c>
      <c r="AM510">
        <f>AL510-AK510+P510</f>
        <v/>
      </c>
      <c r="AN510">
        <f>((AM510/$B$7+T509*AS509/2-T510*MAX(0.1,MIN(0.3,0.3-0.09*(AR509-36.8)))/2)+AR509*(1-AS509/2))/(1-MAX(0.1,MIN(0.3,0.3-0.09*(AR509-36.8)))/2)</f>
        <v/>
      </c>
      <c r="AO510">
        <f>((AM510/$B$7+T509*AS509/2-T510*MAX(0.1,MIN(0.3,0.3-0.09*(AN510-36.8)))/2)+AR509*(1-AS509/2))/(1-MAX(0.1,MIN(0.3,0.3-0.09*(AN510-36.8)))/2)</f>
        <v/>
      </c>
      <c r="AP510">
        <f>((AM510/$B$7+T509*AS509/2-T510*MAX(0.1,MIN(0.3,0.3-0.09*(AO510-36.8)))/2)+AR509*(1-AS509/2))/(1-MAX(0.1,MIN(0.3,0.3-0.09*(AO510-36.8)))/2)</f>
        <v/>
      </c>
      <c r="AQ510">
        <f>((AM510/$B$7+T509*AS509/2-T510*MAX(0.1,MIN(0.3,0.3-0.09*(AP510-36.8)))/2)+AR509*(1-AS509/2))/(1-MAX(0.1,MIN(0.3,0.3-0.09*(AP510-36.8)))/2)</f>
        <v/>
      </c>
      <c r="AR510">
        <f>((AM510/$B$7+T509*AS509/2-T510*MAX(0.1,MIN(0.3,0.3-0.09*(AQ510-36.8)))/2)+AR509*(1-AS509/2))/(1-MAX(0.1,MIN(0.3,0.3-0.09*(AQ510-36.8)))/2)</f>
        <v/>
      </c>
      <c r="AS510">
        <f>MAX(0.1,MIN(0.3,0.3-0.09*(AR510-36.8)))</f>
        <v/>
      </c>
      <c r="AT510">
        <f>AT509+(2*AR510-1.962*AT509-1.31)/9</f>
        <v/>
      </c>
      <c r="AU510">
        <f>AU509+AG510+K510</f>
        <v/>
      </c>
      <c r="AV510">
        <f>AU510*2.67*$B$6/1.8/60</f>
        <v/>
      </c>
      <c r="AW510">
        <f>IF(AT510&gt;=$B$36,1,0)</f>
        <v/>
      </c>
      <c r="AX510">
        <f>IF(AV510&gt;=$B$21,1,0)</f>
        <v/>
      </c>
    </row>
    <row r="511">
      <c r="A511" t="n">
        <v>438</v>
      </c>
      <c r="B511">
        <f>MATCH(A511-1,$D$61:$D$68,1)</f>
        <v/>
      </c>
      <c r="C511">
        <f>INDEX($G$61:$G$68,B511)</f>
        <v/>
      </c>
      <c r="D511">
        <f>INDEX($L$61:$L$68,B511)</f>
        <v/>
      </c>
      <c r="E511">
        <f>INDEX($M$61:$M$68,B511)</f>
        <v/>
      </c>
      <c r="F511">
        <f>INDEX($N$61:$N$68,B511)</f>
        <v/>
      </c>
      <c r="G511">
        <f>INDEX($AA$61:$AA$68,B511)</f>
        <v/>
      </c>
      <c r="H511">
        <f>INDEX($X$61:$X$68,B511)</f>
        <v/>
      </c>
      <c r="I511">
        <f>INDEX($AF$61:$AF$68,B511)</f>
        <v/>
      </c>
      <c r="J511">
        <f>INDEX($AC$61:$AC$68,B511)</f>
        <v/>
      </c>
      <c r="K511">
        <f>INDEX($AD$61:$AD$68,B511)</f>
        <v/>
      </c>
      <c r="L511">
        <f>INDEX($AG$61:$AG$68,B511)</f>
        <v/>
      </c>
      <c r="M511">
        <f>INDEX($AH$61:$AH$68,B511)</f>
        <v/>
      </c>
      <c r="N511">
        <f>INDEX($AI$61:$AI$68,B511)</f>
        <v/>
      </c>
      <c r="O511">
        <f>O510*$B$26+L511*(1-$B$26)</f>
        <v/>
      </c>
      <c r="P511">
        <f>$B$7*(O511-O510)*(1-AS510)</f>
        <v/>
      </c>
      <c r="Q511">
        <f>M511+0.51274*AT510</f>
        <v/>
      </c>
      <c r="R511">
        <f>N511+0.616*AT510</f>
        <v/>
      </c>
      <c r="S511">
        <f>IF($B$13&gt;=0.6,Q511,IF($B$13&lt;=0.2,R511,R511+2.5*(Q511-R511)*($B$13-0.2)))</f>
        <v/>
      </c>
      <c r="T511">
        <f>IF(A511=1,S511,T510*$B$27+S511*(1-$B$27))</f>
        <v/>
      </c>
      <c r="U511">
        <f>0.6105*EXP(17.27*T511/(T511+237.3))</f>
        <v/>
      </c>
      <c r="V511">
        <f>($B$14*(I511*C511+IF(ABS((D511+0.1)-D511)&lt;0.000000001,4*$B$19*$B$20*(D511+273)^3,$B$19*$B$20*(((D511+0.1)+273)^4-(D511+273)^4)/((D511+0.1)-D511))*D511)+T511/H511)/($B$14*(I511+IF(ABS((D511+0.1)-D511)&lt;0.000000001,4*$B$19*$B$20*(D511+273)^3,$B$19*$B$20*(((D511+0.1)+273)^4-(D511+273)^4)/((D511+0.1)-D511)))+1/H511)</f>
        <v/>
      </c>
      <c r="W511">
        <f>($B$14*(I511*C511+IF(ABS(V511-D511)&lt;0.000000001,4*$B$19*$B$20*(D511+273)^3,$B$19*$B$20*((V511+273)^4-(D511+273)^4)/(V511-D511))*D511)+T511/H511)/($B$14*(I511+IF(ABS(V511-D511)&lt;0.000000001,4*$B$19*$B$20*(D511+273)^3,$B$19*$B$20*((V511+273)^4-(D511+273)^4)/(V511-D511)))+1/H511)</f>
        <v/>
      </c>
      <c r="X511">
        <f>($B$14*(I511*C511+IF(ABS(W511-D511)&lt;0.000000001,4*$B$19*$B$20*(D511+273)^3,$B$19*$B$20*((W511+273)^4-(D511+273)^4)/(W511-D511))*D511)+T511/H511)/($B$14*(I511+IF(ABS(W511-D511)&lt;0.000000001,4*$B$19*$B$20*(D511+273)^3,$B$19*$B$20*((W511+273)^4-(D511+273)^4)/(W511-D511)))+1/H511)</f>
        <v/>
      </c>
      <c r="Y511">
        <f>($B$14*(I511*C511+IF(ABS(X511-D511)&lt;0.000000001,4*$B$19*$B$20*(D511+273)^3,$B$19*$B$20*((X511+273)^4-(D511+273)^4)/(X511-D511))*D511)+T511/H511)/($B$14*(I511+IF(ABS(X511-D511)&lt;0.000000001,4*$B$19*$B$20*(D511+273)^3,$B$19*$B$20*((X511+273)^4-(D511+273)^4)/(X511-D511)))+1/H511)</f>
        <v/>
      </c>
      <c r="Z511">
        <f>IF(ABS(Y511-D511)&lt;0.000000001,4*$B$19*$B$20*(D511+273)^3,$B$19*$B$20*((Y511+273)^4-(D511+273)^4)/(Y511-D511))</f>
        <v/>
      </c>
      <c r="AA511">
        <f>$B$14*I511*(Y511-C511)</f>
        <v/>
      </c>
      <c r="AB511">
        <f>$B$14*Z511*(Y511-D511)</f>
        <v/>
      </c>
      <c r="AC511">
        <f>IF((U511-E511)/G511=0,0.001,(U511-E511)/G511)</f>
        <v/>
      </c>
      <c r="AD511">
        <f>F511-P511-J511-K511-AA511-AB511</f>
        <v/>
      </c>
      <c r="AE511">
        <f>AD511/AC511</f>
        <v/>
      </c>
      <c r="AF511">
        <f>IF(AD511&lt;=0,0,IF(AC511&lt;=0,$B$11,IF(AE511&gt;=1.7,$B$11,MIN(AD511/MAX(0.05,IF(AE511&gt;1,(2-AE511)^2/2,1-AE511^2/2)),$B$11))))</f>
        <v/>
      </c>
      <c r="AG511">
        <f>AG510*$B$28+AF511*(1-$B$28)</f>
        <v/>
      </c>
      <c r="AH511">
        <f>IF(AND(AD511&gt;0,AC511&lt;=0),0,AC511)</f>
        <v/>
      </c>
      <c r="AI511">
        <f>AH511/MAX(AG511,0.000001)</f>
        <v/>
      </c>
      <c r="AJ511">
        <f>MIN(IF(AI511&gt;=0.5,-AI511+SQRT(AI511^2+2),1),$B$12)</f>
        <v/>
      </c>
      <c r="AK511">
        <f>IF(AG511&lt;=0,0,AJ511*AH511)</f>
        <v/>
      </c>
      <c r="AL511">
        <f>IF(AD511&lt;=0,0,AD511)</f>
        <v/>
      </c>
      <c r="AM511">
        <f>AL511-AK511+P511</f>
        <v/>
      </c>
      <c r="AN511">
        <f>((AM511/$B$7+T510*AS510/2-T511*MAX(0.1,MIN(0.3,0.3-0.09*(AR510-36.8)))/2)+AR510*(1-AS510/2))/(1-MAX(0.1,MIN(0.3,0.3-0.09*(AR510-36.8)))/2)</f>
        <v/>
      </c>
      <c r="AO511">
        <f>((AM511/$B$7+T510*AS510/2-T511*MAX(0.1,MIN(0.3,0.3-0.09*(AN511-36.8)))/2)+AR510*(1-AS510/2))/(1-MAX(0.1,MIN(0.3,0.3-0.09*(AN511-36.8)))/2)</f>
        <v/>
      </c>
      <c r="AP511">
        <f>((AM511/$B$7+T510*AS510/2-T511*MAX(0.1,MIN(0.3,0.3-0.09*(AO511-36.8)))/2)+AR510*(1-AS510/2))/(1-MAX(0.1,MIN(0.3,0.3-0.09*(AO511-36.8)))/2)</f>
        <v/>
      </c>
      <c r="AQ511">
        <f>((AM511/$B$7+T510*AS510/2-T511*MAX(0.1,MIN(0.3,0.3-0.09*(AP511-36.8)))/2)+AR510*(1-AS510/2))/(1-MAX(0.1,MIN(0.3,0.3-0.09*(AP511-36.8)))/2)</f>
        <v/>
      </c>
      <c r="AR511">
        <f>((AM511/$B$7+T510*AS510/2-T511*MAX(0.1,MIN(0.3,0.3-0.09*(AQ511-36.8)))/2)+AR510*(1-AS510/2))/(1-MAX(0.1,MIN(0.3,0.3-0.09*(AQ511-36.8)))/2)</f>
        <v/>
      </c>
      <c r="AS511">
        <f>MAX(0.1,MIN(0.3,0.3-0.09*(AR511-36.8)))</f>
        <v/>
      </c>
      <c r="AT511">
        <f>AT510+(2*AR511-1.962*AT510-1.31)/9</f>
        <v/>
      </c>
      <c r="AU511">
        <f>AU510+AG511+K511</f>
        <v/>
      </c>
      <c r="AV511">
        <f>AU511*2.67*$B$6/1.8/60</f>
        <v/>
      </c>
      <c r="AW511">
        <f>IF(AT511&gt;=$B$36,1,0)</f>
        <v/>
      </c>
      <c r="AX511">
        <f>IF(AV511&gt;=$B$21,1,0)</f>
        <v/>
      </c>
    </row>
    <row r="512">
      <c r="A512" t="n">
        <v>439</v>
      </c>
      <c r="B512">
        <f>MATCH(A512-1,$D$61:$D$68,1)</f>
        <v/>
      </c>
      <c r="C512">
        <f>INDEX($G$61:$G$68,B512)</f>
        <v/>
      </c>
      <c r="D512">
        <f>INDEX($L$61:$L$68,B512)</f>
        <v/>
      </c>
      <c r="E512">
        <f>INDEX($M$61:$M$68,B512)</f>
        <v/>
      </c>
      <c r="F512">
        <f>INDEX($N$61:$N$68,B512)</f>
        <v/>
      </c>
      <c r="G512">
        <f>INDEX($AA$61:$AA$68,B512)</f>
        <v/>
      </c>
      <c r="H512">
        <f>INDEX($X$61:$X$68,B512)</f>
        <v/>
      </c>
      <c r="I512">
        <f>INDEX($AF$61:$AF$68,B512)</f>
        <v/>
      </c>
      <c r="J512">
        <f>INDEX($AC$61:$AC$68,B512)</f>
        <v/>
      </c>
      <c r="K512">
        <f>INDEX($AD$61:$AD$68,B512)</f>
        <v/>
      </c>
      <c r="L512">
        <f>INDEX($AG$61:$AG$68,B512)</f>
        <v/>
      </c>
      <c r="M512">
        <f>INDEX($AH$61:$AH$68,B512)</f>
        <v/>
      </c>
      <c r="N512">
        <f>INDEX($AI$61:$AI$68,B512)</f>
        <v/>
      </c>
      <c r="O512">
        <f>O511*$B$26+L512*(1-$B$26)</f>
        <v/>
      </c>
      <c r="P512">
        <f>$B$7*(O512-O511)*(1-AS511)</f>
        <v/>
      </c>
      <c r="Q512">
        <f>M512+0.51274*AT511</f>
        <v/>
      </c>
      <c r="R512">
        <f>N512+0.616*AT511</f>
        <v/>
      </c>
      <c r="S512">
        <f>IF($B$13&gt;=0.6,Q512,IF($B$13&lt;=0.2,R512,R512+2.5*(Q512-R512)*($B$13-0.2)))</f>
        <v/>
      </c>
      <c r="T512">
        <f>IF(A512=1,S512,T511*$B$27+S512*(1-$B$27))</f>
        <v/>
      </c>
      <c r="U512">
        <f>0.6105*EXP(17.27*T512/(T512+237.3))</f>
        <v/>
      </c>
      <c r="V512">
        <f>($B$14*(I512*C512+IF(ABS((D512+0.1)-D512)&lt;0.000000001,4*$B$19*$B$20*(D512+273)^3,$B$19*$B$20*(((D512+0.1)+273)^4-(D512+273)^4)/((D512+0.1)-D512))*D512)+T512/H512)/($B$14*(I512+IF(ABS((D512+0.1)-D512)&lt;0.000000001,4*$B$19*$B$20*(D512+273)^3,$B$19*$B$20*(((D512+0.1)+273)^4-(D512+273)^4)/((D512+0.1)-D512)))+1/H512)</f>
        <v/>
      </c>
      <c r="W512">
        <f>($B$14*(I512*C512+IF(ABS(V512-D512)&lt;0.000000001,4*$B$19*$B$20*(D512+273)^3,$B$19*$B$20*((V512+273)^4-(D512+273)^4)/(V512-D512))*D512)+T512/H512)/($B$14*(I512+IF(ABS(V512-D512)&lt;0.000000001,4*$B$19*$B$20*(D512+273)^3,$B$19*$B$20*((V512+273)^4-(D512+273)^4)/(V512-D512)))+1/H512)</f>
        <v/>
      </c>
      <c r="X512">
        <f>($B$14*(I512*C512+IF(ABS(W512-D512)&lt;0.000000001,4*$B$19*$B$20*(D512+273)^3,$B$19*$B$20*((W512+273)^4-(D512+273)^4)/(W512-D512))*D512)+T512/H512)/($B$14*(I512+IF(ABS(W512-D512)&lt;0.000000001,4*$B$19*$B$20*(D512+273)^3,$B$19*$B$20*((W512+273)^4-(D512+273)^4)/(W512-D512)))+1/H512)</f>
        <v/>
      </c>
      <c r="Y512">
        <f>($B$14*(I512*C512+IF(ABS(X512-D512)&lt;0.000000001,4*$B$19*$B$20*(D512+273)^3,$B$19*$B$20*((X512+273)^4-(D512+273)^4)/(X512-D512))*D512)+T512/H512)/($B$14*(I512+IF(ABS(X512-D512)&lt;0.000000001,4*$B$19*$B$20*(D512+273)^3,$B$19*$B$20*((X512+273)^4-(D512+273)^4)/(X512-D512)))+1/H512)</f>
        <v/>
      </c>
      <c r="Z512">
        <f>IF(ABS(Y512-D512)&lt;0.000000001,4*$B$19*$B$20*(D512+273)^3,$B$19*$B$20*((Y512+273)^4-(D512+273)^4)/(Y512-D512))</f>
        <v/>
      </c>
      <c r="AA512">
        <f>$B$14*I512*(Y512-C512)</f>
        <v/>
      </c>
      <c r="AB512">
        <f>$B$14*Z512*(Y512-D512)</f>
        <v/>
      </c>
      <c r="AC512">
        <f>IF((U512-E512)/G512=0,0.001,(U512-E512)/G512)</f>
        <v/>
      </c>
      <c r="AD512">
        <f>F512-P512-J512-K512-AA512-AB512</f>
        <v/>
      </c>
      <c r="AE512">
        <f>AD512/AC512</f>
        <v/>
      </c>
      <c r="AF512">
        <f>IF(AD512&lt;=0,0,IF(AC512&lt;=0,$B$11,IF(AE512&gt;=1.7,$B$11,MIN(AD512/MAX(0.05,IF(AE512&gt;1,(2-AE512)^2/2,1-AE512^2/2)),$B$11))))</f>
        <v/>
      </c>
      <c r="AG512">
        <f>AG511*$B$28+AF512*(1-$B$28)</f>
        <v/>
      </c>
      <c r="AH512">
        <f>IF(AND(AD512&gt;0,AC512&lt;=0),0,AC512)</f>
        <v/>
      </c>
      <c r="AI512">
        <f>AH512/MAX(AG512,0.000001)</f>
        <v/>
      </c>
      <c r="AJ512">
        <f>MIN(IF(AI512&gt;=0.5,-AI512+SQRT(AI512^2+2),1),$B$12)</f>
        <v/>
      </c>
      <c r="AK512">
        <f>IF(AG512&lt;=0,0,AJ512*AH512)</f>
        <v/>
      </c>
      <c r="AL512">
        <f>IF(AD512&lt;=0,0,AD512)</f>
        <v/>
      </c>
      <c r="AM512">
        <f>AL512-AK512+P512</f>
        <v/>
      </c>
      <c r="AN512">
        <f>((AM512/$B$7+T511*AS511/2-T512*MAX(0.1,MIN(0.3,0.3-0.09*(AR511-36.8)))/2)+AR511*(1-AS511/2))/(1-MAX(0.1,MIN(0.3,0.3-0.09*(AR511-36.8)))/2)</f>
        <v/>
      </c>
      <c r="AO512">
        <f>((AM512/$B$7+T511*AS511/2-T512*MAX(0.1,MIN(0.3,0.3-0.09*(AN512-36.8)))/2)+AR511*(1-AS511/2))/(1-MAX(0.1,MIN(0.3,0.3-0.09*(AN512-36.8)))/2)</f>
        <v/>
      </c>
      <c r="AP512">
        <f>((AM512/$B$7+T511*AS511/2-T512*MAX(0.1,MIN(0.3,0.3-0.09*(AO512-36.8)))/2)+AR511*(1-AS511/2))/(1-MAX(0.1,MIN(0.3,0.3-0.09*(AO512-36.8)))/2)</f>
        <v/>
      </c>
      <c r="AQ512">
        <f>((AM512/$B$7+T511*AS511/2-T512*MAX(0.1,MIN(0.3,0.3-0.09*(AP512-36.8)))/2)+AR511*(1-AS511/2))/(1-MAX(0.1,MIN(0.3,0.3-0.09*(AP512-36.8)))/2)</f>
        <v/>
      </c>
      <c r="AR512">
        <f>((AM512/$B$7+T511*AS511/2-T512*MAX(0.1,MIN(0.3,0.3-0.09*(AQ512-36.8)))/2)+AR511*(1-AS511/2))/(1-MAX(0.1,MIN(0.3,0.3-0.09*(AQ512-36.8)))/2)</f>
        <v/>
      </c>
      <c r="AS512">
        <f>MAX(0.1,MIN(0.3,0.3-0.09*(AR512-36.8)))</f>
        <v/>
      </c>
      <c r="AT512">
        <f>AT511+(2*AR512-1.962*AT511-1.31)/9</f>
        <v/>
      </c>
      <c r="AU512">
        <f>AU511+AG512+K512</f>
        <v/>
      </c>
      <c r="AV512">
        <f>AU512*2.67*$B$6/1.8/60</f>
        <v/>
      </c>
      <c r="AW512">
        <f>IF(AT512&gt;=$B$36,1,0)</f>
        <v/>
      </c>
      <c r="AX512">
        <f>IF(AV512&gt;=$B$21,1,0)</f>
        <v/>
      </c>
    </row>
    <row r="513">
      <c r="A513" t="n">
        <v>440</v>
      </c>
      <c r="B513">
        <f>MATCH(A513-1,$D$61:$D$68,1)</f>
        <v/>
      </c>
      <c r="C513">
        <f>INDEX($G$61:$G$68,B513)</f>
        <v/>
      </c>
      <c r="D513">
        <f>INDEX($L$61:$L$68,B513)</f>
        <v/>
      </c>
      <c r="E513">
        <f>INDEX($M$61:$M$68,B513)</f>
        <v/>
      </c>
      <c r="F513">
        <f>INDEX($N$61:$N$68,B513)</f>
        <v/>
      </c>
      <c r="G513">
        <f>INDEX($AA$61:$AA$68,B513)</f>
        <v/>
      </c>
      <c r="H513">
        <f>INDEX($X$61:$X$68,B513)</f>
        <v/>
      </c>
      <c r="I513">
        <f>INDEX($AF$61:$AF$68,B513)</f>
        <v/>
      </c>
      <c r="J513">
        <f>INDEX($AC$61:$AC$68,B513)</f>
        <v/>
      </c>
      <c r="K513">
        <f>INDEX($AD$61:$AD$68,B513)</f>
        <v/>
      </c>
      <c r="L513">
        <f>INDEX($AG$61:$AG$68,B513)</f>
        <v/>
      </c>
      <c r="M513">
        <f>INDEX($AH$61:$AH$68,B513)</f>
        <v/>
      </c>
      <c r="N513">
        <f>INDEX($AI$61:$AI$68,B513)</f>
        <v/>
      </c>
      <c r="O513">
        <f>O512*$B$26+L513*(1-$B$26)</f>
        <v/>
      </c>
      <c r="P513">
        <f>$B$7*(O513-O512)*(1-AS512)</f>
        <v/>
      </c>
      <c r="Q513">
        <f>M513+0.51274*AT512</f>
        <v/>
      </c>
      <c r="R513">
        <f>N513+0.616*AT512</f>
        <v/>
      </c>
      <c r="S513">
        <f>IF($B$13&gt;=0.6,Q513,IF($B$13&lt;=0.2,R513,R513+2.5*(Q513-R513)*($B$13-0.2)))</f>
        <v/>
      </c>
      <c r="T513">
        <f>IF(A513=1,S513,T512*$B$27+S513*(1-$B$27))</f>
        <v/>
      </c>
      <c r="U513">
        <f>0.6105*EXP(17.27*T513/(T513+237.3))</f>
        <v/>
      </c>
      <c r="V513">
        <f>($B$14*(I513*C513+IF(ABS((D513+0.1)-D513)&lt;0.000000001,4*$B$19*$B$20*(D513+273)^3,$B$19*$B$20*(((D513+0.1)+273)^4-(D513+273)^4)/((D513+0.1)-D513))*D513)+T513/H513)/($B$14*(I513+IF(ABS((D513+0.1)-D513)&lt;0.000000001,4*$B$19*$B$20*(D513+273)^3,$B$19*$B$20*(((D513+0.1)+273)^4-(D513+273)^4)/((D513+0.1)-D513)))+1/H513)</f>
        <v/>
      </c>
      <c r="W513">
        <f>($B$14*(I513*C513+IF(ABS(V513-D513)&lt;0.000000001,4*$B$19*$B$20*(D513+273)^3,$B$19*$B$20*((V513+273)^4-(D513+273)^4)/(V513-D513))*D513)+T513/H513)/($B$14*(I513+IF(ABS(V513-D513)&lt;0.000000001,4*$B$19*$B$20*(D513+273)^3,$B$19*$B$20*((V513+273)^4-(D513+273)^4)/(V513-D513)))+1/H513)</f>
        <v/>
      </c>
      <c r="X513">
        <f>($B$14*(I513*C513+IF(ABS(W513-D513)&lt;0.000000001,4*$B$19*$B$20*(D513+273)^3,$B$19*$B$20*((W513+273)^4-(D513+273)^4)/(W513-D513))*D513)+T513/H513)/($B$14*(I513+IF(ABS(W513-D513)&lt;0.000000001,4*$B$19*$B$20*(D513+273)^3,$B$19*$B$20*((W513+273)^4-(D513+273)^4)/(W513-D513)))+1/H513)</f>
        <v/>
      </c>
      <c r="Y513">
        <f>($B$14*(I513*C513+IF(ABS(X513-D513)&lt;0.000000001,4*$B$19*$B$20*(D513+273)^3,$B$19*$B$20*((X513+273)^4-(D513+273)^4)/(X513-D513))*D513)+T513/H513)/($B$14*(I513+IF(ABS(X513-D513)&lt;0.000000001,4*$B$19*$B$20*(D513+273)^3,$B$19*$B$20*((X513+273)^4-(D513+273)^4)/(X513-D513)))+1/H513)</f>
        <v/>
      </c>
      <c r="Z513">
        <f>IF(ABS(Y513-D513)&lt;0.000000001,4*$B$19*$B$20*(D513+273)^3,$B$19*$B$20*((Y513+273)^4-(D513+273)^4)/(Y513-D513))</f>
        <v/>
      </c>
      <c r="AA513">
        <f>$B$14*I513*(Y513-C513)</f>
        <v/>
      </c>
      <c r="AB513">
        <f>$B$14*Z513*(Y513-D513)</f>
        <v/>
      </c>
      <c r="AC513">
        <f>IF((U513-E513)/G513=0,0.001,(U513-E513)/G513)</f>
        <v/>
      </c>
      <c r="AD513">
        <f>F513-P513-J513-K513-AA513-AB513</f>
        <v/>
      </c>
      <c r="AE513">
        <f>AD513/AC513</f>
        <v/>
      </c>
      <c r="AF513">
        <f>IF(AD513&lt;=0,0,IF(AC513&lt;=0,$B$11,IF(AE513&gt;=1.7,$B$11,MIN(AD513/MAX(0.05,IF(AE513&gt;1,(2-AE513)^2/2,1-AE513^2/2)),$B$11))))</f>
        <v/>
      </c>
      <c r="AG513">
        <f>AG512*$B$28+AF513*(1-$B$28)</f>
        <v/>
      </c>
      <c r="AH513">
        <f>IF(AND(AD513&gt;0,AC513&lt;=0),0,AC513)</f>
        <v/>
      </c>
      <c r="AI513">
        <f>AH513/MAX(AG513,0.000001)</f>
        <v/>
      </c>
      <c r="AJ513">
        <f>MIN(IF(AI513&gt;=0.5,-AI513+SQRT(AI513^2+2),1),$B$12)</f>
        <v/>
      </c>
      <c r="AK513">
        <f>IF(AG513&lt;=0,0,AJ513*AH513)</f>
        <v/>
      </c>
      <c r="AL513">
        <f>IF(AD513&lt;=0,0,AD513)</f>
        <v/>
      </c>
      <c r="AM513">
        <f>AL513-AK513+P513</f>
        <v/>
      </c>
      <c r="AN513">
        <f>((AM513/$B$7+T512*AS512/2-T513*MAX(0.1,MIN(0.3,0.3-0.09*(AR512-36.8)))/2)+AR512*(1-AS512/2))/(1-MAX(0.1,MIN(0.3,0.3-0.09*(AR512-36.8)))/2)</f>
        <v/>
      </c>
      <c r="AO513">
        <f>((AM513/$B$7+T512*AS512/2-T513*MAX(0.1,MIN(0.3,0.3-0.09*(AN513-36.8)))/2)+AR512*(1-AS512/2))/(1-MAX(0.1,MIN(0.3,0.3-0.09*(AN513-36.8)))/2)</f>
        <v/>
      </c>
      <c r="AP513">
        <f>((AM513/$B$7+T512*AS512/2-T513*MAX(0.1,MIN(0.3,0.3-0.09*(AO513-36.8)))/2)+AR512*(1-AS512/2))/(1-MAX(0.1,MIN(0.3,0.3-0.09*(AO513-36.8)))/2)</f>
        <v/>
      </c>
      <c r="AQ513">
        <f>((AM513/$B$7+T512*AS512/2-T513*MAX(0.1,MIN(0.3,0.3-0.09*(AP513-36.8)))/2)+AR512*(1-AS512/2))/(1-MAX(0.1,MIN(0.3,0.3-0.09*(AP513-36.8)))/2)</f>
        <v/>
      </c>
      <c r="AR513">
        <f>((AM513/$B$7+T512*AS512/2-T513*MAX(0.1,MIN(0.3,0.3-0.09*(AQ513-36.8)))/2)+AR512*(1-AS512/2))/(1-MAX(0.1,MIN(0.3,0.3-0.09*(AQ513-36.8)))/2)</f>
        <v/>
      </c>
      <c r="AS513">
        <f>MAX(0.1,MIN(0.3,0.3-0.09*(AR513-36.8)))</f>
        <v/>
      </c>
      <c r="AT513">
        <f>AT512+(2*AR513-1.962*AT512-1.31)/9</f>
        <v/>
      </c>
      <c r="AU513">
        <f>AU512+AG513+K513</f>
        <v/>
      </c>
      <c r="AV513">
        <f>AU513*2.67*$B$6/1.8/60</f>
        <v/>
      </c>
      <c r="AW513">
        <f>IF(AT513&gt;=$B$36,1,0)</f>
        <v/>
      </c>
      <c r="AX513">
        <f>IF(AV513&gt;=$B$21,1,0)</f>
        <v/>
      </c>
    </row>
    <row r="514">
      <c r="A514" t="n">
        <v>441</v>
      </c>
      <c r="B514">
        <f>MATCH(A514-1,$D$61:$D$68,1)</f>
        <v/>
      </c>
      <c r="C514">
        <f>INDEX($G$61:$G$68,B514)</f>
        <v/>
      </c>
      <c r="D514">
        <f>INDEX($L$61:$L$68,B514)</f>
        <v/>
      </c>
      <c r="E514">
        <f>INDEX($M$61:$M$68,B514)</f>
        <v/>
      </c>
      <c r="F514">
        <f>INDEX($N$61:$N$68,B514)</f>
        <v/>
      </c>
      <c r="G514">
        <f>INDEX($AA$61:$AA$68,B514)</f>
        <v/>
      </c>
      <c r="H514">
        <f>INDEX($X$61:$X$68,B514)</f>
        <v/>
      </c>
      <c r="I514">
        <f>INDEX($AF$61:$AF$68,B514)</f>
        <v/>
      </c>
      <c r="J514">
        <f>INDEX($AC$61:$AC$68,B514)</f>
        <v/>
      </c>
      <c r="K514">
        <f>INDEX($AD$61:$AD$68,B514)</f>
        <v/>
      </c>
      <c r="L514">
        <f>INDEX($AG$61:$AG$68,B514)</f>
        <v/>
      </c>
      <c r="M514">
        <f>INDEX($AH$61:$AH$68,B514)</f>
        <v/>
      </c>
      <c r="N514">
        <f>INDEX($AI$61:$AI$68,B514)</f>
        <v/>
      </c>
      <c r="O514">
        <f>O513*$B$26+L514*(1-$B$26)</f>
        <v/>
      </c>
      <c r="P514">
        <f>$B$7*(O514-O513)*(1-AS513)</f>
        <v/>
      </c>
      <c r="Q514">
        <f>M514+0.51274*AT513</f>
        <v/>
      </c>
      <c r="R514">
        <f>N514+0.616*AT513</f>
        <v/>
      </c>
      <c r="S514">
        <f>IF($B$13&gt;=0.6,Q514,IF($B$13&lt;=0.2,R514,R514+2.5*(Q514-R514)*($B$13-0.2)))</f>
        <v/>
      </c>
      <c r="T514">
        <f>IF(A514=1,S514,T513*$B$27+S514*(1-$B$27))</f>
        <v/>
      </c>
      <c r="U514">
        <f>0.6105*EXP(17.27*T514/(T514+237.3))</f>
        <v/>
      </c>
      <c r="V514">
        <f>($B$14*(I514*C514+IF(ABS((D514+0.1)-D514)&lt;0.000000001,4*$B$19*$B$20*(D514+273)^3,$B$19*$B$20*(((D514+0.1)+273)^4-(D514+273)^4)/((D514+0.1)-D514))*D514)+T514/H514)/($B$14*(I514+IF(ABS((D514+0.1)-D514)&lt;0.000000001,4*$B$19*$B$20*(D514+273)^3,$B$19*$B$20*(((D514+0.1)+273)^4-(D514+273)^4)/((D514+0.1)-D514)))+1/H514)</f>
        <v/>
      </c>
      <c r="W514">
        <f>($B$14*(I514*C514+IF(ABS(V514-D514)&lt;0.000000001,4*$B$19*$B$20*(D514+273)^3,$B$19*$B$20*((V514+273)^4-(D514+273)^4)/(V514-D514))*D514)+T514/H514)/($B$14*(I514+IF(ABS(V514-D514)&lt;0.000000001,4*$B$19*$B$20*(D514+273)^3,$B$19*$B$20*((V514+273)^4-(D514+273)^4)/(V514-D514)))+1/H514)</f>
        <v/>
      </c>
      <c r="X514">
        <f>($B$14*(I514*C514+IF(ABS(W514-D514)&lt;0.000000001,4*$B$19*$B$20*(D514+273)^3,$B$19*$B$20*((W514+273)^4-(D514+273)^4)/(W514-D514))*D514)+T514/H514)/($B$14*(I514+IF(ABS(W514-D514)&lt;0.000000001,4*$B$19*$B$20*(D514+273)^3,$B$19*$B$20*((W514+273)^4-(D514+273)^4)/(W514-D514)))+1/H514)</f>
        <v/>
      </c>
      <c r="Y514">
        <f>($B$14*(I514*C514+IF(ABS(X514-D514)&lt;0.000000001,4*$B$19*$B$20*(D514+273)^3,$B$19*$B$20*((X514+273)^4-(D514+273)^4)/(X514-D514))*D514)+T514/H514)/($B$14*(I514+IF(ABS(X514-D514)&lt;0.000000001,4*$B$19*$B$20*(D514+273)^3,$B$19*$B$20*((X514+273)^4-(D514+273)^4)/(X514-D514)))+1/H514)</f>
        <v/>
      </c>
      <c r="Z514">
        <f>IF(ABS(Y514-D514)&lt;0.000000001,4*$B$19*$B$20*(D514+273)^3,$B$19*$B$20*((Y514+273)^4-(D514+273)^4)/(Y514-D514))</f>
        <v/>
      </c>
      <c r="AA514">
        <f>$B$14*I514*(Y514-C514)</f>
        <v/>
      </c>
      <c r="AB514">
        <f>$B$14*Z514*(Y514-D514)</f>
        <v/>
      </c>
      <c r="AC514">
        <f>IF((U514-E514)/G514=0,0.001,(U514-E514)/G514)</f>
        <v/>
      </c>
      <c r="AD514">
        <f>F514-P514-J514-K514-AA514-AB514</f>
        <v/>
      </c>
      <c r="AE514">
        <f>AD514/AC514</f>
        <v/>
      </c>
      <c r="AF514">
        <f>IF(AD514&lt;=0,0,IF(AC514&lt;=0,$B$11,IF(AE514&gt;=1.7,$B$11,MIN(AD514/MAX(0.05,IF(AE514&gt;1,(2-AE514)^2/2,1-AE514^2/2)),$B$11))))</f>
        <v/>
      </c>
      <c r="AG514">
        <f>AG513*$B$28+AF514*(1-$B$28)</f>
        <v/>
      </c>
      <c r="AH514">
        <f>IF(AND(AD514&gt;0,AC514&lt;=0),0,AC514)</f>
        <v/>
      </c>
      <c r="AI514">
        <f>AH514/MAX(AG514,0.000001)</f>
        <v/>
      </c>
      <c r="AJ514">
        <f>MIN(IF(AI514&gt;=0.5,-AI514+SQRT(AI514^2+2),1),$B$12)</f>
        <v/>
      </c>
      <c r="AK514">
        <f>IF(AG514&lt;=0,0,AJ514*AH514)</f>
        <v/>
      </c>
      <c r="AL514">
        <f>IF(AD514&lt;=0,0,AD514)</f>
        <v/>
      </c>
      <c r="AM514">
        <f>AL514-AK514+P514</f>
        <v/>
      </c>
      <c r="AN514">
        <f>((AM514/$B$7+T513*AS513/2-T514*MAX(0.1,MIN(0.3,0.3-0.09*(AR513-36.8)))/2)+AR513*(1-AS513/2))/(1-MAX(0.1,MIN(0.3,0.3-0.09*(AR513-36.8)))/2)</f>
        <v/>
      </c>
      <c r="AO514">
        <f>((AM514/$B$7+T513*AS513/2-T514*MAX(0.1,MIN(0.3,0.3-0.09*(AN514-36.8)))/2)+AR513*(1-AS513/2))/(1-MAX(0.1,MIN(0.3,0.3-0.09*(AN514-36.8)))/2)</f>
        <v/>
      </c>
      <c r="AP514">
        <f>((AM514/$B$7+T513*AS513/2-T514*MAX(0.1,MIN(0.3,0.3-0.09*(AO514-36.8)))/2)+AR513*(1-AS513/2))/(1-MAX(0.1,MIN(0.3,0.3-0.09*(AO514-36.8)))/2)</f>
        <v/>
      </c>
      <c r="AQ514">
        <f>((AM514/$B$7+T513*AS513/2-T514*MAX(0.1,MIN(0.3,0.3-0.09*(AP514-36.8)))/2)+AR513*(1-AS513/2))/(1-MAX(0.1,MIN(0.3,0.3-0.09*(AP514-36.8)))/2)</f>
        <v/>
      </c>
      <c r="AR514">
        <f>((AM514/$B$7+T513*AS513/2-T514*MAX(0.1,MIN(0.3,0.3-0.09*(AQ514-36.8)))/2)+AR513*(1-AS513/2))/(1-MAX(0.1,MIN(0.3,0.3-0.09*(AQ514-36.8)))/2)</f>
        <v/>
      </c>
      <c r="AS514">
        <f>MAX(0.1,MIN(0.3,0.3-0.09*(AR514-36.8)))</f>
        <v/>
      </c>
      <c r="AT514">
        <f>AT513+(2*AR514-1.962*AT513-1.31)/9</f>
        <v/>
      </c>
      <c r="AU514">
        <f>AU513+AG514+K514</f>
        <v/>
      </c>
      <c r="AV514">
        <f>AU514*2.67*$B$6/1.8/60</f>
        <v/>
      </c>
      <c r="AW514">
        <f>IF(AT514&gt;=$B$36,1,0)</f>
        <v/>
      </c>
      <c r="AX514">
        <f>IF(AV514&gt;=$B$21,1,0)</f>
        <v/>
      </c>
    </row>
    <row r="515">
      <c r="A515" t="n">
        <v>442</v>
      </c>
      <c r="B515">
        <f>MATCH(A515-1,$D$61:$D$68,1)</f>
        <v/>
      </c>
      <c r="C515">
        <f>INDEX($G$61:$G$68,B515)</f>
        <v/>
      </c>
      <c r="D515">
        <f>INDEX($L$61:$L$68,B515)</f>
        <v/>
      </c>
      <c r="E515">
        <f>INDEX($M$61:$M$68,B515)</f>
        <v/>
      </c>
      <c r="F515">
        <f>INDEX($N$61:$N$68,B515)</f>
        <v/>
      </c>
      <c r="G515">
        <f>INDEX($AA$61:$AA$68,B515)</f>
        <v/>
      </c>
      <c r="H515">
        <f>INDEX($X$61:$X$68,B515)</f>
        <v/>
      </c>
      <c r="I515">
        <f>INDEX($AF$61:$AF$68,B515)</f>
        <v/>
      </c>
      <c r="J515">
        <f>INDEX($AC$61:$AC$68,B515)</f>
        <v/>
      </c>
      <c r="K515">
        <f>INDEX($AD$61:$AD$68,B515)</f>
        <v/>
      </c>
      <c r="L515">
        <f>INDEX($AG$61:$AG$68,B515)</f>
        <v/>
      </c>
      <c r="M515">
        <f>INDEX($AH$61:$AH$68,B515)</f>
        <v/>
      </c>
      <c r="N515">
        <f>INDEX($AI$61:$AI$68,B515)</f>
        <v/>
      </c>
      <c r="O515">
        <f>O514*$B$26+L515*(1-$B$26)</f>
        <v/>
      </c>
      <c r="P515">
        <f>$B$7*(O515-O514)*(1-AS514)</f>
        <v/>
      </c>
      <c r="Q515">
        <f>M515+0.51274*AT514</f>
        <v/>
      </c>
      <c r="R515">
        <f>N515+0.616*AT514</f>
        <v/>
      </c>
      <c r="S515">
        <f>IF($B$13&gt;=0.6,Q515,IF($B$13&lt;=0.2,R515,R515+2.5*(Q515-R515)*($B$13-0.2)))</f>
        <v/>
      </c>
      <c r="T515">
        <f>IF(A515=1,S515,T514*$B$27+S515*(1-$B$27))</f>
        <v/>
      </c>
      <c r="U515">
        <f>0.6105*EXP(17.27*T515/(T515+237.3))</f>
        <v/>
      </c>
      <c r="V515">
        <f>($B$14*(I515*C515+IF(ABS((D515+0.1)-D515)&lt;0.000000001,4*$B$19*$B$20*(D515+273)^3,$B$19*$B$20*(((D515+0.1)+273)^4-(D515+273)^4)/((D515+0.1)-D515))*D515)+T515/H515)/($B$14*(I515+IF(ABS((D515+0.1)-D515)&lt;0.000000001,4*$B$19*$B$20*(D515+273)^3,$B$19*$B$20*(((D515+0.1)+273)^4-(D515+273)^4)/((D515+0.1)-D515)))+1/H515)</f>
        <v/>
      </c>
      <c r="W515">
        <f>($B$14*(I515*C515+IF(ABS(V515-D515)&lt;0.000000001,4*$B$19*$B$20*(D515+273)^3,$B$19*$B$20*((V515+273)^4-(D515+273)^4)/(V515-D515))*D515)+T515/H515)/($B$14*(I515+IF(ABS(V515-D515)&lt;0.000000001,4*$B$19*$B$20*(D515+273)^3,$B$19*$B$20*((V515+273)^4-(D515+273)^4)/(V515-D515)))+1/H515)</f>
        <v/>
      </c>
      <c r="X515">
        <f>($B$14*(I515*C515+IF(ABS(W515-D515)&lt;0.000000001,4*$B$19*$B$20*(D515+273)^3,$B$19*$B$20*((W515+273)^4-(D515+273)^4)/(W515-D515))*D515)+T515/H515)/($B$14*(I515+IF(ABS(W515-D515)&lt;0.000000001,4*$B$19*$B$20*(D515+273)^3,$B$19*$B$20*((W515+273)^4-(D515+273)^4)/(W515-D515)))+1/H515)</f>
        <v/>
      </c>
      <c r="Y515">
        <f>($B$14*(I515*C515+IF(ABS(X515-D515)&lt;0.000000001,4*$B$19*$B$20*(D515+273)^3,$B$19*$B$20*((X515+273)^4-(D515+273)^4)/(X515-D515))*D515)+T515/H515)/($B$14*(I515+IF(ABS(X515-D515)&lt;0.000000001,4*$B$19*$B$20*(D515+273)^3,$B$19*$B$20*((X515+273)^4-(D515+273)^4)/(X515-D515)))+1/H515)</f>
        <v/>
      </c>
      <c r="Z515">
        <f>IF(ABS(Y515-D515)&lt;0.000000001,4*$B$19*$B$20*(D515+273)^3,$B$19*$B$20*((Y515+273)^4-(D515+273)^4)/(Y515-D515))</f>
        <v/>
      </c>
      <c r="AA515">
        <f>$B$14*I515*(Y515-C515)</f>
        <v/>
      </c>
      <c r="AB515">
        <f>$B$14*Z515*(Y515-D515)</f>
        <v/>
      </c>
      <c r="AC515">
        <f>IF((U515-E515)/G515=0,0.001,(U515-E515)/G515)</f>
        <v/>
      </c>
      <c r="AD515">
        <f>F515-P515-J515-K515-AA515-AB515</f>
        <v/>
      </c>
      <c r="AE515">
        <f>AD515/AC515</f>
        <v/>
      </c>
      <c r="AF515">
        <f>IF(AD515&lt;=0,0,IF(AC515&lt;=0,$B$11,IF(AE515&gt;=1.7,$B$11,MIN(AD515/MAX(0.05,IF(AE515&gt;1,(2-AE515)^2/2,1-AE515^2/2)),$B$11))))</f>
        <v/>
      </c>
      <c r="AG515">
        <f>AG514*$B$28+AF515*(1-$B$28)</f>
        <v/>
      </c>
      <c r="AH515">
        <f>IF(AND(AD515&gt;0,AC515&lt;=0),0,AC515)</f>
        <v/>
      </c>
      <c r="AI515">
        <f>AH515/MAX(AG515,0.000001)</f>
        <v/>
      </c>
      <c r="AJ515">
        <f>MIN(IF(AI515&gt;=0.5,-AI515+SQRT(AI515^2+2),1),$B$12)</f>
        <v/>
      </c>
      <c r="AK515">
        <f>IF(AG515&lt;=0,0,AJ515*AH515)</f>
        <v/>
      </c>
      <c r="AL515">
        <f>IF(AD515&lt;=0,0,AD515)</f>
        <v/>
      </c>
      <c r="AM515">
        <f>AL515-AK515+P515</f>
        <v/>
      </c>
      <c r="AN515">
        <f>((AM515/$B$7+T514*AS514/2-T515*MAX(0.1,MIN(0.3,0.3-0.09*(AR514-36.8)))/2)+AR514*(1-AS514/2))/(1-MAX(0.1,MIN(0.3,0.3-0.09*(AR514-36.8)))/2)</f>
        <v/>
      </c>
      <c r="AO515">
        <f>((AM515/$B$7+T514*AS514/2-T515*MAX(0.1,MIN(0.3,0.3-0.09*(AN515-36.8)))/2)+AR514*(1-AS514/2))/(1-MAX(0.1,MIN(0.3,0.3-0.09*(AN515-36.8)))/2)</f>
        <v/>
      </c>
      <c r="AP515">
        <f>((AM515/$B$7+T514*AS514/2-T515*MAX(0.1,MIN(0.3,0.3-0.09*(AO515-36.8)))/2)+AR514*(1-AS514/2))/(1-MAX(0.1,MIN(0.3,0.3-0.09*(AO515-36.8)))/2)</f>
        <v/>
      </c>
      <c r="AQ515">
        <f>((AM515/$B$7+T514*AS514/2-T515*MAX(0.1,MIN(0.3,0.3-0.09*(AP515-36.8)))/2)+AR514*(1-AS514/2))/(1-MAX(0.1,MIN(0.3,0.3-0.09*(AP515-36.8)))/2)</f>
        <v/>
      </c>
      <c r="AR515">
        <f>((AM515/$B$7+T514*AS514/2-T515*MAX(0.1,MIN(0.3,0.3-0.09*(AQ515-36.8)))/2)+AR514*(1-AS514/2))/(1-MAX(0.1,MIN(0.3,0.3-0.09*(AQ515-36.8)))/2)</f>
        <v/>
      </c>
      <c r="AS515">
        <f>MAX(0.1,MIN(0.3,0.3-0.09*(AR515-36.8)))</f>
        <v/>
      </c>
      <c r="AT515">
        <f>AT514+(2*AR515-1.962*AT514-1.31)/9</f>
        <v/>
      </c>
      <c r="AU515">
        <f>AU514+AG515+K515</f>
        <v/>
      </c>
      <c r="AV515">
        <f>AU515*2.67*$B$6/1.8/60</f>
        <v/>
      </c>
      <c r="AW515">
        <f>IF(AT515&gt;=$B$36,1,0)</f>
        <v/>
      </c>
      <c r="AX515">
        <f>IF(AV515&gt;=$B$21,1,0)</f>
        <v/>
      </c>
    </row>
    <row r="516">
      <c r="A516" t="n">
        <v>443</v>
      </c>
      <c r="B516">
        <f>MATCH(A516-1,$D$61:$D$68,1)</f>
        <v/>
      </c>
      <c r="C516">
        <f>INDEX($G$61:$G$68,B516)</f>
        <v/>
      </c>
      <c r="D516">
        <f>INDEX($L$61:$L$68,B516)</f>
        <v/>
      </c>
      <c r="E516">
        <f>INDEX($M$61:$M$68,B516)</f>
        <v/>
      </c>
      <c r="F516">
        <f>INDEX($N$61:$N$68,B516)</f>
        <v/>
      </c>
      <c r="G516">
        <f>INDEX($AA$61:$AA$68,B516)</f>
        <v/>
      </c>
      <c r="H516">
        <f>INDEX($X$61:$X$68,B516)</f>
        <v/>
      </c>
      <c r="I516">
        <f>INDEX($AF$61:$AF$68,B516)</f>
        <v/>
      </c>
      <c r="J516">
        <f>INDEX($AC$61:$AC$68,B516)</f>
        <v/>
      </c>
      <c r="K516">
        <f>INDEX($AD$61:$AD$68,B516)</f>
        <v/>
      </c>
      <c r="L516">
        <f>INDEX($AG$61:$AG$68,B516)</f>
        <v/>
      </c>
      <c r="M516">
        <f>INDEX($AH$61:$AH$68,B516)</f>
        <v/>
      </c>
      <c r="N516">
        <f>INDEX($AI$61:$AI$68,B516)</f>
        <v/>
      </c>
      <c r="O516">
        <f>O515*$B$26+L516*(1-$B$26)</f>
        <v/>
      </c>
      <c r="P516">
        <f>$B$7*(O516-O515)*(1-AS515)</f>
        <v/>
      </c>
      <c r="Q516">
        <f>M516+0.51274*AT515</f>
        <v/>
      </c>
      <c r="R516">
        <f>N516+0.616*AT515</f>
        <v/>
      </c>
      <c r="S516">
        <f>IF($B$13&gt;=0.6,Q516,IF($B$13&lt;=0.2,R516,R516+2.5*(Q516-R516)*($B$13-0.2)))</f>
        <v/>
      </c>
      <c r="T516">
        <f>IF(A516=1,S516,T515*$B$27+S516*(1-$B$27))</f>
        <v/>
      </c>
      <c r="U516">
        <f>0.6105*EXP(17.27*T516/(T516+237.3))</f>
        <v/>
      </c>
      <c r="V516">
        <f>($B$14*(I516*C516+IF(ABS((D516+0.1)-D516)&lt;0.000000001,4*$B$19*$B$20*(D516+273)^3,$B$19*$B$20*(((D516+0.1)+273)^4-(D516+273)^4)/((D516+0.1)-D516))*D516)+T516/H516)/($B$14*(I516+IF(ABS((D516+0.1)-D516)&lt;0.000000001,4*$B$19*$B$20*(D516+273)^3,$B$19*$B$20*(((D516+0.1)+273)^4-(D516+273)^4)/((D516+0.1)-D516)))+1/H516)</f>
        <v/>
      </c>
      <c r="W516">
        <f>($B$14*(I516*C516+IF(ABS(V516-D516)&lt;0.000000001,4*$B$19*$B$20*(D516+273)^3,$B$19*$B$20*((V516+273)^4-(D516+273)^4)/(V516-D516))*D516)+T516/H516)/($B$14*(I516+IF(ABS(V516-D516)&lt;0.000000001,4*$B$19*$B$20*(D516+273)^3,$B$19*$B$20*((V516+273)^4-(D516+273)^4)/(V516-D516)))+1/H516)</f>
        <v/>
      </c>
      <c r="X516">
        <f>($B$14*(I516*C516+IF(ABS(W516-D516)&lt;0.000000001,4*$B$19*$B$20*(D516+273)^3,$B$19*$B$20*((W516+273)^4-(D516+273)^4)/(W516-D516))*D516)+T516/H516)/($B$14*(I516+IF(ABS(W516-D516)&lt;0.000000001,4*$B$19*$B$20*(D516+273)^3,$B$19*$B$20*((W516+273)^4-(D516+273)^4)/(W516-D516)))+1/H516)</f>
        <v/>
      </c>
      <c r="Y516">
        <f>($B$14*(I516*C516+IF(ABS(X516-D516)&lt;0.000000001,4*$B$19*$B$20*(D516+273)^3,$B$19*$B$20*((X516+273)^4-(D516+273)^4)/(X516-D516))*D516)+T516/H516)/($B$14*(I516+IF(ABS(X516-D516)&lt;0.000000001,4*$B$19*$B$20*(D516+273)^3,$B$19*$B$20*((X516+273)^4-(D516+273)^4)/(X516-D516)))+1/H516)</f>
        <v/>
      </c>
      <c r="Z516">
        <f>IF(ABS(Y516-D516)&lt;0.000000001,4*$B$19*$B$20*(D516+273)^3,$B$19*$B$20*((Y516+273)^4-(D516+273)^4)/(Y516-D516))</f>
        <v/>
      </c>
      <c r="AA516">
        <f>$B$14*I516*(Y516-C516)</f>
        <v/>
      </c>
      <c r="AB516">
        <f>$B$14*Z516*(Y516-D516)</f>
        <v/>
      </c>
      <c r="AC516">
        <f>IF((U516-E516)/G516=0,0.001,(U516-E516)/G516)</f>
        <v/>
      </c>
      <c r="AD516">
        <f>F516-P516-J516-K516-AA516-AB516</f>
        <v/>
      </c>
      <c r="AE516">
        <f>AD516/AC516</f>
        <v/>
      </c>
      <c r="AF516">
        <f>IF(AD516&lt;=0,0,IF(AC516&lt;=0,$B$11,IF(AE516&gt;=1.7,$B$11,MIN(AD516/MAX(0.05,IF(AE516&gt;1,(2-AE516)^2/2,1-AE516^2/2)),$B$11))))</f>
        <v/>
      </c>
      <c r="AG516">
        <f>AG515*$B$28+AF516*(1-$B$28)</f>
        <v/>
      </c>
      <c r="AH516">
        <f>IF(AND(AD516&gt;0,AC516&lt;=0),0,AC516)</f>
        <v/>
      </c>
      <c r="AI516">
        <f>AH516/MAX(AG516,0.000001)</f>
        <v/>
      </c>
      <c r="AJ516">
        <f>MIN(IF(AI516&gt;=0.5,-AI516+SQRT(AI516^2+2),1),$B$12)</f>
        <v/>
      </c>
      <c r="AK516">
        <f>IF(AG516&lt;=0,0,AJ516*AH516)</f>
        <v/>
      </c>
      <c r="AL516">
        <f>IF(AD516&lt;=0,0,AD516)</f>
        <v/>
      </c>
      <c r="AM516">
        <f>AL516-AK516+P516</f>
        <v/>
      </c>
      <c r="AN516">
        <f>((AM516/$B$7+T515*AS515/2-T516*MAX(0.1,MIN(0.3,0.3-0.09*(AR515-36.8)))/2)+AR515*(1-AS515/2))/(1-MAX(0.1,MIN(0.3,0.3-0.09*(AR515-36.8)))/2)</f>
        <v/>
      </c>
      <c r="AO516">
        <f>((AM516/$B$7+T515*AS515/2-T516*MAX(0.1,MIN(0.3,0.3-0.09*(AN516-36.8)))/2)+AR515*(1-AS515/2))/(1-MAX(0.1,MIN(0.3,0.3-0.09*(AN516-36.8)))/2)</f>
        <v/>
      </c>
      <c r="AP516">
        <f>((AM516/$B$7+T515*AS515/2-T516*MAX(0.1,MIN(0.3,0.3-0.09*(AO516-36.8)))/2)+AR515*(1-AS515/2))/(1-MAX(0.1,MIN(0.3,0.3-0.09*(AO516-36.8)))/2)</f>
        <v/>
      </c>
      <c r="AQ516">
        <f>((AM516/$B$7+T515*AS515/2-T516*MAX(0.1,MIN(0.3,0.3-0.09*(AP516-36.8)))/2)+AR515*(1-AS515/2))/(1-MAX(0.1,MIN(0.3,0.3-0.09*(AP516-36.8)))/2)</f>
        <v/>
      </c>
      <c r="AR516">
        <f>((AM516/$B$7+T515*AS515/2-T516*MAX(0.1,MIN(0.3,0.3-0.09*(AQ516-36.8)))/2)+AR515*(1-AS515/2))/(1-MAX(0.1,MIN(0.3,0.3-0.09*(AQ516-36.8)))/2)</f>
        <v/>
      </c>
      <c r="AS516">
        <f>MAX(0.1,MIN(0.3,0.3-0.09*(AR516-36.8)))</f>
        <v/>
      </c>
      <c r="AT516">
        <f>AT515+(2*AR516-1.962*AT515-1.31)/9</f>
        <v/>
      </c>
      <c r="AU516">
        <f>AU515+AG516+K516</f>
        <v/>
      </c>
      <c r="AV516">
        <f>AU516*2.67*$B$6/1.8/60</f>
        <v/>
      </c>
      <c r="AW516">
        <f>IF(AT516&gt;=$B$36,1,0)</f>
        <v/>
      </c>
      <c r="AX516">
        <f>IF(AV516&gt;=$B$21,1,0)</f>
        <v/>
      </c>
    </row>
    <row r="517">
      <c r="A517" t="n">
        <v>444</v>
      </c>
      <c r="B517">
        <f>MATCH(A517-1,$D$61:$D$68,1)</f>
        <v/>
      </c>
      <c r="C517">
        <f>INDEX($G$61:$G$68,B517)</f>
        <v/>
      </c>
      <c r="D517">
        <f>INDEX($L$61:$L$68,B517)</f>
        <v/>
      </c>
      <c r="E517">
        <f>INDEX($M$61:$M$68,B517)</f>
        <v/>
      </c>
      <c r="F517">
        <f>INDEX($N$61:$N$68,B517)</f>
        <v/>
      </c>
      <c r="G517">
        <f>INDEX($AA$61:$AA$68,B517)</f>
        <v/>
      </c>
      <c r="H517">
        <f>INDEX($X$61:$X$68,B517)</f>
        <v/>
      </c>
      <c r="I517">
        <f>INDEX($AF$61:$AF$68,B517)</f>
        <v/>
      </c>
      <c r="J517">
        <f>INDEX($AC$61:$AC$68,B517)</f>
        <v/>
      </c>
      <c r="K517">
        <f>INDEX($AD$61:$AD$68,B517)</f>
        <v/>
      </c>
      <c r="L517">
        <f>INDEX($AG$61:$AG$68,B517)</f>
        <v/>
      </c>
      <c r="M517">
        <f>INDEX($AH$61:$AH$68,B517)</f>
        <v/>
      </c>
      <c r="N517">
        <f>INDEX($AI$61:$AI$68,B517)</f>
        <v/>
      </c>
      <c r="O517">
        <f>O516*$B$26+L517*(1-$B$26)</f>
        <v/>
      </c>
      <c r="P517">
        <f>$B$7*(O517-O516)*(1-AS516)</f>
        <v/>
      </c>
      <c r="Q517">
        <f>M517+0.51274*AT516</f>
        <v/>
      </c>
      <c r="R517">
        <f>N517+0.616*AT516</f>
        <v/>
      </c>
      <c r="S517">
        <f>IF($B$13&gt;=0.6,Q517,IF($B$13&lt;=0.2,R517,R517+2.5*(Q517-R517)*($B$13-0.2)))</f>
        <v/>
      </c>
      <c r="T517">
        <f>IF(A517=1,S517,T516*$B$27+S517*(1-$B$27))</f>
        <v/>
      </c>
      <c r="U517">
        <f>0.6105*EXP(17.27*T517/(T517+237.3))</f>
        <v/>
      </c>
      <c r="V517">
        <f>($B$14*(I517*C517+IF(ABS((D517+0.1)-D517)&lt;0.000000001,4*$B$19*$B$20*(D517+273)^3,$B$19*$B$20*(((D517+0.1)+273)^4-(D517+273)^4)/((D517+0.1)-D517))*D517)+T517/H517)/($B$14*(I517+IF(ABS((D517+0.1)-D517)&lt;0.000000001,4*$B$19*$B$20*(D517+273)^3,$B$19*$B$20*(((D517+0.1)+273)^4-(D517+273)^4)/((D517+0.1)-D517)))+1/H517)</f>
        <v/>
      </c>
      <c r="W517">
        <f>($B$14*(I517*C517+IF(ABS(V517-D517)&lt;0.000000001,4*$B$19*$B$20*(D517+273)^3,$B$19*$B$20*((V517+273)^4-(D517+273)^4)/(V517-D517))*D517)+T517/H517)/($B$14*(I517+IF(ABS(V517-D517)&lt;0.000000001,4*$B$19*$B$20*(D517+273)^3,$B$19*$B$20*((V517+273)^4-(D517+273)^4)/(V517-D517)))+1/H517)</f>
        <v/>
      </c>
      <c r="X517">
        <f>($B$14*(I517*C517+IF(ABS(W517-D517)&lt;0.000000001,4*$B$19*$B$20*(D517+273)^3,$B$19*$B$20*((W517+273)^4-(D517+273)^4)/(W517-D517))*D517)+T517/H517)/($B$14*(I517+IF(ABS(W517-D517)&lt;0.000000001,4*$B$19*$B$20*(D517+273)^3,$B$19*$B$20*((W517+273)^4-(D517+273)^4)/(W517-D517)))+1/H517)</f>
        <v/>
      </c>
      <c r="Y517">
        <f>($B$14*(I517*C517+IF(ABS(X517-D517)&lt;0.000000001,4*$B$19*$B$20*(D517+273)^3,$B$19*$B$20*((X517+273)^4-(D517+273)^4)/(X517-D517))*D517)+T517/H517)/($B$14*(I517+IF(ABS(X517-D517)&lt;0.000000001,4*$B$19*$B$20*(D517+273)^3,$B$19*$B$20*((X517+273)^4-(D517+273)^4)/(X517-D517)))+1/H517)</f>
        <v/>
      </c>
      <c r="Z517">
        <f>IF(ABS(Y517-D517)&lt;0.000000001,4*$B$19*$B$20*(D517+273)^3,$B$19*$B$20*((Y517+273)^4-(D517+273)^4)/(Y517-D517))</f>
        <v/>
      </c>
      <c r="AA517">
        <f>$B$14*I517*(Y517-C517)</f>
        <v/>
      </c>
      <c r="AB517">
        <f>$B$14*Z517*(Y517-D517)</f>
        <v/>
      </c>
      <c r="AC517">
        <f>IF((U517-E517)/G517=0,0.001,(U517-E517)/G517)</f>
        <v/>
      </c>
      <c r="AD517">
        <f>F517-P517-J517-K517-AA517-AB517</f>
        <v/>
      </c>
      <c r="AE517">
        <f>AD517/AC517</f>
        <v/>
      </c>
      <c r="AF517">
        <f>IF(AD517&lt;=0,0,IF(AC517&lt;=0,$B$11,IF(AE517&gt;=1.7,$B$11,MIN(AD517/MAX(0.05,IF(AE517&gt;1,(2-AE517)^2/2,1-AE517^2/2)),$B$11))))</f>
        <v/>
      </c>
      <c r="AG517">
        <f>AG516*$B$28+AF517*(1-$B$28)</f>
        <v/>
      </c>
      <c r="AH517">
        <f>IF(AND(AD517&gt;0,AC517&lt;=0),0,AC517)</f>
        <v/>
      </c>
      <c r="AI517">
        <f>AH517/MAX(AG517,0.000001)</f>
        <v/>
      </c>
      <c r="AJ517">
        <f>MIN(IF(AI517&gt;=0.5,-AI517+SQRT(AI517^2+2),1),$B$12)</f>
        <v/>
      </c>
      <c r="AK517">
        <f>IF(AG517&lt;=0,0,AJ517*AH517)</f>
        <v/>
      </c>
      <c r="AL517">
        <f>IF(AD517&lt;=0,0,AD517)</f>
        <v/>
      </c>
      <c r="AM517">
        <f>AL517-AK517+P517</f>
        <v/>
      </c>
      <c r="AN517">
        <f>((AM517/$B$7+T516*AS516/2-T517*MAX(0.1,MIN(0.3,0.3-0.09*(AR516-36.8)))/2)+AR516*(1-AS516/2))/(1-MAX(0.1,MIN(0.3,0.3-0.09*(AR516-36.8)))/2)</f>
        <v/>
      </c>
      <c r="AO517">
        <f>((AM517/$B$7+T516*AS516/2-T517*MAX(0.1,MIN(0.3,0.3-0.09*(AN517-36.8)))/2)+AR516*(1-AS516/2))/(1-MAX(0.1,MIN(0.3,0.3-0.09*(AN517-36.8)))/2)</f>
        <v/>
      </c>
      <c r="AP517">
        <f>((AM517/$B$7+T516*AS516/2-T517*MAX(0.1,MIN(0.3,0.3-0.09*(AO517-36.8)))/2)+AR516*(1-AS516/2))/(1-MAX(0.1,MIN(0.3,0.3-0.09*(AO517-36.8)))/2)</f>
        <v/>
      </c>
      <c r="AQ517">
        <f>((AM517/$B$7+T516*AS516/2-T517*MAX(0.1,MIN(0.3,0.3-0.09*(AP517-36.8)))/2)+AR516*(1-AS516/2))/(1-MAX(0.1,MIN(0.3,0.3-0.09*(AP517-36.8)))/2)</f>
        <v/>
      </c>
      <c r="AR517">
        <f>((AM517/$B$7+T516*AS516/2-T517*MAX(0.1,MIN(0.3,0.3-0.09*(AQ517-36.8)))/2)+AR516*(1-AS516/2))/(1-MAX(0.1,MIN(0.3,0.3-0.09*(AQ517-36.8)))/2)</f>
        <v/>
      </c>
      <c r="AS517">
        <f>MAX(0.1,MIN(0.3,0.3-0.09*(AR517-36.8)))</f>
        <v/>
      </c>
      <c r="AT517">
        <f>AT516+(2*AR517-1.962*AT516-1.31)/9</f>
        <v/>
      </c>
      <c r="AU517">
        <f>AU516+AG517+K517</f>
        <v/>
      </c>
      <c r="AV517">
        <f>AU517*2.67*$B$6/1.8/60</f>
        <v/>
      </c>
      <c r="AW517">
        <f>IF(AT517&gt;=$B$36,1,0)</f>
        <v/>
      </c>
      <c r="AX517">
        <f>IF(AV517&gt;=$B$21,1,0)</f>
        <v/>
      </c>
    </row>
    <row r="518">
      <c r="A518" t="n">
        <v>445</v>
      </c>
      <c r="B518">
        <f>MATCH(A518-1,$D$61:$D$68,1)</f>
        <v/>
      </c>
      <c r="C518">
        <f>INDEX($G$61:$G$68,B518)</f>
        <v/>
      </c>
      <c r="D518">
        <f>INDEX($L$61:$L$68,B518)</f>
        <v/>
      </c>
      <c r="E518">
        <f>INDEX($M$61:$M$68,B518)</f>
        <v/>
      </c>
      <c r="F518">
        <f>INDEX($N$61:$N$68,B518)</f>
        <v/>
      </c>
      <c r="G518">
        <f>INDEX($AA$61:$AA$68,B518)</f>
        <v/>
      </c>
      <c r="H518">
        <f>INDEX($X$61:$X$68,B518)</f>
        <v/>
      </c>
      <c r="I518">
        <f>INDEX($AF$61:$AF$68,B518)</f>
        <v/>
      </c>
      <c r="J518">
        <f>INDEX($AC$61:$AC$68,B518)</f>
        <v/>
      </c>
      <c r="K518">
        <f>INDEX($AD$61:$AD$68,B518)</f>
        <v/>
      </c>
      <c r="L518">
        <f>INDEX($AG$61:$AG$68,B518)</f>
        <v/>
      </c>
      <c r="M518">
        <f>INDEX($AH$61:$AH$68,B518)</f>
        <v/>
      </c>
      <c r="N518">
        <f>INDEX($AI$61:$AI$68,B518)</f>
        <v/>
      </c>
      <c r="O518">
        <f>O517*$B$26+L518*(1-$B$26)</f>
        <v/>
      </c>
      <c r="P518">
        <f>$B$7*(O518-O517)*(1-AS517)</f>
        <v/>
      </c>
      <c r="Q518">
        <f>M518+0.51274*AT517</f>
        <v/>
      </c>
      <c r="R518">
        <f>N518+0.616*AT517</f>
        <v/>
      </c>
      <c r="S518">
        <f>IF($B$13&gt;=0.6,Q518,IF($B$13&lt;=0.2,R518,R518+2.5*(Q518-R518)*($B$13-0.2)))</f>
        <v/>
      </c>
      <c r="T518">
        <f>IF(A518=1,S518,T517*$B$27+S518*(1-$B$27))</f>
        <v/>
      </c>
      <c r="U518">
        <f>0.6105*EXP(17.27*T518/(T518+237.3))</f>
        <v/>
      </c>
      <c r="V518">
        <f>($B$14*(I518*C518+IF(ABS((D518+0.1)-D518)&lt;0.000000001,4*$B$19*$B$20*(D518+273)^3,$B$19*$B$20*(((D518+0.1)+273)^4-(D518+273)^4)/((D518+0.1)-D518))*D518)+T518/H518)/($B$14*(I518+IF(ABS((D518+0.1)-D518)&lt;0.000000001,4*$B$19*$B$20*(D518+273)^3,$B$19*$B$20*(((D518+0.1)+273)^4-(D518+273)^4)/((D518+0.1)-D518)))+1/H518)</f>
        <v/>
      </c>
      <c r="W518">
        <f>($B$14*(I518*C518+IF(ABS(V518-D518)&lt;0.000000001,4*$B$19*$B$20*(D518+273)^3,$B$19*$B$20*((V518+273)^4-(D518+273)^4)/(V518-D518))*D518)+T518/H518)/($B$14*(I518+IF(ABS(V518-D518)&lt;0.000000001,4*$B$19*$B$20*(D518+273)^3,$B$19*$B$20*((V518+273)^4-(D518+273)^4)/(V518-D518)))+1/H518)</f>
        <v/>
      </c>
      <c r="X518">
        <f>($B$14*(I518*C518+IF(ABS(W518-D518)&lt;0.000000001,4*$B$19*$B$20*(D518+273)^3,$B$19*$B$20*((W518+273)^4-(D518+273)^4)/(W518-D518))*D518)+T518/H518)/($B$14*(I518+IF(ABS(W518-D518)&lt;0.000000001,4*$B$19*$B$20*(D518+273)^3,$B$19*$B$20*((W518+273)^4-(D518+273)^4)/(W518-D518)))+1/H518)</f>
        <v/>
      </c>
      <c r="Y518">
        <f>($B$14*(I518*C518+IF(ABS(X518-D518)&lt;0.000000001,4*$B$19*$B$20*(D518+273)^3,$B$19*$B$20*((X518+273)^4-(D518+273)^4)/(X518-D518))*D518)+T518/H518)/($B$14*(I518+IF(ABS(X518-D518)&lt;0.000000001,4*$B$19*$B$20*(D518+273)^3,$B$19*$B$20*((X518+273)^4-(D518+273)^4)/(X518-D518)))+1/H518)</f>
        <v/>
      </c>
      <c r="Z518">
        <f>IF(ABS(Y518-D518)&lt;0.000000001,4*$B$19*$B$20*(D518+273)^3,$B$19*$B$20*((Y518+273)^4-(D518+273)^4)/(Y518-D518))</f>
        <v/>
      </c>
      <c r="AA518">
        <f>$B$14*I518*(Y518-C518)</f>
        <v/>
      </c>
      <c r="AB518">
        <f>$B$14*Z518*(Y518-D518)</f>
        <v/>
      </c>
      <c r="AC518">
        <f>IF((U518-E518)/G518=0,0.001,(U518-E518)/G518)</f>
        <v/>
      </c>
      <c r="AD518">
        <f>F518-P518-J518-K518-AA518-AB518</f>
        <v/>
      </c>
      <c r="AE518">
        <f>AD518/AC518</f>
        <v/>
      </c>
      <c r="AF518">
        <f>IF(AD518&lt;=0,0,IF(AC518&lt;=0,$B$11,IF(AE518&gt;=1.7,$B$11,MIN(AD518/MAX(0.05,IF(AE518&gt;1,(2-AE518)^2/2,1-AE518^2/2)),$B$11))))</f>
        <v/>
      </c>
      <c r="AG518">
        <f>AG517*$B$28+AF518*(1-$B$28)</f>
        <v/>
      </c>
      <c r="AH518">
        <f>IF(AND(AD518&gt;0,AC518&lt;=0),0,AC518)</f>
        <v/>
      </c>
      <c r="AI518">
        <f>AH518/MAX(AG518,0.000001)</f>
        <v/>
      </c>
      <c r="AJ518">
        <f>MIN(IF(AI518&gt;=0.5,-AI518+SQRT(AI518^2+2),1),$B$12)</f>
        <v/>
      </c>
      <c r="AK518">
        <f>IF(AG518&lt;=0,0,AJ518*AH518)</f>
        <v/>
      </c>
      <c r="AL518">
        <f>IF(AD518&lt;=0,0,AD518)</f>
        <v/>
      </c>
      <c r="AM518">
        <f>AL518-AK518+P518</f>
        <v/>
      </c>
      <c r="AN518">
        <f>((AM518/$B$7+T517*AS517/2-T518*MAX(0.1,MIN(0.3,0.3-0.09*(AR517-36.8)))/2)+AR517*(1-AS517/2))/(1-MAX(0.1,MIN(0.3,0.3-0.09*(AR517-36.8)))/2)</f>
        <v/>
      </c>
      <c r="AO518">
        <f>((AM518/$B$7+T517*AS517/2-T518*MAX(0.1,MIN(0.3,0.3-0.09*(AN518-36.8)))/2)+AR517*(1-AS517/2))/(1-MAX(0.1,MIN(0.3,0.3-0.09*(AN518-36.8)))/2)</f>
        <v/>
      </c>
      <c r="AP518">
        <f>((AM518/$B$7+T517*AS517/2-T518*MAX(0.1,MIN(0.3,0.3-0.09*(AO518-36.8)))/2)+AR517*(1-AS517/2))/(1-MAX(0.1,MIN(0.3,0.3-0.09*(AO518-36.8)))/2)</f>
        <v/>
      </c>
      <c r="AQ518">
        <f>((AM518/$B$7+T517*AS517/2-T518*MAX(0.1,MIN(0.3,0.3-0.09*(AP518-36.8)))/2)+AR517*(1-AS517/2))/(1-MAX(0.1,MIN(0.3,0.3-0.09*(AP518-36.8)))/2)</f>
        <v/>
      </c>
      <c r="AR518">
        <f>((AM518/$B$7+T517*AS517/2-T518*MAX(0.1,MIN(0.3,0.3-0.09*(AQ518-36.8)))/2)+AR517*(1-AS517/2))/(1-MAX(0.1,MIN(0.3,0.3-0.09*(AQ518-36.8)))/2)</f>
        <v/>
      </c>
      <c r="AS518">
        <f>MAX(0.1,MIN(0.3,0.3-0.09*(AR518-36.8)))</f>
        <v/>
      </c>
      <c r="AT518">
        <f>AT517+(2*AR518-1.962*AT517-1.31)/9</f>
        <v/>
      </c>
      <c r="AU518">
        <f>AU517+AG518+K518</f>
        <v/>
      </c>
      <c r="AV518">
        <f>AU518*2.67*$B$6/1.8/60</f>
        <v/>
      </c>
      <c r="AW518">
        <f>IF(AT518&gt;=$B$36,1,0)</f>
        <v/>
      </c>
      <c r="AX518">
        <f>IF(AV518&gt;=$B$21,1,0)</f>
        <v/>
      </c>
    </row>
    <row r="519">
      <c r="A519" t="n">
        <v>446</v>
      </c>
      <c r="B519">
        <f>MATCH(A519-1,$D$61:$D$68,1)</f>
        <v/>
      </c>
      <c r="C519">
        <f>INDEX($G$61:$G$68,B519)</f>
        <v/>
      </c>
      <c r="D519">
        <f>INDEX($L$61:$L$68,B519)</f>
        <v/>
      </c>
      <c r="E519">
        <f>INDEX($M$61:$M$68,B519)</f>
        <v/>
      </c>
      <c r="F519">
        <f>INDEX($N$61:$N$68,B519)</f>
        <v/>
      </c>
      <c r="G519">
        <f>INDEX($AA$61:$AA$68,B519)</f>
        <v/>
      </c>
      <c r="H519">
        <f>INDEX($X$61:$X$68,B519)</f>
        <v/>
      </c>
      <c r="I519">
        <f>INDEX($AF$61:$AF$68,B519)</f>
        <v/>
      </c>
      <c r="J519">
        <f>INDEX($AC$61:$AC$68,B519)</f>
        <v/>
      </c>
      <c r="K519">
        <f>INDEX($AD$61:$AD$68,B519)</f>
        <v/>
      </c>
      <c r="L519">
        <f>INDEX($AG$61:$AG$68,B519)</f>
        <v/>
      </c>
      <c r="M519">
        <f>INDEX($AH$61:$AH$68,B519)</f>
        <v/>
      </c>
      <c r="N519">
        <f>INDEX($AI$61:$AI$68,B519)</f>
        <v/>
      </c>
      <c r="O519">
        <f>O518*$B$26+L519*(1-$B$26)</f>
        <v/>
      </c>
      <c r="P519">
        <f>$B$7*(O519-O518)*(1-AS518)</f>
        <v/>
      </c>
      <c r="Q519">
        <f>M519+0.51274*AT518</f>
        <v/>
      </c>
      <c r="R519">
        <f>N519+0.616*AT518</f>
        <v/>
      </c>
      <c r="S519">
        <f>IF($B$13&gt;=0.6,Q519,IF($B$13&lt;=0.2,R519,R519+2.5*(Q519-R519)*($B$13-0.2)))</f>
        <v/>
      </c>
      <c r="T519">
        <f>IF(A519=1,S519,T518*$B$27+S519*(1-$B$27))</f>
        <v/>
      </c>
      <c r="U519">
        <f>0.6105*EXP(17.27*T519/(T519+237.3))</f>
        <v/>
      </c>
      <c r="V519">
        <f>($B$14*(I519*C519+IF(ABS((D519+0.1)-D519)&lt;0.000000001,4*$B$19*$B$20*(D519+273)^3,$B$19*$B$20*(((D519+0.1)+273)^4-(D519+273)^4)/((D519+0.1)-D519))*D519)+T519/H519)/($B$14*(I519+IF(ABS((D519+0.1)-D519)&lt;0.000000001,4*$B$19*$B$20*(D519+273)^3,$B$19*$B$20*(((D519+0.1)+273)^4-(D519+273)^4)/((D519+0.1)-D519)))+1/H519)</f>
        <v/>
      </c>
      <c r="W519">
        <f>($B$14*(I519*C519+IF(ABS(V519-D519)&lt;0.000000001,4*$B$19*$B$20*(D519+273)^3,$B$19*$B$20*((V519+273)^4-(D519+273)^4)/(V519-D519))*D519)+T519/H519)/($B$14*(I519+IF(ABS(V519-D519)&lt;0.000000001,4*$B$19*$B$20*(D519+273)^3,$B$19*$B$20*((V519+273)^4-(D519+273)^4)/(V519-D519)))+1/H519)</f>
        <v/>
      </c>
      <c r="X519">
        <f>($B$14*(I519*C519+IF(ABS(W519-D519)&lt;0.000000001,4*$B$19*$B$20*(D519+273)^3,$B$19*$B$20*((W519+273)^4-(D519+273)^4)/(W519-D519))*D519)+T519/H519)/($B$14*(I519+IF(ABS(W519-D519)&lt;0.000000001,4*$B$19*$B$20*(D519+273)^3,$B$19*$B$20*((W519+273)^4-(D519+273)^4)/(W519-D519)))+1/H519)</f>
        <v/>
      </c>
      <c r="Y519">
        <f>($B$14*(I519*C519+IF(ABS(X519-D519)&lt;0.000000001,4*$B$19*$B$20*(D519+273)^3,$B$19*$B$20*((X519+273)^4-(D519+273)^4)/(X519-D519))*D519)+T519/H519)/($B$14*(I519+IF(ABS(X519-D519)&lt;0.000000001,4*$B$19*$B$20*(D519+273)^3,$B$19*$B$20*((X519+273)^4-(D519+273)^4)/(X519-D519)))+1/H519)</f>
        <v/>
      </c>
      <c r="Z519">
        <f>IF(ABS(Y519-D519)&lt;0.000000001,4*$B$19*$B$20*(D519+273)^3,$B$19*$B$20*((Y519+273)^4-(D519+273)^4)/(Y519-D519))</f>
        <v/>
      </c>
      <c r="AA519">
        <f>$B$14*I519*(Y519-C519)</f>
        <v/>
      </c>
      <c r="AB519">
        <f>$B$14*Z519*(Y519-D519)</f>
        <v/>
      </c>
      <c r="AC519">
        <f>IF((U519-E519)/G519=0,0.001,(U519-E519)/G519)</f>
        <v/>
      </c>
      <c r="AD519">
        <f>F519-P519-J519-K519-AA519-AB519</f>
        <v/>
      </c>
      <c r="AE519">
        <f>AD519/AC519</f>
        <v/>
      </c>
      <c r="AF519">
        <f>IF(AD519&lt;=0,0,IF(AC519&lt;=0,$B$11,IF(AE519&gt;=1.7,$B$11,MIN(AD519/MAX(0.05,IF(AE519&gt;1,(2-AE519)^2/2,1-AE519^2/2)),$B$11))))</f>
        <v/>
      </c>
      <c r="AG519">
        <f>AG518*$B$28+AF519*(1-$B$28)</f>
        <v/>
      </c>
      <c r="AH519">
        <f>IF(AND(AD519&gt;0,AC519&lt;=0),0,AC519)</f>
        <v/>
      </c>
      <c r="AI519">
        <f>AH519/MAX(AG519,0.000001)</f>
        <v/>
      </c>
      <c r="AJ519">
        <f>MIN(IF(AI519&gt;=0.5,-AI519+SQRT(AI519^2+2),1),$B$12)</f>
        <v/>
      </c>
      <c r="AK519">
        <f>IF(AG519&lt;=0,0,AJ519*AH519)</f>
        <v/>
      </c>
      <c r="AL519">
        <f>IF(AD519&lt;=0,0,AD519)</f>
        <v/>
      </c>
      <c r="AM519">
        <f>AL519-AK519+P519</f>
        <v/>
      </c>
      <c r="AN519">
        <f>((AM519/$B$7+T518*AS518/2-T519*MAX(0.1,MIN(0.3,0.3-0.09*(AR518-36.8)))/2)+AR518*(1-AS518/2))/(1-MAX(0.1,MIN(0.3,0.3-0.09*(AR518-36.8)))/2)</f>
        <v/>
      </c>
      <c r="AO519">
        <f>((AM519/$B$7+T518*AS518/2-T519*MAX(0.1,MIN(0.3,0.3-0.09*(AN519-36.8)))/2)+AR518*(1-AS518/2))/(1-MAX(0.1,MIN(0.3,0.3-0.09*(AN519-36.8)))/2)</f>
        <v/>
      </c>
      <c r="AP519">
        <f>((AM519/$B$7+T518*AS518/2-T519*MAX(0.1,MIN(0.3,0.3-0.09*(AO519-36.8)))/2)+AR518*(1-AS518/2))/(1-MAX(0.1,MIN(0.3,0.3-0.09*(AO519-36.8)))/2)</f>
        <v/>
      </c>
      <c r="AQ519">
        <f>((AM519/$B$7+T518*AS518/2-T519*MAX(0.1,MIN(0.3,0.3-0.09*(AP519-36.8)))/2)+AR518*(1-AS518/2))/(1-MAX(0.1,MIN(0.3,0.3-0.09*(AP519-36.8)))/2)</f>
        <v/>
      </c>
      <c r="AR519">
        <f>((AM519/$B$7+T518*AS518/2-T519*MAX(0.1,MIN(0.3,0.3-0.09*(AQ519-36.8)))/2)+AR518*(1-AS518/2))/(1-MAX(0.1,MIN(0.3,0.3-0.09*(AQ519-36.8)))/2)</f>
        <v/>
      </c>
      <c r="AS519">
        <f>MAX(0.1,MIN(0.3,0.3-0.09*(AR519-36.8)))</f>
        <v/>
      </c>
      <c r="AT519">
        <f>AT518+(2*AR519-1.962*AT518-1.31)/9</f>
        <v/>
      </c>
      <c r="AU519">
        <f>AU518+AG519+K519</f>
        <v/>
      </c>
      <c r="AV519">
        <f>AU519*2.67*$B$6/1.8/60</f>
        <v/>
      </c>
      <c r="AW519">
        <f>IF(AT519&gt;=$B$36,1,0)</f>
        <v/>
      </c>
      <c r="AX519">
        <f>IF(AV519&gt;=$B$21,1,0)</f>
        <v/>
      </c>
    </row>
    <row r="520">
      <c r="A520" t="n">
        <v>447</v>
      </c>
      <c r="B520">
        <f>MATCH(A520-1,$D$61:$D$68,1)</f>
        <v/>
      </c>
      <c r="C520">
        <f>INDEX($G$61:$G$68,B520)</f>
        <v/>
      </c>
      <c r="D520">
        <f>INDEX($L$61:$L$68,B520)</f>
        <v/>
      </c>
      <c r="E520">
        <f>INDEX($M$61:$M$68,B520)</f>
        <v/>
      </c>
      <c r="F520">
        <f>INDEX($N$61:$N$68,B520)</f>
        <v/>
      </c>
      <c r="G520">
        <f>INDEX($AA$61:$AA$68,B520)</f>
        <v/>
      </c>
      <c r="H520">
        <f>INDEX($X$61:$X$68,B520)</f>
        <v/>
      </c>
      <c r="I520">
        <f>INDEX($AF$61:$AF$68,B520)</f>
        <v/>
      </c>
      <c r="J520">
        <f>INDEX($AC$61:$AC$68,B520)</f>
        <v/>
      </c>
      <c r="K520">
        <f>INDEX($AD$61:$AD$68,B520)</f>
        <v/>
      </c>
      <c r="L520">
        <f>INDEX($AG$61:$AG$68,B520)</f>
        <v/>
      </c>
      <c r="M520">
        <f>INDEX($AH$61:$AH$68,B520)</f>
        <v/>
      </c>
      <c r="N520">
        <f>INDEX($AI$61:$AI$68,B520)</f>
        <v/>
      </c>
      <c r="O520">
        <f>O519*$B$26+L520*(1-$B$26)</f>
        <v/>
      </c>
      <c r="P520">
        <f>$B$7*(O520-O519)*(1-AS519)</f>
        <v/>
      </c>
      <c r="Q520">
        <f>M520+0.51274*AT519</f>
        <v/>
      </c>
      <c r="R520">
        <f>N520+0.616*AT519</f>
        <v/>
      </c>
      <c r="S520">
        <f>IF($B$13&gt;=0.6,Q520,IF($B$13&lt;=0.2,R520,R520+2.5*(Q520-R520)*($B$13-0.2)))</f>
        <v/>
      </c>
      <c r="T520">
        <f>IF(A520=1,S520,T519*$B$27+S520*(1-$B$27))</f>
        <v/>
      </c>
      <c r="U520">
        <f>0.6105*EXP(17.27*T520/(T520+237.3))</f>
        <v/>
      </c>
      <c r="V520">
        <f>($B$14*(I520*C520+IF(ABS((D520+0.1)-D520)&lt;0.000000001,4*$B$19*$B$20*(D520+273)^3,$B$19*$B$20*(((D520+0.1)+273)^4-(D520+273)^4)/((D520+0.1)-D520))*D520)+T520/H520)/($B$14*(I520+IF(ABS((D520+0.1)-D520)&lt;0.000000001,4*$B$19*$B$20*(D520+273)^3,$B$19*$B$20*(((D520+0.1)+273)^4-(D520+273)^4)/((D520+0.1)-D520)))+1/H520)</f>
        <v/>
      </c>
      <c r="W520">
        <f>($B$14*(I520*C520+IF(ABS(V520-D520)&lt;0.000000001,4*$B$19*$B$20*(D520+273)^3,$B$19*$B$20*((V520+273)^4-(D520+273)^4)/(V520-D520))*D520)+T520/H520)/($B$14*(I520+IF(ABS(V520-D520)&lt;0.000000001,4*$B$19*$B$20*(D520+273)^3,$B$19*$B$20*((V520+273)^4-(D520+273)^4)/(V520-D520)))+1/H520)</f>
        <v/>
      </c>
      <c r="X520">
        <f>($B$14*(I520*C520+IF(ABS(W520-D520)&lt;0.000000001,4*$B$19*$B$20*(D520+273)^3,$B$19*$B$20*((W520+273)^4-(D520+273)^4)/(W520-D520))*D520)+T520/H520)/($B$14*(I520+IF(ABS(W520-D520)&lt;0.000000001,4*$B$19*$B$20*(D520+273)^3,$B$19*$B$20*((W520+273)^4-(D520+273)^4)/(W520-D520)))+1/H520)</f>
        <v/>
      </c>
      <c r="Y520">
        <f>($B$14*(I520*C520+IF(ABS(X520-D520)&lt;0.000000001,4*$B$19*$B$20*(D520+273)^3,$B$19*$B$20*((X520+273)^4-(D520+273)^4)/(X520-D520))*D520)+T520/H520)/($B$14*(I520+IF(ABS(X520-D520)&lt;0.000000001,4*$B$19*$B$20*(D520+273)^3,$B$19*$B$20*((X520+273)^4-(D520+273)^4)/(X520-D520)))+1/H520)</f>
        <v/>
      </c>
      <c r="Z520">
        <f>IF(ABS(Y520-D520)&lt;0.000000001,4*$B$19*$B$20*(D520+273)^3,$B$19*$B$20*((Y520+273)^4-(D520+273)^4)/(Y520-D520))</f>
        <v/>
      </c>
      <c r="AA520">
        <f>$B$14*I520*(Y520-C520)</f>
        <v/>
      </c>
      <c r="AB520">
        <f>$B$14*Z520*(Y520-D520)</f>
        <v/>
      </c>
      <c r="AC520">
        <f>IF((U520-E520)/G520=0,0.001,(U520-E520)/G520)</f>
        <v/>
      </c>
      <c r="AD520">
        <f>F520-P520-J520-K520-AA520-AB520</f>
        <v/>
      </c>
      <c r="AE520">
        <f>AD520/AC520</f>
        <v/>
      </c>
      <c r="AF520">
        <f>IF(AD520&lt;=0,0,IF(AC520&lt;=0,$B$11,IF(AE520&gt;=1.7,$B$11,MIN(AD520/MAX(0.05,IF(AE520&gt;1,(2-AE520)^2/2,1-AE520^2/2)),$B$11))))</f>
        <v/>
      </c>
      <c r="AG520">
        <f>AG519*$B$28+AF520*(1-$B$28)</f>
        <v/>
      </c>
      <c r="AH520">
        <f>IF(AND(AD520&gt;0,AC520&lt;=0),0,AC520)</f>
        <v/>
      </c>
      <c r="AI520">
        <f>AH520/MAX(AG520,0.000001)</f>
        <v/>
      </c>
      <c r="AJ520">
        <f>MIN(IF(AI520&gt;=0.5,-AI520+SQRT(AI520^2+2),1),$B$12)</f>
        <v/>
      </c>
      <c r="AK520">
        <f>IF(AG520&lt;=0,0,AJ520*AH520)</f>
        <v/>
      </c>
      <c r="AL520">
        <f>IF(AD520&lt;=0,0,AD520)</f>
        <v/>
      </c>
      <c r="AM520">
        <f>AL520-AK520+P520</f>
        <v/>
      </c>
      <c r="AN520">
        <f>((AM520/$B$7+T519*AS519/2-T520*MAX(0.1,MIN(0.3,0.3-0.09*(AR519-36.8)))/2)+AR519*(1-AS519/2))/(1-MAX(0.1,MIN(0.3,0.3-0.09*(AR519-36.8)))/2)</f>
        <v/>
      </c>
      <c r="AO520">
        <f>((AM520/$B$7+T519*AS519/2-T520*MAX(0.1,MIN(0.3,0.3-0.09*(AN520-36.8)))/2)+AR519*(1-AS519/2))/(1-MAX(0.1,MIN(0.3,0.3-0.09*(AN520-36.8)))/2)</f>
        <v/>
      </c>
      <c r="AP520">
        <f>((AM520/$B$7+T519*AS519/2-T520*MAX(0.1,MIN(0.3,0.3-0.09*(AO520-36.8)))/2)+AR519*(1-AS519/2))/(1-MAX(0.1,MIN(0.3,0.3-0.09*(AO520-36.8)))/2)</f>
        <v/>
      </c>
      <c r="AQ520">
        <f>((AM520/$B$7+T519*AS519/2-T520*MAX(0.1,MIN(0.3,0.3-0.09*(AP520-36.8)))/2)+AR519*(1-AS519/2))/(1-MAX(0.1,MIN(0.3,0.3-0.09*(AP520-36.8)))/2)</f>
        <v/>
      </c>
      <c r="AR520">
        <f>((AM520/$B$7+T519*AS519/2-T520*MAX(0.1,MIN(0.3,0.3-0.09*(AQ520-36.8)))/2)+AR519*(1-AS519/2))/(1-MAX(0.1,MIN(0.3,0.3-0.09*(AQ520-36.8)))/2)</f>
        <v/>
      </c>
      <c r="AS520">
        <f>MAX(0.1,MIN(0.3,0.3-0.09*(AR520-36.8)))</f>
        <v/>
      </c>
      <c r="AT520">
        <f>AT519+(2*AR520-1.962*AT519-1.31)/9</f>
        <v/>
      </c>
      <c r="AU520">
        <f>AU519+AG520+K520</f>
        <v/>
      </c>
      <c r="AV520">
        <f>AU520*2.67*$B$6/1.8/60</f>
        <v/>
      </c>
      <c r="AW520">
        <f>IF(AT520&gt;=$B$36,1,0)</f>
        <v/>
      </c>
      <c r="AX520">
        <f>IF(AV520&gt;=$B$21,1,0)</f>
        <v/>
      </c>
    </row>
    <row r="521">
      <c r="A521" t="n">
        <v>448</v>
      </c>
      <c r="B521">
        <f>MATCH(A521-1,$D$61:$D$68,1)</f>
        <v/>
      </c>
      <c r="C521">
        <f>INDEX($G$61:$G$68,B521)</f>
        <v/>
      </c>
      <c r="D521">
        <f>INDEX($L$61:$L$68,B521)</f>
        <v/>
      </c>
      <c r="E521">
        <f>INDEX($M$61:$M$68,B521)</f>
        <v/>
      </c>
      <c r="F521">
        <f>INDEX($N$61:$N$68,B521)</f>
        <v/>
      </c>
      <c r="G521">
        <f>INDEX($AA$61:$AA$68,B521)</f>
        <v/>
      </c>
      <c r="H521">
        <f>INDEX($X$61:$X$68,B521)</f>
        <v/>
      </c>
      <c r="I521">
        <f>INDEX($AF$61:$AF$68,B521)</f>
        <v/>
      </c>
      <c r="J521">
        <f>INDEX($AC$61:$AC$68,B521)</f>
        <v/>
      </c>
      <c r="K521">
        <f>INDEX($AD$61:$AD$68,B521)</f>
        <v/>
      </c>
      <c r="L521">
        <f>INDEX($AG$61:$AG$68,B521)</f>
        <v/>
      </c>
      <c r="M521">
        <f>INDEX($AH$61:$AH$68,B521)</f>
        <v/>
      </c>
      <c r="N521">
        <f>INDEX($AI$61:$AI$68,B521)</f>
        <v/>
      </c>
      <c r="O521">
        <f>O520*$B$26+L521*(1-$B$26)</f>
        <v/>
      </c>
      <c r="P521">
        <f>$B$7*(O521-O520)*(1-AS520)</f>
        <v/>
      </c>
      <c r="Q521">
        <f>M521+0.51274*AT520</f>
        <v/>
      </c>
      <c r="R521">
        <f>N521+0.616*AT520</f>
        <v/>
      </c>
      <c r="S521">
        <f>IF($B$13&gt;=0.6,Q521,IF($B$13&lt;=0.2,R521,R521+2.5*(Q521-R521)*($B$13-0.2)))</f>
        <v/>
      </c>
      <c r="T521">
        <f>IF(A521=1,S521,T520*$B$27+S521*(1-$B$27))</f>
        <v/>
      </c>
      <c r="U521">
        <f>0.6105*EXP(17.27*T521/(T521+237.3))</f>
        <v/>
      </c>
      <c r="V521">
        <f>($B$14*(I521*C521+IF(ABS((D521+0.1)-D521)&lt;0.000000001,4*$B$19*$B$20*(D521+273)^3,$B$19*$B$20*(((D521+0.1)+273)^4-(D521+273)^4)/((D521+0.1)-D521))*D521)+T521/H521)/($B$14*(I521+IF(ABS((D521+0.1)-D521)&lt;0.000000001,4*$B$19*$B$20*(D521+273)^3,$B$19*$B$20*(((D521+0.1)+273)^4-(D521+273)^4)/((D521+0.1)-D521)))+1/H521)</f>
        <v/>
      </c>
      <c r="W521">
        <f>($B$14*(I521*C521+IF(ABS(V521-D521)&lt;0.000000001,4*$B$19*$B$20*(D521+273)^3,$B$19*$B$20*((V521+273)^4-(D521+273)^4)/(V521-D521))*D521)+T521/H521)/($B$14*(I521+IF(ABS(V521-D521)&lt;0.000000001,4*$B$19*$B$20*(D521+273)^3,$B$19*$B$20*((V521+273)^4-(D521+273)^4)/(V521-D521)))+1/H521)</f>
        <v/>
      </c>
      <c r="X521">
        <f>($B$14*(I521*C521+IF(ABS(W521-D521)&lt;0.000000001,4*$B$19*$B$20*(D521+273)^3,$B$19*$B$20*((W521+273)^4-(D521+273)^4)/(W521-D521))*D521)+T521/H521)/($B$14*(I521+IF(ABS(W521-D521)&lt;0.000000001,4*$B$19*$B$20*(D521+273)^3,$B$19*$B$20*((W521+273)^4-(D521+273)^4)/(W521-D521)))+1/H521)</f>
        <v/>
      </c>
      <c r="Y521">
        <f>($B$14*(I521*C521+IF(ABS(X521-D521)&lt;0.000000001,4*$B$19*$B$20*(D521+273)^3,$B$19*$B$20*((X521+273)^4-(D521+273)^4)/(X521-D521))*D521)+T521/H521)/($B$14*(I521+IF(ABS(X521-D521)&lt;0.000000001,4*$B$19*$B$20*(D521+273)^3,$B$19*$B$20*((X521+273)^4-(D521+273)^4)/(X521-D521)))+1/H521)</f>
        <v/>
      </c>
      <c r="Z521">
        <f>IF(ABS(Y521-D521)&lt;0.000000001,4*$B$19*$B$20*(D521+273)^3,$B$19*$B$20*((Y521+273)^4-(D521+273)^4)/(Y521-D521))</f>
        <v/>
      </c>
      <c r="AA521">
        <f>$B$14*I521*(Y521-C521)</f>
        <v/>
      </c>
      <c r="AB521">
        <f>$B$14*Z521*(Y521-D521)</f>
        <v/>
      </c>
      <c r="AC521">
        <f>IF((U521-E521)/G521=0,0.001,(U521-E521)/G521)</f>
        <v/>
      </c>
      <c r="AD521">
        <f>F521-P521-J521-K521-AA521-AB521</f>
        <v/>
      </c>
      <c r="AE521">
        <f>AD521/AC521</f>
        <v/>
      </c>
      <c r="AF521">
        <f>IF(AD521&lt;=0,0,IF(AC521&lt;=0,$B$11,IF(AE521&gt;=1.7,$B$11,MIN(AD521/MAX(0.05,IF(AE521&gt;1,(2-AE521)^2/2,1-AE521^2/2)),$B$11))))</f>
        <v/>
      </c>
      <c r="AG521">
        <f>AG520*$B$28+AF521*(1-$B$28)</f>
        <v/>
      </c>
      <c r="AH521">
        <f>IF(AND(AD521&gt;0,AC521&lt;=0),0,AC521)</f>
        <v/>
      </c>
      <c r="AI521">
        <f>AH521/MAX(AG521,0.000001)</f>
        <v/>
      </c>
      <c r="AJ521">
        <f>MIN(IF(AI521&gt;=0.5,-AI521+SQRT(AI521^2+2),1),$B$12)</f>
        <v/>
      </c>
      <c r="AK521">
        <f>IF(AG521&lt;=0,0,AJ521*AH521)</f>
        <v/>
      </c>
      <c r="AL521">
        <f>IF(AD521&lt;=0,0,AD521)</f>
        <v/>
      </c>
      <c r="AM521">
        <f>AL521-AK521+P521</f>
        <v/>
      </c>
      <c r="AN521">
        <f>((AM521/$B$7+T520*AS520/2-T521*MAX(0.1,MIN(0.3,0.3-0.09*(AR520-36.8)))/2)+AR520*(1-AS520/2))/(1-MAX(0.1,MIN(0.3,0.3-0.09*(AR520-36.8)))/2)</f>
        <v/>
      </c>
      <c r="AO521">
        <f>((AM521/$B$7+T520*AS520/2-T521*MAX(0.1,MIN(0.3,0.3-0.09*(AN521-36.8)))/2)+AR520*(1-AS520/2))/(1-MAX(0.1,MIN(0.3,0.3-0.09*(AN521-36.8)))/2)</f>
        <v/>
      </c>
      <c r="AP521">
        <f>((AM521/$B$7+T520*AS520/2-T521*MAX(0.1,MIN(0.3,0.3-0.09*(AO521-36.8)))/2)+AR520*(1-AS520/2))/(1-MAX(0.1,MIN(0.3,0.3-0.09*(AO521-36.8)))/2)</f>
        <v/>
      </c>
      <c r="AQ521">
        <f>((AM521/$B$7+T520*AS520/2-T521*MAX(0.1,MIN(0.3,0.3-0.09*(AP521-36.8)))/2)+AR520*(1-AS520/2))/(1-MAX(0.1,MIN(0.3,0.3-0.09*(AP521-36.8)))/2)</f>
        <v/>
      </c>
      <c r="AR521">
        <f>((AM521/$B$7+T520*AS520/2-T521*MAX(0.1,MIN(0.3,0.3-0.09*(AQ521-36.8)))/2)+AR520*(1-AS520/2))/(1-MAX(0.1,MIN(0.3,0.3-0.09*(AQ521-36.8)))/2)</f>
        <v/>
      </c>
      <c r="AS521">
        <f>MAX(0.1,MIN(0.3,0.3-0.09*(AR521-36.8)))</f>
        <v/>
      </c>
      <c r="AT521">
        <f>AT520+(2*AR521-1.962*AT520-1.31)/9</f>
        <v/>
      </c>
      <c r="AU521">
        <f>AU520+AG521+K521</f>
        <v/>
      </c>
      <c r="AV521">
        <f>AU521*2.67*$B$6/1.8/60</f>
        <v/>
      </c>
      <c r="AW521">
        <f>IF(AT521&gt;=$B$36,1,0)</f>
        <v/>
      </c>
      <c r="AX521">
        <f>IF(AV521&gt;=$B$21,1,0)</f>
        <v/>
      </c>
    </row>
    <row r="522">
      <c r="A522" t="n">
        <v>449</v>
      </c>
      <c r="B522">
        <f>MATCH(A522-1,$D$61:$D$68,1)</f>
        <v/>
      </c>
      <c r="C522">
        <f>INDEX($G$61:$G$68,B522)</f>
        <v/>
      </c>
      <c r="D522">
        <f>INDEX($L$61:$L$68,B522)</f>
        <v/>
      </c>
      <c r="E522">
        <f>INDEX($M$61:$M$68,B522)</f>
        <v/>
      </c>
      <c r="F522">
        <f>INDEX($N$61:$N$68,B522)</f>
        <v/>
      </c>
      <c r="G522">
        <f>INDEX($AA$61:$AA$68,B522)</f>
        <v/>
      </c>
      <c r="H522">
        <f>INDEX($X$61:$X$68,B522)</f>
        <v/>
      </c>
      <c r="I522">
        <f>INDEX($AF$61:$AF$68,B522)</f>
        <v/>
      </c>
      <c r="J522">
        <f>INDEX($AC$61:$AC$68,B522)</f>
        <v/>
      </c>
      <c r="K522">
        <f>INDEX($AD$61:$AD$68,B522)</f>
        <v/>
      </c>
      <c r="L522">
        <f>INDEX($AG$61:$AG$68,B522)</f>
        <v/>
      </c>
      <c r="M522">
        <f>INDEX($AH$61:$AH$68,B522)</f>
        <v/>
      </c>
      <c r="N522">
        <f>INDEX($AI$61:$AI$68,B522)</f>
        <v/>
      </c>
      <c r="O522">
        <f>O521*$B$26+L522*(1-$B$26)</f>
        <v/>
      </c>
      <c r="P522">
        <f>$B$7*(O522-O521)*(1-AS521)</f>
        <v/>
      </c>
      <c r="Q522">
        <f>M522+0.51274*AT521</f>
        <v/>
      </c>
      <c r="R522">
        <f>N522+0.616*AT521</f>
        <v/>
      </c>
      <c r="S522">
        <f>IF($B$13&gt;=0.6,Q522,IF($B$13&lt;=0.2,R522,R522+2.5*(Q522-R522)*($B$13-0.2)))</f>
        <v/>
      </c>
      <c r="T522">
        <f>IF(A522=1,S522,T521*$B$27+S522*(1-$B$27))</f>
        <v/>
      </c>
      <c r="U522">
        <f>0.6105*EXP(17.27*T522/(T522+237.3))</f>
        <v/>
      </c>
      <c r="V522">
        <f>($B$14*(I522*C522+IF(ABS((D522+0.1)-D522)&lt;0.000000001,4*$B$19*$B$20*(D522+273)^3,$B$19*$B$20*(((D522+0.1)+273)^4-(D522+273)^4)/((D522+0.1)-D522))*D522)+T522/H522)/($B$14*(I522+IF(ABS((D522+0.1)-D522)&lt;0.000000001,4*$B$19*$B$20*(D522+273)^3,$B$19*$B$20*(((D522+0.1)+273)^4-(D522+273)^4)/((D522+0.1)-D522)))+1/H522)</f>
        <v/>
      </c>
      <c r="W522">
        <f>($B$14*(I522*C522+IF(ABS(V522-D522)&lt;0.000000001,4*$B$19*$B$20*(D522+273)^3,$B$19*$B$20*((V522+273)^4-(D522+273)^4)/(V522-D522))*D522)+T522/H522)/($B$14*(I522+IF(ABS(V522-D522)&lt;0.000000001,4*$B$19*$B$20*(D522+273)^3,$B$19*$B$20*((V522+273)^4-(D522+273)^4)/(V522-D522)))+1/H522)</f>
        <v/>
      </c>
      <c r="X522">
        <f>($B$14*(I522*C522+IF(ABS(W522-D522)&lt;0.000000001,4*$B$19*$B$20*(D522+273)^3,$B$19*$B$20*((W522+273)^4-(D522+273)^4)/(W522-D522))*D522)+T522/H522)/($B$14*(I522+IF(ABS(W522-D522)&lt;0.000000001,4*$B$19*$B$20*(D522+273)^3,$B$19*$B$20*((W522+273)^4-(D522+273)^4)/(W522-D522)))+1/H522)</f>
        <v/>
      </c>
      <c r="Y522">
        <f>($B$14*(I522*C522+IF(ABS(X522-D522)&lt;0.000000001,4*$B$19*$B$20*(D522+273)^3,$B$19*$B$20*((X522+273)^4-(D522+273)^4)/(X522-D522))*D522)+T522/H522)/($B$14*(I522+IF(ABS(X522-D522)&lt;0.000000001,4*$B$19*$B$20*(D522+273)^3,$B$19*$B$20*((X522+273)^4-(D522+273)^4)/(X522-D522)))+1/H522)</f>
        <v/>
      </c>
      <c r="Z522">
        <f>IF(ABS(Y522-D522)&lt;0.000000001,4*$B$19*$B$20*(D522+273)^3,$B$19*$B$20*((Y522+273)^4-(D522+273)^4)/(Y522-D522))</f>
        <v/>
      </c>
      <c r="AA522">
        <f>$B$14*I522*(Y522-C522)</f>
        <v/>
      </c>
      <c r="AB522">
        <f>$B$14*Z522*(Y522-D522)</f>
        <v/>
      </c>
      <c r="AC522">
        <f>IF((U522-E522)/G522=0,0.001,(U522-E522)/G522)</f>
        <v/>
      </c>
      <c r="AD522">
        <f>F522-P522-J522-K522-AA522-AB522</f>
        <v/>
      </c>
      <c r="AE522">
        <f>AD522/AC522</f>
        <v/>
      </c>
      <c r="AF522">
        <f>IF(AD522&lt;=0,0,IF(AC522&lt;=0,$B$11,IF(AE522&gt;=1.7,$B$11,MIN(AD522/MAX(0.05,IF(AE522&gt;1,(2-AE522)^2/2,1-AE522^2/2)),$B$11))))</f>
        <v/>
      </c>
      <c r="AG522">
        <f>AG521*$B$28+AF522*(1-$B$28)</f>
        <v/>
      </c>
      <c r="AH522">
        <f>IF(AND(AD522&gt;0,AC522&lt;=0),0,AC522)</f>
        <v/>
      </c>
      <c r="AI522">
        <f>AH522/MAX(AG522,0.000001)</f>
        <v/>
      </c>
      <c r="AJ522">
        <f>MIN(IF(AI522&gt;=0.5,-AI522+SQRT(AI522^2+2),1),$B$12)</f>
        <v/>
      </c>
      <c r="AK522">
        <f>IF(AG522&lt;=0,0,AJ522*AH522)</f>
        <v/>
      </c>
      <c r="AL522">
        <f>IF(AD522&lt;=0,0,AD522)</f>
        <v/>
      </c>
      <c r="AM522">
        <f>AL522-AK522+P522</f>
        <v/>
      </c>
      <c r="AN522">
        <f>((AM522/$B$7+T521*AS521/2-T522*MAX(0.1,MIN(0.3,0.3-0.09*(AR521-36.8)))/2)+AR521*(1-AS521/2))/(1-MAX(0.1,MIN(0.3,0.3-0.09*(AR521-36.8)))/2)</f>
        <v/>
      </c>
      <c r="AO522">
        <f>((AM522/$B$7+T521*AS521/2-T522*MAX(0.1,MIN(0.3,0.3-0.09*(AN522-36.8)))/2)+AR521*(1-AS521/2))/(1-MAX(0.1,MIN(0.3,0.3-0.09*(AN522-36.8)))/2)</f>
        <v/>
      </c>
      <c r="AP522">
        <f>((AM522/$B$7+T521*AS521/2-T522*MAX(0.1,MIN(0.3,0.3-0.09*(AO522-36.8)))/2)+AR521*(1-AS521/2))/(1-MAX(0.1,MIN(0.3,0.3-0.09*(AO522-36.8)))/2)</f>
        <v/>
      </c>
      <c r="AQ522">
        <f>((AM522/$B$7+T521*AS521/2-T522*MAX(0.1,MIN(0.3,0.3-0.09*(AP522-36.8)))/2)+AR521*(1-AS521/2))/(1-MAX(0.1,MIN(0.3,0.3-0.09*(AP522-36.8)))/2)</f>
        <v/>
      </c>
      <c r="AR522">
        <f>((AM522/$B$7+T521*AS521/2-T522*MAX(0.1,MIN(0.3,0.3-0.09*(AQ522-36.8)))/2)+AR521*(1-AS521/2))/(1-MAX(0.1,MIN(0.3,0.3-0.09*(AQ522-36.8)))/2)</f>
        <v/>
      </c>
      <c r="AS522">
        <f>MAX(0.1,MIN(0.3,0.3-0.09*(AR522-36.8)))</f>
        <v/>
      </c>
      <c r="AT522">
        <f>AT521+(2*AR522-1.962*AT521-1.31)/9</f>
        <v/>
      </c>
      <c r="AU522">
        <f>AU521+AG522+K522</f>
        <v/>
      </c>
      <c r="AV522">
        <f>AU522*2.67*$B$6/1.8/60</f>
        <v/>
      </c>
      <c r="AW522">
        <f>IF(AT522&gt;=$B$36,1,0)</f>
        <v/>
      </c>
      <c r="AX522">
        <f>IF(AV522&gt;=$B$21,1,0)</f>
        <v/>
      </c>
    </row>
    <row r="523">
      <c r="A523" t="n">
        <v>450</v>
      </c>
      <c r="B523">
        <f>MATCH(A523-1,$D$61:$D$68,1)</f>
        <v/>
      </c>
      <c r="C523">
        <f>INDEX($G$61:$G$68,B523)</f>
        <v/>
      </c>
      <c r="D523">
        <f>INDEX($L$61:$L$68,B523)</f>
        <v/>
      </c>
      <c r="E523">
        <f>INDEX($M$61:$M$68,B523)</f>
        <v/>
      </c>
      <c r="F523">
        <f>INDEX($N$61:$N$68,B523)</f>
        <v/>
      </c>
      <c r="G523">
        <f>INDEX($AA$61:$AA$68,B523)</f>
        <v/>
      </c>
      <c r="H523">
        <f>INDEX($X$61:$X$68,B523)</f>
        <v/>
      </c>
      <c r="I523">
        <f>INDEX($AF$61:$AF$68,B523)</f>
        <v/>
      </c>
      <c r="J523">
        <f>INDEX($AC$61:$AC$68,B523)</f>
        <v/>
      </c>
      <c r="K523">
        <f>INDEX($AD$61:$AD$68,B523)</f>
        <v/>
      </c>
      <c r="L523">
        <f>INDEX($AG$61:$AG$68,B523)</f>
        <v/>
      </c>
      <c r="M523">
        <f>INDEX($AH$61:$AH$68,B523)</f>
        <v/>
      </c>
      <c r="N523">
        <f>INDEX($AI$61:$AI$68,B523)</f>
        <v/>
      </c>
      <c r="O523">
        <f>O522*$B$26+L523*(1-$B$26)</f>
        <v/>
      </c>
      <c r="P523">
        <f>$B$7*(O523-O522)*(1-AS522)</f>
        <v/>
      </c>
      <c r="Q523">
        <f>M523+0.51274*AT522</f>
        <v/>
      </c>
      <c r="R523">
        <f>N523+0.616*AT522</f>
        <v/>
      </c>
      <c r="S523">
        <f>IF($B$13&gt;=0.6,Q523,IF($B$13&lt;=0.2,R523,R523+2.5*(Q523-R523)*($B$13-0.2)))</f>
        <v/>
      </c>
      <c r="T523">
        <f>IF(A523=1,S523,T522*$B$27+S523*(1-$B$27))</f>
        <v/>
      </c>
      <c r="U523">
        <f>0.6105*EXP(17.27*T523/(T523+237.3))</f>
        <v/>
      </c>
      <c r="V523">
        <f>($B$14*(I523*C523+IF(ABS((D523+0.1)-D523)&lt;0.000000001,4*$B$19*$B$20*(D523+273)^3,$B$19*$B$20*(((D523+0.1)+273)^4-(D523+273)^4)/((D523+0.1)-D523))*D523)+T523/H523)/($B$14*(I523+IF(ABS((D523+0.1)-D523)&lt;0.000000001,4*$B$19*$B$20*(D523+273)^3,$B$19*$B$20*(((D523+0.1)+273)^4-(D523+273)^4)/((D523+0.1)-D523)))+1/H523)</f>
        <v/>
      </c>
      <c r="W523">
        <f>($B$14*(I523*C523+IF(ABS(V523-D523)&lt;0.000000001,4*$B$19*$B$20*(D523+273)^3,$B$19*$B$20*((V523+273)^4-(D523+273)^4)/(V523-D523))*D523)+T523/H523)/($B$14*(I523+IF(ABS(V523-D523)&lt;0.000000001,4*$B$19*$B$20*(D523+273)^3,$B$19*$B$20*((V523+273)^4-(D523+273)^4)/(V523-D523)))+1/H523)</f>
        <v/>
      </c>
      <c r="X523">
        <f>($B$14*(I523*C523+IF(ABS(W523-D523)&lt;0.000000001,4*$B$19*$B$20*(D523+273)^3,$B$19*$B$20*((W523+273)^4-(D523+273)^4)/(W523-D523))*D523)+T523/H523)/($B$14*(I523+IF(ABS(W523-D523)&lt;0.000000001,4*$B$19*$B$20*(D523+273)^3,$B$19*$B$20*((W523+273)^4-(D523+273)^4)/(W523-D523)))+1/H523)</f>
        <v/>
      </c>
      <c r="Y523">
        <f>($B$14*(I523*C523+IF(ABS(X523-D523)&lt;0.000000001,4*$B$19*$B$20*(D523+273)^3,$B$19*$B$20*((X523+273)^4-(D523+273)^4)/(X523-D523))*D523)+T523/H523)/($B$14*(I523+IF(ABS(X523-D523)&lt;0.000000001,4*$B$19*$B$20*(D523+273)^3,$B$19*$B$20*((X523+273)^4-(D523+273)^4)/(X523-D523)))+1/H523)</f>
        <v/>
      </c>
      <c r="Z523">
        <f>IF(ABS(Y523-D523)&lt;0.000000001,4*$B$19*$B$20*(D523+273)^3,$B$19*$B$20*((Y523+273)^4-(D523+273)^4)/(Y523-D523))</f>
        <v/>
      </c>
      <c r="AA523">
        <f>$B$14*I523*(Y523-C523)</f>
        <v/>
      </c>
      <c r="AB523">
        <f>$B$14*Z523*(Y523-D523)</f>
        <v/>
      </c>
      <c r="AC523">
        <f>IF((U523-E523)/G523=0,0.001,(U523-E523)/G523)</f>
        <v/>
      </c>
      <c r="AD523">
        <f>F523-P523-J523-K523-AA523-AB523</f>
        <v/>
      </c>
      <c r="AE523">
        <f>AD523/AC523</f>
        <v/>
      </c>
      <c r="AF523">
        <f>IF(AD523&lt;=0,0,IF(AC523&lt;=0,$B$11,IF(AE523&gt;=1.7,$B$11,MIN(AD523/MAX(0.05,IF(AE523&gt;1,(2-AE523)^2/2,1-AE523^2/2)),$B$11))))</f>
        <v/>
      </c>
      <c r="AG523">
        <f>AG522*$B$28+AF523*(1-$B$28)</f>
        <v/>
      </c>
      <c r="AH523">
        <f>IF(AND(AD523&gt;0,AC523&lt;=0),0,AC523)</f>
        <v/>
      </c>
      <c r="AI523">
        <f>AH523/MAX(AG523,0.000001)</f>
        <v/>
      </c>
      <c r="AJ523">
        <f>MIN(IF(AI523&gt;=0.5,-AI523+SQRT(AI523^2+2),1),$B$12)</f>
        <v/>
      </c>
      <c r="AK523">
        <f>IF(AG523&lt;=0,0,AJ523*AH523)</f>
        <v/>
      </c>
      <c r="AL523">
        <f>IF(AD523&lt;=0,0,AD523)</f>
        <v/>
      </c>
      <c r="AM523">
        <f>AL523-AK523+P523</f>
        <v/>
      </c>
      <c r="AN523">
        <f>((AM523/$B$7+T522*AS522/2-T523*MAX(0.1,MIN(0.3,0.3-0.09*(AR522-36.8)))/2)+AR522*(1-AS522/2))/(1-MAX(0.1,MIN(0.3,0.3-0.09*(AR522-36.8)))/2)</f>
        <v/>
      </c>
      <c r="AO523">
        <f>((AM523/$B$7+T522*AS522/2-T523*MAX(0.1,MIN(0.3,0.3-0.09*(AN523-36.8)))/2)+AR522*(1-AS522/2))/(1-MAX(0.1,MIN(0.3,0.3-0.09*(AN523-36.8)))/2)</f>
        <v/>
      </c>
      <c r="AP523">
        <f>((AM523/$B$7+T522*AS522/2-T523*MAX(0.1,MIN(0.3,0.3-0.09*(AO523-36.8)))/2)+AR522*(1-AS522/2))/(1-MAX(0.1,MIN(0.3,0.3-0.09*(AO523-36.8)))/2)</f>
        <v/>
      </c>
      <c r="AQ523">
        <f>((AM523/$B$7+T522*AS522/2-T523*MAX(0.1,MIN(0.3,0.3-0.09*(AP523-36.8)))/2)+AR522*(1-AS522/2))/(1-MAX(0.1,MIN(0.3,0.3-0.09*(AP523-36.8)))/2)</f>
        <v/>
      </c>
      <c r="AR523">
        <f>((AM523/$B$7+T522*AS522/2-T523*MAX(0.1,MIN(0.3,0.3-0.09*(AQ523-36.8)))/2)+AR522*(1-AS522/2))/(1-MAX(0.1,MIN(0.3,0.3-0.09*(AQ523-36.8)))/2)</f>
        <v/>
      </c>
      <c r="AS523">
        <f>MAX(0.1,MIN(0.3,0.3-0.09*(AR523-36.8)))</f>
        <v/>
      </c>
      <c r="AT523">
        <f>AT522+(2*AR523-1.962*AT522-1.31)/9</f>
        <v/>
      </c>
      <c r="AU523">
        <f>AU522+AG523+K523</f>
        <v/>
      </c>
      <c r="AV523">
        <f>AU523*2.67*$B$6/1.8/60</f>
        <v/>
      </c>
      <c r="AW523">
        <f>IF(AT523&gt;=$B$36,1,0)</f>
        <v/>
      </c>
      <c r="AX523">
        <f>IF(AV523&gt;=$B$21,1,0)</f>
        <v/>
      </c>
    </row>
    <row r="524">
      <c r="A524" t="n">
        <v>451</v>
      </c>
      <c r="B524">
        <f>MATCH(A524-1,$D$61:$D$68,1)</f>
        <v/>
      </c>
      <c r="C524">
        <f>INDEX($G$61:$G$68,B524)</f>
        <v/>
      </c>
      <c r="D524">
        <f>INDEX($L$61:$L$68,B524)</f>
        <v/>
      </c>
      <c r="E524">
        <f>INDEX($M$61:$M$68,B524)</f>
        <v/>
      </c>
      <c r="F524">
        <f>INDEX($N$61:$N$68,B524)</f>
        <v/>
      </c>
      <c r="G524">
        <f>INDEX($AA$61:$AA$68,B524)</f>
        <v/>
      </c>
      <c r="H524">
        <f>INDEX($X$61:$X$68,B524)</f>
        <v/>
      </c>
      <c r="I524">
        <f>INDEX($AF$61:$AF$68,B524)</f>
        <v/>
      </c>
      <c r="J524">
        <f>INDEX($AC$61:$AC$68,B524)</f>
        <v/>
      </c>
      <c r="K524">
        <f>INDEX($AD$61:$AD$68,B524)</f>
        <v/>
      </c>
      <c r="L524">
        <f>INDEX($AG$61:$AG$68,B524)</f>
        <v/>
      </c>
      <c r="M524">
        <f>INDEX($AH$61:$AH$68,B524)</f>
        <v/>
      </c>
      <c r="N524">
        <f>INDEX($AI$61:$AI$68,B524)</f>
        <v/>
      </c>
      <c r="O524">
        <f>O523*$B$26+L524*(1-$B$26)</f>
        <v/>
      </c>
      <c r="P524">
        <f>$B$7*(O524-O523)*(1-AS523)</f>
        <v/>
      </c>
      <c r="Q524">
        <f>M524+0.51274*AT523</f>
        <v/>
      </c>
      <c r="R524">
        <f>N524+0.616*AT523</f>
        <v/>
      </c>
      <c r="S524">
        <f>IF($B$13&gt;=0.6,Q524,IF($B$13&lt;=0.2,R524,R524+2.5*(Q524-R524)*($B$13-0.2)))</f>
        <v/>
      </c>
      <c r="T524">
        <f>IF(A524=1,S524,T523*$B$27+S524*(1-$B$27))</f>
        <v/>
      </c>
      <c r="U524">
        <f>0.6105*EXP(17.27*T524/(T524+237.3))</f>
        <v/>
      </c>
      <c r="V524">
        <f>($B$14*(I524*C524+IF(ABS((D524+0.1)-D524)&lt;0.000000001,4*$B$19*$B$20*(D524+273)^3,$B$19*$B$20*(((D524+0.1)+273)^4-(D524+273)^4)/((D524+0.1)-D524))*D524)+T524/H524)/($B$14*(I524+IF(ABS((D524+0.1)-D524)&lt;0.000000001,4*$B$19*$B$20*(D524+273)^3,$B$19*$B$20*(((D524+0.1)+273)^4-(D524+273)^4)/((D524+0.1)-D524)))+1/H524)</f>
        <v/>
      </c>
      <c r="W524">
        <f>($B$14*(I524*C524+IF(ABS(V524-D524)&lt;0.000000001,4*$B$19*$B$20*(D524+273)^3,$B$19*$B$20*((V524+273)^4-(D524+273)^4)/(V524-D524))*D524)+T524/H524)/($B$14*(I524+IF(ABS(V524-D524)&lt;0.000000001,4*$B$19*$B$20*(D524+273)^3,$B$19*$B$20*((V524+273)^4-(D524+273)^4)/(V524-D524)))+1/H524)</f>
        <v/>
      </c>
      <c r="X524">
        <f>($B$14*(I524*C524+IF(ABS(W524-D524)&lt;0.000000001,4*$B$19*$B$20*(D524+273)^3,$B$19*$B$20*((W524+273)^4-(D524+273)^4)/(W524-D524))*D524)+T524/H524)/($B$14*(I524+IF(ABS(W524-D524)&lt;0.000000001,4*$B$19*$B$20*(D524+273)^3,$B$19*$B$20*((W524+273)^4-(D524+273)^4)/(W524-D524)))+1/H524)</f>
        <v/>
      </c>
      <c r="Y524">
        <f>($B$14*(I524*C524+IF(ABS(X524-D524)&lt;0.000000001,4*$B$19*$B$20*(D524+273)^3,$B$19*$B$20*((X524+273)^4-(D524+273)^4)/(X524-D524))*D524)+T524/H524)/($B$14*(I524+IF(ABS(X524-D524)&lt;0.000000001,4*$B$19*$B$20*(D524+273)^3,$B$19*$B$20*((X524+273)^4-(D524+273)^4)/(X524-D524)))+1/H524)</f>
        <v/>
      </c>
      <c r="Z524">
        <f>IF(ABS(Y524-D524)&lt;0.000000001,4*$B$19*$B$20*(D524+273)^3,$B$19*$B$20*((Y524+273)^4-(D524+273)^4)/(Y524-D524))</f>
        <v/>
      </c>
      <c r="AA524">
        <f>$B$14*I524*(Y524-C524)</f>
        <v/>
      </c>
      <c r="AB524">
        <f>$B$14*Z524*(Y524-D524)</f>
        <v/>
      </c>
      <c r="AC524">
        <f>IF((U524-E524)/G524=0,0.001,(U524-E524)/G524)</f>
        <v/>
      </c>
      <c r="AD524">
        <f>F524-P524-J524-K524-AA524-AB524</f>
        <v/>
      </c>
      <c r="AE524">
        <f>AD524/AC524</f>
        <v/>
      </c>
      <c r="AF524">
        <f>IF(AD524&lt;=0,0,IF(AC524&lt;=0,$B$11,IF(AE524&gt;=1.7,$B$11,MIN(AD524/MAX(0.05,IF(AE524&gt;1,(2-AE524)^2/2,1-AE524^2/2)),$B$11))))</f>
        <v/>
      </c>
      <c r="AG524">
        <f>AG523*$B$28+AF524*(1-$B$28)</f>
        <v/>
      </c>
      <c r="AH524">
        <f>IF(AND(AD524&gt;0,AC524&lt;=0),0,AC524)</f>
        <v/>
      </c>
      <c r="AI524">
        <f>AH524/MAX(AG524,0.000001)</f>
        <v/>
      </c>
      <c r="AJ524">
        <f>MIN(IF(AI524&gt;=0.5,-AI524+SQRT(AI524^2+2),1),$B$12)</f>
        <v/>
      </c>
      <c r="AK524">
        <f>IF(AG524&lt;=0,0,AJ524*AH524)</f>
        <v/>
      </c>
      <c r="AL524">
        <f>IF(AD524&lt;=0,0,AD524)</f>
        <v/>
      </c>
      <c r="AM524">
        <f>AL524-AK524+P524</f>
        <v/>
      </c>
      <c r="AN524">
        <f>((AM524/$B$7+T523*AS523/2-T524*MAX(0.1,MIN(0.3,0.3-0.09*(AR523-36.8)))/2)+AR523*(1-AS523/2))/(1-MAX(0.1,MIN(0.3,0.3-0.09*(AR523-36.8)))/2)</f>
        <v/>
      </c>
      <c r="AO524">
        <f>((AM524/$B$7+T523*AS523/2-T524*MAX(0.1,MIN(0.3,0.3-0.09*(AN524-36.8)))/2)+AR523*(1-AS523/2))/(1-MAX(0.1,MIN(0.3,0.3-0.09*(AN524-36.8)))/2)</f>
        <v/>
      </c>
      <c r="AP524">
        <f>((AM524/$B$7+T523*AS523/2-T524*MAX(0.1,MIN(0.3,0.3-0.09*(AO524-36.8)))/2)+AR523*(1-AS523/2))/(1-MAX(0.1,MIN(0.3,0.3-0.09*(AO524-36.8)))/2)</f>
        <v/>
      </c>
      <c r="AQ524">
        <f>((AM524/$B$7+T523*AS523/2-T524*MAX(0.1,MIN(0.3,0.3-0.09*(AP524-36.8)))/2)+AR523*(1-AS523/2))/(1-MAX(0.1,MIN(0.3,0.3-0.09*(AP524-36.8)))/2)</f>
        <v/>
      </c>
      <c r="AR524">
        <f>((AM524/$B$7+T523*AS523/2-T524*MAX(0.1,MIN(0.3,0.3-0.09*(AQ524-36.8)))/2)+AR523*(1-AS523/2))/(1-MAX(0.1,MIN(0.3,0.3-0.09*(AQ524-36.8)))/2)</f>
        <v/>
      </c>
      <c r="AS524">
        <f>MAX(0.1,MIN(0.3,0.3-0.09*(AR524-36.8)))</f>
        <v/>
      </c>
      <c r="AT524">
        <f>AT523+(2*AR524-1.962*AT523-1.31)/9</f>
        <v/>
      </c>
      <c r="AU524">
        <f>AU523+AG524+K524</f>
        <v/>
      </c>
      <c r="AV524">
        <f>AU524*2.67*$B$6/1.8/60</f>
        <v/>
      </c>
      <c r="AW524">
        <f>IF(AT524&gt;=$B$36,1,0)</f>
        <v/>
      </c>
      <c r="AX524">
        <f>IF(AV524&gt;=$B$21,1,0)</f>
        <v/>
      </c>
    </row>
    <row r="525">
      <c r="A525" t="n">
        <v>452</v>
      </c>
      <c r="B525">
        <f>MATCH(A525-1,$D$61:$D$68,1)</f>
        <v/>
      </c>
      <c r="C525">
        <f>INDEX($G$61:$G$68,B525)</f>
        <v/>
      </c>
      <c r="D525">
        <f>INDEX($L$61:$L$68,B525)</f>
        <v/>
      </c>
      <c r="E525">
        <f>INDEX($M$61:$M$68,B525)</f>
        <v/>
      </c>
      <c r="F525">
        <f>INDEX($N$61:$N$68,B525)</f>
        <v/>
      </c>
      <c r="G525">
        <f>INDEX($AA$61:$AA$68,B525)</f>
        <v/>
      </c>
      <c r="H525">
        <f>INDEX($X$61:$X$68,B525)</f>
        <v/>
      </c>
      <c r="I525">
        <f>INDEX($AF$61:$AF$68,B525)</f>
        <v/>
      </c>
      <c r="J525">
        <f>INDEX($AC$61:$AC$68,B525)</f>
        <v/>
      </c>
      <c r="K525">
        <f>INDEX($AD$61:$AD$68,B525)</f>
        <v/>
      </c>
      <c r="L525">
        <f>INDEX($AG$61:$AG$68,B525)</f>
        <v/>
      </c>
      <c r="M525">
        <f>INDEX($AH$61:$AH$68,B525)</f>
        <v/>
      </c>
      <c r="N525">
        <f>INDEX($AI$61:$AI$68,B525)</f>
        <v/>
      </c>
      <c r="O525">
        <f>O524*$B$26+L525*(1-$B$26)</f>
        <v/>
      </c>
      <c r="P525">
        <f>$B$7*(O525-O524)*(1-AS524)</f>
        <v/>
      </c>
      <c r="Q525">
        <f>M525+0.51274*AT524</f>
        <v/>
      </c>
      <c r="R525">
        <f>N525+0.616*AT524</f>
        <v/>
      </c>
      <c r="S525">
        <f>IF($B$13&gt;=0.6,Q525,IF($B$13&lt;=0.2,R525,R525+2.5*(Q525-R525)*($B$13-0.2)))</f>
        <v/>
      </c>
      <c r="T525">
        <f>IF(A525=1,S525,T524*$B$27+S525*(1-$B$27))</f>
        <v/>
      </c>
      <c r="U525">
        <f>0.6105*EXP(17.27*T525/(T525+237.3))</f>
        <v/>
      </c>
      <c r="V525">
        <f>($B$14*(I525*C525+IF(ABS((D525+0.1)-D525)&lt;0.000000001,4*$B$19*$B$20*(D525+273)^3,$B$19*$B$20*(((D525+0.1)+273)^4-(D525+273)^4)/((D525+0.1)-D525))*D525)+T525/H525)/($B$14*(I525+IF(ABS((D525+0.1)-D525)&lt;0.000000001,4*$B$19*$B$20*(D525+273)^3,$B$19*$B$20*(((D525+0.1)+273)^4-(D525+273)^4)/((D525+0.1)-D525)))+1/H525)</f>
        <v/>
      </c>
      <c r="W525">
        <f>($B$14*(I525*C525+IF(ABS(V525-D525)&lt;0.000000001,4*$B$19*$B$20*(D525+273)^3,$B$19*$B$20*((V525+273)^4-(D525+273)^4)/(V525-D525))*D525)+T525/H525)/($B$14*(I525+IF(ABS(V525-D525)&lt;0.000000001,4*$B$19*$B$20*(D525+273)^3,$B$19*$B$20*((V525+273)^4-(D525+273)^4)/(V525-D525)))+1/H525)</f>
        <v/>
      </c>
      <c r="X525">
        <f>($B$14*(I525*C525+IF(ABS(W525-D525)&lt;0.000000001,4*$B$19*$B$20*(D525+273)^3,$B$19*$B$20*((W525+273)^4-(D525+273)^4)/(W525-D525))*D525)+T525/H525)/($B$14*(I525+IF(ABS(W525-D525)&lt;0.000000001,4*$B$19*$B$20*(D525+273)^3,$B$19*$B$20*((W525+273)^4-(D525+273)^4)/(W525-D525)))+1/H525)</f>
        <v/>
      </c>
      <c r="Y525">
        <f>($B$14*(I525*C525+IF(ABS(X525-D525)&lt;0.000000001,4*$B$19*$B$20*(D525+273)^3,$B$19*$B$20*((X525+273)^4-(D525+273)^4)/(X525-D525))*D525)+T525/H525)/($B$14*(I525+IF(ABS(X525-D525)&lt;0.000000001,4*$B$19*$B$20*(D525+273)^3,$B$19*$B$20*((X525+273)^4-(D525+273)^4)/(X525-D525)))+1/H525)</f>
        <v/>
      </c>
      <c r="Z525">
        <f>IF(ABS(Y525-D525)&lt;0.000000001,4*$B$19*$B$20*(D525+273)^3,$B$19*$B$20*((Y525+273)^4-(D525+273)^4)/(Y525-D525))</f>
        <v/>
      </c>
      <c r="AA525">
        <f>$B$14*I525*(Y525-C525)</f>
        <v/>
      </c>
      <c r="AB525">
        <f>$B$14*Z525*(Y525-D525)</f>
        <v/>
      </c>
      <c r="AC525">
        <f>IF((U525-E525)/G525=0,0.001,(U525-E525)/G525)</f>
        <v/>
      </c>
      <c r="AD525">
        <f>F525-P525-J525-K525-AA525-AB525</f>
        <v/>
      </c>
      <c r="AE525">
        <f>AD525/AC525</f>
        <v/>
      </c>
      <c r="AF525">
        <f>IF(AD525&lt;=0,0,IF(AC525&lt;=0,$B$11,IF(AE525&gt;=1.7,$B$11,MIN(AD525/MAX(0.05,IF(AE525&gt;1,(2-AE525)^2/2,1-AE525^2/2)),$B$11))))</f>
        <v/>
      </c>
      <c r="AG525">
        <f>AG524*$B$28+AF525*(1-$B$28)</f>
        <v/>
      </c>
      <c r="AH525">
        <f>IF(AND(AD525&gt;0,AC525&lt;=0),0,AC525)</f>
        <v/>
      </c>
      <c r="AI525">
        <f>AH525/MAX(AG525,0.000001)</f>
        <v/>
      </c>
      <c r="AJ525">
        <f>MIN(IF(AI525&gt;=0.5,-AI525+SQRT(AI525^2+2),1),$B$12)</f>
        <v/>
      </c>
      <c r="AK525">
        <f>IF(AG525&lt;=0,0,AJ525*AH525)</f>
        <v/>
      </c>
      <c r="AL525">
        <f>IF(AD525&lt;=0,0,AD525)</f>
        <v/>
      </c>
      <c r="AM525">
        <f>AL525-AK525+P525</f>
        <v/>
      </c>
      <c r="AN525">
        <f>((AM525/$B$7+T524*AS524/2-T525*MAX(0.1,MIN(0.3,0.3-0.09*(AR524-36.8)))/2)+AR524*(1-AS524/2))/(1-MAX(0.1,MIN(0.3,0.3-0.09*(AR524-36.8)))/2)</f>
        <v/>
      </c>
      <c r="AO525">
        <f>((AM525/$B$7+T524*AS524/2-T525*MAX(0.1,MIN(0.3,0.3-0.09*(AN525-36.8)))/2)+AR524*(1-AS524/2))/(1-MAX(0.1,MIN(0.3,0.3-0.09*(AN525-36.8)))/2)</f>
        <v/>
      </c>
      <c r="AP525">
        <f>((AM525/$B$7+T524*AS524/2-T525*MAX(0.1,MIN(0.3,0.3-0.09*(AO525-36.8)))/2)+AR524*(1-AS524/2))/(1-MAX(0.1,MIN(0.3,0.3-0.09*(AO525-36.8)))/2)</f>
        <v/>
      </c>
      <c r="AQ525">
        <f>((AM525/$B$7+T524*AS524/2-T525*MAX(0.1,MIN(0.3,0.3-0.09*(AP525-36.8)))/2)+AR524*(1-AS524/2))/(1-MAX(0.1,MIN(0.3,0.3-0.09*(AP525-36.8)))/2)</f>
        <v/>
      </c>
      <c r="AR525">
        <f>((AM525/$B$7+T524*AS524/2-T525*MAX(0.1,MIN(0.3,0.3-0.09*(AQ525-36.8)))/2)+AR524*(1-AS524/2))/(1-MAX(0.1,MIN(0.3,0.3-0.09*(AQ525-36.8)))/2)</f>
        <v/>
      </c>
      <c r="AS525">
        <f>MAX(0.1,MIN(0.3,0.3-0.09*(AR525-36.8)))</f>
        <v/>
      </c>
      <c r="AT525">
        <f>AT524+(2*AR525-1.962*AT524-1.31)/9</f>
        <v/>
      </c>
      <c r="AU525">
        <f>AU524+AG525+K525</f>
        <v/>
      </c>
      <c r="AV525">
        <f>AU525*2.67*$B$6/1.8/60</f>
        <v/>
      </c>
      <c r="AW525">
        <f>IF(AT525&gt;=$B$36,1,0)</f>
        <v/>
      </c>
      <c r="AX525">
        <f>IF(AV525&gt;=$B$21,1,0)</f>
        <v/>
      </c>
    </row>
    <row r="526">
      <c r="A526" t="n">
        <v>453</v>
      </c>
      <c r="B526">
        <f>MATCH(A526-1,$D$61:$D$68,1)</f>
        <v/>
      </c>
      <c r="C526">
        <f>INDEX($G$61:$G$68,B526)</f>
        <v/>
      </c>
      <c r="D526">
        <f>INDEX($L$61:$L$68,B526)</f>
        <v/>
      </c>
      <c r="E526">
        <f>INDEX($M$61:$M$68,B526)</f>
        <v/>
      </c>
      <c r="F526">
        <f>INDEX($N$61:$N$68,B526)</f>
        <v/>
      </c>
      <c r="G526">
        <f>INDEX($AA$61:$AA$68,B526)</f>
        <v/>
      </c>
      <c r="H526">
        <f>INDEX($X$61:$X$68,B526)</f>
        <v/>
      </c>
      <c r="I526">
        <f>INDEX($AF$61:$AF$68,B526)</f>
        <v/>
      </c>
      <c r="J526">
        <f>INDEX($AC$61:$AC$68,B526)</f>
        <v/>
      </c>
      <c r="K526">
        <f>INDEX($AD$61:$AD$68,B526)</f>
        <v/>
      </c>
      <c r="L526">
        <f>INDEX($AG$61:$AG$68,B526)</f>
        <v/>
      </c>
      <c r="M526">
        <f>INDEX($AH$61:$AH$68,B526)</f>
        <v/>
      </c>
      <c r="N526">
        <f>INDEX($AI$61:$AI$68,B526)</f>
        <v/>
      </c>
      <c r="O526">
        <f>O525*$B$26+L526*(1-$B$26)</f>
        <v/>
      </c>
      <c r="P526">
        <f>$B$7*(O526-O525)*(1-AS525)</f>
        <v/>
      </c>
      <c r="Q526">
        <f>M526+0.51274*AT525</f>
        <v/>
      </c>
      <c r="R526">
        <f>N526+0.616*AT525</f>
        <v/>
      </c>
      <c r="S526">
        <f>IF($B$13&gt;=0.6,Q526,IF($B$13&lt;=0.2,R526,R526+2.5*(Q526-R526)*($B$13-0.2)))</f>
        <v/>
      </c>
      <c r="T526">
        <f>IF(A526=1,S526,T525*$B$27+S526*(1-$B$27))</f>
        <v/>
      </c>
      <c r="U526">
        <f>0.6105*EXP(17.27*T526/(T526+237.3))</f>
        <v/>
      </c>
      <c r="V526">
        <f>($B$14*(I526*C526+IF(ABS((D526+0.1)-D526)&lt;0.000000001,4*$B$19*$B$20*(D526+273)^3,$B$19*$B$20*(((D526+0.1)+273)^4-(D526+273)^4)/((D526+0.1)-D526))*D526)+T526/H526)/($B$14*(I526+IF(ABS((D526+0.1)-D526)&lt;0.000000001,4*$B$19*$B$20*(D526+273)^3,$B$19*$B$20*(((D526+0.1)+273)^4-(D526+273)^4)/((D526+0.1)-D526)))+1/H526)</f>
        <v/>
      </c>
      <c r="W526">
        <f>($B$14*(I526*C526+IF(ABS(V526-D526)&lt;0.000000001,4*$B$19*$B$20*(D526+273)^3,$B$19*$B$20*((V526+273)^4-(D526+273)^4)/(V526-D526))*D526)+T526/H526)/($B$14*(I526+IF(ABS(V526-D526)&lt;0.000000001,4*$B$19*$B$20*(D526+273)^3,$B$19*$B$20*((V526+273)^4-(D526+273)^4)/(V526-D526)))+1/H526)</f>
        <v/>
      </c>
      <c r="X526">
        <f>($B$14*(I526*C526+IF(ABS(W526-D526)&lt;0.000000001,4*$B$19*$B$20*(D526+273)^3,$B$19*$B$20*((W526+273)^4-(D526+273)^4)/(W526-D526))*D526)+T526/H526)/($B$14*(I526+IF(ABS(W526-D526)&lt;0.000000001,4*$B$19*$B$20*(D526+273)^3,$B$19*$B$20*((W526+273)^4-(D526+273)^4)/(W526-D526)))+1/H526)</f>
        <v/>
      </c>
      <c r="Y526">
        <f>($B$14*(I526*C526+IF(ABS(X526-D526)&lt;0.000000001,4*$B$19*$B$20*(D526+273)^3,$B$19*$B$20*((X526+273)^4-(D526+273)^4)/(X526-D526))*D526)+T526/H526)/($B$14*(I526+IF(ABS(X526-D526)&lt;0.000000001,4*$B$19*$B$20*(D526+273)^3,$B$19*$B$20*((X526+273)^4-(D526+273)^4)/(X526-D526)))+1/H526)</f>
        <v/>
      </c>
      <c r="Z526">
        <f>IF(ABS(Y526-D526)&lt;0.000000001,4*$B$19*$B$20*(D526+273)^3,$B$19*$B$20*((Y526+273)^4-(D526+273)^4)/(Y526-D526))</f>
        <v/>
      </c>
      <c r="AA526">
        <f>$B$14*I526*(Y526-C526)</f>
        <v/>
      </c>
      <c r="AB526">
        <f>$B$14*Z526*(Y526-D526)</f>
        <v/>
      </c>
      <c r="AC526">
        <f>IF((U526-E526)/G526=0,0.001,(U526-E526)/G526)</f>
        <v/>
      </c>
      <c r="AD526">
        <f>F526-P526-J526-K526-AA526-AB526</f>
        <v/>
      </c>
      <c r="AE526">
        <f>AD526/AC526</f>
        <v/>
      </c>
      <c r="AF526">
        <f>IF(AD526&lt;=0,0,IF(AC526&lt;=0,$B$11,IF(AE526&gt;=1.7,$B$11,MIN(AD526/MAX(0.05,IF(AE526&gt;1,(2-AE526)^2/2,1-AE526^2/2)),$B$11))))</f>
        <v/>
      </c>
      <c r="AG526">
        <f>AG525*$B$28+AF526*(1-$B$28)</f>
        <v/>
      </c>
      <c r="AH526">
        <f>IF(AND(AD526&gt;0,AC526&lt;=0),0,AC526)</f>
        <v/>
      </c>
      <c r="AI526">
        <f>AH526/MAX(AG526,0.000001)</f>
        <v/>
      </c>
      <c r="AJ526">
        <f>MIN(IF(AI526&gt;=0.5,-AI526+SQRT(AI526^2+2),1),$B$12)</f>
        <v/>
      </c>
      <c r="AK526">
        <f>IF(AG526&lt;=0,0,AJ526*AH526)</f>
        <v/>
      </c>
      <c r="AL526">
        <f>IF(AD526&lt;=0,0,AD526)</f>
        <v/>
      </c>
      <c r="AM526">
        <f>AL526-AK526+P526</f>
        <v/>
      </c>
      <c r="AN526">
        <f>((AM526/$B$7+T525*AS525/2-T526*MAX(0.1,MIN(0.3,0.3-0.09*(AR525-36.8)))/2)+AR525*(1-AS525/2))/(1-MAX(0.1,MIN(0.3,0.3-0.09*(AR525-36.8)))/2)</f>
        <v/>
      </c>
      <c r="AO526">
        <f>((AM526/$B$7+T525*AS525/2-T526*MAX(0.1,MIN(0.3,0.3-0.09*(AN526-36.8)))/2)+AR525*(1-AS525/2))/(1-MAX(0.1,MIN(0.3,0.3-0.09*(AN526-36.8)))/2)</f>
        <v/>
      </c>
      <c r="AP526">
        <f>((AM526/$B$7+T525*AS525/2-T526*MAX(0.1,MIN(0.3,0.3-0.09*(AO526-36.8)))/2)+AR525*(1-AS525/2))/(1-MAX(0.1,MIN(0.3,0.3-0.09*(AO526-36.8)))/2)</f>
        <v/>
      </c>
      <c r="AQ526">
        <f>((AM526/$B$7+T525*AS525/2-T526*MAX(0.1,MIN(0.3,0.3-0.09*(AP526-36.8)))/2)+AR525*(1-AS525/2))/(1-MAX(0.1,MIN(0.3,0.3-0.09*(AP526-36.8)))/2)</f>
        <v/>
      </c>
      <c r="AR526">
        <f>((AM526/$B$7+T525*AS525/2-T526*MAX(0.1,MIN(0.3,0.3-0.09*(AQ526-36.8)))/2)+AR525*(1-AS525/2))/(1-MAX(0.1,MIN(0.3,0.3-0.09*(AQ526-36.8)))/2)</f>
        <v/>
      </c>
      <c r="AS526">
        <f>MAX(0.1,MIN(0.3,0.3-0.09*(AR526-36.8)))</f>
        <v/>
      </c>
      <c r="AT526">
        <f>AT525+(2*AR526-1.962*AT525-1.31)/9</f>
        <v/>
      </c>
      <c r="AU526">
        <f>AU525+AG526+K526</f>
        <v/>
      </c>
      <c r="AV526">
        <f>AU526*2.67*$B$6/1.8/60</f>
        <v/>
      </c>
      <c r="AW526">
        <f>IF(AT526&gt;=$B$36,1,0)</f>
        <v/>
      </c>
      <c r="AX526">
        <f>IF(AV526&gt;=$B$21,1,0)</f>
        <v/>
      </c>
    </row>
    <row r="527">
      <c r="A527" t="n">
        <v>454</v>
      </c>
      <c r="B527">
        <f>MATCH(A527-1,$D$61:$D$68,1)</f>
        <v/>
      </c>
      <c r="C527">
        <f>INDEX($G$61:$G$68,B527)</f>
        <v/>
      </c>
      <c r="D527">
        <f>INDEX($L$61:$L$68,B527)</f>
        <v/>
      </c>
      <c r="E527">
        <f>INDEX($M$61:$M$68,B527)</f>
        <v/>
      </c>
      <c r="F527">
        <f>INDEX($N$61:$N$68,B527)</f>
        <v/>
      </c>
      <c r="G527">
        <f>INDEX($AA$61:$AA$68,B527)</f>
        <v/>
      </c>
      <c r="H527">
        <f>INDEX($X$61:$X$68,B527)</f>
        <v/>
      </c>
      <c r="I527">
        <f>INDEX($AF$61:$AF$68,B527)</f>
        <v/>
      </c>
      <c r="J527">
        <f>INDEX($AC$61:$AC$68,B527)</f>
        <v/>
      </c>
      <c r="K527">
        <f>INDEX($AD$61:$AD$68,B527)</f>
        <v/>
      </c>
      <c r="L527">
        <f>INDEX($AG$61:$AG$68,B527)</f>
        <v/>
      </c>
      <c r="M527">
        <f>INDEX($AH$61:$AH$68,B527)</f>
        <v/>
      </c>
      <c r="N527">
        <f>INDEX($AI$61:$AI$68,B527)</f>
        <v/>
      </c>
      <c r="O527">
        <f>O526*$B$26+L527*(1-$B$26)</f>
        <v/>
      </c>
      <c r="P527">
        <f>$B$7*(O527-O526)*(1-AS526)</f>
        <v/>
      </c>
      <c r="Q527">
        <f>M527+0.51274*AT526</f>
        <v/>
      </c>
      <c r="R527">
        <f>N527+0.616*AT526</f>
        <v/>
      </c>
      <c r="S527">
        <f>IF($B$13&gt;=0.6,Q527,IF($B$13&lt;=0.2,R527,R527+2.5*(Q527-R527)*($B$13-0.2)))</f>
        <v/>
      </c>
      <c r="T527">
        <f>IF(A527=1,S527,T526*$B$27+S527*(1-$B$27))</f>
        <v/>
      </c>
      <c r="U527">
        <f>0.6105*EXP(17.27*T527/(T527+237.3))</f>
        <v/>
      </c>
      <c r="V527">
        <f>($B$14*(I527*C527+IF(ABS((D527+0.1)-D527)&lt;0.000000001,4*$B$19*$B$20*(D527+273)^3,$B$19*$B$20*(((D527+0.1)+273)^4-(D527+273)^4)/((D527+0.1)-D527))*D527)+T527/H527)/($B$14*(I527+IF(ABS((D527+0.1)-D527)&lt;0.000000001,4*$B$19*$B$20*(D527+273)^3,$B$19*$B$20*(((D527+0.1)+273)^4-(D527+273)^4)/((D527+0.1)-D527)))+1/H527)</f>
        <v/>
      </c>
      <c r="W527">
        <f>($B$14*(I527*C527+IF(ABS(V527-D527)&lt;0.000000001,4*$B$19*$B$20*(D527+273)^3,$B$19*$B$20*((V527+273)^4-(D527+273)^4)/(V527-D527))*D527)+T527/H527)/($B$14*(I527+IF(ABS(V527-D527)&lt;0.000000001,4*$B$19*$B$20*(D527+273)^3,$B$19*$B$20*((V527+273)^4-(D527+273)^4)/(V527-D527)))+1/H527)</f>
        <v/>
      </c>
      <c r="X527">
        <f>($B$14*(I527*C527+IF(ABS(W527-D527)&lt;0.000000001,4*$B$19*$B$20*(D527+273)^3,$B$19*$B$20*((W527+273)^4-(D527+273)^4)/(W527-D527))*D527)+T527/H527)/($B$14*(I527+IF(ABS(W527-D527)&lt;0.000000001,4*$B$19*$B$20*(D527+273)^3,$B$19*$B$20*((W527+273)^4-(D527+273)^4)/(W527-D527)))+1/H527)</f>
        <v/>
      </c>
      <c r="Y527">
        <f>($B$14*(I527*C527+IF(ABS(X527-D527)&lt;0.000000001,4*$B$19*$B$20*(D527+273)^3,$B$19*$B$20*((X527+273)^4-(D527+273)^4)/(X527-D527))*D527)+T527/H527)/($B$14*(I527+IF(ABS(X527-D527)&lt;0.000000001,4*$B$19*$B$20*(D527+273)^3,$B$19*$B$20*((X527+273)^4-(D527+273)^4)/(X527-D527)))+1/H527)</f>
        <v/>
      </c>
      <c r="Z527">
        <f>IF(ABS(Y527-D527)&lt;0.000000001,4*$B$19*$B$20*(D527+273)^3,$B$19*$B$20*((Y527+273)^4-(D527+273)^4)/(Y527-D527))</f>
        <v/>
      </c>
      <c r="AA527">
        <f>$B$14*I527*(Y527-C527)</f>
        <v/>
      </c>
      <c r="AB527">
        <f>$B$14*Z527*(Y527-D527)</f>
        <v/>
      </c>
      <c r="AC527">
        <f>IF((U527-E527)/G527=0,0.001,(U527-E527)/G527)</f>
        <v/>
      </c>
      <c r="AD527">
        <f>F527-P527-J527-K527-AA527-AB527</f>
        <v/>
      </c>
      <c r="AE527">
        <f>AD527/AC527</f>
        <v/>
      </c>
      <c r="AF527">
        <f>IF(AD527&lt;=0,0,IF(AC527&lt;=0,$B$11,IF(AE527&gt;=1.7,$B$11,MIN(AD527/MAX(0.05,IF(AE527&gt;1,(2-AE527)^2/2,1-AE527^2/2)),$B$11))))</f>
        <v/>
      </c>
      <c r="AG527">
        <f>AG526*$B$28+AF527*(1-$B$28)</f>
        <v/>
      </c>
      <c r="AH527">
        <f>IF(AND(AD527&gt;0,AC527&lt;=0),0,AC527)</f>
        <v/>
      </c>
      <c r="AI527">
        <f>AH527/MAX(AG527,0.000001)</f>
        <v/>
      </c>
      <c r="AJ527">
        <f>MIN(IF(AI527&gt;=0.5,-AI527+SQRT(AI527^2+2),1),$B$12)</f>
        <v/>
      </c>
      <c r="AK527">
        <f>IF(AG527&lt;=0,0,AJ527*AH527)</f>
        <v/>
      </c>
      <c r="AL527">
        <f>IF(AD527&lt;=0,0,AD527)</f>
        <v/>
      </c>
      <c r="AM527">
        <f>AL527-AK527+P527</f>
        <v/>
      </c>
      <c r="AN527">
        <f>((AM527/$B$7+T526*AS526/2-T527*MAX(0.1,MIN(0.3,0.3-0.09*(AR526-36.8)))/2)+AR526*(1-AS526/2))/(1-MAX(0.1,MIN(0.3,0.3-0.09*(AR526-36.8)))/2)</f>
        <v/>
      </c>
      <c r="AO527">
        <f>((AM527/$B$7+T526*AS526/2-T527*MAX(0.1,MIN(0.3,0.3-0.09*(AN527-36.8)))/2)+AR526*(1-AS526/2))/(1-MAX(0.1,MIN(0.3,0.3-0.09*(AN527-36.8)))/2)</f>
        <v/>
      </c>
      <c r="AP527">
        <f>((AM527/$B$7+T526*AS526/2-T527*MAX(0.1,MIN(0.3,0.3-0.09*(AO527-36.8)))/2)+AR526*(1-AS526/2))/(1-MAX(0.1,MIN(0.3,0.3-0.09*(AO527-36.8)))/2)</f>
        <v/>
      </c>
      <c r="AQ527">
        <f>((AM527/$B$7+T526*AS526/2-T527*MAX(0.1,MIN(0.3,0.3-0.09*(AP527-36.8)))/2)+AR526*(1-AS526/2))/(1-MAX(0.1,MIN(0.3,0.3-0.09*(AP527-36.8)))/2)</f>
        <v/>
      </c>
      <c r="AR527">
        <f>((AM527/$B$7+T526*AS526/2-T527*MAX(0.1,MIN(0.3,0.3-0.09*(AQ527-36.8)))/2)+AR526*(1-AS526/2))/(1-MAX(0.1,MIN(0.3,0.3-0.09*(AQ527-36.8)))/2)</f>
        <v/>
      </c>
      <c r="AS527">
        <f>MAX(0.1,MIN(0.3,0.3-0.09*(AR527-36.8)))</f>
        <v/>
      </c>
      <c r="AT527">
        <f>AT526+(2*AR527-1.962*AT526-1.31)/9</f>
        <v/>
      </c>
      <c r="AU527">
        <f>AU526+AG527+K527</f>
        <v/>
      </c>
      <c r="AV527">
        <f>AU527*2.67*$B$6/1.8/60</f>
        <v/>
      </c>
      <c r="AW527">
        <f>IF(AT527&gt;=$B$36,1,0)</f>
        <v/>
      </c>
      <c r="AX527">
        <f>IF(AV527&gt;=$B$21,1,0)</f>
        <v/>
      </c>
    </row>
    <row r="528">
      <c r="A528" t="n">
        <v>455</v>
      </c>
      <c r="B528">
        <f>MATCH(A528-1,$D$61:$D$68,1)</f>
        <v/>
      </c>
      <c r="C528">
        <f>INDEX($G$61:$G$68,B528)</f>
        <v/>
      </c>
      <c r="D528">
        <f>INDEX($L$61:$L$68,B528)</f>
        <v/>
      </c>
      <c r="E528">
        <f>INDEX($M$61:$M$68,B528)</f>
        <v/>
      </c>
      <c r="F528">
        <f>INDEX($N$61:$N$68,B528)</f>
        <v/>
      </c>
      <c r="G528">
        <f>INDEX($AA$61:$AA$68,B528)</f>
        <v/>
      </c>
      <c r="H528">
        <f>INDEX($X$61:$X$68,B528)</f>
        <v/>
      </c>
      <c r="I528">
        <f>INDEX($AF$61:$AF$68,B528)</f>
        <v/>
      </c>
      <c r="J528">
        <f>INDEX($AC$61:$AC$68,B528)</f>
        <v/>
      </c>
      <c r="K528">
        <f>INDEX($AD$61:$AD$68,B528)</f>
        <v/>
      </c>
      <c r="L528">
        <f>INDEX($AG$61:$AG$68,B528)</f>
        <v/>
      </c>
      <c r="M528">
        <f>INDEX($AH$61:$AH$68,B528)</f>
        <v/>
      </c>
      <c r="N528">
        <f>INDEX($AI$61:$AI$68,B528)</f>
        <v/>
      </c>
      <c r="O528">
        <f>O527*$B$26+L528*(1-$B$26)</f>
        <v/>
      </c>
      <c r="P528">
        <f>$B$7*(O528-O527)*(1-AS527)</f>
        <v/>
      </c>
      <c r="Q528">
        <f>M528+0.51274*AT527</f>
        <v/>
      </c>
      <c r="R528">
        <f>N528+0.616*AT527</f>
        <v/>
      </c>
      <c r="S528">
        <f>IF($B$13&gt;=0.6,Q528,IF($B$13&lt;=0.2,R528,R528+2.5*(Q528-R528)*($B$13-0.2)))</f>
        <v/>
      </c>
      <c r="T528">
        <f>IF(A528=1,S528,T527*$B$27+S528*(1-$B$27))</f>
        <v/>
      </c>
      <c r="U528">
        <f>0.6105*EXP(17.27*T528/(T528+237.3))</f>
        <v/>
      </c>
      <c r="V528">
        <f>($B$14*(I528*C528+IF(ABS((D528+0.1)-D528)&lt;0.000000001,4*$B$19*$B$20*(D528+273)^3,$B$19*$B$20*(((D528+0.1)+273)^4-(D528+273)^4)/((D528+0.1)-D528))*D528)+T528/H528)/($B$14*(I528+IF(ABS((D528+0.1)-D528)&lt;0.000000001,4*$B$19*$B$20*(D528+273)^3,$B$19*$B$20*(((D528+0.1)+273)^4-(D528+273)^4)/((D528+0.1)-D528)))+1/H528)</f>
        <v/>
      </c>
      <c r="W528">
        <f>($B$14*(I528*C528+IF(ABS(V528-D528)&lt;0.000000001,4*$B$19*$B$20*(D528+273)^3,$B$19*$B$20*((V528+273)^4-(D528+273)^4)/(V528-D528))*D528)+T528/H528)/($B$14*(I528+IF(ABS(V528-D528)&lt;0.000000001,4*$B$19*$B$20*(D528+273)^3,$B$19*$B$20*((V528+273)^4-(D528+273)^4)/(V528-D528)))+1/H528)</f>
        <v/>
      </c>
      <c r="X528">
        <f>($B$14*(I528*C528+IF(ABS(W528-D528)&lt;0.000000001,4*$B$19*$B$20*(D528+273)^3,$B$19*$B$20*((W528+273)^4-(D528+273)^4)/(W528-D528))*D528)+T528/H528)/($B$14*(I528+IF(ABS(W528-D528)&lt;0.000000001,4*$B$19*$B$20*(D528+273)^3,$B$19*$B$20*((W528+273)^4-(D528+273)^4)/(W528-D528)))+1/H528)</f>
        <v/>
      </c>
      <c r="Y528">
        <f>($B$14*(I528*C528+IF(ABS(X528-D528)&lt;0.000000001,4*$B$19*$B$20*(D528+273)^3,$B$19*$B$20*((X528+273)^4-(D528+273)^4)/(X528-D528))*D528)+T528/H528)/($B$14*(I528+IF(ABS(X528-D528)&lt;0.000000001,4*$B$19*$B$20*(D528+273)^3,$B$19*$B$20*((X528+273)^4-(D528+273)^4)/(X528-D528)))+1/H528)</f>
        <v/>
      </c>
      <c r="Z528">
        <f>IF(ABS(Y528-D528)&lt;0.000000001,4*$B$19*$B$20*(D528+273)^3,$B$19*$B$20*((Y528+273)^4-(D528+273)^4)/(Y528-D528))</f>
        <v/>
      </c>
      <c r="AA528">
        <f>$B$14*I528*(Y528-C528)</f>
        <v/>
      </c>
      <c r="AB528">
        <f>$B$14*Z528*(Y528-D528)</f>
        <v/>
      </c>
      <c r="AC528">
        <f>IF((U528-E528)/G528=0,0.001,(U528-E528)/G528)</f>
        <v/>
      </c>
      <c r="AD528">
        <f>F528-P528-J528-K528-AA528-AB528</f>
        <v/>
      </c>
      <c r="AE528">
        <f>AD528/AC528</f>
        <v/>
      </c>
      <c r="AF528">
        <f>IF(AD528&lt;=0,0,IF(AC528&lt;=0,$B$11,IF(AE528&gt;=1.7,$B$11,MIN(AD528/MAX(0.05,IF(AE528&gt;1,(2-AE528)^2/2,1-AE528^2/2)),$B$11))))</f>
        <v/>
      </c>
      <c r="AG528">
        <f>AG527*$B$28+AF528*(1-$B$28)</f>
        <v/>
      </c>
      <c r="AH528">
        <f>IF(AND(AD528&gt;0,AC528&lt;=0),0,AC528)</f>
        <v/>
      </c>
      <c r="AI528">
        <f>AH528/MAX(AG528,0.000001)</f>
        <v/>
      </c>
      <c r="AJ528">
        <f>MIN(IF(AI528&gt;=0.5,-AI528+SQRT(AI528^2+2),1),$B$12)</f>
        <v/>
      </c>
      <c r="AK528">
        <f>IF(AG528&lt;=0,0,AJ528*AH528)</f>
        <v/>
      </c>
      <c r="AL528">
        <f>IF(AD528&lt;=0,0,AD528)</f>
        <v/>
      </c>
      <c r="AM528">
        <f>AL528-AK528+P528</f>
        <v/>
      </c>
      <c r="AN528">
        <f>((AM528/$B$7+T527*AS527/2-T528*MAX(0.1,MIN(0.3,0.3-0.09*(AR527-36.8)))/2)+AR527*(1-AS527/2))/(1-MAX(0.1,MIN(0.3,0.3-0.09*(AR527-36.8)))/2)</f>
        <v/>
      </c>
      <c r="AO528">
        <f>((AM528/$B$7+T527*AS527/2-T528*MAX(0.1,MIN(0.3,0.3-0.09*(AN528-36.8)))/2)+AR527*(1-AS527/2))/(1-MAX(0.1,MIN(0.3,0.3-0.09*(AN528-36.8)))/2)</f>
        <v/>
      </c>
      <c r="AP528">
        <f>((AM528/$B$7+T527*AS527/2-T528*MAX(0.1,MIN(0.3,0.3-0.09*(AO528-36.8)))/2)+AR527*(1-AS527/2))/(1-MAX(0.1,MIN(0.3,0.3-0.09*(AO528-36.8)))/2)</f>
        <v/>
      </c>
      <c r="AQ528">
        <f>((AM528/$B$7+T527*AS527/2-T528*MAX(0.1,MIN(0.3,0.3-0.09*(AP528-36.8)))/2)+AR527*(1-AS527/2))/(1-MAX(0.1,MIN(0.3,0.3-0.09*(AP528-36.8)))/2)</f>
        <v/>
      </c>
      <c r="AR528">
        <f>((AM528/$B$7+T527*AS527/2-T528*MAX(0.1,MIN(0.3,0.3-0.09*(AQ528-36.8)))/2)+AR527*(1-AS527/2))/(1-MAX(0.1,MIN(0.3,0.3-0.09*(AQ528-36.8)))/2)</f>
        <v/>
      </c>
      <c r="AS528">
        <f>MAX(0.1,MIN(0.3,0.3-0.09*(AR528-36.8)))</f>
        <v/>
      </c>
      <c r="AT528">
        <f>AT527+(2*AR528-1.962*AT527-1.31)/9</f>
        <v/>
      </c>
      <c r="AU528">
        <f>AU527+AG528+K528</f>
        <v/>
      </c>
      <c r="AV528">
        <f>AU528*2.67*$B$6/1.8/60</f>
        <v/>
      </c>
      <c r="AW528">
        <f>IF(AT528&gt;=$B$36,1,0)</f>
        <v/>
      </c>
      <c r="AX528">
        <f>IF(AV528&gt;=$B$21,1,0)</f>
        <v/>
      </c>
    </row>
    <row r="529">
      <c r="A529" t="n">
        <v>456</v>
      </c>
      <c r="B529">
        <f>MATCH(A529-1,$D$61:$D$68,1)</f>
        <v/>
      </c>
      <c r="C529">
        <f>INDEX($G$61:$G$68,B529)</f>
        <v/>
      </c>
      <c r="D529">
        <f>INDEX($L$61:$L$68,B529)</f>
        <v/>
      </c>
      <c r="E529">
        <f>INDEX($M$61:$M$68,B529)</f>
        <v/>
      </c>
      <c r="F529">
        <f>INDEX($N$61:$N$68,B529)</f>
        <v/>
      </c>
      <c r="G529">
        <f>INDEX($AA$61:$AA$68,B529)</f>
        <v/>
      </c>
      <c r="H529">
        <f>INDEX($X$61:$X$68,B529)</f>
        <v/>
      </c>
      <c r="I529">
        <f>INDEX($AF$61:$AF$68,B529)</f>
        <v/>
      </c>
      <c r="J529">
        <f>INDEX($AC$61:$AC$68,B529)</f>
        <v/>
      </c>
      <c r="K529">
        <f>INDEX($AD$61:$AD$68,B529)</f>
        <v/>
      </c>
      <c r="L529">
        <f>INDEX($AG$61:$AG$68,B529)</f>
        <v/>
      </c>
      <c r="M529">
        <f>INDEX($AH$61:$AH$68,B529)</f>
        <v/>
      </c>
      <c r="N529">
        <f>INDEX($AI$61:$AI$68,B529)</f>
        <v/>
      </c>
      <c r="O529">
        <f>O528*$B$26+L529*(1-$B$26)</f>
        <v/>
      </c>
      <c r="P529">
        <f>$B$7*(O529-O528)*(1-AS528)</f>
        <v/>
      </c>
      <c r="Q529">
        <f>M529+0.51274*AT528</f>
        <v/>
      </c>
      <c r="R529">
        <f>N529+0.616*AT528</f>
        <v/>
      </c>
      <c r="S529">
        <f>IF($B$13&gt;=0.6,Q529,IF($B$13&lt;=0.2,R529,R529+2.5*(Q529-R529)*($B$13-0.2)))</f>
        <v/>
      </c>
      <c r="T529">
        <f>IF(A529=1,S529,T528*$B$27+S529*(1-$B$27))</f>
        <v/>
      </c>
      <c r="U529">
        <f>0.6105*EXP(17.27*T529/(T529+237.3))</f>
        <v/>
      </c>
      <c r="V529">
        <f>($B$14*(I529*C529+IF(ABS((D529+0.1)-D529)&lt;0.000000001,4*$B$19*$B$20*(D529+273)^3,$B$19*$B$20*(((D529+0.1)+273)^4-(D529+273)^4)/((D529+0.1)-D529))*D529)+T529/H529)/($B$14*(I529+IF(ABS((D529+0.1)-D529)&lt;0.000000001,4*$B$19*$B$20*(D529+273)^3,$B$19*$B$20*(((D529+0.1)+273)^4-(D529+273)^4)/((D529+0.1)-D529)))+1/H529)</f>
        <v/>
      </c>
      <c r="W529">
        <f>($B$14*(I529*C529+IF(ABS(V529-D529)&lt;0.000000001,4*$B$19*$B$20*(D529+273)^3,$B$19*$B$20*((V529+273)^4-(D529+273)^4)/(V529-D529))*D529)+T529/H529)/($B$14*(I529+IF(ABS(V529-D529)&lt;0.000000001,4*$B$19*$B$20*(D529+273)^3,$B$19*$B$20*((V529+273)^4-(D529+273)^4)/(V529-D529)))+1/H529)</f>
        <v/>
      </c>
      <c r="X529">
        <f>($B$14*(I529*C529+IF(ABS(W529-D529)&lt;0.000000001,4*$B$19*$B$20*(D529+273)^3,$B$19*$B$20*((W529+273)^4-(D529+273)^4)/(W529-D529))*D529)+T529/H529)/($B$14*(I529+IF(ABS(W529-D529)&lt;0.000000001,4*$B$19*$B$20*(D529+273)^3,$B$19*$B$20*((W529+273)^4-(D529+273)^4)/(W529-D529)))+1/H529)</f>
        <v/>
      </c>
      <c r="Y529">
        <f>($B$14*(I529*C529+IF(ABS(X529-D529)&lt;0.000000001,4*$B$19*$B$20*(D529+273)^3,$B$19*$B$20*((X529+273)^4-(D529+273)^4)/(X529-D529))*D529)+T529/H529)/($B$14*(I529+IF(ABS(X529-D529)&lt;0.000000001,4*$B$19*$B$20*(D529+273)^3,$B$19*$B$20*((X529+273)^4-(D529+273)^4)/(X529-D529)))+1/H529)</f>
        <v/>
      </c>
      <c r="Z529">
        <f>IF(ABS(Y529-D529)&lt;0.000000001,4*$B$19*$B$20*(D529+273)^3,$B$19*$B$20*((Y529+273)^4-(D529+273)^4)/(Y529-D529))</f>
        <v/>
      </c>
      <c r="AA529">
        <f>$B$14*I529*(Y529-C529)</f>
        <v/>
      </c>
      <c r="AB529">
        <f>$B$14*Z529*(Y529-D529)</f>
        <v/>
      </c>
      <c r="AC529">
        <f>IF((U529-E529)/G529=0,0.001,(U529-E529)/G529)</f>
        <v/>
      </c>
      <c r="AD529">
        <f>F529-P529-J529-K529-AA529-AB529</f>
        <v/>
      </c>
      <c r="AE529">
        <f>AD529/AC529</f>
        <v/>
      </c>
      <c r="AF529">
        <f>IF(AD529&lt;=0,0,IF(AC529&lt;=0,$B$11,IF(AE529&gt;=1.7,$B$11,MIN(AD529/MAX(0.05,IF(AE529&gt;1,(2-AE529)^2/2,1-AE529^2/2)),$B$11))))</f>
        <v/>
      </c>
      <c r="AG529">
        <f>AG528*$B$28+AF529*(1-$B$28)</f>
        <v/>
      </c>
      <c r="AH529">
        <f>IF(AND(AD529&gt;0,AC529&lt;=0),0,AC529)</f>
        <v/>
      </c>
      <c r="AI529">
        <f>AH529/MAX(AG529,0.000001)</f>
        <v/>
      </c>
      <c r="AJ529">
        <f>MIN(IF(AI529&gt;=0.5,-AI529+SQRT(AI529^2+2),1),$B$12)</f>
        <v/>
      </c>
      <c r="AK529">
        <f>IF(AG529&lt;=0,0,AJ529*AH529)</f>
        <v/>
      </c>
      <c r="AL529">
        <f>IF(AD529&lt;=0,0,AD529)</f>
        <v/>
      </c>
      <c r="AM529">
        <f>AL529-AK529+P529</f>
        <v/>
      </c>
      <c r="AN529">
        <f>((AM529/$B$7+T528*AS528/2-T529*MAX(0.1,MIN(0.3,0.3-0.09*(AR528-36.8)))/2)+AR528*(1-AS528/2))/(1-MAX(0.1,MIN(0.3,0.3-0.09*(AR528-36.8)))/2)</f>
        <v/>
      </c>
      <c r="AO529">
        <f>((AM529/$B$7+T528*AS528/2-T529*MAX(0.1,MIN(0.3,0.3-0.09*(AN529-36.8)))/2)+AR528*(1-AS528/2))/(1-MAX(0.1,MIN(0.3,0.3-0.09*(AN529-36.8)))/2)</f>
        <v/>
      </c>
      <c r="AP529">
        <f>((AM529/$B$7+T528*AS528/2-T529*MAX(0.1,MIN(0.3,0.3-0.09*(AO529-36.8)))/2)+AR528*(1-AS528/2))/(1-MAX(0.1,MIN(0.3,0.3-0.09*(AO529-36.8)))/2)</f>
        <v/>
      </c>
      <c r="AQ529">
        <f>((AM529/$B$7+T528*AS528/2-T529*MAX(0.1,MIN(0.3,0.3-0.09*(AP529-36.8)))/2)+AR528*(1-AS528/2))/(1-MAX(0.1,MIN(0.3,0.3-0.09*(AP529-36.8)))/2)</f>
        <v/>
      </c>
      <c r="AR529">
        <f>((AM529/$B$7+T528*AS528/2-T529*MAX(0.1,MIN(0.3,0.3-0.09*(AQ529-36.8)))/2)+AR528*(1-AS528/2))/(1-MAX(0.1,MIN(0.3,0.3-0.09*(AQ529-36.8)))/2)</f>
        <v/>
      </c>
      <c r="AS529">
        <f>MAX(0.1,MIN(0.3,0.3-0.09*(AR529-36.8)))</f>
        <v/>
      </c>
      <c r="AT529">
        <f>AT528+(2*AR529-1.962*AT528-1.31)/9</f>
        <v/>
      </c>
      <c r="AU529">
        <f>AU528+AG529+K529</f>
        <v/>
      </c>
      <c r="AV529">
        <f>AU529*2.67*$B$6/1.8/60</f>
        <v/>
      </c>
      <c r="AW529">
        <f>IF(AT529&gt;=$B$36,1,0)</f>
        <v/>
      </c>
      <c r="AX529">
        <f>IF(AV529&gt;=$B$21,1,0)</f>
        <v/>
      </c>
    </row>
    <row r="530">
      <c r="A530" t="n">
        <v>457</v>
      </c>
      <c r="B530">
        <f>MATCH(A530-1,$D$61:$D$68,1)</f>
        <v/>
      </c>
      <c r="C530">
        <f>INDEX($G$61:$G$68,B530)</f>
        <v/>
      </c>
      <c r="D530">
        <f>INDEX($L$61:$L$68,B530)</f>
        <v/>
      </c>
      <c r="E530">
        <f>INDEX($M$61:$M$68,B530)</f>
        <v/>
      </c>
      <c r="F530">
        <f>INDEX($N$61:$N$68,B530)</f>
        <v/>
      </c>
      <c r="G530">
        <f>INDEX($AA$61:$AA$68,B530)</f>
        <v/>
      </c>
      <c r="H530">
        <f>INDEX($X$61:$X$68,B530)</f>
        <v/>
      </c>
      <c r="I530">
        <f>INDEX($AF$61:$AF$68,B530)</f>
        <v/>
      </c>
      <c r="J530">
        <f>INDEX($AC$61:$AC$68,B530)</f>
        <v/>
      </c>
      <c r="K530">
        <f>INDEX($AD$61:$AD$68,B530)</f>
        <v/>
      </c>
      <c r="L530">
        <f>INDEX($AG$61:$AG$68,B530)</f>
        <v/>
      </c>
      <c r="M530">
        <f>INDEX($AH$61:$AH$68,B530)</f>
        <v/>
      </c>
      <c r="N530">
        <f>INDEX($AI$61:$AI$68,B530)</f>
        <v/>
      </c>
      <c r="O530">
        <f>O529*$B$26+L530*(1-$B$26)</f>
        <v/>
      </c>
      <c r="P530">
        <f>$B$7*(O530-O529)*(1-AS529)</f>
        <v/>
      </c>
      <c r="Q530">
        <f>M530+0.51274*AT529</f>
        <v/>
      </c>
      <c r="R530">
        <f>N530+0.616*AT529</f>
        <v/>
      </c>
      <c r="S530">
        <f>IF($B$13&gt;=0.6,Q530,IF($B$13&lt;=0.2,R530,R530+2.5*(Q530-R530)*($B$13-0.2)))</f>
        <v/>
      </c>
      <c r="T530">
        <f>IF(A530=1,S530,T529*$B$27+S530*(1-$B$27))</f>
        <v/>
      </c>
      <c r="U530">
        <f>0.6105*EXP(17.27*T530/(T530+237.3))</f>
        <v/>
      </c>
      <c r="V530">
        <f>($B$14*(I530*C530+IF(ABS((D530+0.1)-D530)&lt;0.000000001,4*$B$19*$B$20*(D530+273)^3,$B$19*$B$20*(((D530+0.1)+273)^4-(D530+273)^4)/((D530+0.1)-D530))*D530)+T530/H530)/($B$14*(I530+IF(ABS((D530+0.1)-D530)&lt;0.000000001,4*$B$19*$B$20*(D530+273)^3,$B$19*$B$20*(((D530+0.1)+273)^4-(D530+273)^4)/((D530+0.1)-D530)))+1/H530)</f>
        <v/>
      </c>
      <c r="W530">
        <f>($B$14*(I530*C530+IF(ABS(V530-D530)&lt;0.000000001,4*$B$19*$B$20*(D530+273)^3,$B$19*$B$20*((V530+273)^4-(D530+273)^4)/(V530-D530))*D530)+T530/H530)/($B$14*(I530+IF(ABS(V530-D530)&lt;0.000000001,4*$B$19*$B$20*(D530+273)^3,$B$19*$B$20*((V530+273)^4-(D530+273)^4)/(V530-D530)))+1/H530)</f>
        <v/>
      </c>
      <c r="X530">
        <f>($B$14*(I530*C530+IF(ABS(W530-D530)&lt;0.000000001,4*$B$19*$B$20*(D530+273)^3,$B$19*$B$20*((W530+273)^4-(D530+273)^4)/(W530-D530))*D530)+T530/H530)/($B$14*(I530+IF(ABS(W530-D530)&lt;0.000000001,4*$B$19*$B$20*(D530+273)^3,$B$19*$B$20*((W530+273)^4-(D530+273)^4)/(W530-D530)))+1/H530)</f>
        <v/>
      </c>
      <c r="Y530">
        <f>($B$14*(I530*C530+IF(ABS(X530-D530)&lt;0.000000001,4*$B$19*$B$20*(D530+273)^3,$B$19*$B$20*((X530+273)^4-(D530+273)^4)/(X530-D530))*D530)+T530/H530)/($B$14*(I530+IF(ABS(X530-D530)&lt;0.000000001,4*$B$19*$B$20*(D530+273)^3,$B$19*$B$20*((X530+273)^4-(D530+273)^4)/(X530-D530)))+1/H530)</f>
        <v/>
      </c>
      <c r="Z530">
        <f>IF(ABS(Y530-D530)&lt;0.000000001,4*$B$19*$B$20*(D530+273)^3,$B$19*$B$20*((Y530+273)^4-(D530+273)^4)/(Y530-D530))</f>
        <v/>
      </c>
      <c r="AA530">
        <f>$B$14*I530*(Y530-C530)</f>
        <v/>
      </c>
      <c r="AB530">
        <f>$B$14*Z530*(Y530-D530)</f>
        <v/>
      </c>
      <c r="AC530">
        <f>IF((U530-E530)/G530=0,0.001,(U530-E530)/G530)</f>
        <v/>
      </c>
      <c r="AD530">
        <f>F530-P530-J530-K530-AA530-AB530</f>
        <v/>
      </c>
      <c r="AE530">
        <f>AD530/AC530</f>
        <v/>
      </c>
      <c r="AF530">
        <f>IF(AD530&lt;=0,0,IF(AC530&lt;=0,$B$11,IF(AE530&gt;=1.7,$B$11,MIN(AD530/MAX(0.05,IF(AE530&gt;1,(2-AE530)^2/2,1-AE530^2/2)),$B$11))))</f>
        <v/>
      </c>
      <c r="AG530">
        <f>AG529*$B$28+AF530*(1-$B$28)</f>
        <v/>
      </c>
      <c r="AH530">
        <f>IF(AND(AD530&gt;0,AC530&lt;=0),0,AC530)</f>
        <v/>
      </c>
      <c r="AI530">
        <f>AH530/MAX(AG530,0.000001)</f>
        <v/>
      </c>
      <c r="AJ530">
        <f>MIN(IF(AI530&gt;=0.5,-AI530+SQRT(AI530^2+2),1),$B$12)</f>
        <v/>
      </c>
      <c r="AK530">
        <f>IF(AG530&lt;=0,0,AJ530*AH530)</f>
        <v/>
      </c>
      <c r="AL530">
        <f>IF(AD530&lt;=0,0,AD530)</f>
        <v/>
      </c>
      <c r="AM530">
        <f>AL530-AK530+P530</f>
        <v/>
      </c>
      <c r="AN530">
        <f>((AM530/$B$7+T529*AS529/2-T530*MAX(0.1,MIN(0.3,0.3-0.09*(AR529-36.8)))/2)+AR529*(1-AS529/2))/(1-MAX(0.1,MIN(0.3,0.3-0.09*(AR529-36.8)))/2)</f>
        <v/>
      </c>
      <c r="AO530">
        <f>((AM530/$B$7+T529*AS529/2-T530*MAX(0.1,MIN(0.3,0.3-0.09*(AN530-36.8)))/2)+AR529*(1-AS529/2))/(1-MAX(0.1,MIN(0.3,0.3-0.09*(AN530-36.8)))/2)</f>
        <v/>
      </c>
      <c r="AP530">
        <f>((AM530/$B$7+T529*AS529/2-T530*MAX(0.1,MIN(0.3,0.3-0.09*(AO530-36.8)))/2)+AR529*(1-AS529/2))/(1-MAX(0.1,MIN(0.3,0.3-0.09*(AO530-36.8)))/2)</f>
        <v/>
      </c>
      <c r="AQ530">
        <f>((AM530/$B$7+T529*AS529/2-T530*MAX(0.1,MIN(0.3,0.3-0.09*(AP530-36.8)))/2)+AR529*(1-AS529/2))/(1-MAX(0.1,MIN(0.3,0.3-0.09*(AP530-36.8)))/2)</f>
        <v/>
      </c>
      <c r="AR530">
        <f>((AM530/$B$7+T529*AS529/2-T530*MAX(0.1,MIN(0.3,0.3-0.09*(AQ530-36.8)))/2)+AR529*(1-AS529/2))/(1-MAX(0.1,MIN(0.3,0.3-0.09*(AQ530-36.8)))/2)</f>
        <v/>
      </c>
      <c r="AS530">
        <f>MAX(0.1,MIN(0.3,0.3-0.09*(AR530-36.8)))</f>
        <v/>
      </c>
      <c r="AT530">
        <f>AT529+(2*AR530-1.962*AT529-1.31)/9</f>
        <v/>
      </c>
      <c r="AU530">
        <f>AU529+AG530+K530</f>
        <v/>
      </c>
      <c r="AV530">
        <f>AU530*2.67*$B$6/1.8/60</f>
        <v/>
      </c>
      <c r="AW530">
        <f>IF(AT530&gt;=$B$36,1,0)</f>
        <v/>
      </c>
      <c r="AX530">
        <f>IF(AV530&gt;=$B$21,1,0)</f>
        <v/>
      </c>
    </row>
    <row r="531">
      <c r="A531" t="n">
        <v>458</v>
      </c>
      <c r="B531">
        <f>MATCH(A531-1,$D$61:$D$68,1)</f>
        <v/>
      </c>
      <c r="C531">
        <f>INDEX($G$61:$G$68,B531)</f>
        <v/>
      </c>
      <c r="D531">
        <f>INDEX($L$61:$L$68,B531)</f>
        <v/>
      </c>
      <c r="E531">
        <f>INDEX($M$61:$M$68,B531)</f>
        <v/>
      </c>
      <c r="F531">
        <f>INDEX($N$61:$N$68,B531)</f>
        <v/>
      </c>
      <c r="G531">
        <f>INDEX($AA$61:$AA$68,B531)</f>
        <v/>
      </c>
      <c r="H531">
        <f>INDEX($X$61:$X$68,B531)</f>
        <v/>
      </c>
      <c r="I531">
        <f>INDEX($AF$61:$AF$68,B531)</f>
        <v/>
      </c>
      <c r="J531">
        <f>INDEX($AC$61:$AC$68,B531)</f>
        <v/>
      </c>
      <c r="K531">
        <f>INDEX($AD$61:$AD$68,B531)</f>
        <v/>
      </c>
      <c r="L531">
        <f>INDEX($AG$61:$AG$68,B531)</f>
        <v/>
      </c>
      <c r="M531">
        <f>INDEX($AH$61:$AH$68,B531)</f>
        <v/>
      </c>
      <c r="N531">
        <f>INDEX($AI$61:$AI$68,B531)</f>
        <v/>
      </c>
      <c r="O531">
        <f>O530*$B$26+L531*(1-$B$26)</f>
        <v/>
      </c>
      <c r="P531">
        <f>$B$7*(O531-O530)*(1-AS530)</f>
        <v/>
      </c>
      <c r="Q531">
        <f>M531+0.51274*AT530</f>
        <v/>
      </c>
      <c r="R531">
        <f>N531+0.616*AT530</f>
        <v/>
      </c>
      <c r="S531">
        <f>IF($B$13&gt;=0.6,Q531,IF($B$13&lt;=0.2,R531,R531+2.5*(Q531-R531)*($B$13-0.2)))</f>
        <v/>
      </c>
      <c r="T531">
        <f>IF(A531=1,S531,T530*$B$27+S531*(1-$B$27))</f>
        <v/>
      </c>
      <c r="U531">
        <f>0.6105*EXP(17.27*T531/(T531+237.3))</f>
        <v/>
      </c>
      <c r="V531">
        <f>($B$14*(I531*C531+IF(ABS((D531+0.1)-D531)&lt;0.000000001,4*$B$19*$B$20*(D531+273)^3,$B$19*$B$20*(((D531+0.1)+273)^4-(D531+273)^4)/((D531+0.1)-D531))*D531)+T531/H531)/($B$14*(I531+IF(ABS((D531+0.1)-D531)&lt;0.000000001,4*$B$19*$B$20*(D531+273)^3,$B$19*$B$20*(((D531+0.1)+273)^4-(D531+273)^4)/((D531+0.1)-D531)))+1/H531)</f>
        <v/>
      </c>
      <c r="W531">
        <f>($B$14*(I531*C531+IF(ABS(V531-D531)&lt;0.000000001,4*$B$19*$B$20*(D531+273)^3,$B$19*$B$20*((V531+273)^4-(D531+273)^4)/(V531-D531))*D531)+T531/H531)/($B$14*(I531+IF(ABS(V531-D531)&lt;0.000000001,4*$B$19*$B$20*(D531+273)^3,$B$19*$B$20*((V531+273)^4-(D531+273)^4)/(V531-D531)))+1/H531)</f>
        <v/>
      </c>
      <c r="X531">
        <f>($B$14*(I531*C531+IF(ABS(W531-D531)&lt;0.000000001,4*$B$19*$B$20*(D531+273)^3,$B$19*$B$20*((W531+273)^4-(D531+273)^4)/(W531-D531))*D531)+T531/H531)/($B$14*(I531+IF(ABS(W531-D531)&lt;0.000000001,4*$B$19*$B$20*(D531+273)^3,$B$19*$B$20*((W531+273)^4-(D531+273)^4)/(W531-D531)))+1/H531)</f>
        <v/>
      </c>
      <c r="Y531">
        <f>($B$14*(I531*C531+IF(ABS(X531-D531)&lt;0.000000001,4*$B$19*$B$20*(D531+273)^3,$B$19*$B$20*((X531+273)^4-(D531+273)^4)/(X531-D531))*D531)+T531/H531)/($B$14*(I531+IF(ABS(X531-D531)&lt;0.000000001,4*$B$19*$B$20*(D531+273)^3,$B$19*$B$20*((X531+273)^4-(D531+273)^4)/(X531-D531)))+1/H531)</f>
        <v/>
      </c>
      <c r="Z531">
        <f>IF(ABS(Y531-D531)&lt;0.000000001,4*$B$19*$B$20*(D531+273)^3,$B$19*$B$20*((Y531+273)^4-(D531+273)^4)/(Y531-D531))</f>
        <v/>
      </c>
      <c r="AA531">
        <f>$B$14*I531*(Y531-C531)</f>
        <v/>
      </c>
      <c r="AB531">
        <f>$B$14*Z531*(Y531-D531)</f>
        <v/>
      </c>
      <c r="AC531">
        <f>IF((U531-E531)/G531=0,0.001,(U531-E531)/G531)</f>
        <v/>
      </c>
      <c r="AD531">
        <f>F531-P531-J531-K531-AA531-AB531</f>
        <v/>
      </c>
      <c r="AE531">
        <f>AD531/AC531</f>
        <v/>
      </c>
      <c r="AF531">
        <f>IF(AD531&lt;=0,0,IF(AC531&lt;=0,$B$11,IF(AE531&gt;=1.7,$B$11,MIN(AD531/MAX(0.05,IF(AE531&gt;1,(2-AE531)^2/2,1-AE531^2/2)),$B$11))))</f>
        <v/>
      </c>
      <c r="AG531">
        <f>AG530*$B$28+AF531*(1-$B$28)</f>
        <v/>
      </c>
      <c r="AH531">
        <f>IF(AND(AD531&gt;0,AC531&lt;=0),0,AC531)</f>
        <v/>
      </c>
      <c r="AI531">
        <f>AH531/MAX(AG531,0.000001)</f>
        <v/>
      </c>
      <c r="AJ531">
        <f>MIN(IF(AI531&gt;=0.5,-AI531+SQRT(AI531^2+2),1),$B$12)</f>
        <v/>
      </c>
      <c r="AK531">
        <f>IF(AG531&lt;=0,0,AJ531*AH531)</f>
        <v/>
      </c>
      <c r="AL531">
        <f>IF(AD531&lt;=0,0,AD531)</f>
        <v/>
      </c>
      <c r="AM531">
        <f>AL531-AK531+P531</f>
        <v/>
      </c>
      <c r="AN531">
        <f>((AM531/$B$7+T530*AS530/2-T531*MAX(0.1,MIN(0.3,0.3-0.09*(AR530-36.8)))/2)+AR530*(1-AS530/2))/(1-MAX(0.1,MIN(0.3,0.3-0.09*(AR530-36.8)))/2)</f>
        <v/>
      </c>
      <c r="AO531">
        <f>((AM531/$B$7+T530*AS530/2-T531*MAX(0.1,MIN(0.3,0.3-0.09*(AN531-36.8)))/2)+AR530*(1-AS530/2))/(1-MAX(0.1,MIN(0.3,0.3-0.09*(AN531-36.8)))/2)</f>
        <v/>
      </c>
      <c r="AP531">
        <f>((AM531/$B$7+T530*AS530/2-T531*MAX(0.1,MIN(0.3,0.3-0.09*(AO531-36.8)))/2)+AR530*(1-AS530/2))/(1-MAX(0.1,MIN(0.3,0.3-0.09*(AO531-36.8)))/2)</f>
        <v/>
      </c>
      <c r="AQ531">
        <f>((AM531/$B$7+T530*AS530/2-T531*MAX(0.1,MIN(0.3,0.3-0.09*(AP531-36.8)))/2)+AR530*(1-AS530/2))/(1-MAX(0.1,MIN(0.3,0.3-0.09*(AP531-36.8)))/2)</f>
        <v/>
      </c>
      <c r="AR531">
        <f>((AM531/$B$7+T530*AS530/2-T531*MAX(0.1,MIN(0.3,0.3-0.09*(AQ531-36.8)))/2)+AR530*(1-AS530/2))/(1-MAX(0.1,MIN(0.3,0.3-0.09*(AQ531-36.8)))/2)</f>
        <v/>
      </c>
      <c r="AS531">
        <f>MAX(0.1,MIN(0.3,0.3-0.09*(AR531-36.8)))</f>
        <v/>
      </c>
      <c r="AT531">
        <f>AT530+(2*AR531-1.962*AT530-1.31)/9</f>
        <v/>
      </c>
      <c r="AU531">
        <f>AU530+AG531+K531</f>
        <v/>
      </c>
      <c r="AV531">
        <f>AU531*2.67*$B$6/1.8/60</f>
        <v/>
      </c>
      <c r="AW531">
        <f>IF(AT531&gt;=$B$36,1,0)</f>
        <v/>
      </c>
      <c r="AX531">
        <f>IF(AV531&gt;=$B$21,1,0)</f>
        <v/>
      </c>
    </row>
    <row r="532">
      <c r="A532" t="n">
        <v>459</v>
      </c>
      <c r="B532">
        <f>MATCH(A532-1,$D$61:$D$68,1)</f>
        <v/>
      </c>
      <c r="C532">
        <f>INDEX($G$61:$G$68,B532)</f>
        <v/>
      </c>
      <c r="D532">
        <f>INDEX($L$61:$L$68,B532)</f>
        <v/>
      </c>
      <c r="E532">
        <f>INDEX($M$61:$M$68,B532)</f>
        <v/>
      </c>
      <c r="F532">
        <f>INDEX($N$61:$N$68,B532)</f>
        <v/>
      </c>
      <c r="G532">
        <f>INDEX($AA$61:$AA$68,B532)</f>
        <v/>
      </c>
      <c r="H532">
        <f>INDEX($X$61:$X$68,B532)</f>
        <v/>
      </c>
      <c r="I532">
        <f>INDEX($AF$61:$AF$68,B532)</f>
        <v/>
      </c>
      <c r="J532">
        <f>INDEX($AC$61:$AC$68,B532)</f>
        <v/>
      </c>
      <c r="K532">
        <f>INDEX($AD$61:$AD$68,B532)</f>
        <v/>
      </c>
      <c r="L532">
        <f>INDEX($AG$61:$AG$68,B532)</f>
        <v/>
      </c>
      <c r="M532">
        <f>INDEX($AH$61:$AH$68,B532)</f>
        <v/>
      </c>
      <c r="N532">
        <f>INDEX($AI$61:$AI$68,B532)</f>
        <v/>
      </c>
      <c r="O532">
        <f>O531*$B$26+L532*(1-$B$26)</f>
        <v/>
      </c>
      <c r="P532">
        <f>$B$7*(O532-O531)*(1-AS531)</f>
        <v/>
      </c>
      <c r="Q532">
        <f>M532+0.51274*AT531</f>
        <v/>
      </c>
      <c r="R532">
        <f>N532+0.616*AT531</f>
        <v/>
      </c>
      <c r="S532">
        <f>IF($B$13&gt;=0.6,Q532,IF($B$13&lt;=0.2,R532,R532+2.5*(Q532-R532)*($B$13-0.2)))</f>
        <v/>
      </c>
      <c r="T532">
        <f>IF(A532=1,S532,T531*$B$27+S532*(1-$B$27))</f>
        <v/>
      </c>
      <c r="U532">
        <f>0.6105*EXP(17.27*T532/(T532+237.3))</f>
        <v/>
      </c>
      <c r="V532">
        <f>($B$14*(I532*C532+IF(ABS((D532+0.1)-D532)&lt;0.000000001,4*$B$19*$B$20*(D532+273)^3,$B$19*$B$20*(((D532+0.1)+273)^4-(D532+273)^4)/((D532+0.1)-D532))*D532)+T532/H532)/($B$14*(I532+IF(ABS((D532+0.1)-D532)&lt;0.000000001,4*$B$19*$B$20*(D532+273)^3,$B$19*$B$20*(((D532+0.1)+273)^4-(D532+273)^4)/((D532+0.1)-D532)))+1/H532)</f>
        <v/>
      </c>
      <c r="W532">
        <f>($B$14*(I532*C532+IF(ABS(V532-D532)&lt;0.000000001,4*$B$19*$B$20*(D532+273)^3,$B$19*$B$20*((V532+273)^4-(D532+273)^4)/(V532-D532))*D532)+T532/H532)/($B$14*(I532+IF(ABS(V532-D532)&lt;0.000000001,4*$B$19*$B$20*(D532+273)^3,$B$19*$B$20*((V532+273)^4-(D532+273)^4)/(V532-D532)))+1/H532)</f>
        <v/>
      </c>
      <c r="X532">
        <f>($B$14*(I532*C532+IF(ABS(W532-D532)&lt;0.000000001,4*$B$19*$B$20*(D532+273)^3,$B$19*$B$20*((W532+273)^4-(D532+273)^4)/(W532-D532))*D532)+T532/H532)/($B$14*(I532+IF(ABS(W532-D532)&lt;0.000000001,4*$B$19*$B$20*(D532+273)^3,$B$19*$B$20*((W532+273)^4-(D532+273)^4)/(W532-D532)))+1/H532)</f>
        <v/>
      </c>
      <c r="Y532">
        <f>($B$14*(I532*C532+IF(ABS(X532-D532)&lt;0.000000001,4*$B$19*$B$20*(D532+273)^3,$B$19*$B$20*((X532+273)^4-(D532+273)^4)/(X532-D532))*D532)+T532/H532)/($B$14*(I532+IF(ABS(X532-D532)&lt;0.000000001,4*$B$19*$B$20*(D532+273)^3,$B$19*$B$20*((X532+273)^4-(D532+273)^4)/(X532-D532)))+1/H532)</f>
        <v/>
      </c>
      <c r="Z532">
        <f>IF(ABS(Y532-D532)&lt;0.000000001,4*$B$19*$B$20*(D532+273)^3,$B$19*$B$20*((Y532+273)^4-(D532+273)^4)/(Y532-D532))</f>
        <v/>
      </c>
      <c r="AA532">
        <f>$B$14*I532*(Y532-C532)</f>
        <v/>
      </c>
      <c r="AB532">
        <f>$B$14*Z532*(Y532-D532)</f>
        <v/>
      </c>
      <c r="AC532">
        <f>IF((U532-E532)/G532=0,0.001,(U532-E532)/G532)</f>
        <v/>
      </c>
      <c r="AD532">
        <f>F532-P532-J532-K532-AA532-AB532</f>
        <v/>
      </c>
      <c r="AE532">
        <f>AD532/AC532</f>
        <v/>
      </c>
      <c r="AF532">
        <f>IF(AD532&lt;=0,0,IF(AC532&lt;=0,$B$11,IF(AE532&gt;=1.7,$B$11,MIN(AD532/MAX(0.05,IF(AE532&gt;1,(2-AE532)^2/2,1-AE532^2/2)),$B$11))))</f>
        <v/>
      </c>
      <c r="AG532">
        <f>AG531*$B$28+AF532*(1-$B$28)</f>
        <v/>
      </c>
      <c r="AH532">
        <f>IF(AND(AD532&gt;0,AC532&lt;=0),0,AC532)</f>
        <v/>
      </c>
      <c r="AI532">
        <f>AH532/MAX(AG532,0.000001)</f>
        <v/>
      </c>
      <c r="AJ532">
        <f>MIN(IF(AI532&gt;=0.5,-AI532+SQRT(AI532^2+2),1),$B$12)</f>
        <v/>
      </c>
      <c r="AK532">
        <f>IF(AG532&lt;=0,0,AJ532*AH532)</f>
        <v/>
      </c>
      <c r="AL532">
        <f>IF(AD532&lt;=0,0,AD532)</f>
        <v/>
      </c>
      <c r="AM532">
        <f>AL532-AK532+P532</f>
        <v/>
      </c>
      <c r="AN532">
        <f>((AM532/$B$7+T531*AS531/2-T532*MAX(0.1,MIN(0.3,0.3-0.09*(AR531-36.8)))/2)+AR531*(1-AS531/2))/(1-MAX(0.1,MIN(0.3,0.3-0.09*(AR531-36.8)))/2)</f>
        <v/>
      </c>
      <c r="AO532">
        <f>((AM532/$B$7+T531*AS531/2-T532*MAX(0.1,MIN(0.3,0.3-0.09*(AN532-36.8)))/2)+AR531*(1-AS531/2))/(1-MAX(0.1,MIN(0.3,0.3-0.09*(AN532-36.8)))/2)</f>
        <v/>
      </c>
      <c r="AP532">
        <f>((AM532/$B$7+T531*AS531/2-T532*MAX(0.1,MIN(0.3,0.3-0.09*(AO532-36.8)))/2)+AR531*(1-AS531/2))/(1-MAX(0.1,MIN(0.3,0.3-0.09*(AO532-36.8)))/2)</f>
        <v/>
      </c>
      <c r="AQ532">
        <f>((AM532/$B$7+T531*AS531/2-T532*MAX(0.1,MIN(0.3,0.3-0.09*(AP532-36.8)))/2)+AR531*(1-AS531/2))/(1-MAX(0.1,MIN(0.3,0.3-0.09*(AP532-36.8)))/2)</f>
        <v/>
      </c>
      <c r="AR532">
        <f>((AM532/$B$7+T531*AS531/2-T532*MAX(0.1,MIN(0.3,0.3-0.09*(AQ532-36.8)))/2)+AR531*(1-AS531/2))/(1-MAX(0.1,MIN(0.3,0.3-0.09*(AQ532-36.8)))/2)</f>
        <v/>
      </c>
      <c r="AS532">
        <f>MAX(0.1,MIN(0.3,0.3-0.09*(AR532-36.8)))</f>
        <v/>
      </c>
      <c r="AT532">
        <f>AT531+(2*AR532-1.962*AT531-1.31)/9</f>
        <v/>
      </c>
      <c r="AU532">
        <f>AU531+AG532+K532</f>
        <v/>
      </c>
      <c r="AV532">
        <f>AU532*2.67*$B$6/1.8/60</f>
        <v/>
      </c>
      <c r="AW532">
        <f>IF(AT532&gt;=$B$36,1,0)</f>
        <v/>
      </c>
      <c r="AX532">
        <f>IF(AV532&gt;=$B$21,1,0)</f>
        <v/>
      </c>
    </row>
    <row r="533">
      <c r="A533" t="n">
        <v>460</v>
      </c>
      <c r="B533">
        <f>MATCH(A533-1,$D$61:$D$68,1)</f>
        <v/>
      </c>
      <c r="C533">
        <f>INDEX($G$61:$G$68,B533)</f>
        <v/>
      </c>
      <c r="D533">
        <f>INDEX($L$61:$L$68,B533)</f>
        <v/>
      </c>
      <c r="E533">
        <f>INDEX($M$61:$M$68,B533)</f>
        <v/>
      </c>
      <c r="F533">
        <f>INDEX($N$61:$N$68,B533)</f>
        <v/>
      </c>
      <c r="G533">
        <f>INDEX($AA$61:$AA$68,B533)</f>
        <v/>
      </c>
      <c r="H533">
        <f>INDEX($X$61:$X$68,B533)</f>
        <v/>
      </c>
      <c r="I533">
        <f>INDEX($AF$61:$AF$68,B533)</f>
        <v/>
      </c>
      <c r="J533">
        <f>INDEX($AC$61:$AC$68,B533)</f>
        <v/>
      </c>
      <c r="K533">
        <f>INDEX($AD$61:$AD$68,B533)</f>
        <v/>
      </c>
      <c r="L533">
        <f>INDEX($AG$61:$AG$68,B533)</f>
        <v/>
      </c>
      <c r="M533">
        <f>INDEX($AH$61:$AH$68,B533)</f>
        <v/>
      </c>
      <c r="N533">
        <f>INDEX($AI$61:$AI$68,B533)</f>
        <v/>
      </c>
      <c r="O533">
        <f>O532*$B$26+L533*(1-$B$26)</f>
        <v/>
      </c>
      <c r="P533">
        <f>$B$7*(O533-O532)*(1-AS532)</f>
        <v/>
      </c>
      <c r="Q533">
        <f>M533+0.51274*AT532</f>
        <v/>
      </c>
      <c r="R533">
        <f>N533+0.616*AT532</f>
        <v/>
      </c>
      <c r="S533">
        <f>IF($B$13&gt;=0.6,Q533,IF($B$13&lt;=0.2,R533,R533+2.5*(Q533-R533)*($B$13-0.2)))</f>
        <v/>
      </c>
      <c r="T533">
        <f>IF(A533=1,S533,T532*$B$27+S533*(1-$B$27))</f>
        <v/>
      </c>
      <c r="U533">
        <f>0.6105*EXP(17.27*T533/(T533+237.3))</f>
        <v/>
      </c>
      <c r="V533">
        <f>($B$14*(I533*C533+IF(ABS((D533+0.1)-D533)&lt;0.000000001,4*$B$19*$B$20*(D533+273)^3,$B$19*$B$20*(((D533+0.1)+273)^4-(D533+273)^4)/((D533+0.1)-D533))*D533)+T533/H533)/($B$14*(I533+IF(ABS((D533+0.1)-D533)&lt;0.000000001,4*$B$19*$B$20*(D533+273)^3,$B$19*$B$20*(((D533+0.1)+273)^4-(D533+273)^4)/((D533+0.1)-D533)))+1/H533)</f>
        <v/>
      </c>
      <c r="W533">
        <f>($B$14*(I533*C533+IF(ABS(V533-D533)&lt;0.000000001,4*$B$19*$B$20*(D533+273)^3,$B$19*$B$20*((V533+273)^4-(D533+273)^4)/(V533-D533))*D533)+T533/H533)/($B$14*(I533+IF(ABS(V533-D533)&lt;0.000000001,4*$B$19*$B$20*(D533+273)^3,$B$19*$B$20*((V533+273)^4-(D533+273)^4)/(V533-D533)))+1/H533)</f>
        <v/>
      </c>
      <c r="X533">
        <f>($B$14*(I533*C533+IF(ABS(W533-D533)&lt;0.000000001,4*$B$19*$B$20*(D533+273)^3,$B$19*$B$20*((W533+273)^4-(D533+273)^4)/(W533-D533))*D533)+T533/H533)/($B$14*(I533+IF(ABS(W533-D533)&lt;0.000000001,4*$B$19*$B$20*(D533+273)^3,$B$19*$B$20*((W533+273)^4-(D533+273)^4)/(W533-D533)))+1/H533)</f>
        <v/>
      </c>
      <c r="Y533">
        <f>($B$14*(I533*C533+IF(ABS(X533-D533)&lt;0.000000001,4*$B$19*$B$20*(D533+273)^3,$B$19*$B$20*((X533+273)^4-(D533+273)^4)/(X533-D533))*D533)+T533/H533)/($B$14*(I533+IF(ABS(X533-D533)&lt;0.000000001,4*$B$19*$B$20*(D533+273)^3,$B$19*$B$20*((X533+273)^4-(D533+273)^4)/(X533-D533)))+1/H533)</f>
        <v/>
      </c>
      <c r="Z533">
        <f>IF(ABS(Y533-D533)&lt;0.000000001,4*$B$19*$B$20*(D533+273)^3,$B$19*$B$20*((Y533+273)^4-(D533+273)^4)/(Y533-D533))</f>
        <v/>
      </c>
      <c r="AA533">
        <f>$B$14*I533*(Y533-C533)</f>
        <v/>
      </c>
      <c r="AB533">
        <f>$B$14*Z533*(Y533-D533)</f>
        <v/>
      </c>
      <c r="AC533">
        <f>IF((U533-E533)/G533=0,0.001,(U533-E533)/G533)</f>
        <v/>
      </c>
      <c r="AD533">
        <f>F533-P533-J533-K533-AA533-AB533</f>
        <v/>
      </c>
      <c r="AE533">
        <f>AD533/AC533</f>
        <v/>
      </c>
      <c r="AF533">
        <f>IF(AD533&lt;=0,0,IF(AC533&lt;=0,$B$11,IF(AE533&gt;=1.7,$B$11,MIN(AD533/MAX(0.05,IF(AE533&gt;1,(2-AE533)^2/2,1-AE533^2/2)),$B$11))))</f>
        <v/>
      </c>
      <c r="AG533">
        <f>AG532*$B$28+AF533*(1-$B$28)</f>
        <v/>
      </c>
      <c r="AH533">
        <f>IF(AND(AD533&gt;0,AC533&lt;=0),0,AC533)</f>
        <v/>
      </c>
      <c r="AI533">
        <f>AH533/MAX(AG533,0.000001)</f>
        <v/>
      </c>
      <c r="AJ533">
        <f>MIN(IF(AI533&gt;=0.5,-AI533+SQRT(AI533^2+2),1),$B$12)</f>
        <v/>
      </c>
      <c r="AK533">
        <f>IF(AG533&lt;=0,0,AJ533*AH533)</f>
        <v/>
      </c>
      <c r="AL533">
        <f>IF(AD533&lt;=0,0,AD533)</f>
        <v/>
      </c>
      <c r="AM533">
        <f>AL533-AK533+P533</f>
        <v/>
      </c>
      <c r="AN533">
        <f>((AM533/$B$7+T532*AS532/2-T533*MAX(0.1,MIN(0.3,0.3-0.09*(AR532-36.8)))/2)+AR532*(1-AS532/2))/(1-MAX(0.1,MIN(0.3,0.3-0.09*(AR532-36.8)))/2)</f>
        <v/>
      </c>
      <c r="AO533">
        <f>((AM533/$B$7+T532*AS532/2-T533*MAX(0.1,MIN(0.3,0.3-0.09*(AN533-36.8)))/2)+AR532*(1-AS532/2))/(1-MAX(0.1,MIN(0.3,0.3-0.09*(AN533-36.8)))/2)</f>
        <v/>
      </c>
      <c r="AP533">
        <f>((AM533/$B$7+T532*AS532/2-T533*MAX(0.1,MIN(0.3,0.3-0.09*(AO533-36.8)))/2)+AR532*(1-AS532/2))/(1-MAX(0.1,MIN(0.3,0.3-0.09*(AO533-36.8)))/2)</f>
        <v/>
      </c>
      <c r="AQ533">
        <f>((AM533/$B$7+T532*AS532/2-T533*MAX(0.1,MIN(0.3,0.3-0.09*(AP533-36.8)))/2)+AR532*(1-AS532/2))/(1-MAX(0.1,MIN(0.3,0.3-0.09*(AP533-36.8)))/2)</f>
        <v/>
      </c>
      <c r="AR533">
        <f>((AM533/$B$7+T532*AS532/2-T533*MAX(0.1,MIN(0.3,0.3-0.09*(AQ533-36.8)))/2)+AR532*(1-AS532/2))/(1-MAX(0.1,MIN(0.3,0.3-0.09*(AQ533-36.8)))/2)</f>
        <v/>
      </c>
      <c r="AS533">
        <f>MAX(0.1,MIN(0.3,0.3-0.09*(AR533-36.8)))</f>
        <v/>
      </c>
      <c r="AT533">
        <f>AT532+(2*AR533-1.962*AT532-1.31)/9</f>
        <v/>
      </c>
      <c r="AU533">
        <f>AU532+AG533+K533</f>
        <v/>
      </c>
      <c r="AV533">
        <f>AU533*2.67*$B$6/1.8/60</f>
        <v/>
      </c>
      <c r="AW533">
        <f>IF(AT533&gt;=$B$36,1,0)</f>
        <v/>
      </c>
      <c r="AX533">
        <f>IF(AV533&gt;=$B$21,1,0)</f>
        <v/>
      </c>
    </row>
    <row r="534">
      <c r="A534" t="n">
        <v>461</v>
      </c>
      <c r="B534">
        <f>MATCH(A534-1,$D$61:$D$68,1)</f>
        <v/>
      </c>
      <c r="C534">
        <f>INDEX($G$61:$G$68,B534)</f>
        <v/>
      </c>
      <c r="D534">
        <f>INDEX($L$61:$L$68,B534)</f>
        <v/>
      </c>
      <c r="E534">
        <f>INDEX($M$61:$M$68,B534)</f>
        <v/>
      </c>
      <c r="F534">
        <f>INDEX($N$61:$N$68,B534)</f>
        <v/>
      </c>
      <c r="G534">
        <f>INDEX($AA$61:$AA$68,B534)</f>
        <v/>
      </c>
      <c r="H534">
        <f>INDEX($X$61:$X$68,B534)</f>
        <v/>
      </c>
      <c r="I534">
        <f>INDEX($AF$61:$AF$68,B534)</f>
        <v/>
      </c>
      <c r="J534">
        <f>INDEX($AC$61:$AC$68,B534)</f>
        <v/>
      </c>
      <c r="K534">
        <f>INDEX($AD$61:$AD$68,B534)</f>
        <v/>
      </c>
      <c r="L534">
        <f>INDEX($AG$61:$AG$68,B534)</f>
        <v/>
      </c>
      <c r="M534">
        <f>INDEX($AH$61:$AH$68,B534)</f>
        <v/>
      </c>
      <c r="N534">
        <f>INDEX($AI$61:$AI$68,B534)</f>
        <v/>
      </c>
      <c r="O534">
        <f>O533*$B$26+L534*(1-$B$26)</f>
        <v/>
      </c>
      <c r="P534">
        <f>$B$7*(O534-O533)*(1-AS533)</f>
        <v/>
      </c>
      <c r="Q534">
        <f>M534+0.51274*AT533</f>
        <v/>
      </c>
      <c r="R534">
        <f>N534+0.616*AT533</f>
        <v/>
      </c>
      <c r="S534">
        <f>IF($B$13&gt;=0.6,Q534,IF($B$13&lt;=0.2,R534,R534+2.5*(Q534-R534)*($B$13-0.2)))</f>
        <v/>
      </c>
      <c r="T534">
        <f>IF(A534=1,S534,T533*$B$27+S534*(1-$B$27))</f>
        <v/>
      </c>
      <c r="U534">
        <f>0.6105*EXP(17.27*T534/(T534+237.3))</f>
        <v/>
      </c>
      <c r="V534">
        <f>($B$14*(I534*C534+IF(ABS((D534+0.1)-D534)&lt;0.000000001,4*$B$19*$B$20*(D534+273)^3,$B$19*$B$20*(((D534+0.1)+273)^4-(D534+273)^4)/((D534+0.1)-D534))*D534)+T534/H534)/($B$14*(I534+IF(ABS((D534+0.1)-D534)&lt;0.000000001,4*$B$19*$B$20*(D534+273)^3,$B$19*$B$20*(((D534+0.1)+273)^4-(D534+273)^4)/((D534+0.1)-D534)))+1/H534)</f>
        <v/>
      </c>
      <c r="W534">
        <f>($B$14*(I534*C534+IF(ABS(V534-D534)&lt;0.000000001,4*$B$19*$B$20*(D534+273)^3,$B$19*$B$20*((V534+273)^4-(D534+273)^4)/(V534-D534))*D534)+T534/H534)/($B$14*(I534+IF(ABS(V534-D534)&lt;0.000000001,4*$B$19*$B$20*(D534+273)^3,$B$19*$B$20*((V534+273)^4-(D534+273)^4)/(V534-D534)))+1/H534)</f>
        <v/>
      </c>
      <c r="X534">
        <f>($B$14*(I534*C534+IF(ABS(W534-D534)&lt;0.000000001,4*$B$19*$B$20*(D534+273)^3,$B$19*$B$20*((W534+273)^4-(D534+273)^4)/(W534-D534))*D534)+T534/H534)/($B$14*(I534+IF(ABS(W534-D534)&lt;0.000000001,4*$B$19*$B$20*(D534+273)^3,$B$19*$B$20*((W534+273)^4-(D534+273)^4)/(W534-D534)))+1/H534)</f>
        <v/>
      </c>
      <c r="Y534">
        <f>($B$14*(I534*C534+IF(ABS(X534-D534)&lt;0.000000001,4*$B$19*$B$20*(D534+273)^3,$B$19*$B$20*((X534+273)^4-(D534+273)^4)/(X534-D534))*D534)+T534/H534)/($B$14*(I534+IF(ABS(X534-D534)&lt;0.000000001,4*$B$19*$B$20*(D534+273)^3,$B$19*$B$20*((X534+273)^4-(D534+273)^4)/(X534-D534)))+1/H534)</f>
        <v/>
      </c>
      <c r="Z534">
        <f>IF(ABS(Y534-D534)&lt;0.000000001,4*$B$19*$B$20*(D534+273)^3,$B$19*$B$20*((Y534+273)^4-(D534+273)^4)/(Y534-D534))</f>
        <v/>
      </c>
      <c r="AA534">
        <f>$B$14*I534*(Y534-C534)</f>
        <v/>
      </c>
      <c r="AB534">
        <f>$B$14*Z534*(Y534-D534)</f>
        <v/>
      </c>
      <c r="AC534">
        <f>IF((U534-E534)/G534=0,0.001,(U534-E534)/G534)</f>
        <v/>
      </c>
      <c r="AD534">
        <f>F534-P534-J534-K534-AA534-AB534</f>
        <v/>
      </c>
      <c r="AE534">
        <f>AD534/AC534</f>
        <v/>
      </c>
      <c r="AF534">
        <f>IF(AD534&lt;=0,0,IF(AC534&lt;=0,$B$11,IF(AE534&gt;=1.7,$B$11,MIN(AD534/MAX(0.05,IF(AE534&gt;1,(2-AE534)^2/2,1-AE534^2/2)),$B$11))))</f>
        <v/>
      </c>
      <c r="AG534">
        <f>AG533*$B$28+AF534*(1-$B$28)</f>
        <v/>
      </c>
      <c r="AH534">
        <f>IF(AND(AD534&gt;0,AC534&lt;=0),0,AC534)</f>
        <v/>
      </c>
      <c r="AI534">
        <f>AH534/MAX(AG534,0.000001)</f>
        <v/>
      </c>
      <c r="AJ534">
        <f>MIN(IF(AI534&gt;=0.5,-AI534+SQRT(AI534^2+2),1),$B$12)</f>
        <v/>
      </c>
      <c r="AK534">
        <f>IF(AG534&lt;=0,0,AJ534*AH534)</f>
        <v/>
      </c>
      <c r="AL534">
        <f>IF(AD534&lt;=0,0,AD534)</f>
        <v/>
      </c>
      <c r="AM534">
        <f>AL534-AK534+P534</f>
        <v/>
      </c>
      <c r="AN534">
        <f>((AM534/$B$7+T533*AS533/2-T534*MAX(0.1,MIN(0.3,0.3-0.09*(AR533-36.8)))/2)+AR533*(1-AS533/2))/(1-MAX(0.1,MIN(0.3,0.3-0.09*(AR533-36.8)))/2)</f>
        <v/>
      </c>
      <c r="AO534">
        <f>((AM534/$B$7+T533*AS533/2-T534*MAX(0.1,MIN(0.3,0.3-0.09*(AN534-36.8)))/2)+AR533*(1-AS533/2))/(1-MAX(0.1,MIN(0.3,0.3-0.09*(AN534-36.8)))/2)</f>
        <v/>
      </c>
      <c r="AP534">
        <f>((AM534/$B$7+T533*AS533/2-T534*MAX(0.1,MIN(0.3,0.3-0.09*(AO534-36.8)))/2)+AR533*(1-AS533/2))/(1-MAX(0.1,MIN(0.3,0.3-0.09*(AO534-36.8)))/2)</f>
        <v/>
      </c>
      <c r="AQ534">
        <f>((AM534/$B$7+T533*AS533/2-T534*MAX(0.1,MIN(0.3,0.3-0.09*(AP534-36.8)))/2)+AR533*(1-AS533/2))/(1-MAX(0.1,MIN(0.3,0.3-0.09*(AP534-36.8)))/2)</f>
        <v/>
      </c>
      <c r="AR534">
        <f>((AM534/$B$7+T533*AS533/2-T534*MAX(0.1,MIN(0.3,0.3-0.09*(AQ534-36.8)))/2)+AR533*(1-AS533/2))/(1-MAX(0.1,MIN(0.3,0.3-0.09*(AQ534-36.8)))/2)</f>
        <v/>
      </c>
      <c r="AS534">
        <f>MAX(0.1,MIN(0.3,0.3-0.09*(AR534-36.8)))</f>
        <v/>
      </c>
      <c r="AT534">
        <f>AT533+(2*AR534-1.962*AT533-1.31)/9</f>
        <v/>
      </c>
      <c r="AU534">
        <f>AU533+AG534+K534</f>
        <v/>
      </c>
      <c r="AV534">
        <f>AU534*2.67*$B$6/1.8/60</f>
        <v/>
      </c>
      <c r="AW534">
        <f>IF(AT534&gt;=$B$36,1,0)</f>
        <v/>
      </c>
      <c r="AX534">
        <f>IF(AV534&gt;=$B$21,1,0)</f>
        <v/>
      </c>
    </row>
    <row r="535">
      <c r="A535" t="n">
        <v>462</v>
      </c>
      <c r="B535">
        <f>MATCH(A535-1,$D$61:$D$68,1)</f>
        <v/>
      </c>
      <c r="C535">
        <f>INDEX($G$61:$G$68,B535)</f>
        <v/>
      </c>
      <c r="D535">
        <f>INDEX($L$61:$L$68,B535)</f>
        <v/>
      </c>
      <c r="E535">
        <f>INDEX($M$61:$M$68,B535)</f>
        <v/>
      </c>
      <c r="F535">
        <f>INDEX($N$61:$N$68,B535)</f>
        <v/>
      </c>
      <c r="G535">
        <f>INDEX($AA$61:$AA$68,B535)</f>
        <v/>
      </c>
      <c r="H535">
        <f>INDEX($X$61:$X$68,B535)</f>
        <v/>
      </c>
      <c r="I535">
        <f>INDEX($AF$61:$AF$68,B535)</f>
        <v/>
      </c>
      <c r="J535">
        <f>INDEX($AC$61:$AC$68,B535)</f>
        <v/>
      </c>
      <c r="K535">
        <f>INDEX($AD$61:$AD$68,B535)</f>
        <v/>
      </c>
      <c r="L535">
        <f>INDEX($AG$61:$AG$68,B535)</f>
        <v/>
      </c>
      <c r="M535">
        <f>INDEX($AH$61:$AH$68,B535)</f>
        <v/>
      </c>
      <c r="N535">
        <f>INDEX($AI$61:$AI$68,B535)</f>
        <v/>
      </c>
      <c r="O535">
        <f>O534*$B$26+L535*(1-$B$26)</f>
        <v/>
      </c>
      <c r="P535">
        <f>$B$7*(O535-O534)*(1-AS534)</f>
        <v/>
      </c>
      <c r="Q535">
        <f>M535+0.51274*AT534</f>
        <v/>
      </c>
      <c r="R535">
        <f>N535+0.616*AT534</f>
        <v/>
      </c>
      <c r="S535">
        <f>IF($B$13&gt;=0.6,Q535,IF($B$13&lt;=0.2,R535,R535+2.5*(Q535-R535)*($B$13-0.2)))</f>
        <v/>
      </c>
      <c r="T535">
        <f>IF(A535=1,S535,T534*$B$27+S535*(1-$B$27))</f>
        <v/>
      </c>
      <c r="U535">
        <f>0.6105*EXP(17.27*T535/(T535+237.3))</f>
        <v/>
      </c>
      <c r="V535">
        <f>($B$14*(I535*C535+IF(ABS((D535+0.1)-D535)&lt;0.000000001,4*$B$19*$B$20*(D535+273)^3,$B$19*$B$20*(((D535+0.1)+273)^4-(D535+273)^4)/((D535+0.1)-D535))*D535)+T535/H535)/($B$14*(I535+IF(ABS((D535+0.1)-D535)&lt;0.000000001,4*$B$19*$B$20*(D535+273)^3,$B$19*$B$20*(((D535+0.1)+273)^4-(D535+273)^4)/((D535+0.1)-D535)))+1/H535)</f>
        <v/>
      </c>
      <c r="W535">
        <f>($B$14*(I535*C535+IF(ABS(V535-D535)&lt;0.000000001,4*$B$19*$B$20*(D535+273)^3,$B$19*$B$20*((V535+273)^4-(D535+273)^4)/(V535-D535))*D535)+T535/H535)/($B$14*(I535+IF(ABS(V535-D535)&lt;0.000000001,4*$B$19*$B$20*(D535+273)^3,$B$19*$B$20*((V535+273)^4-(D535+273)^4)/(V535-D535)))+1/H535)</f>
        <v/>
      </c>
      <c r="X535">
        <f>($B$14*(I535*C535+IF(ABS(W535-D535)&lt;0.000000001,4*$B$19*$B$20*(D535+273)^3,$B$19*$B$20*((W535+273)^4-(D535+273)^4)/(W535-D535))*D535)+T535/H535)/($B$14*(I535+IF(ABS(W535-D535)&lt;0.000000001,4*$B$19*$B$20*(D535+273)^3,$B$19*$B$20*((W535+273)^4-(D535+273)^4)/(W535-D535)))+1/H535)</f>
        <v/>
      </c>
      <c r="Y535">
        <f>($B$14*(I535*C535+IF(ABS(X535-D535)&lt;0.000000001,4*$B$19*$B$20*(D535+273)^3,$B$19*$B$20*((X535+273)^4-(D535+273)^4)/(X535-D535))*D535)+T535/H535)/($B$14*(I535+IF(ABS(X535-D535)&lt;0.000000001,4*$B$19*$B$20*(D535+273)^3,$B$19*$B$20*((X535+273)^4-(D535+273)^4)/(X535-D535)))+1/H535)</f>
        <v/>
      </c>
      <c r="Z535">
        <f>IF(ABS(Y535-D535)&lt;0.000000001,4*$B$19*$B$20*(D535+273)^3,$B$19*$B$20*((Y535+273)^4-(D535+273)^4)/(Y535-D535))</f>
        <v/>
      </c>
      <c r="AA535">
        <f>$B$14*I535*(Y535-C535)</f>
        <v/>
      </c>
      <c r="AB535">
        <f>$B$14*Z535*(Y535-D535)</f>
        <v/>
      </c>
      <c r="AC535">
        <f>IF((U535-E535)/G535=0,0.001,(U535-E535)/G535)</f>
        <v/>
      </c>
      <c r="AD535">
        <f>F535-P535-J535-K535-AA535-AB535</f>
        <v/>
      </c>
      <c r="AE535">
        <f>AD535/AC535</f>
        <v/>
      </c>
      <c r="AF535">
        <f>IF(AD535&lt;=0,0,IF(AC535&lt;=0,$B$11,IF(AE535&gt;=1.7,$B$11,MIN(AD535/MAX(0.05,IF(AE535&gt;1,(2-AE535)^2/2,1-AE535^2/2)),$B$11))))</f>
        <v/>
      </c>
      <c r="AG535">
        <f>AG534*$B$28+AF535*(1-$B$28)</f>
        <v/>
      </c>
      <c r="AH535">
        <f>IF(AND(AD535&gt;0,AC535&lt;=0),0,AC535)</f>
        <v/>
      </c>
      <c r="AI535">
        <f>AH535/MAX(AG535,0.000001)</f>
        <v/>
      </c>
      <c r="AJ535">
        <f>MIN(IF(AI535&gt;=0.5,-AI535+SQRT(AI535^2+2),1),$B$12)</f>
        <v/>
      </c>
      <c r="AK535">
        <f>IF(AG535&lt;=0,0,AJ535*AH535)</f>
        <v/>
      </c>
      <c r="AL535">
        <f>IF(AD535&lt;=0,0,AD535)</f>
        <v/>
      </c>
      <c r="AM535">
        <f>AL535-AK535+P535</f>
        <v/>
      </c>
      <c r="AN535">
        <f>((AM535/$B$7+T534*AS534/2-T535*MAX(0.1,MIN(0.3,0.3-0.09*(AR534-36.8)))/2)+AR534*(1-AS534/2))/(1-MAX(0.1,MIN(0.3,0.3-0.09*(AR534-36.8)))/2)</f>
        <v/>
      </c>
      <c r="AO535">
        <f>((AM535/$B$7+T534*AS534/2-T535*MAX(0.1,MIN(0.3,0.3-0.09*(AN535-36.8)))/2)+AR534*(1-AS534/2))/(1-MAX(0.1,MIN(0.3,0.3-0.09*(AN535-36.8)))/2)</f>
        <v/>
      </c>
      <c r="AP535">
        <f>((AM535/$B$7+T534*AS534/2-T535*MAX(0.1,MIN(0.3,0.3-0.09*(AO535-36.8)))/2)+AR534*(1-AS534/2))/(1-MAX(0.1,MIN(0.3,0.3-0.09*(AO535-36.8)))/2)</f>
        <v/>
      </c>
      <c r="AQ535">
        <f>((AM535/$B$7+T534*AS534/2-T535*MAX(0.1,MIN(0.3,0.3-0.09*(AP535-36.8)))/2)+AR534*(1-AS534/2))/(1-MAX(0.1,MIN(0.3,0.3-0.09*(AP535-36.8)))/2)</f>
        <v/>
      </c>
      <c r="AR535">
        <f>((AM535/$B$7+T534*AS534/2-T535*MAX(0.1,MIN(0.3,0.3-0.09*(AQ535-36.8)))/2)+AR534*(1-AS534/2))/(1-MAX(0.1,MIN(0.3,0.3-0.09*(AQ535-36.8)))/2)</f>
        <v/>
      </c>
      <c r="AS535">
        <f>MAX(0.1,MIN(0.3,0.3-0.09*(AR535-36.8)))</f>
        <v/>
      </c>
      <c r="AT535">
        <f>AT534+(2*AR535-1.962*AT534-1.31)/9</f>
        <v/>
      </c>
      <c r="AU535">
        <f>AU534+AG535+K535</f>
        <v/>
      </c>
      <c r="AV535">
        <f>AU535*2.67*$B$6/1.8/60</f>
        <v/>
      </c>
      <c r="AW535">
        <f>IF(AT535&gt;=$B$36,1,0)</f>
        <v/>
      </c>
      <c r="AX535">
        <f>IF(AV535&gt;=$B$21,1,0)</f>
        <v/>
      </c>
    </row>
    <row r="536">
      <c r="A536" t="n">
        <v>463</v>
      </c>
      <c r="B536">
        <f>MATCH(A536-1,$D$61:$D$68,1)</f>
        <v/>
      </c>
      <c r="C536">
        <f>INDEX($G$61:$G$68,B536)</f>
        <v/>
      </c>
      <c r="D536">
        <f>INDEX($L$61:$L$68,B536)</f>
        <v/>
      </c>
      <c r="E536">
        <f>INDEX($M$61:$M$68,B536)</f>
        <v/>
      </c>
      <c r="F536">
        <f>INDEX($N$61:$N$68,B536)</f>
        <v/>
      </c>
      <c r="G536">
        <f>INDEX($AA$61:$AA$68,B536)</f>
        <v/>
      </c>
      <c r="H536">
        <f>INDEX($X$61:$X$68,B536)</f>
        <v/>
      </c>
      <c r="I536">
        <f>INDEX($AF$61:$AF$68,B536)</f>
        <v/>
      </c>
      <c r="J536">
        <f>INDEX($AC$61:$AC$68,B536)</f>
        <v/>
      </c>
      <c r="K536">
        <f>INDEX($AD$61:$AD$68,B536)</f>
        <v/>
      </c>
      <c r="L536">
        <f>INDEX($AG$61:$AG$68,B536)</f>
        <v/>
      </c>
      <c r="M536">
        <f>INDEX($AH$61:$AH$68,B536)</f>
        <v/>
      </c>
      <c r="N536">
        <f>INDEX($AI$61:$AI$68,B536)</f>
        <v/>
      </c>
      <c r="O536">
        <f>O535*$B$26+L536*(1-$B$26)</f>
        <v/>
      </c>
      <c r="P536">
        <f>$B$7*(O536-O535)*(1-AS535)</f>
        <v/>
      </c>
      <c r="Q536">
        <f>M536+0.51274*AT535</f>
        <v/>
      </c>
      <c r="R536">
        <f>N536+0.616*AT535</f>
        <v/>
      </c>
      <c r="S536">
        <f>IF($B$13&gt;=0.6,Q536,IF($B$13&lt;=0.2,R536,R536+2.5*(Q536-R536)*($B$13-0.2)))</f>
        <v/>
      </c>
      <c r="T536">
        <f>IF(A536=1,S536,T535*$B$27+S536*(1-$B$27))</f>
        <v/>
      </c>
      <c r="U536">
        <f>0.6105*EXP(17.27*T536/(T536+237.3))</f>
        <v/>
      </c>
      <c r="V536">
        <f>($B$14*(I536*C536+IF(ABS((D536+0.1)-D536)&lt;0.000000001,4*$B$19*$B$20*(D536+273)^3,$B$19*$B$20*(((D536+0.1)+273)^4-(D536+273)^4)/((D536+0.1)-D536))*D536)+T536/H536)/($B$14*(I536+IF(ABS((D536+0.1)-D536)&lt;0.000000001,4*$B$19*$B$20*(D536+273)^3,$B$19*$B$20*(((D536+0.1)+273)^4-(D536+273)^4)/((D536+0.1)-D536)))+1/H536)</f>
        <v/>
      </c>
      <c r="W536">
        <f>($B$14*(I536*C536+IF(ABS(V536-D536)&lt;0.000000001,4*$B$19*$B$20*(D536+273)^3,$B$19*$B$20*((V536+273)^4-(D536+273)^4)/(V536-D536))*D536)+T536/H536)/($B$14*(I536+IF(ABS(V536-D536)&lt;0.000000001,4*$B$19*$B$20*(D536+273)^3,$B$19*$B$20*((V536+273)^4-(D536+273)^4)/(V536-D536)))+1/H536)</f>
        <v/>
      </c>
      <c r="X536">
        <f>($B$14*(I536*C536+IF(ABS(W536-D536)&lt;0.000000001,4*$B$19*$B$20*(D536+273)^3,$B$19*$B$20*((W536+273)^4-(D536+273)^4)/(W536-D536))*D536)+T536/H536)/($B$14*(I536+IF(ABS(W536-D536)&lt;0.000000001,4*$B$19*$B$20*(D536+273)^3,$B$19*$B$20*((W536+273)^4-(D536+273)^4)/(W536-D536)))+1/H536)</f>
        <v/>
      </c>
      <c r="Y536">
        <f>($B$14*(I536*C536+IF(ABS(X536-D536)&lt;0.000000001,4*$B$19*$B$20*(D536+273)^3,$B$19*$B$20*((X536+273)^4-(D536+273)^4)/(X536-D536))*D536)+T536/H536)/($B$14*(I536+IF(ABS(X536-D536)&lt;0.000000001,4*$B$19*$B$20*(D536+273)^3,$B$19*$B$20*((X536+273)^4-(D536+273)^4)/(X536-D536)))+1/H536)</f>
        <v/>
      </c>
      <c r="Z536">
        <f>IF(ABS(Y536-D536)&lt;0.000000001,4*$B$19*$B$20*(D536+273)^3,$B$19*$B$20*((Y536+273)^4-(D536+273)^4)/(Y536-D536))</f>
        <v/>
      </c>
      <c r="AA536">
        <f>$B$14*I536*(Y536-C536)</f>
        <v/>
      </c>
      <c r="AB536">
        <f>$B$14*Z536*(Y536-D536)</f>
        <v/>
      </c>
      <c r="AC536">
        <f>IF((U536-E536)/G536=0,0.001,(U536-E536)/G536)</f>
        <v/>
      </c>
      <c r="AD536">
        <f>F536-P536-J536-K536-AA536-AB536</f>
        <v/>
      </c>
      <c r="AE536">
        <f>AD536/AC536</f>
        <v/>
      </c>
      <c r="AF536">
        <f>IF(AD536&lt;=0,0,IF(AC536&lt;=0,$B$11,IF(AE536&gt;=1.7,$B$11,MIN(AD536/MAX(0.05,IF(AE536&gt;1,(2-AE536)^2/2,1-AE536^2/2)),$B$11))))</f>
        <v/>
      </c>
      <c r="AG536">
        <f>AG535*$B$28+AF536*(1-$B$28)</f>
        <v/>
      </c>
      <c r="AH536">
        <f>IF(AND(AD536&gt;0,AC536&lt;=0),0,AC536)</f>
        <v/>
      </c>
      <c r="AI536">
        <f>AH536/MAX(AG536,0.000001)</f>
        <v/>
      </c>
      <c r="AJ536">
        <f>MIN(IF(AI536&gt;=0.5,-AI536+SQRT(AI536^2+2),1),$B$12)</f>
        <v/>
      </c>
      <c r="AK536">
        <f>IF(AG536&lt;=0,0,AJ536*AH536)</f>
        <v/>
      </c>
      <c r="AL536">
        <f>IF(AD536&lt;=0,0,AD536)</f>
        <v/>
      </c>
      <c r="AM536">
        <f>AL536-AK536+P536</f>
        <v/>
      </c>
      <c r="AN536">
        <f>((AM536/$B$7+T535*AS535/2-T536*MAX(0.1,MIN(0.3,0.3-0.09*(AR535-36.8)))/2)+AR535*(1-AS535/2))/(1-MAX(0.1,MIN(0.3,0.3-0.09*(AR535-36.8)))/2)</f>
        <v/>
      </c>
      <c r="AO536">
        <f>((AM536/$B$7+T535*AS535/2-T536*MAX(0.1,MIN(0.3,0.3-0.09*(AN536-36.8)))/2)+AR535*(1-AS535/2))/(1-MAX(0.1,MIN(0.3,0.3-0.09*(AN536-36.8)))/2)</f>
        <v/>
      </c>
      <c r="AP536">
        <f>((AM536/$B$7+T535*AS535/2-T536*MAX(0.1,MIN(0.3,0.3-0.09*(AO536-36.8)))/2)+AR535*(1-AS535/2))/(1-MAX(0.1,MIN(0.3,0.3-0.09*(AO536-36.8)))/2)</f>
        <v/>
      </c>
      <c r="AQ536">
        <f>((AM536/$B$7+T535*AS535/2-T536*MAX(0.1,MIN(0.3,0.3-0.09*(AP536-36.8)))/2)+AR535*(1-AS535/2))/(1-MAX(0.1,MIN(0.3,0.3-0.09*(AP536-36.8)))/2)</f>
        <v/>
      </c>
      <c r="AR536">
        <f>((AM536/$B$7+T535*AS535/2-T536*MAX(0.1,MIN(0.3,0.3-0.09*(AQ536-36.8)))/2)+AR535*(1-AS535/2))/(1-MAX(0.1,MIN(0.3,0.3-0.09*(AQ536-36.8)))/2)</f>
        <v/>
      </c>
      <c r="AS536">
        <f>MAX(0.1,MIN(0.3,0.3-0.09*(AR536-36.8)))</f>
        <v/>
      </c>
      <c r="AT536">
        <f>AT535+(2*AR536-1.962*AT535-1.31)/9</f>
        <v/>
      </c>
      <c r="AU536">
        <f>AU535+AG536+K536</f>
        <v/>
      </c>
      <c r="AV536">
        <f>AU536*2.67*$B$6/1.8/60</f>
        <v/>
      </c>
      <c r="AW536">
        <f>IF(AT536&gt;=$B$36,1,0)</f>
        <v/>
      </c>
      <c r="AX536">
        <f>IF(AV536&gt;=$B$21,1,0)</f>
        <v/>
      </c>
    </row>
    <row r="537">
      <c r="A537" t="n">
        <v>464</v>
      </c>
      <c r="B537">
        <f>MATCH(A537-1,$D$61:$D$68,1)</f>
        <v/>
      </c>
      <c r="C537">
        <f>INDEX($G$61:$G$68,B537)</f>
        <v/>
      </c>
      <c r="D537">
        <f>INDEX($L$61:$L$68,B537)</f>
        <v/>
      </c>
      <c r="E537">
        <f>INDEX($M$61:$M$68,B537)</f>
        <v/>
      </c>
      <c r="F537">
        <f>INDEX($N$61:$N$68,B537)</f>
        <v/>
      </c>
      <c r="G537">
        <f>INDEX($AA$61:$AA$68,B537)</f>
        <v/>
      </c>
      <c r="H537">
        <f>INDEX($X$61:$X$68,B537)</f>
        <v/>
      </c>
      <c r="I537">
        <f>INDEX($AF$61:$AF$68,B537)</f>
        <v/>
      </c>
      <c r="J537">
        <f>INDEX($AC$61:$AC$68,B537)</f>
        <v/>
      </c>
      <c r="K537">
        <f>INDEX($AD$61:$AD$68,B537)</f>
        <v/>
      </c>
      <c r="L537">
        <f>INDEX($AG$61:$AG$68,B537)</f>
        <v/>
      </c>
      <c r="M537">
        <f>INDEX($AH$61:$AH$68,B537)</f>
        <v/>
      </c>
      <c r="N537">
        <f>INDEX($AI$61:$AI$68,B537)</f>
        <v/>
      </c>
      <c r="O537">
        <f>O536*$B$26+L537*(1-$B$26)</f>
        <v/>
      </c>
      <c r="P537">
        <f>$B$7*(O537-O536)*(1-AS536)</f>
        <v/>
      </c>
      <c r="Q537">
        <f>M537+0.51274*AT536</f>
        <v/>
      </c>
      <c r="R537">
        <f>N537+0.616*AT536</f>
        <v/>
      </c>
      <c r="S537">
        <f>IF($B$13&gt;=0.6,Q537,IF($B$13&lt;=0.2,R537,R537+2.5*(Q537-R537)*($B$13-0.2)))</f>
        <v/>
      </c>
      <c r="T537">
        <f>IF(A537=1,S537,T536*$B$27+S537*(1-$B$27))</f>
        <v/>
      </c>
      <c r="U537">
        <f>0.6105*EXP(17.27*T537/(T537+237.3))</f>
        <v/>
      </c>
      <c r="V537">
        <f>($B$14*(I537*C537+IF(ABS((D537+0.1)-D537)&lt;0.000000001,4*$B$19*$B$20*(D537+273)^3,$B$19*$B$20*(((D537+0.1)+273)^4-(D537+273)^4)/((D537+0.1)-D537))*D537)+T537/H537)/($B$14*(I537+IF(ABS((D537+0.1)-D537)&lt;0.000000001,4*$B$19*$B$20*(D537+273)^3,$B$19*$B$20*(((D537+0.1)+273)^4-(D537+273)^4)/((D537+0.1)-D537)))+1/H537)</f>
        <v/>
      </c>
      <c r="W537">
        <f>($B$14*(I537*C537+IF(ABS(V537-D537)&lt;0.000000001,4*$B$19*$B$20*(D537+273)^3,$B$19*$B$20*((V537+273)^4-(D537+273)^4)/(V537-D537))*D537)+T537/H537)/($B$14*(I537+IF(ABS(V537-D537)&lt;0.000000001,4*$B$19*$B$20*(D537+273)^3,$B$19*$B$20*((V537+273)^4-(D537+273)^4)/(V537-D537)))+1/H537)</f>
        <v/>
      </c>
      <c r="X537">
        <f>($B$14*(I537*C537+IF(ABS(W537-D537)&lt;0.000000001,4*$B$19*$B$20*(D537+273)^3,$B$19*$B$20*((W537+273)^4-(D537+273)^4)/(W537-D537))*D537)+T537/H537)/($B$14*(I537+IF(ABS(W537-D537)&lt;0.000000001,4*$B$19*$B$20*(D537+273)^3,$B$19*$B$20*((W537+273)^4-(D537+273)^4)/(W537-D537)))+1/H537)</f>
        <v/>
      </c>
      <c r="Y537">
        <f>($B$14*(I537*C537+IF(ABS(X537-D537)&lt;0.000000001,4*$B$19*$B$20*(D537+273)^3,$B$19*$B$20*((X537+273)^4-(D537+273)^4)/(X537-D537))*D537)+T537/H537)/($B$14*(I537+IF(ABS(X537-D537)&lt;0.000000001,4*$B$19*$B$20*(D537+273)^3,$B$19*$B$20*((X537+273)^4-(D537+273)^4)/(X537-D537)))+1/H537)</f>
        <v/>
      </c>
      <c r="Z537">
        <f>IF(ABS(Y537-D537)&lt;0.000000001,4*$B$19*$B$20*(D537+273)^3,$B$19*$B$20*((Y537+273)^4-(D537+273)^4)/(Y537-D537))</f>
        <v/>
      </c>
      <c r="AA537">
        <f>$B$14*I537*(Y537-C537)</f>
        <v/>
      </c>
      <c r="AB537">
        <f>$B$14*Z537*(Y537-D537)</f>
        <v/>
      </c>
      <c r="AC537">
        <f>IF((U537-E537)/G537=0,0.001,(U537-E537)/G537)</f>
        <v/>
      </c>
      <c r="AD537">
        <f>F537-P537-J537-K537-AA537-AB537</f>
        <v/>
      </c>
      <c r="AE537">
        <f>AD537/AC537</f>
        <v/>
      </c>
      <c r="AF537">
        <f>IF(AD537&lt;=0,0,IF(AC537&lt;=0,$B$11,IF(AE537&gt;=1.7,$B$11,MIN(AD537/MAX(0.05,IF(AE537&gt;1,(2-AE537)^2/2,1-AE537^2/2)),$B$11))))</f>
        <v/>
      </c>
      <c r="AG537">
        <f>AG536*$B$28+AF537*(1-$B$28)</f>
        <v/>
      </c>
      <c r="AH537">
        <f>IF(AND(AD537&gt;0,AC537&lt;=0),0,AC537)</f>
        <v/>
      </c>
      <c r="AI537">
        <f>AH537/MAX(AG537,0.000001)</f>
        <v/>
      </c>
      <c r="AJ537">
        <f>MIN(IF(AI537&gt;=0.5,-AI537+SQRT(AI537^2+2),1),$B$12)</f>
        <v/>
      </c>
      <c r="AK537">
        <f>IF(AG537&lt;=0,0,AJ537*AH537)</f>
        <v/>
      </c>
      <c r="AL537">
        <f>IF(AD537&lt;=0,0,AD537)</f>
        <v/>
      </c>
      <c r="AM537">
        <f>AL537-AK537+P537</f>
        <v/>
      </c>
      <c r="AN537">
        <f>((AM537/$B$7+T536*AS536/2-T537*MAX(0.1,MIN(0.3,0.3-0.09*(AR536-36.8)))/2)+AR536*(1-AS536/2))/(1-MAX(0.1,MIN(0.3,0.3-0.09*(AR536-36.8)))/2)</f>
        <v/>
      </c>
      <c r="AO537">
        <f>((AM537/$B$7+T536*AS536/2-T537*MAX(0.1,MIN(0.3,0.3-0.09*(AN537-36.8)))/2)+AR536*(1-AS536/2))/(1-MAX(0.1,MIN(0.3,0.3-0.09*(AN537-36.8)))/2)</f>
        <v/>
      </c>
      <c r="AP537">
        <f>((AM537/$B$7+T536*AS536/2-T537*MAX(0.1,MIN(0.3,0.3-0.09*(AO537-36.8)))/2)+AR536*(1-AS536/2))/(1-MAX(0.1,MIN(0.3,0.3-0.09*(AO537-36.8)))/2)</f>
        <v/>
      </c>
      <c r="AQ537">
        <f>((AM537/$B$7+T536*AS536/2-T537*MAX(0.1,MIN(0.3,0.3-0.09*(AP537-36.8)))/2)+AR536*(1-AS536/2))/(1-MAX(0.1,MIN(0.3,0.3-0.09*(AP537-36.8)))/2)</f>
        <v/>
      </c>
      <c r="AR537">
        <f>((AM537/$B$7+T536*AS536/2-T537*MAX(0.1,MIN(0.3,0.3-0.09*(AQ537-36.8)))/2)+AR536*(1-AS536/2))/(1-MAX(0.1,MIN(0.3,0.3-0.09*(AQ537-36.8)))/2)</f>
        <v/>
      </c>
      <c r="AS537">
        <f>MAX(0.1,MIN(0.3,0.3-0.09*(AR537-36.8)))</f>
        <v/>
      </c>
      <c r="AT537">
        <f>AT536+(2*AR537-1.962*AT536-1.31)/9</f>
        <v/>
      </c>
      <c r="AU537">
        <f>AU536+AG537+K537</f>
        <v/>
      </c>
      <c r="AV537">
        <f>AU537*2.67*$B$6/1.8/60</f>
        <v/>
      </c>
      <c r="AW537">
        <f>IF(AT537&gt;=$B$36,1,0)</f>
        <v/>
      </c>
      <c r="AX537">
        <f>IF(AV537&gt;=$B$21,1,0)</f>
        <v/>
      </c>
    </row>
    <row r="538">
      <c r="A538" t="n">
        <v>465</v>
      </c>
      <c r="B538">
        <f>MATCH(A538-1,$D$61:$D$68,1)</f>
        <v/>
      </c>
      <c r="C538">
        <f>INDEX($G$61:$G$68,B538)</f>
        <v/>
      </c>
      <c r="D538">
        <f>INDEX($L$61:$L$68,B538)</f>
        <v/>
      </c>
      <c r="E538">
        <f>INDEX($M$61:$M$68,B538)</f>
        <v/>
      </c>
      <c r="F538">
        <f>INDEX($N$61:$N$68,B538)</f>
        <v/>
      </c>
      <c r="G538">
        <f>INDEX($AA$61:$AA$68,B538)</f>
        <v/>
      </c>
      <c r="H538">
        <f>INDEX($X$61:$X$68,B538)</f>
        <v/>
      </c>
      <c r="I538">
        <f>INDEX($AF$61:$AF$68,B538)</f>
        <v/>
      </c>
      <c r="J538">
        <f>INDEX($AC$61:$AC$68,B538)</f>
        <v/>
      </c>
      <c r="K538">
        <f>INDEX($AD$61:$AD$68,B538)</f>
        <v/>
      </c>
      <c r="L538">
        <f>INDEX($AG$61:$AG$68,B538)</f>
        <v/>
      </c>
      <c r="M538">
        <f>INDEX($AH$61:$AH$68,B538)</f>
        <v/>
      </c>
      <c r="N538">
        <f>INDEX($AI$61:$AI$68,B538)</f>
        <v/>
      </c>
      <c r="O538">
        <f>O537*$B$26+L538*(1-$B$26)</f>
        <v/>
      </c>
      <c r="P538">
        <f>$B$7*(O538-O537)*(1-AS537)</f>
        <v/>
      </c>
      <c r="Q538">
        <f>M538+0.51274*AT537</f>
        <v/>
      </c>
      <c r="R538">
        <f>N538+0.616*AT537</f>
        <v/>
      </c>
      <c r="S538">
        <f>IF($B$13&gt;=0.6,Q538,IF($B$13&lt;=0.2,R538,R538+2.5*(Q538-R538)*($B$13-0.2)))</f>
        <v/>
      </c>
      <c r="T538">
        <f>IF(A538=1,S538,T537*$B$27+S538*(1-$B$27))</f>
        <v/>
      </c>
      <c r="U538">
        <f>0.6105*EXP(17.27*T538/(T538+237.3))</f>
        <v/>
      </c>
      <c r="V538">
        <f>($B$14*(I538*C538+IF(ABS((D538+0.1)-D538)&lt;0.000000001,4*$B$19*$B$20*(D538+273)^3,$B$19*$B$20*(((D538+0.1)+273)^4-(D538+273)^4)/((D538+0.1)-D538))*D538)+T538/H538)/($B$14*(I538+IF(ABS((D538+0.1)-D538)&lt;0.000000001,4*$B$19*$B$20*(D538+273)^3,$B$19*$B$20*(((D538+0.1)+273)^4-(D538+273)^4)/((D538+0.1)-D538)))+1/H538)</f>
        <v/>
      </c>
      <c r="W538">
        <f>($B$14*(I538*C538+IF(ABS(V538-D538)&lt;0.000000001,4*$B$19*$B$20*(D538+273)^3,$B$19*$B$20*((V538+273)^4-(D538+273)^4)/(V538-D538))*D538)+T538/H538)/($B$14*(I538+IF(ABS(V538-D538)&lt;0.000000001,4*$B$19*$B$20*(D538+273)^3,$B$19*$B$20*((V538+273)^4-(D538+273)^4)/(V538-D538)))+1/H538)</f>
        <v/>
      </c>
      <c r="X538">
        <f>($B$14*(I538*C538+IF(ABS(W538-D538)&lt;0.000000001,4*$B$19*$B$20*(D538+273)^3,$B$19*$B$20*((W538+273)^4-(D538+273)^4)/(W538-D538))*D538)+T538/H538)/($B$14*(I538+IF(ABS(W538-D538)&lt;0.000000001,4*$B$19*$B$20*(D538+273)^3,$B$19*$B$20*((W538+273)^4-(D538+273)^4)/(W538-D538)))+1/H538)</f>
        <v/>
      </c>
      <c r="Y538">
        <f>($B$14*(I538*C538+IF(ABS(X538-D538)&lt;0.000000001,4*$B$19*$B$20*(D538+273)^3,$B$19*$B$20*((X538+273)^4-(D538+273)^4)/(X538-D538))*D538)+T538/H538)/($B$14*(I538+IF(ABS(X538-D538)&lt;0.000000001,4*$B$19*$B$20*(D538+273)^3,$B$19*$B$20*((X538+273)^4-(D538+273)^4)/(X538-D538)))+1/H538)</f>
        <v/>
      </c>
      <c r="Z538">
        <f>IF(ABS(Y538-D538)&lt;0.000000001,4*$B$19*$B$20*(D538+273)^3,$B$19*$B$20*((Y538+273)^4-(D538+273)^4)/(Y538-D538))</f>
        <v/>
      </c>
      <c r="AA538">
        <f>$B$14*I538*(Y538-C538)</f>
        <v/>
      </c>
      <c r="AB538">
        <f>$B$14*Z538*(Y538-D538)</f>
        <v/>
      </c>
      <c r="AC538">
        <f>IF((U538-E538)/G538=0,0.001,(U538-E538)/G538)</f>
        <v/>
      </c>
      <c r="AD538">
        <f>F538-P538-J538-K538-AA538-AB538</f>
        <v/>
      </c>
      <c r="AE538">
        <f>AD538/AC538</f>
        <v/>
      </c>
      <c r="AF538">
        <f>IF(AD538&lt;=0,0,IF(AC538&lt;=0,$B$11,IF(AE538&gt;=1.7,$B$11,MIN(AD538/MAX(0.05,IF(AE538&gt;1,(2-AE538)^2/2,1-AE538^2/2)),$B$11))))</f>
        <v/>
      </c>
      <c r="AG538">
        <f>AG537*$B$28+AF538*(1-$B$28)</f>
        <v/>
      </c>
      <c r="AH538">
        <f>IF(AND(AD538&gt;0,AC538&lt;=0),0,AC538)</f>
        <v/>
      </c>
      <c r="AI538">
        <f>AH538/MAX(AG538,0.000001)</f>
        <v/>
      </c>
      <c r="AJ538">
        <f>MIN(IF(AI538&gt;=0.5,-AI538+SQRT(AI538^2+2),1),$B$12)</f>
        <v/>
      </c>
      <c r="AK538">
        <f>IF(AG538&lt;=0,0,AJ538*AH538)</f>
        <v/>
      </c>
      <c r="AL538">
        <f>IF(AD538&lt;=0,0,AD538)</f>
        <v/>
      </c>
      <c r="AM538">
        <f>AL538-AK538+P538</f>
        <v/>
      </c>
      <c r="AN538">
        <f>((AM538/$B$7+T537*AS537/2-T538*MAX(0.1,MIN(0.3,0.3-0.09*(AR537-36.8)))/2)+AR537*(1-AS537/2))/(1-MAX(0.1,MIN(0.3,0.3-0.09*(AR537-36.8)))/2)</f>
        <v/>
      </c>
      <c r="AO538">
        <f>((AM538/$B$7+T537*AS537/2-T538*MAX(0.1,MIN(0.3,0.3-0.09*(AN538-36.8)))/2)+AR537*(1-AS537/2))/(1-MAX(0.1,MIN(0.3,0.3-0.09*(AN538-36.8)))/2)</f>
        <v/>
      </c>
      <c r="AP538">
        <f>((AM538/$B$7+T537*AS537/2-T538*MAX(0.1,MIN(0.3,0.3-0.09*(AO538-36.8)))/2)+AR537*(1-AS537/2))/(1-MAX(0.1,MIN(0.3,0.3-0.09*(AO538-36.8)))/2)</f>
        <v/>
      </c>
      <c r="AQ538">
        <f>((AM538/$B$7+T537*AS537/2-T538*MAX(0.1,MIN(0.3,0.3-0.09*(AP538-36.8)))/2)+AR537*(1-AS537/2))/(1-MAX(0.1,MIN(0.3,0.3-0.09*(AP538-36.8)))/2)</f>
        <v/>
      </c>
      <c r="AR538">
        <f>((AM538/$B$7+T537*AS537/2-T538*MAX(0.1,MIN(0.3,0.3-0.09*(AQ538-36.8)))/2)+AR537*(1-AS537/2))/(1-MAX(0.1,MIN(0.3,0.3-0.09*(AQ538-36.8)))/2)</f>
        <v/>
      </c>
      <c r="AS538">
        <f>MAX(0.1,MIN(0.3,0.3-0.09*(AR538-36.8)))</f>
        <v/>
      </c>
      <c r="AT538">
        <f>AT537+(2*AR538-1.962*AT537-1.31)/9</f>
        <v/>
      </c>
      <c r="AU538">
        <f>AU537+AG538+K538</f>
        <v/>
      </c>
      <c r="AV538">
        <f>AU538*2.67*$B$6/1.8/60</f>
        <v/>
      </c>
      <c r="AW538">
        <f>IF(AT538&gt;=$B$36,1,0)</f>
        <v/>
      </c>
      <c r="AX538">
        <f>IF(AV538&gt;=$B$21,1,0)</f>
        <v/>
      </c>
    </row>
    <row r="539">
      <c r="A539" t="n">
        <v>466</v>
      </c>
      <c r="B539">
        <f>MATCH(A539-1,$D$61:$D$68,1)</f>
        <v/>
      </c>
      <c r="C539">
        <f>INDEX($G$61:$G$68,B539)</f>
        <v/>
      </c>
      <c r="D539">
        <f>INDEX($L$61:$L$68,B539)</f>
        <v/>
      </c>
      <c r="E539">
        <f>INDEX($M$61:$M$68,B539)</f>
        <v/>
      </c>
      <c r="F539">
        <f>INDEX($N$61:$N$68,B539)</f>
        <v/>
      </c>
      <c r="G539">
        <f>INDEX($AA$61:$AA$68,B539)</f>
        <v/>
      </c>
      <c r="H539">
        <f>INDEX($X$61:$X$68,B539)</f>
        <v/>
      </c>
      <c r="I539">
        <f>INDEX($AF$61:$AF$68,B539)</f>
        <v/>
      </c>
      <c r="J539">
        <f>INDEX($AC$61:$AC$68,B539)</f>
        <v/>
      </c>
      <c r="K539">
        <f>INDEX($AD$61:$AD$68,B539)</f>
        <v/>
      </c>
      <c r="L539">
        <f>INDEX($AG$61:$AG$68,B539)</f>
        <v/>
      </c>
      <c r="M539">
        <f>INDEX($AH$61:$AH$68,B539)</f>
        <v/>
      </c>
      <c r="N539">
        <f>INDEX($AI$61:$AI$68,B539)</f>
        <v/>
      </c>
      <c r="O539">
        <f>O538*$B$26+L539*(1-$B$26)</f>
        <v/>
      </c>
      <c r="P539">
        <f>$B$7*(O539-O538)*(1-AS538)</f>
        <v/>
      </c>
      <c r="Q539">
        <f>M539+0.51274*AT538</f>
        <v/>
      </c>
      <c r="R539">
        <f>N539+0.616*AT538</f>
        <v/>
      </c>
      <c r="S539">
        <f>IF($B$13&gt;=0.6,Q539,IF($B$13&lt;=0.2,R539,R539+2.5*(Q539-R539)*($B$13-0.2)))</f>
        <v/>
      </c>
      <c r="T539">
        <f>IF(A539=1,S539,T538*$B$27+S539*(1-$B$27))</f>
        <v/>
      </c>
      <c r="U539">
        <f>0.6105*EXP(17.27*T539/(T539+237.3))</f>
        <v/>
      </c>
      <c r="V539">
        <f>($B$14*(I539*C539+IF(ABS((D539+0.1)-D539)&lt;0.000000001,4*$B$19*$B$20*(D539+273)^3,$B$19*$B$20*(((D539+0.1)+273)^4-(D539+273)^4)/((D539+0.1)-D539))*D539)+T539/H539)/($B$14*(I539+IF(ABS((D539+0.1)-D539)&lt;0.000000001,4*$B$19*$B$20*(D539+273)^3,$B$19*$B$20*(((D539+0.1)+273)^4-(D539+273)^4)/((D539+0.1)-D539)))+1/H539)</f>
        <v/>
      </c>
      <c r="W539">
        <f>($B$14*(I539*C539+IF(ABS(V539-D539)&lt;0.000000001,4*$B$19*$B$20*(D539+273)^3,$B$19*$B$20*((V539+273)^4-(D539+273)^4)/(V539-D539))*D539)+T539/H539)/($B$14*(I539+IF(ABS(V539-D539)&lt;0.000000001,4*$B$19*$B$20*(D539+273)^3,$B$19*$B$20*((V539+273)^4-(D539+273)^4)/(V539-D539)))+1/H539)</f>
        <v/>
      </c>
      <c r="X539">
        <f>($B$14*(I539*C539+IF(ABS(W539-D539)&lt;0.000000001,4*$B$19*$B$20*(D539+273)^3,$B$19*$B$20*((W539+273)^4-(D539+273)^4)/(W539-D539))*D539)+T539/H539)/($B$14*(I539+IF(ABS(W539-D539)&lt;0.000000001,4*$B$19*$B$20*(D539+273)^3,$B$19*$B$20*((W539+273)^4-(D539+273)^4)/(W539-D539)))+1/H539)</f>
        <v/>
      </c>
      <c r="Y539">
        <f>($B$14*(I539*C539+IF(ABS(X539-D539)&lt;0.000000001,4*$B$19*$B$20*(D539+273)^3,$B$19*$B$20*((X539+273)^4-(D539+273)^4)/(X539-D539))*D539)+T539/H539)/($B$14*(I539+IF(ABS(X539-D539)&lt;0.000000001,4*$B$19*$B$20*(D539+273)^3,$B$19*$B$20*((X539+273)^4-(D539+273)^4)/(X539-D539)))+1/H539)</f>
        <v/>
      </c>
      <c r="Z539">
        <f>IF(ABS(Y539-D539)&lt;0.000000001,4*$B$19*$B$20*(D539+273)^3,$B$19*$B$20*((Y539+273)^4-(D539+273)^4)/(Y539-D539))</f>
        <v/>
      </c>
      <c r="AA539">
        <f>$B$14*I539*(Y539-C539)</f>
        <v/>
      </c>
      <c r="AB539">
        <f>$B$14*Z539*(Y539-D539)</f>
        <v/>
      </c>
      <c r="AC539">
        <f>IF((U539-E539)/G539=0,0.001,(U539-E539)/G539)</f>
        <v/>
      </c>
      <c r="AD539">
        <f>F539-P539-J539-K539-AA539-AB539</f>
        <v/>
      </c>
      <c r="AE539">
        <f>AD539/AC539</f>
        <v/>
      </c>
      <c r="AF539">
        <f>IF(AD539&lt;=0,0,IF(AC539&lt;=0,$B$11,IF(AE539&gt;=1.7,$B$11,MIN(AD539/MAX(0.05,IF(AE539&gt;1,(2-AE539)^2/2,1-AE539^2/2)),$B$11))))</f>
        <v/>
      </c>
      <c r="AG539">
        <f>AG538*$B$28+AF539*(1-$B$28)</f>
        <v/>
      </c>
      <c r="AH539">
        <f>IF(AND(AD539&gt;0,AC539&lt;=0),0,AC539)</f>
        <v/>
      </c>
      <c r="AI539">
        <f>AH539/MAX(AG539,0.000001)</f>
        <v/>
      </c>
      <c r="AJ539">
        <f>MIN(IF(AI539&gt;=0.5,-AI539+SQRT(AI539^2+2),1),$B$12)</f>
        <v/>
      </c>
      <c r="AK539">
        <f>IF(AG539&lt;=0,0,AJ539*AH539)</f>
        <v/>
      </c>
      <c r="AL539">
        <f>IF(AD539&lt;=0,0,AD539)</f>
        <v/>
      </c>
      <c r="AM539">
        <f>AL539-AK539+P539</f>
        <v/>
      </c>
      <c r="AN539">
        <f>((AM539/$B$7+T538*AS538/2-T539*MAX(0.1,MIN(0.3,0.3-0.09*(AR538-36.8)))/2)+AR538*(1-AS538/2))/(1-MAX(0.1,MIN(0.3,0.3-0.09*(AR538-36.8)))/2)</f>
        <v/>
      </c>
      <c r="AO539">
        <f>((AM539/$B$7+T538*AS538/2-T539*MAX(0.1,MIN(0.3,0.3-0.09*(AN539-36.8)))/2)+AR538*(1-AS538/2))/(1-MAX(0.1,MIN(0.3,0.3-0.09*(AN539-36.8)))/2)</f>
        <v/>
      </c>
      <c r="AP539">
        <f>((AM539/$B$7+T538*AS538/2-T539*MAX(0.1,MIN(0.3,0.3-0.09*(AO539-36.8)))/2)+AR538*(1-AS538/2))/(1-MAX(0.1,MIN(0.3,0.3-0.09*(AO539-36.8)))/2)</f>
        <v/>
      </c>
      <c r="AQ539">
        <f>((AM539/$B$7+T538*AS538/2-T539*MAX(0.1,MIN(0.3,0.3-0.09*(AP539-36.8)))/2)+AR538*(1-AS538/2))/(1-MAX(0.1,MIN(0.3,0.3-0.09*(AP539-36.8)))/2)</f>
        <v/>
      </c>
      <c r="AR539">
        <f>((AM539/$B$7+T538*AS538/2-T539*MAX(0.1,MIN(0.3,0.3-0.09*(AQ539-36.8)))/2)+AR538*(1-AS538/2))/(1-MAX(0.1,MIN(0.3,0.3-0.09*(AQ539-36.8)))/2)</f>
        <v/>
      </c>
      <c r="AS539">
        <f>MAX(0.1,MIN(0.3,0.3-0.09*(AR539-36.8)))</f>
        <v/>
      </c>
      <c r="AT539">
        <f>AT538+(2*AR539-1.962*AT538-1.31)/9</f>
        <v/>
      </c>
      <c r="AU539">
        <f>AU538+AG539+K539</f>
        <v/>
      </c>
      <c r="AV539">
        <f>AU539*2.67*$B$6/1.8/60</f>
        <v/>
      </c>
      <c r="AW539">
        <f>IF(AT539&gt;=$B$36,1,0)</f>
        <v/>
      </c>
      <c r="AX539">
        <f>IF(AV539&gt;=$B$21,1,0)</f>
        <v/>
      </c>
    </row>
    <row r="540">
      <c r="A540" t="n">
        <v>467</v>
      </c>
      <c r="B540">
        <f>MATCH(A540-1,$D$61:$D$68,1)</f>
        <v/>
      </c>
      <c r="C540">
        <f>INDEX($G$61:$G$68,B540)</f>
        <v/>
      </c>
      <c r="D540">
        <f>INDEX($L$61:$L$68,B540)</f>
        <v/>
      </c>
      <c r="E540">
        <f>INDEX($M$61:$M$68,B540)</f>
        <v/>
      </c>
      <c r="F540">
        <f>INDEX($N$61:$N$68,B540)</f>
        <v/>
      </c>
      <c r="G540">
        <f>INDEX($AA$61:$AA$68,B540)</f>
        <v/>
      </c>
      <c r="H540">
        <f>INDEX($X$61:$X$68,B540)</f>
        <v/>
      </c>
      <c r="I540">
        <f>INDEX($AF$61:$AF$68,B540)</f>
        <v/>
      </c>
      <c r="J540">
        <f>INDEX($AC$61:$AC$68,B540)</f>
        <v/>
      </c>
      <c r="K540">
        <f>INDEX($AD$61:$AD$68,B540)</f>
        <v/>
      </c>
      <c r="L540">
        <f>INDEX($AG$61:$AG$68,B540)</f>
        <v/>
      </c>
      <c r="M540">
        <f>INDEX($AH$61:$AH$68,B540)</f>
        <v/>
      </c>
      <c r="N540">
        <f>INDEX($AI$61:$AI$68,B540)</f>
        <v/>
      </c>
      <c r="O540">
        <f>O539*$B$26+L540*(1-$B$26)</f>
        <v/>
      </c>
      <c r="P540">
        <f>$B$7*(O540-O539)*(1-AS539)</f>
        <v/>
      </c>
      <c r="Q540">
        <f>M540+0.51274*AT539</f>
        <v/>
      </c>
      <c r="R540">
        <f>N540+0.616*AT539</f>
        <v/>
      </c>
      <c r="S540">
        <f>IF($B$13&gt;=0.6,Q540,IF($B$13&lt;=0.2,R540,R540+2.5*(Q540-R540)*($B$13-0.2)))</f>
        <v/>
      </c>
      <c r="T540">
        <f>IF(A540=1,S540,T539*$B$27+S540*(1-$B$27))</f>
        <v/>
      </c>
      <c r="U540">
        <f>0.6105*EXP(17.27*T540/(T540+237.3))</f>
        <v/>
      </c>
      <c r="V540">
        <f>($B$14*(I540*C540+IF(ABS((D540+0.1)-D540)&lt;0.000000001,4*$B$19*$B$20*(D540+273)^3,$B$19*$B$20*(((D540+0.1)+273)^4-(D540+273)^4)/((D540+0.1)-D540))*D540)+T540/H540)/($B$14*(I540+IF(ABS((D540+0.1)-D540)&lt;0.000000001,4*$B$19*$B$20*(D540+273)^3,$B$19*$B$20*(((D540+0.1)+273)^4-(D540+273)^4)/((D540+0.1)-D540)))+1/H540)</f>
        <v/>
      </c>
      <c r="W540">
        <f>($B$14*(I540*C540+IF(ABS(V540-D540)&lt;0.000000001,4*$B$19*$B$20*(D540+273)^3,$B$19*$B$20*((V540+273)^4-(D540+273)^4)/(V540-D540))*D540)+T540/H540)/($B$14*(I540+IF(ABS(V540-D540)&lt;0.000000001,4*$B$19*$B$20*(D540+273)^3,$B$19*$B$20*((V540+273)^4-(D540+273)^4)/(V540-D540)))+1/H540)</f>
        <v/>
      </c>
      <c r="X540">
        <f>($B$14*(I540*C540+IF(ABS(W540-D540)&lt;0.000000001,4*$B$19*$B$20*(D540+273)^3,$B$19*$B$20*((W540+273)^4-(D540+273)^4)/(W540-D540))*D540)+T540/H540)/($B$14*(I540+IF(ABS(W540-D540)&lt;0.000000001,4*$B$19*$B$20*(D540+273)^3,$B$19*$B$20*((W540+273)^4-(D540+273)^4)/(W540-D540)))+1/H540)</f>
        <v/>
      </c>
      <c r="Y540">
        <f>($B$14*(I540*C540+IF(ABS(X540-D540)&lt;0.000000001,4*$B$19*$B$20*(D540+273)^3,$B$19*$B$20*((X540+273)^4-(D540+273)^4)/(X540-D540))*D540)+T540/H540)/($B$14*(I540+IF(ABS(X540-D540)&lt;0.000000001,4*$B$19*$B$20*(D540+273)^3,$B$19*$B$20*((X540+273)^4-(D540+273)^4)/(X540-D540)))+1/H540)</f>
        <v/>
      </c>
      <c r="Z540">
        <f>IF(ABS(Y540-D540)&lt;0.000000001,4*$B$19*$B$20*(D540+273)^3,$B$19*$B$20*((Y540+273)^4-(D540+273)^4)/(Y540-D540))</f>
        <v/>
      </c>
      <c r="AA540">
        <f>$B$14*I540*(Y540-C540)</f>
        <v/>
      </c>
      <c r="AB540">
        <f>$B$14*Z540*(Y540-D540)</f>
        <v/>
      </c>
      <c r="AC540">
        <f>IF((U540-E540)/G540=0,0.001,(U540-E540)/G540)</f>
        <v/>
      </c>
      <c r="AD540">
        <f>F540-P540-J540-K540-AA540-AB540</f>
        <v/>
      </c>
      <c r="AE540">
        <f>AD540/AC540</f>
        <v/>
      </c>
      <c r="AF540">
        <f>IF(AD540&lt;=0,0,IF(AC540&lt;=0,$B$11,IF(AE540&gt;=1.7,$B$11,MIN(AD540/MAX(0.05,IF(AE540&gt;1,(2-AE540)^2/2,1-AE540^2/2)),$B$11))))</f>
        <v/>
      </c>
      <c r="AG540">
        <f>AG539*$B$28+AF540*(1-$B$28)</f>
        <v/>
      </c>
      <c r="AH540">
        <f>IF(AND(AD540&gt;0,AC540&lt;=0),0,AC540)</f>
        <v/>
      </c>
      <c r="AI540">
        <f>AH540/MAX(AG540,0.000001)</f>
        <v/>
      </c>
      <c r="AJ540">
        <f>MIN(IF(AI540&gt;=0.5,-AI540+SQRT(AI540^2+2),1),$B$12)</f>
        <v/>
      </c>
      <c r="AK540">
        <f>IF(AG540&lt;=0,0,AJ540*AH540)</f>
        <v/>
      </c>
      <c r="AL540">
        <f>IF(AD540&lt;=0,0,AD540)</f>
        <v/>
      </c>
      <c r="AM540">
        <f>AL540-AK540+P540</f>
        <v/>
      </c>
      <c r="AN540">
        <f>((AM540/$B$7+T539*AS539/2-T540*MAX(0.1,MIN(0.3,0.3-0.09*(AR539-36.8)))/2)+AR539*(1-AS539/2))/(1-MAX(0.1,MIN(0.3,0.3-0.09*(AR539-36.8)))/2)</f>
        <v/>
      </c>
      <c r="AO540">
        <f>((AM540/$B$7+T539*AS539/2-T540*MAX(0.1,MIN(0.3,0.3-0.09*(AN540-36.8)))/2)+AR539*(1-AS539/2))/(1-MAX(0.1,MIN(0.3,0.3-0.09*(AN540-36.8)))/2)</f>
        <v/>
      </c>
      <c r="AP540">
        <f>((AM540/$B$7+T539*AS539/2-T540*MAX(0.1,MIN(0.3,0.3-0.09*(AO540-36.8)))/2)+AR539*(1-AS539/2))/(1-MAX(0.1,MIN(0.3,0.3-0.09*(AO540-36.8)))/2)</f>
        <v/>
      </c>
      <c r="AQ540">
        <f>((AM540/$B$7+T539*AS539/2-T540*MAX(0.1,MIN(0.3,0.3-0.09*(AP540-36.8)))/2)+AR539*(1-AS539/2))/(1-MAX(0.1,MIN(0.3,0.3-0.09*(AP540-36.8)))/2)</f>
        <v/>
      </c>
      <c r="AR540">
        <f>((AM540/$B$7+T539*AS539/2-T540*MAX(0.1,MIN(0.3,0.3-0.09*(AQ540-36.8)))/2)+AR539*(1-AS539/2))/(1-MAX(0.1,MIN(0.3,0.3-0.09*(AQ540-36.8)))/2)</f>
        <v/>
      </c>
      <c r="AS540">
        <f>MAX(0.1,MIN(0.3,0.3-0.09*(AR540-36.8)))</f>
        <v/>
      </c>
      <c r="AT540">
        <f>AT539+(2*AR540-1.962*AT539-1.31)/9</f>
        <v/>
      </c>
      <c r="AU540">
        <f>AU539+AG540+K540</f>
        <v/>
      </c>
      <c r="AV540">
        <f>AU540*2.67*$B$6/1.8/60</f>
        <v/>
      </c>
      <c r="AW540">
        <f>IF(AT540&gt;=$B$36,1,0)</f>
        <v/>
      </c>
      <c r="AX540">
        <f>IF(AV540&gt;=$B$21,1,0)</f>
        <v/>
      </c>
    </row>
    <row r="541">
      <c r="A541" t="n">
        <v>468</v>
      </c>
      <c r="B541">
        <f>MATCH(A541-1,$D$61:$D$68,1)</f>
        <v/>
      </c>
      <c r="C541">
        <f>INDEX($G$61:$G$68,B541)</f>
        <v/>
      </c>
      <c r="D541">
        <f>INDEX($L$61:$L$68,B541)</f>
        <v/>
      </c>
      <c r="E541">
        <f>INDEX($M$61:$M$68,B541)</f>
        <v/>
      </c>
      <c r="F541">
        <f>INDEX($N$61:$N$68,B541)</f>
        <v/>
      </c>
      <c r="G541">
        <f>INDEX($AA$61:$AA$68,B541)</f>
        <v/>
      </c>
      <c r="H541">
        <f>INDEX($X$61:$X$68,B541)</f>
        <v/>
      </c>
      <c r="I541">
        <f>INDEX($AF$61:$AF$68,B541)</f>
        <v/>
      </c>
      <c r="J541">
        <f>INDEX($AC$61:$AC$68,B541)</f>
        <v/>
      </c>
      <c r="K541">
        <f>INDEX($AD$61:$AD$68,B541)</f>
        <v/>
      </c>
      <c r="L541">
        <f>INDEX($AG$61:$AG$68,B541)</f>
        <v/>
      </c>
      <c r="M541">
        <f>INDEX($AH$61:$AH$68,B541)</f>
        <v/>
      </c>
      <c r="N541">
        <f>INDEX($AI$61:$AI$68,B541)</f>
        <v/>
      </c>
      <c r="O541">
        <f>O540*$B$26+L541*(1-$B$26)</f>
        <v/>
      </c>
      <c r="P541">
        <f>$B$7*(O541-O540)*(1-AS540)</f>
        <v/>
      </c>
      <c r="Q541">
        <f>M541+0.51274*AT540</f>
        <v/>
      </c>
      <c r="R541">
        <f>N541+0.616*AT540</f>
        <v/>
      </c>
      <c r="S541">
        <f>IF($B$13&gt;=0.6,Q541,IF($B$13&lt;=0.2,R541,R541+2.5*(Q541-R541)*($B$13-0.2)))</f>
        <v/>
      </c>
      <c r="T541">
        <f>IF(A541=1,S541,T540*$B$27+S541*(1-$B$27))</f>
        <v/>
      </c>
      <c r="U541">
        <f>0.6105*EXP(17.27*T541/(T541+237.3))</f>
        <v/>
      </c>
      <c r="V541">
        <f>($B$14*(I541*C541+IF(ABS((D541+0.1)-D541)&lt;0.000000001,4*$B$19*$B$20*(D541+273)^3,$B$19*$B$20*(((D541+0.1)+273)^4-(D541+273)^4)/((D541+0.1)-D541))*D541)+T541/H541)/($B$14*(I541+IF(ABS((D541+0.1)-D541)&lt;0.000000001,4*$B$19*$B$20*(D541+273)^3,$B$19*$B$20*(((D541+0.1)+273)^4-(D541+273)^4)/((D541+0.1)-D541)))+1/H541)</f>
        <v/>
      </c>
      <c r="W541">
        <f>($B$14*(I541*C541+IF(ABS(V541-D541)&lt;0.000000001,4*$B$19*$B$20*(D541+273)^3,$B$19*$B$20*((V541+273)^4-(D541+273)^4)/(V541-D541))*D541)+T541/H541)/($B$14*(I541+IF(ABS(V541-D541)&lt;0.000000001,4*$B$19*$B$20*(D541+273)^3,$B$19*$B$20*((V541+273)^4-(D541+273)^4)/(V541-D541)))+1/H541)</f>
        <v/>
      </c>
      <c r="X541">
        <f>($B$14*(I541*C541+IF(ABS(W541-D541)&lt;0.000000001,4*$B$19*$B$20*(D541+273)^3,$B$19*$B$20*((W541+273)^4-(D541+273)^4)/(W541-D541))*D541)+T541/H541)/($B$14*(I541+IF(ABS(W541-D541)&lt;0.000000001,4*$B$19*$B$20*(D541+273)^3,$B$19*$B$20*((W541+273)^4-(D541+273)^4)/(W541-D541)))+1/H541)</f>
        <v/>
      </c>
      <c r="Y541">
        <f>($B$14*(I541*C541+IF(ABS(X541-D541)&lt;0.000000001,4*$B$19*$B$20*(D541+273)^3,$B$19*$B$20*((X541+273)^4-(D541+273)^4)/(X541-D541))*D541)+T541/H541)/($B$14*(I541+IF(ABS(X541-D541)&lt;0.000000001,4*$B$19*$B$20*(D541+273)^3,$B$19*$B$20*((X541+273)^4-(D541+273)^4)/(X541-D541)))+1/H541)</f>
        <v/>
      </c>
      <c r="Z541">
        <f>IF(ABS(Y541-D541)&lt;0.000000001,4*$B$19*$B$20*(D541+273)^3,$B$19*$B$20*((Y541+273)^4-(D541+273)^4)/(Y541-D541))</f>
        <v/>
      </c>
      <c r="AA541">
        <f>$B$14*I541*(Y541-C541)</f>
        <v/>
      </c>
      <c r="AB541">
        <f>$B$14*Z541*(Y541-D541)</f>
        <v/>
      </c>
      <c r="AC541">
        <f>IF((U541-E541)/G541=0,0.001,(U541-E541)/G541)</f>
        <v/>
      </c>
      <c r="AD541">
        <f>F541-P541-J541-K541-AA541-AB541</f>
        <v/>
      </c>
      <c r="AE541">
        <f>AD541/AC541</f>
        <v/>
      </c>
      <c r="AF541">
        <f>IF(AD541&lt;=0,0,IF(AC541&lt;=0,$B$11,IF(AE541&gt;=1.7,$B$11,MIN(AD541/MAX(0.05,IF(AE541&gt;1,(2-AE541)^2/2,1-AE541^2/2)),$B$11))))</f>
        <v/>
      </c>
      <c r="AG541">
        <f>AG540*$B$28+AF541*(1-$B$28)</f>
        <v/>
      </c>
      <c r="AH541">
        <f>IF(AND(AD541&gt;0,AC541&lt;=0),0,AC541)</f>
        <v/>
      </c>
      <c r="AI541">
        <f>AH541/MAX(AG541,0.000001)</f>
        <v/>
      </c>
      <c r="AJ541">
        <f>MIN(IF(AI541&gt;=0.5,-AI541+SQRT(AI541^2+2),1),$B$12)</f>
        <v/>
      </c>
      <c r="AK541">
        <f>IF(AG541&lt;=0,0,AJ541*AH541)</f>
        <v/>
      </c>
      <c r="AL541">
        <f>IF(AD541&lt;=0,0,AD541)</f>
        <v/>
      </c>
      <c r="AM541">
        <f>AL541-AK541+P541</f>
        <v/>
      </c>
      <c r="AN541">
        <f>((AM541/$B$7+T540*AS540/2-T541*MAX(0.1,MIN(0.3,0.3-0.09*(AR540-36.8)))/2)+AR540*(1-AS540/2))/(1-MAX(0.1,MIN(0.3,0.3-0.09*(AR540-36.8)))/2)</f>
        <v/>
      </c>
      <c r="AO541">
        <f>((AM541/$B$7+T540*AS540/2-T541*MAX(0.1,MIN(0.3,0.3-0.09*(AN541-36.8)))/2)+AR540*(1-AS540/2))/(1-MAX(0.1,MIN(0.3,0.3-0.09*(AN541-36.8)))/2)</f>
        <v/>
      </c>
      <c r="AP541">
        <f>((AM541/$B$7+T540*AS540/2-T541*MAX(0.1,MIN(0.3,0.3-0.09*(AO541-36.8)))/2)+AR540*(1-AS540/2))/(1-MAX(0.1,MIN(0.3,0.3-0.09*(AO541-36.8)))/2)</f>
        <v/>
      </c>
      <c r="AQ541">
        <f>((AM541/$B$7+T540*AS540/2-T541*MAX(0.1,MIN(0.3,0.3-0.09*(AP541-36.8)))/2)+AR540*(1-AS540/2))/(1-MAX(0.1,MIN(0.3,0.3-0.09*(AP541-36.8)))/2)</f>
        <v/>
      </c>
      <c r="AR541">
        <f>((AM541/$B$7+T540*AS540/2-T541*MAX(0.1,MIN(0.3,0.3-0.09*(AQ541-36.8)))/2)+AR540*(1-AS540/2))/(1-MAX(0.1,MIN(0.3,0.3-0.09*(AQ541-36.8)))/2)</f>
        <v/>
      </c>
      <c r="AS541">
        <f>MAX(0.1,MIN(0.3,0.3-0.09*(AR541-36.8)))</f>
        <v/>
      </c>
      <c r="AT541">
        <f>AT540+(2*AR541-1.962*AT540-1.31)/9</f>
        <v/>
      </c>
      <c r="AU541">
        <f>AU540+AG541+K541</f>
        <v/>
      </c>
      <c r="AV541">
        <f>AU541*2.67*$B$6/1.8/60</f>
        <v/>
      </c>
      <c r="AW541">
        <f>IF(AT541&gt;=$B$36,1,0)</f>
        <v/>
      </c>
      <c r="AX541">
        <f>IF(AV541&gt;=$B$21,1,0)</f>
        <v/>
      </c>
    </row>
    <row r="542">
      <c r="A542" t="n">
        <v>469</v>
      </c>
      <c r="B542">
        <f>MATCH(A542-1,$D$61:$D$68,1)</f>
        <v/>
      </c>
      <c r="C542">
        <f>INDEX($G$61:$G$68,B542)</f>
        <v/>
      </c>
      <c r="D542">
        <f>INDEX($L$61:$L$68,B542)</f>
        <v/>
      </c>
      <c r="E542">
        <f>INDEX($M$61:$M$68,B542)</f>
        <v/>
      </c>
      <c r="F542">
        <f>INDEX($N$61:$N$68,B542)</f>
        <v/>
      </c>
      <c r="G542">
        <f>INDEX($AA$61:$AA$68,B542)</f>
        <v/>
      </c>
      <c r="H542">
        <f>INDEX($X$61:$X$68,B542)</f>
        <v/>
      </c>
      <c r="I542">
        <f>INDEX($AF$61:$AF$68,B542)</f>
        <v/>
      </c>
      <c r="J542">
        <f>INDEX($AC$61:$AC$68,B542)</f>
        <v/>
      </c>
      <c r="K542">
        <f>INDEX($AD$61:$AD$68,B542)</f>
        <v/>
      </c>
      <c r="L542">
        <f>INDEX($AG$61:$AG$68,B542)</f>
        <v/>
      </c>
      <c r="M542">
        <f>INDEX($AH$61:$AH$68,B542)</f>
        <v/>
      </c>
      <c r="N542">
        <f>INDEX($AI$61:$AI$68,B542)</f>
        <v/>
      </c>
      <c r="O542">
        <f>O541*$B$26+L542*(1-$B$26)</f>
        <v/>
      </c>
      <c r="P542">
        <f>$B$7*(O542-O541)*(1-AS541)</f>
        <v/>
      </c>
      <c r="Q542">
        <f>M542+0.51274*AT541</f>
        <v/>
      </c>
      <c r="R542">
        <f>N542+0.616*AT541</f>
        <v/>
      </c>
      <c r="S542">
        <f>IF($B$13&gt;=0.6,Q542,IF($B$13&lt;=0.2,R542,R542+2.5*(Q542-R542)*($B$13-0.2)))</f>
        <v/>
      </c>
      <c r="T542">
        <f>IF(A542=1,S542,T541*$B$27+S542*(1-$B$27))</f>
        <v/>
      </c>
      <c r="U542">
        <f>0.6105*EXP(17.27*T542/(T542+237.3))</f>
        <v/>
      </c>
      <c r="V542">
        <f>($B$14*(I542*C542+IF(ABS((D542+0.1)-D542)&lt;0.000000001,4*$B$19*$B$20*(D542+273)^3,$B$19*$B$20*(((D542+0.1)+273)^4-(D542+273)^4)/((D542+0.1)-D542))*D542)+T542/H542)/($B$14*(I542+IF(ABS((D542+0.1)-D542)&lt;0.000000001,4*$B$19*$B$20*(D542+273)^3,$B$19*$B$20*(((D542+0.1)+273)^4-(D542+273)^4)/((D542+0.1)-D542)))+1/H542)</f>
        <v/>
      </c>
      <c r="W542">
        <f>($B$14*(I542*C542+IF(ABS(V542-D542)&lt;0.000000001,4*$B$19*$B$20*(D542+273)^3,$B$19*$B$20*((V542+273)^4-(D542+273)^4)/(V542-D542))*D542)+T542/H542)/($B$14*(I542+IF(ABS(V542-D542)&lt;0.000000001,4*$B$19*$B$20*(D542+273)^3,$B$19*$B$20*((V542+273)^4-(D542+273)^4)/(V542-D542)))+1/H542)</f>
        <v/>
      </c>
      <c r="X542">
        <f>($B$14*(I542*C542+IF(ABS(W542-D542)&lt;0.000000001,4*$B$19*$B$20*(D542+273)^3,$B$19*$B$20*((W542+273)^4-(D542+273)^4)/(W542-D542))*D542)+T542/H542)/($B$14*(I542+IF(ABS(W542-D542)&lt;0.000000001,4*$B$19*$B$20*(D542+273)^3,$B$19*$B$20*((W542+273)^4-(D542+273)^4)/(W542-D542)))+1/H542)</f>
        <v/>
      </c>
      <c r="Y542">
        <f>($B$14*(I542*C542+IF(ABS(X542-D542)&lt;0.000000001,4*$B$19*$B$20*(D542+273)^3,$B$19*$B$20*((X542+273)^4-(D542+273)^4)/(X542-D542))*D542)+T542/H542)/($B$14*(I542+IF(ABS(X542-D542)&lt;0.000000001,4*$B$19*$B$20*(D542+273)^3,$B$19*$B$20*((X542+273)^4-(D542+273)^4)/(X542-D542)))+1/H542)</f>
        <v/>
      </c>
      <c r="Z542">
        <f>IF(ABS(Y542-D542)&lt;0.000000001,4*$B$19*$B$20*(D542+273)^3,$B$19*$B$20*((Y542+273)^4-(D542+273)^4)/(Y542-D542))</f>
        <v/>
      </c>
      <c r="AA542">
        <f>$B$14*I542*(Y542-C542)</f>
        <v/>
      </c>
      <c r="AB542">
        <f>$B$14*Z542*(Y542-D542)</f>
        <v/>
      </c>
      <c r="AC542">
        <f>IF((U542-E542)/G542=0,0.001,(U542-E542)/G542)</f>
        <v/>
      </c>
      <c r="AD542">
        <f>F542-P542-J542-K542-AA542-AB542</f>
        <v/>
      </c>
      <c r="AE542">
        <f>AD542/AC542</f>
        <v/>
      </c>
      <c r="AF542">
        <f>IF(AD542&lt;=0,0,IF(AC542&lt;=0,$B$11,IF(AE542&gt;=1.7,$B$11,MIN(AD542/MAX(0.05,IF(AE542&gt;1,(2-AE542)^2/2,1-AE542^2/2)),$B$11))))</f>
        <v/>
      </c>
      <c r="AG542">
        <f>AG541*$B$28+AF542*(1-$B$28)</f>
        <v/>
      </c>
      <c r="AH542">
        <f>IF(AND(AD542&gt;0,AC542&lt;=0),0,AC542)</f>
        <v/>
      </c>
      <c r="AI542">
        <f>AH542/MAX(AG542,0.000001)</f>
        <v/>
      </c>
      <c r="AJ542">
        <f>MIN(IF(AI542&gt;=0.5,-AI542+SQRT(AI542^2+2),1),$B$12)</f>
        <v/>
      </c>
      <c r="AK542">
        <f>IF(AG542&lt;=0,0,AJ542*AH542)</f>
        <v/>
      </c>
      <c r="AL542">
        <f>IF(AD542&lt;=0,0,AD542)</f>
        <v/>
      </c>
      <c r="AM542">
        <f>AL542-AK542+P542</f>
        <v/>
      </c>
      <c r="AN542">
        <f>((AM542/$B$7+T541*AS541/2-T542*MAX(0.1,MIN(0.3,0.3-0.09*(AR541-36.8)))/2)+AR541*(1-AS541/2))/(1-MAX(0.1,MIN(0.3,0.3-0.09*(AR541-36.8)))/2)</f>
        <v/>
      </c>
      <c r="AO542">
        <f>((AM542/$B$7+T541*AS541/2-T542*MAX(0.1,MIN(0.3,0.3-0.09*(AN542-36.8)))/2)+AR541*(1-AS541/2))/(1-MAX(0.1,MIN(0.3,0.3-0.09*(AN542-36.8)))/2)</f>
        <v/>
      </c>
      <c r="AP542">
        <f>((AM542/$B$7+T541*AS541/2-T542*MAX(0.1,MIN(0.3,0.3-0.09*(AO542-36.8)))/2)+AR541*(1-AS541/2))/(1-MAX(0.1,MIN(0.3,0.3-0.09*(AO542-36.8)))/2)</f>
        <v/>
      </c>
      <c r="AQ542">
        <f>((AM542/$B$7+T541*AS541/2-T542*MAX(0.1,MIN(0.3,0.3-0.09*(AP542-36.8)))/2)+AR541*(1-AS541/2))/(1-MAX(0.1,MIN(0.3,0.3-0.09*(AP542-36.8)))/2)</f>
        <v/>
      </c>
      <c r="AR542">
        <f>((AM542/$B$7+T541*AS541/2-T542*MAX(0.1,MIN(0.3,0.3-0.09*(AQ542-36.8)))/2)+AR541*(1-AS541/2))/(1-MAX(0.1,MIN(0.3,0.3-0.09*(AQ542-36.8)))/2)</f>
        <v/>
      </c>
      <c r="AS542">
        <f>MAX(0.1,MIN(0.3,0.3-0.09*(AR542-36.8)))</f>
        <v/>
      </c>
      <c r="AT542">
        <f>AT541+(2*AR542-1.962*AT541-1.31)/9</f>
        <v/>
      </c>
      <c r="AU542">
        <f>AU541+AG542+K542</f>
        <v/>
      </c>
      <c r="AV542">
        <f>AU542*2.67*$B$6/1.8/60</f>
        <v/>
      </c>
      <c r="AW542">
        <f>IF(AT542&gt;=$B$36,1,0)</f>
        <v/>
      </c>
      <c r="AX542">
        <f>IF(AV542&gt;=$B$21,1,0)</f>
        <v/>
      </c>
    </row>
    <row r="543">
      <c r="A543" t="n">
        <v>470</v>
      </c>
      <c r="B543">
        <f>MATCH(A543-1,$D$61:$D$68,1)</f>
        <v/>
      </c>
      <c r="C543">
        <f>INDEX($G$61:$G$68,B543)</f>
        <v/>
      </c>
      <c r="D543">
        <f>INDEX($L$61:$L$68,B543)</f>
        <v/>
      </c>
      <c r="E543">
        <f>INDEX($M$61:$M$68,B543)</f>
        <v/>
      </c>
      <c r="F543">
        <f>INDEX($N$61:$N$68,B543)</f>
        <v/>
      </c>
      <c r="G543">
        <f>INDEX($AA$61:$AA$68,B543)</f>
        <v/>
      </c>
      <c r="H543">
        <f>INDEX($X$61:$X$68,B543)</f>
        <v/>
      </c>
      <c r="I543">
        <f>INDEX($AF$61:$AF$68,B543)</f>
        <v/>
      </c>
      <c r="J543">
        <f>INDEX($AC$61:$AC$68,B543)</f>
        <v/>
      </c>
      <c r="K543">
        <f>INDEX($AD$61:$AD$68,B543)</f>
        <v/>
      </c>
      <c r="L543">
        <f>INDEX($AG$61:$AG$68,B543)</f>
        <v/>
      </c>
      <c r="M543">
        <f>INDEX($AH$61:$AH$68,B543)</f>
        <v/>
      </c>
      <c r="N543">
        <f>INDEX($AI$61:$AI$68,B543)</f>
        <v/>
      </c>
      <c r="O543">
        <f>O542*$B$26+L543*(1-$B$26)</f>
        <v/>
      </c>
      <c r="P543">
        <f>$B$7*(O543-O542)*(1-AS542)</f>
        <v/>
      </c>
      <c r="Q543">
        <f>M543+0.51274*AT542</f>
        <v/>
      </c>
      <c r="R543">
        <f>N543+0.616*AT542</f>
        <v/>
      </c>
      <c r="S543">
        <f>IF($B$13&gt;=0.6,Q543,IF($B$13&lt;=0.2,R543,R543+2.5*(Q543-R543)*($B$13-0.2)))</f>
        <v/>
      </c>
      <c r="T543">
        <f>IF(A543=1,S543,T542*$B$27+S543*(1-$B$27))</f>
        <v/>
      </c>
      <c r="U543">
        <f>0.6105*EXP(17.27*T543/(T543+237.3))</f>
        <v/>
      </c>
      <c r="V543">
        <f>($B$14*(I543*C543+IF(ABS((D543+0.1)-D543)&lt;0.000000001,4*$B$19*$B$20*(D543+273)^3,$B$19*$B$20*(((D543+0.1)+273)^4-(D543+273)^4)/((D543+0.1)-D543))*D543)+T543/H543)/($B$14*(I543+IF(ABS((D543+0.1)-D543)&lt;0.000000001,4*$B$19*$B$20*(D543+273)^3,$B$19*$B$20*(((D543+0.1)+273)^4-(D543+273)^4)/((D543+0.1)-D543)))+1/H543)</f>
        <v/>
      </c>
      <c r="W543">
        <f>($B$14*(I543*C543+IF(ABS(V543-D543)&lt;0.000000001,4*$B$19*$B$20*(D543+273)^3,$B$19*$B$20*((V543+273)^4-(D543+273)^4)/(V543-D543))*D543)+T543/H543)/($B$14*(I543+IF(ABS(V543-D543)&lt;0.000000001,4*$B$19*$B$20*(D543+273)^3,$B$19*$B$20*((V543+273)^4-(D543+273)^4)/(V543-D543)))+1/H543)</f>
        <v/>
      </c>
      <c r="X543">
        <f>($B$14*(I543*C543+IF(ABS(W543-D543)&lt;0.000000001,4*$B$19*$B$20*(D543+273)^3,$B$19*$B$20*((W543+273)^4-(D543+273)^4)/(W543-D543))*D543)+T543/H543)/($B$14*(I543+IF(ABS(W543-D543)&lt;0.000000001,4*$B$19*$B$20*(D543+273)^3,$B$19*$B$20*((W543+273)^4-(D543+273)^4)/(W543-D543)))+1/H543)</f>
        <v/>
      </c>
      <c r="Y543">
        <f>($B$14*(I543*C543+IF(ABS(X543-D543)&lt;0.000000001,4*$B$19*$B$20*(D543+273)^3,$B$19*$B$20*((X543+273)^4-(D543+273)^4)/(X543-D543))*D543)+T543/H543)/($B$14*(I543+IF(ABS(X543-D543)&lt;0.000000001,4*$B$19*$B$20*(D543+273)^3,$B$19*$B$20*((X543+273)^4-(D543+273)^4)/(X543-D543)))+1/H543)</f>
        <v/>
      </c>
      <c r="Z543">
        <f>IF(ABS(Y543-D543)&lt;0.000000001,4*$B$19*$B$20*(D543+273)^3,$B$19*$B$20*((Y543+273)^4-(D543+273)^4)/(Y543-D543))</f>
        <v/>
      </c>
      <c r="AA543">
        <f>$B$14*I543*(Y543-C543)</f>
        <v/>
      </c>
      <c r="AB543">
        <f>$B$14*Z543*(Y543-D543)</f>
        <v/>
      </c>
      <c r="AC543">
        <f>IF((U543-E543)/G543=0,0.001,(U543-E543)/G543)</f>
        <v/>
      </c>
      <c r="AD543">
        <f>F543-P543-J543-K543-AA543-AB543</f>
        <v/>
      </c>
      <c r="AE543">
        <f>AD543/AC543</f>
        <v/>
      </c>
      <c r="AF543">
        <f>IF(AD543&lt;=0,0,IF(AC543&lt;=0,$B$11,IF(AE543&gt;=1.7,$B$11,MIN(AD543/MAX(0.05,IF(AE543&gt;1,(2-AE543)^2/2,1-AE543^2/2)),$B$11))))</f>
        <v/>
      </c>
      <c r="AG543">
        <f>AG542*$B$28+AF543*(1-$B$28)</f>
        <v/>
      </c>
      <c r="AH543">
        <f>IF(AND(AD543&gt;0,AC543&lt;=0),0,AC543)</f>
        <v/>
      </c>
      <c r="AI543">
        <f>AH543/MAX(AG543,0.000001)</f>
        <v/>
      </c>
      <c r="AJ543">
        <f>MIN(IF(AI543&gt;=0.5,-AI543+SQRT(AI543^2+2),1),$B$12)</f>
        <v/>
      </c>
      <c r="AK543">
        <f>IF(AG543&lt;=0,0,AJ543*AH543)</f>
        <v/>
      </c>
      <c r="AL543">
        <f>IF(AD543&lt;=0,0,AD543)</f>
        <v/>
      </c>
      <c r="AM543">
        <f>AL543-AK543+P543</f>
        <v/>
      </c>
      <c r="AN543">
        <f>((AM543/$B$7+T542*AS542/2-T543*MAX(0.1,MIN(0.3,0.3-0.09*(AR542-36.8)))/2)+AR542*(1-AS542/2))/(1-MAX(0.1,MIN(0.3,0.3-0.09*(AR542-36.8)))/2)</f>
        <v/>
      </c>
      <c r="AO543">
        <f>((AM543/$B$7+T542*AS542/2-T543*MAX(0.1,MIN(0.3,0.3-0.09*(AN543-36.8)))/2)+AR542*(1-AS542/2))/(1-MAX(0.1,MIN(0.3,0.3-0.09*(AN543-36.8)))/2)</f>
        <v/>
      </c>
      <c r="AP543">
        <f>((AM543/$B$7+T542*AS542/2-T543*MAX(0.1,MIN(0.3,0.3-0.09*(AO543-36.8)))/2)+AR542*(1-AS542/2))/(1-MAX(0.1,MIN(0.3,0.3-0.09*(AO543-36.8)))/2)</f>
        <v/>
      </c>
      <c r="AQ543">
        <f>((AM543/$B$7+T542*AS542/2-T543*MAX(0.1,MIN(0.3,0.3-0.09*(AP543-36.8)))/2)+AR542*(1-AS542/2))/(1-MAX(0.1,MIN(0.3,0.3-0.09*(AP543-36.8)))/2)</f>
        <v/>
      </c>
      <c r="AR543">
        <f>((AM543/$B$7+T542*AS542/2-T543*MAX(0.1,MIN(0.3,0.3-0.09*(AQ543-36.8)))/2)+AR542*(1-AS542/2))/(1-MAX(0.1,MIN(0.3,0.3-0.09*(AQ543-36.8)))/2)</f>
        <v/>
      </c>
      <c r="AS543">
        <f>MAX(0.1,MIN(0.3,0.3-0.09*(AR543-36.8)))</f>
        <v/>
      </c>
      <c r="AT543">
        <f>AT542+(2*AR543-1.962*AT542-1.31)/9</f>
        <v/>
      </c>
      <c r="AU543">
        <f>AU542+AG543+K543</f>
        <v/>
      </c>
      <c r="AV543">
        <f>AU543*2.67*$B$6/1.8/60</f>
        <v/>
      </c>
      <c r="AW543">
        <f>IF(AT543&gt;=$B$36,1,0)</f>
        <v/>
      </c>
      <c r="AX543">
        <f>IF(AV543&gt;=$B$21,1,0)</f>
        <v/>
      </c>
    </row>
    <row r="544">
      <c r="A544" t="n">
        <v>471</v>
      </c>
      <c r="B544">
        <f>MATCH(A544-1,$D$61:$D$68,1)</f>
        <v/>
      </c>
      <c r="C544">
        <f>INDEX($G$61:$G$68,B544)</f>
        <v/>
      </c>
      <c r="D544">
        <f>INDEX($L$61:$L$68,B544)</f>
        <v/>
      </c>
      <c r="E544">
        <f>INDEX($M$61:$M$68,B544)</f>
        <v/>
      </c>
      <c r="F544">
        <f>INDEX($N$61:$N$68,B544)</f>
        <v/>
      </c>
      <c r="G544">
        <f>INDEX($AA$61:$AA$68,B544)</f>
        <v/>
      </c>
      <c r="H544">
        <f>INDEX($X$61:$X$68,B544)</f>
        <v/>
      </c>
      <c r="I544">
        <f>INDEX($AF$61:$AF$68,B544)</f>
        <v/>
      </c>
      <c r="J544">
        <f>INDEX($AC$61:$AC$68,B544)</f>
        <v/>
      </c>
      <c r="K544">
        <f>INDEX($AD$61:$AD$68,B544)</f>
        <v/>
      </c>
      <c r="L544">
        <f>INDEX($AG$61:$AG$68,B544)</f>
        <v/>
      </c>
      <c r="M544">
        <f>INDEX($AH$61:$AH$68,B544)</f>
        <v/>
      </c>
      <c r="N544">
        <f>INDEX($AI$61:$AI$68,B544)</f>
        <v/>
      </c>
      <c r="O544">
        <f>O543*$B$26+L544*(1-$B$26)</f>
        <v/>
      </c>
      <c r="P544">
        <f>$B$7*(O544-O543)*(1-AS543)</f>
        <v/>
      </c>
      <c r="Q544">
        <f>M544+0.51274*AT543</f>
        <v/>
      </c>
      <c r="R544">
        <f>N544+0.616*AT543</f>
        <v/>
      </c>
      <c r="S544">
        <f>IF($B$13&gt;=0.6,Q544,IF($B$13&lt;=0.2,R544,R544+2.5*(Q544-R544)*($B$13-0.2)))</f>
        <v/>
      </c>
      <c r="T544">
        <f>IF(A544=1,S544,T543*$B$27+S544*(1-$B$27))</f>
        <v/>
      </c>
      <c r="U544">
        <f>0.6105*EXP(17.27*T544/(T544+237.3))</f>
        <v/>
      </c>
      <c r="V544">
        <f>($B$14*(I544*C544+IF(ABS((D544+0.1)-D544)&lt;0.000000001,4*$B$19*$B$20*(D544+273)^3,$B$19*$B$20*(((D544+0.1)+273)^4-(D544+273)^4)/((D544+0.1)-D544))*D544)+T544/H544)/($B$14*(I544+IF(ABS((D544+0.1)-D544)&lt;0.000000001,4*$B$19*$B$20*(D544+273)^3,$B$19*$B$20*(((D544+0.1)+273)^4-(D544+273)^4)/((D544+0.1)-D544)))+1/H544)</f>
        <v/>
      </c>
      <c r="W544">
        <f>($B$14*(I544*C544+IF(ABS(V544-D544)&lt;0.000000001,4*$B$19*$B$20*(D544+273)^3,$B$19*$B$20*((V544+273)^4-(D544+273)^4)/(V544-D544))*D544)+T544/H544)/($B$14*(I544+IF(ABS(V544-D544)&lt;0.000000001,4*$B$19*$B$20*(D544+273)^3,$B$19*$B$20*((V544+273)^4-(D544+273)^4)/(V544-D544)))+1/H544)</f>
        <v/>
      </c>
      <c r="X544">
        <f>($B$14*(I544*C544+IF(ABS(W544-D544)&lt;0.000000001,4*$B$19*$B$20*(D544+273)^3,$B$19*$B$20*((W544+273)^4-(D544+273)^4)/(W544-D544))*D544)+T544/H544)/($B$14*(I544+IF(ABS(W544-D544)&lt;0.000000001,4*$B$19*$B$20*(D544+273)^3,$B$19*$B$20*((W544+273)^4-(D544+273)^4)/(W544-D544)))+1/H544)</f>
        <v/>
      </c>
      <c r="Y544">
        <f>($B$14*(I544*C544+IF(ABS(X544-D544)&lt;0.000000001,4*$B$19*$B$20*(D544+273)^3,$B$19*$B$20*((X544+273)^4-(D544+273)^4)/(X544-D544))*D544)+T544/H544)/($B$14*(I544+IF(ABS(X544-D544)&lt;0.000000001,4*$B$19*$B$20*(D544+273)^3,$B$19*$B$20*((X544+273)^4-(D544+273)^4)/(X544-D544)))+1/H544)</f>
        <v/>
      </c>
      <c r="Z544">
        <f>IF(ABS(Y544-D544)&lt;0.000000001,4*$B$19*$B$20*(D544+273)^3,$B$19*$B$20*((Y544+273)^4-(D544+273)^4)/(Y544-D544))</f>
        <v/>
      </c>
      <c r="AA544">
        <f>$B$14*I544*(Y544-C544)</f>
        <v/>
      </c>
      <c r="AB544">
        <f>$B$14*Z544*(Y544-D544)</f>
        <v/>
      </c>
      <c r="AC544">
        <f>IF((U544-E544)/G544=0,0.001,(U544-E544)/G544)</f>
        <v/>
      </c>
      <c r="AD544">
        <f>F544-P544-J544-K544-AA544-AB544</f>
        <v/>
      </c>
      <c r="AE544">
        <f>AD544/AC544</f>
        <v/>
      </c>
      <c r="AF544">
        <f>IF(AD544&lt;=0,0,IF(AC544&lt;=0,$B$11,IF(AE544&gt;=1.7,$B$11,MIN(AD544/MAX(0.05,IF(AE544&gt;1,(2-AE544)^2/2,1-AE544^2/2)),$B$11))))</f>
        <v/>
      </c>
      <c r="AG544">
        <f>AG543*$B$28+AF544*(1-$B$28)</f>
        <v/>
      </c>
      <c r="AH544">
        <f>IF(AND(AD544&gt;0,AC544&lt;=0),0,AC544)</f>
        <v/>
      </c>
      <c r="AI544">
        <f>AH544/MAX(AG544,0.000001)</f>
        <v/>
      </c>
      <c r="AJ544">
        <f>MIN(IF(AI544&gt;=0.5,-AI544+SQRT(AI544^2+2),1),$B$12)</f>
        <v/>
      </c>
      <c r="AK544">
        <f>IF(AG544&lt;=0,0,AJ544*AH544)</f>
        <v/>
      </c>
      <c r="AL544">
        <f>IF(AD544&lt;=0,0,AD544)</f>
        <v/>
      </c>
      <c r="AM544">
        <f>AL544-AK544+P544</f>
        <v/>
      </c>
      <c r="AN544">
        <f>((AM544/$B$7+T543*AS543/2-T544*MAX(0.1,MIN(0.3,0.3-0.09*(AR543-36.8)))/2)+AR543*(1-AS543/2))/(1-MAX(0.1,MIN(0.3,0.3-0.09*(AR543-36.8)))/2)</f>
        <v/>
      </c>
      <c r="AO544">
        <f>((AM544/$B$7+T543*AS543/2-T544*MAX(0.1,MIN(0.3,0.3-0.09*(AN544-36.8)))/2)+AR543*(1-AS543/2))/(1-MAX(0.1,MIN(0.3,0.3-0.09*(AN544-36.8)))/2)</f>
        <v/>
      </c>
      <c r="AP544">
        <f>((AM544/$B$7+T543*AS543/2-T544*MAX(0.1,MIN(0.3,0.3-0.09*(AO544-36.8)))/2)+AR543*(1-AS543/2))/(1-MAX(0.1,MIN(0.3,0.3-0.09*(AO544-36.8)))/2)</f>
        <v/>
      </c>
      <c r="AQ544">
        <f>((AM544/$B$7+T543*AS543/2-T544*MAX(0.1,MIN(0.3,0.3-0.09*(AP544-36.8)))/2)+AR543*(1-AS543/2))/(1-MAX(0.1,MIN(0.3,0.3-0.09*(AP544-36.8)))/2)</f>
        <v/>
      </c>
      <c r="AR544">
        <f>((AM544/$B$7+T543*AS543/2-T544*MAX(0.1,MIN(0.3,0.3-0.09*(AQ544-36.8)))/2)+AR543*(1-AS543/2))/(1-MAX(0.1,MIN(0.3,0.3-0.09*(AQ544-36.8)))/2)</f>
        <v/>
      </c>
      <c r="AS544">
        <f>MAX(0.1,MIN(0.3,0.3-0.09*(AR544-36.8)))</f>
        <v/>
      </c>
      <c r="AT544">
        <f>AT543+(2*AR544-1.962*AT543-1.31)/9</f>
        <v/>
      </c>
      <c r="AU544">
        <f>AU543+AG544+K544</f>
        <v/>
      </c>
      <c r="AV544">
        <f>AU544*2.67*$B$6/1.8/60</f>
        <v/>
      </c>
      <c r="AW544">
        <f>IF(AT544&gt;=$B$36,1,0)</f>
        <v/>
      </c>
      <c r="AX544">
        <f>IF(AV544&gt;=$B$21,1,0)</f>
        <v/>
      </c>
    </row>
    <row r="545">
      <c r="A545" t="n">
        <v>472</v>
      </c>
      <c r="B545">
        <f>MATCH(A545-1,$D$61:$D$68,1)</f>
        <v/>
      </c>
      <c r="C545">
        <f>INDEX($G$61:$G$68,B545)</f>
        <v/>
      </c>
      <c r="D545">
        <f>INDEX($L$61:$L$68,B545)</f>
        <v/>
      </c>
      <c r="E545">
        <f>INDEX($M$61:$M$68,B545)</f>
        <v/>
      </c>
      <c r="F545">
        <f>INDEX($N$61:$N$68,B545)</f>
        <v/>
      </c>
      <c r="G545">
        <f>INDEX($AA$61:$AA$68,B545)</f>
        <v/>
      </c>
      <c r="H545">
        <f>INDEX($X$61:$X$68,B545)</f>
        <v/>
      </c>
      <c r="I545">
        <f>INDEX($AF$61:$AF$68,B545)</f>
        <v/>
      </c>
      <c r="J545">
        <f>INDEX($AC$61:$AC$68,B545)</f>
        <v/>
      </c>
      <c r="K545">
        <f>INDEX($AD$61:$AD$68,B545)</f>
        <v/>
      </c>
      <c r="L545">
        <f>INDEX($AG$61:$AG$68,B545)</f>
        <v/>
      </c>
      <c r="M545">
        <f>INDEX($AH$61:$AH$68,B545)</f>
        <v/>
      </c>
      <c r="N545">
        <f>INDEX($AI$61:$AI$68,B545)</f>
        <v/>
      </c>
      <c r="O545">
        <f>O544*$B$26+L545*(1-$B$26)</f>
        <v/>
      </c>
      <c r="P545">
        <f>$B$7*(O545-O544)*(1-AS544)</f>
        <v/>
      </c>
      <c r="Q545">
        <f>M545+0.51274*AT544</f>
        <v/>
      </c>
      <c r="R545">
        <f>N545+0.616*AT544</f>
        <v/>
      </c>
      <c r="S545">
        <f>IF($B$13&gt;=0.6,Q545,IF($B$13&lt;=0.2,R545,R545+2.5*(Q545-R545)*($B$13-0.2)))</f>
        <v/>
      </c>
      <c r="T545">
        <f>IF(A545=1,S545,T544*$B$27+S545*(1-$B$27))</f>
        <v/>
      </c>
      <c r="U545">
        <f>0.6105*EXP(17.27*T545/(T545+237.3))</f>
        <v/>
      </c>
      <c r="V545">
        <f>($B$14*(I545*C545+IF(ABS((D545+0.1)-D545)&lt;0.000000001,4*$B$19*$B$20*(D545+273)^3,$B$19*$B$20*(((D545+0.1)+273)^4-(D545+273)^4)/((D545+0.1)-D545))*D545)+T545/H545)/($B$14*(I545+IF(ABS((D545+0.1)-D545)&lt;0.000000001,4*$B$19*$B$20*(D545+273)^3,$B$19*$B$20*(((D545+0.1)+273)^4-(D545+273)^4)/((D545+0.1)-D545)))+1/H545)</f>
        <v/>
      </c>
      <c r="W545">
        <f>($B$14*(I545*C545+IF(ABS(V545-D545)&lt;0.000000001,4*$B$19*$B$20*(D545+273)^3,$B$19*$B$20*((V545+273)^4-(D545+273)^4)/(V545-D545))*D545)+T545/H545)/($B$14*(I545+IF(ABS(V545-D545)&lt;0.000000001,4*$B$19*$B$20*(D545+273)^3,$B$19*$B$20*((V545+273)^4-(D545+273)^4)/(V545-D545)))+1/H545)</f>
        <v/>
      </c>
      <c r="X545">
        <f>($B$14*(I545*C545+IF(ABS(W545-D545)&lt;0.000000001,4*$B$19*$B$20*(D545+273)^3,$B$19*$B$20*((W545+273)^4-(D545+273)^4)/(W545-D545))*D545)+T545/H545)/($B$14*(I545+IF(ABS(W545-D545)&lt;0.000000001,4*$B$19*$B$20*(D545+273)^3,$B$19*$B$20*((W545+273)^4-(D545+273)^4)/(W545-D545)))+1/H545)</f>
        <v/>
      </c>
      <c r="Y545">
        <f>($B$14*(I545*C545+IF(ABS(X545-D545)&lt;0.000000001,4*$B$19*$B$20*(D545+273)^3,$B$19*$B$20*((X545+273)^4-(D545+273)^4)/(X545-D545))*D545)+T545/H545)/($B$14*(I545+IF(ABS(X545-D545)&lt;0.000000001,4*$B$19*$B$20*(D545+273)^3,$B$19*$B$20*((X545+273)^4-(D545+273)^4)/(X545-D545)))+1/H545)</f>
        <v/>
      </c>
      <c r="Z545">
        <f>IF(ABS(Y545-D545)&lt;0.000000001,4*$B$19*$B$20*(D545+273)^3,$B$19*$B$20*((Y545+273)^4-(D545+273)^4)/(Y545-D545))</f>
        <v/>
      </c>
      <c r="AA545">
        <f>$B$14*I545*(Y545-C545)</f>
        <v/>
      </c>
      <c r="AB545">
        <f>$B$14*Z545*(Y545-D545)</f>
        <v/>
      </c>
      <c r="AC545">
        <f>IF((U545-E545)/G545=0,0.001,(U545-E545)/G545)</f>
        <v/>
      </c>
      <c r="AD545">
        <f>F545-P545-J545-K545-AA545-AB545</f>
        <v/>
      </c>
      <c r="AE545">
        <f>AD545/AC545</f>
        <v/>
      </c>
      <c r="AF545">
        <f>IF(AD545&lt;=0,0,IF(AC545&lt;=0,$B$11,IF(AE545&gt;=1.7,$B$11,MIN(AD545/MAX(0.05,IF(AE545&gt;1,(2-AE545)^2/2,1-AE545^2/2)),$B$11))))</f>
        <v/>
      </c>
      <c r="AG545">
        <f>AG544*$B$28+AF545*(1-$B$28)</f>
        <v/>
      </c>
      <c r="AH545">
        <f>IF(AND(AD545&gt;0,AC545&lt;=0),0,AC545)</f>
        <v/>
      </c>
      <c r="AI545">
        <f>AH545/MAX(AG545,0.000001)</f>
        <v/>
      </c>
      <c r="AJ545">
        <f>MIN(IF(AI545&gt;=0.5,-AI545+SQRT(AI545^2+2),1),$B$12)</f>
        <v/>
      </c>
      <c r="AK545">
        <f>IF(AG545&lt;=0,0,AJ545*AH545)</f>
        <v/>
      </c>
      <c r="AL545">
        <f>IF(AD545&lt;=0,0,AD545)</f>
        <v/>
      </c>
      <c r="AM545">
        <f>AL545-AK545+P545</f>
        <v/>
      </c>
      <c r="AN545">
        <f>((AM545/$B$7+T544*AS544/2-T545*MAX(0.1,MIN(0.3,0.3-0.09*(AR544-36.8)))/2)+AR544*(1-AS544/2))/(1-MAX(0.1,MIN(0.3,0.3-0.09*(AR544-36.8)))/2)</f>
        <v/>
      </c>
      <c r="AO545">
        <f>((AM545/$B$7+T544*AS544/2-T545*MAX(0.1,MIN(0.3,0.3-0.09*(AN545-36.8)))/2)+AR544*(1-AS544/2))/(1-MAX(0.1,MIN(0.3,0.3-0.09*(AN545-36.8)))/2)</f>
        <v/>
      </c>
      <c r="AP545">
        <f>((AM545/$B$7+T544*AS544/2-T545*MAX(0.1,MIN(0.3,0.3-0.09*(AO545-36.8)))/2)+AR544*(1-AS544/2))/(1-MAX(0.1,MIN(0.3,0.3-0.09*(AO545-36.8)))/2)</f>
        <v/>
      </c>
      <c r="AQ545">
        <f>((AM545/$B$7+T544*AS544/2-T545*MAX(0.1,MIN(0.3,0.3-0.09*(AP545-36.8)))/2)+AR544*(1-AS544/2))/(1-MAX(0.1,MIN(0.3,0.3-0.09*(AP545-36.8)))/2)</f>
        <v/>
      </c>
      <c r="AR545">
        <f>((AM545/$B$7+T544*AS544/2-T545*MAX(0.1,MIN(0.3,0.3-0.09*(AQ545-36.8)))/2)+AR544*(1-AS544/2))/(1-MAX(0.1,MIN(0.3,0.3-0.09*(AQ545-36.8)))/2)</f>
        <v/>
      </c>
      <c r="AS545">
        <f>MAX(0.1,MIN(0.3,0.3-0.09*(AR545-36.8)))</f>
        <v/>
      </c>
      <c r="AT545">
        <f>AT544+(2*AR545-1.962*AT544-1.31)/9</f>
        <v/>
      </c>
      <c r="AU545">
        <f>AU544+AG545+K545</f>
        <v/>
      </c>
      <c r="AV545">
        <f>AU545*2.67*$B$6/1.8/60</f>
        <v/>
      </c>
      <c r="AW545">
        <f>IF(AT545&gt;=$B$36,1,0)</f>
        <v/>
      </c>
      <c r="AX545">
        <f>IF(AV545&gt;=$B$21,1,0)</f>
        <v/>
      </c>
    </row>
    <row r="546">
      <c r="A546" t="n">
        <v>473</v>
      </c>
      <c r="B546">
        <f>MATCH(A546-1,$D$61:$D$68,1)</f>
        <v/>
      </c>
      <c r="C546">
        <f>INDEX($G$61:$G$68,B546)</f>
        <v/>
      </c>
      <c r="D546">
        <f>INDEX($L$61:$L$68,B546)</f>
        <v/>
      </c>
      <c r="E546">
        <f>INDEX($M$61:$M$68,B546)</f>
        <v/>
      </c>
      <c r="F546">
        <f>INDEX($N$61:$N$68,B546)</f>
        <v/>
      </c>
      <c r="G546">
        <f>INDEX($AA$61:$AA$68,B546)</f>
        <v/>
      </c>
      <c r="H546">
        <f>INDEX($X$61:$X$68,B546)</f>
        <v/>
      </c>
      <c r="I546">
        <f>INDEX($AF$61:$AF$68,B546)</f>
        <v/>
      </c>
      <c r="J546">
        <f>INDEX($AC$61:$AC$68,B546)</f>
        <v/>
      </c>
      <c r="K546">
        <f>INDEX($AD$61:$AD$68,B546)</f>
        <v/>
      </c>
      <c r="L546">
        <f>INDEX($AG$61:$AG$68,B546)</f>
        <v/>
      </c>
      <c r="M546">
        <f>INDEX($AH$61:$AH$68,B546)</f>
        <v/>
      </c>
      <c r="N546">
        <f>INDEX($AI$61:$AI$68,B546)</f>
        <v/>
      </c>
      <c r="O546">
        <f>O545*$B$26+L546*(1-$B$26)</f>
        <v/>
      </c>
      <c r="P546">
        <f>$B$7*(O546-O545)*(1-AS545)</f>
        <v/>
      </c>
      <c r="Q546">
        <f>M546+0.51274*AT545</f>
        <v/>
      </c>
      <c r="R546">
        <f>N546+0.616*AT545</f>
        <v/>
      </c>
      <c r="S546">
        <f>IF($B$13&gt;=0.6,Q546,IF($B$13&lt;=0.2,R546,R546+2.5*(Q546-R546)*($B$13-0.2)))</f>
        <v/>
      </c>
      <c r="T546">
        <f>IF(A546=1,S546,T545*$B$27+S546*(1-$B$27))</f>
        <v/>
      </c>
      <c r="U546">
        <f>0.6105*EXP(17.27*T546/(T546+237.3))</f>
        <v/>
      </c>
      <c r="V546">
        <f>($B$14*(I546*C546+IF(ABS((D546+0.1)-D546)&lt;0.000000001,4*$B$19*$B$20*(D546+273)^3,$B$19*$B$20*(((D546+0.1)+273)^4-(D546+273)^4)/((D546+0.1)-D546))*D546)+T546/H546)/($B$14*(I546+IF(ABS((D546+0.1)-D546)&lt;0.000000001,4*$B$19*$B$20*(D546+273)^3,$B$19*$B$20*(((D546+0.1)+273)^4-(D546+273)^4)/((D546+0.1)-D546)))+1/H546)</f>
        <v/>
      </c>
      <c r="W546">
        <f>($B$14*(I546*C546+IF(ABS(V546-D546)&lt;0.000000001,4*$B$19*$B$20*(D546+273)^3,$B$19*$B$20*((V546+273)^4-(D546+273)^4)/(V546-D546))*D546)+T546/H546)/($B$14*(I546+IF(ABS(V546-D546)&lt;0.000000001,4*$B$19*$B$20*(D546+273)^3,$B$19*$B$20*((V546+273)^4-(D546+273)^4)/(V546-D546)))+1/H546)</f>
        <v/>
      </c>
      <c r="X546">
        <f>($B$14*(I546*C546+IF(ABS(W546-D546)&lt;0.000000001,4*$B$19*$B$20*(D546+273)^3,$B$19*$B$20*((W546+273)^4-(D546+273)^4)/(W546-D546))*D546)+T546/H546)/($B$14*(I546+IF(ABS(W546-D546)&lt;0.000000001,4*$B$19*$B$20*(D546+273)^3,$B$19*$B$20*((W546+273)^4-(D546+273)^4)/(W546-D546)))+1/H546)</f>
        <v/>
      </c>
      <c r="Y546">
        <f>($B$14*(I546*C546+IF(ABS(X546-D546)&lt;0.000000001,4*$B$19*$B$20*(D546+273)^3,$B$19*$B$20*((X546+273)^4-(D546+273)^4)/(X546-D546))*D546)+T546/H546)/($B$14*(I546+IF(ABS(X546-D546)&lt;0.000000001,4*$B$19*$B$20*(D546+273)^3,$B$19*$B$20*((X546+273)^4-(D546+273)^4)/(X546-D546)))+1/H546)</f>
        <v/>
      </c>
      <c r="Z546">
        <f>IF(ABS(Y546-D546)&lt;0.000000001,4*$B$19*$B$20*(D546+273)^3,$B$19*$B$20*((Y546+273)^4-(D546+273)^4)/(Y546-D546))</f>
        <v/>
      </c>
      <c r="AA546">
        <f>$B$14*I546*(Y546-C546)</f>
        <v/>
      </c>
      <c r="AB546">
        <f>$B$14*Z546*(Y546-D546)</f>
        <v/>
      </c>
      <c r="AC546">
        <f>IF((U546-E546)/G546=0,0.001,(U546-E546)/G546)</f>
        <v/>
      </c>
      <c r="AD546">
        <f>F546-P546-J546-K546-AA546-AB546</f>
        <v/>
      </c>
      <c r="AE546">
        <f>AD546/AC546</f>
        <v/>
      </c>
      <c r="AF546">
        <f>IF(AD546&lt;=0,0,IF(AC546&lt;=0,$B$11,IF(AE546&gt;=1.7,$B$11,MIN(AD546/MAX(0.05,IF(AE546&gt;1,(2-AE546)^2/2,1-AE546^2/2)),$B$11))))</f>
        <v/>
      </c>
      <c r="AG546">
        <f>AG545*$B$28+AF546*(1-$B$28)</f>
        <v/>
      </c>
      <c r="AH546">
        <f>IF(AND(AD546&gt;0,AC546&lt;=0),0,AC546)</f>
        <v/>
      </c>
      <c r="AI546">
        <f>AH546/MAX(AG546,0.000001)</f>
        <v/>
      </c>
      <c r="AJ546">
        <f>MIN(IF(AI546&gt;=0.5,-AI546+SQRT(AI546^2+2),1),$B$12)</f>
        <v/>
      </c>
      <c r="AK546">
        <f>IF(AG546&lt;=0,0,AJ546*AH546)</f>
        <v/>
      </c>
      <c r="AL546">
        <f>IF(AD546&lt;=0,0,AD546)</f>
        <v/>
      </c>
      <c r="AM546">
        <f>AL546-AK546+P546</f>
        <v/>
      </c>
      <c r="AN546">
        <f>((AM546/$B$7+T545*AS545/2-T546*MAX(0.1,MIN(0.3,0.3-0.09*(AR545-36.8)))/2)+AR545*(1-AS545/2))/(1-MAX(0.1,MIN(0.3,0.3-0.09*(AR545-36.8)))/2)</f>
        <v/>
      </c>
      <c r="AO546">
        <f>((AM546/$B$7+T545*AS545/2-T546*MAX(0.1,MIN(0.3,0.3-0.09*(AN546-36.8)))/2)+AR545*(1-AS545/2))/(1-MAX(0.1,MIN(0.3,0.3-0.09*(AN546-36.8)))/2)</f>
        <v/>
      </c>
      <c r="AP546">
        <f>((AM546/$B$7+T545*AS545/2-T546*MAX(0.1,MIN(0.3,0.3-0.09*(AO546-36.8)))/2)+AR545*(1-AS545/2))/(1-MAX(0.1,MIN(0.3,0.3-0.09*(AO546-36.8)))/2)</f>
        <v/>
      </c>
      <c r="AQ546">
        <f>((AM546/$B$7+T545*AS545/2-T546*MAX(0.1,MIN(0.3,0.3-0.09*(AP546-36.8)))/2)+AR545*(1-AS545/2))/(1-MAX(0.1,MIN(0.3,0.3-0.09*(AP546-36.8)))/2)</f>
        <v/>
      </c>
      <c r="AR546">
        <f>((AM546/$B$7+T545*AS545/2-T546*MAX(0.1,MIN(0.3,0.3-0.09*(AQ546-36.8)))/2)+AR545*(1-AS545/2))/(1-MAX(0.1,MIN(0.3,0.3-0.09*(AQ546-36.8)))/2)</f>
        <v/>
      </c>
      <c r="AS546">
        <f>MAX(0.1,MIN(0.3,0.3-0.09*(AR546-36.8)))</f>
        <v/>
      </c>
      <c r="AT546">
        <f>AT545+(2*AR546-1.962*AT545-1.31)/9</f>
        <v/>
      </c>
      <c r="AU546">
        <f>AU545+AG546+K546</f>
        <v/>
      </c>
      <c r="AV546">
        <f>AU546*2.67*$B$6/1.8/60</f>
        <v/>
      </c>
      <c r="AW546">
        <f>IF(AT546&gt;=$B$36,1,0)</f>
        <v/>
      </c>
      <c r="AX546">
        <f>IF(AV546&gt;=$B$21,1,0)</f>
        <v/>
      </c>
    </row>
    <row r="547">
      <c r="A547" t="n">
        <v>474</v>
      </c>
      <c r="B547">
        <f>MATCH(A547-1,$D$61:$D$68,1)</f>
        <v/>
      </c>
      <c r="C547">
        <f>INDEX($G$61:$G$68,B547)</f>
        <v/>
      </c>
      <c r="D547">
        <f>INDEX($L$61:$L$68,B547)</f>
        <v/>
      </c>
      <c r="E547">
        <f>INDEX($M$61:$M$68,B547)</f>
        <v/>
      </c>
      <c r="F547">
        <f>INDEX($N$61:$N$68,B547)</f>
        <v/>
      </c>
      <c r="G547">
        <f>INDEX($AA$61:$AA$68,B547)</f>
        <v/>
      </c>
      <c r="H547">
        <f>INDEX($X$61:$X$68,B547)</f>
        <v/>
      </c>
      <c r="I547">
        <f>INDEX($AF$61:$AF$68,B547)</f>
        <v/>
      </c>
      <c r="J547">
        <f>INDEX($AC$61:$AC$68,B547)</f>
        <v/>
      </c>
      <c r="K547">
        <f>INDEX($AD$61:$AD$68,B547)</f>
        <v/>
      </c>
      <c r="L547">
        <f>INDEX($AG$61:$AG$68,B547)</f>
        <v/>
      </c>
      <c r="M547">
        <f>INDEX($AH$61:$AH$68,B547)</f>
        <v/>
      </c>
      <c r="N547">
        <f>INDEX($AI$61:$AI$68,B547)</f>
        <v/>
      </c>
      <c r="O547">
        <f>O546*$B$26+L547*(1-$B$26)</f>
        <v/>
      </c>
      <c r="P547">
        <f>$B$7*(O547-O546)*(1-AS546)</f>
        <v/>
      </c>
      <c r="Q547">
        <f>M547+0.51274*AT546</f>
        <v/>
      </c>
      <c r="R547">
        <f>N547+0.616*AT546</f>
        <v/>
      </c>
      <c r="S547">
        <f>IF($B$13&gt;=0.6,Q547,IF($B$13&lt;=0.2,R547,R547+2.5*(Q547-R547)*($B$13-0.2)))</f>
        <v/>
      </c>
      <c r="T547">
        <f>IF(A547=1,S547,T546*$B$27+S547*(1-$B$27))</f>
        <v/>
      </c>
      <c r="U547">
        <f>0.6105*EXP(17.27*T547/(T547+237.3))</f>
        <v/>
      </c>
      <c r="V547">
        <f>($B$14*(I547*C547+IF(ABS((D547+0.1)-D547)&lt;0.000000001,4*$B$19*$B$20*(D547+273)^3,$B$19*$B$20*(((D547+0.1)+273)^4-(D547+273)^4)/((D547+0.1)-D547))*D547)+T547/H547)/($B$14*(I547+IF(ABS((D547+0.1)-D547)&lt;0.000000001,4*$B$19*$B$20*(D547+273)^3,$B$19*$B$20*(((D547+0.1)+273)^4-(D547+273)^4)/((D547+0.1)-D547)))+1/H547)</f>
        <v/>
      </c>
      <c r="W547">
        <f>($B$14*(I547*C547+IF(ABS(V547-D547)&lt;0.000000001,4*$B$19*$B$20*(D547+273)^3,$B$19*$B$20*((V547+273)^4-(D547+273)^4)/(V547-D547))*D547)+T547/H547)/($B$14*(I547+IF(ABS(V547-D547)&lt;0.000000001,4*$B$19*$B$20*(D547+273)^3,$B$19*$B$20*((V547+273)^4-(D547+273)^4)/(V547-D547)))+1/H547)</f>
        <v/>
      </c>
      <c r="X547">
        <f>($B$14*(I547*C547+IF(ABS(W547-D547)&lt;0.000000001,4*$B$19*$B$20*(D547+273)^3,$B$19*$B$20*((W547+273)^4-(D547+273)^4)/(W547-D547))*D547)+T547/H547)/($B$14*(I547+IF(ABS(W547-D547)&lt;0.000000001,4*$B$19*$B$20*(D547+273)^3,$B$19*$B$20*((W547+273)^4-(D547+273)^4)/(W547-D547)))+1/H547)</f>
        <v/>
      </c>
      <c r="Y547">
        <f>($B$14*(I547*C547+IF(ABS(X547-D547)&lt;0.000000001,4*$B$19*$B$20*(D547+273)^3,$B$19*$B$20*((X547+273)^4-(D547+273)^4)/(X547-D547))*D547)+T547/H547)/($B$14*(I547+IF(ABS(X547-D547)&lt;0.000000001,4*$B$19*$B$20*(D547+273)^3,$B$19*$B$20*((X547+273)^4-(D547+273)^4)/(X547-D547)))+1/H547)</f>
        <v/>
      </c>
      <c r="Z547">
        <f>IF(ABS(Y547-D547)&lt;0.000000001,4*$B$19*$B$20*(D547+273)^3,$B$19*$B$20*((Y547+273)^4-(D547+273)^4)/(Y547-D547))</f>
        <v/>
      </c>
      <c r="AA547">
        <f>$B$14*I547*(Y547-C547)</f>
        <v/>
      </c>
      <c r="AB547">
        <f>$B$14*Z547*(Y547-D547)</f>
        <v/>
      </c>
      <c r="AC547">
        <f>IF((U547-E547)/G547=0,0.001,(U547-E547)/G547)</f>
        <v/>
      </c>
      <c r="AD547">
        <f>F547-P547-J547-K547-AA547-AB547</f>
        <v/>
      </c>
      <c r="AE547">
        <f>AD547/AC547</f>
        <v/>
      </c>
      <c r="AF547">
        <f>IF(AD547&lt;=0,0,IF(AC547&lt;=0,$B$11,IF(AE547&gt;=1.7,$B$11,MIN(AD547/MAX(0.05,IF(AE547&gt;1,(2-AE547)^2/2,1-AE547^2/2)),$B$11))))</f>
        <v/>
      </c>
      <c r="AG547">
        <f>AG546*$B$28+AF547*(1-$B$28)</f>
        <v/>
      </c>
      <c r="AH547">
        <f>IF(AND(AD547&gt;0,AC547&lt;=0),0,AC547)</f>
        <v/>
      </c>
      <c r="AI547">
        <f>AH547/MAX(AG547,0.000001)</f>
        <v/>
      </c>
      <c r="AJ547">
        <f>MIN(IF(AI547&gt;=0.5,-AI547+SQRT(AI547^2+2),1),$B$12)</f>
        <v/>
      </c>
      <c r="AK547">
        <f>IF(AG547&lt;=0,0,AJ547*AH547)</f>
        <v/>
      </c>
      <c r="AL547">
        <f>IF(AD547&lt;=0,0,AD547)</f>
        <v/>
      </c>
      <c r="AM547">
        <f>AL547-AK547+P547</f>
        <v/>
      </c>
      <c r="AN547">
        <f>((AM547/$B$7+T546*AS546/2-T547*MAX(0.1,MIN(0.3,0.3-0.09*(AR546-36.8)))/2)+AR546*(1-AS546/2))/(1-MAX(0.1,MIN(0.3,0.3-0.09*(AR546-36.8)))/2)</f>
        <v/>
      </c>
      <c r="AO547">
        <f>((AM547/$B$7+T546*AS546/2-T547*MAX(0.1,MIN(0.3,0.3-0.09*(AN547-36.8)))/2)+AR546*(1-AS546/2))/(1-MAX(0.1,MIN(0.3,0.3-0.09*(AN547-36.8)))/2)</f>
        <v/>
      </c>
      <c r="AP547">
        <f>((AM547/$B$7+T546*AS546/2-T547*MAX(0.1,MIN(0.3,0.3-0.09*(AO547-36.8)))/2)+AR546*(1-AS546/2))/(1-MAX(0.1,MIN(0.3,0.3-0.09*(AO547-36.8)))/2)</f>
        <v/>
      </c>
      <c r="AQ547">
        <f>((AM547/$B$7+T546*AS546/2-T547*MAX(0.1,MIN(0.3,0.3-0.09*(AP547-36.8)))/2)+AR546*(1-AS546/2))/(1-MAX(0.1,MIN(0.3,0.3-0.09*(AP547-36.8)))/2)</f>
        <v/>
      </c>
      <c r="AR547">
        <f>((AM547/$B$7+T546*AS546/2-T547*MAX(0.1,MIN(0.3,0.3-0.09*(AQ547-36.8)))/2)+AR546*(1-AS546/2))/(1-MAX(0.1,MIN(0.3,0.3-0.09*(AQ547-36.8)))/2)</f>
        <v/>
      </c>
      <c r="AS547">
        <f>MAX(0.1,MIN(0.3,0.3-0.09*(AR547-36.8)))</f>
        <v/>
      </c>
      <c r="AT547">
        <f>AT546+(2*AR547-1.962*AT546-1.31)/9</f>
        <v/>
      </c>
      <c r="AU547">
        <f>AU546+AG547+K547</f>
        <v/>
      </c>
      <c r="AV547">
        <f>AU547*2.67*$B$6/1.8/60</f>
        <v/>
      </c>
      <c r="AW547">
        <f>IF(AT547&gt;=$B$36,1,0)</f>
        <v/>
      </c>
      <c r="AX547">
        <f>IF(AV547&gt;=$B$21,1,0)</f>
        <v/>
      </c>
    </row>
    <row r="548">
      <c r="A548" t="n">
        <v>475</v>
      </c>
      <c r="B548">
        <f>MATCH(A548-1,$D$61:$D$68,1)</f>
        <v/>
      </c>
      <c r="C548">
        <f>INDEX($G$61:$G$68,B548)</f>
        <v/>
      </c>
      <c r="D548">
        <f>INDEX($L$61:$L$68,B548)</f>
        <v/>
      </c>
      <c r="E548">
        <f>INDEX($M$61:$M$68,B548)</f>
        <v/>
      </c>
      <c r="F548">
        <f>INDEX($N$61:$N$68,B548)</f>
        <v/>
      </c>
      <c r="G548">
        <f>INDEX($AA$61:$AA$68,B548)</f>
        <v/>
      </c>
      <c r="H548">
        <f>INDEX($X$61:$X$68,B548)</f>
        <v/>
      </c>
      <c r="I548">
        <f>INDEX($AF$61:$AF$68,B548)</f>
        <v/>
      </c>
      <c r="J548">
        <f>INDEX($AC$61:$AC$68,B548)</f>
        <v/>
      </c>
      <c r="K548">
        <f>INDEX($AD$61:$AD$68,B548)</f>
        <v/>
      </c>
      <c r="L548">
        <f>INDEX($AG$61:$AG$68,B548)</f>
        <v/>
      </c>
      <c r="M548">
        <f>INDEX($AH$61:$AH$68,B548)</f>
        <v/>
      </c>
      <c r="N548">
        <f>INDEX($AI$61:$AI$68,B548)</f>
        <v/>
      </c>
      <c r="O548">
        <f>O547*$B$26+L548*(1-$B$26)</f>
        <v/>
      </c>
      <c r="P548">
        <f>$B$7*(O548-O547)*(1-AS547)</f>
        <v/>
      </c>
      <c r="Q548">
        <f>M548+0.51274*AT547</f>
        <v/>
      </c>
      <c r="R548">
        <f>N548+0.616*AT547</f>
        <v/>
      </c>
      <c r="S548">
        <f>IF($B$13&gt;=0.6,Q548,IF($B$13&lt;=0.2,R548,R548+2.5*(Q548-R548)*($B$13-0.2)))</f>
        <v/>
      </c>
      <c r="T548">
        <f>IF(A548=1,S548,T547*$B$27+S548*(1-$B$27))</f>
        <v/>
      </c>
      <c r="U548">
        <f>0.6105*EXP(17.27*T548/(T548+237.3))</f>
        <v/>
      </c>
      <c r="V548">
        <f>($B$14*(I548*C548+IF(ABS((D548+0.1)-D548)&lt;0.000000001,4*$B$19*$B$20*(D548+273)^3,$B$19*$B$20*(((D548+0.1)+273)^4-(D548+273)^4)/((D548+0.1)-D548))*D548)+T548/H548)/($B$14*(I548+IF(ABS((D548+0.1)-D548)&lt;0.000000001,4*$B$19*$B$20*(D548+273)^3,$B$19*$B$20*(((D548+0.1)+273)^4-(D548+273)^4)/((D548+0.1)-D548)))+1/H548)</f>
        <v/>
      </c>
      <c r="W548">
        <f>($B$14*(I548*C548+IF(ABS(V548-D548)&lt;0.000000001,4*$B$19*$B$20*(D548+273)^3,$B$19*$B$20*((V548+273)^4-(D548+273)^4)/(V548-D548))*D548)+T548/H548)/($B$14*(I548+IF(ABS(V548-D548)&lt;0.000000001,4*$B$19*$B$20*(D548+273)^3,$B$19*$B$20*((V548+273)^4-(D548+273)^4)/(V548-D548)))+1/H548)</f>
        <v/>
      </c>
      <c r="X548">
        <f>($B$14*(I548*C548+IF(ABS(W548-D548)&lt;0.000000001,4*$B$19*$B$20*(D548+273)^3,$B$19*$B$20*((W548+273)^4-(D548+273)^4)/(W548-D548))*D548)+T548/H548)/($B$14*(I548+IF(ABS(W548-D548)&lt;0.000000001,4*$B$19*$B$20*(D548+273)^3,$B$19*$B$20*((W548+273)^4-(D548+273)^4)/(W548-D548)))+1/H548)</f>
        <v/>
      </c>
      <c r="Y548">
        <f>($B$14*(I548*C548+IF(ABS(X548-D548)&lt;0.000000001,4*$B$19*$B$20*(D548+273)^3,$B$19*$B$20*((X548+273)^4-(D548+273)^4)/(X548-D548))*D548)+T548/H548)/($B$14*(I548+IF(ABS(X548-D548)&lt;0.000000001,4*$B$19*$B$20*(D548+273)^3,$B$19*$B$20*((X548+273)^4-(D548+273)^4)/(X548-D548)))+1/H548)</f>
        <v/>
      </c>
      <c r="Z548">
        <f>IF(ABS(Y548-D548)&lt;0.000000001,4*$B$19*$B$20*(D548+273)^3,$B$19*$B$20*((Y548+273)^4-(D548+273)^4)/(Y548-D548))</f>
        <v/>
      </c>
      <c r="AA548">
        <f>$B$14*I548*(Y548-C548)</f>
        <v/>
      </c>
      <c r="AB548">
        <f>$B$14*Z548*(Y548-D548)</f>
        <v/>
      </c>
      <c r="AC548">
        <f>IF((U548-E548)/G548=0,0.001,(U548-E548)/G548)</f>
        <v/>
      </c>
      <c r="AD548">
        <f>F548-P548-J548-K548-AA548-AB548</f>
        <v/>
      </c>
      <c r="AE548">
        <f>AD548/AC548</f>
        <v/>
      </c>
      <c r="AF548">
        <f>IF(AD548&lt;=0,0,IF(AC548&lt;=0,$B$11,IF(AE548&gt;=1.7,$B$11,MIN(AD548/MAX(0.05,IF(AE548&gt;1,(2-AE548)^2/2,1-AE548^2/2)),$B$11))))</f>
        <v/>
      </c>
      <c r="AG548">
        <f>AG547*$B$28+AF548*(1-$B$28)</f>
        <v/>
      </c>
      <c r="AH548">
        <f>IF(AND(AD548&gt;0,AC548&lt;=0),0,AC548)</f>
        <v/>
      </c>
      <c r="AI548">
        <f>AH548/MAX(AG548,0.000001)</f>
        <v/>
      </c>
      <c r="AJ548">
        <f>MIN(IF(AI548&gt;=0.5,-AI548+SQRT(AI548^2+2),1),$B$12)</f>
        <v/>
      </c>
      <c r="AK548">
        <f>IF(AG548&lt;=0,0,AJ548*AH548)</f>
        <v/>
      </c>
      <c r="AL548">
        <f>IF(AD548&lt;=0,0,AD548)</f>
        <v/>
      </c>
      <c r="AM548">
        <f>AL548-AK548+P548</f>
        <v/>
      </c>
      <c r="AN548">
        <f>((AM548/$B$7+T547*AS547/2-T548*MAX(0.1,MIN(0.3,0.3-0.09*(AR547-36.8)))/2)+AR547*(1-AS547/2))/(1-MAX(0.1,MIN(0.3,0.3-0.09*(AR547-36.8)))/2)</f>
        <v/>
      </c>
      <c r="AO548">
        <f>((AM548/$B$7+T547*AS547/2-T548*MAX(0.1,MIN(0.3,0.3-0.09*(AN548-36.8)))/2)+AR547*(1-AS547/2))/(1-MAX(0.1,MIN(0.3,0.3-0.09*(AN548-36.8)))/2)</f>
        <v/>
      </c>
      <c r="AP548">
        <f>((AM548/$B$7+T547*AS547/2-T548*MAX(0.1,MIN(0.3,0.3-0.09*(AO548-36.8)))/2)+AR547*(1-AS547/2))/(1-MAX(0.1,MIN(0.3,0.3-0.09*(AO548-36.8)))/2)</f>
        <v/>
      </c>
      <c r="AQ548">
        <f>((AM548/$B$7+T547*AS547/2-T548*MAX(0.1,MIN(0.3,0.3-0.09*(AP548-36.8)))/2)+AR547*(1-AS547/2))/(1-MAX(0.1,MIN(0.3,0.3-0.09*(AP548-36.8)))/2)</f>
        <v/>
      </c>
      <c r="AR548">
        <f>((AM548/$B$7+T547*AS547/2-T548*MAX(0.1,MIN(0.3,0.3-0.09*(AQ548-36.8)))/2)+AR547*(1-AS547/2))/(1-MAX(0.1,MIN(0.3,0.3-0.09*(AQ548-36.8)))/2)</f>
        <v/>
      </c>
      <c r="AS548">
        <f>MAX(0.1,MIN(0.3,0.3-0.09*(AR548-36.8)))</f>
        <v/>
      </c>
      <c r="AT548">
        <f>AT547+(2*AR548-1.962*AT547-1.31)/9</f>
        <v/>
      </c>
      <c r="AU548">
        <f>AU547+AG548+K548</f>
        <v/>
      </c>
      <c r="AV548">
        <f>AU548*2.67*$B$6/1.8/60</f>
        <v/>
      </c>
      <c r="AW548">
        <f>IF(AT548&gt;=$B$36,1,0)</f>
        <v/>
      </c>
      <c r="AX548">
        <f>IF(AV548&gt;=$B$21,1,0)</f>
        <v/>
      </c>
    </row>
    <row r="549">
      <c r="A549" t="n">
        <v>476</v>
      </c>
      <c r="B549">
        <f>MATCH(A549-1,$D$61:$D$68,1)</f>
        <v/>
      </c>
      <c r="C549">
        <f>INDEX($G$61:$G$68,B549)</f>
        <v/>
      </c>
      <c r="D549">
        <f>INDEX($L$61:$L$68,B549)</f>
        <v/>
      </c>
      <c r="E549">
        <f>INDEX($M$61:$M$68,B549)</f>
        <v/>
      </c>
      <c r="F549">
        <f>INDEX($N$61:$N$68,B549)</f>
        <v/>
      </c>
      <c r="G549">
        <f>INDEX($AA$61:$AA$68,B549)</f>
        <v/>
      </c>
      <c r="H549">
        <f>INDEX($X$61:$X$68,B549)</f>
        <v/>
      </c>
      <c r="I549">
        <f>INDEX($AF$61:$AF$68,B549)</f>
        <v/>
      </c>
      <c r="J549">
        <f>INDEX($AC$61:$AC$68,B549)</f>
        <v/>
      </c>
      <c r="K549">
        <f>INDEX($AD$61:$AD$68,B549)</f>
        <v/>
      </c>
      <c r="L549">
        <f>INDEX($AG$61:$AG$68,B549)</f>
        <v/>
      </c>
      <c r="M549">
        <f>INDEX($AH$61:$AH$68,B549)</f>
        <v/>
      </c>
      <c r="N549">
        <f>INDEX($AI$61:$AI$68,B549)</f>
        <v/>
      </c>
      <c r="O549">
        <f>O548*$B$26+L549*(1-$B$26)</f>
        <v/>
      </c>
      <c r="P549">
        <f>$B$7*(O549-O548)*(1-AS548)</f>
        <v/>
      </c>
      <c r="Q549">
        <f>M549+0.51274*AT548</f>
        <v/>
      </c>
      <c r="R549">
        <f>N549+0.616*AT548</f>
        <v/>
      </c>
      <c r="S549">
        <f>IF($B$13&gt;=0.6,Q549,IF($B$13&lt;=0.2,R549,R549+2.5*(Q549-R549)*($B$13-0.2)))</f>
        <v/>
      </c>
      <c r="T549">
        <f>IF(A549=1,S549,T548*$B$27+S549*(1-$B$27))</f>
        <v/>
      </c>
      <c r="U549">
        <f>0.6105*EXP(17.27*T549/(T549+237.3))</f>
        <v/>
      </c>
      <c r="V549">
        <f>($B$14*(I549*C549+IF(ABS((D549+0.1)-D549)&lt;0.000000001,4*$B$19*$B$20*(D549+273)^3,$B$19*$B$20*(((D549+0.1)+273)^4-(D549+273)^4)/((D549+0.1)-D549))*D549)+T549/H549)/($B$14*(I549+IF(ABS((D549+0.1)-D549)&lt;0.000000001,4*$B$19*$B$20*(D549+273)^3,$B$19*$B$20*(((D549+0.1)+273)^4-(D549+273)^4)/((D549+0.1)-D549)))+1/H549)</f>
        <v/>
      </c>
      <c r="W549">
        <f>($B$14*(I549*C549+IF(ABS(V549-D549)&lt;0.000000001,4*$B$19*$B$20*(D549+273)^3,$B$19*$B$20*((V549+273)^4-(D549+273)^4)/(V549-D549))*D549)+T549/H549)/($B$14*(I549+IF(ABS(V549-D549)&lt;0.000000001,4*$B$19*$B$20*(D549+273)^3,$B$19*$B$20*((V549+273)^4-(D549+273)^4)/(V549-D549)))+1/H549)</f>
        <v/>
      </c>
      <c r="X549">
        <f>($B$14*(I549*C549+IF(ABS(W549-D549)&lt;0.000000001,4*$B$19*$B$20*(D549+273)^3,$B$19*$B$20*((W549+273)^4-(D549+273)^4)/(W549-D549))*D549)+T549/H549)/($B$14*(I549+IF(ABS(W549-D549)&lt;0.000000001,4*$B$19*$B$20*(D549+273)^3,$B$19*$B$20*((W549+273)^4-(D549+273)^4)/(W549-D549)))+1/H549)</f>
        <v/>
      </c>
      <c r="Y549">
        <f>($B$14*(I549*C549+IF(ABS(X549-D549)&lt;0.000000001,4*$B$19*$B$20*(D549+273)^3,$B$19*$B$20*((X549+273)^4-(D549+273)^4)/(X549-D549))*D549)+T549/H549)/($B$14*(I549+IF(ABS(X549-D549)&lt;0.000000001,4*$B$19*$B$20*(D549+273)^3,$B$19*$B$20*((X549+273)^4-(D549+273)^4)/(X549-D549)))+1/H549)</f>
        <v/>
      </c>
      <c r="Z549">
        <f>IF(ABS(Y549-D549)&lt;0.000000001,4*$B$19*$B$20*(D549+273)^3,$B$19*$B$20*((Y549+273)^4-(D549+273)^4)/(Y549-D549))</f>
        <v/>
      </c>
      <c r="AA549">
        <f>$B$14*I549*(Y549-C549)</f>
        <v/>
      </c>
      <c r="AB549">
        <f>$B$14*Z549*(Y549-D549)</f>
        <v/>
      </c>
      <c r="AC549">
        <f>IF((U549-E549)/G549=0,0.001,(U549-E549)/G549)</f>
        <v/>
      </c>
      <c r="AD549">
        <f>F549-P549-J549-K549-AA549-AB549</f>
        <v/>
      </c>
      <c r="AE549">
        <f>AD549/AC549</f>
        <v/>
      </c>
      <c r="AF549">
        <f>IF(AD549&lt;=0,0,IF(AC549&lt;=0,$B$11,IF(AE549&gt;=1.7,$B$11,MIN(AD549/MAX(0.05,IF(AE549&gt;1,(2-AE549)^2/2,1-AE549^2/2)),$B$11))))</f>
        <v/>
      </c>
      <c r="AG549">
        <f>AG548*$B$28+AF549*(1-$B$28)</f>
        <v/>
      </c>
      <c r="AH549">
        <f>IF(AND(AD549&gt;0,AC549&lt;=0),0,AC549)</f>
        <v/>
      </c>
      <c r="AI549">
        <f>AH549/MAX(AG549,0.000001)</f>
        <v/>
      </c>
      <c r="AJ549">
        <f>MIN(IF(AI549&gt;=0.5,-AI549+SQRT(AI549^2+2),1),$B$12)</f>
        <v/>
      </c>
      <c r="AK549">
        <f>IF(AG549&lt;=0,0,AJ549*AH549)</f>
        <v/>
      </c>
      <c r="AL549">
        <f>IF(AD549&lt;=0,0,AD549)</f>
        <v/>
      </c>
      <c r="AM549">
        <f>AL549-AK549+P549</f>
        <v/>
      </c>
      <c r="AN549">
        <f>((AM549/$B$7+T548*AS548/2-T549*MAX(0.1,MIN(0.3,0.3-0.09*(AR548-36.8)))/2)+AR548*(1-AS548/2))/(1-MAX(0.1,MIN(0.3,0.3-0.09*(AR548-36.8)))/2)</f>
        <v/>
      </c>
      <c r="AO549">
        <f>((AM549/$B$7+T548*AS548/2-T549*MAX(0.1,MIN(0.3,0.3-0.09*(AN549-36.8)))/2)+AR548*(1-AS548/2))/(1-MAX(0.1,MIN(0.3,0.3-0.09*(AN549-36.8)))/2)</f>
        <v/>
      </c>
      <c r="AP549">
        <f>((AM549/$B$7+T548*AS548/2-T549*MAX(0.1,MIN(0.3,0.3-0.09*(AO549-36.8)))/2)+AR548*(1-AS548/2))/(1-MAX(0.1,MIN(0.3,0.3-0.09*(AO549-36.8)))/2)</f>
        <v/>
      </c>
      <c r="AQ549">
        <f>((AM549/$B$7+T548*AS548/2-T549*MAX(0.1,MIN(0.3,0.3-0.09*(AP549-36.8)))/2)+AR548*(1-AS548/2))/(1-MAX(0.1,MIN(0.3,0.3-0.09*(AP549-36.8)))/2)</f>
        <v/>
      </c>
      <c r="AR549">
        <f>((AM549/$B$7+T548*AS548/2-T549*MAX(0.1,MIN(0.3,0.3-0.09*(AQ549-36.8)))/2)+AR548*(1-AS548/2))/(1-MAX(0.1,MIN(0.3,0.3-0.09*(AQ549-36.8)))/2)</f>
        <v/>
      </c>
      <c r="AS549">
        <f>MAX(0.1,MIN(0.3,0.3-0.09*(AR549-36.8)))</f>
        <v/>
      </c>
      <c r="AT549">
        <f>AT548+(2*AR549-1.962*AT548-1.31)/9</f>
        <v/>
      </c>
      <c r="AU549">
        <f>AU548+AG549+K549</f>
        <v/>
      </c>
      <c r="AV549">
        <f>AU549*2.67*$B$6/1.8/60</f>
        <v/>
      </c>
      <c r="AW549">
        <f>IF(AT549&gt;=$B$36,1,0)</f>
        <v/>
      </c>
      <c r="AX549">
        <f>IF(AV549&gt;=$B$21,1,0)</f>
        <v/>
      </c>
    </row>
    <row r="550">
      <c r="A550" t="n">
        <v>477</v>
      </c>
      <c r="B550">
        <f>MATCH(A550-1,$D$61:$D$68,1)</f>
        <v/>
      </c>
      <c r="C550">
        <f>INDEX($G$61:$G$68,B550)</f>
        <v/>
      </c>
      <c r="D550">
        <f>INDEX($L$61:$L$68,B550)</f>
        <v/>
      </c>
      <c r="E550">
        <f>INDEX($M$61:$M$68,B550)</f>
        <v/>
      </c>
      <c r="F550">
        <f>INDEX($N$61:$N$68,B550)</f>
        <v/>
      </c>
      <c r="G550">
        <f>INDEX($AA$61:$AA$68,B550)</f>
        <v/>
      </c>
      <c r="H550">
        <f>INDEX($X$61:$X$68,B550)</f>
        <v/>
      </c>
      <c r="I550">
        <f>INDEX($AF$61:$AF$68,B550)</f>
        <v/>
      </c>
      <c r="J550">
        <f>INDEX($AC$61:$AC$68,B550)</f>
        <v/>
      </c>
      <c r="K550">
        <f>INDEX($AD$61:$AD$68,B550)</f>
        <v/>
      </c>
      <c r="L550">
        <f>INDEX($AG$61:$AG$68,B550)</f>
        <v/>
      </c>
      <c r="M550">
        <f>INDEX($AH$61:$AH$68,B550)</f>
        <v/>
      </c>
      <c r="N550">
        <f>INDEX($AI$61:$AI$68,B550)</f>
        <v/>
      </c>
      <c r="O550">
        <f>O549*$B$26+L550*(1-$B$26)</f>
        <v/>
      </c>
      <c r="P550">
        <f>$B$7*(O550-O549)*(1-AS549)</f>
        <v/>
      </c>
      <c r="Q550">
        <f>M550+0.51274*AT549</f>
        <v/>
      </c>
      <c r="R550">
        <f>N550+0.616*AT549</f>
        <v/>
      </c>
      <c r="S550">
        <f>IF($B$13&gt;=0.6,Q550,IF($B$13&lt;=0.2,R550,R550+2.5*(Q550-R550)*($B$13-0.2)))</f>
        <v/>
      </c>
      <c r="T550">
        <f>IF(A550=1,S550,T549*$B$27+S550*(1-$B$27))</f>
        <v/>
      </c>
      <c r="U550">
        <f>0.6105*EXP(17.27*T550/(T550+237.3))</f>
        <v/>
      </c>
      <c r="V550">
        <f>($B$14*(I550*C550+IF(ABS((D550+0.1)-D550)&lt;0.000000001,4*$B$19*$B$20*(D550+273)^3,$B$19*$B$20*(((D550+0.1)+273)^4-(D550+273)^4)/((D550+0.1)-D550))*D550)+T550/H550)/($B$14*(I550+IF(ABS((D550+0.1)-D550)&lt;0.000000001,4*$B$19*$B$20*(D550+273)^3,$B$19*$B$20*(((D550+0.1)+273)^4-(D550+273)^4)/((D550+0.1)-D550)))+1/H550)</f>
        <v/>
      </c>
      <c r="W550">
        <f>($B$14*(I550*C550+IF(ABS(V550-D550)&lt;0.000000001,4*$B$19*$B$20*(D550+273)^3,$B$19*$B$20*((V550+273)^4-(D550+273)^4)/(V550-D550))*D550)+T550/H550)/($B$14*(I550+IF(ABS(V550-D550)&lt;0.000000001,4*$B$19*$B$20*(D550+273)^3,$B$19*$B$20*((V550+273)^4-(D550+273)^4)/(V550-D550)))+1/H550)</f>
        <v/>
      </c>
      <c r="X550">
        <f>($B$14*(I550*C550+IF(ABS(W550-D550)&lt;0.000000001,4*$B$19*$B$20*(D550+273)^3,$B$19*$B$20*((W550+273)^4-(D550+273)^4)/(W550-D550))*D550)+T550/H550)/($B$14*(I550+IF(ABS(W550-D550)&lt;0.000000001,4*$B$19*$B$20*(D550+273)^3,$B$19*$B$20*((W550+273)^4-(D550+273)^4)/(W550-D550)))+1/H550)</f>
        <v/>
      </c>
      <c r="Y550">
        <f>($B$14*(I550*C550+IF(ABS(X550-D550)&lt;0.000000001,4*$B$19*$B$20*(D550+273)^3,$B$19*$B$20*((X550+273)^4-(D550+273)^4)/(X550-D550))*D550)+T550/H550)/($B$14*(I550+IF(ABS(X550-D550)&lt;0.000000001,4*$B$19*$B$20*(D550+273)^3,$B$19*$B$20*((X550+273)^4-(D550+273)^4)/(X550-D550)))+1/H550)</f>
        <v/>
      </c>
      <c r="Z550">
        <f>IF(ABS(Y550-D550)&lt;0.000000001,4*$B$19*$B$20*(D550+273)^3,$B$19*$B$20*((Y550+273)^4-(D550+273)^4)/(Y550-D550))</f>
        <v/>
      </c>
      <c r="AA550">
        <f>$B$14*I550*(Y550-C550)</f>
        <v/>
      </c>
      <c r="AB550">
        <f>$B$14*Z550*(Y550-D550)</f>
        <v/>
      </c>
      <c r="AC550">
        <f>IF((U550-E550)/G550=0,0.001,(U550-E550)/G550)</f>
        <v/>
      </c>
      <c r="AD550">
        <f>F550-P550-J550-K550-AA550-AB550</f>
        <v/>
      </c>
      <c r="AE550">
        <f>AD550/AC550</f>
        <v/>
      </c>
      <c r="AF550">
        <f>IF(AD550&lt;=0,0,IF(AC550&lt;=0,$B$11,IF(AE550&gt;=1.7,$B$11,MIN(AD550/MAX(0.05,IF(AE550&gt;1,(2-AE550)^2/2,1-AE550^2/2)),$B$11))))</f>
        <v/>
      </c>
      <c r="AG550">
        <f>AG549*$B$28+AF550*(1-$B$28)</f>
        <v/>
      </c>
      <c r="AH550">
        <f>IF(AND(AD550&gt;0,AC550&lt;=0),0,AC550)</f>
        <v/>
      </c>
      <c r="AI550">
        <f>AH550/MAX(AG550,0.000001)</f>
        <v/>
      </c>
      <c r="AJ550">
        <f>MIN(IF(AI550&gt;=0.5,-AI550+SQRT(AI550^2+2),1),$B$12)</f>
        <v/>
      </c>
      <c r="AK550">
        <f>IF(AG550&lt;=0,0,AJ550*AH550)</f>
        <v/>
      </c>
      <c r="AL550">
        <f>IF(AD550&lt;=0,0,AD550)</f>
        <v/>
      </c>
      <c r="AM550">
        <f>AL550-AK550+P550</f>
        <v/>
      </c>
      <c r="AN550">
        <f>((AM550/$B$7+T549*AS549/2-T550*MAX(0.1,MIN(0.3,0.3-0.09*(AR549-36.8)))/2)+AR549*(1-AS549/2))/(1-MAX(0.1,MIN(0.3,0.3-0.09*(AR549-36.8)))/2)</f>
        <v/>
      </c>
      <c r="AO550">
        <f>((AM550/$B$7+T549*AS549/2-T550*MAX(0.1,MIN(0.3,0.3-0.09*(AN550-36.8)))/2)+AR549*(1-AS549/2))/(1-MAX(0.1,MIN(0.3,0.3-0.09*(AN550-36.8)))/2)</f>
        <v/>
      </c>
      <c r="AP550">
        <f>((AM550/$B$7+T549*AS549/2-T550*MAX(0.1,MIN(0.3,0.3-0.09*(AO550-36.8)))/2)+AR549*(1-AS549/2))/(1-MAX(0.1,MIN(0.3,0.3-0.09*(AO550-36.8)))/2)</f>
        <v/>
      </c>
      <c r="AQ550">
        <f>((AM550/$B$7+T549*AS549/2-T550*MAX(0.1,MIN(0.3,0.3-0.09*(AP550-36.8)))/2)+AR549*(1-AS549/2))/(1-MAX(0.1,MIN(0.3,0.3-0.09*(AP550-36.8)))/2)</f>
        <v/>
      </c>
      <c r="AR550">
        <f>((AM550/$B$7+T549*AS549/2-T550*MAX(0.1,MIN(0.3,0.3-0.09*(AQ550-36.8)))/2)+AR549*(1-AS549/2))/(1-MAX(0.1,MIN(0.3,0.3-0.09*(AQ550-36.8)))/2)</f>
        <v/>
      </c>
      <c r="AS550">
        <f>MAX(0.1,MIN(0.3,0.3-0.09*(AR550-36.8)))</f>
        <v/>
      </c>
      <c r="AT550">
        <f>AT549+(2*AR550-1.962*AT549-1.31)/9</f>
        <v/>
      </c>
      <c r="AU550">
        <f>AU549+AG550+K550</f>
        <v/>
      </c>
      <c r="AV550">
        <f>AU550*2.67*$B$6/1.8/60</f>
        <v/>
      </c>
      <c r="AW550">
        <f>IF(AT550&gt;=$B$36,1,0)</f>
        <v/>
      </c>
      <c r="AX550">
        <f>IF(AV550&gt;=$B$21,1,0)</f>
        <v/>
      </c>
    </row>
    <row r="551">
      <c r="A551" t="n">
        <v>478</v>
      </c>
      <c r="B551">
        <f>MATCH(A551-1,$D$61:$D$68,1)</f>
        <v/>
      </c>
      <c r="C551">
        <f>INDEX($G$61:$G$68,B551)</f>
        <v/>
      </c>
      <c r="D551">
        <f>INDEX($L$61:$L$68,B551)</f>
        <v/>
      </c>
      <c r="E551">
        <f>INDEX($M$61:$M$68,B551)</f>
        <v/>
      </c>
      <c r="F551">
        <f>INDEX($N$61:$N$68,B551)</f>
        <v/>
      </c>
      <c r="G551">
        <f>INDEX($AA$61:$AA$68,B551)</f>
        <v/>
      </c>
      <c r="H551">
        <f>INDEX($X$61:$X$68,B551)</f>
        <v/>
      </c>
      <c r="I551">
        <f>INDEX($AF$61:$AF$68,B551)</f>
        <v/>
      </c>
      <c r="J551">
        <f>INDEX($AC$61:$AC$68,B551)</f>
        <v/>
      </c>
      <c r="K551">
        <f>INDEX($AD$61:$AD$68,B551)</f>
        <v/>
      </c>
      <c r="L551">
        <f>INDEX($AG$61:$AG$68,B551)</f>
        <v/>
      </c>
      <c r="M551">
        <f>INDEX($AH$61:$AH$68,B551)</f>
        <v/>
      </c>
      <c r="N551">
        <f>INDEX($AI$61:$AI$68,B551)</f>
        <v/>
      </c>
      <c r="O551">
        <f>O550*$B$26+L551*(1-$B$26)</f>
        <v/>
      </c>
      <c r="P551">
        <f>$B$7*(O551-O550)*(1-AS550)</f>
        <v/>
      </c>
      <c r="Q551">
        <f>M551+0.51274*AT550</f>
        <v/>
      </c>
      <c r="R551">
        <f>N551+0.616*AT550</f>
        <v/>
      </c>
      <c r="S551">
        <f>IF($B$13&gt;=0.6,Q551,IF($B$13&lt;=0.2,R551,R551+2.5*(Q551-R551)*($B$13-0.2)))</f>
        <v/>
      </c>
      <c r="T551">
        <f>IF(A551=1,S551,T550*$B$27+S551*(1-$B$27))</f>
        <v/>
      </c>
      <c r="U551">
        <f>0.6105*EXP(17.27*T551/(T551+237.3))</f>
        <v/>
      </c>
      <c r="V551">
        <f>($B$14*(I551*C551+IF(ABS((D551+0.1)-D551)&lt;0.000000001,4*$B$19*$B$20*(D551+273)^3,$B$19*$B$20*(((D551+0.1)+273)^4-(D551+273)^4)/((D551+0.1)-D551))*D551)+T551/H551)/($B$14*(I551+IF(ABS((D551+0.1)-D551)&lt;0.000000001,4*$B$19*$B$20*(D551+273)^3,$B$19*$B$20*(((D551+0.1)+273)^4-(D551+273)^4)/((D551+0.1)-D551)))+1/H551)</f>
        <v/>
      </c>
      <c r="W551">
        <f>($B$14*(I551*C551+IF(ABS(V551-D551)&lt;0.000000001,4*$B$19*$B$20*(D551+273)^3,$B$19*$B$20*((V551+273)^4-(D551+273)^4)/(V551-D551))*D551)+T551/H551)/($B$14*(I551+IF(ABS(V551-D551)&lt;0.000000001,4*$B$19*$B$20*(D551+273)^3,$B$19*$B$20*((V551+273)^4-(D551+273)^4)/(V551-D551)))+1/H551)</f>
        <v/>
      </c>
      <c r="X551">
        <f>($B$14*(I551*C551+IF(ABS(W551-D551)&lt;0.000000001,4*$B$19*$B$20*(D551+273)^3,$B$19*$B$20*((W551+273)^4-(D551+273)^4)/(W551-D551))*D551)+T551/H551)/($B$14*(I551+IF(ABS(W551-D551)&lt;0.000000001,4*$B$19*$B$20*(D551+273)^3,$B$19*$B$20*((W551+273)^4-(D551+273)^4)/(W551-D551)))+1/H551)</f>
        <v/>
      </c>
      <c r="Y551">
        <f>($B$14*(I551*C551+IF(ABS(X551-D551)&lt;0.000000001,4*$B$19*$B$20*(D551+273)^3,$B$19*$B$20*((X551+273)^4-(D551+273)^4)/(X551-D551))*D551)+T551/H551)/($B$14*(I551+IF(ABS(X551-D551)&lt;0.000000001,4*$B$19*$B$20*(D551+273)^3,$B$19*$B$20*((X551+273)^4-(D551+273)^4)/(X551-D551)))+1/H551)</f>
        <v/>
      </c>
      <c r="Z551">
        <f>IF(ABS(Y551-D551)&lt;0.000000001,4*$B$19*$B$20*(D551+273)^3,$B$19*$B$20*((Y551+273)^4-(D551+273)^4)/(Y551-D551))</f>
        <v/>
      </c>
      <c r="AA551">
        <f>$B$14*I551*(Y551-C551)</f>
        <v/>
      </c>
      <c r="AB551">
        <f>$B$14*Z551*(Y551-D551)</f>
        <v/>
      </c>
      <c r="AC551">
        <f>IF((U551-E551)/G551=0,0.001,(U551-E551)/G551)</f>
        <v/>
      </c>
      <c r="AD551">
        <f>F551-P551-J551-K551-AA551-AB551</f>
        <v/>
      </c>
      <c r="AE551">
        <f>AD551/AC551</f>
        <v/>
      </c>
      <c r="AF551">
        <f>IF(AD551&lt;=0,0,IF(AC551&lt;=0,$B$11,IF(AE551&gt;=1.7,$B$11,MIN(AD551/MAX(0.05,IF(AE551&gt;1,(2-AE551)^2/2,1-AE551^2/2)),$B$11))))</f>
        <v/>
      </c>
      <c r="AG551">
        <f>AG550*$B$28+AF551*(1-$B$28)</f>
        <v/>
      </c>
      <c r="AH551">
        <f>IF(AND(AD551&gt;0,AC551&lt;=0),0,AC551)</f>
        <v/>
      </c>
      <c r="AI551">
        <f>AH551/MAX(AG551,0.000001)</f>
        <v/>
      </c>
      <c r="AJ551">
        <f>MIN(IF(AI551&gt;=0.5,-AI551+SQRT(AI551^2+2),1),$B$12)</f>
        <v/>
      </c>
      <c r="AK551">
        <f>IF(AG551&lt;=0,0,AJ551*AH551)</f>
        <v/>
      </c>
      <c r="AL551">
        <f>IF(AD551&lt;=0,0,AD551)</f>
        <v/>
      </c>
      <c r="AM551">
        <f>AL551-AK551+P551</f>
        <v/>
      </c>
      <c r="AN551">
        <f>((AM551/$B$7+T550*AS550/2-T551*MAX(0.1,MIN(0.3,0.3-0.09*(AR550-36.8)))/2)+AR550*(1-AS550/2))/(1-MAX(0.1,MIN(0.3,0.3-0.09*(AR550-36.8)))/2)</f>
        <v/>
      </c>
      <c r="AO551">
        <f>((AM551/$B$7+T550*AS550/2-T551*MAX(0.1,MIN(0.3,0.3-0.09*(AN551-36.8)))/2)+AR550*(1-AS550/2))/(1-MAX(0.1,MIN(0.3,0.3-0.09*(AN551-36.8)))/2)</f>
        <v/>
      </c>
      <c r="AP551">
        <f>((AM551/$B$7+T550*AS550/2-T551*MAX(0.1,MIN(0.3,0.3-0.09*(AO551-36.8)))/2)+AR550*(1-AS550/2))/(1-MAX(0.1,MIN(0.3,0.3-0.09*(AO551-36.8)))/2)</f>
        <v/>
      </c>
      <c r="AQ551">
        <f>((AM551/$B$7+T550*AS550/2-T551*MAX(0.1,MIN(0.3,0.3-0.09*(AP551-36.8)))/2)+AR550*(1-AS550/2))/(1-MAX(0.1,MIN(0.3,0.3-0.09*(AP551-36.8)))/2)</f>
        <v/>
      </c>
      <c r="AR551">
        <f>((AM551/$B$7+T550*AS550/2-T551*MAX(0.1,MIN(0.3,0.3-0.09*(AQ551-36.8)))/2)+AR550*(1-AS550/2))/(1-MAX(0.1,MIN(0.3,0.3-0.09*(AQ551-36.8)))/2)</f>
        <v/>
      </c>
      <c r="AS551">
        <f>MAX(0.1,MIN(0.3,0.3-0.09*(AR551-36.8)))</f>
        <v/>
      </c>
      <c r="AT551">
        <f>AT550+(2*AR551-1.962*AT550-1.31)/9</f>
        <v/>
      </c>
      <c r="AU551">
        <f>AU550+AG551+K551</f>
        <v/>
      </c>
      <c r="AV551">
        <f>AU551*2.67*$B$6/1.8/60</f>
        <v/>
      </c>
      <c r="AW551">
        <f>IF(AT551&gt;=$B$36,1,0)</f>
        <v/>
      </c>
      <c r="AX551">
        <f>IF(AV551&gt;=$B$21,1,0)</f>
        <v/>
      </c>
    </row>
    <row r="552">
      <c r="A552" t="n">
        <v>479</v>
      </c>
      <c r="B552">
        <f>MATCH(A552-1,$D$61:$D$68,1)</f>
        <v/>
      </c>
      <c r="C552">
        <f>INDEX($G$61:$G$68,B552)</f>
        <v/>
      </c>
      <c r="D552">
        <f>INDEX($L$61:$L$68,B552)</f>
        <v/>
      </c>
      <c r="E552">
        <f>INDEX($M$61:$M$68,B552)</f>
        <v/>
      </c>
      <c r="F552">
        <f>INDEX($N$61:$N$68,B552)</f>
        <v/>
      </c>
      <c r="G552">
        <f>INDEX($AA$61:$AA$68,B552)</f>
        <v/>
      </c>
      <c r="H552">
        <f>INDEX($X$61:$X$68,B552)</f>
        <v/>
      </c>
      <c r="I552">
        <f>INDEX($AF$61:$AF$68,B552)</f>
        <v/>
      </c>
      <c r="J552">
        <f>INDEX($AC$61:$AC$68,B552)</f>
        <v/>
      </c>
      <c r="K552">
        <f>INDEX($AD$61:$AD$68,B552)</f>
        <v/>
      </c>
      <c r="L552">
        <f>INDEX($AG$61:$AG$68,B552)</f>
        <v/>
      </c>
      <c r="M552">
        <f>INDEX($AH$61:$AH$68,B552)</f>
        <v/>
      </c>
      <c r="N552">
        <f>INDEX($AI$61:$AI$68,B552)</f>
        <v/>
      </c>
      <c r="O552">
        <f>O551*$B$26+L552*(1-$B$26)</f>
        <v/>
      </c>
      <c r="P552">
        <f>$B$7*(O552-O551)*(1-AS551)</f>
        <v/>
      </c>
      <c r="Q552">
        <f>M552+0.51274*AT551</f>
        <v/>
      </c>
      <c r="R552">
        <f>N552+0.616*AT551</f>
        <v/>
      </c>
      <c r="S552">
        <f>IF($B$13&gt;=0.6,Q552,IF($B$13&lt;=0.2,R552,R552+2.5*(Q552-R552)*($B$13-0.2)))</f>
        <v/>
      </c>
      <c r="T552">
        <f>IF(A552=1,S552,T551*$B$27+S552*(1-$B$27))</f>
        <v/>
      </c>
      <c r="U552">
        <f>0.6105*EXP(17.27*T552/(T552+237.3))</f>
        <v/>
      </c>
      <c r="V552">
        <f>($B$14*(I552*C552+IF(ABS((D552+0.1)-D552)&lt;0.000000001,4*$B$19*$B$20*(D552+273)^3,$B$19*$B$20*(((D552+0.1)+273)^4-(D552+273)^4)/((D552+0.1)-D552))*D552)+T552/H552)/($B$14*(I552+IF(ABS((D552+0.1)-D552)&lt;0.000000001,4*$B$19*$B$20*(D552+273)^3,$B$19*$B$20*(((D552+0.1)+273)^4-(D552+273)^4)/((D552+0.1)-D552)))+1/H552)</f>
        <v/>
      </c>
      <c r="W552">
        <f>($B$14*(I552*C552+IF(ABS(V552-D552)&lt;0.000000001,4*$B$19*$B$20*(D552+273)^3,$B$19*$B$20*((V552+273)^4-(D552+273)^4)/(V552-D552))*D552)+T552/H552)/($B$14*(I552+IF(ABS(V552-D552)&lt;0.000000001,4*$B$19*$B$20*(D552+273)^3,$B$19*$B$20*((V552+273)^4-(D552+273)^4)/(V552-D552)))+1/H552)</f>
        <v/>
      </c>
      <c r="X552">
        <f>($B$14*(I552*C552+IF(ABS(W552-D552)&lt;0.000000001,4*$B$19*$B$20*(D552+273)^3,$B$19*$B$20*((W552+273)^4-(D552+273)^4)/(W552-D552))*D552)+T552/H552)/($B$14*(I552+IF(ABS(W552-D552)&lt;0.000000001,4*$B$19*$B$20*(D552+273)^3,$B$19*$B$20*((W552+273)^4-(D552+273)^4)/(W552-D552)))+1/H552)</f>
        <v/>
      </c>
      <c r="Y552">
        <f>($B$14*(I552*C552+IF(ABS(X552-D552)&lt;0.000000001,4*$B$19*$B$20*(D552+273)^3,$B$19*$B$20*((X552+273)^4-(D552+273)^4)/(X552-D552))*D552)+T552/H552)/($B$14*(I552+IF(ABS(X552-D552)&lt;0.000000001,4*$B$19*$B$20*(D552+273)^3,$B$19*$B$20*((X552+273)^4-(D552+273)^4)/(X552-D552)))+1/H552)</f>
        <v/>
      </c>
      <c r="Z552">
        <f>IF(ABS(Y552-D552)&lt;0.000000001,4*$B$19*$B$20*(D552+273)^3,$B$19*$B$20*((Y552+273)^4-(D552+273)^4)/(Y552-D552))</f>
        <v/>
      </c>
      <c r="AA552">
        <f>$B$14*I552*(Y552-C552)</f>
        <v/>
      </c>
      <c r="AB552">
        <f>$B$14*Z552*(Y552-D552)</f>
        <v/>
      </c>
      <c r="AC552">
        <f>IF((U552-E552)/G552=0,0.001,(U552-E552)/G552)</f>
        <v/>
      </c>
      <c r="AD552">
        <f>F552-P552-J552-K552-AA552-AB552</f>
        <v/>
      </c>
      <c r="AE552">
        <f>AD552/AC552</f>
        <v/>
      </c>
      <c r="AF552">
        <f>IF(AD552&lt;=0,0,IF(AC552&lt;=0,$B$11,IF(AE552&gt;=1.7,$B$11,MIN(AD552/MAX(0.05,IF(AE552&gt;1,(2-AE552)^2/2,1-AE552^2/2)),$B$11))))</f>
        <v/>
      </c>
      <c r="AG552">
        <f>AG551*$B$28+AF552*(1-$B$28)</f>
        <v/>
      </c>
      <c r="AH552">
        <f>IF(AND(AD552&gt;0,AC552&lt;=0),0,AC552)</f>
        <v/>
      </c>
      <c r="AI552">
        <f>AH552/MAX(AG552,0.000001)</f>
        <v/>
      </c>
      <c r="AJ552">
        <f>MIN(IF(AI552&gt;=0.5,-AI552+SQRT(AI552^2+2),1),$B$12)</f>
        <v/>
      </c>
      <c r="AK552">
        <f>IF(AG552&lt;=0,0,AJ552*AH552)</f>
        <v/>
      </c>
      <c r="AL552">
        <f>IF(AD552&lt;=0,0,AD552)</f>
        <v/>
      </c>
      <c r="AM552">
        <f>AL552-AK552+P552</f>
        <v/>
      </c>
      <c r="AN552">
        <f>((AM552/$B$7+T551*AS551/2-T552*MAX(0.1,MIN(0.3,0.3-0.09*(AR551-36.8)))/2)+AR551*(1-AS551/2))/(1-MAX(0.1,MIN(0.3,0.3-0.09*(AR551-36.8)))/2)</f>
        <v/>
      </c>
      <c r="AO552">
        <f>((AM552/$B$7+T551*AS551/2-T552*MAX(0.1,MIN(0.3,0.3-0.09*(AN552-36.8)))/2)+AR551*(1-AS551/2))/(1-MAX(0.1,MIN(0.3,0.3-0.09*(AN552-36.8)))/2)</f>
        <v/>
      </c>
      <c r="AP552">
        <f>((AM552/$B$7+T551*AS551/2-T552*MAX(0.1,MIN(0.3,0.3-0.09*(AO552-36.8)))/2)+AR551*(1-AS551/2))/(1-MAX(0.1,MIN(0.3,0.3-0.09*(AO552-36.8)))/2)</f>
        <v/>
      </c>
      <c r="AQ552">
        <f>((AM552/$B$7+T551*AS551/2-T552*MAX(0.1,MIN(0.3,0.3-0.09*(AP552-36.8)))/2)+AR551*(1-AS551/2))/(1-MAX(0.1,MIN(0.3,0.3-0.09*(AP552-36.8)))/2)</f>
        <v/>
      </c>
      <c r="AR552">
        <f>((AM552/$B$7+T551*AS551/2-T552*MAX(0.1,MIN(0.3,0.3-0.09*(AQ552-36.8)))/2)+AR551*(1-AS551/2))/(1-MAX(0.1,MIN(0.3,0.3-0.09*(AQ552-36.8)))/2)</f>
        <v/>
      </c>
      <c r="AS552">
        <f>MAX(0.1,MIN(0.3,0.3-0.09*(AR552-36.8)))</f>
        <v/>
      </c>
      <c r="AT552">
        <f>AT551+(2*AR552-1.962*AT551-1.31)/9</f>
        <v/>
      </c>
      <c r="AU552">
        <f>AU551+AG552+K552</f>
        <v/>
      </c>
      <c r="AV552">
        <f>AU552*2.67*$B$6/1.8/60</f>
        <v/>
      </c>
      <c r="AW552">
        <f>IF(AT552&gt;=$B$36,1,0)</f>
        <v/>
      </c>
      <c r="AX552">
        <f>IF(AV552&gt;=$B$21,1,0)</f>
        <v/>
      </c>
    </row>
    <row r="553">
      <c r="A553" t="n">
        <v>480</v>
      </c>
      <c r="B553">
        <f>MATCH(A553-1,$D$61:$D$68,1)</f>
        <v/>
      </c>
      <c r="C553">
        <f>INDEX($G$61:$G$68,B553)</f>
        <v/>
      </c>
      <c r="D553">
        <f>INDEX($L$61:$L$68,B553)</f>
        <v/>
      </c>
      <c r="E553">
        <f>INDEX($M$61:$M$68,B553)</f>
        <v/>
      </c>
      <c r="F553">
        <f>INDEX($N$61:$N$68,B553)</f>
        <v/>
      </c>
      <c r="G553">
        <f>INDEX($AA$61:$AA$68,B553)</f>
        <v/>
      </c>
      <c r="H553">
        <f>INDEX($X$61:$X$68,B553)</f>
        <v/>
      </c>
      <c r="I553">
        <f>INDEX($AF$61:$AF$68,B553)</f>
        <v/>
      </c>
      <c r="J553">
        <f>INDEX($AC$61:$AC$68,B553)</f>
        <v/>
      </c>
      <c r="K553">
        <f>INDEX($AD$61:$AD$68,B553)</f>
        <v/>
      </c>
      <c r="L553">
        <f>INDEX($AG$61:$AG$68,B553)</f>
        <v/>
      </c>
      <c r="M553">
        <f>INDEX($AH$61:$AH$68,B553)</f>
        <v/>
      </c>
      <c r="N553">
        <f>INDEX($AI$61:$AI$68,B553)</f>
        <v/>
      </c>
      <c r="O553">
        <f>O552*$B$26+L553*(1-$B$26)</f>
        <v/>
      </c>
      <c r="P553">
        <f>$B$7*(O553-O552)*(1-AS552)</f>
        <v/>
      </c>
      <c r="Q553">
        <f>M553+0.51274*AT552</f>
        <v/>
      </c>
      <c r="R553">
        <f>N553+0.616*AT552</f>
        <v/>
      </c>
      <c r="S553">
        <f>IF($B$13&gt;=0.6,Q553,IF($B$13&lt;=0.2,R553,R553+2.5*(Q553-R553)*($B$13-0.2)))</f>
        <v/>
      </c>
      <c r="T553">
        <f>IF(A553=1,S553,T552*$B$27+S553*(1-$B$27))</f>
        <v/>
      </c>
      <c r="U553">
        <f>0.6105*EXP(17.27*T553/(T553+237.3))</f>
        <v/>
      </c>
      <c r="V553">
        <f>($B$14*(I553*C553+IF(ABS((D553+0.1)-D553)&lt;0.000000001,4*$B$19*$B$20*(D553+273)^3,$B$19*$B$20*(((D553+0.1)+273)^4-(D553+273)^4)/((D553+0.1)-D553))*D553)+T553/H553)/($B$14*(I553+IF(ABS((D553+0.1)-D553)&lt;0.000000001,4*$B$19*$B$20*(D553+273)^3,$B$19*$B$20*(((D553+0.1)+273)^4-(D553+273)^4)/((D553+0.1)-D553)))+1/H553)</f>
        <v/>
      </c>
      <c r="W553">
        <f>($B$14*(I553*C553+IF(ABS(V553-D553)&lt;0.000000001,4*$B$19*$B$20*(D553+273)^3,$B$19*$B$20*((V553+273)^4-(D553+273)^4)/(V553-D553))*D553)+T553/H553)/($B$14*(I553+IF(ABS(V553-D553)&lt;0.000000001,4*$B$19*$B$20*(D553+273)^3,$B$19*$B$20*((V553+273)^4-(D553+273)^4)/(V553-D553)))+1/H553)</f>
        <v/>
      </c>
      <c r="X553">
        <f>($B$14*(I553*C553+IF(ABS(W553-D553)&lt;0.000000001,4*$B$19*$B$20*(D553+273)^3,$B$19*$B$20*((W553+273)^4-(D553+273)^4)/(W553-D553))*D553)+T553/H553)/($B$14*(I553+IF(ABS(W553-D553)&lt;0.000000001,4*$B$19*$B$20*(D553+273)^3,$B$19*$B$20*((W553+273)^4-(D553+273)^4)/(W553-D553)))+1/H553)</f>
        <v/>
      </c>
      <c r="Y553">
        <f>($B$14*(I553*C553+IF(ABS(X553-D553)&lt;0.000000001,4*$B$19*$B$20*(D553+273)^3,$B$19*$B$20*((X553+273)^4-(D553+273)^4)/(X553-D553))*D553)+T553/H553)/($B$14*(I553+IF(ABS(X553-D553)&lt;0.000000001,4*$B$19*$B$20*(D553+273)^3,$B$19*$B$20*((X553+273)^4-(D553+273)^4)/(X553-D553)))+1/H553)</f>
        <v/>
      </c>
      <c r="Z553">
        <f>IF(ABS(Y553-D553)&lt;0.000000001,4*$B$19*$B$20*(D553+273)^3,$B$19*$B$20*((Y553+273)^4-(D553+273)^4)/(Y553-D553))</f>
        <v/>
      </c>
      <c r="AA553">
        <f>$B$14*I553*(Y553-C553)</f>
        <v/>
      </c>
      <c r="AB553">
        <f>$B$14*Z553*(Y553-D553)</f>
        <v/>
      </c>
      <c r="AC553">
        <f>IF((U553-E553)/G553=0,0.001,(U553-E553)/G553)</f>
        <v/>
      </c>
      <c r="AD553">
        <f>F553-P553-J553-K553-AA553-AB553</f>
        <v/>
      </c>
      <c r="AE553">
        <f>AD553/AC553</f>
        <v/>
      </c>
      <c r="AF553">
        <f>IF(AD553&lt;=0,0,IF(AC553&lt;=0,$B$11,IF(AE553&gt;=1.7,$B$11,MIN(AD553/MAX(0.05,IF(AE553&gt;1,(2-AE553)^2/2,1-AE553^2/2)),$B$11))))</f>
        <v/>
      </c>
      <c r="AG553">
        <f>AG552*$B$28+AF553*(1-$B$28)</f>
        <v/>
      </c>
      <c r="AH553">
        <f>IF(AND(AD553&gt;0,AC553&lt;=0),0,AC553)</f>
        <v/>
      </c>
      <c r="AI553">
        <f>AH553/MAX(AG553,0.000001)</f>
        <v/>
      </c>
      <c r="AJ553">
        <f>MIN(IF(AI553&gt;=0.5,-AI553+SQRT(AI553^2+2),1),$B$12)</f>
        <v/>
      </c>
      <c r="AK553">
        <f>IF(AG553&lt;=0,0,AJ553*AH553)</f>
        <v/>
      </c>
      <c r="AL553">
        <f>IF(AD553&lt;=0,0,AD553)</f>
        <v/>
      </c>
      <c r="AM553">
        <f>AL553-AK553+P553</f>
        <v/>
      </c>
      <c r="AN553">
        <f>((AM553/$B$7+T552*AS552/2-T553*MAX(0.1,MIN(0.3,0.3-0.09*(AR552-36.8)))/2)+AR552*(1-AS552/2))/(1-MAX(0.1,MIN(0.3,0.3-0.09*(AR552-36.8)))/2)</f>
        <v/>
      </c>
      <c r="AO553">
        <f>((AM553/$B$7+T552*AS552/2-T553*MAX(0.1,MIN(0.3,0.3-0.09*(AN553-36.8)))/2)+AR552*(1-AS552/2))/(1-MAX(0.1,MIN(0.3,0.3-0.09*(AN553-36.8)))/2)</f>
        <v/>
      </c>
      <c r="AP553">
        <f>((AM553/$B$7+T552*AS552/2-T553*MAX(0.1,MIN(0.3,0.3-0.09*(AO553-36.8)))/2)+AR552*(1-AS552/2))/(1-MAX(0.1,MIN(0.3,0.3-0.09*(AO553-36.8)))/2)</f>
        <v/>
      </c>
      <c r="AQ553">
        <f>((AM553/$B$7+T552*AS552/2-T553*MAX(0.1,MIN(0.3,0.3-0.09*(AP553-36.8)))/2)+AR552*(1-AS552/2))/(1-MAX(0.1,MIN(0.3,0.3-0.09*(AP553-36.8)))/2)</f>
        <v/>
      </c>
      <c r="AR553">
        <f>((AM553/$B$7+T552*AS552/2-T553*MAX(0.1,MIN(0.3,0.3-0.09*(AQ553-36.8)))/2)+AR552*(1-AS552/2))/(1-MAX(0.1,MIN(0.3,0.3-0.09*(AQ553-36.8)))/2)</f>
        <v/>
      </c>
      <c r="AS553">
        <f>MAX(0.1,MIN(0.3,0.3-0.09*(AR553-36.8)))</f>
        <v/>
      </c>
      <c r="AT553">
        <f>AT552+(2*AR553-1.962*AT552-1.31)/9</f>
        <v/>
      </c>
      <c r="AU553">
        <f>AU552+AG553+K553</f>
        <v/>
      </c>
      <c r="AV553">
        <f>AU553*2.67*$B$6/1.8/60</f>
        <v/>
      </c>
      <c r="AW553">
        <f>IF(AT553&gt;=$B$36,1,0)</f>
        <v/>
      </c>
      <c r="AX553">
        <f>IF(AV553&gt;=$B$21,1,0)</f>
        <v/>
      </c>
    </row>
    <row r="554">
      <c r="A554" t="n">
        <v>481</v>
      </c>
      <c r="B554">
        <f>MATCH(A554-1,$D$61:$D$68,1)</f>
        <v/>
      </c>
      <c r="C554">
        <f>INDEX($G$61:$G$68,B554)</f>
        <v/>
      </c>
      <c r="D554">
        <f>INDEX($L$61:$L$68,B554)</f>
        <v/>
      </c>
      <c r="E554">
        <f>INDEX($M$61:$M$68,B554)</f>
        <v/>
      </c>
      <c r="F554">
        <f>INDEX($N$61:$N$68,B554)</f>
        <v/>
      </c>
      <c r="G554">
        <f>INDEX($AA$61:$AA$68,B554)</f>
        <v/>
      </c>
      <c r="H554">
        <f>INDEX($X$61:$X$68,B554)</f>
        <v/>
      </c>
      <c r="I554">
        <f>INDEX($AF$61:$AF$68,B554)</f>
        <v/>
      </c>
      <c r="J554">
        <f>INDEX($AC$61:$AC$68,B554)</f>
        <v/>
      </c>
      <c r="K554">
        <f>INDEX($AD$61:$AD$68,B554)</f>
        <v/>
      </c>
      <c r="L554">
        <f>INDEX($AG$61:$AG$68,B554)</f>
        <v/>
      </c>
      <c r="M554">
        <f>INDEX($AH$61:$AH$68,B554)</f>
        <v/>
      </c>
      <c r="N554">
        <f>INDEX($AI$61:$AI$68,B554)</f>
        <v/>
      </c>
      <c r="O554">
        <f>O553*$B$26+L554*(1-$B$26)</f>
        <v/>
      </c>
      <c r="P554">
        <f>$B$7*(O554-O553)*(1-AS553)</f>
        <v/>
      </c>
      <c r="Q554">
        <f>M554+0.51274*AT553</f>
        <v/>
      </c>
      <c r="R554">
        <f>N554+0.616*AT553</f>
        <v/>
      </c>
      <c r="S554">
        <f>IF($B$13&gt;=0.6,Q554,IF($B$13&lt;=0.2,R554,R554+2.5*(Q554-R554)*($B$13-0.2)))</f>
        <v/>
      </c>
      <c r="T554">
        <f>IF(A554=1,S554,T553*$B$27+S554*(1-$B$27))</f>
        <v/>
      </c>
      <c r="U554">
        <f>0.6105*EXP(17.27*T554/(T554+237.3))</f>
        <v/>
      </c>
      <c r="V554">
        <f>($B$14*(I554*C554+IF(ABS((D554+0.1)-D554)&lt;0.000000001,4*$B$19*$B$20*(D554+273)^3,$B$19*$B$20*(((D554+0.1)+273)^4-(D554+273)^4)/((D554+0.1)-D554))*D554)+T554/H554)/($B$14*(I554+IF(ABS((D554+0.1)-D554)&lt;0.000000001,4*$B$19*$B$20*(D554+273)^3,$B$19*$B$20*(((D554+0.1)+273)^4-(D554+273)^4)/((D554+0.1)-D554)))+1/H554)</f>
        <v/>
      </c>
      <c r="W554">
        <f>($B$14*(I554*C554+IF(ABS(V554-D554)&lt;0.000000001,4*$B$19*$B$20*(D554+273)^3,$B$19*$B$20*((V554+273)^4-(D554+273)^4)/(V554-D554))*D554)+T554/H554)/($B$14*(I554+IF(ABS(V554-D554)&lt;0.000000001,4*$B$19*$B$20*(D554+273)^3,$B$19*$B$20*((V554+273)^4-(D554+273)^4)/(V554-D554)))+1/H554)</f>
        <v/>
      </c>
      <c r="X554">
        <f>($B$14*(I554*C554+IF(ABS(W554-D554)&lt;0.000000001,4*$B$19*$B$20*(D554+273)^3,$B$19*$B$20*((W554+273)^4-(D554+273)^4)/(W554-D554))*D554)+T554/H554)/($B$14*(I554+IF(ABS(W554-D554)&lt;0.000000001,4*$B$19*$B$20*(D554+273)^3,$B$19*$B$20*((W554+273)^4-(D554+273)^4)/(W554-D554)))+1/H554)</f>
        <v/>
      </c>
      <c r="Y554">
        <f>($B$14*(I554*C554+IF(ABS(X554-D554)&lt;0.000000001,4*$B$19*$B$20*(D554+273)^3,$B$19*$B$20*((X554+273)^4-(D554+273)^4)/(X554-D554))*D554)+T554/H554)/($B$14*(I554+IF(ABS(X554-D554)&lt;0.000000001,4*$B$19*$B$20*(D554+273)^3,$B$19*$B$20*((X554+273)^4-(D554+273)^4)/(X554-D554)))+1/H554)</f>
        <v/>
      </c>
      <c r="Z554">
        <f>IF(ABS(Y554-D554)&lt;0.000000001,4*$B$19*$B$20*(D554+273)^3,$B$19*$B$20*((Y554+273)^4-(D554+273)^4)/(Y554-D554))</f>
        <v/>
      </c>
      <c r="AA554">
        <f>$B$14*I554*(Y554-C554)</f>
        <v/>
      </c>
      <c r="AB554">
        <f>$B$14*Z554*(Y554-D554)</f>
        <v/>
      </c>
      <c r="AC554">
        <f>IF((U554-E554)/G554=0,0.001,(U554-E554)/G554)</f>
        <v/>
      </c>
      <c r="AD554">
        <f>F554-P554-J554-K554-AA554-AB554</f>
        <v/>
      </c>
      <c r="AE554">
        <f>AD554/AC554</f>
        <v/>
      </c>
      <c r="AF554">
        <f>IF(AD554&lt;=0,0,IF(AC554&lt;=0,$B$11,IF(AE554&gt;=1.7,$B$11,MIN(AD554/MAX(0.05,IF(AE554&gt;1,(2-AE554)^2/2,1-AE554^2/2)),$B$11))))</f>
        <v/>
      </c>
      <c r="AG554">
        <f>AG553*$B$28+AF554*(1-$B$28)</f>
        <v/>
      </c>
      <c r="AH554">
        <f>IF(AND(AD554&gt;0,AC554&lt;=0),0,AC554)</f>
        <v/>
      </c>
      <c r="AI554">
        <f>AH554/MAX(AG554,0.000001)</f>
        <v/>
      </c>
      <c r="AJ554">
        <f>MIN(IF(AI554&gt;=0.5,-AI554+SQRT(AI554^2+2),1),$B$12)</f>
        <v/>
      </c>
      <c r="AK554">
        <f>IF(AG554&lt;=0,0,AJ554*AH554)</f>
        <v/>
      </c>
      <c r="AL554">
        <f>IF(AD554&lt;=0,0,AD554)</f>
        <v/>
      </c>
      <c r="AM554">
        <f>AL554-AK554+P554</f>
        <v/>
      </c>
      <c r="AN554">
        <f>((AM554/$B$7+T553*AS553/2-T554*MAX(0.1,MIN(0.3,0.3-0.09*(AR553-36.8)))/2)+AR553*(1-AS553/2))/(1-MAX(0.1,MIN(0.3,0.3-0.09*(AR553-36.8)))/2)</f>
        <v/>
      </c>
      <c r="AO554">
        <f>((AM554/$B$7+T553*AS553/2-T554*MAX(0.1,MIN(0.3,0.3-0.09*(AN554-36.8)))/2)+AR553*(1-AS553/2))/(1-MAX(0.1,MIN(0.3,0.3-0.09*(AN554-36.8)))/2)</f>
        <v/>
      </c>
      <c r="AP554">
        <f>((AM554/$B$7+T553*AS553/2-T554*MAX(0.1,MIN(0.3,0.3-0.09*(AO554-36.8)))/2)+AR553*(1-AS553/2))/(1-MAX(0.1,MIN(0.3,0.3-0.09*(AO554-36.8)))/2)</f>
        <v/>
      </c>
      <c r="AQ554">
        <f>((AM554/$B$7+T553*AS553/2-T554*MAX(0.1,MIN(0.3,0.3-0.09*(AP554-36.8)))/2)+AR553*(1-AS553/2))/(1-MAX(0.1,MIN(0.3,0.3-0.09*(AP554-36.8)))/2)</f>
        <v/>
      </c>
      <c r="AR554">
        <f>((AM554/$B$7+T553*AS553/2-T554*MAX(0.1,MIN(0.3,0.3-0.09*(AQ554-36.8)))/2)+AR553*(1-AS553/2))/(1-MAX(0.1,MIN(0.3,0.3-0.09*(AQ554-36.8)))/2)</f>
        <v/>
      </c>
      <c r="AS554">
        <f>MAX(0.1,MIN(0.3,0.3-0.09*(AR554-36.8)))</f>
        <v/>
      </c>
      <c r="AT554">
        <f>AT553+(2*AR554-1.962*AT553-1.31)/9</f>
        <v/>
      </c>
      <c r="AU554">
        <f>AU553+AG554+K554</f>
        <v/>
      </c>
      <c r="AV554">
        <f>AU554*2.67*$B$6/1.8/60</f>
        <v/>
      </c>
      <c r="AW554">
        <f>IF(AT554&gt;=$B$36,1,0)</f>
        <v/>
      </c>
      <c r="AX554">
        <f>IF(AV554&gt;=$B$21,1,0)</f>
        <v/>
      </c>
    </row>
    <row r="555">
      <c r="A555" t="n">
        <v>482</v>
      </c>
      <c r="B555">
        <f>MATCH(A555-1,$D$61:$D$68,1)</f>
        <v/>
      </c>
      <c r="C555">
        <f>INDEX($G$61:$G$68,B555)</f>
        <v/>
      </c>
      <c r="D555">
        <f>INDEX($L$61:$L$68,B555)</f>
        <v/>
      </c>
      <c r="E555">
        <f>INDEX($M$61:$M$68,B555)</f>
        <v/>
      </c>
      <c r="F555">
        <f>INDEX($N$61:$N$68,B555)</f>
        <v/>
      </c>
      <c r="G555">
        <f>INDEX($AA$61:$AA$68,B555)</f>
        <v/>
      </c>
      <c r="H555">
        <f>INDEX($X$61:$X$68,B555)</f>
        <v/>
      </c>
      <c r="I555">
        <f>INDEX($AF$61:$AF$68,B555)</f>
        <v/>
      </c>
      <c r="J555">
        <f>INDEX($AC$61:$AC$68,B555)</f>
        <v/>
      </c>
      <c r="K555">
        <f>INDEX($AD$61:$AD$68,B555)</f>
        <v/>
      </c>
      <c r="L555">
        <f>INDEX($AG$61:$AG$68,B555)</f>
        <v/>
      </c>
      <c r="M555">
        <f>INDEX($AH$61:$AH$68,B555)</f>
        <v/>
      </c>
      <c r="N555">
        <f>INDEX($AI$61:$AI$68,B555)</f>
        <v/>
      </c>
      <c r="O555">
        <f>O554*$B$26+L555*(1-$B$26)</f>
        <v/>
      </c>
      <c r="P555">
        <f>$B$7*(O555-O554)*(1-AS554)</f>
        <v/>
      </c>
      <c r="Q555">
        <f>M555+0.51274*AT554</f>
        <v/>
      </c>
      <c r="R555">
        <f>N555+0.616*AT554</f>
        <v/>
      </c>
      <c r="S555">
        <f>IF($B$13&gt;=0.6,Q555,IF($B$13&lt;=0.2,R555,R555+2.5*(Q555-R555)*($B$13-0.2)))</f>
        <v/>
      </c>
      <c r="T555">
        <f>IF(A555=1,S555,T554*$B$27+S555*(1-$B$27))</f>
        <v/>
      </c>
      <c r="U555">
        <f>0.6105*EXP(17.27*T555/(T555+237.3))</f>
        <v/>
      </c>
      <c r="V555">
        <f>($B$14*(I555*C555+IF(ABS((D555+0.1)-D555)&lt;0.000000001,4*$B$19*$B$20*(D555+273)^3,$B$19*$B$20*(((D555+0.1)+273)^4-(D555+273)^4)/((D555+0.1)-D555))*D555)+T555/H555)/($B$14*(I555+IF(ABS((D555+0.1)-D555)&lt;0.000000001,4*$B$19*$B$20*(D555+273)^3,$B$19*$B$20*(((D555+0.1)+273)^4-(D555+273)^4)/((D555+0.1)-D555)))+1/H555)</f>
        <v/>
      </c>
      <c r="W555">
        <f>($B$14*(I555*C555+IF(ABS(V555-D555)&lt;0.000000001,4*$B$19*$B$20*(D555+273)^3,$B$19*$B$20*((V555+273)^4-(D555+273)^4)/(V555-D555))*D555)+T555/H555)/($B$14*(I555+IF(ABS(V555-D555)&lt;0.000000001,4*$B$19*$B$20*(D555+273)^3,$B$19*$B$20*((V555+273)^4-(D555+273)^4)/(V555-D555)))+1/H555)</f>
        <v/>
      </c>
      <c r="X555">
        <f>($B$14*(I555*C555+IF(ABS(W555-D555)&lt;0.000000001,4*$B$19*$B$20*(D555+273)^3,$B$19*$B$20*((W555+273)^4-(D555+273)^4)/(W555-D555))*D555)+T555/H555)/($B$14*(I555+IF(ABS(W555-D555)&lt;0.000000001,4*$B$19*$B$20*(D555+273)^3,$B$19*$B$20*((W555+273)^4-(D555+273)^4)/(W555-D555)))+1/H555)</f>
        <v/>
      </c>
      <c r="Y555">
        <f>($B$14*(I555*C555+IF(ABS(X555-D555)&lt;0.000000001,4*$B$19*$B$20*(D555+273)^3,$B$19*$B$20*((X555+273)^4-(D555+273)^4)/(X555-D555))*D555)+T555/H555)/($B$14*(I555+IF(ABS(X555-D555)&lt;0.000000001,4*$B$19*$B$20*(D555+273)^3,$B$19*$B$20*((X555+273)^4-(D555+273)^4)/(X555-D555)))+1/H555)</f>
        <v/>
      </c>
      <c r="Z555">
        <f>IF(ABS(Y555-D555)&lt;0.000000001,4*$B$19*$B$20*(D555+273)^3,$B$19*$B$20*((Y555+273)^4-(D555+273)^4)/(Y555-D555))</f>
        <v/>
      </c>
      <c r="AA555">
        <f>$B$14*I555*(Y555-C555)</f>
        <v/>
      </c>
      <c r="AB555">
        <f>$B$14*Z555*(Y555-D555)</f>
        <v/>
      </c>
      <c r="AC555">
        <f>IF((U555-E555)/G555=0,0.001,(U555-E555)/G555)</f>
        <v/>
      </c>
      <c r="AD555">
        <f>F555-P555-J555-K555-AA555-AB555</f>
        <v/>
      </c>
      <c r="AE555">
        <f>AD555/AC555</f>
        <v/>
      </c>
      <c r="AF555">
        <f>IF(AD555&lt;=0,0,IF(AC555&lt;=0,$B$11,IF(AE555&gt;=1.7,$B$11,MIN(AD555/MAX(0.05,IF(AE555&gt;1,(2-AE555)^2/2,1-AE555^2/2)),$B$11))))</f>
        <v/>
      </c>
      <c r="AG555">
        <f>AG554*$B$28+AF555*(1-$B$28)</f>
        <v/>
      </c>
      <c r="AH555">
        <f>IF(AND(AD555&gt;0,AC555&lt;=0),0,AC555)</f>
        <v/>
      </c>
      <c r="AI555">
        <f>AH555/MAX(AG555,0.000001)</f>
        <v/>
      </c>
      <c r="AJ555">
        <f>MIN(IF(AI555&gt;=0.5,-AI555+SQRT(AI555^2+2),1),$B$12)</f>
        <v/>
      </c>
      <c r="AK555">
        <f>IF(AG555&lt;=0,0,AJ555*AH555)</f>
        <v/>
      </c>
      <c r="AL555">
        <f>IF(AD555&lt;=0,0,AD555)</f>
        <v/>
      </c>
      <c r="AM555">
        <f>AL555-AK555+P555</f>
        <v/>
      </c>
      <c r="AN555">
        <f>((AM555/$B$7+T554*AS554/2-T555*MAX(0.1,MIN(0.3,0.3-0.09*(AR554-36.8)))/2)+AR554*(1-AS554/2))/(1-MAX(0.1,MIN(0.3,0.3-0.09*(AR554-36.8)))/2)</f>
        <v/>
      </c>
      <c r="AO555">
        <f>((AM555/$B$7+T554*AS554/2-T555*MAX(0.1,MIN(0.3,0.3-0.09*(AN555-36.8)))/2)+AR554*(1-AS554/2))/(1-MAX(0.1,MIN(0.3,0.3-0.09*(AN555-36.8)))/2)</f>
        <v/>
      </c>
      <c r="AP555">
        <f>((AM555/$B$7+T554*AS554/2-T555*MAX(0.1,MIN(0.3,0.3-0.09*(AO555-36.8)))/2)+AR554*(1-AS554/2))/(1-MAX(0.1,MIN(0.3,0.3-0.09*(AO555-36.8)))/2)</f>
        <v/>
      </c>
      <c r="AQ555">
        <f>((AM555/$B$7+T554*AS554/2-T555*MAX(0.1,MIN(0.3,0.3-0.09*(AP555-36.8)))/2)+AR554*(1-AS554/2))/(1-MAX(0.1,MIN(0.3,0.3-0.09*(AP555-36.8)))/2)</f>
        <v/>
      </c>
      <c r="AR555">
        <f>((AM555/$B$7+T554*AS554/2-T555*MAX(0.1,MIN(0.3,0.3-0.09*(AQ555-36.8)))/2)+AR554*(1-AS554/2))/(1-MAX(0.1,MIN(0.3,0.3-0.09*(AQ555-36.8)))/2)</f>
        <v/>
      </c>
      <c r="AS555">
        <f>MAX(0.1,MIN(0.3,0.3-0.09*(AR555-36.8)))</f>
        <v/>
      </c>
      <c r="AT555">
        <f>AT554+(2*AR555-1.962*AT554-1.31)/9</f>
        <v/>
      </c>
      <c r="AU555">
        <f>AU554+AG555+K555</f>
        <v/>
      </c>
      <c r="AV555">
        <f>AU555*2.67*$B$6/1.8/60</f>
        <v/>
      </c>
      <c r="AW555">
        <f>IF(AT555&gt;=$B$36,1,0)</f>
        <v/>
      </c>
      <c r="AX555">
        <f>IF(AV555&gt;=$B$21,1,0)</f>
        <v/>
      </c>
    </row>
    <row r="556">
      <c r="A556" t="n">
        <v>483</v>
      </c>
      <c r="B556">
        <f>MATCH(A556-1,$D$61:$D$68,1)</f>
        <v/>
      </c>
      <c r="C556">
        <f>INDEX($G$61:$G$68,B556)</f>
        <v/>
      </c>
      <c r="D556">
        <f>INDEX($L$61:$L$68,B556)</f>
        <v/>
      </c>
      <c r="E556">
        <f>INDEX($M$61:$M$68,B556)</f>
        <v/>
      </c>
      <c r="F556">
        <f>INDEX($N$61:$N$68,B556)</f>
        <v/>
      </c>
      <c r="G556">
        <f>INDEX($AA$61:$AA$68,B556)</f>
        <v/>
      </c>
      <c r="H556">
        <f>INDEX($X$61:$X$68,B556)</f>
        <v/>
      </c>
      <c r="I556">
        <f>INDEX($AF$61:$AF$68,B556)</f>
        <v/>
      </c>
      <c r="J556">
        <f>INDEX($AC$61:$AC$68,B556)</f>
        <v/>
      </c>
      <c r="K556">
        <f>INDEX($AD$61:$AD$68,B556)</f>
        <v/>
      </c>
      <c r="L556">
        <f>INDEX($AG$61:$AG$68,B556)</f>
        <v/>
      </c>
      <c r="M556">
        <f>INDEX($AH$61:$AH$68,B556)</f>
        <v/>
      </c>
      <c r="N556">
        <f>INDEX($AI$61:$AI$68,B556)</f>
        <v/>
      </c>
      <c r="O556">
        <f>O555*$B$26+L556*(1-$B$26)</f>
        <v/>
      </c>
      <c r="P556">
        <f>$B$7*(O556-O555)*(1-AS555)</f>
        <v/>
      </c>
      <c r="Q556">
        <f>M556+0.51274*AT555</f>
        <v/>
      </c>
      <c r="R556">
        <f>N556+0.616*AT555</f>
        <v/>
      </c>
      <c r="S556">
        <f>IF($B$13&gt;=0.6,Q556,IF($B$13&lt;=0.2,R556,R556+2.5*(Q556-R556)*($B$13-0.2)))</f>
        <v/>
      </c>
      <c r="T556">
        <f>IF(A556=1,S556,T555*$B$27+S556*(1-$B$27))</f>
        <v/>
      </c>
      <c r="U556">
        <f>0.6105*EXP(17.27*T556/(T556+237.3))</f>
        <v/>
      </c>
      <c r="V556">
        <f>($B$14*(I556*C556+IF(ABS((D556+0.1)-D556)&lt;0.000000001,4*$B$19*$B$20*(D556+273)^3,$B$19*$B$20*(((D556+0.1)+273)^4-(D556+273)^4)/((D556+0.1)-D556))*D556)+T556/H556)/($B$14*(I556+IF(ABS((D556+0.1)-D556)&lt;0.000000001,4*$B$19*$B$20*(D556+273)^3,$B$19*$B$20*(((D556+0.1)+273)^4-(D556+273)^4)/((D556+0.1)-D556)))+1/H556)</f>
        <v/>
      </c>
      <c r="W556">
        <f>($B$14*(I556*C556+IF(ABS(V556-D556)&lt;0.000000001,4*$B$19*$B$20*(D556+273)^3,$B$19*$B$20*((V556+273)^4-(D556+273)^4)/(V556-D556))*D556)+T556/H556)/($B$14*(I556+IF(ABS(V556-D556)&lt;0.000000001,4*$B$19*$B$20*(D556+273)^3,$B$19*$B$20*((V556+273)^4-(D556+273)^4)/(V556-D556)))+1/H556)</f>
        <v/>
      </c>
      <c r="X556">
        <f>($B$14*(I556*C556+IF(ABS(W556-D556)&lt;0.000000001,4*$B$19*$B$20*(D556+273)^3,$B$19*$B$20*((W556+273)^4-(D556+273)^4)/(W556-D556))*D556)+T556/H556)/($B$14*(I556+IF(ABS(W556-D556)&lt;0.000000001,4*$B$19*$B$20*(D556+273)^3,$B$19*$B$20*((W556+273)^4-(D556+273)^4)/(W556-D556)))+1/H556)</f>
        <v/>
      </c>
      <c r="Y556">
        <f>($B$14*(I556*C556+IF(ABS(X556-D556)&lt;0.000000001,4*$B$19*$B$20*(D556+273)^3,$B$19*$B$20*((X556+273)^4-(D556+273)^4)/(X556-D556))*D556)+T556/H556)/($B$14*(I556+IF(ABS(X556-D556)&lt;0.000000001,4*$B$19*$B$20*(D556+273)^3,$B$19*$B$20*((X556+273)^4-(D556+273)^4)/(X556-D556)))+1/H556)</f>
        <v/>
      </c>
      <c r="Z556">
        <f>IF(ABS(Y556-D556)&lt;0.000000001,4*$B$19*$B$20*(D556+273)^3,$B$19*$B$20*((Y556+273)^4-(D556+273)^4)/(Y556-D556))</f>
        <v/>
      </c>
      <c r="AA556">
        <f>$B$14*I556*(Y556-C556)</f>
        <v/>
      </c>
      <c r="AB556">
        <f>$B$14*Z556*(Y556-D556)</f>
        <v/>
      </c>
      <c r="AC556">
        <f>IF((U556-E556)/G556=0,0.001,(U556-E556)/G556)</f>
        <v/>
      </c>
      <c r="AD556">
        <f>F556-P556-J556-K556-AA556-AB556</f>
        <v/>
      </c>
      <c r="AE556">
        <f>AD556/AC556</f>
        <v/>
      </c>
      <c r="AF556">
        <f>IF(AD556&lt;=0,0,IF(AC556&lt;=0,$B$11,IF(AE556&gt;=1.7,$B$11,MIN(AD556/MAX(0.05,IF(AE556&gt;1,(2-AE556)^2/2,1-AE556^2/2)),$B$11))))</f>
        <v/>
      </c>
      <c r="AG556">
        <f>AG555*$B$28+AF556*(1-$B$28)</f>
        <v/>
      </c>
      <c r="AH556">
        <f>IF(AND(AD556&gt;0,AC556&lt;=0),0,AC556)</f>
        <v/>
      </c>
      <c r="AI556">
        <f>AH556/MAX(AG556,0.000001)</f>
        <v/>
      </c>
      <c r="AJ556">
        <f>MIN(IF(AI556&gt;=0.5,-AI556+SQRT(AI556^2+2),1),$B$12)</f>
        <v/>
      </c>
      <c r="AK556">
        <f>IF(AG556&lt;=0,0,AJ556*AH556)</f>
        <v/>
      </c>
      <c r="AL556">
        <f>IF(AD556&lt;=0,0,AD556)</f>
        <v/>
      </c>
      <c r="AM556">
        <f>AL556-AK556+P556</f>
        <v/>
      </c>
      <c r="AN556">
        <f>((AM556/$B$7+T555*AS555/2-T556*MAX(0.1,MIN(0.3,0.3-0.09*(AR555-36.8)))/2)+AR555*(1-AS555/2))/(1-MAX(0.1,MIN(0.3,0.3-0.09*(AR555-36.8)))/2)</f>
        <v/>
      </c>
      <c r="AO556">
        <f>((AM556/$B$7+T555*AS555/2-T556*MAX(0.1,MIN(0.3,0.3-0.09*(AN556-36.8)))/2)+AR555*(1-AS555/2))/(1-MAX(0.1,MIN(0.3,0.3-0.09*(AN556-36.8)))/2)</f>
        <v/>
      </c>
      <c r="AP556">
        <f>((AM556/$B$7+T555*AS555/2-T556*MAX(0.1,MIN(0.3,0.3-0.09*(AO556-36.8)))/2)+AR555*(1-AS555/2))/(1-MAX(0.1,MIN(0.3,0.3-0.09*(AO556-36.8)))/2)</f>
        <v/>
      </c>
      <c r="AQ556">
        <f>((AM556/$B$7+T555*AS555/2-T556*MAX(0.1,MIN(0.3,0.3-0.09*(AP556-36.8)))/2)+AR555*(1-AS555/2))/(1-MAX(0.1,MIN(0.3,0.3-0.09*(AP556-36.8)))/2)</f>
        <v/>
      </c>
      <c r="AR556">
        <f>((AM556/$B$7+T555*AS555/2-T556*MAX(0.1,MIN(0.3,0.3-0.09*(AQ556-36.8)))/2)+AR555*(1-AS555/2))/(1-MAX(0.1,MIN(0.3,0.3-0.09*(AQ556-36.8)))/2)</f>
        <v/>
      </c>
      <c r="AS556">
        <f>MAX(0.1,MIN(0.3,0.3-0.09*(AR556-36.8)))</f>
        <v/>
      </c>
      <c r="AT556">
        <f>AT555+(2*AR556-1.962*AT555-1.31)/9</f>
        <v/>
      </c>
      <c r="AU556">
        <f>AU555+AG556+K556</f>
        <v/>
      </c>
      <c r="AV556">
        <f>AU556*2.67*$B$6/1.8/60</f>
        <v/>
      </c>
      <c r="AW556">
        <f>IF(AT556&gt;=$B$36,1,0)</f>
        <v/>
      </c>
      <c r="AX556">
        <f>IF(AV556&gt;=$B$21,1,0)</f>
        <v/>
      </c>
    </row>
    <row r="557">
      <c r="A557" t="n">
        <v>484</v>
      </c>
      <c r="B557">
        <f>MATCH(A557-1,$D$61:$D$68,1)</f>
        <v/>
      </c>
      <c r="C557">
        <f>INDEX($G$61:$G$68,B557)</f>
        <v/>
      </c>
      <c r="D557">
        <f>INDEX($L$61:$L$68,B557)</f>
        <v/>
      </c>
      <c r="E557">
        <f>INDEX($M$61:$M$68,B557)</f>
        <v/>
      </c>
      <c r="F557">
        <f>INDEX($N$61:$N$68,B557)</f>
        <v/>
      </c>
      <c r="G557">
        <f>INDEX($AA$61:$AA$68,B557)</f>
        <v/>
      </c>
      <c r="H557">
        <f>INDEX($X$61:$X$68,B557)</f>
        <v/>
      </c>
      <c r="I557">
        <f>INDEX($AF$61:$AF$68,B557)</f>
        <v/>
      </c>
      <c r="J557">
        <f>INDEX($AC$61:$AC$68,B557)</f>
        <v/>
      </c>
      <c r="K557">
        <f>INDEX($AD$61:$AD$68,B557)</f>
        <v/>
      </c>
      <c r="L557">
        <f>INDEX($AG$61:$AG$68,B557)</f>
        <v/>
      </c>
      <c r="M557">
        <f>INDEX($AH$61:$AH$68,B557)</f>
        <v/>
      </c>
      <c r="N557">
        <f>INDEX($AI$61:$AI$68,B557)</f>
        <v/>
      </c>
      <c r="O557">
        <f>O556*$B$26+L557*(1-$B$26)</f>
        <v/>
      </c>
      <c r="P557">
        <f>$B$7*(O557-O556)*(1-AS556)</f>
        <v/>
      </c>
      <c r="Q557">
        <f>M557+0.51274*AT556</f>
        <v/>
      </c>
      <c r="R557">
        <f>N557+0.616*AT556</f>
        <v/>
      </c>
      <c r="S557">
        <f>IF($B$13&gt;=0.6,Q557,IF($B$13&lt;=0.2,R557,R557+2.5*(Q557-R557)*($B$13-0.2)))</f>
        <v/>
      </c>
      <c r="T557">
        <f>IF(A557=1,S557,T556*$B$27+S557*(1-$B$27))</f>
        <v/>
      </c>
      <c r="U557">
        <f>0.6105*EXP(17.27*T557/(T557+237.3))</f>
        <v/>
      </c>
      <c r="V557">
        <f>($B$14*(I557*C557+IF(ABS((D557+0.1)-D557)&lt;0.000000001,4*$B$19*$B$20*(D557+273)^3,$B$19*$B$20*(((D557+0.1)+273)^4-(D557+273)^4)/((D557+0.1)-D557))*D557)+T557/H557)/($B$14*(I557+IF(ABS((D557+0.1)-D557)&lt;0.000000001,4*$B$19*$B$20*(D557+273)^3,$B$19*$B$20*(((D557+0.1)+273)^4-(D557+273)^4)/((D557+0.1)-D557)))+1/H557)</f>
        <v/>
      </c>
      <c r="W557">
        <f>($B$14*(I557*C557+IF(ABS(V557-D557)&lt;0.000000001,4*$B$19*$B$20*(D557+273)^3,$B$19*$B$20*((V557+273)^4-(D557+273)^4)/(V557-D557))*D557)+T557/H557)/($B$14*(I557+IF(ABS(V557-D557)&lt;0.000000001,4*$B$19*$B$20*(D557+273)^3,$B$19*$B$20*((V557+273)^4-(D557+273)^4)/(V557-D557)))+1/H557)</f>
        <v/>
      </c>
      <c r="X557">
        <f>($B$14*(I557*C557+IF(ABS(W557-D557)&lt;0.000000001,4*$B$19*$B$20*(D557+273)^3,$B$19*$B$20*((W557+273)^4-(D557+273)^4)/(W557-D557))*D557)+T557/H557)/($B$14*(I557+IF(ABS(W557-D557)&lt;0.000000001,4*$B$19*$B$20*(D557+273)^3,$B$19*$B$20*((W557+273)^4-(D557+273)^4)/(W557-D557)))+1/H557)</f>
        <v/>
      </c>
      <c r="Y557">
        <f>($B$14*(I557*C557+IF(ABS(X557-D557)&lt;0.000000001,4*$B$19*$B$20*(D557+273)^3,$B$19*$B$20*((X557+273)^4-(D557+273)^4)/(X557-D557))*D557)+T557/H557)/($B$14*(I557+IF(ABS(X557-D557)&lt;0.000000001,4*$B$19*$B$20*(D557+273)^3,$B$19*$B$20*((X557+273)^4-(D557+273)^4)/(X557-D557)))+1/H557)</f>
        <v/>
      </c>
      <c r="Z557">
        <f>IF(ABS(Y557-D557)&lt;0.000000001,4*$B$19*$B$20*(D557+273)^3,$B$19*$B$20*((Y557+273)^4-(D557+273)^4)/(Y557-D557))</f>
        <v/>
      </c>
      <c r="AA557">
        <f>$B$14*I557*(Y557-C557)</f>
        <v/>
      </c>
      <c r="AB557">
        <f>$B$14*Z557*(Y557-D557)</f>
        <v/>
      </c>
      <c r="AC557">
        <f>IF((U557-E557)/G557=0,0.001,(U557-E557)/G557)</f>
        <v/>
      </c>
      <c r="AD557">
        <f>F557-P557-J557-K557-AA557-AB557</f>
        <v/>
      </c>
      <c r="AE557">
        <f>AD557/AC557</f>
        <v/>
      </c>
      <c r="AF557">
        <f>IF(AD557&lt;=0,0,IF(AC557&lt;=0,$B$11,IF(AE557&gt;=1.7,$B$11,MIN(AD557/MAX(0.05,IF(AE557&gt;1,(2-AE557)^2/2,1-AE557^2/2)),$B$11))))</f>
        <v/>
      </c>
      <c r="AG557">
        <f>AG556*$B$28+AF557*(1-$B$28)</f>
        <v/>
      </c>
      <c r="AH557">
        <f>IF(AND(AD557&gt;0,AC557&lt;=0),0,AC557)</f>
        <v/>
      </c>
      <c r="AI557">
        <f>AH557/MAX(AG557,0.000001)</f>
        <v/>
      </c>
      <c r="AJ557">
        <f>MIN(IF(AI557&gt;=0.5,-AI557+SQRT(AI557^2+2),1),$B$12)</f>
        <v/>
      </c>
      <c r="AK557">
        <f>IF(AG557&lt;=0,0,AJ557*AH557)</f>
        <v/>
      </c>
      <c r="AL557">
        <f>IF(AD557&lt;=0,0,AD557)</f>
        <v/>
      </c>
      <c r="AM557">
        <f>AL557-AK557+P557</f>
        <v/>
      </c>
      <c r="AN557">
        <f>((AM557/$B$7+T556*AS556/2-T557*MAX(0.1,MIN(0.3,0.3-0.09*(AR556-36.8)))/2)+AR556*(1-AS556/2))/(1-MAX(0.1,MIN(0.3,0.3-0.09*(AR556-36.8)))/2)</f>
        <v/>
      </c>
      <c r="AO557">
        <f>((AM557/$B$7+T556*AS556/2-T557*MAX(0.1,MIN(0.3,0.3-0.09*(AN557-36.8)))/2)+AR556*(1-AS556/2))/(1-MAX(0.1,MIN(0.3,0.3-0.09*(AN557-36.8)))/2)</f>
        <v/>
      </c>
      <c r="AP557">
        <f>((AM557/$B$7+T556*AS556/2-T557*MAX(0.1,MIN(0.3,0.3-0.09*(AO557-36.8)))/2)+AR556*(1-AS556/2))/(1-MAX(0.1,MIN(0.3,0.3-0.09*(AO557-36.8)))/2)</f>
        <v/>
      </c>
      <c r="AQ557">
        <f>((AM557/$B$7+T556*AS556/2-T557*MAX(0.1,MIN(0.3,0.3-0.09*(AP557-36.8)))/2)+AR556*(1-AS556/2))/(1-MAX(0.1,MIN(0.3,0.3-0.09*(AP557-36.8)))/2)</f>
        <v/>
      </c>
      <c r="AR557">
        <f>((AM557/$B$7+T556*AS556/2-T557*MAX(0.1,MIN(0.3,0.3-0.09*(AQ557-36.8)))/2)+AR556*(1-AS556/2))/(1-MAX(0.1,MIN(0.3,0.3-0.09*(AQ557-36.8)))/2)</f>
        <v/>
      </c>
      <c r="AS557">
        <f>MAX(0.1,MIN(0.3,0.3-0.09*(AR557-36.8)))</f>
        <v/>
      </c>
      <c r="AT557">
        <f>AT556+(2*AR557-1.962*AT556-1.31)/9</f>
        <v/>
      </c>
      <c r="AU557">
        <f>AU556+AG557+K557</f>
        <v/>
      </c>
      <c r="AV557">
        <f>AU557*2.67*$B$6/1.8/60</f>
        <v/>
      </c>
      <c r="AW557">
        <f>IF(AT557&gt;=$B$36,1,0)</f>
        <v/>
      </c>
      <c r="AX557">
        <f>IF(AV557&gt;=$B$21,1,0)</f>
        <v/>
      </c>
    </row>
    <row r="558">
      <c r="A558" t="n">
        <v>485</v>
      </c>
      <c r="B558">
        <f>MATCH(A558-1,$D$61:$D$68,1)</f>
        <v/>
      </c>
      <c r="C558">
        <f>INDEX($G$61:$G$68,B558)</f>
        <v/>
      </c>
      <c r="D558">
        <f>INDEX($L$61:$L$68,B558)</f>
        <v/>
      </c>
      <c r="E558">
        <f>INDEX($M$61:$M$68,B558)</f>
        <v/>
      </c>
      <c r="F558">
        <f>INDEX($N$61:$N$68,B558)</f>
        <v/>
      </c>
      <c r="G558">
        <f>INDEX($AA$61:$AA$68,B558)</f>
        <v/>
      </c>
      <c r="H558">
        <f>INDEX($X$61:$X$68,B558)</f>
        <v/>
      </c>
      <c r="I558">
        <f>INDEX($AF$61:$AF$68,B558)</f>
        <v/>
      </c>
      <c r="J558">
        <f>INDEX($AC$61:$AC$68,B558)</f>
        <v/>
      </c>
      <c r="K558">
        <f>INDEX($AD$61:$AD$68,B558)</f>
        <v/>
      </c>
      <c r="L558">
        <f>INDEX($AG$61:$AG$68,B558)</f>
        <v/>
      </c>
      <c r="M558">
        <f>INDEX($AH$61:$AH$68,B558)</f>
        <v/>
      </c>
      <c r="N558">
        <f>INDEX($AI$61:$AI$68,B558)</f>
        <v/>
      </c>
      <c r="O558">
        <f>O557*$B$26+L558*(1-$B$26)</f>
        <v/>
      </c>
      <c r="P558">
        <f>$B$7*(O558-O557)*(1-AS557)</f>
        <v/>
      </c>
      <c r="Q558">
        <f>M558+0.51274*AT557</f>
        <v/>
      </c>
      <c r="R558">
        <f>N558+0.616*AT557</f>
        <v/>
      </c>
      <c r="S558">
        <f>IF($B$13&gt;=0.6,Q558,IF($B$13&lt;=0.2,R558,R558+2.5*(Q558-R558)*($B$13-0.2)))</f>
        <v/>
      </c>
      <c r="T558">
        <f>IF(A558=1,S558,T557*$B$27+S558*(1-$B$27))</f>
        <v/>
      </c>
      <c r="U558">
        <f>0.6105*EXP(17.27*T558/(T558+237.3))</f>
        <v/>
      </c>
      <c r="V558">
        <f>($B$14*(I558*C558+IF(ABS((D558+0.1)-D558)&lt;0.000000001,4*$B$19*$B$20*(D558+273)^3,$B$19*$B$20*(((D558+0.1)+273)^4-(D558+273)^4)/((D558+0.1)-D558))*D558)+T558/H558)/($B$14*(I558+IF(ABS((D558+0.1)-D558)&lt;0.000000001,4*$B$19*$B$20*(D558+273)^3,$B$19*$B$20*(((D558+0.1)+273)^4-(D558+273)^4)/((D558+0.1)-D558)))+1/H558)</f>
        <v/>
      </c>
      <c r="W558">
        <f>($B$14*(I558*C558+IF(ABS(V558-D558)&lt;0.000000001,4*$B$19*$B$20*(D558+273)^3,$B$19*$B$20*((V558+273)^4-(D558+273)^4)/(V558-D558))*D558)+T558/H558)/($B$14*(I558+IF(ABS(V558-D558)&lt;0.000000001,4*$B$19*$B$20*(D558+273)^3,$B$19*$B$20*((V558+273)^4-(D558+273)^4)/(V558-D558)))+1/H558)</f>
        <v/>
      </c>
      <c r="X558">
        <f>($B$14*(I558*C558+IF(ABS(W558-D558)&lt;0.000000001,4*$B$19*$B$20*(D558+273)^3,$B$19*$B$20*((W558+273)^4-(D558+273)^4)/(W558-D558))*D558)+T558/H558)/($B$14*(I558+IF(ABS(W558-D558)&lt;0.000000001,4*$B$19*$B$20*(D558+273)^3,$B$19*$B$20*((W558+273)^4-(D558+273)^4)/(W558-D558)))+1/H558)</f>
        <v/>
      </c>
      <c r="Y558">
        <f>($B$14*(I558*C558+IF(ABS(X558-D558)&lt;0.000000001,4*$B$19*$B$20*(D558+273)^3,$B$19*$B$20*((X558+273)^4-(D558+273)^4)/(X558-D558))*D558)+T558/H558)/($B$14*(I558+IF(ABS(X558-D558)&lt;0.000000001,4*$B$19*$B$20*(D558+273)^3,$B$19*$B$20*((X558+273)^4-(D558+273)^4)/(X558-D558)))+1/H558)</f>
        <v/>
      </c>
      <c r="Z558">
        <f>IF(ABS(Y558-D558)&lt;0.000000001,4*$B$19*$B$20*(D558+273)^3,$B$19*$B$20*((Y558+273)^4-(D558+273)^4)/(Y558-D558))</f>
        <v/>
      </c>
      <c r="AA558">
        <f>$B$14*I558*(Y558-C558)</f>
        <v/>
      </c>
      <c r="AB558">
        <f>$B$14*Z558*(Y558-D558)</f>
        <v/>
      </c>
      <c r="AC558">
        <f>IF((U558-E558)/G558=0,0.001,(U558-E558)/G558)</f>
        <v/>
      </c>
      <c r="AD558">
        <f>F558-P558-J558-K558-AA558-AB558</f>
        <v/>
      </c>
      <c r="AE558">
        <f>AD558/AC558</f>
        <v/>
      </c>
      <c r="AF558">
        <f>IF(AD558&lt;=0,0,IF(AC558&lt;=0,$B$11,IF(AE558&gt;=1.7,$B$11,MIN(AD558/MAX(0.05,IF(AE558&gt;1,(2-AE558)^2/2,1-AE558^2/2)),$B$11))))</f>
        <v/>
      </c>
      <c r="AG558">
        <f>AG557*$B$28+AF558*(1-$B$28)</f>
        <v/>
      </c>
      <c r="AH558">
        <f>IF(AND(AD558&gt;0,AC558&lt;=0),0,AC558)</f>
        <v/>
      </c>
      <c r="AI558">
        <f>AH558/MAX(AG558,0.000001)</f>
        <v/>
      </c>
      <c r="AJ558">
        <f>MIN(IF(AI558&gt;=0.5,-AI558+SQRT(AI558^2+2),1),$B$12)</f>
        <v/>
      </c>
      <c r="AK558">
        <f>IF(AG558&lt;=0,0,AJ558*AH558)</f>
        <v/>
      </c>
      <c r="AL558">
        <f>IF(AD558&lt;=0,0,AD558)</f>
        <v/>
      </c>
      <c r="AM558">
        <f>AL558-AK558+P558</f>
        <v/>
      </c>
      <c r="AN558">
        <f>((AM558/$B$7+T557*AS557/2-T558*MAX(0.1,MIN(0.3,0.3-0.09*(AR557-36.8)))/2)+AR557*(1-AS557/2))/(1-MAX(0.1,MIN(0.3,0.3-0.09*(AR557-36.8)))/2)</f>
        <v/>
      </c>
      <c r="AO558">
        <f>((AM558/$B$7+T557*AS557/2-T558*MAX(0.1,MIN(0.3,0.3-0.09*(AN558-36.8)))/2)+AR557*(1-AS557/2))/(1-MAX(0.1,MIN(0.3,0.3-0.09*(AN558-36.8)))/2)</f>
        <v/>
      </c>
      <c r="AP558">
        <f>((AM558/$B$7+T557*AS557/2-T558*MAX(0.1,MIN(0.3,0.3-0.09*(AO558-36.8)))/2)+AR557*(1-AS557/2))/(1-MAX(0.1,MIN(0.3,0.3-0.09*(AO558-36.8)))/2)</f>
        <v/>
      </c>
      <c r="AQ558">
        <f>((AM558/$B$7+T557*AS557/2-T558*MAX(0.1,MIN(0.3,0.3-0.09*(AP558-36.8)))/2)+AR557*(1-AS557/2))/(1-MAX(0.1,MIN(0.3,0.3-0.09*(AP558-36.8)))/2)</f>
        <v/>
      </c>
      <c r="AR558">
        <f>((AM558/$B$7+T557*AS557/2-T558*MAX(0.1,MIN(0.3,0.3-0.09*(AQ558-36.8)))/2)+AR557*(1-AS557/2))/(1-MAX(0.1,MIN(0.3,0.3-0.09*(AQ558-36.8)))/2)</f>
        <v/>
      </c>
      <c r="AS558">
        <f>MAX(0.1,MIN(0.3,0.3-0.09*(AR558-36.8)))</f>
        <v/>
      </c>
      <c r="AT558">
        <f>AT557+(2*AR558-1.962*AT557-1.31)/9</f>
        <v/>
      </c>
      <c r="AU558">
        <f>AU557+AG558+K558</f>
        <v/>
      </c>
      <c r="AV558">
        <f>AU558*2.67*$B$6/1.8/60</f>
        <v/>
      </c>
      <c r="AW558">
        <f>IF(AT558&gt;=$B$36,1,0)</f>
        <v/>
      </c>
      <c r="AX558">
        <f>IF(AV558&gt;=$B$21,1,0)</f>
        <v/>
      </c>
    </row>
    <row r="559">
      <c r="A559" t="n">
        <v>486</v>
      </c>
      <c r="B559">
        <f>MATCH(A559-1,$D$61:$D$68,1)</f>
        <v/>
      </c>
      <c r="C559">
        <f>INDEX($G$61:$G$68,B559)</f>
        <v/>
      </c>
      <c r="D559">
        <f>INDEX($L$61:$L$68,B559)</f>
        <v/>
      </c>
      <c r="E559">
        <f>INDEX($M$61:$M$68,B559)</f>
        <v/>
      </c>
      <c r="F559">
        <f>INDEX($N$61:$N$68,B559)</f>
        <v/>
      </c>
      <c r="G559">
        <f>INDEX($AA$61:$AA$68,B559)</f>
        <v/>
      </c>
      <c r="H559">
        <f>INDEX($X$61:$X$68,B559)</f>
        <v/>
      </c>
      <c r="I559">
        <f>INDEX($AF$61:$AF$68,B559)</f>
        <v/>
      </c>
      <c r="J559">
        <f>INDEX($AC$61:$AC$68,B559)</f>
        <v/>
      </c>
      <c r="K559">
        <f>INDEX($AD$61:$AD$68,B559)</f>
        <v/>
      </c>
      <c r="L559">
        <f>INDEX($AG$61:$AG$68,B559)</f>
        <v/>
      </c>
      <c r="M559">
        <f>INDEX($AH$61:$AH$68,B559)</f>
        <v/>
      </c>
      <c r="N559">
        <f>INDEX($AI$61:$AI$68,B559)</f>
        <v/>
      </c>
      <c r="O559">
        <f>O558*$B$26+L559*(1-$B$26)</f>
        <v/>
      </c>
      <c r="P559">
        <f>$B$7*(O559-O558)*(1-AS558)</f>
        <v/>
      </c>
      <c r="Q559">
        <f>M559+0.51274*AT558</f>
        <v/>
      </c>
      <c r="R559">
        <f>N559+0.616*AT558</f>
        <v/>
      </c>
      <c r="S559">
        <f>IF($B$13&gt;=0.6,Q559,IF($B$13&lt;=0.2,R559,R559+2.5*(Q559-R559)*($B$13-0.2)))</f>
        <v/>
      </c>
      <c r="T559">
        <f>IF(A559=1,S559,T558*$B$27+S559*(1-$B$27))</f>
        <v/>
      </c>
      <c r="U559">
        <f>0.6105*EXP(17.27*T559/(T559+237.3))</f>
        <v/>
      </c>
      <c r="V559">
        <f>($B$14*(I559*C559+IF(ABS((D559+0.1)-D559)&lt;0.000000001,4*$B$19*$B$20*(D559+273)^3,$B$19*$B$20*(((D559+0.1)+273)^4-(D559+273)^4)/((D559+0.1)-D559))*D559)+T559/H559)/($B$14*(I559+IF(ABS((D559+0.1)-D559)&lt;0.000000001,4*$B$19*$B$20*(D559+273)^3,$B$19*$B$20*(((D559+0.1)+273)^4-(D559+273)^4)/((D559+0.1)-D559)))+1/H559)</f>
        <v/>
      </c>
      <c r="W559">
        <f>($B$14*(I559*C559+IF(ABS(V559-D559)&lt;0.000000001,4*$B$19*$B$20*(D559+273)^3,$B$19*$B$20*((V559+273)^4-(D559+273)^4)/(V559-D559))*D559)+T559/H559)/($B$14*(I559+IF(ABS(V559-D559)&lt;0.000000001,4*$B$19*$B$20*(D559+273)^3,$B$19*$B$20*((V559+273)^4-(D559+273)^4)/(V559-D559)))+1/H559)</f>
        <v/>
      </c>
      <c r="X559">
        <f>($B$14*(I559*C559+IF(ABS(W559-D559)&lt;0.000000001,4*$B$19*$B$20*(D559+273)^3,$B$19*$B$20*((W559+273)^4-(D559+273)^4)/(W559-D559))*D559)+T559/H559)/($B$14*(I559+IF(ABS(W559-D559)&lt;0.000000001,4*$B$19*$B$20*(D559+273)^3,$B$19*$B$20*((W559+273)^4-(D559+273)^4)/(W559-D559)))+1/H559)</f>
        <v/>
      </c>
      <c r="Y559">
        <f>($B$14*(I559*C559+IF(ABS(X559-D559)&lt;0.000000001,4*$B$19*$B$20*(D559+273)^3,$B$19*$B$20*((X559+273)^4-(D559+273)^4)/(X559-D559))*D559)+T559/H559)/($B$14*(I559+IF(ABS(X559-D559)&lt;0.000000001,4*$B$19*$B$20*(D559+273)^3,$B$19*$B$20*((X559+273)^4-(D559+273)^4)/(X559-D559)))+1/H559)</f>
        <v/>
      </c>
      <c r="Z559">
        <f>IF(ABS(Y559-D559)&lt;0.000000001,4*$B$19*$B$20*(D559+273)^3,$B$19*$B$20*((Y559+273)^4-(D559+273)^4)/(Y559-D559))</f>
        <v/>
      </c>
      <c r="AA559">
        <f>$B$14*I559*(Y559-C559)</f>
        <v/>
      </c>
      <c r="AB559">
        <f>$B$14*Z559*(Y559-D559)</f>
        <v/>
      </c>
      <c r="AC559">
        <f>IF((U559-E559)/G559=0,0.001,(U559-E559)/G559)</f>
        <v/>
      </c>
      <c r="AD559">
        <f>F559-P559-J559-K559-AA559-AB559</f>
        <v/>
      </c>
      <c r="AE559">
        <f>AD559/AC559</f>
        <v/>
      </c>
      <c r="AF559">
        <f>IF(AD559&lt;=0,0,IF(AC559&lt;=0,$B$11,IF(AE559&gt;=1.7,$B$11,MIN(AD559/MAX(0.05,IF(AE559&gt;1,(2-AE559)^2/2,1-AE559^2/2)),$B$11))))</f>
        <v/>
      </c>
      <c r="AG559">
        <f>AG558*$B$28+AF559*(1-$B$28)</f>
        <v/>
      </c>
      <c r="AH559">
        <f>IF(AND(AD559&gt;0,AC559&lt;=0),0,AC559)</f>
        <v/>
      </c>
      <c r="AI559">
        <f>AH559/MAX(AG559,0.000001)</f>
        <v/>
      </c>
      <c r="AJ559">
        <f>MIN(IF(AI559&gt;=0.5,-AI559+SQRT(AI559^2+2),1),$B$12)</f>
        <v/>
      </c>
      <c r="AK559">
        <f>IF(AG559&lt;=0,0,AJ559*AH559)</f>
        <v/>
      </c>
      <c r="AL559">
        <f>IF(AD559&lt;=0,0,AD559)</f>
        <v/>
      </c>
      <c r="AM559">
        <f>AL559-AK559+P559</f>
        <v/>
      </c>
      <c r="AN559">
        <f>((AM559/$B$7+T558*AS558/2-T559*MAX(0.1,MIN(0.3,0.3-0.09*(AR558-36.8)))/2)+AR558*(1-AS558/2))/(1-MAX(0.1,MIN(0.3,0.3-0.09*(AR558-36.8)))/2)</f>
        <v/>
      </c>
      <c r="AO559">
        <f>((AM559/$B$7+T558*AS558/2-T559*MAX(0.1,MIN(0.3,0.3-0.09*(AN559-36.8)))/2)+AR558*(1-AS558/2))/(1-MAX(0.1,MIN(0.3,0.3-0.09*(AN559-36.8)))/2)</f>
        <v/>
      </c>
      <c r="AP559">
        <f>((AM559/$B$7+T558*AS558/2-T559*MAX(0.1,MIN(0.3,0.3-0.09*(AO559-36.8)))/2)+AR558*(1-AS558/2))/(1-MAX(0.1,MIN(0.3,0.3-0.09*(AO559-36.8)))/2)</f>
        <v/>
      </c>
      <c r="AQ559">
        <f>((AM559/$B$7+T558*AS558/2-T559*MAX(0.1,MIN(0.3,0.3-0.09*(AP559-36.8)))/2)+AR558*(1-AS558/2))/(1-MAX(0.1,MIN(0.3,0.3-0.09*(AP559-36.8)))/2)</f>
        <v/>
      </c>
      <c r="AR559">
        <f>((AM559/$B$7+T558*AS558/2-T559*MAX(0.1,MIN(0.3,0.3-0.09*(AQ559-36.8)))/2)+AR558*(1-AS558/2))/(1-MAX(0.1,MIN(0.3,0.3-0.09*(AQ559-36.8)))/2)</f>
        <v/>
      </c>
      <c r="AS559">
        <f>MAX(0.1,MIN(0.3,0.3-0.09*(AR559-36.8)))</f>
        <v/>
      </c>
      <c r="AT559">
        <f>AT558+(2*AR559-1.962*AT558-1.31)/9</f>
        <v/>
      </c>
      <c r="AU559">
        <f>AU558+AG559+K559</f>
        <v/>
      </c>
      <c r="AV559">
        <f>AU559*2.67*$B$6/1.8/60</f>
        <v/>
      </c>
      <c r="AW559">
        <f>IF(AT559&gt;=$B$36,1,0)</f>
        <v/>
      </c>
      <c r="AX559">
        <f>IF(AV559&gt;=$B$21,1,0)</f>
        <v/>
      </c>
    </row>
    <row r="560">
      <c r="A560" t="n">
        <v>487</v>
      </c>
      <c r="B560">
        <f>MATCH(A560-1,$D$61:$D$68,1)</f>
        <v/>
      </c>
      <c r="C560">
        <f>INDEX($G$61:$G$68,B560)</f>
        <v/>
      </c>
      <c r="D560">
        <f>INDEX($L$61:$L$68,B560)</f>
        <v/>
      </c>
      <c r="E560">
        <f>INDEX($M$61:$M$68,B560)</f>
        <v/>
      </c>
      <c r="F560">
        <f>INDEX($N$61:$N$68,B560)</f>
        <v/>
      </c>
      <c r="G560">
        <f>INDEX($AA$61:$AA$68,B560)</f>
        <v/>
      </c>
      <c r="H560">
        <f>INDEX($X$61:$X$68,B560)</f>
        <v/>
      </c>
      <c r="I560">
        <f>INDEX($AF$61:$AF$68,B560)</f>
        <v/>
      </c>
      <c r="J560">
        <f>INDEX($AC$61:$AC$68,B560)</f>
        <v/>
      </c>
      <c r="K560">
        <f>INDEX($AD$61:$AD$68,B560)</f>
        <v/>
      </c>
      <c r="L560">
        <f>INDEX($AG$61:$AG$68,B560)</f>
        <v/>
      </c>
      <c r="M560">
        <f>INDEX($AH$61:$AH$68,B560)</f>
        <v/>
      </c>
      <c r="N560">
        <f>INDEX($AI$61:$AI$68,B560)</f>
        <v/>
      </c>
      <c r="O560">
        <f>O559*$B$26+L560*(1-$B$26)</f>
        <v/>
      </c>
      <c r="P560">
        <f>$B$7*(O560-O559)*(1-AS559)</f>
        <v/>
      </c>
      <c r="Q560">
        <f>M560+0.51274*AT559</f>
        <v/>
      </c>
      <c r="R560">
        <f>N560+0.616*AT559</f>
        <v/>
      </c>
      <c r="S560">
        <f>IF($B$13&gt;=0.6,Q560,IF($B$13&lt;=0.2,R560,R560+2.5*(Q560-R560)*($B$13-0.2)))</f>
        <v/>
      </c>
      <c r="T560">
        <f>IF(A560=1,S560,T559*$B$27+S560*(1-$B$27))</f>
        <v/>
      </c>
      <c r="U560">
        <f>0.6105*EXP(17.27*T560/(T560+237.3))</f>
        <v/>
      </c>
      <c r="V560">
        <f>($B$14*(I560*C560+IF(ABS((D560+0.1)-D560)&lt;0.000000001,4*$B$19*$B$20*(D560+273)^3,$B$19*$B$20*(((D560+0.1)+273)^4-(D560+273)^4)/((D560+0.1)-D560))*D560)+T560/H560)/($B$14*(I560+IF(ABS((D560+0.1)-D560)&lt;0.000000001,4*$B$19*$B$20*(D560+273)^3,$B$19*$B$20*(((D560+0.1)+273)^4-(D560+273)^4)/((D560+0.1)-D560)))+1/H560)</f>
        <v/>
      </c>
      <c r="W560">
        <f>($B$14*(I560*C560+IF(ABS(V560-D560)&lt;0.000000001,4*$B$19*$B$20*(D560+273)^3,$B$19*$B$20*((V560+273)^4-(D560+273)^4)/(V560-D560))*D560)+T560/H560)/($B$14*(I560+IF(ABS(V560-D560)&lt;0.000000001,4*$B$19*$B$20*(D560+273)^3,$B$19*$B$20*((V560+273)^4-(D560+273)^4)/(V560-D560)))+1/H560)</f>
        <v/>
      </c>
      <c r="X560">
        <f>($B$14*(I560*C560+IF(ABS(W560-D560)&lt;0.000000001,4*$B$19*$B$20*(D560+273)^3,$B$19*$B$20*((W560+273)^4-(D560+273)^4)/(W560-D560))*D560)+T560/H560)/($B$14*(I560+IF(ABS(W560-D560)&lt;0.000000001,4*$B$19*$B$20*(D560+273)^3,$B$19*$B$20*((W560+273)^4-(D560+273)^4)/(W560-D560)))+1/H560)</f>
        <v/>
      </c>
      <c r="Y560">
        <f>($B$14*(I560*C560+IF(ABS(X560-D560)&lt;0.000000001,4*$B$19*$B$20*(D560+273)^3,$B$19*$B$20*((X560+273)^4-(D560+273)^4)/(X560-D560))*D560)+T560/H560)/($B$14*(I560+IF(ABS(X560-D560)&lt;0.000000001,4*$B$19*$B$20*(D560+273)^3,$B$19*$B$20*((X560+273)^4-(D560+273)^4)/(X560-D560)))+1/H560)</f>
        <v/>
      </c>
      <c r="Z560">
        <f>IF(ABS(Y560-D560)&lt;0.000000001,4*$B$19*$B$20*(D560+273)^3,$B$19*$B$20*((Y560+273)^4-(D560+273)^4)/(Y560-D560))</f>
        <v/>
      </c>
      <c r="AA560">
        <f>$B$14*I560*(Y560-C560)</f>
        <v/>
      </c>
      <c r="AB560">
        <f>$B$14*Z560*(Y560-D560)</f>
        <v/>
      </c>
      <c r="AC560">
        <f>IF((U560-E560)/G560=0,0.001,(U560-E560)/G560)</f>
        <v/>
      </c>
      <c r="AD560">
        <f>F560-P560-J560-K560-AA560-AB560</f>
        <v/>
      </c>
      <c r="AE560">
        <f>AD560/AC560</f>
        <v/>
      </c>
      <c r="AF560">
        <f>IF(AD560&lt;=0,0,IF(AC560&lt;=0,$B$11,IF(AE560&gt;=1.7,$B$11,MIN(AD560/MAX(0.05,IF(AE560&gt;1,(2-AE560)^2/2,1-AE560^2/2)),$B$11))))</f>
        <v/>
      </c>
      <c r="AG560">
        <f>AG559*$B$28+AF560*(1-$B$28)</f>
        <v/>
      </c>
      <c r="AH560">
        <f>IF(AND(AD560&gt;0,AC560&lt;=0),0,AC560)</f>
        <v/>
      </c>
      <c r="AI560">
        <f>AH560/MAX(AG560,0.000001)</f>
        <v/>
      </c>
      <c r="AJ560">
        <f>MIN(IF(AI560&gt;=0.5,-AI560+SQRT(AI560^2+2),1),$B$12)</f>
        <v/>
      </c>
      <c r="AK560">
        <f>IF(AG560&lt;=0,0,AJ560*AH560)</f>
        <v/>
      </c>
      <c r="AL560">
        <f>IF(AD560&lt;=0,0,AD560)</f>
        <v/>
      </c>
      <c r="AM560">
        <f>AL560-AK560+P560</f>
        <v/>
      </c>
      <c r="AN560">
        <f>((AM560/$B$7+T559*AS559/2-T560*MAX(0.1,MIN(0.3,0.3-0.09*(AR559-36.8)))/2)+AR559*(1-AS559/2))/(1-MAX(0.1,MIN(0.3,0.3-0.09*(AR559-36.8)))/2)</f>
        <v/>
      </c>
      <c r="AO560">
        <f>((AM560/$B$7+T559*AS559/2-T560*MAX(0.1,MIN(0.3,0.3-0.09*(AN560-36.8)))/2)+AR559*(1-AS559/2))/(1-MAX(0.1,MIN(0.3,0.3-0.09*(AN560-36.8)))/2)</f>
        <v/>
      </c>
      <c r="AP560">
        <f>((AM560/$B$7+T559*AS559/2-T560*MAX(0.1,MIN(0.3,0.3-0.09*(AO560-36.8)))/2)+AR559*(1-AS559/2))/(1-MAX(0.1,MIN(0.3,0.3-0.09*(AO560-36.8)))/2)</f>
        <v/>
      </c>
      <c r="AQ560">
        <f>((AM560/$B$7+T559*AS559/2-T560*MAX(0.1,MIN(0.3,0.3-0.09*(AP560-36.8)))/2)+AR559*(1-AS559/2))/(1-MAX(0.1,MIN(0.3,0.3-0.09*(AP560-36.8)))/2)</f>
        <v/>
      </c>
      <c r="AR560">
        <f>((AM560/$B$7+T559*AS559/2-T560*MAX(0.1,MIN(0.3,0.3-0.09*(AQ560-36.8)))/2)+AR559*(1-AS559/2))/(1-MAX(0.1,MIN(0.3,0.3-0.09*(AQ560-36.8)))/2)</f>
        <v/>
      </c>
      <c r="AS560">
        <f>MAX(0.1,MIN(0.3,0.3-0.09*(AR560-36.8)))</f>
        <v/>
      </c>
      <c r="AT560">
        <f>AT559+(2*AR560-1.962*AT559-1.31)/9</f>
        <v/>
      </c>
      <c r="AU560">
        <f>AU559+AG560+K560</f>
        <v/>
      </c>
      <c r="AV560">
        <f>AU560*2.67*$B$6/1.8/60</f>
        <v/>
      </c>
      <c r="AW560">
        <f>IF(AT560&gt;=$B$36,1,0)</f>
        <v/>
      </c>
      <c r="AX560">
        <f>IF(AV560&gt;=$B$21,1,0)</f>
        <v/>
      </c>
    </row>
    <row r="561">
      <c r="A561" t="n">
        <v>488</v>
      </c>
      <c r="B561">
        <f>MATCH(A561-1,$D$61:$D$68,1)</f>
        <v/>
      </c>
      <c r="C561">
        <f>INDEX($G$61:$G$68,B561)</f>
        <v/>
      </c>
      <c r="D561">
        <f>INDEX($L$61:$L$68,B561)</f>
        <v/>
      </c>
      <c r="E561">
        <f>INDEX($M$61:$M$68,B561)</f>
        <v/>
      </c>
      <c r="F561">
        <f>INDEX($N$61:$N$68,B561)</f>
        <v/>
      </c>
      <c r="G561">
        <f>INDEX($AA$61:$AA$68,B561)</f>
        <v/>
      </c>
      <c r="H561">
        <f>INDEX($X$61:$X$68,B561)</f>
        <v/>
      </c>
      <c r="I561">
        <f>INDEX($AF$61:$AF$68,B561)</f>
        <v/>
      </c>
      <c r="J561">
        <f>INDEX($AC$61:$AC$68,B561)</f>
        <v/>
      </c>
      <c r="K561">
        <f>INDEX($AD$61:$AD$68,B561)</f>
        <v/>
      </c>
      <c r="L561">
        <f>INDEX($AG$61:$AG$68,B561)</f>
        <v/>
      </c>
      <c r="M561">
        <f>INDEX($AH$61:$AH$68,B561)</f>
        <v/>
      </c>
      <c r="N561">
        <f>INDEX($AI$61:$AI$68,B561)</f>
        <v/>
      </c>
      <c r="O561">
        <f>O560*$B$26+L561*(1-$B$26)</f>
        <v/>
      </c>
      <c r="P561">
        <f>$B$7*(O561-O560)*(1-AS560)</f>
        <v/>
      </c>
      <c r="Q561">
        <f>M561+0.51274*AT560</f>
        <v/>
      </c>
      <c r="R561">
        <f>N561+0.616*AT560</f>
        <v/>
      </c>
      <c r="S561">
        <f>IF($B$13&gt;=0.6,Q561,IF($B$13&lt;=0.2,R561,R561+2.5*(Q561-R561)*($B$13-0.2)))</f>
        <v/>
      </c>
      <c r="T561">
        <f>IF(A561=1,S561,T560*$B$27+S561*(1-$B$27))</f>
        <v/>
      </c>
      <c r="U561">
        <f>0.6105*EXP(17.27*T561/(T561+237.3))</f>
        <v/>
      </c>
      <c r="V561">
        <f>($B$14*(I561*C561+IF(ABS((D561+0.1)-D561)&lt;0.000000001,4*$B$19*$B$20*(D561+273)^3,$B$19*$B$20*(((D561+0.1)+273)^4-(D561+273)^4)/((D561+0.1)-D561))*D561)+T561/H561)/($B$14*(I561+IF(ABS((D561+0.1)-D561)&lt;0.000000001,4*$B$19*$B$20*(D561+273)^3,$B$19*$B$20*(((D561+0.1)+273)^4-(D561+273)^4)/((D561+0.1)-D561)))+1/H561)</f>
        <v/>
      </c>
      <c r="W561">
        <f>($B$14*(I561*C561+IF(ABS(V561-D561)&lt;0.000000001,4*$B$19*$B$20*(D561+273)^3,$B$19*$B$20*((V561+273)^4-(D561+273)^4)/(V561-D561))*D561)+T561/H561)/($B$14*(I561+IF(ABS(V561-D561)&lt;0.000000001,4*$B$19*$B$20*(D561+273)^3,$B$19*$B$20*((V561+273)^4-(D561+273)^4)/(V561-D561)))+1/H561)</f>
        <v/>
      </c>
      <c r="X561">
        <f>($B$14*(I561*C561+IF(ABS(W561-D561)&lt;0.000000001,4*$B$19*$B$20*(D561+273)^3,$B$19*$B$20*((W561+273)^4-(D561+273)^4)/(W561-D561))*D561)+T561/H561)/($B$14*(I561+IF(ABS(W561-D561)&lt;0.000000001,4*$B$19*$B$20*(D561+273)^3,$B$19*$B$20*((W561+273)^4-(D561+273)^4)/(W561-D561)))+1/H561)</f>
        <v/>
      </c>
      <c r="Y561">
        <f>($B$14*(I561*C561+IF(ABS(X561-D561)&lt;0.000000001,4*$B$19*$B$20*(D561+273)^3,$B$19*$B$20*((X561+273)^4-(D561+273)^4)/(X561-D561))*D561)+T561/H561)/($B$14*(I561+IF(ABS(X561-D561)&lt;0.000000001,4*$B$19*$B$20*(D561+273)^3,$B$19*$B$20*((X561+273)^4-(D561+273)^4)/(X561-D561)))+1/H561)</f>
        <v/>
      </c>
      <c r="Z561">
        <f>IF(ABS(Y561-D561)&lt;0.000000001,4*$B$19*$B$20*(D561+273)^3,$B$19*$B$20*((Y561+273)^4-(D561+273)^4)/(Y561-D561))</f>
        <v/>
      </c>
      <c r="AA561">
        <f>$B$14*I561*(Y561-C561)</f>
        <v/>
      </c>
      <c r="AB561">
        <f>$B$14*Z561*(Y561-D561)</f>
        <v/>
      </c>
      <c r="AC561">
        <f>IF((U561-E561)/G561=0,0.001,(U561-E561)/G561)</f>
        <v/>
      </c>
      <c r="AD561">
        <f>F561-P561-J561-K561-AA561-AB561</f>
        <v/>
      </c>
      <c r="AE561">
        <f>AD561/AC561</f>
        <v/>
      </c>
      <c r="AF561">
        <f>IF(AD561&lt;=0,0,IF(AC561&lt;=0,$B$11,IF(AE561&gt;=1.7,$B$11,MIN(AD561/MAX(0.05,IF(AE561&gt;1,(2-AE561)^2/2,1-AE561^2/2)),$B$11))))</f>
        <v/>
      </c>
      <c r="AG561">
        <f>AG560*$B$28+AF561*(1-$B$28)</f>
        <v/>
      </c>
      <c r="AH561">
        <f>IF(AND(AD561&gt;0,AC561&lt;=0),0,AC561)</f>
        <v/>
      </c>
      <c r="AI561">
        <f>AH561/MAX(AG561,0.000001)</f>
        <v/>
      </c>
      <c r="AJ561">
        <f>MIN(IF(AI561&gt;=0.5,-AI561+SQRT(AI561^2+2),1),$B$12)</f>
        <v/>
      </c>
      <c r="AK561">
        <f>IF(AG561&lt;=0,0,AJ561*AH561)</f>
        <v/>
      </c>
      <c r="AL561">
        <f>IF(AD561&lt;=0,0,AD561)</f>
        <v/>
      </c>
      <c r="AM561">
        <f>AL561-AK561+P561</f>
        <v/>
      </c>
      <c r="AN561">
        <f>((AM561/$B$7+T560*AS560/2-T561*MAX(0.1,MIN(0.3,0.3-0.09*(AR560-36.8)))/2)+AR560*(1-AS560/2))/(1-MAX(0.1,MIN(0.3,0.3-0.09*(AR560-36.8)))/2)</f>
        <v/>
      </c>
      <c r="AO561">
        <f>((AM561/$B$7+T560*AS560/2-T561*MAX(0.1,MIN(0.3,0.3-0.09*(AN561-36.8)))/2)+AR560*(1-AS560/2))/(1-MAX(0.1,MIN(0.3,0.3-0.09*(AN561-36.8)))/2)</f>
        <v/>
      </c>
      <c r="AP561">
        <f>((AM561/$B$7+T560*AS560/2-T561*MAX(0.1,MIN(0.3,0.3-0.09*(AO561-36.8)))/2)+AR560*(1-AS560/2))/(1-MAX(0.1,MIN(0.3,0.3-0.09*(AO561-36.8)))/2)</f>
        <v/>
      </c>
      <c r="AQ561">
        <f>((AM561/$B$7+T560*AS560/2-T561*MAX(0.1,MIN(0.3,0.3-0.09*(AP561-36.8)))/2)+AR560*(1-AS560/2))/(1-MAX(0.1,MIN(0.3,0.3-0.09*(AP561-36.8)))/2)</f>
        <v/>
      </c>
      <c r="AR561">
        <f>((AM561/$B$7+T560*AS560/2-T561*MAX(0.1,MIN(0.3,0.3-0.09*(AQ561-36.8)))/2)+AR560*(1-AS560/2))/(1-MAX(0.1,MIN(0.3,0.3-0.09*(AQ561-36.8)))/2)</f>
        <v/>
      </c>
      <c r="AS561">
        <f>MAX(0.1,MIN(0.3,0.3-0.09*(AR561-36.8)))</f>
        <v/>
      </c>
      <c r="AT561">
        <f>AT560+(2*AR561-1.962*AT560-1.31)/9</f>
        <v/>
      </c>
      <c r="AU561">
        <f>AU560+AG561+K561</f>
        <v/>
      </c>
      <c r="AV561">
        <f>AU561*2.67*$B$6/1.8/60</f>
        <v/>
      </c>
      <c r="AW561">
        <f>IF(AT561&gt;=$B$36,1,0)</f>
        <v/>
      </c>
      <c r="AX561">
        <f>IF(AV561&gt;=$B$21,1,0)</f>
        <v/>
      </c>
    </row>
    <row r="562">
      <c r="A562" t="n">
        <v>489</v>
      </c>
      <c r="B562">
        <f>MATCH(A562-1,$D$61:$D$68,1)</f>
        <v/>
      </c>
      <c r="C562">
        <f>INDEX($G$61:$G$68,B562)</f>
        <v/>
      </c>
      <c r="D562">
        <f>INDEX($L$61:$L$68,B562)</f>
        <v/>
      </c>
      <c r="E562">
        <f>INDEX($M$61:$M$68,B562)</f>
        <v/>
      </c>
      <c r="F562">
        <f>INDEX($N$61:$N$68,B562)</f>
        <v/>
      </c>
      <c r="G562">
        <f>INDEX($AA$61:$AA$68,B562)</f>
        <v/>
      </c>
      <c r="H562">
        <f>INDEX($X$61:$X$68,B562)</f>
        <v/>
      </c>
      <c r="I562">
        <f>INDEX($AF$61:$AF$68,B562)</f>
        <v/>
      </c>
      <c r="J562">
        <f>INDEX($AC$61:$AC$68,B562)</f>
        <v/>
      </c>
      <c r="K562">
        <f>INDEX($AD$61:$AD$68,B562)</f>
        <v/>
      </c>
      <c r="L562">
        <f>INDEX($AG$61:$AG$68,B562)</f>
        <v/>
      </c>
      <c r="M562">
        <f>INDEX($AH$61:$AH$68,B562)</f>
        <v/>
      </c>
      <c r="N562">
        <f>INDEX($AI$61:$AI$68,B562)</f>
        <v/>
      </c>
      <c r="O562">
        <f>O561*$B$26+L562*(1-$B$26)</f>
        <v/>
      </c>
      <c r="P562">
        <f>$B$7*(O562-O561)*(1-AS561)</f>
        <v/>
      </c>
      <c r="Q562">
        <f>M562+0.51274*AT561</f>
        <v/>
      </c>
      <c r="R562">
        <f>N562+0.616*AT561</f>
        <v/>
      </c>
      <c r="S562">
        <f>IF($B$13&gt;=0.6,Q562,IF($B$13&lt;=0.2,R562,R562+2.5*(Q562-R562)*($B$13-0.2)))</f>
        <v/>
      </c>
      <c r="T562">
        <f>IF(A562=1,S562,T561*$B$27+S562*(1-$B$27))</f>
        <v/>
      </c>
      <c r="U562">
        <f>0.6105*EXP(17.27*T562/(T562+237.3))</f>
        <v/>
      </c>
      <c r="V562">
        <f>($B$14*(I562*C562+IF(ABS((D562+0.1)-D562)&lt;0.000000001,4*$B$19*$B$20*(D562+273)^3,$B$19*$B$20*(((D562+0.1)+273)^4-(D562+273)^4)/((D562+0.1)-D562))*D562)+T562/H562)/($B$14*(I562+IF(ABS((D562+0.1)-D562)&lt;0.000000001,4*$B$19*$B$20*(D562+273)^3,$B$19*$B$20*(((D562+0.1)+273)^4-(D562+273)^4)/((D562+0.1)-D562)))+1/H562)</f>
        <v/>
      </c>
      <c r="W562">
        <f>($B$14*(I562*C562+IF(ABS(V562-D562)&lt;0.000000001,4*$B$19*$B$20*(D562+273)^3,$B$19*$B$20*((V562+273)^4-(D562+273)^4)/(V562-D562))*D562)+T562/H562)/($B$14*(I562+IF(ABS(V562-D562)&lt;0.000000001,4*$B$19*$B$20*(D562+273)^3,$B$19*$B$20*((V562+273)^4-(D562+273)^4)/(V562-D562)))+1/H562)</f>
        <v/>
      </c>
      <c r="X562">
        <f>($B$14*(I562*C562+IF(ABS(W562-D562)&lt;0.000000001,4*$B$19*$B$20*(D562+273)^3,$B$19*$B$20*((W562+273)^4-(D562+273)^4)/(W562-D562))*D562)+T562/H562)/($B$14*(I562+IF(ABS(W562-D562)&lt;0.000000001,4*$B$19*$B$20*(D562+273)^3,$B$19*$B$20*((W562+273)^4-(D562+273)^4)/(W562-D562)))+1/H562)</f>
        <v/>
      </c>
      <c r="Y562">
        <f>($B$14*(I562*C562+IF(ABS(X562-D562)&lt;0.000000001,4*$B$19*$B$20*(D562+273)^3,$B$19*$B$20*((X562+273)^4-(D562+273)^4)/(X562-D562))*D562)+T562/H562)/($B$14*(I562+IF(ABS(X562-D562)&lt;0.000000001,4*$B$19*$B$20*(D562+273)^3,$B$19*$B$20*((X562+273)^4-(D562+273)^4)/(X562-D562)))+1/H562)</f>
        <v/>
      </c>
      <c r="Z562">
        <f>IF(ABS(Y562-D562)&lt;0.000000001,4*$B$19*$B$20*(D562+273)^3,$B$19*$B$20*((Y562+273)^4-(D562+273)^4)/(Y562-D562))</f>
        <v/>
      </c>
      <c r="AA562">
        <f>$B$14*I562*(Y562-C562)</f>
        <v/>
      </c>
      <c r="AB562">
        <f>$B$14*Z562*(Y562-D562)</f>
        <v/>
      </c>
      <c r="AC562">
        <f>IF((U562-E562)/G562=0,0.001,(U562-E562)/G562)</f>
        <v/>
      </c>
      <c r="AD562">
        <f>F562-P562-J562-K562-AA562-AB562</f>
        <v/>
      </c>
      <c r="AE562">
        <f>AD562/AC562</f>
        <v/>
      </c>
      <c r="AF562">
        <f>IF(AD562&lt;=0,0,IF(AC562&lt;=0,$B$11,IF(AE562&gt;=1.7,$B$11,MIN(AD562/MAX(0.05,IF(AE562&gt;1,(2-AE562)^2/2,1-AE562^2/2)),$B$11))))</f>
        <v/>
      </c>
      <c r="AG562">
        <f>AG561*$B$28+AF562*(1-$B$28)</f>
        <v/>
      </c>
      <c r="AH562">
        <f>IF(AND(AD562&gt;0,AC562&lt;=0),0,AC562)</f>
        <v/>
      </c>
      <c r="AI562">
        <f>AH562/MAX(AG562,0.000001)</f>
        <v/>
      </c>
      <c r="AJ562">
        <f>MIN(IF(AI562&gt;=0.5,-AI562+SQRT(AI562^2+2),1),$B$12)</f>
        <v/>
      </c>
      <c r="AK562">
        <f>IF(AG562&lt;=0,0,AJ562*AH562)</f>
        <v/>
      </c>
      <c r="AL562">
        <f>IF(AD562&lt;=0,0,AD562)</f>
        <v/>
      </c>
      <c r="AM562">
        <f>AL562-AK562+P562</f>
        <v/>
      </c>
      <c r="AN562">
        <f>((AM562/$B$7+T561*AS561/2-T562*MAX(0.1,MIN(0.3,0.3-0.09*(AR561-36.8)))/2)+AR561*(1-AS561/2))/(1-MAX(0.1,MIN(0.3,0.3-0.09*(AR561-36.8)))/2)</f>
        <v/>
      </c>
      <c r="AO562">
        <f>((AM562/$B$7+T561*AS561/2-T562*MAX(0.1,MIN(0.3,0.3-0.09*(AN562-36.8)))/2)+AR561*(1-AS561/2))/(1-MAX(0.1,MIN(0.3,0.3-0.09*(AN562-36.8)))/2)</f>
        <v/>
      </c>
      <c r="AP562">
        <f>((AM562/$B$7+T561*AS561/2-T562*MAX(0.1,MIN(0.3,0.3-0.09*(AO562-36.8)))/2)+AR561*(1-AS561/2))/(1-MAX(0.1,MIN(0.3,0.3-0.09*(AO562-36.8)))/2)</f>
        <v/>
      </c>
      <c r="AQ562">
        <f>((AM562/$B$7+T561*AS561/2-T562*MAX(0.1,MIN(0.3,0.3-0.09*(AP562-36.8)))/2)+AR561*(1-AS561/2))/(1-MAX(0.1,MIN(0.3,0.3-0.09*(AP562-36.8)))/2)</f>
        <v/>
      </c>
      <c r="AR562">
        <f>((AM562/$B$7+T561*AS561/2-T562*MAX(0.1,MIN(0.3,0.3-0.09*(AQ562-36.8)))/2)+AR561*(1-AS561/2))/(1-MAX(0.1,MIN(0.3,0.3-0.09*(AQ562-36.8)))/2)</f>
        <v/>
      </c>
      <c r="AS562">
        <f>MAX(0.1,MIN(0.3,0.3-0.09*(AR562-36.8)))</f>
        <v/>
      </c>
      <c r="AT562">
        <f>AT561+(2*AR562-1.962*AT561-1.31)/9</f>
        <v/>
      </c>
      <c r="AU562">
        <f>AU561+AG562+K562</f>
        <v/>
      </c>
      <c r="AV562">
        <f>AU562*2.67*$B$6/1.8/60</f>
        <v/>
      </c>
      <c r="AW562">
        <f>IF(AT562&gt;=$B$36,1,0)</f>
        <v/>
      </c>
      <c r="AX562">
        <f>IF(AV562&gt;=$B$21,1,0)</f>
        <v/>
      </c>
    </row>
    <row r="563">
      <c r="A563" t="n">
        <v>490</v>
      </c>
      <c r="B563">
        <f>MATCH(A563-1,$D$61:$D$68,1)</f>
        <v/>
      </c>
      <c r="C563">
        <f>INDEX($G$61:$G$68,B563)</f>
        <v/>
      </c>
      <c r="D563">
        <f>INDEX($L$61:$L$68,B563)</f>
        <v/>
      </c>
      <c r="E563">
        <f>INDEX($M$61:$M$68,B563)</f>
        <v/>
      </c>
      <c r="F563">
        <f>INDEX($N$61:$N$68,B563)</f>
        <v/>
      </c>
      <c r="G563">
        <f>INDEX($AA$61:$AA$68,B563)</f>
        <v/>
      </c>
      <c r="H563">
        <f>INDEX($X$61:$X$68,B563)</f>
        <v/>
      </c>
      <c r="I563">
        <f>INDEX($AF$61:$AF$68,B563)</f>
        <v/>
      </c>
      <c r="J563">
        <f>INDEX($AC$61:$AC$68,B563)</f>
        <v/>
      </c>
      <c r="K563">
        <f>INDEX($AD$61:$AD$68,B563)</f>
        <v/>
      </c>
      <c r="L563">
        <f>INDEX($AG$61:$AG$68,B563)</f>
        <v/>
      </c>
      <c r="M563">
        <f>INDEX($AH$61:$AH$68,B563)</f>
        <v/>
      </c>
      <c r="N563">
        <f>INDEX($AI$61:$AI$68,B563)</f>
        <v/>
      </c>
      <c r="O563">
        <f>O562*$B$26+L563*(1-$B$26)</f>
        <v/>
      </c>
      <c r="P563">
        <f>$B$7*(O563-O562)*(1-AS562)</f>
        <v/>
      </c>
      <c r="Q563">
        <f>M563+0.51274*AT562</f>
        <v/>
      </c>
      <c r="R563">
        <f>N563+0.616*AT562</f>
        <v/>
      </c>
      <c r="S563">
        <f>IF($B$13&gt;=0.6,Q563,IF($B$13&lt;=0.2,R563,R563+2.5*(Q563-R563)*($B$13-0.2)))</f>
        <v/>
      </c>
      <c r="T563">
        <f>IF(A563=1,S563,T562*$B$27+S563*(1-$B$27))</f>
        <v/>
      </c>
      <c r="U563">
        <f>0.6105*EXP(17.27*T563/(T563+237.3))</f>
        <v/>
      </c>
      <c r="V563">
        <f>($B$14*(I563*C563+IF(ABS((D563+0.1)-D563)&lt;0.000000001,4*$B$19*$B$20*(D563+273)^3,$B$19*$B$20*(((D563+0.1)+273)^4-(D563+273)^4)/((D563+0.1)-D563))*D563)+T563/H563)/($B$14*(I563+IF(ABS((D563+0.1)-D563)&lt;0.000000001,4*$B$19*$B$20*(D563+273)^3,$B$19*$B$20*(((D563+0.1)+273)^4-(D563+273)^4)/((D563+0.1)-D563)))+1/H563)</f>
        <v/>
      </c>
      <c r="W563">
        <f>($B$14*(I563*C563+IF(ABS(V563-D563)&lt;0.000000001,4*$B$19*$B$20*(D563+273)^3,$B$19*$B$20*((V563+273)^4-(D563+273)^4)/(V563-D563))*D563)+T563/H563)/($B$14*(I563+IF(ABS(V563-D563)&lt;0.000000001,4*$B$19*$B$20*(D563+273)^3,$B$19*$B$20*((V563+273)^4-(D563+273)^4)/(V563-D563)))+1/H563)</f>
        <v/>
      </c>
      <c r="X563">
        <f>($B$14*(I563*C563+IF(ABS(W563-D563)&lt;0.000000001,4*$B$19*$B$20*(D563+273)^3,$B$19*$B$20*((W563+273)^4-(D563+273)^4)/(W563-D563))*D563)+T563/H563)/($B$14*(I563+IF(ABS(W563-D563)&lt;0.000000001,4*$B$19*$B$20*(D563+273)^3,$B$19*$B$20*((W563+273)^4-(D563+273)^4)/(W563-D563)))+1/H563)</f>
        <v/>
      </c>
      <c r="Y563">
        <f>($B$14*(I563*C563+IF(ABS(X563-D563)&lt;0.000000001,4*$B$19*$B$20*(D563+273)^3,$B$19*$B$20*((X563+273)^4-(D563+273)^4)/(X563-D563))*D563)+T563/H563)/($B$14*(I563+IF(ABS(X563-D563)&lt;0.000000001,4*$B$19*$B$20*(D563+273)^3,$B$19*$B$20*((X563+273)^4-(D563+273)^4)/(X563-D563)))+1/H563)</f>
        <v/>
      </c>
      <c r="Z563">
        <f>IF(ABS(Y563-D563)&lt;0.000000001,4*$B$19*$B$20*(D563+273)^3,$B$19*$B$20*((Y563+273)^4-(D563+273)^4)/(Y563-D563))</f>
        <v/>
      </c>
      <c r="AA563">
        <f>$B$14*I563*(Y563-C563)</f>
        <v/>
      </c>
      <c r="AB563">
        <f>$B$14*Z563*(Y563-D563)</f>
        <v/>
      </c>
      <c r="AC563">
        <f>IF((U563-E563)/G563=0,0.001,(U563-E563)/G563)</f>
        <v/>
      </c>
      <c r="AD563">
        <f>F563-P563-J563-K563-AA563-AB563</f>
        <v/>
      </c>
      <c r="AE563">
        <f>AD563/AC563</f>
        <v/>
      </c>
      <c r="AF563">
        <f>IF(AD563&lt;=0,0,IF(AC563&lt;=0,$B$11,IF(AE563&gt;=1.7,$B$11,MIN(AD563/MAX(0.05,IF(AE563&gt;1,(2-AE563)^2/2,1-AE563^2/2)),$B$11))))</f>
        <v/>
      </c>
      <c r="AG563">
        <f>AG562*$B$28+AF563*(1-$B$28)</f>
        <v/>
      </c>
      <c r="AH563">
        <f>IF(AND(AD563&gt;0,AC563&lt;=0),0,AC563)</f>
        <v/>
      </c>
      <c r="AI563">
        <f>AH563/MAX(AG563,0.000001)</f>
        <v/>
      </c>
      <c r="AJ563">
        <f>MIN(IF(AI563&gt;=0.5,-AI563+SQRT(AI563^2+2),1),$B$12)</f>
        <v/>
      </c>
      <c r="AK563">
        <f>IF(AG563&lt;=0,0,AJ563*AH563)</f>
        <v/>
      </c>
      <c r="AL563">
        <f>IF(AD563&lt;=0,0,AD563)</f>
        <v/>
      </c>
      <c r="AM563">
        <f>AL563-AK563+P563</f>
        <v/>
      </c>
      <c r="AN563">
        <f>((AM563/$B$7+T562*AS562/2-T563*MAX(0.1,MIN(0.3,0.3-0.09*(AR562-36.8)))/2)+AR562*(1-AS562/2))/(1-MAX(0.1,MIN(0.3,0.3-0.09*(AR562-36.8)))/2)</f>
        <v/>
      </c>
      <c r="AO563">
        <f>((AM563/$B$7+T562*AS562/2-T563*MAX(0.1,MIN(0.3,0.3-0.09*(AN563-36.8)))/2)+AR562*(1-AS562/2))/(1-MAX(0.1,MIN(0.3,0.3-0.09*(AN563-36.8)))/2)</f>
        <v/>
      </c>
      <c r="AP563">
        <f>((AM563/$B$7+T562*AS562/2-T563*MAX(0.1,MIN(0.3,0.3-0.09*(AO563-36.8)))/2)+AR562*(1-AS562/2))/(1-MAX(0.1,MIN(0.3,0.3-0.09*(AO563-36.8)))/2)</f>
        <v/>
      </c>
      <c r="AQ563">
        <f>((AM563/$B$7+T562*AS562/2-T563*MAX(0.1,MIN(0.3,0.3-0.09*(AP563-36.8)))/2)+AR562*(1-AS562/2))/(1-MAX(0.1,MIN(0.3,0.3-0.09*(AP563-36.8)))/2)</f>
        <v/>
      </c>
      <c r="AR563">
        <f>((AM563/$B$7+T562*AS562/2-T563*MAX(0.1,MIN(0.3,0.3-0.09*(AQ563-36.8)))/2)+AR562*(1-AS562/2))/(1-MAX(0.1,MIN(0.3,0.3-0.09*(AQ563-36.8)))/2)</f>
        <v/>
      </c>
      <c r="AS563">
        <f>MAX(0.1,MIN(0.3,0.3-0.09*(AR563-36.8)))</f>
        <v/>
      </c>
      <c r="AT563">
        <f>AT562+(2*AR563-1.962*AT562-1.31)/9</f>
        <v/>
      </c>
      <c r="AU563">
        <f>AU562+AG563+K563</f>
        <v/>
      </c>
      <c r="AV563">
        <f>AU563*2.67*$B$6/1.8/60</f>
        <v/>
      </c>
      <c r="AW563">
        <f>IF(AT563&gt;=$B$36,1,0)</f>
        <v/>
      </c>
      <c r="AX563">
        <f>IF(AV563&gt;=$B$21,1,0)</f>
        <v/>
      </c>
    </row>
    <row r="564">
      <c r="A564" t="n">
        <v>491</v>
      </c>
      <c r="B564">
        <f>MATCH(A564-1,$D$61:$D$68,1)</f>
        <v/>
      </c>
      <c r="C564">
        <f>INDEX($G$61:$G$68,B564)</f>
        <v/>
      </c>
      <c r="D564">
        <f>INDEX($L$61:$L$68,B564)</f>
        <v/>
      </c>
      <c r="E564">
        <f>INDEX($M$61:$M$68,B564)</f>
        <v/>
      </c>
      <c r="F564">
        <f>INDEX($N$61:$N$68,B564)</f>
        <v/>
      </c>
      <c r="G564">
        <f>INDEX($AA$61:$AA$68,B564)</f>
        <v/>
      </c>
      <c r="H564">
        <f>INDEX($X$61:$X$68,B564)</f>
        <v/>
      </c>
      <c r="I564">
        <f>INDEX($AF$61:$AF$68,B564)</f>
        <v/>
      </c>
      <c r="J564">
        <f>INDEX($AC$61:$AC$68,B564)</f>
        <v/>
      </c>
      <c r="K564">
        <f>INDEX($AD$61:$AD$68,B564)</f>
        <v/>
      </c>
      <c r="L564">
        <f>INDEX($AG$61:$AG$68,B564)</f>
        <v/>
      </c>
      <c r="M564">
        <f>INDEX($AH$61:$AH$68,B564)</f>
        <v/>
      </c>
      <c r="N564">
        <f>INDEX($AI$61:$AI$68,B564)</f>
        <v/>
      </c>
      <c r="O564">
        <f>O563*$B$26+L564*(1-$B$26)</f>
        <v/>
      </c>
      <c r="P564">
        <f>$B$7*(O564-O563)*(1-AS563)</f>
        <v/>
      </c>
      <c r="Q564">
        <f>M564+0.51274*AT563</f>
        <v/>
      </c>
      <c r="R564">
        <f>N564+0.616*AT563</f>
        <v/>
      </c>
      <c r="S564">
        <f>IF($B$13&gt;=0.6,Q564,IF($B$13&lt;=0.2,R564,R564+2.5*(Q564-R564)*($B$13-0.2)))</f>
        <v/>
      </c>
      <c r="T564">
        <f>IF(A564=1,S564,T563*$B$27+S564*(1-$B$27))</f>
        <v/>
      </c>
      <c r="U564">
        <f>0.6105*EXP(17.27*T564/(T564+237.3))</f>
        <v/>
      </c>
      <c r="V564">
        <f>($B$14*(I564*C564+IF(ABS((D564+0.1)-D564)&lt;0.000000001,4*$B$19*$B$20*(D564+273)^3,$B$19*$B$20*(((D564+0.1)+273)^4-(D564+273)^4)/((D564+0.1)-D564))*D564)+T564/H564)/($B$14*(I564+IF(ABS((D564+0.1)-D564)&lt;0.000000001,4*$B$19*$B$20*(D564+273)^3,$B$19*$B$20*(((D564+0.1)+273)^4-(D564+273)^4)/((D564+0.1)-D564)))+1/H564)</f>
        <v/>
      </c>
      <c r="W564">
        <f>($B$14*(I564*C564+IF(ABS(V564-D564)&lt;0.000000001,4*$B$19*$B$20*(D564+273)^3,$B$19*$B$20*((V564+273)^4-(D564+273)^4)/(V564-D564))*D564)+T564/H564)/($B$14*(I564+IF(ABS(V564-D564)&lt;0.000000001,4*$B$19*$B$20*(D564+273)^3,$B$19*$B$20*((V564+273)^4-(D564+273)^4)/(V564-D564)))+1/H564)</f>
        <v/>
      </c>
      <c r="X564">
        <f>($B$14*(I564*C564+IF(ABS(W564-D564)&lt;0.000000001,4*$B$19*$B$20*(D564+273)^3,$B$19*$B$20*((W564+273)^4-(D564+273)^4)/(W564-D564))*D564)+T564/H564)/($B$14*(I564+IF(ABS(W564-D564)&lt;0.000000001,4*$B$19*$B$20*(D564+273)^3,$B$19*$B$20*((W564+273)^4-(D564+273)^4)/(W564-D564)))+1/H564)</f>
        <v/>
      </c>
      <c r="Y564">
        <f>($B$14*(I564*C564+IF(ABS(X564-D564)&lt;0.000000001,4*$B$19*$B$20*(D564+273)^3,$B$19*$B$20*((X564+273)^4-(D564+273)^4)/(X564-D564))*D564)+T564/H564)/($B$14*(I564+IF(ABS(X564-D564)&lt;0.000000001,4*$B$19*$B$20*(D564+273)^3,$B$19*$B$20*((X564+273)^4-(D564+273)^4)/(X564-D564)))+1/H564)</f>
        <v/>
      </c>
      <c r="Z564">
        <f>IF(ABS(Y564-D564)&lt;0.000000001,4*$B$19*$B$20*(D564+273)^3,$B$19*$B$20*((Y564+273)^4-(D564+273)^4)/(Y564-D564))</f>
        <v/>
      </c>
      <c r="AA564">
        <f>$B$14*I564*(Y564-C564)</f>
        <v/>
      </c>
      <c r="AB564">
        <f>$B$14*Z564*(Y564-D564)</f>
        <v/>
      </c>
      <c r="AC564">
        <f>IF((U564-E564)/G564=0,0.001,(U564-E564)/G564)</f>
        <v/>
      </c>
      <c r="AD564">
        <f>F564-P564-J564-K564-AA564-AB564</f>
        <v/>
      </c>
      <c r="AE564">
        <f>AD564/AC564</f>
        <v/>
      </c>
      <c r="AF564">
        <f>IF(AD564&lt;=0,0,IF(AC564&lt;=0,$B$11,IF(AE564&gt;=1.7,$B$11,MIN(AD564/MAX(0.05,IF(AE564&gt;1,(2-AE564)^2/2,1-AE564^2/2)),$B$11))))</f>
        <v/>
      </c>
      <c r="AG564">
        <f>AG563*$B$28+AF564*(1-$B$28)</f>
        <v/>
      </c>
      <c r="AH564">
        <f>IF(AND(AD564&gt;0,AC564&lt;=0),0,AC564)</f>
        <v/>
      </c>
      <c r="AI564">
        <f>AH564/MAX(AG564,0.000001)</f>
        <v/>
      </c>
      <c r="AJ564">
        <f>MIN(IF(AI564&gt;=0.5,-AI564+SQRT(AI564^2+2),1),$B$12)</f>
        <v/>
      </c>
      <c r="AK564">
        <f>IF(AG564&lt;=0,0,AJ564*AH564)</f>
        <v/>
      </c>
      <c r="AL564">
        <f>IF(AD564&lt;=0,0,AD564)</f>
        <v/>
      </c>
      <c r="AM564">
        <f>AL564-AK564+P564</f>
        <v/>
      </c>
      <c r="AN564">
        <f>((AM564/$B$7+T563*AS563/2-T564*MAX(0.1,MIN(0.3,0.3-0.09*(AR563-36.8)))/2)+AR563*(1-AS563/2))/(1-MAX(0.1,MIN(0.3,0.3-0.09*(AR563-36.8)))/2)</f>
        <v/>
      </c>
      <c r="AO564">
        <f>((AM564/$B$7+T563*AS563/2-T564*MAX(0.1,MIN(0.3,0.3-0.09*(AN564-36.8)))/2)+AR563*(1-AS563/2))/(1-MAX(0.1,MIN(0.3,0.3-0.09*(AN564-36.8)))/2)</f>
        <v/>
      </c>
      <c r="AP564">
        <f>((AM564/$B$7+T563*AS563/2-T564*MAX(0.1,MIN(0.3,0.3-0.09*(AO564-36.8)))/2)+AR563*(1-AS563/2))/(1-MAX(0.1,MIN(0.3,0.3-0.09*(AO564-36.8)))/2)</f>
        <v/>
      </c>
      <c r="AQ564">
        <f>((AM564/$B$7+T563*AS563/2-T564*MAX(0.1,MIN(0.3,0.3-0.09*(AP564-36.8)))/2)+AR563*(1-AS563/2))/(1-MAX(0.1,MIN(0.3,0.3-0.09*(AP564-36.8)))/2)</f>
        <v/>
      </c>
      <c r="AR564">
        <f>((AM564/$B$7+T563*AS563/2-T564*MAX(0.1,MIN(0.3,0.3-0.09*(AQ564-36.8)))/2)+AR563*(1-AS563/2))/(1-MAX(0.1,MIN(0.3,0.3-0.09*(AQ564-36.8)))/2)</f>
        <v/>
      </c>
      <c r="AS564">
        <f>MAX(0.1,MIN(0.3,0.3-0.09*(AR564-36.8)))</f>
        <v/>
      </c>
      <c r="AT564">
        <f>AT563+(2*AR564-1.962*AT563-1.31)/9</f>
        <v/>
      </c>
      <c r="AU564">
        <f>AU563+AG564+K564</f>
        <v/>
      </c>
      <c r="AV564">
        <f>AU564*2.67*$B$6/1.8/60</f>
        <v/>
      </c>
      <c r="AW564">
        <f>IF(AT564&gt;=$B$36,1,0)</f>
        <v/>
      </c>
      <c r="AX564">
        <f>IF(AV564&gt;=$B$21,1,0)</f>
        <v/>
      </c>
    </row>
    <row r="565">
      <c r="A565" t="n">
        <v>492</v>
      </c>
      <c r="B565">
        <f>MATCH(A565-1,$D$61:$D$68,1)</f>
        <v/>
      </c>
      <c r="C565">
        <f>INDEX($G$61:$G$68,B565)</f>
        <v/>
      </c>
      <c r="D565">
        <f>INDEX($L$61:$L$68,B565)</f>
        <v/>
      </c>
      <c r="E565">
        <f>INDEX($M$61:$M$68,B565)</f>
        <v/>
      </c>
      <c r="F565">
        <f>INDEX($N$61:$N$68,B565)</f>
        <v/>
      </c>
      <c r="G565">
        <f>INDEX($AA$61:$AA$68,B565)</f>
        <v/>
      </c>
      <c r="H565">
        <f>INDEX($X$61:$X$68,B565)</f>
        <v/>
      </c>
      <c r="I565">
        <f>INDEX($AF$61:$AF$68,B565)</f>
        <v/>
      </c>
      <c r="J565">
        <f>INDEX($AC$61:$AC$68,B565)</f>
        <v/>
      </c>
      <c r="K565">
        <f>INDEX($AD$61:$AD$68,B565)</f>
        <v/>
      </c>
      <c r="L565">
        <f>INDEX($AG$61:$AG$68,B565)</f>
        <v/>
      </c>
      <c r="M565">
        <f>INDEX($AH$61:$AH$68,B565)</f>
        <v/>
      </c>
      <c r="N565">
        <f>INDEX($AI$61:$AI$68,B565)</f>
        <v/>
      </c>
      <c r="O565">
        <f>O564*$B$26+L565*(1-$B$26)</f>
        <v/>
      </c>
      <c r="P565">
        <f>$B$7*(O565-O564)*(1-AS564)</f>
        <v/>
      </c>
      <c r="Q565">
        <f>M565+0.51274*AT564</f>
        <v/>
      </c>
      <c r="R565">
        <f>N565+0.616*AT564</f>
        <v/>
      </c>
      <c r="S565">
        <f>IF($B$13&gt;=0.6,Q565,IF($B$13&lt;=0.2,R565,R565+2.5*(Q565-R565)*($B$13-0.2)))</f>
        <v/>
      </c>
      <c r="T565">
        <f>IF(A565=1,S565,T564*$B$27+S565*(1-$B$27))</f>
        <v/>
      </c>
      <c r="U565">
        <f>0.6105*EXP(17.27*T565/(T565+237.3))</f>
        <v/>
      </c>
      <c r="V565">
        <f>($B$14*(I565*C565+IF(ABS((D565+0.1)-D565)&lt;0.000000001,4*$B$19*$B$20*(D565+273)^3,$B$19*$B$20*(((D565+0.1)+273)^4-(D565+273)^4)/((D565+0.1)-D565))*D565)+T565/H565)/($B$14*(I565+IF(ABS((D565+0.1)-D565)&lt;0.000000001,4*$B$19*$B$20*(D565+273)^3,$B$19*$B$20*(((D565+0.1)+273)^4-(D565+273)^4)/((D565+0.1)-D565)))+1/H565)</f>
        <v/>
      </c>
      <c r="W565">
        <f>($B$14*(I565*C565+IF(ABS(V565-D565)&lt;0.000000001,4*$B$19*$B$20*(D565+273)^3,$B$19*$B$20*((V565+273)^4-(D565+273)^4)/(V565-D565))*D565)+T565/H565)/($B$14*(I565+IF(ABS(V565-D565)&lt;0.000000001,4*$B$19*$B$20*(D565+273)^3,$B$19*$B$20*((V565+273)^4-(D565+273)^4)/(V565-D565)))+1/H565)</f>
        <v/>
      </c>
      <c r="X565">
        <f>($B$14*(I565*C565+IF(ABS(W565-D565)&lt;0.000000001,4*$B$19*$B$20*(D565+273)^3,$B$19*$B$20*((W565+273)^4-(D565+273)^4)/(W565-D565))*D565)+T565/H565)/($B$14*(I565+IF(ABS(W565-D565)&lt;0.000000001,4*$B$19*$B$20*(D565+273)^3,$B$19*$B$20*((W565+273)^4-(D565+273)^4)/(W565-D565)))+1/H565)</f>
        <v/>
      </c>
      <c r="Y565">
        <f>($B$14*(I565*C565+IF(ABS(X565-D565)&lt;0.000000001,4*$B$19*$B$20*(D565+273)^3,$B$19*$B$20*((X565+273)^4-(D565+273)^4)/(X565-D565))*D565)+T565/H565)/($B$14*(I565+IF(ABS(X565-D565)&lt;0.000000001,4*$B$19*$B$20*(D565+273)^3,$B$19*$B$20*((X565+273)^4-(D565+273)^4)/(X565-D565)))+1/H565)</f>
        <v/>
      </c>
      <c r="Z565">
        <f>IF(ABS(Y565-D565)&lt;0.000000001,4*$B$19*$B$20*(D565+273)^3,$B$19*$B$20*((Y565+273)^4-(D565+273)^4)/(Y565-D565))</f>
        <v/>
      </c>
      <c r="AA565">
        <f>$B$14*I565*(Y565-C565)</f>
        <v/>
      </c>
      <c r="AB565">
        <f>$B$14*Z565*(Y565-D565)</f>
        <v/>
      </c>
      <c r="AC565">
        <f>IF((U565-E565)/G565=0,0.001,(U565-E565)/G565)</f>
        <v/>
      </c>
      <c r="AD565">
        <f>F565-P565-J565-K565-AA565-AB565</f>
        <v/>
      </c>
      <c r="AE565">
        <f>AD565/AC565</f>
        <v/>
      </c>
      <c r="AF565">
        <f>IF(AD565&lt;=0,0,IF(AC565&lt;=0,$B$11,IF(AE565&gt;=1.7,$B$11,MIN(AD565/MAX(0.05,IF(AE565&gt;1,(2-AE565)^2/2,1-AE565^2/2)),$B$11))))</f>
        <v/>
      </c>
      <c r="AG565">
        <f>AG564*$B$28+AF565*(1-$B$28)</f>
        <v/>
      </c>
      <c r="AH565">
        <f>IF(AND(AD565&gt;0,AC565&lt;=0),0,AC565)</f>
        <v/>
      </c>
      <c r="AI565">
        <f>AH565/MAX(AG565,0.000001)</f>
        <v/>
      </c>
      <c r="AJ565">
        <f>MIN(IF(AI565&gt;=0.5,-AI565+SQRT(AI565^2+2),1),$B$12)</f>
        <v/>
      </c>
      <c r="AK565">
        <f>IF(AG565&lt;=0,0,AJ565*AH565)</f>
        <v/>
      </c>
      <c r="AL565">
        <f>IF(AD565&lt;=0,0,AD565)</f>
        <v/>
      </c>
      <c r="AM565">
        <f>AL565-AK565+P565</f>
        <v/>
      </c>
      <c r="AN565">
        <f>((AM565/$B$7+T564*AS564/2-T565*MAX(0.1,MIN(0.3,0.3-0.09*(AR564-36.8)))/2)+AR564*(1-AS564/2))/(1-MAX(0.1,MIN(0.3,0.3-0.09*(AR564-36.8)))/2)</f>
        <v/>
      </c>
      <c r="AO565">
        <f>((AM565/$B$7+T564*AS564/2-T565*MAX(0.1,MIN(0.3,0.3-0.09*(AN565-36.8)))/2)+AR564*(1-AS564/2))/(1-MAX(0.1,MIN(0.3,0.3-0.09*(AN565-36.8)))/2)</f>
        <v/>
      </c>
      <c r="AP565">
        <f>((AM565/$B$7+T564*AS564/2-T565*MAX(0.1,MIN(0.3,0.3-0.09*(AO565-36.8)))/2)+AR564*(1-AS564/2))/(1-MAX(0.1,MIN(0.3,0.3-0.09*(AO565-36.8)))/2)</f>
        <v/>
      </c>
      <c r="AQ565">
        <f>((AM565/$B$7+T564*AS564/2-T565*MAX(0.1,MIN(0.3,0.3-0.09*(AP565-36.8)))/2)+AR564*(1-AS564/2))/(1-MAX(0.1,MIN(0.3,0.3-0.09*(AP565-36.8)))/2)</f>
        <v/>
      </c>
      <c r="AR565">
        <f>((AM565/$B$7+T564*AS564/2-T565*MAX(0.1,MIN(0.3,0.3-0.09*(AQ565-36.8)))/2)+AR564*(1-AS564/2))/(1-MAX(0.1,MIN(0.3,0.3-0.09*(AQ565-36.8)))/2)</f>
        <v/>
      </c>
      <c r="AS565">
        <f>MAX(0.1,MIN(0.3,0.3-0.09*(AR565-36.8)))</f>
        <v/>
      </c>
      <c r="AT565">
        <f>AT564+(2*AR565-1.962*AT564-1.31)/9</f>
        <v/>
      </c>
      <c r="AU565">
        <f>AU564+AG565+K565</f>
        <v/>
      </c>
      <c r="AV565">
        <f>AU565*2.67*$B$6/1.8/60</f>
        <v/>
      </c>
      <c r="AW565">
        <f>IF(AT565&gt;=$B$36,1,0)</f>
        <v/>
      </c>
      <c r="AX565">
        <f>IF(AV565&gt;=$B$21,1,0)</f>
        <v/>
      </c>
    </row>
    <row r="566">
      <c r="A566" t="n">
        <v>493</v>
      </c>
      <c r="B566">
        <f>MATCH(A566-1,$D$61:$D$68,1)</f>
        <v/>
      </c>
      <c r="C566">
        <f>INDEX($G$61:$G$68,B566)</f>
        <v/>
      </c>
      <c r="D566">
        <f>INDEX($L$61:$L$68,B566)</f>
        <v/>
      </c>
      <c r="E566">
        <f>INDEX($M$61:$M$68,B566)</f>
        <v/>
      </c>
      <c r="F566">
        <f>INDEX($N$61:$N$68,B566)</f>
        <v/>
      </c>
      <c r="G566">
        <f>INDEX($AA$61:$AA$68,B566)</f>
        <v/>
      </c>
      <c r="H566">
        <f>INDEX($X$61:$X$68,B566)</f>
        <v/>
      </c>
      <c r="I566">
        <f>INDEX($AF$61:$AF$68,B566)</f>
        <v/>
      </c>
      <c r="J566">
        <f>INDEX($AC$61:$AC$68,B566)</f>
        <v/>
      </c>
      <c r="K566">
        <f>INDEX($AD$61:$AD$68,B566)</f>
        <v/>
      </c>
      <c r="L566">
        <f>INDEX($AG$61:$AG$68,B566)</f>
        <v/>
      </c>
      <c r="M566">
        <f>INDEX($AH$61:$AH$68,B566)</f>
        <v/>
      </c>
      <c r="N566">
        <f>INDEX($AI$61:$AI$68,B566)</f>
        <v/>
      </c>
      <c r="O566">
        <f>O565*$B$26+L566*(1-$B$26)</f>
        <v/>
      </c>
      <c r="P566">
        <f>$B$7*(O566-O565)*(1-AS565)</f>
        <v/>
      </c>
      <c r="Q566">
        <f>M566+0.51274*AT565</f>
        <v/>
      </c>
      <c r="R566">
        <f>N566+0.616*AT565</f>
        <v/>
      </c>
      <c r="S566">
        <f>IF($B$13&gt;=0.6,Q566,IF($B$13&lt;=0.2,R566,R566+2.5*(Q566-R566)*($B$13-0.2)))</f>
        <v/>
      </c>
      <c r="T566">
        <f>IF(A566=1,S566,T565*$B$27+S566*(1-$B$27))</f>
        <v/>
      </c>
      <c r="U566">
        <f>0.6105*EXP(17.27*T566/(T566+237.3))</f>
        <v/>
      </c>
      <c r="V566">
        <f>($B$14*(I566*C566+IF(ABS((D566+0.1)-D566)&lt;0.000000001,4*$B$19*$B$20*(D566+273)^3,$B$19*$B$20*(((D566+0.1)+273)^4-(D566+273)^4)/((D566+0.1)-D566))*D566)+T566/H566)/($B$14*(I566+IF(ABS((D566+0.1)-D566)&lt;0.000000001,4*$B$19*$B$20*(D566+273)^3,$B$19*$B$20*(((D566+0.1)+273)^4-(D566+273)^4)/((D566+0.1)-D566)))+1/H566)</f>
        <v/>
      </c>
      <c r="W566">
        <f>($B$14*(I566*C566+IF(ABS(V566-D566)&lt;0.000000001,4*$B$19*$B$20*(D566+273)^3,$B$19*$B$20*((V566+273)^4-(D566+273)^4)/(V566-D566))*D566)+T566/H566)/($B$14*(I566+IF(ABS(V566-D566)&lt;0.000000001,4*$B$19*$B$20*(D566+273)^3,$B$19*$B$20*((V566+273)^4-(D566+273)^4)/(V566-D566)))+1/H566)</f>
        <v/>
      </c>
      <c r="X566">
        <f>($B$14*(I566*C566+IF(ABS(W566-D566)&lt;0.000000001,4*$B$19*$B$20*(D566+273)^3,$B$19*$B$20*((W566+273)^4-(D566+273)^4)/(W566-D566))*D566)+T566/H566)/($B$14*(I566+IF(ABS(W566-D566)&lt;0.000000001,4*$B$19*$B$20*(D566+273)^3,$B$19*$B$20*((W566+273)^4-(D566+273)^4)/(W566-D566)))+1/H566)</f>
        <v/>
      </c>
      <c r="Y566">
        <f>($B$14*(I566*C566+IF(ABS(X566-D566)&lt;0.000000001,4*$B$19*$B$20*(D566+273)^3,$B$19*$B$20*((X566+273)^4-(D566+273)^4)/(X566-D566))*D566)+T566/H566)/($B$14*(I566+IF(ABS(X566-D566)&lt;0.000000001,4*$B$19*$B$20*(D566+273)^3,$B$19*$B$20*((X566+273)^4-(D566+273)^4)/(X566-D566)))+1/H566)</f>
        <v/>
      </c>
      <c r="Z566">
        <f>IF(ABS(Y566-D566)&lt;0.000000001,4*$B$19*$B$20*(D566+273)^3,$B$19*$B$20*((Y566+273)^4-(D566+273)^4)/(Y566-D566))</f>
        <v/>
      </c>
      <c r="AA566">
        <f>$B$14*I566*(Y566-C566)</f>
        <v/>
      </c>
      <c r="AB566">
        <f>$B$14*Z566*(Y566-D566)</f>
        <v/>
      </c>
      <c r="AC566">
        <f>IF((U566-E566)/G566=0,0.001,(U566-E566)/G566)</f>
        <v/>
      </c>
      <c r="AD566">
        <f>F566-P566-J566-K566-AA566-AB566</f>
        <v/>
      </c>
      <c r="AE566">
        <f>AD566/AC566</f>
        <v/>
      </c>
      <c r="AF566">
        <f>IF(AD566&lt;=0,0,IF(AC566&lt;=0,$B$11,IF(AE566&gt;=1.7,$B$11,MIN(AD566/MAX(0.05,IF(AE566&gt;1,(2-AE566)^2/2,1-AE566^2/2)),$B$11))))</f>
        <v/>
      </c>
      <c r="AG566">
        <f>AG565*$B$28+AF566*(1-$B$28)</f>
        <v/>
      </c>
      <c r="AH566">
        <f>IF(AND(AD566&gt;0,AC566&lt;=0),0,AC566)</f>
        <v/>
      </c>
      <c r="AI566">
        <f>AH566/MAX(AG566,0.000001)</f>
        <v/>
      </c>
      <c r="AJ566">
        <f>MIN(IF(AI566&gt;=0.5,-AI566+SQRT(AI566^2+2),1),$B$12)</f>
        <v/>
      </c>
      <c r="AK566">
        <f>IF(AG566&lt;=0,0,AJ566*AH566)</f>
        <v/>
      </c>
      <c r="AL566">
        <f>IF(AD566&lt;=0,0,AD566)</f>
        <v/>
      </c>
      <c r="AM566">
        <f>AL566-AK566+P566</f>
        <v/>
      </c>
      <c r="AN566">
        <f>((AM566/$B$7+T565*AS565/2-T566*MAX(0.1,MIN(0.3,0.3-0.09*(AR565-36.8)))/2)+AR565*(1-AS565/2))/(1-MAX(0.1,MIN(0.3,0.3-0.09*(AR565-36.8)))/2)</f>
        <v/>
      </c>
      <c r="AO566">
        <f>((AM566/$B$7+T565*AS565/2-T566*MAX(0.1,MIN(0.3,0.3-0.09*(AN566-36.8)))/2)+AR565*(1-AS565/2))/(1-MAX(0.1,MIN(0.3,0.3-0.09*(AN566-36.8)))/2)</f>
        <v/>
      </c>
      <c r="AP566">
        <f>((AM566/$B$7+T565*AS565/2-T566*MAX(0.1,MIN(0.3,0.3-0.09*(AO566-36.8)))/2)+AR565*(1-AS565/2))/(1-MAX(0.1,MIN(0.3,0.3-0.09*(AO566-36.8)))/2)</f>
        <v/>
      </c>
      <c r="AQ566">
        <f>((AM566/$B$7+T565*AS565/2-T566*MAX(0.1,MIN(0.3,0.3-0.09*(AP566-36.8)))/2)+AR565*(1-AS565/2))/(1-MAX(0.1,MIN(0.3,0.3-0.09*(AP566-36.8)))/2)</f>
        <v/>
      </c>
      <c r="AR566">
        <f>((AM566/$B$7+T565*AS565/2-T566*MAX(0.1,MIN(0.3,0.3-0.09*(AQ566-36.8)))/2)+AR565*(1-AS565/2))/(1-MAX(0.1,MIN(0.3,0.3-0.09*(AQ566-36.8)))/2)</f>
        <v/>
      </c>
      <c r="AS566">
        <f>MAX(0.1,MIN(0.3,0.3-0.09*(AR566-36.8)))</f>
        <v/>
      </c>
      <c r="AT566">
        <f>AT565+(2*AR566-1.962*AT565-1.31)/9</f>
        <v/>
      </c>
      <c r="AU566">
        <f>AU565+AG566+K566</f>
        <v/>
      </c>
      <c r="AV566">
        <f>AU566*2.67*$B$6/1.8/60</f>
        <v/>
      </c>
      <c r="AW566">
        <f>IF(AT566&gt;=$B$36,1,0)</f>
        <v/>
      </c>
      <c r="AX566">
        <f>IF(AV566&gt;=$B$21,1,0)</f>
        <v/>
      </c>
    </row>
    <row r="567">
      <c r="A567" t="n">
        <v>494</v>
      </c>
      <c r="B567">
        <f>MATCH(A567-1,$D$61:$D$68,1)</f>
        <v/>
      </c>
      <c r="C567">
        <f>INDEX($G$61:$G$68,B567)</f>
        <v/>
      </c>
      <c r="D567">
        <f>INDEX($L$61:$L$68,B567)</f>
        <v/>
      </c>
      <c r="E567">
        <f>INDEX($M$61:$M$68,B567)</f>
        <v/>
      </c>
      <c r="F567">
        <f>INDEX($N$61:$N$68,B567)</f>
        <v/>
      </c>
      <c r="G567">
        <f>INDEX($AA$61:$AA$68,B567)</f>
        <v/>
      </c>
      <c r="H567">
        <f>INDEX($X$61:$X$68,B567)</f>
        <v/>
      </c>
      <c r="I567">
        <f>INDEX($AF$61:$AF$68,B567)</f>
        <v/>
      </c>
      <c r="J567">
        <f>INDEX($AC$61:$AC$68,B567)</f>
        <v/>
      </c>
      <c r="K567">
        <f>INDEX($AD$61:$AD$68,B567)</f>
        <v/>
      </c>
      <c r="L567">
        <f>INDEX($AG$61:$AG$68,B567)</f>
        <v/>
      </c>
      <c r="M567">
        <f>INDEX($AH$61:$AH$68,B567)</f>
        <v/>
      </c>
      <c r="N567">
        <f>INDEX($AI$61:$AI$68,B567)</f>
        <v/>
      </c>
      <c r="O567">
        <f>O566*$B$26+L567*(1-$B$26)</f>
        <v/>
      </c>
      <c r="P567">
        <f>$B$7*(O567-O566)*(1-AS566)</f>
        <v/>
      </c>
      <c r="Q567">
        <f>M567+0.51274*AT566</f>
        <v/>
      </c>
      <c r="R567">
        <f>N567+0.616*AT566</f>
        <v/>
      </c>
      <c r="S567">
        <f>IF($B$13&gt;=0.6,Q567,IF($B$13&lt;=0.2,R567,R567+2.5*(Q567-R567)*($B$13-0.2)))</f>
        <v/>
      </c>
      <c r="T567">
        <f>IF(A567=1,S567,T566*$B$27+S567*(1-$B$27))</f>
        <v/>
      </c>
      <c r="U567">
        <f>0.6105*EXP(17.27*T567/(T567+237.3))</f>
        <v/>
      </c>
      <c r="V567">
        <f>($B$14*(I567*C567+IF(ABS((D567+0.1)-D567)&lt;0.000000001,4*$B$19*$B$20*(D567+273)^3,$B$19*$B$20*(((D567+0.1)+273)^4-(D567+273)^4)/((D567+0.1)-D567))*D567)+T567/H567)/($B$14*(I567+IF(ABS((D567+0.1)-D567)&lt;0.000000001,4*$B$19*$B$20*(D567+273)^3,$B$19*$B$20*(((D567+0.1)+273)^4-(D567+273)^4)/((D567+0.1)-D567)))+1/H567)</f>
        <v/>
      </c>
      <c r="W567">
        <f>($B$14*(I567*C567+IF(ABS(V567-D567)&lt;0.000000001,4*$B$19*$B$20*(D567+273)^3,$B$19*$B$20*((V567+273)^4-(D567+273)^4)/(V567-D567))*D567)+T567/H567)/($B$14*(I567+IF(ABS(V567-D567)&lt;0.000000001,4*$B$19*$B$20*(D567+273)^3,$B$19*$B$20*((V567+273)^4-(D567+273)^4)/(V567-D567)))+1/H567)</f>
        <v/>
      </c>
      <c r="X567">
        <f>($B$14*(I567*C567+IF(ABS(W567-D567)&lt;0.000000001,4*$B$19*$B$20*(D567+273)^3,$B$19*$B$20*((W567+273)^4-(D567+273)^4)/(W567-D567))*D567)+T567/H567)/($B$14*(I567+IF(ABS(W567-D567)&lt;0.000000001,4*$B$19*$B$20*(D567+273)^3,$B$19*$B$20*((W567+273)^4-(D567+273)^4)/(W567-D567)))+1/H567)</f>
        <v/>
      </c>
      <c r="Y567">
        <f>($B$14*(I567*C567+IF(ABS(X567-D567)&lt;0.000000001,4*$B$19*$B$20*(D567+273)^3,$B$19*$B$20*((X567+273)^4-(D567+273)^4)/(X567-D567))*D567)+T567/H567)/($B$14*(I567+IF(ABS(X567-D567)&lt;0.000000001,4*$B$19*$B$20*(D567+273)^3,$B$19*$B$20*((X567+273)^4-(D567+273)^4)/(X567-D567)))+1/H567)</f>
        <v/>
      </c>
      <c r="Z567">
        <f>IF(ABS(Y567-D567)&lt;0.000000001,4*$B$19*$B$20*(D567+273)^3,$B$19*$B$20*((Y567+273)^4-(D567+273)^4)/(Y567-D567))</f>
        <v/>
      </c>
      <c r="AA567">
        <f>$B$14*I567*(Y567-C567)</f>
        <v/>
      </c>
      <c r="AB567">
        <f>$B$14*Z567*(Y567-D567)</f>
        <v/>
      </c>
      <c r="AC567">
        <f>IF((U567-E567)/G567=0,0.001,(U567-E567)/G567)</f>
        <v/>
      </c>
      <c r="AD567">
        <f>F567-P567-J567-K567-AA567-AB567</f>
        <v/>
      </c>
      <c r="AE567">
        <f>AD567/AC567</f>
        <v/>
      </c>
      <c r="AF567">
        <f>IF(AD567&lt;=0,0,IF(AC567&lt;=0,$B$11,IF(AE567&gt;=1.7,$B$11,MIN(AD567/MAX(0.05,IF(AE567&gt;1,(2-AE567)^2/2,1-AE567^2/2)),$B$11))))</f>
        <v/>
      </c>
      <c r="AG567">
        <f>AG566*$B$28+AF567*(1-$B$28)</f>
        <v/>
      </c>
      <c r="AH567">
        <f>IF(AND(AD567&gt;0,AC567&lt;=0),0,AC567)</f>
        <v/>
      </c>
      <c r="AI567">
        <f>AH567/MAX(AG567,0.000001)</f>
        <v/>
      </c>
      <c r="AJ567">
        <f>MIN(IF(AI567&gt;=0.5,-AI567+SQRT(AI567^2+2),1),$B$12)</f>
        <v/>
      </c>
      <c r="AK567">
        <f>IF(AG567&lt;=0,0,AJ567*AH567)</f>
        <v/>
      </c>
      <c r="AL567">
        <f>IF(AD567&lt;=0,0,AD567)</f>
        <v/>
      </c>
      <c r="AM567">
        <f>AL567-AK567+P567</f>
        <v/>
      </c>
      <c r="AN567">
        <f>((AM567/$B$7+T566*AS566/2-T567*MAX(0.1,MIN(0.3,0.3-0.09*(AR566-36.8)))/2)+AR566*(1-AS566/2))/(1-MAX(0.1,MIN(0.3,0.3-0.09*(AR566-36.8)))/2)</f>
        <v/>
      </c>
      <c r="AO567">
        <f>((AM567/$B$7+T566*AS566/2-T567*MAX(0.1,MIN(0.3,0.3-0.09*(AN567-36.8)))/2)+AR566*(1-AS566/2))/(1-MAX(0.1,MIN(0.3,0.3-0.09*(AN567-36.8)))/2)</f>
        <v/>
      </c>
      <c r="AP567">
        <f>((AM567/$B$7+T566*AS566/2-T567*MAX(0.1,MIN(0.3,0.3-0.09*(AO567-36.8)))/2)+AR566*(1-AS566/2))/(1-MAX(0.1,MIN(0.3,0.3-0.09*(AO567-36.8)))/2)</f>
        <v/>
      </c>
      <c r="AQ567">
        <f>((AM567/$B$7+T566*AS566/2-T567*MAX(0.1,MIN(0.3,0.3-0.09*(AP567-36.8)))/2)+AR566*(1-AS566/2))/(1-MAX(0.1,MIN(0.3,0.3-0.09*(AP567-36.8)))/2)</f>
        <v/>
      </c>
      <c r="AR567">
        <f>((AM567/$B$7+T566*AS566/2-T567*MAX(0.1,MIN(0.3,0.3-0.09*(AQ567-36.8)))/2)+AR566*(1-AS566/2))/(1-MAX(0.1,MIN(0.3,0.3-0.09*(AQ567-36.8)))/2)</f>
        <v/>
      </c>
      <c r="AS567">
        <f>MAX(0.1,MIN(0.3,0.3-0.09*(AR567-36.8)))</f>
        <v/>
      </c>
      <c r="AT567">
        <f>AT566+(2*AR567-1.962*AT566-1.31)/9</f>
        <v/>
      </c>
      <c r="AU567">
        <f>AU566+AG567+K567</f>
        <v/>
      </c>
      <c r="AV567">
        <f>AU567*2.67*$B$6/1.8/60</f>
        <v/>
      </c>
      <c r="AW567">
        <f>IF(AT567&gt;=$B$36,1,0)</f>
        <v/>
      </c>
      <c r="AX567">
        <f>IF(AV567&gt;=$B$21,1,0)</f>
        <v/>
      </c>
    </row>
    <row r="568">
      <c r="A568" t="n">
        <v>495</v>
      </c>
      <c r="B568">
        <f>MATCH(A568-1,$D$61:$D$68,1)</f>
        <v/>
      </c>
      <c r="C568">
        <f>INDEX($G$61:$G$68,B568)</f>
        <v/>
      </c>
      <c r="D568">
        <f>INDEX($L$61:$L$68,B568)</f>
        <v/>
      </c>
      <c r="E568">
        <f>INDEX($M$61:$M$68,B568)</f>
        <v/>
      </c>
      <c r="F568">
        <f>INDEX($N$61:$N$68,B568)</f>
        <v/>
      </c>
      <c r="G568">
        <f>INDEX($AA$61:$AA$68,B568)</f>
        <v/>
      </c>
      <c r="H568">
        <f>INDEX($X$61:$X$68,B568)</f>
        <v/>
      </c>
      <c r="I568">
        <f>INDEX($AF$61:$AF$68,B568)</f>
        <v/>
      </c>
      <c r="J568">
        <f>INDEX($AC$61:$AC$68,B568)</f>
        <v/>
      </c>
      <c r="K568">
        <f>INDEX($AD$61:$AD$68,B568)</f>
        <v/>
      </c>
      <c r="L568">
        <f>INDEX($AG$61:$AG$68,B568)</f>
        <v/>
      </c>
      <c r="M568">
        <f>INDEX($AH$61:$AH$68,B568)</f>
        <v/>
      </c>
      <c r="N568">
        <f>INDEX($AI$61:$AI$68,B568)</f>
        <v/>
      </c>
      <c r="O568">
        <f>O567*$B$26+L568*(1-$B$26)</f>
        <v/>
      </c>
      <c r="P568">
        <f>$B$7*(O568-O567)*(1-AS567)</f>
        <v/>
      </c>
      <c r="Q568">
        <f>M568+0.51274*AT567</f>
        <v/>
      </c>
      <c r="R568">
        <f>N568+0.616*AT567</f>
        <v/>
      </c>
      <c r="S568">
        <f>IF($B$13&gt;=0.6,Q568,IF($B$13&lt;=0.2,R568,R568+2.5*(Q568-R568)*($B$13-0.2)))</f>
        <v/>
      </c>
      <c r="T568">
        <f>IF(A568=1,S568,T567*$B$27+S568*(1-$B$27))</f>
        <v/>
      </c>
      <c r="U568">
        <f>0.6105*EXP(17.27*T568/(T568+237.3))</f>
        <v/>
      </c>
      <c r="V568">
        <f>($B$14*(I568*C568+IF(ABS((D568+0.1)-D568)&lt;0.000000001,4*$B$19*$B$20*(D568+273)^3,$B$19*$B$20*(((D568+0.1)+273)^4-(D568+273)^4)/((D568+0.1)-D568))*D568)+T568/H568)/($B$14*(I568+IF(ABS((D568+0.1)-D568)&lt;0.000000001,4*$B$19*$B$20*(D568+273)^3,$B$19*$B$20*(((D568+0.1)+273)^4-(D568+273)^4)/((D568+0.1)-D568)))+1/H568)</f>
        <v/>
      </c>
      <c r="W568">
        <f>($B$14*(I568*C568+IF(ABS(V568-D568)&lt;0.000000001,4*$B$19*$B$20*(D568+273)^3,$B$19*$B$20*((V568+273)^4-(D568+273)^4)/(V568-D568))*D568)+T568/H568)/($B$14*(I568+IF(ABS(V568-D568)&lt;0.000000001,4*$B$19*$B$20*(D568+273)^3,$B$19*$B$20*((V568+273)^4-(D568+273)^4)/(V568-D568)))+1/H568)</f>
        <v/>
      </c>
      <c r="X568">
        <f>($B$14*(I568*C568+IF(ABS(W568-D568)&lt;0.000000001,4*$B$19*$B$20*(D568+273)^3,$B$19*$B$20*((W568+273)^4-(D568+273)^4)/(W568-D568))*D568)+T568/H568)/($B$14*(I568+IF(ABS(W568-D568)&lt;0.000000001,4*$B$19*$B$20*(D568+273)^3,$B$19*$B$20*((W568+273)^4-(D568+273)^4)/(W568-D568)))+1/H568)</f>
        <v/>
      </c>
      <c r="Y568">
        <f>($B$14*(I568*C568+IF(ABS(X568-D568)&lt;0.000000001,4*$B$19*$B$20*(D568+273)^3,$B$19*$B$20*((X568+273)^4-(D568+273)^4)/(X568-D568))*D568)+T568/H568)/($B$14*(I568+IF(ABS(X568-D568)&lt;0.000000001,4*$B$19*$B$20*(D568+273)^3,$B$19*$B$20*((X568+273)^4-(D568+273)^4)/(X568-D568)))+1/H568)</f>
        <v/>
      </c>
      <c r="Z568">
        <f>IF(ABS(Y568-D568)&lt;0.000000001,4*$B$19*$B$20*(D568+273)^3,$B$19*$B$20*((Y568+273)^4-(D568+273)^4)/(Y568-D568))</f>
        <v/>
      </c>
      <c r="AA568">
        <f>$B$14*I568*(Y568-C568)</f>
        <v/>
      </c>
      <c r="AB568">
        <f>$B$14*Z568*(Y568-D568)</f>
        <v/>
      </c>
      <c r="AC568">
        <f>IF((U568-E568)/G568=0,0.001,(U568-E568)/G568)</f>
        <v/>
      </c>
      <c r="AD568">
        <f>F568-P568-J568-K568-AA568-AB568</f>
        <v/>
      </c>
      <c r="AE568">
        <f>AD568/AC568</f>
        <v/>
      </c>
      <c r="AF568">
        <f>IF(AD568&lt;=0,0,IF(AC568&lt;=0,$B$11,IF(AE568&gt;=1.7,$B$11,MIN(AD568/MAX(0.05,IF(AE568&gt;1,(2-AE568)^2/2,1-AE568^2/2)),$B$11))))</f>
        <v/>
      </c>
      <c r="AG568">
        <f>AG567*$B$28+AF568*(1-$B$28)</f>
        <v/>
      </c>
      <c r="AH568">
        <f>IF(AND(AD568&gt;0,AC568&lt;=0),0,AC568)</f>
        <v/>
      </c>
      <c r="AI568">
        <f>AH568/MAX(AG568,0.000001)</f>
        <v/>
      </c>
      <c r="AJ568">
        <f>MIN(IF(AI568&gt;=0.5,-AI568+SQRT(AI568^2+2),1),$B$12)</f>
        <v/>
      </c>
      <c r="AK568">
        <f>IF(AG568&lt;=0,0,AJ568*AH568)</f>
        <v/>
      </c>
      <c r="AL568">
        <f>IF(AD568&lt;=0,0,AD568)</f>
        <v/>
      </c>
      <c r="AM568">
        <f>AL568-AK568+P568</f>
        <v/>
      </c>
      <c r="AN568">
        <f>((AM568/$B$7+T567*AS567/2-T568*MAX(0.1,MIN(0.3,0.3-0.09*(AR567-36.8)))/2)+AR567*(1-AS567/2))/(1-MAX(0.1,MIN(0.3,0.3-0.09*(AR567-36.8)))/2)</f>
        <v/>
      </c>
      <c r="AO568">
        <f>((AM568/$B$7+T567*AS567/2-T568*MAX(0.1,MIN(0.3,0.3-0.09*(AN568-36.8)))/2)+AR567*(1-AS567/2))/(1-MAX(0.1,MIN(0.3,0.3-0.09*(AN568-36.8)))/2)</f>
        <v/>
      </c>
      <c r="AP568">
        <f>((AM568/$B$7+T567*AS567/2-T568*MAX(0.1,MIN(0.3,0.3-0.09*(AO568-36.8)))/2)+AR567*(1-AS567/2))/(1-MAX(0.1,MIN(0.3,0.3-0.09*(AO568-36.8)))/2)</f>
        <v/>
      </c>
      <c r="AQ568">
        <f>((AM568/$B$7+T567*AS567/2-T568*MAX(0.1,MIN(0.3,0.3-0.09*(AP568-36.8)))/2)+AR567*(1-AS567/2))/(1-MAX(0.1,MIN(0.3,0.3-0.09*(AP568-36.8)))/2)</f>
        <v/>
      </c>
      <c r="AR568">
        <f>((AM568/$B$7+T567*AS567/2-T568*MAX(0.1,MIN(0.3,0.3-0.09*(AQ568-36.8)))/2)+AR567*(1-AS567/2))/(1-MAX(0.1,MIN(0.3,0.3-0.09*(AQ568-36.8)))/2)</f>
        <v/>
      </c>
      <c r="AS568">
        <f>MAX(0.1,MIN(0.3,0.3-0.09*(AR568-36.8)))</f>
        <v/>
      </c>
      <c r="AT568">
        <f>AT567+(2*AR568-1.962*AT567-1.31)/9</f>
        <v/>
      </c>
      <c r="AU568">
        <f>AU567+AG568+K568</f>
        <v/>
      </c>
      <c r="AV568">
        <f>AU568*2.67*$B$6/1.8/60</f>
        <v/>
      </c>
      <c r="AW568">
        <f>IF(AT568&gt;=$B$36,1,0)</f>
        <v/>
      </c>
      <c r="AX568">
        <f>IF(AV568&gt;=$B$21,1,0)</f>
        <v/>
      </c>
    </row>
    <row r="569">
      <c r="A569" t="n">
        <v>496</v>
      </c>
      <c r="B569">
        <f>MATCH(A569-1,$D$61:$D$68,1)</f>
        <v/>
      </c>
      <c r="C569">
        <f>INDEX($G$61:$G$68,B569)</f>
        <v/>
      </c>
      <c r="D569">
        <f>INDEX($L$61:$L$68,B569)</f>
        <v/>
      </c>
      <c r="E569">
        <f>INDEX($M$61:$M$68,B569)</f>
        <v/>
      </c>
      <c r="F569">
        <f>INDEX($N$61:$N$68,B569)</f>
        <v/>
      </c>
      <c r="G569">
        <f>INDEX($AA$61:$AA$68,B569)</f>
        <v/>
      </c>
      <c r="H569">
        <f>INDEX($X$61:$X$68,B569)</f>
        <v/>
      </c>
      <c r="I569">
        <f>INDEX($AF$61:$AF$68,B569)</f>
        <v/>
      </c>
      <c r="J569">
        <f>INDEX($AC$61:$AC$68,B569)</f>
        <v/>
      </c>
      <c r="K569">
        <f>INDEX($AD$61:$AD$68,B569)</f>
        <v/>
      </c>
      <c r="L569">
        <f>INDEX($AG$61:$AG$68,B569)</f>
        <v/>
      </c>
      <c r="M569">
        <f>INDEX($AH$61:$AH$68,B569)</f>
        <v/>
      </c>
      <c r="N569">
        <f>INDEX($AI$61:$AI$68,B569)</f>
        <v/>
      </c>
      <c r="O569">
        <f>O568*$B$26+L569*(1-$B$26)</f>
        <v/>
      </c>
      <c r="P569">
        <f>$B$7*(O569-O568)*(1-AS568)</f>
        <v/>
      </c>
      <c r="Q569">
        <f>M569+0.51274*AT568</f>
        <v/>
      </c>
      <c r="R569">
        <f>N569+0.616*AT568</f>
        <v/>
      </c>
      <c r="S569">
        <f>IF($B$13&gt;=0.6,Q569,IF($B$13&lt;=0.2,R569,R569+2.5*(Q569-R569)*($B$13-0.2)))</f>
        <v/>
      </c>
      <c r="T569">
        <f>IF(A569=1,S569,T568*$B$27+S569*(1-$B$27))</f>
        <v/>
      </c>
      <c r="U569">
        <f>0.6105*EXP(17.27*T569/(T569+237.3))</f>
        <v/>
      </c>
      <c r="V569">
        <f>($B$14*(I569*C569+IF(ABS((D569+0.1)-D569)&lt;0.000000001,4*$B$19*$B$20*(D569+273)^3,$B$19*$B$20*(((D569+0.1)+273)^4-(D569+273)^4)/((D569+0.1)-D569))*D569)+T569/H569)/($B$14*(I569+IF(ABS((D569+0.1)-D569)&lt;0.000000001,4*$B$19*$B$20*(D569+273)^3,$B$19*$B$20*(((D569+0.1)+273)^4-(D569+273)^4)/((D569+0.1)-D569)))+1/H569)</f>
        <v/>
      </c>
      <c r="W569">
        <f>($B$14*(I569*C569+IF(ABS(V569-D569)&lt;0.000000001,4*$B$19*$B$20*(D569+273)^3,$B$19*$B$20*((V569+273)^4-(D569+273)^4)/(V569-D569))*D569)+T569/H569)/($B$14*(I569+IF(ABS(V569-D569)&lt;0.000000001,4*$B$19*$B$20*(D569+273)^3,$B$19*$B$20*((V569+273)^4-(D569+273)^4)/(V569-D569)))+1/H569)</f>
        <v/>
      </c>
      <c r="X569">
        <f>($B$14*(I569*C569+IF(ABS(W569-D569)&lt;0.000000001,4*$B$19*$B$20*(D569+273)^3,$B$19*$B$20*((W569+273)^4-(D569+273)^4)/(W569-D569))*D569)+T569/H569)/($B$14*(I569+IF(ABS(W569-D569)&lt;0.000000001,4*$B$19*$B$20*(D569+273)^3,$B$19*$B$20*((W569+273)^4-(D569+273)^4)/(W569-D569)))+1/H569)</f>
        <v/>
      </c>
      <c r="Y569">
        <f>($B$14*(I569*C569+IF(ABS(X569-D569)&lt;0.000000001,4*$B$19*$B$20*(D569+273)^3,$B$19*$B$20*((X569+273)^4-(D569+273)^4)/(X569-D569))*D569)+T569/H569)/($B$14*(I569+IF(ABS(X569-D569)&lt;0.000000001,4*$B$19*$B$20*(D569+273)^3,$B$19*$B$20*((X569+273)^4-(D569+273)^4)/(X569-D569)))+1/H569)</f>
        <v/>
      </c>
      <c r="Z569">
        <f>IF(ABS(Y569-D569)&lt;0.000000001,4*$B$19*$B$20*(D569+273)^3,$B$19*$B$20*((Y569+273)^4-(D569+273)^4)/(Y569-D569))</f>
        <v/>
      </c>
      <c r="AA569">
        <f>$B$14*I569*(Y569-C569)</f>
        <v/>
      </c>
      <c r="AB569">
        <f>$B$14*Z569*(Y569-D569)</f>
        <v/>
      </c>
      <c r="AC569">
        <f>IF((U569-E569)/G569=0,0.001,(U569-E569)/G569)</f>
        <v/>
      </c>
      <c r="AD569">
        <f>F569-P569-J569-K569-AA569-AB569</f>
        <v/>
      </c>
      <c r="AE569">
        <f>AD569/AC569</f>
        <v/>
      </c>
      <c r="AF569">
        <f>IF(AD569&lt;=0,0,IF(AC569&lt;=0,$B$11,IF(AE569&gt;=1.7,$B$11,MIN(AD569/MAX(0.05,IF(AE569&gt;1,(2-AE569)^2/2,1-AE569^2/2)),$B$11))))</f>
        <v/>
      </c>
      <c r="AG569">
        <f>AG568*$B$28+AF569*(1-$B$28)</f>
        <v/>
      </c>
      <c r="AH569">
        <f>IF(AND(AD569&gt;0,AC569&lt;=0),0,AC569)</f>
        <v/>
      </c>
      <c r="AI569">
        <f>AH569/MAX(AG569,0.000001)</f>
        <v/>
      </c>
      <c r="AJ569">
        <f>MIN(IF(AI569&gt;=0.5,-AI569+SQRT(AI569^2+2),1),$B$12)</f>
        <v/>
      </c>
      <c r="AK569">
        <f>IF(AG569&lt;=0,0,AJ569*AH569)</f>
        <v/>
      </c>
      <c r="AL569">
        <f>IF(AD569&lt;=0,0,AD569)</f>
        <v/>
      </c>
      <c r="AM569">
        <f>AL569-AK569+P569</f>
        <v/>
      </c>
      <c r="AN569">
        <f>((AM569/$B$7+T568*AS568/2-T569*MAX(0.1,MIN(0.3,0.3-0.09*(AR568-36.8)))/2)+AR568*(1-AS568/2))/(1-MAX(0.1,MIN(0.3,0.3-0.09*(AR568-36.8)))/2)</f>
        <v/>
      </c>
      <c r="AO569">
        <f>((AM569/$B$7+T568*AS568/2-T569*MAX(0.1,MIN(0.3,0.3-0.09*(AN569-36.8)))/2)+AR568*(1-AS568/2))/(1-MAX(0.1,MIN(0.3,0.3-0.09*(AN569-36.8)))/2)</f>
        <v/>
      </c>
      <c r="AP569">
        <f>((AM569/$B$7+T568*AS568/2-T569*MAX(0.1,MIN(0.3,0.3-0.09*(AO569-36.8)))/2)+AR568*(1-AS568/2))/(1-MAX(0.1,MIN(0.3,0.3-0.09*(AO569-36.8)))/2)</f>
        <v/>
      </c>
      <c r="AQ569">
        <f>((AM569/$B$7+T568*AS568/2-T569*MAX(0.1,MIN(0.3,0.3-0.09*(AP569-36.8)))/2)+AR568*(1-AS568/2))/(1-MAX(0.1,MIN(0.3,0.3-0.09*(AP569-36.8)))/2)</f>
        <v/>
      </c>
      <c r="AR569">
        <f>((AM569/$B$7+T568*AS568/2-T569*MAX(0.1,MIN(0.3,0.3-0.09*(AQ569-36.8)))/2)+AR568*(1-AS568/2))/(1-MAX(0.1,MIN(0.3,0.3-0.09*(AQ569-36.8)))/2)</f>
        <v/>
      </c>
      <c r="AS569">
        <f>MAX(0.1,MIN(0.3,0.3-0.09*(AR569-36.8)))</f>
        <v/>
      </c>
      <c r="AT569">
        <f>AT568+(2*AR569-1.962*AT568-1.31)/9</f>
        <v/>
      </c>
      <c r="AU569">
        <f>AU568+AG569+K569</f>
        <v/>
      </c>
      <c r="AV569">
        <f>AU569*2.67*$B$6/1.8/60</f>
        <v/>
      </c>
      <c r="AW569">
        <f>IF(AT569&gt;=$B$36,1,0)</f>
        <v/>
      </c>
      <c r="AX569">
        <f>IF(AV569&gt;=$B$21,1,0)</f>
        <v/>
      </c>
    </row>
    <row r="570">
      <c r="A570" t="n">
        <v>497</v>
      </c>
      <c r="B570">
        <f>MATCH(A570-1,$D$61:$D$68,1)</f>
        <v/>
      </c>
      <c r="C570">
        <f>INDEX($G$61:$G$68,B570)</f>
        <v/>
      </c>
      <c r="D570">
        <f>INDEX($L$61:$L$68,B570)</f>
        <v/>
      </c>
      <c r="E570">
        <f>INDEX($M$61:$M$68,B570)</f>
        <v/>
      </c>
      <c r="F570">
        <f>INDEX($N$61:$N$68,B570)</f>
        <v/>
      </c>
      <c r="G570">
        <f>INDEX($AA$61:$AA$68,B570)</f>
        <v/>
      </c>
      <c r="H570">
        <f>INDEX($X$61:$X$68,B570)</f>
        <v/>
      </c>
      <c r="I570">
        <f>INDEX($AF$61:$AF$68,B570)</f>
        <v/>
      </c>
      <c r="J570">
        <f>INDEX($AC$61:$AC$68,B570)</f>
        <v/>
      </c>
      <c r="K570">
        <f>INDEX($AD$61:$AD$68,B570)</f>
        <v/>
      </c>
      <c r="L570">
        <f>INDEX($AG$61:$AG$68,B570)</f>
        <v/>
      </c>
      <c r="M570">
        <f>INDEX($AH$61:$AH$68,B570)</f>
        <v/>
      </c>
      <c r="N570">
        <f>INDEX($AI$61:$AI$68,B570)</f>
        <v/>
      </c>
      <c r="O570">
        <f>O569*$B$26+L570*(1-$B$26)</f>
        <v/>
      </c>
      <c r="P570">
        <f>$B$7*(O570-O569)*(1-AS569)</f>
        <v/>
      </c>
      <c r="Q570">
        <f>M570+0.51274*AT569</f>
        <v/>
      </c>
      <c r="R570">
        <f>N570+0.616*AT569</f>
        <v/>
      </c>
      <c r="S570">
        <f>IF($B$13&gt;=0.6,Q570,IF($B$13&lt;=0.2,R570,R570+2.5*(Q570-R570)*($B$13-0.2)))</f>
        <v/>
      </c>
      <c r="T570">
        <f>IF(A570=1,S570,T569*$B$27+S570*(1-$B$27))</f>
        <v/>
      </c>
      <c r="U570">
        <f>0.6105*EXP(17.27*T570/(T570+237.3))</f>
        <v/>
      </c>
      <c r="V570">
        <f>($B$14*(I570*C570+IF(ABS((D570+0.1)-D570)&lt;0.000000001,4*$B$19*$B$20*(D570+273)^3,$B$19*$B$20*(((D570+0.1)+273)^4-(D570+273)^4)/((D570+0.1)-D570))*D570)+T570/H570)/($B$14*(I570+IF(ABS((D570+0.1)-D570)&lt;0.000000001,4*$B$19*$B$20*(D570+273)^3,$B$19*$B$20*(((D570+0.1)+273)^4-(D570+273)^4)/((D570+0.1)-D570)))+1/H570)</f>
        <v/>
      </c>
      <c r="W570">
        <f>($B$14*(I570*C570+IF(ABS(V570-D570)&lt;0.000000001,4*$B$19*$B$20*(D570+273)^3,$B$19*$B$20*((V570+273)^4-(D570+273)^4)/(V570-D570))*D570)+T570/H570)/($B$14*(I570+IF(ABS(V570-D570)&lt;0.000000001,4*$B$19*$B$20*(D570+273)^3,$B$19*$B$20*((V570+273)^4-(D570+273)^4)/(V570-D570)))+1/H570)</f>
        <v/>
      </c>
      <c r="X570">
        <f>($B$14*(I570*C570+IF(ABS(W570-D570)&lt;0.000000001,4*$B$19*$B$20*(D570+273)^3,$B$19*$B$20*((W570+273)^4-(D570+273)^4)/(W570-D570))*D570)+T570/H570)/($B$14*(I570+IF(ABS(W570-D570)&lt;0.000000001,4*$B$19*$B$20*(D570+273)^3,$B$19*$B$20*((W570+273)^4-(D570+273)^4)/(W570-D570)))+1/H570)</f>
        <v/>
      </c>
      <c r="Y570">
        <f>($B$14*(I570*C570+IF(ABS(X570-D570)&lt;0.000000001,4*$B$19*$B$20*(D570+273)^3,$B$19*$B$20*((X570+273)^4-(D570+273)^4)/(X570-D570))*D570)+T570/H570)/($B$14*(I570+IF(ABS(X570-D570)&lt;0.000000001,4*$B$19*$B$20*(D570+273)^3,$B$19*$B$20*((X570+273)^4-(D570+273)^4)/(X570-D570)))+1/H570)</f>
        <v/>
      </c>
      <c r="Z570">
        <f>IF(ABS(Y570-D570)&lt;0.000000001,4*$B$19*$B$20*(D570+273)^3,$B$19*$B$20*((Y570+273)^4-(D570+273)^4)/(Y570-D570))</f>
        <v/>
      </c>
      <c r="AA570">
        <f>$B$14*I570*(Y570-C570)</f>
        <v/>
      </c>
      <c r="AB570">
        <f>$B$14*Z570*(Y570-D570)</f>
        <v/>
      </c>
      <c r="AC570">
        <f>IF((U570-E570)/G570=0,0.001,(U570-E570)/G570)</f>
        <v/>
      </c>
      <c r="AD570">
        <f>F570-P570-J570-K570-AA570-AB570</f>
        <v/>
      </c>
      <c r="AE570">
        <f>AD570/AC570</f>
        <v/>
      </c>
      <c r="AF570">
        <f>IF(AD570&lt;=0,0,IF(AC570&lt;=0,$B$11,IF(AE570&gt;=1.7,$B$11,MIN(AD570/MAX(0.05,IF(AE570&gt;1,(2-AE570)^2/2,1-AE570^2/2)),$B$11))))</f>
        <v/>
      </c>
      <c r="AG570">
        <f>AG569*$B$28+AF570*(1-$B$28)</f>
        <v/>
      </c>
      <c r="AH570">
        <f>IF(AND(AD570&gt;0,AC570&lt;=0),0,AC570)</f>
        <v/>
      </c>
      <c r="AI570">
        <f>AH570/MAX(AG570,0.000001)</f>
        <v/>
      </c>
      <c r="AJ570">
        <f>MIN(IF(AI570&gt;=0.5,-AI570+SQRT(AI570^2+2),1),$B$12)</f>
        <v/>
      </c>
      <c r="AK570">
        <f>IF(AG570&lt;=0,0,AJ570*AH570)</f>
        <v/>
      </c>
      <c r="AL570">
        <f>IF(AD570&lt;=0,0,AD570)</f>
        <v/>
      </c>
      <c r="AM570">
        <f>AL570-AK570+P570</f>
        <v/>
      </c>
      <c r="AN570">
        <f>((AM570/$B$7+T569*AS569/2-T570*MAX(0.1,MIN(0.3,0.3-0.09*(AR569-36.8)))/2)+AR569*(1-AS569/2))/(1-MAX(0.1,MIN(0.3,0.3-0.09*(AR569-36.8)))/2)</f>
        <v/>
      </c>
      <c r="AO570">
        <f>((AM570/$B$7+T569*AS569/2-T570*MAX(0.1,MIN(0.3,0.3-0.09*(AN570-36.8)))/2)+AR569*(1-AS569/2))/(1-MAX(0.1,MIN(0.3,0.3-0.09*(AN570-36.8)))/2)</f>
        <v/>
      </c>
      <c r="AP570">
        <f>((AM570/$B$7+T569*AS569/2-T570*MAX(0.1,MIN(0.3,0.3-0.09*(AO570-36.8)))/2)+AR569*(1-AS569/2))/(1-MAX(0.1,MIN(0.3,0.3-0.09*(AO570-36.8)))/2)</f>
        <v/>
      </c>
      <c r="AQ570">
        <f>((AM570/$B$7+T569*AS569/2-T570*MAX(0.1,MIN(0.3,0.3-0.09*(AP570-36.8)))/2)+AR569*(1-AS569/2))/(1-MAX(0.1,MIN(0.3,0.3-0.09*(AP570-36.8)))/2)</f>
        <v/>
      </c>
      <c r="AR570">
        <f>((AM570/$B$7+T569*AS569/2-T570*MAX(0.1,MIN(0.3,0.3-0.09*(AQ570-36.8)))/2)+AR569*(1-AS569/2))/(1-MAX(0.1,MIN(0.3,0.3-0.09*(AQ570-36.8)))/2)</f>
        <v/>
      </c>
      <c r="AS570">
        <f>MAX(0.1,MIN(0.3,0.3-0.09*(AR570-36.8)))</f>
        <v/>
      </c>
      <c r="AT570">
        <f>AT569+(2*AR570-1.962*AT569-1.31)/9</f>
        <v/>
      </c>
      <c r="AU570">
        <f>AU569+AG570+K570</f>
        <v/>
      </c>
      <c r="AV570">
        <f>AU570*2.67*$B$6/1.8/60</f>
        <v/>
      </c>
      <c r="AW570">
        <f>IF(AT570&gt;=$B$36,1,0)</f>
        <v/>
      </c>
      <c r="AX570">
        <f>IF(AV570&gt;=$B$21,1,0)</f>
        <v/>
      </c>
    </row>
    <row r="571">
      <c r="A571" t="n">
        <v>498</v>
      </c>
      <c r="B571">
        <f>MATCH(A571-1,$D$61:$D$68,1)</f>
        <v/>
      </c>
      <c r="C571">
        <f>INDEX($G$61:$G$68,B571)</f>
        <v/>
      </c>
      <c r="D571">
        <f>INDEX($L$61:$L$68,B571)</f>
        <v/>
      </c>
      <c r="E571">
        <f>INDEX($M$61:$M$68,B571)</f>
        <v/>
      </c>
      <c r="F571">
        <f>INDEX($N$61:$N$68,B571)</f>
        <v/>
      </c>
      <c r="G571">
        <f>INDEX($AA$61:$AA$68,B571)</f>
        <v/>
      </c>
      <c r="H571">
        <f>INDEX($X$61:$X$68,B571)</f>
        <v/>
      </c>
      <c r="I571">
        <f>INDEX($AF$61:$AF$68,B571)</f>
        <v/>
      </c>
      <c r="J571">
        <f>INDEX($AC$61:$AC$68,B571)</f>
        <v/>
      </c>
      <c r="K571">
        <f>INDEX($AD$61:$AD$68,B571)</f>
        <v/>
      </c>
      <c r="L571">
        <f>INDEX($AG$61:$AG$68,B571)</f>
        <v/>
      </c>
      <c r="M571">
        <f>INDEX($AH$61:$AH$68,B571)</f>
        <v/>
      </c>
      <c r="N571">
        <f>INDEX($AI$61:$AI$68,B571)</f>
        <v/>
      </c>
      <c r="O571">
        <f>O570*$B$26+L571*(1-$B$26)</f>
        <v/>
      </c>
      <c r="P571">
        <f>$B$7*(O571-O570)*(1-AS570)</f>
        <v/>
      </c>
      <c r="Q571">
        <f>M571+0.51274*AT570</f>
        <v/>
      </c>
      <c r="R571">
        <f>N571+0.616*AT570</f>
        <v/>
      </c>
      <c r="S571">
        <f>IF($B$13&gt;=0.6,Q571,IF($B$13&lt;=0.2,R571,R571+2.5*(Q571-R571)*($B$13-0.2)))</f>
        <v/>
      </c>
      <c r="T571">
        <f>IF(A571=1,S571,T570*$B$27+S571*(1-$B$27))</f>
        <v/>
      </c>
      <c r="U571">
        <f>0.6105*EXP(17.27*T571/(T571+237.3))</f>
        <v/>
      </c>
      <c r="V571">
        <f>($B$14*(I571*C571+IF(ABS((D571+0.1)-D571)&lt;0.000000001,4*$B$19*$B$20*(D571+273)^3,$B$19*$B$20*(((D571+0.1)+273)^4-(D571+273)^4)/((D571+0.1)-D571))*D571)+T571/H571)/($B$14*(I571+IF(ABS((D571+0.1)-D571)&lt;0.000000001,4*$B$19*$B$20*(D571+273)^3,$B$19*$B$20*(((D571+0.1)+273)^4-(D571+273)^4)/((D571+0.1)-D571)))+1/H571)</f>
        <v/>
      </c>
      <c r="W571">
        <f>($B$14*(I571*C571+IF(ABS(V571-D571)&lt;0.000000001,4*$B$19*$B$20*(D571+273)^3,$B$19*$B$20*((V571+273)^4-(D571+273)^4)/(V571-D571))*D571)+T571/H571)/($B$14*(I571+IF(ABS(V571-D571)&lt;0.000000001,4*$B$19*$B$20*(D571+273)^3,$B$19*$B$20*((V571+273)^4-(D571+273)^4)/(V571-D571)))+1/H571)</f>
        <v/>
      </c>
      <c r="X571">
        <f>($B$14*(I571*C571+IF(ABS(W571-D571)&lt;0.000000001,4*$B$19*$B$20*(D571+273)^3,$B$19*$B$20*((W571+273)^4-(D571+273)^4)/(W571-D571))*D571)+T571/H571)/($B$14*(I571+IF(ABS(W571-D571)&lt;0.000000001,4*$B$19*$B$20*(D571+273)^3,$B$19*$B$20*((W571+273)^4-(D571+273)^4)/(W571-D571)))+1/H571)</f>
        <v/>
      </c>
      <c r="Y571">
        <f>($B$14*(I571*C571+IF(ABS(X571-D571)&lt;0.000000001,4*$B$19*$B$20*(D571+273)^3,$B$19*$B$20*((X571+273)^4-(D571+273)^4)/(X571-D571))*D571)+T571/H571)/($B$14*(I571+IF(ABS(X571-D571)&lt;0.000000001,4*$B$19*$B$20*(D571+273)^3,$B$19*$B$20*((X571+273)^4-(D571+273)^4)/(X571-D571)))+1/H571)</f>
        <v/>
      </c>
      <c r="Z571">
        <f>IF(ABS(Y571-D571)&lt;0.000000001,4*$B$19*$B$20*(D571+273)^3,$B$19*$B$20*((Y571+273)^4-(D571+273)^4)/(Y571-D571))</f>
        <v/>
      </c>
      <c r="AA571">
        <f>$B$14*I571*(Y571-C571)</f>
        <v/>
      </c>
      <c r="AB571">
        <f>$B$14*Z571*(Y571-D571)</f>
        <v/>
      </c>
      <c r="AC571">
        <f>IF((U571-E571)/G571=0,0.001,(U571-E571)/G571)</f>
        <v/>
      </c>
      <c r="AD571">
        <f>F571-P571-J571-K571-AA571-AB571</f>
        <v/>
      </c>
      <c r="AE571">
        <f>AD571/AC571</f>
        <v/>
      </c>
      <c r="AF571">
        <f>IF(AD571&lt;=0,0,IF(AC571&lt;=0,$B$11,IF(AE571&gt;=1.7,$B$11,MIN(AD571/MAX(0.05,IF(AE571&gt;1,(2-AE571)^2/2,1-AE571^2/2)),$B$11))))</f>
        <v/>
      </c>
      <c r="AG571">
        <f>AG570*$B$28+AF571*(1-$B$28)</f>
        <v/>
      </c>
      <c r="AH571">
        <f>IF(AND(AD571&gt;0,AC571&lt;=0),0,AC571)</f>
        <v/>
      </c>
      <c r="AI571">
        <f>AH571/MAX(AG571,0.000001)</f>
        <v/>
      </c>
      <c r="AJ571">
        <f>MIN(IF(AI571&gt;=0.5,-AI571+SQRT(AI571^2+2),1),$B$12)</f>
        <v/>
      </c>
      <c r="AK571">
        <f>IF(AG571&lt;=0,0,AJ571*AH571)</f>
        <v/>
      </c>
      <c r="AL571">
        <f>IF(AD571&lt;=0,0,AD571)</f>
        <v/>
      </c>
      <c r="AM571">
        <f>AL571-AK571+P571</f>
        <v/>
      </c>
      <c r="AN571">
        <f>((AM571/$B$7+T570*AS570/2-T571*MAX(0.1,MIN(0.3,0.3-0.09*(AR570-36.8)))/2)+AR570*(1-AS570/2))/(1-MAX(0.1,MIN(0.3,0.3-0.09*(AR570-36.8)))/2)</f>
        <v/>
      </c>
      <c r="AO571">
        <f>((AM571/$B$7+T570*AS570/2-T571*MAX(0.1,MIN(0.3,0.3-0.09*(AN571-36.8)))/2)+AR570*(1-AS570/2))/(1-MAX(0.1,MIN(0.3,0.3-0.09*(AN571-36.8)))/2)</f>
        <v/>
      </c>
      <c r="AP571">
        <f>((AM571/$B$7+T570*AS570/2-T571*MAX(0.1,MIN(0.3,0.3-0.09*(AO571-36.8)))/2)+AR570*(1-AS570/2))/(1-MAX(0.1,MIN(0.3,0.3-0.09*(AO571-36.8)))/2)</f>
        <v/>
      </c>
      <c r="AQ571">
        <f>((AM571/$B$7+T570*AS570/2-T571*MAX(0.1,MIN(0.3,0.3-0.09*(AP571-36.8)))/2)+AR570*(1-AS570/2))/(1-MAX(0.1,MIN(0.3,0.3-0.09*(AP571-36.8)))/2)</f>
        <v/>
      </c>
      <c r="AR571">
        <f>((AM571/$B$7+T570*AS570/2-T571*MAX(0.1,MIN(0.3,0.3-0.09*(AQ571-36.8)))/2)+AR570*(1-AS570/2))/(1-MAX(0.1,MIN(0.3,0.3-0.09*(AQ571-36.8)))/2)</f>
        <v/>
      </c>
      <c r="AS571">
        <f>MAX(0.1,MIN(0.3,0.3-0.09*(AR571-36.8)))</f>
        <v/>
      </c>
      <c r="AT571">
        <f>AT570+(2*AR571-1.962*AT570-1.31)/9</f>
        <v/>
      </c>
      <c r="AU571">
        <f>AU570+AG571+K571</f>
        <v/>
      </c>
      <c r="AV571">
        <f>AU571*2.67*$B$6/1.8/60</f>
        <v/>
      </c>
      <c r="AW571">
        <f>IF(AT571&gt;=$B$36,1,0)</f>
        <v/>
      </c>
      <c r="AX571">
        <f>IF(AV571&gt;=$B$21,1,0)</f>
        <v/>
      </c>
    </row>
    <row r="572">
      <c r="A572" t="n">
        <v>499</v>
      </c>
      <c r="B572">
        <f>MATCH(A572-1,$D$61:$D$68,1)</f>
        <v/>
      </c>
      <c r="C572">
        <f>INDEX($G$61:$G$68,B572)</f>
        <v/>
      </c>
      <c r="D572">
        <f>INDEX($L$61:$L$68,B572)</f>
        <v/>
      </c>
      <c r="E572">
        <f>INDEX($M$61:$M$68,B572)</f>
        <v/>
      </c>
      <c r="F572">
        <f>INDEX($N$61:$N$68,B572)</f>
        <v/>
      </c>
      <c r="G572">
        <f>INDEX($AA$61:$AA$68,B572)</f>
        <v/>
      </c>
      <c r="H572">
        <f>INDEX($X$61:$X$68,B572)</f>
        <v/>
      </c>
      <c r="I572">
        <f>INDEX($AF$61:$AF$68,B572)</f>
        <v/>
      </c>
      <c r="J572">
        <f>INDEX($AC$61:$AC$68,B572)</f>
        <v/>
      </c>
      <c r="K572">
        <f>INDEX($AD$61:$AD$68,B572)</f>
        <v/>
      </c>
      <c r="L572">
        <f>INDEX($AG$61:$AG$68,B572)</f>
        <v/>
      </c>
      <c r="M572">
        <f>INDEX($AH$61:$AH$68,B572)</f>
        <v/>
      </c>
      <c r="N572">
        <f>INDEX($AI$61:$AI$68,B572)</f>
        <v/>
      </c>
      <c r="O572">
        <f>O571*$B$26+L572*(1-$B$26)</f>
        <v/>
      </c>
      <c r="P572">
        <f>$B$7*(O572-O571)*(1-AS571)</f>
        <v/>
      </c>
      <c r="Q572">
        <f>M572+0.51274*AT571</f>
        <v/>
      </c>
      <c r="R572">
        <f>N572+0.616*AT571</f>
        <v/>
      </c>
      <c r="S572">
        <f>IF($B$13&gt;=0.6,Q572,IF($B$13&lt;=0.2,R572,R572+2.5*(Q572-R572)*($B$13-0.2)))</f>
        <v/>
      </c>
      <c r="T572">
        <f>IF(A572=1,S572,T571*$B$27+S572*(1-$B$27))</f>
        <v/>
      </c>
      <c r="U572">
        <f>0.6105*EXP(17.27*T572/(T572+237.3))</f>
        <v/>
      </c>
      <c r="V572">
        <f>($B$14*(I572*C572+IF(ABS((D572+0.1)-D572)&lt;0.000000001,4*$B$19*$B$20*(D572+273)^3,$B$19*$B$20*(((D572+0.1)+273)^4-(D572+273)^4)/((D572+0.1)-D572))*D572)+T572/H572)/($B$14*(I572+IF(ABS((D572+0.1)-D572)&lt;0.000000001,4*$B$19*$B$20*(D572+273)^3,$B$19*$B$20*(((D572+0.1)+273)^4-(D572+273)^4)/((D572+0.1)-D572)))+1/H572)</f>
        <v/>
      </c>
      <c r="W572">
        <f>($B$14*(I572*C572+IF(ABS(V572-D572)&lt;0.000000001,4*$B$19*$B$20*(D572+273)^3,$B$19*$B$20*((V572+273)^4-(D572+273)^4)/(V572-D572))*D572)+T572/H572)/($B$14*(I572+IF(ABS(V572-D572)&lt;0.000000001,4*$B$19*$B$20*(D572+273)^3,$B$19*$B$20*((V572+273)^4-(D572+273)^4)/(V572-D572)))+1/H572)</f>
        <v/>
      </c>
      <c r="X572">
        <f>($B$14*(I572*C572+IF(ABS(W572-D572)&lt;0.000000001,4*$B$19*$B$20*(D572+273)^3,$B$19*$B$20*((W572+273)^4-(D572+273)^4)/(W572-D572))*D572)+T572/H572)/($B$14*(I572+IF(ABS(W572-D572)&lt;0.000000001,4*$B$19*$B$20*(D572+273)^3,$B$19*$B$20*((W572+273)^4-(D572+273)^4)/(W572-D572)))+1/H572)</f>
        <v/>
      </c>
      <c r="Y572">
        <f>($B$14*(I572*C572+IF(ABS(X572-D572)&lt;0.000000001,4*$B$19*$B$20*(D572+273)^3,$B$19*$B$20*((X572+273)^4-(D572+273)^4)/(X572-D572))*D572)+T572/H572)/($B$14*(I572+IF(ABS(X572-D572)&lt;0.000000001,4*$B$19*$B$20*(D572+273)^3,$B$19*$B$20*((X572+273)^4-(D572+273)^4)/(X572-D572)))+1/H572)</f>
        <v/>
      </c>
      <c r="Z572">
        <f>IF(ABS(Y572-D572)&lt;0.000000001,4*$B$19*$B$20*(D572+273)^3,$B$19*$B$20*((Y572+273)^4-(D572+273)^4)/(Y572-D572))</f>
        <v/>
      </c>
      <c r="AA572">
        <f>$B$14*I572*(Y572-C572)</f>
        <v/>
      </c>
      <c r="AB572">
        <f>$B$14*Z572*(Y572-D572)</f>
        <v/>
      </c>
      <c r="AC572">
        <f>IF((U572-E572)/G572=0,0.001,(U572-E572)/G572)</f>
        <v/>
      </c>
      <c r="AD572">
        <f>F572-P572-J572-K572-AA572-AB572</f>
        <v/>
      </c>
      <c r="AE572">
        <f>AD572/AC572</f>
        <v/>
      </c>
      <c r="AF572">
        <f>IF(AD572&lt;=0,0,IF(AC572&lt;=0,$B$11,IF(AE572&gt;=1.7,$B$11,MIN(AD572/MAX(0.05,IF(AE572&gt;1,(2-AE572)^2/2,1-AE572^2/2)),$B$11))))</f>
        <v/>
      </c>
      <c r="AG572">
        <f>AG571*$B$28+AF572*(1-$B$28)</f>
        <v/>
      </c>
      <c r="AH572">
        <f>IF(AND(AD572&gt;0,AC572&lt;=0),0,AC572)</f>
        <v/>
      </c>
      <c r="AI572">
        <f>AH572/MAX(AG572,0.000001)</f>
        <v/>
      </c>
      <c r="AJ572">
        <f>MIN(IF(AI572&gt;=0.5,-AI572+SQRT(AI572^2+2),1),$B$12)</f>
        <v/>
      </c>
      <c r="AK572">
        <f>IF(AG572&lt;=0,0,AJ572*AH572)</f>
        <v/>
      </c>
      <c r="AL572">
        <f>IF(AD572&lt;=0,0,AD572)</f>
        <v/>
      </c>
      <c r="AM572">
        <f>AL572-AK572+P572</f>
        <v/>
      </c>
      <c r="AN572">
        <f>((AM572/$B$7+T571*AS571/2-T572*MAX(0.1,MIN(0.3,0.3-0.09*(AR571-36.8)))/2)+AR571*(1-AS571/2))/(1-MAX(0.1,MIN(0.3,0.3-0.09*(AR571-36.8)))/2)</f>
        <v/>
      </c>
      <c r="AO572">
        <f>((AM572/$B$7+T571*AS571/2-T572*MAX(0.1,MIN(0.3,0.3-0.09*(AN572-36.8)))/2)+AR571*(1-AS571/2))/(1-MAX(0.1,MIN(0.3,0.3-0.09*(AN572-36.8)))/2)</f>
        <v/>
      </c>
      <c r="AP572">
        <f>((AM572/$B$7+T571*AS571/2-T572*MAX(0.1,MIN(0.3,0.3-0.09*(AO572-36.8)))/2)+AR571*(1-AS571/2))/(1-MAX(0.1,MIN(0.3,0.3-0.09*(AO572-36.8)))/2)</f>
        <v/>
      </c>
      <c r="AQ572">
        <f>((AM572/$B$7+T571*AS571/2-T572*MAX(0.1,MIN(0.3,0.3-0.09*(AP572-36.8)))/2)+AR571*(1-AS571/2))/(1-MAX(0.1,MIN(0.3,0.3-0.09*(AP572-36.8)))/2)</f>
        <v/>
      </c>
      <c r="AR572">
        <f>((AM572/$B$7+T571*AS571/2-T572*MAX(0.1,MIN(0.3,0.3-0.09*(AQ572-36.8)))/2)+AR571*(1-AS571/2))/(1-MAX(0.1,MIN(0.3,0.3-0.09*(AQ572-36.8)))/2)</f>
        <v/>
      </c>
      <c r="AS572">
        <f>MAX(0.1,MIN(0.3,0.3-0.09*(AR572-36.8)))</f>
        <v/>
      </c>
      <c r="AT572">
        <f>AT571+(2*AR572-1.962*AT571-1.31)/9</f>
        <v/>
      </c>
      <c r="AU572">
        <f>AU571+AG572+K572</f>
        <v/>
      </c>
      <c r="AV572">
        <f>AU572*2.67*$B$6/1.8/60</f>
        <v/>
      </c>
      <c r="AW572">
        <f>IF(AT572&gt;=$B$36,1,0)</f>
        <v/>
      </c>
      <c r="AX572">
        <f>IF(AV572&gt;=$B$21,1,0)</f>
        <v/>
      </c>
    </row>
    <row r="573">
      <c r="A573" t="n">
        <v>500</v>
      </c>
      <c r="B573">
        <f>MATCH(A573-1,$D$61:$D$68,1)</f>
        <v/>
      </c>
      <c r="C573">
        <f>INDEX($G$61:$G$68,B573)</f>
        <v/>
      </c>
      <c r="D573">
        <f>INDEX($L$61:$L$68,B573)</f>
        <v/>
      </c>
      <c r="E573">
        <f>INDEX($M$61:$M$68,B573)</f>
        <v/>
      </c>
      <c r="F573">
        <f>INDEX($N$61:$N$68,B573)</f>
        <v/>
      </c>
      <c r="G573">
        <f>INDEX($AA$61:$AA$68,B573)</f>
        <v/>
      </c>
      <c r="H573">
        <f>INDEX($X$61:$X$68,B573)</f>
        <v/>
      </c>
      <c r="I573">
        <f>INDEX($AF$61:$AF$68,B573)</f>
        <v/>
      </c>
      <c r="J573">
        <f>INDEX($AC$61:$AC$68,B573)</f>
        <v/>
      </c>
      <c r="K573">
        <f>INDEX($AD$61:$AD$68,B573)</f>
        <v/>
      </c>
      <c r="L573">
        <f>INDEX($AG$61:$AG$68,B573)</f>
        <v/>
      </c>
      <c r="M573">
        <f>INDEX($AH$61:$AH$68,B573)</f>
        <v/>
      </c>
      <c r="N573">
        <f>INDEX($AI$61:$AI$68,B573)</f>
        <v/>
      </c>
      <c r="O573">
        <f>O572*$B$26+L573*(1-$B$26)</f>
        <v/>
      </c>
      <c r="P573">
        <f>$B$7*(O573-O572)*(1-AS572)</f>
        <v/>
      </c>
      <c r="Q573">
        <f>M573+0.51274*AT572</f>
        <v/>
      </c>
      <c r="R573">
        <f>N573+0.616*AT572</f>
        <v/>
      </c>
      <c r="S573">
        <f>IF($B$13&gt;=0.6,Q573,IF($B$13&lt;=0.2,R573,R573+2.5*(Q573-R573)*($B$13-0.2)))</f>
        <v/>
      </c>
      <c r="T573">
        <f>IF(A573=1,S573,T572*$B$27+S573*(1-$B$27))</f>
        <v/>
      </c>
      <c r="U573">
        <f>0.6105*EXP(17.27*T573/(T573+237.3))</f>
        <v/>
      </c>
      <c r="V573">
        <f>($B$14*(I573*C573+IF(ABS((D573+0.1)-D573)&lt;0.000000001,4*$B$19*$B$20*(D573+273)^3,$B$19*$B$20*(((D573+0.1)+273)^4-(D573+273)^4)/((D573+0.1)-D573))*D573)+T573/H573)/($B$14*(I573+IF(ABS((D573+0.1)-D573)&lt;0.000000001,4*$B$19*$B$20*(D573+273)^3,$B$19*$B$20*(((D573+0.1)+273)^4-(D573+273)^4)/((D573+0.1)-D573)))+1/H573)</f>
        <v/>
      </c>
      <c r="W573">
        <f>($B$14*(I573*C573+IF(ABS(V573-D573)&lt;0.000000001,4*$B$19*$B$20*(D573+273)^3,$B$19*$B$20*((V573+273)^4-(D573+273)^4)/(V573-D573))*D573)+T573/H573)/($B$14*(I573+IF(ABS(V573-D573)&lt;0.000000001,4*$B$19*$B$20*(D573+273)^3,$B$19*$B$20*((V573+273)^4-(D573+273)^4)/(V573-D573)))+1/H573)</f>
        <v/>
      </c>
      <c r="X573">
        <f>($B$14*(I573*C573+IF(ABS(W573-D573)&lt;0.000000001,4*$B$19*$B$20*(D573+273)^3,$B$19*$B$20*((W573+273)^4-(D573+273)^4)/(W573-D573))*D573)+T573/H573)/($B$14*(I573+IF(ABS(W573-D573)&lt;0.000000001,4*$B$19*$B$20*(D573+273)^3,$B$19*$B$20*((W573+273)^4-(D573+273)^4)/(W573-D573)))+1/H573)</f>
        <v/>
      </c>
      <c r="Y573">
        <f>($B$14*(I573*C573+IF(ABS(X573-D573)&lt;0.000000001,4*$B$19*$B$20*(D573+273)^3,$B$19*$B$20*((X573+273)^4-(D573+273)^4)/(X573-D573))*D573)+T573/H573)/($B$14*(I573+IF(ABS(X573-D573)&lt;0.000000001,4*$B$19*$B$20*(D573+273)^3,$B$19*$B$20*((X573+273)^4-(D573+273)^4)/(X573-D573)))+1/H573)</f>
        <v/>
      </c>
      <c r="Z573">
        <f>IF(ABS(Y573-D573)&lt;0.000000001,4*$B$19*$B$20*(D573+273)^3,$B$19*$B$20*((Y573+273)^4-(D573+273)^4)/(Y573-D573))</f>
        <v/>
      </c>
      <c r="AA573">
        <f>$B$14*I573*(Y573-C573)</f>
        <v/>
      </c>
      <c r="AB573">
        <f>$B$14*Z573*(Y573-D573)</f>
        <v/>
      </c>
      <c r="AC573">
        <f>IF((U573-E573)/G573=0,0.001,(U573-E573)/G573)</f>
        <v/>
      </c>
      <c r="AD573">
        <f>F573-P573-J573-K573-AA573-AB573</f>
        <v/>
      </c>
      <c r="AE573">
        <f>AD573/AC573</f>
        <v/>
      </c>
      <c r="AF573">
        <f>IF(AD573&lt;=0,0,IF(AC573&lt;=0,$B$11,IF(AE573&gt;=1.7,$B$11,MIN(AD573/MAX(0.05,IF(AE573&gt;1,(2-AE573)^2/2,1-AE573^2/2)),$B$11))))</f>
        <v/>
      </c>
      <c r="AG573">
        <f>AG572*$B$28+AF573*(1-$B$28)</f>
        <v/>
      </c>
      <c r="AH573">
        <f>IF(AND(AD573&gt;0,AC573&lt;=0),0,AC573)</f>
        <v/>
      </c>
      <c r="AI573">
        <f>AH573/MAX(AG573,0.000001)</f>
        <v/>
      </c>
      <c r="AJ573">
        <f>MIN(IF(AI573&gt;=0.5,-AI573+SQRT(AI573^2+2),1),$B$12)</f>
        <v/>
      </c>
      <c r="AK573">
        <f>IF(AG573&lt;=0,0,AJ573*AH573)</f>
        <v/>
      </c>
      <c r="AL573">
        <f>IF(AD573&lt;=0,0,AD573)</f>
        <v/>
      </c>
      <c r="AM573">
        <f>AL573-AK573+P573</f>
        <v/>
      </c>
      <c r="AN573">
        <f>((AM573/$B$7+T572*AS572/2-T573*MAX(0.1,MIN(0.3,0.3-0.09*(AR572-36.8)))/2)+AR572*(1-AS572/2))/(1-MAX(0.1,MIN(0.3,0.3-0.09*(AR572-36.8)))/2)</f>
        <v/>
      </c>
      <c r="AO573">
        <f>((AM573/$B$7+T572*AS572/2-T573*MAX(0.1,MIN(0.3,0.3-0.09*(AN573-36.8)))/2)+AR572*(1-AS572/2))/(1-MAX(0.1,MIN(0.3,0.3-0.09*(AN573-36.8)))/2)</f>
        <v/>
      </c>
      <c r="AP573">
        <f>((AM573/$B$7+T572*AS572/2-T573*MAX(0.1,MIN(0.3,0.3-0.09*(AO573-36.8)))/2)+AR572*(1-AS572/2))/(1-MAX(0.1,MIN(0.3,0.3-0.09*(AO573-36.8)))/2)</f>
        <v/>
      </c>
      <c r="AQ573">
        <f>((AM573/$B$7+T572*AS572/2-T573*MAX(0.1,MIN(0.3,0.3-0.09*(AP573-36.8)))/2)+AR572*(1-AS572/2))/(1-MAX(0.1,MIN(0.3,0.3-0.09*(AP573-36.8)))/2)</f>
        <v/>
      </c>
      <c r="AR573">
        <f>((AM573/$B$7+T572*AS572/2-T573*MAX(0.1,MIN(0.3,0.3-0.09*(AQ573-36.8)))/2)+AR572*(1-AS572/2))/(1-MAX(0.1,MIN(0.3,0.3-0.09*(AQ573-36.8)))/2)</f>
        <v/>
      </c>
      <c r="AS573">
        <f>MAX(0.1,MIN(0.3,0.3-0.09*(AR573-36.8)))</f>
        <v/>
      </c>
      <c r="AT573">
        <f>AT572+(2*AR573-1.962*AT572-1.31)/9</f>
        <v/>
      </c>
      <c r="AU573">
        <f>AU572+AG573+K573</f>
        <v/>
      </c>
      <c r="AV573">
        <f>AU573*2.67*$B$6/1.8/60</f>
        <v/>
      </c>
      <c r="AW573">
        <f>IF(AT573&gt;=$B$36,1,0)</f>
        <v/>
      </c>
      <c r="AX573">
        <f>IF(AV573&gt;=$B$21,1,0)</f>
        <v/>
      </c>
    </row>
    <row r="574">
      <c r="A574" t="n">
        <v>501</v>
      </c>
      <c r="B574">
        <f>MATCH(A574-1,$D$61:$D$68,1)</f>
        <v/>
      </c>
      <c r="C574">
        <f>INDEX($G$61:$G$68,B574)</f>
        <v/>
      </c>
      <c r="D574">
        <f>INDEX($L$61:$L$68,B574)</f>
        <v/>
      </c>
      <c r="E574">
        <f>INDEX($M$61:$M$68,B574)</f>
        <v/>
      </c>
      <c r="F574">
        <f>INDEX($N$61:$N$68,B574)</f>
        <v/>
      </c>
      <c r="G574">
        <f>INDEX($AA$61:$AA$68,B574)</f>
        <v/>
      </c>
      <c r="H574">
        <f>INDEX($X$61:$X$68,B574)</f>
        <v/>
      </c>
      <c r="I574">
        <f>INDEX($AF$61:$AF$68,B574)</f>
        <v/>
      </c>
      <c r="J574">
        <f>INDEX($AC$61:$AC$68,B574)</f>
        <v/>
      </c>
      <c r="K574">
        <f>INDEX($AD$61:$AD$68,B574)</f>
        <v/>
      </c>
      <c r="L574">
        <f>INDEX($AG$61:$AG$68,B574)</f>
        <v/>
      </c>
      <c r="M574">
        <f>INDEX($AH$61:$AH$68,B574)</f>
        <v/>
      </c>
      <c r="N574">
        <f>INDEX($AI$61:$AI$68,B574)</f>
        <v/>
      </c>
      <c r="O574">
        <f>O573*$B$26+L574*(1-$B$26)</f>
        <v/>
      </c>
      <c r="P574">
        <f>$B$7*(O574-O573)*(1-AS573)</f>
        <v/>
      </c>
      <c r="Q574">
        <f>M574+0.51274*AT573</f>
        <v/>
      </c>
      <c r="R574">
        <f>N574+0.616*AT573</f>
        <v/>
      </c>
      <c r="S574">
        <f>IF($B$13&gt;=0.6,Q574,IF($B$13&lt;=0.2,R574,R574+2.5*(Q574-R574)*($B$13-0.2)))</f>
        <v/>
      </c>
      <c r="T574">
        <f>IF(A574=1,S574,T573*$B$27+S574*(1-$B$27))</f>
        <v/>
      </c>
      <c r="U574">
        <f>0.6105*EXP(17.27*T574/(T574+237.3))</f>
        <v/>
      </c>
      <c r="V574">
        <f>($B$14*(I574*C574+IF(ABS((D574+0.1)-D574)&lt;0.000000001,4*$B$19*$B$20*(D574+273)^3,$B$19*$B$20*(((D574+0.1)+273)^4-(D574+273)^4)/((D574+0.1)-D574))*D574)+T574/H574)/($B$14*(I574+IF(ABS((D574+0.1)-D574)&lt;0.000000001,4*$B$19*$B$20*(D574+273)^3,$B$19*$B$20*(((D574+0.1)+273)^4-(D574+273)^4)/((D574+0.1)-D574)))+1/H574)</f>
        <v/>
      </c>
      <c r="W574">
        <f>($B$14*(I574*C574+IF(ABS(V574-D574)&lt;0.000000001,4*$B$19*$B$20*(D574+273)^3,$B$19*$B$20*((V574+273)^4-(D574+273)^4)/(V574-D574))*D574)+T574/H574)/($B$14*(I574+IF(ABS(V574-D574)&lt;0.000000001,4*$B$19*$B$20*(D574+273)^3,$B$19*$B$20*((V574+273)^4-(D574+273)^4)/(V574-D574)))+1/H574)</f>
        <v/>
      </c>
      <c r="X574">
        <f>($B$14*(I574*C574+IF(ABS(W574-D574)&lt;0.000000001,4*$B$19*$B$20*(D574+273)^3,$B$19*$B$20*((W574+273)^4-(D574+273)^4)/(W574-D574))*D574)+T574/H574)/($B$14*(I574+IF(ABS(W574-D574)&lt;0.000000001,4*$B$19*$B$20*(D574+273)^3,$B$19*$B$20*((W574+273)^4-(D574+273)^4)/(W574-D574)))+1/H574)</f>
        <v/>
      </c>
      <c r="Y574">
        <f>($B$14*(I574*C574+IF(ABS(X574-D574)&lt;0.000000001,4*$B$19*$B$20*(D574+273)^3,$B$19*$B$20*((X574+273)^4-(D574+273)^4)/(X574-D574))*D574)+T574/H574)/($B$14*(I574+IF(ABS(X574-D574)&lt;0.000000001,4*$B$19*$B$20*(D574+273)^3,$B$19*$B$20*((X574+273)^4-(D574+273)^4)/(X574-D574)))+1/H574)</f>
        <v/>
      </c>
      <c r="Z574">
        <f>IF(ABS(Y574-D574)&lt;0.000000001,4*$B$19*$B$20*(D574+273)^3,$B$19*$B$20*((Y574+273)^4-(D574+273)^4)/(Y574-D574))</f>
        <v/>
      </c>
      <c r="AA574">
        <f>$B$14*I574*(Y574-C574)</f>
        <v/>
      </c>
      <c r="AB574">
        <f>$B$14*Z574*(Y574-D574)</f>
        <v/>
      </c>
      <c r="AC574">
        <f>IF((U574-E574)/G574=0,0.001,(U574-E574)/G574)</f>
        <v/>
      </c>
      <c r="AD574">
        <f>F574-P574-J574-K574-AA574-AB574</f>
        <v/>
      </c>
      <c r="AE574">
        <f>AD574/AC574</f>
        <v/>
      </c>
      <c r="AF574">
        <f>IF(AD574&lt;=0,0,IF(AC574&lt;=0,$B$11,IF(AE574&gt;=1.7,$B$11,MIN(AD574/MAX(0.05,IF(AE574&gt;1,(2-AE574)^2/2,1-AE574^2/2)),$B$11))))</f>
        <v/>
      </c>
      <c r="AG574">
        <f>AG573*$B$28+AF574*(1-$B$28)</f>
        <v/>
      </c>
      <c r="AH574">
        <f>IF(AND(AD574&gt;0,AC574&lt;=0),0,AC574)</f>
        <v/>
      </c>
      <c r="AI574">
        <f>AH574/MAX(AG574,0.000001)</f>
        <v/>
      </c>
      <c r="AJ574">
        <f>MIN(IF(AI574&gt;=0.5,-AI574+SQRT(AI574^2+2),1),$B$12)</f>
        <v/>
      </c>
      <c r="AK574">
        <f>IF(AG574&lt;=0,0,AJ574*AH574)</f>
        <v/>
      </c>
      <c r="AL574">
        <f>IF(AD574&lt;=0,0,AD574)</f>
        <v/>
      </c>
      <c r="AM574">
        <f>AL574-AK574+P574</f>
        <v/>
      </c>
      <c r="AN574">
        <f>((AM574/$B$7+T573*AS573/2-T574*MAX(0.1,MIN(0.3,0.3-0.09*(AR573-36.8)))/2)+AR573*(1-AS573/2))/(1-MAX(0.1,MIN(0.3,0.3-0.09*(AR573-36.8)))/2)</f>
        <v/>
      </c>
      <c r="AO574">
        <f>((AM574/$B$7+T573*AS573/2-T574*MAX(0.1,MIN(0.3,0.3-0.09*(AN574-36.8)))/2)+AR573*(1-AS573/2))/(1-MAX(0.1,MIN(0.3,0.3-0.09*(AN574-36.8)))/2)</f>
        <v/>
      </c>
      <c r="AP574">
        <f>((AM574/$B$7+T573*AS573/2-T574*MAX(0.1,MIN(0.3,0.3-0.09*(AO574-36.8)))/2)+AR573*(1-AS573/2))/(1-MAX(0.1,MIN(0.3,0.3-0.09*(AO574-36.8)))/2)</f>
        <v/>
      </c>
      <c r="AQ574">
        <f>((AM574/$B$7+T573*AS573/2-T574*MAX(0.1,MIN(0.3,0.3-0.09*(AP574-36.8)))/2)+AR573*(1-AS573/2))/(1-MAX(0.1,MIN(0.3,0.3-0.09*(AP574-36.8)))/2)</f>
        <v/>
      </c>
      <c r="AR574">
        <f>((AM574/$B$7+T573*AS573/2-T574*MAX(0.1,MIN(0.3,0.3-0.09*(AQ574-36.8)))/2)+AR573*(1-AS573/2))/(1-MAX(0.1,MIN(0.3,0.3-0.09*(AQ574-36.8)))/2)</f>
        <v/>
      </c>
      <c r="AS574">
        <f>MAX(0.1,MIN(0.3,0.3-0.09*(AR574-36.8)))</f>
        <v/>
      </c>
      <c r="AT574">
        <f>AT573+(2*AR574-1.962*AT573-1.31)/9</f>
        <v/>
      </c>
      <c r="AU574">
        <f>AU573+AG574+K574</f>
        <v/>
      </c>
      <c r="AV574">
        <f>AU574*2.67*$B$6/1.8/60</f>
        <v/>
      </c>
      <c r="AW574">
        <f>IF(AT574&gt;=$B$36,1,0)</f>
        <v/>
      </c>
      <c r="AX574">
        <f>IF(AV574&gt;=$B$21,1,0)</f>
        <v/>
      </c>
    </row>
    <row r="575">
      <c r="A575" t="n">
        <v>502</v>
      </c>
      <c r="B575">
        <f>MATCH(A575-1,$D$61:$D$68,1)</f>
        <v/>
      </c>
      <c r="C575">
        <f>INDEX($G$61:$G$68,B575)</f>
        <v/>
      </c>
      <c r="D575">
        <f>INDEX($L$61:$L$68,B575)</f>
        <v/>
      </c>
      <c r="E575">
        <f>INDEX($M$61:$M$68,B575)</f>
        <v/>
      </c>
      <c r="F575">
        <f>INDEX($N$61:$N$68,B575)</f>
        <v/>
      </c>
      <c r="G575">
        <f>INDEX($AA$61:$AA$68,B575)</f>
        <v/>
      </c>
      <c r="H575">
        <f>INDEX($X$61:$X$68,B575)</f>
        <v/>
      </c>
      <c r="I575">
        <f>INDEX($AF$61:$AF$68,B575)</f>
        <v/>
      </c>
      <c r="J575">
        <f>INDEX($AC$61:$AC$68,B575)</f>
        <v/>
      </c>
      <c r="K575">
        <f>INDEX($AD$61:$AD$68,B575)</f>
        <v/>
      </c>
      <c r="L575">
        <f>INDEX($AG$61:$AG$68,B575)</f>
        <v/>
      </c>
      <c r="M575">
        <f>INDEX($AH$61:$AH$68,B575)</f>
        <v/>
      </c>
      <c r="N575">
        <f>INDEX($AI$61:$AI$68,B575)</f>
        <v/>
      </c>
      <c r="O575">
        <f>O574*$B$26+L575*(1-$B$26)</f>
        <v/>
      </c>
      <c r="P575">
        <f>$B$7*(O575-O574)*(1-AS574)</f>
        <v/>
      </c>
      <c r="Q575">
        <f>M575+0.51274*AT574</f>
        <v/>
      </c>
      <c r="R575">
        <f>N575+0.616*AT574</f>
        <v/>
      </c>
      <c r="S575">
        <f>IF($B$13&gt;=0.6,Q575,IF($B$13&lt;=0.2,R575,R575+2.5*(Q575-R575)*($B$13-0.2)))</f>
        <v/>
      </c>
      <c r="T575">
        <f>IF(A575=1,S575,T574*$B$27+S575*(1-$B$27))</f>
        <v/>
      </c>
      <c r="U575">
        <f>0.6105*EXP(17.27*T575/(T575+237.3))</f>
        <v/>
      </c>
      <c r="V575">
        <f>($B$14*(I575*C575+IF(ABS((D575+0.1)-D575)&lt;0.000000001,4*$B$19*$B$20*(D575+273)^3,$B$19*$B$20*(((D575+0.1)+273)^4-(D575+273)^4)/((D575+0.1)-D575))*D575)+T575/H575)/($B$14*(I575+IF(ABS((D575+0.1)-D575)&lt;0.000000001,4*$B$19*$B$20*(D575+273)^3,$B$19*$B$20*(((D575+0.1)+273)^4-(D575+273)^4)/((D575+0.1)-D575)))+1/H575)</f>
        <v/>
      </c>
      <c r="W575">
        <f>($B$14*(I575*C575+IF(ABS(V575-D575)&lt;0.000000001,4*$B$19*$B$20*(D575+273)^3,$B$19*$B$20*((V575+273)^4-(D575+273)^4)/(V575-D575))*D575)+T575/H575)/($B$14*(I575+IF(ABS(V575-D575)&lt;0.000000001,4*$B$19*$B$20*(D575+273)^3,$B$19*$B$20*((V575+273)^4-(D575+273)^4)/(V575-D575)))+1/H575)</f>
        <v/>
      </c>
      <c r="X575">
        <f>($B$14*(I575*C575+IF(ABS(W575-D575)&lt;0.000000001,4*$B$19*$B$20*(D575+273)^3,$B$19*$B$20*((W575+273)^4-(D575+273)^4)/(W575-D575))*D575)+T575/H575)/($B$14*(I575+IF(ABS(W575-D575)&lt;0.000000001,4*$B$19*$B$20*(D575+273)^3,$B$19*$B$20*((W575+273)^4-(D575+273)^4)/(W575-D575)))+1/H575)</f>
        <v/>
      </c>
      <c r="Y575">
        <f>($B$14*(I575*C575+IF(ABS(X575-D575)&lt;0.000000001,4*$B$19*$B$20*(D575+273)^3,$B$19*$B$20*((X575+273)^4-(D575+273)^4)/(X575-D575))*D575)+T575/H575)/($B$14*(I575+IF(ABS(X575-D575)&lt;0.000000001,4*$B$19*$B$20*(D575+273)^3,$B$19*$B$20*((X575+273)^4-(D575+273)^4)/(X575-D575)))+1/H575)</f>
        <v/>
      </c>
      <c r="Z575">
        <f>IF(ABS(Y575-D575)&lt;0.000000001,4*$B$19*$B$20*(D575+273)^3,$B$19*$B$20*((Y575+273)^4-(D575+273)^4)/(Y575-D575))</f>
        <v/>
      </c>
      <c r="AA575">
        <f>$B$14*I575*(Y575-C575)</f>
        <v/>
      </c>
      <c r="AB575">
        <f>$B$14*Z575*(Y575-D575)</f>
        <v/>
      </c>
      <c r="AC575">
        <f>IF((U575-E575)/G575=0,0.001,(U575-E575)/G575)</f>
        <v/>
      </c>
      <c r="AD575">
        <f>F575-P575-J575-K575-AA575-AB575</f>
        <v/>
      </c>
      <c r="AE575">
        <f>AD575/AC575</f>
        <v/>
      </c>
      <c r="AF575">
        <f>IF(AD575&lt;=0,0,IF(AC575&lt;=0,$B$11,IF(AE575&gt;=1.7,$B$11,MIN(AD575/MAX(0.05,IF(AE575&gt;1,(2-AE575)^2/2,1-AE575^2/2)),$B$11))))</f>
        <v/>
      </c>
      <c r="AG575">
        <f>AG574*$B$28+AF575*(1-$B$28)</f>
        <v/>
      </c>
      <c r="AH575">
        <f>IF(AND(AD575&gt;0,AC575&lt;=0),0,AC575)</f>
        <v/>
      </c>
      <c r="AI575">
        <f>AH575/MAX(AG575,0.000001)</f>
        <v/>
      </c>
      <c r="AJ575">
        <f>MIN(IF(AI575&gt;=0.5,-AI575+SQRT(AI575^2+2),1),$B$12)</f>
        <v/>
      </c>
      <c r="AK575">
        <f>IF(AG575&lt;=0,0,AJ575*AH575)</f>
        <v/>
      </c>
      <c r="AL575">
        <f>IF(AD575&lt;=0,0,AD575)</f>
        <v/>
      </c>
      <c r="AM575">
        <f>AL575-AK575+P575</f>
        <v/>
      </c>
      <c r="AN575">
        <f>((AM575/$B$7+T574*AS574/2-T575*MAX(0.1,MIN(0.3,0.3-0.09*(AR574-36.8)))/2)+AR574*(1-AS574/2))/(1-MAX(0.1,MIN(0.3,0.3-0.09*(AR574-36.8)))/2)</f>
        <v/>
      </c>
      <c r="AO575">
        <f>((AM575/$B$7+T574*AS574/2-T575*MAX(0.1,MIN(0.3,0.3-0.09*(AN575-36.8)))/2)+AR574*(1-AS574/2))/(1-MAX(0.1,MIN(0.3,0.3-0.09*(AN575-36.8)))/2)</f>
        <v/>
      </c>
      <c r="AP575">
        <f>((AM575/$B$7+T574*AS574/2-T575*MAX(0.1,MIN(0.3,0.3-0.09*(AO575-36.8)))/2)+AR574*(1-AS574/2))/(1-MAX(0.1,MIN(0.3,0.3-0.09*(AO575-36.8)))/2)</f>
        <v/>
      </c>
      <c r="AQ575">
        <f>((AM575/$B$7+T574*AS574/2-T575*MAX(0.1,MIN(0.3,0.3-0.09*(AP575-36.8)))/2)+AR574*(1-AS574/2))/(1-MAX(0.1,MIN(0.3,0.3-0.09*(AP575-36.8)))/2)</f>
        <v/>
      </c>
      <c r="AR575">
        <f>((AM575/$B$7+T574*AS574/2-T575*MAX(0.1,MIN(0.3,0.3-0.09*(AQ575-36.8)))/2)+AR574*(1-AS574/2))/(1-MAX(0.1,MIN(0.3,0.3-0.09*(AQ575-36.8)))/2)</f>
        <v/>
      </c>
      <c r="AS575">
        <f>MAX(0.1,MIN(0.3,0.3-0.09*(AR575-36.8)))</f>
        <v/>
      </c>
      <c r="AT575">
        <f>AT574+(2*AR575-1.962*AT574-1.31)/9</f>
        <v/>
      </c>
      <c r="AU575">
        <f>AU574+AG575+K575</f>
        <v/>
      </c>
      <c r="AV575">
        <f>AU575*2.67*$B$6/1.8/60</f>
        <v/>
      </c>
      <c r="AW575">
        <f>IF(AT575&gt;=$B$36,1,0)</f>
        <v/>
      </c>
      <c r="AX575">
        <f>IF(AV575&gt;=$B$21,1,0)</f>
        <v/>
      </c>
    </row>
    <row r="576">
      <c r="A576" t="n">
        <v>503</v>
      </c>
      <c r="B576">
        <f>MATCH(A576-1,$D$61:$D$68,1)</f>
        <v/>
      </c>
      <c r="C576">
        <f>INDEX($G$61:$G$68,B576)</f>
        <v/>
      </c>
      <c r="D576">
        <f>INDEX($L$61:$L$68,B576)</f>
        <v/>
      </c>
      <c r="E576">
        <f>INDEX($M$61:$M$68,B576)</f>
        <v/>
      </c>
      <c r="F576">
        <f>INDEX($N$61:$N$68,B576)</f>
        <v/>
      </c>
      <c r="G576">
        <f>INDEX($AA$61:$AA$68,B576)</f>
        <v/>
      </c>
      <c r="H576">
        <f>INDEX($X$61:$X$68,B576)</f>
        <v/>
      </c>
      <c r="I576">
        <f>INDEX($AF$61:$AF$68,B576)</f>
        <v/>
      </c>
      <c r="J576">
        <f>INDEX($AC$61:$AC$68,B576)</f>
        <v/>
      </c>
      <c r="K576">
        <f>INDEX($AD$61:$AD$68,B576)</f>
        <v/>
      </c>
      <c r="L576">
        <f>INDEX($AG$61:$AG$68,B576)</f>
        <v/>
      </c>
      <c r="M576">
        <f>INDEX($AH$61:$AH$68,B576)</f>
        <v/>
      </c>
      <c r="N576">
        <f>INDEX($AI$61:$AI$68,B576)</f>
        <v/>
      </c>
      <c r="O576">
        <f>O575*$B$26+L576*(1-$B$26)</f>
        <v/>
      </c>
      <c r="P576">
        <f>$B$7*(O576-O575)*(1-AS575)</f>
        <v/>
      </c>
      <c r="Q576">
        <f>M576+0.51274*AT575</f>
        <v/>
      </c>
      <c r="R576">
        <f>N576+0.616*AT575</f>
        <v/>
      </c>
      <c r="S576">
        <f>IF($B$13&gt;=0.6,Q576,IF($B$13&lt;=0.2,R576,R576+2.5*(Q576-R576)*($B$13-0.2)))</f>
        <v/>
      </c>
      <c r="T576">
        <f>IF(A576=1,S576,T575*$B$27+S576*(1-$B$27))</f>
        <v/>
      </c>
      <c r="U576">
        <f>0.6105*EXP(17.27*T576/(T576+237.3))</f>
        <v/>
      </c>
      <c r="V576">
        <f>($B$14*(I576*C576+IF(ABS((D576+0.1)-D576)&lt;0.000000001,4*$B$19*$B$20*(D576+273)^3,$B$19*$B$20*(((D576+0.1)+273)^4-(D576+273)^4)/((D576+0.1)-D576))*D576)+T576/H576)/($B$14*(I576+IF(ABS((D576+0.1)-D576)&lt;0.000000001,4*$B$19*$B$20*(D576+273)^3,$B$19*$B$20*(((D576+0.1)+273)^4-(D576+273)^4)/((D576+0.1)-D576)))+1/H576)</f>
        <v/>
      </c>
      <c r="W576">
        <f>($B$14*(I576*C576+IF(ABS(V576-D576)&lt;0.000000001,4*$B$19*$B$20*(D576+273)^3,$B$19*$B$20*((V576+273)^4-(D576+273)^4)/(V576-D576))*D576)+T576/H576)/($B$14*(I576+IF(ABS(V576-D576)&lt;0.000000001,4*$B$19*$B$20*(D576+273)^3,$B$19*$B$20*((V576+273)^4-(D576+273)^4)/(V576-D576)))+1/H576)</f>
        <v/>
      </c>
      <c r="X576">
        <f>($B$14*(I576*C576+IF(ABS(W576-D576)&lt;0.000000001,4*$B$19*$B$20*(D576+273)^3,$B$19*$B$20*((W576+273)^4-(D576+273)^4)/(W576-D576))*D576)+T576/H576)/($B$14*(I576+IF(ABS(W576-D576)&lt;0.000000001,4*$B$19*$B$20*(D576+273)^3,$B$19*$B$20*((W576+273)^4-(D576+273)^4)/(W576-D576)))+1/H576)</f>
        <v/>
      </c>
      <c r="Y576">
        <f>($B$14*(I576*C576+IF(ABS(X576-D576)&lt;0.000000001,4*$B$19*$B$20*(D576+273)^3,$B$19*$B$20*((X576+273)^4-(D576+273)^4)/(X576-D576))*D576)+T576/H576)/($B$14*(I576+IF(ABS(X576-D576)&lt;0.000000001,4*$B$19*$B$20*(D576+273)^3,$B$19*$B$20*((X576+273)^4-(D576+273)^4)/(X576-D576)))+1/H576)</f>
        <v/>
      </c>
      <c r="Z576">
        <f>IF(ABS(Y576-D576)&lt;0.000000001,4*$B$19*$B$20*(D576+273)^3,$B$19*$B$20*((Y576+273)^4-(D576+273)^4)/(Y576-D576))</f>
        <v/>
      </c>
      <c r="AA576">
        <f>$B$14*I576*(Y576-C576)</f>
        <v/>
      </c>
      <c r="AB576">
        <f>$B$14*Z576*(Y576-D576)</f>
        <v/>
      </c>
      <c r="AC576">
        <f>IF((U576-E576)/G576=0,0.001,(U576-E576)/G576)</f>
        <v/>
      </c>
      <c r="AD576">
        <f>F576-P576-J576-K576-AA576-AB576</f>
        <v/>
      </c>
      <c r="AE576">
        <f>AD576/AC576</f>
        <v/>
      </c>
      <c r="AF576">
        <f>IF(AD576&lt;=0,0,IF(AC576&lt;=0,$B$11,IF(AE576&gt;=1.7,$B$11,MIN(AD576/MAX(0.05,IF(AE576&gt;1,(2-AE576)^2/2,1-AE576^2/2)),$B$11))))</f>
        <v/>
      </c>
      <c r="AG576">
        <f>AG575*$B$28+AF576*(1-$B$28)</f>
        <v/>
      </c>
      <c r="AH576">
        <f>IF(AND(AD576&gt;0,AC576&lt;=0),0,AC576)</f>
        <v/>
      </c>
      <c r="AI576">
        <f>AH576/MAX(AG576,0.000001)</f>
        <v/>
      </c>
      <c r="AJ576">
        <f>MIN(IF(AI576&gt;=0.5,-AI576+SQRT(AI576^2+2),1),$B$12)</f>
        <v/>
      </c>
      <c r="AK576">
        <f>IF(AG576&lt;=0,0,AJ576*AH576)</f>
        <v/>
      </c>
      <c r="AL576">
        <f>IF(AD576&lt;=0,0,AD576)</f>
        <v/>
      </c>
      <c r="AM576">
        <f>AL576-AK576+P576</f>
        <v/>
      </c>
      <c r="AN576">
        <f>((AM576/$B$7+T575*AS575/2-T576*MAX(0.1,MIN(0.3,0.3-0.09*(AR575-36.8)))/2)+AR575*(1-AS575/2))/(1-MAX(0.1,MIN(0.3,0.3-0.09*(AR575-36.8)))/2)</f>
        <v/>
      </c>
      <c r="AO576">
        <f>((AM576/$B$7+T575*AS575/2-T576*MAX(0.1,MIN(0.3,0.3-0.09*(AN576-36.8)))/2)+AR575*(1-AS575/2))/(1-MAX(0.1,MIN(0.3,0.3-0.09*(AN576-36.8)))/2)</f>
        <v/>
      </c>
      <c r="AP576">
        <f>((AM576/$B$7+T575*AS575/2-T576*MAX(0.1,MIN(0.3,0.3-0.09*(AO576-36.8)))/2)+AR575*(1-AS575/2))/(1-MAX(0.1,MIN(0.3,0.3-0.09*(AO576-36.8)))/2)</f>
        <v/>
      </c>
      <c r="AQ576">
        <f>((AM576/$B$7+T575*AS575/2-T576*MAX(0.1,MIN(0.3,0.3-0.09*(AP576-36.8)))/2)+AR575*(1-AS575/2))/(1-MAX(0.1,MIN(0.3,0.3-0.09*(AP576-36.8)))/2)</f>
        <v/>
      </c>
      <c r="AR576">
        <f>((AM576/$B$7+T575*AS575/2-T576*MAX(0.1,MIN(0.3,0.3-0.09*(AQ576-36.8)))/2)+AR575*(1-AS575/2))/(1-MAX(0.1,MIN(0.3,0.3-0.09*(AQ576-36.8)))/2)</f>
        <v/>
      </c>
      <c r="AS576">
        <f>MAX(0.1,MIN(0.3,0.3-0.09*(AR576-36.8)))</f>
        <v/>
      </c>
      <c r="AT576">
        <f>AT575+(2*AR576-1.962*AT575-1.31)/9</f>
        <v/>
      </c>
      <c r="AU576">
        <f>AU575+AG576+K576</f>
        <v/>
      </c>
      <c r="AV576">
        <f>AU576*2.67*$B$6/1.8/60</f>
        <v/>
      </c>
      <c r="AW576">
        <f>IF(AT576&gt;=$B$36,1,0)</f>
        <v/>
      </c>
      <c r="AX576">
        <f>IF(AV576&gt;=$B$21,1,0)</f>
        <v/>
      </c>
    </row>
    <row r="577">
      <c r="A577" t="n">
        <v>504</v>
      </c>
      <c r="B577">
        <f>MATCH(A577-1,$D$61:$D$68,1)</f>
        <v/>
      </c>
      <c r="C577">
        <f>INDEX($G$61:$G$68,B577)</f>
        <v/>
      </c>
      <c r="D577">
        <f>INDEX($L$61:$L$68,B577)</f>
        <v/>
      </c>
      <c r="E577">
        <f>INDEX($M$61:$M$68,B577)</f>
        <v/>
      </c>
      <c r="F577">
        <f>INDEX($N$61:$N$68,B577)</f>
        <v/>
      </c>
      <c r="G577">
        <f>INDEX($AA$61:$AA$68,B577)</f>
        <v/>
      </c>
      <c r="H577">
        <f>INDEX($X$61:$X$68,B577)</f>
        <v/>
      </c>
      <c r="I577">
        <f>INDEX($AF$61:$AF$68,B577)</f>
        <v/>
      </c>
      <c r="J577">
        <f>INDEX($AC$61:$AC$68,B577)</f>
        <v/>
      </c>
      <c r="K577">
        <f>INDEX($AD$61:$AD$68,B577)</f>
        <v/>
      </c>
      <c r="L577">
        <f>INDEX($AG$61:$AG$68,B577)</f>
        <v/>
      </c>
      <c r="M577">
        <f>INDEX($AH$61:$AH$68,B577)</f>
        <v/>
      </c>
      <c r="N577">
        <f>INDEX($AI$61:$AI$68,B577)</f>
        <v/>
      </c>
      <c r="O577">
        <f>O576*$B$26+L577*(1-$B$26)</f>
        <v/>
      </c>
      <c r="P577">
        <f>$B$7*(O577-O576)*(1-AS576)</f>
        <v/>
      </c>
      <c r="Q577">
        <f>M577+0.51274*AT576</f>
        <v/>
      </c>
      <c r="R577">
        <f>N577+0.616*AT576</f>
        <v/>
      </c>
      <c r="S577">
        <f>IF($B$13&gt;=0.6,Q577,IF($B$13&lt;=0.2,R577,R577+2.5*(Q577-R577)*($B$13-0.2)))</f>
        <v/>
      </c>
      <c r="T577">
        <f>IF(A577=1,S577,T576*$B$27+S577*(1-$B$27))</f>
        <v/>
      </c>
      <c r="U577">
        <f>0.6105*EXP(17.27*T577/(T577+237.3))</f>
        <v/>
      </c>
      <c r="V577">
        <f>($B$14*(I577*C577+IF(ABS((D577+0.1)-D577)&lt;0.000000001,4*$B$19*$B$20*(D577+273)^3,$B$19*$B$20*(((D577+0.1)+273)^4-(D577+273)^4)/((D577+0.1)-D577))*D577)+T577/H577)/($B$14*(I577+IF(ABS((D577+0.1)-D577)&lt;0.000000001,4*$B$19*$B$20*(D577+273)^3,$B$19*$B$20*(((D577+0.1)+273)^4-(D577+273)^4)/((D577+0.1)-D577)))+1/H577)</f>
        <v/>
      </c>
      <c r="W577">
        <f>($B$14*(I577*C577+IF(ABS(V577-D577)&lt;0.000000001,4*$B$19*$B$20*(D577+273)^3,$B$19*$B$20*((V577+273)^4-(D577+273)^4)/(V577-D577))*D577)+T577/H577)/($B$14*(I577+IF(ABS(V577-D577)&lt;0.000000001,4*$B$19*$B$20*(D577+273)^3,$B$19*$B$20*((V577+273)^4-(D577+273)^4)/(V577-D577)))+1/H577)</f>
        <v/>
      </c>
      <c r="X577">
        <f>($B$14*(I577*C577+IF(ABS(W577-D577)&lt;0.000000001,4*$B$19*$B$20*(D577+273)^3,$B$19*$B$20*((W577+273)^4-(D577+273)^4)/(W577-D577))*D577)+T577/H577)/($B$14*(I577+IF(ABS(W577-D577)&lt;0.000000001,4*$B$19*$B$20*(D577+273)^3,$B$19*$B$20*((W577+273)^4-(D577+273)^4)/(W577-D577)))+1/H577)</f>
        <v/>
      </c>
      <c r="Y577">
        <f>($B$14*(I577*C577+IF(ABS(X577-D577)&lt;0.000000001,4*$B$19*$B$20*(D577+273)^3,$B$19*$B$20*((X577+273)^4-(D577+273)^4)/(X577-D577))*D577)+T577/H577)/($B$14*(I577+IF(ABS(X577-D577)&lt;0.000000001,4*$B$19*$B$20*(D577+273)^3,$B$19*$B$20*((X577+273)^4-(D577+273)^4)/(X577-D577)))+1/H577)</f>
        <v/>
      </c>
      <c r="Z577">
        <f>IF(ABS(Y577-D577)&lt;0.000000001,4*$B$19*$B$20*(D577+273)^3,$B$19*$B$20*((Y577+273)^4-(D577+273)^4)/(Y577-D577))</f>
        <v/>
      </c>
      <c r="AA577">
        <f>$B$14*I577*(Y577-C577)</f>
        <v/>
      </c>
      <c r="AB577">
        <f>$B$14*Z577*(Y577-D577)</f>
        <v/>
      </c>
      <c r="AC577">
        <f>IF((U577-E577)/G577=0,0.001,(U577-E577)/G577)</f>
        <v/>
      </c>
      <c r="AD577">
        <f>F577-P577-J577-K577-AA577-AB577</f>
        <v/>
      </c>
      <c r="AE577">
        <f>AD577/AC577</f>
        <v/>
      </c>
      <c r="AF577">
        <f>IF(AD577&lt;=0,0,IF(AC577&lt;=0,$B$11,IF(AE577&gt;=1.7,$B$11,MIN(AD577/MAX(0.05,IF(AE577&gt;1,(2-AE577)^2/2,1-AE577^2/2)),$B$11))))</f>
        <v/>
      </c>
      <c r="AG577">
        <f>AG576*$B$28+AF577*(1-$B$28)</f>
        <v/>
      </c>
      <c r="AH577">
        <f>IF(AND(AD577&gt;0,AC577&lt;=0),0,AC577)</f>
        <v/>
      </c>
      <c r="AI577">
        <f>AH577/MAX(AG577,0.000001)</f>
        <v/>
      </c>
      <c r="AJ577">
        <f>MIN(IF(AI577&gt;=0.5,-AI577+SQRT(AI577^2+2),1),$B$12)</f>
        <v/>
      </c>
      <c r="AK577">
        <f>IF(AG577&lt;=0,0,AJ577*AH577)</f>
        <v/>
      </c>
      <c r="AL577">
        <f>IF(AD577&lt;=0,0,AD577)</f>
        <v/>
      </c>
      <c r="AM577">
        <f>AL577-AK577+P577</f>
        <v/>
      </c>
      <c r="AN577">
        <f>((AM577/$B$7+T576*AS576/2-T577*MAX(0.1,MIN(0.3,0.3-0.09*(AR576-36.8)))/2)+AR576*(1-AS576/2))/(1-MAX(0.1,MIN(0.3,0.3-0.09*(AR576-36.8)))/2)</f>
        <v/>
      </c>
      <c r="AO577">
        <f>((AM577/$B$7+T576*AS576/2-T577*MAX(0.1,MIN(0.3,0.3-0.09*(AN577-36.8)))/2)+AR576*(1-AS576/2))/(1-MAX(0.1,MIN(0.3,0.3-0.09*(AN577-36.8)))/2)</f>
        <v/>
      </c>
      <c r="AP577">
        <f>((AM577/$B$7+T576*AS576/2-T577*MAX(0.1,MIN(0.3,0.3-0.09*(AO577-36.8)))/2)+AR576*(1-AS576/2))/(1-MAX(0.1,MIN(0.3,0.3-0.09*(AO577-36.8)))/2)</f>
        <v/>
      </c>
      <c r="AQ577">
        <f>((AM577/$B$7+T576*AS576/2-T577*MAX(0.1,MIN(0.3,0.3-0.09*(AP577-36.8)))/2)+AR576*(1-AS576/2))/(1-MAX(0.1,MIN(0.3,0.3-0.09*(AP577-36.8)))/2)</f>
        <v/>
      </c>
      <c r="AR577">
        <f>((AM577/$B$7+T576*AS576/2-T577*MAX(0.1,MIN(0.3,0.3-0.09*(AQ577-36.8)))/2)+AR576*(1-AS576/2))/(1-MAX(0.1,MIN(0.3,0.3-0.09*(AQ577-36.8)))/2)</f>
        <v/>
      </c>
      <c r="AS577">
        <f>MAX(0.1,MIN(0.3,0.3-0.09*(AR577-36.8)))</f>
        <v/>
      </c>
      <c r="AT577">
        <f>AT576+(2*AR577-1.962*AT576-1.31)/9</f>
        <v/>
      </c>
      <c r="AU577">
        <f>AU576+AG577+K577</f>
        <v/>
      </c>
      <c r="AV577">
        <f>AU577*2.67*$B$6/1.8/60</f>
        <v/>
      </c>
      <c r="AW577">
        <f>IF(AT577&gt;=$B$36,1,0)</f>
        <v/>
      </c>
      <c r="AX577">
        <f>IF(AV577&gt;=$B$21,1,0)</f>
        <v/>
      </c>
    </row>
    <row r="578">
      <c r="A578" t="n">
        <v>505</v>
      </c>
      <c r="B578">
        <f>MATCH(A578-1,$D$61:$D$68,1)</f>
        <v/>
      </c>
      <c r="C578">
        <f>INDEX($G$61:$G$68,B578)</f>
        <v/>
      </c>
      <c r="D578">
        <f>INDEX($L$61:$L$68,B578)</f>
        <v/>
      </c>
      <c r="E578">
        <f>INDEX($M$61:$M$68,B578)</f>
        <v/>
      </c>
      <c r="F578">
        <f>INDEX($N$61:$N$68,B578)</f>
        <v/>
      </c>
      <c r="G578">
        <f>INDEX($AA$61:$AA$68,B578)</f>
        <v/>
      </c>
      <c r="H578">
        <f>INDEX($X$61:$X$68,B578)</f>
        <v/>
      </c>
      <c r="I578">
        <f>INDEX($AF$61:$AF$68,B578)</f>
        <v/>
      </c>
      <c r="J578">
        <f>INDEX($AC$61:$AC$68,B578)</f>
        <v/>
      </c>
      <c r="K578">
        <f>INDEX($AD$61:$AD$68,B578)</f>
        <v/>
      </c>
      <c r="L578">
        <f>INDEX($AG$61:$AG$68,B578)</f>
        <v/>
      </c>
      <c r="M578">
        <f>INDEX($AH$61:$AH$68,B578)</f>
        <v/>
      </c>
      <c r="N578">
        <f>INDEX($AI$61:$AI$68,B578)</f>
        <v/>
      </c>
      <c r="O578">
        <f>O577*$B$26+L578*(1-$B$26)</f>
        <v/>
      </c>
      <c r="P578">
        <f>$B$7*(O578-O577)*(1-AS577)</f>
        <v/>
      </c>
      <c r="Q578">
        <f>M578+0.51274*AT577</f>
        <v/>
      </c>
      <c r="R578">
        <f>N578+0.616*AT577</f>
        <v/>
      </c>
      <c r="S578">
        <f>IF($B$13&gt;=0.6,Q578,IF($B$13&lt;=0.2,R578,R578+2.5*(Q578-R578)*($B$13-0.2)))</f>
        <v/>
      </c>
      <c r="T578">
        <f>IF(A578=1,S578,T577*$B$27+S578*(1-$B$27))</f>
        <v/>
      </c>
      <c r="U578">
        <f>0.6105*EXP(17.27*T578/(T578+237.3))</f>
        <v/>
      </c>
      <c r="V578">
        <f>($B$14*(I578*C578+IF(ABS((D578+0.1)-D578)&lt;0.000000001,4*$B$19*$B$20*(D578+273)^3,$B$19*$B$20*(((D578+0.1)+273)^4-(D578+273)^4)/((D578+0.1)-D578))*D578)+T578/H578)/($B$14*(I578+IF(ABS((D578+0.1)-D578)&lt;0.000000001,4*$B$19*$B$20*(D578+273)^3,$B$19*$B$20*(((D578+0.1)+273)^4-(D578+273)^4)/((D578+0.1)-D578)))+1/H578)</f>
        <v/>
      </c>
      <c r="W578">
        <f>($B$14*(I578*C578+IF(ABS(V578-D578)&lt;0.000000001,4*$B$19*$B$20*(D578+273)^3,$B$19*$B$20*((V578+273)^4-(D578+273)^4)/(V578-D578))*D578)+T578/H578)/($B$14*(I578+IF(ABS(V578-D578)&lt;0.000000001,4*$B$19*$B$20*(D578+273)^3,$B$19*$B$20*((V578+273)^4-(D578+273)^4)/(V578-D578)))+1/H578)</f>
        <v/>
      </c>
      <c r="X578">
        <f>($B$14*(I578*C578+IF(ABS(W578-D578)&lt;0.000000001,4*$B$19*$B$20*(D578+273)^3,$B$19*$B$20*((W578+273)^4-(D578+273)^4)/(W578-D578))*D578)+T578/H578)/($B$14*(I578+IF(ABS(W578-D578)&lt;0.000000001,4*$B$19*$B$20*(D578+273)^3,$B$19*$B$20*((W578+273)^4-(D578+273)^4)/(W578-D578)))+1/H578)</f>
        <v/>
      </c>
      <c r="Y578">
        <f>($B$14*(I578*C578+IF(ABS(X578-D578)&lt;0.000000001,4*$B$19*$B$20*(D578+273)^3,$B$19*$B$20*((X578+273)^4-(D578+273)^4)/(X578-D578))*D578)+T578/H578)/($B$14*(I578+IF(ABS(X578-D578)&lt;0.000000001,4*$B$19*$B$20*(D578+273)^3,$B$19*$B$20*((X578+273)^4-(D578+273)^4)/(X578-D578)))+1/H578)</f>
        <v/>
      </c>
      <c r="Z578">
        <f>IF(ABS(Y578-D578)&lt;0.000000001,4*$B$19*$B$20*(D578+273)^3,$B$19*$B$20*((Y578+273)^4-(D578+273)^4)/(Y578-D578))</f>
        <v/>
      </c>
      <c r="AA578">
        <f>$B$14*I578*(Y578-C578)</f>
        <v/>
      </c>
      <c r="AB578">
        <f>$B$14*Z578*(Y578-D578)</f>
        <v/>
      </c>
      <c r="AC578">
        <f>IF((U578-E578)/G578=0,0.001,(U578-E578)/G578)</f>
        <v/>
      </c>
      <c r="AD578">
        <f>F578-P578-J578-K578-AA578-AB578</f>
        <v/>
      </c>
      <c r="AE578">
        <f>AD578/AC578</f>
        <v/>
      </c>
      <c r="AF578">
        <f>IF(AD578&lt;=0,0,IF(AC578&lt;=0,$B$11,IF(AE578&gt;=1.7,$B$11,MIN(AD578/MAX(0.05,IF(AE578&gt;1,(2-AE578)^2/2,1-AE578^2/2)),$B$11))))</f>
        <v/>
      </c>
      <c r="AG578">
        <f>AG577*$B$28+AF578*(1-$B$28)</f>
        <v/>
      </c>
      <c r="AH578">
        <f>IF(AND(AD578&gt;0,AC578&lt;=0),0,AC578)</f>
        <v/>
      </c>
      <c r="AI578">
        <f>AH578/MAX(AG578,0.000001)</f>
        <v/>
      </c>
      <c r="AJ578">
        <f>MIN(IF(AI578&gt;=0.5,-AI578+SQRT(AI578^2+2),1),$B$12)</f>
        <v/>
      </c>
      <c r="AK578">
        <f>IF(AG578&lt;=0,0,AJ578*AH578)</f>
        <v/>
      </c>
      <c r="AL578">
        <f>IF(AD578&lt;=0,0,AD578)</f>
        <v/>
      </c>
      <c r="AM578">
        <f>AL578-AK578+P578</f>
        <v/>
      </c>
      <c r="AN578">
        <f>((AM578/$B$7+T577*AS577/2-T578*MAX(0.1,MIN(0.3,0.3-0.09*(AR577-36.8)))/2)+AR577*(1-AS577/2))/(1-MAX(0.1,MIN(0.3,0.3-0.09*(AR577-36.8)))/2)</f>
        <v/>
      </c>
      <c r="AO578">
        <f>((AM578/$B$7+T577*AS577/2-T578*MAX(0.1,MIN(0.3,0.3-0.09*(AN578-36.8)))/2)+AR577*(1-AS577/2))/(1-MAX(0.1,MIN(0.3,0.3-0.09*(AN578-36.8)))/2)</f>
        <v/>
      </c>
      <c r="AP578">
        <f>((AM578/$B$7+T577*AS577/2-T578*MAX(0.1,MIN(0.3,0.3-0.09*(AO578-36.8)))/2)+AR577*(1-AS577/2))/(1-MAX(0.1,MIN(0.3,0.3-0.09*(AO578-36.8)))/2)</f>
        <v/>
      </c>
      <c r="AQ578">
        <f>((AM578/$B$7+T577*AS577/2-T578*MAX(0.1,MIN(0.3,0.3-0.09*(AP578-36.8)))/2)+AR577*(1-AS577/2))/(1-MAX(0.1,MIN(0.3,0.3-0.09*(AP578-36.8)))/2)</f>
        <v/>
      </c>
      <c r="AR578">
        <f>((AM578/$B$7+T577*AS577/2-T578*MAX(0.1,MIN(0.3,0.3-0.09*(AQ578-36.8)))/2)+AR577*(1-AS577/2))/(1-MAX(0.1,MIN(0.3,0.3-0.09*(AQ578-36.8)))/2)</f>
        <v/>
      </c>
      <c r="AS578">
        <f>MAX(0.1,MIN(0.3,0.3-0.09*(AR578-36.8)))</f>
        <v/>
      </c>
      <c r="AT578">
        <f>AT577+(2*AR578-1.962*AT577-1.31)/9</f>
        <v/>
      </c>
      <c r="AU578">
        <f>AU577+AG578+K578</f>
        <v/>
      </c>
      <c r="AV578">
        <f>AU578*2.67*$B$6/1.8/60</f>
        <v/>
      </c>
      <c r="AW578">
        <f>IF(AT578&gt;=$B$36,1,0)</f>
        <v/>
      </c>
      <c r="AX578">
        <f>IF(AV578&gt;=$B$21,1,0)</f>
        <v/>
      </c>
    </row>
    <row r="579">
      <c r="A579" t="n">
        <v>506</v>
      </c>
      <c r="B579">
        <f>MATCH(A579-1,$D$61:$D$68,1)</f>
        <v/>
      </c>
      <c r="C579">
        <f>INDEX($G$61:$G$68,B579)</f>
        <v/>
      </c>
      <c r="D579">
        <f>INDEX($L$61:$L$68,B579)</f>
        <v/>
      </c>
      <c r="E579">
        <f>INDEX($M$61:$M$68,B579)</f>
        <v/>
      </c>
      <c r="F579">
        <f>INDEX($N$61:$N$68,B579)</f>
        <v/>
      </c>
      <c r="G579">
        <f>INDEX($AA$61:$AA$68,B579)</f>
        <v/>
      </c>
      <c r="H579">
        <f>INDEX($X$61:$X$68,B579)</f>
        <v/>
      </c>
      <c r="I579">
        <f>INDEX($AF$61:$AF$68,B579)</f>
        <v/>
      </c>
      <c r="J579">
        <f>INDEX($AC$61:$AC$68,B579)</f>
        <v/>
      </c>
      <c r="K579">
        <f>INDEX($AD$61:$AD$68,B579)</f>
        <v/>
      </c>
      <c r="L579">
        <f>INDEX($AG$61:$AG$68,B579)</f>
        <v/>
      </c>
      <c r="M579">
        <f>INDEX($AH$61:$AH$68,B579)</f>
        <v/>
      </c>
      <c r="N579">
        <f>INDEX($AI$61:$AI$68,B579)</f>
        <v/>
      </c>
      <c r="O579">
        <f>O578*$B$26+L579*(1-$B$26)</f>
        <v/>
      </c>
      <c r="P579">
        <f>$B$7*(O579-O578)*(1-AS578)</f>
        <v/>
      </c>
      <c r="Q579">
        <f>M579+0.51274*AT578</f>
        <v/>
      </c>
      <c r="R579">
        <f>N579+0.616*AT578</f>
        <v/>
      </c>
      <c r="S579">
        <f>IF($B$13&gt;=0.6,Q579,IF($B$13&lt;=0.2,R579,R579+2.5*(Q579-R579)*($B$13-0.2)))</f>
        <v/>
      </c>
      <c r="T579">
        <f>IF(A579=1,S579,T578*$B$27+S579*(1-$B$27))</f>
        <v/>
      </c>
      <c r="U579">
        <f>0.6105*EXP(17.27*T579/(T579+237.3))</f>
        <v/>
      </c>
      <c r="V579">
        <f>($B$14*(I579*C579+IF(ABS((D579+0.1)-D579)&lt;0.000000001,4*$B$19*$B$20*(D579+273)^3,$B$19*$B$20*(((D579+0.1)+273)^4-(D579+273)^4)/((D579+0.1)-D579))*D579)+T579/H579)/($B$14*(I579+IF(ABS((D579+0.1)-D579)&lt;0.000000001,4*$B$19*$B$20*(D579+273)^3,$B$19*$B$20*(((D579+0.1)+273)^4-(D579+273)^4)/((D579+0.1)-D579)))+1/H579)</f>
        <v/>
      </c>
      <c r="W579">
        <f>($B$14*(I579*C579+IF(ABS(V579-D579)&lt;0.000000001,4*$B$19*$B$20*(D579+273)^3,$B$19*$B$20*((V579+273)^4-(D579+273)^4)/(V579-D579))*D579)+T579/H579)/($B$14*(I579+IF(ABS(V579-D579)&lt;0.000000001,4*$B$19*$B$20*(D579+273)^3,$B$19*$B$20*((V579+273)^4-(D579+273)^4)/(V579-D579)))+1/H579)</f>
        <v/>
      </c>
      <c r="X579">
        <f>($B$14*(I579*C579+IF(ABS(W579-D579)&lt;0.000000001,4*$B$19*$B$20*(D579+273)^3,$B$19*$B$20*((W579+273)^4-(D579+273)^4)/(W579-D579))*D579)+T579/H579)/($B$14*(I579+IF(ABS(W579-D579)&lt;0.000000001,4*$B$19*$B$20*(D579+273)^3,$B$19*$B$20*((W579+273)^4-(D579+273)^4)/(W579-D579)))+1/H579)</f>
        <v/>
      </c>
      <c r="Y579">
        <f>($B$14*(I579*C579+IF(ABS(X579-D579)&lt;0.000000001,4*$B$19*$B$20*(D579+273)^3,$B$19*$B$20*((X579+273)^4-(D579+273)^4)/(X579-D579))*D579)+T579/H579)/($B$14*(I579+IF(ABS(X579-D579)&lt;0.000000001,4*$B$19*$B$20*(D579+273)^3,$B$19*$B$20*((X579+273)^4-(D579+273)^4)/(X579-D579)))+1/H579)</f>
        <v/>
      </c>
      <c r="Z579">
        <f>IF(ABS(Y579-D579)&lt;0.000000001,4*$B$19*$B$20*(D579+273)^3,$B$19*$B$20*((Y579+273)^4-(D579+273)^4)/(Y579-D579))</f>
        <v/>
      </c>
      <c r="AA579">
        <f>$B$14*I579*(Y579-C579)</f>
        <v/>
      </c>
      <c r="AB579">
        <f>$B$14*Z579*(Y579-D579)</f>
        <v/>
      </c>
      <c r="AC579">
        <f>IF((U579-E579)/G579=0,0.001,(U579-E579)/G579)</f>
        <v/>
      </c>
      <c r="AD579">
        <f>F579-P579-J579-K579-AA579-AB579</f>
        <v/>
      </c>
      <c r="AE579">
        <f>AD579/AC579</f>
        <v/>
      </c>
      <c r="AF579">
        <f>IF(AD579&lt;=0,0,IF(AC579&lt;=0,$B$11,IF(AE579&gt;=1.7,$B$11,MIN(AD579/MAX(0.05,IF(AE579&gt;1,(2-AE579)^2/2,1-AE579^2/2)),$B$11))))</f>
        <v/>
      </c>
      <c r="AG579">
        <f>AG578*$B$28+AF579*(1-$B$28)</f>
        <v/>
      </c>
      <c r="AH579">
        <f>IF(AND(AD579&gt;0,AC579&lt;=0),0,AC579)</f>
        <v/>
      </c>
      <c r="AI579">
        <f>AH579/MAX(AG579,0.000001)</f>
        <v/>
      </c>
      <c r="AJ579">
        <f>MIN(IF(AI579&gt;=0.5,-AI579+SQRT(AI579^2+2),1),$B$12)</f>
        <v/>
      </c>
      <c r="AK579">
        <f>IF(AG579&lt;=0,0,AJ579*AH579)</f>
        <v/>
      </c>
      <c r="AL579">
        <f>IF(AD579&lt;=0,0,AD579)</f>
        <v/>
      </c>
      <c r="AM579">
        <f>AL579-AK579+P579</f>
        <v/>
      </c>
      <c r="AN579">
        <f>((AM579/$B$7+T578*AS578/2-T579*MAX(0.1,MIN(0.3,0.3-0.09*(AR578-36.8)))/2)+AR578*(1-AS578/2))/(1-MAX(0.1,MIN(0.3,0.3-0.09*(AR578-36.8)))/2)</f>
        <v/>
      </c>
      <c r="AO579">
        <f>((AM579/$B$7+T578*AS578/2-T579*MAX(0.1,MIN(0.3,0.3-0.09*(AN579-36.8)))/2)+AR578*(1-AS578/2))/(1-MAX(0.1,MIN(0.3,0.3-0.09*(AN579-36.8)))/2)</f>
        <v/>
      </c>
      <c r="AP579">
        <f>((AM579/$B$7+T578*AS578/2-T579*MAX(0.1,MIN(0.3,0.3-0.09*(AO579-36.8)))/2)+AR578*(1-AS578/2))/(1-MAX(0.1,MIN(0.3,0.3-0.09*(AO579-36.8)))/2)</f>
        <v/>
      </c>
      <c r="AQ579">
        <f>((AM579/$B$7+T578*AS578/2-T579*MAX(0.1,MIN(0.3,0.3-0.09*(AP579-36.8)))/2)+AR578*(1-AS578/2))/(1-MAX(0.1,MIN(0.3,0.3-0.09*(AP579-36.8)))/2)</f>
        <v/>
      </c>
      <c r="AR579">
        <f>((AM579/$B$7+T578*AS578/2-T579*MAX(0.1,MIN(0.3,0.3-0.09*(AQ579-36.8)))/2)+AR578*(1-AS578/2))/(1-MAX(0.1,MIN(0.3,0.3-0.09*(AQ579-36.8)))/2)</f>
        <v/>
      </c>
      <c r="AS579">
        <f>MAX(0.1,MIN(0.3,0.3-0.09*(AR579-36.8)))</f>
        <v/>
      </c>
      <c r="AT579">
        <f>AT578+(2*AR579-1.962*AT578-1.31)/9</f>
        <v/>
      </c>
      <c r="AU579">
        <f>AU578+AG579+K579</f>
        <v/>
      </c>
      <c r="AV579">
        <f>AU579*2.67*$B$6/1.8/60</f>
        <v/>
      </c>
      <c r="AW579">
        <f>IF(AT579&gt;=$B$36,1,0)</f>
        <v/>
      </c>
      <c r="AX579">
        <f>IF(AV579&gt;=$B$21,1,0)</f>
        <v/>
      </c>
    </row>
    <row r="580">
      <c r="A580" t="n">
        <v>507</v>
      </c>
      <c r="B580">
        <f>MATCH(A580-1,$D$61:$D$68,1)</f>
        <v/>
      </c>
      <c r="C580">
        <f>INDEX($G$61:$G$68,B580)</f>
        <v/>
      </c>
      <c r="D580">
        <f>INDEX($L$61:$L$68,B580)</f>
        <v/>
      </c>
      <c r="E580">
        <f>INDEX($M$61:$M$68,B580)</f>
        <v/>
      </c>
      <c r="F580">
        <f>INDEX($N$61:$N$68,B580)</f>
        <v/>
      </c>
      <c r="G580">
        <f>INDEX($AA$61:$AA$68,B580)</f>
        <v/>
      </c>
      <c r="H580">
        <f>INDEX($X$61:$X$68,B580)</f>
        <v/>
      </c>
      <c r="I580">
        <f>INDEX($AF$61:$AF$68,B580)</f>
        <v/>
      </c>
      <c r="J580">
        <f>INDEX($AC$61:$AC$68,B580)</f>
        <v/>
      </c>
      <c r="K580">
        <f>INDEX($AD$61:$AD$68,B580)</f>
        <v/>
      </c>
      <c r="L580">
        <f>INDEX($AG$61:$AG$68,B580)</f>
        <v/>
      </c>
      <c r="M580">
        <f>INDEX($AH$61:$AH$68,B580)</f>
        <v/>
      </c>
      <c r="N580">
        <f>INDEX($AI$61:$AI$68,B580)</f>
        <v/>
      </c>
      <c r="O580">
        <f>O579*$B$26+L580*(1-$B$26)</f>
        <v/>
      </c>
      <c r="P580">
        <f>$B$7*(O580-O579)*(1-AS579)</f>
        <v/>
      </c>
      <c r="Q580">
        <f>M580+0.51274*AT579</f>
        <v/>
      </c>
      <c r="R580">
        <f>N580+0.616*AT579</f>
        <v/>
      </c>
      <c r="S580">
        <f>IF($B$13&gt;=0.6,Q580,IF($B$13&lt;=0.2,R580,R580+2.5*(Q580-R580)*($B$13-0.2)))</f>
        <v/>
      </c>
      <c r="T580">
        <f>IF(A580=1,S580,T579*$B$27+S580*(1-$B$27))</f>
        <v/>
      </c>
      <c r="U580">
        <f>0.6105*EXP(17.27*T580/(T580+237.3))</f>
        <v/>
      </c>
      <c r="V580">
        <f>($B$14*(I580*C580+IF(ABS((D580+0.1)-D580)&lt;0.000000001,4*$B$19*$B$20*(D580+273)^3,$B$19*$B$20*(((D580+0.1)+273)^4-(D580+273)^4)/((D580+0.1)-D580))*D580)+T580/H580)/($B$14*(I580+IF(ABS((D580+0.1)-D580)&lt;0.000000001,4*$B$19*$B$20*(D580+273)^3,$B$19*$B$20*(((D580+0.1)+273)^4-(D580+273)^4)/((D580+0.1)-D580)))+1/H580)</f>
        <v/>
      </c>
      <c r="W580">
        <f>($B$14*(I580*C580+IF(ABS(V580-D580)&lt;0.000000001,4*$B$19*$B$20*(D580+273)^3,$B$19*$B$20*((V580+273)^4-(D580+273)^4)/(V580-D580))*D580)+T580/H580)/($B$14*(I580+IF(ABS(V580-D580)&lt;0.000000001,4*$B$19*$B$20*(D580+273)^3,$B$19*$B$20*((V580+273)^4-(D580+273)^4)/(V580-D580)))+1/H580)</f>
        <v/>
      </c>
      <c r="X580">
        <f>($B$14*(I580*C580+IF(ABS(W580-D580)&lt;0.000000001,4*$B$19*$B$20*(D580+273)^3,$B$19*$B$20*((W580+273)^4-(D580+273)^4)/(W580-D580))*D580)+T580/H580)/($B$14*(I580+IF(ABS(W580-D580)&lt;0.000000001,4*$B$19*$B$20*(D580+273)^3,$B$19*$B$20*((W580+273)^4-(D580+273)^4)/(W580-D580)))+1/H580)</f>
        <v/>
      </c>
      <c r="Y580">
        <f>($B$14*(I580*C580+IF(ABS(X580-D580)&lt;0.000000001,4*$B$19*$B$20*(D580+273)^3,$B$19*$B$20*((X580+273)^4-(D580+273)^4)/(X580-D580))*D580)+T580/H580)/($B$14*(I580+IF(ABS(X580-D580)&lt;0.000000001,4*$B$19*$B$20*(D580+273)^3,$B$19*$B$20*((X580+273)^4-(D580+273)^4)/(X580-D580)))+1/H580)</f>
        <v/>
      </c>
      <c r="Z580">
        <f>IF(ABS(Y580-D580)&lt;0.000000001,4*$B$19*$B$20*(D580+273)^3,$B$19*$B$20*((Y580+273)^4-(D580+273)^4)/(Y580-D580))</f>
        <v/>
      </c>
      <c r="AA580">
        <f>$B$14*I580*(Y580-C580)</f>
        <v/>
      </c>
      <c r="AB580">
        <f>$B$14*Z580*(Y580-D580)</f>
        <v/>
      </c>
      <c r="AC580">
        <f>IF((U580-E580)/G580=0,0.001,(U580-E580)/G580)</f>
        <v/>
      </c>
      <c r="AD580">
        <f>F580-P580-J580-K580-AA580-AB580</f>
        <v/>
      </c>
      <c r="AE580">
        <f>AD580/AC580</f>
        <v/>
      </c>
      <c r="AF580">
        <f>IF(AD580&lt;=0,0,IF(AC580&lt;=0,$B$11,IF(AE580&gt;=1.7,$B$11,MIN(AD580/MAX(0.05,IF(AE580&gt;1,(2-AE580)^2/2,1-AE580^2/2)),$B$11))))</f>
        <v/>
      </c>
      <c r="AG580">
        <f>AG579*$B$28+AF580*(1-$B$28)</f>
        <v/>
      </c>
      <c r="AH580">
        <f>IF(AND(AD580&gt;0,AC580&lt;=0),0,AC580)</f>
        <v/>
      </c>
      <c r="AI580">
        <f>AH580/MAX(AG580,0.000001)</f>
        <v/>
      </c>
      <c r="AJ580">
        <f>MIN(IF(AI580&gt;=0.5,-AI580+SQRT(AI580^2+2),1),$B$12)</f>
        <v/>
      </c>
      <c r="AK580">
        <f>IF(AG580&lt;=0,0,AJ580*AH580)</f>
        <v/>
      </c>
      <c r="AL580">
        <f>IF(AD580&lt;=0,0,AD580)</f>
        <v/>
      </c>
      <c r="AM580">
        <f>AL580-AK580+P580</f>
        <v/>
      </c>
      <c r="AN580">
        <f>((AM580/$B$7+T579*AS579/2-T580*MAX(0.1,MIN(0.3,0.3-0.09*(AR579-36.8)))/2)+AR579*(1-AS579/2))/(1-MAX(0.1,MIN(0.3,0.3-0.09*(AR579-36.8)))/2)</f>
        <v/>
      </c>
      <c r="AO580">
        <f>((AM580/$B$7+T579*AS579/2-T580*MAX(0.1,MIN(0.3,0.3-0.09*(AN580-36.8)))/2)+AR579*(1-AS579/2))/(1-MAX(0.1,MIN(0.3,0.3-0.09*(AN580-36.8)))/2)</f>
        <v/>
      </c>
      <c r="AP580">
        <f>((AM580/$B$7+T579*AS579/2-T580*MAX(0.1,MIN(0.3,0.3-0.09*(AO580-36.8)))/2)+AR579*(1-AS579/2))/(1-MAX(0.1,MIN(0.3,0.3-0.09*(AO580-36.8)))/2)</f>
        <v/>
      </c>
      <c r="AQ580">
        <f>((AM580/$B$7+T579*AS579/2-T580*MAX(0.1,MIN(0.3,0.3-0.09*(AP580-36.8)))/2)+AR579*(1-AS579/2))/(1-MAX(0.1,MIN(0.3,0.3-0.09*(AP580-36.8)))/2)</f>
        <v/>
      </c>
      <c r="AR580">
        <f>((AM580/$B$7+T579*AS579/2-T580*MAX(0.1,MIN(0.3,0.3-0.09*(AQ580-36.8)))/2)+AR579*(1-AS579/2))/(1-MAX(0.1,MIN(0.3,0.3-0.09*(AQ580-36.8)))/2)</f>
        <v/>
      </c>
      <c r="AS580">
        <f>MAX(0.1,MIN(0.3,0.3-0.09*(AR580-36.8)))</f>
        <v/>
      </c>
      <c r="AT580">
        <f>AT579+(2*AR580-1.962*AT579-1.31)/9</f>
        <v/>
      </c>
      <c r="AU580">
        <f>AU579+AG580+K580</f>
        <v/>
      </c>
      <c r="AV580">
        <f>AU580*2.67*$B$6/1.8/60</f>
        <v/>
      </c>
      <c r="AW580">
        <f>IF(AT580&gt;=$B$36,1,0)</f>
        <v/>
      </c>
      <c r="AX580">
        <f>IF(AV580&gt;=$B$21,1,0)</f>
        <v/>
      </c>
    </row>
    <row r="581">
      <c r="A581" t="n">
        <v>508</v>
      </c>
      <c r="B581">
        <f>MATCH(A581-1,$D$61:$D$68,1)</f>
        <v/>
      </c>
      <c r="C581">
        <f>INDEX($G$61:$G$68,B581)</f>
        <v/>
      </c>
      <c r="D581">
        <f>INDEX($L$61:$L$68,B581)</f>
        <v/>
      </c>
      <c r="E581">
        <f>INDEX($M$61:$M$68,B581)</f>
        <v/>
      </c>
      <c r="F581">
        <f>INDEX($N$61:$N$68,B581)</f>
        <v/>
      </c>
      <c r="G581">
        <f>INDEX($AA$61:$AA$68,B581)</f>
        <v/>
      </c>
      <c r="H581">
        <f>INDEX($X$61:$X$68,B581)</f>
        <v/>
      </c>
      <c r="I581">
        <f>INDEX($AF$61:$AF$68,B581)</f>
        <v/>
      </c>
      <c r="J581">
        <f>INDEX($AC$61:$AC$68,B581)</f>
        <v/>
      </c>
      <c r="K581">
        <f>INDEX($AD$61:$AD$68,B581)</f>
        <v/>
      </c>
      <c r="L581">
        <f>INDEX($AG$61:$AG$68,B581)</f>
        <v/>
      </c>
      <c r="M581">
        <f>INDEX($AH$61:$AH$68,B581)</f>
        <v/>
      </c>
      <c r="N581">
        <f>INDEX($AI$61:$AI$68,B581)</f>
        <v/>
      </c>
      <c r="O581">
        <f>O580*$B$26+L581*(1-$B$26)</f>
        <v/>
      </c>
      <c r="P581">
        <f>$B$7*(O581-O580)*(1-AS580)</f>
        <v/>
      </c>
      <c r="Q581">
        <f>M581+0.51274*AT580</f>
        <v/>
      </c>
      <c r="R581">
        <f>N581+0.616*AT580</f>
        <v/>
      </c>
      <c r="S581">
        <f>IF($B$13&gt;=0.6,Q581,IF($B$13&lt;=0.2,R581,R581+2.5*(Q581-R581)*($B$13-0.2)))</f>
        <v/>
      </c>
      <c r="T581">
        <f>IF(A581=1,S581,T580*$B$27+S581*(1-$B$27))</f>
        <v/>
      </c>
      <c r="U581">
        <f>0.6105*EXP(17.27*T581/(T581+237.3))</f>
        <v/>
      </c>
      <c r="V581">
        <f>($B$14*(I581*C581+IF(ABS((D581+0.1)-D581)&lt;0.000000001,4*$B$19*$B$20*(D581+273)^3,$B$19*$B$20*(((D581+0.1)+273)^4-(D581+273)^4)/((D581+0.1)-D581))*D581)+T581/H581)/($B$14*(I581+IF(ABS((D581+0.1)-D581)&lt;0.000000001,4*$B$19*$B$20*(D581+273)^3,$B$19*$B$20*(((D581+0.1)+273)^4-(D581+273)^4)/((D581+0.1)-D581)))+1/H581)</f>
        <v/>
      </c>
      <c r="W581">
        <f>($B$14*(I581*C581+IF(ABS(V581-D581)&lt;0.000000001,4*$B$19*$B$20*(D581+273)^3,$B$19*$B$20*((V581+273)^4-(D581+273)^4)/(V581-D581))*D581)+T581/H581)/($B$14*(I581+IF(ABS(V581-D581)&lt;0.000000001,4*$B$19*$B$20*(D581+273)^3,$B$19*$B$20*((V581+273)^4-(D581+273)^4)/(V581-D581)))+1/H581)</f>
        <v/>
      </c>
      <c r="X581">
        <f>($B$14*(I581*C581+IF(ABS(W581-D581)&lt;0.000000001,4*$B$19*$B$20*(D581+273)^3,$B$19*$B$20*((W581+273)^4-(D581+273)^4)/(W581-D581))*D581)+T581/H581)/($B$14*(I581+IF(ABS(W581-D581)&lt;0.000000001,4*$B$19*$B$20*(D581+273)^3,$B$19*$B$20*((W581+273)^4-(D581+273)^4)/(W581-D581)))+1/H581)</f>
        <v/>
      </c>
      <c r="Y581">
        <f>($B$14*(I581*C581+IF(ABS(X581-D581)&lt;0.000000001,4*$B$19*$B$20*(D581+273)^3,$B$19*$B$20*((X581+273)^4-(D581+273)^4)/(X581-D581))*D581)+T581/H581)/($B$14*(I581+IF(ABS(X581-D581)&lt;0.000000001,4*$B$19*$B$20*(D581+273)^3,$B$19*$B$20*((X581+273)^4-(D581+273)^4)/(X581-D581)))+1/H581)</f>
        <v/>
      </c>
      <c r="Z581">
        <f>IF(ABS(Y581-D581)&lt;0.000000001,4*$B$19*$B$20*(D581+273)^3,$B$19*$B$20*((Y581+273)^4-(D581+273)^4)/(Y581-D581))</f>
        <v/>
      </c>
      <c r="AA581">
        <f>$B$14*I581*(Y581-C581)</f>
        <v/>
      </c>
      <c r="AB581">
        <f>$B$14*Z581*(Y581-D581)</f>
        <v/>
      </c>
      <c r="AC581">
        <f>IF((U581-E581)/G581=0,0.001,(U581-E581)/G581)</f>
        <v/>
      </c>
      <c r="AD581">
        <f>F581-P581-J581-K581-AA581-AB581</f>
        <v/>
      </c>
      <c r="AE581">
        <f>AD581/AC581</f>
        <v/>
      </c>
      <c r="AF581">
        <f>IF(AD581&lt;=0,0,IF(AC581&lt;=0,$B$11,IF(AE581&gt;=1.7,$B$11,MIN(AD581/MAX(0.05,IF(AE581&gt;1,(2-AE581)^2/2,1-AE581^2/2)),$B$11))))</f>
        <v/>
      </c>
      <c r="AG581">
        <f>AG580*$B$28+AF581*(1-$B$28)</f>
        <v/>
      </c>
      <c r="AH581">
        <f>IF(AND(AD581&gt;0,AC581&lt;=0),0,AC581)</f>
        <v/>
      </c>
      <c r="AI581">
        <f>AH581/MAX(AG581,0.000001)</f>
        <v/>
      </c>
      <c r="AJ581">
        <f>MIN(IF(AI581&gt;=0.5,-AI581+SQRT(AI581^2+2),1),$B$12)</f>
        <v/>
      </c>
      <c r="AK581">
        <f>IF(AG581&lt;=0,0,AJ581*AH581)</f>
        <v/>
      </c>
      <c r="AL581">
        <f>IF(AD581&lt;=0,0,AD581)</f>
        <v/>
      </c>
      <c r="AM581">
        <f>AL581-AK581+P581</f>
        <v/>
      </c>
      <c r="AN581">
        <f>((AM581/$B$7+T580*AS580/2-T581*MAX(0.1,MIN(0.3,0.3-0.09*(AR580-36.8)))/2)+AR580*(1-AS580/2))/(1-MAX(0.1,MIN(0.3,0.3-0.09*(AR580-36.8)))/2)</f>
        <v/>
      </c>
      <c r="AO581">
        <f>((AM581/$B$7+T580*AS580/2-T581*MAX(0.1,MIN(0.3,0.3-0.09*(AN581-36.8)))/2)+AR580*(1-AS580/2))/(1-MAX(0.1,MIN(0.3,0.3-0.09*(AN581-36.8)))/2)</f>
        <v/>
      </c>
      <c r="AP581">
        <f>((AM581/$B$7+T580*AS580/2-T581*MAX(0.1,MIN(0.3,0.3-0.09*(AO581-36.8)))/2)+AR580*(1-AS580/2))/(1-MAX(0.1,MIN(0.3,0.3-0.09*(AO581-36.8)))/2)</f>
        <v/>
      </c>
      <c r="AQ581">
        <f>((AM581/$B$7+T580*AS580/2-T581*MAX(0.1,MIN(0.3,0.3-0.09*(AP581-36.8)))/2)+AR580*(1-AS580/2))/(1-MAX(0.1,MIN(0.3,0.3-0.09*(AP581-36.8)))/2)</f>
        <v/>
      </c>
      <c r="AR581">
        <f>((AM581/$B$7+T580*AS580/2-T581*MAX(0.1,MIN(0.3,0.3-0.09*(AQ581-36.8)))/2)+AR580*(1-AS580/2))/(1-MAX(0.1,MIN(0.3,0.3-0.09*(AQ581-36.8)))/2)</f>
        <v/>
      </c>
      <c r="AS581">
        <f>MAX(0.1,MIN(0.3,0.3-0.09*(AR581-36.8)))</f>
        <v/>
      </c>
      <c r="AT581">
        <f>AT580+(2*AR581-1.962*AT580-1.31)/9</f>
        <v/>
      </c>
      <c r="AU581">
        <f>AU580+AG581+K581</f>
        <v/>
      </c>
      <c r="AV581">
        <f>AU581*2.67*$B$6/1.8/60</f>
        <v/>
      </c>
      <c r="AW581">
        <f>IF(AT581&gt;=$B$36,1,0)</f>
        <v/>
      </c>
      <c r="AX581">
        <f>IF(AV581&gt;=$B$21,1,0)</f>
        <v/>
      </c>
    </row>
    <row r="582">
      <c r="A582" t="n">
        <v>509</v>
      </c>
      <c r="B582">
        <f>MATCH(A582-1,$D$61:$D$68,1)</f>
        <v/>
      </c>
      <c r="C582">
        <f>INDEX($G$61:$G$68,B582)</f>
        <v/>
      </c>
      <c r="D582">
        <f>INDEX($L$61:$L$68,B582)</f>
        <v/>
      </c>
      <c r="E582">
        <f>INDEX($M$61:$M$68,B582)</f>
        <v/>
      </c>
      <c r="F582">
        <f>INDEX($N$61:$N$68,B582)</f>
        <v/>
      </c>
      <c r="G582">
        <f>INDEX($AA$61:$AA$68,B582)</f>
        <v/>
      </c>
      <c r="H582">
        <f>INDEX($X$61:$X$68,B582)</f>
        <v/>
      </c>
      <c r="I582">
        <f>INDEX($AF$61:$AF$68,B582)</f>
        <v/>
      </c>
      <c r="J582">
        <f>INDEX($AC$61:$AC$68,B582)</f>
        <v/>
      </c>
      <c r="K582">
        <f>INDEX($AD$61:$AD$68,B582)</f>
        <v/>
      </c>
      <c r="L582">
        <f>INDEX($AG$61:$AG$68,B582)</f>
        <v/>
      </c>
      <c r="M582">
        <f>INDEX($AH$61:$AH$68,B582)</f>
        <v/>
      </c>
      <c r="N582">
        <f>INDEX($AI$61:$AI$68,B582)</f>
        <v/>
      </c>
      <c r="O582">
        <f>O581*$B$26+L582*(1-$B$26)</f>
        <v/>
      </c>
      <c r="P582">
        <f>$B$7*(O582-O581)*(1-AS581)</f>
        <v/>
      </c>
      <c r="Q582">
        <f>M582+0.51274*AT581</f>
        <v/>
      </c>
      <c r="R582">
        <f>N582+0.616*AT581</f>
        <v/>
      </c>
      <c r="S582">
        <f>IF($B$13&gt;=0.6,Q582,IF($B$13&lt;=0.2,R582,R582+2.5*(Q582-R582)*($B$13-0.2)))</f>
        <v/>
      </c>
      <c r="T582">
        <f>IF(A582=1,S582,T581*$B$27+S582*(1-$B$27))</f>
        <v/>
      </c>
      <c r="U582">
        <f>0.6105*EXP(17.27*T582/(T582+237.3))</f>
        <v/>
      </c>
      <c r="V582">
        <f>($B$14*(I582*C582+IF(ABS((D582+0.1)-D582)&lt;0.000000001,4*$B$19*$B$20*(D582+273)^3,$B$19*$B$20*(((D582+0.1)+273)^4-(D582+273)^4)/((D582+0.1)-D582))*D582)+T582/H582)/($B$14*(I582+IF(ABS((D582+0.1)-D582)&lt;0.000000001,4*$B$19*$B$20*(D582+273)^3,$B$19*$B$20*(((D582+0.1)+273)^4-(D582+273)^4)/((D582+0.1)-D582)))+1/H582)</f>
        <v/>
      </c>
      <c r="W582">
        <f>($B$14*(I582*C582+IF(ABS(V582-D582)&lt;0.000000001,4*$B$19*$B$20*(D582+273)^3,$B$19*$B$20*((V582+273)^4-(D582+273)^4)/(V582-D582))*D582)+T582/H582)/($B$14*(I582+IF(ABS(V582-D582)&lt;0.000000001,4*$B$19*$B$20*(D582+273)^3,$B$19*$B$20*((V582+273)^4-(D582+273)^4)/(V582-D582)))+1/H582)</f>
        <v/>
      </c>
      <c r="X582">
        <f>($B$14*(I582*C582+IF(ABS(W582-D582)&lt;0.000000001,4*$B$19*$B$20*(D582+273)^3,$B$19*$B$20*((W582+273)^4-(D582+273)^4)/(W582-D582))*D582)+T582/H582)/($B$14*(I582+IF(ABS(W582-D582)&lt;0.000000001,4*$B$19*$B$20*(D582+273)^3,$B$19*$B$20*((W582+273)^4-(D582+273)^4)/(W582-D582)))+1/H582)</f>
        <v/>
      </c>
      <c r="Y582">
        <f>($B$14*(I582*C582+IF(ABS(X582-D582)&lt;0.000000001,4*$B$19*$B$20*(D582+273)^3,$B$19*$B$20*((X582+273)^4-(D582+273)^4)/(X582-D582))*D582)+T582/H582)/($B$14*(I582+IF(ABS(X582-D582)&lt;0.000000001,4*$B$19*$B$20*(D582+273)^3,$B$19*$B$20*((X582+273)^4-(D582+273)^4)/(X582-D582)))+1/H582)</f>
        <v/>
      </c>
      <c r="Z582">
        <f>IF(ABS(Y582-D582)&lt;0.000000001,4*$B$19*$B$20*(D582+273)^3,$B$19*$B$20*((Y582+273)^4-(D582+273)^4)/(Y582-D582))</f>
        <v/>
      </c>
      <c r="AA582">
        <f>$B$14*I582*(Y582-C582)</f>
        <v/>
      </c>
      <c r="AB582">
        <f>$B$14*Z582*(Y582-D582)</f>
        <v/>
      </c>
      <c r="AC582">
        <f>IF((U582-E582)/G582=0,0.001,(U582-E582)/G582)</f>
        <v/>
      </c>
      <c r="AD582">
        <f>F582-P582-J582-K582-AA582-AB582</f>
        <v/>
      </c>
      <c r="AE582">
        <f>AD582/AC582</f>
        <v/>
      </c>
      <c r="AF582">
        <f>IF(AD582&lt;=0,0,IF(AC582&lt;=0,$B$11,IF(AE582&gt;=1.7,$B$11,MIN(AD582/MAX(0.05,IF(AE582&gt;1,(2-AE582)^2/2,1-AE582^2/2)),$B$11))))</f>
        <v/>
      </c>
      <c r="AG582">
        <f>AG581*$B$28+AF582*(1-$B$28)</f>
        <v/>
      </c>
      <c r="AH582">
        <f>IF(AND(AD582&gt;0,AC582&lt;=0),0,AC582)</f>
        <v/>
      </c>
      <c r="AI582">
        <f>AH582/MAX(AG582,0.000001)</f>
        <v/>
      </c>
      <c r="AJ582">
        <f>MIN(IF(AI582&gt;=0.5,-AI582+SQRT(AI582^2+2),1),$B$12)</f>
        <v/>
      </c>
      <c r="AK582">
        <f>IF(AG582&lt;=0,0,AJ582*AH582)</f>
        <v/>
      </c>
      <c r="AL582">
        <f>IF(AD582&lt;=0,0,AD582)</f>
        <v/>
      </c>
      <c r="AM582">
        <f>AL582-AK582+P582</f>
        <v/>
      </c>
      <c r="AN582">
        <f>((AM582/$B$7+T581*AS581/2-T582*MAX(0.1,MIN(0.3,0.3-0.09*(AR581-36.8)))/2)+AR581*(1-AS581/2))/(1-MAX(0.1,MIN(0.3,0.3-0.09*(AR581-36.8)))/2)</f>
        <v/>
      </c>
      <c r="AO582">
        <f>((AM582/$B$7+T581*AS581/2-T582*MAX(0.1,MIN(0.3,0.3-0.09*(AN582-36.8)))/2)+AR581*(1-AS581/2))/(1-MAX(0.1,MIN(0.3,0.3-0.09*(AN582-36.8)))/2)</f>
        <v/>
      </c>
      <c r="AP582">
        <f>((AM582/$B$7+T581*AS581/2-T582*MAX(0.1,MIN(0.3,0.3-0.09*(AO582-36.8)))/2)+AR581*(1-AS581/2))/(1-MAX(0.1,MIN(0.3,0.3-0.09*(AO582-36.8)))/2)</f>
        <v/>
      </c>
      <c r="AQ582">
        <f>((AM582/$B$7+T581*AS581/2-T582*MAX(0.1,MIN(0.3,0.3-0.09*(AP582-36.8)))/2)+AR581*(1-AS581/2))/(1-MAX(0.1,MIN(0.3,0.3-0.09*(AP582-36.8)))/2)</f>
        <v/>
      </c>
      <c r="AR582">
        <f>((AM582/$B$7+T581*AS581/2-T582*MAX(0.1,MIN(0.3,0.3-0.09*(AQ582-36.8)))/2)+AR581*(1-AS581/2))/(1-MAX(0.1,MIN(0.3,0.3-0.09*(AQ582-36.8)))/2)</f>
        <v/>
      </c>
      <c r="AS582">
        <f>MAX(0.1,MIN(0.3,0.3-0.09*(AR582-36.8)))</f>
        <v/>
      </c>
      <c r="AT582">
        <f>AT581+(2*AR582-1.962*AT581-1.31)/9</f>
        <v/>
      </c>
      <c r="AU582">
        <f>AU581+AG582+K582</f>
        <v/>
      </c>
      <c r="AV582">
        <f>AU582*2.67*$B$6/1.8/60</f>
        <v/>
      </c>
      <c r="AW582">
        <f>IF(AT582&gt;=$B$36,1,0)</f>
        <v/>
      </c>
      <c r="AX582">
        <f>IF(AV582&gt;=$B$21,1,0)</f>
        <v/>
      </c>
    </row>
    <row r="583">
      <c r="A583" t="n">
        <v>510</v>
      </c>
      <c r="B583">
        <f>MATCH(A583-1,$D$61:$D$68,1)</f>
        <v/>
      </c>
      <c r="C583">
        <f>INDEX($G$61:$G$68,B583)</f>
        <v/>
      </c>
      <c r="D583">
        <f>INDEX($L$61:$L$68,B583)</f>
        <v/>
      </c>
      <c r="E583">
        <f>INDEX($M$61:$M$68,B583)</f>
        <v/>
      </c>
      <c r="F583">
        <f>INDEX($N$61:$N$68,B583)</f>
        <v/>
      </c>
      <c r="G583">
        <f>INDEX($AA$61:$AA$68,B583)</f>
        <v/>
      </c>
      <c r="H583">
        <f>INDEX($X$61:$X$68,B583)</f>
        <v/>
      </c>
      <c r="I583">
        <f>INDEX($AF$61:$AF$68,B583)</f>
        <v/>
      </c>
      <c r="J583">
        <f>INDEX($AC$61:$AC$68,B583)</f>
        <v/>
      </c>
      <c r="K583">
        <f>INDEX($AD$61:$AD$68,B583)</f>
        <v/>
      </c>
      <c r="L583">
        <f>INDEX($AG$61:$AG$68,B583)</f>
        <v/>
      </c>
      <c r="M583">
        <f>INDEX($AH$61:$AH$68,B583)</f>
        <v/>
      </c>
      <c r="N583">
        <f>INDEX($AI$61:$AI$68,B583)</f>
        <v/>
      </c>
      <c r="O583">
        <f>O582*$B$26+L583*(1-$B$26)</f>
        <v/>
      </c>
      <c r="P583">
        <f>$B$7*(O583-O582)*(1-AS582)</f>
        <v/>
      </c>
      <c r="Q583">
        <f>M583+0.51274*AT582</f>
        <v/>
      </c>
      <c r="R583">
        <f>N583+0.616*AT582</f>
        <v/>
      </c>
      <c r="S583">
        <f>IF($B$13&gt;=0.6,Q583,IF($B$13&lt;=0.2,R583,R583+2.5*(Q583-R583)*($B$13-0.2)))</f>
        <v/>
      </c>
      <c r="T583">
        <f>IF(A583=1,S583,T582*$B$27+S583*(1-$B$27))</f>
        <v/>
      </c>
      <c r="U583">
        <f>0.6105*EXP(17.27*T583/(T583+237.3))</f>
        <v/>
      </c>
      <c r="V583">
        <f>($B$14*(I583*C583+IF(ABS((D583+0.1)-D583)&lt;0.000000001,4*$B$19*$B$20*(D583+273)^3,$B$19*$B$20*(((D583+0.1)+273)^4-(D583+273)^4)/((D583+0.1)-D583))*D583)+T583/H583)/($B$14*(I583+IF(ABS((D583+0.1)-D583)&lt;0.000000001,4*$B$19*$B$20*(D583+273)^3,$B$19*$B$20*(((D583+0.1)+273)^4-(D583+273)^4)/((D583+0.1)-D583)))+1/H583)</f>
        <v/>
      </c>
      <c r="W583">
        <f>($B$14*(I583*C583+IF(ABS(V583-D583)&lt;0.000000001,4*$B$19*$B$20*(D583+273)^3,$B$19*$B$20*((V583+273)^4-(D583+273)^4)/(V583-D583))*D583)+T583/H583)/($B$14*(I583+IF(ABS(V583-D583)&lt;0.000000001,4*$B$19*$B$20*(D583+273)^3,$B$19*$B$20*((V583+273)^4-(D583+273)^4)/(V583-D583)))+1/H583)</f>
        <v/>
      </c>
      <c r="X583">
        <f>($B$14*(I583*C583+IF(ABS(W583-D583)&lt;0.000000001,4*$B$19*$B$20*(D583+273)^3,$B$19*$B$20*((W583+273)^4-(D583+273)^4)/(W583-D583))*D583)+T583/H583)/($B$14*(I583+IF(ABS(W583-D583)&lt;0.000000001,4*$B$19*$B$20*(D583+273)^3,$B$19*$B$20*((W583+273)^4-(D583+273)^4)/(W583-D583)))+1/H583)</f>
        <v/>
      </c>
      <c r="Y583">
        <f>($B$14*(I583*C583+IF(ABS(X583-D583)&lt;0.000000001,4*$B$19*$B$20*(D583+273)^3,$B$19*$B$20*((X583+273)^4-(D583+273)^4)/(X583-D583))*D583)+T583/H583)/($B$14*(I583+IF(ABS(X583-D583)&lt;0.000000001,4*$B$19*$B$20*(D583+273)^3,$B$19*$B$20*((X583+273)^4-(D583+273)^4)/(X583-D583)))+1/H583)</f>
        <v/>
      </c>
      <c r="Z583">
        <f>IF(ABS(Y583-D583)&lt;0.000000001,4*$B$19*$B$20*(D583+273)^3,$B$19*$B$20*((Y583+273)^4-(D583+273)^4)/(Y583-D583))</f>
        <v/>
      </c>
      <c r="AA583">
        <f>$B$14*I583*(Y583-C583)</f>
        <v/>
      </c>
      <c r="AB583">
        <f>$B$14*Z583*(Y583-D583)</f>
        <v/>
      </c>
      <c r="AC583">
        <f>IF((U583-E583)/G583=0,0.001,(U583-E583)/G583)</f>
        <v/>
      </c>
      <c r="AD583">
        <f>F583-P583-J583-K583-AA583-AB583</f>
        <v/>
      </c>
      <c r="AE583">
        <f>AD583/AC583</f>
        <v/>
      </c>
      <c r="AF583">
        <f>IF(AD583&lt;=0,0,IF(AC583&lt;=0,$B$11,IF(AE583&gt;=1.7,$B$11,MIN(AD583/MAX(0.05,IF(AE583&gt;1,(2-AE583)^2/2,1-AE583^2/2)),$B$11))))</f>
        <v/>
      </c>
      <c r="AG583">
        <f>AG582*$B$28+AF583*(1-$B$28)</f>
        <v/>
      </c>
      <c r="AH583">
        <f>IF(AND(AD583&gt;0,AC583&lt;=0),0,AC583)</f>
        <v/>
      </c>
      <c r="AI583">
        <f>AH583/MAX(AG583,0.000001)</f>
        <v/>
      </c>
      <c r="AJ583">
        <f>MIN(IF(AI583&gt;=0.5,-AI583+SQRT(AI583^2+2),1),$B$12)</f>
        <v/>
      </c>
      <c r="AK583">
        <f>IF(AG583&lt;=0,0,AJ583*AH583)</f>
        <v/>
      </c>
      <c r="AL583">
        <f>IF(AD583&lt;=0,0,AD583)</f>
        <v/>
      </c>
      <c r="AM583">
        <f>AL583-AK583+P583</f>
        <v/>
      </c>
      <c r="AN583">
        <f>((AM583/$B$7+T582*AS582/2-T583*MAX(0.1,MIN(0.3,0.3-0.09*(AR582-36.8)))/2)+AR582*(1-AS582/2))/(1-MAX(0.1,MIN(0.3,0.3-0.09*(AR582-36.8)))/2)</f>
        <v/>
      </c>
      <c r="AO583">
        <f>((AM583/$B$7+T582*AS582/2-T583*MAX(0.1,MIN(0.3,0.3-0.09*(AN583-36.8)))/2)+AR582*(1-AS582/2))/(1-MAX(0.1,MIN(0.3,0.3-0.09*(AN583-36.8)))/2)</f>
        <v/>
      </c>
      <c r="AP583">
        <f>((AM583/$B$7+T582*AS582/2-T583*MAX(0.1,MIN(0.3,0.3-0.09*(AO583-36.8)))/2)+AR582*(1-AS582/2))/(1-MAX(0.1,MIN(0.3,0.3-0.09*(AO583-36.8)))/2)</f>
        <v/>
      </c>
      <c r="AQ583">
        <f>((AM583/$B$7+T582*AS582/2-T583*MAX(0.1,MIN(0.3,0.3-0.09*(AP583-36.8)))/2)+AR582*(1-AS582/2))/(1-MAX(0.1,MIN(0.3,0.3-0.09*(AP583-36.8)))/2)</f>
        <v/>
      </c>
      <c r="AR583">
        <f>((AM583/$B$7+T582*AS582/2-T583*MAX(0.1,MIN(0.3,0.3-0.09*(AQ583-36.8)))/2)+AR582*(1-AS582/2))/(1-MAX(0.1,MIN(0.3,0.3-0.09*(AQ583-36.8)))/2)</f>
        <v/>
      </c>
      <c r="AS583">
        <f>MAX(0.1,MIN(0.3,0.3-0.09*(AR583-36.8)))</f>
        <v/>
      </c>
      <c r="AT583">
        <f>AT582+(2*AR583-1.962*AT582-1.31)/9</f>
        <v/>
      </c>
      <c r="AU583">
        <f>AU582+AG583+K583</f>
        <v/>
      </c>
      <c r="AV583">
        <f>AU583*2.67*$B$6/1.8/60</f>
        <v/>
      </c>
      <c r="AW583">
        <f>IF(AT583&gt;=$B$36,1,0)</f>
        <v/>
      </c>
      <c r="AX583">
        <f>IF(AV583&gt;=$B$21,1,0)</f>
        <v/>
      </c>
    </row>
    <row r="584">
      <c r="A584" t="n">
        <v>511</v>
      </c>
      <c r="B584">
        <f>MATCH(A584-1,$D$61:$D$68,1)</f>
        <v/>
      </c>
      <c r="C584">
        <f>INDEX($G$61:$G$68,B584)</f>
        <v/>
      </c>
      <c r="D584">
        <f>INDEX($L$61:$L$68,B584)</f>
        <v/>
      </c>
      <c r="E584">
        <f>INDEX($M$61:$M$68,B584)</f>
        <v/>
      </c>
      <c r="F584">
        <f>INDEX($N$61:$N$68,B584)</f>
        <v/>
      </c>
      <c r="G584">
        <f>INDEX($AA$61:$AA$68,B584)</f>
        <v/>
      </c>
      <c r="H584">
        <f>INDEX($X$61:$X$68,B584)</f>
        <v/>
      </c>
      <c r="I584">
        <f>INDEX($AF$61:$AF$68,B584)</f>
        <v/>
      </c>
      <c r="J584">
        <f>INDEX($AC$61:$AC$68,B584)</f>
        <v/>
      </c>
      <c r="K584">
        <f>INDEX($AD$61:$AD$68,B584)</f>
        <v/>
      </c>
      <c r="L584">
        <f>INDEX($AG$61:$AG$68,B584)</f>
        <v/>
      </c>
      <c r="M584">
        <f>INDEX($AH$61:$AH$68,B584)</f>
        <v/>
      </c>
      <c r="N584">
        <f>INDEX($AI$61:$AI$68,B584)</f>
        <v/>
      </c>
      <c r="O584">
        <f>O583*$B$26+L584*(1-$B$26)</f>
        <v/>
      </c>
      <c r="P584">
        <f>$B$7*(O584-O583)*(1-AS583)</f>
        <v/>
      </c>
      <c r="Q584">
        <f>M584+0.51274*AT583</f>
        <v/>
      </c>
      <c r="R584">
        <f>N584+0.616*AT583</f>
        <v/>
      </c>
      <c r="S584">
        <f>IF($B$13&gt;=0.6,Q584,IF($B$13&lt;=0.2,R584,R584+2.5*(Q584-R584)*($B$13-0.2)))</f>
        <v/>
      </c>
      <c r="T584">
        <f>IF(A584=1,S584,T583*$B$27+S584*(1-$B$27))</f>
        <v/>
      </c>
      <c r="U584">
        <f>0.6105*EXP(17.27*T584/(T584+237.3))</f>
        <v/>
      </c>
      <c r="V584">
        <f>($B$14*(I584*C584+IF(ABS((D584+0.1)-D584)&lt;0.000000001,4*$B$19*$B$20*(D584+273)^3,$B$19*$B$20*(((D584+0.1)+273)^4-(D584+273)^4)/((D584+0.1)-D584))*D584)+T584/H584)/($B$14*(I584+IF(ABS((D584+0.1)-D584)&lt;0.000000001,4*$B$19*$B$20*(D584+273)^3,$B$19*$B$20*(((D584+0.1)+273)^4-(D584+273)^4)/((D584+0.1)-D584)))+1/H584)</f>
        <v/>
      </c>
      <c r="W584">
        <f>($B$14*(I584*C584+IF(ABS(V584-D584)&lt;0.000000001,4*$B$19*$B$20*(D584+273)^3,$B$19*$B$20*((V584+273)^4-(D584+273)^4)/(V584-D584))*D584)+T584/H584)/($B$14*(I584+IF(ABS(V584-D584)&lt;0.000000001,4*$B$19*$B$20*(D584+273)^3,$B$19*$B$20*((V584+273)^4-(D584+273)^4)/(V584-D584)))+1/H584)</f>
        <v/>
      </c>
      <c r="X584">
        <f>($B$14*(I584*C584+IF(ABS(W584-D584)&lt;0.000000001,4*$B$19*$B$20*(D584+273)^3,$B$19*$B$20*((W584+273)^4-(D584+273)^4)/(W584-D584))*D584)+T584/H584)/($B$14*(I584+IF(ABS(W584-D584)&lt;0.000000001,4*$B$19*$B$20*(D584+273)^3,$B$19*$B$20*((W584+273)^4-(D584+273)^4)/(W584-D584)))+1/H584)</f>
        <v/>
      </c>
      <c r="Y584">
        <f>($B$14*(I584*C584+IF(ABS(X584-D584)&lt;0.000000001,4*$B$19*$B$20*(D584+273)^3,$B$19*$B$20*((X584+273)^4-(D584+273)^4)/(X584-D584))*D584)+T584/H584)/($B$14*(I584+IF(ABS(X584-D584)&lt;0.000000001,4*$B$19*$B$20*(D584+273)^3,$B$19*$B$20*((X584+273)^4-(D584+273)^4)/(X584-D584)))+1/H584)</f>
        <v/>
      </c>
      <c r="Z584">
        <f>IF(ABS(Y584-D584)&lt;0.000000001,4*$B$19*$B$20*(D584+273)^3,$B$19*$B$20*((Y584+273)^4-(D584+273)^4)/(Y584-D584))</f>
        <v/>
      </c>
      <c r="AA584">
        <f>$B$14*I584*(Y584-C584)</f>
        <v/>
      </c>
      <c r="AB584">
        <f>$B$14*Z584*(Y584-D584)</f>
        <v/>
      </c>
      <c r="AC584">
        <f>IF((U584-E584)/G584=0,0.001,(U584-E584)/G584)</f>
        <v/>
      </c>
      <c r="AD584">
        <f>F584-P584-J584-K584-AA584-AB584</f>
        <v/>
      </c>
      <c r="AE584">
        <f>AD584/AC584</f>
        <v/>
      </c>
      <c r="AF584">
        <f>IF(AD584&lt;=0,0,IF(AC584&lt;=0,$B$11,IF(AE584&gt;=1.7,$B$11,MIN(AD584/MAX(0.05,IF(AE584&gt;1,(2-AE584)^2/2,1-AE584^2/2)),$B$11))))</f>
        <v/>
      </c>
      <c r="AG584">
        <f>AG583*$B$28+AF584*(1-$B$28)</f>
        <v/>
      </c>
      <c r="AH584">
        <f>IF(AND(AD584&gt;0,AC584&lt;=0),0,AC584)</f>
        <v/>
      </c>
      <c r="AI584">
        <f>AH584/MAX(AG584,0.000001)</f>
        <v/>
      </c>
      <c r="AJ584">
        <f>MIN(IF(AI584&gt;=0.5,-AI584+SQRT(AI584^2+2),1),$B$12)</f>
        <v/>
      </c>
      <c r="AK584">
        <f>IF(AG584&lt;=0,0,AJ584*AH584)</f>
        <v/>
      </c>
      <c r="AL584">
        <f>IF(AD584&lt;=0,0,AD584)</f>
        <v/>
      </c>
      <c r="AM584">
        <f>AL584-AK584+P584</f>
        <v/>
      </c>
      <c r="AN584">
        <f>((AM584/$B$7+T583*AS583/2-T584*MAX(0.1,MIN(0.3,0.3-0.09*(AR583-36.8)))/2)+AR583*(1-AS583/2))/(1-MAX(0.1,MIN(0.3,0.3-0.09*(AR583-36.8)))/2)</f>
        <v/>
      </c>
      <c r="AO584">
        <f>((AM584/$B$7+T583*AS583/2-T584*MAX(0.1,MIN(0.3,0.3-0.09*(AN584-36.8)))/2)+AR583*(1-AS583/2))/(1-MAX(0.1,MIN(0.3,0.3-0.09*(AN584-36.8)))/2)</f>
        <v/>
      </c>
      <c r="AP584">
        <f>((AM584/$B$7+T583*AS583/2-T584*MAX(0.1,MIN(0.3,0.3-0.09*(AO584-36.8)))/2)+AR583*(1-AS583/2))/(1-MAX(0.1,MIN(0.3,0.3-0.09*(AO584-36.8)))/2)</f>
        <v/>
      </c>
      <c r="AQ584">
        <f>((AM584/$B$7+T583*AS583/2-T584*MAX(0.1,MIN(0.3,0.3-0.09*(AP584-36.8)))/2)+AR583*(1-AS583/2))/(1-MAX(0.1,MIN(0.3,0.3-0.09*(AP584-36.8)))/2)</f>
        <v/>
      </c>
      <c r="AR584">
        <f>((AM584/$B$7+T583*AS583/2-T584*MAX(0.1,MIN(0.3,0.3-0.09*(AQ584-36.8)))/2)+AR583*(1-AS583/2))/(1-MAX(0.1,MIN(0.3,0.3-0.09*(AQ584-36.8)))/2)</f>
        <v/>
      </c>
      <c r="AS584">
        <f>MAX(0.1,MIN(0.3,0.3-0.09*(AR584-36.8)))</f>
        <v/>
      </c>
      <c r="AT584">
        <f>AT583+(2*AR584-1.962*AT583-1.31)/9</f>
        <v/>
      </c>
      <c r="AU584">
        <f>AU583+AG584+K584</f>
        <v/>
      </c>
      <c r="AV584">
        <f>AU584*2.67*$B$6/1.8/60</f>
        <v/>
      </c>
      <c r="AW584">
        <f>IF(AT584&gt;=$B$36,1,0)</f>
        <v/>
      </c>
      <c r="AX584">
        <f>IF(AV584&gt;=$B$21,1,0)</f>
        <v/>
      </c>
    </row>
    <row r="585">
      <c r="A585" t="n">
        <v>512</v>
      </c>
      <c r="B585">
        <f>MATCH(A585-1,$D$61:$D$68,1)</f>
        <v/>
      </c>
      <c r="C585">
        <f>INDEX($G$61:$G$68,B585)</f>
        <v/>
      </c>
      <c r="D585">
        <f>INDEX($L$61:$L$68,B585)</f>
        <v/>
      </c>
      <c r="E585">
        <f>INDEX($M$61:$M$68,B585)</f>
        <v/>
      </c>
      <c r="F585">
        <f>INDEX($N$61:$N$68,B585)</f>
        <v/>
      </c>
      <c r="G585">
        <f>INDEX($AA$61:$AA$68,B585)</f>
        <v/>
      </c>
      <c r="H585">
        <f>INDEX($X$61:$X$68,B585)</f>
        <v/>
      </c>
      <c r="I585">
        <f>INDEX($AF$61:$AF$68,B585)</f>
        <v/>
      </c>
      <c r="J585">
        <f>INDEX($AC$61:$AC$68,B585)</f>
        <v/>
      </c>
      <c r="K585">
        <f>INDEX($AD$61:$AD$68,B585)</f>
        <v/>
      </c>
      <c r="L585">
        <f>INDEX($AG$61:$AG$68,B585)</f>
        <v/>
      </c>
      <c r="M585">
        <f>INDEX($AH$61:$AH$68,B585)</f>
        <v/>
      </c>
      <c r="N585">
        <f>INDEX($AI$61:$AI$68,B585)</f>
        <v/>
      </c>
      <c r="O585">
        <f>O584*$B$26+L585*(1-$B$26)</f>
        <v/>
      </c>
      <c r="P585">
        <f>$B$7*(O585-O584)*(1-AS584)</f>
        <v/>
      </c>
      <c r="Q585">
        <f>M585+0.51274*AT584</f>
        <v/>
      </c>
      <c r="R585">
        <f>N585+0.616*AT584</f>
        <v/>
      </c>
      <c r="S585">
        <f>IF($B$13&gt;=0.6,Q585,IF($B$13&lt;=0.2,R585,R585+2.5*(Q585-R585)*($B$13-0.2)))</f>
        <v/>
      </c>
      <c r="T585">
        <f>IF(A585=1,S585,T584*$B$27+S585*(1-$B$27))</f>
        <v/>
      </c>
      <c r="U585">
        <f>0.6105*EXP(17.27*T585/(T585+237.3))</f>
        <v/>
      </c>
      <c r="V585">
        <f>($B$14*(I585*C585+IF(ABS((D585+0.1)-D585)&lt;0.000000001,4*$B$19*$B$20*(D585+273)^3,$B$19*$B$20*(((D585+0.1)+273)^4-(D585+273)^4)/((D585+0.1)-D585))*D585)+T585/H585)/($B$14*(I585+IF(ABS((D585+0.1)-D585)&lt;0.000000001,4*$B$19*$B$20*(D585+273)^3,$B$19*$B$20*(((D585+0.1)+273)^4-(D585+273)^4)/((D585+0.1)-D585)))+1/H585)</f>
        <v/>
      </c>
      <c r="W585">
        <f>($B$14*(I585*C585+IF(ABS(V585-D585)&lt;0.000000001,4*$B$19*$B$20*(D585+273)^3,$B$19*$B$20*((V585+273)^4-(D585+273)^4)/(V585-D585))*D585)+T585/H585)/($B$14*(I585+IF(ABS(V585-D585)&lt;0.000000001,4*$B$19*$B$20*(D585+273)^3,$B$19*$B$20*((V585+273)^4-(D585+273)^4)/(V585-D585)))+1/H585)</f>
        <v/>
      </c>
      <c r="X585">
        <f>($B$14*(I585*C585+IF(ABS(W585-D585)&lt;0.000000001,4*$B$19*$B$20*(D585+273)^3,$B$19*$B$20*((W585+273)^4-(D585+273)^4)/(W585-D585))*D585)+T585/H585)/($B$14*(I585+IF(ABS(W585-D585)&lt;0.000000001,4*$B$19*$B$20*(D585+273)^3,$B$19*$B$20*((W585+273)^4-(D585+273)^4)/(W585-D585)))+1/H585)</f>
        <v/>
      </c>
      <c r="Y585">
        <f>($B$14*(I585*C585+IF(ABS(X585-D585)&lt;0.000000001,4*$B$19*$B$20*(D585+273)^3,$B$19*$B$20*((X585+273)^4-(D585+273)^4)/(X585-D585))*D585)+T585/H585)/($B$14*(I585+IF(ABS(X585-D585)&lt;0.000000001,4*$B$19*$B$20*(D585+273)^3,$B$19*$B$20*((X585+273)^4-(D585+273)^4)/(X585-D585)))+1/H585)</f>
        <v/>
      </c>
      <c r="Z585">
        <f>IF(ABS(Y585-D585)&lt;0.000000001,4*$B$19*$B$20*(D585+273)^3,$B$19*$B$20*((Y585+273)^4-(D585+273)^4)/(Y585-D585))</f>
        <v/>
      </c>
      <c r="AA585">
        <f>$B$14*I585*(Y585-C585)</f>
        <v/>
      </c>
      <c r="AB585">
        <f>$B$14*Z585*(Y585-D585)</f>
        <v/>
      </c>
      <c r="AC585">
        <f>IF((U585-E585)/G585=0,0.001,(U585-E585)/G585)</f>
        <v/>
      </c>
      <c r="AD585">
        <f>F585-P585-J585-K585-AA585-AB585</f>
        <v/>
      </c>
      <c r="AE585">
        <f>AD585/AC585</f>
        <v/>
      </c>
      <c r="AF585">
        <f>IF(AD585&lt;=0,0,IF(AC585&lt;=0,$B$11,IF(AE585&gt;=1.7,$B$11,MIN(AD585/MAX(0.05,IF(AE585&gt;1,(2-AE585)^2/2,1-AE585^2/2)),$B$11))))</f>
        <v/>
      </c>
      <c r="AG585">
        <f>AG584*$B$28+AF585*(1-$B$28)</f>
        <v/>
      </c>
      <c r="AH585">
        <f>IF(AND(AD585&gt;0,AC585&lt;=0),0,AC585)</f>
        <v/>
      </c>
      <c r="AI585">
        <f>AH585/MAX(AG585,0.000001)</f>
        <v/>
      </c>
      <c r="AJ585">
        <f>MIN(IF(AI585&gt;=0.5,-AI585+SQRT(AI585^2+2),1),$B$12)</f>
        <v/>
      </c>
      <c r="AK585">
        <f>IF(AG585&lt;=0,0,AJ585*AH585)</f>
        <v/>
      </c>
      <c r="AL585">
        <f>IF(AD585&lt;=0,0,AD585)</f>
        <v/>
      </c>
      <c r="AM585">
        <f>AL585-AK585+P585</f>
        <v/>
      </c>
      <c r="AN585">
        <f>((AM585/$B$7+T584*AS584/2-T585*MAX(0.1,MIN(0.3,0.3-0.09*(AR584-36.8)))/2)+AR584*(1-AS584/2))/(1-MAX(0.1,MIN(0.3,0.3-0.09*(AR584-36.8)))/2)</f>
        <v/>
      </c>
      <c r="AO585">
        <f>((AM585/$B$7+T584*AS584/2-T585*MAX(0.1,MIN(0.3,0.3-0.09*(AN585-36.8)))/2)+AR584*(1-AS584/2))/(1-MAX(0.1,MIN(0.3,0.3-0.09*(AN585-36.8)))/2)</f>
        <v/>
      </c>
      <c r="AP585">
        <f>((AM585/$B$7+T584*AS584/2-T585*MAX(0.1,MIN(0.3,0.3-0.09*(AO585-36.8)))/2)+AR584*(1-AS584/2))/(1-MAX(0.1,MIN(0.3,0.3-0.09*(AO585-36.8)))/2)</f>
        <v/>
      </c>
      <c r="AQ585">
        <f>((AM585/$B$7+T584*AS584/2-T585*MAX(0.1,MIN(0.3,0.3-0.09*(AP585-36.8)))/2)+AR584*(1-AS584/2))/(1-MAX(0.1,MIN(0.3,0.3-0.09*(AP585-36.8)))/2)</f>
        <v/>
      </c>
      <c r="AR585">
        <f>((AM585/$B$7+T584*AS584/2-T585*MAX(0.1,MIN(0.3,0.3-0.09*(AQ585-36.8)))/2)+AR584*(1-AS584/2))/(1-MAX(0.1,MIN(0.3,0.3-0.09*(AQ585-36.8)))/2)</f>
        <v/>
      </c>
      <c r="AS585">
        <f>MAX(0.1,MIN(0.3,0.3-0.09*(AR585-36.8)))</f>
        <v/>
      </c>
      <c r="AT585">
        <f>AT584+(2*AR585-1.962*AT584-1.31)/9</f>
        <v/>
      </c>
      <c r="AU585">
        <f>AU584+AG585+K585</f>
        <v/>
      </c>
      <c r="AV585">
        <f>AU585*2.67*$B$6/1.8/60</f>
        <v/>
      </c>
      <c r="AW585">
        <f>IF(AT585&gt;=$B$36,1,0)</f>
        <v/>
      </c>
      <c r="AX585">
        <f>IF(AV585&gt;=$B$21,1,0)</f>
        <v/>
      </c>
    </row>
    <row r="586">
      <c r="A586" t="n">
        <v>513</v>
      </c>
      <c r="B586">
        <f>MATCH(A586-1,$D$61:$D$68,1)</f>
        <v/>
      </c>
      <c r="C586">
        <f>INDEX($G$61:$G$68,B586)</f>
        <v/>
      </c>
      <c r="D586">
        <f>INDEX($L$61:$L$68,B586)</f>
        <v/>
      </c>
      <c r="E586">
        <f>INDEX($M$61:$M$68,B586)</f>
        <v/>
      </c>
      <c r="F586">
        <f>INDEX($N$61:$N$68,B586)</f>
        <v/>
      </c>
      <c r="G586">
        <f>INDEX($AA$61:$AA$68,B586)</f>
        <v/>
      </c>
      <c r="H586">
        <f>INDEX($X$61:$X$68,B586)</f>
        <v/>
      </c>
      <c r="I586">
        <f>INDEX($AF$61:$AF$68,B586)</f>
        <v/>
      </c>
      <c r="J586">
        <f>INDEX($AC$61:$AC$68,B586)</f>
        <v/>
      </c>
      <c r="K586">
        <f>INDEX($AD$61:$AD$68,B586)</f>
        <v/>
      </c>
      <c r="L586">
        <f>INDEX($AG$61:$AG$68,B586)</f>
        <v/>
      </c>
      <c r="M586">
        <f>INDEX($AH$61:$AH$68,B586)</f>
        <v/>
      </c>
      <c r="N586">
        <f>INDEX($AI$61:$AI$68,B586)</f>
        <v/>
      </c>
      <c r="O586">
        <f>O585*$B$26+L586*(1-$B$26)</f>
        <v/>
      </c>
      <c r="P586">
        <f>$B$7*(O586-O585)*(1-AS585)</f>
        <v/>
      </c>
      <c r="Q586">
        <f>M586+0.51274*AT585</f>
        <v/>
      </c>
      <c r="R586">
        <f>N586+0.616*AT585</f>
        <v/>
      </c>
      <c r="S586">
        <f>IF($B$13&gt;=0.6,Q586,IF($B$13&lt;=0.2,R586,R586+2.5*(Q586-R586)*($B$13-0.2)))</f>
        <v/>
      </c>
      <c r="T586">
        <f>IF(A586=1,S586,T585*$B$27+S586*(1-$B$27))</f>
        <v/>
      </c>
      <c r="U586">
        <f>0.6105*EXP(17.27*T586/(T586+237.3))</f>
        <v/>
      </c>
      <c r="V586">
        <f>($B$14*(I586*C586+IF(ABS((D586+0.1)-D586)&lt;0.000000001,4*$B$19*$B$20*(D586+273)^3,$B$19*$B$20*(((D586+0.1)+273)^4-(D586+273)^4)/((D586+0.1)-D586))*D586)+T586/H586)/($B$14*(I586+IF(ABS((D586+0.1)-D586)&lt;0.000000001,4*$B$19*$B$20*(D586+273)^3,$B$19*$B$20*(((D586+0.1)+273)^4-(D586+273)^4)/((D586+0.1)-D586)))+1/H586)</f>
        <v/>
      </c>
      <c r="W586">
        <f>($B$14*(I586*C586+IF(ABS(V586-D586)&lt;0.000000001,4*$B$19*$B$20*(D586+273)^3,$B$19*$B$20*((V586+273)^4-(D586+273)^4)/(V586-D586))*D586)+T586/H586)/($B$14*(I586+IF(ABS(V586-D586)&lt;0.000000001,4*$B$19*$B$20*(D586+273)^3,$B$19*$B$20*((V586+273)^4-(D586+273)^4)/(V586-D586)))+1/H586)</f>
        <v/>
      </c>
      <c r="X586">
        <f>($B$14*(I586*C586+IF(ABS(W586-D586)&lt;0.000000001,4*$B$19*$B$20*(D586+273)^3,$B$19*$B$20*((W586+273)^4-(D586+273)^4)/(W586-D586))*D586)+T586/H586)/($B$14*(I586+IF(ABS(W586-D586)&lt;0.000000001,4*$B$19*$B$20*(D586+273)^3,$B$19*$B$20*((W586+273)^4-(D586+273)^4)/(W586-D586)))+1/H586)</f>
        <v/>
      </c>
      <c r="Y586">
        <f>($B$14*(I586*C586+IF(ABS(X586-D586)&lt;0.000000001,4*$B$19*$B$20*(D586+273)^3,$B$19*$B$20*((X586+273)^4-(D586+273)^4)/(X586-D586))*D586)+T586/H586)/($B$14*(I586+IF(ABS(X586-D586)&lt;0.000000001,4*$B$19*$B$20*(D586+273)^3,$B$19*$B$20*((X586+273)^4-(D586+273)^4)/(X586-D586)))+1/H586)</f>
        <v/>
      </c>
      <c r="Z586">
        <f>IF(ABS(Y586-D586)&lt;0.000000001,4*$B$19*$B$20*(D586+273)^3,$B$19*$B$20*((Y586+273)^4-(D586+273)^4)/(Y586-D586))</f>
        <v/>
      </c>
      <c r="AA586">
        <f>$B$14*I586*(Y586-C586)</f>
        <v/>
      </c>
      <c r="AB586">
        <f>$B$14*Z586*(Y586-D586)</f>
        <v/>
      </c>
      <c r="AC586">
        <f>IF((U586-E586)/G586=0,0.001,(U586-E586)/G586)</f>
        <v/>
      </c>
      <c r="AD586">
        <f>F586-P586-J586-K586-AA586-AB586</f>
        <v/>
      </c>
      <c r="AE586">
        <f>AD586/AC586</f>
        <v/>
      </c>
      <c r="AF586">
        <f>IF(AD586&lt;=0,0,IF(AC586&lt;=0,$B$11,IF(AE586&gt;=1.7,$B$11,MIN(AD586/MAX(0.05,IF(AE586&gt;1,(2-AE586)^2/2,1-AE586^2/2)),$B$11))))</f>
        <v/>
      </c>
      <c r="AG586">
        <f>AG585*$B$28+AF586*(1-$B$28)</f>
        <v/>
      </c>
      <c r="AH586">
        <f>IF(AND(AD586&gt;0,AC586&lt;=0),0,AC586)</f>
        <v/>
      </c>
      <c r="AI586">
        <f>AH586/MAX(AG586,0.000001)</f>
        <v/>
      </c>
      <c r="AJ586">
        <f>MIN(IF(AI586&gt;=0.5,-AI586+SQRT(AI586^2+2),1),$B$12)</f>
        <v/>
      </c>
      <c r="AK586">
        <f>IF(AG586&lt;=0,0,AJ586*AH586)</f>
        <v/>
      </c>
      <c r="AL586">
        <f>IF(AD586&lt;=0,0,AD586)</f>
        <v/>
      </c>
      <c r="AM586">
        <f>AL586-AK586+P586</f>
        <v/>
      </c>
      <c r="AN586">
        <f>((AM586/$B$7+T585*AS585/2-T586*MAX(0.1,MIN(0.3,0.3-0.09*(AR585-36.8)))/2)+AR585*(1-AS585/2))/(1-MAX(0.1,MIN(0.3,0.3-0.09*(AR585-36.8)))/2)</f>
        <v/>
      </c>
      <c r="AO586">
        <f>((AM586/$B$7+T585*AS585/2-T586*MAX(0.1,MIN(0.3,0.3-0.09*(AN586-36.8)))/2)+AR585*(1-AS585/2))/(1-MAX(0.1,MIN(0.3,0.3-0.09*(AN586-36.8)))/2)</f>
        <v/>
      </c>
      <c r="AP586">
        <f>((AM586/$B$7+T585*AS585/2-T586*MAX(0.1,MIN(0.3,0.3-0.09*(AO586-36.8)))/2)+AR585*(1-AS585/2))/(1-MAX(0.1,MIN(0.3,0.3-0.09*(AO586-36.8)))/2)</f>
        <v/>
      </c>
      <c r="AQ586">
        <f>((AM586/$B$7+T585*AS585/2-T586*MAX(0.1,MIN(0.3,0.3-0.09*(AP586-36.8)))/2)+AR585*(1-AS585/2))/(1-MAX(0.1,MIN(0.3,0.3-0.09*(AP586-36.8)))/2)</f>
        <v/>
      </c>
      <c r="AR586">
        <f>((AM586/$B$7+T585*AS585/2-T586*MAX(0.1,MIN(0.3,0.3-0.09*(AQ586-36.8)))/2)+AR585*(1-AS585/2))/(1-MAX(0.1,MIN(0.3,0.3-0.09*(AQ586-36.8)))/2)</f>
        <v/>
      </c>
      <c r="AS586">
        <f>MAX(0.1,MIN(0.3,0.3-0.09*(AR586-36.8)))</f>
        <v/>
      </c>
      <c r="AT586">
        <f>AT585+(2*AR586-1.962*AT585-1.31)/9</f>
        <v/>
      </c>
      <c r="AU586">
        <f>AU585+AG586+K586</f>
        <v/>
      </c>
      <c r="AV586">
        <f>AU586*2.67*$B$6/1.8/60</f>
        <v/>
      </c>
      <c r="AW586">
        <f>IF(AT586&gt;=$B$36,1,0)</f>
        <v/>
      </c>
      <c r="AX586">
        <f>IF(AV586&gt;=$B$21,1,0)</f>
        <v/>
      </c>
    </row>
    <row r="587">
      <c r="A587" t="n">
        <v>514</v>
      </c>
      <c r="B587">
        <f>MATCH(A587-1,$D$61:$D$68,1)</f>
        <v/>
      </c>
      <c r="C587">
        <f>INDEX($G$61:$G$68,B587)</f>
        <v/>
      </c>
      <c r="D587">
        <f>INDEX($L$61:$L$68,B587)</f>
        <v/>
      </c>
      <c r="E587">
        <f>INDEX($M$61:$M$68,B587)</f>
        <v/>
      </c>
      <c r="F587">
        <f>INDEX($N$61:$N$68,B587)</f>
        <v/>
      </c>
      <c r="G587">
        <f>INDEX($AA$61:$AA$68,B587)</f>
        <v/>
      </c>
      <c r="H587">
        <f>INDEX($X$61:$X$68,B587)</f>
        <v/>
      </c>
      <c r="I587">
        <f>INDEX($AF$61:$AF$68,B587)</f>
        <v/>
      </c>
      <c r="J587">
        <f>INDEX($AC$61:$AC$68,B587)</f>
        <v/>
      </c>
      <c r="K587">
        <f>INDEX($AD$61:$AD$68,B587)</f>
        <v/>
      </c>
      <c r="L587">
        <f>INDEX($AG$61:$AG$68,B587)</f>
        <v/>
      </c>
      <c r="M587">
        <f>INDEX($AH$61:$AH$68,B587)</f>
        <v/>
      </c>
      <c r="N587">
        <f>INDEX($AI$61:$AI$68,B587)</f>
        <v/>
      </c>
      <c r="O587">
        <f>O586*$B$26+L587*(1-$B$26)</f>
        <v/>
      </c>
      <c r="P587">
        <f>$B$7*(O587-O586)*(1-AS586)</f>
        <v/>
      </c>
      <c r="Q587">
        <f>M587+0.51274*AT586</f>
        <v/>
      </c>
      <c r="R587">
        <f>N587+0.616*AT586</f>
        <v/>
      </c>
      <c r="S587">
        <f>IF($B$13&gt;=0.6,Q587,IF($B$13&lt;=0.2,R587,R587+2.5*(Q587-R587)*($B$13-0.2)))</f>
        <v/>
      </c>
      <c r="T587">
        <f>IF(A587=1,S587,T586*$B$27+S587*(1-$B$27))</f>
        <v/>
      </c>
      <c r="U587">
        <f>0.6105*EXP(17.27*T587/(T587+237.3))</f>
        <v/>
      </c>
      <c r="V587">
        <f>($B$14*(I587*C587+IF(ABS((D587+0.1)-D587)&lt;0.000000001,4*$B$19*$B$20*(D587+273)^3,$B$19*$B$20*(((D587+0.1)+273)^4-(D587+273)^4)/((D587+0.1)-D587))*D587)+T587/H587)/($B$14*(I587+IF(ABS((D587+0.1)-D587)&lt;0.000000001,4*$B$19*$B$20*(D587+273)^3,$B$19*$B$20*(((D587+0.1)+273)^4-(D587+273)^4)/((D587+0.1)-D587)))+1/H587)</f>
        <v/>
      </c>
      <c r="W587">
        <f>($B$14*(I587*C587+IF(ABS(V587-D587)&lt;0.000000001,4*$B$19*$B$20*(D587+273)^3,$B$19*$B$20*((V587+273)^4-(D587+273)^4)/(V587-D587))*D587)+T587/H587)/($B$14*(I587+IF(ABS(V587-D587)&lt;0.000000001,4*$B$19*$B$20*(D587+273)^3,$B$19*$B$20*((V587+273)^4-(D587+273)^4)/(V587-D587)))+1/H587)</f>
        <v/>
      </c>
      <c r="X587">
        <f>($B$14*(I587*C587+IF(ABS(W587-D587)&lt;0.000000001,4*$B$19*$B$20*(D587+273)^3,$B$19*$B$20*((W587+273)^4-(D587+273)^4)/(W587-D587))*D587)+T587/H587)/($B$14*(I587+IF(ABS(W587-D587)&lt;0.000000001,4*$B$19*$B$20*(D587+273)^3,$B$19*$B$20*((W587+273)^4-(D587+273)^4)/(W587-D587)))+1/H587)</f>
        <v/>
      </c>
      <c r="Y587">
        <f>($B$14*(I587*C587+IF(ABS(X587-D587)&lt;0.000000001,4*$B$19*$B$20*(D587+273)^3,$B$19*$B$20*((X587+273)^4-(D587+273)^4)/(X587-D587))*D587)+T587/H587)/($B$14*(I587+IF(ABS(X587-D587)&lt;0.000000001,4*$B$19*$B$20*(D587+273)^3,$B$19*$B$20*((X587+273)^4-(D587+273)^4)/(X587-D587)))+1/H587)</f>
        <v/>
      </c>
      <c r="Z587">
        <f>IF(ABS(Y587-D587)&lt;0.000000001,4*$B$19*$B$20*(D587+273)^3,$B$19*$B$20*((Y587+273)^4-(D587+273)^4)/(Y587-D587))</f>
        <v/>
      </c>
      <c r="AA587">
        <f>$B$14*I587*(Y587-C587)</f>
        <v/>
      </c>
      <c r="AB587">
        <f>$B$14*Z587*(Y587-D587)</f>
        <v/>
      </c>
      <c r="AC587">
        <f>IF((U587-E587)/G587=0,0.001,(U587-E587)/G587)</f>
        <v/>
      </c>
      <c r="AD587">
        <f>F587-P587-J587-K587-AA587-AB587</f>
        <v/>
      </c>
      <c r="AE587">
        <f>AD587/AC587</f>
        <v/>
      </c>
      <c r="AF587">
        <f>IF(AD587&lt;=0,0,IF(AC587&lt;=0,$B$11,IF(AE587&gt;=1.7,$B$11,MIN(AD587/MAX(0.05,IF(AE587&gt;1,(2-AE587)^2/2,1-AE587^2/2)),$B$11))))</f>
        <v/>
      </c>
      <c r="AG587">
        <f>AG586*$B$28+AF587*(1-$B$28)</f>
        <v/>
      </c>
      <c r="AH587">
        <f>IF(AND(AD587&gt;0,AC587&lt;=0),0,AC587)</f>
        <v/>
      </c>
      <c r="AI587">
        <f>AH587/MAX(AG587,0.000001)</f>
        <v/>
      </c>
      <c r="AJ587">
        <f>MIN(IF(AI587&gt;=0.5,-AI587+SQRT(AI587^2+2),1),$B$12)</f>
        <v/>
      </c>
      <c r="AK587">
        <f>IF(AG587&lt;=0,0,AJ587*AH587)</f>
        <v/>
      </c>
      <c r="AL587">
        <f>IF(AD587&lt;=0,0,AD587)</f>
        <v/>
      </c>
      <c r="AM587">
        <f>AL587-AK587+P587</f>
        <v/>
      </c>
      <c r="AN587">
        <f>((AM587/$B$7+T586*AS586/2-T587*MAX(0.1,MIN(0.3,0.3-0.09*(AR586-36.8)))/2)+AR586*(1-AS586/2))/(1-MAX(0.1,MIN(0.3,0.3-0.09*(AR586-36.8)))/2)</f>
        <v/>
      </c>
      <c r="AO587">
        <f>((AM587/$B$7+T586*AS586/2-T587*MAX(0.1,MIN(0.3,0.3-0.09*(AN587-36.8)))/2)+AR586*(1-AS586/2))/(1-MAX(0.1,MIN(0.3,0.3-0.09*(AN587-36.8)))/2)</f>
        <v/>
      </c>
      <c r="AP587">
        <f>((AM587/$B$7+T586*AS586/2-T587*MAX(0.1,MIN(0.3,0.3-0.09*(AO587-36.8)))/2)+AR586*(1-AS586/2))/(1-MAX(0.1,MIN(0.3,0.3-0.09*(AO587-36.8)))/2)</f>
        <v/>
      </c>
      <c r="AQ587">
        <f>((AM587/$B$7+T586*AS586/2-T587*MAX(0.1,MIN(0.3,0.3-0.09*(AP587-36.8)))/2)+AR586*(1-AS586/2))/(1-MAX(0.1,MIN(0.3,0.3-0.09*(AP587-36.8)))/2)</f>
        <v/>
      </c>
      <c r="AR587">
        <f>((AM587/$B$7+T586*AS586/2-T587*MAX(0.1,MIN(0.3,0.3-0.09*(AQ587-36.8)))/2)+AR586*(1-AS586/2))/(1-MAX(0.1,MIN(0.3,0.3-0.09*(AQ587-36.8)))/2)</f>
        <v/>
      </c>
      <c r="AS587">
        <f>MAX(0.1,MIN(0.3,0.3-0.09*(AR587-36.8)))</f>
        <v/>
      </c>
      <c r="AT587">
        <f>AT586+(2*AR587-1.962*AT586-1.31)/9</f>
        <v/>
      </c>
      <c r="AU587">
        <f>AU586+AG587+K587</f>
        <v/>
      </c>
      <c r="AV587">
        <f>AU587*2.67*$B$6/1.8/60</f>
        <v/>
      </c>
      <c r="AW587">
        <f>IF(AT587&gt;=$B$36,1,0)</f>
        <v/>
      </c>
      <c r="AX587">
        <f>IF(AV587&gt;=$B$21,1,0)</f>
        <v/>
      </c>
    </row>
    <row r="588">
      <c r="A588" t="n">
        <v>515</v>
      </c>
      <c r="B588">
        <f>MATCH(A588-1,$D$61:$D$68,1)</f>
        <v/>
      </c>
      <c r="C588">
        <f>INDEX($G$61:$G$68,B588)</f>
        <v/>
      </c>
      <c r="D588">
        <f>INDEX($L$61:$L$68,B588)</f>
        <v/>
      </c>
      <c r="E588">
        <f>INDEX($M$61:$M$68,B588)</f>
        <v/>
      </c>
      <c r="F588">
        <f>INDEX($N$61:$N$68,B588)</f>
        <v/>
      </c>
      <c r="G588">
        <f>INDEX($AA$61:$AA$68,B588)</f>
        <v/>
      </c>
      <c r="H588">
        <f>INDEX($X$61:$X$68,B588)</f>
        <v/>
      </c>
      <c r="I588">
        <f>INDEX($AF$61:$AF$68,B588)</f>
        <v/>
      </c>
      <c r="J588">
        <f>INDEX($AC$61:$AC$68,B588)</f>
        <v/>
      </c>
      <c r="K588">
        <f>INDEX($AD$61:$AD$68,B588)</f>
        <v/>
      </c>
      <c r="L588">
        <f>INDEX($AG$61:$AG$68,B588)</f>
        <v/>
      </c>
      <c r="M588">
        <f>INDEX($AH$61:$AH$68,B588)</f>
        <v/>
      </c>
      <c r="N588">
        <f>INDEX($AI$61:$AI$68,B588)</f>
        <v/>
      </c>
      <c r="O588">
        <f>O587*$B$26+L588*(1-$B$26)</f>
        <v/>
      </c>
      <c r="P588">
        <f>$B$7*(O588-O587)*(1-AS587)</f>
        <v/>
      </c>
      <c r="Q588">
        <f>M588+0.51274*AT587</f>
        <v/>
      </c>
      <c r="R588">
        <f>N588+0.616*AT587</f>
        <v/>
      </c>
      <c r="S588">
        <f>IF($B$13&gt;=0.6,Q588,IF($B$13&lt;=0.2,R588,R588+2.5*(Q588-R588)*($B$13-0.2)))</f>
        <v/>
      </c>
      <c r="T588">
        <f>IF(A588=1,S588,T587*$B$27+S588*(1-$B$27))</f>
        <v/>
      </c>
      <c r="U588">
        <f>0.6105*EXP(17.27*T588/(T588+237.3))</f>
        <v/>
      </c>
      <c r="V588">
        <f>($B$14*(I588*C588+IF(ABS((D588+0.1)-D588)&lt;0.000000001,4*$B$19*$B$20*(D588+273)^3,$B$19*$B$20*(((D588+0.1)+273)^4-(D588+273)^4)/((D588+0.1)-D588))*D588)+T588/H588)/($B$14*(I588+IF(ABS((D588+0.1)-D588)&lt;0.000000001,4*$B$19*$B$20*(D588+273)^3,$B$19*$B$20*(((D588+0.1)+273)^4-(D588+273)^4)/((D588+0.1)-D588)))+1/H588)</f>
        <v/>
      </c>
      <c r="W588">
        <f>($B$14*(I588*C588+IF(ABS(V588-D588)&lt;0.000000001,4*$B$19*$B$20*(D588+273)^3,$B$19*$B$20*((V588+273)^4-(D588+273)^4)/(V588-D588))*D588)+T588/H588)/($B$14*(I588+IF(ABS(V588-D588)&lt;0.000000001,4*$B$19*$B$20*(D588+273)^3,$B$19*$B$20*((V588+273)^4-(D588+273)^4)/(V588-D588)))+1/H588)</f>
        <v/>
      </c>
      <c r="X588">
        <f>($B$14*(I588*C588+IF(ABS(W588-D588)&lt;0.000000001,4*$B$19*$B$20*(D588+273)^3,$B$19*$B$20*((W588+273)^4-(D588+273)^4)/(W588-D588))*D588)+T588/H588)/($B$14*(I588+IF(ABS(W588-D588)&lt;0.000000001,4*$B$19*$B$20*(D588+273)^3,$B$19*$B$20*((W588+273)^4-(D588+273)^4)/(W588-D588)))+1/H588)</f>
        <v/>
      </c>
      <c r="Y588">
        <f>($B$14*(I588*C588+IF(ABS(X588-D588)&lt;0.000000001,4*$B$19*$B$20*(D588+273)^3,$B$19*$B$20*((X588+273)^4-(D588+273)^4)/(X588-D588))*D588)+T588/H588)/($B$14*(I588+IF(ABS(X588-D588)&lt;0.000000001,4*$B$19*$B$20*(D588+273)^3,$B$19*$B$20*((X588+273)^4-(D588+273)^4)/(X588-D588)))+1/H588)</f>
        <v/>
      </c>
      <c r="Z588">
        <f>IF(ABS(Y588-D588)&lt;0.000000001,4*$B$19*$B$20*(D588+273)^3,$B$19*$B$20*((Y588+273)^4-(D588+273)^4)/(Y588-D588))</f>
        <v/>
      </c>
      <c r="AA588">
        <f>$B$14*I588*(Y588-C588)</f>
        <v/>
      </c>
      <c r="AB588">
        <f>$B$14*Z588*(Y588-D588)</f>
        <v/>
      </c>
      <c r="AC588">
        <f>IF((U588-E588)/G588=0,0.001,(U588-E588)/G588)</f>
        <v/>
      </c>
      <c r="AD588">
        <f>F588-P588-J588-K588-AA588-AB588</f>
        <v/>
      </c>
      <c r="AE588">
        <f>AD588/AC588</f>
        <v/>
      </c>
      <c r="AF588">
        <f>IF(AD588&lt;=0,0,IF(AC588&lt;=0,$B$11,IF(AE588&gt;=1.7,$B$11,MIN(AD588/MAX(0.05,IF(AE588&gt;1,(2-AE588)^2/2,1-AE588^2/2)),$B$11))))</f>
        <v/>
      </c>
      <c r="AG588">
        <f>AG587*$B$28+AF588*(1-$B$28)</f>
        <v/>
      </c>
      <c r="AH588">
        <f>IF(AND(AD588&gt;0,AC588&lt;=0),0,AC588)</f>
        <v/>
      </c>
      <c r="AI588">
        <f>AH588/MAX(AG588,0.000001)</f>
        <v/>
      </c>
      <c r="AJ588">
        <f>MIN(IF(AI588&gt;=0.5,-AI588+SQRT(AI588^2+2),1),$B$12)</f>
        <v/>
      </c>
      <c r="AK588">
        <f>IF(AG588&lt;=0,0,AJ588*AH588)</f>
        <v/>
      </c>
      <c r="AL588">
        <f>IF(AD588&lt;=0,0,AD588)</f>
        <v/>
      </c>
      <c r="AM588">
        <f>AL588-AK588+P588</f>
        <v/>
      </c>
      <c r="AN588">
        <f>((AM588/$B$7+T587*AS587/2-T588*MAX(0.1,MIN(0.3,0.3-0.09*(AR587-36.8)))/2)+AR587*(1-AS587/2))/(1-MAX(0.1,MIN(0.3,0.3-0.09*(AR587-36.8)))/2)</f>
        <v/>
      </c>
      <c r="AO588">
        <f>((AM588/$B$7+T587*AS587/2-T588*MAX(0.1,MIN(0.3,0.3-0.09*(AN588-36.8)))/2)+AR587*(1-AS587/2))/(1-MAX(0.1,MIN(0.3,0.3-0.09*(AN588-36.8)))/2)</f>
        <v/>
      </c>
      <c r="AP588">
        <f>((AM588/$B$7+T587*AS587/2-T588*MAX(0.1,MIN(0.3,0.3-0.09*(AO588-36.8)))/2)+AR587*(1-AS587/2))/(1-MAX(0.1,MIN(0.3,0.3-0.09*(AO588-36.8)))/2)</f>
        <v/>
      </c>
      <c r="AQ588">
        <f>((AM588/$B$7+T587*AS587/2-T588*MAX(0.1,MIN(0.3,0.3-0.09*(AP588-36.8)))/2)+AR587*(1-AS587/2))/(1-MAX(0.1,MIN(0.3,0.3-0.09*(AP588-36.8)))/2)</f>
        <v/>
      </c>
      <c r="AR588">
        <f>((AM588/$B$7+T587*AS587/2-T588*MAX(0.1,MIN(0.3,0.3-0.09*(AQ588-36.8)))/2)+AR587*(1-AS587/2))/(1-MAX(0.1,MIN(0.3,0.3-0.09*(AQ588-36.8)))/2)</f>
        <v/>
      </c>
      <c r="AS588">
        <f>MAX(0.1,MIN(0.3,0.3-0.09*(AR588-36.8)))</f>
        <v/>
      </c>
      <c r="AT588">
        <f>AT587+(2*AR588-1.962*AT587-1.31)/9</f>
        <v/>
      </c>
      <c r="AU588">
        <f>AU587+AG588+K588</f>
        <v/>
      </c>
      <c r="AV588">
        <f>AU588*2.67*$B$6/1.8/60</f>
        <v/>
      </c>
      <c r="AW588">
        <f>IF(AT588&gt;=$B$36,1,0)</f>
        <v/>
      </c>
      <c r="AX588">
        <f>IF(AV588&gt;=$B$21,1,0)</f>
        <v/>
      </c>
    </row>
    <row r="589">
      <c r="A589" t="n">
        <v>516</v>
      </c>
      <c r="B589">
        <f>MATCH(A589-1,$D$61:$D$68,1)</f>
        <v/>
      </c>
      <c r="C589">
        <f>INDEX($G$61:$G$68,B589)</f>
        <v/>
      </c>
      <c r="D589">
        <f>INDEX($L$61:$L$68,B589)</f>
        <v/>
      </c>
      <c r="E589">
        <f>INDEX($M$61:$M$68,B589)</f>
        <v/>
      </c>
      <c r="F589">
        <f>INDEX($N$61:$N$68,B589)</f>
        <v/>
      </c>
      <c r="G589">
        <f>INDEX($AA$61:$AA$68,B589)</f>
        <v/>
      </c>
      <c r="H589">
        <f>INDEX($X$61:$X$68,B589)</f>
        <v/>
      </c>
      <c r="I589">
        <f>INDEX($AF$61:$AF$68,B589)</f>
        <v/>
      </c>
      <c r="J589">
        <f>INDEX($AC$61:$AC$68,B589)</f>
        <v/>
      </c>
      <c r="K589">
        <f>INDEX($AD$61:$AD$68,B589)</f>
        <v/>
      </c>
      <c r="L589">
        <f>INDEX($AG$61:$AG$68,B589)</f>
        <v/>
      </c>
      <c r="M589">
        <f>INDEX($AH$61:$AH$68,B589)</f>
        <v/>
      </c>
      <c r="N589">
        <f>INDEX($AI$61:$AI$68,B589)</f>
        <v/>
      </c>
      <c r="O589">
        <f>O588*$B$26+L589*(1-$B$26)</f>
        <v/>
      </c>
      <c r="P589">
        <f>$B$7*(O589-O588)*(1-AS588)</f>
        <v/>
      </c>
      <c r="Q589">
        <f>M589+0.51274*AT588</f>
        <v/>
      </c>
      <c r="R589">
        <f>N589+0.616*AT588</f>
        <v/>
      </c>
      <c r="S589">
        <f>IF($B$13&gt;=0.6,Q589,IF($B$13&lt;=0.2,R589,R589+2.5*(Q589-R589)*($B$13-0.2)))</f>
        <v/>
      </c>
      <c r="T589">
        <f>IF(A589=1,S589,T588*$B$27+S589*(1-$B$27))</f>
        <v/>
      </c>
      <c r="U589">
        <f>0.6105*EXP(17.27*T589/(T589+237.3))</f>
        <v/>
      </c>
      <c r="V589">
        <f>($B$14*(I589*C589+IF(ABS((D589+0.1)-D589)&lt;0.000000001,4*$B$19*$B$20*(D589+273)^3,$B$19*$B$20*(((D589+0.1)+273)^4-(D589+273)^4)/((D589+0.1)-D589))*D589)+T589/H589)/($B$14*(I589+IF(ABS((D589+0.1)-D589)&lt;0.000000001,4*$B$19*$B$20*(D589+273)^3,$B$19*$B$20*(((D589+0.1)+273)^4-(D589+273)^4)/((D589+0.1)-D589)))+1/H589)</f>
        <v/>
      </c>
      <c r="W589">
        <f>($B$14*(I589*C589+IF(ABS(V589-D589)&lt;0.000000001,4*$B$19*$B$20*(D589+273)^3,$B$19*$B$20*((V589+273)^4-(D589+273)^4)/(V589-D589))*D589)+T589/H589)/($B$14*(I589+IF(ABS(V589-D589)&lt;0.000000001,4*$B$19*$B$20*(D589+273)^3,$B$19*$B$20*((V589+273)^4-(D589+273)^4)/(V589-D589)))+1/H589)</f>
        <v/>
      </c>
      <c r="X589">
        <f>($B$14*(I589*C589+IF(ABS(W589-D589)&lt;0.000000001,4*$B$19*$B$20*(D589+273)^3,$B$19*$B$20*((W589+273)^4-(D589+273)^4)/(W589-D589))*D589)+T589/H589)/($B$14*(I589+IF(ABS(W589-D589)&lt;0.000000001,4*$B$19*$B$20*(D589+273)^3,$B$19*$B$20*((W589+273)^4-(D589+273)^4)/(W589-D589)))+1/H589)</f>
        <v/>
      </c>
      <c r="Y589">
        <f>($B$14*(I589*C589+IF(ABS(X589-D589)&lt;0.000000001,4*$B$19*$B$20*(D589+273)^3,$B$19*$B$20*((X589+273)^4-(D589+273)^4)/(X589-D589))*D589)+T589/H589)/($B$14*(I589+IF(ABS(X589-D589)&lt;0.000000001,4*$B$19*$B$20*(D589+273)^3,$B$19*$B$20*((X589+273)^4-(D589+273)^4)/(X589-D589)))+1/H589)</f>
        <v/>
      </c>
      <c r="Z589">
        <f>IF(ABS(Y589-D589)&lt;0.000000001,4*$B$19*$B$20*(D589+273)^3,$B$19*$B$20*((Y589+273)^4-(D589+273)^4)/(Y589-D589))</f>
        <v/>
      </c>
      <c r="AA589">
        <f>$B$14*I589*(Y589-C589)</f>
        <v/>
      </c>
      <c r="AB589">
        <f>$B$14*Z589*(Y589-D589)</f>
        <v/>
      </c>
      <c r="AC589">
        <f>IF((U589-E589)/G589=0,0.001,(U589-E589)/G589)</f>
        <v/>
      </c>
      <c r="AD589">
        <f>F589-P589-J589-K589-AA589-AB589</f>
        <v/>
      </c>
      <c r="AE589">
        <f>AD589/AC589</f>
        <v/>
      </c>
      <c r="AF589">
        <f>IF(AD589&lt;=0,0,IF(AC589&lt;=0,$B$11,IF(AE589&gt;=1.7,$B$11,MIN(AD589/MAX(0.05,IF(AE589&gt;1,(2-AE589)^2/2,1-AE589^2/2)),$B$11))))</f>
        <v/>
      </c>
      <c r="AG589">
        <f>AG588*$B$28+AF589*(1-$B$28)</f>
        <v/>
      </c>
      <c r="AH589">
        <f>IF(AND(AD589&gt;0,AC589&lt;=0),0,AC589)</f>
        <v/>
      </c>
      <c r="AI589">
        <f>AH589/MAX(AG589,0.000001)</f>
        <v/>
      </c>
      <c r="AJ589">
        <f>MIN(IF(AI589&gt;=0.5,-AI589+SQRT(AI589^2+2),1),$B$12)</f>
        <v/>
      </c>
      <c r="AK589">
        <f>IF(AG589&lt;=0,0,AJ589*AH589)</f>
        <v/>
      </c>
      <c r="AL589">
        <f>IF(AD589&lt;=0,0,AD589)</f>
        <v/>
      </c>
      <c r="AM589">
        <f>AL589-AK589+P589</f>
        <v/>
      </c>
      <c r="AN589">
        <f>((AM589/$B$7+T588*AS588/2-T589*MAX(0.1,MIN(0.3,0.3-0.09*(AR588-36.8)))/2)+AR588*(1-AS588/2))/(1-MAX(0.1,MIN(0.3,0.3-0.09*(AR588-36.8)))/2)</f>
        <v/>
      </c>
      <c r="AO589">
        <f>((AM589/$B$7+T588*AS588/2-T589*MAX(0.1,MIN(0.3,0.3-0.09*(AN589-36.8)))/2)+AR588*(1-AS588/2))/(1-MAX(0.1,MIN(0.3,0.3-0.09*(AN589-36.8)))/2)</f>
        <v/>
      </c>
      <c r="AP589">
        <f>((AM589/$B$7+T588*AS588/2-T589*MAX(0.1,MIN(0.3,0.3-0.09*(AO589-36.8)))/2)+AR588*(1-AS588/2))/(1-MAX(0.1,MIN(0.3,0.3-0.09*(AO589-36.8)))/2)</f>
        <v/>
      </c>
      <c r="AQ589">
        <f>((AM589/$B$7+T588*AS588/2-T589*MAX(0.1,MIN(0.3,0.3-0.09*(AP589-36.8)))/2)+AR588*(1-AS588/2))/(1-MAX(0.1,MIN(0.3,0.3-0.09*(AP589-36.8)))/2)</f>
        <v/>
      </c>
      <c r="AR589">
        <f>((AM589/$B$7+T588*AS588/2-T589*MAX(0.1,MIN(0.3,0.3-0.09*(AQ589-36.8)))/2)+AR588*(1-AS588/2))/(1-MAX(0.1,MIN(0.3,0.3-0.09*(AQ589-36.8)))/2)</f>
        <v/>
      </c>
      <c r="AS589">
        <f>MAX(0.1,MIN(0.3,0.3-0.09*(AR589-36.8)))</f>
        <v/>
      </c>
      <c r="AT589">
        <f>AT588+(2*AR589-1.962*AT588-1.31)/9</f>
        <v/>
      </c>
      <c r="AU589">
        <f>AU588+AG589+K589</f>
        <v/>
      </c>
      <c r="AV589">
        <f>AU589*2.67*$B$6/1.8/60</f>
        <v/>
      </c>
      <c r="AW589">
        <f>IF(AT589&gt;=$B$36,1,0)</f>
        <v/>
      </c>
      <c r="AX589">
        <f>IF(AV589&gt;=$B$21,1,0)</f>
        <v/>
      </c>
    </row>
    <row r="590">
      <c r="A590" t="n">
        <v>517</v>
      </c>
      <c r="B590">
        <f>MATCH(A590-1,$D$61:$D$68,1)</f>
        <v/>
      </c>
      <c r="C590">
        <f>INDEX($G$61:$G$68,B590)</f>
        <v/>
      </c>
      <c r="D590">
        <f>INDEX($L$61:$L$68,B590)</f>
        <v/>
      </c>
      <c r="E590">
        <f>INDEX($M$61:$M$68,B590)</f>
        <v/>
      </c>
      <c r="F590">
        <f>INDEX($N$61:$N$68,B590)</f>
        <v/>
      </c>
      <c r="G590">
        <f>INDEX($AA$61:$AA$68,B590)</f>
        <v/>
      </c>
      <c r="H590">
        <f>INDEX($X$61:$X$68,B590)</f>
        <v/>
      </c>
      <c r="I590">
        <f>INDEX($AF$61:$AF$68,B590)</f>
        <v/>
      </c>
      <c r="J590">
        <f>INDEX($AC$61:$AC$68,B590)</f>
        <v/>
      </c>
      <c r="K590">
        <f>INDEX($AD$61:$AD$68,B590)</f>
        <v/>
      </c>
      <c r="L590">
        <f>INDEX($AG$61:$AG$68,B590)</f>
        <v/>
      </c>
      <c r="M590">
        <f>INDEX($AH$61:$AH$68,B590)</f>
        <v/>
      </c>
      <c r="N590">
        <f>INDEX($AI$61:$AI$68,B590)</f>
        <v/>
      </c>
      <c r="O590">
        <f>O589*$B$26+L590*(1-$B$26)</f>
        <v/>
      </c>
      <c r="P590">
        <f>$B$7*(O590-O589)*(1-AS589)</f>
        <v/>
      </c>
      <c r="Q590">
        <f>M590+0.51274*AT589</f>
        <v/>
      </c>
      <c r="R590">
        <f>N590+0.616*AT589</f>
        <v/>
      </c>
      <c r="S590">
        <f>IF($B$13&gt;=0.6,Q590,IF($B$13&lt;=0.2,R590,R590+2.5*(Q590-R590)*($B$13-0.2)))</f>
        <v/>
      </c>
      <c r="T590">
        <f>IF(A590=1,S590,T589*$B$27+S590*(1-$B$27))</f>
        <v/>
      </c>
      <c r="U590">
        <f>0.6105*EXP(17.27*T590/(T590+237.3))</f>
        <v/>
      </c>
      <c r="V590">
        <f>($B$14*(I590*C590+IF(ABS((D590+0.1)-D590)&lt;0.000000001,4*$B$19*$B$20*(D590+273)^3,$B$19*$B$20*(((D590+0.1)+273)^4-(D590+273)^4)/((D590+0.1)-D590))*D590)+T590/H590)/($B$14*(I590+IF(ABS((D590+0.1)-D590)&lt;0.000000001,4*$B$19*$B$20*(D590+273)^3,$B$19*$B$20*(((D590+0.1)+273)^4-(D590+273)^4)/((D590+0.1)-D590)))+1/H590)</f>
        <v/>
      </c>
      <c r="W590">
        <f>($B$14*(I590*C590+IF(ABS(V590-D590)&lt;0.000000001,4*$B$19*$B$20*(D590+273)^3,$B$19*$B$20*((V590+273)^4-(D590+273)^4)/(V590-D590))*D590)+T590/H590)/($B$14*(I590+IF(ABS(V590-D590)&lt;0.000000001,4*$B$19*$B$20*(D590+273)^3,$B$19*$B$20*((V590+273)^4-(D590+273)^4)/(V590-D590)))+1/H590)</f>
        <v/>
      </c>
      <c r="X590">
        <f>($B$14*(I590*C590+IF(ABS(W590-D590)&lt;0.000000001,4*$B$19*$B$20*(D590+273)^3,$B$19*$B$20*((W590+273)^4-(D590+273)^4)/(W590-D590))*D590)+T590/H590)/($B$14*(I590+IF(ABS(W590-D590)&lt;0.000000001,4*$B$19*$B$20*(D590+273)^3,$B$19*$B$20*((W590+273)^4-(D590+273)^4)/(W590-D590)))+1/H590)</f>
        <v/>
      </c>
      <c r="Y590">
        <f>($B$14*(I590*C590+IF(ABS(X590-D590)&lt;0.000000001,4*$B$19*$B$20*(D590+273)^3,$B$19*$B$20*((X590+273)^4-(D590+273)^4)/(X590-D590))*D590)+T590/H590)/($B$14*(I590+IF(ABS(X590-D590)&lt;0.000000001,4*$B$19*$B$20*(D590+273)^3,$B$19*$B$20*((X590+273)^4-(D590+273)^4)/(X590-D590)))+1/H590)</f>
        <v/>
      </c>
      <c r="Z590">
        <f>IF(ABS(Y590-D590)&lt;0.000000001,4*$B$19*$B$20*(D590+273)^3,$B$19*$B$20*((Y590+273)^4-(D590+273)^4)/(Y590-D590))</f>
        <v/>
      </c>
      <c r="AA590">
        <f>$B$14*I590*(Y590-C590)</f>
        <v/>
      </c>
      <c r="AB590">
        <f>$B$14*Z590*(Y590-D590)</f>
        <v/>
      </c>
      <c r="AC590">
        <f>IF((U590-E590)/G590=0,0.001,(U590-E590)/G590)</f>
        <v/>
      </c>
      <c r="AD590">
        <f>F590-P590-J590-K590-AA590-AB590</f>
        <v/>
      </c>
      <c r="AE590">
        <f>AD590/AC590</f>
        <v/>
      </c>
      <c r="AF590">
        <f>IF(AD590&lt;=0,0,IF(AC590&lt;=0,$B$11,IF(AE590&gt;=1.7,$B$11,MIN(AD590/MAX(0.05,IF(AE590&gt;1,(2-AE590)^2/2,1-AE590^2/2)),$B$11))))</f>
        <v/>
      </c>
      <c r="AG590">
        <f>AG589*$B$28+AF590*(1-$B$28)</f>
        <v/>
      </c>
      <c r="AH590">
        <f>IF(AND(AD590&gt;0,AC590&lt;=0),0,AC590)</f>
        <v/>
      </c>
      <c r="AI590">
        <f>AH590/MAX(AG590,0.000001)</f>
        <v/>
      </c>
      <c r="AJ590">
        <f>MIN(IF(AI590&gt;=0.5,-AI590+SQRT(AI590^2+2),1),$B$12)</f>
        <v/>
      </c>
      <c r="AK590">
        <f>IF(AG590&lt;=0,0,AJ590*AH590)</f>
        <v/>
      </c>
      <c r="AL590">
        <f>IF(AD590&lt;=0,0,AD590)</f>
        <v/>
      </c>
      <c r="AM590">
        <f>AL590-AK590+P590</f>
        <v/>
      </c>
      <c r="AN590">
        <f>((AM590/$B$7+T589*AS589/2-T590*MAX(0.1,MIN(0.3,0.3-0.09*(AR589-36.8)))/2)+AR589*(1-AS589/2))/(1-MAX(0.1,MIN(0.3,0.3-0.09*(AR589-36.8)))/2)</f>
        <v/>
      </c>
      <c r="AO590">
        <f>((AM590/$B$7+T589*AS589/2-T590*MAX(0.1,MIN(0.3,0.3-0.09*(AN590-36.8)))/2)+AR589*(1-AS589/2))/(1-MAX(0.1,MIN(0.3,0.3-0.09*(AN590-36.8)))/2)</f>
        <v/>
      </c>
      <c r="AP590">
        <f>((AM590/$B$7+T589*AS589/2-T590*MAX(0.1,MIN(0.3,0.3-0.09*(AO590-36.8)))/2)+AR589*(1-AS589/2))/(1-MAX(0.1,MIN(0.3,0.3-0.09*(AO590-36.8)))/2)</f>
        <v/>
      </c>
      <c r="AQ590">
        <f>((AM590/$B$7+T589*AS589/2-T590*MAX(0.1,MIN(0.3,0.3-0.09*(AP590-36.8)))/2)+AR589*(1-AS589/2))/(1-MAX(0.1,MIN(0.3,0.3-0.09*(AP590-36.8)))/2)</f>
        <v/>
      </c>
      <c r="AR590">
        <f>((AM590/$B$7+T589*AS589/2-T590*MAX(0.1,MIN(0.3,0.3-0.09*(AQ590-36.8)))/2)+AR589*(1-AS589/2))/(1-MAX(0.1,MIN(0.3,0.3-0.09*(AQ590-36.8)))/2)</f>
        <v/>
      </c>
      <c r="AS590">
        <f>MAX(0.1,MIN(0.3,0.3-0.09*(AR590-36.8)))</f>
        <v/>
      </c>
      <c r="AT590">
        <f>AT589+(2*AR590-1.962*AT589-1.31)/9</f>
        <v/>
      </c>
      <c r="AU590">
        <f>AU589+AG590+K590</f>
        <v/>
      </c>
      <c r="AV590">
        <f>AU590*2.67*$B$6/1.8/60</f>
        <v/>
      </c>
      <c r="AW590">
        <f>IF(AT590&gt;=$B$36,1,0)</f>
        <v/>
      </c>
      <c r="AX590">
        <f>IF(AV590&gt;=$B$21,1,0)</f>
        <v/>
      </c>
    </row>
    <row r="591">
      <c r="A591" t="n">
        <v>518</v>
      </c>
      <c r="B591">
        <f>MATCH(A591-1,$D$61:$D$68,1)</f>
        <v/>
      </c>
      <c r="C591">
        <f>INDEX($G$61:$G$68,B591)</f>
        <v/>
      </c>
      <c r="D591">
        <f>INDEX($L$61:$L$68,B591)</f>
        <v/>
      </c>
      <c r="E591">
        <f>INDEX($M$61:$M$68,B591)</f>
        <v/>
      </c>
      <c r="F591">
        <f>INDEX($N$61:$N$68,B591)</f>
        <v/>
      </c>
      <c r="G591">
        <f>INDEX($AA$61:$AA$68,B591)</f>
        <v/>
      </c>
      <c r="H591">
        <f>INDEX($X$61:$X$68,B591)</f>
        <v/>
      </c>
      <c r="I591">
        <f>INDEX($AF$61:$AF$68,B591)</f>
        <v/>
      </c>
      <c r="J591">
        <f>INDEX($AC$61:$AC$68,B591)</f>
        <v/>
      </c>
      <c r="K591">
        <f>INDEX($AD$61:$AD$68,B591)</f>
        <v/>
      </c>
      <c r="L591">
        <f>INDEX($AG$61:$AG$68,B591)</f>
        <v/>
      </c>
      <c r="M591">
        <f>INDEX($AH$61:$AH$68,B591)</f>
        <v/>
      </c>
      <c r="N591">
        <f>INDEX($AI$61:$AI$68,B591)</f>
        <v/>
      </c>
      <c r="O591">
        <f>O590*$B$26+L591*(1-$B$26)</f>
        <v/>
      </c>
      <c r="P591">
        <f>$B$7*(O591-O590)*(1-AS590)</f>
        <v/>
      </c>
      <c r="Q591">
        <f>M591+0.51274*AT590</f>
        <v/>
      </c>
      <c r="R591">
        <f>N591+0.616*AT590</f>
        <v/>
      </c>
      <c r="S591">
        <f>IF($B$13&gt;=0.6,Q591,IF($B$13&lt;=0.2,R591,R591+2.5*(Q591-R591)*($B$13-0.2)))</f>
        <v/>
      </c>
      <c r="T591">
        <f>IF(A591=1,S591,T590*$B$27+S591*(1-$B$27))</f>
        <v/>
      </c>
      <c r="U591">
        <f>0.6105*EXP(17.27*T591/(T591+237.3))</f>
        <v/>
      </c>
      <c r="V591">
        <f>($B$14*(I591*C591+IF(ABS((D591+0.1)-D591)&lt;0.000000001,4*$B$19*$B$20*(D591+273)^3,$B$19*$B$20*(((D591+0.1)+273)^4-(D591+273)^4)/((D591+0.1)-D591))*D591)+T591/H591)/($B$14*(I591+IF(ABS((D591+0.1)-D591)&lt;0.000000001,4*$B$19*$B$20*(D591+273)^3,$B$19*$B$20*(((D591+0.1)+273)^4-(D591+273)^4)/((D591+0.1)-D591)))+1/H591)</f>
        <v/>
      </c>
      <c r="W591">
        <f>($B$14*(I591*C591+IF(ABS(V591-D591)&lt;0.000000001,4*$B$19*$B$20*(D591+273)^3,$B$19*$B$20*((V591+273)^4-(D591+273)^4)/(V591-D591))*D591)+T591/H591)/($B$14*(I591+IF(ABS(V591-D591)&lt;0.000000001,4*$B$19*$B$20*(D591+273)^3,$B$19*$B$20*((V591+273)^4-(D591+273)^4)/(V591-D591)))+1/H591)</f>
        <v/>
      </c>
      <c r="X591">
        <f>($B$14*(I591*C591+IF(ABS(W591-D591)&lt;0.000000001,4*$B$19*$B$20*(D591+273)^3,$B$19*$B$20*((W591+273)^4-(D591+273)^4)/(W591-D591))*D591)+T591/H591)/($B$14*(I591+IF(ABS(W591-D591)&lt;0.000000001,4*$B$19*$B$20*(D591+273)^3,$B$19*$B$20*((W591+273)^4-(D591+273)^4)/(W591-D591)))+1/H591)</f>
        <v/>
      </c>
      <c r="Y591">
        <f>($B$14*(I591*C591+IF(ABS(X591-D591)&lt;0.000000001,4*$B$19*$B$20*(D591+273)^3,$B$19*$B$20*((X591+273)^4-(D591+273)^4)/(X591-D591))*D591)+T591/H591)/($B$14*(I591+IF(ABS(X591-D591)&lt;0.000000001,4*$B$19*$B$20*(D591+273)^3,$B$19*$B$20*((X591+273)^4-(D591+273)^4)/(X591-D591)))+1/H591)</f>
        <v/>
      </c>
      <c r="Z591">
        <f>IF(ABS(Y591-D591)&lt;0.000000001,4*$B$19*$B$20*(D591+273)^3,$B$19*$B$20*((Y591+273)^4-(D591+273)^4)/(Y591-D591))</f>
        <v/>
      </c>
      <c r="AA591">
        <f>$B$14*I591*(Y591-C591)</f>
        <v/>
      </c>
      <c r="AB591">
        <f>$B$14*Z591*(Y591-D591)</f>
        <v/>
      </c>
      <c r="AC591">
        <f>IF((U591-E591)/G591=0,0.001,(U591-E591)/G591)</f>
        <v/>
      </c>
      <c r="AD591">
        <f>F591-P591-J591-K591-AA591-AB591</f>
        <v/>
      </c>
      <c r="AE591">
        <f>AD591/AC591</f>
        <v/>
      </c>
      <c r="AF591">
        <f>IF(AD591&lt;=0,0,IF(AC591&lt;=0,$B$11,IF(AE591&gt;=1.7,$B$11,MIN(AD591/MAX(0.05,IF(AE591&gt;1,(2-AE591)^2/2,1-AE591^2/2)),$B$11))))</f>
        <v/>
      </c>
      <c r="AG591">
        <f>AG590*$B$28+AF591*(1-$B$28)</f>
        <v/>
      </c>
      <c r="AH591">
        <f>IF(AND(AD591&gt;0,AC591&lt;=0),0,AC591)</f>
        <v/>
      </c>
      <c r="AI591">
        <f>AH591/MAX(AG591,0.000001)</f>
        <v/>
      </c>
      <c r="AJ591">
        <f>MIN(IF(AI591&gt;=0.5,-AI591+SQRT(AI591^2+2),1),$B$12)</f>
        <v/>
      </c>
      <c r="AK591">
        <f>IF(AG591&lt;=0,0,AJ591*AH591)</f>
        <v/>
      </c>
      <c r="AL591">
        <f>IF(AD591&lt;=0,0,AD591)</f>
        <v/>
      </c>
      <c r="AM591">
        <f>AL591-AK591+P591</f>
        <v/>
      </c>
      <c r="AN591">
        <f>((AM591/$B$7+T590*AS590/2-T591*MAX(0.1,MIN(0.3,0.3-0.09*(AR590-36.8)))/2)+AR590*(1-AS590/2))/(1-MAX(0.1,MIN(0.3,0.3-0.09*(AR590-36.8)))/2)</f>
        <v/>
      </c>
      <c r="AO591">
        <f>((AM591/$B$7+T590*AS590/2-T591*MAX(0.1,MIN(0.3,0.3-0.09*(AN591-36.8)))/2)+AR590*(1-AS590/2))/(1-MAX(0.1,MIN(0.3,0.3-0.09*(AN591-36.8)))/2)</f>
        <v/>
      </c>
      <c r="AP591">
        <f>((AM591/$B$7+T590*AS590/2-T591*MAX(0.1,MIN(0.3,0.3-0.09*(AO591-36.8)))/2)+AR590*(1-AS590/2))/(1-MAX(0.1,MIN(0.3,0.3-0.09*(AO591-36.8)))/2)</f>
        <v/>
      </c>
      <c r="AQ591">
        <f>((AM591/$B$7+T590*AS590/2-T591*MAX(0.1,MIN(0.3,0.3-0.09*(AP591-36.8)))/2)+AR590*(1-AS590/2))/(1-MAX(0.1,MIN(0.3,0.3-0.09*(AP591-36.8)))/2)</f>
        <v/>
      </c>
      <c r="AR591">
        <f>((AM591/$B$7+T590*AS590/2-T591*MAX(0.1,MIN(0.3,0.3-0.09*(AQ591-36.8)))/2)+AR590*(1-AS590/2))/(1-MAX(0.1,MIN(0.3,0.3-0.09*(AQ591-36.8)))/2)</f>
        <v/>
      </c>
      <c r="AS591">
        <f>MAX(0.1,MIN(0.3,0.3-0.09*(AR591-36.8)))</f>
        <v/>
      </c>
      <c r="AT591">
        <f>AT590+(2*AR591-1.962*AT590-1.31)/9</f>
        <v/>
      </c>
      <c r="AU591">
        <f>AU590+AG591+K591</f>
        <v/>
      </c>
      <c r="AV591">
        <f>AU591*2.67*$B$6/1.8/60</f>
        <v/>
      </c>
      <c r="AW591">
        <f>IF(AT591&gt;=$B$36,1,0)</f>
        <v/>
      </c>
      <c r="AX591">
        <f>IF(AV591&gt;=$B$21,1,0)</f>
        <v/>
      </c>
    </row>
    <row r="592">
      <c r="A592" t="n">
        <v>519</v>
      </c>
      <c r="B592">
        <f>MATCH(A592-1,$D$61:$D$68,1)</f>
        <v/>
      </c>
      <c r="C592">
        <f>INDEX($G$61:$G$68,B592)</f>
        <v/>
      </c>
      <c r="D592">
        <f>INDEX($L$61:$L$68,B592)</f>
        <v/>
      </c>
      <c r="E592">
        <f>INDEX($M$61:$M$68,B592)</f>
        <v/>
      </c>
      <c r="F592">
        <f>INDEX($N$61:$N$68,B592)</f>
        <v/>
      </c>
      <c r="G592">
        <f>INDEX($AA$61:$AA$68,B592)</f>
        <v/>
      </c>
      <c r="H592">
        <f>INDEX($X$61:$X$68,B592)</f>
        <v/>
      </c>
      <c r="I592">
        <f>INDEX($AF$61:$AF$68,B592)</f>
        <v/>
      </c>
      <c r="J592">
        <f>INDEX($AC$61:$AC$68,B592)</f>
        <v/>
      </c>
      <c r="K592">
        <f>INDEX($AD$61:$AD$68,B592)</f>
        <v/>
      </c>
      <c r="L592">
        <f>INDEX($AG$61:$AG$68,B592)</f>
        <v/>
      </c>
      <c r="M592">
        <f>INDEX($AH$61:$AH$68,B592)</f>
        <v/>
      </c>
      <c r="N592">
        <f>INDEX($AI$61:$AI$68,B592)</f>
        <v/>
      </c>
      <c r="O592">
        <f>O591*$B$26+L592*(1-$B$26)</f>
        <v/>
      </c>
      <c r="P592">
        <f>$B$7*(O592-O591)*(1-AS591)</f>
        <v/>
      </c>
      <c r="Q592">
        <f>M592+0.51274*AT591</f>
        <v/>
      </c>
      <c r="R592">
        <f>N592+0.616*AT591</f>
        <v/>
      </c>
      <c r="S592">
        <f>IF($B$13&gt;=0.6,Q592,IF($B$13&lt;=0.2,R592,R592+2.5*(Q592-R592)*($B$13-0.2)))</f>
        <v/>
      </c>
      <c r="T592">
        <f>IF(A592=1,S592,T591*$B$27+S592*(1-$B$27))</f>
        <v/>
      </c>
      <c r="U592">
        <f>0.6105*EXP(17.27*T592/(T592+237.3))</f>
        <v/>
      </c>
      <c r="V592">
        <f>($B$14*(I592*C592+IF(ABS((D592+0.1)-D592)&lt;0.000000001,4*$B$19*$B$20*(D592+273)^3,$B$19*$B$20*(((D592+0.1)+273)^4-(D592+273)^4)/((D592+0.1)-D592))*D592)+T592/H592)/($B$14*(I592+IF(ABS((D592+0.1)-D592)&lt;0.000000001,4*$B$19*$B$20*(D592+273)^3,$B$19*$B$20*(((D592+0.1)+273)^4-(D592+273)^4)/((D592+0.1)-D592)))+1/H592)</f>
        <v/>
      </c>
      <c r="W592">
        <f>($B$14*(I592*C592+IF(ABS(V592-D592)&lt;0.000000001,4*$B$19*$B$20*(D592+273)^3,$B$19*$B$20*((V592+273)^4-(D592+273)^4)/(V592-D592))*D592)+T592/H592)/($B$14*(I592+IF(ABS(V592-D592)&lt;0.000000001,4*$B$19*$B$20*(D592+273)^3,$B$19*$B$20*((V592+273)^4-(D592+273)^4)/(V592-D592)))+1/H592)</f>
        <v/>
      </c>
      <c r="X592">
        <f>($B$14*(I592*C592+IF(ABS(W592-D592)&lt;0.000000001,4*$B$19*$B$20*(D592+273)^3,$B$19*$B$20*((W592+273)^4-(D592+273)^4)/(W592-D592))*D592)+T592/H592)/($B$14*(I592+IF(ABS(W592-D592)&lt;0.000000001,4*$B$19*$B$20*(D592+273)^3,$B$19*$B$20*((W592+273)^4-(D592+273)^4)/(W592-D592)))+1/H592)</f>
        <v/>
      </c>
      <c r="Y592">
        <f>($B$14*(I592*C592+IF(ABS(X592-D592)&lt;0.000000001,4*$B$19*$B$20*(D592+273)^3,$B$19*$B$20*((X592+273)^4-(D592+273)^4)/(X592-D592))*D592)+T592/H592)/($B$14*(I592+IF(ABS(X592-D592)&lt;0.000000001,4*$B$19*$B$20*(D592+273)^3,$B$19*$B$20*((X592+273)^4-(D592+273)^4)/(X592-D592)))+1/H592)</f>
        <v/>
      </c>
      <c r="Z592">
        <f>IF(ABS(Y592-D592)&lt;0.000000001,4*$B$19*$B$20*(D592+273)^3,$B$19*$B$20*((Y592+273)^4-(D592+273)^4)/(Y592-D592))</f>
        <v/>
      </c>
      <c r="AA592">
        <f>$B$14*I592*(Y592-C592)</f>
        <v/>
      </c>
      <c r="AB592">
        <f>$B$14*Z592*(Y592-D592)</f>
        <v/>
      </c>
      <c r="AC592">
        <f>IF((U592-E592)/G592=0,0.001,(U592-E592)/G592)</f>
        <v/>
      </c>
      <c r="AD592">
        <f>F592-P592-J592-K592-AA592-AB592</f>
        <v/>
      </c>
      <c r="AE592">
        <f>AD592/AC592</f>
        <v/>
      </c>
      <c r="AF592">
        <f>IF(AD592&lt;=0,0,IF(AC592&lt;=0,$B$11,IF(AE592&gt;=1.7,$B$11,MIN(AD592/MAX(0.05,IF(AE592&gt;1,(2-AE592)^2/2,1-AE592^2/2)),$B$11))))</f>
        <v/>
      </c>
      <c r="AG592">
        <f>AG591*$B$28+AF592*(1-$B$28)</f>
        <v/>
      </c>
      <c r="AH592">
        <f>IF(AND(AD592&gt;0,AC592&lt;=0),0,AC592)</f>
        <v/>
      </c>
      <c r="AI592">
        <f>AH592/MAX(AG592,0.000001)</f>
        <v/>
      </c>
      <c r="AJ592">
        <f>MIN(IF(AI592&gt;=0.5,-AI592+SQRT(AI592^2+2),1),$B$12)</f>
        <v/>
      </c>
      <c r="AK592">
        <f>IF(AG592&lt;=0,0,AJ592*AH592)</f>
        <v/>
      </c>
      <c r="AL592">
        <f>IF(AD592&lt;=0,0,AD592)</f>
        <v/>
      </c>
      <c r="AM592">
        <f>AL592-AK592+P592</f>
        <v/>
      </c>
      <c r="AN592">
        <f>((AM592/$B$7+T591*AS591/2-T592*MAX(0.1,MIN(0.3,0.3-0.09*(AR591-36.8)))/2)+AR591*(1-AS591/2))/(1-MAX(0.1,MIN(0.3,0.3-0.09*(AR591-36.8)))/2)</f>
        <v/>
      </c>
      <c r="AO592">
        <f>((AM592/$B$7+T591*AS591/2-T592*MAX(0.1,MIN(0.3,0.3-0.09*(AN592-36.8)))/2)+AR591*(1-AS591/2))/(1-MAX(0.1,MIN(0.3,0.3-0.09*(AN592-36.8)))/2)</f>
        <v/>
      </c>
      <c r="AP592">
        <f>((AM592/$B$7+T591*AS591/2-T592*MAX(0.1,MIN(0.3,0.3-0.09*(AO592-36.8)))/2)+AR591*(1-AS591/2))/(1-MAX(0.1,MIN(0.3,0.3-0.09*(AO592-36.8)))/2)</f>
        <v/>
      </c>
      <c r="AQ592">
        <f>((AM592/$B$7+T591*AS591/2-T592*MAX(0.1,MIN(0.3,0.3-0.09*(AP592-36.8)))/2)+AR591*(1-AS591/2))/(1-MAX(0.1,MIN(0.3,0.3-0.09*(AP592-36.8)))/2)</f>
        <v/>
      </c>
      <c r="AR592">
        <f>((AM592/$B$7+T591*AS591/2-T592*MAX(0.1,MIN(0.3,0.3-0.09*(AQ592-36.8)))/2)+AR591*(1-AS591/2))/(1-MAX(0.1,MIN(0.3,0.3-0.09*(AQ592-36.8)))/2)</f>
        <v/>
      </c>
      <c r="AS592">
        <f>MAX(0.1,MIN(0.3,0.3-0.09*(AR592-36.8)))</f>
        <v/>
      </c>
      <c r="AT592">
        <f>AT591+(2*AR592-1.962*AT591-1.31)/9</f>
        <v/>
      </c>
      <c r="AU592">
        <f>AU591+AG592+K592</f>
        <v/>
      </c>
      <c r="AV592">
        <f>AU592*2.67*$B$6/1.8/60</f>
        <v/>
      </c>
      <c r="AW592">
        <f>IF(AT592&gt;=$B$36,1,0)</f>
        <v/>
      </c>
      <c r="AX592">
        <f>IF(AV592&gt;=$B$21,1,0)</f>
        <v/>
      </c>
    </row>
    <row r="593">
      <c r="A593" t="n">
        <v>520</v>
      </c>
      <c r="B593">
        <f>MATCH(A593-1,$D$61:$D$68,1)</f>
        <v/>
      </c>
      <c r="C593">
        <f>INDEX($G$61:$G$68,B593)</f>
        <v/>
      </c>
      <c r="D593">
        <f>INDEX($L$61:$L$68,B593)</f>
        <v/>
      </c>
      <c r="E593">
        <f>INDEX($M$61:$M$68,B593)</f>
        <v/>
      </c>
      <c r="F593">
        <f>INDEX($N$61:$N$68,B593)</f>
        <v/>
      </c>
      <c r="G593">
        <f>INDEX($AA$61:$AA$68,B593)</f>
        <v/>
      </c>
      <c r="H593">
        <f>INDEX($X$61:$X$68,B593)</f>
        <v/>
      </c>
      <c r="I593">
        <f>INDEX($AF$61:$AF$68,B593)</f>
        <v/>
      </c>
      <c r="J593">
        <f>INDEX($AC$61:$AC$68,B593)</f>
        <v/>
      </c>
      <c r="K593">
        <f>INDEX($AD$61:$AD$68,B593)</f>
        <v/>
      </c>
      <c r="L593">
        <f>INDEX($AG$61:$AG$68,B593)</f>
        <v/>
      </c>
      <c r="M593">
        <f>INDEX($AH$61:$AH$68,B593)</f>
        <v/>
      </c>
      <c r="N593">
        <f>INDEX($AI$61:$AI$68,B593)</f>
        <v/>
      </c>
      <c r="O593">
        <f>O592*$B$26+L593*(1-$B$26)</f>
        <v/>
      </c>
      <c r="P593">
        <f>$B$7*(O593-O592)*(1-AS592)</f>
        <v/>
      </c>
      <c r="Q593">
        <f>M593+0.51274*AT592</f>
        <v/>
      </c>
      <c r="R593">
        <f>N593+0.616*AT592</f>
        <v/>
      </c>
      <c r="S593">
        <f>IF($B$13&gt;=0.6,Q593,IF($B$13&lt;=0.2,R593,R593+2.5*(Q593-R593)*($B$13-0.2)))</f>
        <v/>
      </c>
      <c r="T593">
        <f>IF(A593=1,S593,T592*$B$27+S593*(1-$B$27))</f>
        <v/>
      </c>
      <c r="U593">
        <f>0.6105*EXP(17.27*T593/(T593+237.3))</f>
        <v/>
      </c>
      <c r="V593">
        <f>($B$14*(I593*C593+IF(ABS((D593+0.1)-D593)&lt;0.000000001,4*$B$19*$B$20*(D593+273)^3,$B$19*$B$20*(((D593+0.1)+273)^4-(D593+273)^4)/((D593+0.1)-D593))*D593)+T593/H593)/($B$14*(I593+IF(ABS((D593+0.1)-D593)&lt;0.000000001,4*$B$19*$B$20*(D593+273)^3,$B$19*$B$20*(((D593+0.1)+273)^4-(D593+273)^4)/((D593+0.1)-D593)))+1/H593)</f>
        <v/>
      </c>
      <c r="W593">
        <f>($B$14*(I593*C593+IF(ABS(V593-D593)&lt;0.000000001,4*$B$19*$B$20*(D593+273)^3,$B$19*$B$20*((V593+273)^4-(D593+273)^4)/(V593-D593))*D593)+T593/H593)/($B$14*(I593+IF(ABS(V593-D593)&lt;0.000000001,4*$B$19*$B$20*(D593+273)^3,$B$19*$B$20*((V593+273)^4-(D593+273)^4)/(V593-D593)))+1/H593)</f>
        <v/>
      </c>
      <c r="X593">
        <f>($B$14*(I593*C593+IF(ABS(W593-D593)&lt;0.000000001,4*$B$19*$B$20*(D593+273)^3,$B$19*$B$20*((W593+273)^4-(D593+273)^4)/(W593-D593))*D593)+T593/H593)/($B$14*(I593+IF(ABS(W593-D593)&lt;0.000000001,4*$B$19*$B$20*(D593+273)^3,$B$19*$B$20*((W593+273)^4-(D593+273)^4)/(W593-D593)))+1/H593)</f>
        <v/>
      </c>
      <c r="Y593">
        <f>($B$14*(I593*C593+IF(ABS(X593-D593)&lt;0.000000001,4*$B$19*$B$20*(D593+273)^3,$B$19*$B$20*((X593+273)^4-(D593+273)^4)/(X593-D593))*D593)+T593/H593)/($B$14*(I593+IF(ABS(X593-D593)&lt;0.000000001,4*$B$19*$B$20*(D593+273)^3,$B$19*$B$20*((X593+273)^4-(D593+273)^4)/(X593-D593)))+1/H593)</f>
        <v/>
      </c>
      <c r="Z593">
        <f>IF(ABS(Y593-D593)&lt;0.000000001,4*$B$19*$B$20*(D593+273)^3,$B$19*$B$20*((Y593+273)^4-(D593+273)^4)/(Y593-D593))</f>
        <v/>
      </c>
      <c r="AA593">
        <f>$B$14*I593*(Y593-C593)</f>
        <v/>
      </c>
      <c r="AB593">
        <f>$B$14*Z593*(Y593-D593)</f>
        <v/>
      </c>
      <c r="AC593">
        <f>IF((U593-E593)/G593=0,0.001,(U593-E593)/G593)</f>
        <v/>
      </c>
      <c r="AD593">
        <f>F593-P593-J593-K593-AA593-AB593</f>
        <v/>
      </c>
      <c r="AE593">
        <f>AD593/AC593</f>
        <v/>
      </c>
      <c r="AF593">
        <f>IF(AD593&lt;=0,0,IF(AC593&lt;=0,$B$11,IF(AE593&gt;=1.7,$B$11,MIN(AD593/MAX(0.05,IF(AE593&gt;1,(2-AE593)^2/2,1-AE593^2/2)),$B$11))))</f>
        <v/>
      </c>
      <c r="AG593">
        <f>AG592*$B$28+AF593*(1-$B$28)</f>
        <v/>
      </c>
      <c r="AH593">
        <f>IF(AND(AD593&gt;0,AC593&lt;=0),0,AC593)</f>
        <v/>
      </c>
      <c r="AI593">
        <f>AH593/MAX(AG593,0.000001)</f>
        <v/>
      </c>
      <c r="AJ593">
        <f>MIN(IF(AI593&gt;=0.5,-AI593+SQRT(AI593^2+2),1),$B$12)</f>
        <v/>
      </c>
      <c r="AK593">
        <f>IF(AG593&lt;=0,0,AJ593*AH593)</f>
        <v/>
      </c>
      <c r="AL593">
        <f>IF(AD593&lt;=0,0,AD593)</f>
        <v/>
      </c>
      <c r="AM593">
        <f>AL593-AK593+P593</f>
        <v/>
      </c>
      <c r="AN593">
        <f>((AM593/$B$7+T592*AS592/2-T593*MAX(0.1,MIN(0.3,0.3-0.09*(AR592-36.8)))/2)+AR592*(1-AS592/2))/(1-MAX(0.1,MIN(0.3,0.3-0.09*(AR592-36.8)))/2)</f>
        <v/>
      </c>
      <c r="AO593">
        <f>((AM593/$B$7+T592*AS592/2-T593*MAX(0.1,MIN(0.3,0.3-0.09*(AN593-36.8)))/2)+AR592*(1-AS592/2))/(1-MAX(0.1,MIN(0.3,0.3-0.09*(AN593-36.8)))/2)</f>
        <v/>
      </c>
      <c r="AP593">
        <f>((AM593/$B$7+T592*AS592/2-T593*MAX(0.1,MIN(0.3,0.3-0.09*(AO593-36.8)))/2)+AR592*(1-AS592/2))/(1-MAX(0.1,MIN(0.3,0.3-0.09*(AO593-36.8)))/2)</f>
        <v/>
      </c>
      <c r="AQ593">
        <f>((AM593/$B$7+T592*AS592/2-T593*MAX(0.1,MIN(0.3,0.3-0.09*(AP593-36.8)))/2)+AR592*(1-AS592/2))/(1-MAX(0.1,MIN(0.3,0.3-0.09*(AP593-36.8)))/2)</f>
        <v/>
      </c>
      <c r="AR593">
        <f>((AM593/$B$7+T592*AS592/2-T593*MAX(0.1,MIN(0.3,0.3-0.09*(AQ593-36.8)))/2)+AR592*(1-AS592/2))/(1-MAX(0.1,MIN(0.3,0.3-0.09*(AQ593-36.8)))/2)</f>
        <v/>
      </c>
      <c r="AS593">
        <f>MAX(0.1,MIN(0.3,0.3-0.09*(AR593-36.8)))</f>
        <v/>
      </c>
      <c r="AT593">
        <f>AT592+(2*AR593-1.962*AT592-1.31)/9</f>
        <v/>
      </c>
      <c r="AU593">
        <f>AU592+AG593+K593</f>
        <v/>
      </c>
      <c r="AV593">
        <f>AU593*2.67*$B$6/1.8/60</f>
        <v/>
      </c>
      <c r="AW593">
        <f>IF(AT593&gt;=$B$36,1,0)</f>
        <v/>
      </c>
      <c r="AX593">
        <f>IF(AV593&gt;=$B$21,1,0)</f>
        <v/>
      </c>
    </row>
    <row r="594">
      <c r="A594" t="n">
        <v>521</v>
      </c>
      <c r="B594">
        <f>MATCH(A594-1,$D$61:$D$68,1)</f>
        <v/>
      </c>
      <c r="C594">
        <f>INDEX($G$61:$G$68,B594)</f>
        <v/>
      </c>
      <c r="D594">
        <f>INDEX($L$61:$L$68,B594)</f>
        <v/>
      </c>
      <c r="E594">
        <f>INDEX($M$61:$M$68,B594)</f>
        <v/>
      </c>
      <c r="F594">
        <f>INDEX($N$61:$N$68,B594)</f>
        <v/>
      </c>
      <c r="G594">
        <f>INDEX($AA$61:$AA$68,B594)</f>
        <v/>
      </c>
      <c r="H594">
        <f>INDEX($X$61:$X$68,B594)</f>
        <v/>
      </c>
      <c r="I594">
        <f>INDEX($AF$61:$AF$68,B594)</f>
        <v/>
      </c>
      <c r="J594">
        <f>INDEX($AC$61:$AC$68,B594)</f>
        <v/>
      </c>
      <c r="K594">
        <f>INDEX($AD$61:$AD$68,B594)</f>
        <v/>
      </c>
      <c r="L594">
        <f>INDEX($AG$61:$AG$68,B594)</f>
        <v/>
      </c>
      <c r="M594">
        <f>INDEX($AH$61:$AH$68,B594)</f>
        <v/>
      </c>
      <c r="N594">
        <f>INDEX($AI$61:$AI$68,B594)</f>
        <v/>
      </c>
      <c r="O594">
        <f>O593*$B$26+L594*(1-$B$26)</f>
        <v/>
      </c>
      <c r="P594">
        <f>$B$7*(O594-O593)*(1-AS593)</f>
        <v/>
      </c>
      <c r="Q594">
        <f>M594+0.51274*AT593</f>
        <v/>
      </c>
      <c r="R594">
        <f>N594+0.616*AT593</f>
        <v/>
      </c>
      <c r="S594">
        <f>IF($B$13&gt;=0.6,Q594,IF($B$13&lt;=0.2,R594,R594+2.5*(Q594-R594)*($B$13-0.2)))</f>
        <v/>
      </c>
      <c r="T594">
        <f>IF(A594=1,S594,T593*$B$27+S594*(1-$B$27))</f>
        <v/>
      </c>
      <c r="U594">
        <f>0.6105*EXP(17.27*T594/(T594+237.3))</f>
        <v/>
      </c>
      <c r="V594">
        <f>($B$14*(I594*C594+IF(ABS((D594+0.1)-D594)&lt;0.000000001,4*$B$19*$B$20*(D594+273)^3,$B$19*$B$20*(((D594+0.1)+273)^4-(D594+273)^4)/((D594+0.1)-D594))*D594)+T594/H594)/($B$14*(I594+IF(ABS((D594+0.1)-D594)&lt;0.000000001,4*$B$19*$B$20*(D594+273)^3,$B$19*$B$20*(((D594+0.1)+273)^4-(D594+273)^4)/((D594+0.1)-D594)))+1/H594)</f>
        <v/>
      </c>
      <c r="W594">
        <f>($B$14*(I594*C594+IF(ABS(V594-D594)&lt;0.000000001,4*$B$19*$B$20*(D594+273)^3,$B$19*$B$20*((V594+273)^4-(D594+273)^4)/(V594-D594))*D594)+T594/H594)/($B$14*(I594+IF(ABS(V594-D594)&lt;0.000000001,4*$B$19*$B$20*(D594+273)^3,$B$19*$B$20*((V594+273)^4-(D594+273)^4)/(V594-D594)))+1/H594)</f>
        <v/>
      </c>
      <c r="X594">
        <f>($B$14*(I594*C594+IF(ABS(W594-D594)&lt;0.000000001,4*$B$19*$B$20*(D594+273)^3,$B$19*$B$20*((W594+273)^4-(D594+273)^4)/(W594-D594))*D594)+T594/H594)/($B$14*(I594+IF(ABS(W594-D594)&lt;0.000000001,4*$B$19*$B$20*(D594+273)^3,$B$19*$B$20*((W594+273)^4-(D594+273)^4)/(W594-D594)))+1/H594)</f>
        <v/>
      </c>
      <c r="Y594">
        <f>($B$14*(I594*C594+IF(ABS(X594-D594)&lt;0.000000001,4*$B$19*$B$20*(D594+273)^3,$B$19*$B$20*((X594+273)^4-(D594+273)^4)/(X594-D594))*D594)+T594/H594)/($B$14*(I594+IF(ABS(X594-D594)&lt;0.000000001,4*$B$19*$B$20*(D594+273)^3,$B$19*$B$20*((X594+273)^4-(D594+273)^4)/(X594-D594)))+1/H594)</f>
        <v/>
      </c>
      <c r="Z594">
        <f>IF(ABS(Y594-D594)&lt;0.000000001,4*$B$19*$B$20*(D594+273)^3,$B$19*$B$20*((Y594+273)^4-(D594+273)^4)/(Y594-D594))</f>
        <v/>
      </c>
      <c r="AA594">
        <f>$B$14*I594*(Y594-C594)</f>
        <v/>
      </c>
      <c r="AB594">
        <f>$B$14*Z594*(Y594-D594)</f>
        <v/>
      </c>
      <c r="AC594">
        <f>IF((U594-E594)/G594=0,0.001,(U594-E594)/G594)</f>
        <v/>
      </c>
      <c r="AD594">
        <f>F594-P594-J594-K594-AA594-AB594</f>
        <v/>
      </c>
      <c r="AE594">
        <f>AD594/AC594</f>
        <v/>
      </c>
      <c r="AF594">
        <f>IF(AD594&lt;=0,0,IF(AC594&lt;=0,$B$11,IF(AE594&gt;=1.7,$B$11,MIN(AD594/MAX(0.05,IF(AE594&gt;1,(2-AE594)^2/2,1-AE594^2/2)),$B$11))))</f>
        <v/>
      </c>
      <c r="AG594">
        <f>AG593*$B$28+AF594*(1-$B$28)</f>
        <v/>
      </c>
      <c r="AH594">
        <f>IF(AND(AD594&gt;0,AC594&lt;=0),0,AC594)</f>
        <v/>
      </c>
      <c r="AI594">
        <f>AH594/MAX(AG594,0.000001)</f>
        <v/>
      </c>
      <c r="AJ594">
        <f>MIN(IF(AI594&gt;=0.5,-AI594+SQRT(AI594^2+2),1),$B$12)</f>
        <v/>
      </c>
      <c r="AK594">
        <f>IF(AG594&lt;=0,0,AJ594*AH594)</f>
        <v/>
      </c>
      <c r="AL594">
        <f>IF(AD594&lt;=0,0,AD594)</f>
        <v/>
      </c>
      <c r="AM594">
        <f>AL594-AK594+P594</f>
        <v/>
      </c>
      <c r="AN594">
        <f>((AM594/$B$7+T593*AS593/2-T594*MAX(0.1,MIN(0.3,0.3-0.09*(AR593-36.8)))/2)+AR593*(1-AS593/2))/(1-MAX(0.1,MIN(0.3,0.3-0.09*(AR593-36.8)))/2)</f>
        <v/>
      </c>
      <c r="AO594">
        <f>((AM594/$B$7+T593*AS593/2-T594*MAX(0.1,MIN(0.3,0.3-0.09*(AN594-36.8)))/2)+AR593*(1-AS593/2))/(1-MAX(0.1,MIN(0.3,0.3-0.09*(AN594-36.8)))/2)</f>
        <v/>
      </c>
      <c r="AP594">
        <f>((AM594/$B$7+T593*AS593/2-T594*MAX(0.1,MIN(0.3,0.3-0.09*(AO594-36.8)))/2)+AR593*(1-AS593/2))/(1-MAX(0.1,MIN(0.3,0.3-0.09*(AO594-36.8)))/2)</f>
        <v/>
      </c>
      <c r="AQ594">
        <f>((AM594/$B$7+T593*AS593/2-T594*MAX(0.1,MIN(0.3,0.3-0.09*(AP594-36.8)))/2)+AR593*(1-AS593/2))/(1-MAX(0.1,MIN(0.3,0.3-0.09*(AP594-36.8)))/2)</f>
        <v/>
      </c>
      <c r="AR594">
        <f>((AM594/$B$7+T593*AS593/2-T594*MAX(0.1,MIN(0.3,0.3-0.09*(AQ594-36.8)))/2)+AR593*(1-AS593/2))/(1-MAX(0.1,MIN(0.3,0.3-0.09*(AQ594-36.8)))/2)</f>
        <v/>
      </c>
      <c r="AS594">
        <f>MAX(0.1,MIN(0.3,0.3-0.09*(AR594-36.8)))</f>
        <v/>
      </c>
      <c r="AT594">
        <f>AT593+(2*AR594-1.962*AT593-1.31)/9</f>
        <v/>
      </c>
      <c r="AU594">
        <f>AU593+AG594+K594</f>
        <v/>
      </c>
      <c r="AV594">
        <f>AU594*2.67*$B$6/1.8/60</f>
        <v/>
      </c>
      <c r="AW594">
        <f>IF(AT594&gt;=$B$36,1,0)</f>
        <v/>
      </c>
      <c r="AX594">
        <f>IF(AV594&gt;=$B$21,1,0)</f>
        <v/>
      </c>
    </row>
    <row r="595">
      <c r="A595" t="n">
        <v>522</v>
      </c>
      <c r="B595">
        <f>MATCH(A595-1,$D$61:$D$68,1)</f>
        <v/>
      </c>
      <c r="C595">
        <f>INDEX($G$61:$G$68,B595)</f>
        <v/>
      </c>
      <c r="D595">
        <f>INDEX($L$61:$L$68,B595)</f>
        <v/>
      </c>
      <c r="E595">
        <f>INDEX($M$61:$M$68,B595)</f>
        <v/>
      </c>
      <c r="F595">
        <f>INDEX($N$61:$N$68,B595)</f>
        <v/>
      </c>
      <c r="G595">
        <f>INDEX($AA$61:$AA$68,B595)</f>
        <v/>
      </c>
      <c r="H595">
        <f>INDEX($X$61:$X$68,B595)</f>
        <v/>
      </c>
      <c r="I595">
        <f>INDEX($AF$61:$AF$68,B595)</f>
        <v/>
      </c>
      <c r="J595">
        <f>INDEX($AC$61:$AC$68,B595)</f>
        <v/>
      </c>
      <c r="K595">
        <f>INDEX($AD$61:$AD$68,B595)</f>
        <v/>
      </c>
      <c r="L595">
        <f>INDEX($AG$61:$AG$68,B595)</f>
        <v/>
      </c>
      <c r="M595">
        <f>INDEX($AH$61:$AH$68,B595)</f>
        <v/>
      </c>
      <c r="N595">
        <f>INDEX($AI$61:$AI$68,B595)</f>
        <v/>
      </c>
      <c r="O595">
        <f>O594*$B$26+L595*(1-$B$26)</f>
        <v/>
      </c>
      <c r="P595">
        <f>$B$7*(O595-O594)*(1-AS594)</f>
        <v/>
      </c>
      <c r="Q595">
        <f>M595+0.51274*AT594</f>
        <v/>
      </c>
      <c r="R595">
        <f>N595+0.616*AT594</f>
        <v/>
      </c>
      <c r="S595">
        <f>IF($B$13&gt;=0.6,Q595,IF($B$13&lt;=0.2,R595,R595+2.5*(Q595-R595)*($B$13-0.2)))</f>
        <v/>
      </c>
      <c r="T595">
        <f>IF(A595=1,S595,T594*$B$27+S595*(1-$B$27))</f>
        <v/>
      </c>
      <c r="U595">
        <f>0.6105*EXP(17.27*T595/(T595+237.3))</f>
        <v/>
      </c>
      <c r="V595">
        <f>($B$14*(I595*C595+IF(ABS((D595+0.1)-D595)&lt;0.000000001,4*$B$19*$B$20*(D595+273)^3,$B$19*$B$20*(((D595+0.1)+273)^4-(D595+273)^4)/((D595+0.1)-D595))*D595)+T595/H595)/($B$14*(I595+IF(ABS((D595+0.1)-D595)&lt;0.000000001,4*$B$19*$B$20*(D595+273)^3,$B$19*$B$20*(((D595+0.1)+273)^4-(D595+273)^4)/((D595+0.1)-D595)))+1/H595)</f>
        <v/>
      </c>
      <c r="W595">
        <f>($B$14*(I595*C595+IF(ABS(V595-D595)&lt;0.000000001,4*$B$19*$B$20*(D595+273)^3,$B$19*$B$20*((V595+273)^4-(D595+273)^4)/(V595-D595))*D595)+T595/H595)/($B$14*(I595+IF(ABS(V595-D595)&lt;0.000000001,4*$B$19*$B$20*(D595+273)^3,$B$19*$B$20*((V595+273)^4-(D595+273)^4)/(V595-D595)))+1/H595)</f>
        <v/>
      </c>
      <c r="X595">
        <f>($B$14*(I595*C595+IF(ABS(W595-D595)&lt;0.000000001,4*$B$19*$B$20*(D595+273)^3,$B$19*$B$20*((W595+273)^4-(D595+273)^4)/(W595-D595))*D595)+T595/H595)/($B$14*(I595+IF(ABS(W595-D595)&lt;0.000000001,4*$B$19*$B$20*(D595+273)^3,$B$19*$B$20*((W595+273)^4-(D595+273)^4)/(W595-D595)))+1/H595)</f>
        <v/>
      </c>
      <c r="Y595">
        <f>($B$14*(I595*C595+IF(ABS(X595-D595)&lt;0.000000001,4*$B$19*$B$20*(D595+273)^3,$B$19*$B$20*((X595+273)^4-(D595+273)^4)/(X595-D595))*D595)+T595/H595)/($B$14*(I595+IF(ABS(X595-D595)&lt;0.000000001,4*$B$19*$B$20*(D595+273)^3,$B$19*$B$20*((X595+273)^4-(D595+273)^4)/(X595-D595)))+1/H595)</f>
        <v/>
      </c>
      <c r="Z595">
        <f>IF(ABS(Y595-D595)&lt;0.000000001,4*$B$19*$B$20*(D595+273)^3,$B$19*$B$20*((Y595+273)^4-(D595+273)^4)/(Y595-D595))</f>
        <v/>
      </c>
      <c r="AA595">
        <f>$B$14*I595*(Y595-C595)</f>
        <v/>
      </c>
      <c r="AB595">
        <f>$B$14*Z595*(Y595-D595)</f>
        <v/>
      </c>
      <c r="AC595">
        <f>IF((U595-E595)/G595=0,0.001,(U595-E595)/G595)</f>
        <v/>
      </c>
      <c r="AD595">
        <f>F595-P595-J595-K595-AA595-AB595</f>
        <v/>
      </c>
      <c r="AE595">
        <f>AD595/AC595</f>
        <v/>
      </c>
      <c r="AF595">
        <f>IF(AD595&lt;=0,0,IF(AC595&lt;=0,$B$11,IF(AE595&gt;=1.7,$B$11,MIN(AD595/MAX(0.05,IF(AE595&gt;1,(2-AE595)^2/2,1-AE595^2/2)),$B$11))))</f>
        <v/>
      </c>
      <c r="AG595">
        <f>AG594*$B$28+AF595*(1-$B$28)</f>
        <v/>
      </c>
      <c r="AH595">
        <f>IF(AND(AD595&gt;0,AC595&lt;=0),0,AC595)</f>
        <v/>
      </c>
      <c r="AI595">
        <f>AH595/MAX(AG595,0.000001)</f>
        <v/>
      </c>
      <c r="AJ595">
        <f>MIN(IF(AI595&gt;=0.5,-AI595+SQRT(AI595^2+2),1),$B$12)</f>
        <v/>
      </c>
      <c r="AK595">
        <f>IF(AG595&lt;=0,0,AJ595*AH595)</f>
        <v/>
      </c>
      <c r="AL595">
        <f>IF(AD595&lt;=0,0,AD595)</f>
        <v/>
      </c>
      <c r="AM595">
        <f>AL595-AK595+P595</f>
        <v/>
      </c>
      <c r="AN595">
        <f>((AM595/$B$7+T594*AS594/2-T595*MAX(0.1,MIN(0.3,0.3-0.09*(AR594-36.8)))/2)+AR594*(1-AS594/2))/(1-MAX(0.1,MIN(0.3,0.3-0.09*(AR594-36.8)))/2)</f>
        <v/>
      </c>
      <c r="AO595">
        <f>((AM595/$B$7+T594*AS594/2-T595*MAX(0.1,MIN(0.3,0.3-0.09*(AN595-36.8)))/2)+AR594*(1-AS594/2))/(1-MAX(0.1,MIN(0.3,0.3-0.09*(AN595-36.8)))/2)</f>
        <v/>
      </c>
      <c r="AP595">
        <f>((AM595/$B$7+T594*AS594/2-T595*MAX(0.1,MIN(0.3,0.3-0.09*(AO595-36.8)))/2)+AR594*(1-AS594/2))/(1-MAX(0.1,MIN(0.3,0.3-0.09*(AO595-36.8)))/2)</f>
        <v/>
      </c>
      <c r="AQ595">
        <f>((AM595/$B$7+T594*AS594/2-T595*MAX(0.1,MIN(0.3,0.3-0.09*(AP595-36.8)))/2)+AR594*(1-AS594/2))/(1-MAX(0.1,MIN(0.3,0.3-0.09*(AP595-36.8)))/2)</f>
        <v/>
      </c>
      <c r="AR595">
        <f>((AM595/$B$7+T594*AS594/2-T595*MAX(0.1,MIN(0.3,0.3-0.09*(AQ595-36.8)))/2)+AR594*(1-AS594/2))/(1-MAX(0.1,MIN(0.3,0.3-0.09*(AQ595-36.8)))/2)</f>
        <v/>
      </c>
      <c r="AS595">
        <f>MAX(0.1,MIN(0.3,0.3-0.09*(AR595-36.8)))</f>
        <v/>
      </c>
      <c r="AT595">
        <f>AT594+(2*AR595-1.962*AT594-1.31)/9</f>
        <v/>
      </c>
      <c r="AU595">
        <f>AU594+AG595+K595</f>
        <v/>
      </c>
      <c r="AV595">
        <f>AU595*2.67*$B$6/1.8/60</f>
        <v/>
      </c>
      <c r="AW595">
        <f>IF(AT595&gt;=$B$36,1,0)</f>
        <v/>
      </c>
      <c r="AX595">
        <f>IF(AV595&gt;=$B$21,1,0)</f>
        <v/>
      </c>
    </row>
    <row r="596">
      <c r="A596" t="n">
        <v>523</v>
      </c>
      <c r="B596">
        <f>MATCH(A596-1,$D$61:$D$68,1)</f>
        <v/>
      </c>
      <c r="C596">
        <f>INDEX($G$61:$G$68,B596)</f>
        <v/>
      </c>
      <c r="D596">
        <f>INDEX($L$61:$L$68,B596)</f>
        <v/>
      </c>
      <c r="E596">
        <f>INDEX($M$61:$M$68,B596)</f>
        <v/>
      </c>
      <c r="F596">
        <f>INDEX($N$61:$N$68,B596)</f>
        <v/>
      </c>
      <c r="G596">
        <f>INDEX($AA$61:$AA$68,B596)</f>
        <v/>
      </c>
      <c r="H596">
        <f>INDEX($X$61:$X$68,B596)</f>
        <v/>
      </c>
      <c r="I596">
        <f>INDEX($AF$61:$AF$68,B596)</f>
        <v/>
      </c>
      <c r="J596">
        <f>INDEX($AC$61:$AC$68,B596)</f>
        <v/>
      </c>
      <c r="K596">
        <f>INDEX($AD$61:$AD$68,B596)</f>
        <v/>
      </c>
      <c r="L596">
        <f>INDEX($AG$61:$AG$68,B596)</f>
        <v/>
      </c>
      <c r="M596">
        <f>INDEX($AH$61:$AH$68,B596)</f>
        <v/>
      </c>
      <c r="N596">
        <f>INDEX($AI$61:$AI$68,B596)</f>
        <v/>
      </c>
      <c r="O596">
        <f>O595*$B$26+L596*(1-$B$26)</f>
        <v/>
      </c>
      <c r="P596">
        <f>$B$7*(O596-O595)*(1-AS595)</f>
        <v/>
      </c>
      <c r="Q596">
        <f>M596+0.51274*AT595</f>
        <v/>
      </c>
      <c r="R596">
        <f>N596+0.616*AT595</f>
        <v/>
      </c>
      <c r="S596">
        <f>IF($B$13&gt;=0.6,Q596,IF($B$13&lt;=0.2,R596,R596+2.5*(Q596-R596)*($B$13-0.2)))</f>
        <v/>
      </c>
      <c r="T596">
        <f>IF(A596=1,S596,T595*$B$27+S596*(1-$B$27))</f>
        <v/>
      </c>
      <c r="U596">
        <f>0.6105*EXP(17.27*T596/(T596+237.3))</f>
        <v/>
      </c>
      <c r="V596">
        <f>($B$14*(I596*C596+IF(ABS((D596+0.1)-D596)&lt;0.000000001,4*$B$19*$B$20*(D596+273)^3,$B$19*$B$20*(((D596+0.1)+273)^4-(D596+273)^4)/((D596+0.1)-D596))*D596)+T596/H596)/($B$14*(I596+IF(ABS((D596+0.1)-D596)&lt;0.000000001,4*$B$19*$B$20*(D596+273)^3,$B$19*$B$20*(((D596+0.1)+273)^4-(D596+273)^4)/((D596+0.1)-D596)))+1/H596)</f>
        <v/>
      </c>
      <c r="W596">
        <f>($B$14*(I596*C596+IF(ABS(V596-D596)&lt;0.000000001,4*$B$19*$B$20*(D596+273)^3,$B$19*$B$20*((V596+273)^4-(D596+273)^4)/(V596-D596))*D596)+T596/H596)/($B$14*(I596+IF(ABS(V596-D596)&lt;0.000000001,4*$B$19*$B$20*(D596+273)^3,$B$19*$B$20*((V596+273)^4-(D596+273)^4)/(V596-D596)))+1/H596)</f>
        <v/>
      </c>
      <c r="X596">
        <f>($B$14*(I596*C596+IF(ABS(W596-D596)&lt;0.000000001,4*$B$19*$B$20*(D596+273)^3,$B$19*$B$20*((W596+273)^4-(D596+273)^4)/(W596-D596))*D596)+T596/H596)/($B$14*(I596+IF(ABS(W596-D596)&lt;0.000000001,4*$B$19*$B$20*(D596+273)^3,$B$19*$B$20*((W596+273)^4-(D596+273)^4)/(W596-D596)))+1/H596)</f>
        <v/>
      </c>
      <c r="Y596">
        <f>($B$14*(I596*C596+IF(ABS(X596-D596)&lt;0.000000001,4*$B$19*$B$20*(D596+273)^3,$B$19*$B$20*((X596+273)^4-(D596+273)^4)/(X596-D596))*D596)+T596/H596)/($B$14*(I596+IF(ABS(X596-D596)&lt;0.000000001,4*$B$19*$B$20*(D596+273)^3,$B$19*$B$20*((X596+273)^4-(D596+273)^4)/(X596-D596)))+1/H596)</f>
        <v/>
      </c>
      <c r="Z596">
        <f>IF(ABS(Y596-D596)&lt;0.000000001,4*$B$19*$B$20*(D596+273)^3,$B$19*$B$20*((Y596+273)^4-(D596+273)^4)/(Y596-D596))</f>
        <v/>
      </c>
      <c r="AA596">
        <f>$B$14*I596*(Y596-C596)</f>
        <v/>
      </c>
      <c r="AB596">
        <f>$B$14*Z596*(Y596-D596)</f>
        <v/>
      </c>
      <c r="AC596">
        <f>IF((U596-E596)/G596=0,0.001,(U596-E596)/G596)</f>
        <v/>
      </c>
      <c r="AD596">
        <f>F596-P596-J596-K596-AA596-AB596</f>
        <v/>
      </c>
      <c r="AE596">
        <f>AD596/AC596</f>
        <v/>
      </c>
      <c r="AF596">
        <f>IF(AD596&lt;=0,0,IF(AC596&lt;=0,$B$11,IF(AE596&gt;=1.7,$B$11,MIN(AD596/MAX(0.05,IF(AE596&gt;1,(2-AE596)^2/2,1-AE596^2/2)),$B$11))))</f>
        <v/>
      </c>
      <c r="AG596">
        <f>AG595*$B$28+AF596*(1-$B$28)</f>
        <v/>
      </c>
      <c r="AH596">
        <f>IF(AND(AD596&gt;0,AC596&lt;=0),0,AC596)</f>
        <v/>
      </c>
      <c r="AI596">
        <f>AH596/MAX(AG596,0.000001)</f>
        <v/>
      </c>
      <c r="AJ596">
        <f>MIN(IF(AI596&gt;=0.5,-AI596+SQRT(AI596^2+2),1),$B$12)</f>
        <v/>
      </c>
      <c r="AK596">
        <f>IF(AG596&lt;=0,0,AJ596*AH596)</f>
        <v/>
      </c>
      <c r="AL596">
        <f>IF(AD596&lt;=0,0,AD596)</f>
        <v/>
      </c>
      <c r="AM596">
        <f>AL596-AK596+P596</f>
        <v/>
      </c>
      <c r="AN596">
        <f>((AM596/$B$7+T595*AS595/2-T596*MAX(0.1,MIN(0.3,0.3-0.09*(AR595-36.8)))/2)+AR595*(1-AS595/2))/(1-MAX(0.1,MIN(0.3,0.3-0.09*(AR595-36.8)))/2)</f>
        <v/>
      </c>
      <c r="AO596">
        <f>((AM596/$B$7+T595*AS595/2-T596*MAX(0.1,MIN(0.3,0.3-0.09*(AN596-36.8)))/2)+AR595*(1-AS595/2))/(1-MAX(0.1,MIN(0.3,0.3-0.09*(AN596-36.8)))/2)</f>
        <v/>
      </c>
      <c r="AP596">
        <f>((AM596/$B$7+T595*AS595/2-T596*MAX(0.1,MIN(0.3,0.3-0.09*(AO596-36.8)))/2)+AR595*(1-AS595/2))/(1-MAX(0.1,MIN(0.3,0.3-0.09*(AO596-36.8)))/2)</f>
        <v/>
      </c>
      <c r="AQ596">
        <f>((AM596/$B$7+T595*AS595/2-T596*MAX(0.1,MIN(0.3,0.3-0.09*(AP596-36.8)))/2)+AR595*(1-AS595/2))/(1-MAX(0.1,MIN(0.3,0.3-0.09*(AP596-36.8)))/2)</f>
        <v/>
      </c>
      <c r="AR596">
        <f>((AM596/$B$7+T595*AS595/2-T596*MAX(0.1,MIN(0.3,0.3-0.09*(AQ596-36.8)))/2)+AR595*(1-AS595/2))/(1-MAX(0.1,MIN(0.3,0.3-0.09*(AQ596-36.8)))/2)</f>
        <v/>
      </c>
      <c r="AS596">
        <f>MAX(0.1,MIN(0.3,0.3-0.09*(AR596-36.8)))</f>
        <v/>
      </c>
      <c r="AT596">
        <f>AT595+(2*AR596-1.962*AT595-1.31)/9</f>
        <v/>
      </c>
      <c r="AU596">
        <f>AU595+AG596+K596</f>
        <v/>
      </c>
      <c r="AV596">
        <f>AU596*2.67*$B$6/1.8/60</f>
        <v/>
      </c>
      <c r="AW596">
        <f>IF(AT596&gt;=$B$36,1,0)</f>
        <v/>
      </c>
      <c r="AX596">
        <f>IF(AV596&gt;=$B$21,1,0)</f>
        <v/>
      </c>
    </row>
    <row r="597">
      <c r="A597" t="n">
        <v>524</v>
      </c>
      <c r="B597">
        <f>MATCH(A597-1,$D$61:$D$68,1)</f>
        <v/>
      </c>
      <c r="C597">
        <f>INDEX($G$61:$G$68,B597)</f>
        <v/>
      </c>
      <c r="D597">
        <f>INDEX($L$61:$L$68,B597)</f>
        <v/>
      </c>
      <c r="E597">
        <f>INDEX($M$61:$M$68,B597)</f>
        <v/>
      </c>
      <c r="F597">
        <f>INDEX($N$61:$N$68,B597)</f>
        <v/>
      </c>
      <c r="G597">
        <f>INDEX($AA$61:$AA$68,B597)</f>
        <v/>
      </c>
      <c r="H597">
        <f>INDEX($X$61:$X$68,B597)</f>
        <v/>
      </c>
      <c r="I597">
        <f>INDEX($AF$61:$AF$68,B597)</f>
        <v/>
      </c>
      <c r="J597">
        <f>INDEX($AC$61:$AC$68,B597)</f>
        <v/>
      </c>
      <c r="K597">
        <f>INDEX($AD$61:$AD$68,B597)</f>
        <v/>
      </c>
      <c r="L597">
        <f>INDEX($AG$61:$AG$68,B597)</f>
        <v/>
      </c>
      <c r="M597">
        <f>INDEX($AH$61:$AH$68,B597)</f>
        <v/>
      </c>
      <c r="N597">
        <f>INDEX($AI$61:$AI$68,B597)</f>
        <v/>
      </c>
      <c r="O597">
        <f>O596*$B$26+L597*(1-$B$26)</f>
        <v/>
      </c>
      <c r="P597">
        <f>$B$7*(O597-O596)*(1-AS596)</f>
        <v/>
      </c>
      <c r="Q597">
        <f>M597+0.51274*AT596</f>
        <v/>
      </c>
      <c r="R597">
        <f>N597+0.616*AT596</f>
        <v/>
      </c>
      <c r="S597">
        <f>IF($B$13&gt;=0.6,Q597,IF($B$13&lt;=0.2,R597,R597+2.5*(Q597-R597)*($B$13-0.2)))</f>
        <v/>
      </c>
      <c r="T597">
        <f>IF(A597=1,S597,T596*$B$27+S597*(1-$B$27))</f>
        <v/>
      </c>
      <c r="U597">
        <f>0.6105*EXP(17.27*T597/(T597+237.3))</f>
        <v/>
      </c>
      <c r="V597">
        <f>($B$14*(I597*C597+IF(ABS((D597+0.1)-D597)&lt;0.000000001,4*$B$19*$B$20*(D597+273)^3,$B$19*$B$20*(((D597+0.1)+273)^4-(D597+273)^4)/((D597+0.1)-D597))*D597)+T597/H597)/($B$14*(I597+IF(ABS((D597+0.1)-D597)&lt;0.000000001,4*$B$19*$B$20*(D597+273)^3,$B$19*$B$20*(((D597+0.1)+273)^4-(D597+273)^4)/((D597+0.1)-D597)))+1/H597)</f>
        <v/>
      </c>
      <c r="W597">
        <f>($B$14*(I597*C597+IF(ABS(V597-D597)&lt;0.000000001,4*$B$19*$B$20*(D597+273)^3,$B$19*$B$20*((V597+273)^4-(D597+273)^4)/(V597-D597))*D597)+T597/H597)/($B$14*(I597+IF(ABS(V597-D597)&lt;0.000000001,4*$B$19*$B$20*(D597+273)^3,$B$19*$B$20*((V597+273)^4-(D597+273)^4)/(V597-D597)))+1/H597)</f>
        <v/>
      </c>
      <c r="X597">
        <f>($B$14*(I597*C597+IF(ABS(W597-D597)&lt;0.000000001,4*$B$19*$B$20*(D597+273)^3,$B$19*$B$20*((W597+273)^4-(D597+273)^4)/(W597-D597))*D597)+T597/H597)/($B$14*(I597+IF(ABS(W597-D597)&lt;0.000000001,4*$B$19*$B$20*(D597+273)^3,$B$19*$B$20*((W597+273)^4-(D597+273)^4)/(W597-D597)))+1/H597)</f>
        <v/>
      </c>
      <c r="Y597">
        <f>($B$14*(I597*C597+IF(ABS(X597-D597)&lt;0.000000001,4*$B$19*$B$20*(D597+273)^3,$B$19*$B$20*((X597+273)^4-(D597+273)^4)/(X597-D597))*D597)+T597/H597)/($B$14*(I597+IF(ABS(X597-D597)&lt;0.000000001,4*$B$19*$B$20*(D597+273)^3,$B$19*$B$20*((X597+273)^4-(D597+273)^4)/(X597-D597)))+1/H597)</f>
        <v/>
      </c>
      <c r="Z597">
        <f>IF(ABS(Y597-D597)&lt;0.000000001,4*$B$19*$B$20*(D597+273)^3,$B$19*$B$20*((Y597+273)^4-(D597+273)^4)/(Y597-D597))</f>
        <v/>
      </c>
      <c r="AA597">
        <f>$B$14*I597*(Y597-C597)</f>
        <v/>
      </c>
      <c r="AB597">
        <f>$B$14*Z597*(Y597-D597)</f>
        <v/>
      </c>
      <c r="AC597">
        <f>IF((U597-E597)/G597=0,0.001,(U597-E597)/G597)</f>
        <v/>
      </c>
      <c r="AD597">
        <f>F597-P597-J597-K597-AA597-AB597</f>
        <v/>
      </c>
      <c r="AE597">
        <f>AD597/AC597</f>
        <v/>
      </c>
      <c r="AF597">
        <f>IF(AD597&lt;=0,0,IF(AC597&lt;=0,$B$11,IF(AE597&gt;=1.7,$B$11,MIN(AD597/MAX(0.05,IF(AE597&gt;1,(2-AE597)^2/2,1-AE597^2/2)),$B$11))))</f>
        <v/>
      </c>
      <c r="AG597">
        <f>AG596*$B$28+AF597*(1-$B$28)</f>
        <v/>
      </c>
      <c r="AH597">
        <f>IF(AND(AD597&gt;0,AC597&lt;=0),0,AC597)</f>
        <v/>
      </c>
      <c r="AI597">
        <f>AH597/MAX(AG597,0.000001)</f>
        <v/>
      </c>
      <c r="AJ597">
        <f>MIN(IF(AI597&gt;=0.5,-AI597+SQRT(AI597^2+2),1),$B$12)</f>
        <v/>
      </c>
      <c r="AK597">
        <f>IF(AG597&lt;=0,0,AJ597*AH597)</f>
        <v/>
      </c>
      <c r="AL597">
        <f>IF(AD597&lt;=0,0,AD597)</f>
        <v/>
      </c>
      <c r="AM597">
        <f>AL597-AK597+P597</f>
        <v/>
      </c>
      <c r="AN597">
        <f>((AM597/$B$7+T596*AS596/2-T597*MAX(0.1,MIN(0.3,0.3-0.09*(AR596-36.8)))/2)+AR596*(1-AS596/2))/(1-MAX(0.1,MIN(0.3,0.3-0.09*(AR596-36.8)))/2)</f>
        <v/>
      </c>
      <c r="AO597">
        <f>((AM597/$B$7+T596*AS596/2-T597*MAX(0.1,MIN(0.3,0.3-0.09*(AN597-36.8)))/2)+AR596*(1-AS596/2))/(1-MAX(0.1,MIN(0.3,0.3-0.09*(AN597-36.8)))/2)</f>
        <v/>
      </c>
      <c r="AP597">
        <f>((AM597/$B$7+T596*AS596/2-T597*MAX(0.1,MIN(0.3,0.3-0.09*(AO597-36.8)))/2)+AR596*(1-AS596/2))/(1-MAX(0.1,MIN(0.3,0.3-0.09*(AO597-36.8)))/2)</f>
        <v/>
      </c>
      <c r="AQ597">
        <f>((AM597/$B$7+T596*AS596/2-T597*MAX(0.1,MIN(0.3,0.3-0.09*(AP597-36.8)))/2)+AR596*(1-AS596/2))/(1-MAX(0.1,MIN(0.3,0.3-0.09*(AP597-36.8)))/2)</f>
        <v/>
      </c>
      <c r="AR597">
        <f>((AM597/$B$7+T596*AS596/2-T597*MAX(0.1,MIN(0.3,0.3-0.09*(AQ597-36.8)))/2)+AR596*(1-AS596/2))/(1-MAX(0.1,MIN(0.3,0.3-0.09*(AQ597-36.8)))/2)</f>
        <v/>
      </c>
      <c r="AS597">
        <f>MAX(0.1,MIN(0.3,0.3-0.09*(AR597-36.8)))</f>
        <v/>
      </c>
      <c r="AT597">
        <f>AT596+(2*AR597-1.962*AT596-1.31)/9</f>
        <v/>
      </c>
      <c r="AU597">
        <f>AU596+AG597+K597</f>
        <v/>
      </c>
      <c r="AV597">
        <f>AU597*2.67*$B$6/1.8/60</f>
        <v/>
      </c>
      <c r="AW597">
        <f>IF(AT597&gt;=$B$36,1,0)</f>
        <v/>
      </c>
      <c r="AX597">
        <f>IF(AV597&gt;=$B$21,1,0)</f>
        <v/>
      </c>
    </row>
    <row r="598">
      <c r="A598" t="n">
        <v>525</v>
      </c>
      <c r="B598">
        <f>MATCH(A598-1,$D$61:$D$68,1)</f>
        <v/>
      </c>
      <c r="C598">
        <f>INDEX($G$61:$G$68,B598)</f>
        <v/>
      </c>
      <c r="D598">
        <f>INDEX($L$61:$L$68,B598)</f>
        <v/>
      </c>
      <c r="E598">
        <f>INDEX($M$61:$M$68,B598)</f>
        <v/>
      </c>
      <c r="F598">
        <f>INDEX($N$61:$N$68,B598)</f>
        <v/>
      </c>
      <c r="G598">
        <f>INDEX($AA$61:$AA$68,B598)</f>
        <v/>
      </c>
      <c r="H598">
        <f>INDEX($X$61:$X$68,B598)</f>
        <v/>
      </c>
      <c r="I598">
        <f>INDEX($AF$61:$AF$68,B598)</f>
        <v/>
      </c>
      <c r="J598">
        <f>INDEX($AC$61:$AC$68,B598)</f>
        <v/>
      </c>
      <c r="K598">
        <f>INDEX($AD$61:$AD$68,B598)</f>
        <v/>
      </c>
      <c r="L598">
        <f>INDEX($AG$61:$AG$68,B598)</f>
        <v/>
      </c>
      <c r="M598">
        <f>INDEX($AH$61:$AH$68,B598)</f>
        <v/>
      </c>
      <c r="N598">
        <f>INDEX($AI$61:$AI$68,B598)</f>
        <v/>
      </c>
      <c r="O598">
        <f>O597*$B$26+L598*(1-$B$26)</f>
        <v/>
      </c>
      <c r="P598">
        <f>$B$7*(O598-O597)*(1-AS597)</f>
        <v/>
      </c>
      <c r="Q598">
        <f>M598+0.51274*AT597</f>
        <v/>
      </c>
      <c r="R598">
        <f>N598+0.616*AT597</f>
        <v/>
      </c>
      <c r="S598">
        <f>IF($B$13&gt;=0.6,Q598,IF($B$13&lt;=0.2,R598,R598+2.5*(Q598-R598)*($B$13-0.2)))</f>
        <v/>
      </c>
      <c r="T598">
        <f>IF(A598=1,S598,T597*$B$27+S598*(1-$B$27))</f>
        <v/>
      </c>
      <c r="U598">
        <f>0.6105*EXP(17.27*T598/(T598+237.3))</f>
        <v/>
      </c>
      <c r="V598">
        <f>($B$14*(I598*C598+IF(ABS((D598+0.1)-D598)&lt;0.000000001,4*$B$19*$B$20*(D598+273)^3,$B$19*$B$20*(((D598+0.1)+273)^4-(D598+273)^4)/((D598+0.1)-D598))*D598)+T598/H598)/($B$14*(I598+IF(ABS((D598+0.1)-D598)&lt;0.000000001,4*$B$19*$B$20*(D598+273)^3,$B$19*$B$20*(((D598+0.1)+273)^4-(D598+273)^4)/((D598+0.1)-D598)))+1/H598)</f>
        <v/>
      </c>
      <c r="W598">
        <f>($B$14*(I598*C598+IF(ABS(V598-D598)&lt;0.000000001,4*$B$19*$B$20*(D598+273)^3,$B$19*$B$20*((V598+273)^4-(D598+273)^4)/(V598-D598))*D598)+T598/H598)/($B$14*(I598+IF(ABS(V598-D598)&lt;0.000000001,4*$B$19*$B$20*(D598+273)^3,$B$19*$B$20*((V598+273)^4-(D598+273)^4)/(V598-D598)))+1/H598)</f>
        <v/>
      </c>
      <c r="X598">
        <f>($B$14*(I598*C598+IF(ABS(W598-D598)&lt;0.000000001,4*$B$19*$B$20*(D598+273)^3,$B$19*$B$20*((W598+273)^4-(D598+273)^4)/(W598-D598))*D598)+T598/H598)/($B$14*(I598+IF(ABS(W598-D598)&lt;0.000000001,4*$B$19*$B$20*(D598+273)^3,$B$19*$B$20*((W598+273)^4-(D598+273)^4)/(W598-D598)))+1/H598)</f>
        <v/>
      </c>
      <c r="Y598">
        <f>($B$14*(I598*C598+IF(ABS(X598-D598)&lt;0.000000001,4*$B$19*$B$20*(D598+273)^3,$B$19*$B$20*((X598+273)^4-(D598+273)^4)/(X598-D598))*D598)+T598/H598)/($B$14*(I598+IF(ABS(X598-D598)&lt;0.000000001,4*$B$19*$B$20*(D598+273)^3,$B$19*$B$20*((X598+273)^4-(D598+273)^4)/(X598-D598)))+1/H598)</f>
        <v/>
      </c>
      <c r="Z598">
        <f>IF(ABS(Y598-D598)&lt;0.000000001,4*$B$19*$B$20*(D598+273)^3,$B$19*$B$20*((Y598+273)^4-(D598+273)^4)/(Y598-D598))</f>
        <v/>
      </c>
      <c r="AA598">
        <f>$B$14*I598*(Y598-C598)</f>
        <v/>
      </c>
      <c r="AB598">
        <f>$B$14*Z598*(Y598-D598)</f>
        <v/>
      </c>
      <c r="AC598">
        <f>IF((U598-E598)/G598=0,0.001,(U598-E598)/G598)</f>
        <v/>
      </c>
      <c r="AD598">
        <f>F598-P598-J598-K598-AA598-AB598</f>
        <v/>
      </c>
      <c r="AE598">
        <f>AD598/AC598</f>
        <v/>
      </c>
      <c r="AF598">
        <f>IF(AD598&lt;=0,0,IF(AC598&lt;=0,$B$11,IF(AE598&gt;=1.7,$B$11,MIN(AD598/MAX(0.05,IF(AE598&gt;1,(2-AE598)^2/2,1-AE598^2/2)),$B$11))))</f>
        <v/>
      </c>
      <c r="AG598">
        <f>AG597*$B$28+AF598*(1-$B$28)</f>
        <v/>
      </c>
      <c r="AH598">
        <f>IF(AND(AD598&gt;0,AC598&lt;=0),0,AC598)</f>
        <v/>
      </c>
      <c r="AI598">
        <f>AH598/MAX(AG598,0.000001)</f>
        <v/>
      </c>
      <c r="AJ598">
        <f>MIN(IF(AI598&gt;=0.5,-AI598+SQRT(AI598^2+2),1),$B$12)</f>
        <v/>
      </c>
      <c r="AK598">
        <f>IF(AG598&lt;=0,0,AJ598*AH598)</f>
        <v/>
      </c>
      <c r="AL598">
        <f>IF(AD598&lt;=0,0,AD598)</f>
        <v/>
      </c>
      <c r="AM598">
        <f>AL598-AK598+P598</f>
        <v/>
      </c>
      <c r="AN598">
        <f>((AM598/$B$7+T597*AS597/2-T598*MAX(0.1,MIN(0.3,0.3-0.09*(AR597-36.8)))/2)+AR597*(1-AS597/2))/(1-MAX(0.1,MIN(0.3,0.3-0.09*(AR597-36.8)))/2)</f>
        <v/>
      </c>
      <c r="AO598">
        <f>((AM598/$B$7+T597*AS597/2-T598*MAX(0.1,MIN(0.3,0.3-0.09*(AN598-36.8)))/2)+AR597*(1-AS597/2))/(1-MAX(0.1,MIN(0.3,0.3-0.09*(AN598-36.8)))/2)</f>
        <v/>
      </c>
      <c r="AP598">
        <f>((AM598/$B$7+T597*AS597/2-T598*MAX(0.1,MIN(0.3,0.3-0.09*(AO598-36.8)))/2)+AR597*(1-AS597/2))/(1-MAX(0.1,MIN(0.3,0.3-0.09*(AO598-36.8)))/2)</f>
        <v/>
      </c>
      <c r="AQ598">
        <f>((AM598/$B$7+T597*AS597/2-T598*MAX(0.1,MIN(0.3,0.3-0.09*(AP598-36.8)))/2)+AR597*(1-AS597/2))/(1-MAX(0.1,MIN(0.3,0.3-0.09*(AP598-36.8)))/2)</f>
        <v/>
      </c>
      <c r="AR598">
        <f>((AM598/$B$7+T597*AS597/2-T598*MAX(0.1,MIN(0.3,0.3-0.09*(AQ598-36.8)))/2)+AR597*(1-AS597/2))/(1-MAX(0.1,MIN(0.3,0.3-0.09*(AQ598-36.8)))/2)</f>
        <v/>
      </c>
      <c r="AS598">
        <f>MAX(0.1,MIN(0.3,0.3-0.09*(AR598-36.8)))</f>
        <v/>
      </c>
      <c r="AT598">
        <f>AT597+(2*AR598-1.962*AT597-1.31)/9</f>
        <v/>
      </c>
      <c r="AU598">
        <f>AU597+AG598+K598</f>
        <v/>
      </c>
      <c r="AV598">
        <f>AU598*2.67*$B$6/1.8/60</f>
        <v/>
      </c>
      <c r="AW598">
        <f>IF(AT598&gt;=$B$36,1,0)</f>
        <v/>
      </c>
      <c r="AX598">
        <f>IF(AV598&gt;=$B$21,1,0)</f>
        <v/>
      </c>
    </row>
    <row r="599">
      <c r="A599" t="n">
        <v>526</v>
      </c>
      <c r="B599">
        <f>MATCH(A599-1,$D$61:$D$68,1)</f>
        <v/>
      </c>
      <c r="C599">
        <f>INDEX($G$61:$G$68,B599)</f>
        <v/>
      </c>
      <c r="D599">
        <f>INDEX($L$61:$L$68,B599)</f>
        <v/>
      </c>
      <c r="E599">
        <f>INDEX($M$61:$M$68,B599)</f>
        <v/>
      </c>
      <c r="F599">
        <f>INDEX($N$61:$N$68,B599)</f>
        <v/>
      </c>
      <c r="G599">
        <f>INDEX($AA$61:$AA$68,B599)</f>
        <v/>
      </c>
      <c r="H599">
        <f>INDEX($X$61:$X$68,B599)</f>
        <v/>
      </c>
      <c r="I599">
        <f>INDEX($AF$61:$AF$68,B599)</f>
        <v/>
      </c>
      <c r="J599">
        <f>INDEX($AC$61:$AC$68,B599)</f>
        <v/>
      </c>
      <c r="K599">
        <f>INDEX($AD$61:$AD$68,B599)</f>
        <v/>
      </c>
      <c r="L599">
        <f>INDEX($AG$61:$AG$68,B599)</f>
        <v/>
      </c>
      <c r="M599">
        <f>INDEX($AH$61:$AH$68,B599)</f>
        <v/>
      </c>
      <c r="N599">
        <f>INDEX($AI$61:$AI$68,B599)</f>
        <v/>
      </c>
      <c r="O599">
        <f>O598*$B$26+L599*(1-$B$26)</f>
        <v/>
      </c>
      <c r="P599">
        <f>$B$7*(O599-O598)*(1-AS598)</f>
        <v/>
      </c>
      <c r="Q599">
        <f>M599+0.51274*AT598</f>
        <v/>
      </c>
      <c r="R599">
        <f>N599+0.616*AT598</f>
        <v/>
      </c>
      <c r="S599">
        <f>IF($B$13&gt;=0.6,Q599,IF($B$13&lt;=0.2,R599,R599+2.5*(Q599-R599)*($B$13-0.2)))</f>
        <v/>
      </c>
      <c r="T599">
        <f>IF(A599=1,S599,T598*$B$27+S599*(1-$B$27))</f>
        <v/>
      </c>
      <c r="U599">
        <f>0.6105*EXP(17.27*T599/(T599+237.3))</f>
        <v/>
      </c>
      <c r="V599">
        <f>($B$14*(I599*C599+IF(ABS((D599+0.1)-D599)&lt;0.000000001,4*$B$19*$B$20*(D599+273)^3,$B$19*$B$20*(((D599+0.1)+273)^4-(D599+273)^4)/((D599+0.1)-D599))*D599)+T599/H599)/($B$14*(I599+IF(ABS((D599+0.1)-D599)&lt;0.000000001,4*$B$19*$B$20*(D599+273)^3,$B$19*$B$20*(((D599+0.1)+273)^4-(D599+273)^4)/((D599+0.1)-D599)))+1/H599)</f>
        <v/>
      </c>
      <c r="W599">
        <f>($B$14*(I599*C599+IF(ABS(V599-D599)&lt;0.000000001,4*$B$19*$B$20*(D599+273)^3,$B$19*$B$20*((V599+273)^4-(D599+273)^4)/(V599-D599))*D599)+T599/H599)/($B$14*(I599+IF(ABS(V599-D599)&lt;0.000000001,4*$B$19*$B$20*(D599+273)^3,$B$19*$B$20*((V599+273)^4-(D599+273)^4)/(V599-D599)))+1/H599)</f>
        <v/>
      </c>
      <c r="X599">
        <f>($B$14*(I599*C599+IF(ABS(W599-D599)&lt;0.000000001,4*$B$19*$B$20*(D599+273)^3,$B$19*$B$20*((W599+273)^4-(D599+273)^4)/(W599-D599))*D599)+T599/H599)/($B$14*(I599+IF(ABS(W599-D599)&lt;0.000000001,4*$B$19*$B$20*(D599+273)^3,$B$19*$B$20*((W599+273)^4-(D599+273)^4)/(W599-D599)))+1/H599)</f>
        <v/>
      </c>
      <c r="Y599">
        <f>($B$14*(I599*C599+IF(ABS(X599-D599)&lt;0.000000001,4*$B$19*$B$20*(D599+273)^3,$B$19*$B$20*((X599+273)^4-(D599+273)^4)/(X599-D599))*D599)+T599/H599)/($B$14*(I599+IF(ABS(X599-D599)&lt;0.000000001,4*$B$19*$B$20*(D599+273)^3,$B$19*$B$20*((X599+273)^4-(D599+273)^4)/(X599-D599)))+1/H599)</f>
        <v/>
      </c>
      <c r="Z599">
        <f>IF(ABS(Y599-D599)&lt;0.000000001,4*$B$19*$B$20*(D599+273)^3,$B$19*$B$20*((Y599+273)^4-(D599+273)^4)/(Y599-D599))</f>
        <v/>
      </c>
      <c r="AA599">
        <f>$B$14*I599*(Y599-C599)</f>
        <v/>
      </c>
      <c r="AB599">
        <f>$B$14*Z599*(Y599-D599)</f>
        <v/>
      </c>
      <c r="AC599">
        <f>IF((U599-E599)/G599=0,0.001,(U599-E599)/G599)</f>
        <v/>
      </c>
      <c r="AD599">
        <f>F599-P599-J599-K599-AA599-AB599</f>
        <v/>
      </c>
      <c r="AE599">
        <f>AD599/AC599</f>
        <v/>
      </c>
      <c r="AF599">
        <f>IF(AD599&lt;=0,0,IF(AC599&lt;=0,$B$11,IF(AE599&gt;=1.7,$B$11,MIN(AD599/MAX(0.05,IF(AE599&gt;1,(2-AE599)^2/2,1-AE599^2/2)),$B$11))))</f>
        <v/>
      </c>
      <c r="AG599">
        <f>AG598*$B$28+AF599*(1-$B$28)</f>
        <v/>
      </c>
      <c r="AH599">
        <f>IF(AND(AD599&gt;0,AC599&lt;=0),0,AC599)</f>
        <v/>
      </c>
      <c r="AI599">
        <f>AH599/MAX(AG599,0.000001)</f>
        <v/>
      </c>
      <c r="AJ599">
        <f>MIN(IF(AI599&gt;=0.5,-AI599+SQRT(AI599^2+2),1),$B$12)</f>
        <v/>
      </c>
      <c r="AK599">
        <f>IF(AG599&lt;=0,0,AJ599*AH599)</f>
        <v/>
      </c>
      <c r="AL599">
        <f>IF(AD599&lt;=0,0,AD599)</f>
        <v/>
      </c>
      <c r="AM599">
        <f>AL599-AK599+P599</f>
        <v/>
      </c>
      <c r="AN599">
        <f>((AM599/$B$7+T598*AS598/2-T599*MAX(0.1,MIN(0.3,0.3-0.09*(AR598-36.8)))/2)+AR598*(1-AS598/2))/(1-MAX(0.1,MIN(0.3,0.3-0.09*(AR598-36.8)))/2)</f>
        <v/>
      </c>
      <c r="AO599">
        <f>((AM599/$B$7+T598*AS598/2-T599*MAX(0.1,MIN(0.3,0.3-0.09*(AN599-36.8)))/2)+AR598*(1-AS598/2))/(1-MAX(0.1,MIN(0.3,0.3-0.09*(AN599-36.8)))/2)</f>
        <v/>
      </c>
      <c r="AP599">
        <f>((AM599/$B$7+T598*AS598/2-T599*MAX(0.1,MIN(0.3,0.3-0.09*(AO599-36.8)))/2)+AR598*(1-AS598/2))/(1-MAX(0.1,MIN(0.3,0.3-0.09*(AO599-36.8)))/2)</f>
        <v/>
      </c>
      <c r="AQ599">
        <f>((AM599/$B$7+T598*AS598/2-T599*MAX(0.1,MIN(0.3,0.3-0.09*(AP599-36.8)))/2)+AR598*(1-AS598/2))/(1-MAX(0.1,MIN(0.3,0.3-0.09*(AP599-36.8)))/2)</f>
        <v/>
      </c>
      <c r="AR599">
        <f>((AM599/$B$7+T598*AS598/2-T599*MAX(0.1,MIN(0.3,0.3-0.09*(AQ599-36.8)))/2)+AR598*(1-AS598/2))/(1-MAX(0.1,MIN(0.3,0.3-0.09*(AQ599-36.8)))/2)</f>
        <v/>
      </c>
      <c r="AS599">
        <f>MAX(0.1,MIN(0.3,0.3-0.09*(AR599-36.8)))</f>
        <v/>
      </c>
      <c r="AT599">
        <f>AT598+(2*AR599-1.962*AT598-1.31)/9</f>
        <v/>
      </c>
      <c r="AU599">
        <f>AU598+AG599+K599</f>
        <v/>
      </c>
      <c r="AV599">
        <f>AU599*2.67*$B$6/1.8/60</f>
        <v/>
      </c>
      <c r="AW599">
        <f>IF(AT599&gt;=$B$36,1,0)</f>
        <v/>
      </c>
      <c r="AX599">
        <f>IF(AV599&gt;=$B$21,1,0)</f>
        <v/>
      </c>
    </row>
    <row r="600">
      <c r="A600" t="n">
        <v>527</v>
      </c>
      <c r="B600">
        <f>MATCH(A600-1,$D$61:$D$68,1)</f>
        <v/>
      </c>
      <c r="C600">
        <f>INDEX($G$61:$G$68,B600)</f>
        <v/>
      </c>
      <c r="D600">
        <f>INDEX($L$61:$L$68,B600)</f>
        <v/>
      </c>
      <c r="E600">
        <f>INDEX($M$61:$M$68,B600)</f>
        <v/>
      </c>
      <c r="F600">
        <f>INDEX($N$61:$N$68,B600)</f>
        <v/>
      </c>
      <c r="G600">
        <f>INDEX($AA$61:$AA$68,B600)</f>
        <v/>
      </c>
      <c r="H600">
        <f>INDEX($X$61:$X$68,B600)</f>
        <v/>
      </c>
      <c r="I600">
        <f>INDEX($AF$61:$AF$68,B600)</f>
        <v/>
      </c>
      <c r="J600">
        <f>INDEX($AC$61:$AC$68,B600)</f>
        <v/>
      </c>
      <c r="K600">
        <f>INDEX($AD$61:$AD$68,B600)</f>
        <v/>
      </c>
      <c r="L600">
        <f>INDEX($AG$61:$AG$68,B600)</f>
        <v/>
      </c>
      <c r="M600">
        <f>INDEX($AH$61:$AH$68,B600)</f>
        <v/>
      </c>
      <c r="N600">
        <f>INDEX($AI$61:$AI$68,B600)</f>
        <v/>
      </c>
      <c r="O600">
        <f>O599*$B$26+L600*(1-$B$26)</f>
        <v/>
      </c>
      <c r="P600">
        <f>$B$7*(O600-O599)*(1-AS599)</f>
        <v/>
      </c>
      <c r="Q600">
        <f>M600+0.51274*AT599</f>
        <v/>
      </c>
      <c r="R600">
        <f>N600+0.616*AT599</f>
        <v/>
      </c>
      <c r="S600">
        <f>IF($B$13&gt;=0.6,Q600,IF($B$13&lt;=0.2,R600,R600+2.5*(Q600-R600)*($B$13-0.2)))</f>
        <v/>
      </c>
      <c r="T600">
        <f>IF(A600=1,S600,T599*$B$27+S600*(1-$B$27))</f>
        <v/>
      </c>
      <c r="U600">
        <f>0.6105*EXP(17.27*T600/(T600+237.3))</f>
        <v/>
      </c>
      <c r="V600">
        <f>($B$14*(I600*C600+IF(ABS((D600+0.1)-D600)&lt;0.000000001,4*$B$19*$B$20*(D600+273)^3,$B$19*$B$20*(((D600+0.1)+273)^4-(D600+273)^4)/((D600+0.1)-D600))*D600)+T600/H600)/($B$14*(I600+IF(ABS((D600+0.1)-D600)&lt;0.000000001,4*$B$19*$B$20*(D600+273)^3,$B$19*$B$20*(((D600+0.1)+273)^4-(D600+273)^4)/((D600+0.1)-D600)))+1/H600)</f>
        <v/>
      </c>
      <c r="W600">
        <f>($B$14*(I600*C600+IF(ABS(V600-D600)&lt;0.000000001,4*$B$19*$B$20*(D600+273)^3,$B$19*$B$20*((V600+273)^4-(D600+273)^4)/(V600-D600))*D600)+T600/H600)/($B$14*(I600+IF(ABS(V600-D600)&lt;0.000000001,4*$B$19*$B$20*(D600+273)^3,$B$19*$B$20*((V600+273)^4-(D600+273)^4)/(V600-D600)))+1/H600)</f>
        <v/>
      </c>
      <c r="X600">
        <f>($B$14*(I600*C600+IF(ABS(W600-D600)&lt;0.000000001,4*$B$19*$B$20*(D600+273)^3,$B$19*$B$20*((W600+273)^4-(D600+273)^4)/(W600-D600))*D600)+T600/H600)/($B$14*(I600+IF(ABS(W600-D600)&lt;0.000000001,4*$B$19*$B$20*(D600+273)^3,$B$19*$B$20*((W600+273)^4-(D600+273)^4)/(W600-D600)))+1/H600)</f>
        <v/>
      </c>
      <c r="Y600">
        <f>($B$14*(I600*C600+IF(ABS(X600-D600)&lt;0.000000001,4*$B$19*$B$20*(D600+273)^3,$B$19*$B$20*((X600+273)^4-(D600+273)^4)/(X600-D600))*D600)+T600/H600)/($B$14*(I600+IF(ABS(X600-D600)&lt;0.000000001,4*$B$19*$B$20*(D600+273)^3,$B$19*$B$20*((X600+273)^4-(D600+273)^4)/(X600-D600)))+1/H600)</f>
        <v/>
      </c>
      <c r="Z600">
        <f>IF(ABS(Y600-D600)&lt;0.000000001,4*$B$19*$B$20*(D600+273)^3,$B$19*$B$20*((Y600+273)^4-(D600+273)^4)/(Y600-D600))</f>
        <v/>
      </c>
      <c r="AA600">
        <f>$B$14*I600*(Y600-C600)</f>
        <v/>
      </c>
      <c r="AB600">
        <f>$B$14*Z600*(Y600-D600)</f>
        <v/>
      </c>
      <c r="AC600">
        <f>IF((U600-E600)/G600=0,0.001,(U600-E600)/G600)</f>
        <v/>
      </c>
      <c r="AD600">
        <f>F600-P600-J600-K600-AA600-AB600</f>
        <v/>
      </c>
      <c r="AE600">
        <f>AD600/AC600</f>
        <v/>
      </c>
      <c r="AF600">
        <f>IF(AD600&lt;=0,0,IF(AC600&lt;=0,$B$11,IF(AE600&gt;=1.7,$B$11,MIN(AD600/MAX(0.05,IF(AE600&gt;1,(2-AE600)^2/2,1-AE600^2/2)),$B$11))))</f>
        <v/>
      </c>
      <c r="AG600">
        <f>AG599*$B$28+AF600*(1-$B$28)</f>
        <v/>
      </c>
      <c r="AH600">
        <f>IF(AND(AD600&gt;0,AC600&lt;=0),0,AC600)</f>
        <v/>
      </c>
      <c r="AI600">
        <f>AH600/MAX(AG600,0.000001)</f>
        <v/>
      </c>
      <c r="AJ600">
        <f>MIN(IF(AI600&gt;=0.5,-AI600+SQRT(AI600^2+2),1),$B$12)</f>
        <v/>
      </c>
      <c r="AK600">
        <f>IF(AG600&lt;=0,0,AJ600*AH600)</f>
        <v/>
      </c>
      <c r="AL600">
        <f>IF(AD600&lt;=0,0,AD600)</f>
        <v/>
      </c>
      <c r="AM600">
        <f>AL600-AK600+P600</f>
        <v/>
      </c>
      <c r="AN600">
        <f>((AM600/$B$7+T599*AS599/2-T600*MAX(0.1,MIN(0.3,0.3-0.09*(AR599-36.8)))/2)+AR599*(1-AS599/2))/(1-MAX(0.1,MIN(0.3,0.3-0.09*(AR599-36.8)))/2)</f>
        <v/>
      </c>
      <c r="AO600">
        <f>((AM600/$B$7+T599*AS599/2-T600*MAX(0.1,MIN(0.3,0.3-0.09*(AN600-36.8)))/2)+AR599*(1-AS599/2))/(1-MAX(0.1,MIN(0.3,0.3-0.09*(AN600-36.8)))/2)</f>
        <v/>
      </c>
      <c r="AP600">
        <f>((AM600/$B$7+T599*AS599/2-T600*MAX(0.1,MIN(0.3,0.3-0.09*(AO600-36.8)))/2)+AR599*(1-AS599/2))/(1-MAX(0.1,MIN(0.3,0.3-0.09*(AO600-36.8)))/2)</f>
        <v/>
      </c>
      <c r="AQ600">
        <f>((AM600/$B$7+T599*AS599/2-T600*MAX(0.1,MIN(0.3,0.3-0.09*(AP600-36.8)))/2)+AR599*(1-AS599/2))/(1-MAX(0.1,MIN(0.3,0.3-0.09*(AP600-36.8)))/2)</f>
        <v/>
      </c>
      <c r="AR600">
        <f>((AM600/$B$7+T599*AS599/2-T600*MAX(0.1,MIN(0.3,0.3-0.09*(AQ600-36.8)))/2)+AR599*(1-AS599/2))/(1-MAX(0.1,MIN(0.3,0.3-0.09*(AQ600-36.8)))/2)</f>
        <v/>
      </c>
      <c r="AS600">
        <f>MAX(0.1,MIN(0.3,0.3-0.09*(AR600-36.8)))</f>
        <v/>
      </c>
      <c r="AT600">
        <f>AT599+(2*AR600-1.962*AT599-1.31)/9</f>
        <v/>
      </c>
      <c r="AU600">
        <f>AU599+AG600+K600</f>
        <v/>
      </c>
      <c r="AV600">
        <f>AU600*2.67*$B$6/1.8/60</f>
        <v/>
      </c>
      <c r="AW600">
        <f>IF(AT600&gt;=$B$36,1,0)</f>
        <v/>
      </c>
      <c r="AX600">
        <f>IF(AV600&gt;=$B$21,1,0)</f>
        <v/>
      </c>
    </row>
    <row r="601">
      <c r="A601" t="n">
        <v>528</v>
      </c>
      <c r="B601">
        <f>MATCH(A601-1,$D$61:$D$68,1)</f>
        <v/>
      </c>
      <c r="C601">
        <f>INDEX($G$61:$G$68,B601)</f>
        <v/>
      </c>
      <c r="D601">
        <f>INDEX($L$61:$L$68,B601)</f>
        <v/>
      </c>
      <c r="E601">
        <f>INDEX($M$61:$M$68,B601)</f>
        <v/>
      </c>
      <c r="F601">
        <f>INDEX($N$61:$N$68,B601)</f>
        <v/>
      </c>
      <c r="G601">
        <f>INDEX($AA$61:$AA$68,B601)</f>
        <v/>
      </c>
      <c r="H601">
        <f>INDEX($X$61:$X$68,B601)</f>
        <v/>
      </c>
      <c r="I601">
        <f>INDEX($AF$61:$AF$68,B601)</f>
        <v/>
      </c>
      <c r="J601">
        <f>INDEX($AC$61:$AC$68,B601)</f>
        <v/>
      </c>
      <c r="K601">
        <f>INDEX($AD$61:$AD$68,B601)</f>
        <v/>
      </c>
      <c r="L601">
        <f>INDEX($AG$61:$AG$68,B601)</f>
        <v/>
      </c>
      <c r="M601">
        <f>INDEX($AH$61:$AH$68,B601)</f>
        <v/>
      </c>
      <c r="N601">
        <f>INDEX($AI$61:$AI$68,B601)</f>
        <v/>
      </c>
      <c r="O601">
        <f>O600*$B$26+L601*(1-$B$26)</f>
        <v/>
      </c>
      <c r="P601">
        <f>$B$7*(O601-O600)*(1-AS600)</f>
        <v/>
      </c>
      <c r="Q601">
        <f>M601+0.51274*AT600</f>
        <v/>
      </c>
      <c r="R601">
        <f>N601+0.616*AT600</f>
        <v/>
      </c>
      <c r="S601">
        <f>IF($B$13&gt;=0.6,Q601,IF($B$13&lt;=0.2,R601,R601+2.5*(Q601-R601)*($B$13-0.2)))</f>
        <v/>
      </c>
      <c r="T601">
        <f>IF(A601=1,S601,T600*$B$27+S601*(1-$B$27))</f>
        <v/>
      </c>
      <c r="U601">
        <f>0.6105*EXP(17.27*T601/(T601+237.3))</f>
        <v/>
      </c>
      <c r="V601">
        <f>($B$14*(I601*C601+IF(ABS((D601+0.1)-D601)&lt;0.000000001,4*$B$19*$B$20*(D601+273)^3,$B$19*$B$20*(((D601+0.1)+273)^4-(D601+273)^4)/((D601+0.1)-D601))*D601)+T601/H601)/($B$14*(I601+IF(ABS((D601+0.1)-D601)&lt;0.000000001,4*$B$19*$B$20*(D601+273)^3,$B$19*$B$20*(((D601+0.1)+273)^4-(D601+273)^4)/((D601+0.1)-D601)))+1/H601)</f>
        <v/>
      </c>
      <c r="W601">
        <f>($B$14*(I601*C601+IF(ABS(V601-D601)&lt;0.000000001,4*$B$19*$B$20*(D601+273)^3,$B$19*$B$20*((V601+273)^4-(D601+273)^4)/(V601-D601))*D601)+T601/H601)/($B$14*(I601+IF(ABS(V601-D601)&lt;0.000000001,4*$B$19*$B$20*(D601+273)^3,$B$19*$B$20*((V601+273)^4-(D601+273)^4)/(V601-D601)))+1/H601)</f>
        <v/>
      </c>
      <c r="X601">
        <f>($B$14*(I601*C601+IF(ABS(W601-D601)&lt;0.000000001,4*$B$19*$B$20*(D601+273)^3,$B$19*$B$20*((W601+273)^4-(D601+273)^4)/(W601-D601))*D601)+T601/H601)/($B$14*(I601+IF(ABS(W601-D601)&lt;0.000000001,4*$B$19*$B$20*(D601+273)^3,$B$19*$B$20*((W601+273)^4-(D601+273)^4)/(W601-D601)))+1/H601)</f>
        <v/>
      </c>
      <c r="Y601">
        <f>($B$14*(I601*C601+IF(ABS(X601-D601)&lt;0.000000001,4*$B$19*$B$20*(D601+273)^3,$B$19*$B$20*((X601+273)^4-(D601+273)^4)/(X601-D601))*D601)+T601/H601)/($B$14*(I601+IF(ABS(X601-D601)&lt;0.000000001,4*$B$19*$B$20*(D601+273)^3,$B$19*$B$20*((X601+273)^4-(D601+273)^4)/(X601-D601)))+1/H601)</f>
        <v/>
      </c>
      <c r="Z601">
        <f>IF(ABS(Y601-D601)&lt;0.000000001,4*$B$19*$B$20*(D601+273)^3,$B$19*$B$20*((Y601+273)^4-(D601+273)^4)/(Y601-D601))</f>
        <v/>
      </c>
      <c r="AA601">
        <f>$B$14*I601*(Y601-C601)</f>
        <v/>
      </c>
      <c r="AB601">
        <f>$B$14*Z601*(Y601-D601)</f>
        <v/>
      </c>
      <c r="AC601">
        <f>IF((U601-E601)/G601=0,0.001,(U601-E601)/G601)</f>
        <v/>
      </c>
      <c r="AD601">
        <f>F601-P601-J601-K601-AA601-AB601</f>
        <v/>
      </c>
      <c r="AE601">
        <f>AD601/AC601</f>
        <v/>
      </c>
      <c r="AF601">
        <f>IF(AD601&lt;=0,0,IF(AC601&lt;=0,$B$11,IF(AE601&gt;=1.7,$B$11,MIN(AD601/MAX(0.05,IF(AE601&gt;1,(2-AE601)^2/2,1-AE601^2/2)),$B$11))))</f>
        <v/>
      </c>
      <c r="AG601">
        <f>AG600*$B$28+AF601*(1-$B$28)</f>
        <v/>
      </c>
      <c r="AH601">
        <f>IF(AND(AD601&gt;0,AC601&lt;=0),0,AC601)</f>
        <v/>
      </c>
      <c r="AI601">
        <f>AH601/MAX(AG601,0.000001)</f>
        <v/>
      </c>
      <c r="AJ601">
        <f>MIN(IF(AI601&gt;=0.5,-AI601+SQRT(AI601^2+2),1),$B$12)</f>
        <v/>
      </c>
      <c r="AK601">
        <f>IF(AG601&lt;=0,0,AJ601*AH601)</f>
        <v/>
      </c>
      <c r="AL601">
        <f>IF(AD601&lt;=0,0,AD601)</f>
        <v/>
      </c>
      <c r="AM601">
        <f>AL601-AK601+P601</f>
        <v/>
      </c>
      <c r="AN601">
        <f>((AM601/$B$7+T600*AS600/2-T601*MAX(0.1,MIN(0.3,0.3-0.09*(AR600-36.8)))/2)+AR600*(1-AS600/2))/(1-MAX(0.1,MIN(0.3,0.3-0.09*(AR600-36.8)))/2)</f>
        <v/>
      </c>
      <c r="AO601">
        <f>((AM601/$B$7+T600*AS600/2-T601*MAX(0.1,MIN(0.3,0.3-0.09*(AN601-36.8)))/2)+AR600*(1-AS600/2))/(1-MAX(0.1,MIN(0.3,0.3-0.09*(AN601-36.8)))/2)</f>
        <v/>
      </c>
      <c r="AP601">
        <f>((AM601/$B$7+T600*AS600/2-T601*MAX(0.1,MIN(0.3,0.3-0.09*(AO601-36.8)))/2)+AR600*(1-AS600/2))/(1-MAX(0.1,MIN(0.3,0.3-0.09*(AO601-36.8)))/2)</f>
        <v/>
      </c>
      <c r="AQ601">
        <f>((AM601/$B$7+T600*AS600/2-T601*MAX(0.1,MIN(0.3,0.3-0.09*(AP601-36.8)))/2)+AR600*(1-AS600/2))/(1-MAX(0.1,MIN(0.3,0.3-0.09*(AP601-36.8)))/2)</f>
        <v/>
      </c>
      <c r="AR601">
        <f>((AM601/$B$7+T600*AS600/2-T601*MAX(0.1,MIN(0.3,0.3-0.09*(AQ601-36.8)))/2)+AR600*(1-AS600/2))/(1-MAX(0.1,MIN(0.3,0.3-0.09*(AQ601-36.8)))/2)</f>
        <v/>
      </c>
      <c r="AS601">
        <f>MAX(0.1,MIN(0.3,0.3-0.09*(AR601-36.8)))</f>
        <v/>
      </c>
      <c r="AT601">
        <f>AT600+(2*AR601-1.962*AT600-1.31)/9</f>
        <v/>
      </c>
      <c r="AU601">
        <f>AU600+AG601+K601</f>
        <v/>
      </c>
      <c r="AV601">
        <f>AU601*2.67*$B$6/1.8/60</f>
        <v/>
      </c>
      <c r="AW601">
        <f>IF(AT601&gt;=$B$36,1,0)</f>
        <v/>
      </c>
      <c r="AX601">
        <f>IF(AV601&gt;=$B$21,1,0)</f>
        <v/>
      </c>
    </row>
    <row r="602">
      <c r="A602" t="n">
        <v>529</v>
      </c>
      <c r="B602">
        <f>MATCH(A602-1,$D$61:$D$68,1)</f>
        <v/>
      </c>
      <c r="C602">
        <f>INDEX($G$61:$G$68,B602)</f>
        <v/>
      </c>
      <c r="D602">
        <f>INDEX($L$61:$L$68,B602)</f>
        <v/>
      </c>
      <c r="E602">
        <f>INDEX($M$61:$M$68,B602)</f>
        <v/>
      </c>
      <c r="F602">
        <f>INDEX($N$61:$N$68,B602)</f>
        <v/>
      </c>
      <c r="G602">
        <f>INDEX($AA$61:$AA$68,B602)</f>
        <v/>
      </c>
      <c r="H602">
        <f>INDEX($X$61:$X$68,B602)</f>
        <v/>
      </c>
      <c r="I602">
        <f>INDEX($AF$61:$AF$68,B602)</f>
        <v/>
      </c>
      <c r="J602">
        <f>INDEX($AC$61:$AC$68,B602)</f>
        <v/>
      </c>
      <c r="K602">
        <f>INDEX($AD$61:$AD$68,B602)</f>
        <v/>
      </c>
      <c r="L602">
        <f>INDEX($AG$61:$AG$68,B602)</f>
        <v/>
      </c>
      <c r="M602">
        <f>INDEX($AH$61:$AH$68,B602)</f>
        <v/>
      </c>
      <c r="N602">
        <f>INDEX($AI$61:$AI$68,B602)</f>
        <v/>
      </c>
      <c r="O602">
        <f>O601*$B$26+L602*(1-$B$26)</f>
        <v/>
      </c>
      <c r="P602">
        <f>$B$7*(O602-O601)*(1-AS601)</f>
        <v/>
      </c>
      <c r="Q602">
        <f>M602+0.51274*AT601</f>
        <v/>
      </c>
      <c r="R602">
        <f>N602+0.616*AT601</f>
        <v/>
      </c>
      <c r="S602">
        <f>IF($B$13&gt;=0.6,Q602,IF($B$13&lt;=0.2,R602,R602+2.5*(Q602-R602)*($B$13-0.2)))</f>
        <v/>
      </c>
      <c r="T602">
        <f>IF(A602=1,S602,T601*$B$27+S602*(1-$B$27))</f>
        <v/>
      </c>
      <c r="U602">
        <f>0.6105*EXP(17.27*T602/(T602+237.3))</f>
        <v/>
      </c>
      <c r="V602">
        <f>($B$14*(I602*C602+IF(ABS((D602+0.1)-D602)&lt;0.000000001,4*$B$19*$B$20*(D602+273)^3,$B$19*$B$20*(((D602+0.1)+273)^4-(D602+273)^4)/((D602+0.1)-D602))*D602)+T602/H602)/($B$14*(I602+IF(ABS((D602+0.1)-D602)&lt;0.000000001,4*$B$19*$B$20*(D602+273)^3,$B$19*$B$20*(((D602+0.1)+273)^4-(D602+273)^4)/((D602+0.1)-D602)))+1/H602)</f>
        <v/>
      </c>
      <c r="W602">
        <f>($B$14*(I602*C602+IF(ABS(V602-D602)&lt;0.000000001,4*$B$19*$B$20*(D602+273)^3,$B$19*$B$20*((V602+273)^4-(D602+273)^4)/(V602-D602))*D602)+T602/H602)/($B$14*(I602+IF(ABS(V602-D602)&lt;0.000000001,4*$B$19*$B$20*(D602+273)^3,$B$19*$B$20*((V602+273)^4-(D602+273)^4)/(V602-D602)))+1/H602)</f>
        <v/>
      </c>
      <c r="X602">
        <f>($B$14*(I602*C602+IF(ABS(W602-D602)&lt;0.000000001,4*$B$19*$B$20*(D602+273)^3,$B$19*$B$20*((W602+273)^4-(D602+273)^4)/(W602-D602))*D602)+T602/H602)/($B$14*(I602+IF(ABS(W602-D602)&lt;0.000000001,4*$B$19*$B$20*(D602+273)^3,$B$19*$B$20*((W602+273)^4-(D602+273)^4)/(W602-D602)))+1/H602)</f>
        <v/>
      </c>
      <c r="Y602">
        <f>($B$14*(I602*C602+IF(ABS(X602-D602)&lt;0.000000001,4*$B$19*$B$20*(D602+273)^3,$B$19*$B$20*((X602+273)^4-(D602+273)^4)/(X602-D602))*D602)+T602/H602)/($B$14*(I602+IF(ABS(X602-D602)&lt;0.000000001,4*$B$19*$B$20*(D602+273)^3,$B$19*$B$20*((X602+273)^4-(D602+273)^4)/(X602-D602)))+1/H602)</f>
        <v/>
      </c>
      <c r="Z602">
        <f>IF(ABS(Y602-D602)&lt;0.000000001,4*$B$19*$B$20*(D602+273)^3,$B$19*$B$20*((Y602+273)^4-(D602+273)^4)/(Y602-D602))</f>
        <v/>
      </c>
      <c r="AA602">
        <f>$B$14*I602*(Y602-C602)</f>
        <v/>
      </c>
      <c r="AB602">
        <f>$B$14*Z602*(Y602-D602)</f>
        <v/>
      </c>
      <c r="AC602">
        <f>IF((U602-E602)/G602=0,0.001,(U602-E602)/G602)</f>
        <v/>
      </c>
      <c r="AD602">
        <f>F602-P602-J602-K602-AA602-AB602</f>
        <v/>
      </c>
      <c r="AE602">
        <f>AD602/AC602</f>
        <v/>
      </c>
      <c r="AF602">
        <f>IF(AD602&lt;=0,0,IF(AC602&lt;=0,$B$11,IF(AE602&gt;=1.7,$B$11,MIN(AD602/MAX(0.05,IF(AE602&gt;1,(2-AE602)^2/2,1-AE602^2/2)),$B$11))))</f>
        <v/>
      </c>
      <c r="AG602">
        <f>AG601*$B$28+AF602*(1-$B$28)</f>
        <v/>
      </c>
      <c r="AH602">
        <f>IF(AND(AD602&gt;0,AC602&lt;=0),0,AC602)</f>
        <v/>
      </c>
      <c r="AI602">
        <f>AH602/MAX(AG602,0.000001)</f>
        <v/>
      </c>
      <c r="AJ602">
        <f>MIN(IF(AI602&gt;=0.5,-AI602+SQRT(AI602^2+2),1),$B$12)</f>
        <v/>
      </c>
      <c r="AK602">
        <f>IF(AG602&lt;=0,0,AJ602*AH602)</f>
        <v/>
      </c>
      <c r="AL602">
        <f>IF(AD602&lt;=0,0,AD602)</f>
        <v/>
      </c>
      <c r="AM602">
        <f>AL602-AK602+P602</f>
        <v/>
      </c>
      <c r="AN602">
        <f>((AM602/$B$7+T601*AS601/2-T602*MAX(0.1,MIN(0.3,0.3-0.09*(AR601-36.8)))/2)+AR601*(1-AS601/2))/(1-MAX(0.1,MIN(0.3,0.3-0.09*(AR601-36.8)))/2)</f>
        <v/>
      </c>
      <c r="AO602">
        <f>((AM602/$B$7+T601*AS601/2-T602*MAX(0.1,MIN(0.3,0.3-0.09*(AN602-36.8)))/2)+AR601*(1-AS601/2))/(1-MAX(0.1,MIN(0.3,0.3-0.09*(AN602-36.8)))/2)</f>
        <v/>
      </c>
      <c r="AP602">
        <f>((AM602/$B$7+T601*AS601/2-T602*MAX(0.1,MIN(0.3,0.3-0.09*(AO602-36.8)))/2)+AR601*(1-AS601/2))/(1-MAX(0.1,MIN(0.3,0.3-0.09*(AO602-36.8)))/2)</f>
        <v/>
      </c>
      <c r="AQ602">
        <f>((AM602/$B$7+T601*AS601/2-T602*MAX(0.1,MIN(0.3,0.3-0.09*(AP602-36.8)))/2)+AR601*(1-AS601/2))/(1-MAX(0.1,MIN(0.3,0.3-0.09*(AP602-36.8)))/2)</f>
        <v/>
      </c>
      <c r="AR602">
        <f>((AM602/$B$7+T601*AS601/2-T602*MAX(0.1,MIN(0.3,0.3-0.09*(AQ602-36.8)))/2)+AR601*(1-AS601/2))/(1-MAX(0.1,MIN(0.3,0.3-0.09*(AQ602-36.8)))/2)</f>
        <v/>
      </c>
      <c r="AS602">
        <f>MAX(0.1,MIN(0.3,0.3-0.09*(AR602-36.8)))</f>
        <v/>
      </c>
      <c r="AT602">
        <f>AT601+(2*AR602-1.962*AT601-1.31)/9</f>
        <v/>
      </c>
      <c r="AU602">
        <f>AU601+AG602+K602</f>
        <v/>
      </c>
      <c r="AV602">
        <f>AU602*2.67*$B$6/1.8/60</f>
        <v/>
      </c>
      <c r="AW602">
        <f>IF(AT602&gt;=$B$36,1,0)</f>
        <v/>
      </c>
      <c r="AX602">
        <f>IF(AV602&gt;=$B$21,1,0)</f>
        <v/>
      </c>
    </row>
    <row r="603">
      <c r="A603" t="n">
        <v>530</v>
      </c>
      <c r="B603">
        <f>MATCH(A603-1,$D$61:$D$68,1)</f>
        <v/>
      </c>
      <c r="C603">
        <f>INDEX($G$61:$G$68,B603)</f>
        <v/>
      </c>
      <c r="D603">
        <f>INDEX($L$61:$L$68,B603)</f>
        <v/>
      </c>
      <c r="E603">
        <f>INDEX($M$61:$M$68,B603)</f>
        <v/>
      </c>
      <c r="F603">
        <f>INDEX($N$61:$N$68,B603)</f>
        <v/>
      </c>
      <c r="G603">
        <f>INDEX($AA$61:$AA$68,B603)</f>
        <v/>
      </c>
      <c r="H603">
        <f>INDEX($X$61:$X$68,B603)</f>
        <v/>
      </c>
      <c r="I603">
        <f>INDEX($AF$61:$AF$68,B603)</f>
        <v/>
      </c>
      <c r="J603">
        <f>INDEX($AC$61:$AC$68,B603)</f>
        <v/>
      </c>
      <c r="K603">
        <f>INDEX($AD$61:$AD$68,B603)</f>
        <v/>
      </c>
      <c r="L603">
        <f>INDEX($AG$61:$AG$68,B603)</f>
        <v/>
      </c>
      <c r="M603">
        <f>INDEX($AH$61:$AH$68,B603)</f>
        <v/>
      </c>
      <c r="N603">
        <f>INDEX($AI$61:$AI$68,B603)</f>
        <v/>
      </c>
      <c r="O603">
        <f>O602*$B$26+L603*(1-$B$26)</f>
        <v/>
      </c>
      <c r="P603">
        <f>$B$7*(O603-O602)*(1-AS602)</f>
        <v/>
      </c>
      <c r="Q603">
        <f>M603+0.51274*AT602</f>
        <v/>
      </c>
      <c r="R603">
        <f>N603+0.616*AT602</f>
        <v/>
      </c>
      <c r="S603">
        <f>IF($B$13&gt;=0.6,Q603,IF($B$13&lt;=0.2,R603,R603+2.5*(Q603-R603)*($B$13-0.2)))</f>
        <v/>
      </c>
      <c r="T603">
        <f>IF(A603=1,S603,T602*$B$27+S603*(1-$B$27))</f>
        <v/>
      </c>
      <c r="U603">
        <f>0.6105*EXP(17.27*T603/(T603+237.3))</f>
        <v/>
      </c>
      <c r="V603">
        <f>($B$14*(I603*C603+IF(ABS((D603+0.1)-D603)&lt;0.000000001,4*$B$19*$B$20*(D603+273)^3,$B$19*$B$20*(((D603+0.1)+273)^4-(D603+273)^4)/((D603+0.1)-D603))*D603)+T603/H603)/($B$14*(I603+IF(ABS((D603+0.1)-D603)&lt;0.000000001,4*$B$19*$B$20*(D603+273)^3,$B$19*$B$20*(((D603+0.1)+273)^4-(D603+273)^4)/((D603+0.1)-D603)))+1/H603)</f>
        <v/>
      </c>
      <c r="W603">
        <f>($B$14*(I603*C603+IF(ABS(V603-D603)&lt;0.000000001,4*$B$19*$B$20*(D603+273)^3,$B$19*$B$20*((V603+273)^4-(D603+273)^4)/(V603-D603))*D603)+T603/H603)/($B$14*(I603+IF(ABS(V603-D603)&lt;0.000000001,4*$B$19*$B$20*(D603+273)^3,$B$19*$B$20*((V603+273)^4-(D603+273)^4)/(V603-D603)))+1/H603)</f>
        <v/>
      </c>
      <c r="X603">
        <f>($B$14*(I603*C603+IF(ABS(W603-D603)&lt;0.000000001,4*$B$19*$B$20*(D603+273)^3,$B$19*$B$20*((W603+273)^4-(D603+273)^4)/(W603-D603))*D603)+T603/H603)/($B$14*(I603+IF(ABS(W603-D603)&lt;0.000000001,4*$B$19*$B$20*(D603+273)^3,$B$19*$B$20*((W603+273)^4-(D603+273)^4)/(W603-D603)))+1/H603)</f>
        <v/>
      </c>
      <c r="Y603">
        <f>($B$14*(I603*C603+IF(ABS(X603-D603)&lt;0.000000001,4*$B$19*$B$20*(D603+273)^3,$B$19*$B$20*((X603+273)^4-(D603+273)^4)/(X603-D603))*D603)+T603/H603)/($B$14*(I603+IF(ABS(X603-D603)&lt;0.000000001,4*$B$19*$B$20*(D603+273)^3,$B$19*$B$20*((X603+273)^4-(D603+273)^4)/(X603-D603)))+1/H603)</f>
        <v/>
      </c>
      <c r="Z603">
        <f>IF(ABS(Y603-D603)&lt;0.000000001,4*$B$19*$B$20*(D603+273)^3,$B$19*$B$20*((Y603+273)^4-(D603+273)^4)/(Y603-D603))</f>
        <v/>
      </c>
      <c r="AA603">
        <f>$B$14*I603*(Y603-C603)</f>
        <v/>
      </c>
      <c r="AB603">
        <f>$B$14*Z603*(Y603-D603)</f>
        <v/>
      </c>
      <c r="AC603">
        <f>IF((U603-E603)/G603=0,0.001,(U603-E603)/G603)</f>
        <v/>
      </c>
      <c r="AD603">
        <f>F603-P603-J603-K603-AA603-AB603</f>
        <v/>
      </c>
      <c r="AE603">
        <f>AD603/AC603</f>
        <v/>
      </c>
      <c r="AF603">
        <f>IF(AD603&lt;=0,0,IF(AC603&lt;=0,$B$11,IF(AE603&gt;=1.7,$B$11,MIN(AD603/MAX(0.05,IF(AE603&gt;1,(2-AE603)^2/2,1-AE603^2/2)),$B$11))))</f>
        <v/>
      </c>
      <c r="AG603">
        <f>AG602*$B$28+AF603*(1-$B$28)</f>
        <v/>
      </c>
      <c r="AH603">
        <f>IF(AND(AD603&gt;0,AC603&lt;=0),0,AC603)</f>
        <v/>
      </c>
      <c r="AI603">
        <f>AH603/MAX(AG603,0.000001)</f>
        <v/>
      </c>
      <c r="AJ603">
        <f>MIN(IF(AI603&gt;=0.5,-AI603+SQRT(AI603^2+2),1),$B$12)</f>
        <v/>
      </c>
      <c r="AK603">
        <f>IF(AG603&lt;=0,0,AJ603*AH603)</f>
        <v/>
      </c>
      <c r="AL603">
        <f>IF(AD603&lt;=0,0,AD603)</f>
        <v/>
      </c>
      <c r="AM603">
        <f>AL603-AK603+P603</f>
        <v/>
      </c>
      <c r="AN603">
        <f>((AM603/$B$7+T602*AS602/2-T603*MAX(0.1,MIN(0.3,0.3-0.09*(AR602-36.8)))/2)+AR602*(1-AS602/2))/(1-MAX(0.1,MIN(0.3,0.3-0.09*(AR602-36.8)))/2)</f>
        <v/>
      </c>
      <c r="AO603">
        <f>((AM603/$B$7+T602*AS602/2-T603*MAX(0.1,MIN(0.3,0.3-0.09*(AN603-36.8)))/2)+AR602*(1-AS602/2))/(1-MAX(0.1,MIN(0.3,0.3-0.09*(AN603-36.8)))/2)</f>
        <v/>
      </c>
      <c r="AP603">
        <f>((AM603/$B$7+T602*AS602/2-T603*MAX(0.1,MIN(0.3,0.3-0.09*(AO603-36.8)))/2)+AR602*(1-AS602/2))/(1-MAX(0.1,MIN(0.3,0.3-0.09*(AO603-36.8)))/2)</f>
        <v/>
      </c>
      <c r="AQ603">
        <f>((AM603/$B$7+T602*AS602/2-T603*MAX(0.1,MIN(0.3,0.3-0.09*(AP603-36.8)))/2)+AR602*(1-AS602/2))/(1-MAX(0.1,MIN(0.3,0.3-0.09*(AP603-36.8)))/2)</f>
        <v/>
      </c>
      <c r="AR603">
        <f>((AM603/$B$7+T602*AS602/2-T603*MAX(0.1,MIN(0.3,0.3-0.09*(AQ603-36.8)))/2)+AR602*(1-AS602/2))/(1-MAX(0.1,MIN(0.3,0.3-0.09*(AQ603-36.8)))/2)</f>
        <v/>
      </c>
      <c r="AS603">
        <f>MAX(0.1,MIN(0.3,0.3-0.09*(AR603-36.8)))</f>
        <v/>
      </c>
      <c r="AT603">
        <f>AT602+(2*AR603-1.962*AT602-1.31)/9</f>
        <v/>
      </c>
      <c r="AU603">
        <f>AU602+AG603+K603</f>
        <v/>
      </c>
      <c r="AV603">
        <f>AU603*2.67*$B$6/1.8/60</f>
        <v/>
      </c>
      <c r="AW603">
        <f>IF(AT603&gt;=$B$36,1,0)</f>
        <v/>
      </c>
      <c r="AX603">
        <f>IF(AV603&gt;=$B$21,1,0)</f>
        <v/>
      </c>
    </row>
    <row r="604">
      <c r="A604" t="n">
        <v>531</v>
      </c>
      <c r="B604">
        <f>MATCH(A604-1,$D$61:$D$68,1)</f>
        <v/>
      </c>
      <c r="C604">
        <f>INDEX($G$61:$G$68,B604)</f>
        <v/>
      </c>
      <c r="D604">
        <f>INDEX($L$61:$L$68,B604)</f>
        <v/>
      </c>
      <c r="E604">
        <f>INDEX($M$61:$M$68,B604)</f>
        <v/>
      </c>
      <c r="F604">
        <f>INDEX($N$61:$N$68,B604)</f>
        <v/>
      </c>
      <c r="G604">
        <f>INDEX($AA$61:$AA$68,B604)</f>
        <v/>
      </c>
      <c r="H604">
        <f>INDEX($X$61:$X$68,B604)</f>
        <v/>
      </c>
      <c r="I604">
        <f>INDEX($AF$61:$AF$68,B604)</f>
        <v/>
      </c>
      <c r="J604">
        <f>INDEX($AC$61:$AC$68,B604)</f>
        <v/>
      </c>
      <c r="K604">
        <f>INDEX($AD$61:$AD$68,B604)</f>
        <v/>
      </c>
      <c r="L604">
        <f>INDEX($AG$61:$AG$68,B604)</f>
        <v/>
      </c>
      <c r="M604">
        <f>INDEX($AH$61:$AH$68,B604)</f>
        <v/>
      </c>
      <c r="N604">
        <f>INDEX($AI$61:$AI$68,B604)</f>
        <v/>
      </c>
      <c r="O604">
        <f>O603*$B$26+L604*(1-$B$26)</f>
        <v/>
      </c>
      <c r="P604">
        <f>$B$7*(O604-O603)*(1-AS603)</f>
        <v/>
      </c>
      <c r="Q604">
        <f>M604+0.51274*AT603</f>
        <v/>
      </c>
      <c r="R604">
        <f>N604+0.616*AT603</f>
        <v/>
      </c>
      <c r="S604">
        <f>IF($B$13&gt;=0.6,Q604,IF($B$13&lt;=0.2,R604,R604+2.5*(Q604-R604)*($B$13-0.2)))</f>
        <v/>
      </c>
      <c r="T604">
        <f>IF(A604=1,S604,T603*$B$27+S604*(1-$B$27))</f>
        <v/>
      </c>
      <c r="U604">
        <f>0.6105*EXP(17.27*T604/(T604+237.3))</f>
        <v/>
      </c>
      <c r="V604">
        <f>($B$14*(I604*C604+IF(ABS((D604+0.1)-D604)&lt;0.000000001,4*$B$19*$B$20*(D604+273)^3,$B$19*$B$20*(((D604+0.1)+273)^4-(D604+273)^4)/((D604+0.1)-D604))*D604)+T604/H604)/($B$14*(I604+IF(ABS((D604+0.1)-D604)&lt;0.000000001,4*$B$19*$B$20*(D604+273)^3,$B$19*$B$20*(((D604+0.1)+273)^4-(D604+273)^4)/((D604+0.1)-D604)))+1/H604)</f>
        <v/>
      </c>
      <c r="W604">
        <f>($B$14*(I604*C604+IF(ABS(V604-D604)&lt;0.000000001,4*$B$19*$B$20*(D604+273)^3,$B$19*$B$20*((V604+273)^4-(D604+273)^4)/(V604-D604))*D604)+T604/H604)/($B$14*(I604+IF(ABS(V604-D604)&lt;0.000000001,4*$B$19*$B$20*(D604+273)^3,$B$19*$B$20*((V604+273)^4-(D604+273)^4)/(V604-D604)))+1/H604)</f>
        <v/>
      </c>
      <c r="X604">
        <f>($B$14*(I604*C604+IF(ABS(W604-D604)&lt;0.000000001,4*$B$19*$B$20*(D604+273)^3,$B$19*$B$20*((W604+273)^4-(D604+273)^4)/(W604-D604))*D604)+T604/H604)/($B$14*(I604+IF(ABS(W604-D604)&lt;0.000000001,4*$B$19*$B$20*(D604+273)^3,$B$19*$B$20*((W604+273)^4-(D604+273)^4)/(W604-D604)))+1/H604)</f>
        <v/>
      </c>
      <c r="Y604">
        <f>($B$14*(I604*C604+IF(ABS(X604-D604)&lt;0.000000001,4*$B$19*$B$20*(D604+273)^3,$B$19*$B$20*((X604+273)^4-(D604+273)^4)/(X604-D604))*D604)+T604/H604)/($B$14*(I604+IF(ABS(X604-D604)&lt;0.000000001,4*$B$19*$B$20*(D604+273)^3,$B$19*$B$20*((X604+273)^4-(D604+273)^4)/(X604-D604)))+1/H604)</f>
        <v/>
      </c>
      <c r="Z604">
        <f>IF(ABS(Y604-D604)&lt;0.000000001,4*$B$19*$B$20*(D604+273)^3,$B$19*$B$20*((Y604+273)^4-(D604+273)^4)/(Y604-D604))</f>
        <v/>
      </c>
      <c r="AA604">
        <f>$B$14*I604*(Y604-C604)</f>
        <v/>
      </c>
      <c r="AB604">
        <f>$B$14*Z604*(Y604-D604)</f>
        <v/>
      </c>
      <c r="AC604">
        <f>IF((U604-E604)/G604=0,0.001,(U604-E604)/G604)</f>
        <v/>
      </c>
      <c r="AD604">
        <f>F604-P604-J604-K604-AA604-AB604</f>
        <v/>
      </c>
      <c r="AE604">
        <f>AD604/AC604</f>
        <v/>
      </c>
      <c r="AF604">
        <f>IF(AD604&lt;=0,0,IF(AC604&lt;=0,$B$11,IF(AE604&gt;=1.7,$B$11,MIN(AD604/MAX(0.05,IF(AE604&gt;1,(2-AE604)^2/2,1-AE604^2/2)),$B$11))))</f>
        <v/>
      </c>
      <c r="AG604">
        <f>AG603*$B$28+AF604*(1-$B$28)</f>
        <v/>
      </c>
      <c r="AH604">
        <f>IF(AND(AD604&gt;0,AC604&lt;=0),0,AC604)</f>
        <v/>
      </c>
      <c r="AI604">
        <f>AH604/MAX(AG604,0.000001)</f>
        <v/>
      </c>
      <c r="AJ604">
        <f>MIN(IF(AI604&gt;=0.5,-AI604+SQRT(AI604^2+2),1),$B$12)</f>
        <v/>
      </c>
      <c r="AK604">
        <f>IF(AG604&lt;=0,0,AJ604*AH604)</f>
        <v/>
      </c>
      <c r="AL604">
        <f>IF(AD604&lt;=0,0,AD604)</f>
        <v/>
      </c>
      <c r="AM604">
        <f>AL604-AK604+P604</f>
        <v/>
      </c>
      <c r="AN604">
        <f>((AM604/$B$7+T603*AS603/2-T604*MAX(0.1,MIN(0.3,0.3-0.09*(AR603-36.8)))/2)+AR603*(1-AS603/2))/(1-MAX(0.1,MIN(0.3,0.3-0.09*(AR603-36.8)))/2)</f>
        <v/>
      </c>
      <c r="AO604">
        <f>((AM604/$B$7+T603*AS603/2-T604*MAX(0.1,MIN(0.3,0.3-0.09*(AN604-36.8)))/2)+AR603*(1-AS603/2))/(1-MAX(0.1,MIN(0.3,0.3-0.09*(AN604-36.8)))/2)</f>
        <v/>
      </c>
      <c r="AP604">
        <f>((AM604/$B$7+T603*AS603/2-T604*MAX(0.1,MIN(0.3,0.3-0.09*(AO604-36.8)))/2)+AR603*(1-AS603/2))/(1-MAX(0.1,MIN(0.3,0.3-0.09*(AO604-36.8)))/2)</f>
        <v/>
      </c>
      <c r="AQ604">
        <f>((AM604/$B$7+T603*AS603/2-T604*MAX(0.1,MIN(0.3,0.3-0.09*(AP604-36.8)))/2)+AR603*(1-AS603/2))/(1-MAX(0.1,MIN(0.3,0.3-0.09*(AP604-36.8)))/2)</f>
        <v/>
      </c>
      <c r="AR604">
        <f>((AM604/$B$7+T603*AS603/2-T604*MAX(0.1,MIN(0.3,0.3-0.09*(AQ604-36.8)))/2)+AR603*(1-AS603/2))/(1-MAX(0.1,MIN(0.3,0.3-0.09*(AQ604-36.8)))/2)</f>
        <v/>
      </c>
      <c r="AS604">
        <f>MAX(0.1,MIN(0.3,0.3-0.09*(AR604-36.8)))</f>
        <v/>
      </c>
      <c r="AT604">
        <f>AT603+(2*AR604-1.962*AT603-1.31)/9</f>
        <v/>
      </c>
      <c r="AU604">
        <f>AU603+AG604+K604</f>
        <v/>
      </c>
      <c r="AV604">
        <f>AU604*2.67*$B$6/1.8/60</f>
        <v/>
      </c>
      <c r="AW604">
        <f>IF(AT604&gt;=$B$36,1,0)</f>
        <v/>
      </c>
      <c r="AX604">
        <f>IF(AV604&gt;=$B$21,1,0)</f>
        <v/>
      </c>
    </row>
    <row r="605">
      <c r="A605" t="n">
        <v>532</v>
      </c>
      <c r="B605">
        <f>MATCH(A605-1,$D$61:$D$68,1)</f>
        <v/>
      </c>
      <c r="C605">
        <f>INDEX($G$61:$G$68,B605)</f>
        <v/>
      </c>
      <c r="D605">
        <f>INDEX($L$61:$L$68,B605)</f>
        <v/>
      </c>
      <c r="E605">
        <f>INDEX($M$61:$M$68,B605)</f>
        <v/>
      </c>
      <c r="F605">
        <f>INDEX($N$61:$N$68,B605)</f>
        <v/>
      </c>
      <c r="G605">
        <f>INDEX($AA$61:$AA$68,B605)</f>
        <v/>
      </c>
      <c r="H605">
        <f>INDEX($X$61:$X$68,B605)</f>
        <v/>
      </c>
      <c r="I605">
        <f>INDEX($AF$61:$AF$68,B605)</f>
        <v/>
      </c>
      <c r="J605">
        <f>INDEX($AC$61:$AC$68,B605)</f>
        <v/>
      </c>
      <c r="K605">
        <f>INDEX($AD$61:$AD$68,B605)</f>
        <v/>
      </c>
      <c r="L605">
        <f>INDEX($AG$61:$AG$68,B605)</f>
        <v/>
      </c>
      <c r="M605">
        <f>INDEX($AH$61:$AH$68,B605)</f>
        <v/>
      </c>
      <c r="N605">
        <f>INDEX($AI$61:$AI$68,B605)</f>
        <v/>
      </c>
      <c r="O605">
        <f>O604*$B$26+L605*(1-$B$26)</f>
        <v/>
      </c>
      <c r="P605">
        <f>$B$7*(O605-O604)*(1-AS604)</f>
        <v/>
      </c>
      <c r="Q605">
        <f>M605+0.51274*AT604</f>
        <v/>
      </c>
      <c r="R605">
        <f>N605+0.616*AT604</f>
        <v/>
      </c>
      <c r="S605">
        <f>IF($B$13&gt;=0.6,Q605,IF($B$13&lt;=0.2,R605,R605+2.5*(Q605-R605)*($B$13-0.2)))</f>
        <v/>
      </c>
      <c r="T605">
        <f>IF(A605=1,S605,T604*$B$27+S605*(1-$B$27))</f>
        <v/>
      </c>
      <c r="U605">
        <f>0.6105*EXP(17.27*T605/(T605+237.3))</f>
        <v/>
      </c>
      <c r="V605">
        <f>($B$14*(I605*C605+IF(ABS((D605+0.1)-D605)&lt;0.000000001,4*$B$19*$B$20*(D605+273)^3,$B$19*$B$20*(((D605+0.1)+273)^4-(D605+273)^4)/((D605+0.1)-D605))*D605)+T605/H605)/($B$14*(I605+IF(ABS((D605+0.1)-D605)&lt;0.000000001,4*$B$19*$B$20*(D605+273)^3,$B$19*$B$20*(((D605+0.1)+273)^4-(D605+273)^4)/((D605+0.1)-D605)))+1/H605)</f>
        <v/>
      </c>
      <c r="W605">
        <f>($B$14*(I605*C605+IF(ABS(V605-D605)&lt;0.000000001,4*$B$19*$B$20*(D605+273)^3,$B$19*$B$20*((V605+273)^4-(D605+273)^4)/(V605-D605))*D605)+T605/H605)/($B$14*(I605+IF(ABS(V605-D605)&lt;0.000000001,4*$B$19*$B$20*(D605+273)^3,$B$19*$B$20*((V605+273)^4-(D605+273)^4)/(V605-D605)))+1/H605)</f>
        <v/>
      </c>
      <c r="X605">
        <f>($B$14*(I605*C605+IF(ABS(W605-D605)&lt;0.000000001,4*$B$19*$B$20*(D605+273)^3,$B$19*$B$20*((W605+273)^4-(D605+273)^4)/(W605-D605))*D605)+T605/H605)/($B$14*(I605+IF(ABS(W605-D605)&lt;0.000000001,4*$B$19*$B$20*(D605+273)^3,$B$19*$B$20*((W605+273)^4-(D605+273)^4)/(W605-D605)))+1/H605)</f>
        <v/>
      </c>
      <c r="Y605">
        <f>($B$14*(I605*C605+IF(ABS(X605-D605)&lt;0.000000001,4*$B$19*$B$20*(D605+273)^3,$B$19*$B$20*((X605+273)^4-(D605+273)^4)/(X605-D605))*D605)+T605/H605)/($B$14*(I605+IF(ABS(X605-D605)&lt;0.000000001,4*$B$19*$B$20*(D605+273)^3,$B$19*$B$20*((X605+273)^4-(D605+273)^4)/(X605-D605)))+1/H605)</f>
        <v/>
      </c>
      <c r="Z605">
        <f>IF(ABS(Y605-D605)&lt;0.000000001,4*$B$19*$B$20*(D605+273)^3,$B$19*$B$20*((Y605+273)^4-(D605+273)^4)/(Y605-D605))</f>
        <v/>
      </c>
      <c r="AA605">
        <f>$B$14*I605*(Y605-C605)</f>
        <v/>
      </c>
      <c r="AB605">
        <f>$B$14*Z605*(Y605-D605)</f>
        <v/>
      </c>
      <c r="AC605">
        <f>IF((U605-E605)/G605=0,0.001,(U605-E605)/G605)</f>
        <v/>
      </c>
      <c r="AD605">
        <f>F605-P605-J605-K605-AA605-AB605</f>
        <v/>
      </c>
      <c r="AE605">
        <f>AD605/AC605</f>
        <v/>
      </c>
      <c r="AF605">
        <f>IF(AD605&lt;=0,0,IF(AC605&lt;=0,$B$11,IF(AE605&gt;=1.7,$B$11,MIN(AD605/MAX(0.05,IF(AE605&gt;1,(2-AE605)^2/2,1-AE605^2/2)),$B$11))))</f>
        <v/>
      </c>
      <c r="AG605">
        <f>AG604*$B$28+AF605*(1-$B$28)</f>
        <v/>
      </c>
      <c r="AH605">
        <f>IF(AND(AD605&gt;0,AC605&lt;=0),0,AC605)</f>
        <v/>
      </c>
      <c r="AI605">
        <f>AH605/MAX(AG605,0.000001)</f>
        <v/>
      </c>
      <c r="AJ605">
        <f>MIN(IF(AI605&gt;=0.5,-AI605+SQRT(AI605^2+2),1),$B$12)</f>
        <v/>
      </c>
      <c r="AK605">
        <f>IF(AG605&lt;=0,0,AJ605*AH605)</f>
        <v/>
      </c>
      <c r="AL605">
        <f>IF(AD605&lt;=0,0,AD605)</f>
        <v/>
      </c>
      <c r="AM605">
        <f>AL605-AK605+P605</f>
        <v/>
      </c>
      <c r="AN605">
        <f>((AM605/$B$7+T604*AS604/2-T605*MAX(0.1,MIN(0.3,0.3-0.09*(AR604-36.8)))/2)+AR604*(1-AS604/2))/(1-MAX(0.1,MIN(0.3,0.3-0.09*(AR604-36.8)))/2)</f>
        <v/>
      </c>
      <c r="AO605">
        <f>((AM605/$B$7+T604*AS604/2-T605*MAX(0.1,MIN(0.3,0.3-0.09*(AN605-36.8)))/2)+AR604*(1-AS604/2))/(1-MAX(0.1,MIN(0.3,0.3-0.09*(AN605-36.8)))/2)</f>
        <v/>
      </c>
      <c r="AP605">
        <f>((AM605/$B$7+T604*AS604/2-T605*MAX(0.1,MIN(0.3,0.3-0.09*(AO605-36.8)))/2)+AR604*(1-AS604/2))/(1-MAX(0.1,MIN(0.3,0.3-0.09*(AO605-36.8)))/2)</f>
        <v/>
      </c>
      <c r="AQ605">
        <f>((AM605/$B$7+T604*AS604/2-T605*MAX(0.1,MIN(0.3,0.3-0.09*(AP605-36.8)))/2)+AR604*(1-AS604/2))/(1-MAX(0.1,MIN(0.3,0.3-0.09*(AP605-36.8)))/2)</f>
        <v/>
      </c>
      <c r="AR605">
        <f>((AM605/$B$7+T604*AS604/2-T605*MAX(0.1,MIN(0.3,0.3-0.09*(AQ605-36.8)))/2)+AR604*(1-AS604/2))/(1-MAX(0.1,MIN(0.3,0.3-0.09*(AQ605-36.8)))/2)</f>
        <v/>
      </c>
      <c r="AS605">
        <f>MAX(0.1,MIN(0.3,0.3-0.09*(AR605-36.8)))</f>
        <v/>
      </c>
      <c r="AT605">
        <f>AT604+(2*AR605-1.962*AT604-1.31)/9</f>
        <v/>
      </c>
      <c r="AU605">
        <f>AU604+AG605+K605</f>
        <v/>
      </c>
      <c r="AV605">
        <f>AU605*2.67*$B$6/1.8/60</f>
        <v/>
      </c>
      <c r="AW605">
        <f>IF(AT605&gt;=$B$36,1,0)</f>
        <v/>
      </c>
      <c r="AX605">
        <f>IF(AV605&gt;=$B$21,1,0)</f>
        <v/>
      </c>
    </row>
    <row r="606">
      <c r="A606" t="n">
        <v>533</v>
      </c>
      <c r="B606">
        <f>MATCH(A606-1,$D$61:$D$68,1)</f>
        <v/>
      </c>
      <c r="C606">
        <f>INDEX($G$61:$G$68,B606)</f>
        <v/>
      </c>
      <c r="D606">
        <f>INDEX($L$61:$L$68,B606)</f>
        <v/>
      </c>
      <c r="E606">
        <f>INDEX($M$61:$M$68,B606)</f>
        <v/>
      </c>
      <c r="F606">
        <f>INDEX($N$61:$N$68,B606)</f>
        <v/>
      </c>
      <c r="G606">
        <f>INDEX($AA$61:$AA$68,B606)</f>
        <v/>
      </c>
      <c r="H606">
        <f>INDEX($X$61:$X$68,B606)</f>
        <v/>
      </c>
      <c r="I606">
        <f>INDEX($AF$61:$AF$68,B606)</f>
        <v/>
      </c>
      <c r="J606">
        <f>INDEX($AC$61:$AC$68,B606)</f>
        <v/>
      </c>
      <c r="K606">
        <f>INDEX($AD$61:$AD$68,B606)</f>
        <v/>
      </c>
      <c r="L606">
        <f>INDEX($AG$61:$AG$68,B606)</f>
        <v/>
      </c>
      <c r="M606">
        <f>INDEX($AH$61:$AH$68,B606)</f>
        <v/>
      </c>
      <c r="N606">
        <f>INDEX($AI$61:$AI$68,B606)</f>
        <v/>
      </c>
      <c r="O606">
        <f>O605*$B$26+L606*(1-$B$26)</f>
        <v/>
      </c>
      <c r="P606">
        <f>$B$7*(O606-O605)*(1-AS605)</f>
        <v/>
      </c>
      <c r="Q606">
        <f>M606+0.51274*AT605</f>
        <v/>
      </c>
      <c r="R606">
        <f>N606+0.616*AT605</f>
        <v/>
      </c>
      <c r="S606">
        <f>IF($B$13&gt;=0.6,Q606,IF($B$13&lt;=0.2,R606,R606+2.5*(Q606-R606)*($B$13-0.2)))</f>
        <v/>
      </c>
      <c r="T606">
        <f>IF(A606=1,S606,T605*$B$27+S606*(1-$B$27))</f>
        <v/>
      </c>
      <c r="U606">
        <f>0.6105*EXP(17.27*T606/(T606+237.3))</f>
        <v/>
      </c>
      <c r="V606">
        <f>($B$14*(I606*C606+IF(ABS((D606+0.1)-D606)&lt;0.000000001,4*$B$19*$B$20*(D606+273)^3,$B$19*$B$20*(((D606+0.1)+273)^4-(D606+273)^4)/((D606+0.1)-D606))*D606)+T606/H606)/($B$14*(I606+IF(ABS((D606+0.1)-D606)&lt;0.000000001,4*$B$19*$B$20*(D606+273)^3,$B$19*$B$20*(((D606+0.1)+273)^4-(D606+273)^4)/((D606+0.1)-D606)))+1/H606)</f>
        <v/>
      </c>
      <c r="W606">
        <f>($B$14*(I606*C606+IF(ABS(V606-D606)&lt;0.000000001,4*$B$19*$B$20*(D606+273)^3,$B$19*$B$20*((V606+273)^4-(D606+273)^4)/(V606-D606))*D606)+T606/H606)/($B$14*(I606+IF(ABS(V606-D606)&lt;0.000000001,4*$B$19*$B$20*(D606+273)^3,$B$19*$B$20*((V606+273)^4-(D606+273)^4)/(V606-D606)))+1/H606)</f>
        <v/>
      </c>
      <c r="X606">
        <f>($B$14*(I606*C606+IF(ABS(W606-D606)&lt;0.000000001,4*$B$19*$B$20*(D606+273)^3,$B$19*$B$20*((W606+273)^4-(D606+273)^4)/(W606-D606))*D606)+T606/H606)/($B$14*(I606+IF(ABS(W606-D606)&lt;0.000000001,4*$B$19*$B$20*(D606+273)^3,$B$19*$B$20*((W606+273)^4-(D606+273)^4)/(W606-D606)))+1/H606)</f>
        <v/>
      </c>
      <c r="Y606">
        <f>($B$14*(I606*C606+IF(ABS(X606-D606)&lt;0.000000001,4*$B$19*$B$20*(D606+273)^3,$B$19*$B$20*((X606+273)^4-(D606+273)^4)/(X606-D606))*D606)+T606/H606)/($B$14*(I606+IF(ABS(X606-D606)&lt;0.000000001,4*$B$19*$B$20*(D606+273)^3,$B$19*$B$20*((X606+273)^4-(D606+273)^4)/(X606-D606)))+1/H606)</f>
        <v/>
      </c>
      <c r="Z606">
        <f>IF(ABS(Y606-D606)&lt;0.000000001,4*$B$19*$B$20*(D606+273)^3,$B$19*$B$20*((Y606+273)^4-(D606+273)^4)/(Y606-D606))</f>
        <v/>
      </c>
      <c r="AA606">
        <f>$B$14*I606*(Y606-C606)</f>
        <v/>
      </c>
      <c r="AB606">
        <f>$B$14*Z606*(Y606-D606)</f>
        <v/>
      </c>
      <c r="AC606">
        <f>IF((U606-E606)/G606=0,0.001,(U606-E606)/G606)</f>
        <v/>
      </c>
      <c r="AD606">
        <f>F606-P606-J606-K606-AA606-AB606</f>
        <v/>
      </c>
      <c r="AE606">
        <f>AD606/AC606</f>
        <v/>
      </c>
      <c r="AF606">
        <f>IF(AD606&lt;=0,0,IF(AC606&lt;=0,$B$11,IF(AE606&gt;=1.7,$B$11,MIN(AD606/MAX(0.05,IF(AE606&gt;1,(2-AE606)^2/2,1-AE606^2/2)),$B$11))))</f>
        <v/>
      </c>
      <c r="AG606">
        <f>AG605*$B$28+AF606*(1-$B$28)</f>
        <v/>
      </c>
      <c r="AH606">
        <f>IF(AND(AD606&gt;0,AC606&lt;=0),0,AC606)</f>
        <v/>
      </c>
      <c r="AI606">
        <f>AH606/MAX(AG606,0.000001)</f>
        <v/>
      </c>
      <c r="AJ606">
        <f>MIN(IF(AI606&gt;=0.5,-AI606+SQRT(AI606^2+2),1),$B$12)</f>
        <v/>
      </c>
      <c r="AK606">
        <f>IF(AG606&lt;=0,0,AJ606*AH606)</f>
        <v/>
      </c>
      <c r="AL606">
        <f>IF(AD606&lt;=0,0,AD606)</f>
        <v/>
      </c>
      <c r="AM606">
        <f>AL606-AK606+P606</f>
        <v/>
      </c>
      <c r="AN606">
        <f>((AM606/$B$7+T605*AS605/2-T606*MAX(0.1,MIN(0.3,0.3-0.09*(AR605-36.8)))/2)+AR605*(1-AS605/2))/(1-MAX(0.1,MIN(0.3,0.3-0.09*(AR605-36.8)))/2)</f>
        <v/>
      </c>
      <c r="AO606">
        <f>((AM606/$B$7+T605*AS605/2-T606*MAX(0.1,MIN(0.3,0.3-0.09*(AN606-36.8)))/2)+AR605*(1-AS605/2))/(1-MAX(0.1,MIN(0.3,0.3-0.09*(AN606-36.8)))/2)</f>
        <v/>
      </c>
      <c r="AP606">
        <f>((AM606/$B$7+T605*AS605/2-T606*MAX(0.1,MIN(0.3,0.3-0.09*(AO606-36.8)))/2)+AR605*(1-AS605/2))/(1-MAX(0.1,MIN(0.3,0.3-0.09*(AO606-36.8)))/2)</f>
        <v/>
      </c>
      <c r="AQ606">
        <f>((AM606/$B$7+T605*AS605/2-T606*MAX(0.1,MIN(0.3,0.3-0.09*(AP606-36.8)))/2)+AR605*(1-AS605/2))/(1-MAX(0.1,MIN(0.3,0.3-0.09*(AP606-36.8)))/2)</f>
        <v/>
      </c>
      <c r="AR606">
        <f>((AM606/$B$7+T605*AS605/2-T606*MAX(0.1,MIN(0.3,0.3-0.09*(AQ606-36.8)))/2)+AR605*(1-AS605/2))/(1-MAX(0.1,MIN(0.3,0.3-0.09*(AQ606-36.8)))/2)</f>
        <v/>
      </c>
      <c r="AS606">
        <f>MAX(0.1,MIN(0.3,0.3-0.09*(AR606-36.8)))</f>
        <v/>
      </c>
      <c r="AT606">
        <f>AT605+(2*AR606-1.962*AT605-1.31)/9</f>
        <v/>
      </c>
      <c r="AU606">
        <f>AU605+AG606+K606</f>
        <v/>
      </c>
      <c r="AV606">
        <f>AU606*2.67*$B$6/1.8/60</f>
        <v/>
      </c>
      <c r="AW606">
        <f>IF(AT606&gt;=$B$36,1,0)</f>
        <v/>
      </c>
      <c r="AX606">
        <f>IF(AV606&gt;=$B$21,1,0)</f>
        <v/>
      </c>
    </row>
    <row r="607">
      <c r="A607" t="n">
        <v>534</v>
      </c>
      <c r="B607">
        <f>MATCH(A607-1,$D$61:$D$68,1)</f>
        <v/>
      </c>
      <c r="C607">
        <f>INDEX($G$61:$G$68,B607)</f>
        <v/>
      </c>
      <c r="D607">
        <f>INDEX($L$61:$L$68,B607)</f>
        <v/>
      </c>
      <c r="E607">
        <f>INDEX($M$61:$M$68,B607)</f>
        <v/>
      </c>
      <c r="F607">
        <f>INDEX($N$61:$N$68,B607)</f>
        <v/>
      </c>
      <c r="G607">
        <f>INDEX($AA$61:$AA$68,B607)</f>
        <v/>
      </c>
      <c r="H607">
        <f>INDEX($X$61:$X$68,B607)</f>
        <v/>
      </c>
      <c r="I607">
        <f>INDEX($AF$61:$AF$68,B607)</f>
        <v/>
      </c>
      <c r="J607">
        <f>INDEX($AC$61:$AC$68,B607)</f>
        <v/>
      </c>
      <c r="K607">
        <f>INDEX($AD$61:$AD$68,B607)</f>
        <v/>
      </c>
      <c r="L607">
        <f>INDEX($AG$61:$AG$68,B607)</f>
        <v/>
      </c>
      <c r="M607">
        <f>INDEX($AH$61:$AH$68,B607)</f>
        <v/>
      </c>
      <c r="N607">
        <f>INDEX($AI$61:$AI$68,B607)</f>
        <v/>
      </c>
      <c r="O607">
        <f>O606*$B$26+L607*(1-$B$26)</f>
        <v/>
      </c>
      <c r="P607">
        <f>$B$7*(O607-O606)*(1-AS606)</f>
        <v/>
      </c>
      <c r="Q607">
        <f>M607+0.51274*AT606</f>
        <v/>
      </c>
      <c r="R607">
        <f>N607+0.616*AT606</f>
        <v/>
      </c>
      <c r="S607">
        <f>IF($B$13&gt;=0.6,Q607,IF($B$13&lt;=0.2,R607,R607+2.5*(Q607-R607)*($B$13-0.2)))</f>
        <v/>
      </c>
      <c r="T607">
        <f>IF(A607=1,S607,T606*$B$27+S607*(1-$B$27))</f>
        <v/>
      </c>
      <c r="U607">
        <f>0.6105*EXP(17.27*T607/(T607+237.3))</f>
        <v/>
      </c>
      <c r="V607">
        <f>($B$14*(I607*C607+IF(ABS((D607+0.1)-D607)&lt;0.000000001,4*$B$19*$B$20*(D607+273)^3,$B$19*$B$20*(((D607+0.1)+273)^4-(D607+273)^4)/((D607+0.1)-D607))*D607)+T607/H607)/($B$14*(I607+IF(ABS((D607+0.1)-D607)&lt;0.000000001,4*$B$19*$B$20*(D607+273)^3,$B$19*$B$20*(((D607+0.1)+273)^4-(D607+273)^4)/((D607+0.1)-D607)))+1/H607)</f>
        <v/>
      </c>
      <c r="W607">
        <f>($B$14*(I607*C607+IF(ABS(V607-D607)&lt;0.000000001,4*$B$19*$B$20*(D607+273)^3,$B$19*$B$20*((V607+273)^4-(D607+273)^4)/(V607-D607))*D607)+T607/H607)/($B$14*(I607+IF(ABS(V607-D607)&lt;0.000000001,4*$B$19*$B$20*(D607+273)^3,$B$19*$B$20*((V607+273)^4-(D607+273)^4)/(V607-D607)))+1/H607)</f>
        <v/>
      </c>
      <c r="X607">
        <f>($B$14*(I607*C607+IF(ABS(W607-D607)&lt;0.000000001,4*$B$19*$B$20*(D607+273)^3,$B$19*$B$20*((W607+273)^4-(D607+273)^4)/(W607-D607))*D607)+T607/H607)/($B$14*(I607+IF(ABS(W607-D607)&lt;0.000000001,4*$B$19*$B$20*(D607+273)^3,$B$19*$B$20*((W607+273)^4-(D607+273)^4)/(W607-D607)))+1/H607)</f>
        <v/>
      </c>
      <c r="Y607">
        <f>($B$14*(I607*C607+IF(ABS(X607-D607)&lt;0.000000001,4*$B$19*$B$20*(D607+273)^3,$B$19*$B$20*((X607+273)^4-(D607+273)^4)/(X607-D607))*D607)+T607/H607)/($B$14*(I607+IF(ABS(X607-D607)&lt;0.000000001,4*$B$19*$B$20*(D607+273)^3,$B$19*$B$20*((X607+273)^4-(D607+273)^4)/(X607-D607)))+1/H607)</f>
        <v/>
      </c>
      <c r="Z607">
        <f>IF(ABS(Y607-D607)&lt;0.000000001,4*$B$19*$B$20*(D607+273)^3,$B$19*$B$20*((Y607+273)^4-(D607+273)^4)/(Y607-D607))</f>
        <v/>
      </c>
      <c r="AA607">
        <f>$B$14*I607*(Y607-C607)</f>
        <v/>
      </c>
      <c r="AB607">
        <f>$B$14*Z607*(Y607-D607)</f>
        <v/>
      </c>
      <c r="AC607">
        <f>IF((U607-E607)/G607=0,0.001,(U607-E607)/G607)</f>
        <v/>
      </c>
      <c r="AD607">
        <f>F607-P607-J607-K607-AA607-AB607</f>
        <v/>
      </c>
      <c r="AE607">
        <f>AD607/AC607</f>
        <v/>
      </c>
      <c r="AF607">
        <f>IF(AD607&lt;=0,0,IF(AC607&lt;=0,$B$11,IF(AE607&gt;=1.7,$B$11,MIN(AD607/MAX(0.05,IF(AE607&gt;1,(2-AE607)^2/2,1-AE607^2/2)),$B$11))))</f>
        <v/>
      </c>
      <c r="AG607">
        <f>AG606*$B$28+AF607*(1-$B$28)</f>
        <v/>
      </c>
      <c r="AH607">
        <f>IF(AND(AD607&gt;0,AC607&lt;=0),0,AC607)</f>
        <v/>
      </c>
      <c r="AI607">
        <f>AH607/MAX(AG607,0.000001)</f>
        <v/>
      </c>
      <c r="AJ607">
        <f>MIN(IF(AI607&gt;=0.5,-AI607+SQRT(AI607^2+2),1),$B$12)</f>
        <v/>
      </c>
      <c r="AK607">
        <f>IF(AG607&lt;=0,0,AJ607*AH607)</f>
        <v/>
      </c>
      <c r="AL607">
        <f>IF(AD607&lt;=0,0,AD607)</f>
        <v/>
      </c>
      <c r="AM607">
        <f>AL607-AK607+P607</f>
        <v/>
      </c>
      <c r="AN607">
        <f>((AM607/$B$7+T606*AS606/2-T607*MAX(0.1,MIN(0.3,0.3-0.09*(AR606-36.8)))/2)+AR606*(1-AS606/2))/(1-MAX(0.1,MIN(0.3,0.3-0.09*(AR606-36.8)))/2)</f>
        <v/>
      </c>
      <c r="AO607">
        <f>((AM607/$B$7+T606*AS606/2-T607*MAX(0.1,MIN(0.3,0.3-0.09*(AN607-36.8)))/2)+AR606*(1-AS606/2))/(1-MAX(0.1,MIN(0.3,0.3-0.09*(AN607-36.8)))/2)</f>
        <v/>
      </c>
      <c r="AP607">
        <f>((AM607/$B$7+T606*AS606/2-T607*MAX(0.1,MIN(0.3,0.3-0.09*(AO607-36.8)))/2)+AR606*(1-AS606/2))/(1-MAX(0.1,MIN(0.3,0.3-0.09*(AO607-36.8)))/2)</f>
        <v/>
      </c>
      <c r="AQ607">
        <f>((AM607/$B$7+T606*AS606/2-T607*MAX(0.1,MIN(0.3,0.3-0.09*(AP607-36.8)))/2)+AR606*(1-AS606/2))/(1-MAX(0.1,MIN(0.3,0.3-0.09*(AP607-36.8)))/2)</f>
        <v/>
      </c>
      <c r="AR607">
        <f>((AM607/$B$7+T606*AS606/2-T607*MAX(0.1,MIN(0.3,0.3-0.09*(AQ607-36.8)))/2)+AR606*(1-AS606/2))/(1-MAX(0.1,MIN(0.3,0.3-0.09*(AQ607-36.8)))/2)</f>
        <v/>
      </c>
      <c r="AS607">
        <f>MAX(0.1,MIN(0.3,0.3-0.09*(AR607-36.8)))</f>
        <v/>
      </c>
      <c r="AT607">
        <f>AT606+(2*AR607-1.962*AT606-1.31)/9</f>
        <v/>
      </c>
      <c r="AU607">
        <f>AU606+AG607+K607</f>
        <v/>
      </c>
      <c r="AV607">
        <f>AU607*2.67*$B$6/1.8/60</f>
        <v/>
      </c>
      <c r="AW607">
        <f>IF(AT607&gt;=$B$36,1,0)</f>
        <v/>
      </c>
      <c r="AX607">
        <f>IF(AV607&gt;=$B$21,1,0)</f>
        <v/>
      </c>
    </row>
    <row r="608">
      <c r="A608" t="n">
        <v>535</v>
      </c>
      <c r="B608">
        <f>MATCH(A608-1,$D$61:$D$68,1)</f>
        <v/>
      </c>
      <c r="C608">
        <f>INDEX($G$61:$G$68,B608)</f>
        <v/>
      </c>
      <c r="D608">
        <f>INDEX($L$61:$L$68,B608)</f>
        <v/>
      </c>
      <c r="E608">
        <f>INDEX($M$61:$M$68,B608)</f>
        <v/>
      </c>
      <c r="F608">
        <f>INDEX($N$61:$N$68,B608)</f>
        <v/>
      </c>
      <c r="G608">
        <f>INDEX($AA$61:$AA$68,B608)</f>
        <v/>
      </c>
      <c r="H608">
        <f>INDEX($X$61:$X$68,B608)</f>
        <v/>
      </c>
      <c r="I608">
        <f>INDEX($AF$61:$AF$68,B608)</f>
        <v/>
      </c>
      <c r="J608">
        <f>INDEX($AC$61:$AC$68,B608)</f>
        <v/>
      </c>
      <c r="K608">
        <f>INDEX($AD$61:$AD$68,B608)</f>
        <v/>
      </c>
      <c r="L608">
        <f>INDEX($AG$61:$AG$68,B608)</f>
        <v/>
      </c>
      <c r="M608">
        <f>INDEX($AH$61:$AH$68,B608)</f>
        <v/>
      </c>
      <c r="N608">
        <f>INDEX($AI$61:$AI$68,B608)</f>
        <v/>
      </c>
      <c r="O608">
        <f>O607*$B$26+L608*(1-$B$26)</f>
        <v/>
      </c>
      <c r="P608">
        <f>$B$7*(O608-O607)*(1-AS607)</f>
        <v/>
      </c>
      <c r="Q608">
        <f>M608+0.51274*AT607</f>
        <v/>
      </c>
      <c r="R608">
        <f>N608+0.616*AT607</f>
        <v/>
      </c>
      <c r="S608">
        <f>IF($B$13&gt;=0.6,Q608,IF($B$13&lt;=0.2,R608,R608+2.5*(Q608-R608)*($B$13-0.2)))</f>
        <v/>
      </c>
      <c r="T608">
        <f>IF(A608=1,S608,T607*$B$27+S608*(1-$B$27))</f>
        <v/>
      </c>
      <c r="U608">
        <f>0.6105*EXP(17.27*T608/(T608+237.3))</f>
        <v/>
      </c>
      <c r="V608">
        <f>($B$14*(I608*C608+IF(ABS((D608+0.1)-D608)&lt;0.000000001,4*$B$19*$B$20*(D608+273)^3,$B$19*$B$20*(((D608+0.1)+273)^4-(D608+273)^4)/((D608+0.1)-D608))*D608)+T608/H608)/($B$14*(I608+IF(ABS((D608+0.1)-D608)&lt;0.000000001,4*$B$19*$B$20*(D608+273)^3,$B$19*$B$20*(((D608+0.1)+273)^4-(D608+273)^4)/((D608+0.1)-D608)))+1/H608)</f>
        <v/>
      </c>
      <c r="W608">
        <f>($B$14*(I608*C608+IF(ABS(V608-D608)&lt;0.000000001,4*$B$19*$B$20*(D608+273)^3,$B$19*$B$20*((V608+273)^4-(D608+273)^4)/(V608-D608))*D608)+T608/H608)/($B$14*(I608+IF(ABS(V608-D608)&lt;0.000000001,4*$B$19*$B$20*(D608+273)^3,$B$19*$B$20*((V608+273)^4-(D608+273)^4)/(V608-D608)))+1/H608)</f>
        <v/>
      </c>
      <c r="X608">
        <f>($B$14*(I608*C608+IF(ABS(W608-D608)&lt;0.000000001,4*$B$19*$B$20*(D608+273)^3,$B$19*$B$20*((W608+273)^4-(D608+273)^4)/(W608-D608))*D608)+T608/H608)/($B$14*(I608+IF(ABS(W608-D608)&lt;0.000000001,4*$B$19*$B$20*(D608+273)^3,$B$19*$B$20*((W608+273)^4-(D608+273)^4)/(W608-D608)))+1/H608)</f>
        <v/>
      </c>
      <c r="Y608">
        <f>($B$14*(I608*C608+IF(ABS(X608-D608)&lt;0.000000001,4*$B$19*$B$20*(D608+273)^3,$B$19*$B$20*((X608+273)^4-(D608+273)^4)/(X608-D608))*D608)+T608/H608)/($B$14*(I608+IF(ABS(X608-D608)&lt;0.000000001,4*$B$19*$B$20*(D608+273)^3,$B$19*$B$20*((X608+273)^4-(D608+273)^4)/(X608-D608)))+1/H608)</f>
        <v/>
      </c>
      <c r="Z608">
        <f>IF(ABS(Y608-D608)&lt;0.000000001,4*$B$19*$B$20*(D608+273)^3,$B$19*$B$20*((Y608+273)^4-(D608+273)^4)/(Y608-D608))</f>
        <v/>
      </c>
      <c r="AA608">
        <f>$B$14*I608*(Y608-C608)</f>
        <v/>
      </c>
      <c r="AB608">
        <f>$B$14*Z608*(Y608-D608)</f>
        <v/>
      </c>
      <c r="AC608">
        <f>IF((U608-E608)/G608=0,0.001,(U608-E608)/G608)</f>
        <v/>
      </c>
      <c r="AD608">
        <f>F608-P608-J608-K608-AA608-AB608</f>
        <v/>
      </c>
      <c r="AE608">
        <f>AD608/AC608</f>
        <v/>
      </c>
      <c r="AF608">
        <f>IF(AD608&lt;=0,0,IF(AC608&lt;=0,$B$11,IF(AE608&gt;=1.7,$B$11,MIN(AD608/MAX(0.05,IF(AE608&gt;1,(2-AE608)^2/2,1-AE608^2/2)),$B$11))))</f>
        <v/>
      </c>
      <c r="AG608">
        <f>AG607*$B$28+AF608*(1-$B$28)</f>
        <v/>
      </c>
      <c r="AH608">
        <f>IF(AND(AD608&gt;0,AC608&lt;=0),0,AC608)</f>
        <v/>
      </c>
      <c r="AI608">
        <f>AH608/MAX(AG608,0.000001)</f>
        <v/>
      </c>
      <c r="AJ608">
        <f>MIN(IF(AI608&gt;=0.5,-AI608+SQRT(AI608^2+2),1),$B$12)</f>
        <v/>
      </c>
      <c r="AK608">
        <f>IF(AG608&lt;=0,0,AJ608*AH608)</f>
        <v/>
      </c>
      <c r="AL608">
        <f>IF(AD608&lt;=0,0,AD608)</f>
        <v/>
      </c>
      <c r="AM608">
        <f>AL608-AK608+P608</f>
        <v/>
      </c>
      <c r="AN608">
        <f>((AM608/$B$7+T607*AS607/2-T608*MAX(0.1,MIN(0.3,0.3-0.09*(AR607-36.8)))/2)+AR607*(1-AS607/2))/(1-MAX(0.1,MIN(0.3,0.3-0.09*(AR607-36.8)))/2)</f>
        <v/>
      </c>
      <c r="AO608">
        <f>((AM608/$B$7+T607*AS607/2-T608*MAX(0.1,MIN(0.3,0.3-0.09*(AN608-36.8)))/2)+AR607*(1-AS607/2))/(1-MAX(0.1,MIN(0.3,0.3-0.09*(AN608-36.8)))/2)</f>
        <v/>
      </c>
      <c r="AP608">
        <f>((AM608/$B$7+T607*AS607/2-T608*MAX(0.1,MIN(0.3,0.3-0.09*(AO608-36.8)))/2)+AR607*(1-AS607/2))/(1-MAX(0.1,MIN(0.3,0.3-0.09*(AO608-36.8)))/2)</f>
        <v/>
      </c>
      <c r="AQ608">
        <f>((AM608/$B$7+T607*AS607/2-T608*MAX(0.1,MIN(0.3,0.3-0.09*(AP608-36.8)))/2)+AR607*(1-AS607/2))/(1-MAX(0.1,MIN(0.3,0.3-0.09*(AP608-36.8)))/2)</f>
        <v/>
      </c>
      <c r="AR608">
        <f>((AM608/$B$7+T607*AS607/2-T608*MAX(0.1,MIN(0.3,0.3-0.09*(AQ608-36.8)))/2)+AR607*(1-AS607/2))/(1-MAX(0.1,MIN(0.3,0.3-0.09*(AQ608-36.8)))/2)</f>
        <v/>
      </c>
      <c r="AS608">
        <f>MAX(0.1,MIN(0.3,0.3-0.09*(AR608-36.8)))</f>
        <v/>
      </c>
      <c r="AT608">
        <f>AT607+(2*AR608-1.962*AT607-1.31)/9</f>
        <v/>
      </c>
      <c r="AU608">
        <f>AU607+AG608+K608</f>
        <v/>
      </c>
      <c r="AV608">
        <f>AU608*2.67*$B$6/1.8/60</f>
        <v/>
      </c>
      <c r="AW608">
        <f>IF(AT608&gt;=$B$36,1,0)</f>
        <v/>
      </c>
      <c r="AX608">
        <f>IF(AV608&gt;=$B$21,1,0)</f>
        <v/>
      </c>
    </row>
    <row r="609">
      <c r="A609" t="n">
        <v>536</v>
      </c>
      <c r="B609">
        <f>MATCH(A609-1,$D$61:$D$68,1)</f>
        <v/>
      </c>
      <c r="C609">
        <f>INDEX($G$61:$G$68,B609)</f>
        <v/>
      </c>
      <c r="D609">
        <f>INDEX($L$61:$L$68,B609)</f>
        <v/>
      </c>
      <c r="E609">
        <f>INDEX($M$61:$M$68,B609)</f>
        <v/>
      </c>
      <c r="F609">
        <f>INDEX($N$61:$N$68,B609)</f>
        <v/>
      </c>
      <c r="G609">
        <f>INDEX($AA$61:$AA$68,B609)</f>
        <v/>
      </c>
      <c r="H609">
        <f>INDEX($X$61:$X$68,B609)</f>
        <v/>
      </c>
      <c r="I609">
        <f>INDEX($AF$61:$AF$68,B609)</f>
        <v/>
      </c>
      <c r="J609">
        <f>INDEX($AC$61:$AC$68,B609)</f>
        <v/>
      </c>
      <c r="K609">
        <f>INDEX($AD$61:$AD$68,B609)</f>
        <v/>
      </c>
      <c r="L609">
        <f>INDEX($AG$61:$AG$68,B609)</f>
        <v/>
      </c>
      <c r="M609">
        <f>INDEX($AH$61:$AH$68,B609)</f>
        <v/>
      </c>
      <c r="N609">
        <f>INDEX($AI$61:$AI$68,B609)</f>
        <v/>
      </c>
      <c r="O609">
        <f>O608*$B$26+L609*(1-$B$26)</f>
        <v/>
      </c>
      <c r="P609">
        <f>$B$7*(O609-O608)*(1-AS608)</f>
        <v/>
      </c>
      <c r="Q609">
        <f>M609+0.51274*AT608</f>
        <v/>
      </c>
      <c r="R609">
        <f>N609+0.616*AT608</f>
        <v/>
      </c>
      <c r="S609">
        <f>IF($B$13&gt;=0.6,Q609,IF($B$13&lt;=0.2,R609,R609+2.5*(Q609-R609)*($B$13-0.2)))</f>
        <v/>
      </c>
      <c r="T609">
        <f>IF(A609=1,S609,T608*$B$27+S609*(1-$B$27))</f>
        <v/>
      </c>
      <c r="U609">
        <f>0.6105*EXP(17.27*T609/(T609+237.3))</f>
        <v/>
      </c>
      <c r="V609">
        <f>($B$14*(I609*C609+IF(ABS((D609+0.1)-D609)&lt;0.000000001,4*$B$19*$B$20*(D609+273)^3,$B$19*$B$20*(((D609+0.1)+273)^4-(D609+273)^4)/((D609+0.1)-D609))*D609)+T609/H609)/($B$14*(I609+IF(ABS((D609+0.1)-D609)&lt;0.000000001,4*$B$19*$B$20*(D609+273)^3,$B$19*$B$20*(((D609+0.1)+273)^4-(D609+273)^4)/((D609+0.1)-D609)))+1/H609)</f>
        <v/>
      </c>
      <c r="W609">
        <f>($B$14*(I609*C609+IF(ABS(V609-D609)&lt;0.000000001,4*$B$19*$B$20*(D609+273)^3,$B$19*$B$20*((V609+273)^4-(D609+273)^4)/(V609-D609))*D609)+T609/H609)/($B$14*(I609+IF(ABS(V609-D609)&lt;0.000000001,4*$B$19*$B$20*(D609+273)^3,$B$19*$B$20*((V609+273)^4-(D609+273)^4)/(V609-D609)))+1/H609)</f>
        <v/>
      </c>
      <c r="X609">
        <f>($B$14*(I609*C609+IF(ABS(W609-D609)&lt;0.000000001,4*$B$19*$B$20*(D609+273)^3,$B$19*$B$20*((W609+273)^4-(D609+273)^4)/(W609-D609))*D609)+T609/H609)/($B$14*(I609+IF(ABS(W609-D609)&lt;0.000000001,4*$B$19*$B$20*(D609+273)^3,$B$19*$B$20*((W609+273)^4-(D609+273)^4)/(W609-D609)))+1/H609)</f>
        <v/>
      </c>
      <c r="Y609">
        <f>($B$14*(I609*C609+IF(ABS(X609-D609)&lt;0.000000001,4*$B$19*$B$20*(D609+273)^3,$B$19*$B$20*((X609+273)^4-(D609+273)^4)/(X609-D609))*D609)+T609/H609)/($B$14*(I609+IF(ABS(X609-D609)&lt;0.000000001,4*$B$19*$B$20*(D609+273)^3,$B$19*$B$20*((X609+273)^4-(D609+273)^4)/(X609-D609)))+1/H609)</f>
        <v/>
      </c>
      <c r="Z609">
        <f>IF(ABS(Y609-D609)&lt;0.000000001,4*$B$19*$B$20*(D609+273)^3,$B$19*$B$20*((Y609+273)^4-(D609+273)^4)/(Y609-D609))</f>
        <v/>
      </c>
      <c r="AA609">
        <f>$B$14*I609*(Y609-C609)</f>
        <v/>
      </c>
      <c r="AB609">
        <f>$B$14*Z609*(Y609-D609)</f>
        <v/>
      </c>
      <c r="AC609">
        <f>IF((U609-E609)/G609=0,0.001,(U609-E609)/G609)</f>
        <v/>
      </c>
      <c r="AD609">
        <f>F609-P609-J609-K609-AA609-AB609</f>
        <v/>
      </c>
      <c r="AE609">
        <f>AD609/AC609</f>
        <v/>
      </c>
      <c r="AF609">
        <f>IF(AD609&lt;=0,0,IF(AC609&lt;=0,$B$11,IF(AE609&gt;=1.7,$B$11,MIN(AD609/MAX(0.05,IF(AE609&gt;1,(2-AE609)^2/2,1-AE609^2/2)),$B$11))))</f>
        <v/>
      </c>
      <c r="AG609">
        <f>AG608*$B$28+AF609*(1-$B$28)</f>
        <v/>
      </c>
      <c r="AH609">
        <f>IF(AND(AD609&gt;0,AC609&lt;=0),0,AC609)</f>
        <v/>
      </c>
      <c r="AI609">
        <f>AH609/MAX(AG609,0.000001)</f>
        <v/>
      </c>
      <c r="AJ609">
        <f>MIN(IF(AI609&gt;=0.5,-AI609+SQRT(AI609^2+2),1),$B$12)</f>
        <v/>
      </c>
      <c r="AK609">
        <f>IF(AG609&lt;=0,0,AJ609*AH609)</f>
        <v/>
      </c>
      <c r="AL609">
        <f>IF(AD609&lt;=0,0,AD609)</f>
        <v/>
      </c>
      <c r="AM609">
        <f>AL609-AK609+P609</f>
        <v/>
      </c>
      <c r="AN609">
        <f>((AM609/$B$7+T608*AS608/2-T609*MAX(0.1,MIN(0.3,0.3-0.09*(AR608-36.8)))/2)+AR608*(1-AS608/2))/(1-MAX(0.1,MIN(0.3,0.3-0.09*(AR608-36.8)))/2)</f>
        <v/>
      </c>
      <c r="AO609">
        <f>((AM609/$B$7+T608*AS608/2-T609*MAX(0.1,MIN(0.3,0.3-0.09*(AN609-36.8)))/2)+AR608*(1-AS608/2))/(1-MAX(0.1,MIN(0.3,0.3-0.09*(AN609-36.8)))/2)</f>
        <v/>
      </c>
      <c r="AP609">
        <f>((AM609/$B$7+T608*AS608/2-T609*MAX(0.1,MIN(0.3,0.3-0.09*(AO609-36.8)))/2)+AR608*(1-AS608/2))/(1-MAX(0.1,MIN(0.3,0.3-0.09*(AO609-36.8)))/2)</f>
        <v/>
      </c>
      <c r="AQ609">
        <f>((AM609/$B$7+T608*AS608/2-T609*MAX(0.1,MIN(0.3,0.3-0.09*(AP609-36.8)))/2)+AR608*(1-AS608/2))/(1-MAX(0.1,MIN(0.3,0.3-0.09*(AP609-36.8)))/2)</f>
        <v/>
      </c>
      <c r="AR609">
        <f>((AM609/$B$7+T608*AS608/2-T609*MAX(0.1,MIN(0.3,0.3-0.09*(AQ609-36.8)))/2)+AR608*(1-AS608/2))/(1-MAX(0.1,MIN(0.3,0.3-0.09*(AQ609-36.8)))/2)</f>
        <v/>
      </c>
      <c r="AS609">
        <f>MAX(0.1,MIN(0.3,0.3-0.09*(AR609-36.8)))</f>
        <v/>
      </c>
      <c r="AT609">
        <f>AT608+(2*AR609-1.962*AT608-1.31)/9</f>
        <v/>
      </c>
      <c r="AU609">
        <f>AU608+AG609+K609</f>
        <v/>
      </c>
      <c r="AV609">
        <f>AU609*2.67*$B$6/1.8/60</f>
        <v/>
      </c>
      <c r="AW609">
        <f>IF(AT609&gt;=$B$36,1,0)</f>
        <v/>
      </c>
      <c r="AX609">
        <f>IF(AV609&gt;=$B$21,1,0)</f>
        <v/>
      </c>
    </row>
    <row r="610">
      <c r="A610" t="n">
        <v>537</v>
      </c>
      <c r="B610">
        <f>MATCH(A610-1,$D$61:$D$68,1)</f>
        <v/>
      </c>
      <c r="C610">
        <f>INDEX($G$61:$G$68,B610)</f>
        <v/>
      </c>
      <c r="D610">
        <f>INDEX($L$61:$L$68,B610)</f>
        <v/>
      </c>
      <c r="E610">
        <f>INDEX($M$61:$M$68,B610)</f>
        <v/>
      </c>
      <c r="F610">
        <f>INDEX($N$61:$N$68,B610)</f>
        <v/>
      </c>
      <c r="G610">
        <f>INDEX($AA$61:$AA$68,B610)</f>
        <v/>
      </c>
      <c r="H610">
        <f>INDEX($X$61:$X$68,B610)</f>
        <v/>
      </c>
      <c r="I610">
        <f>INDEX($AF$61:$AF$68,B610)</f>
        <v/>
      </c>
      <c r="J610">
        <f>INDEX($AC$61:$AC$68,B610)</f>
        <v/>
      </c>
      <c r="K610">
        <f>INDEX($AD$61:$AD$68,B610)</f>
        <v/>
      </c>
      <c r="L610">
        <f>INDEX($AG$61:$AG$68,B610)</f>
        <v/>
      </c>
      <c r="M610">
        <f>INDEX($AH$61:$AH$68,B610)</f>
        <v/>
      </c>
      <c r="N610">
        <f>INDEX($AI$61:$AI$68,B610)</f>
        <v/>
      </c>
      <c r="O610">
        <f>O609*$B$26+L610*(1-$B$26)</f>
        <v/>
      </c>
      <c r="P610">
        <f>$B$7*(O610-O609)*(1-AS609)</f>
        <v/>
      </c>
      <c r="Q610">
        <f>M610+0.51274*AT609</f>
        <v/>
      </c>
      <c r="R610">
        <f>N610+0.616*AT609</f>
        <v/>
      </c>
      <c r="S610">
        <f>IF($B$13&gt;=0.6,Q610,IF($B$13&lt;=0.2,R610,R610+2.5*(Q610-R610)*($B$13-0.2)))</f>
        <v/>
      </c>
      <c r="T610">
        <f>IF(A610=1,S610,T609*$B$27+S610*(1-$B$27))</f>
        <v/>
      </c>
      <c r="U610">
        <f>0.6105*EXP(17.27*T610/(T610+237.3))</f>
        <v/>
      </c>
      <c r="V610">
        <f>($B$14*(I610*C610+IF(ABS((D610+0.1)-D610)&lt;0.000000001,4*$B$19*$B$20*(D610+273)^3,$B$19*$B$20*(((D610+0.1)+273)^4-(D610+273)^4)/((D610+0.1)-D610))*D610)+T610/H610)/($B$14*(I610+IF(ABS((D610+0.1)-D610)&lt;0.000000001,4*$B$19*$B$20*(D610+273)^3,$B$19*$B$20*(((D610+0.1)+273)^4-(D610+273)^4)/((D610+0.1)-D610)))+1/H610)</f>
        <v/>
      </c>
      <c r="W610">
        <f>($B$14*(I610*C610+IF(ABS(V610-D610)&lt;0.000000001,4*$B$19*$B$20*(D610+273)^3,$B$19*$B$20*((V610+273)^4-(D610+273)^4)/(V610-D610))*D610)+T610/H610)/($B$14*(I610+IF(ABS(V610-D610)&lt;0.000000001,4*$B$19*$B$20*(D610+273)^3,$B$19*$B$20*((V610+273)^4-(D610+273)^4)/(V610-D610)))+1/H610)</f>
        <v/>
      </c>
      <c r="X610">
        <f>($B$14*(I610*C610+IF(ABS(W610-D610)&lt;0.000000001,4*$B$19*$B$20*(D610+273)^3,$B$19*$B$20*((W610+273)^4-(D610+273)^4)/(W610-D610))*D610)+T610/H610)/($B$14*(I610+IF(ABS(W610-D610)&lt;0.000000001,4*$B$19*$B$20*(D610+273)^3,$B$19*$B$20*((W610+273)^4-(D610+273)^4)/(W610-D610)))+1/H610)</f>
        <v/>
      </c>
      <c r="Y610">
        <f>($B$14*(I610*C610+IF(ABS(X610-D610)&lt;0.000000001,4*$B$19*$B$20*(D610+273)^3,$B$19*$B$20*((X610+273)^4-(D610+273)^4)/(X610-D610))*D610)+T610/H610)/($B$14*(I610+IF(ABS(X610-D610)&lt;0.000000001,4*$B$19*$B$20*(D610+273)^3,$B$19*$B$20*((X610+273)^4-(D610+273)^4)/(X610-D610)))+1/H610)</f>
        <v/>
      </c>
      <c r="Z610">
        <f>IF(ABS(Y610-D610)&lt;0.000000001,4*$B$19*$B$20*(D610+273)^3,$B$19*$B$20*((Y610+273)^4-(D610+273)^4)/(Y610-D610))</f>
        <v/>
      </c>
      <c r="AA610">
        <f>$B$14*I610*(Y610-C610)</f>
        <v/>
      </c>
      <c r="AB610">
        <f>$B$14*Z610*(Y610-D610)</f>
        <v/>
      </c>
      <c r="AC610">
        <f>IF((U610-E610)/G610=0,0.001,(U610-E610)/G610)</f>
        <v/>
      </c>
      <c r="AD610">
        <f>F610-P610-J610-K610-AA610-AB610</f>
        <v/>
      </c>
      <c r="AE610">
        <f>AD610/AC610</f>
        <v/>
      </c>
      <c r="AF610">
        <f>IF(AD610&lt;=0,0,IF(AC610&lt;=0,$B$11,IF(AE610&gt;=1.7,$B$11,MIN(AD610/MAX(0.05,IF(AE610&gt;1,(2-AE610)^2/2,1-AE610^2/2)),$B$11))))</f>
        <v/>
      </c>
      <c r="AG610">
        <f>AG609*$B$28+AF610*(1-$B$28)</f>
        <v/>
      </c>
      <c r="AH610">
        <f>IF(AND(AD610&gt;0,AC610&lt;=0),0,AC610)</f>
        <v/>
      </c>
      <c r="AI610">
        <f>AH610/MAX(AG610,0.000001)</f>
        <v/>
      </c>
      <c r="AJ610">
        <f>MIN(IF(AI610&gt;=0.5,-AI610+SQRT(AI610^2+2),1),$B$12)</f>
        <v/>
      </c>
      <c r="AK610">
        <f>IF(AG610&lt;=0,0,AJ610*AH610)</f>
        <v/>
      </c>
      <c r="AL610">
        <f>IF(AD610&lt;=0,0,AD610)</f>
        <v/>
      </c>
      <c r="AM610">
        <f>AL610-AK610+P610</f>
        <v/>
      </c>
      <c r="AN610">
        <f>((AM610/$B$7+T609*AS609/2-T610*MAX(0.1,MIN(0.3,0.3-0.09*(AR609-36.8)))/2)+AR609*(1-AS609/2))/(1-MAX(0.1,MIN(0.3,0.3-0.09*(AR609-36.8)))/2)</f>
        <v/>
      </c>
      <c r="AO610">
        <f>((AM610/$B$7+T609*AS609/2-T610*MAX(0.1,MIN(0.3,0.3-0.09*(AN610-36.8)))/2)+AR609*(1-AS609/2))/(1-MAX(0.1,MIN(0.3,0.3-0.09*(AN610-36.8)))/2)</f>
        <v/>
      </c>
      <c r="AP610">
        <f>((AM610/$B$7+T609*AS609/2-T610*MAX(0.1,MIN(0.3,0.3-0.09*(AO610-36.8)))/2)+AR609*(1-AS609/2))/(1-MAX(0.1,MIN(0.3,0.3-0.09*(AO610-36.8)))/2)</f>
        <v/>
      </c>
      <c r="AQ610">
        <f>((AM610/$B$7+T609*AS609/2-T610*MAX(0.1,MIN(0.3,0.3-0.09*(AP610-36.8)))/2)+AR609*(1-AS609/2))/(1-MAX(0.1,MIN(0.3,0.3-0.09*(AP610-36.8)))/2)</f>
        <v/>
      </c>
      <c r="AR610">
        <f>((AM610/$B$7+T609*AS609/2-T610*MAX(0.1,MIN(0.3,0.3-0.09*(AQ610-36.8)))/2)+AR609*(1-AS609/2))/(1-MAX(0.1,MIN(0.3,0.3-0.09*(AQ610-36.8)))/2)</f>
        <v/>
      </c>
      <c r="AS610">
        <f>MAX(0.1,MIN(0.3,0.3-0.09*(AR610-36.8)))</f>
        <v/>
      </c>
      <c r="AT610">
        <f>AT609+(2*AR610-1.962*AT609-1.31)/9</f>
        <v/>
      </c>
      <c r="AU610">
        <f>AU609+AG610+K610</f>
        <v/>
      </c>
      <c r="AV610">
        <f>AU610*2.67*$B$6/1.8/60</f>
        <v/>
      </c>
      <c r="AW610">
        <f>IF(AT610&gt;=$B$36,1,0)</f>
        <v/>
      </c>
      <c r="AX610">
        <f>IF(AV610&gt;=$B$21,1,0)</f>
        <v/>
      </c>
    </row>
    <row r="611">
      <c r="A611" t="n">
        <v>538</v>
      </c>
      <c r="B611">
        <f>MATCH(A611-1,$D$61:$D$68,1)</f>
        <v/>
      </c>
      <c r="C611">
        <f>INDEX($G$61:$G$68,B611)</f>
        <v/>
      </c>
      <c r="D611">
        <f>INDEX($L$61:$L$68,B611)</f>
        <v/>
      </c>
      <c r="E611">
        <f>INDEX($M$61:$M$68,B611)</f>
        <v/>
      </c>
      <c r="F611">
        <f>INDEX($N$61:$N$68,B611)</f>
        <v/>
      </c>
      <c r="G611">
        <f>INDEX($AA$61:$AA$68,B611)</f>
        <v/>
      </c>
      <c r="H611">
        <f>INDEX($X$61:$X$68,B611)</f>
        <v/>
      </c>
      <c r="I611">
        <f>INDEX($AF$61:$AF$68,B611)</f>
        <v/>
      </c>
      <c r="J611">
        <f>INDEX($AC$61:$AC$68,B611)</f>
        <v/>
      </c>
      <c r="K611">
        <f>INDEX($AD$61:$AD$68,B611)</f>
        <v/>
      </c>
      <c r="L611">
        <f>INDEX($AG$61:$AG$68,B611)</f>
        <v/>
      </c>
      <c r="M611">
        <f>INDEX($AH$61:$AH$68,B611)</f>
        <v/>
      </c>
      <c r="N611">
        <f>INDEX($AI$61:$AI$68,B611)</f>
        <v/>
      </c>
      <c r="O611">
        <f>O610*$B$26+L611*(1-$B$26)</f>
        <v/>
      </c>
      <c r="P611">
        <f>$B$7*(O611-O610)*(1-AS610)</f>
        <v/>
      </c>
      <c r="Q611">
        <f>M611+0.51274*AT610</f>
        <v/>
      </c>
      <c r="R611">
        <f>N611+0.616*AT610</f>
        <v/>
      </c>
      <c r="S611">
        <f>IF($B$13&gt;=0.6,Q611,IF($B$13&lt;=0.2,R611,R611+2.5*(Q611-R611)*($B$13-0.2)))</f>
        <v/>
      </c>
      <c r="T611">
        <f>IF(A611=1,S611,T610*$B$27+S611*(1-$B$27))</f>
        <v/>
      </c>
      <c r="U611">
        <f>0.6105*EXP(17.27*T611/(T611+237.3))</f>
        <v/>
      </c>
      <c r="V611">
        <f>($B$14*(I611*C611+IF(ABS((D611+0.1)-D611)&lt;0.000000001,4*$B$19*$B$20*(D611+273)^3,$B$19*$B$20*(((D611+0.1)+273)^4-(D611+273)^4)/((D611+0.1)-D611))*D611)+T611/H611)/($B$14*(I611+IF(ABS((D611+0.1)-D611)&lt;0.000000001,4*$B$19*$B$20*(D611+273)^3,$B$19*$B$20*(((D611+0.1)+273)^4-(D611+273)^4)/((D611+0.1)-D611)))+1/H611)</f>
        <v/>
      </c>
      <c r="W611">
        <f>($B$14*(I611*C611+IF(ABS(V611-D611)&lt;0.000000001,4*$B$19*$B$20*(D611+273)^3,$B$19*$B$20*((V611+273)^4-(D611+273)^4)/(V611-D611))*D611)+T611/H611)/($B$14*(I611+IF(ABS(V611-D611)&lt;0.000000001,4*$B$19*$B$20*(D611+273)^3,$B$19*$B$20*((V611+273)^4-(D611+273)^4)/(V611-D611)))+1/H611)</f>
        <v/>
      </c>
      <c r="X611">
        <f>($B$14*(I611*C611+IF(ABS(W611-D611)&lt;0.000000001,4*$B$19*$B$20*(D611+273)^3,$B$19*$B$20*((W611+273)^4-(D611+273)^4)/(W611-D611))*D611)+T611/H611)/($B$14*(I611+IF(ABS(W611-D611)&lt;0.000000001,4*$B$19*$B$20*(D611+273)^3,$B$19*$B$20*((W611+273)^4-(D611+273)^4)/(W611-D611)))+1/H611)</f>
        <v/>
      </c>
      <c r="Y611">
        <f>($B$14*(I611*C611+IF(ABS(X611-D611)&lt;0.000000001,4*$B$19*$B$20*(D611+273)^3,$B$19*$B$20*((X611+273)^4-(D611+273)^4)/(X611-D611))*D611)+T611/H611)/($B$14*(I611+IF(ABS(X611-D611)&lt;0.000000001,4*$B$19*$B$20*(D611+273)^3,$B$19*$B$20*((X611+273)^4-(D611+273)^4)/(X611-D611)))+1/H611)</f>
        <v/>
      </c>
      <c r="Z611">
        <f>IF(ABS(Y611-D611)&lt;0.000000001,4*$B$19*$B$20*(D611+273)^3,$B$19*$B$20*((Y611+273)^4-(D611+273)^4)/(Y611-D611))</f>
        <v/>
      </c>
      <c r="AA611">
        <f>$B$14*I611*(Y611-C611)</f>
        <v/>
      </c>
      <c r="AB611">
        <f>$B$14*Z611*(Y611-D611)</f>
        <v/>
      </c>
      <c r="AC611">
        <f>IF((U611-E611)/G611=0,0.001,(U611-E611)/G611)</f>
        <v/>
      </c>
      <c r="AD611">
        <f>F611-P611-J611-K611-AA611-AB611</f>
        <v/>
      </c>
      <c r="AE611">
        <f>AD611/AC611</f>
        <v/>
      </c>
      <c r="AF611">
        <f>IF(AD611&lt;=0,0,IF(AC611&lt;=0,$B$11,IF(AE611&gt;=1.7,$B$11,MIN(AD611/MAX(0.05,IF(AE611&gt;1,(2-AE611)^2/2,1-AE611^2/2)),$B$11))))</f>
        <v/>
      </c>
      <c r="AG611">
        <f>AG610*$B$28+AF611*(1-$B$28)</f>
        <v/>
      </c>
      <c r="AH611">
        <f>IF(AND(AD611&gt;0,AC611&lt;=0),0,AC611)</f>
        <v/>
      </c>
      <c r="AI611">
        <f>AH611/MAX(AG611,0.000001)</f>
        <v/>
      </c>
      <c r="AJ611">
        <f>MIN(IF(AI611&gt;=0.5,-AI611+SQRT(AI611^2+2),1),$B$12)</f>
        <v/>
      </c>
      <c r="AK611">
        <f>IF(AG611&lt;=0,0,AJ611*AH611)</f>
        <v/>
      </c>
      <c r="AL611">
        <f>IF(AD611&lt;=0,0,AD611)</f>
        <v/>
      </c>
      <c r="AM611">
        <f>AL611-AK611+P611</f>
        <v/>
      </c>
      <c r="AN611">
        <f>((AM611/$B$7+T610*AS610/2-T611*MAX(0.1,MIN(0.3,0.3-0.09*(AR610-36.8)))/2)+AR610*(1-AS610/2))/(1-MAX(0.1,MIN(0.3,0.3-0.09*(AR610-36.8)))/2)</f>
        <v/>
      </c>
      <c r="AO611">
        <f>((AM611/$B$7+T610*AS610/2-T611*MAX(0.1,MIN(0.3,0.3-0.09*(AN611-36.8)))/2)+AR610*(1-AS610/2))/(1-MAX(0.1,MIN(0.3,0.3-0.09*(AN611-36.8)))/2)</f>
        <v/>
      </c>
      <c r="AP611">
        <f>((AM611/$B$7+T610*AS610/2-T611*MAX(0.1,MIN(0.3,0.3-0.09*(AO611-36.8)))/2)+AR610*(1-AS610/2))/(1-MAX(0.1,MIN(0.3,0.3-0.09*(AO611-36.8)))/2)</f>
        <v/>
      </c>
      <c r="AQ611">
        <f>((AM611/$B$7+T610*AS610/2-T611*MAX(0.1,MIN(0.3,0.3-0.09*(AP611-36.8)))/2)+AR610*(1-AS610/2))/(1-MAX(0.1,MIN(0.3,0.3-0.09*(AP611-36.8)))/2)</f>
        <v/>
      </c>
      <c r="AR611">
        <f>((AM611/$B$7+T610*AS610/2-T611*MAX(0.1,MIN(0.3,0.3-0.09*(AQ611-36.8)))/2)+AR610*(1-AS610/2))/(1-MAX(0.1,MIN(0.3,0.3-0.09*(AQ611-36.8)))/2)</f>
        <v/>
      </c>
      <c r="AS611">
        <f>MAX(0.1,MIN(0.3,0.3-0.09*(AR611-36.8)))</f>
        <v/>
      </c>
      <c r="AT611">
        <f>AT610+(2*AR611-1.962*AT610-1.31)/9</f>
        <v/>
      </c>
      <c r="AU611">
        <f>AU610+AG611+K611</f>
        <v/>
      </c>
      <c r="AV611">
        <f>AU611*2.67*$B$6/1.8/60</f>
        <v/>
      </c>
      <c r="AW611">
        <f>IF(AT611&gt;=$B$36,1,0)</f>
        <v/>
      </c>
      <c r="AX611">
        <f>IF(AV611&gt;=$B$21,1,0)</f>
        <v/>
      </c>
    </row>
    <row r="612">
      <c r="A612" t="n">
        <v>539</v>
      </c>
      <c r="B612">
        <f>MATCH(A612-1,$D$61:$D$68,1)</f>
        <v/>
      </c>
      <c r="C612">
        <f>INDEX($G$61:$G$68,B612)</f>
        <v/>
      </c>
      <c r="D612">
        <f>INDEX($L$61:$L$68,B612)</f>
        <v/>
      </c>
      <c r="E612">
        <f>INDEX($M$61:$M$68,B612)</f>
        <v/>
      </c>
      <c r="F612">
        <f>INDEX($N$61:$N$68,B612)</f>
        <v/>
      </c>
      <c r="G612">
        <f>INDEX($AA$61:$AA$68,B612)</f>
        <v/>
      </c>
      <c r="H612">
        <f>INDEX($X$61:$X$68,B612)</f>
        <v/>
      </c>
      <c r="I612">
        <f>INDEX($AF$61:$AF$68,B612)</f>
        <v/>
      </c>
      <c r="J612">
        <f>INDEX($AC$61:$AC$68,B612)</f>
        <v/>
      </c>
      <c r="K612">
        <f>INDEX($AD$61:$AD$68,B612)</f>
        <v/>
      </c>
      <c r="L612">
        <f>INDEX($AG$61:$AG$68,B612)</f>
        <v/>
      </c>
      <c r="M612">
        <f>INDEX($AH$61:$AH$68,B612)</f>
        <v/>
      </c>
      <c r="N612">
        <f>INDEX($AI$61:$AI$68,B612)</f>
        <v/>
      </c>
      <c r="O612">
        <f>O611*$B$26+L612*(1-$B$26)</f>
        <v/>
      </c>
      <c r="P612">
        <f>$B$7*(O612-O611)*(1-AS611)</f>
        <v/>
      </c>
      <c r="Q612">
        <f>M612+0.51274*AT611</f>
        <v/>
      </c>
      <c r="R612">
        <f>N612+0.616*AT611</f>
        <v/>
      </c>
      <c r="S612">
        <f>IF($B$13&gt;=0.6,Q612,IF($B$13&lt;=0.2,R612,R612+2.5*(Q612-R612)*($B$13-0.2)))</f>
        <v/>
      </c>
      <c r="T612">
        <f>IF(A612=1,S612,T611*$B$27+S612*(1-$B$27))</f>
        <v/>
      </c>
      <c r="U612">
        <f>0.6105*EXP(17.27*T612/(T612+237.3))</f>
        <v/>
      </c>
      <c r="V612">
        <f>($B$14*(I612*C612+IF(ABS((D612+0.1)-D612)&lt;0.000000001,4*$B$19*$B$20*(D612+273)^3,$B$19*$B$20*(((D612+0.1)+273)^4-(D612+273)^4)/((D612+0.1)-D612))*D612)+T612/H612)/($B$14*(I612+IF(ABS((D612+0.1)-D612)&lt;0.000000001,4*$B$19*$B$20*(D612+273)^3,$B$19*$B$20*(((D612+0.1)+273)^4-(D612+273)^4)/((D612+0.1)-D612)))+1/H612)</f>
        <v/>
      </c>
      <c r="W612">
        <f>($B$14*(I612*C612+IF(ABS(V612-D612)&lt;0.000000001,4*$B$19*$B$20*(D612+273)^3,$B$19*$B$20*((V612+273)^4-(D612+273)^4)/(V612-D612))*D612)+T612/H612)/($B$14*(I612+IF(ABS(V612-D612)&lt;0.000000001,4*$B$19*$B$20*(D612+273)^3,$B$19*$B$20*((V612+273)^4-(D612+273)^4)/(V612-D612)))+1/H612)</f>
        <v/>
      </c>
      <c r="X612">
        <f>($B$14*(I612*C612+IF(ABS(W612-D612)&lt;0.000000001,4*$B$19*$B$20*(D612+273)^3,$B$19*$B$20*((W612+273)^4-(D612+273)^4)/(W612-D612))*D612)+T612/H612)/($B$14*(I612+IF(ABS(W612-D612)&lt;0.000000001,4*$B$19*$B$20*(D612+273)^3,$B$19*$B$20*((W612+273)^4-(D612+273)^4)/(W612-D612)))+1/H612)</f>
        <v/>
      </c>
      <c r="Y612">
        <f>($B$14*(I612*C612+IF(ABS(X612-D612)&lt;0.000000001,4*$B$19*$B$20*(D612+273)^3,$B$19*$B$20*((X612+273)^4-(D612+273)^4)/(X612-D612))*D612)+T612/H612)/($B$14*(I612+IF(ABS(X612-D612)&lt;0.000000001,4*$B$19*$B$20*(D612+273)^3,$B$19*$B$20*((X612+273)^4-(D612+273)^4)/(X612-D612)))+1/H612)</f>
        <v/>
      </c>
      <c r="Z612">
        <f>IF(ABS(Y612-D612)&lt;0.000000001,4*$B$19*$B$20*(D612+273)^3,$B$19*$B$20*((Y612+273)^4-(D612+273)^4)/(Y612-D612))</f>
        <v/>
      </c>
      <c r="AA612">
        <f>$B$14*I612*(Y612-C612)</f>
        <v/>
      </c>
      <c r="AB612">
        <f>$B$14*Z612*(Y612-D612)</f>
        <v/>
      </c>
      <c r="AC612">
        <f>IF((U612-E612)/G612=0,0.001,(U612-E612)/G612)</f>
        <v/>
      </c>
      <c r="AD612">
        <f>F612-P612-J612-K612-AA612-AB612</f>
        <v/>
      </c>
      <c r="AE612">
        <f>AD612/AC612</f>
        <v/>
      </c>
      <c r="AF612">
        <f>IF(AD612&lt;=0,0,IF(AC612&lt;=0,$B$11,IF(AE612&gt;=1.7,$B$11,MIN(AD612/MAX(0.05,IF(AE612&gt;1,(2-AE612)^2/2,1-AE612^2/2)),$B$11))))</f>
        <v/>
      </c>
      <c r="AG612">
        <f>AG611*$B$28+AF612*(1-$B$28)</f>
        <v/>
      </c>
      <c r="AH612">
        <f>IF(AND(AD612&gt;0,AC612&lt;=0),0,AC612)</f>
        <v/>
      </c>
      <c r="AI612">
        <f>AH612/MAX(AG612,0.000001)</f>
        <v/>
      </c>
      <c r="AJ612">
        <f>MIN(IF(AI612&gt;=0.5,-AI612+SQRT(AI612^2+2),1),$B$12)</f>
        <v/>
      </c>
      <c r="AK612">
        <f>IF(AG612&lt;=0,0,AJ612*AH612)</f>
        <v/>
      </c>
      <c r="AL612">
        <f>IF(AD612&lt;=0,0,AD612)</f>
        <v/>
      </c>
      <c r="AM612">
        <f>AL612-AK612+P612</f>
        <v/>
      </c>
      <c r="AN612">
        <f>((AM612/$B$7+T611*AS611/2-T612*MAX(0.1,MIN(0.3,0.3-0.09*(AR611-36.8)))/2)+AR611*(1-AS611/2))/(1-MAX(0.1,MIN(0.3,0.3-0.09*(AR611-36.8)))/2)</f>
        <v/>
      </c>
      <c r="AO612">
        <f>((AM612/$B$7+T611*AS611/2-T612*MAX(0.1,MIN(0.3,0.3-0.09*(AN612-36.8)))/2)+AR611*(1-AS611/2))/(1-MAX(0.1,MIN(0.3,0.3-0.09*(AN612-36.8)))/2)</f>
        <v/>
      </c>
      <c r="AP612">
        <f>((AM612/$B$7+T611*AS611/2-T612*MAX(0.1,MIN(0.3,0.3-0.09*(AO612-36.8)))/2)+AR611*(1-AS611/2))/(1-MAX(0.1,MIN(0.3,0.3-0.09*(AO612-36.8)))/2)</f>
        <v/>
      </c>
      <c r="AQ612">
        <f>((AM612/$B$7+T611*AS611/2-T612*MAX(0.1,MIN(0.3,0.3-0.09*(AP612-36.8)))/2)+AR611*(1-AS611/2))/(1-MAX(0.1,MIN(0.3,0.3-0.09*(AP612-36.8)))/2)</f>
        <v/>
      </c>
      <c r="AR612">
        <f>((AM612/$B$7+T611*AS611/2-T612*MAX(0.1,MIN(0.3,0.3-0.09*(AQ612-36.8)))/2)+AR611*(1-AS611/2))/(1-MAX(0.1,MIN(0.3,0.3-0.09*(AQ612-36.8)))/2)</f>
        <v/>
      </c>
      <c r="AS612">
        <f>MAX(0.1,MIN(0.3,0.3-0.09*(AR612-36.8)))</f>
        <v/>
      </c>
      <c r="AT612">
        <f>AT611+(2*AR612-1.962*AT611-1.31)/9</f>
        <v/>
      </c>
      <c r="AU612">
        <f>AU611+AG612+K612</f>
        <v/>
      </c>
      <c r="AV612">
        <f>AU612*2.67*$B$6/1.8/60</f>
        <v/>
      </c>
      <c r="AW612">
        <f>IF(AT612&gt;=$B$36,1,0)</f>
        <v/>
      </c>
      <c r="AX612">
        <f>IF(AV612&gt;=$B$21,1,0)</f>
        <v/>
      </c>
    </row>
    <row r="613">
      <c r="A613" t="n">
        <v>540</v>
      </c>
      <c r="B613">
        <f>MATCH(A613-1,$D$61:$D$68,1)</f>
        <v/>
      </c>
      <c r="C613">
        <f>INDEX($G$61:$G$68,B613)</f>
        <v/>
      </c>
      <c r="D613">
        <f>INDEX($L$61:$L$68,B613)</f>
        <v/>
      </c>
      <c r="E613">
        <f>INDEX($M$61:$M$68,B613)</f>
        <v/>
      </c>
      <c r="F613">
        <f>INDEX($N$61:$N$68,B613)</f>
        <v/>
      </c>
      <c r="G613">
        <f>INDEX($AA$61:$AA$68,B613)</f>
        <v/>
      </c>
      <c r="H613">
        <f>INDEX($X$61:$X$68,B613)</f>
        <v/>
      </c>
      <c r="I613">
        <f>INDEX($AF$61:$AF$68,B613)</f>
        <v/>
      </c>
      <c r="J613">
        <f>INDEX($AC$61:$AC$68,B613)</f>
        <v/>
      </c>
      <c r="K613">
        <f>INDEX($AD$61:$AD$68,B613)</f>
        <v/>
      </c>
      <c r="L613">
        <f>INDEX($AG$61:$AG$68,B613)</f>
        <v/>
      </c>
      <c r="M613">
        <f>INDEX($AH$61:$AH$68,B613)</f>
        <v/>
      </c>
      <c r="N613">
        <f>INDEX($AI$61:$AI$68,B613)</f>
        <v/>
      </c>
      <c r="O613">
        <f>O612*$B$26+L613*(1-$B$26)</f>
        <v/>
      </c>
      <c r="P613">
        <f>$B$7*(O613-O612)*(1-AS612)</f>
        <v/>
      </c>
      <c r="Q613">
        <f>M613+0.51274*AT612</f>
        <v/>
      </c>
      <c r="R613">
        <f>N613+0.616*AT612</f>
        <v/>
      </c>
      <c r="S613">
        <f>IF($B$13&gt;=0.6,Q613,IF($B$13&lt;=0.2,R613,R613+2.5*(Q613-R613)*($B$13-0.2)))</f>
        <v/>
      </c>
      <c r="T613">
        <f>IF(A613=1,S613,T612*$B$27+S613*(1-$B$27))</f>
        <v/>
      </c>
      <c r="U613">
        <f>0.6105*EXP(17.27*T613/(T613+237.3))</f>
        <v/>
      </c>
      <c r="V613">
        <f>($B$14*(I613*C613+IF(ABS((D613+0.1)-D613)&lt;0.000000001,4*$B$19*$B$20*(D613+273)^3,$B$19*$B$20*(((D613+0.1)+273)^4-(D613+273)^4)/((D613+0.1)-D613))*D613)+T613/H613)/($B$14*(I613+IF(ABS((D613+0.1)-D613)&lt;0.000000001,4*$B$19*$B$20*(D613+273)^3,$B$19*$B$20*(((D613+0.1)+273)^4-(D613+273)^4)/((D613+0.1)-D613)))+1/H613)</f>
        <v/>
      </c>
      <c r="W613">
        <f>($B$14*(I613*C613+IF(ABS(V613-D613)&lt;0.000000001,4*$B$19*$B$20*(D613+273)^3,$B$19*$B$20*((V613+273)^4-(D613+273)^4)/(V613-D613))*D613)+T613/H613)/($B$14*(I613+IF(ABS(V613-D613)&lt;0.000000001,4*$B$19*$B$20*(D613+273)^3,$B$19*$B$20*((V613+273)^4-(D613+273)^4)/(V613-D613)))+1/H613)</f>
        <v/>
      </c>
      <c r="X613">
        <f>($B$14*(I613*C613+IF(ABS(W613-D613)&lt;0.000000001,4*$B$19*$B$20*(D613+273)^3,$B$19*$B$20*((W613+273)^4-(D613+273)^4)/(W613-D613))*D613)+T613/H613)/($B$14*(I613+IF(ABS(W613-D613)&lt;0.000000001,4*$B$19*$B$20*(D613+273)^3,$B$19*$B$20*((W613+273)^4-(D613+273)^4)/(W613-D613)))+1/H613)</f>
        <v/>
      </c>
      <c r="Y613">
        <f>($B$14*(I613*C613+IF(ABS(X613-D613)&lt;0.000000001,4*$B$19*$B$20*(D613+273)^3,$B$19*$B$20*((X613+273)^4-(D613+273)^4)/(X613-D613))*D613)+T613/H613)/($B$14*(I613+IF(ABS(X613-D613)&lt;0.000000001,4*$B$19*$B$20*(D613+273)^3,$B$19*$B$20*((X613+273)^4-(D613+273)^4)/(X613-D613)))+1/H613)</f>
        <v/>
      </c>
      <c r="Z613">
        <f>IF(ABS(Y613-D613)&lt;0.000000001,4*$B$19*$B$20*(D613+273)^3,$B$19*$B$20*((Y613+273)^4-(D613+273)^4)/(Y613-D613))</f>
        <v/>
      </c>
      <c r="AA613">
        <f>$B$14*I613*(Y613-C613)</f>
        <v/>
      </c>
      <c r="AB613">
        <f>$B$14*Z613*(Y613-D613)</f>
        <v/>
      </c>
      <c r="AC613">
        <f>IF((U613-E613)/G613=0,0.001,(U613-E613)/G613)</f>
        <v/>
      </c>
      <c r="AD613">
        <f>F613-P613-J613-K613-AA613-AB613</f>
        <v/>
      </c>
      <c r="AE613">
        <f>AD613/AC613</f>
        <v/>
      </c>
      <c r="AF613">
        <f>IF(AD613&lt;=0,0,IF(AC613&lt;=0,$B$11,IF(AE613&gt;=1.7,$B$11,MIN(AD613/MAX(0.05,IF(AE613&gt;1,(2-AE613)^2/2,1-AE613^2/2)),$B$11))))</f>
        <v/>
      </c>
      <c r="AG613">
        <f>AG612*$B$28+AF613*(1-$B$28)</f>
        <v/>
      </c>
      <c r="AH613">
        <f>IF(AND(AD613&gt;0,AC613&lt;=0),0,AC613)</f>
        <v/>
      </c>
      <c r="AI613">
        <f>AH613/MAX(AG613,0.000001)</f>
        <v/>
      </c>
      <c r="AJ613">
        <f>MIN(IF(AI613&gt;=0.5,-AI613+SQRT(AI613^2+2),1),$B$12)</f>
        <v/>
      </c>
      <c r="AK613">
        <f>IF(AG613&lt;=0,0,AJ613*AH613)</f>
        <v/>
      </c>
      <c r="AL613">
        <f>IF(AD613&lt;=0,0,AD613)</f>
        <v/>
      </c>
      <c r="AM613">
        <f>AL613-AK613+P613</f>
        <v/>
      </c>
      <c r="AN613">
        <f>((AM613/$B$7+T612*AS612/2-T613*MAX(0.1,MIN(0.3,0.3-0.09*(AR612-36.8)))/2)+AR612*(1-AS612/2))/(1-MAX(0.1,MIN(0.3,0.3-0.09*(AR612-36.8)))/2)</f>
        <v/>
      </c>
      <c r="AO613">
        <f>((AM613/$B$7+T612*AS612/2-T613*MAX(0.1,MIN(0.3,0.3-0.09*(AN613-36.8)))/2)+AR612*(1-AS612/2))/(1-MAX(0.1,MIN(0.3,0.3-0.09*(AN613-36.8)))/2)</f>
        <v/>
      </c>
      <c r="AP613">
        <f>((AM613/$B$7+T612*AS612/2-T613*MAX(0.1,MIN(0.3,0.3-0.09*(AO613-36.8)))/2)+AR612*(1-AS612/2))/(1-MAX(0.1,MIN(0.3,0.3-0.09*(AO613-36.8)))/2)</f>
        <v/>
      </c>
      <c r="AQ613">
        <f>((AM613/$B$7+T612*AS612/2-T613*MAX(0.1,MIN(0.3,0.3-0.09*(AP613-36.8)))/2)+AR612*(1-AS612/2))/(1-MAX(0.1,MIN(0.3,0.3-0.09*(AP613-36.8)))/2)</f>
        <v/>
      </c>
      <c r="AR613">
        <f>((AM613/$B$7+T612*AS612/2-T613*MAX(0.1,MIN(0.3,0.3-0.09*(AQ613-36.8)))/2)+AR612*(1-AS612/2))/(1-MAX(0.1,MIN(0.3,0.3-0.09*(AQ613-36.8)))/2)</f>
        <v/>
      </c>
      <c r="AS613">
        <f>MAX(0.1,MIN(0.3,0.3-0.09*(AR613-36.8)))</f>
        <v/>
      </c>
      <c r="AT613">
        <f>AT612+(2*AR613-1.962*AT612-1.31)/9</f>
        <v/>
      </c>
      <c r="AU613">
        <f>AU612+AG613+K613</f>
        <v/>
      </c>
      <c r="AV613">
        <f>AU613*2.67*$B$6/1.8/60</f>
        <v/>
      </c>
      <c r="AW613">
        <f>IF(AT613&gt;=$B$36,1,0)</f>
        <v/>
      </c>
      <c r="AX613">
        <f>IF(AV613&gt;=$B$21,1,0)</f>
        <v/>
      </c>
    </row>
    <row r="614">
      <c r="A614" t="n">
        <v>541</v>
      </c>
      <c r="B614">
        <f>MATCH(A614-1,$D$61:$D$68,1)</f>
        <v/>
      </c>
      <c r="C614">
        <f>INDEX($G$61:$G$68,B614)</f>
        <v/>
      </c>
      <c r="D614">
        <f>INDEX($L$61:$L$68,B614)</f>
        <v/>
      </c>
      <c r="E614">
        <f>INDEX($M$61:$M$68,B614)</f>
        <v/>
      </c>
      <c r="F614">
        <f>INDEX($N$61:$N$68,B614)</f>
        <v/>
      </c>
      <c r="G614">
        <f>INDEX($AA$61:$AA$68,B614)</f>
        <v/>
      </c>
      <c r="H614">
        <f>INDEX($X$61:$X$68,B614)</f>
        <v/>
      </c>
      <c r="I614">
        <f>INDEX($AF$61:$AF$68,B614)</f>
        <v/>
      </c>
      <c r="J614">
        <f>INDEX($AC$61:$AC$68,B614)</f>
        <v/>
      </c>
      <c r="K614">
        <f>INDEX($AD$61:$AD$68,B614)</f>
        <v/>
      </c>
      <c r="L614">
        <f>INDEX($AG$61:$AG$68,B614)</f>
        <v/>
      </c>
      <c r="M614">
        <f>INDEX($AH$61:$AH$68,B614)</f>
        <v/>
      </c>
      <c r="N614">
        <f>INDEX($AI$61:$AI$68,B614)</f>
        <v/>
      </c>
      <c r="O614">
        <f>O613*$B$26+L614*(1-$B$26)</f>
        <v/>
      </c>
      <c r="P614">
        <f>$B$7*(O614-O613)*(1-AS613)</f>
        <v/>
      </c>
      <c r="Q614">
        <f>M614+0.51274*AT613</f>
        <v/>
      </c>
      <c r="R614">
        <f>N614+0.616*AT613</f>
        <v/>
      </c>
      <c r="S614">
        <f>IF($B$13&gt;=0.6,Q614,IF($B$13&lt;=0.2,R614,R614+2.5*(Q614-R614)*($B$13-0.2)))</f>
        <v/>
      </c>
      <c r="T614">
        <f>IF(A614=1,S614,T613*$B$27+S614*(1-$B$27))</f>
        <v/>
      </c>
      <c r="U614">
        <f>0.6105*EXP(17.27*T614/(T614+237.3))</f>
        <v/>
      </c>
      <c r="V614">
        <f>($B$14*(I614*C614+IF(ABS((D614+0.1)-D614)&lt;0.000000001,4*$B$19*$B$20*(D614+273)^3,$B$19*$B$20*(((D614+0.1)+273)^4-(D614+273)^4)/((D614+0.1)-D614))*D614)+T614/H614)/($B$14*(I614+IF(ABS((D614+0.1)-D614)&lt;0.000000001,4*$B$19*$B$20*(D614+273)^3,$B$19*$B$20*(((D614+0.1)+273)^4-(D614+273)^4)/((D614+0.1)-D614)))+1/H614)</f>
        <v/>
      </c>
      <c r="W614">
        <f>($B$14*(I614*C614+IF(ABS(V614-D614)&lt;0.000000001,4*$B$19*$B$20*(D614+273)^3,$B$19*$B$20*((V614+273)^4-(D614+273)^4)/(V614-D614))*D614)+T614/H614)/($B$14*(I614+IF(ABS(V614-D614)&lt;0.000000001,4*$B$19*$B$20*(D614+273)^3,$B$19*$B$20*((V614+273)^4-(D614+273)^4)/(V614-D614)))+1/H614)</f>
        <v/>
      </c>
      <c r="X614">
        <f>($B$14*(I614*C614+IF(ABS(W614-D614)&lt;0.000000001,4*$B$19*$B$20*(D614+273)^3,$B$19*$B$20*((W614+273)^4-(D614+273)^4)/(W614-D614))*D614)+T614/H614)/($B$14*(I614+IF(ABS(W614-D614)&lt;0.000000001,4*$B$19*$B$20*(D614+273)^3,$B$19*$B$20*((W614+273)^4-(D614+273)^4)/(W614-D614)))+1/H614)</f>
        <v/>
      </c>
      <c r="Y614">
        <f>($B$14*(I614*C614+IF(ABS(X614-D614)&lt;0.000000001,4*$B$19*$B$20*(D614+273)^3,$B$19*$B$20*((X614+273)^4-(D614+273)^4)/(X614-D614))*D614)+T614/H614)/($B$14*(I614+IF(ABS(X614-D614)&lt;0.000000001,4*$B$19*$B$20*(D614+273)^3,$B$19*$B$20*((X614+273)^4-(D614+273)^4)/(X614-D614)))+1/H614)</f>
        <v/>
      </c>
      <c r="Z614">
        <f>IF(ABS(Y614-D614)&lt;0.000000001,4*$B$19*$B$20*(D614+273)^3,$B$19*$B$20*((Y614+273)^4-(D614+273)^4)/(Y614-D614))</f>
        <v/>
      </c>
      <c r="AA614">
        <f>$B$14*I614*(Y614-C614)</f>
        <v/>
      </c>
      <c r="AB614">
        <f>$B$14*Z614*(Y614-D614)</f>
        <v/>
      </c>
      <c r="AC614">
        <f>IF((U614-E614)/G614=0,0.001,(U614-E614)/G614)</f>
        <v/>
      </c>
      <c r="AD614">
        <f>F614-P614-J614-K614-AA614-AB614</f>
        <v/>
      </c>
      <c r="AE614">
        <f>AD614/AC614</f>
        <v/>
      </c>
      <c r="AF614">
        <f>IF(AD614&lt;=0,0,IF(AC614&lt;=0,$B$11,IF(AE614&gt;=1.7,$B$11,MIN(AD614/MAX(0.05,IF(AE614&gt;1,(2-AE614)^2/2,1-AE614^2/2)),$B$11))))</f>
        <v/>
      </c>
      <c r="AG614">
        <f>AG613*$B$28+AF614*(1-$B$28)</f>
        <v/>
      </c>
      <c r="AH614">
        <f>IF(AND(AD614&gt;0,AC614&lt;=0),0,AC614)</f>
        <v/>
      </c>
      <c r="AI614">
        <f>AH614/MAX(AG614,0.000001)</f>
        <v/>
      </c>
      <c r="AJ614">
        <f>MIN(IF(AI614&gt;=0.5,-AI614+SQRT(AI614^2+2),1),$B$12)</f>
        <v/>
      </c>
      <c r="AK614">
        <f>IF(AG614&lt;=0,0,AJ614*AH614)</f>
        <v/>
      </c>
      <c r="AL614">
        <f>IF(AD614&lt;=0,0,AD614)</f>
        <v/>
      </c>
      <c r="AM614">
        <f>AL614-AK614+P614</f>
        <v/>
      </c>
      <c r="AN614">
        <f>((AM614/$B$7+T613*AS613/2-T614*MAX(0.1,MIN(0.3,0.3-0.09*(AR613-36.8)))/2)+AR613*(1-AS613/2))/(1-MAX(0.1,MIN(0.3,0.3-0.09*(AR613-36.8)))/2)</f>
        <v/>
      </c>
      <c r="AO614">
        <f>((AM614/$B$7+T613*AS613/2-T614*MAX(0.1,MIN(0.3,0.3-0.09*(AN614-36.8)))/2)+AR613*(1-AS613/2))/(1-MAX(0.1,MIN(0.3,0.3-0.09*(AN614-36.8)))/2)</f>
        <v/>
      </c>
      <c r="AP614">
        <f>((AM614/$B$7+T613*AS613/2-T614*MAX(0.1,MIN(0.3,0.3-0.09*(AO614-36.8)))/2)+AR613*(1-AS613/2))/(1-MAX(0.1,MIN(0.3,0.3-0.09*(AO614-36.8)))/2)</f>
        <v/>
      </c>
      <c r="AQ614">
        <f>((AM614/$B$7+T613*AS613/2-T614*MAX(0.1,MIN(0.3,0.3-0.09*(AP614-36.8)))/2)+AR613*(1-AS613/2))/(1-MAX(0.1,MIN(0.3,0.3-0.09*(AP614-36.8)))/2)</f>
        <v/>
      </c>
      <c r="AR614">
        <f>((AM614/$B$7+T613*AS613/2-T614*MAX(0.1,MIN(0.3,0.3-0.09*(AQ614-36.8)))/2)+AR613*(1-AS613/2))/(1-MAX(0.1,MIN(0.3,0.3-0.09*(AQ614-36.8)))/2)</f>
        <v/>
      </c>
      <c r="AS614">
        <f>MAX(0.1,MIN(0.3,0.3-0.09*(AR614-36.8)))</f>
        <v/>
      </c>
      <c r="AT614">
        <f>AT613+(2*AR614-1.962*AT613-1.31)/9</f>
        <v/>
      </c>
      <c r="AU614">
        <f>AU613+AG614+K614</f>
        <v/>
      </c>
      <c r="AV614">
        <f>AU614*2.67*$B$6/1.8/60</f>
        <v/>
      </c>
      <c r="AW614">
        <f>IF(AT614&gt;=$B$36,1,0)</f>
        <v/>
      </c>
      <c r="AX614">
        <f>IF(AV614&gt;=$B$21,1,0)</f>
        <v/>
      </c>
    </row>
    <row r="615">
      <c r="A615" t="n">
        <v>542</v>
      </c>
      <c r="B615">
        <f>MATCH(A615-1,$D$61:$D$68,1)</f>
        <v/>
      </c>
      <c r="C615">
        <f>INDEX($G$61:$G$68,B615)</f>
        <v/>
      </c>
      <c r="D615">
        <f>INDEX($L$61:$L$68,B615)</f>
        <v/>
      </c>
      <c r="E615">
        <f>INDEX($M$61:$M$68,B615)</f>
        <v/>
      </c>
      <c r="F615">
        <f>INDEX($N$61:$N$68,B615)</f>
        <v/>
      </c>
      <c r="G615">
        <f>INDEX($AA$61:$AA$68,B615)</f>
        <v/>
      </c>
      <c r="H615">
        <f>INDEX($X$61:$X$68,B615)</f>
        <v/>
      </c>
      <c r="I615">
        <f>INDEX($AF$61:$AF$68,B615)</f>
        <v/>
      </c>
      <c r="J615">
        <f>INDEX($AC$61:$AC$68,B615)</f>
        <v/>
      </c>
      <c r="K615">
        <f>INDEX($AD$61:$AD$68,B615)</f>
        <v/>
      </c>
      <c r="L615">
        <f>INDEX($AG$61:$AG$68,B615)</f>
        <v/>
      </c>
      <c r="M615">
        <f>INDEX($AH$61:$AH$68,B615)</f>
        <v/>
      </c>
      <c r="N615">
        <f>INDEX($AI$61:$AI$68,B615)</f>
        <v/>
      </c>
      <c r="O615">
        <f>O614*$B$26+L615*(1-$B$26)</f>
        <v/>
      </c>
      <c r="P615">
        <f>$B$7*(O615-O614)*(1-AS614)</f>
        <v/>
      </c>
      <c r="Q615">
        <f>M615+0.51274*AT614</f>
        <v/>
      </c>
      <c r="R615">
        <f>N615+0.616*AT614</f>
        <v/>
      </c>
      <c r="S615">
        <f>IF($B$13&gt;=0.6,Q615,IF($B$13&lt;=0.2,R615,R615+2.5*(Q615-R615)*($B$13-0.2)))</f>
        <v/>
      </c>
      <c r="T615">
        <f>IF(A615=1,S615,T614*$B$27+S615*(1-$B$27))</f>
        <v/>
      </c>
      <c r="U615">
        <f>0.6105*EXP(17.27*T615/(T615+237.3))</f>
        <v/>
      </c>
      <c r="V615">
        <f>($B$14*(I615*C615+IF(ABS((D615+0.1)-D615)&lt;0.000000001,4*$B$19*$B$20*(D615+273)^3,$B$19*$B$20*(((D615+0.1)+273)^4-(D615+273)^4)/((D615+0.1)-D615))*D615)+T615/H615)/($B$14*(I615+IF(ABS((D615+0.1)-D615)&lt;0.000000001,4*$B$19*$B$20*(D615+273)^3,$B$19*$B$20*(((D615+0.1)+273)^4-(D615+273)^4)/((D615+0.1)-D615)))+1/H615)</f>
        <v/>
      </c>
      <c r="W615">
        <f>($B$14*(I615*C615+IF(ABS(V615-D615)&lt;0.000000001,4*$B$19*$B$20*(D615+273)^3,$B$19*$B$20*((V615+273)^4-(D615+273)^4)/(V615-D615))*D615)+T615/H615)/($B$14*(I615+IF(ABS(V615-D615)&lt;0.000000001,4*$B$19*$B$20*(D615+273)^3,$B$19*$B$20*((V615+273)^4-(D615+273)^4)/(V615-D615)))+1/H615)</f>
        <v/>
      </c>
      <c r="X615">
        <f>($B$14*(I615*C615+IF(ABS(W615-D615)&lt;0.000000001,4*$B$19*$B$20*(D615+273)^3,$B$19*$B$20*((W615+273)^4-(D615+273)^4)/(W615-D615))*D615)+T615/H615)/($B$14*(I615+IF(ABS(W615-D615)&lt;0.000000001,4*$B$19*$B$20*(D615+273)^3,$B$19*$B$20*((W615+273)^4-(D615+273)^4)/(W615-D615)))+1/H615)</f>
        <v/>
      </c>
      <c r="Y615">
        <f>($B$14*(I615*C615+IF(ABS(X615-D615)&lt;0.000000001,4*$B$19*$B$20*(D615+273)^3,$B$19*$B$20*((X615+273)^4-(D615+273)^4)/(X615-D615))*D615)+T615/H615)/($B$14*(I615+IF(ABS(X615-D615)&lt;0.000000001,4*$B$19*$B$20*(D615+273)^3,$B$19*$B$20*((X615+273)^4-(D615+273)^4)/(X615-D615)))+1/H615)</f>
        <v/>
      </c>
      <c r="Z615">
        <f>IF(ABS(Y615-D615)&lt;0.000000001,4*$B$19*$B$20*(D615+273)^3,$B$19*$B$20*((Y615+273)^4-(D615+273)^4)/(Y615-D615))</f>
        <v/>
      </c>
      <c r="AA615">
        <f>$B$14*I615*(Y615-C615)</f>
        <v/>
      </c>
      <c r="AB615">
        <f>$B$14*Z615*(Y615-D615)</f>
        <v/>
      </c>
      <c r="AC615">
        <f>IF((U615-E615)/G615=0,0.001,(U615-E615)/G615)</f>
        <v/>
      </c>
      <c r="AD615">
        <f>F615-P615-J615-K615-AA615-AB615</f>
        <v/>
      </c>
      <c r="AE615">
        <f>AD615/AC615</f>
        <v/>
      </c>
      <c r="AF615">
        <f>IF(AD615&lt;=0,0,IF(AC615&lt;=0,$B$11,IF(AE615&gt;=1.7,$B$11,MIN(AD615/MAX(0.05,IF(AE615&gt;1,(2-AE615)^2/2,1-AE615^2/2)),$B$11))))</f>
        <v/>
      </c>
      <c r="AG615">
        <f>AG614*$B$28+AF615*(1-$B$28)</f>
        <v/>
      </c>
      <c r="AH615">
        <f>IF(AND(AD615&gt;0,AC615&lt;=0),0,AC615)</f>
        <v/>
      </c>
      <c r="AI615">
        <f>AH615/MAX(AG615,0.000001)</f>
        <v/>
      </c>
      <c r="AJ615">
        <f>MIN(IF(AI615&gt;=0.5,-AI615+SQRT(AI615^2+2),1),$B$12)</f>
        <v/>
      </c>
      <c r="AK615">
        <f>IF(AG615&lt;=0,0,AJ615*AH615)</f>
        <v/>
      </c>
      <c r="AL615">
        <f>IF(AD615&lt;=0,0,AD615)</f>
        <v/>
      </c>
      <c r="AM615">
        <f>AL615-AK615+P615</f>
        <v/>
      </c>
      <c r="AN615">
        <f>((AM615/$B$7+T614*AS614/2-T615*MAX(0.1,MIN(0.3,0.3-0.09*(AR614-36.8)))/2)+AR614*(1-AS614/2))/(1-MAX(0.1,MIN(0.3,0.3-0.09*(AR614-36.8)))/2)</f>
        <v/>
      </c>
      <c r="AO615">
        <f>((AM615/$B$7+T614*AS614/2-T615*MAX(0.1,MIN(0.3,0.3-0.09*(AN615-36.8)))/2)+AR614*(1-AS614/2))/(1-MAX(0.1,MIN(0.3,0.3-0.09*(AN615-36.8)))/2)</f>
        <v/>
      </c>
      <c r="AP615">
        <f>((AM615/$B$7+T614*AS614/2-T615*MAX(0.1,MIN(0.3,0.3-0.09*(AO615-36.8)))/2)+AR614*(1-AS614/2))/(1-MAX(0.1,MIN(0.3,0.3-0.09*(AO615-36.8)))/2)</f>
        <v/>
      </c>
      <c r="AQ615">
        <f>((AM615/$B$7+T614*AS614/2-T615*MAX(0.1,MIN(0.3,0.3-0.09*(AP615-36.8)))/2)+AR614*(1-AS614/2))/(1-MAX(0.1,MIN(0.3,0.3-0.09*(AP615-36.8)))/2)</f>
        <v/>
      </c>
      <c r="AR615">
        <f>((AM615/$B$7+T614*AS614/2-T615*MAX(0.1,MIN(0.3,0.3-0.09*(AQ615-36.8)))/2)+AR614*(1-AS614/2))/(1-MAX(0.1,MIN(0.3,0.3-0.09*(AQ615-36.8)))/2)</f>
        <v/>
      </c>
      <c r="AS615">
        <f>MAX(0.1,MIN(0.3,0.3-0.09*(AR615-36.8)))</f>
        <v/>
      </c>
      <c r="AT615">
        <f>AT614+(2*AR615-1.962*AT614-1.31)/9</f>
        <v/>
      </c>
      <c r="AU615">
        <f>AU614+AG615+K615</f>
        <v/>
      </c>
      <c r="AV615">
        <f>AU615*2.67*$B$6/1.8/60</f>
        <v/>
      </c>
      <c r="AW615">
        <f>IF(AT615&gt;=$B$36,1,0)</f>
        <v/>
      </c>
      <c r="AX615">
        <f>IF(AV615&gt;=$B$21,1,0)</f>
        <v/>
      </c>
    </row>
    <row r="616">
      <c r="A616" t="n">
        <v>543</v>
      </c>
      <c r="B616">
        <f>MATCH(A616-1,$D$61:$D$68,1)</f>
        <v/>
      </c>
      <c r="C616">
        <f>INDEX($G$61:$G$68,B616)</f>
        <v/>
      </c>
      <c r="D616">
        <f>INDEX($L$61:$L$68,B616)</f>
        <v/>
      </c>
      <c r="E616">
        <f>INDEX($M$61:$M$68,B616)</f>
        <v/>
      </c>
      <c r="F616">
        <f>INDEX($N$61:$N$68,B616)</f>
        <v/>
      </c>
      <c r="G616">
        <f>INDEX($AA$61:$AA$68,B616)</f>
        <v/>
      </c>
      <c r="H616">
        <f>INDEX($X$61:$X$68,B616)</f>
        <v/>
      </c>
      <c r="I616">
        <f>INDEX($AF$61:$AF$68,B616)</f>
        <v/>
      </c>
      <c r="J616">
        <f>INDEX($AC$61:$AC$68,B616)</f>
        <v/>
      </c>
      <c r="K616">
        <f>INDEX($AD$61:$AD$68,B616)</f>
        <v/>
      </c>
      <c r="L616">
        <f>INDEX($AG$61:$AG$68,B616)</f>
        <v/>
      </c>
      <c r="M616">
        <f>INDEX($AH$61:$AH$68,B616)</f>
        <v/>
      </c>
      <c r="N616">
        <f>INDEX($AI$61:$AI$68,B616)</f>
        <v/>
      </c>
      <c r="O616">
        <f>O615*$B$26+L616*(1-$B$26)</f>
        <v/>
      </c>
      <c r="P616">
        <f>$B$7*(O616-O615)*(1-AS615)</f>
        <v/>
      </c>
      <c r="Q616">
        <f>M616+0.51274*AT615</f>
        <v/>
      </c>
      <c r="R616">
        <f>N616+0.616*AT615</f>
        <v/>
      </c>
      <c r="S616">
        <f>IF($B$13&gt;=0.6,Q616,IF($B$13&lt;=0.2,R616,R616+2.5*(Q616-R616)*($B$13-0.2)))</f>
        <v/>
      </c>
      <c r="T616">
        <f>IF(A616=1,S616,T615*$B$27+S616*(1-$B$27))</f>
        <v/>
      </c>
      <c r="U616">
        <f>0.6105*EXP(17.27*T616/(T616+237.3))</f>
        <v/>
      </c>
      <c r="V616">
        <f>($B$14*(I616*C616+IF(ABS((D616+0.1)-D616)&lt;0.000000001,4*$B$19*$B$20*(D616+273)^3,$B$19*$B$20*(((D616+0.1)+273)^4-(D616+273)^4)/((D616+0.1)-D616))*D616)+T616/H616)/($B$14*(I616+IF(ABS((D616+0.1)-D616)&lt;0.000000001,4*$B$19*$B$20*(D616+273)^3,$B$19*$B$20*(((D616+0.1)+273)^4-(D616+273)^4)/((D616+0.1)-D616)))+1/H616)</f>
        <v/>
      </c>
      <c r="W616">
        <f>($B$14*(I616*C616+IF(ABS(V616-D616)&lt;0.000000001,4*$B$19*$B$20*(D616+273)^3,$B$19*$B$20*((V616+273)^4-(D616+273)^4)/(V616-D616))*D616)+T616/H616)/($B$14*(I616+IF(ABS(V616-D616)&lt;0.000000001,4*$B$19*$B$20*(D616+273)^3,$B$19*$B$20*((V616+273)^4-(D616+273)^4)/(V616-D616)))+1/H616)</f>
        <v/>
      </c>
      <c r="X616">
        <f>($B$14*(I616*C616+IF(ABS(W616-D616)&lt;0.000000001,4*$B$19*$B$20*(D616+273)^3,$B$19*$B$20*((W616+273)^4-(D616+273)^4)/(W616-D616))*D616)+T616/H616)/($B$14*(I616+IF(ABS(W616-D616)&lt;0.000000001,4*$B$19*$B$20*(D616+273)^3,$B$19*$B$20*((W616+273)^4-(D616+273)^4)/(W616-D616)))+1/H616)</f>
        <v/>
      </c>
      <c r="Y616">
        <f>($B$14*(I616*C616+IF(ABS(X616-D616)&lt;0.000000001,4*$B$19*$B$20*(D616+273)^3,$B$19*$B$20*((X616+273)^4-(D616+273)^4)/(X616-D616))*D616)+T616/H616)/($B$14*(I616+IF(ABS(X616-D616)&lt;0.000000001,4*$B$19*$B$20*(D616+273)^3,$B$19*$B$20*((X616+273)^4-(D616+273)^4)/(X616-D616)))+1/H616)</f>
        <v/>
      </c>
      <c r="Z616">
        <f>IF(ABS(Y616-D616)&lt;0.000000001,4*$B$19*$B$20*(D616+273)^3,$B$19*$B$20*((Y616+273)^4-(D616+273)^4)/(Y616-D616))</f>
        <v/>
      </c>
      <c r="AA616">
        <f>$B$14*I616*(Y616-C616)</f>
        <v/>
      </c>
      <c r="AB616">
        <f>$B$14*Z616*(Y616-D616)</f>
        <v/>
      </c>
      <c r="AC616">
        <f>IF((U616-E616)/G616=0,0.001,(U616-E616)/G616)</f>
        <v/>
      </c>
      <c r="AD616">
        <f>F616-P616-J616-K616-AA616-AB616</f>
        <v/>
      </c>
      <c r="AE616">
        <f>AD616/AC616</f>
        <v/>
      </c>
      <c r="AF616">
        <f>IF(AD616&lt;=0,0,IF(AC616&lt;=0,$B$11,IF(AE616&gt;=1.7,$B$11,MIN(AD616/MAX(0.05,IF(AE616&gt;1,(2-AE616)^2/2,1-AE616^2/2)),$B$11))))</f>
        <v/>
      </c>
      <c r="AG616">
        <f>AG615*$B$28+AF616*(1-$B$28)</f>
        <v/>
      </c>
      <c r="AH616">
        <f>IF(AND(AD616&gt;0,AC616&lt;=0),0,AC616)</f>
        <v/>
      </c>
      <c r="AI616">
        <f>AH616/MAX(AG616,0.000001)</f>
        <v/>
      </c>
      <c r="AJ616">
        <f>MIN(IF(AI616&gt;=0.5,-AI616+SQRT(AI616^2+2),1),$B$12)</f>
        <v/>
      </c>
      <c r="AK616">
        <f>IF(AG616&lt;=0,0,AJ616*AH616)</f>
        <v/>
      </c>
      <c r="AL616">
        <f>IF(AD616&lt;=0,0,AD616)</f>
        <v/>
      </c>
      <c r="AM616">
        <f>AL616-AK616+P616</f>
        <v/>
      </c>
      <c r="AN616">
        <f>((AM616/$B$7+T615*AS615/2-T616*MAX(0.1,MIN(0.3,0.3-0.09*(AR615-36.8)))/2)+AR615*(1-AS615/2))/(1-MAX(0.1,MIN(0.3,0.3-0.09*(AR615-36.8)))/2)</f>
        <v/>
      </c>
      <c r="AO616">
        <f>((AM616/$B$7+T615*AS615/2-T616*MAX(0.1,MIN(0.3,0.3-0.09*(AN616-36.8)))/2)+AR615*(1-AS615/2))/(1-MAX(0.1,MIN(0.3,0.3-0.09*(AN616-36.8)))/2)</f>
        <v/>
      </c>
      <c r="AP616">
        <f>((AM616/$B$7+T615*AS615/2-T616*MAX(0.1,MIN(0.3,0.3-0.09*(AO616-36.8)))/2)+AR615*(1-AS615/2))/(1-MAX(0.1,MIN(0.3,0.3-0.09*(AO616-36.8)))/2)</f>
        <v/>
      </c>
      <c r="AQ616">
        <f>((AM616/$B$7+T615*AS615/2-T616*MAX(0.1,MIN(0.3,0.3-0.09*(AP616-36.8)))/2)+AR615*(1-AS615/2))/(1-MAX(0.1,MIN(0.3,0.3-0.09*(AP616-36.8)))/2)</f>
        <v/>
      </c>
      <c r="AR616">
        <f>((AM616/$B$7+T615*AS615/2-T616*MAX(0.1,MIN(0.3,0.3-0.09*(AQ616-36.8)))/2)+AR615*(1-AS615/2))/(1-MAX(0.1,MIN(0.3,0.3-0.09*(AQ616-36.8)))/2)</f>
        <v/>
      </c>
      <c r="AS616">
        <f>MAX(0.1,MIN(0.3,0.3-0.09*(AR616-36.8)))</f>
        <v/>
      </c>
      <c r="AT616">
        <f>AT615+(2*AR616-1.962*AT615-1.31)/9</f>
        <v/>
      </c>
      <c r="AU616">
        <f>AU615+AG616+K616</f>
        <v/>
      </c>
      <c r="AV616">
        <f>AU616*2.67*$B$6/1.8/60</f>
        <v/>
      </c>
      <c r="AW616">
        <f>IF(AT616&gt;=$B$36,1,0)</f>
        <v/>
      </c>
      <c r="AX616">
        <f>IF(AV616&gt;=$B$21,1,0)</f>
        <v/>
      </c>
    </row>
    <row r="617">
      <c r="A617" t="n">
        <v>544</v>
      </c>
      <c r="B617">
        <f>MATCH(A617-1,$D$61:$D$68,1)</f>
        <v/>
      </c>
      <c r="C617">
        <f>INDEX($G$61:$G$68,B617)</f>
        <v/>
      </c>
      <c r="D617">
        <f>INDEX($L$61:$L$68,B617)</f>
        <v/>
      </c>
      <c r="E617">
        <f>INDEX($M$61:$M$68,B617)</f>
        <v/>
      </c>
      <c r="F617">
        <f>INDEX($N$61:$N$68,B617)</f>
        <v/>
      </c>
      <c r="G617">
        <f>INDEX($AA$61:$AA$68,B617)</f>
        <v/>
      </c>
      <c r="H617">
        <f>INDEX($X$61:$X$68,B617)</f>
        <v/>
      </c>
      <c r="I617">
        <f>INDEX($AF$61:$AF$68,B617)</f>
        <v/>
      </c>
      <c r="J617">
        <f>INDEX($AC$61:$AC$68,B617)</f>
        <v/>
      </c>
      <c r="K617">
        <f>INDEX($AD$61:$AD$68,B617)</f>
        <v/>
      </c>
      <c r="L617">
        <f>INDEX($AG$61:$AG$68,B617)</f>
        <v/>
      </c>
      <c r="M617">
        <f>INDEX($AH$61:$AH$68,B617)</f>
        <v/>
      </c>
      <c r="N617">
        <f>INDEX($AI$61:$AI$68,B617)</f>
        <v/>
      </c>
      <c r="O617">
        <f>O616*$B$26+L617*(1-$B$26)</f>
        <v/>
      </c>
      <c r="P617">
        <f>$B$7*(O617-O616)*(1-AS616)</f>
        <v/>
      </c>
      <c r="Q617">
        <f>M617+0.51274*AT616</f>
        <v/>
      </c>
      <c r="R617">
        <f>N617+0.616*AT616</f>
        <v/>
      </c>
      <c r="S617">
        <f>IF($B$13&gt;=0.6,Q617,IF($B$13&lt;=0.2,R617,R617+2.5*(Q617-R617)*($B$13-0.2)))</f>
        <v/>
      </c>
      <c r="T617">
        <f>IF(A617=1,S617,T616*$B$27+S617*(1-$B$27))</f>
        <v/>
      </c>
      <c r="U617">
        <f>0.6105*EXP(17.27*T617/(T617+237.3))</f>
        <v/>
      </c>
      <c r="V617">
        <f>($B$14*(I617*C617+IF(ABS((D617+0.1)-D617)&lt;0.000000001,4*$B$19*$B$20*(D617+273)^3,$B$19*$B$20*(((D617+0.1)+273)^4-(D617+273)^4)/((D617+0.1)-D617))*D617)+T617/H617)/($B$14*(I617+IF(ABS((D617+0.1)-D617)&lt;0.000000001,4*$B$19*$B$20*(D617+273)^3,$B$19*$B$20*(((D617+0.1)+273)^4-(D617+273)^4)/((D617+0.1)-D617)))+1/H617)</f>
        <v/>
      </c>
      <c r="W617">
        <f>($B$14*(I617*C617+IF(ABS(V617-D617)&lt;0.000000001,4*$B$19*$B$20*(D617+273)^3,$B$19*$B$20*((V617+273)^4-(D617+273)^4)/(V617-D617))*D617)+T617/H617)/($B$14*(I617+IF(ABS(V617-D617)&lt;0.000000001,4*$B$19*$B$20*(D617+273)^3,$B$19*$B$20*((V617+273)^4-(D617+273)^4)/(V617-D617)))+1/H617)</f>
        <v/>
      </c>
      <c r="X617">
        <f>($B$14*(I617*C617+IF(ABS(W617-D617)&lt;0.000000001,4*$B$19*$B$20*(D617+273)^3,$B$19*$B$20*((W617+273)^4-(D617+273)^4)/(W617-D617))*D617)+T617/H617)/($B$14*(I617+IF(ABS(W617-D617)&lt;0.000000001,4*$B$19*$B$20*(D617+273)^3,$B$19*$B$20*((W617+273)^4-(D617+273)^4)/(W617-D617)))+1/H617)</f>
        <v/>
      </c>
      <c r="Y617">
        <f>($B$14*(I617*C617+IF(ABS(X617-D617)&lt;0.000000001,4*$B$19*$B$20*(D617+273)^3,$B$19*$B$20*((X617+273)^4-(D617+273)^4)/(X617-D617))*D617)+T617/H617)/($B$14*(I617+IF(ABS(X617-D617)&lt;0.000000001,4*$B$19*$B$20*(D617+273)^3,$B$19*$B$20*((X617+273)^4-(D617+273)^4)/(X617-D617)))+1/H617)</f>
        <v/>
      </c>
      <c r="Z617">
        <f>IF(ABS(Y617-D617)&lt;0.000000001,4*$B$19*$B$20*(D617+273)^3,$B$19*$B$20*((Y617+273)^4-(D617+273)^4)/(Y617-D617))</f>
        <v/>
      </c>
      <c r="AA617">
        <f>$B$14*I617*(Y617-C617)</f>
        <v/>
      </c>
      <c r="AB617">
        <f>$B$14*Z617*(Y617-D617)</f>
        <v/>
      </c>
      <c r="AC617">
        <f>IF((U617-E617)/G617=0,0.001,(U617-E617)/G617)</f>
        <v/>
      </c>
      <c r="AD617">
        <f>F617-P617-J617-K617-AA617-AB617</f>
        <v/>
      </c>
      <c r="AE617">
        <f>AD617/AC617</f>
        <v/>
      </c>
      <c r="AF617">
        <f>IF(AD617&lt;=0,0,IF(AC617&lt;=0,$B$11,IF(AE617&gt;=1.7,$B$11,MIN(AD617/MAX(0.05,IF(AE617&gt;1,(2-AE617)^2/2,1-AE617^2/2)),$B$11))))</f>
        <v/>
      </c>
      <c r="AG617">
        <f>AG616*$B$28+AF617*(1-$B$28)</f>
        <v/>
      </c>
      <c r="AH617">
        <f>IF(AND(AD617&gt;0,AC617&lt;=0),0,AC617)</f>
        <v/>
      </c>
      <c r="AI617">
        <f>AH617/MAX(AG617,0.000001)</f>
        <v/>
      </c>
      <c r="AJ617">
        <f>MIN(IF(AI617&gt;=0.5,-AI617+SQRT(AI617^2+2),1),$B$12)</f>
        <v/>
      </c>
      <c r="AK617">
        <f>IF(AG617&lt;=0,0,AJ617*AH617)</f>
        <v/>
      </c>
      <c r="AL617">
        <f>IF(AD617&lt;=0,0,AD617)</f>
        <v/>
      </c>
      <c r="AM617">
        <f>AL617-AK617+P617</f>
        <v/>
      </c>
      <c r="AN617">
        <f>((AM617/$B$7+T616*AS616/2-T617*MAX(0.1,MIN(0.3,0.3-0.09*(AR616-36.8)))/2)+AR616*(1-AS616/2))/(1-MAX(0.1,MIN(0.3,0.3-0.09*(AR616-36.8)))/2)</f>
        <v/>
      </c>
      <c r="AO617">
        <f>((AM617/$B$7+T616*AS616/2-T617*MAX(0.1,MIN(0.3,0.3-0.09*(AN617-36.8)))/2)+AR616*(1-AS616/2))/(1-MAX(0.1,MIN(0.3,0.3-0.09*(AN617-36.8)))/2)</f>
        <v/>
      </c>
      <c r="AP617">
        <f>((AM617/$B$7+T616*AS616/2-T617*MAX(0.1,MIN(0.3,0.3-0.09*(AO617-36.8)))/2)+AR616*(1-AS616/2))/(1-MAX(0.1,MIN(0.3,0.3-0.09*(AO617-36.8)))/2)</f>
        <v/>
      </c>
      <c r="AQ617">
        <f>((AM617/$B$7+T616*AS616/2-T617*MAX(0.1,MIN(0.3,0.3-0.09*(AP617-36.8)))/2)+AR616*(1-AS616/2))/(1-MAX(0.1,MIN(0.3,0.3-0.09*(AP617-36.8)))/2)</f>
        <v/>
      </c>
      <c r="AR617">
        <f>((AM617/$B$7+T616*AS616/2-T617*MAX(0.1,MIN(0.3,0.3-0.09*(AQ617-36.8)))/2)+AR616*(1-AS616/2))/(1-MAX(0.1,MIN(0.3,0.3-0.09*(AQ617-36.8)))/2)</f>
        <v/>
      </c>
      <c r="AS617">
        <f>MAX(0.1,MIN(0.3,0.3-0.09*(AR617-36.8)))</f>
        <v/>
      </c>
      <c r="AT617">
        <f>AT616+(2*AR617-1.962*AT616-1.31)/9</f>
        <v/>
      </c>
      <c r="AU617">
        <f>AU616+AG617+K617</f>
        <v/>
      </c>
      <c r="AV617">
        <f>AU617*2.67*$B$6/1.8/60</f>
        <v/>
      </c>
      <c r="AW617">
        <f>IF(AT617&gt;=$B$36,1,0)</f>
        <v/>
      </c>
      <c r="AX617">
        <f>IF(AV617&gt;=$B$21,1,0)</f>
        <v/>
      </c>
    </row>
    <row r="618">
      <c r="A618" t="n">
        <v>545</v>
      </c>
      <c r="B618">
        <f>MATCH(A618-1,$D$61:$D$68,1)</f>
        <v/>
      </c>
      <c r="C618">
        <f>INDEX($G$61:$G$68,B618)</f>
        <v/>
      </c>
      <c r="D618">
        <f>INDEX($L$61:$L$68,B618)</f>
        <v/>
      </c>
      <c r="E618">
        <f>INDEX($M$61:$M$68,B618)</f>
        <v/>
      </c>
      <c r="F618">
        <f>INDEX($N$61:$N$68,B618)</f>
        <v/>
      </c>
      <c r="G618">
        <f>INDEX($AA$61:$AA$68,B618)</f>
        <v/>
      </c>
      <c r="H618">
        <f>INDEX($X$61:$X$68,B618)</f>
        <v/>
      </c>
      <c r="I618">
        <f>INDEX($AF$61:$AF$68,B618)</f>
        <v/>
      </c>
      <c r="J618">
        <f>INDEX($AC$61:$AC$68,B618)</f>
        <v/>
      </c>
      <c r="K618">
        <f>INDEX($AD$61:$AD$68,B618)</f>
        <v/>
      </c>
      <c r="L618">
        <f>INDEX($AG$61:$AG$68,B618)</f>
        <v/>
      </c>
      <c r="M618">
        <f>INDEX($AH$61:$AH$68,B618)</f>
        <v/>
      </c>
      <c r="N618">
        <f>INDEX($AI$61:$AI$68,B618)</f>
        <v/>
      </c>
      <c r="O618">
        <f>O617*$B$26+L618*(1-$B$26)</f>
        <v/>
      </c>
      <c r="P618">
        <f>$B$7*(O618-O617)*(1-AS617)</f>
        <v/>
      </c>
      <c r="Q618">
        <f>M618+0.51274*AT617</f>
        <v/>
      </c>
      <c r="R618">
        <f>N618+0.616*AT617</f>
        <v/>
      </c>
      <c r="S618">
        <f>IF($B$13&gt;=0.6,Q618,IF($B$13&lt;=0.2,R618,R618+2.5*(Q618-R618)*($B$13-0.2)))</f>
        <v/>
      </c>
      <c r="T618">
        <f>IF(A618=1,S618,T617*$B$27+S618*(1-$B$27))</f>
        <v/>
      </c>
      <c r="U618">
        <f>0.6105*EXP(17.27*T618/(T618+237.3))</f>
        <v/>
      </c>
      <c r="V618">
        <f>($B$14*(I618*C618+IF(ABS((D618+0.1)-D618)&lt;0.000000001,4*$B$19*$B$20*(D618+273)^3,$B$19*$B$20*(((D618+0.1)+273)^4-(D618+273)^4)/((D618+0.1)-D618))*D618)+T618/H618)/($B$14*(I618+IF(ABS((D618+0.1)-D618)&lt;0.000000001,4*$B$19*$B$20*(D618+273)^3,$B$19*$B$20*(((D618+0.1)+273)^4-(D618+273)^4)/((D618+0.1)-D618)))+1/H618)</f>
        <v/>
      </c>
      <c r="W618">
        <f>($B$14*(I618*C618+IF(ABS(V618-D618)&lt;0.000000001,4*$B$19*$B$20*(D618+273)^3,$B$19*$B$20*((V618+273)^4-(D618+273)^4)/(V618-D618))*D618)+T618/H618)/($B$14*(I618+IF(ABS(V618-D618)&lt;0.000000001,4*$B$19*$B$20*(D618+273)^3,$B$19*$B$20*((V618+273)^4-(D618+273)^4)/(V618-D618)))+1/H618)</f>
        <v/>
      </c>
      <c r="X618">
        <f>($B$14*(I618*C618+IF(ABS(W618-D618)&lt;0.000000001,4*$B$19*$B$20*(D618+273)^3,$B$19*$B$20*((W618+273)^4-(D618+273)^4)/(W618-D618))*D618)+T618/H618)/($B$14*(I618+IF(ABS(W618-D618)&lt;0.000000001,4*$B$19*$B$20*(D618+273)^3,$B$19*$B$20*((W618+273)^4-(D618+273)^4)/(W618-D618)))+1/H618)</f>
        <v/>
      </c>
      <c r="Y618">
        <f>($B$14*(I618*C618+IF(ABS(X618-D618)&lt;0.000000001,4*$B$19*$B$20*(D618+273)^3,$B$19*$B$20*((X618+273)^4-(D618+273)^4)/(X618-D618))*D618)+T618/H618)/($B$14*(I618+IF(ABS(X618-D618)&lt;0.000000001,4*$B$19*$B$20*(D618+273)^3,$B$19*$B$20*((X618+273)^4-(D618+273)^4)/(X618-D618)))+1/H618)</f>
        <v/>
      </c>
      <c r="Z618">
        <f>IF(ABS(Y618-D618)&lt;0.000000001,4*$B$19*$B$20*(D618+273)^3,$B$19*$B$20*((Y618+273)^4-(D618+273)^4)/(Y618-D618))</f>
        <v/>
      </c>
      <c r="AA618">
        <f>$B$14*I618*(Y618-C618)</f>
        <v/>
      </c>
      <c r="AB618">
        <f>$B$14*Z618*(Y618-D618)</f>
        <v/>
      </c>
      <c r="AC618">
        <f>IF((U618-E618)/G618=0,0.001,(U618-E618)/G618)</f>
        <v/>
      </c>
      <c r="AD618">
        <f>F618-P618-J618-K618-AA618-AB618</f>
        <v/>
      </c>
      <c r="AE618">
        <f>AD618/AC618</f>
        <v/>
      </c>
      <c r="AF618">
        <f>IF(AD618&lt;=0,0,IF(AC618&lt;=0,$B$11,IF(AE618&gt;=1.7,$B$11,MIN(AD618/MAX(0.05,IF(AE618&gt;1,(2-AE618)^2/2,1-AE618^2/2)),$B$11))))</f>
        <v/>
      </c>
      <c r="AG618">
        <f>AG617*$B$28+AF618*(1-$B$28)</f>
        <v/>
      </c>
      <c r="AH618">
        <f>IF(AND(AD618&gt;0,AC618&lt;=0),0,AC618)</f>
        <v/>
      </c>
      <c r="AI618">
        <f>AH618/MAX(AG618,0.000001)</f>
        <v/>
      </c>
      <c r="AJ618">
        <f>MIN(IF(AI618&gt;=0.5,-AI618+SQRT(AI618^2+2),1),$B$12)</f>
        <v/>
      </c>
      <c r="AK618">
        <f>IF(AG618&lt;=0,0,AJ618*AH618)</f>
        <v/>
      </c>
      <c r="AL618">
        <f>IF(AD618&lt;=0,0,AD618)</f>
        <v/>
      </c>
      <c r="AM618">
        <f>AL618-AK618+P618</f>
        <v/>
      </c>
      <c r="AN618">
        <f>((AM618/$B$7+T617*AS617/2-T618*MAX(0.1,MIN(0.3,0.3-0.09*(AR617-36.8)))/2)+AR617*(1-AS617/2))/(1-MAX(0.1,MIN(0.3,0.3-0.09*(AR617-36.8)))/2)</f>
        <v/>
      </c>
      <c r="AO618">
        <f>((AM618/$B$7+T617*AS617/2-T618*MAX(0.1,MIN(0.3,0.3-0.09*(AN618-36.8)))/2)+AR617*(1-AS617/2))/(1-MAX(0.1,MIN(0.3,0.3-0.09*(AN618-36.8)))/2)</f>
        <v/>
      </c>
      <c r="AP618">
        <f>((AM618/$B$7+T617*AS617/2-T618*MAX(0.1,MIN(0.3,0.3-0.09*(AO618-36.8)))/2)+AR617*(1-AS617/2))/(1-MAX(0.1,MIN(0.3,0.3-0.09*(AO618-36.8)))/2)</f>
        <v/>
      </c>
      <c r="AQ618">
        <f>((AM618/$B$7+T617*AS617/2-T618*MAX(0.1,MIN(0.3,0.3-0.09*(AP618-36.8)))/2)+AR617*(1-AS617/2))/(1-MAX(0.1,MIN(0.3,0.3-0.09*(AP618-36.8)))/2)</f>
        <v/>
      </c>
      <c r="AR618">
        <f>((AM618/$B$7+T617*AS617/2-T618*MAX(0.1,MIN(0.3,0.3-0.09*(AQ618-36.8)))/2)+AR617*(1-AS617/2))/(1-MAX(0.1,MIN(0.3,0.3-0.09*(AQ618-36.8)))/2)</f>
        <v/>
      </c>
      <c r="AS618">
        <f>MAX(0.1,MIN(0.3,0.3-0.09*(AR618-36.8)))</f>
        <v/>
      </c>
      <c r="AT618">
        <f>AT617+(2*AR618-1.962*AT617-1.31)/9</f>
        <v/>
      </c>
      <c r="AU618">
        <f>AU617+AG618+K618</f>
        <v/>
      </c>
      <c r="AV618">
        <f>AU618*2.67*$B$6/1.8/60</f>
        <v/>
      </c>
      <c r="AW618">
        <f>IF(AT618&gt;=$B$36,1,0)</f>
        <v/>
      </c>
      <c r="AX618">
        <f>IF(AV618&gt;=$B$21,1,0)</f>
        <v/>
      </c>
    </row>
    <row r="619">
      <c r="A619" t="n">
        <v>546</v>
      </c>
      <c r="B619">
        <f>MATCH(A619-1,$D$61:$D$68,1)</f>
        <v/>
      </c>
      <c r="C619">
        <f>INDEX($G$61:$G$68,B619)</f>
        <v/>
      </c>
      <c r="D619">
        <f>INDEX($L$61:$L$68,B619)</f>
        <v/>
      </c>
      <c r="E619">
        <f>INDEX($M$61:$M$68,B619)</f>
        <v/>
      </c>
      <c r="F619">
        <f>INDEX($N$61:$N$68,B619)</f>
        <v/>
      </c>
      <c r="G619">
        <f>INDEX($AA$61:$AA$68,B619)</f>
        <v/>
      </c>
      <c r="H619">
        <f>INDEX($X$61:$X$68,B619)</f>
        <v/>
      </c>
      <c r="I619">
        <f>INDEX($AF$61:$AF$68,B619)</f>
        <v/>
      </c>
      <c r="J619">
        <f>INDEX($AC$61:$AC$68,B619)</f>
        <v/>
      </c>
      <c r="K619">
        <f>INDEX($AD$61:$AD$68,B619)</f>
        <v/>
      </c>
      <c r="L619">
        <f>INDEX($AG$61:$AG$68,B619)</f>
        <v/>
      </c>
      <c r="M619">
        <f>INDEX($AH$61:$AH$68,B619)</f>
        <v/>
      </c>
      <c r="N619">
        <f>INDEX($AI$61:$AI$68,B619)</f>
        <v/>
      </c>
      <c r="O619">
        <f>O618*$B$26+L619*(1-$B$26)</f>
        <v/>
      </c>
      <c r="P619">
        <f>$B$7*(O619-O618)*(1-AS618)</f>
        <v/>
      </c>
      <c r="Q619">
        <f>M619+0.51274*AT618</f>
        <v/>
      </c>
      <c r="R619">
        <f>N619+0.616*AT618</f>
        <v/>
      </c>
      <c r="S619">
        <f>IF($B$13&gt;=0.6,Q619,IF($B$13&lt;=0.2,R619,R619+2.5*(Q619-R619)*($B$13-0.2)))</f>
        <v/>
      </c>
      <c r="T619">
        <f>IF(A619=1,S619,T618*$B$27+S619*(1-$B$27))</f>
        <v/>
      </c>
      <c r="U619">
        <f>0.6105*EXP(17.27*T619/(T619+237.3))</f>
        <v/>
      </c>
      <c r="V619">
        <f>($B$14*(I619*C619+IF(ABS((D619+0.1)-D619)&lt;0.000000001,4*$B$19*$B$20*(D619+273)^3,$B$19*$B$20*(((D619+0.1)+273)^4-(D619+273)^4)/((D619+0.1)-D619))*D619)+T619/H619)/($B$14*(I619+IF(ABS((D619+0.1)-D619)&lt;0.000000001,4*$B$19*$B$20*(D619+273)^3,$B$19*$B$20*(((D619+0.1)+273)^4-(D619+273)^4)/((D619+0.1)-D619)))+1/H619)</f>
        <v/>
      </c>
      <c r="W619">
        <f>($B$14*(I619*C619+IF(ABS(V619-D619)&lt;0.000000001,4*$B$19*$B$20*(D619+273)^3,$B$19*$B$20*((V619+273)^4-(D619+273)^4)/(V619-D619))*D619)+T619/H619)/($B$14*(I619+IF(ABS(V619-D619)&lt;0.000000001,4*$B$19*$B$20*(D619+273)^3,$B$19*$B$20*((V619+273)^4-(D619+273)^4)/(V619-D619)))+1/H619)</f>
        <v/>
      </c>
      <c r="X619">
        <f>($B$14*(I619*C619+IF(ABS(W619-D619)&lt;0.000000001,4*$B$19*$B$20*(D619+273)^3,$B$19*$B$20*((W619+273)^4-(D619+273)^4)/(W619-D619))*D619)+T619/H619)/($B$14*(I619+IF(ABS(W619-D619)&lt;0.000000001,4*$B$19*$B$20*(D619+273)^3,$B$19*$B$20*((W619+273)^4-(D619+273)^4)/(W619-D619)))+1/H619)</f>
        <v/>
      </c>
      <c r="Y619">
        <f>($B$14*(I619*C619+IF(ABS(X619-D619)&lt;0.000000001,4*$B$19*$B$20*(D619+273)^3,$B$19*$B$20*((X619+273)^4-(D619+273)^4)/(X619-D619))*D619)+T619/H619)/($B$14*(I619+IF(ABS(X619-D619)&lt;0.000000001,4*$B$19*$B$20*(D619+273)^3,$B$19*$B$20*((X619+273)^4-(D619+273)^4)/(X619-D619)))+1/H619)</f>
        <v/>
      </c>
      <c r="Z619">
        <f>IF(ABS(Y619-D619)&lt;0.000000001,4*$B$19*$B$20*(D619+273)^3,$B$19*$B$20*((Y619+273)^4-(D619+273)^4)/(Y619-D619))</f>
        <v/>
      </c>
      <c r="AA619">
        <f>$B$14*I619*(Y619-C619)</f>
        <v/>
      </c>
      <c r="AB619">
        <f>$B$14*Z619*(Y619-D619)</f>
        <v/>
      </c>
      <c r="AC619">
        <f>IF((U619-E619)/G619=0,0.001,(U619-E619)/G619)</f>
        <v/>
      </c>
      <c r="AD619">
        <f>F619-P619-J619-K619-AA619-AB619</f>
        <v/>
      </c>
      <c r="AE619">
        <f>AD619/AC619</f>
        <v/>
      </c>
      <c r="AF619">
        <f>IF(AD619&lt;=0,0,IF(AC619&lt;=0,$B$11,IF(AE619&gt;=1.7,$B$11,MIN(AD619/MAX(0.05,IF(AE619&gt;1,(2-AE619)^2/2,1-AE619^2/2)),$B$11))))</f>
        <v/>
      </c>
      <c r="AG619">
        <f>AG618*$B$28+AF619*(1-$B$28)</f>
        <v/>
      </c>
      <c r="AH619">
        <f>IF(AND(AD619&gt;0,AC619&lt;=0),0,AC619)</f>
        <v/>
      </c>
      <c r="AI619">
        <f>AH619/MAX(AG619,0.000001)</f>
        <v/>
      </c>
      <c r="AJ619">
        <f>MIN(IF(AI619&gt;=0.5,-AI619+SQRT(AI619^2+2),1),$B$12)</f>
        <v/>
      </c>
      <c r="AK619">
        <f>IF(AG619&lt;=0,0,AJ619*AH619)</f>
        <v/>
      </c>
      <c r="AL619">
        <f>IF(AD619&lt;=0,0,AD619)</f>
        <v/>
      </c>
      <c r="AM619">
        <f>AL619-AK619+P619</f>
        <v/>
      </c>
      <c r="AN619">
        <f>((AM619/$B$7+T618*AS618/2-T619*MAX(0.1,MIN(0.3,0.3-0.09*(AR618-36.8)))/2)+AR618*(1-AS618/2))/(1-MAX(0.1,MIN(0.3,0.3-0.09*(AR618-36.8)))/2)</f>
        <v/>
      </c>
      <c r="AO619">
        <f>((AM619/$B$7+T618*AS618/2-T619*MAX(0.1,MIN(0.3,0.3-0.09*(AN619-36.8)))/2)+AR618*(1-AS618/2))/(1-MAX(0.1,MIN(0.3,0.3-0.09*(AN619-36.8)))/2)</f>
        <v/>
      </c>
      <c r="AP619">
        <f>((AM619/$B$7+T618*AS618/2-T619*MAX(0.1,MIN(0.3,0.3-0.09*(AO619-36.8)))/2)+AR618*(1-AS618/2))/(1-MAX(0.1,MIN(0.3,0.3-0.09*(AO619-36.8)))/2)</f>
        <v/>
      </c>
      <c r="AQ619">
        <f>((AM619/$B$7+T618*AS618/2-T619*MAX(0.1,MIN(0.3,0.3-0.09*(AP619-36.8)))/2)+AR618*(1-AS618/2))/(1-MAX(0.1,MIN(0.3,0.3-0.09*(AP619-36.8)))/2)</f>
        <v/>
      </c>
      <c r="AR619">
        <f>((AM619/$B$7+T618*AS618/2-T619*MAX(0.1,MIN(0.3,0.3-0.09*(AQ619-36.8)))/2)+AR618*(1-AS618/2))/(1-MAX(0.1,MIN(0.3,0.3-0.09*(AQ619-36.8)))/2)</f>
        <v/>
      </c>
      <c r="AS619">
        <f>MAX(0.1,MIN(0.3,0.3-0.09*(AR619-36.8)))</f>
        <v/>
      </c>
      <c r="AT619">
        <f>AT618+(2*AR619-1.962*AT618-1.31)/9</f>
        <v/>
      </c>
      <c r="AU619">
        <f>AU618+AG619+K619</f>
        <v/>
      </c>
      <c r="AV619">
        <f>AU619*2.67*$B$6/1.8/60</f>
        <v/>
      </c>
      <c r="AW619">
        <f>IF(AT619&gt;=$B$36,1,0)</f>
        <v/>
      </c>
      <c r="AX619">
        <f>IF(AV619&gt;=$B$21,1,0)</f>
        <v/>
      </c>
    </row>
    <row r="620">
      <c r="A620" t="n">
        <v>547</v>
      </c>
      <c r="B620">
        <f>MATCH(A620-1,$D$61:$D$68,1)</f>
        <v/>
      </c>
      <c r="C620">
        <f>INDEX($G$61:$G$68,B620)</f>
        <v/>
      </c>
      <c r="D620">
        <f>INDEX($L$61:$L$68,B620)</f>
        <v/>
      </c>
      <c r="E620">
        <f>INDEX($M$61:$M$68,B620)</f>
        <v/>
      </c>
      <c r="F620">
        <f>INDEX($N$61:$N$68,B620)</f>
        <v/>
      </c>
      <c r="G620">
        <f>INDEX($AA$61:$AA$68,B620)</f>
        <v/>
      </c>
      <c r="H620">
        <f>INDEX($X$61:$X$68,B620)</f>
        <v/>
      </c>
      <c r="I620">
        <f>INDEX($AF$61:$AF$68,B620)</f>
        <v/>
      </c>
      <c r="J620">
        <f>INDEX($AC$61:$AC$68,B620)</f>
        <v/>
      </c>
      <c r="K620">
        <f>INDEX($AD$61:$AD$68,B620)</f>
        <v/>
      </c>
      <c r="L620">
        <f>INDEX($AG$61:$AG$68,B620)</f>
        <v/>
      </c>
      <c r="M620">
        <f>INDEX($AH$61:$AH$68,B620)</f>
        <v/>
      </c>
      <c r="N620">
        <f>INDEX($AI$61:$AI$68,B620)</f>
        <v/>
      </c>
      <c r="O620">
        <f>O619*$B$26+L620*(1-$B$26)</f>
        <v/>
      </c>
      <c r="P620">
        <f>$B$7*(O620-O619)*(1-AS619)</f>
        <v/>
      </c>
      <c r="Q620">
        <f>M620+0.51274*AT619</f>
        <v/>
      </c>
      <c r="R620">
        <f>N620+0.616*AT619</f>
        <v/>
      </c>
      <c r="S620">
        <f>IF($B$13&gt;=0.6,Q620,IF($B$13&lt;=0.2,R620,R620+2.5*(Q620-R620)*($B$13-0.2)))</f>
        <v/>
      </c>
      <c r="T620">
        <f>IF(A620=1,S620,T619*$B$27+S620*(1-$B$27))</f>
        <v/>
      </c>
      <c r="U620">
        <f>0.6105*EXP(17.27*T620/(T620+237.3))</f>
        <v/>
      </c>
      <c r="V620">
        <f>($B$14*(I620*C620+IF(ABS((D620+0.1)-D620)&lt;0.000000001,4*$B$19*$B$20*(D620+273)^3,$B$19*$B$20*(((D620+0.1)+273)^4-(D620+273)^4)/((D620+0.1)-D620))*D620)+T620/H620)/($B$14*(I620+IF(ABS((D620+0.1)-D620)&lt;0.000000001,4*$B$19*$B$20*(D620+273)^3,$B$19*$B$20*(((D620+0.1)+273)^4-(D620+273)^4)/((D620+0.1)-D620)))+1/H620)</f>
        <v/>
      </c>
      <c r="W620">
        <f>($B$14*(I620*C620+IF(ABS(V620-D620)&lt;0.000000001,4*$B$19*$B$20*(D620+273)^3,$B$19*$B$20*((V620+273)^4-(D620+273)^4)/(V620-D620))*D620)+T620/H620)/($B$14*(I620+IF(ABS(V620-D620)&lt;0.000000001,4*$B$19*$B$20*(D620+273)^3,$B$19*$B$20*((V620+273)^4-(D620+273)^4)/(V620-D620)))+1/H620)</f>
        <v/>
      </c>
      <c r="X620">
        <f>($B$14*(I620*C620+IF(ABS(W620-D620)&lt;0.000000001,4*$B$19*$B$20*(D620+273)^3,$B$19*$B$20*((W620+273)^4-(D620+273)^4)/(W620-D620))*D620)+T620/H620)/($B$14*(I620+IF(ABS(W620-D620)&lt;0.000000001,4*$B$19*$B$20*(D620+273)^3,$B$19*$B$20*((W620+273)^4-(D620+273)^4)/(W620-D620)))+1/H620)</f>
        <v/>
      </c>
      <c r="Y620">
        <f>($B$14*(I620*C620+IF(ABS(X620-D620)&lt;0.000000001,4*$B$19*$B$20*(D620+273)^3,$B$19*$B$20*((X620+273)^4-(D620+273)^4)/(X620-D620))*D620)+T620/H620)/($B$14*(I620+IF(ABS(X620-D620)&lt;0.000000001,4*$B$19*$B$20*(D620+273)^3,$B$19*$B$20*((X620+273)^4-(D620+273)^4)/(X620-D620)))+1/H620)</f>
        <v/>
      </c>
      <c r="Z620">
        <f>IF(ABS(Y620-D620)&lt;0.000000001,4*$B$19*$B$20*(D620+273)^3,$B$19*$B$20*((Y620+273)^4-(D620+273)^4)/(Y620-D620))</f>
        <v/>
      </c>
      <c r="AA620">
        <f>$B$14*I620*(Y620-C620)</f>
        <v/>
      </c>
      <c r="AB620">
        <f>$B$14*Z620*(Y620-D620)</f>
        <v/>
      </c>
      <c r="AC620">
        <f>IF((U620-E620)/G620=0,0.001,(U620-E620)/G620)</f>
        <v/>
      </c>
      <c r="AD620">
        <f>F620-P620-J620-K620-AA620-AB620</f>
        <v/>
      </c>
      <c r="AE620">
        <f>AD620/AC620</f>
        <v/>
      </c>
      <c r="AF620">
        <f>IF(AD620&lt;=0,0,IF(AC620&lt;=0,$B$11,IF(AE620&gt;=1.7,$B$11,MIN(AD620/MAX(0.05,IF(AE620&gt;1,(2-AE620)^2/2,1-AE620^2/2)),$B$11))))</f>
        <v/>
      </c>
      <c r="AG620">
        <f>AG619*$B$28+AF620*(1-$B$28)</f>
        <v/>
      </c>
      <c r="AH620">
        <f>IF(AND(AD620&gt;0,AC620&lt;=0),0,AC620)</f>
        <v/>
      </c>
      <c r="AI620">
        <f>AH620/MAX(AG620,0.000001)</f>
        <v/>
      </c>
      <c r="AJ620">
        <f>MIN(IF(AI620&gt;=0.5,-AI620+SQRT(AI620^2+2),1),$B$12)</f>
        <v/>
      </c>
      <c r="AK620">
        <f>IF(AG620&lt;=0,0,AJ620*AH620)</f>
        <v/>
      </c>
      <c r="AL620">
        <f>IF(AD620&lt;=0,0,AD620)</f>
        <v/>
      </c>
      <c r="AM620">
        <f>AL620-AK620+P620</f>
        <v/>
      </c>
      <c r="AN620">
        <f>((AM620/$B$7+T619*AS619/2-T620*MAX(0.1,MIN(0.3,0.3-0.09*(AR619-36.8)))/2)+AR619*(1-AS619/2))/(1-MAX(0.1,MIN(0.3,0.3-0.09*(AR619-36.8)))/2)</f>
        <v/>
      </c>
      <c r="AO620">
        <f>((AM620/$B$7+T619*AS619/2-T620*MAX(0.1,MIN(0.3,0.3-0.09*(AN620-36.8)))/2)+AR619*(1-AS619/2))/(1-MAX(0.1,MIN(0.3,0.3-0.09*(AN620-36.8)))/2)</f>
        <v/>
      </c>
      <c r="AP620">
        <f>((AM620/$B$7+T619*AS619/2-T620*MAX(0.1,MIN(0.3,0.3-0.09*(AO620-36.8)))/2)+AR619*(1-AS619/2))/(1-MAX(0.1,MIN(0.3,0.3-0.09*(AO620-36.8)))/2)</f>
        <v/>
      </c>
      <c r="AQ620">
        <f>((AM620/$B$7+T619*AS619/2-T620*MAX(0.1,MIN(0.3,0.3-0.09*(AP620-36.8)))/2)+AR619*(1-AS619/2))/(1-MAX(0.1,MIN(0.3,0.3-0.09*(AP620-36.8)))/2)</f>
        <v/>
      </c>
      <c r="AR620">
        <f>((AM620/$B$7+T619*AS619/2-T620*MAX(0.1,MIN(0.3,0.3-0.09*(AQ620-36.8)))/2)+AR619*(1-AS619/2))/(1-MAX(0.1,MIN(0.3,0.3-0.09*(AQ620-36.8)))/2)</f>
        <v/>
      </c>
      <c r="AS620">
        <f>MAX(0.1,MIN(0.3,0.3-0.09*(AR620-36.8)))</f>
        <v/>
      </c>
      <c r="AT620">
        <f>AT619+(2*AR620-1.962*AT619-1.31)/9</f>
        <v/>
      </c>
      <c r="AU620">
        <f>AU619+AG620+K620</f>
        <v/>
      </c>
      <c r="AV620">
        <f>AU620*2.67*$B$6/1.8/60</f>
        <v/>
      </c>
      <c r="AW620">
        <f>IF(AT620&gt;=$B$36,1,0)</f>
        <v/>
      </c>
      <c r="AX620">
        <f>IF(AV620&gt;=$B$21,1,0)</f>
        <v/>
      </c>
    </row>
    <row r="621">
      <c r="A621" t="n">
        <v>548</v>
      </c>
      <c r="B621">
        <f>MATCH(A621-1,$D$61:$D$68,1)</f>
        <v/>
      </c>
      <c r="C621">
        <f>INDEX($G$61:$G$68,B621)</f>
        <v/>
      </c>
      <c r="D621">
        <f>INDEX($L$61:$L$68,B621)</f>
        <v/>
      </c>
      <c r="E621">
        <f>INDEX($M$61:$M$68,B621)</f>
        <v/>
      </c>
      <c r="F621">
        <f>INDEX($N$61:$N$68,B621)</f>
        <v/>
      </c>
      <c r="G621">
        <f>INDEX($AA$61:$AA$68,B621)</f>
        <v/>
      </c>
      <c r="H621">
        <f>INDEX($X$61:$X$68,B621)</f>
        <v/>
      </c>
      <c r="I621">
        <f>INDEX($AF$61:$AF$68,B621)</f>
        <v/>
      </c>
      <c r="J621">
        <f>INDEX($AC$61:$AC$68,B621)</f>
        <v/>
      </c>
      <c r="K621">
        <f>INDEX($AD$61:$AD$68,B621)</f>
        <v/>
      </c>
      <c r="L621">
        <f>INDEX($AG$61:$AG$68,B621)</f>
        <v/>
      </c>
      <c r="M621">
        <f>INDEX($AH$61:$AH$68,B621)</f>
        <v/>
      </c>
      <c r="N621">
        <f>INDEX($AI$61:$AI$68,B621)</f>
        <v/>
      </c>
      <c r="O621">
        <f>O620*$B$26+L621*(1-$B$26)</f>
        <v/>
      </c>
      <c r="P621">
        <f>$B$7*(O621-O620)*(1-AS620)</f>
        <v/>
      </c>
      <c r="Q621">
        <f>M621+0.51274*AT620</f>
        <v/>
      </c>
      <c r="R621">
        <f>N621+0.616*AT620</f>
        <v/>
      </c>
      <c r="S621">
        <f>IF($B$13&gt;=0.6,Q621,IF($B$13&lt;=0.2,R621,R621+2.5*(Q621-R621)*($B$13-0.2)))</f>
        <v/>
      </c>
      <c r="T621">
        <f>IF(A621=1,S621,T620*$B$27+S621*(1-$B$27))</f>
        <v/>
      </c>
      <c r="U621">
        <f>0.6105*EXP(17.27*T621/(T621+237.3))</f>
        <v/>
      </c>
      <c r="V621">
        <f>($B$14*(I621*C621+IF(ABS((D621+0.1)-D621)&lt;0.000000001,4*$B$19*$B$20*(D621+273)^3,$B$19*$B$20*(((D621+0.1)+273)^4-(D621+273)^4)/((D621+0.1)-D621))*D621)+T621/H621)/($B$14*(I621+IF(ABS((D621+0.1)-D621)&lt;0.000000001,4*$B$19*$B$20*(D621+273)^3,$B$19*$B$20*(((D621+0.1)+273)^4-(D621+273)^4)/((D621+0.1)-D621)))+1/H621)</f>
        <v/>
      </c>
      <c r="W621">
        <f>($B$14*(I621*C621+IF(ABS(V621-D621)&lt;0.000000001,4*$B$19*$B$20*(D621+273)^3,$B$19*$B$20*((V621+273)^4-(D621+273)^4)/(V621-D621))*D621)+T621/H621)/($B$14*(I621+IF(ABS(V621-D621)&lt;0.000000001,4*$B$19*$B$20*(D621+273)^3,$B$19*$B$20*((V621+273)^4-(D621+273)^4)/(V621-D621)))+1/H621)</f>
        <v/>
      </c>
      <c r="X621">
        <f>($B$14*(I621*C621+IF(ABS(W621-D621)&lt;0.000000001,4*$B$19*$B$20*(D621+273)^3,$B$19*$B$20*((W621+273)^4-(D621+273)^4)/(W621-D621))*D621)+T621/H621)/($B$14*(I621+IF(ABS(W621-D621)&lt;0.000000001,4*$B$19*$B$20*(D621+273)^3,$B$19*$B$20*((W621+273)^4-(D621+273)^4)/(W621-D621)))+1/H621)</f>
        <v/>
      </c>
      <c r="Y621">
        <f>($B$14*(I621*C621+IF(ABS(X621-D621)&lt;0.000000001,4*$B$19*$B$20*(D621+273)^3,$B$19*$B$20*((X621+273)^4-(D621+273)^4)/(X621-D621))*D621)+T621/H621)/($B$14*(I621+IF(ABS(X621-D621)&lt;0.000000001,4*$B$19*$B$20*(D621+273)^3,$B$19*$B$20*((X621+273)^4-(D621+273)^4)/(X621-D621)))+1/H621)</f>
        <v/>
      </c>
      <c r="Z621">
        <f>IF(ABS(Y621-D621)&lt;0.000000001,4*$B$19*$B$20*(D621+273)^3,$B$19*$B$20*((Y621+273)^4-(D621+273)^4)/(Y621-D621))</f>
        <v/>
      </c>
      <c r="AA621">
        <f>$B$14*I621*(Y621-C621)</f>
        <v/>
      </c>
      <c r="AB621">
        <f>$B$14*Z621*(Y621-D621)</f>
        <v/>
      </c>
      <c r="AC621">
        <f>IF((U621-E621)/G621=0,0.001,(U621-E621)/G621)</f>
        <v/>
      </c>
      <c r="AD621">
        <f>F621-P621-J621-K621-AA621-AB621</f>
        <v/>
      </c>
      <c r="AE621">
        <f>AD621/AC621</f>
        <v/>
      </c>
      <c r="AF621">
        <f>IF(AD621&lt;=0,0,IF(AC621&lt;=0,$B$11,IF(AE621&gt;=1.7,$B$11,MIN(AD621/MAX(0.05,IF(AE621&gt;1,(2-AE621)^2/2,1-AE621^2/2)),$B$11))))</f>
        <v/>
      </c>
      <c r="AG621">
        <f>AG620*$B$28+AF621*(1-$B$28)</f>
        <v/>
      </c>
      <c r="AH621">
        <f>IF(AND(AD621&gt;0,AC621&lt;=0),0,AC621)</f>
        <v/>
      </c>
      <c r="AI621">
        <f>AH621/MAX(AG621,0.000001)</f>
        <v/>
      </c>
      <c r="AJ621">
        <f>MIN(IF(AI621&gt;=0.5,-AI621+SQRT(AI621^2+2),1),$B$12)</f>
        <v/>
      </c>
      <c r="AK621">
        <f>IF(AG621&lt;=0,0,AJ621*AH621)</f>
        <v/>
      </c>
      <c r="AL621">
        <f>IF(AD621&lt;=0,0,AD621)</f>
        <v/>
      </c>
      <c r="AM621">
        <f>AL621-AK621+P621</f>
        <v/>
      </c>
      <c r="AN621">
        <f>((AM621/$B$7+T620*AS620/2-T621*MAX(0.1,MIN(0.3,0.3-0.09*(AR620-36.8)))/2)+AR620*(1-AS620/2))/(1-MAX(0.1,MIN(0.3,0.3-0.09*(AR620-36.8)))/2)</f>
        <v/>
      </c>
      <c r="AO621">
        <f>((AM621/$B$7+T620*AS620/2-T621*MAX(0.1,MIN(0.3,0.3-0.09*(AN621-36.8)))/2)+AR620*(1-AS620/2))/(1-MAX(0.1,MIN(0.3,0.3-0.09*(AN621-36.8)))/2)</f>
        <v/>
      </c>
      <c r="AP621">
        <f>((AM621/$B$7+T620*AS620/2-T621*MAX(0.1,MIN(0.3,0.3-0.09*(AO621-36.8)))/2)+AR620*(1-AS620/2))/(1-MAX(0.1,MIN(0.3,0.3-0.09*(AO621-36.8)))/2)</f>
        <v/>
      </c>
      <c r="AQ621">
        <f>((AM621/$B$7+T620*AS620/2-T621*MAX(0.1,MIN(0.3,0.3-0.09*(AP621-36.8)))/2)+AR620*(1-AS620/2))/(1-MAX(0.1,MIN(0.3,0.3-0.09*(AP621-36.8)))/2)</f>
        <v/>
      </c>
      <c r="AR621">
        <f>((AM621/$B$7+T620*AS620/2-T621*MAX(0.1,MIN(0.3,0.3-0.09*(AQ621-36.8)))/2)+AR620*(1-AS620/2))/(1-MAX(0.1,MIN(0.3,0.3-0.09*(AQ621-36.8)))/2)</f>
        <v/>
      </c>
      <c r="AS621">
        <f>MAX(0.1,MIN(0.3,0.3-0.09*(AR621-36.8)))</f>
        <v/>
      </c>
      <c r="AT621">
        <f>AT620+(2*AR621-1.962*AT620-1.31)/9</f>
        <v/>
      </c>
      <c r="AU621">
        <f>AU620+AG621+K621</f>
        <v/>
      </c>
      <c r="AV621">
        <f>AU621*2.67*$B$6/1.8/60</f>
        <v/>
      </c>
      <c r="AW621">
        <f>IF(AT621&gt;=$B$36,1,0)</f>
        <v/>
      </c>
      <c r="AX621">
        <f>IF(AV621&gt;=$B$21,1,0)</f>
        <v/>
      </c>
    </row>
    <row r="622">
      <c r="A622" t="n">
        <v>549</v>
      </c>
      <c r="B622">
        <f>MATCH(A622-1,$D$61:$D$68,1)</f>
        <v/>
      </c>
      <c r="C622">
        <f>INDEX($G$61:$G$68,B622)</f>
        <v/>
      </c>
      <c r="D622">
        <f>INDEX($L$61:$L$68,B622)</f>
        <v/>
      </c>
      <c r="E622">
        <f>INDEX($M$61:$M$68,B622)</f>
        <v/>
      </c>
      <c r="F622">
        <f>INDEX($N$61:$N$68,B622)</f>
        <v/>
      </c>
      <c r="G622">
        <f>INDEX($AA$61:$AA$68,B622)</f>
        <v/>
      </c>
      <c r="H622">
        <f>INDEX($X$61:$X$68,B622)</f>
        <v/>
      </c>
      <c r="I622">
        <f>INDEX($AF$61:$AF$68,B622)</f>
        <v/>
      </c>
      <c r="J622">
        <f>INDEX($AC$61:$AC$68,B622)</f>
        <v/>
      </c>
      <c r="K622">
        <f>INDEX($AD$61:$AD$68,B622)</f>
        <v/>
      </c>
      <c r="L622">
        <f>INDEX($AG$61:$AG$68,B622)</f>
        <v/>
      </c>
      <c r="M622">
        <f>INDEX($AH$61:$AH$68,B622)</f>
        <v/>
      </c>
      <c r="N622">
        <f>INDEX($AI$61:$AI$68,B622)</f>
        <v/>
      </c>
      <c r="O622">
        <f>O621*$B$26+L622*(1-$B$26)</f>
        <v/>
      </c>
      <c r="P622">
        <f>$B$7*(O622-O621)*(1-AS621)</f>
        <v/>
      </c>
      <c r="Q622">
        <f>M622+0.51274*AT621</f>
        <v/>
      </c>
      <c r="R622">
        <f>N622+0.616*AT621</f>
        <v/>
      </c>
      <c r="S622">
        <f>IF($B$13&gt;=0.6,Q622,IF($B$13&lt;=0.2,R622,R622+2.5*(Q622-R622)*($B$13-0.2)))</f>
        <v/>
      </c>
      <c r="T622">
        <f>IF(A622=1,S622,T621*$B$27+S622*(1-$B$27))</f>
        <v/>
      </c>
      <c r="U622">
        <f>0.6105*EXP(17.27*T622/(T622+237.3))</f>
        <v/>
      </c>
      <c r="V622">
        <f>($B$14*(I622*C622+IF(ABS((D622+0.1)-D622)&lt;0.000000001,4*$B$19*$B$20*(D622+273)^3,$B$19*$B$20*(((D622+0.1)+273)^4-(D622+273)^4)/((D622+0.1)-D622))*D622)+T622/H622)/($B$14*(I622+IF(ABS((D622+0.1)-D622)&lt;0.000000001,4*$B$19*$B$20*(D622+273)^3,$B$19*$B$20*(((D622+0.1)+273)^4-(D622+273)^4)/((D622+0.1)-D622)))+1/H622)</f>
        <v/>
      </c>
      <c r="W622">
        <f>($B$14*(I622*C622+IF(ABS(V622-D622)&lt;0.000000001,4*$B$19*$B$20*(D622+273)^3,$B$19*$B$20*((V622+273)^4-(D622+273)^4)/(V622-D622))*D622)+T622/H622)/($B$14*(I622+IF(ABS(V622-D622)&lt;0.000000001,4*$B$19*$B$20*(D622+273)^3,$B$19*$B$20*((V622+273)^4-(D622+273)^4)/(V622-D622)))+1/H622)</f>
        <v/>
      </c>
      <c r="X622">
        <f>($B$14*(I622*C622+IF(ABS(W622-D622)&lt;0.000000001,4*$B$19*$B$20*(D622+273)^3,$B$19*$B$20*((W622+273)^4-(D622+273)^4)/(W622-D622))*D622)+T622/H622)/($B$14*(I622+IF(ABS(W622-D622)&lt;0.000000001,4*$B$19*$B$20*(D622+273)^3,$B$19*$B$20*((W622+273)^4-(D622+273)^4)/(W622-D622)))+1/H622)</f>
        <v/>
      </c>
      <c r="Y622">
        <f>($B$14*(I622*C622+IF(ABS(X622-D622)&lt;0.000000001,4*$B$19*$B$20*(D622+273)^3,$B$19*$B$20*((X622+273)^4-(D622+273)^4)/(X622-D622))*D622)+T622/H622)/($B$14*(I622+IF(ABS(X622-D622)&lt;0.000000001,4*$B$19*$B$20*(D622+273)^3,$B$19*$B$20*((X622+273)^4-(D622+273)^4)/(X622-D622)))+1/H622)</f>
        <v/>
      </c>
      <c r="Z622">
        <f>IF(ABS(Y622-D622)&lt;0.000000001,4*$B$19*$B$20*(D622+273)^3,$B$19*$B$20*((Y622+273)^4-(D622+273)^4)/(Y622-D622))</f>
        <v/>
      </c>
      <c r="AA622">
        <f>$B$14*I622*(Y622-C622)</f>
        <v/>
      </c>
      <c r="AB622">
        <f>$B$14*Z622*(Y622-D622)</f>
        <v/>
      </c>
      <c r="AC622">
        <f>IF((U622-E622)/G622=0,0.001,(U622-E622)/G622)</f>
        <v/>
      </c>
      <c r="AD622">
        <f>F622-P622-J622-K622-AA622-AB622</f>
        <v/>
      </c>
      <c r="AE622">
        <f>AD622/AC622</f>
        <v/>
      </c>
      <c r="AF622">
        <f>IF(AD622&lt;=0,0,IF(AC622&lt;=0,$B$11,IF(AE622&gt;=1.7,$B$11,MIN(AD622/MAX(0.05,IF(AE622&gt;1,(2-AE622)^2/2,1-AE622^2/2)),$B$11))))</f>
        <v/>
      </c>
      <c r="AG622">
        <f>AG621*$B$28+AF622*(1-$B$28)</f>
        <v/>
      </c>
      <c r="AH622">
        <f>IF(AND(AD622&gt;0,AC622&lt;=0),0,AC622)</f>
        <v/>
      </c>
      <c r="AI622">
        <f>AH622/MAX(AG622,0.000001)</f>
        <v/>
      </c>
      <c r="AJ622">
        <f>MIN(IF(AI622&gt;=0.5,-AI622+SQRT(AI622^2+2),1),$B$12)</f>
        <v/>
      </c>
      <c r="AK622">
        <f>IF(AG622&lt;=0,0,AJ622*AH622)</f>
        <v/>
      </c>
      <c r="AL622">
        <f>IF(AD622&lt;=0,0,AD622)</f>
        <v/>
      </c>
      <c r="AM622">
        <f>AL622-AK622+P622</f>
        <v/>
      </c>
      <c r="AN622">
        <f>((AM622/$B$7+T621*AS621/2-T622*MAX(0.1,MIN(0.3,0.3-0.09*(AR621-36.8)))/2)+AR621*(1-AS621/2))/(1-MAX(0.1,MIN(0.3,0.3-0.09*(AR621-36.8)))/2)</f>
        <v/>
      </c>
      <c r="AO622">
        <f>((AM622/$B$7+T621*AS621/2-T622*MAX(0.1,MIN(0.3,0.3-0.09*(AN622-36.8)))/2)+AR621*(1-AS621/2))/(1-MAX(0.1,MIN(0.3,0.3-0.09*(AN622-36.8)))/2)</f>
        <v/>
      </c>
      <c r="AP622">
        <f>((AM622/$B$7+T621*AS621/2-T622*MAX(0.1,MIN(0.3,0.3-0.09*(AO622-36.8)))/2)+AR621*(1-AS621/2))/(1-MAX(0.1,MIN(0.3,0.3-0.09*(AO622-36.8)))/2)</f>
        <v/>
      </c>
      <c r="AQ622">
        <f>((AM622/$B$7+T621*AS621/2-T622*MAX(0.1,MIN(0.3,0.3-0.09*(AP622-36.8)))/2)+AR621*(1-AS621/2))/(1-MAX(0.1,MIN(0.3,0.3-0.09*(AP622-36.8)))/2)</f>
        <v/>
      </c>
      <c r="AR622">
        <f>((AM622/$B$7+T621*AS621/2-T622*MAX(0.1,MIN(0.3,0.3-0.09*(AQ622-36.8)))/2)+AR621*(1-AS621/2))/(1-MAX(0.1,MIN(0.3,0.3-0.09*(AQ622-36.8)))/2)</f>
        <v/>
      </c>
      <c r="AS622">
        <f>MAX(0.1,MIN(0.3,0.3-0.09*(AR622-36.8)))</f>
        <v/>
      </c>
      <c r="AT622">
        <f>AT621+(2*AR622-1.962*AT621-1.31)/9</f>
        <v/>
      </c>
      <c r="AU622">
        <f>AU621+AG622+K622</f>
        <v/>
      </c>
      <c r="AV622">
        <f>AU622*2.67*$B$6/1.8/60</f>
        <v/>
      </c>
      <c r="AW622">
        <f>IF(AT622&gt;=$B$36,1,0)</f>
        <v/>
      </c>
      <c r="AX622">
        <f>IF(AV622&gt;=$B$21,1,0)</f>
        <v/>
      </c>
    </row>
    <row r="623">
      <c r="A623" t="n">
        <v>550</v>
      </c>
      <c r="B623">
        <f>MATCH(A623-1,$D$61:$D$68,1)</f>
        <v/>
      </c>
      <c r="C623">
        <f>INDEX($G$61:$G$68,B623)</f>
        <v/>
      </c>
      <c r="D623">
        <f>INDEX($L$61:$L$68,B623)</f>
        <v/>
      </c>
      <c r="E623">
        <f>INDEX($M$61:$M$68,B623)</f>
        <v/>
      </c>
      <c r="F623">
        <f>INDEX($N$61:$N$68,B623)</f>
        <v/>
      </c>
      <c r="G623">
        <f>INDEX($AA$61:$AA$68,B623)</f>
        <v/>
      </c>
      <c r="H623">
        <f>INDEX($X$61:$X$68,B623)</f>
        <v/>
      </c>
      <c r="I623">
        <f>INDEX($AF$61:$AF$68,B623)</f>
        <v/>
      </c>
      <c r="J623">
        <f>INDEX($AC$61:$AC$68,B623)</f>
        <v/>
      </c>
      <c r="K623">
        <f>INDEX($AD$61:$AD$68,B623)</f>
        <v/>
      </c>
      <c r="L623">
        <f>INDEX($AG$61:$AG$68,B623)</f>
        <v/>
      </c>
      <c r="M623">
        <f>INDEX($AH$61:$AH$68,B623)</f>
        <v/>
      </c>
      <c r="N623">
        <f>INDEX($AI$61:$AI$68,B623)</f>
        <v/>
      </c>
      <c r="O623">
        <f>O622*$B$26+L623*(1-$B$26)</f>
        <v/>
      </c>
      <c r="P623">
        <f>$B$7*(O623-O622)*(1-AS622)</f>
        <v/>
      </c>
      <c r="Q623">
        <f>M623+0.51274*AT622</f>
        <v/>
      </c>
      <c r="R623">
        <f>N623+0.616*AT622</f>
        <v/>
      </c>
      <c r="S623">
        <f>IF($B$13&gt;=0.6,Q623,IF($B$13&lt;=0.2,R623,R623+2.5*(Q623-R623)*($B$13-0.2)))</f>
        <v/>
      </c>
      <c r="T623">
        <f>IF(A623=1,S623,T622*$B$27+S623*(1-$B$27))</f>
        <v/>
      </c>
      <c r="U623">
        <f>0.6105*EXP(17.27*T623/(T623+237.3))</f>
        <v/>
      </c>
      <c r="V623">
        <f>($B$14*(I623*C623+IF(ABS((D623+0.1)-D623)&lt;0.000000001,4*$B$19*$B$20*(D623+273)^3,$B$19*$B$20*(((D623+0.1)+273)^4-(D623+273)^4)/((D623+0.1)-D623))*D623)+T623/H623)/($B$14*(I623+IF(ABS((D623+0.1)-D623)&lt;0.000000001,4*$B$19*$B$20*(D623+273)^3,$B$19*$B$20*(((D623+0.1)+273)^4-(D623+273)^4)/((D623+0.1)-D623)))+1/H623)</f>
        <v/>
      </c>
      <c r="W623">
        <f>($B$14*(I623*C623+IF(ABS(V623-D623)&lt;0.000000001,4*$B$19*$B$20*(D623+273)^3,$B$19*$B$20*((V623+273)^4-(D623+273)^4)/(V623-D623))*D623)+T623/H623)/($B$14*(I623+IF(ABS(V623-D623)&lt;0.000000001,4*$B$19*$B$20*(D623+273)^3,$B$19*$B$20*((V623+273)^4-(D623+273)^4)/(V623-D623)))+1/H623)</f>
        <v/>
      </c>
      <c r="X623">
        <f>($B$14*(I623*C623+IF(ABS(W623-D623)&lt;0.000000001,4*$B$19*$B$20*(D623+273)^3,$B$19*$B$20*((W623+273)^4-(D623+273)^4)/(W623-D623))*D623)+T623/H623)/($B$14*(I623+IF(ABS(W623-D623)&lt;0.000000001,4*$B$19*$B$20*(D623+273)^3,$B$19*$B$20*((W623+273)^4-(D623+273)^4)/(W623-D623)))+1/H623)</f>
        <v/>
      </c>
      <c r="Y623">
        <f>($B$14*(I623*C623+IF(ABS(X623-D623)&lt;0.000000001,4*$B$19*$B$20*(D623+273)^3,$B$19*$B$20*((X623+273)^4-(D623+273)^4)/(X623-D623))*D623)+T623/H623)/($B$14*(I623+IF(ABS(X623-D623)&lt;0.000000001,4*$B$19*$B$20*(D623+273)^3,$B$19*$B$20*((X623+273)^4-(D623+273)^4)/(X623-D623)))+1/H623)</f>
        <v/>
      </c>
      <c r="Z623">
        <f>IF(ABS(Y623-D623)&lt;0.000000001,4*$B$19*$B$20*(D623+273)^3,$B$19*$B$20*((Y623+273)^4-(D623+273)^4)/(Y623-D623))</f>
        <v/>
      </c>
      <c r="AA623">
        <f>$B$14*I623*(Y623-C623)</f>
        <v/>
      </c>
      <c r="AB623">
        <f>$B$14*Z623*(Y623-D623)</f>
        <v/>
      </c>
      <c r="AC623">
        <f>IF((U623-E623)/G623=0,0.001,(U623-E623)/G623)</f>
        <v/>
      </c>
      <c r="AD623">
        <f>F623-P623-J623-K623-AA623-AB623</f>
        <v/>
      </c>
      <c r="AE623">
        <f>AD623/AC623</f>
        <v/>
      </c>
      <c r="AF623">
        <f>IF(AD623&lt;=0,0,IF(AC623&lt;=0,$B$11,IF(AE623&gt;=1.7,$B$11,MIN(AD623/MAX(0.05,IF(AE623&gt;1,(2-AE623)^2/2,1-AE623^2/2)),$B$11))))</f>
        <v/>
      </c>
      <c r="AG623">
        <f>AG622*$B$28+AF623*(1-$B$28)</f>
        <v/>
      </c>
      <c r="AH623">
        <f>IF(AND(AD623&gt;0,AC623&lt;=0),0,AC623)</f>
        <v/>
      </c>
      <c r="AI623">
        <f>AH623/MAX(AG623,0.000001)</f>
        <v/>
      </c>
      <c r="AJ623">
        <f>MIN(IF(AI623&gt;=0.5,-AI623+SQRT(AI623^2+2),1),$B$12)</f>
        <v/>
      </c>
      <c r="AK623">
        <f>IF(AG623&lt;=0,0,AJ623*AH623)</f>
        <v/>
      </c>
      <c r="AL623">
        <f>IF(AD623&lt;=0,0,AD623)</f>
        <v/>
      </c>
      <c r="AM623">
        <f>AL623-AK623+P623</f>
        <v/>
      </c>
      <c r="AN623">
        <f>((AM623/$B$7+T622*AS622/2-T623*MAX(0.1,MIN(0.3,0.3-0.09*(AR622-36.8)))/2)+AR622*(1-AS622/2))/(1-MAX(0.1,MIN(0.3,0.3-0.09*(AR622-36.8)))/2)</f>
        <v/>
      </c>
      <c r="AO623">
        <f>((AM623/$B$7+T622*AS622/2-T623*MAX(0.1,MIN(0.3,0.3-0.09*(AN623-36.8)))/2)+AR622*(1-AS622/2))/(1-MAX(0.1,MIN(0.3,0.3-0.09*(AN623-36.8)))/2)</f>
        <v/>
      </c>
      <c r="AP623">
        <f>((AM623/$B$7+T622*AS622/2-T623*MAX(0.1,MIN(0.3,0.3-0.09*(AO623-36.8)))/2)+AR622*(1-AS622/2))/(1-MAX(0.1,MIN(0.3,0.3-0.09*(AO623-36.8)))/2)</f>
        <v/>
      </c>
      <c r="AQ623">
        <f>((AM623/$B$7+T622*AS622/2-T623*MAX(0.1,MIN(0.3,0.3-0.09*(AP623-36.8)))/2)+AR622*(1-AS622/2))/(1-MAX(0.1,MIN(0.3,0.3-0.09*(AP623-36.8)))/2)</f>
        <v/>
      </c>
      <c r="AR623">
        <f>((AM623/$B$7+T622*AS622/2-T623*MAX(0.1,MIN(0.3,0.3-0.09*(AQ623-36.8)))/2)+AR622*(1-AS622/2))/(1-MAX(0.1,MIN(0.3,0.3-0.09*(AQ623-36.8)))/2)</f>
        <v/>
      </c>
      <c r="AS623">
        <f>MAX(0.1,MIN(0.3,0.3-0.09*(AR623-36.8)))</f>
        <v/>
      </c>
      <c r="AT623">
        <f>AT622+(2*AR623-1.962*AT622-1.31)/9</f>
        <v/>
      </c>
      <c r="AU623">
        <f>AU622+AG623+K623</f>
        <v/>
      </c>
      <c r="AV623">
        <f>AU623*2.67*$B$6/1.8/60</f>
        <v/>
      </c>
      <c r="AW623">
        <f>IF(AT623&gt;=$B$36,1,0)</f>
        <v/>
      </c>
      <c r="AX623">
        <f>IF(AV623&gt;=$B$21,1,0)</f>
        <v/>
      </c>
    </row>
    <row r="624">
      <c r="A624" t="n">
        <v>551</v>
      </c>
      <c r="B624">
        <f>MATCH(A624-1,$D$61:$D$68,1)</f>
        <v/>
      </c>
      <c r="C624">
        <f>INDEX($G$61:$G$68,B624)</f>
        <v/>
      </c>
      <c r="D624">
        <f>INDEX($L$61:$L$68,B624)</f>
        <v/>
      </c>
      <c r="E624">
        <f>INDEX($M$61:$M$68,B624)</f>
        <v/>
      </c>
      <c r="F624">
        <f>INDEX($N$61:$N$68,B624)</f>
        <v/>
      </c>
      <c r="G624">
        <f>INDEX($AA$61:$AA$68,B624)</f>
        <v/>
      </c>
      <c r="H624">
        <f>INDEX($X$61:$X$68,B624)</f>
        <v/>
      </c>
      <c r="I624">
        <f>INDEX($AF$61:$AF$68,B624)</f>
        <v/>
      </c>
      <c r="J624">
        <f>INDEX($AC$61:$AC$68,B624)</f>
        <v/>
      </c>
      <c r="K624">
        <f>INDEX($AD$61:$AD$68,B624)</f>
        <v/>
      </c>
      <c r="L624">
        <f>INDEX($AG$61:$AG$68,B624)</f>
        <v/>
      </c>
      <c r="M624">
        <f>INDEX($AH$61:$AH$68,B624)</f>
        <v/>
      </c>
      <c r="N624">
        <f>INDEX($AI$61:$AI$68,B624)</f>
        <v/>
      </c>
      <c r="O624">
        <f>O623*$B$26+L624*(1-$B$26)</f>
        <v/>
      </c>
      <c r="P624">
        <f>$B$7*(O624-O623)*(1-AS623)</f>
        <v/>
      </c>
      <c r="Q624">
        <f>M624+0.51274*AT623</f>
        <v/>
      </c>
      <c r="R624">
        <f>N624+0.616*AT623</f>
        <v/>
      </c>
      <c r="S624">
        <f>IF($B$13&gt;=0.6,Q624,IF($B$13&lt;=0.2,R624,R624+2.5*(Q624-R624)*($B$13-0.2)))</f>
        <v/>
      </c>
      <c r="T624">
        <f>IF(A624=1,S624,T623*$B$27+S624*(1-$B$27))</f>
        <v/>
      </c>
      <c r="U624">
        <f>0.6105*EXP(17.27*T624/(T624+237.3))</f>
        <v/>
      </c>
      <c r="V624">
        <f>($B$14*(I624*C624+IF(ABS((D624+0.1)-D624)&lt;0.000000001,4*$B$19*$B$20*(D624+273)^3,$B$19*$B$20*(((D624+0.1)+273)^4-(D624+273)^4)/((D624+0.1)-D624))*D624)+T624/H624)/($B$14*(I624+IF(ABS((D624+0.1)-D624)&lt;0.000000001,4*$B$19*$B$20*(D624+273)^3,$B$19*$B$20*(((D624+0.1)+273)^4-(D624+273)^4)/((D624+0.1)-D624)))+1/H624)</f>
        <v/>
      </c>
      <c r="W624">
        <f>($B$14*(I624*C624+IF(ABS(V624-D624)&lt;0.000000001,4*$B$19*$B$20*(D624+273)^3,$B$19*$B$20*((V624+273)^4-(D624+273)^4)/(V624-D624))*D624)+T624/H624)/($B$14*(I624+IF(ABS(V624-D624)&lt;0.000000001,4*$B$19*$B$20*(D624+273)^3,$B$19*$B$20*((V624+273)^4-(D624+273)^4)/(V624-D624)))+1/H624)</f>
        <v/>
      </c>
      <c r="X624">
        <f>($B$14*(I624*C624+IF(ABS(W624-D624)&lt;0.000000001,4*$B$19*$B$20*(D624+273)^3,$B$19*$B$20*((W624+273)^4-(D624+273)^4)/(W624-D624))*D624)+T624/H624)/($B$14*(I624+IF(ABS(W624-D624)&lt;0.000000001,4*$B$19*$B$20*(D624+273)^3,$B$19*$B$20*((W624+273)^4-(D624+273)^4)/(W624-D624)))+1/H624)</f>
        <v/>
      </c>
      <c r="Y624">
        <f>($B$14*(I624*C624+IF(ABS(X624-D624)&lt;0.000000001,4*$B$19*$B$20*(D624+273)^3,$B$19*$B$20*((X624+273)^4-(D624+273)^4)/(X624-D624))*D624)+T624/H624)/($B$14*(I624+IF(ABS(X624-D624)&lt;0.000000001,4*$B$19*$B$20*(D624+273)^3,$B$19*$B$20*((X624+273)^4-(D624+273)^4)/(X624-D624)))+1/H624)</f>
        <v/>
      </c>
      <c r="Z624">
        <f>IF(ABS(Y624-D624)&lt;0.000000001,4*$B$19*$B$20*(D624+273)^3,$B$19*$B$20*((Y624+273)^4-(D624+273)^4)/(Y624-D624))</f>
        <v/>
      </c>
      <c r="AA624">
        <f>$B$14*I624*(Y624-C624)</f>
        <v/>
      </c>
      <c r="AB624">
        <f>$B$14*Z624*(Y624-D624)</f>
        <v/>
      </c>
      <c r="AC624">
        <f>IF((U624-E624)/G624=0,0.001,(U624-E624)/G624)</f>
        <v/>
      </c>
      <c r="AD624">
        <f>F624-P624-J624-K624-AA624-AB624</f>
        <v/>
      </c>
      <c r="AE624">
        <f>AD624/AC624</f>
        <v/>
      </c>
      <c r="AF624">
        <f>IF(AD624&lt;=0,0,IF(AC624&lt;=0,$B$11,IF(AE624&gt;=1.7,$B$11,MIN(AD624/MAX(0.05,IF(AE624&gt;1,(2-AE624)^2/2,1-AE624^2/2)),$B$11))))</f>
        <v/>
      </c>
      <c r="AG624">
        <f>AG623*$B$28+AF624*(1-$B$28)</f>
        <v/>
      </c>
      <c r="AH624">
        <f>IF(AND(AD624&gt;0,AC624&lt;=0),0,AC624)</f>
        <v/>
      </c>
      <c r="AI624">
        <f>AH624/MAX(AG624,0.000001)</f>
        <v/>
      </c>
      <c r="AJ624">
        <f>MIN(IF(AI624&gt;=0.5,-AI624+SQRT(AI624^2+2),1),$B$12)</f>
        <v/>
      </c>
      <c r="AK624">
        <f>IF(AG624&lt;=0,0,AJ624*AH624)</f>
        <v/>
      </c>
      <c r="AL624">
        <f>IF(AD624&lt;=0,0,AD624)</f>
        <v/>
      </c>
      <c r="AM624">
        <f>AL624-AK624+P624</f>
        <v/>
      </c>
      <c r="AN624">
        <f>((AM624/$B$7+T623*AS623/2-T624*MAX(0.1,MIN(0.3,0.3-0.09*(AR623-36.8)))/2)+AR623*(1-AS623/2))/(1-MAX(0.1,MIN(0.3,0.3-0.09*(AR623-36.8)))/2)</f>
        <v/>
      </c>
      <c r="AO624">
        <f>((AM624/$B$7+T623*AS623/2-T624*MAX(0.1,MIN(0.3,0.3-0.09*(AN624-36.8)))/2)+AR623*(1-AS623/2))/(1-MAX(0.1,MIN(0.3,0.3-0.09*(AN624-36.8)))/2)</f>
        <v/>
      </c>
      <c r="AP624">
        <f>((AM624/$B$7+T623*AS623/2-T624*MAX(0.1,MIN(0.3,0.3-0.09*(AO624-36.8)))/2)+AR623*(1-AS623/2))/(1-MAX(0.1,MIN(0.3,0.3-0.09*(AO624-36.8)))/2)</f>
        <v/>
      </c>
      <c r="AQ624">
        <f>((AM624/$B$7+T623*AS623/2-T624*MAX(0.1,MIN(0.3,0.3-0.09*(AP624-36.8)))/2)+AR623*(1-AS623/2))/(1-MAX(0.1,MIN(0.3,0.3-0.09*(AP624-36.8)))/2)</f>
        <v/>
      </c>
      <c r="AR624">
        <f>((AM624/$B$7+T623*AS623/2-T624*MAX(0.1,MIN(0.3,0.3-0.09*(AQ624-36.8)))/2)+AR623*(1-AS623/2))/(1-MAX(0.1,MIN(0.3,0.3-0.09*(AQ624-36.8)))/2)</f>
        <v/>
      </c>
      <c r="AS624">
        <f>MAX(0.1,MIN(0.3,0.3-0.09*(AR624-36.8)))</f>
        <v/>
      </c>
      <c r="AT624">
        <f>AT623+(2*AR624-1.962*AT623-1.31)/9</f>
        <v/>
      </c>
      <c r="AU624">
        <f>AU623+AG624+K624</f>
        <v/>
      </c>
      <c r="AV624">
        <f>AU624*2.67*$B$6/1.8/60</f>
        <v/>
      </c>
      <c r="AW624">
        <f>IF(AT624&gt;=$B$36,1,0)</f>
        <v/>
      </c>
      <c r="AX624">
        <f>IF(AV624&gt;=$B$21,1,0)</f>
        <v/>
      </c>
    </row>
    <row r="625">
      <c r="A625" t="n">
        <v>552</v>
      </c>
      <c r="B625">
        <f>MATCH(A625-1,$D$61:$D$68,1)</f>
        <v/>
      </c>
      <c r="C625">
        <f>INDEX($G$61:$G$68,B625)</f>
        <v/>
      </c>
      <c r="D625">
        <f>INDEX($L$61:$L$68,B625)</f>
        <v/>
      </c>
      <c r="E625">
        <f>INDEX($M$61:$M$68,B625)</f>
        <v/>
      </c>
      <c r="F625">
        <f>INDEX($N$61:$N$68,B625)</f>
        <v/>
      </c>
      <c r="G625">
        <f>INDEX($AA$61:$AA$68,B625)</f>
        <v/>
      </c>
      <c r="H625">
        <f>INDEX($X$61:$X$68,B625)</f>
        <v/>
      </c>
      <c r="I625">
        <f>INDEX($AF$61:$AF$68,B625)</f>
        <v/>
      </c>
      <c r="J625">
        <f>INDEX($AC$61:$AC$68,B625)</f>
        <v/>
      </c>
      <c r="K625">
        <f>INDEX($AD$61:$AD$68,B625)</f>
        <v/>
      </c>
      <c r="L625">
        <f>INDEX($AG$61:$AG$68,B625)</f>
        <v/>
      </c>
      <c r="M625">
        <f>INDEX($AH$61:$AH$68,B625)</f>
        <v/>
      </c>
      <c r="N625">
        <f>INDEX($AI$61:$AI$68,B625)</f>
        <v/>
      </c>
      <c r="O625">
        <f>O624*$B$26+L625*(1-$B$26)</f>
        <v/>
      </c>
      <c r="P625">
        <f>$B$7*(O625-O624)*(1-AS624)</f>
        <v/>
      </c>
      <c r="Q625">
        <f>M625+0.51274*AT624</f>
        <v/>
      </c>
      <c r="R625">
        <f>N625+0.616*AT624</f>
        <v/>
      </c>
      <c r="S625">
        <f>IF($B$13&gt;=0.6,Q625,IF($B$13&lt;=0.2,R625,R625+2.5*(Q625-R625)*($B$13-0.2)))</f>
        <v/>
      </c>
      <c r="T625">
        <f>IF(A625=1,S625,T624*$B$27+S625*(1-$B$27))</f>
        <v/>
      </c>
      <c r="U625">
        <f>0.6105*EXP(17.27*T625/(T625+237.3))</f>
        <v/>
      </c>
      <c r="V625">
        <f>($B$14*(I625*C625+IF(ABS((D625+0.1)-D625)&lt;0.000000001,4*$B$19*$B$20*(D625+273)^3,$B$19*$B$20*(((D625+0.1)+273)^4-(D625+273)^4)/((D625+0.1)-D625))*D625)+T625/H625)/($B$14*(I625+IF(ABS((D625+0.1)-D625)&lt;0.000000001,4*$B$19*$B$20*(D625+273)^3,$B$19*$B$20*(((D625+0.1)+273)^4-(D625+273)^4)/((D625+0.1)-D625)))+1/H625)</f>
        <v/>
      </c>
      <c r="W625">
        <f>($B$14*(I625*C625+IF(ABS(V625-D625)&lt;0.000000001,4*$B$19*$B$20*(D625+273)^3,$B$19*$B$20*((V625+273)^4-(D625+273)^4)/(V625-D625))*D625)+T625/H625)/($B$14*(I625+IF(ABS(V625-D625)&lt;0.000000001,4*$B$19*$B$20*(D625+273)^3,$B$19*$B$20*((V625+273)^4-(D625+273)^4)/(V625-D625)))+1/H625)</f>
        <v/>
      </c>
      <c r="X625">
        <f>($B$14*(I625*C625+IF(ABS(W625-D625)&lt;0.000000001,4*$B$19*$B$20*(D625+273)^3,$B$19*$B$20*((W625+273)^4-(D625+273)^4)/(W625-D625))*D625)+T625/H625)/($B$14*(I625+IF(ABS(W625-D625)&lt;0.000000001,4*$B$19*$B$20*(D625+273)^3,$B$19*$B$20*((W625+273)^4-(D625+273)^4)/(W625-D625)))+1/H625)</f>
        <v/>
      </c>
      <c r="Y625">
        <f>($B$14*(I625*C625+IF(ABS(X625-D625)&lt;0.000000001,4*$B$19*$B$20*(D625+273)^3,$B$19*$B$20*((X625+273)^4-(D625+273)^4)/(X625-D625))*D625)+T625/H625)/($B$14*(I625+IF(ABS(X625-D625)&lt;0.000000001,4*$B$19*$B$20*(D625+273)^3,$B$19*$B$20*((X625+273)^4-(D625+273)^4)/(X625-D625)))+1/H625)</f>
        <v/>
      </c>
      <c r="Z625">
        <f>IF(ABS(Y625-D625)&lt;0.000000001,4*$B$19*$B$20*(D625+273)^3,$B$19*$B$20*((Y625+273)^4-(D625+273)^4)/(Y625-D625))</f>
        <v/>
      </c>
      <c r="AA625">
        <f>$B$14*I625*(Y625-C625)</f>
        <v/>
      </c>
      <c r="AB625">
        <f>$B$14*Z625*(Y625-D625)</f>
        <v/>
      </c>
      <c r="AC625">
        <f>IF((U625-E625)/G625=0,0.001,(U625-E625)/G625)</f>
        <v/>
      </c>
      <c r="AD625">
        <f>F625-P625-J625-K625-AA625-AB625</f>
        <v/>
      </c>
      <c r="AE625">
        <f>AD625/AC625</f>
        <v/>
      </c>
      <c r="AF625">
        <f>IF(AD625&lt;=0,0,IF(AC625&lt;=0,$B$11,IF(AE625&gt;=1.7,$B$11,MIN(AD625/MAX(0.05,IF(AE625&gt;1,(2-AE625)^2/2,1-AE625^2/2)),$B$11))))</f>
        <v/>
      </c>
      <c r="AG625">
        <f>AG624*$B$28+AF625*(1-$B$28)</f>
        <v/>
      </c>
      <c r="AH625">
        <f>IF(AND(AD625&gt;0,AC625&lt;=0),0,AC625)</f>
        <v/>
      </c>
      <c r="AI625">
        <f>AH625/MAX(AG625,0.000001)</f>
        <v/>
      </c>
      <c r="AJ625">
        <f>MIN(IF(AI625&gt;=0.5,-AI625+SQRT(AI625^2+2),1),$B$12)</f>
        <v/>
      </c>
      <c r="AK625">
        <f>IF(AG625&lt;=0,0,AJ625*AH625)</f>
        <v/>
      </c>
      <c r="AL625">
        <f>IF(AD625&lt;=0,0,AD625)</f>
        <v/>
      </c>
      <c r="AM625">
        <f>AL625-AK625+P625</f>
        <v/>
      </c>
      <c r="AN625">
        <f>((AM625/$B$7+T624*AS624/2-T625*MAX(0.1,MIN(0.3,0.3-0.09*(AR624-36.8)))/2)+AR624*(1-AS624/2))/(1-MAX(0.1,MIN(0.3,0.3-0.09*(AR624-36.8)))/2)</f>
        <v/>
      </c>
      <c r="AO625">
        <f>((AM625/$B$7+T624*AS624/2-T625*MAX(0.1,MIN(0.3,0.3-0.09*(AN625-36.8)))/2)+AR624*(1-AS624/2))/(1-MAX(0.1,MIN(0.3,0.3-0.09*(AN625-36.8)))/2)</f>
        <v/>
      </c>
      <c r="AP625">
        <f>((AM625/$B$7+T624*AS624/2-T625*MAX(0.1,MIN(0.3,0.3-0.09*(AO625-36.8)))/2)+AR624*(1-AS624/2))/(1-MAX(0.1,MIN(0.3,0.3-0.09*(AO625-36.8)))/2)</f>
        <v/>
      </c>
      <c r="AQ625">
        <f>((AM625/$B$7+T624*AS624/2-T625*MAX(0.1,MIN(0.3,0.3-0.09*(AP625-36.8)))/2)+AR624*(1-AS624/2))/(1-MAX(0.1,MIN(0.3,0.3-0.09*(AP625-36.8)))/2)</f>
        <v/>
      </c>
      <c r="AR625">
        <f>((AM625/$B$7+T624*AS624/2-T625*MAX(0.1,MIN(0.3,0.3-0.09*(AQ625-36.8)))/2)+AR624*(1-AS624/2))/(1-MAX(0.1,MIN(0.3,0.3-0.09*(AQ625-36.8)))/2)</f>
        <v/>
      </c>
      <c r="AS625">
        <f>MAX(0.1,MIN(0.3,0.3-0.09*(AR625-36.8)))</f>
        <v/>
      </c>
      <c r="AT625">
        <f>AT624+(2*AR625-1.962*AT624-1.31)/9</f>
        <v/>
      </c>
      <c r="AU625">
        <f>AU624+AG625+K625</f>
        <v/>
      </c>
      <c r="AV625">
        <f>AU625*2.67*$B$6/1.8/60</f>
        <v/>
      </c>
      <c r="AW625">
        <f>IF(AT625&gt;=$B$36,1,0)</f>
        <v/>
      </c>
      <c r="AX625">
        <f>IF(AV625&gt;=$B$21,1,0)</f>
        <v/>
      </c>
    </row>
    <row r="626">
      <c r="A626" t="n">
        <v>553</v>
      </c>
      <c r="B626">
        <f>MATCH(A626-1,$D$61:$D$68,1)</f>
        <v/>
      </c>
      <c r="C626">
        <f>INDEX($G$61:$G$68,B626)</f>
        <v/>
      </c>
      <c r="D626">
        <f>INDEX($L$61:$L$68,B626)</f>
        <v/>
      </c>
      <c r="E626">
        <f>INDEX($M$61:$M$68,B626)</f>
        <v/>
      </c>
      <c r="F626">
        <f>INDEX($N$61:$N$68,B626)</f>
        <v/>
      </c>
      <c r="G626">
        <f>INDEX($AA$61:$AA$68,B626)</f>
        <v/>
      </c>
      <c r="H626">
        <f>INDEX($X$61:$X$68,B626)</f>
        <v/>
      </c>
      <c r="I626">
        <f>INDEX($AF$61:$AF$68,B626)</f>
        <v/>
      </c>
      <c r="J626">
        <f>INDEX($AC$61:$AC$68,B626)</f>
        <v/>
      </c>
      <c r="K626">
        <f>INDEX($AD$61:$AD$68,B626)</f>
        <v/>
      </c>
      <c r="L626">
        <f>INDEX($AG$61:$AG$68,B626)</f>
        <v/>
      </c>
      <c r="M626">
        <f>INDEX($AH$61:$AH$68,B626)</f>
        <v/>
      </c>
      <c r="N626">
        <f>INDEX($AI$61:$AI$68,B626)</f>
        <v/>
      </c>
      <c r="O626">
        <f>O625*$B$26+L626*(1-$B$26)</f>
        <v/>
      </c>
      <c r="P626">
        <f>$B$7*(O626-O625)*(1-AS625)</f>
        <v/>
      </c>
      <c r="Q626">
        <f>M626+0.51274*AT625</f>
        <v/>
      </c>
      <c r="R626">
        <f>N626+0.616*AT625</f>
        <v/>
      </c>
      <c r="S626">
        <f>IF($B$13&gt;=0.6,Q626,IF($B$13&lt;=0.2,R626,R626+2.5*(Q626-R626)*($B$13-0.2)))</f>
        <v/>
      </c>
      <c r="T626">
        <f>IF(A626=1,S626,T625*$B$27+S626*(1-$B$27))</f>
        <v/>
      </c>
      <c r="U626">
        <f>0.6105*EXP(17.27*T626/(T626+237.3))</f>
        <v/>
      </c>
      <c r="V626">
        <f>($B$14*(I626*C626+IF(ABS((D626+0.1)-D626)&lt;0.000000001,4*$B$19*$B$20*(D626+273)^3,$B$19*$B$20*(((D626+0.1)+273)^4-(D626+273)^4)/((D626+0.1)-D626))*D626)+T626/H626)/($B$14*(I626+IF(ABS((D626+0.1)-D626)&lt;0.000000001,4*$B$19*$B$20*(D626+273)^3,$B$19*$B$20*(((D626+0.1)+273)^4-(D626+273)^4)/((D626+0.1)-D626)))+1/H626)</f>
        <v/>
      </c>
      <c r="W626">
        <f>($B$14*(I626*C626+IF(ABS(V626-D626)&lt;0.000000001,4*$B$19*$B$20*(D626+273)^3,$B$19*$B$20*((V626+273)^4-(D626+273)^4)/(V626-D626))*D626)+T626/H626)/($B$14*(I626+IF(ABS(V626-D626)&lt;0.000000001,4*$B$19*$B$20*(D626+273)^3,$B$19*$B$20*((V626+273)^4-(D626+273)^4)/(V626-D626)))+1/H626)</f>
        <v/>
      </c>
      <c r="X626">
        <f>($B$14*(I626*C626+IF(ABS(W626-D626)&lt;0.000000001,4*$B$19*$B$20*(D626+273)^3,$B$19*$B$20*((W626+273)^4-(D626+273)^4)/(W626-D626))*D626)+T626/H626)/($B$14*(I626+IF(ABS(W626-D626)&lt;0.000000001,4*$B$19*$B$20*(D626+273)^3,$B$19*$B$20*((W626+273)^4-(D626+273)^4)/(W626-D626)))+1/H626)</f>
        <v/>
      </c>
      <c r="Y626">
        <f>($B$14*(I626*C626+IF(ABS(X626-D626)&lt;0.000000001,4*$B$19*$B$20*(D626+273)^3,$B$19*$B$20*((X626+273)^4-(D626+273)^4)/(X626-D626))*D626)+T626/H626)/($B$14*(I626+IF(ABS(X626-D626)&lt;0.000000001,4*$B$19*$B$20*(D626+273)^3,$B$19*$B$20*((X626+273)^4-(D626+273)^4)/(X626-D626)))+1/H626)</f>
        <v/>
      </c>
      <c r="Z626">
        <f>IF(ABS(Y626-D626)&lt;0.000000001,4*$B$19*$B$20*(D626+273)^3,$B$19*$B$20*((Y626+273)^4-(D626+273)^4)/(Y626-D626))</f>
        <v/>
      </c>
      <c r="AA626">
        <f>$B$14*I626*(Y626-C626)</f>
        <v/>
      </c>
      <c r="AB626">
        <f>$B$14*Z626*(Y626-D626)</f>
        <v/>
      </c>
      <c r="AC626">
        <f>IF((U626-E626)/G626=0,0.001,(U626-E626)/G626)</f>
        <v/>
      </c>
      <c r="AD626">
        <f>F626-P626-J626-K626-AA626-AB626</f>
        <v/>
      </c>
      <c r="AE626">
        <f>AD626/AC626</f>
        <v/>
      </c>
      <c r="AF626">
        <f>IF(AD626&lt;=0,0,IF(AC626&lt;=0,$B$11,IF(AE626&gt;=1.7,$B$11,MIN(AD626/MAX(0.05,IF(AE626&gt;1,(2-AE626)^2/2,1-AE626^2/2)),$B$11))))</f>
        <v/>
      </c>
      <c r="AG626">
        <f>AG625*$B$28+AF626*(1-$B$28)</f>
        <v/>
      </c>
      <c r="AH626">
        <f>IF(AND(AD626&gt;0,AC626&lt;=0),0,AC626)</f>
        <v/>
      </c>
      <c r="AI626">
        <f>AH626/MAX(AG626,0.000001)</f>
        <v/>
      </c>
      <c r="AJ626">
        <f>MIN(IF(AI626&gt;=0.5,-AI626+SQRT(AI626^2+2),1),$B$12)</f>
        <v/>
      </c>
      <c r="AK626">
        <f>IF(AG626&lt;=0,0,AJ626*AH626)</f>
        <v/>
      </c>
      <c r="AL626">
        <f>IF(AD626&lt;=0,0,AD626)</f>
        <v/>
      </c>
      <c r="AM626">
        <f>AL626-AK626+P626</f>
        <v/>
      </c>
      <c r="AN626">
        <f>((AM626/$B$7+T625*AS625/2-T626*MAX(0.1,MIN(0.3,0.3-0.09*(AR625-36.8)))/2)+AR625*(1-AS625/2))/(1-MAX(0.1,MIN(0.3,0.3-0.09*(AR625-36.8)))/2)</f>
        <v/>
      </c>
      <c r="AO626">
        <f>((AM626/$B$7+T625*AS625/2-T626*MAX(0.1,MIN(0.3,0.3-0.09*(AN626-36.8)))/2)+AR625*(1-AS625/2))/(1-MAX(0.1,MIN(0.3,0.3-0.09*(AN626-36.8)))/2)</f>
        <v/>
      </c>
      <c r="AP626">
        <f>((AM626/$B$7+T625*AS625/2-T626*MAX(0.1,MIN(0.3,0.3-0.09*(AO626-36.8)))/2)+AR625*(1-AS625/2))/(1-MAX(0.1,MIN(0.3,0.3-0.09*(AO626-36.8)))/2)</f>
        <v/>
      </c>
      <c r="AQ626">
        <f>((AM626/$B$7+T625*AS625/2-T626*MAX(0.1,MIN(0.3,0.3-0.09*(AP626-36.8)))/2)+AR625*(1-AS625/2))/(1-MAX(0.1,MIN(0.3,0.3-0.09*(AP626-36.8)))/2)</f>
        <v/>
      </c>
      <c r="AR626">
        <f>((AM626/$B$7+T625*AS625/2-T626*MAX(0.1,MIN(0.3,0.3-0.09*(AQ626-36.8)))/2)+AR625*(1-AS625/2))/(1-MAX(0.1,MIN(0.3,0.3-0.09*(AQ626-36.8)))/2)</f>
        <v/>
      </c>
      <c r="AS626">
        <f>MAX(0.1,MIN(0.3,0.3-0.09*(AR626-36.8)))</f>
        <v/>
      </c>
      <c r="AT626">
        <f>AT625+(2*AR626-1.962*AT625-1.31)/9</f>
        <v/>
      </c>
      <c r="AU626">
        <f>AU625+AG626+K626</f>
        <v/>
      </c>
      <c r="AV626">
        <f>AU626*2.67*$B$6/1.8/60</f>
        <v/>
      </c>
      <c r="AW626">
        <f>IF(AT626&gt;=$B$36,1,0)</f>
        <v/>
      </c>
      <c r="AX626">
        <f>IF(AV626&gt;=$B$21,1,0)</f>
        <v/>
      </c>
    </row>
    <row r="627">
      <c r="A627" t="n">
        <v>554</v>
      </c>
      <c r="B627">
        <f>MATCH(A627-1,$D$61:$D$68,1)</f>
        <v/>
      </c>
      <c r="C627">
        <f>INDEX($G$61:$G$68,B627)</f>
        <v/>
      </c>
      <c r="D627">
        <f>INDEX($L$61:$L$68,B627)</f>
        <v/>
      </c>
      <c r="E627">
        <f>INDEX($M$61:$M$68,B627)</f>
        <v/>
      </c>
      <c r="F627">
        <f>INDEX($N$61:$N$68,B627)</f>
        <v/>
      </c>
      <c r="G627">
        <f>INDEX($AA$61:$AA$68,B627)</f>
        <v/>
      </c>
      <c r="H627">
        <f>INDEX($X$61:$X$68,B627)</f>
        <v/>
      </c>
      <c r="I627">
        <f>INDEX($AF$61:$AF$68,B627)</f>
        <v/>
      </c>
      <c r="J627">
        <f>INDEX($AC$61:$AC$68,B627)</f>
        <v/>
      </c>
      <c r="K627">
        <f>INDEX($AD$61:$AD$68,B627)</f>
        <v/>
      </c>
      <c r="L627">
        <f>INDEX($AG$61:$AG$68,B627)</f>
        <v/>
      </c>
      <c r="M627">
        <f>INDEX($AH$61:$AH$68,B627)</f>
        <v/>
      </c>
      <c r="N627">
        <f>INDEX($AI$61:$AI$68,B627)</f>
        <v/>
      </c>
      <c r="O627">
        <f>O626*$B$26+L627*(1-$B$26)</f>
        <v/>
      </c>
      <c r="P627">
        <f>$B$7*(O627-O626)*(1-AS626)</f>
        <v/>
      </c>
      <c r="Q627">
        <f>M627+0.51274*AT626</f>
        <v/>
      </c>
      <c r="R627">
        <f>N627+0.616*AT626</f>
        <v/>
      </c>
      <c r="S627">
        <f>IF($B$13&gt;=0.6,Q627,IF($B$13&lt;=0.2,R627,R627+2.5*(Q627-R627)*($B$13-0.2)))</f>
        <v/>
      </c>
      <c r="T627">
        <f>IF(A627=1,S627,T626*$B$27+S627*(1-$B$27))</f>
        <v/>
      </c>
      <c r="U627">
        <f>0.6105*EXP(17.27*T627/(T627+237.3))</f>
        <v/>
      </c>
      <c r="V627">
        <f>($B$14*(I627*C627+IF(ABS((D627+0.1)-D627)&lt;0.000000001,4*$B$19*$B$20*(D627+273)^3,$B$19*$B$20*(((D627+0.1)+273)^4-(D627+273)^4)/((D627+0.1)-D627))*D627)+T627/H627)/($B$14*(I627+IF(ABS((D627+0.1)-D627)&lt;0.000000001,4*$B$19*$B$20*(D627+273)^3,$B$19*$B$20*(((D627+0.1)+273)^4-(D627+273)^4)/((D627+0.1)-D627)))+1/H627)</f>
        <v/>
      </c>
      <c r="W627">
        <f>($B$14*(I627*C627+IF(ABS(V627-D627)&lt;0.000000001,4*$B$19*$B$20*(D627+273)^3,$B$19*$B$20*((V627+273)^4-(D627+273)^4)/(V627-D627))*D627)+T627/H627)/($B$14*(I627+IF(ABS(V627-D627)&lt;0.000000001,4*$B$19*$B$20*(D627+273)^3,$B$19*$B$20*((V627+273)^4-(D627+273)^4)/(V627-D627)))+1/H627)</f>
        <v/>
      </c>
      <c r="X627">
        <f>($B$14*(I627*C627+IF(ABS(W627-D627)&lt;0.000000001,4*$B$19*$B$20*(D627+273)^3,$B$19*$B$20*((W627+273)^4-(D627+273)^4)/(W627-D627))*D627)+T627/H627)/($B$14*(I627+IF(ABS(W627-D627)&lt;0.000000001,4*$B$19*$B$20*(D627+273)^3,$B$19*$B$20*((W627+273)^4-(D627+273)^4)/(W627-D627)))+1/H627)</f>
        <v/>
      </c>
      <c r="Y627">
        <f>($B$14*(I627*C627+IF(ABS(X627-D627)&lt;0.000000001,4*$B$19*$B$20*(D627+273)^3,$B$19*$B$20*((X627+273)^4-(D627+273)^4)/(X627-D627))*D627)+T627/H627)/($B$14*(I627+IF(ABS(X627-D627)&lt;0.000000001,4*$B$19*$B$20*(D627+273)^3,$B$19*$B$20*((X627+273)^4-(D627+273)^4)/(X627-D627)))+1/H627)</f>
        <v/>
      </c>
      <c r="Z627">
        <f>IF(ABS(Y627-D627)&lt;0.000000001,4*$B$19*$B$20*(D627+273)^3,$B$19*$B$20*((Y627+273)^4-(D627+273)^4)/(Y627-D627))</f>
        <v/>
      </c>
      <c r="AA627">
        <f>$B$14*I627*(Y627-C627)</f>
        <v/>
      </c>
      <c r="AB627">
        <f>$B$14*Z627*(Y627-D627)</f>
        <v/>
      </c>
      <c r="AC627">
        <f>IF((U627-E627)/G627=0,0.001,(U627-E627)/G627)</f>
        <v/>
      </c>
      <c r="AD627">
        <f>F627-P627-J627-K627-AA627-AB627</f>
        <v/>
      </c>
      <c r="AE627">
        <f>AD627/AC627</f>
        <v/>
      </c>
      <c r="AF627">
        <f>IF(AD627&lt;=0,0,IF(AC627&lt;=0,$B$11,IF(AE627&gt;=1.7,$B$11,MIN(AD627/MAX(0.05,IF(AE627&gt;1,(2-AE627)^2/2,1-AE627^2/2)),$B$11))))</f>
        <v/>
      </c>
      <c r="AG627">
        <f>AG626*$B$28+AF627*(1-$B$28)</f>
        <v/>
      </c>
      <c r="AH627">
        <f>IF(AND(AD627&gt;0,AC627&lt;=0),0,AC627)</f>
        <v/>
      </c>
      <c r="AI627">
        <f>AH627/MAX(AG627,0.000001)</f>
        <v/>
      </c>
      <c r="AJ627">
        <f>MIN(IF(AI627&gt;=0.5,-AI627+SQRT(AI627^2+2),1),$B$12)</f>
        <v/>
      </c>
      <c r="AK627">
        <f>IF(AG627&lt;=0,0,AJ627*AH627)</f>
        <v/>
      </c>
      <c r="AL627">
        <f>IF(AD627&lt;=0,0,AD627)</f>
        <v/>
      </c>
      <c r="AM627">
        <f>AL627-AK627+P627</f>
        <v/>
      </c>
      <c r="AN627">
        <f>((AM627/$B$7+T626*AS626/2-T627*MAX(0.1,MIN(0.3,0.3-0.09*(AR626-36.8)))/2)+AR626*(1-AS626/2))/(1-MAX(0.1,MIN(0.3,0.3-0.09*(AR626-36.8)))/2)</f>
        <v/>
      </c>
      <c r="AO627">
        <f>((AM627/$B$7+T626*AS626/2-T627*MAX(0.1,MIN(0.3,0.3-0.09*(AN627-36.8)))/2)+AR626*(1-AS626/2))/(1-MAX(0.1,MIN(0.3,0.3-0.09*(AN627-36.8)))/2)</f>
        <v/>
      </c>
      <c r="AP627">
        <f>((AM627/$B$7+T626*AS626/2-T627*MAX(0.1,MIN(0.3,0.3-0.09*(AO627-36.8)))/2)+AR626*(1-AS626/2))/(1-MAX(0.1,MIN(0.3,0.3-0.09*(AO627-36.8)))/2)</f>
        <v/>
      </c>
      <c r="AQ627">
        <f>((AM627/$B$7+T626*AS626/2-T627*MAX(0.1,MIN(0.3,0.3-0.09*(AP627-36.8)))/2)+AR626*(1-AS626/2))/(1-MAX(0.1,MIN(0.3,0.3-0.09*(AP627-36.8)))/2)</f>
        <v/>
      </c>
      <c r="AR627">
        <f>((AM627/$B$7+T626*AS626/2-T627*MAX(0.1,MIN(0.3,0.3-0.09*(AQ627-36.8)))/2)+AR626*(1-AS626/2))/(1-MAX(0.1,MIN(0.3,0.3-0.09*(AQ627-36.8)))/2)</f>
        <v/>
      </c>
      <c r="AS627">
        <f>MAX(0.1,MIN(0.3,0.3-0.09*(AR627-36.8)))</f>
        <v/>
      </c>
      <c r="AT627">
        <f>AT626+(2*AR627-1.962*AT626-1.31)/9</f>
        <v/>
      </c>
      <c r="AU627">
        <f>AU626+AG627+K627</f>
        <v/>
      </c>
      <c r="AV627">
        <f>AU627*2.67*$B$6/1.8/60</f>
        <v/>
      </c>
      <c r="AW627">
        <f>IF(AT627&gt;=$B$36,1,0)</f>
        <v/>
      </c>
      <c r="AX627">
        <f>IF(AV627&gt;=$B$21,1,0)</f>
        <v/>
      </c>
    </row>
    <row r="628">
      <c r="A628" t="n">
        <v>555</v>
      </c>
      <c r="B628">
        <f>MATCH(A628-1,$D$61:$D$68,1)</f>
        <v/>
      </c>
      <c r="C628">
        <f>INDEX($G$61:$G$68,B628)</f>
        <v/>
      </c>
      <c r="D628">
        <f>INDEX($L$61:$L$68,B628)</f>
        <v/>
      </c>
      <c r="E628">
        <f>INDEX($M$61:$M$68,B628)</f>
        <v/>
      </c>
      <c r="F628">
        <f>INDEX($N$61:$N$68,B628)</f>
        <v/>
      </c>
      <c r="G628">
        <f>INDEX($AA$61:$AA$68,B628)</f>
        <v/>
      </c>
      <c r="H628">
        <f>INDEX($X$61:$X$68,B628)</f>
        <v/>
      </c>
      <c r="I628">
        <f>INDEX($AF$61:$AF$68,B628)</f>
        <v/>
      </c>
      <c r="J628">
        <f>INDEX($AC$61:$AC$68,B628)</f>
        <v/>
      </c>
      <c r="K628">
        <f>INDEX($AD$61:$AD$68,B628)</f>
        <v/>
      </c>
      <c r="L628">
        <f>INDEX($AG$61:$AG$68,B628)</f>
        <v/>
      </c>
      <c r="M628">
        <f>INDEX($AH$61:$AH$68,B628)</f>
        <v/>
      </c>
      <c r="N628">
        <f>INDEX($AI$61:$AI$68,B628)</f>
        <v/>
      </c>
      <c r="O628">
        <f>O627*$B$26+L628*(1-$B$26)</f>
        <v/>
      </c>
      <c r="P628">
        <f>$B$7*(O628-O627)*(1-AS627)</f>
        <v/>
      </c>
      <c r="Q628">
        <f>M628+0.51274*AT627</f>
        <v/>
      </c>
      <c r="R628">
        <f>N628+0.616*AT627</f>
        <v/>
      </c>
      <c r="S628">
        <f>IF($B$13&gt;=0.6,Q628,IF($B$13&lt;=0.2,R628,R628+2.5*(Q628-R628)*($B$13-0.2)))</f>
        <v/>
      </c>
      <c r="T628">
        <f>IF(A628=1,S628,T627*$B$27+S628*(1-$B$27))</f>
        <v/>
      </c>
      <c r="U628">
        <f>0.6105*EXP(17.27*T628/(T628+237.3))</f>
        <v/>
      </c>
      <c r="V628">
        <f>($B$14*(I628*C628+IF(ABS((D628+0.1)-D628)&lt;0.000000001,4*$B$19*$B$20*(D628+273)^3,$B$19*$B$20*(((D628+0.1)+273)^4-(D628+273)^4)/((D628+0.1)-D628))*D628)+T628/H628)/($B$14*(I628+IF(ABS((D628+0.1)-D628)&lt;0.000000001,4*$B$19*$B$20*(D628+273)^3,$B$19*$B$20*(((D628+0.1)+273)^4-(D628+273)^4)/((D628+0.1)-D628)))+1/H628)</f>
        <v/>
      </c>
      <c r="W628">
        <f>($B$14*(I628*C628+IF(ABS(V628-D628)&lt;0.000000001,4*$B$19*$B$20*(D628+273)^3,$B$19*$B$20*((V628+273)^4-(D628+273)^4)/(V628-D628))*D628)+T628/H628)/($B$14*(I628+IF(ABS(V628-D628)&lt;0.000000001,4*$B$19*$B$20*(D628+273)^3,$B$19*$B$20*((V628+273)^4-(D628+273)^4)/(V628-D628)))+1/H628)</f>
        <v/>
      </c>
      <c r="X628">
        <f>($B$14*(I628*C628+IF(ABS(W628-D628)&lt;0.000000001,4*$B$19*$B$20*(D628+273)^3,$B$19*$B$20*((W628+273)^4-(D628+273)^4)/(W628-D628))*D628)+T628/H628)/($B$14*(I628+IF(ABS(W628-D628)&lt;0.000000001,4*$B$19*$B$20*(D628+273)^3,$B$19*$B$20*((W628+273)^4-(D628+273)^4)/(W628-D628)))+1/H628)</f>
        <v/>
      </c>
      <c r="Y628">
        <f>($B$14*(I628*C628+IF(ABS(X628-D628)&lt;0.000000001,4*$B$19*$B$20*(D628+273)^3,$B$19*$B$20*((X628+273)^4-(D628+273)^4)/(X628-D628))*D628)+T628/H628)/($B$14*(I628+IF(ABS(X628-D628)&lt;0.000000001,4*$B$19*$B$20*(D628+273)^3,$B$19*$B$20*((X628+273)^4-(D628+273)^4)/(X628-D628)))+1/H628)</f>
        <v/>
      </c>
      <c r="Z628">
        <f>IF(ABS(Y628-D628)&lt;0.000000001,4*$B$19*$B$20*(D628+273)^3,$B$19*$B$20*((Y628+273)^4-(D628+273)^4)/(Y628-D628))</f>
        <v/>
      </c>
      <c r="AA628">
        <f>$B$14*I628*(Y628-C628)</f>
        <v/>
      </c>
      <c r="AB628">
        <f>$B$14*Z628*(Y628-D628)</f>
        <v/>
      </c>
      <c r="AC628">
        <f>IF((U628-E628)/G628=0,0.001,(U628-E628)/G628)</f>
        <v/>
      </c>
      <c r="AD628">
        <f>F628-P628-J628-K628-AA628-AB628</f>
        <v/>
      </c>
      <c r="AE628">
        <f>AD628/AC628</f>
        <v/>
      </c>
      <c r="AF628">
        <f>IF(AD628&lt;=0,0,IF(AC628&lt;=0,$B$11,IF(AE628&gt;=1.7,$B$11,MIN(AD628/MAX(0.05,IF(AE628&gt;1,(2-AE628)^2/2,1-AE628^2/2)),$B$11))))</f>
        <v/>
      </c>
      <c r="AG628">
        <f>AG627*$B$28+AF628*(1-$B$28)</f>
        <v/>
      </c>
      <c r="AH628">
        <f>IF(AND(AD628&gt;0,AC628&lt;=0),0,AC628)</f>
        <v/>
      </c>
      <c r="AI628">
        <f>AH628/MAX(AG628,0.000001)</f>
        <v/>
      </c>
      <c r="AJ628">
        <f>MIN(IF(AI628&gt;=0.5,-AI628+SQRT(AI628^2+2),1),$B$12)</f>
        <v/>
      </c>
      <c r="AK628">
        <f>IF(AG628&lt;=0,0,AJ628*AH628)</f>
        <v/>
      </c>
      <c r="AL628">
        <f>IF(AD628&lt;=0,0,AD628)</f>
        <v/>
      </c>
      <c r="AM628">
        <f>AL628-AK628+P628</f>
        <v/>
      </c>
      <c r="AN628">
        <f>((AM628/$B$7+T627*AS627/2-T628*MAX(0.1,MIN(0.3,0.3-0.09*(AR627-36.8)))/2)+AR627*(1-AS627/2))/(1-MAX(0.1,MIN(0.3,0.3-0.09*(AR627-36.8)))/2)</f>
        <v/>
      </c>
      <c r="AO628">
        <f>((AM628/$B$7+T627*AS627/2-T628*MAX(0.1,MIN(0.3,0.3-0.09*(AN628-36.8)))/2)+AR627*(1-AS627/2))/(1-MAX(0.1,MIN(0.3,0.3-0.09*(AN628-36.8)))/2)</f>
        <v/>
      </c>
      <c r="AP628">
        <f>((AM628/$B$7+T627*AS627/2-T628*MAX(0.1,MIN(0.3,0.3-0.09*(AO628-36.8)))/2)+AR627*(1-AS627/2))/(1-MAX(0.1,MIN(0.3,0.3-0.09*(AO628-36.8)))/2)</f>
        <v/>
      </c>
      <c r="AQ628">
        <f>((AM628/$B$7+T627*AS627/2-T628*MAX(0.1,MIN(0.3,0.3-0.09*(AP628-36.8)))/2)+AR627*(1-AS627/2))/(1-MAX(0.1,MIN(0.3,0.3-0.09*(AP628-36.8)))/2)</f>
        <v/>
      </c>
      <c r="AR628">
        <f>((AM628/$B$7+T627*AS627/2-T628*MAX(0.1,MIN(0.3,0.3-0.09*(AQ628-36.8)))/2)+AR627*(1-AS627/2))/(1-MAX(0.1,MIN(0.3,0.3-0.09*(AQ628-36.8)))/2)</f>
        <v/>
      </c>
      <c r="AS628">
        <f>MAX(0.1,MIN(0.3,0.3-0.09*(AR628-36.8)))</f>
        <v/>
      </c>
      <c r="AT628">
        <f>AT627+(2*AR628-1.962*AT627-1.31)/9</f>
        <v/>
      </c>
      <c r="AU628">
        <f>AU627+AG628+K628</f>
        <v/>
      </c>
      <c r="AV628">
        <f>AU628*2.67*$B$6/1.8/60</f>
        <v/>
      </c>
      <c r="AW628">
        <f>IF(AT628&gt;=$B$36,1,0)</f>
        <v/>
      </c>
      <c r="AX628">
        <f>IF(AV628&gt;=$B$21,1,0)</f>
        <v/>
      </c>
    </row>
    <row r="629">
      <c r="A629" t="n">
        <v>556</v>
      </c>
      <c r="B629">
        <f>MATCH(A629-1,$D$61:$D$68,1)</f>
        <v/>
      </c>
      <c r="C629">
        <f>INDEX($G$61:$G$68,B629)</f>
        <v/>
      </c>
      <c r="D629">
        <f>INDEX($L$61:$L$68,B629)</f>
        <v/>
      </c>
      <c r="E629">
        <f>INDEX($M$61:$M$68,B629)</f>
        <v/>
      </c>
      <c r="F629">
        <f>INDEX($N$61:$N$68,B629)</f>
        <v/>
      </c>
      <c r="G629">
        <f>INDEX($AA$61:$AA$68,B629)</f>
        <v/>
      </c>
      <c r="H629">
        <f>INDEX($X$61:$X$68,B629)</f>
        <v/>
      </c>
      <c r="I629">
        <f>INDEX($AF$61:$AF$68,B629)</f>
        <v/>
      </c>
      <c r="J629">
        <f>INDEX($AC$61:$AC$68,B629)</f>
        <v/>
      </c>
      <c r="K629">
        <f>INDEX($AD$61:$AD$68,B629)</f>
        <v/>
      </c>
      <c r="L629">
        <f>INDEX($AG$61:$AG$68,B629)</f>
        <v/>
      </c>
      <c r="M629">
        <f>INDEX($AH$61:$AH$68,B629)</f>
        <v/>
      </c>
      <c r="N629">
        <f>INDEX($AI$61:$AI$68,B629)</f>
        <v/>
      </c>
      <c r="O629">
        <f>O628*$B$26+L629*(1-$B$26)</f>
        <v/>
      </c>
      <c r="P629">
        <f>$B$7*(O629-O628)*(1-AS628)</f>
        <v/>
      </c>
      <c r="Q629">
        <f>M629+0.51274*AT628</f>
        <v/>
      </c>
      <c r="R629">
        <f>N629+0.616*AT628</f>
        <v/>
      </c>
      <c r="S629">
        <f>IF($B$13&gt;=0.6,Q629,IF($B$13&lt;=0.2,R629,R629+2.5*(Q629-R629)*($B$13-0.2)))</f>
        <v/>
      </c>
      <c r="T629">
        <f>IF(A629=1,S629,T628*$B$27+S629*(1-$B$27))</f>
        <v/>
      </c>
      <c r="U629">
        <f>0.6105*EXP(17.27*T629/(T629+237.3))</f>
        <v/>
      </c>
      <c r="V629">
        <f>($B$14*(I629*C629+IF(ABS((D629+0.1)-D629)&lt;0.000000001,4*$B$19*$B$20*(D629+273)^3,$B$19*$B$20*(((D629+0.1)+273)^4-(D629+273)^4)/((D629+0.1)-D629))*D629)+T629/H629)/($B$14*(I629+IF(ABS((D629+0.1)-D629)&lt;0.000000001,4*$B$19*$B$20*(D629+273)^3,$B$19*$B$20*(((D629+0.1)+273)^4-(D629+273)^4)/((D629+0.1)-D629)))+1/H629)</f>
        <v/>
      </c>
      <c r="W629">
        <f>($B$14*(I629*C629+IF(ABS(V629-D629)&lt;0.000000001,4*$B$19*$B$20*(D629+273)^3,$B$19*$B$20*((V629+273)^4-(D629+273)^4)/(V629-D629))*D629)+T629/H629)/($B$14*(I629+IF(ABS(V629-D629)&lt;0.000000001,4*$B$19*$B$20*(D629+273)^3,$B$19*$B$20*((V629+273)^4-(D629+273)^4)/(V629-D629)))+1/H629)</f>
        <v/>
      </c>
      <c r="X629">
        <f>($B$14*(I629*C629+IF(ABS(W629-D629)&lt;0.000000001,4*$B$19*$B$20*(D629+273)^3,$B$19*$B$20*((W629+273)^4-(D629+273)^4)/(W629-D629))*D629)+T629/H629)/($B$14*(I629+IF(ABS(W629-D629)&lt;0.000000001,4*$B$19*$B$20*(D629+273)^3,$B$19*$B$20*((W629+273)^4-(D629+273)^4)/(W629-D629)))+1/H629)</f>
        <v/>
      </c>
      <c r="Y629">
        <f>($B$14*(I629*C629+IF(ABS(X629-D629)&lt;0.000000001,4*$B$19*$B$20*(D629+273)^3,$B$19*$B$20*((X629+273)^4-(D629+273)^4)/(X629-D629))*D629)+T629/H629)/($B$14*(I629+IF(ABS(X629-D629)&lt;0.000000001,4*$B$19*$B$20*(D629+273)^3,$B$19*$B$20*((X629+273)^4-(D629+273)^4)/(X629-D629)))+1/H629)</f>
        <v/>
      </c>
      <c r="Z629">
        <f>IF(ABS(Y629-D629)&lt;0.000000001,4*$B$19*$B$20*(D629+273)^3,$B$19*$B$20*((Y629+273)^4-(D629+273)^4)/(Y629-D629))</f>
        <v/>
      </c>
      <c r="AA629">
        <f>$B$14*I629*(Y629-C629)</f>
        <v/>
      </c>
      <c r="AB629">
        <f>$B$14*Z629*(Y629-D629)</f>
        <v/>
      </c>
      <c r="AC629">
        <f>IF((U629-E629)/G629=0,0.001,(U629-E629)/G629)</f>
        <v/>
      </c>
      <c r="AD629">
        <f>F629-P629-J629-K629-AA629-AB629</f>
        <v/>
      </c>
      <c r="AE629">
        <f>AD629/AC629</f>
        <v/>
      </c>
      <c r="AF629">
        <f>IF(AD629&lt;=0,0,IF(AC629&lt;=0,$B$11,IF(AE629&gt;=1.7,$B$11,MIN(AD629/MAX(0.05,IF(AE629&gt;1,(2-AE629)^2/2,1-AE629^2/2)),$B$11))))</f>
        <v/>
      </c>
      <c r="AG629">
        <f>AG628*$B$28+AF629*(1-$B$28)</f>
        <v/>
      </c>
      <c r="AH629">
        <f>IF(AND(AD629&gt;0,AC629&lt;=0),0,AC629)</f>
        <v/>
      </c>
      <c r="AI629">
        <f>AH629/MAX(AG629,0.000001)</f>
        <v/>
      </c>
      <c r="AJ629">
        <f>MIN(IF(AI629&gt;=0.5,-AI629+SQRT(AI629^2+2),1),$B$12)</f>
        <v/>
      </c>
      <c r="AK629">
        <f>IF(AG629&lt;=0,0,AJ629*AH629)</f>
        <v/>
      </c>
      <c r="AL629">
        <f>IF(AD629&lt;=0,0,AD629)</f>
        <v/>
      </c>
      <c r="AM629">
        <f>AL629-AK629+P629</f>
        <v/>
      </c>
      <c r="AN629">
        <f>((AM629/$B$7+T628*AS628/2-T629*MAX(0.1,MIN(0.3,0.3-0.09*(AR628-36.8)))/2)+AR628*(1-AS628/2))/(1-MAX(0.1,MIN(0.3,0.3-0.09*(AR628-36.8)))/2)</f>
        <v/>
      </c>
      <c r="AO629">
        <f>((AM629/$B$7+T628*AS628/2-T629*MAX(0.1,MIN(0.3,0.3-0.09*(AN629-36.8)))/2)+AR628*(1-AS628/2))/(1-MAX(0.1,MIN(0.3,0.3-0.09*(AN629-36.8)))/2)</f>
        <v/>
      </c>
      <c r="AP629">
        <f>((AM629/$B$7+T628*AS628/2-T629*MAX(0.1,MIN(0.3,0.3-0.09*(AO629-36.8)))/2)+AR628*(1-AS628/2))/(1-MAX(0.1,MIN(0.3,0.3-0.09*(AO629-36.8)))/2)</f>
        <v/>
      </c>
      <c r="AQ629">
        <f>((AM629/$B$7+T628*AS628/2-T629*MAX(0.1,MIN(0.3,0.3-0.09*(AP629-36.8)))/2)+AR628*(1-AS628/2))/(1-MAX(0.1,MIN(0.3,0.3-0.09*(AP629-36.8)))/2)</f>
        <v/>
      </c>
      <c r="AR629">
        <f>((AM629/$B$7+T628*AS628/2-T629*MAX(0.1,MIN(0.3,0.3-0.09*(AQ629-36.8)))/2)+AR628*(1-AS628/2))/(1-MAX(0.1,MIN(0.3,0.3-0.09*(AQ629-36.8)))/2)</f>
        <v/>
      </c>
      <c r="AS629">
        <f>MAX(0.1,MIN(0.3,0.3-0.09*(AR629-36.8)))</f>
        <v/>
      </c>
      <c r="AT629">
        <f>AT628+(2*AR629-1.962*AT628-1.31)/9</f>
        <v/>
      </c>
      <c r="AU629">
        <f>AU628+AG629+K629</f>
        <v/>
      </c>
      <c r="AV629">
        <f>AU629*2.67*$B$6/1.8/60</f>
        <v/>
      </c>
      <c r="AW629">
        <f>IF(AT629&gt;=$B$36,1,0)</f>
        <v/>
      </c>
      <c r="AX629">
        <f>IF(AV629&gt;=$B$21,1,0)</f>
        <v/>
      </c>
    </row>
    <row r="630">
      <c r="A630" t="n">
        <v>557</v>
      </c>
      <c r="B630">
        <f>MATCH(A630-1,$D$61:$D$68,1)</f>
        <v/>
      </c>
      <c r="C630">
        <f>INDEX($G$61:$G$68,B630)</f>
        <v/>
      </c>
      <c r="D630">
        <f>INDEX($L$61:$L$68,B630)</f>
        <v/>
      </c>
      <c r="E630">
        <f>INDEX($M$61:$M$68,B630)</f>
        <v/>
      </c>
      <c r="F630">
        <f>INDEX($N$61:$N$68,B630)</f>
        <v/>
      </c>
      <c r="G630">
        <f>INDEX($AA$61:$AA$68,B630)</f>
        <v/>
      </c>
      <c r="H630">
        <f>INDEX($X$61:$X$68,B630)</f>
        <v/>
      </c>
      <c r="I630">
        <f>INDEX($AF$61:$AF$68,B630)</f>
        <v/>
      </c>
      <c r="J630">
        <f>INDEX($AC$61:$AC$68,B630)</f>
        <v/>
      </c>
      <c r="K630">
        <f>INDEX($AD$61:$AD$68,B630)</f>
        <v/>
      </c>
      <c r="L630">
        <f>INDEX($AG$61:$AG$68,B630)</f>
        <v/>
      </c>
      <c r="M630">
        <f>INDEX($AH$61:$AH$68,B630)</f>
        <v/>
      </c>
      <c r="N630">
        <f>INDEX($AI$61:$AI$68,B630)</f>
        <v/>
      </c>
      <c r="O630">
        <f>O629*$B$26+L630*(1-$B$26)</f>
        <v/>
      </c>
      <c r="P630">
        <f>$B$7*(O630-O629)*(1-AS629)</f>
        <v/>
      </c>
      <c r="Q630">
        <f>M630+0.51274*AT629</f>
        <v/>
      </c>
      <c r="R630">
        <f>N630+0.616*AT629</f>
        <v/>
      </c>
      <c r="S630">
        <f>IF($B$13&gt;=0.6,Q630,IF($B$13&lt;=0.2,R630,R630+2.5*(Q630-R630)*($B$13-0.2)))</f>
        <v/>
      </c>
      <c r="T630">
        <f>IF(A630=1,S630,T629*$B$27+S630*(1-$B$27))</f>
        <v/>
      </c>
      <c r="U630">
        <f>0.6105*EXP(17.27*T630/(T630+237.3))</f>
        <v/>
      </c>
      <c r="V630">
        <f>($B$14*(I630*C630+IF(ABS((D630+0.1)-D630)&lt;0.000000001,4*$B$19*$B$20*(D630+273)^3,$B$19*$B$20*(((D630+0.1)+273)^4-(D630+273)^4)/((D630+0.1)-D630))*D630)+T630/H630)/($B$14*(I630+IF(ABS((D630+0.1)-D630)&lt;0.000000001,4*$B$19*$B$20*(D630+273)^3,$B$19*$B$20*(((D630+0.1)+273)^4-(D630+273)^4)/((D630+0.1)-D630)))+1/H630)</f>
        <v/>
      </c>
      <c r="W630">
        <f>($B$14*(I630*C630+IF(ABS(V630-D630)&lt;0.000000001,4*$B$19*$B$20*(D630+273)^3,$B$19*$B$20*((V630+273)^4-(D630+273)^4)/(V630-D630))*D630)+T630/H630)/($B$14*(I630+IF(ABS(V630-D630)&lt;0.000000001,4*$B$19*$B$20*(D630+273)^3,$B$19*$B$20*((V630+273)^4-(D630+273)^4)/(V630-D630)))+1/H630)</f>
        <v/>
      </c>
      <c r="X630">
        <f>($B$14*(I630*C630+IF(ABS(W630-D630)&lt;0.000000001,4*$B$19*$B$20*(D630+273)^3,$B$19*$B$20*((W630+273)^4-(D630+273)^4)/(W630-D630))*D630)+T630/H630)/($B$14*(I630+IF(ABS(W630-D630)&lt;0.000000001,4*$B$19*$B$20*(D630+273)^3,$B$19*$B$20*((W630+273)^4-(D630+273)^4)/(W630-D630)))+1/H630)</f>
        <v/>
      </c>
      <c r="Y630">
        <f>($B$14*(I630*C630+IF(ABS(X630-D630)&lt;0.000000001,4*$B$19*$B$20*(D630+273)^3,$B$19*$B$20*((X630+273)^4-(D630+273)^4)/(X630-D630))*D630)+T630/H630)/($B$14*(I630+IF(ABS(X630-D630)&lt;0.000000001,4*$B$19*$B$20*(D630+273)^3,$B$19*$B$20*((X630+273)^4-(D630+273)^4)/(X630-D630)))+1/H630)</f>
        <v/>
      </c>
      <c r="Z630">
        <f>IF(ABS(Y630-D630)&lt;0.000000001,4*$B$19*$B$20*(D630+273)^3,$B$19*$B$20*((Y630+273)^4-(D630+273)^4)/(Y630-D630))</f>
        <v/>
      </c>
      <c r="AA630">
        <f>$B$14*I630*(Y630-C630)</f>
        <v/>
      </c>
      <c r="AB630">
        <f>$B$14*Z630*(Y630-D630)</f>
        <v/>
      </c>
      <c r="AC630">
        <f>IF((U630-E630)/G630=0,0.001,(U630-E630)/G630)</f>
        <v/>
      </c>
      <c r="AD630">
        <f>F630-P630-J630-K630-AA630-AB630</f>
        <v/>
      </c>
      <c r="AE630">
        <f>AD630/AC630</f>
        <v/>
      </c>
      <c r="AF630">
        <f>IF(AD630&lt;=0,0,IF(AC630&lt;=0,$B$11,IF(AE630&gt;=1.7,$B$11,MIN(AD630/MAX(0.05,IF(AE630&gt;1,(2-AE630)^2/2,1-AE630^2/2)),$B$11))))</f>
        <v/>
      </c>
      <c r="AG630">
        <f>AG629*$B$28+AF630*(1-$B$28)</f>
        <v/>
      </c>
      <c r="AH630">
        <f>IF(AND(AD630&gt;0,AC630&lt;=0),0,AC630)</f>
        <v/>
      </c>
      <c r="AI630">
        <f>AH630/MAX(AG630,0.000001)</f>
        <v/>
      </c>
      <c r="AJ630">
        <f>MIN(IF(AI630&gt;=0.5,-AI630+SQRT(AI630^2+2),1),$B$12)</f>
        <v/>
      </c>
      <c r="AK630">
        <f>IF(AG630&lt;=0,0,AJ630*AH630)</f>
        <v/>
      </c>
      <c r="AL630">
        <f>IF(AD630&lt;=0,0,AD630)</f>
        <v/>
      </c>
      <c r="AM630">
        <f>AL630-AK630+P630</f>
        <v/>
      </c>
      <c r="AN630">
        <f>((AM630/$B$7+T629*AS629/2-T630*MAX(0.1,MIN(0.3,0.3-0.09*(AR629-36.8)))/2)+AR629*(1-AS629/2))/(1-MAX(0.1,MIN(0.3,0.3-0.09*(AR629-36.8)))/2)</f>
        <v/>
      </c>
      <c r="AO630">
        <f>((AM630/$B$7+T629*AS629/2-T630*MAX(0.1,MIN(0.3,0.3-0.09*(AN630-36.8)))/2)+AR629*(1-AS629/2))/(1-MAX(0.1,MIN(0.3,0.3-0.09*(AN630-36.8)))/2)</f>
        <v/>
      </c>
      <c r="AP630">
        <f>((AM630/$B$7+T629*AS629/2-T630*MAX(0.1,MIN(0.3,0.3-0.09*(AO630-36.8)))/2)+AR629*(1-AS629/2))/(1-MAX(0.1,MIN(0.3,0.3-0.09*(AO630-36.8)))/2)</f>
        <v/>
      </c>
      <c r="AQ630">
        <f>((AM630/$B$7+T629*AS629/2-T630*MAX(0.1,MIN(0.3,0.3-0.09*(AP630-36.8)))/2)+AR629*(1-AS629/2))/(1-MAX(0.1,MIN(0.3,0.3-0.09*(AP630-36.8)))/2)</f>
        <v/>
      </c>
      <c r="AR630">
        <f>((AM630/$B$7+T629*AS629/2-T630*MAX(0.1,MIN(0.3,0.3-0.09*(AQ630-36.8)))/2)+AR629*(1-AS629/2))/(1-MAX(0.1,MIN(0.3,0.3-0.09*(AQ630-36.8)))/2)</f>
        <v/>
      </c>
      <c r="AS630">
        <f>MAX(0.1,MIN(0.3,0.3-0.09*(AR630-36.8)))</f>
        <v/>
      </c>
      <c r="AT630">
        <f>AT629+(2*AR630-1.962*AT629-1.31)/9</f>
        <v/>
      </c>
      <c r="AU630">
        <f>AU629+AG630+K630</f>
        <v/>
      </c>
      <c r="AV630">
        <f>AU630*2.67*$B$6/1.8/60</f>
        <v/>
      </c>
      <c r="AW630">
        <f>IF(AT630&gt;=$B$36,1,0)</f>
        <v/>
      </c>
      <c r="AX630">
        <f>IF(AV630&gt;=$B$21,1,0)</f>
        <v/>
      </c>
    </row>
    <row r="631">
      <c r="A631" t="n">
        <v>558</v>
      </c>
      <c r="B631">
        <f>MATCH(A631-1,$D$61:$D$68,1)</f>
        <v/>
      </c>
      <c r="C631">
        <f>INDEX($G$61:$G$68,B631)</f>
        <v/>
      </c>
      <c r="D631">
        <f>INDEX($L$61:$L$68,B631)</f>
        <v/>
      </c>
      <c r="E631">
        <f>INDEX($M$61:$M$68,B631)</f>
        <v/>
      </c>
      <c r="F631">
        <f>INDEX($N$61:$N$68,B631)</f>
        <v/>
      </c>
      <c r="G631">
        <f>INDEX($AA$61:$AA$68,B631)</f>
        <v/>
      </c>
      <c r="H631">
        <f>INDEX($X$61:$X$68,B631)</f>
        <v/>
      </c>
      <c r="I631">
        <f>INDEX($AF$61:$AF$68,B631)</f>
        <v/>
      </c>
      <c r="J631">
        <f>INDEX($AC$61:$AC$68,B631)</f>
        <v/>
      </c>
      <c r="K631">
        <f>INDEX($AD$61:$AD$68,B631)</f>
        <v/>
      </c>
      <c r="L631">
        <f>INDEX($AG$61:$AG$68,B631)</f>
        <v/>
      </c>
      <c r="M631">
        <f>INDEX($AH$61:$AH$68,B631)</f>
        <v/>
      </c>
      <c r="N631">
        <f>INDEX($AI$61:$AI$68,B631)</f>
        <v/>
      </c>
      <c r="O631">
        <f>O630*$B$26+L631*(1-$B$26)</f>
        <v/>
      </c>
      <c r="P631">
        <f>$B$7*(O631-O630)*(1-AS630)</f>
        <v/>
      </c>
      <c r="Q631">
        <f>M631+0.51274*AT630</f>
        <v/>
      </c>
      <c r="R631">
        <f>N631+0.616*AT630</f>
        <v/>
      </c>
      <c r="S631">
        <f>IF($B$13&gt;=0.6,Q631,IF($B$13&lt;=0.2,R631,R631+2.5*(Q631-R631)*($B$13-0.2)))</f>
        <v/>
      </c>
      <c r="T631">
        <f>IF(A631=1,S631,T630*$B$27+S631*(1-$B$27))</f>
        <v/>
      </c>
      <c r="U631">
        <f>0.6105*EXP(17.27*T631/(T631+237.3))</f>
        <v/>
      </c>
      <c r="V631">
        <f>($B$14*(I631*C631+IF(ABS((D631+0.1)-D631)&lt;0.000000001,4*$B$19*$B$20*(D631+273)^3,$B$19*$B$20*(((D631+0.1)+273)^4-(D631+273)^4)/((D631+0.1)-D631))*D631)+T631/H631)/($B$14*(I631+IF(ABS((D631+0.1)-D631)&lt;0.000000001,4*$B$19*$B$20*(D631+273)^3,$B$19*$B$20*(((D631+0.1)+273)^4-(D631+273)^4)/((D631+0.1)-D631)))+1/H631)</f>
        <v/>
      </c>
      <c r="W631">
        <f>($B$14*(I631*C631+IF(ABS(V631-D631)&lt;0.000000001,4*$B$19*$B$20*(D631+273)^3,$B$19*$B$20*((V631+273)^4-(D631+273)^4)/(V631-D631))*D631)+T631/H631)/($B$14*(I631+IF(ABS(V631-D631)&lt;0.000000001,4*$B$19*$B$20*(D631+273)^3,$B$19*$B$20*((V631+273)^4-(D631+273)^4)/(V631-D631)))+1/H631)</f>
        <v/>
      </c>
      <c r="X631">
        <f>($B$14*(I631*C631+IF(ABS(W631-D631)&lt;0.000000001,4*$B$19*$B$20*(D631+273)^3,$B$19*$B$20*((W631+273)^4-(D631+273)^4)/(W631-D631))*D631)+T631/H631)/($B$14*(I631+IF(ABS(W631-D631)&lt;0.000000001,4*$B$19*$B$20*(D631+273)^3,$B$19*$B$20*((W631+273)^4-(D631+273)^4)/(W631-D631)))+1/H631)</f>
        <v/>
      </c>
      <c r="Y631">
        <f>($B$14*(I631*C631+IF(ABS(X631-D631)&lt;0.000000001,4*$B$19*$B$20*(D631+273)^3,$B$19*$B$20*((X631+273)^4-(D631+273)^4)/(X631-D631))*D631)+T631/H631)/($B$14*(I631+IF(ABS(X631-D631)&lt;0.000000001,4*$B$19*$B$20*(D631+273)^3,$B$19*$B$20*((X631+273)^4-(D631+273)^4)/(X631-D631)))+1/H631)</f>
        <v/>
      </c>
      <c r="Z631">
        <f>IF(ABS(Y631-D631)&lt;0.000000001,4*$B$19*$B$20*(D631+273)^3,$B$19*$B$20*((Y631+273)^4-(D631+273)^4)/(Y631-D631))</f>
        <v/>
      </c>
      <c r="AA631">
        <f>$B$14*I631*(Y631-C631)</f>
        <v/>
      </c>
      <c r="AB631">
        <f>$B$14*Z631*(Y631-D631)</f>
        <v/>
      </c>
      <c r="AC631">
        <f>IF((U631-E631)/G631=0,0.001,(U631-E631)/G631)</f>
        <v/>
      </c>
      <c r="AD631">
        <f>F631-P631-J631-K631-AA631-AB631</f>
        <v/>
      </c>
      <c r="AE631">
        <f>AD631/AC631</f>
        <v/>
      </c>
      <c r="AF631">
        <f>IF(AD631&lt;=0,0,IF(AC631&lt;=0,$B$11,IF(AE631&gt;=1.7,$B$11,MIN(AD631/MAX(0.05,IF(AE631&gt;1,(2-AE631)^2/2,1-AE631^2/2)),$B$11))))</f>
        <v/>
      </c>
      <c r="AG631">
        <f>AG630*$B$28+AF631*(1-$B$28)</f>
        <v/>
      </c>
      <c r="AH631">
        <f>IF(AND(AD631&gt;0,AC631&lt;=0),0,AC631)</f>
        <v/>
      </c>
      <c r="AI631">
        <f>AH631/MAX(AG631,0.000001)</f>
        <v/>
      </c>
      <c r="AJ631">
        <f>MIN(IF(AI631&gt;=0.5,-AI631+SQRT(AI631^2+2),1),$B$12)</f>
        <v/>
      </c>
      <c r="AK631">
        <f>IF(AG631&lt;=0,0,AJ631*AH631)</f>
        <v/>
      </c>
      <c r="AL631">
        <f>IF(AD631&lt;=0,0,AD631)</f>
        <v/>
      </c>
      <c r="AM631">
        <f>AL631-AK631+P631</f>
        <v/>
      </c>
      <c r="AN631">
        <f>((AM631/$B$7+T630*AS630/2-T631*MAX(0.1,MIN(0.3,0.3-0.09*(AR630-36.8)))/2)+AR630*(1-AS630/2))/(1-MAX(0.1,MIN(0.3,0.3-0.09*(AR630-36.8)))/2)</f>
        <v/>
      </c>
      <c r="AO631">
        <f>((AM631/$B$7+T630*AS630/2-T631*MAX(0.1,MIN(0.3,0.3-0.09*(AN631-36.8)))/2)+AR630*(1-AS630/2))/(1-MAX(0.1,MIN(0.3,0.3-0.09*(AN631-36.8)))/2)</f>
        <v/>
      </c>
      <c r="AP631">
        <f>((AM631/$B$7+T630*AS630/2-T631*MAX(0.1,MIN(0.3,0.3-0.09*(AO631-36.8)))/2)+AR630*(1-AS630/2))/(1-MAX(0.1,MIN(0.3,0.3-0.09*(AO631-36.8)))/2)</f>
        <v/>
      </c>
      <c r="AQ631">
        <f>((AM631/$B$7+T630*AS630/2-T631*MAX(0.1,MIN(0.3,0.3-0.09*(AP631-36.8)))/2)+AR630*(1-AS630/2))/(1-MAX(0.1,MIN(0.3,0.3-0.09*(AP631-36.8)))/2)</f>
        <v/>
      </c>
      <c r="AR631">
        <f>((AM631/$B$7+T630*AS630/2-T631*MAX(0.1,MIN(0.3,0.3-0.09*(AQ631-36.8)))/2)+AR630*(1-AS630/2))/(1-MAX(0.1,MIN(0.3,0.3-0.09*(AQ631-36.8)))/2)</f>
        <v/>
      </c>
      <c r="AS631">
        <f>MAX(0.1,MIN(0.3,0.3-0.09*(AR631-36.8)))</f>
        <v/>
      </c>
      <c r="AT631">
        <f>AT630+(2*AR631-1.962*AT630-1.31)/9</f>
        <v/>
      </c>
      <c r="AU631">
        <f>AU630+AG631+K631</f>
        <v/>
      </c>
      <c r="AV631">
        <f>AU631*2.67*$B$6/1.8/60</f>
        <v/>
      </c>
      <c r="AW631">
        <f>IF(AT631&gt;=$B$36,1,0)</f>
        <v/>
      </c>
      <c r="AX631">
        <f>IF(AV631&gt;=$B$21,1,0)</f>
        <v/>
      </c>
    </row>
    <row r="632">
      <c r="A632" t="n">
        <v>559</v>
      </c>
      <c r="B632">
        <f>MATCH(A632-1,$D$61:$D$68,1)</f>
        <v/>
      </c>
      <c r="C632">
        <f>INDEX($G$61:$G$68,B632)</f>
        <v/>
      </c>
      <c r="D632">
        <f>INDEX($L$61:$L$68,B632)</f>
        <v/>
      </c>
      <c r="E632">
        <f>INDEX($M$61:$M$68,B632)</f>
        <v/>
      </c>
      <c r="F632">
        <f>INDEX($N$61:$N$68,B632)</f>
        <v/>
      </c>
      <c r="G632">
        <f>INDEX($AA$61:$AA$68,B632)</f>
        <v/>
      </c>
      <c r="H632">
        <f>INDEX($X$61:$X$68,B632)</f>
        <v/>
      </c>
      <c r="I632">
        <f>INDEX($AF$61:$AF$68,B632)</f>
        <v/>
      </c>
      <c r="J632">
        <f>INDEX($AC$61:$AC$68,B632)</f>
        <v/>
      </c>
      <c r="K632">
        <f>INDEX($AD$61:$AD$68,B632)</f>
        <v/>
      </c>
      <c r="L632">
        <f>INDEX($AG$61:$AG$68,B632)</f>
        <v/>
      </c>
      <c r="M632">
        <f>INDEX($AH$61:$AH$68,B632)</f>
        <v/>
      </c>
      <c r="N632">
        <f>INDEX($AI$61:$AI$68,B632)</f>
        <v/>
      </c>
      <c r="O632">
        <f>O631*$B$26+L632*(1-$B$26)</f>
        <v/>
      </c>
      <c r="P632">
        <f>$B$7*(O632-O631)*(1-AS631)</f>
        <v/>
      </c>
      <c r="Q632">
        <f>M632+0.51274*AT631</f>
        <v/>
      </c>
      <c r="R632">
        <f>N632+0.616*AT631</f>
        <v/>
      </c>
      <c r="S632">
        <f>IF($B$13&gt;=0.6,Q632,IF($B$13&lt;=0.2,R632,R632+2.5*(Q632-R632)*($B$13-0.2)))</f>
        <v/>
      </c>
      <c r="T632">
        <f>IF(A632=1,S632,T631*$B$27+S632*(1-$B$27))</f>
        <v/>
      </c>
      <c r="U632">
        <f>0.6105*EXP(17.27*T632/(T632+237.3))</f>
        <v/>
      </c>
      <c r="V632">
        <f>($B$14*(I632*C632+IF(ABS((D632+0.1)-D632)&lt;0.000000001,4*$B$19*$B$20*(D632+273)^3,$B$19*$B$20*(((D632+0.1)+273)^4-(D632+273)^4)/((D632+0.1)-D632))*D632)+T632/H632)/($B$14*(I632+IF(ABS((D632+0.1)-D632)&lt;0.000000001,4*$B$19*$B$20*(D632+273)^3,$B$19*$B$20*(((D632+0.1)+273)^4-(D632+273)^4)/((D632+0.1)-D632)))+1/H632)</f>
        <v/>
      </c>
      <c r="W632">
        <f>($B$14*(I632*C632+IF(ABS(V632-D632)&lt;0.000000001,4*$B$19*$B$20*(D632+273)^3,$B$19*$B$20*((V632+273)^4-(D632+273)^4)/(V632-D632))*D632)+T632/H632)/($B$14*(I632+IF(ABS(V632-D632)&lt;0.000000001,4*$B$19*$B$20*(D632+273)^3,$B$19*$B$20*((V632+273)^4-(D632+273)^4)/(V632-D632)))+1/H632)</f>
        <v/>
      </c>
      <c r="X632">
        <f>($B$14*(I632*C632+IF(ABS(W632-D632)&lt;0.000000001,4*$B$19*$B$20*(D632+273)^3,$B$19*$B$20*((W632+273)^4-(D632+273)^4)/(W632-D632))*D632)+T632/H632)/($B$14*(I632+IF(ABS(W632-D632)&lt;0.000000001,4*$B$19*$B$20*(D632+273)^3,$B$19*$B$20*((W632+273)^4-(D632+273)^4)/(W632-D632)))+1/H632)</f>
        <v/>
      </c>
      <c r="Y632">
        <f>($B$14*(I632*C632+IF(ABS(X632-D632)&lt;0.000000001,4*$B$19*$B$20*(D632+273)^3,$B$19*$B$20*((X632+273)^4-(D632+273)^4)/(X632-D632))*D632)+T632/H632)/($B$14*(I632+IF(ABS(X632-D632)&lt;0.000000001,4*$B$19*$B$20*(D632+273)^3,$B$19*$B$20*((X632+273)^4-(D632+273)^4)/(X632-D632)))+1/H632)</f>
        <v/>
      </c>
      <c r="Z632">
        <f>IF(ABS(Y632-D632)&lt;0.000000001,4*$B$19*$B$20*(D632+273)^3,$B$19*$B$20*((Y632+273)^4-(D632+273)^4)/(Y632-D632))</f>
        <v/>
      </c>
      <c r="AA632">
        <f>$B$14*I632*(Y632-C632)</f>
        <v/>
      </c>
      <c r="AB632">
        <f>$B$14*Z632*(Y632-D632)</f>
        <v/>
      </c>
      <c r="AC632">
        <f>IF((U632-E632)/G632=0,0.001,(U632-E632)/G632)</f>
        <v/>
      </c>
      <c r="AD632">
        <f>F632-P632-J632-K632-AA632-AB632</f>
        <v/>
      </c>
      <c r="AE632">
        <f>AD632/AC632</f>
        <v/>
      </c>
      <c r="AF632">
        <f>IF(AD632&lt;=0,0,IF(AC632&lt;=0,$B$11,IF(AE632&gt;=1.7,$B$11,MIN(AD632/MAX(0.05,IF(AE632&gt;1,(2-AE632)^2/2,1-AE632^2/2)),$B$11))))</f>
        <v/>
      </c>
      <c r="AG632">
        <f>AG631*$B$28+AF632*(1-$B$28)</f>
        <v/>
      </c>
      <c r="AH632">
        <f>IF(AND(AD632&gt;0,AC632&lt;=0),0,AC632)</f>
        <v/>
      </c>
      <c r="AI632">
        <f>AH632/MAX(AG632,0.000001)</f>
        <v/>
      </c>
      <c r="AJ632">
        <f>MIN(IF(AI632&gt;=0.5,-AI632+SQRT(AI632^2+2),1),$B$12)</f>
        <v/>
      </c>
      <c r="AK632">
        <f>IF(AG632&lt;=0,0,AJ632*AH632)</f>
        <v/>
      </c>
      <c r="AL632">
        <f>IF(AD632&lt;=0,0,AD632)</f>
        <v/>
      </c>
      <c r="AM632">
        <f>AL632-AK632+P632</f>
        <v/>
      </c>
      <c r="AN632">
        <f>((AM632/$B$7+T631*AS631/2-T632*MAX(0.1,MIN(0.3,0.3-0.09*(AR631-36.8)))/2)+AR631*(1-AS631/2))/(1-MAX(0.1,MIN(0.3,0.3-0.09*(AR631-36.8)))/2)</f>
        <v/>
      </c>
      <c r="AO632">
        <f>((AM632/$B$7+T631*AS631/2-T632*MAX(0.1,MIN(0.3,0.3-0.09*(AN632-36.8)))/2)+AR631*(1-AS631/2))/(1-MAX(0.1,MIN(0.3,0.3-0.09*(AN632-36.8)))/2)</f>
        <v/>
      </c>
      <c r="AP632">
        <f>((AM632/$B$7+T631*AS631/2-T632*MAX(0.1,MIN(0.3,0.3-0.09*(AO632-36.8)))/2)+AR631*(1-AS631/2))/(1-MAX(0.1,MIN(0.3,0.3-0.09*(AO632-36.8)))/2)</f>
        <v/>
      </c>
      <c r="AQ632">
        <f>((AM632/$B$7+T631*AS631/2-T632*MAX(0.1,MIN(0.3,0.3-0.09*(AP632-36.8)))/2)+AR631*(1-AS631/2))/(1-MAX(0.1,MIN(0.3,0.3-0.09*(AP632-36.8)))/2)</f>
        <v/>
      </c>
      <c r="AR632">
        <f>((AM632/$B$7+T631*AS631/2-T632*MAX(0.1,MIN(0.3,0.3-0.09*(AQ632-36.8)))/2)+AR631*(1-AS631/2))/(1-MAX(0.1,MIN(0.3,0.3-0.09*(AQ632-36.8)))/2)</f>
        <v/>
      </c>
      <c r="AS632">
        <f>MAX(0.1,MIN(0.3,0.3-0.09*(AR632-36.8)))</f>
        <v/>
      </c>
      <c r="AT632">
        <f>AT631+(2*AR632-1.962*AT631-1.31)/9</f>
        <v/>
      </c>
      <c r="AU632">
        <f>AU631+AG632+K632</f>
        <v/>
      </c>
      <c r="AV632">
        <f>AU632*2.67*$B$6/1.8/60</f>
        <v/>
      </c>
      <c r="AW632">
        <f>IF(AT632&gt;=$B$36,1,0)</f>
        <v/>
      </c>
      <c r="AX632">
        <f>IF(AV632&gt;=$B$21,1,0)</f>
        <v/>
      </c>
    </row>
    <row r="633">
      <c r="A633" t="n">
        <v>560</v>
      </c>
      <c r="B633">
        <f>MATCH(A633-1,$D$61:$D$68,1)</f>
        <v/>
      </c>
      <c r="C633">
        <f>INDEX($G$61:$G$68,B633)</f>
        <v/>
      </c>
      <c r="D633">
        <f>INDEX($L$61:$L$68,B633)</f>
        <v/>
      </c>
      <c r="E633">
        <f>INDEX($M$61:$M$68,B633)</f>
        <v/>
      </c>
      <c r="F633">
        <f>INDEX($N$61:$N$68,B633)</f>
        <v/>
      </c>
      <c r="G633">
        <f>INDEX($AA$61:$AA$68,B633)</f>
        <v/>
      </c>
      <c r="H633">
        <f>INDEX($X$61:$X$68,B633)</f>
        <v/>
      </c>
      <c r="I633">
        <f>INDEX($AF$61:$AF$68,B633)</f>
        <v/>
      </c>
      <c r="J633">
        <f>INDEX($AC$61:$AC$68,B633)</f>
        <v/>
      </c>
      <c r="K633">
        <f>INDEX($AD$61:$AD$68,B633)</f>
        <v/>
      </c>
      <c r="L633">
        <f>INDEX($AG$61:$AG$68,B633)</f>
        <v/>
      </c>
      <c r="M633">
        <f>INDEX($AH$61:$AH$68,B633)</f>
        <v/>
      </c>
      <c r="N633">
        <f>INDEX($AI$61:$AI$68,B633)</f>
        <v/>
      </c>
      <c r="O633">
        <f>O632*$B$26+L633*(1-$B$26)</f>
        <v/>
      </c>
      <c r="P633">
        <f>$B$7*(O633-O632)*(1-AS632)</f>
        <v/>
      </c>
      <c r="Q633">
        <f>M633+0.51274*AT632</f>
        <v/>
      </c>
      <c r="R633">
        <f>N633+0.616*AT632</f>
        <v/>
      </c>
      <c r="S633">
        <f>IF($B$13&gt;=0.6,Q633,IF($B$13&lt;=0.2,R633,R633+2.5*(Q633-R633)*($B$13-0.2)))</f>
        <v/>
      </c>
      <c r="T633">
        <f>IF(A633=1,S633,T632*$B$27+S633*(1-$B$27))</f>
        <v/>
      </c>
      <c r="U633">
        <f>0.6105*EXP(17.27*T633/(T633+237.3))</f>
        <v/>
      </c>
      <c r="V633">
        <f>($B$14*(I633*C633+IF(ABS((D633+0.1)-D633)&lt;0.000000001,4*$B$19*$B$20*(D633+273)^3,$B$19*$B$20*(((D633+0.1)+273)^4-(D633+273)^4)/((D633+0.1)-D633))*D633)+T633/H633)/($B$14*(I633+IF(ABS((D633+0.1)-D633)&lt;0.000000001,4*$B$19*$B$20*(D633+273)^3,$B$19*$B$20*(((D633+0.1)+273)^4-(D633+273)^4)/((D633+0.1)-D633)))+1/H633)</f>
        <v/>
      </c>
      <c r="W633">
        <f>($B$14*(I633*C633+IF(ABS(V633-D633)&lt;0.000000001,4*$B$19*$B$20*(D633+273)^3,$B$19*$B$20*((V633+273)^4-(D633+273)^4)/(V633-D633))*D633)+T633/H633)/($B$14*(I633+IF(ABS(V633-D633)&lt;0.000000001,4*$B$19*$B$20*(D633+273)^3,$B$19*$B$20*((V633+273)^4-(D633+273)^4)/(V633-D633)))+1/H633)</f>
        <v/>
      </c>
      <c r="X633">
        <f>($B$14*(I633*C633+IF(ABS(W633-D633)&lt;0.000000001,4*$B$19*$B$20*(D633+273)^3,$B$19*$B$20*((W633+273)^4-(D633+273)^4)/(W633-D633))*D633)+T633/H633)/($B$14*(I633+IF(ABS(W633-D633)&lt;0.000000001,4*$B$19*$B$20*(D633+273)^3,$B$19*$B$20*((W633+273)^4-(D633+273)^4)/(W633-D633)))+1/H633)</f>
        <v/>
      </c>
      <c r="Y633">
        <f>($B$14*(I633*C633+IF(ABS(X633-D633)&lt;0.000000001,4*$B$19*$B$20*(D633+273)^3,$B$19*$B$20*((X633+273)^4-(D633+273)^4)/(X633-D633))*D633)+T633/H633)/($B$14*(I633+IF(ABS(X633-D633)&lt;0.000000001,4*$B$19*$B$20*(D633+273)^3,$B$19*$B$20*((X633+273)^4-(D633+273)^4)/(X633-D633)))+1/H633)</f>
        <v/>
      </c>
      <c r="Z633">
        <f>IF(ABS(Y633-D633)&lt;0.000000001,4*$B$19*$B$20*(D633+273)^3,$B$19*$B$20*((Y633+273)^4-(D633+273)^4)/(Y633-D633))</f>
        <v/>
      </c>
      <c r="AA633">
        <f>$B$14*I633*(Y633-C633)</f>
        <v/>
      </c>
      <c r="AB633">
        <f>$B$14*Z633*(Y633-D633)</f>
        <v/>
      </c>
      <c r="AC633">
        <f>IF((U633-E633)/G633=0,0.001,(U633-E633)/G633)</f>
        <v/>
      </c>
      <c r="AD633">
        <f>F633-P633-J633-K633-AA633-AB633</f>
        <v/>
      </c>
      <c r="AE633">
        <f>AD633/AC633</f>
        <v/>
      </c>
      <c r="AF633">
        <f>IF(AD633&lt;=0,0,IF(AC633&lt;=0,$B$11,IF(AE633&gt;=1.7,$B$11,MIN(AD633/MAX(0.05,IF(AE633&gt;1,(2-AE633)^2/2,1-AE633^2/2)),$B$11))))</f>
        <v/>
      </c>
      <c r="AG633">
        <f>AG632*$B$28+AF633*(1-$B$28)</f>
        <v/>
      </c>
      <c r="AH633">
        <f>IF(AND(AD633&gt;0,AC633&lt;=0),0,AC633)</f>
        <v/>
      </c>
      <c r="AI633">
        <f>AH633/MAX(AG633,0.000001)</f>
        <v/>
      </c>
      <c r="AJ633">
        <f>MIN(IF(AI633&gt;=0.5,-AI633+SQRT(AI633^2+2),1),$B$12)</f>
        <v/>
      </c>
      <c r="AK633">
        <f>IF(AG633&lt;=0,0,AJ633*AH633)</f>
        <v/>
      </c>
      <c r="AL633">
        <f>IF(AD633&lt;=0,0,AD633)</f>
        <v/>
      </c>
      <c r="AM633">
        <f>AL633-AK633+P633</f>
        <v/>
      </c>
      <c r="AN633">
        <f>((AM633/$B$7+T632*AS632/2-T633*MAX(0.1,MIN(0.3,0.3-0.09*(AR632-36.8)))/2)+AR632*(1-AS632/2))/(1-MAX(0.1,MIN(0.3,0.3-0.09*(AR632-36.8)))/2)</f>
        <v/>
      </c>
      <c r="AO633">
        <f>((AM633/$B$7+T632*AS632/2-T633*MAX(0.1,MIN(0.3,0.3-0.09*(AN633-36.8)))/2)+AR632*(1-AS632/2))/(1-MAX(0.1,MIN(0.3,0.3-0.09*(AN633-36.8)))/2)</f>
        <v/>
      </c>
      <c r="AP633">
        <f>((AM633/$B$7+T632*AS632/2-T633*MAX(0.1,MIN(0.3,0.3-0.09*(AO633-36.8)))/2)+AR632*(1-AS632/2))/(1-MAX(0.1,MIN(0.3,0.3-0.09*(AO633-36.8)))/2)</f>
        <v/>
      </c>
      <c r="AQ633">
        <f>((AM633/$B$7+T632*AS632/2-T633*MAX(0.1,MIN(0.3,0.3-0.09*(AP633-36.8)))/2)+AR632*(1-AS632/2))/(1-MAX(0.1,MIN(0.3,0.3-0.09*(AP633-36.8)))/2)</f>
        <v/>
      </c>
      <c r="AR633">
        <f>((AM633/$B$7+T632*AS632/2-T633*MAX(0.1,MIN(0.3,0.3-0.09*(AQ633-36.8)))/2)+AR632*(1-AS632/2))/(1-MAX(0.1,MIN(0.3,0.3-0.09*(AQ633-36.8)))/2)</f>
        <v/>
      </c>
      <c r="AS633">
        <f>MAX(0.1,MIN(0.3,0.3-0.09*(AR633-36.8)))</f>
        <v/>
      </c>
      <c r="AT633">
        <f>AT632+(2*AR633-1.962*AT632-1.31)/9</f>
        <v/>
      </c>
      <c r="AU633">
        <f>AU632+AG633+K633</f>
        <v/>
      </c>
      <c r="AV633">
        <f>AU633*2.67*$B$6/1.8/60</f>
        <v/>
      </c>
      <c r="AW633">
        <f>IF(AT633&gt;=$B$36,1,0)</f>
        <v/>
      </c>
      <c r="AX633">
        <f>IF(AV633&gt;=$B$21,1,0)</f>
        <v/>
      </c>
    </row>
    <row r="634">
      <c r="A634" t="n">
        <v>561</v>
      </c>
      <c r="B634">
        <f>MATCH(A634-1,$D$61:$D$68,1)</f>
        <v/>
      </c>
      <c r="C634">
        <f>INDEX($G$61:$G$68,B634)</f>
        <v/>
      </c>
      <c r="D634">
        <f>INDEX($L$61:$L$68,B634)</f>
        <v/>
      </c>
      <c r="E634">
        <f>INDEX($M$61:$M$68,B634)</f>
        <v/>
      </c>
      <c r="F634">
        <f>INDEX($N$61:$N$68,B634)</f>
        <v/>
      </c>
      <c r="G634">
        <f>INDEX($AA$61:$AA$68,B634)</f>
        <v/>
      </c>
      <c r="H634">
        <f>INDEX($X$61:$X$68,B634)</f>
        <v/>
      </c>
      <c r="I634">
        <f>INDEX($AF$61:$AF$68,B634)</f>
        <v/>
      </c>
      <c r="J634">
        <f>INDEX($AC$61:$AC$68,B634)</f>
        <v/>
      </c>
      <c r="K634">
        <f>INDEX($AD$61:$AD$68,B634)</f>
        <v/>
      </c>
      <c r="L634">
        <f>INDEX($AG$61:$AG$68,B634)</f>
        <v/>
      </c>
      <c r="M634">
        <f>INDEX($AH$61:$AH$68,B634)</f>
        <v/>
      </c>
      <c r="N634">
        <f>INDEX($AI$61:$AI$68,B634)</f>
        <v/>
      </c>
      <c r="O634">
        <f>O633*$B$26+L634*(1-$B$26)</f>
        <v/>
      </c>
      <c r="P634">
        <f>$B$7*(O634-O633)*(1-AS633)</f>
        <v/>
      </c>
      <c r="Q634">
        <f>M634+0.51274*AT633</f>
        <v/>
      </c>
      <c r="R634">
        <f>N634+0.616*AT633</f>
        <v/>
      </c>
      <c r="S634">
        <f>IF($B$13&gt;=0.6,Q634,IF($B$13&lt;=0.2,R634,R634+2.5*(Q634-R634)*($B$13-0.2)))</f>
        <v/>
      </c>
      <c r="T634">
        <f>IF(A634=1,S634,T633*$B$27+S634*(1-$B$27))</f>
        <v/>
      </c>
      <c r="U634">
        <f>0.6105*EXP(17.27*T634/(T634+237.3))</f>
        <v/>
      </c>
      <c r="V634">
        <f>($B$14*(I634*C634+IF(ABS((D634+0.1)-D634)&lt;0.000000001,4*$B$19*$B$20*(D634+273)^3,$B$19*$B$20*(((D634+0.1)+273)^4-(D634+273)^4)/((D634+0.1)-D634))*D634)+T634/H634)/($B$14*(I634+IF(ABS((D634+0.1)-D634)&lt;0.000000001,4*$B$19*$B$20*(D634+273)^3,$B$19*$B$20*(((D634+0.1)+273)^4-(D634+273)^4)/((D634+0.1)-D634)))+1/H634)</f>
        <v/>
      </c>
      <c r="W634">
        <f>($B$14*(I634*C634+IF(ABS(V634-D634)&lt;0.000000001,4*$B$19*$B$20*(D634+273)^3,$B$19*$B$20*((V634+273)^4-(D634+273)^4)/(V634-D634))*D634)+T634/H634)/($B$14*(I634+IF(ABS(V634-D634)&lt;0.000000001,4*$B$19*$B$20*(D634+273)^3,$B$19*$B$20*((V634+273)^4-(D634+273)^4)/(V634-D634)))+1/H634)</f>
        <v/>
      </c>
      <c r="X634">
        <f>($B$14*(I634*C634+IF(ABS(W634-D634)&lt;0.000000001,4*$B$19*$B$20*(D634+273)^3,$B$19*$B$20*((W634+273)^4-(D634+273)^4)/(W634-D634))*D634)+T634/H634)/($B$14*(I634+IF(ABS(W634-D634)&lt;0.000000001,4*$B$19*$B$20*(D634+273)^3,$B$19*$B$20*((W634+273)^4-(D634+273)^4)/(W634-D634)))+1/H634)</f>
        <v/>
      </c>
      <c r="Y634">
        <f>($B$14*(I634*C634+IF(ABS(X634-D634)&lt;0.000000001,4*$B$19*$B$20*(D634+273)^3,$B$19*$B$20*((X634+273)^4-(D634+273)^4)/(X634-D634))*D634)+T634/H634)/($B$14*(I634+IF(ABS(X634-D634)&lt;0.000000001,4*$B$19*$B$20*(D634+273)^3,$B$19*$B$20*((X634+273)^4-(D634+273)^4)/(X634-D634)))+1/H634)</f>
        <v/>
      </c>
      <c r="Z634">
        <f>IF(ABS(Y634-D634)&lt;0.000000001,4*$B$19*$B$20*(D634+273)^3,$B$19*$B$20*((Y634+273)^4-(D634+273)^4)/(Y634-D634))</f>
        <v/>
      </c>
      <c r="AA634">
        <f>$B$14*I634*(Y634-C634)</f>
        <v/>
      </c>
      <c r="AB634">
        <f>$B$14*Z634*(Y634-D634)</f>
        <v/>
      </c>
      <c r="AC634">
        <f>IF((U634-E634)/G634=0,0.001,(U634-E634)/G634)</f>
        <v/>
      </c>
      <c r="AD634">
        <f>F634-P634-J634-K634-AA634-AB634</f>
        <v/>
      </c>
      <c r="AE634">
        <f>AD634/AC634</f>
        <v/>
      </c>
      <c r="AF634">
        <f>IF(AD634&lt;=0,0,IF(AC634&lt;=0,$B$11,IF(AE634&gt;=1.7,$B$11,MIN(AD634/MAX(0.05,IF(AE634&gt;1,(2-AE634)^2/2,1-AE634^2/2)),$B$11))))</f>
        <v/>
      </c>
      <c r="AG634">
        <f>AG633*$B$28+AF634*(1-$B$28)</f>
        <v/>
      </c>
      <c r="AH634">
        <f>IF(AND(AD634&gt;0,AC634&lt;=0),0,AC634)</f>
        <v/>
      </c>
      <c r="AI634">
        <f>AH634/MAX(AG634,0.000001)</f>
        <v/>
      </c>
      <c r="AJ634">
        <f>MIN(IF(AI634&gt;=0.5,-AI634+SQRT(AI634^2+2),1),$B$12)</f>
        <v/>
      </c>
      <c r="AK634">
        <f>IF(AG634&lt;=0,0,AJ634*AH634)</f>
        <v/>
      </c>
      <c r="AL634">
        <f>IF(AD634&lt;=0,0,AD634)</f>
        <v/>
      </c>
      <c r="AM634">
        <f>AL634-AK634+P634</f>
        <v/>
      </c>
      <c r="AN634">
        <f>((AM634/$B$7+T633*AS633/2-T634*MAX(0.1,MIN(0.3,0.3-0.09*(AR633-36.8)))/2)+AR633*(1-AS633/2))/(1-MAX(0.1,MIN(0.3,0.3-0.09*(AR633-36.8)))/2)</f>
        <v/>
      </c>
      <c r="AO634">
        <f>((AM634/$B$7+T633*AS633/2-T634*MAX(0.1,MIN(0.3,0.3-0.09*(AN634-36.8)))/2)+AR633*(1-AS633/2))/(1-MAX(0.1,MIN(0.3,0.3-0.09*(AN634-36.8)))/2)</f>
        <v/>
      </c>
      <c r="AP634">
        <f>((AM634/$B$7+T633*AS633/2-T634*MAX(0.1,MIN(0.3,0.3-0.09*(AO634-36.8)))/2)+AR633*(1-AS633/2))/(1-MAX(0.1,MIN(0.3,0.3-0.09*(AO634-36.8)))/2)</f>
        <v/>
      </c>
      <c r="AQ634">
        <f>((AM634/$B$7+T633*AS633/2-T634*MAX(0.1,MIN(0.3,0.3-0.09*(AP634-36.8)))/2)+AR633*(1-AS633/2))/(1-MAX(0.1,MIN(0.3,0.3-0.09*(AP634-36.8)))/2)</f>
        <v/>
      </c>
      <c r="AR634">
        <f>((AM634/$B$7+T633*AS633/2-T634*MAX(0.1,MIN(0.3,0.3-0.09*(AQ634-36.8)))/2)+AR633*(1-AS633/2))/(1-MAX(0.1,MIN(0.3,0.3-0.09*(AQ634-36.8)))/2)</f>
        <v/>
      </c>
      <c r="AS634">
        <f>MAX(0.1,MIN(0.3,0.3-0.09*(AR634-36.8)))</f>
        <v/>
      </c>
      <c r="AT634">
        <f>AT633+(2*AR634-1.962*AT633-1.31)/9</f>
        <v/>
      </c>
      <c r="AU634">
        <f>AU633+AG634+K634</f>
        <v/>
      </c>
      <c r="AV634">
        <f>AU634*2.67*$B$6/1.8/60</f>
        <v/>
      </c>
      <c r="AW634">
        <f>IF(AT634&gt;=$B$36,1,0)</f>
        <v/>
      </c>
      <c r="AX634">
        <f>IF(AV634&gt;=$B$21,1,0)</f>
        <v/>
      </c>
    </row>
    <row r="635">
      <c r="A635" t="n">
        <v>562</v>
      </c>
      <c r="B635">
        <f>MATCH(A635-1,$D$61:$D$68,1)</f>
        <v/>
      </c>
      <c r="C635">
        <f>INDEX($G$61:$G$68,B635)</f>
        <v/>
      </c>
      <c r="D635">
        <f>INDEX($L$61:$L$68,B635)</f>
        <v/>
      </c>
      <c r="E635">
        <f>INDEX($M$61:$M$68,B635)</f>
        <v/>
      </c>
      <c r="F635">
        <f>INDEX($N$61:$N$68,B635)</f>
        <v/>
      </c>
      <c r="G635">
        <f>INDEX($AA$61:$AA$68,B635)</f>
        <v/>
      </c>
      <c r="H635">
        <f>INDEX($X$61:$X$68,B635)</f>
        <v/>
      </c>
      <c r="I635">
        <f>INDEX($AF$61:$AF$68,B635)</f>
        <v/>
      </c>
      <c r="J635">
        <f>INDEX($AC$61:$AC$68,B635)</f>
        <v/>
      </c>
      <c r="K635">
        <f>INDEX($AD$61:$AD$68,B635)</f>
        <v/>
      </c>
      <c r="L635">
        <f>INDEX($AG$61:$AG$68,B635)</f>
        <v/>
      </c>
      <c r="M635">
        <f>INDEX($AH$61:$AH$68,B635)</f>
        <v/>
      </c>
      <c r="N635">
        <f>INDEX($AI$61:$AI$68,B635)</f>
        <v/>
      </c>
      <c r="O635">
        <f>O634*$B$26+L635*(1-$B$26)</f>
        <v/>
      </c>
      <c r="P635">
        <f>$B$7*(O635-O634)*(1-AS634)</f>
        <v/>
      </c>
      <c r="Q635">
        <f>M635+0.51274*AT634</f>
        <v/>
      </c>
      <c r="R635">
        <f>N635+0.616*AT634</f>
        <v/>
      </c>
      <c r="S635">
        <f>IF($B$13&gt;=0.6,Q635,IF($B$13&lt;=0.2,R635,R635+2.5*(Q635-R635)*($B$13-0.2)))</f>
        <v/>
      </c>
      <c r="T635">
        <f>IF(A635=1,S635,T634*$B$27+S635*(1-$B$27))</f>
        <v/>
      </c>
      <c r="U635">
        <f>0.6105*EXP(17.27*T635/(T635+237.3))</f>
        <v/>
      </c>
      <c r="V635">
        <f>($B$14*(I635*C635+IF(ABS((D635+0.1)-D635)&lt;0.000000001,4*$B$19*$B$20*(D635+273)^3,$B$19*$B$20*(((D635+0.1)+273)^4-(D635+273)^4)/((D635+0.1)-D635))*D635)+T635/H635)/($B$14*(I635+IF(ABS((D635+0.1)-D635)&lt;0.000000001,4*$B$19*$B$20*(D635+273)^3,$B$19*$B$20*(((D635+0.1)+273)^4-(D635+273)^4)/((D635+0.1)-D635)))+1/H635)</f>
        <v/>
      </c>
      <c r="W635">
        <f>($B$14*(I635*C635+IF(ABS(V635-D635)&lt;0.000000001,4*$B$19*$B$20*(D635+273)^3,$B$19*$B$20*((V635+273)^4-(D635+273)^4)/(V635-D635))*D635)+T635/H635)/($B$14*(I635+IF(ABS(V635-D635)&lt;0.000000001,4*$B$19*$B$20*(D635+273)^3,$B$19*$B$20*((V635+273)^4-(D635+273)^4)/(V635-D635)))+1/H635)</f>
        <v/>
      </c>
      <c r="X635">
        <f>($B$14*(I635*C635+IF(ABS(W635-D635)&lt;0.000000001,4*$B$19*$B$20*(D635+273)^3,$B$19*$B$20*((W635+273)^4-(D635+273)^4)/(W635-D635))*D635)+T635/H635)/($B$14*(I635+IF(ABS(W635-D635)&lt;0.000000001,4*$B$19*$B$20*(D635+273)^3,$B$19*$B$20*((W635+273)^4-(D635+273)^4)/(W635-D635)))+1/H635)</f>
        <v/>
      </c>
      <c r="Y635">
        <f>($B$14*(I635*C635+IF(ABS(X635-D635)&lt;0.000000001,4*$B$19*$B$20*(D635+273)^3,$B$19*$B$20*((X635+273)^4-(D635+273)^4)/(X635-D635))*D635)+T635/H635)/($B$14*(I635+IF(ABS(X635-D635)&lt;0.000000001,4*$B$19*$B$20*(D635+273)^3,$B$19*$B$20*((X635+273)^4-(D635+273)^4)/(X635-D635)))+1/H635)</f>
        <v/>
      </c>
      <c r="Z635">
        <f>IF(ABS(Y635-D635)&lt;0.000000001,4*$B$19*$B$20*(D635+273)^3,$B$19*$B$20*((Y635+273)^4-(D635+273)^4)/(Y635-D635))</f>
        <v/>
      </c>
      <c r="AA635">
        <f>$B$14*I635*(Y635-C635)</f>
        <v/>
      </c>
      <c r="AB635">
        <f>$B$14*Z635*(Y635-D635)</f>
        <v/>
      </c>
      <c r="AC635">
        <f>IF((U635-E635)/G635=0,0.001,(U635-E635)/G635)</f>
        <v/>
      </c>
      <c r="AD635">
        <f>F635-P635-J635-K635-AA635-AB635</f>
        <v/>
      </c>
      <c r="AE635">
        <f>AD635/AC635</f>
        <v/>
      </c>
      <c r="AF635">
        <f>IF(AD635&lt;=0,0,IF(AC635&lt;=0,$B$11,IF(AE635&gt;=1.7,$B$11,MIN(AD635/MAX(0.05,IF(AE635&gt;1,(2-AE635)^2/2,1-AE635^2/2)),$B$11))))</f>
        <v/>
      </c>
      <c r="AG635">
        <f>AG634*$B$28+AF635*(1-$B$28)</f>
        <v/>
      </c>
      <c r="AH635">
        <f>IF(AND(AD635&gt;0,AC635&lt;=0),0,AC635)</f>
        <v/>
      </c>
      <c r="AI635">
        <f>AH635/MAX(AG635,0.000001)</f>
        <v/>
      </c>
      <c r="AJ635">
        <f>MIN(IF(AI635&gt;=0.5,-AI635+SQRT(AI635^2+2),1),$B$12)</f>
        <v/>
      </c>
      <c r="AK635">
        <f>IF(AG635&lt;=0,0,AJ635*AH635)</f>
        <v/>
      </c>
      <c r="AL635">
        <f>IF(AD635&lt;=0,0,AD635)</f>
        <v/>
      </c>
      <c r="AM635">
        <f>AL635-AK635+P635</f>
        <v/>
      </c>
      <c r="AN635">
        <f>((AM635/$B$7+T634*AS634/2-T635*MAX(0.1,MIN(0.3,0.3-0.09*(AR634-36.8)))/2)+AR634*(1-AS634/2))/(1-MAX(0.1,MIN(0.3,0.3-0.09*(AR634-36.8)))/2)</f>
        <v/>
      </c>
      <c r="AO635">
        <f>((AM635/$B$7+T634*AS634/2-T635*MAX(0.1,MIN(0.3,0.3-0.09*(AN635-36.8)))/2)+AR634*(1-AS634/2))/(1-MAX(0.1,MIN(0.3,0.3-0.09*(AN635-36.8)))/2)</f>
        <v/>
      </c>
      <c r="AP635">
        <f>((AM635/$B$7+T634*AS634/2-T635*MAX(0.1,MIN(0.3,0.3-0.09*(AO635-36.8)))/2)+AR634*(1-AS634/2))/(1-MAX(0.1,MIN(0.3,0.3-0.09*(AO635-36.8)))/2)</f>
        <v/>
      </c>
      <c r="AQ635">
        <f>((AM635/$B$7+T634*AS634/2-T635*MAX(0.1,MIN(0.3,0.3-0.09*(AP635-36.8)))/2)+AR634*(1-AS634/2))/(1-MAX(0.1,MIN(0.3,0.3-0.09*(AP635-36.8)))/2)</f>
        <v/>
      </c>
      <c r="AR635">
        <f>((AM635/$B$7+T634*AS634/2-T635*MAX(0.1,MIN(0.3,0.3-0.09*(AQ635-36.8)))/2)+AR634*(1-AS634/2))/(1-MAX(0.1,MIN(0.3,0.3-0.09*(AQ635-36.8)))/2)</f>
        <v/>
      </c>
      <c r="AS635">
        <f>MAX(0.1,MIN(0.3,0.3-0.09*(AR635-36.8)))</f>
        <v/>
      </c>
      <c r="AT635">
        <f>AT634+(2*AR635-1.962*AT634-1.31)/9</f>
        <v/>
      </c>
      <c r="AU635">
        <f>AU634+AG635+K635</f>
        <v/>
      </c>
      <c r="AV635">
        <f>AU635*2.67*$B$6/1.8/60</f>
        <v/>
      </c>
      <c r="AW635">
        <f>IF(AT635&gt;=$B$36,1,0)</f>
        <v/>
      </c>
      <c r="AX635">
        <f>IF(AV635&gt;=$B$21,1,0)</f>
        <v/>
      </c>
    </row>
    <row r="636">
      <c r="A636" t="n">
        <v>563</v>
      </c>
      <c r="B636">
        <f>MATCH(A636-1,$D$61:$D$68,1)</f>
        <v/>
      </c>
      <c r="C636">
        <f>INDEX($G$61:$G$68,B636)</f>
        <v/>
      </c>
      <c r="D636">
        <f>INDEX($L$61:$L$68,B636)</f>
        <v/>
      </c>
      <c r="E636">
        <f>INDEX($M$61:$M$68,B636)</f>
        <v/>
      </c>
      <c r="F636">
        <f>INDEX($N$61:$N$68,B636)</f>
        <v/>
      </c>
      <c r="G636">
        <f>INDEX($AA$61:$AA$68,B636)</f>
        <v/>
      </c>
      <c r="H636">
        <f>INDEX($X$61:$X$68,B636)</f>
        <v/>
      </c>
      <c r="I636">
        <f>INDEX($AF$61:$AF$68,B636)</f>
        <v/>
      </c>
      <c r="J636">
        <f>INDEX($AC$61:$AC$68,B636)</f>
        <v/>
      </c>
      <c r="K636">
        <f>INDEX($AD$61:$AD$68,B636)</f>
        <v/>
      </c>
      <c r="L636">
        <f>INDEX($AG$61:$AG$68,B636)</f>
        <v/>
      </c>
      <c r="M636">
        <f>INDEX($AH$61:$AH$68,B636)</f>
        <v/>
      </c>
      <c r="N636">
        <f>INDEX($AI$61:$AI$68,B636)</f>
        <v/>
      </c>
      <c r="O636">
        <f>O635*$B$26+L636*(1-$B$26)</f>
        <v/>
      </c>
      <c r="P636">
        <f>$B$7*(O636-O635)*(1-AS635)</f>
        <v/>
      </c>
      <c r="Q636">
        <f>M636+0.51274*AT635</f>
        <v/>
      </c>
      <c r="R636">
        <f>N636+0.616*AT635</f>
        <v/>
      </c>
      <c r="S636">
        <f>IF($B$13&gt;=0.6,Q636,IF($B$13&lt;=0.2,R636,R636+2.5*(Q636-R636)*($B$13-0.2)))</f>
        <v/>
      </c>
      <c r="T636">
        <f>IF(A636=1,S636,T635*$B$27+S636*(1-$B$27))</f>
        <v/>
      </c>
      <c r="U636">
        <f>0.6105*EXP(17.27*T636/(T636+237.3))</f>
        <v/>
      </c>
      <c r="V636">
        <f>($B$14*(I636*C636+IF(ABS((D636+0.1)-D636)&lt;0.000000001,4*$B$19*$B$20*(D636+273)^3,$B$19*$B$20*(((D636+0.1)+273)^4-(D636+273)^4)/((D636+0.1)-D636))*D636)+T636/H636)/($B$14*(I636+IF(ABS((D636+0.1)-D636)&lt;0.000000001,4*$B$19*$B$20*(D636+273)^3,$B$19*$B$20*(((D636+0.1)+273)^4-(D636+273)^4)/((D636+0.1)-D636)))+1/H636)</f>
        <v/>
      </c>
      <c r="W636">
        <f>($B$14*(I636*C636+IF(ABS(V636-D636)&lt;0.000000001,4*$B$19*$B$20*(D636+273)^3,$B$19*$B$20*((V636+273)^4-(D636+273)^4)/(V636-D636))*D636)+T636/H636)/($B$14*(I636+IF(ABS(V636-D636)&lt;0.000000001,4*$B$19*$B$20*(D636+273)^3,$B$19*$B$20*((V636+273)^4-(D636+273)^4)/(V636-D636)))+1/H636)</f>
        <v/>
      </c>
      <c r="X636">
        <f>($B$14*(I636*C636+IF(ABS(W636-D636)&lt;0.000000001,4*$B$19*$B$20*(D636+273)^3,$B$19*$B$20*((W636+273)^4-(D636+273)^4)/(W636-D636))*D636)+T636/H636)/($B$14*(I636+IF(ABS(W636-D636)&lt;0.000000001,4*$B$19*$B$20*(D636+273)^3,$B$19*$B$20*((W636+273)^4-(D636+273)^4)/(W636-D636)))+1/H636)</f>
        <v/>
      </c>
      <c r="Y636">
        <f>($B$14*(I636*C636+IF(ABS(X636-D636)&lt;0.000000001,4*$B$19*$B$20*(D636+273)^3,$B$19*$B$20*((X636+273)^4-(D636+273)^4)/(X636-D636))*D636)+T636/H636)/($B$14*(I636+IF(ABS(X636-D636)&lt;0.000000001,4*$B$19*$B$20*(D636+273)^3,$B$19*$B$20*((X636+273)^4-(D636+273)^4)/(X636-D636)))+1/H636)</f>
        <v/>
      </c>
      <c r="Z636">
        <f>IF(ABS(Y636-D636)&lt;0.000000001,4*$B$19*$B$20*(D636+273)^3,$B$19*$B$20*((Y636+273)^4-(D636+273)^4)/(Y636-D636))</f>
        <v/>
      </c>
      <c r="AA636">
        <f>$B$14*I636*(Y636-C636)</f>
        <v/>
      </c>
      <c r="AB636">
        <f>$B$14*Z636*(Y636-D636)</f>
        <v/>
      </c>
      <c r="AC636">
        <f>IF((U636-E636)/G636=0,0.001,(U636-E636)/G636)</f>
        <v/>
      </c>
      <c r="AD636">
        <f>F636-P636-J636-K636-AA636-AB636</f>
        <v/>
      </c>
      <c r="AE636">
        <f>AD636/AC636</f>
        <v/>
      </c>
      <c r="AF636">
        <f>IF(AD636&lt;=0,0,IF(AC636&lt;=0,$B$11,IF(AE636&gt;=1.7,$B$11,MIN(AD636/MAX(0.05,IF(AE636&gt;1,(2-AE636)^2/2,1-AE636^2/2)),$B$11))))</f>
        <v/>
      </c>
      <c r="AG636">
        <f>AG635*$B$28+AF636*(1-$B$28)</f>
        <v/>
      </c>
      <c r="AH636">
        <f>IF(AND(AD636&gt;0,AC636&lt;=0),0,AC636)</f>
        <v/>
      </c>
      <c r="AI636">
        <f>AH636/MAX(AG636,0.000001)</f>
        <v/>
      </c>
      <c r="AJ636">
        <f>MIN(IF(AI636&gt;=0.5,-AI636+SQRT(AI636^2+2),1),$B$12)</f>
        <v/>
      </c>
      <c r="AK636">
        <f>IF(AG636&lt;=0,0,AJ636*AH636)</f>
        <v/>
      </c>
      <c r="AL636">
        <f>IF(AD636&lt;=0,0,AD636)</f>
        <v/>
      </c>
      <c r="AM636">
        <f>AL636-AK636+P636</f>
        <v/>
      </c>
      <c r="AN636">
        <f>((AM636/$B$7+T635*AS635/2-T636*MAX(0.1,MIN(0.3,0.3-0.09*(AR635-36.8)))/2)+AR635*(1-AS635/2))/(1-MAX(0.1,MIN(0.3,0.3-0.09*(AR635-36.8)))/2)</f>
        <v/>
      </c>
      <c r="AO636">
        <f>((AM636/$B$7+T635*AS635/2-T636*MAX(0.1,MIN(0.3,0.3-0.09*(AN636-36.8)))/2)+AR635*(1-AS635/2))/(1-MAX(0.1,MIN(0.3,0.3-0.09*(AN636-36.8)))/2)</f>
        <v/>
      </c>
      <c r="AP636">
        <f>((AM636/$B$7+T635*AS635/2-T636*MAX(0.1,MIN(0.3,0.3-0.09*(AO636-36.8)))/2)+AR635*(1-AS635/2))/(1-MAX(0.1,MIN(0.3,0.3-0.09*(AO636-36.8)))/2)</f>
        <v/>
      </c>
      <c r="AQ636">
        <f>((AM636/$B$7+T635*AS635/2-T636*MAX(0.1,MIN(0.3,0.3-0.09*(AP636-36.8)))/2)+AR635*(1-AS635/2))/(1-MAX(0.1,MIN(0.3,0.3-0.09*(AP636-36.8)))/2)</f>
        <v/>
      </c>
      <c r="AR636">
        <f>((AM636/$B$7+T635*AS635/2-T636*MAX(0.1,MIN(0.3,0.3-0.09*(AQ636-36.8)))/2)+AR635*(1-AS635/2))/(1-MAX(0.1,MIN(0.3,0.3-0.09*(AQ636-36.8)))/2)</f>
        <v/>
      </c>
      <c r="AS636">
        <f>MAX(0.1,MIN(0.3,0.3-0.09*(AR636-36.8)))</f>
        <v/>
      </c>
      <c r="AT636">
        <f>AT635+(2*AR636-1.962*AT635-1.31)/9</f>
        <v/>
      </c>
      <c r="AU636">
        <f>AU635+AG636+K636</f>
        <v/>
      </c>
      <c r="AV636">
        <f>AU636*2.67*$B$6/1.8/60</f>
        <v/>
      </c>
      <c r="AW636">
        <f>IF(AT636&gt;=$B$36,1,0)</f>
        <v/>
      </c>
      <c r="AX636">
        <f>IF(AV636&gt;=$B$21,1,0)</f>
        <v/>
      </c>
    </row>
    <row r="637">
      <c r="A637" t="n">
        <v>564</v>
      </c>
      <c r="B637">
        <f>MATCH(A637-1,$D$61:$D$68,1)</f>
        <v/>
      </c>
      <c r="C637">
        <f>INDEX($G$61:$G$68,B637)</f>
        <v/>
      </c>
      <c r="D637">
        <f>INDEX($L$61:$L$68,B637)</f>
        <v/>
      </c>
      <c r="E637">
        <f>INDEX($M$61:$M$68,B637)</f>
        <v/>
      </c>
      <c r="F637">
        <f>INDEX($N$61:$N$68,B637)</f>
        <v/>
      </c>
      <c r="G637">
        <f>INDEX($AA$61:$AA$68,B637)</f>
        <v/>
      </c>
      <c r="H637">
        <f>INDEX($X$61:$X$68,B637)</f>
        <v/>
      </c>
      <c r="I637">
        <f>INDEX($AF$61:$AF$68,B637)</f>
        <v/>
      </c>
      <c r="J637">
        <f>INDEX($AC$61:$AC$68,B637)</f>
        <v/>
      </c>
      <c r="K637">
        <f>INDEX($AD$61:$AD$68,B637)</f>
        <v/>
      </c>
      <c r="L637">
        <f>INDEX($AG$61:$AG$68,B637)</f>
        <v/>
      </c>
      <c r="M637">
        <f>INDEX($AH$61:$AH$68,B637)</f>
        <v/>
      </c>
      <c r="N637">
        <f>INDEX($AI$61:$AI$68,B637)</f>
        <v/>
      </c>
      <c r="O637">
        <f>O636*$B$26+L637*(1-$B$26)</f>
        <v/>
      </c>
      <c r="P637">
        <f>$B$7*(O637-O636)*(1-AS636)</f>
        <v/>
      </c>
      <c r="Q637">
        <f>M637+0.51274*AT636</f>
        <v/>
      </c>
      <c r="R637">
        <f>N637+0.616*AT636</f>
        <v/>
      </c>
      <c r="S637">
        <f>IF($B$13&gt;=0.6,Q637,IF($B$13&lt;=0.2,R637,R637+2.5*(Q637-R637)*($B$13-0.2)))</f>
        <v/>
      </c>
      <c r="T637">
        <f>IF(A637=1,S637,T636*$B$27+S637*(1-$B$27))</f>
        <v/>
      </c>
      <c r="U637">
        <f>0.6105*EXP(17.27*T637/(T637+237.3))</f>
        <v/>
      </c>
      <c r="V637">
        <f>($B$14*(I637*C637+IF(ABS((D637+0.1)-D637)&lt;0.000000001,4*$B$19*$B$20*(D637+273)^3,$B$19*$B$20*(((D637+0.1)+273)^4-(D637+273)^4)/((D637+0.1)-D637))*D637)+T637/H637)/($B$14*(I637+IF(ABS((D637+0.1)-D637)&lt;0.000000001,4*$B$19*$B$20*(D637+273)^3,$B$19*$B$20*(((D637+0.1)+273)^4-(D637+273)^4)/((D637+0.1)-D637)))+1/H637)</f>
        <v/>
      </c>
      <c r="W637">
        <f>($B$14*(I637*C637+IF(ABS(V637-D637)&lt;0.000000001,4*$B$19*$B$20*(D637+273)^3,$B$19*$B$20*((V637+273)^4-(D637+273)^4)/(V637-D637))*D637)+T637/H637)/($B$14*(I637+IF(ABS(V637-D637)&lt;0.000000001,4*$B$19*$B$20*(D637+273)^3,$B$19*$B$20*((V637+273)^4-(D637+273)^4)/(V637-D637)))+1/H637)</f>
        <v/>
      </c>
      <c r="X637">
        <f>($B$14*(I637*C637+IF(ABS(W637-D637)&lt;0.000000001,4*$B$19*$B$20*(D637+273)^3,$B$19*$B$20*((W637+273)^4-(D637+273)^4)/(W637-D637))*D637)+T637/H637)/($B$14*(I637+IF(ABS(W637-D637)&lt;0.000000001,4*$B$19*$B$20*(D637+273)^3,$B$19*$B$20*((W637+273)^4-(D637+273)^4)/(W637-D637)))+1/H637)</f>
        <v/>
      </c>
      <c r="Y637">
        <f>($B$14*(I637*C637+IF(ABS(X637-D637)&lt;0.000000001,4*$B$19*$B$20*(D637+273)^3,$B$19*$B$20*((X637+273)^4-(D637+273)^4)/(X637-D637))*D637)+T637/H637)/($B$14*(I637+IF(ABS(X637-D637)&lt;0.000000001,4*$B$19*$B$20*(D637+273)^3,$B$19*$B$20*((X637+273)^4-(D637+273)^4)/(X637-D637)))+1/H637)</f>
        <v/>
      </c>
      <c r="Z637">
        <f>IF(ABS(Y637-D637)&lt;0.000000001,4*$B$19*$B$20*(D637+273)^3,$B$19*$B$20*((Y637+273)^4-(D637+273)^4)/(Y637-D637))</f>
        <v/>
      </c>
      <c r="AA637">
        <f>$B$14*I637*(Y637-C637)</f>
        <v/>
      </c>
      <c r="AB637">
        <f>$B$14*Z637*(Y637-D637)</f>
        <v/>
      </c>
      <c r="AC637">
        <f>IF((U637-E637)/G637=0,0.001,(U637-E637)/G637)</f>
        <v/>
      </c>
      <c r="AD637">
        <f>F637-P637-J637-K637-AA637-AB637</f>
        <v/>
      </c>
      <c r="AE637">
        <f>AD637/AC637</f>
        <v/>
      </c>
      <c r="AF637">
        <f>IF(AD637&lt;=0,0,IF(AC637&lt;=0,$B$11,IF(AE637&gt;=1.7,$B$11,MIN(AD637/MAX(0.05,IF(AE637&gt;1,(2-AE637)^2/2,1-AE637^2/2)),$B$11))))</f>
        <v/>
      </c>
      <c r="AG637">
        <f>AG636*$B$28+AF637*(1-$B$28)</f>
        <v/>
      </c>
      <c r="AH637">
        <f>IF(AND(AD637&gt;0,AC637&lt;=0),0,AC637)</f>
        <v/>
      </c>
      <c r="AI637">
        <f>AH637/MAX(AG637,0.000001)</f>
        <v/>
      </c>
      <c r="AJ637">
        <f>MIN(IF(AI637&gt;=0.5,-AI637+SQRT(AI637^2+2),1),$B$12)</f>
        <v/>
      </c>
      <c r="AK637">
        <f>IF(AG637&lt;=0,0,AJ637*AH637)</f>
        <v/>
      </c>
      <c r="AL637">
        <f>IF(AD637&lt;=0,0,AD637)</f>
        <v/>
      </c>
      <c r="AM637">
        <f>AL637-AK637+P637</f>
        <v/>
      </c>
      <c r="AN637">
        <f>((AM637/$B$7+T636*AS636/2-T637*MAX(0.1,MIN(0.3,0.3-0.09*(AR636-36.8)))/2)+AR636*(1-AS636/2))/(1-MAX(0.1,MIN(0.3,0.3-0.09*(AR636-36.8)))/2)</f>
        <v/>
      </c>
      <c r="AO637">
        <f>((AM637/$B$7+T636*AS636/2-T637*MAX(0.1,MIN(0.3,0.3-0.09*(AN637-36.8)))/2)+AR636*(1-AS636/2))/(1-MAX(0.1,MIN(0.3,0.3-0.09*(AN637-36.8)))/2)</f>
        <v/>
      </c>
      <c r="AP637">
        <f>((AM637/$B$7+T636*AS636/2-T637*MAX(0.1,MIN(0.3,0.3-0.09*(AO637-36.8)))/2)+AR636*(1-AS636/2))/(1-MAX(0.1,MIN(0.3,0.3-0.09*(AO637-36.8)))/2)</f>
        <v/>
      </c>
      <c r="AQ637">
        <f>((AM637/$B$7+T636*AS636/2-T637*MAX(0.1,MIN(0.3,0.3-0.09*(AP637-36.8)))/2)+AR636*(1-AS636/2))/(1-MAX(0.1,MIN(0.3,0.3-0.09*(AP637-36.8)))/2)</f>
        <v/>
      </c>
      <c r="AR637">
        <f>((AM637/$B$7+T636*AS636/2-T637*MAX(0.1,MIN(0.3,0.3-0.09*(AQ637-36.8)))/2)+AR636*(1-AS636/2))/(1-MAX(0.1,MIN(0.3,0.3-0.09*(AQ637-36.8)))/2)</f>
        <v/>
      </c>
      <c r="AS637">
        <f>MAX(0.1,MIN(0.3,0.3-0.09*(AR637-36.8)))</f>
        <v/>
      </c>
      <c r="AT637">
        <f>AT636+(2*AR637-1.962*AT636-1.31)/9</f>
        <v/>
      </c>
      <c r="AU637">
        <f>AU636+AG637+K637</f>
        <v/>
      </c>
      <c r="AV637">
        <f>AU637*2.67*$B$6/1.8/60</f>
        <v/>
      </c>
      <c r="AW637">
        <f>IF(AT637&gt;=$B$36,1,0)</f>
        <v/>
      </c>
      <c r="AX637">
        <f>IF(AV637&gt;=$B$21,1,0)</f>
        <v/>
      </c>
    </row>
    <row r="638">
      <c r="A638" t="n">
        <v>565</v>
      </c>
      <c r="B638">
        <f>MATCH(A638-1,$D$61:$D$68,1)</f>
        <v/>
      </c>
      <c r="C638">
        <f>INDEX($G$61:$G$68,B638)</f>
        <v/>
      </c>
      <c r="D638">
        <f>INDEX($L$61:$L$68,B638)</f>
        <v/>
      </c>
      <c r="E638">
        <f>INDEX($M$61:$M$68,B638)</f>
        <v/>
      </c>
      <c r="F638">
        <f>INDEX($N$61:$N$68,B638)</f>
        <v/>
      </c>
      <c r="G638">
        <f>INDEX($AA$61:$AA$68,B638)</f>
        <v/>
      </c>
      <c r="H638">
        <f>INDEX($X$61:$X$68,B638)</f>
        <v/>
      </c>
      <c r="I638">
        <f>INDEX($AF$61:$AF$68,B638)</f>
        <v/>
      </c>
      <c r="J638">
        <f>INDEX($AC$61:$AC$68,B638)</f>
        <v/>
      </c>
      <c r="K638">
        <f>INDEX($AD$61:$AD$68,B638)</f>
        <v/>
      </c>
      <c r="L638">
        <f>INDEX($AG$61:$AG$68,B638)</f>
        <v/>
      </c>
      <c r="M638">
        <f>INDEX($AH$61:$AH$68,B638)</f>
        <v/>
      </c>
      <c r="N638">
        <f>INDEX($AI$61:$AI$68,B638)</f>
        <v/>
      </c>
      <c r="O638">
        <f>O637*$B$26+L638*(1-$B$26)</f>
        <v/>
      </c>
      <c r="P638">
        <f>$B$7*(O638-O637)*(1-AS637)</f>
        <v/>
      </c>
      <c r="Q638">
        <f>M638+0.51274*AT637</f>
        <v/>
      </c>
      <c r="R638">
        <f>N638+0.616*AT637</f>
        <v/>
      </c>
      <c r="S638">
        <f>IF($B$13&gt;=0.6,Q638,IF($B$13&lt;=0.2,R638,R638+2.5*(Q638-R638)*($B$13-0.2)))</f>
        <v/>
      </c>
      <c r="T638">
        <f>IF(A638=1,S638,T637*$B$27+S638*(1-$B$27))</f>
        <v/>
      </c>
      <c r="U638">
        <f>0.6105*EXP(17.27*T638/(T638+237.3))</f>
        <v/>
      </c>
      <c r="V638">
        <f>($B$14*(I638*C638+IF(ABS((D638+0.1)-D638)&lt;0.000000001,4*$B$19*$B$20*(D638+273)^3,$B$19*$B$20*(((D638+0.1)+273)^4-(D638+273)^4)/((D638+0.1)-D638))*D638)+T638/H638)/($B$14*(I638+IF(ABS((D638+0.1)-D638)&lt;0.000000001,4*$B$19*$B$20*(D638+273)^3,$B$19*$B$20*(((D638+0.1)+273)^4-(D638+273)^4)/((D638+0.1)-D638)))+1/H638)</f>
        <v/>
      </c>
      <c r="W638">
        <f>($B$14*(I638*C638+IF(ABS(V638-D638)&lt;0.000000001,4*$B$19*$B$20*(D638+273)^3,$B$19*$B$20*((V638+273)^4-(D638+273)^4)/(V638-D638))*D638)+T638/H638)/($B$14*(I638+IF(ABS(V638-D638)&lt;0.000000001,4*$B$19*$B$20*(D638+273)^3,$B$19*$B$20*((V638+273)^4-(D638+273)^4)/(V638-D638)))+1/H638)</f>
        <v/>
      </c>
      <c r="X638">
        <f>($B$14*(I638*C638+IF(ABS(W638-D638)&lt;0.000000001,4*$B$19*$B$20*(D638+273)^3,$B$19*$B$20*((W638+273)^4-(D638+273)^4)/(W638-D638))*D638)+T638/H638)/($B$14*(I638+IF(ABS(W638-D638)&lt;0.000000001,4*$B$19*$B$20*(D638+273)^3,$B$19*$B$20*((W638+273)^4-(D638+273)^4)/(W638-D638)))+1/H638)</f>
        <v/>
      </c>
      <c r="Y638">
        <f>($B$14*(I638*C638+IF(ABS(X638-D638)&lt;0.000000001,4*$B$19*$B$20*(D638+273)^3,$B$19*$B$20*((X638+273)^4-(D638+273)^4)/(X638-D638))*D638)+T638/H638)/($B$14*(I638+IF(ABS(X638-D638)&lt;0.000000001,4*$B$19*$B$20*(D638+273)^3,$B$19*$B$20*((X638+273)^4-(D638+273)^4)/(X638-D638)))+1/H638)</f>
        <v/>
      </c>
      <c r="Z638">
        <f>IF(ABS(Y638-D638)&lt;0.000000001,4*$B$19*$B$20*(D638+273)^3,$B$19*$B$20*((Y638+273)^4-(D638+273)^4)/(Y638-D638))</f>
        <v/>
      </c>
      <c r="AA638">
        <f>$B$14*I638*(Y638-C638)</f>
        <v/>
      </c>
      <c r="AB638">
        <f>$B$14*Z638*(Y638-D638)</f>
        <v/>
      </c>
      <c r="AC638">
        <f>IF((U638-E638)/G638=0,0.001,(U638-E638)/G638)</f>
        <v/>
      </c>
      <c r="AD638">
        <f>F638-P638-J638-K638-AA638-AB638</f>
        <v/>
      </c>
      <c r="AE638">
        <f>AD638/AC638</f>
        <v/>
      </c>
      <c r="AF638">
        <f>IF(AD638&lt;=0,0,IF(AC638&lt;=0,$B$11,IF(AE638&gt;=1.7,$B$11,MIN(AD638/MAX(0.05,IF(AE638&gt;1,(2-AE638)^2/2,1-AE638^2/2)),$B$11))))</f>
        <v/>
      </c>
      <c r="AG638">
        <f>AG637*$B$28+AF638*(1-$B$28)</f>
        <v/>
      </c>
      <c r="AH638">
        <f>IF(AND(AD638&gt;0,AC638&lt;=0),0,AC638)</f>
        <v/>
      </c>
      <c r="AI638">
        <f>AH638/MAX(AG638,0.000001)</f>
        <v/>
      </c>
      <c r="AJ638">
        <f>MIN(IF(AI638&gt;=0.5,-AI638+SQRT(AI638^2+2),1),$B$12)</f>
        <v/>
      </c>
      <c r="AK638">
        <f>IF(AG638&lt;=0,0,AJ638*AH638)</f>
        <v/>
      </c>
      <c r="AL638">
        <f>IF(AD638&lt;=0,0,AD638)</f>
        <v/>
      </c>
      <c r="AM638">
        <f>AL638-AK638+P638</f>
        <v/>
      </c>
      <c r="AN638">
        <f>((AM638/$B$7+T637*AS637/2-T638*MAX(0.1,MIN(0.3,0.3-0.09*(AR637-36.8)))/2)+AR637*(1-AS637/2))/(1-MAX(0.1,MIN(0.3,0.3-0.09*(AR637-36.8)))/2)</f>
        <v/>
      </c>
      <c r="AO638">
        <f>((AM638/$B$7+T637*AS637/2-T638*MAX(0.1,MIN(0.3,0.3-0.09*(AN638-36.8)))/2)+AR637*(1-AS637/2))/(1-MAX(0.1,MIN(0.3,0.3-0.09*(AN638-36.8)))/2)</f>
        <v/>
      </c>
      <c r="AP638">
        <f>((AM638/$B$7+T637*AS637/2-T638*MAX(0.1,MIN(0.3,0.3-0.09*(AO638-36.8)))/2)+AR637*(1-AS637/2))/(1-MAX(0.1,MIN(0.3,0.3-0.09*(AO638-36.8)))/2)</f>
        <v/>
      </c>
      <c r="AQ638">
        <f>((AM638/$B$7+T637*AS637/2-T638*MAX(0.1,MIN(0.3,0.3-0.09*(AP638-36.8)))/2)+AR637*(1-AS637/2))/(1-MAX(0.1,MIN(0.3,0.3-0.09*(AP638-36.8)))/2)</f>
        <v/>
      </c>
      <c r="AR638">
        <f>((AM638/$B$7+T637*AS637/2-T638*MAX(0.1,MIN(0.3,0.3-0.09*(AQ638-36.8)))/2)+AR637*(1-AS637/2))/(1-MAX(0.1,MIN(0.3,0.3-0.09*(AQ638-36.8)))/2)</f>
        <v/>
      </c>
      <c r="AS638">
        <f>MAX(0.1,MIN(0.3,0.3-0.09*(AR638-36.8)))</f>
        <v/>
      </c>
      <c r="AT638">
        <f>AT637+(2*AR638-1.962*AT637-1.31)/9</f>
        <v/>
      </c>
      <c r="AU638">
        <f>AU637+AG638+K638</f>
        <v/>
      </c>
      <c r="AV638">
        <f>AU638*2.67*$B$6/1.8/60</f>
        <v/>
      </c>
      <c r="AW638">
        <f>IF(AT638&gt;=$B$36,1,0)</f>
        <v/>
      </c>
      <c r="AX638">
        <f>IF(AV638&gt;=$B$21,1,0)</f>
        <v/>
      </c>
    </row>
    <row r="639">
      <c r="A639" t="n">
        <v>566</v>
      </c>
      <c r="B639">
        <f>MATCH(A639-1,$D$61:$D$68,1)</f>
        <v/>
      </c>
      <c r="C639">
        <f>INDEX($G$61:$G$68,B639)</f>
        <v/>
      </c>
      <c r="D639">
        <f>INDEX($L$61:$L$68,B639)</f>
        <v/>
      </c>
      <c r="E639">
        <f>INDEX($M$61:$M$68,B639)</f>
        <v/>
      </c>
      <c r="F639">
        <f>INDEX($N$61:$N$68,B639)</f>
        <v/>
      </c>
      <c r="G639">
        <f>INDEX($AA$61:$AA$68,B639)</f>
        <v/>
      </c>
      <c r="H639">
        <f>INDEX($X$61:$X$68,B639)</f>
        <v/>
      </c>
      <c r="I639">
        <f>INDEX($AF$61:$AF$68,B639)</f>
        <v/>
      </c>
      <c r="J639">
        <f>INDEX($AC$61:$AC$68,B639)</f>
        <v/>
      </c>
      <c r="K639">
        <f>INDEX($AD$61:$AD$68,B639)</f>
        <v/>
      </c>
      <c r="L639">
        <f>INDEX($AG$61:$AG$68,B639)</f>
        <v/>
      </c>
      <c r="M639">
        <f>INDEX($AH$61:$AH$68,B639)</f>
        <v/>
      </c>
      <c r="N639">
        <f>INDEX($AI$61:$AI$68,B639)</f>
        <v/>
      </c>
      <c r="O639">
        <f>O638*$B$26+L639*(1-$B$26)</f>
        <v/>
      </c>
      <c r="P639">
        <f>$B$7*(O639-O638)*(1-AS638)</f>
        <v/>
      </c>
      <c r="Q639">
        <f>M639+0.51274*AT638</f>
        <v/>
      </c>
      <c r="R639">
        <f>N639+0.616*AT638</f>
        <v/>
      </c>
      <c r="S639">
        <f>IF($B$13&gt;=0.6,Q639,IF($B$13&lt;=0.2,R639,R639+2.5*(Q639-R639)*($B$13-0.2)))</f>
        <v/>
      </c>
      <c r="T639">
        <f>IF(A639=1,S639,T638*$B$27+S639*(1-$B$27))</f>
        <v/>
      </c>
      <c r="U639">
        <f>0.6105*EXP(17.27*T639/(T639+237.3))</f>
        <v/>
      </c>
      <c r="V639">
        <f>($B$14*(I639*C639+IF(ABS((D639+0.1)-D639)&lt;0.000000001,4*$B$19*$B$20*(D639+273)^3,$B$19*$B$20*(((D639+0.1)+273)^4-(D639+273)^4)/((D639+0.1)-D639))*D639)+T639/H639)/($B$14*(I639+IF(ABS((D639+0.1)-D639)&lt;0.000000001,4*$B$19*$B$20*(D639+273)^3,$B$19*$B$20*(((D639+0.1)+273)^4-(D639+273)^4)/((D639+0.1)-D639)))+1/H639)</f>
        <v/>
      </c>
      <c r="W639">
        <f>($B$14*(I639*C639+IF(ABS(V639-D639)&lt;0.000000001,4*$B$19*$B$20*(D639+273)^3,$B$19*$B$20*((V639+273)^4-(D639+273)^4)/(V639-D639))*D639)+T639/H639)/($B$14*(I639+IF(ABS(V639-D639)&lt;0.000000001,4*$B$19*$B$20*(D639+273)^3,$B$19*$B$20*((V639+273)^4-(D639+273)^4)/(V639-D639)))+1/H639)</f>
        <v/>
      </c>
      <c r="X639">
        <f>($B$14*(I639*C639+IF(ABS(W639-D639)&lt;0.000000001,4*$B$19*$B$20*(D639+273)^3,$B$19*$B$20*((W639+273)^4-(D639+273)^4)/(W639-D639))*D639)+T639/H639)/($B$14*(I639+IF(ABS(W639-D639)&lt;0.000000001,4*$B$19*$B$20*(D639+273)^3,$B$19*$B$20*((W639+273)^4-(D639+273)^4)/(W639-D639)))+1/H639)</f>
        <v/>
      </c>
      <c r="Y639">
        <f>($B$14*(I639*C639+IF(ABS(X639-D639)&lt;0.000000001,4*$B$19*$B$20*(D639+273)^3,$B$19*$B$20*((X639+273)^4-(D639+273)^4)/(X639-D639))*D639)+T639/H639)/($B$14*(I639+IF(ABS(X639-D639)&lt;0.000000001,4*$B$19*$B$20*(D639+273)^3,$B$19*$B$20*((X639+273)^4-(D639+273)^4)/(X639-D639)))+1/H639)</f>
        <v/>
      </c>
      <c r="Z639">
        <f>IF(ABS(Y639-D639)&lt;0.000000001,4*$B$19*$B$20*(D639+273)^3,$B$19*$B$20*((Y639+273)^4-(D639+273)^4)/(Y639-D639))</f>
        <v/>
      </c>
      <c r="AA639">
        <f>$B$14*I639*(Y639-C639)</f>
        <v/>
      </c>
      <c r="AB639">
        <f>$B$14*Z639*(Y639-D639)</f>
        <v/>
      </c>
      <c r="AC639">
        <f>IF((U639-E639)/G639=0,0.001,(U639-E639)/G639)</f>
        <v/>
      </c>
      <c r="AD639">
        <f>F639-P639-J639-K639-AA639-AB639</f>
        <v/>
      </c>
      <c r="AE639">
        <f>AD639/AC639</f>
        <v/>
      </c>
      <c r="AF639">
        <f>IF(AD639&lt;=0,0,IF(AC639&lt;=0,$B$11,IF(AE639&gt;=1.7,$B$11,MIN(AD639/MAX(0.05,IF(AE639&gt;1,(2-AE639)^2/2,1-AE639^2/2)),$B$11))))</f>
        <v/>
      </c>
      <c r="AG639">
        <f>AG638*$B$28+AF639*(1-$B$28)</f>
        <v/>
      </c>
      <c r="AH639">
        <f>IF(AND(AD639&gt;0,AC639&lt;=0),0,AC639)</f>
        <v/>
      </c>
      <c r="AI639">
        <f>AH639/MAX(AG639,0.000001)</f>
        <v/>
      </c>
      <c r="AJ639">
        <f>MIN(IF(AI639&gt;=0.5,-AI639+SQRT(AI639^2+2),1),$B$12)</f>
        <v/>
      </c>
      <c r="AK639">
        <f>IF(AG639&lt;=0,0,AJ639*AH639)</f>
        <v/>
      </c>
      <c r="AL639">
        <f>IF(AD639&lt;=0,0,AD639)</f>
        <v/>
      </c>
      <c r="AM639">
        <f>AL639-AK639+P639</f>
        <v/>
      </c>
      <c r="AN639">
        <f>((AM639/$B$7+T638*AS638/2-T639*MAX(0.1,MIN(0.3,0.3-0.09*(AR638-36.8)))/2)+AR638*(1-AS638/2))/(1-MAX(0.1,MIN(0.3,0.3-0.09*(AR638-36.8)))/2)</f>
        <v/>
      </c>
      <c r="AO639">
        <f>((AM639/$B$7+T638*AS638/2-T639*MAX(0.1,MIN(0.3,0.3-0.09*(AN639-36.8)))/2)+AR638*(1-AS638/2))/(1-MAX(0.1,MIN(0.3,0.3-0.09*(AN639-36.8)))/2)</f>
        <v/>
      </c>
      <c r="AP639">
        <f>((AM639/$B$7+T638*AS638/2-T639*MAX(0.1,MIN(0.3,0.3-0.09*(AO639-36.8)))/2)+AR638*(1-AS638/2))/(1-MAX(0.1,MIN(0.3,0.3-0.09*(AO639-36.8)))/2)</f>
        <v/>
      </c>
      <c r="AQ639">
        <f>((AM639/$B$7+T638*AS638/2-T639*MAX(0.1,MIN(0.3,0.3-0.09*(AP639-36.8)))/2)+AR638*(1-AS638/2))/(1-MAX(0.1,MIN(0.3,0.3-0.09*(AP639-36.8)))/2)</f>
        <v/>
      </c>
      <c r="AR639">
        <f>((AM639/$B$7+T638*AS638/2-T639*MAX(0.1,MIN(0.3,0.3-0.09*(AQ639-36.8)))/2)+AR638*(1-AS638/2))/(1-MAX(0.1,MIN(0.3,0.3-0.09*(AQ639-36.8)))/2)</f>
        <v/>
      </c>
      <c r="AS639">
        <f>MAX(0.1,MIN(0.3,0.3-0.09*(AR639-36.8)))</f>
        <v/>
      </c>
      <c r="AT639">
        <f>AT638+(2*AR639-1.962*AT638-1.31)/9</f>
        <v/>
      </c>
      <c r="AU639">
        <f>AU638+AG639+K639</f>
        <v/>
      </c>
      <c r="AV639">
        <f>AU639*2.67*$B$6/1.8/60</f>
        <v/>
      </c>
      <c r="AW639">
        <f>IF(AT639&gt;=$B$36,1,0)</f>
        <v/>
      </c>
      <c r="AX639">
        <f>IF(AV639&gt;=$B$21,1,0)</f>
        <v/>
      </c>
    </row>
    <row r="640">
      <c r="A640" t="n">
        <v>567</v>
      </c>
      <c r="B640">
        <f>MATCH(A640-1,$D$61:$D$68,1)</f>
        <v/>
      </c>
      <c r="C640">
        <f>INDEX($G$61:$G$68,B640)</f>
        <v/>
      </c>
      <c r="D640">
        <f>INDEX($L$61:$L$68,B640)</f>
        <v/>
      </c>
      <c r="E640">
        <f>INDEX($M$61:$M$68,B640)</f>
        <v/>
      </c>
      <c r="F640">
        <f>INDEX($N$61:$N$68,B640)</f>
        <v/>
      </c>
      <c r="G640">
        <f>INDEX($AA$61:$AA$68,B640)</f>
        <v/>
      </c>
      <c r="H640">
        <f>INDEX($X$61:$X$68,B640)</f>
        <v/>
      </c>
      <c r="I640">
        <f>INDEX($AF$61:$AF$68,B640)</f>
        <v/>
      </c>
      <c r="J640">
        <f>INDEX($AC$61:$AC$68,B640)</f>
        <v/>
      </c>
      <c r="K640">
        <f>INDEX($AD$61:$AD$68,B640)</f>
        <v/>
      </c>
      <c r="L640">
        <f>INDEX($AG$61:$AG$68,B640)</f>
        <v/>
      </c>
      <c r="M640">
        <f>INDEX($AH$61:$AH$68,B640)</f>
        <v/>
      </c>
      <c r="N640">
        <f>INDEX($AI$61:$AI$68,B640)</f>
        <v/>
      </c>
      <c r="O640">
        <f>O639*$B$26+L640*(1-$B$26)</f>
        <v/>
      </c>
      <c r="P640">
        <f>$B$7*(O640-O639)*(1-AS639)</f>
        <v/>
      </c>
      <c r="Q640">
        <f>M640+0.51274*AT639</f>
        <v/>
      </c>
      <c r="R640">
        <f>N640+0.616*AT639</f>
        <v/>
      </c>
      <c r="S640">
        <f>IF($B$13&gt;=0.6,Q640,IF($B$13&lt;=0.2,R640,R640+2.5*(Q640-R640)*($B$13-0.2)))</f>
        <v/>
      </c>
      <c r="T640">
        <f>IF(A640=1,S640,T639*$B$27+S640*(1-$B$27))</f>
        <v/>
      </c>
      <c r="U640">
        <f>0.6105*EXP(17.27*T640/(T640+237.3))</f>
        <v/>
      </c>
      <c r="V640">
        <f>($B$14*(I640*C640+IF(ABS((D640+0.1)-D640)&lt;0.000000001,4*$B$19*$B$20*(D640+273)^3,$B$19*$B$20*(((D640+0.1)+273)^4-(D640+273)^4)/((D640+0.1)-D640))*D640)+T640/H640)/($B$14*(I640+IF(ABS((D640+0.1)-D640)&lt;0.000000001,4*$B$19*$B$20*(D640+273)^3,$B$19*$B$20*(((D640+0.1)+273)^4-(D640+273)^4)/((D640+0.1)-D640)))+1/H640)</f>
        <v/>
      </c>
      <c r="W640">
        <f>($B$14*(I640*C640+IF(ABS(V640-D640)&lt;0.000000001,4*$B$19*$B$20*(D640+273)^3,$B$19*$B$20*((V640+273)^4-(D640+273)^4)/(V640-D640))*D640)+T640/H640)/($B$14*(I640+IF(ABS(V640-D640)&lt;0.000000001,4*$B$19*$B$20*(D640+273)^3,$B$19*$B$20*((V640+273)^4-(D640+273)^4)/(V640-D640)))+1/H640)</f>
        <v/>
      </c>
      <c r="X640">
        <f>($B$14*(I640*C640+IF(ABS(W640-D640)&lt;0.000000001,4*$B$19*$B$20*(D640+273)^3,$B$19*$B$20*((W640+273)^4-(D640+273)^4)/(W640-D640))*D640)+T640/H640)/($B$14*(I640+IF(ABS(W640-D640)&lt;0.000000001,4*$B$19*$B$20*(D640+273)^3,$B$19*$B$20*((W640+273)^4-(D640+273)^4)/(W640-D640)))+1/H640)</f>
        <v/>
      </c>
      <c r="Y640">
        <f>($B$14*(I640*C640+IF(ABS(X640-D640)&lt;0.000000001,4*$B$19*$B$20*(D640+273)^3,$B$19*$B$20*((X640+273)^4-(D640+273)^4)/(X640-D640))*D640)+T640/H640)/($B$14*(I640+IF(ABS(X640-D640)&lt;0.000000001,4*$B$19*$B$20*(D640+273)^3,$B$19*$B$20*((X640+273)^4-(D640+273)^4)/(X640-D640)))+1/H640)</f>
        <v/>
      </c>
      <c r="Z640">
        <f>IF(ABS(Y640-D640)&lt;0.000000001,4*$B$19*$B$20*(D640+273)^3,$B$19*$B$20*((Y640+273)^4-(D640+273)^4)/(Y640-D640))</f>
        <v/>
      </c>
      <c r="AA640">
        <f>$B$14*I640*(Y640-C640)</f>
        <v/>
      </c>
      <c r="AB640">
        <f>$B$14*Z640*(Y640-D640)</f>
        <v/>
      </c>
      <c r="AC640">
        <f>IF((U640-E640)/G640=0,0.001,(U640-E640)/G640)</f>
        <v/>
      </c>
      <c r="AD640">
        <f>F640-P640-J640-K640-AA640-AB640</f>
        <v/>
      </c>
      <c r="AE640">
        <f>AD640/AC640</f>
        <v/>
      </c>
      <c r="AF640">
        <f>IF(AD640&lt;=0,0,IF(AC640&lt;=0,$B$11,IF(AE640&gt;=1.7,$B$11,MIN(AD640/MAX(0.05,IF(AE640&gt;1,(2-AE640)^2/2,1-AE640^2/2)),$B$11))))</f>
        <v/>
      </c>
      <c r="AG640">
        <f>AG639*$B$28+AF640*(1-$B$28)</f>
        <v/>
      </c>
      <c r="AH640">
        <f>IF(AND(AD640&gt;0,AC640&lt;=0),0,AC640)</f>
        <v/>
      </c>
      <c r="AI640">
        <f>AH640/MAX(AG640,0.000001)</f>
        <v/>
      </c>
      <c r="AJ640">
        <f>MIN(IF(AI640&gt;=0.5,-AI640+SQRT(AI640^2+2),1),$B$12)</f>
        <v/>
      </c>
      <c r="AK640">
        <f>IF(AG640&lt;=0,0,AJ640*AH640)</f>
        <v/>
      </c>
      <c r="AL640">
        <f>IF(AD640&lt;=0,0,AD640)</f>
        <v/>
      </c>
      <c r="AM640">
        <f>AL640-AK640+P640</f>
        <v/>
      </c>
      <c r="AN640">
        <f>((AM640/$B$7+T639*AS639/2-T640*MAX(0.1,MIN(0.3,0.3-0.09*(AR639-36.8)))/2)+AR639*(1-AS639/2))/(1-MAX(0.1,MIN(0.3,0.3-0.09*(AR639-36.8)))/2)</f>
        <v/>
      </c>
      <c r="AO640">
        <f>((AM640/$B$7+T639*AS639/2-T640*MAX(0.1,MIN(0.3,0.3-0.09*(AN640-36.8)))/2)+AR639*(1-AS639/2))/(1-MAX(0.1,MIN(0.3,0.3-0.09*(AN640-36.8)))/2)</f>
        <v/>
      </c>
      <c r="AP640">
        <f>((AM640/$B$7+T639*AS639/2-T640*MAX(0.1,MIN(0.3,0.3-0.09*(AO640-36.8)))/2)+AR639*(1-AS639/2))/(1-MAX(0.1,MIN(0.3,0.3-0.09*(AO640-36.8)))/2)</f>
        <v/>
      </c>
      <c r="AQ640">
        <f>((AM640/$B$7+T639*AS639/2-T640*MAX(0.1,MIN(0.3,0.3-0.09*(AP640-36.8)))/2)+AR639*(1-AS639/2))/(1-MAX(0.1,MIN(0.3,0.3-0.09*(AP640-36.8)))/2)</f>
        <v/>
      </c>
      <c r="AR640">
        <f>((AM640/$B$7+T639*AS639/2-T640*MAX(0.1,MIN(0.3,0.3-0.09*(AQ640-36.8)))/2)+AR639*(1-AS639/2))/(1-MAX(0.1,MIN(0.3,0.3-0.09*(AQ640-36.8)))/2)</f>
        <v/>
      </c>
      <c r="AS640">
        <f>MAX(0.1,MIN(0.3,0.3-0.09*(AR640-36.8)))</f>
        <v/>
      </c>
      <c r="AT640">
        <f>AT639+(2*AR640-1.962*AT639-1.31)/9</f>
        <v/>
      </c>
      <c r="AU640">
        <f>AU639+AG640+K640</f>
        <v/>
      </c>
      <c r="AV640">
        <f>AU640*2.67*$B$6/1.8/60</f>
        <v/>
      </c>
      <c r="AW640">
        <f>IF(AT640&gt;=$B$36,1,0)</f>
        <v/>
      </c>
      <c r="AX640">
        <f>IF(AV640&gt;=$B$21,1,0)</f>
        <v/>
      </c>
    </row>
    <row r="641">
      <c r="A641" t="n">
        <v>568</v>
      </c>
      <c r="B641">
        <f>MATCH(A641-1,$D$61:$D$68,1)</f>
        <v/>
      </c>
      <c r="C641">
        <f>INDEX($G$61:$G$68,B641)</f>
        <v/>
      </c>
      <c r="D641">
        <f>INDEX($L$61:$L$68,B641)</f>
        <v/>
      </c>
      <c r="E641">
        <f>INDEX($M$61:$M$68,B641)</f>
        <v/>
      </c>
      <c r="F641">
        <f>INDEX($N$61:$N$68,B641)</f>
        <v/>
      </c>
      <c r="G641">
        <f>INDEX($AA$61:$AA$68,B641)</f>
        <v/>
      </c>
      <c r="H641">
        <f>INDEX($X$61:$X$68,B641)</f>
        <v/>
      </c>
      <c r="I641">
        <f>INDEX($AF$61:$AF$68,B641)</f>
        <v/>
      </c>
      <c r="J641">
        <f>INDEX($AC$61:$AC$68,B641)</f>
        <v/>
      </c>
      <c r="K641">
        <f>INDEX($AD$61:$AD$68,B641)</f>
        <v/>
      </c>
      <c r="L641">
        <f>INDEX($AG$61:$AG$68,B641)</f>
        <v/>
      </c>
      <c r="M641">
        <f>INDEX($AH$61:$AH$68,B641)</f>
        <v/>
      </c>
      <c r="N641">
        <f>INDEX($AI$61:$AI$68,B641)</f>
        <v/>
      </c>
      <c r="O641">
        <f>O640*$B$26+L641*(1-$B$26)</f>
        <v/>
      </c>
      <c r="P641">
        <f>$B$7*(O641-O640)*(1-AS640)</f>
        <v/>
      </c>
      <c r="Q641">
        <f>M641+0.51274*AT640</f>
        <v/>
      </c>
      <c r="R641">
        <f>N641+0.616*AT640</f>
        <v/>
      </c>
      <c r="S641">
        <f>IF($B$13&gt;=0.6,Q641,IF($B$13&lt;=0.2,R641,R641+2.5*(Q641-R641)*($B$13-0.2)))</f>
        <v/>
      </c>
      <c r="T641">
        <f>IF(A641=1,S641,T640*$B$27+S641*(1-$B$27))</f>
        <v/>
      </c>
      <c r="U641">
        <f>0.6105*EXP(17.27*T641/(T641+237.3))</f>
        <v/>
      </c>
      <c r="V641">
        <f>($B$14*(I641*C641+IF(ABS((D641+0.1)-D641)&lt;0.000000001,4*$B$19*$B$20*(D641+273)^3,$B$19*$B$20*(((D641+0.1)+273)^4-(D641+273)^4)/((D641+0.1)-D641))*D641)+T641/H641)/($B$14*(I641+IF(ABS((D641+0.1)-D641)&lt;0.000000001,4*$B$19*$B$20*(D641+273)^3,$B$19*$B$20*(((D641+0.1)+273)^4-(D641+273)^4)/((D641+0.1)-D641)))+1/H641)</f>
        <v/>
      </c>
      <c r="W641">
        <f>($B$14*(I641*C641+IF(ABS(V641-D641)&lt;0.000000001,4*$B$19*$B$20*(D641+273)^3,$B$19*$B$20*((V641+273)^4-(D641+273)^4)/(V641-D641))*D641)+T641/H641)/($B$14*(I641+IF(ABS(V641-D641)&lt;0.000000001,4*$B$19*$B$20*(D641+273)^3,$B$19*$B$20*((V641+273)^4-(D641+273)^4)/(V641-D641)))+1/H641)</f>
        <v/>
      </c>
      <c r="X641">
        <f>($B$14*(I641*C641+IF(ABS(W641-D641)&lt;0.000000001,4*$B$19*$B$20*(D641+273)^3,$B$19*$B$20*((W641+273)^4-(D641+273)^4)/(W641-D641))*D641)+T641/H641)/($B$14*(I641+IF(ABS(W641-D641)&lt;0.000000001,4*$B$19*$B$20*(D641+273)^3,$B$19*$B$20*((W641+273)^4-(D641+273)^4)/(W641-D641)))+1/H641)</f>
        <v/>
      </c>
      <c r="Y641">
        <f>($B$14*(I641*C641+IF(ABS(X641-D641)&lt;0.000000001,4*$B$19*$B$20*(D641+273)^3,$B$19*$B$20*((X641+273)^4-(D641+273)^4)/(X641-D641))*D641)+T641/H641)/($B$14*(I641+IF(ABS(X641-D641)&lt;0.000000001,4*$B$19*$B$20*(D641+273)^3,$B$19*$B$20*((X641+273)^4-(D641+273)^4)/(X641-D641)))+1/H641)</f>
        <v/>
      </c>
      <c r="Z641">
        <f>IF(ABS(Y641-D641)&lt;0.000000001,4*$B$19*$B$20*(D641+273)^3,$B$19*$B$20*((Y641+273)^4-(D641+273)^4)/(Y641-D641))</f>
        <v/>
      </c>
      <c r="AA641">
        <f>$B$14*I641*(Y641-C641)</f>
        <v/>
      </c>
      <c r="AB641">
        <f>$B$14*Z641*(Y641-D641)</f>
        <v/>
      </c>
      <c r="AC641">
        <f>IF((U641-E641)/G641=0,0.001,(U641-E641)/G641)</f>
        <v/>
      </c>
      <c r="AD641">
        <f>F641-P641-J641-K641-AA641-AB641</f>
        <v/>
      </c>
      <c r="AE641">
        <f>AD641/AC641</f>
        <v/>
      </c>
      <c r="AF641">
        <f>IF(AD641&lt;=0,0,IF(AC641&lt;=0,$B$11,IF(AE641&gt;=1.7,$B$11,MIN(AD641/MAX(0.05,IF(AE641&gt;1,(2-AE641)^2/2,1-AE641^2/2)),$B$11))))</f>
        <v/>
      </c>
      <c r="AG641">
        <f>AG640*$B$28+AF641*(1-$B$28)</f>
        <v/>
      </c>
      <c r="AH641">
        <f>IF(AND(AD641&gt;0,AC641&lt;=0),0,AC641)</f>
        <v/>
      </c>
      <c r="AI641">
        <f>AH641/MAX(AG641,0.000001)</f>
        <v/>
      </c>
      <c r="AJ641">
        <f>MIN(IF(AI641&gt;=0.5,-AI641+SQRT(AI641^2+2),1),$B$12)</f>
        <v/>
      </c>
      <c r="AK641">
        <f>IF(AG641&lt;=0,0,AJ641*AH641)</f>
        <v/>
      </c>
      <c r="AL641">
        <f>IF(AD641&lt;=0,0,AD641)</f>
        <v/>
      </c>
      <c r="AM641">
        <f>AL641-AK641+P641</f>
        <v/>
      </c>
      <c r="AN641">
        <f>((AM641/$B$7+T640*AS640/2-T641*MAX(0.1,MIN(0.3,0.3-0.09*(AR640-36.8)))/2)+AR640*(1-AS640/2))/(1-MAX(0.1,MIN(0.3,0.3-0.09*(AR640-36.8)))/2)</f>
        <v/>
      </c>
      <c r="AO641">
        <f>((AM641/$B$7+T640*AS640/2-T641*MAX(0.1,MIN(0.3,0.3-0.09*(AN641-36.8)))/2)+AR640*(1-AS640/2))/(1-MAX(0.1,MIN(0.3,0.3-0.09*(AN641-36.8)))/2)</f>
        <v/>
      </c>
      <c r="AP641">
        <f>((AM641/$B$7+T640*AS640/2-T641*MAX(0.1,MIN(0.3,0.3-0.09*(AO641-36.8)))/2)+AR640*(1-AS640/2))/(1-MAX(0.1,MIN(0.3,0.3-0.09*(AO641-36.8)))/2)</f>
        <v/>
      </c>
      <c r="AQ641">
        <f>((AM641/$B$7+T640*AS640/2-T641*MAX(0.1,MIN(0.3,0.3-0.09*(AP641-36.8)))/2)+AR640*(1-AS640/2))/(1-MAX(0.1,MIN(0.3,0.3-0.09*(AP641-36.8)))/2)</f>
        <v/>
      </c>
      <c r="AR641">
        <f>((AM641/$B$7+T640*AS640/2-T641*MAX(0.1,MIN(0.3,0.3-0.09*(AQ641-36.8)))/2)+AR640*(1-AS640/2))/(1-MAX(0.1,MIN(0.3,0.3-0.09*(AQ641-36.8)))/2)</f>
        <v/>
      </c>
      <c r="AS641">
        <f>MAX(0.1,MIN(0.3,0.3-0.09*(AR641-36.8)))</f>
        <v/>
      </c>
      <c r="AT641">
        <f>AT640+(2*AR641-1.962*AT640-1.31)/9</f>
        <v/>
      </c>
      <c r="AU641">
        <f>AU640+AG641+K641</f>
        <v/>
      </c>
      <c r="AV641">
        <f>AU641*2.67*$B$6/1.8/60</f>
        <v/>
      </c>
      <c r="AW641">
        <f>IF(AT641&gt;=$B$36,1,0)</f>
        <v/>
      </c>
      <c r="AX641">
        <f>IF(AV641&gt;=$B$21,1,0)</f>
        <v/>
      </c>
    </row>
    <row r="642">
      <c r="A642" t="n">
        <v>569</v>
      </c>
      <c r="B642">
        <f>MATCH(A642-1,$D$61:$D$68,1)</f>
        <v/>
      </c>
      <c r="C642">
        <f>INDEX($G$61:$G$68,B642)</f>
        <v/>
      </c>
      <c r="D642">
        <f>INDEX($L$61:$L$68,B642)</f>
        <v/>
      </c>
      <c r="E642">
        <f>INDEX($M$61:$M$68,B642)</f>
        <v/>
      </c>
      <c r="F642">
        <f>INDEX($N$61:$N$68,B642)</f>
        <v/>
      </c>
      <c r="G642">
        <f>INDEX($AA$61:$AA$68,B642)</f>
        <v/>
      </c>
      <c r="H642">
        <f>INDEX($X$61:$X$68,B642)</f>
        <v/>
      </c>
      <c r="I642">
        <f>INDEX($AF$61:$AF$68,B642)</f>
        <v/>
      </c>
      <c r="J642">
        <f>INDEX($AC$61:$AC$68,B642)</f>
        <v/>
      </c>
      <c r="K642">
        <f>INDEX($AD$61:$AD$68,B642)</f>
        <v/>
      </c>
      <c r="L642">
        <f>INDEX($AG$61:$AG$68,B642)</f>
        <v/>
      </c>
      <c r="M642">
        <f>INDEX($AH$61:$AH$68,B642)</f>
        <v/>
      </c>
      <c r="N642">
        <f>INDEX($AI$61:$AI$68,B642)</f>
        <v/>
      </c>
      <c r="O642">
        <f>O641*$B$26+L642*(1-$B$26)</f>
        <v/>
      </c>
      <c r="P642">
        <f>$B$7*(O642-O641)*(1-AS641)</f>
        <v/>
      </c>
      <c r="Q642">
        <f>M642+0.51274*AT641</f>
        <v/>
      </c>
      <c r="R642">
        <f>N642+0.616*AT641</f>
        <v/>
      </c>
      <c r="S642">
        <f>IF($B$13&gt;=0.6,Q642,IF($B$13&lt;=0.2,R642,R642+2.5*(Q642-R642)*($B$13-0.2)))</f>
        <v/>
      </c>
      <c r="T642">
        <f>IF(A642=1,S642,T641*$B$27+S642*(1-$B$27))</f>
        <v/>
      </c>
      <c r="U642">
        <f>0.6105*EXP(17.27*T642/(T642+237.3))</f>
        <v/>
      </c>
      <c r="V642">
        <f>($B$14*(I642*C642+IF(ABS((D642+0.1)-D642)&lt;0.000000001,4*$B$19*$B$20*(D642+273)^3,$B$19*$B$20*(((D642+0.1)+273)^4-(D642+273)^4)/((D642+0.1)-D642))*D642)+T642/H642)/($B$14*(I642+IF(ABS((D642+0.1)-D642)&lt;0.000000001,4*$B$19*$B$20*(D642+273)^3,$B$19*$B$20*(((D642+0.1)+273)^4-(D642+273)^4)/((D642+0.1)-D642)))+1/H642)</f>
        <v/>
      </c>
      <c r="W642">
        <f>($B$14*(I642*C642+IF(ABS(V642-D642)&lt;0.000000001,4*$B$19*$B$20*(D642+273)^3,$B$19*$B$20*((V642+273)^4-(D642+273)^4)/(V642-D642))*D642)+T642/H642)/($B$14*(I642+IF(ABS(V642-D642)&lt;0.000000001,4*$B$19*$B$20*(D642+273)^3,$B$19*$B$20*((V642+273)^4-(D642+273)^4)/(V642-D642)))+1/H642)</f>
        <v/>
      </c>
      <c r="X642">
        <f>($B$14*(I642*C642+IF(ABS(W642-D642)&lt;0.000000001,4*$B$19*$B$20*(D642+273)^3,$B$19*$B$20*((W642+273)^4-(D642+273)^4)/(W642-D642))*D642)+T642/H642)/($B$14*(I642+IF(ABS(W642-D642)&lt;0.000000001,4*$B$19*$B$20*(D642+273)^3,$B$19*$B$20*((W642+273)^4-(D642+273)^4)/(W642-D642)))+1/H642)</f>
        <v/>
      </c>
      <c r="Y642">
        <f>($B$14*(I642*C642+IF(ABS(X642-D642)&lt;0.000000001,4*$B$19*$B$20*(D642+273)^3,$B$19*$B$20*((X642+273)^4-(D642+273)^4)/(X642-D642))*D642)+T642/H642)/($B$14*(I642+IF(ABS(X642-D642)&lt;0.000000001,4*$B$19*$B$20*(D642+273)^3,$B$19*$B$20*((X642+273)^4-(D642+273)^4)/(X642-D642)))+1/H642)</f>
        <v/>
      </c>
      <c r="Z642">
        <f>IF(ABS(Y642-D642)&lt;0.000000001,4*$B$19*$B$20*(D642+273)^3,$B$19*$B$20*((Y642+273)^4-(D642+273)^4)/(Y642-D642))</f>
        <v/>
      </c>
      <c r="AA642">
        <f>$B$14*I642*(Y642-C642)</f>
        <v/>
      </c>
      <c r="AB642">
        <f>$B$14*Z642*(Y642-D642)</f>
        <v/>
      </c>
      <c r="AC642">
        <f>IF((U642-E642)/G642=0,0.001,(U642-E642)/G642)</f>
        <v/>
      </c>
      <c r="AD642">
        <f>F642-P642-J642-K642-AA642-AB642</f>
        <v/>
      </c>
      <c r="AE642">
        <f>AD642/AC642</f>
        <v/>
      </c>
      <c r="AF642">
        <f>IF(AD642&lt;=0,0,IF(AC642&lt;=0,$B$11,IF(AE642&gt;=1.7,$B$11,MIN(AD642/MAX(0.05,IF(AE642&gt;1,(2-AE642)^2/2,1-AE642^2/2)),$B$11))))</f>
        <v/>
      </c>
      <c r="AG642">
        <f>AG641*$B$28+AF642*(1-$B$28)</f>
        <v/>
      </c>
      <c r="AH642">
        <f>IF(AND(AD642&gt;0,AC642&lt;=0),0,AC642)</f>
        <v/>
      </c>
      <c r="AI642">
        <f>AH642/MAX(AG642,0.000001)</f>
        <v/>
      </c>
      <c r="AJ642">
        <f>MIN(IF(AI642&gt;=0.5,-AI642+SQRT(AI642^2+2),1),$B$12)</f>
        <v/>
      </c>
      <c r="AK642">
        <f>IF(AG642&lt;=0,0,AJ642*AH642)</f>
        <v/>
      </c>
      <c r="AL642">
        <f>IF(AD642&lt;=0,0,AD642)</f>
        <v/>
      </c>
      <c r="AM642">
        <f>AL642-AK642+P642</f>
        <v/>
      </c>
      <c r="AN642">
        <f>((AM642/$B$7+T641*AS641/2-T642*MAX(0.1,MIN(0.3,0.3-0.09*(AR641-36.8)))/2)+AR641*(1-AS641/2))/(1-MAX(0.1,MIN(0.3,0.3-0.09*(AR641-36.8)))/2)</f>
        <v/>
      </c>
      <c r="AO642">
        <f>((AM642/$B$7+T641*AS641/2-T642*MAX(0.1,MIN(0.3,0.3-0.09*(AN642-36.8)))/2)+AR641*(1-AS641/2))/(1-MAX(0.1,MIN(0.3,0.3-0.09*(AN642-36.8)))/2)</f>
        <v/>
      </c>
      <c r="AP642">
        <f>((AM642/$B$7+T641*AS641/2-T642*MAX(0.1,MIN(0.3,0.3-0.09*(AO642-36.8)))/2)+AR641*(1-AS641/2))/(1-MAX(0.1,MIN(0.3,0.3-0.09*(AO642-36.8)))/2)</f>
        <v/>
      </c>
      <c r="AQ642">
        <f>((AM642/$B$7+T641*AS641/2-T642*MAX(0.1,MIN(0.3,0.3-0.09*(AP642-36.8)))/2)+AR641*(1-AS641/2))/(1-MAX(0.1,MIN(0.3,0.3-0.09*(AP642-36.8)))/2)</f>
        <v/>
      </c>
      <c r="AR642">
        <f>((AM642/$B$7+T641*AS641/2-T642*MAX(0.1,MIN(0.3,0.3-0.09*(AQ642-36.8)))/2)+AR641*(1-AS641/2))/(1-MAX(0.1,MIN(0.3,0.3-0.09*(AQ642-36.8)))/2)</f>
        <v/>
      </c>
      <c r="AS642">
        <f>MAX(0.1,MIN(0.3,0.3-0.09*(AR642-36.8)))</f>
        <v/>
      </c>
      <c r="AT642">
        <f>AT641+(2*AR642-1.962*AT641-1.31)/9</f>
        <v/>
      </c>
      <c r="AU642">
        <f>AU641+AG642+K642</f>
        <v/>
      </c>
      <c r="AV642">
        <f>AU642*2.67*$B$6/1.8/60</f>
        <v/>
      </c>
      <c r="AW642">
        <f>IF(AT642&gt;=$B$36,1,0)</f>
        <v/>
      </c>
      <c r="AX642">
        <f>IF(AV642&gt;=$B$21,1,0)</f>
        <v/>
      </c>
    </row>
    <row r="643">
      <c r="A643" t="n">
        <v>570</v>
      </c>
      <c r="B643">
        <f>MATCH(A643-1,$D$61:$D$68,1)</f>
        <v/>
      </c>
      <c r="C643">
        <f>INDEX($G$61:$G$68,B643)</f>
        <v/>
      </c>
      <c r="D643">
        <f>INDEX($L$61:$L$68,B643)</f>
        <v/>
      </c>
      <c r="E643">
        <f>INDEX($M$61:$M$68,B643)</f>
        <v/>
      </c>
      <c r="F643">
        <f>INDEX($N$61:$N$68,B643)</f>
        <v/>
      </c>
      <c r="G643">
        <f>INDEX($AA$61:$AA$68,B643)</f>
        <v/>
      </c>
      <c r="H643">
        <f>INDEX($X$61:$X$68,B643)</f>
        <v/>
      </c>
      <c r="I643">
        <f>INDEX($AF$61:$AF$68,B643)</f>
        <v/>
      </c>
      <c r="J643">
        <f>INDEX($AC$61:$AC$68,B643)</f>
        <v/>
      </c>
      <c r="K643">
        <f>INDEX($AD$61:$AD$68,B643)</f>
        <v/>
      </c>
      <c r="L643">
        <f>INDEX($AG$61:$AG$68,B643)</f>
        <v/>
      </c>
      <c r="M643">
        <f>INDEX($AH$61:$AH$68,B643)</f>
        <v/>
      </c>
      <c r="N643">
        <f>INDEX($AI$61:$AI$68,B643)</f>
        <v/>
      </c>
      <c r="O643">
        <f>O642*$B$26+L643*(1-$B$26)</f>
        <v/>
      </c>
      <c r="P643">
        <f>$B$7*(O643-O642)*(1-AS642)</f>
        <v/>
      </c>
      <c r="Q643">
        <f>M643+0.51274*AT642</f>
        <v/>
      </c>
      <c r="R643">
        <f>N643+0.616*AT642</f>
        <v/>
      </c>
      <c r="S643">
        <f>IF($B$13&gt;=0.6,Q643,IF($B$13&lt;=0.2,R643,R643+2.5*(Q643-R643)*($B$13-0.2)))</f>
        <v/>
      </c>
      <c r="T643">
        <f>IF(A643=1,S643,T642*$B$27+S643*(1-$B$27))</f>
        <v/>
      </c>
      <c r="U643">
        <f>0.6105*EXP(17.27*T643/(T643+237.3))</f>
        <v/>
      </c>
      <c r="V643">
        <f>($B$14*(I643*C643+IF(ABS((D643+0.1)-D643)&lt;0.000000001,4*$B$19*$B$20*(D643+273)^3,$B$19*$B$20*(((D643+0.1)+273)^4-(D643+273)^4)/((D643+0.1)-D643))*D643)+T643/H643)/($B$14*(I643+IF(ABS((D643+0.1)-D643)&lt;0.000000001,4*$B$19*$B$20*(D643+273)^3,$B$19*$B$20*(((D643+0.1)+273)^4-(D643+273)^4)/((D643+0.1)-D643)))+1/H643)</f>
        <v/>
      </c>
      <c r="W643">
        <f>($B$14*(I643*C643+IF(ABS(V643-D643)&lt;0.000000001,4*$B$19*$B$20*(D643+273)^3,$B$19*$B$20*((V643+273)^4-(D643+273)^4)/(V643-D643))*D643)+T643/H643)/($B$14*(I643+IF(ABS(V643-D643)&lt;0.000000001,4*$B$19*$B$20*(D643+273)^3,$B$19*$B$20*((V643+273)^4-(D643+273)^4)/(V643-D643)))+1/H643)</f>
        <v/>
      </c>
      <c r="X643">
        <f>($B$14*(I643*C643+IF(ABS(W643-D643)&lt;0.000000001,4*$B$19*$B$20*(D643+273)^3,$B$19*$B$20*((W643+273)^4-(D643+273)^4)/(W643-D643))*D643)+T643/H643)/($B$14*(I643+IF(ABS(W643-D643)&lt;0.000000001,4*$B$19*$B$20*(D643+273)^3,$B$19*$B$20*((W643+273)^4-(D643+273)^4)/(W643-D643)))+1/H643)</f>
        <v/>
      </c>
      <c r="Y643">
        <f>($B$14*(I643*C643+IF(ABS(X643-D643)&lt;0.000000001,4*$B$19*$B$20*(D643+273)^3,$B$19*$B$20*((X643+273)^4-(D643+273)^4)/(X643-D643))*D643)+T643/H643)/($B$14*(I643+IF(ABS(X643-D643)&lt;0.000000001,4*$B$19*$B$20*(D643+273)^3,$B$19*$B$20*((X643+273)^4-(D643+273)^4)/(X643-D643)))+1/H643)</f>
        <v/>
      </c>
      <c r="Z643">
        <f>IF(ABS(Y643-D643)&lt;0.000000001,4*$B$19*$B$20*(D643+273)^3,$B$19*$B$20*((Y643+273)^4-(D643+273)^4)/(Y643-D643))</f>
        <v/>
      </c>
      <c r="AA643">
        <f>$B$14*I643*(Y643-C643)</f>
        <v/>
      </c>
      <c r="AB643">
        <f>$B$14*Z643*(Y643-D643)</f>
        <v/>
      </c>
      <c r="AC643">
        <f>IF((U643-E643)/G643=0,0.001,(U643-E643)/G643)</f>
        <v/>
      </c>
      <c r="AD643">
        <f>F643-P643-J643-K643-AA643-AB643</f>
        <v/>
      </c>
      <c r="AE643">
        <f>AD643/AC643</f>
        <v/>
      </c>
      <c r="AF643">
        <f>IF(AD643&lt;=0,0,IF(AC643&lt;=0,$B$11,IF(AE643&gt;=1.7,$B$11,MIN(AD643/MAX(0.05,IF(AE643&gt;1,(2-AE643)^2/2,1-AE643^2/2)),$B$11))))</f>
        <v/>
      </c>
      <c r="AG643">
        <f>AG642*$B$28+AF643*(1-$B$28)</f>
        <v/>
      </c>
      <c r="AH643">
        <f>IF(AND(AD643&gt;0,AC643&lt;=0),0,AC643)</f>
        <v/>
      </c>
      <c r="AI643">
        <f>AH643/MAX(AG643,0.000001)</f>
        <v/>
      </c>
      <c r="AJ643">
        <f>MIN(IF(AI643&gt;=0.5,-AI643+SQRT(AI643^2+2),1),$B$12)</f>
        <v/>
      </c>
      <c r="AK643">
        <f>IF(AG643&lt;=0,0,AJ643*AH643)</f>
        <v/>
      </c>
      <c r="AL643">
        <f>IF(AD643&lt;=0,0,AD643)</f>
        <v/>
      </c>
      <c r="AM643">
        <f>AL643-AK643+P643</f>
        <v/>
      </c>
      <c r="AN643">
        <f>((AM643/$B$7+T642*AS642/2-T643*MAX(0.1,MIN(0.3,0.3-0.09*(AR642-36.8)))/2)+AR642*(1-AS642/2))/(1-MAX(0.1,MIN(0.3,0.3-0.09*(AR642-36.8)))/2)</f>
        <v/>
      </c>
      <c r="AO643">
        <f>((AM643/$B$7+T642*AS642/2-T643*MAX(0.1,MIN(0.3,0.3-0.09*(AN643-36.8)))/2)+AR642*(1-AS642/2))/(1-MAX(0.1,MIN(0.3,0.3-0.09*(AN643-36.8)))/2)</f>
        <v/>
      </c>
      <c r="AP643">
        <f>((AM643/$B$7+T642*AS642/2-T643*MAX(0.1,MIN(0.3,0.3-0.09*(AO643-36.8)))/2)+AR642*(1-AS642/2))/(1-MAX(0.1,MIN(0.3,0.3-0.09*(AO643-36.8)))/2)</f>
        <v/>
      </c>
      <c r="AQ643">
        <f>((AM643/$B$7+T642*AS642/2-T643*MAX(0.1,MIN(0.3,0.3-0.09*(AP643-36.8)))/2)+AR642*(1-AS642/2))/(1-MAX(0.1,MIN(0.3,0.3-0.09*(AP643-36.8)))/2)</f>
        <v/>
      </c>
      <c r="AR643">
        <f>((AM643/$B$7+T642*AS642/2-T643*MAX(0.1,MIN(0.3,0.3-0.09*(AQ643-36.8)))/2)+AR642*(1-AS642/2))/(1-MAX(0.1,MIN(0.3,0.3-0.09*(AQ643-36.8)))/2)</f>
        <v/>
      </c>
      <c r="AS643">
        <f>MAX(0.1,MIN(0.3,0.3-0.09*(AR643-36.8)))</f>
        <v/>
      </c>
      <c r="AT643">
        <f>AT642+(2*AR643-1.962*AT642-1.31)/9</f>
        <v/>
      </c>
      <c r="AU643">
        <f>AU642+AG643+K643</f>
        <v/>
      </c>
      <c r="AV643">
        <f>AU643*2.67*$B$6/1.8/60</f>
        <v/>
      </c>
      <c r="AW643">
        <f>IF(AT643&gt;=$B$36,1,0)</f>
        <v/>
      </c>
      <c r="AX643">
        <f>IF(AV643&gt;=$B$21,1,0)</f>
        <v/>
      </c>
    </row>
    <row r="644">
      <c r="A644" t="n">
        <v>571</v>
      </c>
      <c r="B644">
        <f>MATCH(A644-1,$D$61:$D$68,1)</f>
        <v/>
      </c>
      <c r="C644">
        <f>INDEX($G$61:$G$68,B644)</f>
        <v/>
      </c>
      <c r="D644">
        <f>INDEX($L$61:$L$68,B644)</f>
        <v/>
      </c>
      <c r="E644">
        <f>INDEX($M$61:$M$68,B644)</f>
        <v/>
      </c>
      <c r="F644">
        <f>INDEX($N$61:$N$68,B644)</f>
        <v/>
      </c>
      <c r="G644">
        <f>INDEX($AA$61:$AA$68,B644)</f>
        <v/>
      </c>
      <c r="H644">
        <f>INDEX($X$61:$X$68,B644)</f>
        <v/>
      </c>
      <c r="I644">
        <f>INDEX($AF$61:$AF$68,B644)</f>
        <v/>
      </c>
      <c r="J644">
        <f>INDEX($AC$61:$AC$68,B644)</f>
        <v/>
      </c>
      <c r="K644">
        <f>INDEX($AD$61:$AD$68,B644)</f>
        <v/>
      </c>
      <c r="L644">
        <f>INDEX($AG$61:$AG$68,B644)</f>
        <v/>
      </c>
      <c r="M644">
        <f>INDEX($AH$61:$AH$68,B644)</f>
        <v/>
      </c>
      <c r="N644">
        <f>INDEX($AI$61:$AI$68,B644)</f>
        <v/>
      </c>
      <c r="O644">
        <f>O643*$B$26+L644*(1-$B$26)</f>
        <v/>
      </c>
      <c r="P644">
        <f>$B$7*(O644-O643)*(1-AS643)</f>
        <v/>
      </c>
      <c r="Q644">
        <f>M644+0.51274*AT643</f>
        <v/>
      </c>
      <c r="R644">
        <f>N644+0.616*AT643</f>
        <v/>
      </c>
      <c r="S644">
        <f>IF($B$13&gt;=0.6,Q644,IF($B$13&lt;=0.2,R644,R644+2.5*(Q644-R644)*($B$13-0.2)))</f>
        <v/>
      </c>
      <c r="T644">
        <f>IF(A644=1,S644,T643*$B$27+S644*(1-$B$27))</f>
        <v/>
      </c>
      <c r="U644">
        <f>0.6105*EXP(17.27*T644/(T644+237.3))</f>
        <v/>
      </c>
      <c r="V644">
        <f>($B$14*(I644*C644+IF(ABS((D644+0.1)-D644)&lt;0.000000001,4*$B$19*$B$20*(D644+273)^3,$B$19*$B$20*(((D644+0.1)+273)^4-(D644+273)^4)/((D644+0.1)-D644))*D644)+T644/H644)/($B$14*(I644+IF(ABS((D644+0.1)-D644)&lt;0.000000001,4*$B$19*$B$20*(D644+273)^3,$B$19*$B$20*(((D644+0.1)+273)^4-(D644+273)^4)/((D644+0.1)-D644)))+1/H644)</f>
        <v/>
      </c>
      <c r="W644">
        <f>($B$14*(I644*C644+IF(ABS(V644-D644)&lt;0.000000001,4*$B$19*$B$20*(D644+273)^3,$B$19*$B$20*((V644+273)^4-(D644+273)^4)/(V644-D644))*D644)+T644/H644)/($B$14*(I644+IF(ABS(V644-D644)&lt;0.000000001,4*$B$19*$B$20*(D644+273)^3,$B$19*$B$20*((V644+273)^4-(D644+273)^4)/(V644-D644)))+1/H644)</f>
        <v/>
      </c>
      <c r="X644">
        <f>($B$14*(I644*C644+IF(ABS(W644-D644)&lt;0.000000001,4*$B$19*$B$20*(D644+273)^3,$B$19*$B$20*((W644+273)^4-(D644+273)^4)/(W644-D644))*D644)+T644/H644)/($B$14*(I644+IF(ABS(W644-D644)&lt;0.000000001,4*$B$19*$B$20*(D644+273)^3,$B$19*$B$20*((W644+273)^4-(D644+273)^4)/(W644-D644)))+1/H644)</f>
        <v/>
      </c>
      <c r="Y644">
        <f>($B$14*(I644*C644+IF(ABS(X644-D644)&lt;0.000000001,4*$B$19*$B$20*(D644+273)^3,$B$19*$B$20*((X644+273)^4-(D644+273)^4)/(X644-D644))*D644)+T644/H644)/($B$14*(I644+IF(ABS(X644-D644)&lt;0.000000001,4*$B$19*$B$20*(D644+273)^3,$B$19*$B$20*((X644+273)^4-(D644+273)^4)/(X644-D644)))+1/H644)</f>
        <v/>
      </c>
      <c r="Z644">
        <f>IF(ABS(Y644-D644)&lt;0.000000001,4*$B$19*$B$20*(D644+273)^3,$B$19*$B$20*((Y644+273)^4-(D644+273)^4)/(Y644-D644))</f>
        <v/>
      </c>
      <c r="AA644">
        <f>$B$14*I644*(Y644-C644)</f>
        <v/>
      </c>
      <c r="AB644">
        <f>$B$14*Z644*(Y644-D644)</f>
        <v/>
      </c>
      <c r="AC644">
        <f>IF((U644-E644)/G644=0,0.001,(U644-E644)/G644)</f>
        <v/>
      </c>
      <c r="AD644">
        <f>F644-P644-J644-K644-AA644-AB644</f>
        <v/>
      </c>
      <c r="AE644">
        <f>AD644/AC644</f>
        <v/>
      </c>
      <c r="AF644">
        <f>IF(AD644&lt;=0,0,IF(AC644&lt;=0,$B$11,IF(AE644&gt;=1.7,$B$11,MIN(AD644/MAX(0.05,IF(AE644&gt;1,(2-AE644)^2/2,1-AE644^2/2)),$B$11))))</f>
        <v/>
      </c>
      <c r="AG644">
        <f>AG643*$B$28+AF644*(1-$B$28)</f>
        <v/>
      </c>
      <c r="AH644">
        <f>IF(AND(AD644&gt;0,AC644&lt;=0),0,AC644)</f>
        <v/>
      </c>
      <c r="AI644">
        <f>AH644/MAX(AG644,0.000001)</f>
        <v/>
      </c>
      <c r="AJ644">
        <f>MIN(IF(AI644&gt;=0.5,-AI644+SQRT(AI644^2+2),1),$B$12)</f>
        <v/>
      </c>
      <c r="AK644">
        <f>IF(AG644&lt;=0,0,AJ644*AH644)</f>
        <v/>
      </c>
      <c r="AL644">
        <f>IF(AD644&lt;=0,0,AD644)</f>
        <v/>
      </c>
      <c r="AM644">
        <f>AL644-AK644+P644</f>
        <v/>
      </c>
      <c r="AN644">
        <f>((AM644/$B$7+T643*AS643/2-T644*MAX(0.1,MIN(0.3,0.3-0.09*(AR643-36.8)))/2)+AR643*(1-AS643/2))/(1-MAX(0.1,MIN(0.3,0.3-0.09*(AR643-36.8)))/2)</f>
        <v/>
      </c>
      <c r="AO644">
        <f>((AM644/$B$7+T643*AS643/2-T644*MAX(0.1,MIN(0.3,0.3-0.09*(AN644-36.8)))/2)+AR643*(1-AS643/2))/(1-MAX(0.1,MIN(0.3,0.3-0.09*(AN644-36.8)))/2)</f>
        <v/>
      </c>
      <c r="AP644">
        <f>((AM644/$B$7+T643*AS643/2-T644*MAX(0.1,MIN(0.3,0.3-0.09*(AO644-36.8)))/2)+AR643*(1-AS643/2))/(1-MAX(0.1,MIN(0.3,0.3-0.09*(AO644-36.8)))/2)</f>
        <v/>
      </c>
      <c r="AQ644">
        <f>((AM644/$B$7+T643*AS643/2-T644*MAX(0.1,MIN(0.3,0.3-0.09*(AP644-36.8)))/2)+AR643*(1-AS643/2))/(1-MAX(0.1,MIN(0.3,0.3-0.09*(AP644-36.8)))/2)</f>
        <v/>
      </c>
      <c r="AR644">
        <f>((AM644/$B$7+T643*AS643/2-T644*MAX(0.1,MIN(0.3,0.3-0.09*(AQ644-36.8)))/2)+AR643*(1-AS643/2))/(1-MAX(0.1,MIN(0.3,0.3-0.09*(AQ644-36.8)))/2)</f>
        <v/>
      </c>
      <c r="AS644">
        <f>MAX(0.1,MIN(0.3,0.3-0.09*(AR644-36.8)))</f>
        <v/>
      </c>
      <c r="AT644">
        <f>AT643+(2*AR644-1.962*AT643-1.31)/9</f>
        <v/>
      </c>
      <c r="AU644">
        <f>AU643+AG644+K644</f>
        <v/>
      </c>
      <c r="AV644">
        <f>AU644*2.67*$B$6/1.8/60</f>
        <v/>
      </c>
      <c r="AW644">
        <f>IF(AT644&gt;=$B$36,1,0)</f>
        <v/>
      </c>
      <c r="AX644">
        <f>IF(AV644&gt;=$B$21,1,0)</f>
        <v/>
      </c>
    </row>
    <row r="645">
      <c r="A645" t="n">
        <v>572</v>
      </c>
      <c r="B645">
        <f>MATCH(A645-1,$D$61:$D$68,1)</f>
        <v/>
      </c>
      <c r="C645">
        <f>INDEX($G$61:$G$68,B645)</f>
        <v/>
      </c>
      <c r="D645">
        <f>INDEX($L$61:$L$68,B645)</f>
        <v/>
      </c>
      <c r="E645">
        <f>INDEX($M$61:$M$68,B645)</f>
        <v/>
      </c>
      <c r="F645">
        <f>INDEX($N$61:$N$68,B645)</f>
        <v/>
      </c>
      <c r="G645">
        <f>INDEX($AA$61:$AA$68,B645)</f>
        <v/>
      </c>
      <c r="H645">
        <f>INDEX($X$61:$X$68,B645)</f>
        <v/>
      </c>
      <c r="I645">
        <f>INDEX($AF$61:$AF$68,B645)</f>
        <v/>
      </c>
      <c r="J645">
        <f>INDEX($AC$61:$AC$68,B645)</f>
        <v/>
      </c>
      <c r="K645">
        <f>INDEX($AD$61:$AD$68,B645)</f>
        <v/>
      </c>
      <c r="L645">
        <f>INDEX($AG$61:$AG$68,B645)</f>
        <v/>
      </c>
      <c r="M645">
        <f>INDEX($AH$61:$AH$68,B645)</f>
        <v/>
      </c>
      <c r="N645">
        <f>INDEX($AI$61:$AI$68,B645)</f>
        <v/>
      </c>
      <c r="O645">
        <f>O644*$B$26+L645*(1-$B$26)</f>
        <v/>
      </c>
      <c r="P645">
        <f>$B$7*(O645-O644)*(1-AS644)</f>
        <v/>
      </c>
      <c r="Q645">
        <f>M645+0.51274*AT644</f>
        <v/>
      </c>
      <c r="R645">
        <f>N645+0.616*AT644</f>
        <v/>
      </c>
      <c r="S645">
        <f>IF($B$13&gt;=0.6,Q645,IF($B$13&lt;=0.2,R645,R645+2.5*(Q645-R645)*($B$13-0.2)))</f>
        <v/>
      </c>
      <c r="T645">
        <f>IF(A645=1,S645,T644*$B$27+S645*(1-$B$27))</f>
        <v/>
      </c>
      <c r="U645">
        <f>0.6105*EXP(17.27*T645/(T645+237.3))</f>
        <v/>
      </c>
      <c r="V645">
        <f>($B$14*(I645*C645+IF(ABS((D645+0.1)-D645)&lt;0.000000001,4*$B$19*$B$20*(D645+273)^3,$B$19*$B$20*(((D645+0.1)+273)^4-(D645+273)^4)/((D645+0.1)-D645))*D645)+T645/H645)/($B$14*(I645+IF(ABS((D645+0.1)-D645)&lt;0.000000001,4*$B$19*$B$20*(D645+273)^3,$B$19*$B$20*(((D645+0.1)+273)^4-(D645+273)^4)/((D645+0.1)-D645)))+1/H645)</f>
        <v/>
      </c>
      <c r="W645">
        <f>($B$14*(I645*C645+IF(ABS(V645-D645)&lt;0.000000001,4*$B$19*$B$20*(D645+273)^3,$B$19*$B$20*((V645+273)^4-(D645+273)^4)/(V645-D645))*D645)+T645/H645)/($B$14*(I645+IF(ABS(V645-D645)&lt;0.000000001,4*$B$19*$B$20*(D645+273)^3,$B$19*$B$20*((V645+273)^4-(D645+273)^4)/(V645-D645)))+1/H645)</f>
        <v/>
      </c>
      <c r="X645">
        <f>($B$14*(I645*C645+IF(ABS(W645-D645)&lt;0.000000001,4*$B$19*$B$20*(D645+273)^3,$B$19*$B$20*((W645+273)^4-(D645+273)^4)/(W645-D645))*D645)+T645/H645)/($B$14*(I645+IF(ABS(W645-D645)&lt;0.000000001,4*$B$19*$B$20*(D645+273)^3,$B$19*$B$20*((W645+273)^4-(D645+273)^4)/(W645-D645)))+1/H645)</f>
        <v/>
      </c>
      <c r="Y645">
        <f>($B$14*(I645*C645+IF(ABS(X645-D645)&lt;0.000000001,4*$B$19*$B$20*(D645+273)^3,$B$19*$B$20*((X645+273)^4-(D645+273)^4)/(X645-D645))*D645)+T645/H645)/($B$14*(I645+IF(ABS(X645-D645)&lt;0.000000001,4*$B$19*$B$20*(D645+273)^3,$B$19*$B$20*((X645+273)^4-(D645+273)^4)/(X645-D645)))+1/H645)</f>
        <v/>
      </c>
      <c r="Z645">
        <f>IF(ABS(Y645-D645)&lt;0.000000001,4*$B$19*$B$20*(D645+273)^3,$B$19*$B$20*((Y645+273)^4-(D645+273)^4)/(Y645-D645))</f>
        <v/>
      </c>
      <c r="AA645">
        <f>$B$14*I645*(Y645-C645)</f>
        <v/>
      </c>
      <c r="AB645">
        <f>$B$14*Z645*(Y645-D645)</f>
        <v/>
      </c>
      <c r="AC645">
        <f>IF((U645-E645)/G645=0,0.001,(U645-E645)/G645)</f>
        <v/>
      </c>
      <c r="AD645">
        <f>F645-P645-J645-K645-AA645-AB645</f>
        <v/>
      </c>
      <c r="AE645">
        <f>AD645/AC645</f>
        <v/>
      </c>
      <c r="AF645">
        <f>IF(AD645&lt;=0,0,IF(AC645&lt;=0,$B$11,IF(AE645&gt;=1.7,$B$11,MIN(AD645/MAX(0.05,IF(AE645&gt;1,(2-AE645)^2/2,1-AE645^2/2)),$B$11))))</f>
        <v/>
      </c>
      <c r="AG645">
        <f>AG644*$B$28+AF645*(1-$B$28)</f>
        <v/>
      </c>
      <c r="AH645">
        <f>IF(AND(AD645&gt;0,AC645&lt;=0),0,AC645)</f>
        <v/>
      </c>
      <c r="AI645">
        <f>AH645/MAX(AG645,0.000001)</f>
        <v/>
      </c>
      <c r="AJ645">
        <f>MIN(IF(AI645&gt;=0.5,-AI645+SQRT(AI645^2+2),1),$B$12)</f>
        <v/>
      </c>
      <c r="AK645">
        <f>IF(AG645&lt;=0,0,AJ645*AH645)</f>
        <v/>
      </c>
      <c r="AL645">
        <f>IF(AD645&lt;=0,0,AD645)</f>
        <v/>
      </c>
      <c r="AM645">
        <f>AL645-AK645+P645</f>
        <v/>
      </c>
      <c r="AN645">
        <f>((AM645/$B$7+T644*AS644/2-T645*MAX(0.1,MIN(0.3,0.3-0.09*(AR644-36.8)))/2)+AR644*(1-AS644/2))/(1-MAX(0.1,MIN(0.3,0.3-0.09*(AR644-36.8)))/2)</f>
        <v/>
      </c>
      <c r="AO645">
        <f>((AM645/$B$7+T644*AS644/2-T645*MAX(0.1,MIN(0.3,0.3-0.09*(AN645-36.8)))/2)+AR644*(1-AS644/2))/(1-MAX(0.1,MIN(0.3,0.3-0.09*(AN645-36.8)))/2)</f>
        <v/>
      </c>
      <c r="AP645">
        <f>((AM645/$B$7+T644*AS644/2-T645*MAX(0.1,MIN(0.3,0.3-0.09*(AO645-36.8)))/2)+AR644*(1-AS644/2))/(1-MAX(0.1,MIN(0.3,0.3-0.09*(AO645-36.8)))/2)</f>
        <v/>
      </c>
      <c r="AQ645">
        <f>((AM645/$B$7+T644*AS644/2-T645*MAX(0.1,MIN(0.3,0.3-0.09*(AP645-36.8)))/2)+AR644*(1-AS644/2))/(1-MAX(0.1,MIN(0.3,0.3-0.09*(AP645-36.8)))/2)</f>
        <v/>
      </c>
      <c r="AR645">
        <f>((AM645/$B$7+T644*AS644/2-T645*MAX(0.1,MIN(0.3,0.3-0.09*(AQ645-36.8)))/2)+AR644*(1-AS644/2))/(1-MAX(0.1,MIN(0.3,0.3-0.09*(AQ645-36.8)))/2)</f>
        <v/>
      </c>
      <c r="AS645">
        <f>MAX(0.1,MIN(0.3,0.3-0.09*(AR645-36.8)))</f>
        <v/>
      </c>
      <c r="AT645">
        <f>AT644+(2*AR645-1.962*AT644-1.31)/9</f>
        <v/>
      </c>
      <c r="AU645">
        <f>AU644+AG645+K645</f>
        <v/>
      </c>
      <c r="AV645">
        <f>AU645*2.67*$B$6/1.8/60</f>
        <v/>
      </c>
      <c r="AW645">
        <f>IF(AT645&gt;=$B$36,1,0)</f>
        <v/>
      </c>
      <c r="AX645">
        <f>IF(AV645&gt;=$B$21,1,0)</f>
        <v/>
      </c>
    </row>
    <row r="646">
      <c r="A646" t="n">
        <v>573</v>
      </c>
      <c r="B646">
        <f>MATCH(A646-1,$D$61:$D$68,1)</f>
        <v/>
      </c>
      <c r="C646">
        <f>INDEX($G$61:$G$68,B646)</f>
        <v/>
      </c>
      <c r="D646">
        <f>INDEX($L$61:$L$68,B646)</f>
        <v/>
      </c>
      <c r="E646">
        <f>INDEX($M$61:$M$68,B646)</f>
        <v/>
      </c>
      <c r="F646">
        <f>INDEX($N$61:$N$68,B646)</f>
        <v/>
      </c>
      <c r="G646">
        <f>INDEX($AA$61:$AA$68,B646)</f>
        <v/>
      </c>
      <c r="H646">
        <f>INDEX($X$61:$X$68,B646)</f>
        <v/>
      </c>
      <c r="I646">
        <f>INDEX($AF$61:$AF$68,B646)</f>
        <v/>
      </c>
      <c r="J646">
        <f>INDEX($AC$61:$AC$68,B646)</f>
        <v/>
      </c>
      <c r="K646">
        <f>INDEX($AD$61:$AD$68,B646)</f>
        <v/>
      </c>
      <c r="L646">
        <f>INDEX($AG$61:$AG$68,B646)</f>
        <v/>
      </c>
      <c r="M646">
        <f>INDEX($AH$61:$AH$68,B646)</f>
        <v/>
      </c>
      <c r="N646">
        <f>INDEX($AI$61:$AI$68,B646)</f>
        <v/>
      </c>
      <c r="O646">
        <f>O645*$B$26+L646*(1-$B$26)</f>
        <v/>
      </c>
      <c r="P646">
        <f>$B$7*(O646-O645)*(1-AS645)</f>
        <v/>
      </c>
      <c r="Q646">
        <f>M646+0.51274*AT645</f>
        <v/>
      </c>
      <c r="R646">
        <f>N646+0.616*AT645</f>
        <v/>
      </c>
      <c r="S646">
        <f>IF($B$13&gt;=0.6,Q646,IF($B$13&lt;=0.2,R646,R646+2.5*(Q646-R646)*($B$13-0.2)))</f>
        <v/>
      </c>
      <c r="T646">
        <f>IF(A646=1,S646,T645*$B$27+S646*(1-$B$27))</f>
        <v/>
      </c>
      <c r="U646">
        <f>0.6105*EXP(17.27*T646/(T646+237.3))</f>
        <v/>
      </c>
      <c r="V646">
        <f>($B$14*(I646*C646+IF(ABS((D646+0.1)-D646)&lt;0.000000001,4*$B$19*$B$20*(D646+273)^3,$B$19*$B$20*(((D646+0.1)+273)^4-(D646+273)^4)/((D646+0.1)-D646))*D646)+T646/H646)/($B$14*(I646+IF(ABS((D646+0.1)-D646)&lt;0.000000001,4*$B$19*$B$20*(D646+273)^3,$B$19*$B$20*(((D646+0.1)+273)^4-(D646+273)^4)/((D646+0.1)-D646)))+1/H646)</f>
        <v/>
      </c>
      <c r="W646">
        <f>($B$14*(I646*C646+IF(ABS(V646-D646)&lt;0.000000001,4*$B$19*$B$20*(D646+273)^3,$B$19*$B$20*((V646+273)^4-(D646+273)^4)/(V646-D646))*D646)+T646/H646)/($B$14*(I646+IF(ABS(V646-D646)&lt;0.000000001,4*$B$19*$B$20*(D646+273)^3,$B$19*$B$20*((V646+273)^4-(D646+273)^4)/(V646-D646)))+1/H646)</f>
        <v/>
      </c>
      <c r="X646">
        <f>($B$14*(I646*C646+IF(ABS(W646-D646)&lt;0.000000001,4*$B$19*$B$20*(D646+273)^3,$B$19*$B$20*((W646+273)^4-(D646+273)^4)/(W646-D646))*D646)+T646/H646)/($B$14*(I646+IF(ABS(W646-D646)&lt;0.000000001,4*$B$19*$B$20*(D646+273)^3,$B$19*$B$20*((W646+273)^4-(D646+273)^4)/(W646-D646)))+1/H646)</f>
        <v/>
      </c>
      <c r="Y646">
        <f>($B$14*(I646*C646+IF(ABS(X646-D646)&lt;0.000000001,4*$B$19*$B$20*(D646+273)^3,$B$19*$B$20*((X646+273)^4-(D646+273)^4)/(X646-D646))*D646)+T646/H646)/($B$14*(I646+IF(ABS(X646-D646)&lt;0.000000001,4*$B$19*$B$20*(D646+273)^3,$B$19*$B$20*((X646+273)^4-(D646+273)^4)/(X646-D646)))+1/H646)</f>
        <v/>
      </c>
      <c r="Z646">
        <f>IF(ABS(Y646-D646)&lt;0.000000001,4*$B$19*$B$20*(D646+273)^3,$B$19*$B$20*((Y646+273)^4-(D646+273)^4)/(Y646-D646))</f>
        <v/>
      </c>
      <c r="AA646">
        <f>$B$14*I646*(Y646-C646)</f>
        <v/>
      </c>
      <c r="AB646">
        <f>$B$14*Z646*(Y646-D646)</f>
        <v/>
      </c>
      <c r="AC646">
        <f>IF((U646-E646)/G646=0,0.001,(U646-E646)/G646)</f>
        <v/>
      </c>
      <c r="AD646">
        <f>F646-P646-J646-K646-AA646-AB646</f>
        <v/>
      </c>
      <c r="AE646">
        <f>AD646/AC646</f>
        <v/>
      </c>
      <c r="AF646">
        <f>IF(AD646&lt;=0,0,IF(AC646&lt;=0,$B$11,IF(AE646&gt;=1.7,$B$11,MIN(AD646/MAX(0.05,IF(AE646&gt;1,(2-AE646)^2/2,1-AE646^2/2)),$B$11))))</f>
        <v/>
      </c>
      <c r="AG646">
        <f>AG645*$B$28+AF646*(1-$B$28)</f>
        <v/>
      </c>
      <c r="AH646">
        <f>IF(AND(AD646&gt;0,AC646&lt;=0),0,AC646)</f>
        <v/>
      </c>
      <c r="AI646">
        <f>AH646/MAX(AG646,0.000001)</f>
        <v/>
      </c>
      <c r="AJ646">
        <f>MIN(IF(AI646&gt;=0.5,-AI646+SQRT(AI646^2+2),1),$B$12)</f>
        <v/>
      </c>
      <c r="AK646">
        <f>IF(AG646&lt;=0,0,AJ646*AH646)</f>
        <v/>
      </c>
      <c r="AL646">
        <f>IF(AD646&lt;=0,0,AD646)</f>
        <v/>
      </c>
      <c r="AM646">
        <f>AL646-AK646+P646</f>
        <v/>
      </c>
      <c r="AN646">
        <f>((AM646/$B$7+T645*AS645/2-T646*MAX(0.1,MIN(0.3,0.3-0.09*(AR645-36.8)))/2)+AR645*(1-AS645/2))/(1-MAX(0.1,MIN(0.3,0.3-0.09*(AR645-36.8)))/2)</f>
        <v/>
      </c>
      <c r="AO646">
        <f>((AM646/$B$7+T645*AS645/2-T646*MAX(0.1,MIN(0.3,0.3-0.09*(AN646-36.8)))/2)+AR645*(1-AS645/2))/(1-MAX(0.1,MIN(0.3,0.3-0.09*(AN646-36.8)))/2)</f>
        <v/>
      </c>
      <c r="AP646">
        <f>((AM646/$B$7+T645*AS645/2-T646*MAX(0.1,MIN(0.3,0.3-0.09*(AO646-36.8)))/2)+AR645*(1-AS645/2))/(1-MAX(0.1,MIN(0.3,0.3-0.09*(AO646-36.8)))/2)</f>
        <v/>
      </c>
      <c r="AQ646">
        <f>((AM646/$B$7+T645*AS645/2-T646*MAX(0.1,MIN(0.3,0.3-0.09*(AP646-36.8)))/2)+AR645*(1-AS645/2))/(1-MAX(0.1,MIN(0.3,0.3-0.09*(AP646-36.8)))/2)</f>
        <v/>
      </c>
      <c r="AR646">
        <f>((AM646/$B$7+T645*AS645/2-T646*MAX(0.1,MIN(0.3,0.3-0.09*(AQ646-36.8)))/2)+AR645*(1-AS645/2))/(1-MAX(0.1,MIN(0.3,0.3-0.09*(AQ646-36.8)))/2)</f>
        <v/>
      </c>
      <c r="AS646">
        <f>MAX(0.1,MIN(0.3,0.3-0.09*(AR646-36.8)))</f>
        <v/>
      </c>
      <c r="AT646">
        <f>AT645+(2*AR646-1.962*AT645-1.31)/9</f>
        <v/>
      </c>
      <c r="AU646">
        <f>AU645+AG646+K646</f>
        <v/>
      </c>
      <c r="AV646">
        <f>AU646*2.67*$B$6/1.8/60</f>
        <v/>
      </c>
      <c r="AW646">
        <f>IF(AT646&gt;=$B$36,1,0)</f>
        <v/>
      </c>
      <c r="AX646">
        <f>IF(AV646&gt;=$B$21,1,0)</f>
        <v/>
      </c>
    </row>
    <row r="647">
      <c r="A647" t="n">
        <v>574</v>
      </c>
      <c r="B647">
        <f>MATCH(A647-1,$D$61:$D$68,1)</f>
        <v/>
      </c>
      <c r="C647">
        <f>INDEX($G$61:$G$68,B647)</f>
        <v/>
      </c>
      <c r="D647">
        <f>INDEX($L$61:$L$68,B647)</f>
        <v/>
      </c>
      <c r="E647">
        <f>INDEX($M$61:$M$68,B647)</f>
        <v/>
      </c>
      <c r="F647">
        <f>INDEX($N$61:$N$68,B647)</f>
        <v/>
      </c>
      <c r="G647">
        <f>INDEX($AA$61:$AA$68,B647)</f>
        <v/>
      </c>
      <c r="H647">
        <f>INDEX($X$61:$X$68,B647)</f>
        <v/>
      </c>
      <c r="I647">
        <f>INDEX($AF$61:$AF$68,B647)</f>
        <v/>
      </c>
      <c r="J647">
        <f>INDEX($AC$61:$AC$68,B647)</f>
        <v/>
      </c>
      <c r="K647">
        <f>INDEX($AD$61:$AD$68,B647)</f>
        <v/>
      </c>
      <c r="L647">
        <f>INDEX($AG$61:$AG$68,B647)</f>
        <v/>
      </c>
      <c r="M647">
        <f>INDEX($AH$61:$AH$68,B647)</f>
        <v/>
      </c>
      <c r="N647">
        <f>INDEX($AI$61:$AI$68,B647)</f>
        <v/>
      </c>
      <c r="O647">
        <f>O646*$B$26+L647*(1-$B$26)</f>
        <v/>
      </c>
      <c r="P647">
        <f>$B$7*(O647-O646)*(1-AS646)</f>
        <v/>
      </c>
      <c r="Q647">
        <f>M647+0.51274*AT646</f>
        <v/>
      </c>
      <c r="R647">
        <f>N647+0.616*AT646</f>
        <v/>
      </c>
      <c r="S647">
        <f>IF($B$13&gt;=0.6,Q647,IF($B$13&lt;=0.2,R647,R647+2.5*(Q647-R647)*($B$13-0.2)))</f>
        <v/>
      </c>
      <c r="T647">
        <f>IF(A647=1,S647,T646*$B$27+S647*(1-$B$27))</f>
        <v/>
      </c>
      <c r="U647">
        <f>0.6105*EXP(17.27*T647/(T647+237.3))</f>
        <v/>
      </c>
      <c r="V647">
        <f>($B$14*(I647*C647+IF(ABS((D647+0.1)-D647)&lt;0.000000001,4*$B$19*$B$20*(D647+273)^3,$B$19*$B$20*(((D647+0.1)+273)^4-(D647+273)^4)/((D647+0.1)-D647))*D647)+T647/H647)/($B$14*(I647+IF(ABS((D647+0.1)-D647)&lt;0.000000001,4*$B$19*$B$20*(D647+273)^3,$B$19*$B$20*(((D647+0.1)+273)^4-(D647+273)^4)/((D647+0.1)-D647)))+1/H647)</f>
        <v/>
      </c>
      <c r="W647">
        <f>($B$14*(I647*C647+IF(ABS(V647-D647)&lt;0.000000001,4*$B$19*$B$20*(D647+273)^3,$B$19*$B$20*((V647+273)^4-(D647+273)^4)/(V647-D647))*D647)+T647/H647)/($B$14*(I647+IF(ABS(V647-D647)&lt;0.000000001,4*$B$19*$B$20*(D647+273)^3,$B$19*$B$20*((V647+273)^4-(D647+273)^4)/(V647-D647)))+1/H647)</f>
        <v/>
      </c>
      <c r="X647">
        <f>($B$14*(I647*C647+IF(ABS(W647-D647)&lt;0.000000001,4*$B$19*$B$20*(D647+273)^3,$B$19*$B$20*((W647+273)^4-(D647+273)^4)/(W647-D647))*D647)+T647/H647)/($B$14*(I647+IF(ABS(W647-D647)&lt;0.000000001,4*$B$19*$B$20*(D647+273)^3,$B$19*$B$20*((W647+273)^4-(D647+273)^4)/(W647-D647)))+1/H647)</f>
        <v/>
      </c>
      <c r="Y647">
        <f>($B$14*(I647*C647+IF(ABS(X647-D647)&lt;0.000000001,4*$B$19*$B$20*(D647+273)^3,$B$19*$B$20*((X647+273)^4-(D647+273)^4)/(X647-D647))*D647)+T647/H647)/($B$14*(I647+IF(ABS(X647-D647)&lt;0.000000001,4*$B$19*$B$20*(D647+273)^3,$B$19*$B$20*((X647+273)^4-(D647+273)^4)/(X647-D647)))+1/H647)</f>
        <v/>
      </c>
      <c r="Z647">
        <f>IF(ABS(Y647-D647)&lt;0.000000001,4*$B$19*$B$20*(D647+273)^3,$B$19*$B$20*((Y647+273)^4-(D647+273)^4)/(Y647-D647))</f>
        <v/>
      </c>
      <c r="AA647">
        <f>$B$14*I647*(Y647-C647)</f>
        <v/>
      </c>
      <c r="AB647">
        <f>$B$14*Z647*(Y647-D647)</f>
        <v/>
      </c>
      <c r="AC647">
        <f>IF((U647-E647)/G647=0,0.001,(U647-E647)/G647)</f>
        <v/>
      </c>
      <c r="AD647">
        <f>F647-P647-J647-K647-AA647-AB647</f>
        <v/>
      </c>
      <c r="AE647">
        <f>AD647/AC647</f>
        <v/>
      </c>
      <c r="AF647">
        <f>IF(AD647&lt;=0,0,IF(AC647&lt;=0,$B$11,IF(AE647&gt;=1.7,$B$11,MIN(AD647/MAX(0.05,IF(AE647&gt;1,(2-AE647)^2/2,1-AE647^2/2)),$B$11))))</f>
        <v/>
      </c>
      <c r="AG647">
        <f>AG646*$B$28+AF647*(1-$B$28)</f>
        <v/>
      </c>
      <c r="AH647">
        <f>IF(AND(AD647&gt;0,AC647&lt;=0),0,AC647)</f>
        <v/>
      </c>
      <c r="AI647">
        <f>AH647/MAX(AG647,0.000001)</f>
        <v/>
      </c>
      <c r="AJ647">
        <f>MIN(IF(AI647&gt;=0.5,-AI647+SQRT(AI647^2+2),1),$B$12)</f>
        <v/>
      </c>
      <c r="AK647">
        <f>IF(AG647&lt;=0,0,AJ647*AH647)</f>
        <v/>
      </c>
      <c r="AL647">
        <f>IF(AD647&lt;=0,0,AD647)</f>
        <v/>
      </c>
      <c r="AM647">
        <f>AL647-AK647+P647</f>
        <v/>
      </c>
      <c r="AN647">
        <f>((AM647/$B$7+T646*AS646/2-T647*MAX(0.1,MIN(0.3,0.3-0.09*(AR646-36.8)))/2)+AR646*(1-AS646/2))/(1-MAX(0.1,MIN(0.3,0.3-0.09*(AR646-36.8)))/2)</f>
        <v/>
      </c>
      <c r="AO647">
        <f>((AM647/$B$7+T646*AS646/2-T647*MAX(0.1,MIN(0.3,0.3-0.09*(AN647-36.8)))/2)+AR646*(1-AS646/2))/(1-MAX(0.1,MIN(0.3,0.3-0.09*(AN647-36.8)))/2)</f>
        <v/>
      </c>
      <c r="AP647">
        <f>((AM647/$B$7+T646*AS646/2-T647*MAX(0.1,MIN(0.3,0.3-0.09*(AO647-36.8)))/2)+AR646*(1-AS646/2))/(1-MAX(0.1,MIN(0.3,0.3-0.09*(AO647-36.8)))/2)</f>
        <v/>
      </c>
      <c r="AQ647">
        <f>((AM647/$B$7+T646*AS646/2-T647*MAX(0.1,MIN(0.3,0.3-0.09*(AP647-36.8)))/2)+AR646*(1-AS646/2))/(1-MAX(0.1,MIN(0.3,0.3-0.09*(AP647-36.8)))/2)</f>
        <v/>
      </c>
      <c r="AR647">
        <f>((AM647/$B$7+T646*AS646/2-T647*MAX(0.1,MIN(0.3,0.3-0.09*(AQ647-36.8)))/2)+AR646*(1-AS646/2))/(1-MAX(0.1,MIN(0.3,0.3-0.09*(AQ647-36.8)))/2)</f>
        <v/>
      </c>
      <c r="AS647">
        <f>MAX(0.1,MIN(0.3,0.3-0.09*(AR647-36.8)))</f>
        <v/>
      </c>
      <c r="AT647">
        <f>AT646+(2*AR647-1.962*AT646-1.31)/9</f>
        <v/>
      </c>
      <c r="AU647">
        <f>AU646+AG647+K647</f>
        <v/>
      </c>
      <c r="AV647">
        <f>AU647*2.67*$B$6/1.8/60</f>
        <v/>
      </c>
      <c r="AW647">
        <f>IF(AT647&gt;=$B$36,1,0)</f>
        <v/>
      </c>
      <c r="AX647">
        <f>IF(AV647&gt;=$B$21,1,0)</f>
        <v/>
      </c>
    </row>
    <row r="648">
      <c r="A648" t="n">
        <v>575</v>
      </c>
      <c r="B648">
        <f>MATCH(A648-1,$D$61:$D$68,1)</f>
        <v/>
      </c>
      <c r="C648">
        <f>INDEX($G$61:$G$68,B648)</f>
        <v/>
      </c>
      <c r="D648">
        <f>INDEX($L$61:$L$68,B648)</f>
        <v/>
      </c>
      <c r="E648">
        <f>INDEX($M$61:$M$68,B648)</f>
        <v/>
      </c>
      <c r="F648">
        <f>INDEX($N$61:$N$68,B648)</f>
        <v/>
      </c>
      <c r="G648">
        <f>INDEX($AA$61:$AA$68,B648)</f>
        <v/>
      </c>
      <c r="H648">
        <f>INDEX($X$61:$X$68,B648)</f>
        <v/>
      </c>
      <c r="I648">
        <f>INDEX($AF$61:$AF$68,B648)</f>
        <v/>
      </c>
      <c r="J648">
        <f>INDEX($AC$61:$AC$68,B648)</f>
        <v/>
      </c>
      <c r="K648">
        <f>INDEX($AD$61:$AD$68,B648)</f>
        <v/>
      </c>
      <c r="L648">
        <f>INDEX($AG$61:$AG$68,B648)</f>
        <v/>
      </c>
      <c r="M648">
        <f>INDEX($AH$61:$AH$68,B648)</f>
        <v/>
      </c>
      <c r="N648">
        <f>INDEX($AI$61:$AI$68,B648)</f>
        <v/>
      </c>
      <c r="O648">
        <f>O647*$B$26+L648*(1-$B$26)</f>
        <v/>
      </c>
      <c r="P648">
        <f>$B$7*(O648-O647)*(1-AS647)</f>
        <v/>
      </c>
      <c r="Q648">
        <f>M648+0.51274*AT647</f>
        <v/>
      </c>
      <c r="R648">
        <f>N648+0.616*AT647</f>
        <v/>
      </c>
      <c r="S648">
        <f>IF($B$13&gt;=0.6,Q648,IF($B$13&lt;=0.2,R648,R648+2.5*(Q648-R648)*($B$13-0.2)))</f>
        <v/>
      </c>
      <c r="T648">
        <f>IF(A648=1,S648,T647*$B$27+S648*(1-$B$27))</f>
        <v/>
      </c>
      <c r="U648">
        <f>0.6105*EXP(17.27*T648/(T648+237.3))</f>
        <v/>
      </c>
      <c r="V648">
        <f>($B$14*(I648*C648+IF(ABS((D648+0.1)-D648)&lt;0.000000001,4*$B$19*$B$20*(D648+273)^3,$B$19*$B$20*(((D648+0.1)+273)^4-(D648+273)^4)/((D648+0.1)-D648))*D648)+T648/H648)/($B$14*(I648+IF(ABS((D648+0.1)-D648)&lt;0.000000001,4*$B$19*$B$20*(D648+273)^3,$B$19*$B$20*(((D648+0.1)+273)^4-(D648+273)^4)/((D648+0.1)-D648)))+1/H648)</f>
        <v/>
      </c>
      <c r="W648">
        <f>($B$14*(I648*C648+IF(ABS(V648-D648)&lt;0.000000001,4*$B$19*$B$20*(D648+273)^3,$B$19*$B$20*((V648+273)^4-(D648+273)^4)/(V648-D648))*D648)+T648/H648)/($B$14*(I648+IF(ABS(V648-D648)&lt;0.000000001,4*$B$19*$B$20*(D648+273)^3,$B$19*$B$20*((V648+273)^4-(D648+273)^4)/(V648-D648)))+1/H648)</f>
        <v/>
      </c>
      <c r="X648">
        <f>($B$14*(I648*C648+IF(ABS(W648-D648)&lt;0.000000001,4*$B$19*$B$20*(D648+273)^3,$B$19*$B$20*((W648+273)^4-(D648+273)^4)/(W648-D648))*D648)+T648/H648)/($B$14*(I648+IF(ABS(W648-D648)&lt;0.000000001,4*$B$19*$B$20*(D648+273)^3,$B$19*$B$20*((W648+273)^4-(D648+273)^4)/(W648-D648)))+1/H648)</f>
        <v/>
      </c>
      <c r="Y648">
        <f>($B$14*(I648*C648+IF(ABS(X648-D648)&lt;0.000000001,4*$B$19*$B$20*(D648+273)^3,$B$19*$B$20*((X648+273)^4-(D648+273)^4)/(X648-D648))*D648)+T648/H648)/($B$14*(I648+IF(ABS(X648-D648)&lt;0.000000001,4*$B$19*$B$20*(D648+273)^3,$B$19*$B$20*((X648+273)^4-(D648+273)^4)/(X648-D648)))+1/H648)</f>
        <v/>
      </c>
      <c r="Z648">
        <f>IF(ABS(Y648-D648)&lt;0.000000001,4*$B$19*$B$20*(D648+273)^3,$B$19*$B$20*((Y648+273)^4-(D648+273)^4)/(Y648-D648))</f>
        <v/>
      </c>
      <c r="AA648">
        <f>$B$14*I648*(Y648-C648)</f>
        <v/>
      </c>
      <c r="AB648">
        <f>$B$14*Z648*(Y648-D648)</f>
        <v/>
      </c>
      <c r="AC648">
        <f>IF((U648-E648)/G648=0,0.001,(U648-E648)/G648)</f>
        <v/>
      </c>
      <c r="AD648">
        <f>F648-P648-J648-K648-AA648-AB648</f>
        <v/>
      </c>
      <c r="AE648">
        <f>AD648/AC648</f>
        <v/>
      </c>
      <c r="AF648">
        <f>IF(AD648&lt;=0,0,IF(AC648&lt;=0,$B$11,IF(AE648&gt;=1.7,$B$11,MIN(AD648/MAX(0.05,IF(AE648&gt;1,(2-AE648)^2/2,1-AE648^2/2)),$B$11))))</f>
        <v/>
      </c>
      <c r="AG648">
        <f>AG647*$B$28+AF648*(1-$B$28)</f>
        <v/>
      </c>
      <c r="AH648">
        <f>IF(AND(AD648&gt;0,AC648&lt;=0),0,AC648)</f>
        <v/>
      </c>
      <c r="AI648">
        <f>AH648/MAX(AG648,0.000001)</f>
        <v/>
      </c>
      <c r="AJ648">
        <f>MIN(IF(AI648&gt;=0.5,-AI648+SQRT(AI648^2+2),1),$B$12)</f>
        <v/>
      </c>
      <c r="AK648">
        <f>IF(AG648&lt;=0,0,AJ648*AH648)</f>
        <v/>
      </c>
      <c r="AL648">
        <f>IF(AD648&lt;=0,0,AD648)</f>
        <v/>
      </c>
      <c r="AM648">
        <f>AL648-AK648+P648</f>
        <v/>
      </c>
      <c r="AN648">
        <f>((AM648/$B$7+T647*AS647/2-T648*MAX(0.1,MIN(0.3,0.3-0.09*(AR647-36.8)))/2)+AR647*(1-AS647/2))/(1-MAX(0.1,MIN(0.3,0.3-0.09*(AR647-36.8)))/2)</f>
        <v/>
      </c>
      <c r="AO648">
        <f>((AM648/$B$7+T647*AS647/2-T648*MAX(0.1,MIN(0.3,0.3-0.09*(AN648-36.8)))/2)+AR647*(1-AS647/2))/(1-MAX(0.1,MIN(0.3,0.3-0.09*(AN648-36.8)))/2)</f>
        <v/>
      </c>
      <c r="AP648">
        <f>((AM648/$B$7+T647*AS647/2-T648*MAX(0.1,MIN(0.3,0.3-0.09*(AO648-36.8)))/2)+AR647*(1-AS647/2))/(1-MAX(0.1,MIN(0.3,0.3-0.09*(AO648-36.8)))/2)</f>
        <v/>
      </c>
      <c r="AQ648">
        <f>((AM648/$B$7+T647*AS647/2-T648*MAX(0.1,MIN(0.3,0.3-0.09*(AP648-36.8)))/2)+AR647*(1-AS647/2))/(1-MAX(0.1,MIN(0.3,0.3-0.09*(AP648-36.8)))/2)</f>
        <v/>
      </c>
      <c r="AR648">
        <f>((AM648/$B$7+T647*AS647/2-T648*MAX(0.1,MIN(0.3,0.3-0.09*(AQ648-36.8)))/2)+AR647*(1-AS647/2))/(1-MAX(0.1,MIN(0.3,0.3-0.09*(AQ648-36.8)))/2)</f>
        <v/>
      </c>
      <c r="AS648">
        <f>MAX(0.1,MIN(0.3,0.3-0.09*(AR648-36.8)))</f>
        <v/>
      </c>
      <c r="AT648">
        <f>AT647+(2*AR648-1.962*AT647-1.31)/9</f>
        <v/>
      </c>
      <c r="AU648">
        <f>AU647+AG648+K648</f>
        <v/>
      </c>
      <c r="AV648">
        <f>AU648*2.67*$B$6/1.8/60</f>
        <v/>
      </c>
      <c r="AW648">
        <f>IF(AT648&gt;=$B$36,1,0)</f>
        <v/>
      </c>
      <c r="AX648">
        <f>IF(AV648&gt;=$B$21,1,0)</f>
        <v/>
      </c>
    </row>
    <row r="649">
      <c r="A649" t="n">
        <v>576</v>
      </c>
      <c r="B649">
        <f>MATCH(A649-1,$D$61:$D$68,1)</f>
        <v/>
      </c>
      <c r="C649">
        <f>INDEX($G$61:$G$68,B649)</f>
        <v/>
      </c>
      <c r="D649">
        <f>INDEX($L$61:$L$68,B649)</f>
        <v/>
      </c>
      <c r="E649">
        <f>INDEX($M$61:$M$68,B649)</f>
        <v/>
      </c>
      <c r="F649">
        <f>INDEX($N$61:$N$68,B649)</f>
        <v/>
      </c>
      <c r="G649">
        <f>INDEX($AA$61:$AA$68,B649)</f>
        <v/>
      </c>
      <c r="H649">
        <f>INDEX($X$61:$X$68,B649)</f>
        <v/>
      </c>
      <c r="I649">
        <f>INDEX($AF$61:$AF$68,B649)</f>
        <v/>
      </c>
      <c r="J649">
        <f>INDEX($AC$61:$AC$68,B649)</f>
        <v/>
      </c>
      <c r="K649">
        <f>INDEX($AD$61:$AD$68,B649)</f>
        <v/>
      </c>
      <c r="L649">
        <f>INDEX($AG$61:$AG$68,B649)</f>
        <v/>
      </c>
      <c r="M649">
        <f>INDEX($AH$61:$AH$68,B649)</f>
        <v/>
      </c>
      <c r="N649">
        <f>INDEX($AI$61:$AI$68,B649)</f>
        <v/>
      </c>
      <c r="O649">
        <f>O648*$B$26+L649*(1-$B$26)</f>
        <v/>
      </c>
      <c r="P649">
        <f>$B$7*(O649-O648)*(1-AS648)</f>
        <v/>
      </c>
      <c r="Q649">
        <f>M649+0.51274*AT648</f>
        <v/>
      </c>
      <c r="R649">
        <f>N649+0.616*AT648</f>
        <v/>
      </c>
      <c r="S649">
        <f>IF($B$13&gt;=0.6,Q649,IF($B$13&lt;=0.2,R649,R649+2.5*(Q649-R649)*($B$13-0.2)))</f>
        <v/>
      </c>
      <c r="T649">
        <f>IF(A649=1,S649,T648*$B$27+S649*(1-$B$27))</f>
        <v/>
      </c>
      <c r="U649">
        <f>0.6105*EXP(17.27*T649/(T649+237.3))</f>
        <v/>
      </c>
      <c r="V649">
        <f>($B$14*(I649*C649+IF(ABS((D649+0.1)-D649)&lt;0.000000001,4*$B$19*$B$20*(D649+273)^3,$B$19*$B$20*(((D649+0.1)+273)^4-(D649+273)^4)/((D649+0.1)-D649))*D649)+T649/H649)/($B$14*(I649+IF(ABS((D649+0.1)-D649)&lt;0.000000001,4*$B$19*$B$20*(D649+273)^3,$B$19*$B$20*(((D649+0.1)+273)^4-(D649+273)^4)/((D649+0.1)-D649)))+1/H649)</f>
        <v/>
      </c>
      <c r="W649">
        <f>($B$14*(I649*C649+IF(ABS(V649-D649)&lt;0.000000001,4*$B$19*$B$20*(D649+273)^3,$B$19*$B$20*((V649+273)^4-(D649+273)^4)/(V649-D649))*D649)+T649/H649)/($B$14*(I649+IF(ABS(V649-D649)&lt;0.000000001,4*$B$19*$B$20*(D649+273)^3,$B$19*$B$20*((V649+273)^4-(D649+273)^4)/(V649-D649)))+1/H649)</f>
        <v/>
      </c>
      <c r="X649">
        <f>($B$14*(I649*C649+IF(ABS(W649-D649)&lt;0.000000001,4*$B$19*$B$20*(D649+273)^3,$B$19*$B$20*((W649+273)^4-(D649+273)^4)/(W649-D649))*D649)+T649/H649)/($B$14*(I649+IF(ABS(W649-D649)&lt;0.000000001,4*$B$19*$B$20*(D649+273)^3,$B$19*$B$20*((W649+273)^4-(D649+273)^4)/(W649-D649)))+1/H649)</f>
        <v/>
      </c>
      <c r="Y649">
        <f>($B$14*(I649*C649+IF(ABS(X649-D649)&lt;0.000000001,4*$B$19*$B$20*(D649+273)^3,$B$19*$B$20*((X649+273)^4-(D649+273)^4)/(X649-D649))*D649)+T649/H649)/($B$14*(I649+IF(ABS(X649-D649)&lt;0.000000001,4*$B$19*$B$20*(D649+273)^3,$B$19*$B$20*((X649+273)^4-(D649+273)^4)/(X649-D649)))+1/H649)</f>
        <v/>
      </c>
      <c r="Z649">
        <f>IF(ABS(Y649-D649)&lt;0.000000001,4*$B$19*$B$20*(D649+273)^3,$B$19*$B$20*((Y649+273)^4-(D649+273)^4)/(Y649-D649))</f>
        <v/>
      </c>
      <c r="AA649">
        <f>$B$14*I649*(Y649-C649)</f>
        <v/>
      </c>
      <c r="AB649">
        <f>$B$14*Z649*(Y649-D649)</f>
        <v/>
      </c>
      <c r="AC649">
        <f>IF((U649-E649)/G649=0,0.001,(U649-E649)/G649)</f>
        <v/>
      </c>
      <c r="AD649">
        <f>F649-P649-J649-K649-AA649-AB649</f>
        <v/>
      </c>
      <c r="AE649">
        <f>AD649/AC649</f>
        <v/>
      </c>
      <c r="AF649">
        <f>IF(AD649&lt;=0,0,IF(AC649&lt;=0,$B$11,IF(AE649&gt;=1.7,$B$11,MIN(AD649/MAX(0.05,IF(AE649&gt;1,(2-AE649)^2/2,1-AE649^2/2)),$B$11))))</f>
        <v/>
      </c>
      <c r="AG649">
        <f>AG648*$B$28+AF649*(1-$B$28)</f>
        <v/>
      </c>
      <c r="AH649">
        <f>IF(AND(AD649&gt;0,AC649&lt;=0),0,AC649)</f>
        <v/>
      </c>
      <c r="AI649">
        <f>AH649/MAX(AG649,0.000001)</f>
        <v/>
      </c>
      <c r="AJ649">
        <f>MIN(IF(AI649&gt;=0.5,-AI649+SQRT(AI649^2+2),1),$B$12)</f>
        <v/>
      </c>
      <c r="AK649">
        <f>IF(AG649&lt;=0,0,AJ649*AH649)</f>
        <v/>
      </c>
      <c r="AL649">
        <f>IF(AD649&lt;=0,0,AD649)</f>
        <v/>
      </c>
      <c r="AM649">
        <f>AL649-AK649+P649</f>
        <v/>
      </c>
      <c r="AN649">
        <f>((AM649/$B$7+T648*AS648/2-T649*MAX(0.1,MIN(0.3,0.3-0.09*(AR648-36.8)))/2)+AR648*(1-AS648/2))/(1-MAX(0.1,MIN(0.3,0.3-0.09*(AR648-36.8)))/2)</f>
        <v/>
      </c>
      <c r="AO649">
        <f>((AM649/$B$7+T648*AS648/2-T649*MAX(0.1,MIN(0.3,0.3-0.09*(AN649-36.8)))/2)+AR648*(1-AS648/2))/(1-MAX(0.1,MIN(0.3,0.3-0.09*(AN649-36.8)))/2)</f>
        <v/>
      </c>
      <c r="AP649">
        <f>((AM649/$B$7+T648*AS648/2-T649*MAX(0.1,MIN(0.3,0.3-0.09*(AO649-36.8)))/2)+AR648*(1-AS648/2))/(1-MAX(0.1,MIN(0.3,0.3-0.09*(AO649-36.8)))/2)</f>
        <v/>
      </c>
      <c r="AQ649">
        <f>((AM649/$B$7+T648*AS648/2-T649*MAX(0.1,MIN(0.3,0.3-0.09*(AP649-36.8)))/2)+AR648*(1-AS648/2))/(1-MAX(0.1,MIN(0.3,0.3-0.09*(AP649-36.8)))/2)</f>
        <v/>
      </c>
      <c r="AR649">
        <f>((AM649/$B$7+T648*AS648/2-T649*MAX(0.1,MIN(0.3,0.3-0.09*(AQ649-36.8)))/2)+AR648*(1-AS648/2))/(1-MAX(0.1,MIN(0.3,0.3-0.09*(AQ649-36.8)))/2)</f>
        <v/>
      </c>
      <c r="AS649">
        <f>MAX(0.1,MIN(0.3,0.3-0.09*(AR649-36.8)))</f>
        <v/>
      </c>
      <c r="AT649">
        <f>AT648+(2*AR649-1.962*AT648-1.31)/9</f>
        <v/>
      </c>
      <c r="AU649">
        <f>AU648+AG649+K649</f>
        <v/>
      </c>
      <c r="AV649">
        <f>AU649*2.67*$B$6/1.8/60</f>
        <v/>
      </c>
      <c r="AW649">
        <f>IF(AT649&gt;=$B$36,1,0)</f>
        <v/>
      </c>
      <c r="AX649">
        <f>IF(AV649&gt;=$B$21,1,0)</f>
        <v/>
      </c>
    </row>
    <row r="650">
      <c r="A650" t="n">
        <v>577</v>
      </c>
      <c r="B650">
        <f>MATCH(A650-1,$D$61:$D$68,1)</f>
        <v/>
      </c>
      <c r="C650">
        <f>INDEX($G$61:$G$68,B650)</f>
        <v/>
      </c>
      <c r="D650">
        <f>INDEX($L$61:$L$68,B650)</f>
        <v/>
      </c>
      <c r="E650">
        <f>INDEX($M$61:$M$68,B650)</f>
        <v/>
      </c>
      <c r="F650">
        <f>INDEX($N$61:$N$68,B650)</f>
        <v/>
      </c>
      <c r="G650">
        <f>INDEX($AA$61:$AA$68,B650)</f>
        <v/>
      </c>
      <c r="H650">
        <f>INDEX($X$61:$X$68,B650)</f>
        <v/>
      </c>
      <c r="I650">
        <f>INDEX($AF$61:$AF$68,B650)</f>
        <v/>
      </c>
      <c r="J650">
        <f>INDEX($AC$61:$AC$68,B650)</f>
        <v/>
      </c>
      <c r="K650">
        <f>INDEX($AD$61:$AD$68,B650)</f>
        <v/>
      </c>
      <c r="L650">
        <f>INDEX($AG$61:$AG$68,B650)</f>
        <v/>
      </c>
      <c r="M650">
        <f>INDEX($AH$61:$AH$68,B650)</f>
        <v/>
      </c>
      <c r="N650">
        <f>INDEX($AI$61:$AI$68,B650)</f>
        <v/>
      </c>
      <c r="O650">
        <f>O649*$B$26+L650*(1-$B$26)</f>
        <v/>
      </c>
      <c r="P650">
        <f>$B$7*(O650-O649)*(1-AS649)</f>
        <v/>
      </c>
      <c r="Q650">
        <f>M650+0.51274*AT649</f>
        <v/>
      </c>
      <c r="R650">
        <f>N650+0.616*AT649</f>
        <v/>
      </c>
      <c r="S650">
        <f>IF($B$13&gt;=0.6,Q650,IF($B$13&lt;=0.2,R650,R650+2.5*(Q650-R650)*($B$13-0.2)))</f>
        <v/>
      </c>
      <c r="T650">
        <f>IF(A650=1,S650,T649*$B$27+S650*(1-$B$27))</f>
        <v/>
      </c>
      <c r="U650">
        <f>0.6105*EXP(17.27*T650/(T650+237.3))</f>
        <v/>
      </c>
      <c r="V650">
        <f>($B$14*(I650*C650+IF(ABS((D650+0.1)-D650)&lt;0.000000001,4*$B$19*$B$20*(D650+273)^3,$B$19*$B$20*(((D650+0.1)+273)^4-(D650+273)^4)/((D650+0.1)-D650))*D650)+T650/H650)/($B$14*(I650+IF(ABS((D650+0.1)-D650)&lt;0.000000001,4*$B$19*$B$20*(D650+273)^3,$B$19*$B$20*(((D650+0.1)+273)^4-(D650+273)^4)/((D650+0.1)-D650)))+1/H650)</f>
        <v/>
      </c>
      <c r="W650">
        <f>($B$14*(I650*C650+IF(ABS(V650-D650)&lt;0.000000001,4*$B$19*$B$20*(D650+273)^3,$B$19*$B$20*((V650+273)^4-(D650+273)^4)/(V650-D650))*D650)+T650/H650)/($B$14*(I650+IF(ABS(V650-D650)&lt;0.000000001,4*$B$19*$B$20*(D650+273)^3,$B$19*$B$20*((V650+273)^4-(D650+273)^4)/(V650-D650)))+1/H650)</f>
        <v/>
      </c>
      <c r="X650">
        <f>($B$14*(I650*C650+IF(ABS(W650-D650)&lt;0.000000001,4*$B$19*$B$20*(D650+273)^3,$B$19*$B$20*((W650+273)^4-(D650+273)^4)/(W650-D650))*D650)+T650/H650)/($B$14*(I650+IF(ABS(W650-D650)&lt;0.000000001,4*$B$19*$B$20*(D650+273)^3,$B$19*$B$20*((W650+273)^4-(D650+273)^4)/(W650-D650)))+1/H650)</f>
        <v/>
      </c>
      <c r="Y650">
        <f>($B$14*(I650*C650+IF(ABS(X650-D650)&lt;0.000000001,4*$B$19*$B$20*(D650+273)^3,$B$19*$B$20*((X650+273)^4-(D650+273)^4)/(X650-D650))*D650)+T650/H650)/($B$14*(I650+IF(ABS(X650-D650)&lt;0.000000001,4*$B$19*$B$20*(D650+273)^3,$B$19*$B$20*((X650+273)^4-(D650+273)^4)/(X650-D650)))+1/H650)</f>
        <v/>
      </c>
      <c r="Z650">
        <f>IF(ABS(Y650-D650)&lt;0.000000001,4*$B$19*$B$20*(D650+273)^3,$B$19*$B$20*((Y650+273)^4-(D650+273)^4)/(Y650-D650))</f>
        <v/>
      </c>
      <c r="AA650">
        <f>$B$14*I650*(Y650-C650)</f>
        <v/>
      </c>
      <c r="AB650">
        <f>$B$14*Z650*(Y650-D650)</f>
        <v/>
      </c>
      <c r="AC650">
        <f>IF((U650-E650)/G650=0,0.001,(U650-E650)/G650)</f>
        <v/>
      </c>
      <c r="AD650">
        <f>F650-P650-J650-K650-AA650-AB650</f>
        <v/>
      </c>
      <c r="AE650">
        <f>AD650/AC650</f>
        <v/>
      </c>
      <c r="AF650">
        <f>IF(AD650&lt;=0,0,IF(AC650&lt;=0,$B$11,IF(AE650&gt;=1.7,$B$11,MIN(AD650/MAX(0.05,IF(AE650&gt;1,(2-AE650)^2/2,1-AE650^2/2)),$B$11))))</f>
        <v/>
      </c>
      <c r="AG650">
        <f>AG649*$B$28+AF650*(1-$B$28)</f>
        <v/>
      </c>
      <c r="AH650">
        <f>IF(AND(AD650&gt;0,AC650&lt;=0),0,AC650)</f>
        <v/>
      </c>
      <c r="AI650">
        <f>AH650/MAX(AG650,0.000001)</f>
        <v/>
      </c>
      <c r="AJ650">
        <f>MIN(IF(AI650&gt;=0.5,-AI650+SQRT(AI650^2+2),1),$B$12)</f>
        <v/>
      </c>
      <c r="AK650">
        <f>IF(AG650&lt;=0,0,AJ650*AH650)</f>
        <v/>
      </c>
      <c r="AL650">
        <f>IF(AD650&lt;=0,0,AD650)</f>
        <v/>
      </c>
      <c r="AM650">
        <f>AL650-AK650+P650</f>
        <v/>
      </c>
      <c r="AN650">
        <f>((AM650/$B$7+T649*AS649/2-T650*MAX(0.1,MIN(0.3,0.3-0.09*(AR649-36.8)))/2)+AR649*(1-AS649/2))/(1-MAX(0.1,MIN(0.3,0.3-0.09*(AR649-36.8)))/2)</f>
        <v/>
      </c>
      <c r="AO650">
        <f>((AM650/$B$7+T649*AS649/2-T650*MAX(0.1,MIN(0.3,0.3-0.09*(AN650-36.8)))/2)+AR649*(1-AS649/2))/(1-MAX(0.1,MIN(0.3,0.3-0.09*(AN650-36.8)))/2)</f>
        <v/>
      </c>
      <c r="AP650">
        <f>((AM650/$B$7+T649*AS649/2-T650*MAX(0.1,MIN(0.3,0.3-0.09*(AO650-36.8)))/2)+AR649*(1-AS649/2))/(1-MAX(0.1,MIN(0.3,0.3-0.09*(AO650-36.8)))/2)</f>
        <v/>
      </c>
      <c r="AQ650">
        <f>((AM650/$B$7+T649*AS649/2-T650*MAX(0.1,MIN(0.3,0.3-0.09*(AP650-36.8)))/2)+AR649*(1-AS649/2))/(1-MAX(0.1,MIN(0.3,0.3-0.09*(AP650-36.8)))/2)</f>
        <v/>
      </c>
      <c r="AR650">
        <f>((AM650/$B$7+T649*AS649/2-T650*MAX(0.1,MIN(0.3,0.3-0.09*(AQ650-36.8)))/2)+AR649*(1-AS649/2))/(1-MAX(0.1,MIN(0.3,0.3-0.09*(AQ650-36.8)))/2)</f>
        <v/>
      </c>
      <c r="AS650">
        <f>MAX(0.1,MIN(0.3,0.3-0.09*(AR650-36.8)))</f>
        <v/>
      </c>
      <c r="AT650">
        <f>AT649+(2*AR650-1.962*AT649-1.31)/9</f>
        <v/>
      </c>
      <c r="AU650">
        <f>AU649+AG650+K650</f>
        <v/>
      </c>
      <c r="AV650">
        <f>AU650*2.67*$B$6/1.8/60</f>
        <v/>
      </c>
      <c r="AW650">
        <f>IF(AT650&gt;=$B$36,1,0)</f>
        <v/>
      </c>
      <c r="AX650">
        <f>IF(AV650&gt;=$B$21,1,0)</f>
        <v/>
      </c>
    </row>
    <row r="651">
      <c r="A651" t="n">
        <v>578</v>
      </c>
      <c r="B651">
        <f>MATCH(A651-1,$D$61:$D$68,1)</f>
        <v/>
      </c>
      <c r="C651">
        <f>INDEX($G$61:$G$68,B651)</f>
        <v/>
      </c>
      <c r="D651">
        <f>INDEX($L$61:$L$68,B651)</f>
        <v/>
      </c>
      <c r="E651">
        <f>INDEX($M$61:$M$68,B651)</f>
        <v/>
      </c>
      <c r="F651">
        <f>INDEX($N$61:$N$68,B651)</f>
        <v/>
      </c>
      <c r="G651">
        <f>INDEX($AA$61:$AA$68,B651)</f>
        <v/>
      </c>
      <c r="H651">
        <f>INDEX($X$61:$X$68,B651)</f>
        <v/>
      </c>
      <c r="I651">
        <f>INDEX($AF$61:$AF$68,B651)</f>
        <v/>
      </c>
      <c r="J651">
        <f>INDEX($AC$61:$AC$68,B651)</f>
        <v/>
      </c>
      <c r="K651">
        <f>INDEX($AD$61:$AD$68,B651)</f>
        <v/>
      </c>
      <c r="L651">
        <f>INDEX($AG$61:$AG$68,B651)</f>
        <v/>
      </c>
      <c r="M651">
        <f>INDEX($AH$61:$AH$68,B651)</f>
        <v/>
      </c>
      <c r="N651">
        <f>INDEX($AI$61:$AI$68,B651)</f>
        <v/>
      </c>
      <c r="O651">
        <f>O650*$B$26+L651*(1-$B$26)</f>
        <v/>
      </c>
      <c r="P651">
        <f>$B$7*(O651-O650)*(1-AS650)</f>
        <v/>
      </c>
      <c r="Q651">
        <f>M651+0.51274*AT650</f>
        <v/>
      </c>
      <c r="R651">
        <f>N651+0.616*AT650</f>
        <v/>
      </c>
      <c r="S651">
        <f>IF($B$13&gt;=0.6,Q651,IF($B$13&lt;=0.2,R651,R651+2.5*(Q651-R651)*($B$13-0.2)))</f>
        <v/>
      </c>
      <c r="T651">
        <f>IF(A651=1,S651,T650*$B$27+S651*(1-$B$27))</f>
        <v/>
      </c>
      <c r="U651">
        <f>0.6105*EXP(17.27*T651/(T651+237.3))</f>
        <v/>
      </c>
      <c r="V651">
        <f>($B$14*(I651*C651+IF(ABS((D651+0.1)-D651)&lt;0.000000001,4*$B$19*$B$20*(D651+273)^3,$B$19*$B$20*(((D651+0.1)+273)^4-(D651+273)^4)/((D651+0.1)-D651))*D651)+T651/H651)/($B$14*(I651+IF(ABS((D651+0.1)-D651)&lt;0.000000001,4*$B$19*$B$20*(D651+273)^3,$B$19*$B$20*(((D651+0.1)+273)^4-(D651+273)^4)/((D651+0.1)-D651)))+1/H651)</f>
        <v/>
      </c>
      <c r="W651">
        <f>($B$14*(I651*C651+IF(ABS(V651-D651)&lt;0.000000001,4*$B$19*$B$20*(D651+273)^3,$B$19*$B$20*((V651+273)^4-(D651+273)^4)/(V651-D651))*D651)+T651/H651)/($B$14*(I651+IF(ABS(V651-D651)&lt;0.000000001,4*$B$19*$B$20*(D651+273)^3,$B$19*$B$20*((V651+273)^4-(D651+273)^4)/(V651-D651)))+1/H651)</f>
        <v/>
      </c>
      <c r="X651">
        <f>($B$14*(I651*C651+IF(ABS(W651-D651)&lt;0.000000001,4*$B$19*$B$20*(D651+273)^3,$B$19*$B$20*((W651+273)^4-(D651+273)^4)/(W651-D651))*D651)+T651/H651)/($B$14*(I651+IF(ABS(W651-D651)&lt;0.000000001,4*$B$19*$B$20*(D651+273)^3,$B$19*$B$20*((W651+273)^4-(D651+273)^4)/(W651-D651)))+1/H651)</f>
        <v/>
      </c>
      <c r="Y651">
        <f>($B$14*(I651*C651+IF(ABS(X651-D651)&lt;0.000000001,4*$B$19*$B$20*(D651+273)^3,$B$19*$B$20*((X651+273)^4-(D651+273)^4)/(X651-D651))*D651)+T651/H651)/($B$14*(I651+IF(ABS(X651-D651)&lt;0.000000001,4*$B$19*$B$20*(D651+273)^3,$B$19*$B$20*((X651+273)^4-(D651+273)^4)/(X651-D651)))+1/H651)</f>
        <v/>
      </c>
      <c r="Z651">
        <f>IF(ABS(Y651-D651)&lt;0.000000001,4*$B$19*$B$20*(D651+273)^3,$B$19*$B$20*((Y651+273)^4-(D651+273)^4)/(Y651-D651))</f>
        <v/>
      </c>
      <c r="AA651">
        <f>$B$14*I651*(Y651-C651)</f>
        <v/>
      </c>
      <c r="AB651">
        <f>$B$14*Z651*(Y651-D651)</f>
        <v/>
      </c>
      <c r="AC651">
        <f>IF((U651-E651)/G651=0,0.001,(U651-E651)/G651)</f>
        <v/>
      </c>
      <c r="AD651">
        <f>F651-P651-J651-K651-AA651-AB651</f>
        <v/>
      </c>
      <c r="AE651">
        <f>AD651/AC651</f>
        <v/>
      </c>
      <c r="AF651">
        <f>IF(AD651&lt;=0,0,IF(AC651&lt;=0,$B$11,IF(AE651&gt;=1.7,$B$11,MIN(AD651/MAX(0.05,IF(AE651&gt;1,(2-AE651)^2/2,1-AE651^2/2)),$B$11))))</f>
        <v/>
      </c>
      <c r="AG651">
        <f>AG650*$B$28+AF651*(1-$B$28)</f>
        <v/>
      </c>
      <c r="AH651">
        <f>IF(AND(AD651&gt;0,AC651&lt;=0),0,AC651)</f>
        <v/>
      </c>
      <c r="AI651">
        <f>AH651/MAX(AG651,0.000001)</f>
        <v/>
      </c>
      <c r="AJ651">
        <f>MIN(IF(AI651&gt;=0.5,-AI651+SQRT(AI651^2+2),1),$B$12)</f>
        <v/>
      </c>
      <c r="AK651">
        <f>IF(AG651&lt;=0,0,AJ651*AH651)</f>
        <v/>
      </c>
      <c r="AL651">
        <f>IF(AD651&lt;=0,0,AD651)</f>
        <v/>
      </c>
      <c r="AM651">
        <f>AL651-AK651+P651</f>
        <v/>
      </c>
      <c r="AN651">
        <f>((AM651/$B$7+T650*AS650/2-T651*MAX(0.1,MIN(0.3,0.3-0.09*(AR650-36.8)))/2)+AR650*(1-AS650/2))/(1-MAX(0.1,MIN(0.3,0.3-0.09*(AR650-36.8)))/2)</f>
        <v/>
      </c>
      <c r="AO651">
        <f>((AM651/$B$7+T650*AS650/2-T651*MAX(0.1,MIN(0.3,0.3-0.09*(AN651-36.8)))/2)+AR650*(1-AS650/2))/(1-MAX(0.1,MIN(0.3,0.3-0.09*(AN651-36.8)))/2)</f>
        <v/>
      </c>
      <c r="AP651">
        <f>((AM651/$B$7+T650*AS650/2-T651*MAX(0.1,MIN(0.3,0.3-0.09*(AO651-36.8)))/2)+AR650*(1-AS650/2))/(1-MAX(0.1,MIN(0.3,0.3-0.09*(AO651-36.8)))/2)</f>
        <v/>
      </c>
      <c r="AQ651">
        <f>((AM651/$B$7+T650*AS650/2-T651*MAX(0.1,MIN(0.3,0.3-0.09*(AP651-36.8)))/2)+AR650*(1-AS650/2))/(1-MAX(0.1,MIN(0.3,0.3-0.09*(AP651-36.8)))/2)</f>
        <v/>
      </c>
      <c r="AR651">
        <f>((AM651/$B$7+T650*AS650/2-T651*MAX(0.1,MIN(0.3,0.3-0.09*(AQ651-36.8)))/2)+AR650*(1-AS650/2))/(1-MAX(0.1,MIN(0.3,0.3-0.09*(AQ651-36.8)))/2)</f>
        <v/>
      </c>
      <c r="AS651">
        <f>MAX(0.1,MIN(0.3,0.3-0.09*(AR651-36.8)))</f>
        <v/>
      </c>
      <c r="AT651">
        <f>AT650+(2*AR651-1.962*AT650-1.31)/9</f>
        <v/>
      </c>
      <c r="AU651">
        <f>AU650+AG651+K651</f>
        <v/>
      </c>
      <c r="AV651">
        <f>AU651*2.67*$B$6/1.8/60</f>
        <v/>
      </c>
      <c r="AW651">
        <f>IF(AT651&gt;=$B$36,1,0)</f>
        <v/>
      </c>
      <c r="AX651">
        <f>IF(AV651&gt;=$B$21,1,0)</f>
        <v/>
      </c>
    </row>
    <row r="652">
      <c r="A652" t="n">
        <v>579</v>
      </c>
      <c r="B652">
        <f>MATCH(A652-1,$D$61:$D$68,1)</f>
        <v/>
      </c>
      <c r="C652">
        <f>INDEX($G$61:$G$68,B652)</f>
        <v/>
      </c>
      <c r="D652">
        <f>INDEX($L$61:$L$68,B652)</f>
        <v/>
      </c>
      <c r="E652">
        <f>INDEX($M$61:$M$68,B652)</f>
        <v/>
      </c>
      <c r="F652">
        <f>INDEX($N$61:$N$68,B652)</f>
        <v/>
      </c>
      <c r="G652">
        <f>INDEX($AA$61:$AA$68,B652)</f>
        <v/>
      </c>
      <c r="H652">
        <f>INDEX($X$61:$X$68,B652)</f>
        <v/>
      </c>
      <c r="I652">
        <f>INDEX($AF$61:$AF$68,B652)</f>
        <v/>
      </c>
      <c r="J652">
        <f>INDEX($AC$61:$AC$68,B652)</f>
        <v/>
      </c>
      <c r="K652">
        <f>INDEX($AD$61:$AD$68,B652)</f>
        <v/>
      </c>
      <c r="L652">
        <f>INDEX($AG$61:$AG$68,B652)</f>
        <v/>
      </c>
      <c r="M652">
        <f>INDEX($AH$61:$AH$68,B652)</f>
        <v/>
      </c>
      <c r="N652">
        <f>INDEX($AI$61:$AI$68,B652)</f>
        <v/>
      </c>
      <c r="O652">
        <f>O651*$B$26+L652*(1-$B$26)</f>
        <v/>
      </c>
      <c r="P652">
        <f>$B$7*(O652-O651)*(1-AS651)</f>
        <v/>
      </c>
      <c r="Q652">
        <f>M652+0.51274*AT651</f>
        <v/>
      </c>
      <c r="R652">
        <f>N652+0.616*AT651</f>
        <v/>
      </c>
      <c r="S652">
        <f>IF($B$13&gt;=0.6,Q652,IF($B$13&lt;=0.2,R652,R652+2.5*(Q652-R652)*($B$13-0.2)))</f>
        <v/>
      </c>
      <c r="T652">
        <f>IF(A652=1,S652,T651*$B$27+S652*(1-$B$27))</f>
        <v/>
      </c>
      <c r="U652">
        <f>0.6105*EXP(17.27*T652/(T652+237.3))</f>
        <v/>
      </c>
      <c r="V652">
        <f>($B$14*(I652*C652+IF(ABS((D652+0.1)-D652)&lt;0.000000001,4*$B$19*$B$20*(D652+273)^3,$B$19*$B$20*(((D652+0.1)+273)^4-(D652+273)^4)/((D652+0.1)-D652))*D652)+T652/H652)/($B$14*(I652+IF(ABS((D652+0.1)-D652)&lt;0.000000001,4*$B$19*$B$20*(D652+273)^3,$B$19*$B$20*(((D652+0.1)+273)^4-(D652+273)^4)/((D652+0.1)-D652)))+1/H652)</f>
        <v/>
      </c>
      <c r="W652">
        <f>($B$14*(I652*C652+IF(ABS(V652-D652)&lt;0.000000001,4*$B$19*$B$20*(D652+273)^3,$B$19*$B$20*((V652+273)^4-(D652+273)^4)/(V652-D652))*D652)+T652/H652)/($B$14*(I652+IF(ABS(V652-D652)&lt;0.000000001,4*$B$19*$B$20*(D652+273)^3,$B$19*$B$20*((V652+273)^4-(D652+273)^4)/(V652-D652)))+1/H652)</f>
        <v/>
      </c>
      <c r="X652">
        <f>($B$14*(I652*C652+IF(ABS(W652-D652)&lt;0.000000001,4*$B$19*$B$20*(D652+273)^3,$B$19*$B$20*((W652+273)^4-(D652+273)^4)/(W652-D652))*D652)+T652/H652)/($B$14*(I652+IF(ABS(W652-D652)&lt;0.000000001,4*$B$19*$B$20*(D652+273)^3,$B$19*$B$20*((W652+273)^4-(D652+273)^4)/(W652-D652)))+1/H652)</f>
        <v/>
      </c>
      <c r="Y652">
        <f>($B$14*(I652*C652+IF(ABS(X652-D652)&lt;0.000000001,4*$B$19*$B$20*(D652+273)^3,$B$19*$B$20*((X652+273)^4-(D652+273)^4)/(X652-D652))*D652)+T652/H652)/($B$14*(I652+IF(ABS(X652-D652)&lt;0.000000001,4*$B$19*$B$20*(D652+273)^3,$B$19*$B$20*((X652+273)^4-(D652+273)^4)/(X652-D652)))+1/H652)</f>
        <v/>
      </c>
      <c r="Z652">
        <f>IF(ABS(Y652-D652)&lt;0.000000001,4*$B$19*$B$20*(D652+273)^3,$B$19*$B$20*((Y652+273)^4-(D652+273)^4)/(Y652-D652))</f>
        <v/>
      </c>
      <c r="AA652">
        <f>$B$14*I652*(Y652-C652)</f>
        <v/>
      </c>
      <c r="AB652">
        <f>$B$14*Z652*(Y652-D652)</f>
        <v/>
      </c>
      <c r="AC652">
        <f>IF((U652-E652)/G652=0,0.001,(U652-E652)/G652)</f>
        <v/>
      </c>
      <c r="AD652">
        <f>F652-P652-J652-K652-AA652-AB652</f>
        <v/>
      </c>
      <c r="AE652">
        <f>AD652/AC652</f>
        <v/>
      </c>
      <c r="AF652">
        <f>IF(AD652&lt;=0,0,IF(AC652&lt;=0,$B$11,IF(AE652&gt;=1.7,$B$11,MIN(AD652/MAX(0.05,IF(AE652&gt;1,(2-AE652)^2/2,1-AE652^2/2)),$B$11))))</f>
        <v/>
      </c>
      <c r="AG652">
        <f>AG651*$B$28+AF652*(1-$B$28)</f>
        <v/>
      </c>
      <c r="AH652">
        <f>IF(AND(AD652&gt;0,AC652&lt;=0),0,AC652)</f>
        <v/>
      </c>
      <c r="AI652">
        <f>AH652/MAX(AG652,0.000001)</f>
        <v/>
      </c>
      <c r="AJ652">
        <f>MIN(IF(AI652&gt;=0.5,-AI652+SQRT(AI652^2+2),1),$B$12)</f>
        <v/>
      </c>
      <c r="AK652">
        <f>IF(AG652&lt;=0,0,AJ652*AH652)</f>
        <v/>
      </c>
      <c r="AL652">
        <f>IF(AD652&lt;=0,0,AD652)</f>
        <v/>
      </c>
      <c r="AM652">
        <f>AL652-AK652+P652</f>
        <v/>
      </c>
      <c r="AN652">
        <f>((AM652/$B$7+T651*AS651/2-T652*MAX(0.1,MIN(0.3,0.3-0.09*(AR651-36.8)))/2)+AR651*(1-AS651/2))/(1-MAX(0.1,MIN(0.3,0.3-0.09*(AR651-36.8)))/2)</f>
        <v/>
      </c>
      <c r="AO652">
        <f>((AM652/$B$7+T651*AS651/2-T652*MAX(0.1,MIN(0.3,0.3-0.09*(AN652-36.8)))/2)+AR651*(1-AS651/2))/(1-MAX(0.1,MIN(0.3,0.3-0.09*(AN652-36.8)))/2)</f>
        <v/>
      </c>
      <c r="AP652">
        <f>((AM652/$B$7+T651*AS651/2-T652*MAX(0.1,MIN(0.3,0.3-0.09*(AO652-36.8)))/2)+AR651*(1-AS651/2))/(1-MAX(0.1,MIN(0.3,0.3-0.09*(AO652-36.8)))/2)</f>
        <v/>
      </c>
      <c r="AQ652">
        <f>((AM652/$B$7+T651*AS651/2-T652*MAX(0.1,MIN(0.3,0.3-0.09*(AP652-36.8)))/2)+AR651*(1-AS651/2))/(1-MAX(0.1,MIN(0.3,0.3-0.09*(AP652-36.8)))/2)</f>
        <v/>
      </c>
      <c r="AR652">
        <f>((AM652/$B$7+T651*AS651/2-T652*MAX(0.1,MIN(0.3,0.3-0.09*(AQ652-36.8)))/2)+AR651*(1-AS651/2))/(1-MAX(0.1,MIN(0.3,0.3-0.09*(AQ652-36.8)))/2)</f>
        <v/>
      </c>
      <c r="AS652">
        <f>MAX(0.1,MIN(0.3,0.3-0.09*(AR652-36.8)))</f>
        <v/>
      </c>
      <c r="AT652">
        <f>AT651+(2*AR652-1.962*AT651-1.31)/9</f>
        <v/>
      </c>
      <c r="AU652">
        <f>AU651+AG652+K652</f>
        <v/>
      </c>
      <c r="AV652">
        <f>AU652*2.67*$B$6/1.8/60</f>
        <v/>
      </c>
      <c r="AW652">
        <f>IF(AT652&gt;=$B$36,1,0)</f>
        <v/>
      </c>
      <c r="AX652">
        <f>IF(AV652&gt;=$B$21,1,0)</f>
        <v/>
      </c>
    </row>
    <row r="653">
      <c r="A653" t="n">
        <v>580</v>
      </c>
      <c r="B653">
        <f>MATCH(A653-1,$D$61:$D$68,1)</f>
        <v/>
      </c>
      <c r="C653">
        <f>INDEX($G$61:$G$68,B653)</f>
        <v/>
      </c>
      <c r="D653">
        <f>INDEX($L$61:$L$68,B653)</f>
        <v/>
      </c>
      <c r="E653">
        <f>INDEX($M$61:$M$68,B653)</f>
        <v/>
      </c>
      <c r="F653">
        <f>INDEX($N$61:$N$68,B653)</f>
        <v/>
      </c>
      <c r="G653">
        <f>INDEX($AA$61:$AA$68,B653)</f>
        <v/>
      </c>
      <c r="H653">
        <f>INDEX($X$61:$X$68,B653)</f>
        <v/>
      </c>
      <c r="I653">
        <f>INDEX($AF$61:$AF$68,B653)</f>
        <v/>
      </c>
      <c r="J653">
        <f>INDEX($AC$61:$AC$68,B653)</f>
        <v/>
      </c>
      <c r="K653">
        <f>INDEX($AD$61:$AD$68,B653)</f>
        <v/>
      </c>
      <c r="L653">
        <f>INDEX($AG$61:$AG$68,B653)</f>
        <v/>
      </c>
      <c r="M653">
        <f>INDEX($AH$61:$AH$68,B653)</f>
        <v/>
      </c>
      <c r="N653">
        <f>INDEX($AI$61:$AI$68,B653)</f>
        <v/>
      </c>
      <c r="O653">
        <f>O652*$B$26+L653*(1-$B$26)</f>
        <v/>
      </c>
      <c r="P653">
        <f>$B$7*(O653-O652)*(1-AS652)</f>
        <v/>
      </c>
      <c r="Q653">
        <f>M653+0.51274*AT652</f>
        <v/>
      </c>
      <c r="R653">
        <f>N653+0.616*AT652</f>
        <v/>
      </c>
      <c r="S653">
        <f>IF($B$13&gt;=0.6,Q653,IF($B$13&lt;=0.2,R653,R653+2.5*(Q653-R653)*($B$13-0.2)))</f>
        <v/>
      </c>
      <c r="T653">
        <f>IF(A653=1,S653,T652*$B$27+S653*(1-$B$27))</f>
        <v/>
      </c>
      <c r="U653">
        <f>0.6105*EXP(17.27*T653/(T653+237.3))</f>
        <v/>
      </c>
      <c r="V653">
        <f>($B$14*(I653*C653+IF(ABS((D653+0.1)-D653)&lt;0.000000001,4*$B$19*$B$20*(D653+273)^3,$B$19*$B$20*(((D653+0.1)+273)^4-(D653+273)^4)/((D653+0.1)-D653))*D653)+T653/H653)/($B$14*(I653+IF(ABS((D653+0.1)-D653)&lt;0.000000001,4*$B$19*$B$20*(D653+273)^3,$B$19*$B$20*(((D653+0.1)+273)^4-(D653+273)^4)/((D653+0.1)-D653)))+1/H653)</f>
        <v/>
      </c>
      <c r="W653">
        <f>($B$14*(I653*C653+IF(ABS(V653-D653)&lt;0.000000001,4*$B$19*$B$20*(D653+273)^3,$B$19*$B$20*((V653+273)^4-(D653+273)^4)/(V653-D653))*D653)+T653/H653)/($B$14*(I653+IF(ABS(V653-D653)&lt;0.000000001,4*$B$19*$B$20*(D653+273)^3,$B$19*$B$20*((V653+273)^4-(D653+273)^4)/(V653-D653)))+1/H653)</f>
        <v/>
      </c>
      <c r="X653">
        <f>($B$14*(I653*C653+IF(ABS(W653-D653)&lt;0.000000001,4*$B$19*$B$20*(D653+273)^3,$B$19*$B$20*((W653+273)^4-(D653+273)^4)/(W653-D653))*D653)+T653/H653)/($B$14*(I653+IF(ABS(W653-D653)&lt;0.000000001,4*$B$19*$B$20*(D653+273)^3,$B$19*$B$20*((W653+273)^4-(D653+273)^4)/(W653-D653)))+1/H653)</f>
        <v/>
      </c>
      <c r="Y653">
        <f>($B$14*(I653*C653+IF(ABS(X653-D653)&lt;0.000000001,4*$B$19*$B$20*(D653+273)^3,$B$19*$B$20*((X653+273)^4-(D653+273)^4)/(X653-D653))*D653)+T653/H653)/($B$14*(I653+IF(ABS(X653-D653)&lt;0.000000001,4*$B$19*$B$20*(D653+273)^3,$B$19*$B$20*((X653+273)^4-(D653+273)^4)/(X653-D653)))+1/H653)</f>
        <v/>
      </c>
      <c r="Z653">
        <f>IF(ABS(Y653-D653)&lt;0.000000001,4*$B$19*$B$20*(D653+273)^3,$B$19*$B$20*((Y653+273)^4-(D653+273)^4)/(Y653-D653))</f>
        <v/>
      </c>
      <c r="AA653">
        <f>$B$14*I653*(Y653-C653)</f>
        <v/>
      </c>
      <c r="AB653">
        <f>$B$14*Z653*(Y653-D653)</f>
        <v/>
      </c>
      <c r="AC653">
        <f>IF((U653-E653)/G653=0,0.001,(U653-E653)/G653)</f>
        <v/>
      </c>
      <c r="AD653">
        <f>F653-P653-J653-K653-AA653-AB653</f>
        <v/>
      </c>
      <c r="AE653">
        <f>AD653/AC653</f>
        <v/>
      </c>
      <c r="AF653">
        <f>IF(AD653&lt;=0,0,IF(AC653&lt;=0,$B$11,IF(AE653&gt;=1.7,$B$11,MIN(AD653/MAX(0.05,IF(AE653&gt;1,(2-AE653)^2/2,1-AE653^2/2)),$B$11))))</f>
        <v/>
      </c>
      <c r="AG653">
        <f>AG652*$B$28+AF653*(1-$B$28)</f>
        <v/>
      </c>
      <c r="AH653">
        <f>IF(AND(AD653&gt;0,AC653&lt;=0),0,AC653)</f>
        <v/>
      </c>
      <c r="AI653">
        <f>AH653/MAX(AG653,0.000001)</f>
        <v/>
      </c>
      <c r="AJ653">
        <f>MIN(IF(AI653&gt;=0.5,-AI653+SQRT(AI653^2+2),1),$B$12)</f>
        <v/>
      </c>
      <c r="AK653">
        <f>IF(AG653&lt;=0,0,AJ653*AH653)</f>
        <v/>
      </c>
      <c r="AL653">
        <f>IF(AD653&lt;=0,0,AD653)</f>
        <v/>
      </c>
      <c r="AM653">
        <f>AL653-AK653+P653</f>
        <v/>
      </c>
      <c r="AN653">
        <f>((AM653/$B$7+T652*AS652/2-T653*MAX(0.1,MIN(0.3,0.3-0.09*(AR652-36.8)))/2)+AR652*(1-AS652/2))/(1-MAX(0.1,MIN(0.3,0.3-0.09*(AR652-36.8)))/2)</f>
        <v/>
      </c>
      <c r="AO653">
        <f>((AM653/$B$7+T652*AS652/2-T653*MAX(0.1,MIN(0.3,0.3-0.09*(AN653-36.8)))/2)+AR652*(1-AS652/2))/(1-MAX(0.1,MIN(0.3,0.3-0.09*(AN653-36.8)))/2)</f>
        <v/>
      </c>
      <c r="AP653">
        <f>((AM653/$B$7+T652*AS652/2-T653*MAX(0.1,MIN(0.3,0.3-0.09*(AO653-36.8)))/2)+AR652*(1-AS652/2))/(1-MAX(0.1,MIN(0.3,0.3-0.09*(AO653-36.8)))/2)</f>
        <v/>
      </c>
      <c r="AQ653">
        <f>((AM653/$B$7+T652*AS652/2-T653*MAX(0.1,MIN(0.3,0.3-0.09*(AP653-36.8)))/2)+AR652*(1-AS652/2))/(1-MAX(0.1,MIN(0.3,0.3-0.09*(AP653-36.8)))/2)</f>
        <v/>
      </c>
      <c r="AR653">
        <f>((AM653/$B$7+T652*AS652/2-T653*MAX(0.1,MIN(0.3,0.3-0.09*(AQ653-36.8)))/2)+AR652*(1-AS652/2))/(1-MAX(0.1,MIN(0.3,0.3-0.09*(AQ653-36.8)))/2)</f>
        <v/>
      </c>
      <c r="AS653">
        <f>MAX(0.1,MIN(0.3,0.3-0.09*(AR653-36.8)))</f>
        <v/>
      </c>
      <c r="AT653">
        <f>AT652+(2*AR653-1.962*AT652-1.31)/9</f>
        <v/>
      </c>
      <c r="AU653">
        <f>AU652+AG653+K653</f>
        <v/>
      </c>
      <c r="AV653">
        <f>AU653*2.67*$B$6/1.8/60</f>
        <v/>
      </c>
      <c r="AW653">
        <f>IF(AT653&gt;=$B$36,1,0)</f>
        <v/>
      </c>
      <c r="AX653">
        <f>IF(AV653&gt;=$B$21,1,0)</f>
        <v/>
      </c>
    </row>
    <row r="654">
      <c r="A654" t="n">
        <v>581</v>
      </c>
      <c r="B654">
        <f>MATCH(A654-1,$D$61:$D$68,1)</f>
        <v/>
      </c>
      <c r="C654">
        <f>INDEX($G$61:$G$68,B654)</f>
        <v/>
      </c>
      <c r="D654">
        <f>INDEX($L$61:$L$68,B654)</f>
        <v/>
      </c>
      <c r="E654">
        <f>INDEX($M$61:$M$68,B654)</f>
        <v/>
      </c>
      <c r="F654">
        <f>INDEX($N$61:$N$68,B654)</f>
        <v/>
      </c>
      <c r="G654">
        <f>INDEX($AA$61:$AA$68,B654)</f>
        <v/>
      </c>
      <c r="H654">
        <f>INDEX($X$61:$X$68,B654)</f>
        <v/>
      </c>
      <c r="I654">
        <f>INDEX($AF$61:$AF$68,B654)</f>
        <v/>
      </c>
      <c r="J654">
        <f>INDEX($AC$61:$AC$68,B654)</f>
        <v/>
      </c>
      <c r="K654">
        <f>INDEX($AD$61:$AD$68,B654)</f>
        <v/>
      </c>
      <c r="L654">
        <f>INDEX($AG$61:$AG$68,B654)</f>
        <v/>
      </c>
      <c r="M654">
        <f>INDEX($AH$61:$AH$68,B654)</f>
        <v/>
      </c>
      <c r="N654">
        <f>INDEX($AI$61:$AI$68,B654)</f>
        <v/>
      </c>
      <c r="O654">
        <f>O653*$B$26+L654*(1-$B$26)</f>
        <v/>
      </c>
      <c r="P654">
        <f>$B$7*(O654-O653)*(1-AS653)</f>
        <v/>
      </c>
      <c r="Q654">
        <f>M654+0.51274*AT653</f>
        <v/>
      </c>
      <c r="R654">
        <f>N654+0.616*AT653</f>
        <v/>
      </c>
      <c r="S654">
        <f>IF($B$13&gt;=0.6,Q654,IF($B$13&lt;=0.2,R654,R654+2.5*(Q654-R654)*($B$13-0.2)))</f>
        <v/>
      </c>
      <c r="T654">
        <f>IF(A654=1,S654,T653*$B$27+S654*(1-$B$27))</f>
        <v/>
      </c>
      <c r="U654">
        <f>0.6105*EXP(17.27*T654/(T654+237.3))</f>
        <v/>
      </c>
      <c r="V654">
        <f>($B$14*(I654*C654+IF(ABS((D654+0.1)-D654)&lt;0.000000001,4*$B$19*$B$20*(D654+273)^3,$B$19*$B$20*(((D654+0.1)+273)^4-(D654+273)^4)/((D654+0.1)-D654))*D654)+T654/H654)/($B$14*(I654+IF(ABS((D654+0.1)-D654)&lt;0.000000001,4*$B$19*$B$20*(D654+273)^3,$B$19*$B$20*(((D654+0.1)+273)^4-(D654+273)^4)/((D654+0.1)-D654)))+1/H654)</f>
        <v/>
      </c>
      <c r="W654">
        <f>($B$14*(I654*C654+IF(ABS(V654-D654)&lt;0.000000001,4*$B$19*$B$20*(D654+273)^3,$B$19*$B$20*((V654+273)^4-(D654+273)^4)/(V654-D654))*D654)+T654/H654)/($B$14*(I654+IF(ABS(V654-D654)&lt;0.000000001,4*$B$19*$B$20*(D654+273)^3,$B$19*$B$20*((V654+273)^4-(D654+273)^4)/(V654-D654)))+1/H654)</f>
        <v/>
      </c>
      <c r="X654">
        <f>($B$14*(I654*C654+IF(ABS(W654-D654)&lt;0.000000001,4*$B$19*$B$20*(D654+273)^3,$B$19*$B$20*((W654+273)^4-(D654+273)^4)/(W654-D654))*D654)+T654/H654)/($B$14*(I654+IF(ABS(W654-D654)&lt;0.000000001,4*$B$19*$B$20*(D654+273)^3,$B$19*$B$20*((W654+273)^4-(D654+273)^4)/(W654-D654)))+1/H654)</f>
        <v/>
      </c>
      <c r="Y654">
        <f>($B$14*(I654*C654+IF(ABS(X654-D654)&lt;0.000000001,4*$B$19*$B$20*(D654+273)^3,$B$19*$B$20*((X654+273)^4-(D654+273)^4)/(X654-D654))*D654)+T654/H654)/($B$14*(I654+IF(ABS(X654-D654)&lt;0.000000001,4*$B$19*$B$20*(D654+273)^3,$B$19*$B$20*((X654+273)^4-(D654+273)^4)/(X654-D654)))+1/H654)</f>
        <v/>
      </c>
      <c r="Z654">
        <f>IF(ABS(Y654-D654)&lt;0.000000001,4*$B$19*$B$20*(D654+273)^3,$B$19*$B$20*((Y654+273)^4-(D654+273)^4)/(Y654-D654))</f>
        <v/>
      </c>
      <c r="AA654">
        <f>$B$14*I654*(Y654-C654)</f>
        <v/>
      </c>
      <c r="AB654">
        <f>$B$14*Z654*(Y654-D654)</f>
        <v/>
      </c>
      <c r="AC654">
        <f>IF((U654-E654)/G654=0,0.001,(U654-E654)/G654)</f>
        <v/>
      </c>
      <c r="AD654">
        <f>F654-P654-J654-K654-AA654-AB654</f>
        <v/>
      </c>
      <c r="AE654">
        <f>AD654/AC654</f>
        <v/>
      </c>
      <c r="AF654">
        <f>IF(AD654&lt;=0,0,IF(AC654&lt;=0,$B$11,IF(AE654&gt;=1.7,$B$11,MIN(AD654/MAX(0.05,IF(AE654&gt;1,(2-AE654)^2/2,1-AE654^2/2)),$B$11))))</f>
        <v/>
      </c>
      <c r="AG654">
        <f>AG653*$B$28+AF654*(1-$B$28)</f>
        <v/>
      </c>
      <c r="AH654">
        <f>IF(AND(AD654&gt;0,AC654&lt;=0),0,AC654)</f>
        <v/>
      </c>
      <c r="AI654">
        <f>AH654/MAX(AG654,0.000001)</f>
        <v/>
      </c>
      <c r="AJ654">
        <f>MIN(IF(AI654&gt;=0.5,-AI654+SQRT(AI654^2+2),1),$B$12)</f>
        <v/>
      </c>
      <c r="AK654">
        <f>IF(AG654&lt;=0,0,AJ654*AH654)</f>
        <v/>
      </c>
      <c r="AL654">
        <f>IF(AD654&lt;=0,0,AD654)</f>
        <v/>
      </c>
      <c r="AM654">
        <f>AL654-AK654+P654</f>
        <v/>
      </c>
      <c r="AN654">
        <f>((AM654/$B$7+T653*AS653/2-T654*MAX(0.1,MIN(0.3,0.3-0.09*(AR653-36.8)))/2)+AR653*(1-AS653/2))/(1-MAX(0.1,MIN(0.3,0.3-0.09*(AR653-36.8)))/2)</f>
        <v/>
      </c>
      <c r="AO654">
        <f>((AM654/$B$7+T653*AS653/2-T654*MAX(0.1,MIN(0.3,0.3-0.09*(AN654-36.8)))/2)+AR653*(1-AS653/2))/(1-MAX(0.1,MIN(0.3,0.3-0.09*(AN654-36.8)))/2)</f>
        <v/>
      </c>
      <c r="AP654">
        <f>((AM654/$B$7+T653*AS653/2-T654*MAX(0.1,MIN(0.3,0.3-0.09*(AO654-36.8)))/2)+AR653*(1-AS653/2))/(1-MAX(0.1,MIN(0.3,0.3-0.09*(AO654-36.8)))/2)</f>
        <v/>
      </c>
      <c r="AQ654">
        <f>((AM654/$B$7+T653*AS653/2-T654*MAX(0.1,MIN(0.3,0.3-0.09*(AP654-36.8)))/2)+AR653*(1-AS653/2))/(1-MAX(0.1,MIN(0.3,0.3-0.09*(AP654-36.8)))/2)</f>
        <v/>
      </c>
      <c r="AR654">
        <f>((AM654/$B$7+T653*AS653/2-T654*MAX(0.1,MIN(0.3,0.3-0.09*(AQ654-36.8)))/2)+AR653*(1-AS653/2))/(1-MAX(0.1,MIN(0.3,0.3-0.09*(AQ654-36.8)))/2)</f>
        <v/>
      </c>
      <c r="AS654">
        <f>MAX(0.1,MIN(0.3,0.3-0.09*(AR654-36.8)))</f>
        <v/>
      </c>
      <c r="AT654">
        <f>AT653+(2*AR654-1.962*AT653-1.31)/9</f>
        <v/>
      </c>
      <c r="AU654">
        <f>AU653+AG654+K654</f>
        <v/>
      </c>
      <c r="AV654">
        <f>AU654*2.67*$B$6/1.8/60</f>
        <v/>
      </c>
      <c r="AW654">
        <f>IF(AT654&gt;=$B$36,1,0)</f>
        <v/>
      </c>
      <c r="AX654">
        <f>IF(AV654&gt;=$B$21,1,0)</f>
        <v/>
      </c>
    </row>
    <row r="655">
      <c r="A655" t="n">
        <v>582</v>
      </c>
      <c r="B655">
        <f>MATCH(A655-1,$D$61:$D$68,1)</f>
        <v/>
      </c>
      <c r="C655">
        <f>INDEX($G$61:$G$68,B655)</f>
        <v/>
      </c>
      <c r="D655">
        <f>INDEX($L$61:$L$68,B655)</f>
        <v/>
      </c>
      <c r="E655">
        <f>INDEX($M$61:$M$68,B655)</f>
        <v/>
      </c>
      <c r="F655">
        <f>INDEX($N$61:$N$68,B655)</f>
        <v/>
      </c>
      <c r="G655">
        <f>INDEX($AA$61:$AA$68,B655)</f>
        <v/>
      </c>
      <c r="H655">
        <f>INDEX($X$61:$X$68,B655)</f>
        <v/>
      </c>
      <c r="I655">
        <f>INDEX($AF$61:$AF$68,B655)</f>
        <v/>
      </c>
      <c r="J655">
        <f>INDEX($AC$61:$AC$68,B655)</f>
        <v/>
      </c>
      <c r="K655">
        <f>INDEX($AD$61:$AD$68,B655)</f>
        <v/>
      </c>
      <c r="L655">
        <f>INDEX($AG$61:$AG$68,B655)</f>
        <v/>
      </c>
      <c r="M655">
        <f>INDEX($AH$61:$AH$68,B655)</f>
        <v/>
      </c>
      <c r="N655">
        <f>INDEX($AI$61:$AI$68,B655)</f>
        <v/>
      </c>
      <c r="O655">
        <f>O654*$B$26+L655*(1-$B$26)</f>
        <v/>
      </c>
      <c r="P655">
        <f>$B$7*(O655-O654)*(1-AS654)</f>
        <v/>
      </c>
      <c r="Q655">
        <f>M655+0.51274*AT654</f>
        <v/>
      </c>
      <c r="R655">
        <f>N655+0.616*AT654</f>
        <v/>
      </c>
      <c r="S655">
        <f>IF($B$13&gt;=0.6,Q655,IF($B$13&lt;=0.2,R655,R655+2.5*(Q655-R655)*($B$13-0.2)))</f>
        <v/>
      </c>
      <c r="T655">
        <f>IF(A655=1,S655,T654*$B$27+S655*(1-$B$27))</f>
        <v/>
      </c>
      <c r="U655">
        <f>0.6105*EXP(17.27*T655/(T655+237.3))</f>
        <v/>
      </c>
      <c r="V655">
        <f>($B$14*(I655*C655+IF(ABS((D655+0.1)-D655)&lt;0.000000001,4*$B$19*$B$20*(D655+273)^3,$B$19*$B$20*(((D655+0.1)+273)^4-(D655+273)^4)/((D655+0.1)-D655))*D655)+T655/H655)/($B$14*(I655+IF(ABS((D655+0.1)-D655)&lt;0.000000001,4*$B$19*$B$20*(D655+273)^3,$B$19*$B$20*(((D655+0.1)+273)^4-(D655+273)^4)/((D655+0.1)-D655)))+1/H655)</f>
        <v/>
      </c>
      <c r="W655">
        <f>($B$14*(I655*C655+IF(ABS(V655-D655)&lt;0.000000001,4*$B$19*$B$20*(D655+273)^3,$B$19*$B$20*((V655+273)^4-(D655+273)^4)/(V655-D655))*D655)+T655/H655)/($B$14*(I655+IF(ABS(V655-D655)&lt;0.000000001,4*$B$19*$B$20*(D655+273)^3,$B$19*$B$20*((V655+273)^4-(D655+273)^4)/(V655-D655)))+1/H655)</f>
        <v/>
      </c>
      <c r="X655">
        <f>($B$14*(I655*C655+IF(ABS(W655-D655)&lt;0.000000001,4*$B$19*$B$20*(D655+273)^3,$B$19*$B$20*((W655+273)^4-(D655+273)^4)/(W655-D655))*D655)+T655/H655)/($B$14*(I655+IF(ABS(W655-D655)&lt;0.000000001,4*$B$19*$B$20*(D655+273)^3,$B$19*$B$20*((W655+273)^4-(D655+273)^4)/(W655-D655)))+1/H655)</f>
        <v/>
      </c>
      <c r="Y655">
        <f>($B$14*(I655*C655+IF(ABS(X655-D655)&lt;0.000000001,4*$B$19*$B$20*(D655+273)^3,$B$19*$B$20*((X655+273)^4-(D655+273)^4)/(X655-D655))*D655)+T655/H655)/($B$14*(I655+IF(ABS(X655-D655)&lt;0.000000001,4*$B$19*$B$20*(D655+273)^3,$B$19*$B$20*((X655+273)^4-(D655+273)^4)/(X655-D655)))+1/H655)</f>
        <v/>
      </c>
      <c r="Z655">
        <f>IF(ABS(Y655-D655)&lt;0.000000001,4*$B$19*$B$20*(D655+273)^3,$B$19*$B$20*((Y655+273)^4-(D655+273)^4)/(Y655-D655))</f>
        <v/>
      </c>
      <c r="AA655">
        <f>$B$14*I655*(Y655-C655)</f>
        <v/>
      </c>
      <c r="AB655">
        <f>$B$14*Z655*(Y655-D655)</f>
        <v/>
      </c>
      <c r="AC655">
        <f>IF((U655-E655)/G655=0,0.001,(U655-E655)/G655)</f>
        <v/>
      </c>
      <c r="AD655">
        <f>F655-P655-J655-K655-AA655-AB655</f>
        <v/>
      </c>
      <c r="AE655">
        <f>AD655/AC655</f>
        <v/>
      </c>
      <c r="AF655">
        <f>IF(AD655&lt;=0,0,IF(AC655&lt;=0,$B$11,IF(AE655&gt;=1.7,$B$11,MIN(AD655/MAX(0.05,IF(AE655&gt;1,(2-AE655)^2/2,1-AE655^2/2)),$B$11))))</f>
        <v/>
      </c>
      <c r="AG655">
        <f>AG654*$B$28+AF655*(1-$B$28)</f>
        <v/>
      </c>
      <c r="AH655">
        <f>IF(AND(AD655&gt;0,AC655&lt;=0),0,AC655)</f>
        <v/>
      </c>
      <c r="AI655">
        <f>AH655/MAX(AG655,0.000001)</f>
        <v/>
      </c>
      <c r="AJ655">
        <f>MIN(IF(AI655&gt;=0.5,-AI655+SQRT(AI655^2+2),1),$B$12)</f>
        <v/>
      </c>
      <c r="AK655">
        <f>IF(AG655&lt;=0,0,AJ655*AH655)</f>
        <v/>
      </c>
      <c r="AL655">
        <f>IF(AD655&lt;=0,0,AD655)</f>
        <v/>
      </c>
      <c r="AM655">
        <f>AL655-AK655+P655</f>
        <v/>
      </c>
      <c r="AN655">
        <f>((AM655/$B$7+T654*AS654/2-T655*MAX(0.1,MIN(0.3,0.3-0.09*(AR654-36.8)))/2)+AR654*(1-AS654/2))/(1-MAX(0.1,MIN(0.3,0.3-0.09*(AR654-36.8)))/2)</f>
        <v/>
      </c>
      <c r="AO655">
        <f>((AM655/$B$7+T654*AS654/2-T655*MAX(0.1,MIN(0.3,0.3-0.09*(AN655-36.8)))/2)+AR654*(1-AS654/2))/(1-MAX(0.1,MIN(0.3,0.3-0.09*(AN655-36.8)))/2)</f>
        <v/>
      </c>
      <c r="AP655">
        <f>((AM655/$B$7+T654*AS654/2-T655*MAX(0.1,MIN(0.3,0.3-0.09*(AO655-36.8)))/2)+AR654*(1-AS654/2))/(1-MAX(0.1,MIN(0.3,0.3-0.09*(AO655-36.8)))/2)</f>
        <v/>
      </c>
      <c r="AQ655">
        <f>((AM655/$B$7+T654*AS654/2-T655*MAX(0.1,MIN(0.3,0.3-0.09*(AP655-36.8)))/2)+AR654*(1-AS654/2))/(1-MAX(0.1,MIN(0.3,0.3-0.09*(AP655-36.8)))/2)</f>
        <v/>
      </c>
      <c r="AR655">
        <f>((AM655/$B$7+T654*AS654/2-T655*MAX(0.1,MIN(0.3,0.3-0.09*(AQ655-36.8)))/2)+AR654*(1-AS654/2))/(1-MAX(0.1,MIN(0.3,0.3-0.09*(AQ655-36.8)))/2)</f>
        <v/>
      </c>
      <c r="AS655">
        <f>MAX(0.1,MIN(0.3,0.3-0.09*(AR655-36.8)))</f>
        <v/>
      </c>
      <c r="AT655">
        <f>AT654+(2*AR655-1.962*AT654-1.31)/9</f>
        <v/>
      </c>
      <c r="AU655">
        <f>AU654+AG655+K655</f>
        <v/>
      </c>
      <c r="AV655">
        <f>AU655*2.67*$B$6/1.8/60</f>
        <v/>
      </c>
      <c r="AW655">
        <f>IF(AT655&gt;=$B$36,1,0)</f>
        <v/>
      </c>
      <c r="AX655">
        <f>IF(AV655&gt;=$B$21,1,0)</f>
        <v/>
      </c>
    </row>
    <row r="656">
      <c r="A656" t="n">
        <v>583</v>
      </c>
      <c r="B656">
        <f>MATCH(A656-1,$D$61:$D$68,1)</f>
        <v/>
      </c>
      <c r="C656">
        <f>INDEX($G$61:$G$68,B656)</f>
        <v/>
      </c>
      <c r="D656">
        <f>INDEX($L$61:$L$68,B656)</f>
        <v/>
      </c>
      <c r="E656">
        <f>INDEX($M$61:$M$68,B656)</f>
        <v/>
      </c>
      <c r="F656">
        <f>INDEX($N$61:$N$68,B656)</f>
        <v/>
      </c>
      <c r="G656">
        <f>INDEX($AA$61:$AA$68,B656)</f>
        <v/>
      </c>
      <c r="H656">
        <f>INDEX($X$61:$X$68,B656)</f>
        <v/>
      </c>
      <c r="I656">
        <f>INDEX($AF$61:$AF$68,B656)</f>
        <v/>
      </c>
      <c r="J656">
        <f>INDEX($AC$61:$AC$68,B656)</f>
        <v/>
      </c>
      <c r="K656">
        <f>INDEX($AD$61:$AD$68,B656)</f>
        <v/>
      </c>
      <c r="L656">
        <f>INDEX($AG$61:$AG$68,B656)</f>
        <v/>
      </c>
      <c r="M656">
        <f>INDEX($AH$61:$AH$68,B656)</f>
        <v/>
      </c>
      <c r="N656">
        <f>INDEX($AI$61:$AI$68,B656)</f>
        <v/>
      </c>
      <c r="O656">
        <f>O655*$B$26+L656*(1-$B$26)</f>
        <v/>
      </c>
      <c r="P656">
        <f>$B$7*(O656-O655)*(1-AS655)</f>
        <v/>
      </c>
      <c r="Q656">
        <f>M656+0.51274*AT655</f>
        <v/>
      </c>
      <c r="R656">
        <f>N656+0.616*AT655</f>
        <v/>
      </c>
      <c r="S656">
        <f>IF($B$13&gt;=0.6,Q656,IF($B$13&lt;=0.2,R656,R656+2.5*(Q656-R656)*($B$13-0.2)))</f>
        <v/>
      </c>
      <c r="T656">
        <f>IF(A656=1,S656,T655*$B$27+S656*(1-$B$27))</f>
        <v/>
      </c>
      <c r="U656">
        <f>0.6105*EXP(17.27*T656/(T656+237.3))</f>
        <v/>
      </c>
      <c r="V656">
        <f>($B$14*(I656*C656+IF(ABS((D656+0.1)-D656)&lt;0.000000001,4*$B$19*$B$20*(D656+273)^3,$B$19*$B$20*(((D656+0.1)+273)^4-(D656+273)^4)/((D656+0.1)-D656))*D656)+T656/H656)/($B$14*(I656+IF(ABS((D656+0.1)-D656)&lt;0.000000001,4*$B$19*$B$20*(D656+273)^3,$B$19*$B$20*(((D656+0.1)+273)^4-(D656+273)^4)/((D656+0.1)-D656)))+1/H656)</f>
        <v/>
      </c>
      <c r="W656">
        <f>($B$14*(I656*C656+IF(ABS(V656-D656)&lt;0.000000001,4*$B$19*$B$20*(D656+273)^3,$B$19*$B$20*((V656+273)^4-(D656+273)^4)/(V656-D656))*D656)+T656/H656)/($B$14*(I656+IF(ABS(V656-D656)&lt;0.000000001,4*$B$19*$B$20*(D656+273)^3,$B$19*$B$20*((V656+273)^4-(D656+273)^4)/(V656-D656)))+1/H656)</f>
        <v/>
      </c>
      <c r="X656">
        <f>($B$14*(I656*C656+IF(ABS(W656-D656)&lt;0.000000001,4*$B$19*$B$20*(D656+273)^3,$B$19*$B$20*((W656+273)^4-(D656+273)^4)/(W656-D656))*D656)+T656/H656)/($B$14*(I656+IF(ABS(W656-D656)&lt;0.000000001,4*$B$19*$B$20*(D656+273)^3,$B$19*$B$20*((W656+273)^4-(D656+273)^4)/(W656-D656)))+1/H656)</f>
        <v/>
      </c>
      <c r="Y656">
        <f>($B$14*(I656*C656+IF(ABS(X656-D656)&lt;0.000000001,4*$B$19*$B$20*(D656+273)^3,$B$19*$B$20*((X656+273)^4-(D656+273)^4)/(X656-D656))*D656)+T656/H656)/($B$14*(I656+IF(ABS(X656-D656)&lt;0.000000001,4*$B$19*$B$20*(D656+273)^3,$B$19*$B$20*((X656+273)^4-(D656+273)^4)/(X656-D656)))+1/H656)</f>
        <v/>
      </c>
      <c r="Z656">
        <f>IF(ABS(Y656-D656)&lt;0.000000001,4*$B$19*$B$20*(D656+273)^3,$B$19*$B$20*((Y656+273)^4-(D656+273)^4)/(Y656-D656))</f>
        <v/>
      </c>
      <c r="AA656">
        <f>$B$14*I656*(Y656-C656)</f>
        <v/>
      </c>
      <c r="AB656">
        <f>$B$14*Z656*(Y656-D656)</f>
        <v/>
      </c>
      <c r="AC656">
        <f>IF((U656-E656)/G656=0,0.001,(U656-E656)/G656)</f>
        <v/>
      </c>
      <c r="AD656">
        <f>F656-P656-J656-K656-AA656-AB656</f>
        <v/>
      </c>
      <c r="AE656">
        <f>AD656/AC656</f>
        <v/>
      </c>
      <c r="AF656">
        <f>IF(AD656&lt;=0,0,IF(AC656&lt;=0,$B$11,IF(AE656&gt;=1.7,$B$11,MIN(AD656/MAX(0.05,IF(AE656&gt;1,(2-AE656)^2/2,1-AE656^2/2)),$B$11))))</f>
        <v/>
      </c>
      <c r="AG656">
        <f>AG655*$B$28+AF656*(1-$B$28)</f>
        <v/>
      </c>
      <c r="AH656">
        <f>IF(AND(AD656&gt;0,AC656&lt;=0),0,AC656)</f>
        <v/>
      </c>
      <c r="AI656">
        <f>AH656/MAX(AG656,0.000001)</f>
        <v/>
      </c>
      <c r="AJ656">
        <f>MIN(IF(AI656&gt;=0.5,-AI656+SQRT(AI656^2+2),1),$B$12)</f>
        <v/>
      </c>
      <c r="AK656">
        <f>IF(AG656&lt;=0,0,AJ656*AH656)</f>
        <v/>
      </c>
      <c r="AL656">
        <f>IF(AD656&lt;=0,0,AD656)</f>
        <v/>
      </c>
      <c r="AM656">
        <f>AL656-AK656+P656</f>
        <v/>
      </c>
      <c r="AN656">
        <f>((AM656/$B$7+T655*AS655/2-T656*MAX(0.1,MIN(0.3,0.3-0.09*(AR655-36.8)))/2)+AR655*(1-AS655/2))/(1-MAX(0.1,MIN(0.3,0.3-0.09*(AR655-36.8)))/2)</f>
        <v/>
      </c>
      <c r="AO656">
        <f>((AM656/$B$7+T655*AS655/2-T656*MAX(0.1,MIN(0.3,0.3-0.09*(AN656-36.8)))/2)+AR655*(1-AS655/2))/(1-MAX(0.1,MIN(0.3,0.3-0.09*(AN656-36.8)))/2)</f>
        <v/>
      </c>
      <c r="AP656">
        <f>((AM656/$B$7+T655*AS655/2-T656*MAX(0.1,MIN(0.3,0.3-0.09*(AO656-36.8)))/2)+AR655*(1-AS655/2))/(1-MAX(0.1,MIN(0.3,0.3-0.09*(AO656-36.8)))/2)</f>
        <v/>
      </c>
      <c r="AQ656">
        <f>((AM656/$B$7+T655*AS655/2-T656*MAX(0.1,MIN(0.3,0.3-0.09*(AP656-36.8)))/2)+AR655*(1-AS655/2))/(1-MAX(0.1,MIN(0.3,0.3-0.09*(AP656-36.8)))/2)</f>
        <v/>
      </c>
      <c r="AR656">
        <f>((AM656/$B$7+T655*AS655/2-T656*MAX(0.1,MIN(0.3,0.3-0.09*(AQ656-36.8)))/2)+AR655*(1-AS655/2))/(1-MAX(0.1,MIN(0.3,0.3-0.09*(AQ656-36.8)))/2)</f>
        <v/>
      </c>
      <c r="AS656">
        <f>MAX(0.1,MIN(0.3,0.3-0.09*(AR656-36.8)))</f>
        <v/>
      </c>
      <c r="AT656">
        <f>AT655+(2*AR656-1.962*AT655-1.31)/9</f>
        <v/>
      </c>
      <c r="AU656">
        <f>AU655+AG656+K656</f>
        <v/>
      </c>
      <c r="AV656">
        <f>AU656*2.67*$B$6/1.8/60</f>
        <v/>
      </c>
      <c r="AW656">
        <f>IF(AT656&gt;=$B$36,1,0)</f>
        <v/>
      </c>
      <c r="AX656">
        <f>IF(AV656&gt;=$B$21,1,0)</f>
        <v/>
      </c>
    </row>
    <row r="657">
      <c r="A657" t="n">
        <v>584</v>
      </c>
      <c r="B657">
        <f>MATCH(A657-1,$D$61:$D$68,1)</f>
        <v/>
      </c>
      <c r="C657">
        <f>INDEX($G$61:$G$68,B657)</f>
        <v/>
      </c>
      <c r="D657">
        <f>INDEX($L$61:$L$68,B657)</f>
        <v/>
      </c>
      <c r="E657">
        <f>INDEX($M$61:$M$68,B657)</f>
        <v/>
      </c>
      <c r="F657">
        <f>INDEX($N$61:$N$68,B657)</f>
        <v/>
      </c>
      <c r="G657">
        <f>INDEX($AA$61:$AA$68,B657)</f>
        <v/>
      </c>
      <c r="H657">
        <f>INDEX($X$61:$X$68,B657)</f>
        <v/>
      </c>
      <c r="I657">
        <f>INDEX($AF$61:$AF$68,B657)</f>
        <v/>
      </c>
      <c r="J657">
        <f>INDEX($AC$61:$AC$68,B657)</f>
        <v/>
      </c>
      <c r="K657">
        <f>INDEX($AD$61:$AD$68,B657)</f>
        <v/>
      </c>
      <c r="L657">
        <f>INDEX($AG$61:$AG$68,B657)</f>
        <v/>
      </c>
      <c r="M657">
        <f>INDEX($AH$61:$AH$68,B657)</f>
        <v/>
      </c>
      <c r="N657">
        <f>INDEX($AI$61:$AI$68,B657)</f>
        <v/>
      </c>
      <c r="O657">
        <f>O656*$B$26+L657*(1-$B$26)</f>
        <v/>
      </c>
      <c r="P657">
        <f>$B$7*(O657-O656)*(1-AS656)</f>
        <v/>
      </c>
      <c r="Q657">
        <f>M657+0.51274*AT656</f>
        <v/>
      </c>
      <c r="R657">
        <f>N657+0.616*AT656</f>
        <v/>
      </c>
      <c r="S657">
        <f>IF($B$13&gt;=0.6,Q657,IF($B$13&lt;=0.2,R657,R657+2.5*(Q657-R657)*($B$13-0.2)))</f>
        <v/>
      </c>
      <c r="T657">
        <f>IF(A657=1,S657,T656*$B$27+S657*(1-$B$27))</f>
        <v/>
      </c>
      <c r="U657">
        <f>0.6105*EXP(17.27*T657/(T657+237.3))</f>
        <v/>
      </c>
      <c r="V657">
        <f>($B$14*(I657*C657+IF(ABS((D657+0.1)-D657)&lt;0.000000001,4*$B$19*$B$20*(D657+273)^3,$B$19*$B$20*(((D657+0.1)+273)^4-(D657+273)^4)/((D657+0.1)-D657))*D657)+T657/H657)/($B$14*(I657+IF(ABS((D657+0.1)-D657)&lt;0.000000001,4*$B$19*$B$20*(D657+273)^3,$B$19*$B$20*(((D657+0.1)+273)^4-(D657+273)^4)/((D657+0.1)-D657)))+1/H657)</f>
        <v/>
      </c>
      <c r="W657">
        <f>($B$14*(I657*C657+IF(ABS(V657-D657)&lt;0.000000001,4*$B$19*$B$20*(D657+273)^3,$B$19*$B$20*((V657+273)^4-(D657+273)^4)/(V657-D657))*D657)+T657/H657)/($B$14*(I657+IF(ABS(V657-D657)&lt;0.000000001,4*$B$19*$B$20*(D657+273)^3,$B$19*$B$20*((V657+273)^4-(D657+273)^4)/(V657-D657)))+1/H657)</f>
        <v/>
      </c>
      <c r="X657">
        <f>($B$14*(I657*C657+IF(ABS(W657-D657)&lt;0.000000001,4*$B$19*$B$20*(D657+273)^3,$B$19*$B$20*((W657+273)^4-(D657+273)^4)/(W657-D657))*D657)+T657/H657)/($B$14*(I657+IF(ABS(W657-D657)&lt;0.000000001,4*$B$19*$B$20*(D657+273)^3,$B$19*$B$20*((W657+273)^4-(D657+273)^4)/(W657-D657)))+1/H657)</f>
        <v/>
      </c>
      <c r="Y657">
        <f>($B$14*(I657*C657+IF(ABS(X657-D657)&lt;0.000000001,4*$B$19*$B$20*(D657+273)^3,$B$19*$B$20*((X657+273)^4-(D657+273)^4)/(X657-D657))*D657)+T657/H657)/($B$14*(I657+IF(ABS(X657-D657)&lt;0.000000001,4*$B$19*$B$20*(D657+273)^3,$B$19*$B$20*((X657+273)^4-(D657+273)^4)/(X657-D657)))+1/H657)</f>
        <v/>
      </c>
      <c r="Z657">
        <f>IF(ABS(Y657-D657)&lt;0.000000001,4*$B$19*$B$20*(D657+273)^3,$B$19*$B$20*((Y657+273)^4-(D657+273)^4)/(Y657-D657))</f>
        <v/>
      </c>
      <c r="AA657">
        <f>$B$14*I657*(Y657-C657)</f>
        <v/>
      </c>
      <c r="AB657">
        <f>$B$14*Z657*(Y657-D657)</f>
        <v/>
      </c>
      <c r="AC657">
        <f>IF((U657-E657)/G657=0,0.001,(U657-E657)/G657)</f>
        <v/>
      </c>
      <c r="AD657">
        <f>F657-P657-J657-K657-AA657-AB657</f>
        <v/>
      </c>
      <c r="AE657">
        <f>AD657/AC657</f>
        <v/>
      </c>
      <c r="AF657">
        <f>IF(AD657&lt;=0,0,IF(AC657&lt;=0,$B$11,IF(AE657&gt;=1.7,$B$11,MIN(AD657/MAX(0.05,IF(AE657&gt;1,(2-AE657)^2/2,1-AE657^2/2)),$B$11))))</f>
        <v/>
      </c>
      <c r="AG657">
        <f>AG656*$B$28+AF657*(1-$B$28)</f>
        <v/>
      </c>
      <c r="AH657">
        <f>IF(AND(AD657&gt;0,AC657&lt;=0),0,AC657)</f>
        <v/>
      </c>
      <c r="AI657">
        <f>AH657/MAX(AG657,0.000001)</f>
        <v/>
      </c>
      <c r="AJ657">
        <f>MIN(IF(AI657&gt;=0.5,-AI657+SQRT(AI657^2+2),1),$B$12)</f>
        <v/>
      </c>
      <c r="AK657">
        <f>IF(AG657&lt;=0,0,AJ657*AH657)</f>
        <v/>
      </c>
      <c r="AL657">
        <f>IF(AD657&lt;=0,0,AD657)</f>
        <v/>
      </c>
      <c r="AM657">
        <f>AL657-AK657+P657</f>
        <v/>
      </c>
      <c r="AN657">
        <f>((AM657/$B$7+T656*AS656/2-T657*MAX(0.1,MIN(0.3,0.3-0.09*(AR656-36.8)))/2)+AR656*(1-AS656/2))/(1-MAX(0.1,MIN(0.3,0.3-0.09*(AR656-36.8)))/2)</f>
        <v/>
      </c>
      <c r="AO657">
        <f>((AM657/$B$7+T656*AS656/2-T657*MAX(0.1,MIN(0.3,0.3-0.09*(AN657-36.8)))/2)+AR656*(1-AS656/2))/(1-MAX(0.1,MIN(0.3,0.3-0.09*(AN657-36.8)))/2)</f>
        <v/>
      </c>
      <c r="AP657">
        <f>((AM657/$B$7+T656*AS656/2-T657*MAX(0.1,MIN(0.3,0.3-0.09*(AO657-36.8)))/2)+AR656*(1-AS656/2))/(1-MAX(0.1,MIN(0.3,0.3-0.09*(AO657-36.8)))/2)</f>
        <v/>
      </c>
      <c r="AQ657">
        <f>((AM657/$B$7+T656*AS656/2-T657*MAX(0.1,MIN(0.3,0.3-0.09*(AP657-36.8)))/2)+AR656*(1-AS656/2))/(1-MAX(0.1,MIN(0.3,0.3-0.09*(AP657-36.8)))/2)</f>
        <v/>
      </c>
      <c r="AR657">
        <f>((AM657/$B$7+T656*AS656/2-T657*MAX(0.1,MIN(0.3,0.3-0.09*(AQ657-36.8)))/2)+AR656*(1-AS656/2))/(1-MAX(0.1,MIN(0.3,0.3-0.09*(AQ657-36.8)))/2)</f>
        <v/>
      </c>
      <c r="AS657">
        <f>MAX(0.1,MIN(0.3,0.3-0.09*(AR657-36.8)))</f>
        <v/>
      </c>
      <c r="AT657">
        <f>AT656+(2*AR657-1.962*AT656-1.31)/9</f>
        <v/>
      </c>
      <c r="AU657">
        <f>AU656+AG657+K657</f>
        <v/>
      </c>
      <c r="AV657">
        <f>AU657*2.67*$B$6/1.8/60</f>
        <v/>
      </c>
      <c r="AW657">
        <f>IF(AT657&gt;=$B$36,1,0)</f>
        <v/>
      </c>
      <c r="AX657">
        <f>IF(AV657&gt;=$B$21,1,0)</f>
        <v/>
      </c>
    </row>
    <row r="658">
      <c r="A658" t="n">
        <v>585</v>
      </c>
      <c r="B658">
        <f>MATCH(A658-1,$D$61:$D$68,1)</f>
        <v/>
      </c>
      <c r="C658">
        <f>INDEX($G$61:$G$68,B658)</f>
        <v/>
      </c>
      <c r="D658">
        <f>INDEX($L$61:$L$68,B658)</f>
        <v/>
      </c>
      <c r="E658">
        <f>INDEX($M$61:$M$68,B658)</f>
        <v/>
      </c>
      <c r="F658">
        <f>INDEX($N$61:$N$68,B658)</f>
        <v/>
      </c>
      <c r="G658">
        <f>INDEX($AA$61:$AA$68,B658)</f>
        <v/>
      </c>
      <c r="H658">
        <f>INDEX($X$61:$X$68,B658)</f>
        <v/>
      </c>
      <c r="I658">
        <f>INDEX($AF$61:$AF$68,B658)</f>
        <v/>
      </c>
      <c r="J658">
        <f>INDEX($AC$61:$AC$68,B658)</f>
        <v/>
      </c>
      <c r="K658">
        <f>INDEX($AD$61:$AD$68,B658)</f>
        <v/>
      </c>
      <c r="L658">
        <f>INDEX($AG$61:$AG$68,B658)</f>
        <v/>
      </c>
      <c r="M658">
        <f>INDEX($AH$61:$AH$68,B658)</f>
        <v/>
      </c>
      <c r="N658">
        <f>INDEX($AI$61:$AI$68,B658)</f>
        <v/>
      </c>
      <c r="O658">
        <f>O657*$B$26+L658*(1-$B$26)</f>
        <v/>
      </c>
      <c r="P658">
        <f>$B$7*(O658-O657)*(1-AS657)</f>
        <v/>
      </c>
      <c r="Q658">
        <f>M658+0.51274*AT657</f>
        <v/>
      </c>
      <c r="R658">
        <f>N658+0.616*AT657</f>
        <v/>
      </c>
      <c r="S658">
        <f>IF($B$13&gt;=0.6,Q658,IF($B$13&lt;=0.2,R658,R658+2.5*(Q658-R658)*($B$13-0.2)))</f>
        <v/>
      </c>
      <c r="T658">
        <f>IF(A658=1,S658,T657*$B$27+S658*(1-$B$27))</f>
        <v/>
      </c>
      <c r="U658">
        <f>0.6105*EXP(17.27*T658/(T658+237.3))</f>
        <v/>
      </c>
      <c r="V658">
        <f>($B$14*(I658*C658+IF(ABS((D658+0.1)-D658)&lt;0.000000001,4*$B$19*$B$20*(D658+273)^3,$B$19*$B$20*(((D658+0.1)+273)^4-(D658+273)^4)/((D658+0.1)-D658))*D658)+T658/H658)/($B$14*(I658+IF(ABS((D658+0.1)-D658)&lt;0.000000001,4*$B$19*$B$20*(D658+273)^3,$B$19*$B$20*(((D658+0.1)+273)^4-(D658+273)^4)/((D658+0.1)-D658)))+1/H658)</f>
        <v/>
      </c>
      <c r="W658">
        <f>($B$14*(I658*C658+IF(ABS(V658-D658)&lt;0.000000001,4*$B$19*$B$20*(D658+273)^3,$B$19*$B$20*((V658+273)^4-(D658+273)^4)/(V658-D658))*D658)+T658/H658)/($B$14*(I658+IF(ABS(V658-D658)&lt;0.000000001,4*$B$19*$B$20*(D658+273)^3,$B$19*$B$20*((V658+273)^4-(D658+273)^4)/(V658-D658)))+1/H658)</f>
        <v/>
      </c>
      <c r="X658">
        <f>($B$14*(I658*C658+IF(ABS(W658-D658)&lt;0.000000001,4*$B$19*$B$20*(D658+273)^3,$B$19*$B$20*((W658+273)^4-(D658+273)^4)/(W658-D658))*D658)+T658/H658)/($B$14*(I658+IF(ABS(W658-D658)&lt;0.000000001,4*$B$19*$B$20*(D658+273)^3,$B$19*$B$20*((W658+273)^4-(D658+273)^4)/(W658-D658)))+1/H658)</f>
        <v/>
      </c>
      <c r="Y658">
        <f>($B$14*(I658*C658+IF(ABS(X658-D658)&lt;0.000000001,4*$B$19*$B$20*(D658+273)^3,$B$19*$B$20*((X658+273)^4-(D658+273)^4)/(X658-D658))*D658)+T658/H658)/($B$14*(I658+IF(ABS(X658-D658)&lt;0.000000001,4*$B$19*$B$20*(D658+273)^3,$B$19*$B$20*((X658+273)^4-(D658+273)^4)/(X658-D658)))+1/H658)</f>
        <v/>
      </c>
      <c r="Z658">
        <f>IF(ABS(Y658-D658)&lt;0.000000001,4*$B$19*$B$20*(D658+273)^3,$B$19*$B$20*((Y658+273)^4-(D658+273)^4)/(Y658-D658))</f>
        <v/>
      </c>
      <c r="AA658">
        <f>$B$14*I658*(Y658-C658)</f>
        <v/>
      </c>
      <c r="AB658">
        <f>$B$14*Z658*(Y658-D658)</f>
        <v/>
      </c>
      <c r="AC658">
        <f>IF((U658-E658)/G658=0,0.001,(U658-E658)/G658)</f>
        <v/>
      </c>
      <c r="AD658">
        <f>F658-P658-J658-K658-AA658-AB658</f>
        <v/>
      </c>
      <c r="AE658">
        <f>AD658/AC658</f>
        <v/>
      </c>
      <c r="AF658">
        <f>IF(AD658&lt;=0,0,IF(AC658&lt;=0,$B$11,IF(AE658&gt;=1.7,$B$11,MIN(AD658/MAX(0.05,IF(AE658&gt;1,(2-AE658)^2/2,1-AE658^2/2)),$B$11))))</f>
        <v/>
      </c>
      <c r="AG658">
        <f>AG657*$B$28+AF658*(1-$B$28)</f>
        <v/>
      </c>
      <c r="AH658">
        <f>IF(AND(AD658&gt;0,AC658&lt;=0),0,AC658)</f>
        <v/>
      </c>
      <c r="AI658">
        <f>AH658/MAX(AG658,0.000001)</f>
        <v/>
      </c>
      <c r="AJ658">
        <f>MIN(IF(AI658&gt;=0.5,-AI658+SQRT(AI658^2+2),1),$B$12)</f>
        <v/>
      </c>
      <c r="AK658">
        <f>IF(AG658&lt;=0,0,AJ658*AH658)</f>
        <v/>
      </c>
      <c r="AL658">
        <f>IF(AD658&lt;=0,0,AD658)</f>
        <v/>
      </c>
      <c r="AM658">
        <f>AL658-AK658+P658</f>
        <v/>
      </c>
      <c r="AN658">
        <f>((AM658/$B$7+T657*AS657/2-T658*MAX(0.1,MIN(0.3,0.3-0.09*(AR657-36.8)))/2)+AR657*(1-AS657/2))/(1-MAX(0.1,MIN(0.3,0.3-0.09*(AR657-36.8)))/2)</f>
        <v/>
      </c>
      <c r="AO658">
        <f>((AM658/$B$7+T657*AS657/2-T658*MAX(0.1,MIN(0.3,0.3-0.09*(AN658-36.8)))/2)+AR657*(1-AS657/2))/(1-MAX(0.1,MIN(0.3,0.3-0.09*(AN658-36.8)))/2)</f>
        <v/>
      </c>
      <c r="AP658">
        <f>((AM658/$B$7+T657*AS657/2-T658*MAX(0.1,MIN(0.3,0.3-0.09*(AO658-36.8)))/2)+AR657*(1-AS657/2))/(1-MAX(0.1,MIN(0.3,0.3-0.09*(AO658-36.8)))/2)</f>
        <v/>
      </c>
      <c r="AQ658">
        <f>((AM658/$B$7+T657*AS657/2-T658*MAX(0.1,MIN(0.3,0.3-0.09*(AP658-36.8)))/2)+AR657*(1-AS657/2))/(1-MAX(0.1,MIN(0.3,0.3-0.09*(AP658-36.8)))/2)</f>
        <v/>
      </c>
      <c r="AR658">
        <f>((AM658/$B$7+T657*AS657/2-T658*MAX(0.1,MIN(0.3,0.3-0.09*(AQ658-36.8)))/2)+AR657*(1-AS657/2))/(1-MAX(0.1,MIN(0.3,0.3-0.09*(AQ658-36.8)))/2)</f>
        <v/>
      </c>
      <c r="AS658">
        <f>MAX(0.1,MIN(0.3,0.3-0.09*(AR658-36.8)))</f>
        <v/>
      </c>
      <c r="AT658">
        <f>AT657+(2*AR658-1.962*AT657-1.31)/9</f>
        <v/>
      </c>
      <c r="AU658">
        <f>AU657+AG658+K658</f>
        <v/>
      </c>
      <c r="AV658">
        <f>AU658*2.67*$B$6/1.8/60</f>
        <v/>
      </c>
      <c r="AW658">
        <f>IF(AT658&gt;=$B$36,1,0)</f>
        <v/>
      </c>
      <c r="AX658">
        <f>IF(AV658&gt;=$B$21,1,0)</f>
        <v/>
      </c>
    </row>
    <row r="659">
      <c r="A659" t="n">
        <v>586</v>
      </c>
      <c r="B659">
        <f>MATCH(A659-1,$D$61:$D$68,1)</f>
        <v/>
      </c>
      <c r="C659">
        <f>INDEX($G$61:$G$68,B659)</f>
        <v/>
      </c>
      <c r="D659">
        <f>INDEX($L$61:$L$68,B659)</f>
        <v/>
      </c>
      <c r="E659">
        <f>INDEX($M$61:$M$68,B659)</f>
        <v/>
      </c>
      <c r="F659">
        <f>INDEX($N$61:$N$68,B659)</f>
        <v/>
      </c>
      <c r="G659">
        <f>INDEX($AA$61:$AA$68,B659)</f>
        <v/>
      </c>
      <c r="H659">
        <f>INDEX($X$61:$X$68,B659)</f>
        <v/>
      </c>
      <c r="I659">
        <f>INDEX($AF$61:$AF$68,B659)</f>
        <v/>
      </c>
      <c r="J659">
        <f>INDEX($AC$61:$AC$68,B659)</f>
        <v/>
      </c>
      <c r="K659">
        <f>INDEX($AD$61:$AD$68,B659)</f>
        <v/>
      </c>
      <c r="L659">
        <f>INDEX($AG$61:$AG$68,B659)</f>
        <v/>
      </c>
      <c r="M659">
        <f>INDEX($AH$61:$AH$68,B659)</f>
        <v/>
      </c>
      <c r="N659">
        <f>INDEX($AI$61:$AI$68,B659)</f>
        <v/>
      </c>
      <c r="O659">
        <f>O658*$B$26+L659*(1-$B$26)</f>
        <v/>
      </c>
      <c r="P659">
        <f>$B$7*(O659-O658)*(1-AS658)</f>
        <v/>
      </c>
      <c r="Q659">
        <f>M659+0.51274*AT658</f>
        <v/>
      </c>
      <c r="R659">
        <f>N659+0.616*AT658</f>
        <v/>
      </c>
      <c r="S659">
        <f>IF($B$13&gt;=0.6,Q659,IF($B$13&lt;=0.2,R659,R659+2.5*(Q659-R659)*($B$13-0.2)))</f>
        <v/>
      </c>
      <c r="T659">
        <f>IF(A659=1,S659,T658*$B$27+S659*(1-$B$27))</f>
        <v/>
      </c>
      <c r="U659">
        <f>0.6105*EXP(17.27*T659/(T659+237.3))</f>
        <v/>
      </c>
      <c r="V659">
        <f>($B$14*(I659*C659+IF(ABS((D659+0.1)-D659)&lt;0.000000001,4*$B$19*$B$20*(D659+273)^3,$B$19*$B$20*(((D659+0.1)+273)^4-(D659+273)^4)/((D659+0.1)-D659))*D659)+T659/H659)/($B$14*(I659+IF(ABS((D659+0.1)-D659)&lt;0.000000001,4*$B$19*$B$20*(D659+273)^3,$B$19*$B$20*(((D659+0.1)+273)^4-(D659+273)^4)/((D659+0.1)-D659)))+1/H659)</f>
        <v/>
      </c>
      <c r="W659">
        <f>($B$14*(I659*C659+IF(ABS(V659-D659)&lt;0.000000001,4*$B$19*$B$20*(D659+273)^3,$B$19*$B$20*((V659+273)^4-(D659+273)^4)/(V659-D659))*D659)+T659/H659)/($B$14*(I659+IF(ABS(V659-D659)&lt;0.000000001,4*$B$19*$B$20*(D659+273)^3,$B$19*$B$20*((V659+273)^4-(D659+273)^4)/(V659-D659)))+1/H659)</f>
        <v/>
      </c>
      <c r="X659">
        <f>($B$14*(I659*C659+IF(ABS(W659-D659)&lt;0.000000001,4*$B$19*$B$20*(D659+273)^3,$B$19*$B$20*((W659+273)^4-(D659+273)^4)/(W659-D659))*D659)+T659/H659)/($B$14*(I659+IF(ABS(W659-D659)&lt;0.000000001,4*$B$19*$B$20*(D659+273)^3,$B$19*$B$20*((W659+273)^4-(D659+273)^4)/(W659-D659)))+1/H659)</f>
        <v/>
      </c>
      <c r="Y659">
        <f>($B$14*(I659*C659+IF(ABS(X659-D659)&lt;0.000000001,4*$B$19*$B$20*(D659+273)^3,$B$19*$B$20*((X659+273)^4-(D659+273)^4)/(X659-D659))*D659)+T659/H659)/($B$14*(I659+IF(ABS(X659-D659)&lt;0.000000001,4*$B$19*$B$20*(D659+273)^3,$B$19*$B$20*((X659+273)^4-(D659+273)^4)/(X659-D659)))+1/H659)</f>
        <v/>
      </c>
      <c r="Z659">
        <f>IF(ABS(Y659-D659)&lt;0.000000001,4*$B$19*$B$20*(D659+273)^3,$B$19*$B$20*((Y659+273)^4-(D659+273)^4)/(Y659-D659))</f>
        <v/>
      </c>
      <c r="AA659">
        <f>$B$14*I659*(Y659-C659)</f>
        <v/>
      </c>
      <c r="AB659">
        <f>$B$14*Z659*(Y659-D659)</f>
        <v/>
      </c>
      <c r="AC659">
        <f>IF((U659-E659)/G659=0,0.001,(U659-E659)/G659)</f>
        <v/>
      </c>
      <c r="AD659">
        <f>F659-P659-J659-K659-AA659-AB659</f>
        <v/>
      </c>
      <c r="AE659">
        <f>AD659/AC659</f>
        <v/>
      </c>
      <c r="AF659">
        <f>IF(AD659&lt;=0,0,IF(AC659&lt;=0,$B$11,IF(AE659&gt;=1.7,$B$11,MIN(AD659/MAX(0.05,IF(AE659&gt;1,(2-AE659)^2/2,1-AE659^2/2)),$B$11))))</f>
        <v/>
      </c>
      <c r="AG659">
        <f>AG658*$B$28+AF659*(1-$B$28)</f>
        <v/>
      </c>
      <c r="AH659">
        <f>IF(AND(AD659&gt;0,AC659&lt;=0),0,AC659)</f>
        <v/>
      </c>
      <c r="AI659">
        <f>AH659/MAX(AG659,0.000001)</f>
        <v/>
      </c>
      <c r="AJ659">
        <f>MIN(IF(AI659&gt;=0.5,-AI659+SQRT(AI659^2+2),1),$B$12)</f>
        <v/>
      </c>
      <c r="AK659">
        <f>IF(AG659&lt;=0,0,AJ659*AH659)</f>
        <v/>
      </c>
      <c r="AL659">
        <f>IF(AD659&lt;=0,0,AD659)</f>
        <v/>
      </c>
      <c r="AM659">
        <f>AL659-AK659+P659</f>
        <v/>
      </c>
      <c r="AN659">
        <f>((AM659/$B$7+T658*AS658/2-T659*MAX(0.1,MIN(0.3,0.3-0.09*(AR658-36.8)))/2)+AR658*(1-AS658/2))/(1-MAX(0.1,MIN(0.3,0.3-0.09*(AR658-36.8)))/2)</f>
        <v/>
      </c>
      <c r="AO659">
        <f>((AM659/$B$7+T658*AS658/2-T659*MAX(0.1,MIN(0.3,0.3-0.09*(AN659-36.8)))/2)+AR658*(1-AS658/2))/(1-MAX(0.1,MIN(0.3,0.3-0.09*(AN659-36.8)))/2)</f>
        <v/>
      </c>
      <c r="AP659">
        <f>((AM659/$B$7+T658*AS658/2-T659*MAX(0.1,MIN(0.3,0.3-0.09*(AO659-36.8)))/2)+AR658*(1-AS658/2))/(1-MAX(0.1,MIN(0.3,0.3-0.09*(AO659-36.8)))/2)</f>
        <v/>
      </c>
      <c r="AQ659">
        <f>((AM659/$B$7+T658*AS658/2-T659*MAX(0.1,MIN(0.3,0.3-0.09*(AP659-36.8)))/2)+AR658*(1-AS658/2))/(1-MAX(0.1,MIN(0.3,0.3-0.09*(AP659-36.8)))/2)</f>
        <v/>
      </c>
      <c r="AR659">
        <f>((AM659/$B$7+T658*AS658/2-T659*MAX(0.1,MIN(0.3,0.3-0.09*(AQ659-36.8)))/2)+AR658*(1-AS658/2))/(1-MAX(0.1,MIN(0.3,0.3-0.09*(AQ659-36.8)))/2)</f>
        <v/>
      </c>
      <c r="AS659">
        <f>MAX(0.1,MIN(0.3,0.3-0.09*(AR659-36.8)))</f>
        <v/>
      </c>
      <c r="AT659">
        <f>AT658+(2*AR659-1.962*AT658-1.31)/9</f>
        <v/>
      </c>
      <c r="AU659">
        <f>AU658+AG659+K659</f>
        <v/>
      </c>
      <c r="AV659">
        <f>AU659*2.67*$B$6/1.8/60</f>
        <v/>
      </c>
      <c r="AW659">
        <f>IF(AT659&gt;=$B$36,1,0)</f>
        <v/>
      </c>
      <c r="AX659">
        <f>IF(AV659&gt;=$B$21,1,0)</f>
        <v/>
      </c>
    </row>
    <row r="660">
      <c r="A660" t="n">
        <v>587</v>
      </c>
      <c r="B660">
        <f>MATCH(A660-1,$D$61:$D$68,1)</f>
        <v/>
      </c>
      <c r="C660">
        <f>INDEX($G$61:$G$68,B660)</f>
        <v/>
      </c>
      <c r="D660">
        <f>INDEX($L$61:$L$68,B660)</f>
        <v/>
      </c>
      <c r="E660">
        <f>INDEX($M$61:$M$68,B660)</f>
        <v/>
      </c>
      <c r="F660">
        <f>INDEX($N$61:$N$68,B660)</f>
        <v/>
      </c>
      <c r="G660">
        <f>INDEX($AA$61:$AA$68,B660)</f>
        <v/>
      </c>
      <c r="H660">
        <f>INDEX($X$61:$X$68,B660)</f>
        <v/>
      </c>
      <c r="I660">
        <f>INDEX($AF$61:$AF$68,B660)</f>
        <v/>
      </c>
      <c r="J660">
        <f>INDEX($AC$61:$AC$68,B660)</f>
        <v/>
      </c>
      <c r="K660">
        <f>INDEX($AD$61:$AD$68,B660)</f>
        <v/>
      </c>
      <c r="L660">
        <f>INDEX($AG$61:$AG$68,B660)</f>
        <v/>
      </c>
      <c r="M660">
        <f>INDEX($AH$61:$AH$68,B660)</f>
        <v/>
      </c>
      <c r="N660">
        <f>INDEX($AI$61:$AI$68,B660)</f>
        <v/>
      </c>
      <c r="O660">
        <f>O659*$B$26+L660*(1-$B$26)</f>
        <v/>
      </c>
      <c r="P660">
        <f>$B$7*(O660-O659)*(1-AS659)</f>
        <v/>
      </c>
      <c r="Q660">
        <f>M660+0.51274*AT659</f>
        <v/>
      </c>
      <c r="R660">
        <f>N660+0.616*AT659</f>
        <v/>
      </c>
      <c r="S660">
        <f>IF($B$13&gt;=0.6,Q660,IF($B$13&lt;=0.2,R660,R660+2.5*(Q660-R660)*($B$13-0.2)))</f>
        <v/>
      </c>
      <c r="T660">
        <f>IF(A660=1,S660,T659*$B$27+S660*(1-$B$27))</f>
        <v/>
      </c>
      <c r="U660">
        <f>0.6105*EXP(17.27*T660/(T660+237.3))</f>
        <v/>
      </c>
      <c r="V660">
        <f>($B$14*(I660*C660+IF(ABS((D660+0.1)-D660)&lt;0.000000001,4*$B$19*$B$20*(D660+273)^3,$B$19*$B$20*(((D660+0.1)+273)^4-(D660+273)^4)/((D660+0.1)-D660))*D660)+T660/H660)/($B$14*(I660+IF(ABS((D660+0.1)-D660)&lt;0.000000001,4*$B$19*$B$20*(D660+273)^3,$B$19*$B$20*(((D660+0.1)+273)^4-(D660+273)^4)/((D660+0.1)-D660)))+1/H660)</f>
        <v/>
      </c>
      <c r="W660">
        <f>($B$14*(I660*C660+IF(ABS(V660-D660)&lt;0.000000001,4*$B$19*$B$20*(D660+273)^3,$B$19*$B$20*((V660+273)^4-(D660+273)^4)/(V660-D660))*D660)+T660/H660)/($B$14*(I660+IF(ABS(V660-D660)&lt;0.000000001,4*$B$19*$B$20*(D660+273)^3,$B$19*$B$20*((V660+273)^4-(D660+273)^4)/(V660-D660)))+1/H660)</f>
        <v/>
      </c>
      <c r="X660">
        <f>($B$14*(I660*C660+IF(ABS(W660-D660)&lt;0.000000001,4*$B$19*$B$20*(D660+273)^3,$B$19*$B$20*((W660+273)^4-(D660+273)^4)/(W660-D660))*D660)+T660/H660)/($B$14*(I660+IF(ABS(W660-D660)&lt;0.000000001,4*$B$19*$B$20*(D660+273)^3,$B$19*$B$20*((W660+273)^4-(D660+273)^4)/(W660-D660)))+1/H660)</f>
        <v/>
      </c>
      <c r="Y660">
        <f>($B$14*(I660*C660+IF(ABS(X660-D660)&lt;0.000000001,4*$B$19*$B$20*(D660+273)^3,$B$19*$B$20*((X660+273)^4-(D660+273)^4)/(X660-D660))*D660)+T660/H660)/($B$14*(I660+IF(ABS(X660-D660)&lt;0.000000001,4*$B$19*$B$20*(D660+273)^3,$B$19*$B$20*((X660+273)^4-(D660+273)^4)/(X660-D660)))+1/H660)</f>
        <v/>
      </c>
      <c r="Z660">
        <f>IF(ABS(Y660-D660)&lt;0.000000001,4*$B$19*$B$20*(D660+273)^3,$B$19*$B$20*((Y660+273)^4-(D660+273)^4)/(Y660-D660))</f>
        <v/>
      </c>
      <c r="AA660">
        <f>$B$14*I660*(Y660-C660)</f>
        <v/>
      </c>
      <c r="AB660">
        <f>$B$14*Z660*(Y660-D660)</f>
        <v/>
      </c>
      <c r="AC660">
        <f>IF((U660-E660)/G660=0,0.001,(U660-E660)/G660)</f>
        <v/>
      </c>
      <c r="AD660">
        <f>F660-P660-J660-K660-AA660-AB660</f>
        <v/>
      </c>
      <c r="AE660">
        <f>AD660/AC660</f>
        <v/>
      </c>
      <c r="AF660">
        <f>IF(AD660&lt;=0,0,IF(AC660&lt;=0,$B$11,IF(AE660&gt;=1.7,$B$11,MIN(AD660/MAX(0.05,IF(AE660&gt;1,(2-AE660)^2/2,1-AE660^2/2)),$B$11))))</f>
        <v/>
      </c>
      <c r="AG660">
        <f>AG659*$B$28+AF660*(1-$B$28)</f>
        <v/>
      </c>
      <c r="AH660">
        <f>IF(AND(AD660&gt;0,AC660&lt;=0),0,AC660)</f>
        <v/>
      </c>
      <c r="AI660">
        <f>AH660/MAX(AG660,0.000001)</f>
        <v/>
      </c>
      <c r="AJ660">
        <f>MIN(IF(AI660&gt;=0.5,-AI660+SQRT(AI660^2+2),1),$B$12)</f>
        <v/>
      </c>
      <c r="AK660">
        <f>IF(AG660&lt;=0,0,AJ660*AH660)</f>
        <v/>
      </c>
      <c r="AL660">
        <f>IF(AD660&lt;=0,0,AD660)</f>
        <v/>
      </c>
      <c r="AM660">
        <f>AL660-AK660+P660</f>
        <v/>
      </c>
      <c r="AN660">
        <f>((AM660/$B$7+T659*AS659/2-T660*MAX(0.1,MIN(0.3,0.3-0.09*(AR659-36.8)))/2)+AR659*(1-AS659/2))/(1-MAX(0.1,MIN(0.3,0.3-0.09*(AR659-36.8)))/2)</f>
        <v/>
      </c>
      <c r="AO660">
        <f>((AM660/$B$7+T659*AS659/2-T660*MAX(0.1,MIN(0.3,0.3-0.09*(AN660-36.8)))/2)+AR659*(1-AS659/2))/(1-MAX(0.1,MIN(0.3,0.3-0.09*(AN660-36.8)))/2)</f>
        <v/>
      </c>
      <c r="AP660">
        <f>((AM660/$B$7+T659*AS659/2-T660*MAX(0.1,MIN(0.3,0.3-0.09*(AO660-36.8)))/2)+AR659*(1-AS659/2))/(1-MAX(0.1,MIN(0.3,0.3-0.09*(AO660-36.8)))/2)</f>
        <v/>
      </c>
      <c r="AQ660">
        <f>((AM660/$B$7+T659*AS659/2-T660*MAX(0.1,MIN(0.3,0.3-0.09*(AP660-36.8)))/2)+AR659*(1-AS659/2))/(1-MAX(0.1,MIN(0.3,0.3-0.09*(AP660-36.8)))/2)</f>
        <v/>
      </c>
      <c r="AR660">
        <f>((AM660/$B$7+T659*AS659/2-T660*MAX(0.1,MIN(0.3,0.3-0.09*(AQ660-36.8)))/2)+AR659*(1-AS659/2))/(1-MAX(0.1,MIN(0.3,0.3-0.09*(AQ660-36.8)))/2)</f>
        <v/>
      </c>
      <c r="AS660">
        <f>MAX(0.1,MIN(0.3,0.3-0.09*(AR660-36.8)))</f>
        <v/>
      </c>
      <c r="AT660">
        <f>AT659+(2*AR660-1.962*AT659-1.31)/9</f>
        <v/>
      </c>
      <c r="AU660">
        <f>AU659+AG660+K660</f>
        <v/>
      </c>
      <c r="AV660">
        <f>AU660*2.67*$B$6/1.8/60</f>
        <v/>
      </c>
      <c r="AW660">
        <f>IF(AT660&gt;=$B$36,1,0)</f>
        <v/>
      </c>
      <c r="AX660">
        <f>IF(AV660&gt;=$B$21,1,0)</f>
        <v/>
      </c>
    </row>
    <row r="661">
      <c r="A661" t="n">
        <v>588</v>
      </c>
      <c r="B661">
        <f>MATCH(A661-1,$D$61:$D$68,1)</f>
        <v/>
      </c>
      <c r="C661">
        <f>INDEX($G$61:$G$68,B661)</f>
        <v/>
      </c>
      <c r="D661">
        <f>INDEX($L$61:$L$68,B661)</f>
        <v/>
      </c>
      <c r="E661">
        <f>INDEX($M$61:$M$68,B661)</f>
        <v/>
      </c>
      <c r="F661">
        <f>INDEX($N$61:$N$68,B661)</f>
        <v/>
      </c>
      <c r="G661">
        <f>INDEX($AA$61:$AA$68,B661)</f>
        <v/>
      </c>
      <c r="H661">
        <f>INDEX($X$61:$X$68,B661)</f>
        <v/>
      </c>
      <c r="I661">
        <f>INDEX($AF$61:$AF$68,B661)</f>
        <v/>
      </c>
      <c r="J661">
        <f>INDEX($AC$61:$AC$68,B661)</f>
        <v/>
      </c>
      <c r="K661">
        <f>INDEX($AD$61:$AD$68,B661)</f>
        <v/>
      </c>
      <c r="L661">
        <f>INDEX($AG$61:$AG$68,B661)</f>
        <v/>
      </c>
      <c r="M661">
        <f>INDEX($AH$61:$AH$68,B661)</f>
        <v/>
      </c>
      <c r="N661">
        <f>INDEX($AI$61:$AI$68,B661)</f>
        <v/>
      </c>
      <c r="O661">
        <f>O660*$B$26+L661*(1-$B$26)</f>
        <v/>
      </c>
      <c r="P661">
        <f>$B$7*(O661-O660)*(1-AS660)</f>
        <v/>
      </c>
      <c r="Q661">
        <f>M661+0.51274*AT660</f>
        <v/>
      </c>
      <c r="R661">
        <f>N661+0.616*AT660</f>
        <v/>
      </c>
      <c r="S661">
        <f>IF($B$13&gt;=0.6,Q661,IF($B$13&lt;=0.2,R661,R661+2.5*(Q661-R661)*($B$13-0.2)))</f>
        <v/>
      </c>
      <c r="T661">
        <f>IF(A661=1,S661,T660*$B$27+S661*(1-$B$27))</f>
        <v/>
      </c>
      <c r="U661">
        <f>0.6105*EXP(17.27*T661/(T661+237.3))</f>
        <v/>
      </c>
      <c r="V661">
        <f>($B$14*(I661*C661+IF(ABS((D661+0.1)-D661)&lt;0.000000001,4*$B$19*$B$20*(D661+273)^3,$B$19*$B$20*(((D661+0.1)+273)^4-(D661+273)^4)/((D661+0.1)-D661))*D661)+T661/H661)/($B$14*(I661+IF(ABS((D661+0.1)-D661)&lt;0.000000001,4*$B$19*$B$20*(D661+273)^3,$B$19*$B$20*(((D661+0.1)+273)^4-(D661+273)^4)/((D661+0.1)-D661)))+1/H661)</f>
        <v/>
      </c>
      <c r="W661">
        <f>($B$14*(I661*C661+IF(ABS(V661-D661)&lt;0.000000001,4*$B$19*$B$20*(D661+273)^3,$B$19*$B$20*((V661+273)^4-(D661+273)^4)/(V661-D661))*D661)+T661/H661)/($B$14*(I661+IF(ABS(V661-D661)&lt;0.000000001,4*$B$19*$B$20*(D661+273)^3,$B$19*$B$20*((V661+273)^4-(D661+273)^4)/(V661-D661)))+1/H661)</f>
        <v/>
      </c>
      <c r="X661">
        <f>($B$14*(I661*C661+IF(ABS(W661-D661)&lt;0.000000001,4*$B$19*$B$20*(D661+273)^3,$B$19*$B$20*((W661+273)^4-(D661+273)^4)/(W661-D661))*D661)+T661/H661)/($B$14*(I661+IF(ABS(W661-D661)&lt;0.000000001,4*$B$19*$B$20*(D661+273)^3,$B$19*$B$20*((W661+273)^4-(D661+273)^4)/(W661-D661)))+1/H661)</f>
        <v/>
      </c>
      <c r="Y661">
        <f>($B$14*(I661*C661+IF(ABS(X661-D661)&lt;0.000000001,4*$B$19*$B$20*(D661+273)^3,$B$19*$B$20*((X661+273)^4-(D661+273)^4)/(X661-D661))*D661)+T661/H661)/($B$14*(I661+IF(ABS(X661-D661)&lt;0.000000001,4*$B$19*$B$20*(D661+273)^3,$B$19*$B$20*((X661+273)^4-(D661+273)^4)/(X661-D661)))+1/H661)</f>
        <v/>
      </c>
      <c r="Z661">
        <f>IF(ABS(Y661-D661)&lt;0.000000001,4*$B$19*$B$20*(D661+273)^3,$B$19*$B$20*((Y661+273)^4-(D661+273)^4)/(Y661-D661))</f>
        <v/>
      </c>
      <c r="AA661">
        <f>$B$14*I661*(Y661-C661)</f>
        <v/>
      </c>
      <c r="AB661">
        <f>$B$14*Z661*(Y661-D661)</f>
        <v/>
      </c>
      <c r="AC661">
        <f>IF((U661-E661)/G661=0,0.001,(U661-E661)/G661)</f>
        <v/>
      </c>
      <c r="AD661">
        <f>F661-P661-J661-K661-AA661-AB661</f>
        <v/>
      </c>
      <c r="AE661">
        <f>AD661/AC661</f>
        <v/>
      </c>
      <c r="AF661">
        <f>IF(AD661&lt;=0,0,IF(AC661&lt;=0,$B$11,IF(AE661&gt;=1.7,$B$11,MIN(AD661/MAX(0.05,IF(AE661&gt;1,(2-AE661)^2/2,1-AE661^2/2)),$B$11))))</f>
        <v/>
      </c>
      <c r="AG661">
        <f>AG660*$B$28+AF661*(1-$B$28)</f>
        <v/>
      </c>
      <c r="AH661">
        <f>IF(AND(AD661&gt;0,AC661&lt;=0),0,AC661)</f>
        <v/>
      </c>
      <c r="AI661">
        <f>AH661/MAX(AG661,0.000001)</f>
        <v/>
      </c>
      <c r="AJ661">
        <f>MIN(IF(AI661&gt;=0.5,-AI661+SQRT(AI661^2+2),1),$B$12)</f>
        <v/>
      </c>
      <c r="AK661">
        <f>IF(AG661&lt;=0,0,AJ661*AH661)</f>
        <v/>
      </c>
      <c r="AL661">
        <f>IF(AD661&lt;=0,0,AD661)</f>
        <v/>
      </c>
      <c r="AM661">
        <f>AL661-AK661+P661</f>
        <v/>
      </c>
      <c r="AN661">
        <f>((AM661/$B$7+T660*AS660/2-T661*MAX(0.1,MIN(0.3,0.3-0.09*(AR660-36.8)))/2)+AR660*(1-AS660/2))/(1-MAX(0.1,MIN(0.3,0.3-0.09*(AR660-36.8)))/2)</f>
        <v/>
      </c>
      <c r="AO661">
        <f>((AM661/$B$7+T660*AS660/2-T661*MAX(0.1,MIN(0.3,0.3-0.09*(AN661-36.8)))/2)+AR660*(1-AS660/2))/(1-MAX(0.1,MIN(0.3,0.3-0.09*(AN661-36.8)))/2)</f>
        <v/>
      </c>
      <c r="AP661">
        <f>((AM661/$B$7+T660*AS660/2-T661*MAX(0.1,MIN(0.3,0.3-0.09*(AO661-36.8)))/2)+AR660*(1-AS660/2))/(1-MAX(0.1,MIN(0.3,0.3-0.09*(AO661-36.8)))/2)</f>
        <v/>
      </c>
      <c r="AQ661">
        <f>((AM661/$B$7+T660*AS660/2-T661*MAX(0.1,MIN(0.3,0.3-0.09*(AP661-36.8)))/2)+AR660*(1-AS660/2))/(1-MAX(0.1,MIN(0.3,0.3-0.09*(AP661-36.8)))/2)</f>
        <v/>
      </c>
      <c r="AR661">
        <f>((AM661/$B$7+T660*AS660/2-T661*MAX(0.1,MIN(0.3,0.3-0.09*(AQ661-36.8)))/2)+AR660*(1-AS660/2))/(1-MAX(0.1,MIN(0.3,0.3-0.09*(AQ661-36.8)))/2)</f>
        <v/>
      </c>
      <c r="AS661">
        <f>MAX(0.1,MIN(0.3,0.3-0.09*(AR661-36.8)))</f>
        <v/>
      </c>
      <c r="AT661">
        <f>AT660+(2*AR661-1.962*AT660-1.31)/9</f>
        <v/>
      </c>
      <c r="AU661">
        <f>AU660+AG661+K661</f>
        <v/>
      </c>
      <c r="AV661">
        <f>AU661*2.67*$B$6/1.8/60</f>
        <v/>
      </c>
      <c r="AW661">
        <f>IF(AT661&gt;=$B$36,1,0)</f>
        <v/>
      </c>
      <c r="AX661">
        <f>IF(AV661&gt;=$B$21,1,0)</f>
        <v/>
      </c>
    </row>
    <row r="662">
      <c r="A662" t="n">
        <v>589</v>
      </c>
      <c r="B662">
        <f>MATCH(A662-1,$D$61:$D$68,1)</f>
        <v/>
      </c>
      <c r="C662">
        <f>INDEX($G$61:$G$68,B662)</f>
        <v/>
      </c>
      <c r="D662">
        <f>INDEX($L$61:$L$68,B662)</f>
        <v/>
      </c>
      <c r="E662">
        <f>INDEX($M$61:$M$68,B662)</f>
        <v/>
      </c>
      <c r="F662">
        <f>INDEX($N$61:$N$68,B662)</f>
        <v/>
      </c>
      <c r="G662">
        <f>INDEX($AA$61:$AA$68,B662)</f>
        <v/>
      </c>
      <c r="H662">
        <f>INDEX($X$61:$X$68,B662)</f>
        <v/>
      </c>
      <c r="I662">
        <f>INDEX($AF$61:$AF$68,B662)</f>
        <v/>
      </c>
      <c r="J662">
        <f>INDEX($AC$61:$AC$68,B662)</f>
        <v/>
      </c>
      <c r="K662">
        <f>INDEX($AD$61:$AD$68,B662)</f>
        <v/>
      </c>
      <c r="L662">
        <f>INDEX($AG$61:$AG$68,B662)</f>
        <v/>
      </c>
      <c r="M662">
        <f>INDEX($AH$61:$AH$68,B662)</f>
        <v/>
      </c>
      <c r="N662">
        <f>INDEX($AI$61:$AI$68,B662)</f>
        <v/>
      </c>
      <c r="O662">
        <f>O661*$B$26+L662*(1-$B$26)</f>
        <v/>
      </c>
      <c r="P662">
        <f>$B$7*(O662-O661)*(1-AS661)</f>
        <v/>
      </c>
      <c r="Q662">
        <f>M662+0.51274*AT661</f>
        <v/>
      </c>
      <c r="R662">
        <f>N662+0.616*AT661</f>
        <v/>
      </c>
      <c r="S662">
        <f>IF($B$13&gt;=0.6,Q662,IF($B$13&lt;=0.2,R662,R662+2.5*(Q662-R662)*($B$13-0.2)))</f>
        <v/>
      </c>
      <c r="T662">
        <f>IF(A662=1,S662,T661*$B$27+S662*(1-$B$27))</f>
        <v/>
      </c>
      <c r="U662">
        <f>0.6105*EXP(17.27*T662/(T662+237.3))</f>
        <v/>
      </c>
      <c r="V662">
        <f>($B$14*(I662*C662+IF(ABS((D662+0.1)-D662)&lt;0.000000001,4*$B$19*$B$20*(D662+273)^3,$B$19*$B$20*(((D662+0.1)+273)^4-(D662+273)^4)/((D662+0.1)-D662))*D662)+T662/H662)/($B$14*(I662+IF(ABS((D662+0.1)-D662)&lt;0.000000001,4*$B$19*$B$20*(D662+273)^3,$B$19*$B$20*(((D662+0.1)+273)^4-(D662+273)^4)/((D662+0.1)-D662)))+1/H662)</f>
        <v/>
      </c>
      <c r="W662">
        <f>($B$14*(I662*C662+IF(ABS(V662-D662)&lt;0.000000001,4*$B$19*$B$20*(D662+273)^3,$B$19*$B$20*((V662+273)^4-(D662+273)^4)/(V662-D662))*D662)+T662/H662)/($B$14*(I662+IF(ABS(V662-D662)&lt;0.000000001,4*$B$19*$B$20*(D662+273)^3,$B$19*$B$20*((V662+273)^4-(D662+273)^4)/(V662-D662)))+1/H662)</f>
        <v/>
      </c>
      <c r="X662">
        <f>($B$14*(I662*C662+IF(ABS(W662-D662)&lt;0.000000001,4*$B$19*$B$20*(D662+273)^3,$B$19*$B$20*((W662+273)^4-(D662+273)^4)/(W662-D662))*D662)+T662/H662)/($B$14*(I662+IF(ABS(W662-D662)&lt;0.000000001,4*$B$19*$B$20*(D662+273)^3,$B$19*$B$20*((W662+273)^4-(D662+273)^4)/(W662-D662)))+1/H662)</f>
        <v/>
      </c>
      <c r="Y662">
        <f>($B$14*(I662*C662+IF(ABS(X662-D662)&lt;0.000000001,4*$B$19*$B$20*(D662+273)^3,$B$19*$B$20*((X662+273)^4-(D662+273)^4)/(X662-D662))*D662)+T662/H662)/($B$14*(I662+IF(ABS(X662-D662)&lt;0.000000001,4*$B$19*$B$20*(D662+273)^3,$B$19*$B$20*((X662+273)^4-(D662+273)^4)/(X662-D662)))+1/H662)</f>
        <v/>
      </c>
      <c r="Z662">
        <f>IF(ABS(Y662-D662)&lt;0.000000001,4*$B$19*$B$20*(D662+273)^3,$B$19*$B$20*((Y662+273)^4-(D662+273)^4)/(Y662-D662))</f>
        <v/>
      </c>
      <c r="AA662">
        <f>$B$14*I662*(Y662-C662)</f>
        <v/>
      </c>
      <c r="AB662">
        <f>$B$14*Z662*(Y662-D662)</f>
        <v/>
      </c>
      <c r="AC662">
        <f>IF((U662-E662)/G662=0,0.001,(U662-E662)/G662)</f>
        <v/>
      </c>
      <c r="AD662">
        <f>F662-P662-J662-K662-AA662-AB662</f>
        <v/>
      </c>
      <c r="AE662">
        <f>AD662/AC662</f>
        <v/>
      </c>
      <c r="AF662">
        <f>IF(AD662&lt;=0,0,IF(AC662&lt;=0,$B$11,IF(AE662&gt;=1.7,$B$11,MIN(AD662/MAX(0.05,IF(AE662&gt;1,(2-AE662)^2/2,1-AE662^2/2)),$B$11))))</f>
        <v/>
      </c>
      <c r="AG662">
        <f>AG661*$B$28+AF662*(1-$B$28)</f>
        <v/>
      </c>
      <c r="AH662">
        <f>IF(AND(AD662&gt;0,AC662&lt;=0),0,AC662)</f>
        <v/>
      </c>
      <c r="AI662">
        <f>AH662/MAX(AG662,0.000001)</f>
        <v/>
      </c>
      <c r="AJ662">
        <f>MIN(IF(AI662&gt;=0.5,-AI662+SQRT(AI662^2+2),1),$B$12)</f>
        <v/>
      </c>
      <c r="AK662">
        <f>IF(AG662&lt;=0,0,AJ662*AH662)</f>
        <v/>
      </c>
      <c r="AL662">
        <f>IF(AD662&lt;=0,0,AD662)</f>
        <v/>
      </c>
      <c r="AM662">
        <f>AL662-AK662+P662</f>
        <v/>
      </c>
      <c r="AN662">
        <f>((AM662/$B$7+T661*AS661/2-T662*MAX(0.1,MIN(0.3,0.3-0.09*(AR661-36.8)))/2)+AR661*(1-AS661/2))/(1-MAX(0.1,MIN(0.3,0.3-0.09*(AR661-36.8)))/2)</f>
        <v/>
      </c>
      <c r="AO662">
        <f>((AM662/$B$7+T661*AS661/2-T662*MAX(0.1,MIN(0.3,0.3-0.09*(AN662-36.8)))/2)+AR661*(1-AS661/2))/(1-MAX(0.1,MIN(0.3,0.3-0.09*(AN662-36.8)))/2)</f>
        <v/>
      </c>
      <c r="AP662">
        <f>((AM662/$B$7+T661*AS661/2-T662*MAX(0.1,MIN(0.3,0.3-0.09*(AO662-36.8)))/2)+AR661*(1-AS661/2))/(1-MAX(0.1,MIN(0.3,0.3-0.09*(AO662-36.8)))/2)</f>
        <v/>
      </c>
      <c r="AQ662">
        <f>((AM662/$B$7+T661*AS661/2-T662*MAX(0.1,MIN(0.3,0.3-0.09*(AP662-36.8)))/2)+AR661*(1-AS661/2))/(1-MAX(0.1,MIN(0.3,0.3-0.09*(AP662-36.8)))/2)</f>
        <v/>
      </c>
      <c r="AR662">
        <f>((AM662/$B$7+T661*AS661/2-T662*MAX(0.1,MIN(0.3,0.3-0.09*(AQ662-36.8)))/2)+AR661*(1-AS661/2))/(1-MAX(0.1,MIN(0.3,0.3-0.09*(AQ662-36.8)))/2)</f>
        <v/>
      </c>
      <c r="AS662">
        <f>MAX(0.1,MIN(0.3,0.3-0.09*(AR662-36.8)))</f>
        <v/>
      </c>
      <c r="AT662">
        <f>AT661+(2*AR662-1.962*AT661-1.31)/9</f>
        <v/>
      </c>
      <c r="AU662">
        <f>AU661+AG662+K662</f>
        <v/>
      </c>
      <c r="AV662">
        <f>AU662*2.67*$B$6/1.8/60</f>
        <v/>
      </c>
      <c r="AW662">
        <f>IF(AT662&gt;=$B$36,1,0)</f>
        <v/>
      </c>
      <c r="AX662">
        <f>IF(AV662&gt;=$B$21,1,0)</f>
        <v/>
      </c>
    </row>
    <row r="663">
      <c r="A663" t="n">
        <v>590</v>
      </c>
      <c r="B663">
        <f>MATCH(A663-1,$D$61:$D$68,1)</f>
        <v/>
      </c>
      <c r="C663">
        <f>INDEX($G$61:$G$68,B663)</f>
        <v/>
      </c>
      <c r="D663">
        <f>INDEX($L$61:$L$68,B663)</f>
        <v/>
      </c>
      <c r="E663">
        <f>INDEX($M$61:$M$68,B663)</f>
        <v/>
      </c>
      <c r="F663">
        <f>INDEX($N$61:$N$68,B663)</f>
        <v/>
      </c>
      <c r="G663">
        <f>INDEX($AA$61:$AA$68,B663)</f>
        <v/>
      </c>
      <c r="H663">
        <f>INDEX($X$61:$X$68,B663)</f>
        <v/>
      </c>
      <c r="I663">
        <f>INDEX($AF$61:$AF$68,B663)</f>
        <v/>
      </c>
      <c r="J663">
        <f>INDEX($AC$61:$AC$68,B663)</f>
        <v/>
      </c>
      <c r="K663">
        <f>INDEX($AD$61:$AD$68,B663)</f>
        <v/>
      </c>
      <c r="L663">
        <f>INDEX($AG$61:$AG$68,B663)</f>
        <v/>
      </c>
      <c r="M663">
        <f>INDEX($AH$61:$AH$68,B663)</f>
        <v/>
      </c>
      <c r="N663">
        <f>INDEX($AI$61:$AI$68,B663)</f>
        <v/>
      </c>
      <c r="O663">
        <f>O662*$B$26+L663*(1-$B$26)</f>
        <v/>
      </c>
      <c r="P663">
        <f>$B$7*(O663-O662)*(1-AS662)</f>
        <v/>
      </c>
      <c r="Q663">
        <f>M663+0.51274*AT662</f>
        <v/>
      </c>
      <c r="R663">
        <f>N663+0.616*AT662</f>
        <v/>
      </c>
      <c r="S663">
        <f>IF($B$13&gt;=0.6,Q663,IF($B$13&lt;=0.2,R663,R663+2.5*(Q663-R663)*($B$13-0.2)))</f>
        <v/>
      </c>
      <c r="T663">
        <f>IF(A663=1,S663,T662*$B$27+S663*(1-$B$27))</f>
        <v/>
      </c>
      <c r="U663">
        <f>0.6105*EXP(17.27*T663/(T663+237.3))</f>
        <v/>
      </c>
      <c r="V663">
        <f>($B$14*(I663*C663+IF(ABS((D663+0.1)-D663)&lt;0.000000001,4*$B$19*$B$20*(D663+273)^3,$B$19*$B$20*(((D663+0.1)+273)^4-(D663+273)^4)/((D663+0.1)-D663))*D663)+T663/H663)/($B$14*(I663+IF(ABS((D663+0.1)-D663)&lt;0.000000001,4*$B$19*$B$20*(D663+273)^3,$B$19*$B$20*(((D663+0.1)+273)^4-(D663+273)^4)/((D663+0.1)-D663)))+1/H663)</f>
        <v/>
      </c>
      <c r="W663">
        <f>($B$14*(I663*C663+IF(ABS(V663-D663)&lt;0.000000001,4*$B$19*$B$20*(D663+273)^3,$B$19*$B$20*((V663+273)^4-(D663+273)^4)/(V663-D663))*D663)+T663/H663)/($B$14*(I663+IF(ABS(V663-D663)&lt;0.000000001,4*$B$19*$B$20*(D663+273)^3,$B$19*$B$20*((V663+273)^4-(D663+273)^4)/(V663-D663)))+1/H663)</f>
        <v/>
      </c>
      <c r="X663">
        <f>($B$14*(I663*C663+IF(ABS(W663-D663)&lt;0.000000001,4*$B$19*$B$20*(D663+273)^3,$B$19*$B$20*((W663+273)^4-(D663+273)^4)/(W663-D663))*D663)+T663/H663)/($B$14*(I663+IF(ABS(W663-D663)&lt;0.000000001,4*$B$19*$B$20*(D663+273)^3,$B$19*$B$20*((W663+273)^4-(D663+273)^4)/(W663-D663)))+1/H663)</f>
        <v/>
      </c>
      <c r="Y663">
        <f>($B$14*(I663*C663+IF(ABS(X663-D663)&lt;0.000000001,4*$B$19*$B$20*(D663+273)^3,$B$19*$B$20*((X663+273)^4-(D663+273)^4)/(X663-D663))*D663)+T663/H663)/($B$14*(I663+IF(ABS(X663-D663)&lt;0.000000001,4*$B$19*$B$20*(D663+273)^3,$B$19*$B$20*((X663+273)^4-(D663+273)^4)/(X663-D663)))+1/H663)</f>
        <v/>
      </c>
      <c r="Z663">
        <f>IF(ABS(Y663-D663)&lt;0.000000001,4*$B$19*$B$20*(D663+273)^3,$B$19*$B$20*((Y663+273)^4-(D663+273)^4)/(Y663-D663))</f>
        <v/>
      </c>
      <c r="AA663">
        <f>$B$14*I663*(Y663-C663)</f>
        <v/>
      </c>
      <c r="AB663">
        <f>$B$14*Z663*(Y663-D663)</f>
        <v/>
      </c>
      <c r="AC663">
        <f>IF((U663-E663)/G663=0,0.001,(U663-E663)/G663)</f>
        <v/>
      </c>
      <c r="AD663">
        <f>F663-P663-J663-K663-AA663-AB663</f>
        <v/>
      </c>
      <c r="AE663">
        <f>AD663/AC663</f>
        <v/>
      </c>
      <c r="AF663">
        <f>IF(AD663&lt;=0,0,IF(AC663&lt;=0,$B$11,IF(AE663&gt;=1.7,$B$11,MIN(AD663/MAX(0.05,IF(AE663&gt;1,(2-AE663)^2/2,1-AE663^2/2)),$B$11))))</f>
        <v/>
      </c>
      <c r="AG663">
        <f>AG662*$B$28+AF663*(1-$B$28)</f>
        <v/>
      </c>
      <c r="AH663">
        <f>IF(AND(AD663&gt;0,AC663&lt;=0),0,AC663)</f>
        <v/>
      </c>
      <c r="AI663">
        <f>AH663/MAX(AG663,0.000001)</f>
        <v/>
      </c>
      <c r="AJ663">
        <f>MIN(IF(AI663&gt;=0.5,-AI663+SQRT(AI663^2+2),1),$B$12)</f>
        <v/>
      </c>
      <c r="AK663">
        <f>IF(AG663&lt;=0,0,AJ663*AH663)</f>
        <v/>
      </c>
      <c r="AL663">
        <f>IF(AD663&lt;=0,0,AD663)</f>
        <v/>
      </c>
      <c r="AM663">
        <f>AL663-AK663+P663</f>
        <v/>
      </c>
      <c r="AN663">
        <f>((AM663/$B$7+T662*AS662/2-T663*MAX(0.1,MIN(0.3,0.3-0.09*(AR662-36.8)))/2)+AR662*(1-AS662/2))/(1-MAX(0.1,MIN(0.3,0.3-0.09*(AR662-36.8)))/2)</f>
        <v/>
      </c>
      <c r="AO663">
        <f>((AM663/$B$7+T662*AS662/2-T663*MAX(0.1,MIN(0.3,0.3-0.09*(AN663-36.8)))/2)+AR662*(1-AS662/2))/(1-MAX(0.1,MIN(0.3,0.3-0.09*(AN663-36.8)))/2)</f>
        <v/>
      </c>
      <c r="AP663">
        <f>((AM663/$B$7+T662*AS662/2-T663*MAX(0.1,MIN(0.3,0.3-0.09*(AO663-36.8)))/2)+AR662*(1-AS662/2))/(1-MAX(0.1,MIN(0.3,0.3-0.09*(AO663-36.8)))/2)</f>
        <v/>
      </c>
      <c r="AQ663">
        <f>((AM663/$B$7+T662*AS662/2-T663*MAX(0.1,MIN(0.3,0.3-0.09*(AP663-36.8)))/2)+AR662*(1-AS662/2))/(1-MAX(0.1,MIN(0.3,0.3-0.09*(AP663-36.8)))/2)</f>
        <v/>
      </c>
      <c r="AR663">
        <f>((AM663/$B$7+T662*AS662/2-T663*MAX(0.1,MIN(0.3,0.3-0.09*(AQ663-36.8)))/2)+AR662*(1-AS662/2))/(1-MAX(0.1,MIN(0.3,0.3-0.09*(AQ663-36.8)))/2)</f>
        <v/>
      </c>
      <c r="AS663">
        <f>MAX(0.1,MIN(0.3,0.3-0.09*(AR663-36.8)))</f>
        <v/>
      </c>
      <c r="AT663">
        <f>AT662+(2*AR663-1.962*AT662-1.31)/9</f>
        <v/>
      </c>
      <c r="AU663">
        <f>AU662+AG663+K663</f>
        <v/>
      </c>
      <c r="AV663">
        <f>AU663*2.67*$B$6/1.8/60</f>
        <v/>
      </c>
      <c r="AW663">
        <f>IF(AT663&gt;=$B$36,1,0)</f>
        <v/>
      </c>
      <c r="AX663">
        <f>IF(AV663&gt;=$B$21,1,0)</f>
        <v/>
      </c>
    </row>
    <row r="664">
      <c r="A664" t="n">
        <v>591</v>
      </c>
      <c r="B664">
        <f>MATCH(A664-1,$D$61:$D$68,1)</f>
        <v/>
      </c>
      <c r="C664">
        <f>INDEX($G$61:$G$68,B664)</f>
        <v/>
      </c>
      <c r="D664">
        <f>INDEX($L$61:$L$68,B664)</f>
        <v/>
      </c>
      <c r="E664">
        <f>INDEX($M$61:$M$68,B664)</f>
        <v/>
      </c>
      <c r="F664">
        <f>INDEX($N$61:$N$68,B664)</f>
        <v/>
      </c>
      <c r="G664">
        <f>INDEX($AA$61:$AA$68,B664)</f>
        <v/>
      </c>
      <c r="H664">
        <f>INDEX($X$61:$X$68,B664)</f>
        <v/>
      </c>
      <c r="I664">
        <f>INDEX($AF$61:$AF$68,B664)</f>
        <v/>
      </c>
      <c r="J664">
        <f>INDEX($AC$61:$AC$68,B664)</f>
        <v/>
      </c>
      <c r="K664">
        <f>INDEX($AD$61:$AD$68,B664)</f>
        <v/>
      </c>
      <c r="L664">
        <f>INDEX($AG$61:$AG$68,B664)</f>
        <v/>
      </c>
      <c r="M664">
        <f>INDEX($AH$61:$AH$68,B664)</f>
        <v/>
      </c>
      <c r="N664">
        <f>INDEX($AI$61:$AI$68,B664)</f>
        <v/>
      </c>
      <c r="O664">
        <f>O663*$B$26+L664*(1-$B$26)</f>
        <v/>
      </c>
      <c r="P664">
        <f>$B$7*(O664-O663)*(1-AS663)</f>
        <v/>
      </c>
      <c r="Q664">
        <f>M664+0.51274*AT663</f>
        <v/>
      </c>
      <c r="R664">
        <f>N664+0.616*AT663</f>
        <v/>
      </c>
      <c r="S664">
        <f>IF($B$13&gt;=0.6,Q664,IF($B$13&lt;=0.2,R664,R664+2.5*(Q664-R664)*($B$13-0.2)))</f>
        <v/>
      </c>
      <c r="T664">
        <f>IF(A664=1,S664,T663*$B$27+S664*(1-$B$27))</f>
        <v/>
      </c>
      <c r="U664">
        <f>0.6105*EXP(17.27*T664/(T664+237.3))</f>
        <v/>
      </c>
      <c r="V664">
        <f>($B$14*(I664*C664+IF(ABS((D664+0.1)-D664)&lt;0.000000001,4*$B$19*$B$20*(D664+273)^3,$B$19*$B$20*(((D664+0.1)+273)^4-(D664+273)^4)/((D664+0.1)-D664))*D664)+T664/H664)/($B$14*(I664+IF(ABS((D664+0.1)-D664)&lt;0.000000001,4*$B$19*$B$20*(D664+273)^3,$B$19*$B$20*(((D664+0.1)+273)^4-(D664+273)^4)/((D664+0.1)-D664)))+1/H664)</f>
        <v/>
      </c>
      <c r="W664">
        <f>($B$14*(I664*C664+IF(ABS(V664-D664)&lt;0.000000001,4*$B$19*$B$20*(D664+273)^3,$B$19*$B$20*((V664+273)^4-(D664+273)^4)/(V664-D664))*D664)+T664/H664)/($B$14*(I664+IF(ABS(V664-D664)&lt;0.000000001,4*$B$19*$B$20*(D664+273)^3,$B$19*$B$20*((V664+273)^4-(D664+273)^4)/(V664-D664)))+1/H664)</f>
        <v/>
      </c>
      <c r="X664">
        <f>($B$14*(I664*C664+IF(ABS(W664-D664)&lt;0.000000001,4*$B$19*$B$20*(D664+273)^3,$B$19*$B$20*((W664+273)^4-(D664+273)^4)/(W664-D664))*D664)+T664/H664)/($B$14*(I664+IF(ABS(W664-D664)&lt;0.000000001,4*$B$19*$B$20*(D664+273)^3,$B$19*$B$20*((W664+273)^4-(D664+273)^4)/(W664-D664)))+1/H664)</f>
        <v/>
      </c>
      <c r="Y664">
        <f>($B$14*(I664*C664+IF(ABS(X664-D664)&lt;0.000000001,4*$B$19*$B$20*(D664+273)^3,$B$19*$B$20*((X664+273)^4-(D664+273)^4)/(X664-D664))*D664)+T664/H664)/($B$14*(I664+IF(ABS(X664-D664)&lt;0.000000001,4*$B$19*$B$20*(D664+273)^3,$B$19*$B$20*((X664+273)^4-(D664+273)^4)/(X664-D664)))+1/H664)</f>
        <v/>
      </c>
      <c r="Z664">
        <f>IF(ABS(Y664-D664)&lt;0.000000001,4*$B$19*$B$20*(D664+273)^3,$B$19*$B$20*((Y664+273)^4-(D664+273)^4)/(Y664-D664))</f>
        <v/>
      </c>
      <c r="AA664">
        <f>$B$14*I664*(Y664-C664)</f>
        <v/>
      </c>
      <c r="AB664">
        <f>$B$14*Z664*(Y664-D664)</f>
        <v/>
      </c>
      <c r="AC664">
        <f>IF((U664-E664)/G664=0,0.001,(U664-E664)/G664)</f>
        <v/>
      </c>
      <c r="AD664">
        <f>F664-P664-J664-K664-AA664-AB664</f>
        <v/>
      </c>
      <c r="AE664">
        <f>AD664/AC664</f>
        <v/>
      </c>
      <c r="AF664">
        <f>IF(AD664&lt;=0,0,IF(AC664&lt;=0,$B$11,IF(AE664&gt;=1.7,$B$11,MIN(AD664/MAX(0.05,IF(AE664&gt;1,(2-AE664)^2/2,1-AE664^2/2)),$B$11))))</f>
        <v/>
      </c>
      <c r="AG664">
        <f>AG663*$B$28+AF664*(1-$B$28)</f>
        <v/>
      </c>
      <c r="AH664">
        <f>IF(AND(AD664&gt;0,AC664&lt;=0),0,AC664)</f>
        <v/>
      </c>
      <c r="AI664">
        <f>AH664/MAX(AG664,0.000001)</f>
        <v/>
      </c>
      <c r="AJ664">
        <f>MIN(IF(AI664&gt;=0.5,-AI664+SQRT(AI664^2+2),1),$B$12)</f>
        <v/>
      </c>
      <c r="AK664">
        <f>IF(AG664&lt;=0,0,AJ664*AH664)</f>
        <v/>
      </c>
      <c r="AL664">
        <f>IF(AD664&lt;=0,0,AD664)</f>
        <v/>
      </c>
      <c r="AM664">
        <f>AL664-AK664+P664</f>
        <v/>
      </c>
      <c r="AN664">
        <f>((AM664/$B$7+T663*AS663/2-T664*MAX(0.1,MIN(0.3,0.3-0.09*(AR663-36.8)))/2)+AR663*(1-AS663/2))/(1-MAX(0.1,MIN(0.3,0.3-0.09*(AR663-36.8)))/2)</f>
        <v/>
      </c>
      <c r="AO664">
        <f>((AM664/$B$7+T663*AS663/2-T664*MAX(0.1,MIN(0.3,0.3-0.09*(AN664-36.8)))/2)+AR663*(1-AS663/2))/(1-MAX(0.1,MIN(0.3,0.3-0.09*(AN664-36.8)))/2)</f>
        <v/>
      </c>
      <c r="AP664">
        <f>((AM664/$B$7+T663*AS663/2-T664*MAX(0.1,MIN(0.3,0.3-0.09*(AO664-36.8)))/2)+AR663*(1-AS663/2))/(1-MAX(0.1,MIN(0.3,0.3-0.09*(AO664-36.8)))/2)</f>
        <v/>
      </c>
      <c r="AQ664">
        <f>((AM664/$B$7+T663*AS663/2-T664*MAX(0.1,MIN(0.3,0.3-0.09*(AP664-36.8)))/2)+AR663*(1-AS663/2))/(1-MAX(0.1,MIN(0.3,0.3-0.09*(AP664-36.8)))/2)</f>
        <v/>
      </c>
      <c r="AR664">
        <f>((AM664/$B$7+T663*AS663/2-T664*MAX(0.1,MIN(0.3,0.3-0.09*(AQ664-36.8)))/2)+AR663*(1-AS663/2))/(1-MAX(0.1,MIN(0.3,0.3-0.09*(AQ664-36.8)))/2)</f>
        <v/>
      </c>
      <c r="AS664">
        <f>MAX(0.1,MIN(0.3,0.3-0.09*(AR664-36.8)))</f>
        <v/>
      </c>
      <c r="AT664">
        <f>AT663+(2*AR664-1.962*AT663-1.31)/9</f>
        <v/>
      </c>
      <c r="AU664">
        <f>AU663+AG664+K664</f>
        <v/>
      </c>
      <c r="AV664">
        <f>AU664*2.67*$B$6/1.8/60</f>
        <v/>
      </c>
      <c r="AW664">
        <f>IF(AT664&gt;=$B$36,1,0)</f>
        <v/>
      </c>
      <c r="AX664">
        <f>IF(AV664&gt;=$B$21,1,0)</f>
        <v/>
      </c>
    </row>
    <row r="665">
      <c r="A665" t="n">
        <v>592</v>
      </c>
      <c r="B665">
        <f>MATCH(A665-1,$D$61:$D$68,1)</f>
        <v/>
      </c>
      <c r="C665">
        <f>INDEX($G$61:$G$68,B665)</f>
        <v/>
      </c>
      <c r="D665">
        <f>INDEX($L$61:$L$68,B665)</f>
        <v/>
      </c>
      <c r="E665">
        <f>INDEX($M$61:$M$68,B665)</f>
        <v/>
      </c>
      <c r="F665">
        <f>INDEX($N$61:$N$68,B665)</f>
        <v/>
      </c>
      <c r="G665">
        <f>INDEX($AA$61:$AA$68,B665)</f>
        <v/>
      </c>
      <c r="H665">
        <f>INDEX($X$61:$X$68,B665)</f>
        <v/>
      </c>
      <c r="I665">
        <f>INDEX($AF$61:$AF$68,B665)</f>
        <v/>
      </c>
      <c r="J665">
        <f>INDEX($AC$61:$AC$68,B665)</f>
        <v/>
      </c>
      <c r="K665">
        <f>INDEX($AD$61:$AD$68,B665)</f>
        <v/>
      </c>
      <c r="L665">
        <f>INDEX($AG$61:$AG$68,B665)</f>
        <v/>
      </c>
      <c r="M665">
        <f>INDEX($AH$61:$AH$68,B665)</f>
        <v/>
      </c>
      <c r="N665">
        <f>INDEX($AI$61:$AI$68,B665)</f>
        <v/>
      </c>
      <c r="O665">
        <f>O664*$B$26+L665*(1-$B$26)</f>
        <v/>
      </c>
      <c r="P665">
        <f>$B$7*(O665-O664)*(1-AS664)</f>
        <v/>
      </c>
      <c r="Q665">
        <f>M665+0.51274*AT664</f>
        <v/>
      </c>
      <c r="R665">
        <f>N665+0.616*AT664</f>
        <v/>
      </c>
      <c r="S665">
        <f>IF($B$13&gt;=0.6,Q665,IF($B$13&lt;=0.2,R665,R665+2.5*(Q665-R665)*($B$13-0.2)))</f>
        <v/>
      </c>
      <c r="T665">
        <f>IF(A665=1,S665,T664*$B$27+S665*(1-$B$27))</f>
        <v/>
      </c>
      <c r="U665">
        <f>0.6105*EXP(17.27*T665/(T665+237.3))</f>
        <v/>
      </c>
      <c r="V665">
        <f>($B$14*(I665*C665+IF(ABS((D665+0.1)-D665)&lt;0.000000001,4*$B$19*$B$20*(D665+273)^3,$B$19*$B$20*(((D665+0.1)+273)^4-(D665+273)^4)/((D665+0.1)-D665))*D665)+T665/H665)/($B$14*(I665+IF(ABS((D665+0.1)-D665)&lt;0.000000001,4*$B$19*$B$20*(D665+273)^3,$B$19*$B$20*(((D665+0.1)+273)^4-(D665+273)^4)/((D665+0.1)-D665)))+1/H665)</f>
        <v/>
      </c>
      <c r="W665">
        <f>($B$14*(I665*C665+IF(ABS(V665-D665)&lt;0.000000001,4*$B$19*$B$20*(D665+273)^3,$B$19*$B$20*((V665+273)^4-(D665+273)^4)/(V665-D665))*D665)+T665/H665)/($B$14*(I665+IF(ABS(V665-D665)&lt;0.000000001,4*$B$19*$B$20*(D665+273)^3,$B$19*$B$20*((V665+273)^4-(D665+273)^4)/(V665-D665)))+1/H665)</f>
        <v/>
      </c>
      <c r="X665">
        <f>($B$14*(I665*C665+IF(ABS(W665-D665)&lt;0.000000001,4*$B$19*$B$20*(D665+273)^3,$B$19*$B$20*((W665+273)^4-(D665+273)^4)/(W665-D665))*D665)+T665/H665)/($B$14*(I665+IF(ABS(W665-D665)&lt;0.000000001,4*$B$19*$B$20*(D665+273)^3,$B$19*$B$20*((W665+273)^4-(D665+273)^4)/(W665-D665)))+1/H665)</f>
        <v/>
      </c>
      <c r="Y665">
        <f>($B$14*(I665*C665+IF(ABS(X665-D665)&lt;0.000000001,4*$B$19*$B$20*(D665+273)^3,$B$19*$B$20*((X665+273)^4-(D665+273)^4)/(X665-D665))*D665)+T665/H665)/($B$14*(I665+IF(ABS(X665-D665)&lt;0.000000001,4*$B$19*$B$20*(D665+273)^3,$B$19*$B$20*((X665+273)^4-(D665+273)^4)/(X665-D665)))+1/H665)</f>
        <v/>
      </c>
      <c r="Z665">
        <f>IF(ABS(Y665-D665)&lt;0.000000001,4*$B$19*$B$20*(D665+273)^3,$B$19*$B$20*((Y665+273)^4-(D665+273)^4)/(Y665-D665))</f>
        <v/>
      </c>
      <c r="AA665">
        <f>$B$14*I665*(Y665-C665)</f>
        <v/>
      </c>
      <c r="AB665">
        <f>$B$14*Z665*(Y665-D665)</f>
        <v/>
      </c>
      <c r="AC665">
        <f>IF((U665-E665)/G665=0,0.001,(U665-E665)/G665)</f>
        <v/>
      </c>
      <c r="AD665">
        <f>F665-P665-J665-K665-AA665-AB665</f>
        <v/>
      </c>
      <c r="AE665">
        <f>AD665/AC665</f>
        <v/>
      </c>
      <c r="AF665">
        <f>IF(AD665&lt;=0,0,IF(AC665&lt;=0,$B$11,IF(AE665&gt;=1.7,$B$11,MIN(AD665/MAX(0.05,IF(AE665&gt;1,(2-AE665)^2/2,1-AE665^2/2)),$B$11))))</f>
        <v/>
      </c>
      <c r="AG665">
        <f>AG664*$B$28+AF665*(1-$B$28)</f>
        <v/>
      </c>
      <c r="AH665">
        <f>IF(AND(AD665&gt;0,AC665&lt;=0),0,AC665)</f>
        <v/>
      </c>
      <c r="AI665">
        <f>AH665/MAX(AG665,0.000001)</f>
        <v/>
      </c>
      <c r="AJ665">
        <f>MIN(IF(AI665&gt;=0.5,-AI665+SQRT(AI665^2+2),1),$B$12)</f>
        <v/>
      </c>
      <c r="AK665">
        <f>IF(AG665&lt;=0,0,AJ665*AH665)</f>
        <v/>
      </c>
      <c r="AL665">
        <f>IF(AD665&lt;=0,0,AD665)</f>
        <v/>
      </c>
      <c r="AM665">
        <f>AL665-AK665+P665</f>
        <v/>
      </c>
      <c r="AN665">
        <f>((AM665/$B$7+T664*AS664/2-T665*MAX(0.1,MIN(0.3,0.3-0.09*(AR664-36.8)))/2)+AR664*(1-AS664/2))/(1-MAX(0.1,MIN(0.3,0.3-0.09*(AR664-36.8)))/2)</f>
        <v/>
      </c>
      <c r="AO665">
        <f>((AM665/$B$7+T664*AS664/2-T665*MAX(0.1,MIN(0.3,0.3-0.09*(AN665-36.8)))/2)+AR664*(1-AS664/2))/(1-MAX(0.1,MIN(0.3,0.3-0.09*(AN665-36.8)))/2)</f>
        <v/>
      </c>
      <c r="AP665">
        <f>((AM665/$B$7+T664*AS664/2-T665*MAX(0.1,MIN(0.3,0.3-0.09*(AO665-36.8)))/2)+AR664*(1-AS664/2))/(1-MAX(0.1,MIN(0.3,0.3-0.09*(AO665-36.8)))/2)</f>
        <v/>
      </c>
      <c r="AQ665">
        <f>((AM665/$B$7+T664*AS664/2-T665*MAX(0.1,MIN(0.3,0.3-0.09*(AP665-36.8)))/2)+AR664*(1-AS664/2))/(1-MAX(0.1,MIN(0.3,0.3-0.09*(AP665-36.8)))/2)</f>
        <v/>
      </c>
      <c r="AR665">
        <f>((AM665/$B$7+T664*AS664/2-T665*MAX(0.1,MIN(0.3,0.3-0.09*(AQ665-36.8)))/2)+AR664*(1-AS664/2))/(1-MAX(0.1,MIN(0.3,0.3-0.09*(AQ665-36.8)))/2)</f>
        <v/>
      </c>
      <c r="AS665">
        <f>MAX(0.1,MIN(0.3,0.3-0.09*(AR665-36.8)))</f>
        <v/>
      </c>
      <c r="AT665">
        <f>AT664+(2*AR665-1.962*AT664-1.31)/9</f>
        <v/>
      </c>
      <c r="AU665">
        <f>AU664+AG665+K665</f>
        <v/>
      </c>
      <c r="AV665">
        <f>AU665*2.67*$B$6/1.8/60</f>
        <v/>
      </c>
      <c r="AW665">
        <f>IF(AT665&gt;=$B$36,1,0)</f>
        <v/>
      </c>
      <c r="AX665">
        <f>IF(AV665&gt;=$B$21,1,0)</f>
        <v/>
      </c>
    </row>
    <row r="666">
      <c r="A666" t="n">
        <v>593</v>
      </c>
      <c r="B666">
        <f>MATCH(A666-1,$D$61:$D$68,1)</f>
        <v/>
      </c>
      <c r="C666">
        <f>INDEX($G$61:$G$68,B666)</f>
        <v/>
      </c>
      <c r="D666">
        <f>INDEX($L$61:$L$68,B666)</f>
        <v/>
      </c>
      <c r="E666">
        <f>INDEX($M$61:$M$68,B666)</f>
        <v/>
      </c>
      <c r="F666">
        <f>INDEX($N$61:$N$68,B666)</f>
        <v/>
      </c>
      <c r="G666">
        <f>INDEX($AA$61:$AA$68,B666)</f>
        <v/>
      </c>
      <c r="H666">
        <f>INDEX($X$61:$X$68,B666)</f>
        <v/>
      </c>
      <c r="I666">
        <f>INDEX($AF$61:$AF$68,B666)</f>
        <v/>
      </c>
      <c r="J666">
        <f>INDEX($AC$61:$AC$68,B666)</f>
        <v/>
      </c>
      <c r="K666">
        <f>INDEX($AD$61:$AD$68,B666)</f>
        <v/>
      </c>
      <c r="L666">
        <f>INDEX($AG$61:$AG$68,B666)</f>
        <v/>
      </c>
      <c r="M666">
        <f>INDEX($AH$61:$AH$68,B666)</f>
        <v/>
      </c>
      <c r="N666">
        <f>INDEX($AI$61:$AI$68,B666)</f>
        <v/>
      </c>
      <c r="O666">
        <f>O665*$B$26+L666*(1-$B$26)</f>
        <v/>
      </c>
      <c r="P666">
        <f>$B$7*(O666-O665)*(1-AS665)</f>
        <v/>
      </c>
      <c r="Q666">
        <f>M666+0.51274*AT665</f>
        <v/>
      </c>
      <c r="R666">
        <f>N666+0.616*AT665</f>
        <v/>
      </c>
      <c r="S666">
        <f>IF($B$13&gt;=0.6,Q666,IF($B$13&lt;=0.2,R666,R666+2.5*(Q666-R666)*($B$13-0.2)))</f>
        <v/>
      </c>
      <c r="T666">
        <f>IF(A666=1,S666,T665*$B$27+S666*(1-$B$27))</f>
        <v/>
      </c>
      <c r="U666">
        <f>0.6105*EXP(17.27*T666/(T666+237.3))</f>
        <v/>
      </c>
      <c r="V666">
        <f>($B$14*(I666*C666+IF(ABS((D666+0.1)-D666)&lt;0.000000001,4*$B$19*$B$20*(D666+273)^3,$B$19*$B$20*(((D666+0.1)+273)^4-(D666+273)^4)/((D666+0.1)-D666))*D666)+T666/H666)/($B$14*(I666+IF(ABS((D666+0.1)-D666)&lt;0.000000001,4*$B$19*$B$20*(D666+273)^3,$B$19*$B$20*(((D666+0.1)+273)^4-(D666+273)^4)/((D666+0.1)-D666)))+1/H666)</f>
        <v/>
      </c>
      <c r="W666">
        <f>($B$14*(I666*C666+IF(ABS(V666-D666)&lt;0.000000001,4*$B$19*$B$20*(D666+273)^3,$B$19*$B$20*((V666+273)^4-(D666+273)^4)/(V666-D666))*D666)+T666/H666)/($B$14*(I666+IF(ABS(V666-D666)&lt;0.000000001,4*$B$19*$B$20*(D666+273)^3,$B$19*$B$20*((V666+273)^4-(D666+273)^4)/(V666-D666)))+1/H666)</f>
        <v/>
      </c>
      <c r="X666">
        <f>($B$14*(I666*C666+IF(ABS(W666-D666)&lt;0.000000001,4*$B$19*$B$20*(D666+273)^3,$B$19*$B$20*((W666+273)^4-(D666+273)^4)/(W666-D666))*D666)+T666/H666)/($B$14*(I666+IF(ABS(W666-D666)&lt;0.000000001,4*$B$19*$B$20*(D666+273)^3,$B$19*$B$20*((W666+273)^4-(D666+273)^4)/(W666-D666)))+1/H666)</f>
        <v/>
      </c>
      <c r="Y666">
        <f>($B$14*(I666*C666+IF(ABS(X666-D666)&lt;0.000000001,4*$B$19*$B$20*(D666+273)^3,$B$19*$B$20*((X666+273)^4-(D666+273)^4)/(X666-D666))*D666)+T666/H666)/($B$14*(I666+IF(ABS(X666-D666)&lt;0.000000001,4*$B$19*$B$20*(D666+273)^3,$B$19*$B$20*((X666+273)^4-(D666+273)^4)/(X666-D666)))+1/H666)</f>
        <v/>
      </c>
      <c r="Z666">
        <f>IF(ABS(Y666-D666)&lt;0.000000001,4*$B$19*$B$20*(D666+273)^3,$B$19*$B$20*((Y666+273)^4-(D666+273)^4)/(Y666-D666))</f>
        <v/>
      </c>
      <c r="AA666">
        <f>$B$14*I666*(Y666-C666)</f>
        <v/>
      </c>
      <c r="AB666">
        <f>$B$14*Z666*(Y666-D666)</f>
        <v/>
      </c>
      <c r="AC666">
        <f>IF((U666-E666)/G666=0,0.001,(U666-E666)/G666)</f>
        <v/>
      </c>
      <c r="AD666">
        <f>F666-P666-J666-K666-AA666-AB666</f>
        <v/>
      </c>
      <c r="AE666">
        <f>AD666/AC666</f>
        <v/>
      </c>
      <c r="AF666">
        <f>IF(AD666&lt;=0,0,IF(AC666&lt;=0,$B$11,IF(AE666&gt;=1.7,$B$11,MIN(AD666/MAX(0.05,IF(AE666&gt;1,(2-AE666)^2/2,1-AE666^2/2)),$B$11))))</f>
        <v/>
      </c>
      <c r="AG666">
        <f>AG665*$B$28+AF666*(1-$B$28)</f>
        <v/>
      </c>
      <c r="AH666">
        <f>IF(AND(AD666&gt;0,AC666&lt;=0),0,AC666)</f>
        <v/>
      </c>
      <c r="AI666">
        <f>AH666/MAX(AG666,0.000001)</f>
        <v/>
      </c>
      <c r="AJ666">
        <f>MIN(IF(AI666&gt;=0.5,-AI666+SQRT(AI666^2+2),1),$B$12)</f>
        <v/>
      </c>
      <c r="AK666">
        <f>IF(AG666&lt;=0,0,AJ666*AH666)</f>
        <v/>
      </c>
      <c r="AL666">
        <f>IF(AD666&lt;=0,0,AD666)</f>
        <v/>
      </c>
      <c r="AM666">
        <f>AL666-AK666+P666</f>
        <v/>
      </c>
      <c r="AN666">
        <f>((AM666/$B$7+T665*AS665/2-T666*MAX(0.1,MIN(0.3,0.3-0.09*(AR665-36.8)))/2)+AR665*(1-AS665/2))/(1-MAX(0.1,MIN(0.3,0.3-0.09*(AR665-36.8)))/2)</f>
        <v/>
      </c>
      <c r="AO666">
        <f>((AM666/$B$7+T665*AS665/2-T666*MAX(0.1,MIN(0.3,0.3-0.09*(AN666-36.8)))/2)+AR665*(1-AS665/2))/(1-MAX(0.1,MIN(0.3,0.3-0.09*(AN666-36.8)))/2)</f>
        <v/>
      </c>
      <c r="AP666">
        <f>((AM666/$B$7+T665*AS665/2-T666*MAX(0.1,MIN(0.3,0.3-0.09*(AO666-36.8)))/2)+AR665*(1-AS665/2))/(1-MAX(0.1,MIN(0.3,0.3-0.09*(AO666-36.8)))/2)</f>
        <v/>
      </c>
      <c r="AQ666">
        <f>((AM666/$B$7+T665*AS665/2-T666*MAX(0.1,MIN(0.3,0.3-0.09*(AP666-36.8)))/2)+AR665*(1-AS665/2))/(1-MAX(0.1,MIN(0.3,0.3-0.09*(AP666-36.8)))/2)</f>
        <v/>
      </c>
      <c r="AR666">
        <f>((AM666/$B$7+T665*AS665/2-T666*MAX(0.1,MIN(0.3,0.3-0.09*(AQ666-36.8)))/2)+AR665*(1-AS665/2))/(1-MAX(0.1,MIN(0.3,0.3-0.09*(AQ666-36.8)))/2)</f>
        <v/>
      </c>
      <c r="AS666">
        <f>MAX(0.1,MIN(0.3,0.3-0.09*(AR666-36.8)))</f>
        <v/>
      </c>
      <c r="AT666">
        <f>AT665+(2*AR666-1.962*AT665-1.31)/9</f>
        <v/>
      </c>
      <c r="AU666">
        <f>AU665+AG666+K666</f>
        <v/>
      </c>
      <c r="AV666">
        <f>AU666*2.67*$B$6/1.8/60</f>
        <v/>
      </c>
      <c r="AW666">
        <f>IF(AT666&gt;=$B$36,1,0)</f>
        <v/>
      </c>
      <c r="AX666">
        <f>IF(AV666&gt;=$B$21,1,0)</f>
        <v/>
      </c>
    </row>
    <row r="667">
      <c r="A667" t="n">
        <v>594</v>
      </c>
      <c r="B667">
        <f>MATCH(A667-1,$D$61:$D$68,1)</f>
        <v/>
      </c>
      <c r="C667">
        <f>INDEX($G$61:$G$68,B667)</f>
        <v/>
      </c>
      <c r="D667">
        <f>INDEX($L$61:$L$68,B667)</f>
        <v/>
      </c>
      <c r="E667">
        <f>INDEX($M$61:$M$68,B667)</f>
        <v/>
      </c>
      <c r="F667">
        <f>INDEX($N$61:$N$68,B667)</f>
        <v/>
      </c>
      <c r="G667">
        <f>INDEX($AA$61:$AA$68,B667)</f>
        <v/>
      </c>
      <c r="H667">
        <f>INDEX($X$61:$X$68,B667)</f>
        <v/>
      </c>
      <c r="I667">
        <f>INDEX($AF$61:$AF$68,B667)</f>
        <v/>
      </c>
      <c r="J667">
        <f>INDEX($AC$61:$AC$68,B667)</f>
        <v/>
      </c>
      <c r="K667">
        <f>INDEX($AD$61:$AD$68,B667)</f>
        <v/>
      </c>
      <c r="L667">
        <f>INDEX($AG$61:$AG$68,B667)</f>
        <v/>
      </c>
      <c r="M667">
        <f>INDEX($AH$61:$AH$68,B667)</f>
        <v/>
      </c>
      <c r="N667">
        <f>INDEX($AI$61:$AI$68,B667)</f>
        <v/>
      </c>
      <c r="O667">
        <f>O666*$B$26+L667*(1-$B$26)</f>
        <v/>
      </c>
      <c r="P667">
        <f>$B$7*(O667-O666)*(1-AS666)</f>
        <v/>
      </c>
      <c r="Q667">
        <f>M667+0.51274*AT666</f>
        <v/>
      </c>
      <c r="R667">
        <f>N667+0.616*AT666</f>
        <v/>
      </c>
      <c r="S667">
        <f>IF($B$13&gt;=0.6,Q667,IF($B$13&lt;=0.2,R667,R667+2.5*(Q667-R667)*($B$13-0.2)))</f>
        <v/>
      </c>
      <c r="T667">
        <f>IF(A667=1,S667,T666*$B$27+S667*(1-$B$27))</f>
        <v/>
      </c>
      <c r="U667">
        <f>0.6105*EXP(17.27*T667/(T667+237.3))</f>
        <v/>
      </c>
      <c r="V667">
        <f>($B$14*(I667*C667+IF(ABS((D667+0.1)-D667)&lt;0.000000001,4*$B$19*$B$20*(D667+273)^3,$B$19*$B$20*(((D667+0.1)+273)^4-(D667+273)^4)/((D667+0.1)-D667))*D667)+T667/H667)/($B$14*(I667+IF(ABS((D667+0.1)-D667)&lt;0.000000001,4*$B$19*$B$20*(D667+273)^3,$B$19*$B$20*(((D667+0.1)+273)^4-(D667+273)^4)/((D667+0.1)-D667)))+1/H667)</f>
        <v/>
      </c>
      <c r="W667">
        <f>($B$14*(I667*C667+IF(ABS(V667-D667)&lt;0.000000001,4*$B$19*$B$20*(D667+273)^3,$B$19*$B$20*((V667+273)^4-(D667+273)^4)/(V667-D667))*D667)+T667/H667)/($B$14*(I667+IF(ABS(V667-D667)&lt;0.000000001,4*$B$19*$B$20*(D667+273)^3,$B$19*$B$20*((V667+273)^4-(D667+273)^4)/(V667-D667)))+1/H667)</f>
        <v/>
      </c>
      <c r="X667">
        <f>($B$14*(I667*C667+IF(ABS(W667-D667)&lt;0.000000001,4*$B$19*$B$20*(D667+273)^3,$B$19*$B$20*((W667+273)^4-(D667+273)^4)/(W667-D667))*D667)+T667/H667)/($B$14*(I667+IF(ABS(W667-D667)&lt;0.000000001,4*$B$19*$B$20*(D667+273)^3,$B$19*$B$20*((W667+273)^4-(D667+273)^4)/(W667-D667)))+1/H667)</f>
        <v/>
      </c>
      <c r="Y667">
        <f>($B$14*(I667*C667+IF(ABS(X667-D667)&lt;0.000000001,4*$B$19*$B$20*(D667+273)^3,$B$19*$B$20*((X667+273)^4-(D667+273)^4)/(X667-D667))*D667)+T667/H667)/($B$14*(I667+IF(ABS(X667-D667)&lt;0.000000001,4*$B$19*$B$20*(D667+273)^3,$B$19*$B$20*((X667+273)^4-(D667+273)^4)/(X667-D667)))+1/H667)</f>
        <v/>
      </c>
      <c r="Z667">
        <f>IF(ABS(Y667-D667)&lt;0.000000001,4*$B$19*$B$20*(D667+273)^3,$B$19*$B$20*((Y667+273)^4-(D667+273)^4)/(Y667-D667))</f>
        <v/>
      </c>
      <c r="AA667">
        <f>$B$14*I667*(Y667-C667)</f>
        <v/>
      </c>
      <c r="AB667">
        <f>$B$14*Z667*(Y667-D667)</f>
        <v/>
      </c>
      <c r="AC667">
        <f>IF((U667-E667)/G667=0,0.001,(U667-E667)/G667)</f>
        <v/>
      </c>
      <c r="AD667">
        <f>F667-P667-J667-K667-AA667-AB667</f>
        <v/>
      </c>
      <c r="AE667">
        <f>AD667/AC667</f>
        <v/>
      </c>
      <c r="AF667">
        <f>IF(AD667&lt;=0,0,IF(AC667&lt;=0,$B$11,IF(AE667&gt;=1.7,$B$11,MIN(AD667/MAX(0.05,IF(AE667&gt;1,(2-AE667)^2/2,1-AE667^2/2)),$B$11))))</f>
        <v/>
      </c>
      <c r="AG667">
        <f>AG666*$B$28+AF667*(1-$B$28)</f>
        <v/>
      </c>
      <c r="AH667">
        <f>IF(AND(AD667&gt;0,AC667&lt;=0),0,AC667)</f>
        <v/>
      </c>
      <c r="AI667">
        <f>AH667/MAX(AG667,0.000001)</f>
        <v/>
      </c>
      <c r="AJ667">
        <f>MIN(IF(AI667&gt;=0.5,-AI667+SQRT(AI667^2+2),1),$B$12)</f>
        <v/>
      </c>
      <c r="AK667">
        <f>IF(AG667&lt;=0,0,AJ667*AH667)</f>
        <v/>
      </c>
      <c r="AL667">
        <f>IF(AD667&lt;=0,0,AD667)</f>
        <v/>
      </c>
      <c r="AM667">
        <f>AL667-AK667+P667</f>
        <v/>
      </c>
      <c r="AN667">
        <f>((AM667/$B$7+T666*AS666/2-T667*MAX(0.1,MIN(0.3,0.3-0.09*(AR666-36.8)))/2)+AR666*(1-AS666/2))/(1-MAX(0.1,MIN(0.3,0.3-0.09*(AR666-36.8)))/2)</f>
        <v/>
      </c>
      <c r="AO667">
        <f>((AM667/$B$7+T666*AS666/2-T667*MAX(0.1,MIN(0.3,0.3-0.09*(AN667-36.8)))/2)+AR666*(1-AS666/2))/(1-MAX(0.1,MIN(0.3,0.3-0.09*(AN667-36.8)))/2)</f>
        <v/>
      </c>
      <c r="AP667">
        <f>((AM667/$B$7+T666*AS666/2-T667*MAX(0.1,MIN(0.3,0.3-0.09*(AO667-36.8)))/2)+AR666*(1-AS666/2))/(1-MAX(0.1,MIN(0.3,0.3-0.09*(AO667-36.8)))/2)</f>
        <v/>
      </c>
      <c r="AQ667">
        <f>((AM667/$B$7+T666*AS666/2-T667*MAX(0.1,MIN(0.3,0.3-0.09*(AP667-36.8)))/2)+AR666*(1-AS666/2))/(1-MAX(0.1,MIN(0.3,0.3-0.09*(AP667-36.8)))/2)</f>
        <v/>
      </c>
      <c r="AR667">
        <f>((AM667/$B$7+T666*AS666/2-T667*MAX(0.1,MIN(0.3,0.3-0.09*(AQ667-36.8)))/2)+AR666*(1-AS666/2))/(1-MAX(0.1,MIN(0.3,0.3-0.09*(AQ667-36.8)))/2)</f>
        <v/>
      </c>
      <c r="AS667">
        <f>MAX(0.1,MIN(0.3,0.3-0.09*(AR667-36.8)))</f>
        <v/>
      </c>
      <c r="AT667">
        <f>AT666+(2*AR667-1.962*AT666-1.31)/9</f>
        <v/>
      </c>
      <c r="AU667">
        <f>AU666+AG667+K667</f>
        <v/>
      </c>
      <c r="AV667">
        <f>AU667*2.67*$B$6/1.8/60</f>
        <v/>
      </c>
      <c r="AW667">
        <f>IF(AT667&gt;=$B$36,1,0)</f>
        <v/>
      </c>
      <c r="AX667">
        <f>IF(AV667&gt;=$B$21,1,0)</f>
        <v/>
      </c>
    </row>
    <row r="668">
      <c r="A668" t="n">
        <v>595</v>
      </c>
      <c r="B668">
        <f>MATCH(A668-1,$D$61:$D$68,1)</f>
        <v/>
      </c>
      <c r="C668">
        <f>INDEX($G$61:$G$68,B668)</f>
        <v/>
      </c>
      <c r="D668">
        <f>INDEX($L$61:$L$68,B668)</f>
        <v/>
      </c>
      <c r="E668">
        <f>INDEX($M$61:$M$68,B668)</f>
        <v/>
      </c>
      <c r="F668">
        <f>INDEX($N$61:$N$68,B668)</f>
        <v/>
      </c>
      <c r="G668">
        <f>INDEX($AA$61:$AA$68,B668)</f>
        <v/>
      </c>
      <c r="H668">
        <f>INDEX($X$61:$X$68,B668)</f>
        <v/>
      </c>
      <c r="I668">
        <f>INDEX($AF$61:$AF$68,B668)</f>
        <v/>
      </c>
      <c r="J668">
        <f>INDEX($AC$61:$AC$68,B668)</f>
        <v/>
      </c>
      <c r="K668">
        <f>INDEX($AD$61:$AD$68,B668)</f>
        <v/>
      </c>
      <c r="L668">
        <f>INDEX($AG$61:$AG$68,B668)</f>
        <v/>
      </c>
      <c r="M668">
        <f>INDEX($AH$61:$AH$68,B668)</f>
        <v/>
      </c>
      <c r="N668">
        <f>INDEX($AI$61:$AI$68,B668)</f>
        <v/>
      </c>
      <c r="O668">
        <f>O667*$B$26+L668*(1-$B$26)</f>
        <v/>
      </c>
      <c r="P668">
        <f>$B$7*(O668-O667)*(1-AS667)</f>
        <v/>
      </c>
      <c r="Q668">
        <f>M668+0.51274*AT667</f>
        <v/>
      </c>
      <c r="R668">
        <f>N668+0.616*AT667</f>
        <v/>
      </c>
      <c r="S668">
        <f>IF($B$13&gt;=0.6,Q668,IF($B$13&lt;=0.2,R668,R668+2.5*(Q668-R668)*($B$13-0.2)))</f>
        <v/>
      </c>
      <c r="T668">
        <f>IF(A668=1,S668,T667*$B$27+S668*(1-$B$27))</f>
        <v/>
      </c>
      <c r="U668">
        <f>0.6105*EXP(17.27*T668/(T668+237.3))</f>
        <v/>
      </c>
      <c r="V668">
        <f>($B$14*(I668*C668+IF(ABS((D668+0.1)-D668)&lt;0.000000001,4*$B$19*$B$20*(D668+273)^3,$B$19*$B$20*(((D668+0.1)+273)^4-(D668+273)^4)/((D668+0.1)-D668))*D668)+T668/H668)/($B$14*(I668+IF(ABS((D668+0.1)-D668)&lt;0.000000001,4*$B$19*$B$20*(D668+273)^3,$B$19*$B$20*(((D668+0.1)+273)^4-(D668+273)^4)/((D668+0.1)-D668)))+1/H668)</f>
        <v/>
      </c>
      <c r="W668">
        <f>($B$14*(I668*C668+IF(ABS(V668-D668)&lt;0.000000001,4*$B$19*$B$20*(D668+273)^3,$B$19*$B$20*((V668+273)^4-(D668+273)^4)/(V668-D668))*D668)+T668/H668)/($B$14*(I668+IF(ABS(V668-D668)&lt;0.000000001,4*$B$19*$B$20*(D668+273)^3,$B$19*$B$20*((V668+273)^4-(D668+273)^4)/(V668-D668)))+1/H668)</f>
        <v/>
      </c>
      <c r="X668">
        <f>($B$14*(I668*C668+IF(ABS(W668-D668)&lt;0.000000001,4*$B$19*$B$20*(D668+273)^3,$B$19*$B$20*((W668+273)^4-(D668+273)^4)/(W668-D668))*D668)+T668/H668)/($B$14*(I668+IF(ABS(W668-D668)&lt;0.000000001,4*$B$19*$B$20*(D668+273)^3,$B$19*$B$20*((W668+273)^4-(D668+273)^4)/(W668-D668)))+1/H668)</f>
        <v/>
      </c>
      <c r="Y668">
        <f>($B$14*(I668*C668+IF(ABS(X668-D668)&lt;0.000000001,4*$B$19*$B$20*(D668+273)^3,$B$19*$B$20*((X668+273)^4-(D668+273)^4)/(X668-D668))*D668)+T668/H668)/($B$14*(I668+IF(ABS(X668-D668)&lt;0.000000001,4*$B$19*$B$20*(D668+273)^3,$B$19*$B$20*((X668+273)^4-(D668+273)^4)/(X668-D668)))+1/H668)</f>
        <v/>
      </c>
      <c r="Z668">
        <f>IF(ABS(Y668-D668)&lt;0.000000001,4*$B$19*$B$20*(D668+273)^3,$B$19*$B$20*((Y668+273)^4-(D668+273)^4)/(Y668-D668))</f>
        <v/>
      </c>
      <c r="AA668">
        <f>$B$14*I668*(Y668-C668)</f>
        <v/>
      </c>
      <c r="AB668">
        <f>$B$14*Z668*(Y668-D668)</f>
        <v/>
      </c>
      <c r="AC668">
        <f>IF((U668-E668)/G668=0,0.001,(U668-E668)/G668)</f>
        <v/>
      </c>
      <c r="AD668">
        <f>F668-P668-J668-K668-AA668-AB668</f>
        <v/>
      </c>
      <c r="AE668">
        <f>AD668/AC668</f>
        <v/>
      </c>
      <c r="AF668">
        <f>IF(AD668&lt;=0,0,IF(AC668&lt;=0,$B$11,IF(AE668&gt;=1.7,$B$11,MIN(AD668/MAX(0.05,IF(AE668&gt;1,(2-AE668)^2/2,1-AE668^2/2)),$B$11))))</f>
        <v/>
      </c>
      <c r="AG668">
        <f>AG667*$B$28+AF668*(1-$B$28)</f>
        <v/>
      </c>
      <c r="AH668">
        <f>IF(AND(AD668&gt;0,AC668&lt;=0),0,AC668)</f>
        <v/>
      </c>
      <c r="AI668">
        <f>AH668/MAX(AG668,0.000001)</f>
        <v/>
      </c>
      <c r="AJ668">
        <f>MIN(IF(AI668&gt;=0.5,-AI668+SQRT(AI668^2+2),1),$B$12)</f>
        <v/>
      </c>
      <c r="AK668">
        <f>IF(AG668&lt;=0,0,AJ668*AH668)</f>
        <v/>
      </c>
      <c r="AL668">
        <f>IF(AD668&lt;=0,0,AD668)</f>
        <v/>
      </c>
      <c r="AM668">
        <f>AL668-AK668+P668</f>
        <v/>
      </c>
      <c r="AN668">
        <f>((AM668/$B$7+T667*AS667/2-T668*MAX(0.1,MIN(0.3,0.3-0.09*(AR667-36.8)))/2)+AR667*(1-AS667/2))/(1-MAX(0.1,MIN(0.3,0.3-0.09*(AR667-36.8)))/2)</f>
        <v/>
      </c>
      <c r="AO668">
        <f>((AM668/$B$7+T667*AS667/2-T668*MAX(0.1,MIN(0.3,0.3-0.09*(AN668-36.8)))/2)+AR667*(1-AS667/2))/(1-MAX(0.1,MIN(0.3,0.3-0.09*(AN668-36.8)))/2)</f>
        <v/>
      </c>
      <c r="AP668">
        <f>((AM668/$B$7+T667*AS667/2-T668*MAX(0.1,MIN(0.3,0.3-0.09*(AO668-36.8)))/2)+AR667*(1-AS667/2))/(1-MAX(0.1,MIN(0.3,0.3-0.09*(AO668-36.8)))/2)</f>
        <v/>
      </c>
      <c r="AQ668">
        <f>((AM668/$B$7+T667*AS667/2-T668*MAX(0.1,MIN(0.3,0.3-0.09*(AP668-36.8)))/2)+AR667*(1-AS667/2))/(1-MAX(0.1,MIN(0.3,0.3-0.09*(AP668-36.8)))/2)</f>
        <v/>
      </c>
      <c r="AR668">
        <f>((AM668/$B$7+T667*AS667/2-T668*MAX(0.1,MIN(0.3,0.3-0.09*(AQ668-36.8)))/2)+AR667*(1-AS667/2))/(1-MAX(0.1,MIN(0.3,0.3-0.09*(AQ668-36.8)))/2)</f>
        <v/>
      </c>
      <c r="AS668">
        <f>MAX(0.1,MIN(0.3,0.3-0.09*(AR668-36.8)))</f>
        <v/>
      </c>
      <c r="AT668">
        <f>AT667+(2*AR668-1.962*AT667-1.31)/9</f>
        <v/>
      </c>
      <c r="AU668">
        <f>AU667+AG668+K668</f>
        <v/>
      </c>
      <c r="AV668">
        <f>AU668*2.67*$B$6/1.8/60</f>
        <v/>
      </c>
      <c r="AW668">
        <f>IF(AT668&gt;=$B$36,1,0)</f>
        <v/>
      </c>
      <c r="AX668">
        <f>IF(AV668&gt;=$B$21,1,0)</f>
        <v/>
      </c>
    </row>
    <row r="669">
      <c r="A669" t="n">
        <v>596</v>
      </c>
      <c r="B669">
        <f>MATCH(A669-1,$D$61:$D$68,1)</f>
        <v/>
      </c>
      <c r="C669">
        <f>INDEX($G$61:$G$68,B669)</f>
        <v/>
      </c>
      <c r="D669">
        <f>INDEX($L$61:$L$68,B669)</f>
        <v/>
      </c>
      <c r="E669">
        <f>INDEX($M$61:$M$68,B669)</f>
        <v/>
      </c>
      <c r="F669">
        <f>INDEX($N$61:$N$68,B669)</f>
        <v/>
      </c>
      <c r="G669">
        <f>INDEX($AA$61:$AA$68,B669)</f>
        <v/>
      </c>
      <c r="H669">
        <f>INDEX($X$61:$X$68,B669)</f>
        <v/>
      </c>
      <c r="I669">
        <f>INDEX($AF$61:$AF$68,B669)</f>
        <v/>
      </c>
      <c r="J669">
        <f>INDEX($AC$61:$AC$68,B669)</f>
        <v/>
      </c>
      <c r="K669">
        <f>INDEX($AD$61:$AD$68,B669)</f>
        <v/>
      </c>
      <c r="L669">
        <f>INDEX($AG$61:$AG$68,B669)</f>
        <v/>
      </c>
      <c r="M669">
        <f>INDEX($AH$61:$AH$68,B669)</f>
        <v/>
      </c>
      <c r="N669">
        <f>INDEX($AI$61:$AI$68,B669)</f>
        <v/>
      </c>
      <c r="O669">
        <f>O668*$B$26+L669*(1-$B$26)</f>
        <v/>
      </c>
      <c r="P669">
        <f>$B$7*(O669-O668)*(1-AS668)</f>
        <v/>
      </c>
      <c r="Q669">
        <f>M669+0.51274*AT668</f>
        <v/>
      </c>
      <c r="R669">
        <f>N669+0.616*AT668</f>
        <v/>
      </c>
      <c r="S669">
        <f>IF($B$13&gt;=0.6,Q669,IF($B$13&lt;=0.2,R669,R669+2.5*(Q669-R669)*($B$13-0.2)))</f>
        <v/>
      </c>
      <c r="T669">
        <f>IF(A669=1,S669,T668*$B$27+S669*(1-$B$27))</f>
        <v/>
      </c>
      <c r="U669">
        <f>0.6105*EXP(17.27*T669/(T669+237.3))</f>
        <v/>
      </c>
      <c r="V669">
        <f>($B$14*(I669*C669+IF(ABS((D669+0.1)-D669)&lt;0.000000001,4*$B$19*$B$20*(D669+273)^3,$B$19*$B$20*(((D669+0.1)+273)^4-(D669+273)^4)/((D669+0.1)-D669))*D669)+T669/H669)/($B$14*(I669+IF(ABS((D669+0.1)-D669)&lt;0.000000001,4*$B$19*$B$20*(D669+273)^3,$B$19*$B$20*(((D669+0.1)+273)^4-(D669+273)^4)/((D669+0.1)-D669)))+1/H669)</f>
        <v/>
      </c>
      <c r="W669">
        <f>($B$14*(I669*C669+IF(ABS(V669-D669)&lt;0.000000001,4*$B$19*$B$20*(D669+273)^3,$B$19*$B$20*((V669+273)^4-(D669+273)^4)/(V669-D669))*D669)+T669/H669)/($B$14*(I669+IF(ABS(V669-D669)&lt;0.000000001,4*$B$19*$B$20*(D669+273)^3,$B$19*$B$20*((V669+273)^4-(D669+273)^4)/(V669-D669)))+1/H669)</f>
        <v/>
      </c>
      <c r="X669">
        <f>($B$14*(I669*C669+IF(ABS(W669-D669)&lt;0.000000001,4*$B$19*$B$20*(D669+273)^3,$B$19*$B$20*((W669+273)^4-(D669+273)^4)/(W669-D669))*D669)+T669/H669)/($B$14*(I669+IF(ABS(W669-D669)&lt;0.000000001,4*$B$19*$B$20*(D669+273)^3,$B$19*$B$20*((W669+273)^4-(D669+273)^4)/(W669-D669)))+1/H669)</f>
        <v/>
      </c>
      <c r="Y669">
        <f>($B$14*(I669*C669+IF(ABS(X669-D669)&lt;0.000000001,4*$B$19*$B$20*(D669+273)^3,$B$19*$B$20*((X669+273)^4-(D669+273)^4)/(X669-D669))*D669)+T669/H669)/($B$14*(I669+IF(ABS(X669-D669)&lt;0.000000001,4*$B$19*$B$20*(D669+273)^3,$B$19*$B$20*((X669+273)^4-(D669+273)^4)/(X669-D669)))+1/H669)</f>
        <v/>
      </c>
      <c r="Z669">
        <f>IF(ABS(Y669-D669)&lt;0.000000001,4*$B$19*$B$20*(D669+273)^3,$B$19*$B$20*((Y669+273)^4-(D669+273)^4)/(Y669-D669))</f>
        <v/>
      </c>
      <c r="AA669">
        <f>$B$14*I669*(Y669-C669)</f>
        <v/>
      </c>
      <c r="AB669">
        <f>$B$14*Z669*(Y669-D669)</f>
        <v/>
      </c>
      <c r="AC669">
        <f>IF((U669-E669)/G669=0,0.001,(U669-E669)/G669)</f>
        <v/>
      </c>
      <c r="AD669">
        <f>F669-P669-J669-K669-AA669-AB669</f>
        <v/>
      </c>
      <c r="AE669">
        <f>AD669/AC669</f>
        <v/>
      </c>
      <c r="AF669">
        <f>IF(AD669&lt;=0,0,IF(AC669&lt;=0,$B$11,IF(AE669&gt;=1.7,$B$11,MIN(AD669/MAX(0.05,IF(AE669&gt;1,(2-AE669)^2/2,1-AE669^2/2)),$B$11))))</f>
        <v/>
      </c>
      <c r="AG669">
        <f>AG668*$B$28+AF669*(1-$B$28)</f>
        <v/>
      </c>
      <c r="AH669">
        <f>IF(AND(AD669&gt;0,AC669&lt;=0),0,AC669)</f>
        <v/>
      </c>
      <c r="AI669">
        <f>AH669/MAX(AG669,0.000001)</f>
        <v/>
      </c>
      <c r="AJ669">
        <f>MIN(IF(AI669&gt;=0.5,-AI669+SQRT(AI669^2+2),1),$B$12)</f>
        <v/>
      </c>
      <c r="AK669">
        <f>IF(AG669&lt;=0,0,AJ669*AH669)</f>
        <v/>
      </c>
      <c r="AL669">
        <f>IF(AD669&lt;=0,0,AD669)</f>
        <v/>
      </c>
      <c r="AM669">
        <f>AL669-AK669+P669</f>
        <v/>
      </c>
      <c r="AN669">
        <f>((AM669/$B$7+T668*AS668/2-T669*MAX(0.1,MIN(0.3,0.3-0.09*(AR668-36.8)))/2)+AR668*(1-AS668/2))/(1-MAX(0.1,MIN(0.3,0.3-0.09*(AR668-36.8)))/2)</f>
        <v/>
      </c>
      <c r="AO669">
        <f>((AM669/$B$7+T668*AS668/2-T669*MAX(0.1,MIN(0.3,0.3-0.09*(AN669-36.8)))/2)+AR668*(1-AS668/2))/(1-MAX(0.1,MIN(0.3,0.3-0.09*(AN669-36.8)))/2)</f>
        <v/>
      </c>
      <c r="AP669">
        <f>((AM669/$B$7+T668*AS668/2-T669*MAX(0.1,MIN(0.3,0.3-0.09*(AO669-36.8)))/2)+AR668*(1-AS668/2))/(1-MAX(0.1,MIN(0.3,0.3-0.09*(AO669-36.8)))/2)</f>
        <v/>
      </c>
      <c r="AQ669">
        <f>((AM669/$B$7+T668*AS668/2-T669*MAX(0.1,MIN(0.3,0.3-0.09*(AP669-36.8)))/2)+AR668*(1-AS668/2))/(1-MAX(0.1,MIN(0.3,0.3-0.09*(AP669-36.8)))/2)</f>
        <v/>
      </c>
      <c r="AR669">
        <f>((AM669/$B$7+T668*AS668/2-T669*MAX(0.1,MIN(0.3,0.3-0.09*(AQ669-36.8)))/2)+AR668*(1-AS668/2))/(1-MAX(0.1,MIN(0.3,0.3-0.09*(AQ669-36.8)))/2)</f>
        <v/>
      </c>
      <c r="AS669">
        <f>MAX(0.1,MIN(0.3,0.3-0.09*(AR669-36.8)))</f>
        <v/>
      </c>
      <c r="AT669">
        <f>AT668+(2*AR669-1.962*AT668-1.31)/9</f>
        <v/>
      </c>
      <c r="AU669">
        <f>AU668+AG669+K669</f>
        <v/>
      </c>
      <c r="AV669">
        <f>AU669*2.67*$B$6/1.8/60</f>
        <v/>
      </c>
      <c r="AW669">
        <f>IF(AT669&gt;=$B$36,1,0)</f>
        <v/>
      </c>
      <c r="AX669">
        <f>IF(AV669&gt;=$B$21,1,0)</f>
        <v/>
      </c>
    </row>
    <row r="670">
      <c r="A670" t="n">
        <v>597</v>
      </c>
      <c r="B670">
        <f>MATCH(A670-1,$D$61:$D$68,1)</f>
        <v/>
      </c>
      <c r="C670">
        <f>INDEX($G$61:$G$68,B670)</f>
        <v/>
      </c>
      <c r="D670">
        <f>INDEX($L$61:$L$68,B670)</f>
        <v/>
      </c>
      <c r="E670">
        <f>INDEX($M$61:$M$68,B670)</f>
        <v/>
      </c>
      <c r="F670">
        <f>INDEX($N$61:$N$68,B670)</f>
        <v/>
      </c>
      <c r="G670">
        <f>INDEX($AA$61:$AA$68,B670)</f>
        <v/>
      </c>
      <c r="H670">
        <f>INDEX($X$61:$X$68,B670)</f>
        <v/>
      </c>
      <c r="I670">
        <f>INDEX($AF$61:$AF$68,B670)</f>
        <v/>
      </c>
      <c r="J670">
        <f>INDEX($AC$61:$AC$68,B670)</f>
        <v/>
      </c>
      <c r="K670">
        <f>INDEX($AD$61:$AD$68,B670)</f>
        <v/>
      </c>
      <c r="L670">
        <f>INDEX($AG$61:$AG$68,B670)</f>
        <v/>
      </c>
      <c r="M670">
        <f>INDEX($AH$61:$AH$68,B670)</f>
        <v/>
      </c>
      <c r="N670">
        <f>INDEX($AI$61:$AI$68,B670)</f>
        <v/>
      </c>
      <c r="O670">
        <f>O669*$B$26+L670*(1-$B$26)</f>
        <v/>
      </c>
      <c r="P670">
        <f>$B$7*(O670-O669)*(1-AS669)</f>
        <v/>
      </c>
      <c r="Q670">
        <f>M670+0.51274*AT669</f>
        <v/>
      </c>
      <c r="R670">
        <f>N670+0.616*AT669</f>
        <v/>
      </c>
      <c r="S670">
        <f>IF($B$13&gt;=0.6,Q670,IF($B$13&lt;=0.2,R670,R670+2.5*(Q670-R670)*($B$13-0.2)))</f>
        <v/>
      </c>
      <c r="T670">
        <f>IF(A670=1,S670,T669*$B$27+S670*(1-$B$27))</f>
        <v/>
      </c>
      <c r="U670">
        <f>0.6105*EXP(17.27*T670/(T670+237.3))</f>
        <v/>
      </c>
      <c r="V670">
        <f>($B$14*(I670*C670+IF(ABS((D670+0.1)-D670)&lt;0.000000001,4*$B$19*$B$20*(D670+273)^3,$B$19*$B$20*(((D670+0.1)+273)^4-(D670+273)^4)/((D670+0.1)-D670))*D670)+T670/H670)/($B$14*(I670+IF(ABS((D670+0.1)-D670)&lt;0.000000001,4*$B$19*$B$20*(D670+273)^3,$B$19*$B$20*(((D670+0.1)+273)^4-(D670+273)^4)/((D670+0.1)-D670)))+1/H670)</f>
        <v/>
      </c>
      <c r="W670">
        <f>($B$14*(I670*C670+IF(ABS(V670-D670)&lt;0.000000001,4*$B$19*$B$20*(D670+273)^3,$B$19*$B$20*((V670+273)^4-(D670+273)^4)/(V670-D670))*D670)+T670/H670)/($B$14*(I670+IF(ABS(V670-D670)&lt;0.000000001,4*$B$19*$B$20*(D670+273)^3,$B$19*$B$20*((V670+273)^4-(D670+273)^4)/(V670-D670)))+1/H670)</f>
        <v/>
      </c>
      <c r="X670">
        <f>($B$14*(I670*C670+IF(ABS(W670-D670)&lt;0.000000001,4*$B$19*$B$20*(D670+273)^3,$B$19*$B$20*((W670+273)^4-(D670+273)^4)/(W670-D670))*D670)+T670/H670)/($B$14*(I670+IF(ABS(W670-D670)&lt;0.000000001,4*$B$19*$B$20*(D670+273)^3,$B$19*$B$20*((W670+273)^4-(D670+273)^4)/(W670-D670)))+1/H670)</f>
        <v/>
      </c>
      <c r="Y670">
        <f>($B$14*(I670*C670+IF(ABS(X670-D670)&lt;0.000000001,4*$B$19*$B$20*(D670+273)^3,$B$19*$B$20*((X670+273)^4-(D670+273)^4)/(X670-D670))*D670)+T670/H670)/($B$14*(I670+IF(ABS(X670-D670)&lt;0.000000001,4*$B$19*$B$20*(D670+273)^3,$B$19*$B$20*((X670+273)^4-(D670+273)^4)/(X670-D670)))+1/H670)</f>
        <v/>
      </c>
      <c r="Z670">
        <f>IF(ABS(Y670-D670)&lt;0.000000001,4*$B$19*$B$20*(D670+273)^3,$B$19*$B$20*((Y670+273)^4-(D670+273)^4)/(Y670-D670))</f>
        <v/>
      </c>
      <c r="AA670">
        <f>$B$14*I670*(Y670-C670)</f>
        <v/>
      </c>
      <c r="AB670">
        <f>$B$14*Z670*(Y670-D670)</f>
        <v/>
      </c>
      <c r="AC670">
        <f>IF((U670-E670)/G670=0,0.001,(U670-E670)/G670)</f>
        <v/>
      </c>
      <c r="AD670">
        <f>F670-P670-J670-K670-AA670-AB670</f>
        <v/>
      </c>
      <c r="AE670">
        <f>AD670/AC670</f>
        <v/>
      </c>
      <c r="AF670">
        <f>IF(AD670&lt;=0,0,IF(AC670&lt;=0,$B$11,IF(AE670&gt;=1.7,$B$11,MIN(AD670/MAX(0.05,IF(AE670&gt;1,(2-AE670)^2/2,1-AE670^2/2)),$B$11))))</f>
        <v/>
      </c>
      <c r="AG670">
        <f>AG669*$B$28+AF670*(1-$B$28)</f>
        <v/>
      </c>
      <c r="AH670">
        <f>IF(AND(AD670&gt;0,AC670&lt;=0),0,AC670)</f>
        <v/>
      </c>
      <c r="AI670">
        <f>AH670/MAX(AG670,0.000001)</f>
        <v/>
      </c>
      <c r="AJ670">
        <f>MIN(IF(AI670&gt;=0.5,-AI670+SQRT(AI670^2+2),1),$B$12)</f>
        <v/>
      </c>
      <c r="AK670">
        <f>IF(AG670&lt;=0,0,AJ670*AH670)</f>
        <v/>
      </c>
      <c r="AL670">
        <f>IF(AD670&lt;=0,0,AD670)</f>
        <v/>
      </c>
      <c r="AM670">
        <f>AL670-AK670+P670</f>
        <v/>
      </c>
      <c r="AN670">
        <f>((AM670/$B$7+T669*AS669/2-T670*MAX(0.1,MIN(0.3,0.3-0.09*(AR669-36.8)))/2)+AR669*(1-AS669/2))/(1-MAX(0.1,MIN(0.3,0.3-0.09*(AR669-36.8)))/2)</f>
        <v/>
      </c>
      <c r="AO670">
        <f>((AM670/$B$7+T669*AS669/2-T670*MAX(0.1,MIN(0.3,0.3-0.09*(AN670-36.8)))/2)+AR669*(1-AS669/2))/(1-MAX(0.1,MIN(0.3,0.3-0.09*(AN670-36.8)))/2)</f>
        <v/>
      </c>
      <c r="AP670">
        <f>((AM670/$B$7+T669*AS669/2-T670*MAX(0.1,MIN(0.3,0.3-0.09*(AO670-36.8)))/2)+AR669*(1-AS669/2))/(1-MAX(0.1,MIN(0.3,0.3-0.09*(AO670-36.8)))/2)</f>
        <v/>
      </c>
      <c r="AQ670">
        <f>((AM670/$B$7+T669*AS669/2-T670*MAX(0.1,MIN(0.3,0.3-0.09*(AP670-36.8)))/2)+AR669*(1-AS669/2))/(1-MAX(0.1,MIN(0.3,0.3-0.09*(AP670-36.8)))/2)</f>
        <v/>
      </c>
      <c r="AR670">
        <f>((AM670/$B$7+T669*AS669/2-T670*MAX(0.1,MIN(0.3,0.3-0.09*(AQ670-36.8)))/2)+AR669*(1-AS669/2))/(1-MAX(0.1,MIN(0.3,0.3-0.09*(AQ670-36.8)))/2)</f>
        <v/>
      </c>
      <c r="AS670">
        <f>MAX(0.1,MIN(0.3,0.3-0.09*(AR670-36.8)))</f>
        <v/>
      </c>
      <c r="AT670">
        <f>AT669+(2*AR670-1.962*AT669-1.31)/9</f>
        <v/>
      </c>
      <c r="AU670">
        <f>AU669+AG670+K670</f>
        <v/>
      </c>
      <c r="AV670">
        <f>AU670*2.67*$B$6/1.8/60</f>
        <v/>
      </c>
      <c r="AW670">
        <f>IF(AT670&gt;=$B$36,1,0)</f>
        <v/>
      </c>
      <c r="AX670">
        <f>IF(AV670&gt;=$B$21,1,0)</f>
        <v/>
      </c>
    </row>
    <row r="671">
      <c r="A671" t="n">
        <v>598</v>
      </c>
      <c r="B671">
        <f>MATCH(A671-1,$D$61:$D$68,1)</f>
        <v/>
      </c>
      <c r="C671">
        <f>INDEX($G$61:$G$68,B671)</f>
        <v/>
      </c>
      <c r="D671">
        <f>INDEX($L$61:$L$68,B671)</f>
        <v/>
      </c>
      <c r="E671">
        <f>INDEX($M$61:$M$68,B671)</f>
        <v/>
      </c>
      <c r="F671">
        <f>INDEX($N$61:$N$68,B671)</f>
        <v/>
      </c>
      <c r="G671">
        <f>INDEX($AA$61:$AA$68,B671)</f>
        <v/>
      </c>
      <c r="H671">
        <f>INDEX($X$61:$X$68,B671)</f>
        <v/>
      </c>
      <c r="I671">
        <f>INDEX($AF$61:$AF$68,B671)</f>
        <v/>
      </c>
      <c r="J671">
        <f>INDEX($AC$61:$AC$68,B671)</f>
        <v/>
      </c>
      <c r="K671">
        <f>INDEX($AD$61:$AD$68,B671)</f>
        <v/>
      </c>
      <c r="L671">
        <f>INDEX($AG$61:$AG$68,B671)</f>
        <v/>
      </c>
      <c r="M671">
        <f>INDEX($AH$61:$AH$68,B671)</f>
        <v/>
      </c>
      <c r="N671">
        <f>INDEX($AI$61:$AI$68,B671)</f>
        <v/>
      </c>
      <c r="O671">
        <f>O670*$B$26+L671*(1-$B$26)</f>
        <v/>
      </c>
      <c r="P671">
        <f>$B$7*(O671-O670)*(1-AS670)</f>
        <v/>
      </c>
      <c r="Q671">
        <f>M671+0.51274*AT670</f>
        <v/>
      </c>
      <c r="R671">
        <f>N671+0.616*AT670</f>
        <v/>
      </c>
      <c r="S671">
        <f>IF($B$13&gt;=0.6,Q671,IF($B$13&lt;=0.2,R671,R671+2.5*(Q671-R671)*($B$13-0.2)))</f>
        <v/>
      </c>
      <c r="T671">
        <f>IF(A671=1,S671,T670*$B$27+S671*(1-$B$27))</f>
        <v/>
      </c>
      <c r="U671">
        <f>0.6105*EXP(17.27*T671/(T671+237.3))</f>
        <v/>
      </c>
      <c r="V671">
        <f>($B$14*(I671*C671+IF(ABS((D671+0.1)-D671)&lt;0.000000001,4*$B$19*$B$20*(D671+273)^3,$B$19*$B$20*(((D671+0.1)+273)^4-(D671+273)^4)/((D671+0.1)-D671))*D671)+T671/H671)/($B$14*(I671+IF(ABS((D671+0.1)-D671)&lt;0.000000001,4*$B$19*$B$20*(D671+273)^3,$B$19*$B$20*(((D671+0.1)+273)^4-(D671+273)^4)/((D671+0.1)-D671)))+1/H671)</f>
        <v/>
      </c>
      <c r="W671">
        <f>($B$14*(I671*C671+IF(ABS(V671-D671)&lt;0.000000001,4*$B$19*$B$20*(D671+273)^3,$B$19*$B$20*((V671+273)^4-(D671+273)^4)/(V671-D671))*D671)+T671/H671)/($B$14*(I671+IF(ABS(V671-D671)&lt;0.000000001,4*$B$19*$B$20*(D671+273)^3,$B$19*$B$20*((V671+273)^4-(D671+273)^4)/(V671-D671)))+1/H671)</f>
        <v/>
      </c>
      <c r="X671">
        <f>($B$14*(I671*C671+IF(ABS(W671-D671)&lt;0.000000001,4*$B$19*$B$20*(D671+273)^3,$B$19*$B$20*((W671+273)^4-(D671+273)^4)/(W671-D671))*D671)+T671/H671)/($B$14*(I671+IF(ABS(W671-D671)&lt;0.000000001,4*$B$19*$B$20*(D671+273)^3,$B$19*$B$20*((W671+273)^4-(D671+273)^4)/(W671-D671)))+1/H671)</f>
        <v/>
      </c>
      <c r="Y671">
        <f>($B$14*(I671*C671+IF(ABS(X671-D671)&lt;0.000000001,4*$B$19*$B$20*(D671+273)^3,$B$19*$B$20*((X671+273)^4-(D671+273)^4)/(X671-D671))*D671)+T671/H671)/($B$14*(I671+IF(ABS(X671-D671)&lt;0.000000001,4*$B$19*$B$20*(D671+273)^3,$B$19*$B$20*((X671+273)^4-(D671+273)^4)/(X671-D671)))+1/H671)</f>
        <v/>
      </c>
      <c r="Z671">
        <f>IF(ABS(Y671-D671)&lt;0.000000001,4*$B$19*$B$20*(D671+273)^3,$B$19*$B$20*((Y671+273)^4-(D671+273)^4)/(Y671-D671))</f>
        <v/>
      </c>
      <c r="AA671">
        <f>$B$14*I671*(Y671-C671)</f>
        <v/>
      </c>
      <c r="AB671">
        <f>$B$14*Z671*(Y671-D671)</f>
        <v/>
      </c>
      <c r="AC671">
        <f>IF((U671-E671)/G671=0,0.001,(U671-E671)/G671)</f>
        <v/>
      </c>
      <c r="AD671">
        <f>F671-P671-J671-K671-AA671-AB671</f>
        <v/>
      </c>
      <c r="AE671">
        <f>AD671/AC671</f>
        <v/>
      </c>
      <c r="AF671">
        <f>IF(AD671&lt;=0,0,IF(AC671&lt;=0,$B$11,IF(AE671&gt;=1.7,$B$11,MIN(AD671/MAX(0.05,IF(AE671&gt;1,(2-AE671)^2/2,1-AE671^2/2)),$B$11))))</f>
        <v/>
      </c>
      <c r="AG671">
        <f>AG670*$B$28+AF671*(1-$B$28)</f>
        <v/>
      </c>
      <c r="AH671">
        <f>IF(AND(AD671&gt;0,AC671&lt;=0),0,AC671)</f>
        <v/>
      </c>
      <c r="AI671">
        <f>AH671/MAX(AG671,0.000001)</f>
        <v/>
      </c>
      <c r="AJ671">
        <f>MIN(IF(AI671&gt;=0.5,-AI671+SQRT(AI671^2+2),1),$B$12)</f>
        <v/>
      </c>
      <c r="AK671">
        <f>IF(AG671&lt;=0,0,AJ671*AH671)</f>
        <v/>
      </c>
      <c r="AL671">
        <f>IF(AD671&lt;=0,0,AD671)</f>
        <v/>
      </c>
      <c r="AM671">
        <f>AL671-AK671+P671</f>
        <v/>
      </c>
      <c r="AN671">
        <f>((AM671/$B$7+T670*AS670/2-T671*MAX(0.1,MIN(0.3,0.3-0.09*(AR670-36.8)))/2)+AR670*(1-AS670/2))/(1-MAX(0.1,MIN(0.3,0.3-0.09*(AR670-36.8)))/2)</f>
        <v/>
      </c>
      <c r="AO671">
        <f>((AM671/$B$7+T670*AS670/2-T671*MAX(0.1,MIN(0.3,0.3-0.09*(AN671-36.8)))/2)+AR670*(1-AS670/2))/(1-MAX(0.1,MIN(0.3,0.3-0.09*(AN671-36.8)))/2)</f>
        <v/>
      </c>
      <c r="AP671">
        <f>((AM671/$B$7+T670*AS670/2-T671*MAX(0.1,MIN(0.3,0.3-0.09*(AO671-36.8)))/2)+AR670*(1-AS670/2))/(1-MAX(0.1,MIN(0.3,0.3-0.09*(AO671-36.8)))/2)</f>
        <v/>
      </c>
      <c r="AQ671">
        <f>((AM671/$B$7+T670*AS670/2-T671*MAX(0.1,MIN(0.3,0.3-0.09*(AP671-36.8)))/2)+AR670*(1-AS670/2))/(1-MAX(0.1,MIN(0.3,0.3-0.09*(AP671-36.8)))/2)</f>
        <v/>
      </c>
      <c r="AR671">
        <f>((AM671/$B$7+T670*AS670/2-T671*MAX(0.1,MIN(0.3,0.3-0.09*(AQ671-36.8)))/2)+AR670*(1-AS670/2))/(1-MAX(0.1,MIN(0.3,0.3-0.09*(AQ671-36.8)))/2)</f>
        <v/>
      </c>
      <c r="AS671">
        <f>MAX(0.1,MIN(0.3,0.3-0.09*(AR671-36.8)))</f>
        <v/>
      </c>
      <c r="AT671">
        <f>AT670+(2*AR671-1.962*AT670-1.31)/9</f>
        <v/>
      </c>
      <c r="AU671">
        <f>AU670+AG671+K671</f>
        <v/>
      </c>
      <c r="AV671">
        <f>AU671*2.67*$B$6/1.8/60</f>
        <v/>
      </c>
      <c r="AW671">
        <f>IF(AT671&gt;=$B$36,1,0)</f>
        <v/>
      </c>
      <c r="AX671">
        <f>IF(AV671&gt;=$B$21,1,0)</f>
        <v/>
      </c>
    </row>
    <row r="672">
      <c r="A672" t="n">
        <v>599</v>
      </c>
      <c r="B672">
        <f>MATCH(A672-1,$D$61:$D$68,1)</f>
        <v/>
      </c>
      <c r="C672">
        <f>INDEX($G$61:$G$68,B672)</f>
        <v/>
      </c>
      <c r="D672">
        <f>INDEX($L$61:$L$68,B672)</f>
        <v/>
      </c>
      <c r="E672">
        <f>INDEX($M$61:$M$68,B672)</f>
        <v/>
      </c>
      <c r="F672">
        <f>INDEX($N$61:$N$68,B672)</f>
        <v/>
      </c>
      <c r="G672">
        <f>INDEX($AA$61:$AA$68,B672)</f>
        <v/>
      </c>
      <c r="H672">
        <f>INDEX($X$61:$X$68,B672)</f>
        <v/>
      </c>
      <c r="I672">
        <f>INDEX($AF$61:$AF$68,B672)</f>
        <v/>
      </c>
      <c r="J672">
        <f>INDEX($AC$61:$AC$68,B672)</f>
        <v/>
      </c>
      <c r="K672">
        <f>INDEX($AD$61:$AD$68,B672)</f>
        <v/>
      </c>
      <c r="L672">
        <f>INDEX($AG$61:$AG$68,B672)</f>
        <v/>
      </c>
      <c r="M672">
        <f>INDEX($AH$61:$AH$68,B672)</f>
        <v/>
      </c>
      <c r="N672">
        <f>INDEX($AI$61:$AI$68,B672)</f>
        <v/>
      </c>
      <c r="O672">
        <f>O671*$B$26+L672*(1-$B$26)</f>
        <v/>
      </c>
      <c r="P672">
        <f>$B$7*(O672-O671)*(1-AS671)</f>
        <v/>
      </c>
      <c r="Q672">
        <f>M672+0.51274*AT671</f>
        <v/>
      </c>
      <c r="R672">
        <f>N672+0.616*AT671</f>
        <v/>
      </c>
      <c r="S672">
        <f>IF($B$13&gt;=0.6,Q672,IF($B$13&lt;=0.2,R672,R672+2.5*(Q672-R672)*($B$13-0.2)))</f>
        <v/>
      </c>
      <c r="T672">
        <f>IF(A672=1,S672,T671*$B$27+S672*(1-$B$27))</f>
        <v/>
      </c>
      <c r="U672">
        <f>0.6105*EXP(17.27*T672/(T672+237.3))</f>
        <v/>
      </c>
      <c r="V672">
        <f>($B$14*(I672*C672+IF(ABS((D672+0.1)-D672)&lt;0.000000001,4*$B$19*$B$20*(D672+273)^3,$B$19*$B$20*(((D672+0.1)+273)^4-(D672+273)^4)/((D672+0.1)-D672))*D672)+T672/H672)/($B$14*(I672+IF(ABS((D672+0.1)-D672)&lt;0.000000001,4*$B$19*$B$20*(D672+273)^3,$B$19*$B$20*(((D672+0.1)+273)^4-(D672+273)^4)/((D672+0.1)-D672)))+1/H672)</f>
        <v/>
      </c>
      <c r="W672">
        <f>($B$14*(I672*C672+IF(ABS(V672-D672)&lt;0.000000001,4*$B$19*$B$20*(D672+273)^3,$B$19*$B$20*((V672+273)^4-(D672+273)^4)/(V672-D672))*D672)+T672/H672)/($B$14*(I672+IF(ABS(V672-D672)&lt;0.000000001,4*$B$19*$B$20*(D672+273)^3,$B$19*$B$20*((V672+273)^4-(D672+273)^4)/(V672-D672)))+1/H672)</f>
        <v/>
      </c>
      <c r="X672">
        <f>($B$14*(I672*C672+IF(ABS(W672-D672)&lt;0.000000001,4*$B$19*$B$20*(D672+273)^3,$B$19*$B$20*((W672+273)^4-(D672+273)^4)/(W672-D672))*D672)+T672/H672)/($B$14*(I672+IF(ABS(W672-D672)&lt;0.000000001,4*$B$19*$B$20*(D672+273)^3,$B$19*$B$20*((W672+273)^4-(D672+273)^4)/(W672-D672)))+1/H672)</f>
        <v/>
      </c>
      <c r="Y672">
        <f>($B$14*(I672*C672+IF(ABS(X672-D672)&lt;0.000000001,4*$B$19*$B$20*(D672+273)^3,$B$19*$B$20*((X672+273)^4-(D672+273)^4)/(X672-D672))*D672)+T672/H672)/($B$14*(I672+IF(ABS(X672-D672)&lt;0.000000001,4*$B$19*$B$20*(D672+273)^3,$B$19*$B$20*((X672+273)^4-(D672+273)^4)/(X672-D672)))+1/H672)</f>
        <v/>
      </c>
      <c r="Z672">
        <f>IF(ABS(Y672-D672)&lt;0.000000001,4*$B$19*$B$20*(D672+273)^3,$B$19*$B$20*((Y672+273)^4-(D672+273)^4)/(Y672-D672))</f>
        <v/>
      </c>
      <c r="AA672">
        <f>$B$14*I672*(Y672-C672)</f>
        <v/>
      </c>
      <c r="AB672">
        <f>$B$14*Z672*(Y672-D672)</f>
        <v/>
      </c>
      <c r="AC672">
        <f>IF((U672-E672)/G672=0,0.001,(U672-E672)/G672)</f>
        <v/>
      </c>
      <c r="AD672">
        <f>F672-P672-J672-K672-AA672-AB672</f>
        <v/>
      </c>
      <c r="AE672">
        <f>AD672/AC672</f>
        <v/>
      </c>
      <c r="AF672">
        <f>IF(AD672&lt;=0,0,IF(AC672&lt;=0,$B$11,IF(AE672&gt;=1.7,$B$11,MIN(AD672/MAX(0.05,IF(AE672&gt;1,(2-AE672)^2/2,1-AE672^2/2)),$B$11))))</f>
        <v/>
      </c>
      <c r="AG672">
        <f>AG671*$B$28+AF672*(1-$B$28)</f>
        <v/>
      </c>
      <c r="AH672">
        <f>IF(AND(AD672&gt;0,AC672&lt;=0),0,AC672)</f>
        <v/>
      </c>
      <c r="AI672">
        <f>AH672/MAX(AG672,0.000001)</f>
        <v/>
      </c>
      <c r="AJ672">
        <f>MIN(IF(AI672&gt;=0.5,-AI672+SQRT(AI672^2+2),1),$B$12)</f>
        <v/>
      </c>
      <c r="AK672">
        <f>IF(AG672&lt;=0,0,AJ672*AH672)</f>
        <v/>
      </c>
      <c r="AL672">
        <f>IF(AD672&lt;=0,0,AD672)</f>
        <v/>
      </c>
      <c r="AM672">
        <f>AL672-AK672+P672</f>
        <v/>
      </c>
      <c r="AN672">
        <f>((AM672/$B$7+T671*AS671/2-T672*MAX(0.1,MIN(0.3,0.3-0.09*(AR671-36.8)))/2)+AR671*(1-AS671/2))/(1-MAX(0.1,MIN(0.3,0.3-0.09*(AR671-36.8)))/2)</f>
        <v/>
      </c>
      <c r="AO672">
        <f>((AM672/$B$7+T671*AS671/2-T672*MAX(0.1,MIN(0.3,0.3-0.09*(AN672-36.8)))/2)+AR671*(1-AS671/2))/(1-MAX(0.1,MIN(0.3,0.3-0.09*(AN672-36.8)))/2)</f>
        <v/>
      </c>
      <c r="AP672">
        <f>((AM672/$B$7+T671*AS671/2-T672*MAX(0.1,MIN(0.3,0.3-0.09*(AO672-36.8)))/2)+AR671*(1-AS671/2))/(1-MAX(0.1,MIN(0.3,0.3-0.09*(AO672-36.8)))/2)</f>
        <v/>
      </c>
      <c r="AQ672">
        <f>((AM672/$B$7+T671*AS671/2-T672*MAX(0.1,MIN(0.3,0.3-0.09*(AP672-36.8)))/2)+AR671*(1-AS671/2))/(1-MAX(0.1,MIN(0.3,0.3-0.09*(AP672-36.8)))/2)</f>
        <v/>
      </c>
      <c r="AR672">
        <f>((AM672/$B$7+T671*AS671/2-T672*MAX(0.1,MIN(0.3,0.3-0.09*(AQ672-36.8)))/2)+AR671*(1-AS671/2))/(1-MAX(0.1,MIN(0.3,0.3-0.09*(AQ672-36.8)))/2)</f>
        <v/>
      </c>
      <c r="AS672">
        <f>MAX(0.1,MIN(0.3,0.3-0.09*(AR672-36.8)))</f>
        <v/>
      </c>
      <c r="AT672">
        <f>AT671+(2*AR672-1.962*AT671-1.31)/9</f>
        <v/>
      </c>
      <c r="AU672">
        <f>AU671+AG672+K672</f>
        <v/>
      </c>
      <c r="AV672">
        <f>AU672*2.67*$B$6/1.8/60</f>
        <v/>
      </c>
      <c r="AW672">
        <f>IF(AT672&gt;=$B$36,1,0)</f>
        <v/>
      </c>
      <c r="AX672">
        <f>IF(AV672&gt;=$B$21,1,0)</f>
        <v/>
      </c>
    </row>
    <row r="673">
      <c r="A673" t="n">
        <v>600</v>
      </c>
      <c r="B673">
        <f>MATCH(A673-1,$D$61:$D$68,1)</f>
        <v/>
      </c>
      <c r="C673">
        <f>INDEX($G$61:$G$68,B673)</f>
        <v/>
      </c>
      <c r="D673">
        <f>INDEX($L$61:$L$68,B673)</f>
        <v/>
      </c>
      <c r="E673">
        <f>INDEX($M$61:$M$68,B673)</f>
        <v/>
      </c>
      <c r="F673">
        <f>INDEX($N$61:$N$68,B673)</f>
        <v/>
      </c>
      <c r="G673">
        <f>INDEX($AA$61:$AA$68,B673)</f>
        <v/>
      </c>
      <c r="H673">
        <f>INDEX($X$61:$X$68,B673)</f>
        <v/>
      </c>
      <c r="I673">
        <f>INDEX($AF$61:$AF$68,B673)</f>
        <v/>
      </c>
      <c r="J673">
        <f>INDEX($AC$61:$AC$68,B673)</f>
        <v/>
      </c>
      <c r="K673">
        <f>INDEX($AD$61:$AD$68,B673)</f>
        <v/>
      </c>
      <c r="L673">
        <f>INDEX($AG$61:$AG$68,B673)</f>
        <v/>
      </c>
      <c r="M673">
        <f>INDEX($AH$61:$AH$68,B673)</f>
        <v/>
      </c>
      <c r="N673">
        <f>INDEX($AI$61:$AI$68,B673)</f>
        <v/>
      </c>
      <c r="O673">
        <f>O672*$B$26+L673*(1-$B$26)</f>
        <v/>
      </c>
      <c r="P673">
        <f>$B$7*(O673-O672)*(1-AS672)</f>
        <v/>
      </c>
      <c r="Q673">
        <f>M673+0.51274*AT672</f>
        <v/>
      </c>
      <c r="R673">
        <f>N673+0.616*AT672</f>
        <v/>
      </c>
      <c r="S673">
        <f>IF($B$13&gt;=0.6,Q673,IF($B$13&lt;=0.2,R673,R673+2.5*(Q673-R673)*($B$13-0.2)))</f>
        <v/>
      </c>
      <c r="T673">
        <f>IF(A673=1,S673,T672*$B$27+S673*(1-$B$27))</f>
        <v/>
      </c>
      <c r="U673">
        <f>0.6105*EXP(17.27*T673/(T673+237.3))</f>
        <v/>
      </c>
      <c r="V673">
        <f>($B$14*(I673*C673+IF(ABS((D673+0.1)-D673)&lt;0.000000001,4*$B$19*$B$20*(D673+273)^3,$B$19*$B$20*(((D673+0.1)+273)^4-(D673+273)^4)/((D673+0.1)-D673))*D673)+T673/H673)/($B$14*(I673+IF(ABS((D673+0.1)-D673)&lt;0.000000001,4*$B$19*$B$20*(D673+273)^3,$B$19*$B$20*(((D673+0.1)+273)^4-(D673+273)^4)/((D673+0.1)-D673)))+1/H673)</f>
        <v/>
      </c>
      <c r="W673">
        <f>($B$14*(I673*C673+IF(ABS(V673-D673)&lt;0.000000001,4*$B$19*$B$20*(D673+273)^3,$B$19*$B$20*((V673+273)^4-(D673+273)^4)/(V673-D673))*D673)+T673/H673)/($B$14*(I673+IF(ABS(V673-D673)&lt;0.000000001,4*$B$19*$B$20*(D673+273)^3,$B$19*$B$20*((V673+273)^4-(D673+273)^4)/(V673-D673)))+1/H673)</f>
        <v/>
      </c>
      <c r="X673">
        <f>($B$14*(I673*C673+IF(ABS(W673-D673)&lt;0.000000001,4*$B$19*$B$20*(D673+273)^3,$B$19*$B$20*((W673+273)^4-(D673+273)^4)/(W673-D673))*D673)+T673/H673)/($B$14*(I673+IF(ABS(W673-D673)&lt;0.000000001,4*$B$19*$B$20*(D673+273)^3,$B$19*$B$20*((W673+273)^4-(D673+273)^4)/(W673-D673)))+1/H673)</f>
        <v/>
      </c>
      <c r="Y673">
        <f>($B$14*(I673*C673+IF(ABS(X673-D673)&lt;0.000000001,4*$B$19*$B$20*(D673+273)^3,$B$19*$B$20*((X673+273)^4-(D673+273)^4)/(X673-D673))*D673)+T673/H673)/($B$14*(I673+IF(ABS(X673-D673)&lt;0.000000001,4*$B$19*$B$20*(D673+273)^3,$B$19*$B$20*((X673+273)^4-(D673+273)^4)/(X673-D673)))+1/H673)</f>
        <v/>
      </c>
      <c r="Z673">
        <f>IF(ABS(Y673-D673)&lt;0.000000001,4*$B$19*$B$20*(D673+273)^3,$B$19*$B$20*((Y673+273)^4-(D673+273)^4)/(Y673-D673))</f>
        <v/>
      </c>
      <c r="AA673">
        <f>$B$14*I673*(Y673-C673)</f>
        <v/>
      </c>
      <c r="AB673">
        <f>$B$14*Z673*(Y673-D673)</f>
        <v/>
      </c>
      <c r="AC673">
        <f>IF((U673-E673)/G673=0,0.001,(U673-E673)/G673)</f>
        <v/>
      </c>
      <c r="AD673">
        <f>F673-P673-J673-K673-AA673-AB673</f>
        <v/>
      </c>
      <c r="AE673">
        <f>AD673/AC673</f>
        <v/>
      </c>
      <c r="AF673">
        <f>IF(AD673&lt;=0,0,IF(AC673&lt;=0,$B$11,IF(AE673&gt;=1.7,$B$11,MIN(AD673/MAX(0.05,IF(AE673&gt;1,(2-AE673)^2/2,1-AE673^2/2)),$B$11))))</f>
        <v/>
      </c>
      <c r="AG673">
        <f>AG672*$B$28+AF673*(1-$B$28)</f>
        <v/>
      </c>
      <c r="AH673">
        <f>IF(AND(AD673&gt;0,AC673&lt;=0),0,AC673)</f>
        <v/>
      </c>
      <c r="AI673">
        <f>AH673/MAX(AG673,0.000001)</f>
        <v/>
      </c>
      <c r="AJ673">
        <f>MIN(IF(AI673&gt;=0.5,-AI673+SQRT(AI673^2+2),1),$B$12)</f>
        <v/>
      </c>
      <c r="AK673">
        <f>IF(AG673&lt;=0,0,AJ673*AH673)</f>
        <v/>
      </c>
      <c r="AL673">
        <f>IF(AD673&lt;=0,0,AD673)</f>
        <v/>
      </c>
      <c r="AM673">
        <f>AL673-AK673+P673</f>
        <v/>
      </c>
      <c r="AN673">
        <f>((AM673/$B$7+T672*AS672/2-T673*MAX(0.1,MIN(0.3,0.3-0.09*(AR672-36.8)))/2)+AR672*(1-AS672/2))/(1-MAX(0.1,MIN(0.3,0.3-0.09*(AR672-36.8)))/2)</f>
        <v/>
      </c>
      <c r="AO673">
        <f>((AM673/$B$7+T672*AS672/2-T673*MAX(0.1,MIN(0.3,0.3-0.09*(AN673-36.8)))/2)+AR672*(1-AS672/2))/(1-MAX(0.1,MIN(0.3,0.3-0.09*(AN673-36.8)))/2)</f>
        <v/>
      </c>
      <c r="AP673">
        <f>((AM673/$B$7+T672*AS672/2-T673*MAX(0.1,MIN(0.3,0.3-0.09*(AO673-36.8)))/2)+AR672*(1-AS672/2))/(1-MAX(0.1,MIN(0.3,0.3-0.09*(AO673-36.8)))/2)</f>
        <v/>
      </c>
      <c r="AQ673">
        <f>((AM673/$B$7+T672*AS672/2-T673*MAX(0.1,MIN(0.3,0.3-0.09*(AP673-36.8)))/2)+AR672*(1-AS672/2))/(1-MAX(0.1,MIN(0.3,0.3-0.09*(AP673-36.8)))/2)</f>
        <v/>
      </c>
      <c r="AR673">
        <f>((AM673/$B$7+T672*AS672/2-T673*MAX(0.1,MIN(0.3,0.3-0.09*(AQ673-36.8)))/2)+AR672*(1-AS672/2))/(1-MAX(0.1,MIN(0.3,0.3-0.09*(AQ673-36.8)))/2)</f>
        <v/>
      </c>
      <c r="AS673">
        <f>MAX(0.1,MIN(0.3,0.3-0.09*(AR673-36.8)))</f>
        <v/>
      </c>
      <c r="AT673">
        <f>AT672+(2*AR673-1.962*AT672-1.31)/9</f>
        <v/>
      </c>
      <c r="AU673">
        <f>AU672+AG673+K673</f>
        <v/>
      </c>
      <c r="AV673">
        <f>AU673*2.67*$B$6/1.8/60</f>
        <v/>
      </c>
      <c r="AW673">
        <f>IF(AT673&gt;=$B$36,1,0)</f>
        <v/>
      </c>
      <c r="AX673">
        <f>IF(AV673&gt;=$B$21,1,0)</f>
        <v/>
      </c>
    </row>
    <row r="674">
      <c r="A674" t="n">
        <v>601</v>
      </c>
      <c r="B674">
        <f>MATCH(A674-1,$D$61:$D$68,1)</f>
        <v/>
      </c>
      <c r="C674">
        <f>INDEX($G$61:$G$68,B674)</f>
        <v/>
      </c>
      <c r="D674">
        <f>INDEX($L$61:$L$68,B674)</f>
        <v/>
      </c>
      <c r="E674">
        <f>INDEX($M$61:$M$68,B674)</f>
        <v/>
      </c>
      <c r="F674">
        <f>INDEX($N$61:$N$68,B674)</f>
        <v/>
      </c>
      <c r="G674">
        <f>INDEX($AA$61:$AA$68,B674)</f>
        <v/>
      </c>
      <c r="H674">
        <f>INDEX($X$61:$X$68,B674)</f>
        <v/>
      </c>
      <c r="I674">
        <f>INDEX($AF$61:$AF$68,B674)</f>
        <v/>
      </c>
      <c r="J674">
        <f>INDEX($AC$61:$AC$68,B674)</f>
        <v/>
      </c>
      <c r="K674">
        <f>INDEX($AD$61:$AD$68,B674)</f>
        <v/>
      </c>
      <c r="L674">
        <f>INDEX($AG$61:$AG$68,B674)</f>
        <v/>
      </c>
      <c r="M674">
        <f>INDEX($AH$61:$AH$68,B674)</f>
        <v/>
      </c>
      <c r="N674">
        <f>INDEX($AI$61:$AI$68,B674)</f>
        <v/>
      </c>
      <c r="O674">
        <f>O673*$B$26+L674*(1-$B$26)</f>
        <v/>
      </c>
      <c r="P674">
        <f>$B$7*(O674-O673)*(1-AS673)</f>
        <v/>
      </c>
      <c r="Q674">
        <f>M674+0.51274*AT673</f>
        <v/>
      </c>
      <c r="R674">
        <f>N674+0.616*AT673</f>
        <v/>
      </c>
      <c r="S674">
        <f>IF($B$13&gt;=0.6,Q674,IF($B$13&lt;=0.2,R674,R674+2.5*(Q674-R674)*($B$13-0.2)))</f>
        <v/>
      </c>
      <c r="T674">
        <f>IF(A674=1,S674,T673*$B$27+S674*(1-$B$27))</f>
        <v/>
      </c>
      <c r="U674">
        <f>0.6105*EXP(17.27*T674/(T674+237.3))</f>
        <v/>
      </c>
      <c r="V674">
        <f>($B$14*(I674*C674+IF(ABS((D674+0.1)-D674)&lt;0.000000001,4*$B$19*$B$20*(D674+273)^3,$B$19*$B$20*(((D674+0.1)+273)^4-(D674+273)^4)/((D674+0.1)-D674))*D674)+T674/H674)/($B$14*(I674+IF(ABS((D674+0.1)-D674)&lt;0.000000001,4*$B$19*$B$20*(D674+273)^3,$B$19*$B$20*(((D674+0.1)+273)^4-(D674+273)^4)/((D674+0.1)-D674)))+1/H674)</f>
        <v/>
      </c>
      <c r="W674">
        <f>($B$14*(I674*C674+IF(ABS(V674-D674)&lt;0.000000001,4*$B$19*$B$20*(D674+273)^3,$B$19*$B$20*((V674+273)^4-(D674+273)^4)/(V674-D674))*D674)+T674/H674)/($B$14*(I674+IF(ABS(V674-D674)&lt;0.000000001,4*$B$19*$B$20*(D674+273)^3,$B$19*$B$20*((V674+273)^4-(D674+273)^4)/(V674-D674)))+1/H674)</f>
        <v/>
      </c>
      <c r="X674">
        <f>($B$14*(I674*C674+IF(ABS(W674-D674)&lt;0.000000001,4*$B$19*$B$20*(D674+273)^3,$B$19*$B$20*((W674+273)^4-(D674+273)^4)/(W674-D674))*D674)+T674/H674)/($B$14*(I674+IF(ABS(W674-D674)&lt;0.000000001,4*$B$19*$B$20*(D674+273)^3,$B$19*$B$20*((W674+273)^4-(D674+273)^4)/(W674-D674)))+1/H674)</f>
        <v/>
      </c>
      <c r="Y674">
        <f>($B$14*(I674*C674+IF(ABS(X674-D674)&lt;0.000000001,4*$B$19*$B$20*(D674+273)^3,$B$19*$B$20*((X674+273)^4-(D674+273)^4)/(X674-D674))*D674)+T674/H674)/($B$14*(I674+IF(ABS(X674-D674)&lt;0.000000001,4*$B$19*$B$20*(D674+273)^3,$B$19*$B$20*((X674+273)^4-(D674+273)^4)/(X674-D674)))+1/H674)</f>
        <v/>
      </c>
      <c r="Z674">
        <f>IF(ABS(Y674-D674)&lt;0.000000001,4*$B$19*$B$20*(D674+273)^3,$B$19*$B$20*((Y674+273)^4-(D674+273)^4)/(Y674-D674))</f>
        <v/>
      </c>
      <c r="AA674">
        <f>$B$14*I674*(Y674-C674)</f>
        <v/>
      </c>
      <c r="AB674">
        <f>$B$14*Z674*(Y674-D674)</f>
        <v/>
      </c>
      <c r="AC674">
        <f>IF((U674-E674)/G674=0,0.001,(U674-E674)/G674)</f>
        <v/>
      </c>
      <c r="AD674">
        <f>F674-P674-J674-K674-AA674-AB674</f>
        <v/>
      </c>
      <c r="AE674">
        <f>AD674/AC674</f>
        <v/>
      </c>
      <c r="AF674">
        <f>IF(AD674&lt;=0,0,IF(AC674&lt;=0,$B$11,IF(AE674&gt;=1.7,$B$11,MIN(AD674/MAX(0.05,IF(AE674&gt;1,(2-AE674)^2/2,1-AE674^2/2)),$B$11))))</f>
        <v/>
      </c>
      <c r="AG674">
        <f>AG673*$B$28+AF674*(1-$B$28)</f>
        <v/>
      </c>
      <c r="AH674">
        <f>IF(AND(AD674&gt;0,AC674&lt;=0),0,AC674)</f>
        <v/>
      </c>
      <c r="AI674">
        <f>AH674/MAX(AG674,0.000001)</f>
        <v/>
      </c>
      <c r="AJ674">
        <f>MIN(IF(AI674&gt;=0.5,-AI674+SQRT(AI674^2+2),1),$B$12)</f>
        <v/>
      </c>
      <c r="AK674">
        <f>IF(AG674&lt;=0,0,AJ674*AH674)</f>
        <v/>
      </c>
      <c r="AL674">
        <f>IF(AD674&lt;=0,0,AD674)</f>
        <v/>
      </c>
      <c r="AM674">
        <f>AL674-AK674+P674</f>
        <v/>
      </c>
      <c r="AN674">
        <f>((AM674/$B$7+T673*AS673/2-T674*MAX(0.1,MIN(0.3,0.3-0.09*(AR673-36.8)))/2)+AR673*(1-AS673/2))/(1-MAX(0.1,MIN(0.3,0.3-0.09*(AR673-36.8)))/2)</f>
        <v/>
      </c>
      <c r="AO674">
        <f>((AM674/$B$7+T673*AS673/2-T674*MAX(0.1,MIN(0.3,0.3-0.09*(AN674-36.8)))/2)+AR673*(1-AS673/2))/(1-MAX(0.1,MIN(0.3,0.3-0.09*(AN674-36.8)))/2)</f>
        <v/>
      </c>
      <c r="AP674">
        <f>((AM674/$B$7+T673*AS673/2-T674*MAX(0.1,MIN(0.3,0.3-0.09*(AO674-36.8)))/2)+AR673*(1-AS673/2))/(1-MAX(0.1,MIN(0.3,0.3-0.09*(AO674-36.8)))/2)</f>
        <v/>
      </c>
      <c r="AQ674">
        <f>((AM674/$B$7+T673*AS673/2-T674*MAX(0.1,MIN(0.3,0.3-0.09*(AP674-36.8)))/2)+AR673*(1-AS673/2))/(1-MAX(0.1,MIN(0.3,0.3-0.09*(AP674-36.8)))/2)</f>
        <v/>
      </c>
      <c r="AR674">
        <f>((AM674/$B$7+T673*AS673/2-T674*MAX(0.1,MIN(0.3,0.3-0.09*(AQ674-36.8)))/2)+AR673*(1-AS673/2))/(1-MAX(0.1,MIN(0.3,0.3-0.09*(AQ674-36.8)))/2)</f>
        <v/>
      </c>
      <c r="AS674">
        <f>MAX(0.1,MIN(0.3,0.3-0.09*(AR674-36.8)))</f>
        <v/>
      </c>
      <c r="AT674">
        <f>AT673+(2*AR674-1.962*AT673-1.31)/9</f>
        <v/>
      </c>
      <c r="AU674">
        <f>AU673+AG674+K674</f>
        <v/>
      </c>
      <c r="AV674">
        <f>AU674*2.67*$B$6/1.8/60</f>
        <v/>
      </c>
      <c r="AW674">
        <f>IF(AT674&gt;=$B$36,1,0)</f>
        <v/>
      </c>
      <c r="AX674">
        <f>IF(AV674&gt;=$B$21,1,0)</f>
        <v/>
      </c>
    </row>
    <row r="675">
      <c r="A675" t="n">
        <v>602</v>
      </c>
      <c r="B675">
        <f>MATCH(A675-1,$D$61:$D$68,1)</f>
        <v/>
      </c>
      <c r="C675">
        <f>INDEX($G$61:$G$68,B675)</f>
        <v/>
      </c>
      <c r="D675">
        <f>INDEX($L$61:$L$68,B675)</f>
        <v/>
      </c>
      <c r="E675">
        <f>INDEX($M$61:$M$68,B675)</f>
        <v/>
      </c>
      <c r="F675">
        <f>INDEX($N$61:$N$68,B675)</f>
        <v/>
      </c>
      <c r="G675">
        <f>INDEX($AA$61:$AA$68,B675)</f>
        <v/>
      </c>
      <c r="H675">
        <f>INDEX($X$61:$X$68,B675)</f>
        <v/>
      </c>
      <c r="I675">
        <f>INDEX($AF$61:$AF$68,B675)</f>
        <v/>
      </c>
      <c r="J675">
        <f>INDEX($AC$61:$AC$68,B675)</f>
        <v/>
      </c>
      <c r="K675">
        <f>INDEX($AD$61:$AD$68,B675)</f>
        <v/>
      </c>
      <c r="L675">
        <f>INDEX($AG$61:$AG$68,B675)</f>
        <v/>
      </c>
      <c r="M675">
        <f>INDEX($AH$61:$AH$68,B675)</f>
        <v/>
      </c>
      <c r="N675">
        <f>INDEX($AI$61:$AI$68,B675)</f>
        <v/>
      </c>
      <c r="O675">
        <f>O674*$B$26+L675*(1-$B$26)</f>
        <v/>
      </c>
      <c r="P675">
        <f>$B$7*(O675-O674)*(1-AS674)</f>
        <v/>
      </c>
      <c r="Q675">
        <f>M675+0.51274*AT674</f>
        <v/>
      </c>
      <c r="R675">
        <f>N675+0.616*AT674</f>
        <v/>
      </c>
      <c r="S675">
        <f>IF($B$13&gt;=0.6,Q675,IF($B$13&lt;=0.2,R675,R675+2.5*(Q675-R675)*($B$13-0.2)))</f>
        <v/>
      </c>
      <c r="T675">
        <f>IF(A675=1,S675,T674*$B$27+S675*(1-$B$27))</f>
        <v/>
      </c>
      <c r="U675">
        <f>0.6105*EXP(17.27*T675/(T675+237.3))</f>
        <v/>
      </c>
      <c r="V675">
        <f>($B$14*(I675*C675+IF(ABS((D675+0.1)-D675)&lt;0.000000001,4*$B$19*$B$20*(D675+273)^3,$B$19*$B$20*(((D675+0.1)+273)^4-(D675+273)^4)/((D675+0.1)-D675))*D675)+T675/H675)/($B$14*(I675+IF(ABS((D675+0.1)-D675)&lt;0.000000001,4*$B$19*$B$20*(D675+273)^3,$B$19*$B$20*(((D675+0.1)+273)^4-(D675+273)^4)/((D675+0.1)-D675)))+1/H675)</f>
        <v/>
      </c>
      <c r="W675">
        <f>($B$14*(I675*C675+IF(ABS(V675-D675)&lt;0.000000001,4*$B$19*$B$20*(D675+273)^3,$B$19*$B$20*((V675+273)^4-(D675+273)^4)/(V675-D675))*D675)+T675/H675)/($B$14*(I675+IF(ABS(V675-D675)&lt;0.000000001,4*$B$19*$B$20*(D675+273)^3,$B$19*$B$20*((V675+273)^4-(D675+273)^4)/(V675-D675)))+1/H675)</f>
        <v/>
      </c>
      <c r="X675">
        <f>($B$14*(I675*C675+IF(ABS(W675-D675)&lt;0.000000001,4*$B$19*$B$20*(D675+273)^3,$B$19*$B$20*((W675+273)^4-(D675+273)^4)/(W675-D675))*D675)+T675/H675)/($B$14*(I675+IF(ABS(W675-D675)&lt;0.000000001,4*$B$19*$B$20*(D675+273)^3,$B$19*$B$20*((W675+273)^4-(D675+273)^4)/(W675-D675)))+1/H675)</f>
        <v/>
      </c>
      <c r="Y675">
        <f>($B$14*(I675*C675+IF(ABS(X675-D675)&lt;0.000000001,4*$B$19*$B$20*(D675+273)^3,$B$19*$B$20*((X675+273)^4-(D675+273)^4)/(X675-D675))*D675)+T675/H675)/($B$14*(I675+IF(ABS(X675-D675)&lt;0.000000001,4*$B$19*$B$20*(D675+273)^3,$B$19*$B$20*((X675+273)^4-(D675+273)^4)/(X675-D675)))+1/H675)</f>
        <v/>
      </c>
      <c r="Z675">
        <f>IF(ABS(Y675-D675)&lt;0.000000001,4*$B$19*$B$20*(D675+273)^3,$B$19*$B$20*((Y675+273)^4-(D675+273)^4)/(Y675-D675))</f>
        <v/>
      </c>
      <c r="AA675">
        <f>$B$14*I675*(Y675-C675)</f>
        <v/>
      </c>
      <c r="AB675">
        <f>$B$14*Z675*(Y675-D675)</f>
        <v/>
      </c>
      <c r="AC675">
        <f>IF((U675-E675)/G675=0,0.001,(U675-E675)/G675)</f>
        <v/>
      </c>
      <c r="AD675">
        <f>F675-P675-J675-K675-AA675-AB675</f>
        <v/>
      </c>
      <c r="AE675">
        <f>AD675/AC675</f>
        <v/>
      </c>
      <c r="AF675">
        <f>IF(AD675&lt;=0,0,IF(AC675&lt;=0,$B$11,IF(AE675&gt;=1.7,$B$11,MIN(AD675/MAX(0.05,IF(AE675&gt;1,(2-AE675)^2/2,1-AE675^2/2)),$B$11))))</f>
        <v/>
      </c>
      <c r="AG675">
        <f>AG674*$B$28+AF675*(1-$B$28)</f>
        <v/>
      </c>
      <c r="AH675">
        <f>IF(AND(AD675&gt;0,AC675&lt;=0),0,AC675)</f>
        <v/>
      </c>
      <c r="AI675">
        <f>AH675/MAX(AG675,0.000001)</f>
        <v/>
      </c>
      <c r="AJ675">
        <f>MIN(IF(AI675&gt;=0.5,-AI675+SQRT(AI675^2+2),1),$B$12)</f>
        <v/>
      </c>
      <c r="AK675">
        <f>IF(AG675&lt;=0,0,AJ675*AH675)</f>
        <v/>
      </c>
      <c r="AL675">
        <f>IF(AD675&lt;=0,0,AD675)</f>
        <v/>
      </c>
      <c r="AM675">
        <f>AL675-AK675+P675</f>
        <v/>
      </c>
      <c r="AN675">
        <f>((AM675/$B$7+T674*AS674/2-T675*MAX(0.1,MIN(0.3,0.3-0.09*(AR674-36.8)))/2)+AR674*(1-AS674/2))/(1-MAX(0.1,MIN(0.3,0.3-0.09*(AR674-36.8)))/2)</f>
        <v/>
      </c>
      <c r="AO675">
        <f>((AM675/$B$7+T674*AS674/2-T675*MAX(0.1,MIN(0.3,0.3-0.09*(AN675-36.8)))/2)+AR674*(1-AS674/2))/(1-MAX(0.1,MIN(0.3,0.3-0.09*(AN675-36.8)))/2)</f>
        <v/>
      </c>
      <c r="AP675">
        <f>((AM675/$B$7+T674*AS674/2-T675*MAX(0.1,MIN(0.3,0.3-0.09*(AO675-36.8)))/2)+AR674*(1-AS674/2))/(1-MAX(0.1,MIN(0.3,0.3-0.09*(AO675-36.8)))/2)</f>
        <v/>
      </c>
      <c r="AQ675">
        <f>((AM675/$B$7+T674*AS674/2-T675*MAX(0.1,MIN(0.3,0.3-0.09*(AP675-36.8)))/2)+AR674*(1-AS674/2))/(1-MAX(0.1,MIN(0.3,0.3-0.09*(AP675-36.8)))/2)</f>
        <v/>
      </c>
      <c r="AR675">
        <f>((AM675/$B$7+T674*AS674/2-T675*MAX(0.1,MIN(0.3,0.3-0.09*(AQ675-36.8)))/2)+AR674*(1-AS674/2))/(1-MAX(0.1,MIN(0.3,0.3-0.09*(AQ675-36.8)))/2)</f>
        <v/>
      </c>
      <c r="AS675">
        <f>MAX(0.1,MIN(0.3,0.3-0.09*(AR675-36.8)))</f>
        <v/>
      </c>
      <c r="AT675">
        <f>AT674+(2*AR675-1.962*AT674-1.31)/9</f>
        <v/>
      </c>
      <c r="AU675">
        <f>AU674+AG675+K675</f>
        <v/>
      </c>
      <c r="AV675">
        <f>AU675*2.67*$B$6/1.8/60</f>
        <v/>
      </c>
      <c r="AW675">
        <f>IF(AT675&gt;=$B$36,1,0)</f>
        <v/>
      </c>
      <c r="AX675">
        <f>IF(AV675&gt;=$B$21,1,0)</f>
        <v/>
      </c>
    </row>
    <row r="676">
      <c r="A676" t="n">
        <v>603</v>
      </c>
      <c r="B676">
        <f>MATCH(A676-1,$D$61:$D$68,1)</f>
        <v/>
      </c>
      <c r="C676">
        <f>INDEX($G$61:$G$68,B676)</f>
        <v/>
      </c>
      <c r="D676">
        <f>INDEX($L$61:$L$68,B676)</f>
        <v/>
      </c>
      <c r="E676">
        <f>INDEX($M$61:$M$68,B676)</f>
        <v/>
      </c>
      <c r="F676">
        <f>INDEX($N$61:$N$68,B676)</f>
        <v/>
      </c>
      <c r="G676">
        <f>INDEX($AA$61:$AA$68,B676)</f>
        <v/>
      </c>
      <c r="H676">
        <f>INDEX($X$61:$X$68,B676)</f>
        <v/>
      </c>
      <c r="I676">
        <f>INDEX($AF$61:$AF$68,B676)</f>
        <v/>
      </c>
      <c r="J676">
        <f>INDEX($AC$61:$AC$68,B676)</f>
        <v/>
      </c>
      <c r="K676">
        <f>INDEX($AD$61:$AD$68,B676)</f>
        <v/>
      </c>
      <c r="L676">
        <f>INDEX($AG$61:$AG$68,B676)</f>
        <v/>
      </c>
      <c r="M676">
        <f>INDEX($AH$61:$AH$68,B676)</f>
        <v/>
      </c>
      <c r="N676">
        <f>INDEX($AI$61:$AI$68,B676)</f>
        <v/>
      </c>
      <c r="O676">
        <f>O675*$B$26+L676*(1-$B$26)</f>
        <v/>
      </c>
      <c r="P676">
        <f>$B$7*(O676-O675)*(1-AS675)</f>
        <v/>
      </c>
      <c r="Q676">
        <f>M676+0.51274*AT675</f>
        <v/>
      </c>
      <c r="R676">
        <f>N676+0.616*AT675</f>
        <v/>
      </c>
      <c r="S676">
        <f>IF($B$13&gt;=0.6,Q676,IF($B$13&lt;=0.2,R676,R676+2.5*(Q676-R676)*($B$13-0.2)))</f>
        <v/>
      </c>
      <c r="T676">
        <f>IF(A676=1,S676,T675*$B$27+S676*(1-$B$27))</f>
        <v/>
      </c>
      <c r="U676">
        <f>0.6105*EXP(17.27*T676/(T676+237.3))</f>
        <v/>
      </c>
      <c r="V676">
        <f>($B$14*(I676*C676+IF(ABS((D676+0.1)-D676)&lt;0.000000001,4*$B$19*$B$20*(D676+273)^3,$B$19*$B$20*(((D676+0.1)+273)^4-(D676+273)^4)/((D676+0.1)-D676))*D676)+T676/H676)/($B$14*(I676+IF(ABS((D676+0.1)-D676)&lt;0.000000001,4*$B$19*$B$20*(D676+273)^3,$B$19*$B$20*(((D676+0.1)+273)^4-(D676+273)^4)/((D676+0.1)-D676)))+1/H676)</f>
        <v/>
      </c>
      <c r="W676">
        <f>($B$14*(I676*C676+IF(ABS(V676-D676)&lt;0.000000001,4*$B$19*$B$20*(D676+273)^3,$B$19*$B$20*((V676+273)^4-(D676+273)^4)/(V676-D676))*D676)+T676/H676)/($B$14*(I676+IF(ABS(V676-D676)&lt;0.000000001,4*$B$19*$B$20*(D676+273)^3,$B$19*$B$20*((V676+273)^4-(D676+273)^4)/(V676-D676)))+1/H676)</f>
        <v/>
      </c>
      <c r="X676">
        <f>($B$14*(I676*C676+IF(ABS(W676-D676)&lt;0.000000001,4*$B$19*$B$20*(D676+273)^3,$B$19*$B$20*((W676+273)^4-(D676+273)^4)/(W676-D676))*D676)+T676/H676)/($B$14*(I676+IF(ABS(W676-D676)&lt;0.000000001,4*$B$19*$B$20*(D676+273)^3,$B$19*$B$20*((W676+273)^4-(D676+273)^4)/(W676-D676)))+1/H676)</f>
        <v/>
      </c>
      <c r="Y676">
        <f>($B$14*(I676*C676+IF(ABS(X676-D676)&lt;0.000000001,4*$B$19*$B$20*(D676+273)^3,$B$19*$B$20*((X676+273)^4-(D676+273)^4)/(X676-D676))*D676)+T676/H676)/($B$14*(I676+IF(ABS(X676-D676)&lt;0.000000001,4*$B$19*$B$20*(D676+273)^3,$B$19*$B$20*((X676+273)^4-(D676+273)^4)/(X676-D676)))+1/H676)</f>
        <v/>
      </c>
      <c r="Z676">
        <f>IF(ABS(Y676-D676)&lt;0.000000001,4*$B$19*$B$20*(D676+273)^3,$B$19*$B$20*((Y676+273)^4-(D676+273)^4)/(Y676-D676))</f>
        <v/>
      </c>
      <c r="AA676">
        <f>$B$14*I676*(Y676-C676)</f>
        <v/>
      </c>
      <c r="AB676">
        <f>$B$14*Z676*(Y676-D676)</f>
        <v/>
      </c>
      <c r="AC676">
        <f>IF((U676-E676)/G676=0,0.001,(U676-E676)/G676)</f>
        <v/>
      </c>
      <c r="AD676">
        <f>F676-P676-J676-K676-AA676-AB676</f>
        <v/>
      </c>
      <c r="AE676">
        <f>AD676/AC676</f>
        <v/>
      </c>
      <c r="AF676">
        <f>IF(AD676&lt;=0,0,IF(AC676&lt;=0,$B$11,IF(AE676&gt;=1.7,$B$11,MIN(AD676/MAX(0.05,IF(AE676&gt;1,(2-AE676)^2/2,1-AE676^2/2)),$B$11))))</f>
        <v/>
      </c>
      <c r="AG676">
        <f>AG675*$B$28+AF676*(1-$B$28)</f>
        <v/>
      </c>
      <c r="AH676">
        <f>IF(AND(AD676&gt;0,AC676&lt;=0),0,AC676)</f>
        <v/>
      </c>
      <c r="AI676">
        <f>AH676/MAX(AG676,0.000001)</f>
        <v/>
      </c>
      <c r="AJ676">
        <f>MIN(IF(AI676&gt;=0.5,-AI676+SQRT(AI676^2+2),1),$B$12)</f>
        <v/>
      </c>
      <c r="AK676">
        <f>IF(AG676&lt;=0,0,AJ676*AH676)</f>
        <v/>
      </c>
      <c r="AL676">
        <f>IF(AD676&lt;=0,0,AD676)</f>
        <v/>
      </c>
      <c r="AM676">
        <f>AL676-AK676+P676</f>
        <v/>
      </c>
      <c r="AN676">
        <f>((AM676/$B$7+T675*AS675/2-T676*MAX(0.1,MIN(0.3,0.3-0.09*(AR675-36.8)))/2)+AR675*(1-AS675/2))/(1-MAX(0.1,MIN(0.3,0.3-0.09*(AR675-36.8)))/2)</f>
        <v/>
      </c>
      <c r="AO676">
        <f>((AM676/$B$7+T675*AS675/2-T676*MAX(0.1,MIN(0.3,0.3-0.09*(AN676-36.8)))/2)+AR675*(1-AS675/2))/(1-MAX(0.1,MIN(0.3,0.3-0.09*(AN676-36.8)))/2)</f>
        <v/>
      </c>
      <c r="AP676">
        <f>((AM676/$B$7+T675*AS675/2-T676*MAX(0.1,MIN(0.3,0.3-0.09*(AO676-36.8)))/2)+AR675*(1-AS675/2))/(1-MAX(0.1,MIN(0.3,0.3-0.09*(AO676-36.8)))/2)</f>
        <v/>
      </c>
      <c r="AQ676">
        <f>((AM676/$B$7+T675*AS675/2-T676*MAX(0.1,MIN(0.3,0.3-0.09*(AP676-36.8)))/2)+AR675*(1-AS675/2))/(1-MAX(0.1,MIN(0.3,0.3-0.09*(AP676-36.8)))/2)</f>
        <v/>
      </c>
      <c r="AR676">
        <f>((AM676/$B$7+T675*AS675/2-T676*MAX(0.1,MIN(0.3,0.3-0.09*(AQ676-36.8)))/2)+AR675*(1-AS675/2))/(1-MAX(0.1,MIN(0.3,0.3-0.09*(AQ676-36.8)))/2)</f>
        <v/>
      </c>
      <c r="AS676">
        <f>MAX(0.1,MIN(0.3,0.3-0.09*(AR676-36.8)))</f>
        <v/>
      </c>
      <c r="AT676">
        <f>AT675+(2*AR676-1.962*AT675-1.31)/9</f>
        <v/>
      </c>
      <c r="AU676">
        <f>AU675+AG676+K676</f>
        <v/>
      </c>
      <c r="AV676">
        <f>AU676*2.67*$B$6/1.8/60</f>
        <v/>
      </c>
      <c r="AW676">
        <f>IF(AT676&gt;=$B$36,1,0)</f>
        <v/>
      </c>
      <c r="AX676">
        <f>IF(AV676&gt;=$B$21,1,0)</f>
        <v/>
      </c>
    </row>
    <row r="677">
      <c r="A677" t="n">
        <v>604</v>
      </c>
      <c r="B677">
        <f>MATCH(A677-1,$D$61:$D$68,1)</f>
        <v/>
      </c>
      <c r="C677">
        <f>INDEX($G$61:$G$68,B677)</f>
        <v/>
      </c>
      <c r="D677">
        <f>INDEX($L$61:$L$68,B677)</f>
        <v/>
      </c>
      <c r="E677">
        <f>INDEX($M$61:$M$68,B677)</f>
        <v/>
      </c>
      <c r="F677">
        <f>INDEX($N$61:$N$68,B677)</f>
        <v/>
      </c>
      <c r="G677">
        <f>INDEX($AA$61:$AA$68,B677)</f>
        <v/>
      </c>
      <c r="H677">
        <f>INDEX($X$61:$X$68,B677)</f>
        <v/>
      </c>
      <c r="I677">
        <f>INDEX($AF$61:$AF$68,B677)</f>
        <v/>
      </c>
      <c r="J677">
        <f>INDEX($AC$61:$AC$68,B677)</f>
        <v/>
      </c>
      <c r="K677">
        <f>INDEX($AD$61:$AD$68,B677)</f>
        <v/>
      </c>
      <c r="L677">
        <f>INDEX($AG$61:$AG$68,B677)</f>
        <v/>
      </c>
      <c r="M677">
        <f>INDEX($AH$61:$AH$68,B677)</f>
        <v/>
      </c>
      <c r="N677">
        <f>INDEX($AI$61:$AI$68,B677)</f>
        <v/>
      </c>
      <c r="O677">
        <f>O676*$B$26+L677*(1-$B$26)</f>
        <v/>
      </c>
      <c r="P677">
        <f>$B$7*(O677-O676)*(1-AS676)</f>
        <v/>
      </c>
      <c r="Q677">
        <f>M677+0.51274*AT676</f>
        <v/>
      </c>
      <c r="R677">
        <f>N677+0.616*AT676</f>
        <v/>
      </c>
      <c r="S677">
        <f>IF($B$13&gt;=0.6,Q677,IF($B$13&lt;=0.2,R677,R677+2.5*(Q677-R677)*($B$13-0.2)))</f>
        <v/>
      </c>
      <c r="T677">
        <f>IF(A677=1,S677,T676*$B$27+S677*(1-$B$27))</f>
        <v/>
      </c>
      <c r="U677">
        <f>0.6105*EXP(17.27*T677/(T677+237.3))</f>
        <v/>
      </c>
      <c r="V677">
        <f>($B$14*(I677*C677+IF(ABS((D677+0.1)-D677)&lt;0.000000001,4*$B$19*$B$20*(D677+273)^3,$B$19*$B$20*(((D677+0.1)+273)^4-(D677+273)^4)/((D677+0.1)-D677))*D677)+T677/H677)/($B$14*(I677+IF(ABS((D677+0.1)-D677)&lt;0.000000001,4*$B$19*$B$20*(D677+273)^3,$B$19*$B$20*(((D677+0.1)+273)^4-(D677+273)^4)/((D677+0.1)-D677)))+1/H677)</f>
        <v/>
      </c>
      <c r="W677">
        <f>($B$14*(I677*C677+IF(ABS(V677-D677)&lt;0.000000001,4*$B$19*$B$20*(D677+273)^3,$B$19*$B$20*((V677+273)^4-(D677+273)^4)/(V677-D677))*D677)+T677/H677)/($B$14*(I677+IF(ABS(V677-D677)&lt;0.000000001,4*$B$19*$B$20*(D677+273)^3,$B$19*$B$20*((V677+273)^4-(D677+273)^4)/(V677-D677)))+1/H677)</f>
        <v/>
      </c>
      <c r="X677">
        <f>($B$14*(I677*C677+IF(ABS(W677-D677)&lt;0.000000001,4*$B$19*$B$20*(D677+273)^3,$B$19*$B$20*((W677+273)^4-(D677+273)^4)/(W677-D677))*D677)+T677/H677)/($B$14*(I677+IF(ABS(W677-D677)&lt;0.000000001,4*$B$19*$B$20*(D677+273)^3,$B$19*$B$20*((W677+273)^4-(D677+273)^4)/(W677-D677)))+1/H677)</f>
        <v/>
      </c>
      <c r="Y677">
        <f>($B$14*(I677*C677+IF(ABS(X677-D677)&lt;0.000000001,4*$B$19*$B$20*(D677+273)^3,$B$19*$B$20*((X677+273)^4-(D677+273)^4)/(X677-D677))*D677)+T677/H677)/($B$14*(I677+IF(ABS(X677-D677)&lt;0.000000001,4*$B$19*$B$20*(D677+273)^3,$B$19*$B$20*((X677+273)^4-(D677+273)^4)/(X677-D677)))+1/H677)</f>
        <v/>
      </c>
      <c r="Z677">
        <f>IF(ABS(Y677-D677)&lt;0.000000001,4*$B$19*$B$20*(D677+273)^3,$B$19*$B$20*((Y677+273)^4-(D677+273)^4)/(Y677-D677))</f>
        <v/>
      </c>
      <c r="AA677">
        <f>$B$14*I677*(Y677-C677)</f>
        <v/>
      </c>
      <c r="AB677">
        <f>$B$14*Z677*(Y677-D677)</f>
        <v/>
      </c>
      <c r="AC677">
        <f>IF((U677-E677)/G677=0,0.001,(U677-E677)/G677)</f>
        <v/>
      </c>
      <c r="AD677">
        <f>F677-P677-J677-K677-AA677-AB677</f>
        <v/>
      </c>
      <c r="AE677">
        <f>AD677/AC677</f>
        <v/>
      </c>
      <c r="AF677">
        <f>IF(AD677&lt;=0,0,IF(AC677&lt;=0,$B$11,IF(AE677&gt;=1.7,$B$11,MIN(AD677/MAX(0.05,IF(AE677&gt;1,(2-AE677)^2/2,1-AE677^2/2)),$B$11))))</f>
        <v/>
      </c>
      <c r="AG677">
        <f>AG676*$B$28+AF677*(1-$B$28)</f>
        <v/>
      </c>
      <c r="AH677">
        <f>IF(AND(AD677&gt;0,AC677&lt;=0),0,AC677)</f>
        <v/>
      </c>
      <c r="AI677">
        <f>AH677/MAX(AG677,0.000001)</f>
        <v/>
      </c>
      <c r="AJ677">
        <f>MIN(IF(AI677&gt;=0.5,-AI677+SQRT(AI677^2+2),1),$B$12)</f>
        <v/>
      </c>
      <c r="AK677">
        <f>IF(AG677&lt;=0,0,AJ677*AH677)</f>
        <v/>
      </c>
      <c r="AL677">
        <f>IF(AD677&lt;=0,0,AD677)</f>
        <v/>
      </c>
      <c r="AM677">
        <f>AL677-AK677+P677</f>
        <v/>
      </c>
      <c r="AN677">
        <f>((AM677/$B$7+T676*AS676/2-T677*MAX(0.1,MIN(0.3,0.3-0.09*(AR676-36.8)))/2)+AR676*(1-AS676/2))/(1-MAX(0.1,MIN(0.3,0.3-0.09*(AR676-36.8)))/2)</f>
        <v/>
      </c>
      <c r="AO677">
        <f>((AM677/$B$7+T676*AS676/2-T677*MAX(0.1,MIN(0.3,0.3-0.09*(AN677-36.8)))/2)+AR676*(1-AS676/2))/(1-MAX(0.1,MIN(0.3,0.3-0.09*(AN677-36.8)))/2)</f>
        <v/>
      </c>
      <c r="AP677">
        <f>((AM677/$B$7+T676*AS676/2-T677*MAX(0.1,MIN(0.3,0.3-0.09*(AO677-36.8)))/2)+AR676*(1-AS676/2))/(1-MAX(0.1,MIN(0.3,0.3-0.09*(AO677-36.8)))/2)</f>
        <v/>
      </c>
      <c r="AQ677">
        <f>((AM677/$B$7+T676*AS676/2-T677*MAX(0.1,MIN(0.3,0.3-0.09*(AP677-36.8)))/2)+AR676*(1-AS676/2))/(1-MAX(0.1,MIN(0.3,0.3-0.09*(AP677-36.8)))/2)</f>
        <v/>
      </c>
      <c r="AR677">
        <f>((AM677/$B$7+T676*AS676/2-T677*MAX(0.1,MIN(0.3,0.3-0.09*(AQ677-36.8)))/2)+AR676*(1-AS676/2))/(1-MAX(0.1,MIN(0.3,0.3-0.09*(AQ677-36.8)))/2)</f>
        <v/>
      </c>
      <c r="AS677">
        <f>MAX(0.1,MIN(0.3,0.3-0.09*(AR677-36.8)))</f>
        <v/>
      </c>
      <c r="AT677">
        <f>AT676+(2*AR677-1.962*AT676-1.31)/9</f>
        <v/>
      </c>
      <c r="AU677">
        <f>AU676+AG677+K677</f>
        <v/>
      </c>
      <c r="AV677">
        <f>AU677*2.67*$B$6/1.8/60</f>
        <v/>
      </c>
      <c r="AW677">
        <f>IF(AT677&gt;=$B$36,1,0)</f>
        <v/>
      </c>
      <c r="AX677">
        <f>IF(AV677&gt;=$B$21,1,0)</f>
        <v/>
      </c>
    </row>
    <row r="678">
      <c r="A678" t="n">
        <v>605</v>
      </c>
      <c r="B678">
        <f>MATCH(A678-1,$D$61:$D$68,1)</f>
        <v/>
      </c>
      <c r="C678">
        <f>INDEX($G$61:$G$68,B678)</f>
        <v/>
      </c>
      <c r="D678">
        <f>INDEX($L$61:$L$68,B678)</f>
        <v/>
      </c>
      <c r="E678">
        <f>INDEX($M$61:$M$68,B678)</f>
        <v/>
      </c>
      <c r="F678">
        <f>INDEX($N$61:$N$68,B678)</f>
        <v/>
      </c>
      <c r="G678">
        <f>INDEX($AA$61:$AA$68,B678)</f>
        <v/>
      </c>
      <c r="H678">
        <f>INDEX($X$61:$X$68,B678)</f>
        <v/>
      </c>
      <c r="I678">
        <f>INDEX($AF$61:$AF$68,B678)</f>
        <v/>
      </c>
      <c r="J678">
        <f>INDEX($AC$61:$AC$68,B678)</f>
        <v/>
      </c>
      <c r="K678">
        <f>INDEX($AD$61:$AD$68,B678)</f>
        <v/>
      </c>
      <c r="L678">
        <f>INDEX($AG$61:$AG$68,B678)</f>
        <v/>
      </c>
      <c r="M678">
        <f>INDEX($AH$61:$AH$68,B678)</f>
        <v/>
      </c>
      <c r="N678">
        <f>INDEX($AI$61:$AI$68,B678)</f>
        <v/>
      </c>
      <c r="O678">
        <f>O677*$B$26+L678*(1-$B$26)</f>
        <v/>
      </c>
      <c r="P678">
        <f>$B$7*(O678-O677)*(1-AS677)</f>
        <v/>
      </c>
      <c r="Q678">
        <f>M678+0.51274*AT677</f>
        <v/>
      </c>
      <c r="R678">
        <f>N678+0.616*AT677</f>
        <v/>
      </c>
      <c r="S678">
        <f>IF($B$13&gt;=0.6,Q678,IF($B$13&lt;=0.2,R678,R678+2.5*(Q678-R678)*($B$13-0.2)))</f>
        <v/>
      </c>
      <c r="T678">
        <f>IF(A678=1,S678,T677*$B$27+S678*(1-$B$27))</f>
        <v/>
      </c>
      <c r="U678">
        <f>0.6105*EXP(17.27*T678/(T678+237.3))</f>
        <v/>
      </c>
      <c r="V678">
        <f>($B$14*(I678*C678+IF(ABS((D678+0.1)-D678)&lt;0.000000001,4*$B$19*$B$20*(D678+273)^3,$B$19*$B$20*(((D678+0.1)+273)^4-(D678+273)^4)/((D678+0.1)-D678))*D678)+T678/H678)/($B$14*(I678+IF(ABS((D678+0.1)-D678)&lt;0.000000001,4*$B$19*$B$20*(D678+273)^3,$B$19*$B$20*(((D678+0.1)+273)^4-(D678+273)^4)/((D678+0.1)-D678)))+1/H678)</f>
        <v/>
      </c>
      <c r="W678">
        <f>($B$14*(I678*C678+IF(ABS(V678-D678)&lt;0.000000001,4*$B$19*$B$20*(D678+273)^3,$B$19*$B$20*((V678+273)^4-(D678+273)^4)/(V678-D678))*D678)+T678/H678)/($B$14*(I678+IF(ABS(V678-D678)&lt;0.000000001,4*$B$19*$B$20*(D678+273)^3,$B$19*$B$20*((V678+273)^4-(D678+273)^4)/(V678-D678)))+1/H678)</f>
        <v/>
      </c>
      <c r="X678">
        <f>($B$14*(I678*C678+IF(ABS(W678-D678)&lt;0.000000001,4*$B$19*$B$20*(D678+273)^3,$B$19*$B$20*((W678+273)^4-(D678+273)^4)/(W678-D678))*D678)+T678/H678)/($B$14*(I678+IF(ABS(W678-D678)&lt;0.000000001,4*$B$19*$B$20*(D678+273)^3,$B$19*$B$20*((W678+273)^4-(D678+273)^4)/(W678-D678)))+1/H678)</f>
        <v/>
      </c>
      <c r="Y678">
        <f>($B$14*(I678*C678+IF(ABS(X678-D678)&lt;0.000000001,4*$B$19*$B$20*(D678+273)^3,$B$19*$B$20*((X678+273)^4-(D678+273)^4)/(X678-D678))*D678)+T678/H678)/($B$14*(I678+IF(ABS(X678-D678)&lt;0.000000001,4*$B$19*$B$20*(D678+273)^3,$B$19*$B$20*((X678+273)^4-(D678+273)^4)/(X678-D678)))+1/H678)</f>
        <v/>
      </c>
      <c r="Z678">
        <f>IF(ABS(Y678-D678)&lt;0.000000001,4*$B$19*$B$20*(D678+273)^3,$B$19*$B$20*((Y678+273)^4-(D678+273)^4)/(Y678-D678))</f>
        <v/>
      </c>
      <c r="AA678">
        <f>$B$14*I678*(Y678-C678)</f>
        <v/>
      </c>
      <c r="AB678">
        <f>$B$14*Z678*(Y678-D678)</f>
        <v/>
      </c>
      <c r="AC678">
        <f>IF((U678-E678)/G678=0,0.001,(U678-E678)/G678)</f>
        <v/>
      </c>
      <c r="AD678">
        <f>F678-P678-J678-K678-AA678-AB678</f>
        <v/>
      </c>
      <c r="AE678">
        <f>AD678/AC678</f>
        <v/>
      </c>
      <c r="AF678">
        <f>IF(AD678&lt;=0,0,IF(AC678&lt;=0,$B$11,IF(AE678&gt;=1.7,$B$11,MIN(AD678/MAX(0.05,IF(AE678&gt;1,(2-AE678)^2/2,1-AE678^2/2)),$B$11))))</f>
        <v/>
      </c>
      <c r="AG678">
        <f>AG677*$B$28+AF678*(1-$B$28)</f>
        <v/>
      </c>
      <c r="AH678">
        <f>IF(AND(AD678&gt;0,AC678&lt;=0),0,AC678)</f>
        <v/>
      </c>
      <c r="AI678">
        <f>AH678/MAX(AG678,0.000001)</f>
        <v/>
      </c>
      <c r="AJ678">
        <f>MIN(IF(AI678&gt;=0.5,-AI678+SQRT(AI678^2+2),1),$B$12)</f>
        <v/>
      </c>
      <c r="AK678">
        <f>IF(AG678&lt;=0,0,AJ678*AH678)</f>
        <v/>
      </c>
      <c r="AL678">
        <f>IF(AD678&lt;=0,0,AD678)</f>
        <v/>
      </c>
      <c r="AM678">
        <f>AL678-AK678+P678</f>
        <v/>
      </c>
      <c r="AN678">
        <f>((AM678/$B$7+T677*AS677/2-T678*MAX(0.1,MIN(0.3,0.3-0.09*(AR677-36.8)))/2)+AR677*(1-AS677/2))/(1-MAX(0.1,MIN(0.3,0.3-0.09*(AR677-36.8)))/2)</f>
        <v/>
      </c>
      <c r="AO678">
        <f>((AM678/$B$7+T677*AS677/2-T678*MAX(0.1,MIN(0.3,0.3-0.09*(AN678-36.8)))/2)+AR677*(1-AS677/2))/(1-MAX(0.1,MIN(0.3,0.3-0.09*(AN678-36.8)))/2)</f>
        <v/>
      </c>
      <c r="AP678">
        <f>((AM678/$B$7+T677*AS677/2-T678*MAX(0.1,MIN(0.3,0.3-0.09*(AO678-36.8)))/2)+AR677*(1-AS677/2))/(1-MAX(0.1,MIN(0.3,0.3-0.09*(AO678-36.8)))/2)</f>
        <v/>
      </c>
      <c r="AQ678">
        <f>((AM678/$B$7+T677*AS677/2-T678*MAX(0.1,MIN(0.3,0.3-0.09*(AP678-36.8)))/2)+AR677*(1-AS677/2))/(1-MAX(0.1,MIN(0.3,0.3-0.09*(AP678-36.8)))/2)</f>
        <v/>
      </c>
      <c r="AR678">
        <f>((AM678/$B$7+T677*AS677/2-T678*MAX(0.1,MIN(0.3,0.3-0.09*(AQ678-36.8)))/2)+AR677*(1-AS677/2))/(1-MAX(0.1,MIN(0.3,0.3-0.09*(AQ678-36.8)))/2)</f>
        <v/>
      </c>
      <c r="AS678">
        <f>MAX(0.1,MIN(0.3,0.3-0.09*(AR678-36.8)))</f>
        <v/>
      </c>
      <c r="AT678">
        <f>AT677+(2*AR678-1.962*AT677-1.31)/9</f>
        <v/>
      </c>
      <c r="AU678">
        <f>AU677+AG678+K678</f>
        <v/>
      </c>
      <c r="AV678">
        <f>AU678*2.67*$B$6/1.8/60</f>
        <v/>
      </c>
      <c r="AW678">
        <f>IF(AT678&gt;=$B$36,1,0)</f>
        <v/>
      </c>
      <c r="AX678">
        <f>IF(AV678&gt;=$B$21,1,0)</f>
        <v/>
      </c>
    </row>
    <row r="679">
      <c r="A679" t="n">
        <v>606</v>
      </c>
      <c r="B679">
        <f>MATCH(A679-1,$D$61:$D$68,1)</f>
        <v/>
      </c>
      <c r="C679">
        <f>INDEX($G$61:$G$68,B679)</f>
        <v/>
      </c>
      <c r="D679">
        <f>INDEX($L$61:$L$68,B679)</f>
        <v/>
      </c>
      <c r="E679">
        <f>INDEX($M$61:$M$68,B679)</f>
        <v/>
      </c>
      <c r="F679">
        <f>INDEX($N$61:$N$68,B679)</f>
        <v/>
      </c>
      <c r="G679">
        <f>INDEX($AA$61:$AA$68,B679)</f>
        <v/>
      </c>
      <c r="H679">
        <f>INDEX($X$61:$X$68,B679)</f>
        <v/>
      </c>
      <c r="I679">
        <f>INDEX($AF$61:$AF$68,B679)</f>
        <v/>
      </c>
      <c r="J679">
        <f>INDEX($AC$61:$AC$68,B679)</f>
        <v/>
      </c>
      <c r="K679">
        <f>INDEX($AD$61:$AD$68,B679)</f>
        <v/>
      </c>
      <c r="L679">
        <f>INDEX($AG$61:$AG$68,B679)</f>
        <v/>
      </c>
      <c r="M679">
        <f>INDEX($AH$61:$AH$68,B679)</f>
        <v/>
      </c>
      <c r="N679">
        <f>INDEX($AI$61:$AI$68,B679)</f>
        <v/>
      </c>
      <c r="O679">
        <f>O678*$B$26+L679*(1-$B$26)</f>
        <v/>
      </c>
      <c r="P679">
        <f>$B$7*(O679-O678)*(1-AS678)</f>
        <v/>
      </c>
      <c r="Q679">
        <f>M679+0.51274*AT678</f>
        <v/>
      </c>
      <c r="R679">
        <f>N679+0.616*AT678</f>
        <v/>
      </c>
      <c r="S679">
        <f>IF($B$13&gt;=0.6,Q679,IF($B$13&lt;=0.2,R679,R679+2.5*(Q679-R679)*($B$13-0.2)))</f>
        <v/>
      </c>
      <c r="T679">
        <f>IF(A679=1,S679,T678*$B$27+S679*(1-$B$27))</f>
        <v/>
      </c>
      <c r="U679">
        <f>0.6105*EXP(17.27*T679/(T679+237.3))</f>
        <v/>
      </c>
      <c r="V679">
        <f>($B$14*(I679*C679+IF(ABS((D679+0.1)-D679)&lt;0.000000001,4*$B$19*$B$20*(D679+273)^3,$B$19*$B$20*(((D679+0.1)+273)^4-(D679+273)^4)/((D679+0.1)-D679))*D679)+T679/H679)/($B$14*(I679+IF(ABS((D679+0.1)-D679)&lt;0.000000001,4*$B$19*$B$20*(D679+273)^3,$B$19*$B$20*(((D679+0.1)+273)^4-(D679+273)^4)/((D679+0.1)-D679)))+1/H679)</f>
        <v/>
      </c>
      <c r="W679">
        <f>($B$14*(I679*C679+IF(ABS(V679-D679)&lt;0.000000001,4*$B$19*$B$20*(D679+273)^3,$B$19*$B$20*((V679+273)^4-(D679+273)^4)/(V679-D679))*D679)+T679/H679)/($B$14*(I679+IF(ABS(V679-D679)&lt;0.000000001,4*$B$19*$B$20*(D679+273)^3,$B$19*$B$20*((V679+273)^4-(D679+273)^4)/(V679-D679)))+1/H679)</f>
        <v/>
      </c>
      <c r="X679">
        <f>($B$14*(I679*C679+IF(ABS(W679-D679)&lt;0.000000001,4*$B$19*$B$20*(D679+273)^3,$B$19*$B$20*((W679+273)^4-(D679+273)^4)/(W679-D679))*D679)+T679/H679)/($B$14*(I679+IF(ABS(W679-D679)&lt;0.000000001,4*$B$19*$B$20*(D679+273)^3,$B$19*$B$20*((W679+273)^4-(D679+273)^4)/(W679-D679)))+1/H679)</f>
        <v/>
      </c>
      <c r="Y679">
        <f>($B$14*(I679*C679+IF(ABS(X679-D679)&lt;0.000000001,4*$B$19*$B$20*(D679+273)^3,$B$19*$B$20*((X679+273)^4-(D679+273)^4)/(X679-D679))*D679)+T679/H679)/($B$14*(I679+IF(ABS(X679-D679)&lt;0.000000001,4*$B$19*$B$20*(D679+273)^3,$B$19*$B$20*((X679+273)^4-(D679+273)^4)/(X679-D679)))+1/H679)</f>
        <v/>
      </c>
      <c r="Z679">
        <f>IF(ABS(Y679-D679)&lt;0.000000001,4*$B$19*$B$20*(D679+273)^3,$B$19*$B$20*((Y679+273)^4-(D679+273)^4)/(Y679-D679))</f>
        <v/>
      </c>
      <c r="AA679">
        <f>$B$14*I679*(Y679-C679)</f>
        <v/>
      </c>
      <c r="AB679">
        <f>$B$14*Z679*(Y679-D679)</f>
        <v/>
      </c>
      <c r="AC679">
        <f>IF((U679-E679)/G679=0,0.001,(U679-E679)/G679)</f>
        <v/>
      </c>
      <c r="AD679">
        <f>F679-P679-J679-K679-AA679-AB679</f>
        <v/>
      </c>
      <c r="AE679">
        <f>AD679/AC679</f>
        <v/>
      </c>
      <c r="AF679">
        <f>IF(AD679&lt;=0,0,IF(AC679&lt;=0,$B$11,IF(AE679&gt;=1.7,$B$11,MIN(AD679/MAX(0.05,IF(AE679&gt;1,(2-AE679)^2/2,1-AE679^2/2)),$B$11))))</f>
        <v/>
      </c>
      <c r="AG679">
        <f>AG678*$B$28+AF679*(1-$B$28)</f>
        <v/>
      </c>
      <c r="AH679">
        <f>IF(AND(AD679&gt;0,AC679&lt;=0),0,AC679)</f>
        <v/>
      </c>
      <c r="AI679">
        <f>AH679/MAX(AG679,0.000001)</f>
        <v/>
      </c>
      <c r="AJ679">
        <f>MIN(IF(AI679&gt;=0.5,-AI679+SQRT(AI679^2+2),1),$B$12)</f>
        <v/>
      </c>
      <c r="AK679">
        <f>IF(AG679&lt;=0,0,AJ679*AH679)</f>
        <v/>
      </c>
      <c r="AL679">
        <f>IF(AD679&lt;=0,0,AD679)</f>
        <v/>
      </c>
      <c r="AM679">
        <f>AL679-AK679+P679</f>
        <v/>
      </c>
      <c r="AN679">
        <f>((AM679/$B$7+T678*AS678/2-T679*MAX(0.1,MIN(0.3,0.3-0.09*(AR678-36.8)))/2)+AR678*(1-AS678/2))/(1-MAX(0.1,MIN(0.3,0.3-0.09*(AR678-36.8)))/2)</f>
        <v/>
      </c>
      <c r="AO679">
        <f>((AM679/$B$7+T678*AS678/2-T679*MAX(0.1,MIN(0.3,0.3-0.09*(AN679-36.8)))/2)+AR678*(1-AS678/2))/(1-MAX(0.1,MIN(0.3,0.3-0.09*(AN679-36.8)))/2)</f>
        <v/>
      </c>
      <c r="AP679">
        <f>((AM679/$B$7+T678*AS678/2-T679*MAX(0.1,MIN(0.3,0.3-0.09*(AO679-36.8)))/2)+AR678*(1-AS678/2))/(1-MAX(0.1,MIN(0.3,0.3-0.09*(AO679-36.8)))/2)</f>
        <v/>
      </c>
      <c r="AQ679">
        <f>((AM679/$B$7+T678*AS678/2-T679*MAX(0.1,MIN(0.3,0.3-0.09*(AP679-36.8)))/2)+AR678*(1-AS678/2))/(1-MAX(0.1,MIN(0.3,0.3-0.09*(AP679-36.8)))/2)</f>
        <v/>
      </c>
      <c r="AR679">
        <f>((AM679/$B$7+T678*AS678/2-T679*MAX(0.1,MIN(0.3,0.3-0.09*(AQ679-36.8)))/2)+AR678*(1-AS678/2))/(1-MAX(0.1,MIN(0.3,0.3-0.09*(AQ679-36.8)))/2)</f>
        <v/>
      </c>
      <c r="AS679">
        <f>MAX(0.1,MIN(0.3,0.3-0.09*(AR679-36.8)))</f>
        <v/>
      </c>
      <c r="AT679">
        <f>AT678+(2*AR679-1.962*AT678-1.31)/9</f>
        <v/>
      </c>
      <c r="AU679">
        <f>AU678+AG679+K679</f>
        <v/>
      </c>
      <c r="AV679">
        <f>AU679*2.67*$B$6/1.8/60</f>
        <v/>
      </c>
      <c r="AW679">
        <f>IF(AT679&gt;=$B$36,1,0)</f>
        <v/>
      </c>
      <c r="AX679">
        <f>IF(AV679&gt;=$B$21,1,0)</f>
        <v/>
      </c>
    </row>
    <row r="680">
      <c r="A680" t="n">
        <v>607</v>
      </c>
      <c r="B680">
        <f>MATCH(A680-1,$D$61:$D$68,1)</f>
        <v/>
      </c>
      <c r="C680">
        <f>INDEX($G$61:$G$68,B680)</f>
        <v/>
      </c>
      <c r="D680">
        <f>INDEX($L$61:$L$68,B680)</f>
        <v/>
      </c>
      <c r="E680">
        <f>INDEX($M$61:$M$68,B680)</f>
        <v/>
      </c>
      <c r="F680">
        <f>INDEX($N$61:$N$68,B680)</f>
        <v/>
      </c>
      <c r="G680">
        <f>INDEX($AA$61:$AA$68,B680)</f>
        <v/>
      </c>
      <c r="H680">
        <f>INDEX($X$61:$X$68,B680)</f>
        <v/>
      </c>
      <c r="I680">
        <f>INDEX($AF$61:$AF$68,B680)</f>
        <v/>
      </c>
      <c r="J680">
        <f>INDEX($AC$61:$AC$68,B680)</f>
        <v/>
      </c>
      <c r="K680">
        <f>INDEX($AD$61:$AD$68,B680)</f>
        <v/>
      </c>
      <c r="L680">
        <f>INDEX($AG$61:$AG$68,B680)</f>
        <v/>
      </c>
      <c r="M680">
        <f>INDEX($AH$61:$AH$68,B680)</f>
        <v/>
      </c>
      <c r="N680">
        <f>INDEX($AI$61:$AI$68,B680)</f>
        <v/>
      </c>
      <c r="O680">
        <f>O679*$B$26+L680*(1-$B$26)</f>
        <v/>
      </c>
      <c r="P680">
        <f>$B$7*(O680-O679)*(1-AS679)</f>
        <v/>
      </c>
      <c r="Q680">
        <f>M680+0.51274*AT679</f>
        <v/>
      </c>
      <c r="R680">
        <f>N680+0.616*AT679</f>
        <v/>
      </c>
      <c r="S680">
        <f>IF($B$13&gt;=0.6,Q680,IF($B$13&lt;=0.2,R680,R680+2.5*(Q680-R680)*($B$13-0.2)))</f>
        <v/>
      </c>
      <c r="T680">
        <f>IF(A680=1,S680,T679*$B$27+S680*(1-$B$27))</f>
        <v/>
      </c>
      <c r="U680">
        <f>0.6105*EXP(17.27*T680/(T680+237.3))</f>
        <v/>
      </c>
      <c r="V680">
        <f>($B$14*(I680*C680+IF(ABS((D680+0.1)-D680)&lt;0.000000001,4*$B$19*$B$20*(D680+273)^3,$B$19*$B$20*(((D680+0.1)+273)^4-(D680+273)^4)/((D680+0.1)-D680))*D680)+T680/H680)/($B$14*(I680+IF(ABS((D680+0.1)-D680)&lt;0.000000001,4*$B$19*$B$20*(D680+273)^3,$B$19*$B$20*(((D680+0.1)+273)^4-(D680+273)^4)/((D680+0.1)-D680)))+1/H680)</f>
        <v/>
      </c>
      <c r="W680">
        <f>($B$14*(I680*C680+IF(ABS(V680-D680)&lt;0.000000001,4*$B$19*$B$20*(D680+273)^3,$B$19*$B$20*((V680+273)^4-(D680+273)^4)/(V680-D680))*D680)+T680/H680)/($B$14*(I680+IF(ABS(V680-D680)&lt;0.000000001,4*$B$19*$B$20*(D680+273)^3,$B$19*$B$20*((V680+273)^4-(D680+273)^4)/(V680-D680)))+1/H680)</f>
        <v/>
      </c>
      <c r="X680">
        <f>($B$14*(I680*C680+IF(ABS(W680-D680)&lt;0.000000001,4*$B$19*$B$20*(D680+273)^3,$B$19*$B$20*((W680+273)^4-(D680+273)^4)/(W680-D680))*D680)+T680/H680)/($B$14*(I680+IF(ABS(W680-D680)&lt;0.000000001,4*$B$19*$B$20*(D680+273)^3,$B$19*$B$20*((W680+273)^4-(D680+273)^4)/(W680-D680)))+1/H680)</f>
        <v/>
      </c>
      <c r="Y680">
        <f>($B$14*(I680*C680+IF(ABS(X680-D680)&lt;0.000000001,4*$B$19*$B$20*(D680+273)^3,$B$19*$B$20*((X680+273)^4-(D680+273)^4)/(X680-D680))*D680)+T680/H680)/($B$14*(I680+IF(ABS(X680-D680)&lt;0.000000001,4*$B$19*$B$20*(D680+273)^3,$B$19*$B$20*((X680+273)^4-(D680+273)^4)/(X680-D680)))+1/H680)</f>
        <v/>
      </c>
      <c r="Z680">
        <f>IF(ABS(Y680-D680)&lt;0.000000001,4*$B$19*$B$20*(D680+273)^3,$B$19*$B$20*((Y680+273)^4-(D680+273)^4)/(Y680-D680))</f>
        <v/>
      </c>
      <c r="AA680">
        <f>$B$14*I680*(Y680-C680)</f>
        <v/>
      </c>
      <c r="AB680">
        <f>$B$14*Z680*(Y680-D680)</f>
        <v/>
      </c>
      <c r="AC680">
        <f>IF((U680-E680)/G680=0,0.001,(U680-E680)/G680)</f>
        <v/>
      </c>
      <c r="AD680">
        <f>F680-P680-J680-K680-AA680-AB680</f>
        <v/>
      </c>
      <c r="AE680">
        <f>AD680/AC680</f>
        <v/>
      </c>
      <c r="AF680">
        <f>IF(AD680&lt;=0,0,IF(AC680&lt;=0,$B$11,IF(AE680&gt;=1.7,$B$11,MIN(AD680/MAX(0.05,IF(AE680&gt;1,(2-AE680)^2/2,1-AE680^2/2)),$B$11))))</f>
        <v/>
      </c>
      <c r="AG680">
        <f>AG679*$B$28+AF680*(1-$B$28)</f>
        <v/>
      </c>
      <c r="AH680">
        <f>IF(AND(AD680&gt;0,AC680&lt;=0),0,AC680)</f>
        <v/>
      </c>
      <c r="AI680">
        <f>AH680/MAX(AG680,0.000001)</f>
        <v/>
      </c>
      <c r="AJ680">
        <f>MIN(IF(AI680&gt;=0.5,-AI680+SQRT(AI680^2+2),1),$B$12)</f>
        <v/>
      </c>
      <c r="AK680">
        <f>IF(AG680&lt;=0,0,AJ680*AH680)</f>
        <v/>
      </c>
      <c r="AL680">
        <f>IF(AD680&lt;=0,0,AD680)</f>
        <v/>
      </c>
      <c r="AM680">
        <f>AL680-AK680+P680</f>
        <v/>
      </c>
      <c r="AN680">
        <f>((AM680/$B$7+T679*AS679/2-T680*MAX(0.1,MIN(0.3,0.3-0.09*(AR679-36.8)))/2)+AR679*(1-AS679/2))/(1-MAX(0.1,MIN(0.3,0.3-0.09*(AR679-36.8)))/2)</f>
        <v/>
      </c>
      <c r="AO680">
        <f>((AM680/$B$7+T679*AS679/2-T680*MAX(0.1,MIN(0.3,0.3-0.09*(AN680-36.8)))/2)+AR679*(1-AS679/2))/(1-MAX(0.1,MIN(0.3,0.3-0.09*(AN680-36.8)))/2)</f>
        <v/>
      </c>
      <c r="AP680">
        <f>((AM680/$B$7+T679*AS679/2-T680*MAX(0.1,MIN(0.3,0.3-0.09*(AO680-36.8)))/2)+AR679*(1-AS679/2))/(1-MAX(0.1,MIN(0.3,0.3-0.09*(AO680-36.8)))/2)</f>
        <v/>
      </c>
      <c r="AQ680">
        <f>((AM680/$B$7+T679*AS679/2-T680*MAX(0.1,MIN(0.3,0.3-0.09*(AP680-36.8)))/2)+AR679*(1-AS679/2))/(1-MAX(0.1,MIN(0.3,0.3-0.09*(AP680-36.8)))/2)</f>
        <v/>
      </c>
      <c r="AR680">
        <f>((AM680/$B$7+T679*AS679/2-T680*MAX(0.1,MIN(0.3,0.3-0.09*(AQ680-36.8)))/2)+AR679*(1-AS679/2))/(1-MAX(0.1,MIN(0.3,0.3-0.09*(AQ680-36.8)))/2)</f>
        <v/>
      </c>
      <c r="AS680">
        <f>MAX(0.1,MIN(0.3,0.3-0.09*(AR680-36.8)))</f>
        <v/>
      </c>
      <c r="AT680">
        <f>AT679+(2*AR680-1.962*AT679-1.31)/9</f>
        <v/>
      </c>
      <c r="AU680">
        <f>AU679+AG680+K680</f>
        <v/>
      </c>
      <c r="AV680">
        <f>AU680*2.67*$B$6/1.8/60</f>
        <v/>
      </c>
      <c r="AW680">
        <f>IF(AT680&gt;=$B$36,1,0)</f>
        <v/>
      </c>
      <c r="AX680">
        <f>IF(AV680&gt;=$B$21,1,0)</f>
        <v/>
      </c>
    </row>
    <row r="681">
      <c r="A681" t="n">
        <v>608</v>
      </c>
      <c r="B681">
        <f>MATCH(A681-1,$D$61:$D$68,1)</f>
        <v/>
      </c>
      <c r="C681">
        <f>INDEX($G$61:$G$68,B681)</f>
        <v/>
      </c>
      <c r="D681">
        <f>INDEX($L$61:$L$68,B681)</f>
        <v/>
      </c>
      <c r="E681">
        <f>INDEX($M$61:$M$68,B681)</f>
        <v/>
      </c>
      <c r="F681">
        <f>INDEX($N$61:$N$68,B681)</f>
        <v/>
      </c>
      <c r="G681">
        <f>INDEX($AA$61:$AA$68,B681)</f>
        <v/>
      </c>
      <c r="H681">
        <f>INDEX($X$61:$X$68,B681)</f>
        <v/>
      </c>
      <c r="I681">
        <f>INDEX($AF$61:$AF$68,B681)</f>
        <v/>
      </c>
      <c r="J681">
        <f>INDEX($AC$61:$AC$68,B681)</f>
        <v/>
      </c>
      <c r="K681">
        <f>INDEX($AD$61:$AD$68,B681)</f>
        <v/>
      </c>
      <c r="L681">
        <f>INDEX($AG$61:$AG$68,B681)</f>
        <v/>
      </c>
      <c r="M681">
        <f>INDEX($AH$61:$AH$68,B681)</f>
        <v/>
      </c>
      <c r="N681">
        <f>INDEX($AI$61:$AI$68,B681)</f>
        <v/>
      </c>
      <c r="O681">
        <f>O680*$B$26+L681*(1-$B$26)</f>
        <v/>
      </c>
      <c r="P681">
        <f>$B$7*(O681-O680)*(1-AS680)</f>
        <v/>
      </c>
      <c r="Q681">
        <f>M681+0.51274*AT680</f>
        <v/>
      </c>
      <c r="R681">
        <f>N681+0.616*AT680</f>
        <v/>
      </c>
      <c r="S681">
        <f>IF($B$13&gt;=0.6,Q681,IF($B$13&lt;=0.2,R681,R681+2.5*(Q681-R681)*($B$13-0.2)))</f>
        <v/>
      </c>
      <c r="T681">
        <f>IF(A681=1,S681,T680*$B$27+S681*(1-$B$27))</f>
        <v/>
      </c>
      <c r="U681">
        <f>0.6105*EXP(17.27*T681/(T681+237.3))</f>
        <v/>
      </c>
      <c r="V681">
        <f>($B$14*(I681*C681+IF(ABS((D681+0.1)-D681)&lt;0.000000001,4*$B$19*$B$20*(D681+273)^3,$B$19*$B$20*(((D681+0.1)+273)^4-(D681+273)^4)/((D681+0.1)-D681))*D681)+T681/H681)/($B$14*(I681+IF(ABS((D681+0.1)-D681)&lt;0.000000001,4*$B$19*$B$20*(D681+273)^3,$B$19*$B$20*(((D681+0.1)+273)^4-(D681+273)^4)/((D681+0.1)-D681)))+1/H681)</f>
        <v/>
      </c>
      <c r="W681">
        <f>($B$14*(I681*C681+IF(ABS(V681-D681)&lt;0.000000001,4*$B$19*$B$20*(D681+273)^3,$B$19*$B$20*((V681+273)^4-(D681+273)^4)/(V681-D681))*D681)+T681/H681)/($B$14*(I681+IF(ABS(V681-D681)&lt;0.000000001,4*$B$19*$B$20*(D681+273)^3,$B$19*$B$20*((V681+273)^4-(D681+273)^4)/(V681-D681)))+1/H681)</f>
        <v/>
      </c>
      <c r="X681">
        <f>($B$14*(I681*C681+IF(ABS(W681-D681)&lt;0.000000001,4*$B$19*$B$20*(D681+273)^3,$B$19*$B$20*((W681+273)^4-(D681+273)^4)/(W681-D681))*D681)+T681/H681)/($B$14*(I681+IF(ABS(W681-D681)&lt;0.000000001,4*$B$19*$B$20*(D681+273)^3,$B$19*$B$20*((W681+273)^4-(D681+273)^4)/(W681-D681)))+1/H681)</f>
        <v/>
      </c>
      <c r="Y681">
        <f>($B$14*(I681*C681+IF(ABS(X681-D681)&lt;0.000000001,4*$B$19*$B$20*(D681+273)^3,$B$19*$B$20*((X681+273)^4-(D681+273)^4)/(X681-D681))*D681)+T681/H681)/($B$14*(I681+IF(ABS(X681-D681)&lt;0.000000001,4*$B$19*$B$20*(D681+273)^3,$B$19*$B$20*((X681+273)^4-(D681+273)^4)/(X681-D681)))+1/H681)</f>
        <v/>
      </c>
      <c r="Z681">
        <f>IF(ABS(Y681-D681)&lt;0.000000001,4*$B$19*$B$20*(D681+273)^3,$B$19*$B$20*((Y681+273)^4-(D681+273)^4)/(Y681-D681))</f>
        <v/>
      </c>
      <c r="AA681">
        <f>$B$14*I681*(Y681-C681)</f>
        <v/>
      </c>
      <c r="AB681">
        <f>$B$14*Z681*(Y681-D681)</f>
        <v/>
      </c>
      <c r="AC681">
        <f>IF((U681-E681)/G681=0,0.001,(U681-E681)/G681)</f>
        <v/>
      </c>
      <c r="AD681">
        <f>F681-P681-J681-K681-AA681-AB681</f>
        <v/>
      </c>
      <c r="AE681">
        <f>AD681/AC681</f>
        <v/>
      </c>
      <c r="AF681">
        <f>IF(AD681&lt;=0,0,IF(AC681&lt;=0,$B$11,IF(AE681&gt;=1.7,$B$11,MIN(AD681/MAX(0.05,IF(AE681&gt;1,(2-AE681)^2/2,1-AE681^2/2)),$B$11))))</f>
        <v/>
      </c>
      <c r="AG681">
        <f>AG680*$B$28+AF681*(1-$B$28)</f>
        <v/>
      </c>
      <c r="AH681">
        <f>IF(AND(AD681&gt;0,AC681&lt;=0),0,AC681)</f>
        <v/>
      </c>
      <c r="AI681">
        <f>AH681/MAX(AG681,0.000001)</f>
        <v/>
      </c>
      <c r="AJ681">
        <f>MIN(IF(AI681&gt;=0.5,-AI681+SQRT(AI681^2+2),1),$B$12)</f>
        <v/>
      </c>
      <c r="AK681">
        <f>IF(AG681&lt;=0,0,AJ681*AH681)</f>
        <v/>
      </c>
      <c r="AL681">
        <f>IF(AD681&lt;=0,0,AD681)</f>
        <v/>
      </c>
      <c r="AM681">
        <f>AL681-AK681+P681</f>
        <v/>
      </c>
      <c r="AN681">
        <f>((AM681/$B$7+T680*AS680/2-T681*MAX(0.1,MIN(0.3,0.3-0.09*(AR680-36.8)))/2)+AR680*(1-AS680/2))/(1-MAX(0.1,MIN(0.3,0.3-0.09*(AR680-36.8)))/2)</f>
        <v/>
      </c>
      <c r="AO681">
        <f>((AM681/$B$7+T680*AS680/2-T681*MAX(0.1,MIN(0.3,0.3-0.09*(AN681-36.8)))/2)+AR680*(1-AS680/2))/(1-MAX(0.1,MIN(0.3,0.3-0.09*(AN681-36.8)))/2)</f>
        <v/>
      </c>
      <c r="AP681">
        <f>((AM681/$B$7+T680*AS680/2-T681*MAX(0.1,MIN(0.3,0.3-0.09*(AO681-36.8)))/2)+AR680*(1-AS680/2))/(1-MAX(0.1,MIN(0.3,0.3-0.09*(AO681-36.8)))/2)</f>
        <v/>
      </c>
      <c r="AQ681">
        <f>((AM681/$B$7+T680*AS680/2-T681*MAX(0.1,MIN(0.3,0.3-0.09*(AP681-36.8)))/2)+AR680*(1-AS680/2))/(1-MAX(0.1,MIN(0.3,0.3-0.09*(AP681-36.8)))/2)</f>
        <v/>
      </c>
      <c r="AR681">
        <f>((AM681/$B$7+T680*AS680/2-T681*MAX(0.1,MIN(0.3,0.3-0.09*(AQ681-36.8)))/2)+AR680*(1-AS680/2))/(1-MAX(0.1,MIN(0.3,0.3-0.09*(AQ681-36.8)))/2)</f>
        <v/>
      </c>
      <c r="AS681">
        <f>MAX(0.1,MIN(0.3,0.3-0.09*(AR681-36.8)))</f>
        <v/>
      </c>
      <c r="AT681">
        <f>AT680+(2*AR681-1.962*AT680-1.31)/9</f>
        <v/>
      </c>
      <c r="AU681">
        <f>AU680+AG681+K681</f>
        <v/>
      </c>
      <c r="AV681">
        <f>AU681*2.67*$B$6/1.8/60</f>
        <v/>
      </c>
      <c r="AW681">
        <f>IF(AT681&gt;=$B$36,1,0)</f>
        <v/>
      </c>
      <c r="AX681">
        <f>IF(AV681&gt;=$B$21,1,0)</f>
        <v/>
      </c>
    </row>
    <row r="682">
      <c r="A682" t="n">
        <v>609</v>
      </c>
      <c r="B682">
        <f>MATCH(A682-1,$D$61:$D$68,1)</f>
        <v/>
      </c>
      <c r="C682">
        <f>INDEX($G$61:$G$68,B682)</f>
        <v/>
      </c>
      <c r="D682">
        <f>INDEX($L$61:$L$68,B682)</f>
        <v/>
      </c>
      <c r="E682">
        <f>INDEX($M$61:$M$68,B682)</f>
        <v/>
      </c>
      <c r="F682">
        <f>INDEX($N$61:$N$68,B682)</f>
        <v/>
      </c>
      <c r="G682">
        <f>INDEX($AA$61:$AA$68,B682)</f>
        <v/>
      </c>
      <c r="H682">
        <f>INDEX($X$61:$X$68,B682)</f>
        <v/>
      </c>
      <c r="I682">
        <f>INDEX($AF$61:$AF$68,B682)</f>
        <v/>
      </c>
      <c r="J682">
        <f>INDEX($AC$61:$AC$68,B682)</f>
        <v/>
      </c>
      <c r="K682">
        <f>INDEX($AD$61:$AD$68,B682)</f>
        <v/>
      </c>
      <c r="L682">
        <f>INDEX($AG$61:$AG$68,B682)</f>
        <v/>
      </c>
      <c r="M682">
        <f>INDEX($AH$61:$AH$68,B682)</f>
        <v/>
      </c>
      <c r="N682">
        <f>INDEX($AI$61:$AI$68,B682)</f>
        <v/>
      </c>
      <c r="O682">
        <f>O681*$B$26+L682*(1-$B$26)</f>
        <v/>
      </c>
      <c r="P682">
        <f>$B$7*(O682-O681)*(1-AS681)</f>
        <v/>
      </c>
      <c r="Q682">
        <f>M682+0.51274*AT681</f>
        <v/>
      </c>
      <c r="R682">
        <f>N682+0.616*AT681</f>
        <v/>
      </c>
      <c r="S682">
        <f>IF($B$13&gt;=0.6,Q682,IF($B$13&lt;=0.2,R682,R682+2.5*(Q682-R682)*($B$13-0.2)))</f>
        <v/>
      </c>
      <c r="T682">
        <f>IF(A682=1,S682,T681*$B$27+S682*(1-$B$27))</f>
        <v/>
      </c>
      <c r="U682">
        <f>0.6105*EXP(17.27*T682/(T682+237.3))</f>
        <v/>
      </c>
      <c r="V682">
        <f>($B$14*(I682*C682+IF(ABS((D682+0.1)-D682)&lt;0.000000001,4*$B$19*$B$20*(D682+273)^3,$B$19*$B$20*(((D682+0.1)+273)^4-(D682+273)^4)/((D682+0.1)-D682))*D682)+T682/H682)/($B$14*(I682+IF(ABS((D682+0.1)-D682)&lt;0.000000001,4*$B$19*$B$20*(D682+273)^3,$B$19*$B$20*(((D682+0.1)+273)^4-(D682+273)^4)/((D682+0.1)-D682)))+1/H682)</f>
        <v/>
      </c>
      <c r="W682">
        <f>($B$14*(I682*C682+IF(ABS(V682-D682)&lt;0.000000001,4*$B$19*$B$20*(D682+273)^3,$B$19*$B$20*((V682+273)^4-(D682+273)^4)/(V682-D682))*D682)+T682/H682)/($B$14*(I682+IF(ABS(V682-D682)&lt;0.000000001,4*$B$19*$B$20*(D682+273)^3,$B$19*$B$20*((V682+273)^4-(D682+273)^4)/(V682-D682)))+1/H682)</f>
        <v/>
      </c>
      <c r="X682">
        <f>($B$14*(I682*C682+IF(ABS(W682-D682)&lt;0.000000001,4*$B$19*$B$20*(D682+273)^3,$B$19*$B$20*((W682+273)^4-(D682+273)^4)/(W682-D682))*D682)+T682/H682)/($B$14*(I682+IF(ABS(W682-D682)&lt;0.000000001,4*$B$19*$B$20*(D682+273)^3,$B$19*$B$20*((W682+273)^4-(D682+273)^4)/(W682-D682)))+1/H682)</f>
        <v/>
      </c>
      <c r="Y682">
        <f>($B$14*(I682*C682+IF(ABS(X682-D682)&lt;0.000000001,4*$B$19*$B$20*(D682+273)^3,$B$19*$B$20*((X682+273)^4-(D682+273)^4)/(X682-D682))*D682)+T682/H682)/($B$14*(I682+IF(ABS(X682-D682)&lt;0.000000001,4*$B$19*$B$20*(D682+273)^3,$B$19*$B$20*((X682+273)^4-(D682+273)^4)/(X682-D682)))+1/H682)</f>
        <v/>
      </c>
      <c r="Z682">
        <f>IF(ABS(Y682-D682)&lt;0.000000001,4*$B$19*$B$20*(D682+273)^3,$B$19*$B$20*((Y682+273)^4-(D682+273)^4)/(Y682-D682))</f>
        <v/>
      </c>
      <c r="AA682">
        <f>$B$14*I682*(Y682-C682)</f>
        <v/>
      </c>
      <c r="AB682">
        <f>$B$14*Z682*(Y682-D682)</f>
        <v/>
      </c>
      <c r="AC682">
        <f>IF((U682-E682)/G682=0,0.001,(U682-E682)/G682)</f>
        <v/>
      </c>
      <c r="AD682">
        <f>F682-P682-J682-K682-AA682-AB682</f>
        <v/>
      </c>
      <c r="AE682">
        <f>AD682/AC682</f>
        <v/>
      </c>
      <c r="AF682">
        <f>IF(AD682&lt;=0,0,IF(AC682&lt;=0,$B$11,IF(AE682&gt;=1.7,$B$11,MIN(AD682/MAX(0.05,IF(AE682&gt;1,(2-AE682)^2/2,1-AE682^2/2)),$B$11))))</f>
        <v/>
      </c>
      <c r="AG682">
        <f>AG681*$B$28+AF682*(1-$B$28)</f>
        <v/>
      </c>
      <c r="AH682">
        <f>IF(AND(AD682&gt;0,AC682&lt;=0),0,AC682)</f>
        <v/>
      </c>
      <c r="AI682">
        <f>AH682/MAX(AG682,0.000001)</f>
        <v/>
      </c>
      <c r="AJ682">
        <f>MIN(IF(AI682&gt;=0.5,-AI682+SQRT(AI682^2+2),1),$B$12)</f>
        <v/>
      </c>
      <c r="AK682">
        <f>IF(AG682&lt;=0,0,AJ682*AH682)</f>
        <v/>
      </c>
      <c r="AL682">
        <f>IF(AD682&lt;=0,0,AD682)</f>
        <v/>
      </c>
      <c r="AM682">
        <f>AL682-AK682+P682</f>
        <v/>
      </c>
      <c r="AN682">
        <f>((AM682/$B$7+T681*AS681/2-T682*MAX(0.1,MIN(0.3,0.3-0.09*(AR681-36.8)))/2)+AR681*(1-AS681/2))/(1-MAX(0.1,MIN(0.3,0.3-0.09*(AR681-36.8)))/2)</f>
        <v/>
      </c>
      <c r="AO682">
        <f>((AM682/$B$7+T681*AS681/2-T682*MAX(0.1,MIN(0.3,0.3-0.09*(AN682-36.8)))/2)+AR681*(1-AS681/2))/(1-MAX(0.1,MIN(0.3,0.3-0.09*(AN682-36.8)))/2)</f>
        <v/>
      </c>
      <c r="AP682">
        <f>((AM682/$B$7+T681*AS681/2-T682*MAX(0.1,MIN(0.3,0.3-0.09*(AO682-36.8)))/2)+AR681*(1-AS681/2))/(1-MAX(0.1,MIN(0.3,0.3-0.09*(AO682-36.8)))/2)</f>
        <v/>
      </c>
      <c r="AQ682">
        <f>((AM682/$B$7+T681*AS681/2-T682*MAX(0.1,MIN(0.3,0.3-0.09*(AP682-36.8)))/2)+AR681*(1-AS681/2))/(1-MAX(0.1,MIN(0.3,0.3-0.09*(AP682-36.8)))/2)</f>
        <v/>
      </c>
      <c r="AR682">
        <f>((AM682/$B$7+T681*AS681/2-T682*MAX(0.1,MIN(0.3,0.3-0.09*(AQ682-36.8)))/2)+AR681*(1-AS681/2))/(1-MAX(0.1,MIN(0.3,0.3-0.09*(AQ682-36.8)))/2)</f>
        <v/>
      </c>
      <c r="AS682">
        <f>MAX(0.1,MIN(0.3,0.3-0.09*(AR682-36.8)))</f>
        <v/>
      </c>
      <c r="AT682">
        <f>AT681+(2*AR682-1.962*AT681-1.31)/9</f>
        <v/>
      </c>
      <c r="AU682">
        <f>AU681+AG682+K682</f>
        <v/>
      </c>
      <c r="AV682">
        <f>AU682*2.67*$B$6/1.8/60</f>
        <v/>
      </c>
      <c r="AW682">
        <f>IF(AT682&gt;=$B$36,1,0)</f>
        <v/>
      </c>
      <c r="AX682">
        <f>IF(AV682&gt;=$B$21,1,0)</f>
        <v/>
      </c>
    </row>
    <row r="683">
      <c r="A683" t="n">
        <v>610</v>
      </c>
      <c r="B683">
        <f>MATCH(A683-1,$D$61:$D$68,1)</f>
        <v/>
      </c>
      <c r="C683">
        <f>INDEX($G$61:$G$68,B683)</f>
        <v/>
      </c>
      <c r="D683">
        <f>INDEX($L$61:$L$68,B683)</f>
        <v/>
      </c>
      <c r="E683">
        <f>INDEX($M$61:$M$68,B683)</f>
        <v/>
      </c>
      <c r="F683">
        <f>INDEX($N$61:$N$68,B683)</f>
        <v/>
      </c>
      <c r="G683">
        <f>INDEX($AA$61:$AA$68,B683)</f>
        <v/>
      </c>
      <c r="H683">
        <f>INDEX($X$61:$X$68,B683)</f>
        <v/>
      </c>
      <c r="I683">
        <f>INDEX($AF$61:$AF$68,B683)</f>
        <v/>
      </c>
      <c r="J683">
        <f>INDEX($AC$61:$AC$68,B683)</f>
        <v/>
      </c>
      <c r="K683">
        <f>INDEX($AD$61:$AD$68,B683)</f>
        <v/>
      </c>
      <c r="L683">
        <f>INDEX($AG$61:$AG$68,B683)</f>
        <v/>
      </c>
      <c r="M683">
        <f>INDEX($AH$61:$AH$68,B683)</f>
        <v/>
      </c>
      <c r="N683">
        <f>INDEX($AI$61:$AI$68,B683)</f>
        <v/>
      </c>
      <c r="O683">
        <f>O682*$B$26+L683*(1-$B$26)</f>
        <v/>
      </c>
      <c r="P683">
        <f>$B$7*(O683-O682)*(1-AS682)</f>
        <v/>
      </c>
      <c r="Q683">
        <f>M683+0.51274*AT682</f>
        <v/>
      </c>
      <c r="R683">
        <f>N683+0.616*AT682</f>
        <v/>
      </c>
      <c r="S683">
        <f>IF($B$13&gt;=0.6,Q683,IF($B$13&lt;=0.2,R683,R683+2.5*(Q683-R683)*($B$13-0.2)))</f>
        <v/>
      </c>
      <c r="T683">
        <f>IF(A683=1,S683,T682*$B$27+S683*(1-$B$27))</f>
        <v/>
      </c>
      <c r="U683">
        <f>0.6105*EXP(17.27*T683/(T683+237.3))</f>
        <v/>
      </c>
      <c r="V683">
        <f>($B$14*(I683*C683+IF(ABS((D683+0.1)-D683)&lt;0.000000001,4*$B$19*$B$20*(D683+273)^3,$B$19*$B$20*(((D683+0.1)+273)^4-(D683+273)^4)/((D683+0.1)-D683))*D683)+T683/H683)/($B$14*(I683+IF(ABS((D683+0.1)-D683)&lt;0.000000001,4*$B$19*$B$20*(D683+273)^3,$B$19*$B$20*(((D683+0.1)+273)^4-(D683+273)^4)/((D683+0.1)-D683)))+1/H683)</f>
        <v/>
      </c>
      <c r="W683">
        <f>($B$14*(I683*C683+IF(ABS(V683-D683)&lt;0.000000001,4*$B$19*$B$20*(D683+273)^3,$B$19*$B$20*((V683+273)^4-(D683+273)^4)/(V683-D683))*D683)+T683/H683)/($B$14*(I683+IF(ABS(V683-D683)&lt;0.000000001,4*$B$19*$B$20*(D683+273)^3,$B$19*$B$20*((V683+273)^4-(D683+273)^4)/(V683-D683)))+1/H683)</f>
        <v/>
      </c>
      <c r="X683">
        <f>($B$14*(I683*C683+IF(ABS(W683-D683)&lt;0.000000001,4*$B$19*$B$20*(D683+273)^3,$B$19*$B$20*((W683+273)^4-(D683+273)^4)/(W683-D683))*D683)+T683/H683)/($B$14*(I683+IF(ABS(W683-D683)&lt;0.000000001,4*$B$19*$B$20*(D683+273)^3,$B$19*$B$20*((W683+273)^4-(D683+273)^4)/(W683-D683)))+1/H683)</f>
        <v/>
      </c>
      <c r="Y683">
        <f>($B$14*(I683*C683+IF(ABS(X683-D683)&lt;0.000000001,4*$B$19*$B$20*(D683+273)^3,$B$19*$B$20*((X683+273)^4-(D683+273)^4)/(X683-D683))*D683)+T683/H683)/($B$14*(I683+IF(ABS(X683-D683)&lt;0.000000001,4*$B$19*$B$20*(D683+273)^3,$B$19*$B$20*((X683+273)^4-(D683+273)^4)/(X683-D683)))+1/H683)</f>
        <v/>
      </c>
      <c r="Z683">
        <f>IF(ABS(Y683-D683)&lt;0.000000001,4*$B$19*$B$20*(D683+273)^3,$B$19*$B$20*((Y683+273)^4-(D683+273)^4)/(Y683-D683))</f>
        <v/>
      </c>
      <c r="AA683">
        <f>$B$14*I683*(Y683-C683)</f>
        <v/>
      </c>
      <c r="AB683">
        <f>$B$14*Z683*(Y683-D683)</f>
        <v/>
      </c>
      <c r="AC683">
        <f>IF((U683-E683)/G683=0,0.001,(U683-E683)/G683)</f>
        <v/>
      </c>
      <c r="AD683">
        <f>F683-P683-J683-K683-AA683-AB683</f>
        <v/>
      </c>
      <c r="AE683">
        <f>AD683/AC683</f>
        <v/>
      </c>
      <c r="AF683">
        <f>IF(AD683&lt;=0,0,IF(AC683&lt;=0,$B$11,IF(AE683&gt;=1.7,$B$11,MIN(AD683/MAX(0.05,IF(AE683&gt;1,(2-AE683)^2/2,1-AE683^2/2)),$B$11))))</f>
        <v/>
      </c>
      <c r="AG683">
        <f>AG682*$B$28+AF683*(1-$B$28)</f>
        <v/>
      </c>
      <c r="AH683">
        <f>IF(AND(AD683&gt;0,AC683&lt;=0),0,AC683)</f>
        <v/>
      </c>
      <c r="AI683">
        <f>AH683/MAX(AG683,0.000001)</f>
        <v/>
      </c>
      <c r="AJ683">
        <f>MIN(IF(AI683&gt;=0.5,-AI683+SQRT(AI683^2+2),1),$B$12)</f>
        <v/>
      </c>
      <c r="AK683">
        <f>IF(AG683&lt;=0,0,AJ683*AH683)</f>
        <v/>
      </c>
      <c r="AL683">
        <f>IF(AD683&lt;=0,0,AD683)</f>
        <v/>
      </c>
      <c r="AM683">
        <f>AL683-AK683+P683</f>
        <v/>
      </c>
      <c r="AN683">
        <f>((AM683/$B$7+T682*AS682/2-T683*MAX(0.1,MIN(0.3,0.3-0.09*(AR682-36.8)))/2)+AR682*(1-AS682/2))/(1-MAX(0.1,MIN(0.3,0.3-0.09*(AR682-36.8)))/2)</f>
        <v/>
      </c>
      <c r="AO683">
        <f>((AM683/$B$7+T682*AS682/2-T683*MAX(0.1,MIN(0.3,0.3-0.09*(AN683-36.8)))/2)+AR682*(1-AS682/2))/(1-MAX(0.1,MIN(0.3,0.3-0.09*(AN683-36.8)))/2)</f>
        <v/>
      </c>
      <c r="AP683">
        <f>((AM683/$B$7+T682*AS682/2-T683*MAX(0.1,MIN(0.3,0.3-0.09*(AO683-36.8)))/2)+AR682*(1-AS682/2))/(1-MAX(0.1,MIN(0.3,0.3-0.09*(AO683-36.8)))/2)</f>
        <v/>
      </c>
      <c r="AQ683">
        <f>((AM683/$B$7+T682*AS682/2-T683*MAX(0.1,MIN(0.3,0.3-0.09*(AP683-36.8)))/2)+AR682*(1-AS682/2))/(1-MAX(0.1,MIN(0.3,0.3-0.09*(AP683-36.8)))/2)</f>
        <v/>
      </c>
      <c r="AR683">
        <f>((AM683/$B$7+T682*AS682/2-T683*MAX(0.1,MIN(0.3,0.3-0.09*(AQ683-36.8)))/2)+AR682*(1-AS682/2))/(1-MAX(0.1,MIN(0.3,0.3-0.09*(AQ683-36.8)))/2)</f>
        <v/>
      </c>
      <c r="AS683">
        <f>MAX(0.1,MIN(0.3,0.3-0.09*(AR683-36.8)))</f>
        <v/>
      </c>
      <c r="AT683">
        <f>AT682+(2*AR683-1.962*AT682-1.31)/9</f>
        <v/>
      </c>
      <c r="AU683">
        <f>AU682+AG683+K683</f>
        <v/>
      </c>
      <c r="AV683">
        <f>AU683*2.67*$B$6/1.8/60</f>
        <v/>
      </c>
      <c r="AW683">
        <f>IF(AT683&gt;=$B$36,1,0)</f>
        <v/>
      </c>
      <c r="AX683">
        <f>IF(AV683&gt;=$B$21,1,0)</f>
        <v/>
      </c>
    </row>
    <row r="684">
      <c r="A684" t="n">
        <v>611</v>
      </c>
      <c r="B684">
        <f>MATCH(A684-1,$D$61:$D$68,1)</f>
        <v/>
      </c>
      <c r="C684">
        <f>INDEX($G$61:$G$68,B684)</f>
        <v/>
      </c>
      <c r="D684">
        <f>INDEX($L$61:$L$68,B684)</f>
        <v/>
      </c>
      <c r="E684">
        <f>INDEX($M$61:$M$68,B684)</f>
        <v/>
      </c>
      <c r="F684">
        <f>INDEX($N$61:$N$68,B684)</f>
        <v/>
      </c>
      <c r="G684">
        <f>INDEX($AA$61:$AA$68,B684)</f>
        <v/>
      </c>
      <c r="H684">
        <f>INDEX($X$61:$X$68,B684)</f>
        <v/>
      </c>
      <c r="I684">
        <f>INDEX($AF$61:$AF$68,B684)</f>
        <v/>
      </c>
      <c r="J684">
        <f>INDEX($AC$61:$AC$68,B684)</f>
        <v/>
      </c>
      <c r="K684">
        <f>INDEX($AD$61:$AD$68,B684)</f>
        <v/>
      </c>
      <c r="L684">
        <f>INDEX($AG$61:$AG$68,B684)</f>
        <v/>
      </c>
      <c r="M684">
        <f>INDEX($AH$61:$AH$68,B684)</f>
        <v/>
      </c>
      <c r="N684">
        <f>INDEX($AI$61:$AI$68,B684)</f>
        <v/>
      </c>
      <c r="O684">
        <f>O683*$B$26+L684*(1-$B$26)</f>
        <v/>
      </c>
      <c r="P684">
        <f>$B$7*(O684-O683)*(1-AS683)</f>
        <v/>
      </c>
      <c r="Q684">
        <f>M684+0.51274*AT683</f>
        <v/>
      </c>
      <c r="R684">
        <f>N684+0.616*AT683</f>
        <v/>
      </c>
      <c r="S684">
        <f>IF($B$13&gt;=0.6,Q684,IF($B$13&lt;=0.2,R684,R684+2.5*(Q684-R684)*($B$13-0.2)))</f>
        <v/>
      </c>
      <c r="T684">
        <f>IF(A684=1,S684,T683*$B$27+S684*(1-$B$27))</f>
        <v/>
      </c>
      <c r="U684">
        <f>0.6105*EXP(17.27*T684/(T684+237.3))</f>
        <v/>
      </c>
      <c r="V684">
        <f>($B$14*(I684*C684+IF(ABS((D684+0.1)-D684)&lt;0.000000001,4*$B$19*$B$20*(D684+273)^3,$B$19*$B$20*(((D684+0.1)+273)^4-(D684+273)^4)/((D684+0.1)-D684))*D684)+T684/H684)/($B$14*(I684+IF(ABS((D684+0.1)-D684)&lt;0.000000001,4*$B$19*$B$20*(D684+273)^3,$B$19*$B$20*(((D684+0.1)+273)^4-(D684+273)^4)/((D684+0.1)-D684)))+1/H684)</f>
        <v/>
      </c>
      <c r="W684">
        <f>($B$14*(I684*C684+IF(ABS(V684-D684)&lt;0.000000001,4*$B$19*$B$20*(D684+273)^3,$B$19*$B$20*((V684+273)^4-(D684+273)^4)/(V684-D684))*D684)+T684/H684)/($B$14*(I684+IF(ABS(V684-D684)&lt;0.000000001,4*$B$19*$B$20*(D684+273)^3,$B$19*$B$20*((V684+273)^4-(D684+273)^4)/(V684-D684)))+1/H684)</f>
        <v/>
      </c>
      <c r="X684">
        <f>($B$14*(I684*C684+IF(ABS(W684-D684)&lt;0.000000001,4*$B$19*$B$20*(D684+273)^3,$B$19*$B$20*((W684+273)^4-(D684+273)^4)/(W684-D684))*D684)+T684/H684)/($B$14*(I684+IF(ABS(W684-D684)&lt;0.000000001,4*$B$19*$B$20*(D684+273)^3,$B$19*$B$20*((W684+273)^4-(D684+273)^4)/(W684-D684)))+1/H684)</f>
        <v/>
      </c>
      <c r="Y684">
        <f>($B$14*(I684*C684+IF(ABS(X684-D684)&lt;0.000000001,4*$B$19*$B$20*(D684+273)^3,$B$19*$B$20*((X684+273)^4-(D684+273)^4)/(X684-D684))*D684)+T684/H684)/($B$14*(I684+IF(ABS(X684-D684)&lt;0.000000001,4*$B$19*$B$20*(D684+273)^3,$B$19*$B$20*((X684+273)^4-(D684+273)^4)/(X684-D684)))+1/H684)</f>
        <v/>
      </c>
      <c r="Z684">
        <f>IF(ABS(Y684-D684)&lt;0.000000001,4*$B$19*$B$20*(D684+273)^3,$B$19*$B$20*((Y684+273)^4-(D684+273)^4)/(Y684-D684))</f>
        <v/>
      </c>
      <c r="AA684">
        <f>$B$14*I684*(Y684-C684)</f>
        <v/>
      </c>
      <c r="AB684">
        <f>$B$14*Z684*(Y684-D684)</f>
        <v/>
      </c>
      <c r="AC684">
        <f>IF((U684-E684)/G684=0,0.001,(U684-E684)/G684)</f>
        <v/>
      </c>
      <c r="AD684">
        <f>F684-P684-J684-K684-AA684-AB684</f>
        <v/>
      </c>
      <c r="AE684">
        <f>AD684/AC684</f>
        <v/>
      </c>
      <c r="AF684">
        <f>IF(AD684&lt;=0,0,IF(AC684&lt;=0,$B$11,IF(AE684&gt;=1.7,$B$11,MIN(AD684/MAX(0.05,IF(AE684&gt;1,(2-AE684)^2/2,1-AE684^2/2)),$B$11))))</f>
        <v/>
      </c>
      <c r="AG684">
        <f>AG683*$B$28+AF684*(1-$B$28)</f>
        <v/>
      </c>
      <c r="AH684">
        <f>IF(AND(AD684&gt;0,AC684&lt;=0),0,AC684)</f>
        <v/>
      </c>
      <c r="AI684">
        <f>AH684/MAX(AG684,0.000001)</f>
        <v/>
      </c>
      <c r="AJ684">
        <f>MIN(IF(AI684&gt;=0.5,-AI684+SQRT(AI684^2+2),1),$B$12)</f>
        <v/>
      </c>
      <c r="AK684">
        <f>IF(AG684&lt;=0,0,AJ684*AH684)</f>
        <v/>
      </c>
      <c r="AL684">
        <f>IF(AD684&lt;=0,0,AD684)</f>
        <v/>
      </c>
      <c r="AM684">
        <f>AL684-AK684+P684</f>
        <v/>
      </c>
      <c r="AN684">
        <f>((AM684/$B$7+T683*AS683/2-T684*MAX(0.1,MIN(0.3,0.3-0.09*(AR683-36.8)))/2)+AR683*(1-AS683/2))/(1-MAX(0.1,MIN(0.3,0.3-0.09*(AR683-36.8)))/2)</f>
        <v/>
      </c>
      <c r="AO684">
        <f>((AM684/$B$7+T683*AS683/2-T684*MAX(0.1,MIN(0.3,0.3-0.09*(AN684-36.8)))/2)+AR683*(1-AS683/2))/(1-MAX(0.1,MIN(0.3,0.3-0.09*(AN684-36.8)))/2)</f>
        <v/>
      </c>
      <c r="AP684">
        <f>((AM684/$B$7+T683*AS683/2-T684*MAX(0.1,MIN(0.3,0.3-0.09*(AO684-36.8)))/2)+AR683*(1-AS683/2))/(1-MAX(0.1,MIN(0.3,0.3-0.09*(AO684-36.8)))/2)</f>
        <v/>
      </c>
      <c r="AQ684">
        <f>((AM684/$B$7+T683*AS683/2-T684*MAX(0.1,MIN(0.3,0.3-0.09*(AP684-36.8)))/2)+AR683*(1-AS683/2))/(1-MAX(0.1,MIN(0.3,0.3-0.09*(AP684-36.8)))/2)</f>
        <v/>
      </c>
      <c r="AR684">
        <f>((AM684/$B$7+T683*AS683/2-T684*MAX(0.1,MIN(0.3,0.3-0.09*(AQ684-36.8)))/2)+AR683*(1-AS683/2))/(1-MAX(0.1,MIN(0.3,0.3-0.09*(AQ684-36.8)))/2)</f>
        <v/>
      </c>
      <c r="AS684">
        <f>MAX(0.1,MIN(0.3,0.3-0.09*(AR684-36.8)))</f>
        <v/>
      </c>
      <c r="AT684">
        <f>AT683+(2*AR684-1.962*AT683-1.31)/9</f>
        <v/>
      </c>
      <c r="AU684">
        <f>AU683+AG684+K684</f>
        <v/>
      </c>
      <c r="AV684">
        <f>AU684*2.67*$B$6/1.8/60</f>
        <v/>
      </c>
      <c r="AW684">
        <f>IF(AT684&gt;=$B$36,1,0)</f>
        <v/>
      </c>
      <c r="AX684">
        <f>IF(AV684&gt;=$B$21,1,0)</f>
        <v/>
      </c>
    </row>
    <row r="685">
      <c r="A685" t="n">
        <v>612</v>
      </c>
      <c r="B685">
        <f>MATCH(A685-1,$D$61:$D$68,1)</f>
        <v/>
      </c>
      <c r="C685">
        <f>INDEX($G$61:$G$68,B685)</f>
        <v/>
      </c>
      <c r="D685">
        <f>INDEX($L$61:$L$68,B685)</f>
        <v/>
      </c>
      <c r="E685">
        <f>INDEX($M$61:$M$68,B685)</f>
        <v/>
      </c>
      <c r="F685">
        <f>INDEX($N$61:$N$68,B685)</f>
        <v/>
      </c>
      <c r="G685">
        <f>INDEX($AA$61:$AA$68,B685)</f>
        <v/>
      </c>
      <c r="H685">
        <f>INDEX($X$61:$X$68,B685)</f>
        <v/>
      </c>
      <c r="I685">
        <f>INDEX($AF$61:$AF$68,B685)</f>
        <v/>
      </c>
      <c r="J685">
        <f>INDEX($AC$61:$AC$68,B685)</f>
        <v/>
      </c>
      <c r="K685">
        <f>INDEX($AD$61:$AD$68,B685)</f>
        <v/>
      </c>
      <c r="L685">
        <f>INDEX($AG$61:$AG$68,B685)</f>
        <v/>
      </c>
      <c r="M685">
        <f>INDEX($AH$61:$AH$68,B685)</f>
        <v/>
      </c>
      <c r="N685">
        <f>INDEX($AI$61:$AI$68,B685)</f>
        <v/>
      </c>
      <c r="O685">
        <f>O684*$B$26+L685*(1-$B$26)</f>
        <v/>
      </c>
      <c r="P685">
        <f>$B$7*(O685-O684)*(1-AS684)</f>
        <v/>
      </c>
      <c r="Q685">
        <f>M685+0.51274*AT684</f>
        <v/>
      </c>
      <c r="R685">
        <f>N685+0.616*AT684</f>
        <v/>
      </c>
      <c r="S685">
        <f>IF($B$13&gt;=0.6,Q685,IF($B$13&lt;=0.2,R685,R685+2.5*(Q685-R685)*($B$13-0.2)))</f>
        <v/>
      </c>
      <c r="T685">
        <f>IF(A685=1,S685,T684*$B$27+S685*(1-$B$27))</f>
        <v/>
      </c>
      <c r="U685">
        <f>0.6105*EXP(17.27*T685/(T685+237.3))</f>
        <v/>
      </c>
      <c r="V685">
        <f>($B$14*(I685*C685+IF(ABS((D685+0.1)-D685)&lt;0.000000001,4*$B$19*$B$20*(D685+273)^3,$B$19*$B$20*(((D685+0.1)+273)^4-(D685+273)^4)/((D685+0.1)-D685))*D685)+T685/H685)/($B$14*(I685+IF(ABS((D685+0.1)-D685)&lt;0.000000001,4*$B$19*$B$20*(D685+273)^3,$B$19*$B$20*(((D685+0.1)+273)^4-(D685+273)^4)/((D685+0.1)-D685)))+1/H685)</f>
        <v/>
      </c>
      <c r="W685">
        <f>($B$14*(I685*C685+IF(ABS(V685-D685)&lt;0.000000001,4*$B$19*$B$20*(D685+273)^3,$B$19*$B$20*((V685+273)^4-(D685+273)^4)/(V685-D685))*D685)+T685/H685)/($B$14*(I685+IF(ABS(V685-D685)&lt;0.000000001,4*$B$19*$B$20*(D685+273)^3,$B$19*$B$20*((V685+273)^4-(D685+273)^4)/(V685-D685)))+1/H685)</f>
        <v/>
      </c>
      <c r="X685">
        <f>($B$14*(I685*C685+IF(ABS(W685-D685)&lt;0.000000001,4*$B$19*$B$20*(D685+273)^3,$B$19*$B$20*((W685+273)^4-(D685+273)^4)/(W685-D685))*D685)+T685/H685)/($B$14*(I685+IF(ABS(W685-D685)&lt;0.000000001,4*$B$19*$B$20*(D685+273)^3,$B$19*$B$20*((W685+273)^4-(D685+273)^4)/(W685-D685)))+1/H685)</f>
        <v/>
      </c>
      <c r="Y685">
        <f>($B$14*(I685*C685+IF(ABS(X685-D685)&lt;0.000000001,4*$B$19*$B$20*(D685+273)^3,$B$19*$B$20*((X685+273)^4-(D685+273)^4)/(X685-D685))*D685)+T685/H685)/($B$14*(I685+IF(ABS(X685-D685)&lt;0.000000001,4*$B$19*$B$20*(D685+273)^3,$B$19*$B$20*((X685+273)^4-(D685+273)^4)/(X685-D685)))+1/H685)</f>
        <v/>
      </c>
      <c r="Z685">
        <f>IF(ABS(Y685-D685)&lt;0.000000001,4*$B$19*$B$20*(D685+273)^3,$B$19*$B$20*((Y685+273)^4-(D685+273)^4)/(Y685-D685))</f>
        <v/>
      </c>
      <c r="AA685">
        <f>$B$14*I685*(Y685-C685)</f>
        <v/>
      </c>
      <c r="AB685">
        <f>$B$14*Z685*(Y685-D685)</f>
        <v/>
      </c>
      <c r="AC685">
        <f>IF((U685-E685)/G685=0,0.001,(U685-E685)/G685)</f>
        <v/>
      </c>
      <c r="AD685">
        <f>F685-P685-J685-K685-AA685-AB685</f>
        <v/>
      </c>
      <c r="AE685">
        <f>AD685/AC685</f>
        <v/>
      </c>
      <c r="AF685">
        <f>IF(AD685&lt;=0,0,IF(AC685&lt;=0,$B$11,IF(AE685&gt;=1.7,$B$11,MIN(AD685/MAX(0.05,IF(AE685&gt;1,(2-AE685)^2/2,1-AE685^2/2)),$B$11))))</f>
        <v/>
      </c>
      <c r="AG685">
        <f>AG684*$B$28+AF685*(1-$B$28)</f>
        <v/>
      </c>
      <c r="AH685">
        <f>IF(AND(AD685&gt;0,AC685&lt;=0),0,AC685)</f>
        <v/>
      </c>
      <c r="AI685">
        <f>AH685/MAX(AG685,0.000001)</f>
        <v/>
      </c>
      <c r="AJ685">
        <f>MIN(IF(AI685&gt;=0.5,-AI685+SQRT(AI685^2+2),1),$B$12)</f>
        <v/>
      </c>
      <c r="AK685">
        <f>IF(AG685&lt;=0,0,AJ685*AH685)</f>
        <v/>
      </c>
      <c r="AL685">
        <f>IF(AD685&lt;=0,0,AD685)</f>
        <v/>
      </c>
      <c r="AM685">
        <f>AL685-AK685+P685</f>
        <v/>
      </c>
      <c r="AN685">
        <f>((AM685/$B$7+T684*AS684/2-T685*MAX(0.1,MIN(0.3,0.3-0.09*(AR684-36.8)))/2)+AR684*(1-AS684/2))/(1-MAX(0.1,MIN(0.3,0.3-0.09*(AR684-36.8)))/2)</f>
        <v/>
      </c>
      <c r="AO685">
        <f>((AM685/$B$7+T684*AS684/2-T685*MAX(0.1,MIN(0.3,0.3-0.09*(AN685-36.8)))/2)+AR684*(1-AS684/2))/(1-MAX(0.1,MIN(0.3,0.3-0.09*(AN685-36.8)))/2)</f>
        <v/>
      </c>
      <c r="AP685">
        <f>((AM685/$B$7+T684*AS684/2-T685*MAX(0.1,MIN(0.3,0.3-0.09*(AO685-36.8)))/2)+AR684*(1-AS684/2))/(1-MAX(0.1,MIN(0.3,0.3-0.09*(AO685-36.8)))/2)</f>
        <v/>
      </c>
      <c r="AQ685">
        <f>((AM685/$B$7+T684*AS684/2-T685*MAX(0.1,MIN(0.3,0.3-0.09*(AP685-36.8)))/2)+AR684*(1-AS684/2))/(1-MAX(0.1,MIN(0.3,0.3-0.09*(AP685-36.8)))/2)</f>
        <v/>
      </c>
      <c r="AR685">
        <f>((AM685/$B$7+T684*AS684/2-T685*MAX(0.1,MIN(0.3,0.3-0.09*(AQ685-36.8)))/2)+AR684*(1-AS684/2))/(1-MAX(0.1,MIN(0.3,0.3-0.09*(AQ685-36.8)))/2)</f>
        <v/>
      </c>
      <c r="AS685">
        <f>MAX(0.1,MIN(0.3,0.3-0.09*(AR685-36.8)))</f>
        <v/>
      </c>
      <c r="AT685">
        <f>AT684+(2*AR685-1.962*AT684-1.31)/9</f>
        <v/>
      </c>
      <c r="AU685">
        <f>AU684+AG685+K685</f>
        <v/>
      </c>
      <c r="AV685">
        <f>AU685*2.67*$B$6/1.8/60</f>
        <v/>
      </c>
      <c r="AW685">
        <f>IF(AT685&gt;=$B$36,1,0)</f>
        <v/>
      </c>
      <c r="AX685">
        <f>IF(AV685&gt;=$B$21,1,0)</f>
        <v/>
      </c>
    </row>
    <row r="686">
      <c r="A686" t="n">
        <v>613</v>
      </c>
      <c r="B686">
        <f>MATCH(A686-1,$D$61:$D$68,1)</f>
        <v/>
      </c>
      <c r="C686">
        <f>INDEX($G$61:$G$68,B686)</f>
        <v/>
      </c>
      <c r="D686">
        <f>INDEX($L$61:$L$68,B686)</f>
        <v/>
      </c>
      <c r="E686">
        <f>INDEX($M$61:$M$68,B686)</f>
        <v/>
      </c>
      <c r="F686">
        <f>INDEX($N$61:$N$68,B686)</f>
        <v/>
      </c>
      <c r="G686">
        <f>INDEX($AA$61:$AA$68,B686)</f>
        <v/>
      </c>
      <c r="H686">
        <f>INDEX($X$61:$X$68,B686)</f>
        <v/>
      </c>
      <c r="I686">
        <f>INDEX($AF$61:$AF$68,B686)</f>
        <v/>
      </c>
      <c r="J686">
        <f>INDEX($AC$61:$AC$68,B686)</f>
        <v/>
      </c>
      <c r="K686">
        <f>INDEX($AD$61:$AD$68,B686)</f>
        <v/>
      </c>
      <c r="L686">
        <f>INDEX($AG$61:$AG$68,B686)</f>
        <v/>
      </c>
      <c r="M686">
        <f>INDEX($AH$61:$AH$68,B686)</f>
        <v/>
      </c>
      <c r="N686">
        <f>INDEX($AI$61:$AI$68,B686)</f>
        <v/>
      </c>
      <c r="O686">
        <f>O685*$B$26+L686*(1-$B$26)</f>
        <v/>
      </c>
      <c r="P686">
        <f>$B$7*(O686-O685)*(1-AS685)</f>
        <v/>
      </c>
      <c r="Q686">
        <f>M686+0.51274*AT685</f>
        <v/>
      </c>
      <c r="R686">
        <f>N686+0.616*AT685</f>
        <v/>
      </c>
      <c r="S686">
        <f>IF($B$13&gt;=0.6,Q686,IF($B$13&lt;=0.2,R686,R686+2.5*(Q686-R686)*($B$13-0.2)))</f>
        <v/>
      </c>
      <c r="T686">
        <f>IF(A686=1,S686,T685*$B$27+S686*(1-$B$27))</f>
        <v/>
      </c>
      <c r="U686">
        <f>0.6105*EXP(17.27*T686/(T686+237.3))</f>
        <v/>
      </c>
      <c r="V686">
        <f>($B$14*(I686*C686+IF(ABS((D686+0.1)-D686)&lt;0.000000001,4*$B$19*$B$20*(D686+273)^3,$B$19*$B$20*(((D686+0.1)+273)^4-(D686+273)^4)/((D686+0.1)-D686))*D686)+T686/H686)/($B$14*(I686+IF(ABS((D686+0.1)-D686)&lt;0.000000001,4*$B$19*$B$20*(D686+273)^3,$B$19*$B$20*(((D686+0.1)+273)^4-(D686+273)^4)/((D686+0.1)-D686)))+1/H686)</f>
        <v/>
      </c>
      <c r="W686">
        <f>($B$14*(I686*C686+IF(ABS(V686-D686)&lt;0.000000001,4*$B$19*$B$20*(D686+273)^3,$B$19*$B$20*((V686+273)^4-(D686+273)^4)/(V686-D686))*D686)+T686/H686)/($B$14*(I686+IF(ABS(V686-D686)&lt;0.000000001,4*$B$19*$B$20*(D686+273)^3,$B$19*$B$20*((V686+273)^4-(D686+273)^4)/(V686-D686)))+1/H686)</f>
        <v/>
      </c>
      <c r="X686">
        <f>($B$14*(I686*C686+IF(ABS(W686-D686)&lt;0.000000001,4*$B$19*$B$20*(D686+273)^3,$B$19*$B$20*((W686+273)^4-(D686+273)^4)/(W686-D686))*D686)+T686/H686)/($B$14*(I686+IF(ABS(W686-D686)&lt;0.000000001,4*$B$19*$B$20*(D686+273)^3,$B$19*$B$20*((W686+273)^4-(D686+273)^4)/(W686-D686)))+1/H686)</f>
        <v/>
      </c>
      <c r="Y686">
        <f>($B$14*(I686*C686+IF(ABS(X686-D686)&lt;0.000000001,4*$B$19*$B$20*(D686+273)^3,$B$19*$B$20*((X686+273)^4-(D686+273)^4)/(X686-D686))*D686)+T686/H686)/($B$14*(I686+IF(ABS(X686-D686)&lt;0.000000001,4*$B$19*$B$20*(D686+273)^3,$B$19*$B$20*((X686+273)^4-(D686+273)^4)/(X686-D686)))+1/H686)</f>
        <v/>
      </c>
      <c r="Z686">
        <f>IF(ABS(Y686-D686)&lt;0.000000001,4*$B$19*$B$20*(D686+273)^3,$B$19*$B$20*((Y686+273)^4-(D686+273)^4)/(Y686-D686))</f>
        <v/>
      </c>
      <c r="AA686">
        <f>$B$14*I686*(Y686-C686)</f>
        <v/>
      </c>
      <c r="AB686">
        <f>$B$14*Z686*(Y686-D686)</f>
        <v/>
      </c>
      <c r="AC686">
        <f>IF((U686-E686)/G686=0,0.001,(U686-E686)/G686)</f>
        <v/>
      </c>
      <c r="AD686">
        <f>F686-P686-J686-K686-AA686-AB686</f>
        <v/>
      </c>
      <c r="AE686">
        <f>AD686/AC686</f>
        <v/>
      </c>
      <c r="AF686">
        <f>IF(AD686&lt;=0,0,IF(AC686&lt;=0,$B$11,IF(AE686&gt;=1.7,$B$11,MIN(AD686/MAX(0.05,IF(AE686&gt;1,(2-AE686)^2/2,1-AE686^2/2)),$B$11))))</f>
        <v/>
      </c>
      <c r="AG686">
        <f>AG685*$B$28+AF686*(1-$B$28)</f>
        <v/>
      </c>
      <c r="AH686">
        <f>IF(AND(AD686&gt;0,AC686&lt;=0),0,AC686)</f>
        <v/>
      </c>
      <c r="AI686">
        <f>AH686/MAX(AG686,0.000001)</f>
        <v/>
      </c>
      <c r="AJ686">
        <f>MIN(IF(AI686&gt;=0.5,-AI686+SQRT(AI686^2+2),1),$B$12)</f>
        <v/>
      </c>
      <c r="AK686">
        <f>IF(AG686&lt;=0,0,AJ686*AH686)</f>
        <v/>
      </c>
      <c r="AL686">
        <f>IF(AD686&lt;=0,0,AD686)</f>
        <v/>
      </c>
      <c r="AM686">
        <f>AL686-AK686+P686</f>
        <v/>
      </c>
      <c r="AN686">
        <f>((AM686/$B$7+T685*AS685/2-T686*MAX(0.1,MIN(0.3,0.3-0.09*(AR685-36.8)))/2)+AR685*(1-AS685/2))/(1-MAX(0.1,MIN(0.3,0.3-0.09*(AR685-36.8)))/2)</f>
        <v/>
      </c>
      <c r="AO686">
        <f>((AM686/$B$7+T685*AS685/2-T686*MAX(0.1,MIN(0.3,0.3-0.09*(AN686-36.8)))/2)+AR685*(1-AS685/2))/(1-MAX(0.1,MIN(0.3,0.3-0.09*(AN686-36.8)))/2)</f>
        <v/>
      </c>
      <c r="AP686">
        <f>((AM686/$B$7+T685*AS685/2-T686*MAX(0.1,MIN(0.3,0.3-0.09*(AO686-36.8)))/2)+AR685*(1-AS685/2))/(1-MAX(0.1,MIN(0.3,0.3-0.09*(AO686-36.8)))/2)</f>
        <v/>
      </c>
      <c r="AQ686">
        <f>((AM686/$B$7+T685*AS685/2-T686*MAX(0.1,MIN(0.3,0.3-0.09*(AP686-36.8)))/2)+AR685*(1-AS685/2))/(1-MAX(0.1,MIN(0.3,0.3-0.09*(AP686-36.8)))/2)</f>
        <v/>
      </c>
      <c r="AR686">
        <f>((AM686/$B$7+T685*AS685/2-T686*MAX(0.1,MIN(0.3,0.3-0.09*(AQ686-36.8)))/2)+AR685*(1-AS685/2))/(1-MAX(0.1,MIN(0.3,0.3-0.09*(AQ686-36.8)))/2)</f>
        <v/>
      </c>
      <c r="AS686">
        <f>MAX(0.1,MIN(0.3,0.3-0.09*(AR686-36.8)))</f>
        <v/>
      </c>
      <c r="AT686">
        <f>AT685+(2*AR686-1.962*AT685-1.31)/9</f>
        <v/>
      </c>
      <c r="AU686">
        <f>AU685+AG686+K686</f>
        <v/>
      </c>
      <c r="AV686">
        <f>AU686*2.67*$B$6/1.8/60</f>
        <v/>
      </c>
      <c r="AW686">
        <f>IF(AT686&gt;=$B$36,1,0)</f>
        <v/>
      </c>
      <c r="AX686">
        <f>IF(AV686&gt;=$B$21,1,0)</f>
        <v/>
      </c>
    </row>
    <row r="687">
      <c r="A687" t="n">
        <v>614</v>
      </c>
      <c r="B687">
        <f>MATCH(A687-1,$D$61:$D$68,1)</f>
        <v/>
      </c>
      <c r="C687">
        <f>INDEX($G$61:$G$68,B687)</f>
        <v/>
      </c>
      <c r="D687">
        <f>INDEX($L$61:$L$68,B687)</f>
        <v/>
      </c>
      <c r="E687">
        <f>INDEX($M$61:$M$68,B687)</f>
        <v/>
      </c>
      <c r="F687">
        <f>INDEX($N$61:$N$68,B687)</f>
        <v/>
      </c>
      <c r="G687">
        <f>INDEX($AA$61:$AA$68,B687)</f>
        <v/>
      </c>
      <c r="H687">
        <f>INDEX($X$61:$X$68,B687)</f>
        <v/>
      </c>
      <c r="I687">
        <f>INDEX($AF$61:$AF$68,B687)</f>
        <v/>
      </c>
      <c r="J687">
        <f>INDEX($AC$61:$AC$68,B687)</f>
        <v/>
      </c>
      <c r="K687">
        <f>INDEX($AD$61:$AD$68,B687)</f>
        <v/>
      </c>
      <c r="L687">
        <f>INDEX($AG$61:$AG$68,B687)</f>
        <v/>
      </c>
      <c r="M687">
        <f>INDEX($AH$61:$AH$68,B687)</f>
        <v/>
      </c>
      <c r="N687">
        <f>INDEX($AI$61:$AI$68,B687)</f>
        <v/>
      </c>
      <c r="O687">
        <f>O686*$B$26+L687*(1-$B$26)</f>
        <v/>
      </c>
      <c r="P687">
        <f>$B$7*(O687-O686)*(1-AS686)</f>
        <v/>
      </c>
      <c r="Q687">
        <f>M687+0.51274*AT686</f>
        <v/>
      </c>
      <c r="R687">
        <f>N687+0.616*AT686</f>
        <v/>
      </c>
      <c r="S687">
        <f>IF($B$13&gt;=0.6,Q687,IF($B$13&lt;=0.2,R687,R687+2.5*(Q687-R687)*($B$13-0.2)))</f>
        <v/>
      </c>
      <c r="T687">
        <f>IF(A687=1,S687,T686*$B$27+S687*(1-$B$27))</f>
        <v/>
      </c>
      <c r="U687">
        <f>0.6105*EXP(17.27*T687/(T687+237.3))</f>
        <v/>
      </c>
      <c r="V687">
        <f>($B$14*(I687*C687+IF(ABS((D687+0.1)-D687)&lt;0.000000001,4*$B$19*$B$20*(D687+273)^3,$B$19*$B$20*(((D687+0.1)+273)^4-(D687+273)^4)/((D687+0.1)-D687))*D687)+T687/H687)/($B$14*(I687+IF(ABS((D687+0.1)-D687)&lt;0.000000001,4*$B$19*$B$20*(D687+273)^3,$B$19*$B$20*(((D687+0.1)+273)^4-(D687+273)^4)/((D687+0.1)-D687)))+1/H687)</f>
        <v/>
      </c>
      <c r="W687">
        <f>($B$14*(I687*C687+IF(ABS(V687-D687)&lt;0.000000001,4*$B$19*$B$20*(D687+273)^3,$B$19*$B$20*((V687+273)^4-(D687+273)^4)/(V687-D687))*D687)+T687/H687)/($B$14*(I687+IF(ABS(V687-D687)&lt;0.000000001,4*$B$19*$B$20*(D687+273)^3,$B$19*$B$20*((V687+273)^4-(D687+273)^4)/(V687-D687)))+1/H687)</f>
        <v/>
      </c>
      <c r="X687">
        <f>($B$14*(I687*C687+IF(ABS(W687-D687)&lt;0.000000001,4*$B$19*$B$20*(D687+273)^3,$B$19*$B$20*((W687+273)^4-(D687+273)^4)/(W687-D687))*D687)+T687/H687)/($B$14*(I687+IF(ABS(W687-D687)&lt;0.000000001,4*$B$19*$B$20*(D687+273)^3,$B$19*$B$20*((W687+273)^4-(D687+273)^4)/(W687-D687)))+1/H687)</f>
        <v/>
      </c>
      <c r="Y687">
        <f>($B$14*(I687*C687+IF(ABS(X687-D687)&lt;0.000000001,4*$B$19*$B$20*(D687+273)^3,$B$19*$B$20*((X687+273)^4-(D687+273)^4)/(X687-D687))*D687)+T687/H687)/($B$14*(I687+IF(ABS(X687-D687)&lt;0.000000001,4*$B$19*$B$20*(D687+273)^3,$B$19*$B$20*((X687+273)^4-(D687+273)^4)/(X687-D687)))+1/H687)</f>
        <v/>
      </c>
      <c r="Z687">
        <f>IF(ABS(Y687-D687)&lt;0.000000001,4*$B$19*$B$20*(D687+273)^3,$B$19*$B$20*((Y687+273)^4-(D687+273)^4)/(Y687-D687))</f>
        <v/>
      </c>
      <c r="AA687">
        <f>$B$14*I687*(Y687-C687)</f>
        <v/>
      </c>
      <c r="AB687">
        <f>$B$14*Z687*(Y687-D687)</f>
        <v/>
      </c>
      <c r="AC687">
        <f>IF((U687-E687)/G687=0,0.001,(U687-E687)/G687)</f>
        <v/>
      </c>
      <c r="AD687">
        <f>F687-P687-J687-K687-AA687-AB687</f>
        <v/>
      </c>
      <c r="AE687">
        <f>AD687/AC687</f>
        <v/>
      </c>
      <c r="AF687">
        <f>IF(AD687&lt;=0,0,IF(AC687&lt;=0,$B$11,IF(AE687&gt;=1.7,$B$11,MIN(AD687/MAX(0.05,IF(AE687&gt;1,(2-AE687)^2/2,1-AE687^2/2)),$B$11))))</f>
        <v/>
      </c>
      <c r="AG687">
        <f>AG686*$B$28+AF687*(1-$B$28)</f>
        <v/>
      </c>
      <c r="AH687">
        <f>IF(AND(AD687&gt;0,AC687&lt;=0),0,AC687)</f>
        <v/>
      </c>
      <c r="AI687">
        <f>AH687/MAX(AG687,0.000001)</f>
        <v/>
      </c>
      <c r="AJ687">
        <f>MIN(IF(AI687&gt;=0.5,-AI687+SQRT(AI687^2+2),1),$B$12)</f>
        <v/>
      </c>
      <c r="AK687">
        <f>IF(AG687&lt;=0,0,AJ687*AH687)</f>
        <v/>
      </c>
      <c r="AL687">
        <f>IF(AD687&lt;=0,0,AD687)</f>
        <v/>
      </c>
      <c r="AM687">
        <f>AL687-AK687+P687</f>
        <v/>
      </c>
      <c r="AN687">
        <f>((AM687/$B$7+T686*AS686/2-T687*MAX(0.1,MIN(0.3,0.3-0.09*(AR686-36.8)))/2)+AR686*(1-AS686/2))/(1-MAX(0.1,MIN(0.3,0.3-0.09*(AR686-36.8)))/2)</f>
        <v/>
      </c>
      <c r="AO687">
        <f>((AM687/$B$7+T686*AS686/2-T687*MAX(0.1,MIN(0.3,0.3-0.09*(AN687-36.8)))/2)+AR686*(1-AS686/2))/(1-MAX(0.1,MIN(0.3,0.3-0.09*(AN687-36.8)))/2)</f>
        <v/>
      </c>
      <c r="AP687">
        <f>((AM687/$B$7+T686*AS686/2-T687*MAX(0.1,MIN(0.3,0.3-0.09*(AO687-36.8)))/2)+AR686*(1-AS686/2))/(1-MAX(0.1,MIN(0.3,0.3-0.09*(AO687-36.8)))/2)</f>
        <v/>
      </c>
      <c r="AQ687">
        <f>((AM687/$B$7+T686*AS686/2-T687*MAX(0.1,MIN(0.3,0.3-0.09*(AP687-36.8)))/2)+AR686*(1-AS686/2))/(1-MAX(0.1,MIN(0.3,0.3-0.09*(AP687-36.8)))/2)</f>
        <v/>
      </c>
      <c r="AR687">
        <f>((AM687/$B$7+T686*AS686/2-T687*MAX(0.1,MIN(0.3,0.3-0.09*(AQ687-36.8)))/2)+AR686*(1-AS686/2))/(1-MAX(0.1,MIN(0.3,0.3-0.09*(AQ687-36.8)))/2)</f>
        <v/>
      </c>
      <c r="AS687">
        <f>MAX(0.1,MIN(0.3,0.3-0.09*(AR687-36.8)))</f>
        <v/>
      </c>
      <c r="AT687">
        <f>AT686+(2*AR687-1.962*AT686-1.31)/9</f>
        <v/>
      </c>
      <c r="AU687">
        <f>AU686+AG687+K687</f>
        <v/>
      </c>
      <c r="AV687">
        <f>AU687*2.67*$B$6/1.8/60</f>
        <v/>
      </c>
      <c r="AW687">
        <f>IF(AT687&gt;=$B$36,1,0)</f>
        <v/>
      </c>
      <c r="AX687">
        <f>IF(AV687&gt;=$B$21,1,0)</f>
        <v/>
      </c>
    </row>
    <row r="688">
      <c r="A688" t="n">
        <v>615</v>
      </c>
      <c r="B688">
        <f>MATCH(A688-1,$D$61:$D$68,1)</f>
        <v/>
      </c>
      <c r="C688">
        <f>INDEX($G$61:$G$68,B688)</f>
        <v/>
      </c>
      <c r="D688">
        <f>INDEX($L$61:$L$68,B688)</f>
        <v/>
      </c>
      <c r="E688">
        <f>INDEX($M$61:$M$68,B688)</f>
        <v/>
      </c>
      <c r="F688">
        <f>INDEX($N$61:$N$68,B688)</f>
        <v/>
      </c>
      <c r="G688">
        <f>INDEX($AA$61:$AA$68,B688)</f>
        <v/>
      </c>
      <c r="H688">
        <f>INDEX($X$61:$X$68,B688)</f>
        <v/>
      </c>
      <c r="I688">
        <f>INDEX($AF$61:$AF$68,B688)</f>
        <v/>
      </c>
      <c r="J688">
        <f>INDEX($AC$61:$AC$68,B688)</f>
        <v/>
      </c>
      <c r="K688">
        <f>INDEX($AD$61:$AD$68,B688)</f>
        <v/>
      </c>
      <c r="L688">
        <f>INDEX($AG$61:$AG$68,B688)</f>
        <v/>
      </c>
      <c r="M688">
        <f>INDEX($AH$61:$AH$68,B688)</f>
        <v/>
      </c>
      <c r="N688">
        <f>INDEX($AI$61:$AI$68,B688)</f>
        <v/>
      </c>
      <c r="O688">
        <f>O687*$B$26+L688*(1-$B$26)</f>
        <v/>
      </c>
      <c r="P688">
        <f>$B$7*(O688-O687)*(1-AS687)</f>
        <v/>
      </c>
      <c r="Q688">
        <f>M688+0.51274*AT687</f>
        <v/>
      </c>
      <c r="R688">
        <f>N688+0.616*AT687</f>
        <v/>
      </c>
      <c r="S688">
        <f>IF($B$13&gt;=0.6,Q688,IF($B$13&lt;=0.2,R688,R688+2.5*(Q688-R688)*($B$13-0.2)))</f>
        <v/>
      </c>
      <c r="T688">
        <f>IF(A688=1,S688,T687*$B$27+S688*(1-$B$27))</f>
        <v/>
      </c>
      <c r="U688">
        <f>0.6105*EXP(17.27*T688/(T688+237.3))</f>
        <v/>
      </c>
      <c r="V688">
        <f>($B$14*(I688*C688+IF(ABS((D688+0.1)-D688)&lt;0.000000001,4*$B$19*$B$20*(D688+273)^3,$B$19*$B$20*(((D688+0.1)+273)^4-(D688+273)^4)/((D688+0.1)-D688))*D688)+T688/H688)/($B$14*(I688+IF(ABS((D688+0.1)-D688)&lt;0.000000001,4*$B$19*$B$20*(D688+273)^3,$B$19*$B$20*(((D688+0.1)+273)^4-(D688+273)^4)/((D688+0.1)-D688)))+1/H688)</f>
        <v/>
      </c>
      <c r="W688">
        <f>($B$14*(I688*C688+IF(ABS(V688-D688)&lt;0.000000001,4*$B$19*$B$20*(D688+273)^3,$B$19*$B$20*((V688+273)^4-(D688+273)^4)/(V688-D688))*D688)+T688/H688)/($B$14*(I688+IF(ABS(V688-D688)&lt;0.000000001,4*$B$19*$B$20*(D688+273)^3,$B$19*$B$20*((V688+273)^4-(D688+273)^4)/(V688-D688)))+1/H688)</f>
        <v/>
      </c>
      <c r="X688">
        <f>($B$14*(I688*C688+IF(ABS(W688-D688)&lt;0.000000001,4*$B$19*$B$20*(D688+273)^3,$B$19*$B$20*((W688+273)^4-(D688+273)^4)/(W688-D688))*D688)+T688/H688)/($B$14*(I688+IF(ABS(W688-D688)&lt;0.000000001,4*$B$19*$B$20*(D688+273)^3,$B$19*$B$20*((W688+273)^4-(D688+273)^4)/(W688-D688)))+1/H688)</f>
        <v/>
      </c>
      <c r="Y688">
        <f>($B$14*(I688*C688+IF(ABS(X688-D688)&lt;0.000000001,4*$B$19*$B$20*(D688+273)^3,$B$19*$B$20*((X688+273)^4-(D688+273)^4)/(X688-D688))*D688)+T688/H688)/($B$14*(I688+IF(ABS(X688-D688)&lt;0.000000001,4*$B$19*$B$20*(D688+273)^3,$B$19*$B$20*((X688+273)^4-(D688+273)^4)/(X688-D688)))+1/H688)</f>
        <v/>
      </c>
      <c r="Z688">
        <f>IF(ABS(Y688-D688)&lt;0.000000001,4*$B$19*$B$20*(D688+273)^3,$B$19*$B$20*((Y688+273)^4-(D688+273)^4)/(Y688-D688))</f>
        <v/>
      </c>
      <c r="AA688">
        <f>$B$14*I688*(Y688-C688)</f>
        <v/>
      </c>
      <c r="AB688">
        <f>$B$14*Z688*(Y688-D688)</f>
        <v/>
      </c>
      <c r="AC688">
        <f>IF((U688-E688)/G688=0,0.001,(U688-E688)/G688)</f>
        <v/>
      </c>
      <c r="AD688">
        <f>F688-P688-J688-K688-AA688-AB688</f>
        <v/>
      </c>
      <c r="AE688">
        <f>AD688/AC688</f>
        <v/>
      </c>
      <c r="AF688">
        <f>IF(AD688&lt;=0,0,IF(AC688&lt;=0,$B$11,IF(AE688&gt;=1.7,$B$11,MIN(AD688/MAX(0.05,IF(AE688&gt;1,(2-AE688)^2/2,1-AE688^2/2)),$B$11))))</f>
        <v/>
      </c>
      <c r="AG688">
        <f>AG687*$B$28+AF688*(1-$B$28)</f>
        <v/>
      </c>
      <c r="AH688">
        <f>IF(AND(AD688&gt;0,AC688&lt;=0),0,AC688)</f>
        <v/>
      </c>
      <c r="AI688">
        <f>AH688/MAX(AG688,0.000001)</f>
        <v/>
      </c>
      <c r="AJ688">
        <f>MIN(IF(AI688&gt;=0.5,-AI688+SQRT(AI688^2+2),1),$B$12)</f>
        <v/>
      </c>
      <c r="AK688">
        <f>IF(AG688&lt;=0,0,AJ688*AH688)</f>
        <v/>
      </c>
      <c r="AL688">
        <f>IF(AD688&lt;=0,0,AD688)</f>
        <v/>
      </c>
      <c r="AM688">
        <f>AL688-AK688+P688</f>
        <v/>
      </c>
      <c r="AN688">
        <f>((AM688/$B$7+T687*AS687/2-T688*MAX(0.1,MIN(0.3,0.3-0.09*(AR687-36.8)))/2)+AR687*(1-AS687/2))/(1-MAX(0.1,MIN(0.3,0.3-0.09*(AR687-36.8)))/2)</f>
        <v/>
      </c>
      <c r="AO688">
        <f>((AM688/$B$7+T687*AS687/2-T688*MAX(0.1,MIN(0.3,0.3-0.09*(AN688-36.8)))/2)+AR687*(1-AS687/2))/(1-MAX(0.1,MIN(0.3,0.3-0.09*(AN688-36.8)))/2)</f>
        <v/>
      </c>
      <c r="AP688">
        <f>((AM688/$B$7+T687*AS687/2-T688*MAX(0.1,MIN(0.3,0.3-0.09*(AO688-36.8)))/2)+AR687*(1-AS687/2))/(1-MAX(0.1,MIN(0.3,0.3-0.09*(AO688-36.8)))/2)</f>
        <v/>
      </c>
      <c r="AQ688">
        <f>((AM688/$B$7+T687*AS687/2-T688*MAX(0.1,MIN(0.3,0.3-0.09*(AP688-36.8)))/2)+AR687*(1-AS687/2))/(1-MAX(0.1,MIN(0.3,0.3-0.09*(AP688-36.8)))/2)</f>
        <v/>
      </c>
      <c r="AR688">
        <f>((AM688/$B$7+T687*AS687/2-T688*MAX(0.1,MIN(0.3,0.3-0.09*(AQ688-36.8)))/2)+AR687*(1-AS687/2))/(1-MAX(0.1,MIN(0.3,0.3-0.09*(AQ688-36.8)))/2)</f>
        <v/>
      </c>
      <c r="AS688">
        <f>MAX(0.1,MIN(0.3,0.3-0.09*(AR688-36.8)))</f>
        <v/>
      </c>
      <c r="AT688">
        <f>AT687+(2*AR688-1.962*AT687-1.31)/9</f>
        <v/>
      </c>
      <c r="AU688">
        <f>AU687+AG688+K688</f>
        <v/>
      </c>
      <c r="AV688">
        <f>AU688*2.67*$B$6/1.8/60</f>
        <v/>
      </c>
      <c r="AW688">
        <f>IF(AT688&gt;=$B$36,1,0)</f>
        <v/>
      </c>
      <c r="AX688">
        <f>IF(AV688&gt;=$B$21,1,0)</f>
        <v/>
      </c>
    </row>
    <row r="689">
      <c r="A689" t="n">
        <v>616</v>
      </c>
      <c r="B689">
        <f>MATCH(A689-1,$D$61:$D$68,1)</f>
        <v/>
      </c>
      <c r="C689">
        <f>INDEX($G$61:$G$68,B689)</f>
        <v/>
      </c>
      <c r="D689">
        <f>INDEX($L$61:$L$68,B689)</f>
        <v/>
      </c>
      <c r="E689">
        <f>INDEX($M$61:$M$68,B689)</f>
        <v/>
      </c>
      <c r="F689">
        <f>INDEX($N$61:$N$68,B689)</f>
        <v/>
      </c>
      <c r="G689">
        <f>INDEX($AA$61:$AA$68,B689)</f>
        <v/>
      </c>
      <c r="H689">
        <f>INDEX($X$61:$X$68,B689)</f>
        <v/>
      </c>
      <c r="I689">
        <f>INDEX($AF$61:$AF$68,B689)</f>
        <v/>
      </c>
      <c r="J689">
        <f>INDEX($AC$61:$AC$68,B689)</f>
        <v/>
      </c>
      <c r="K689">
        <f>INDEX($AD$61:$AD$68,B689)</f>
        <v/>
      </c>
      <c r="L689">
        <f>INDEX($AG$61:$AG$68,B689)</f>
        <v/>
      </c>
      <c r="M689">
        <f>INDEX($AH$61:$AH$68,B689)</f>
        <v/>
      </c>
      <c r="N689">
        <f>INDEX($AI$61:$AI$68,B689)</f>
        <v/>
      </c>
      <c r="O689">
        <f>O688*$B$26+L689*(1-$B$26)</f>
        <v/>
      </c>
      <c r="P689">
        <f>$B$7*(O689-O688)*(1-AS688)</f>
        <v/>
      </c>
      <c r="Q689">
        <f>M689+0.51274*AT688</f>
        <v/>
      </c>
      <c r="R689">
        <f>N689+0.616*AT688</f>
        <v/>
      </c>
      <c r="S689">
        <f>IF($B$13&gt;=0.6,Q689,IF($B$13&lt;=0.2,R689,R689+2.5*(Q689-R689)*($B$13-0.2)))</f>
        <v/>
      </c>
      <c r="T689">
        <f>IF(A689=1,S689,T688*$B$27+S689*(1-$B$27))</f>
        <v/>
      </c>
      <c r="U689">
        <f>0.6105*EXP(17.27*T689/(T689+237.3))</f>
        <v/>
      </c>
      <c r="V689">
        <f>($B$14*(I689*C689+IF(ABS((D689+0.1)-D689)&lt;0.000000001,4*$B$19*$B$20*(D689+273)^3,$B$19*$B$20*(((D689+0.1)+273)^4-(D689+273)^4)/((D689+0.1)-D689))*D689)+T689/H689)/($B$14*(I689+IF(ABS((D689+0.1)-D689)&lt;0.000000001,4*$B$19*$B$20*(D689+273)^3,$B$19*$B$20*(((D689+0.1)+273)^4-(D689+273)^4)/((D689+0.1)-D689)))+1/H689)</f>
        <v/>
      </c>
      <c r="W689">
        <f>($B$14*(I689*C689+IF(ABS(V689-D689)&lt;0.000000001,4*$B$19*$B$20*(D689+273)^3,$B$19*$B$20*((V689+273)^4-(D689+273)^4)/(V689-D689))*D689)+T689/H689)/($B$14*(I689+IF(ABS(V689-D689)&lt;0.000000001,4*$B$19*$B$20*(D689+273)^3,$B$19*$B$20*((V689+273)^4-(D689+273)^4)/(V689-D689)))+1/H689)</f>
        <v/>
      </c>
      <c r="X689">
        <f>($B$14*(I689*C689+IF(ABS(W689-D689)&lt;0.000000001,4*$B$19*$B$20*(D689+273)^3,$B$19*$B$20*((W689+273)^4-(D689+273)^4)/(W689-D689))*D689)+T689/H689)/($B$14*(I689+IF(ABS(W689-D689)&lt;0.000000001,4*$B$19*$B$20*(D689+273)^3,$B$19*$B$20*((W689+273)^4-(D689+273)^4)/(W689-D689)))+1/H689)</f>
        <v/>
      </c>
      <c r="Y689">
        <f>($B$14*(I689*C689+IF(ABS(X689-D689)&lt;0.000000001,4*$B$19*$B$20*(D689+273)^3,$B$19*$B$20*((X689+273)^4-(D689+273)^4)/(X689-D689))*D689)+T689/H689)/($B$14*(I689+IF(ABS(X689-D689)&lt;0.000000001,4*$B$19*$B$20*(D689+273)^3,$B$19*$B$20*((X689+273)^4-(D689+273)^4)/(X689-D689)))+1/H689)</f>
        <v/>
      </c>
      <c r="Z689">
        <f>IF(ABS(Y689-D689)&lt;0.000000001,4*$B$19*$B$20*(D689+273)^3,$B$19*$B$20*((Y689+273)^4-(D689+273)^4)/(Y689-D689))</f>
        <v/>
      </c>
      <c r="AA689">
        <f>$B$14*I689*(Y689-C689)</f>
        <v/>
      </c>
      <c r="AB689">
        <f>$B$14*Z689*(Y689-D689)</f>
        <v/>
      </c>
      <c r="AC689">
        <f>IF((U689-E689)/G689=0,0.001,(U689-E689)/G689)</f>
        <v/>
      </c>
      <c r="AD689">
        <f>F689-P689-J689-K689-AA689-AB689</f>
        <v/>
      </c>
      <c r="AE689">
        <f>AD689/AC689</f>
        <v/>
      </c>
      <c r="AF689">
        <f>IF(AD689&lt;=0,0,IF(AC689&lt;=0,$B$11,IF(AE689&gt;=1.7,$B$11,MIN(AD689/MAX(0.05,IF(AE689&gt;1,(2-AE689)^2/2,1-AE689^2/2)),$B$11))))</f>
        <v/>
      </c>
      <c r="AG689">
        <f>AG688*$B$28+AF689*(1-$B$28)</f>
        <v/>
      </c>
      <c r="AH689">
        <f>IF(AND(AD689&gt;0,AC689&lt;=0),0,AC689)</f>
        <v/>
      </c>
      <c r="AI689">
        <f>AH689/MAX(AG689,0.000001)</f>
        <v/>
      </c>
      <c r="AJ689">
        <f>MIN(IF(AI689&gt;=0.5,-AI689+SQRT(AI689^2+2),1),$B$12)</f>
        <v/>
      </c>
      <c r="AK689">
        <f>IF(AG689&lt;=0,0,AJ689*AH689)</f>
        <v/>
      </c>
      <c r="AL689">
        <f>IF(AD689&lt;=0,0,AD689)</f>
        <v/>
      </c>
      <c r="AM689">
        <f>AL689-AK689+P689</f>
        <v/>
      </c>
      <c r="AN689">
        <f>((AM689/$B$7+T688*AS688/2-T689*MAX(0.1,MIN(0.3,0.3-0.09*(AR688-36.8)))/2)+AR688*(1-AS688/2))/(1-MAX(0.1,MIN(0.3,0.3-0.09*(AR688-36.8)))/2)</f>
        <v/>
      </c>
      <c r="AO689">
        <f>((AM689/$B$7+T688*AS688/2-T689*MAX(0.1,MIN(0.3,0.3-0.09*(AN689-36.8)))/2)+AR688*(1-AS688/2))/(1-MAX(0.1,MIN(0.3,0.3-0.09*(AN689-36.8)))/2)</f>
        <v/>
      </c>
      <c r="AP689">
        <f>((AM689/$B$7+T688*AS688/2-T689*MAX(0.1,MIN(0.3,0.3-0.09*(AO689-36.8)))/2)+AR688*(1-AS688/2))/(1-MAX(0.1,MIN(0.3,0.3-0.09*(AO689-36.8)))/2)</f>
        <v/>
      </c>
      <c r="AQ689">
        <f>((AM689/$B$7+T688*AS688/2-T689*MAX(0.1,MIN(0.3,0.3-0.09*(AP689-36.8)))/2)+AR688*(1-AS688/2))/(1-MAX(0.1,MIN(0.3,0.3-0.09*(AP689-36.8)))/2)</f>
        <v/>
      </c>
      <c r="AR689">
        <f>((AM689/$B$7+T688*AS688/2-T689*MAX(0.1,MIN(0.3,0.3-0.09*(AQ689-36.8)))/2)+AR688*(1-AS688/2))/(1-MAX(0.1,MIN(0.3,0.3-0.09*(AQ689-36.8)))/2)</f>
        <v/>
      </c>
      <c r="AS689">
        <f>MAX(0.1,MIN(0.3,0.3-0.09*(AR689-36.8)))</f>
        <v/>
      </c>
      <c r="AT689">
        <f>AT688+(2*AR689-1.962*AT688-1.31)/9</f>
        <v/>
      </c>
      <c r="AU689">
        <f>AU688+AG689+K689</f>
        <v/>
      </c>
      <c r="AV689">
        <f>AU689*2.67*$B$6/1.8/60</f>
        <v/>
      </c>
      <c r="AW689">
        <f>IF(AT689&gt;=$B$36,1,0)</f>
        <v/>
      </c>
      <c r="AX689">
        <f>IF(AV689&gt;=$B$21,1,0)</f>
        <v/>
      </c>
    </row>
    <row r="690">
      <c r="A690" t="n">
        <v>617</v>
      </c>
      <c r="B690">
        <f>MATCH(A690-1,$D$61:$D$68,1)</f>
        <v/>
      </c>
      <c r="C690">
        <f>INDEX($G$61:$G$68,B690)</f>
        <v/>
      </c>
      <c r="D690">
        <f>INDEX($L$61:$L$68,B690)</f>
        <v/>
      </c>
      <c r="E690">
        <f>INDEX($M$61:$M$68,B690)</f>
        <v/>
      </c>
      <c r="F690">
        <f>INDEX($N$61:$N$68,B690)</f>
        <v/>
      </c>
      <c r="G690">
        <f>INDEX($AA$61:$AA$68,B690)</f>
        <v/>
      </c>
      <c r="H690">
        <f>INDEX($X$61:$X$68,B690)</f>
        <v/>
      </c>
      <c r="I690">
        <f>INDEX($AF$61:$AF$68,B690)</f>
        <v/>
      </c>
      <c r="J690">
        <f>INDEX($AC$61:$AC$68,B690)</f>
        <v/>
      </c>
      <c r="K690">
        <f>INDEX($AD$61:$AD$68,B690)</f>
        <v/>
      </c>
      <c r="L690">
        <f>INDEX($AG$61:$AG$68,B690)</f>
        <v/>
      </c>
      <c r="M690">
        <f>INDEX($AH$61:$AH$68,B690)</f>
        <v/>
      </c>
      <c r="N690">
        <f>INDEX($AI$61:$AI$68,B690)</f>
        <v/>
      </c>
      <c r="O690">
        <f>O689*$B$26+L690*(1-$B$26)</f>
        <v/>
      </c>
      <c r="P690">
        <f>$B$7*(O690-O689)*(1-AS689)</f>
        <v/>
      </c>
      <c r="Q690">
        <f>M690+0.51274*AT689</f>
        <v/>
      </c>
      <c r="R690">
        <f>N690+0.616*AT689</f>
        <v/>
      </c>
      <c r="S690">
        <f>IF($B$13&gt;=0.6,Q690,IF($B$13&lt;=0.2,R690,R690+2.5*(Q690-R690)*($B$13-0.2)))</f>
        <v/>
      </c>
      <c r="T690">
        <f>IF(A690=1,S690,T689*$B$27+S690*(1-$B$27))</f>
        <v/>
      </c>
      <c r="U690">
        <f>0.6105*EXP(17.27*T690/(T690+237.3))</f>
        <v/>
      </c>
      <c r="V690">
        <f>($B$14*(I690*C690+IF(ABS((D690+0.1)-D690)&lt;0.000000001,4*$B$19*$B$20*(D690+273)^3,$B$19*$B$20*(((D690+0.1)+273)^4-(D690+273)^4)/((D690+0.1)-D690))*D690)+T690/H690)/($B$14*(I690+IF(ABS((D690+0.1)-D690)&lt;0.000000001,4*$B$19*$B$20*(D690+273)^3,$B$19*$B$20*(((D690+0.1)+273)^4-(D690+273)^4)/((D690+0.1)-D690)))+1/H690)</f>
        <v/>
      </c>
      <c r="W690">
        <f>($B$14*(I690*C690+IF(ABS(V690-D690)&lt;0.000000001,4*$B$19*$B$20*(D690+273)^3,$B$19*$B$20*((V690+273)^4-(D690+273)^4)/(V690-D690))*D690)+T690/H690)/($B$14*(I690+IF(ABS(V690-D690)&lt;0.000000001,4*$B$19*$B$20*(D690+273)^3,$B$19*$B$20*((V690+273)^4-(D690+273)^4)/(V690-D690)))+1/H690)</f>
        <v/>
      </c>
      <c r="X690">
        <f>($B$14*(I690*C690+IF(ABS(W690-D690)&lt;0.000000001,4*$B$19*$B$20*(D690+273)^3,$B$19*$B$20*((W690+273)^4-(D690+273)^4)/(W690-D690))*D690)+T690/H690)/($B$14*(I690+IF(ABS(W690-D690)&lt;0.000000001,4*$B$19*$B$20*(D690+273)^3,$B$19*$B$20*((W690+273)^4-(D690+273)^4)/(W690-D690)))+1/H690)</f>
        <v/>
      </c>
      <c r="Y690">
        <f>($B$14*(I690*C690+IF(ABS(X690-D690)&lt;0.000000001,4*$B$19*$B$20*(D690+273)^3,$B$19*$B$20*((X690+273)^4-(D690+273)^4)/(X690-D690))*D690)+T690/H690)/($B$14*(I690+IF(ABS(X690-D690)&lt;0.000000001,4*$B$19*$B$20*(D690+273)^3,$B$19*$B$20*((X690+273)^4-(D690+273)^4)/(X690-D690)))+1/H690)</f>
        <v/>
      </c>
      <c r="Z690">
        <f>IF(ABS(Y690-D690)&lt;0.000000001,4*$B$19*$B$20*(D690+273)^3,$B$19*$B$20*((Y690+273)^4-(D690+273)^4)/(Y690-D690))</f>
        <v/>
      </c>
      <c r="AA690">
        <f>$B$14*I690*(Y690-C690)</f>
        <v/>
      </c>
      <c r="AB690">
        <f>$B$14*Z690*(Y690-D690)</f>
        <v/>
      </c>
      <c r="AC690">
        <f>IF((U690-E690)/G690=0,0.001,(U690-E690)/G690)</f>
        <v/>
      </c>
      <c r="AD690">
        <f>F690-P690-J690-K690-AA690-AB690</f>
        <v/>
      </c>
      <c r="AE690">
        <f>AD690/AC690</f>
        <v/>
      </c>
      <c r="AF690">
        <f>IF(AD690&lt;=0,0,IF(AC690&lt;=0,$B$11,IF(AE690&gt;=1.7,$B$11,MIN(AD690/MAX(0.05,IF(AE690&gt;1,(2-AE690)^2/2,1-AE690^2/2)),$B$11))))</f>
        <v/>
      </c>
      <c r="AG690">
        <f>AG689*$B$28+AF690*(1-$B$28)</f>
        <v/>
      </c>
      <c r="AH690">
        <f>IF(AND(AD690&gt;0,AC690&lt;=0),0,AC690)</f>
        <v/>
      </c>
      <c r="AI690">
        <f>AH690/MAX(AG690,0.000001)</f>
        <v/>
      </c>
      <c r="AJ690">
        <f>MIN(IF(AI690&gt;=0.5,-AI690+SQRT(AI690^2+2),1),$B$12)</f>
        <v/>
      </c>
      <c r="AK690">
        <f>IF(AG690&lt;=0,0,AJ690*AH690)</f>
        <v/>
      </c>
      <c r="AL690">
        <f>IF(AD690&lt;=0,0,AD690)</f>
        <v/>
      </c>
      <c r="AM690">
        <f>AL690-AK690+P690</f>
        <v/>
      </c>
      <c r="AN690">
        <f>((AM690/$B$7+T689*AS689/2-T690*MAX(0.1,MIN(0.3,0.3-0.09*(AR689-36.8)))/2)+AR689*(1-AS689/2))/(1-MAX(0.1,MIN(0.3,0.3-0.09*(AR689-36.8)))/2)</f>
        <v/>
      </c>
      <c r="AO690">
        <f>((AM690/$B$7+T689*AS689/2-T690*MAX(0.1,MIN(0.3,0.3-0.09*(AN690-36.8)))/2)+AR689*(1-AS689/2))/(1-MAX(0.1,MIN(0.3,0.3-0.09*(AN690-36.8)))/2)</f>
        <v/>
      </c>
      <c r="AP690">
        <f>((AM690/$B$7+T689*AS689/2-T690*MAX(0.1,MIN(0.3,0.3-0.09*(AO690-36.8)))/2)+AR689*(1-AS689/2))/(1-MAX(0.1,MIN(0.3,0.3-0.09*(AO690-36.8)))/2)</f>
        <v/>
      </c>
      <c r="AQ690">
        <f>((AM690/$B$7+T689*AS689/2-T690*MAX(0.1,MIN(0.3,0.3-0.09*(AP690-36.8)))/2)+AR689*(1-AS689/2))/(1-MAX(0.1,MIN(0.3,0.3-0.09*(AP690-36.8)))/2)</f>
        <v/>
      </c>
      <c r="AR690">
        <f>((AM690/$B$7+T689*AS689/2-T690*MAX(0.1,MIN(0.3,0.3-0.09*(AQ690-36.8)))/2)+AR689*(1-AS689/2))/(1-MAX(0.1,MIN(0.3,0.3-0.09*(AQ690-36.8)))/2)</f>
        <v/>
      </c>
      <c r="AS690">
        <f>MAX(0.1,MIN(0.3,0.3-0.09*(AR690-36.8)))</f>
        <v/>
      </c>
      <c r="AT690">
        <f>AT689+(2*AR690-1.962*AT689-1.31)/9</f>
        <v/>
      </c>
      <c r="AU690">
        <f>AU689+AG690+K690</f>
        <v/>
      </c>
      <c r="AV690">
        <f>AU690*2.67*$B$6/1.8/60</f>
        <v/>
      </c>
      <c r="AW690">
        <f>IF(AT690&gt;=$B$36,1,0)</f>
        <v/>
      </c>
      <c r="AX690">
        <f>IF(AV690&gt;=$B$21,1,0)</f>
        <v/>
      </c>
    </row>
    <row r="691">
      <c r="A691" t="n">
        <v>618</v>
      </c>
      <c r="B691">
        <f>MATCH(A691-1,$D$61:$D$68,1)</f>
        <v/>
      </c>
      <c r="C691">
        <f>INDEX($G$61:$G$68,B691)</f>
        <v/>
      </c>
      <c r="D691">
        <f>INDEX($L$61:$L$68,B691)</f>
        <v/>
      </c>
      <c r="E691">
        <f>INDEX($M$61:$M$68,B691)</f>
        <v/>
      </c>
      <c r="F691">
        <f>INDEX($N$61:$N$68,B691)</f>
        <v/>
      </c>
      <c r="G691">
        <f>INDEX($AA$61:$AA$68,B691)</f>
        <v/>
      </c>
      <c r="H691">
        <f>INDEX($X$61:$X$68,B691)</f>
        <v/>
      </c>
      <c r="I691">
        <f>INDEX($AF$61:$AF$68,B691)</f>
        <v/>
      </c>
      <c r="J691">
        <f>INDEX($AC$61:$AC$68,B691)</f>
        <v/>
      </c>
      <c r="K691">
        <f>INDEX($AD$61:$AD$68,B691)</f>
        <v/>
      </c>
      <c r="L691">
        <f>INDEX($AG$61:$AG$68,B691)</f>
        <v/>
      </c>
      <c r="M691">
        <f>INDEX($AH$61:$AH$68,B691)</f>
        <v/>
      </c>
      <c r="N691">
        <f>INDEX($AI$61:$AI$68,B691)</f>
        <v/>
      </c>
      <c r="O691">
        <f>O690*$B$26+L691*(1-$B$26)</f>
        <v/>
      </c>
      <c r="P691">
        <f>$B$7*(O691-O690)*(1-AS690)</f>
        <v/>
      </c>
      <c r="Q691">
        <f>M691+0.51274*AT690</f>
        <v/>
      </c>
      <c r="R691">
        <f>N691+0.616*AT690</f>
        <v/>
      </c>
      <c r="S691">
        <f>IF($B$13&gt;=0.6,Q691,IF($B$13&lt;=0.2,R691,R691+2.5*(Q691-R691)*($B$13-0.2)))</f>
        <v/>
      </c>
      <c r="T691">
        <f>IF(A691=1,S691,T690*$B$27+S691*(1-$B$27))</f>
        <v/>
      </c>
      <c r="U691">
        <f>0.6105*EXP(17.27*T691/(T691+237.3))</f>
        <v/>
      </c>
      <c r="V691">
        <f>($B$14*(I691*C691+IF(ABS((D691+0.1)-D691)&lt;0.000000001,4*$B$19*$B$20*(D691+273)^3,$B$19*$B$20*(((D691+0.1)+273)^4-(D691+273)^4)/((D691+0.1)-D691))*D691)+T691/H691)/($B$14*(I691+IF(ABS((D691+0.1)-D691)&lt;0.000000001,4*$B$19*$B$20*(D691+273)^3,$B$19*$B$20*(((D691+0.1)+273)^4-(D691+273)^4)/((D691+0.1)-D691)))+1/H691)</f>
        <v/>
      </c>
      <c r="W691">
        <f>($B$14*(I691*C691+IF(ABS(V691-D691)&lt;0.000000001,4*$B$19*$B$20*(D691+273)^3,$B$19*$B$20*((V691+273)^4-(D691+273)^4)/(V691-D691))*D691)+T691/H691)/($B$14*(I691+IF(ABS(V691-D691)&lt;0.000000001,4*$B$19*$B$20*(D691+273)^3,$B$19*$B$20*((V691+273)^4-(D691+273)^4)/(V691-D691)))+1/H691)</f>
        <v/>
      </c>
      <c r="X691">
        <f>($B$14*(I691*C691+IF(ABS(W691-D691)&lt;0.000000001,4*$B$19*$B$20*(D691+273)^3,$B$19*$B$20*((W691+273)^4-(D691+273)^4)/(W691-D691))*D691)+T691/H691)/($B$14*(I691+IF(ABS(W691-D691)&lt;0.000000001,4*$B$19*$B$20*(D691+273)^3,$B$19*$B$20*((W691+273)^4-(D691+273)^4)/(W691-D691)))+1/H691)</f>
        <v/>
      </c>
      <c r="Y691">
        <f>($B$14*(I691*C691+IF(ABS(X691-D691)&lt;0.000000001,4*$B$19*$B$20*(D691+273)^3,$B$19*$B$20*((X691+273)^4-(D691+273)^4)/(X691-D691))*D691)+T691/H691)/($B$14*(I691+IF(ABS(X691-D691)&lt;0.000000001,4*$B$19*$B$20*(D691+273)^3,$B$19*$B$20*((X691+273)^4-(D691+273)^4)/(X691-D691)))+1/H691)</f>
        <v/>
      </c>
      <c r="Z691">
        <f>IF(ABS(Y691-D691)&lt;0.000000001,4*$B$19*$B$20*(D691+273)^3,$B$19*$B$20*((Y691+273)^4-(D691+273)^4)/(Y691-D691))</f>
        <v/>
      </c>
      <c r="AA691">
        <f>$B$14*I691*(Y691-C691)</f>
        <v/>
      </c>
      <c r="AB691">
        <f>$B$14*Z691*(Y691-D691)</f>
        <v/>
      </c>
      <c r="AC691">
        <f>IF((U691-E691)/G691=0,0.001,(U691-E691)/G691)</f>
        <v/>
      </c>
      <c r="AD691">
        <f>F691-P691-J691-K691-AA691-AB691</f>
        <v/>
      </c>
      <c r="AE691">
        <f>AD691/AC691</f>
        <v/>
      </c>
      <c r="AF691">
        <f>IF(AD691&lt;=0,0,IF(AC691&lt;=0,$B$11,IF(AE691&gt;=1.7,$B$11,MIN(AD691/MAX(0.05,IF(AE691&gt;1,(2-AE691)^2/2,1-AE691^2/2)),$B$11))))</f>
        <v/>
      </c>
      <c r="AG691">
        <f>AG690*$B$28+AF691*(1-$B$28)</f>
        <v/>
      </c>
      <c r="AH691">
        <f>IF(AND(AD691&gt;0,AC691&lt;=0),0,AC691)</f>
        <v/>
      </c>
      <c r="AI691">
        <f>AH691/MAX(AG691,0.000001)</f>
        <v/>
      </c>
      <c r="AJ691">
        <f>MIN(IF(AI691&gt;=0.5,-AI691+SQRT(AI691^2+2),1),$B$12)</f>
        <v/>
      </c>
      <c r="AK691">
        <f>IF(AG691&lt;=0,0,AJ691*AH691)</f>
        <v/>
      </c>
      <c r="AL691">
        <f>IF(AD691&lt;=0,0,AD691)</f>
        <v/>
      </c>
      <c r="AM691">
        <f>AL691-AK691+P691</f>
        <v/>
      </c>
      <c r="AN691">
        <f>((AM691/$B$7+T690*AS690/2-T691*MAX(0.1,MIN(0.3,0.3-0.09*(AR690-36.8)))/2)+AR690*(1-AS690/2))/(1-MAX(0.1,MIN(0.3,0.3-0.09*(AR690-36.8)))/2)</f>
        <v/>
      </c>
      <c r="AO691">
        <f>((AM691/$B$7+T690*AS690/2-T691*MAX(0.1,MIN(0.3,0.3-0.09*(AN691-36.8)))/2)+AR690*(1-AS690/2))/(1-MAX(0.1,MIN(0.3,0.3-0.09*(AN691-36.8)))/2)</f>
        <v/>
      </c>
      <c r="AP691">
        <f>((AM691/$B$7+T690*AS690/2-T691*MAX(0.1,MIN(0.3,0.3-0.09*(AO691-36.8)))/2)+AR690*(1-AS690/2))/(1-MAX(0.1,MIN(0.3,0.3-0.09*(AO691-36.8)))/2)</f>
        <v/>
      </c>
      <c r="AQ691">
        <f>((AM691/$B$7+T690*AS690/2-T691*MAX(0.1,MIN(0.3,0.3-0.09*(AP691-36.8)))/2)+AR690*(1-AS690/2))/(1-MAX(0.1,MIN(0.3,0.3-0.09*(AP691-36.8)))/2)</f>
        <v/>
      </c>
      <c r="AR691">
        <f>((AM691/$B$7+T690*AS690/2-T691*MAX(0.1,MIN(0.3,0.3-0.09*(AQ691-36.8)))/2)+AR690*(1-AS690/2))/(1-MAX(0.1,MIN(0.3,0.3-0.09*(AQ691-36.8)))/2)</f>
        <v/>
      </c>
      <c r="AS691">
        <f>MAX(0.1,MIN(0.3,0.3-0.09*(AR691-36.8)))</f>
        <v/>
      </c>
      <c r="AT691">
        <f>AT690+(2*AR691-1.962*AT690-1.31)/9</f>
        <v/>
      </c>
      <c r="AU691">
        <f>AU690+AG691+K691</f>
        <v/>
      </c>
      <c r="AV691">
        <f>AU691*2.67*$B$6/1.8/60</f>
        <v/>
      </c>
      <c r="AW691">
        <f>IF(AT691&gt;=$B$36,1,0)</f>
        <v/>
      </c>
      <c r="AX691">
        <f>IF(AV691&gt;=$B$21,1,0)</f>
        <v/>
      </c>
    </row>
    <row r="692">
      <c r="A692" t="n">
        <v>619</v>
      </c>
      <c r="B692">
        <f>MATCH(A692-1,$D$61:$D$68,1)</f>
        <v/>
      </c>
      <c r="C692">
        <f>INDEX($G$61:$G$68,B692)</f>
        <v/>
      </c>
      <c r="D692">
        <f>INDEX($L$61:$L$68,B692)</f>
        <v/>
      </c>
      <c r="E692">
        <f>INDEX($M$61:$M$68,B692)</f>
        <v/>
      </c>
      <c r="F692">
        <f>INDEX($N$61:$N$68,B692)</f>
        <v/>
      </c>
      <c r="G692">
        <f>INDEX($AA$61:$AA$68,B692)</f>
        <v/>
      </c>
      <c r="H692">
        <f>INDEX($X$61:$X$68,B692)</f>
        <v/>
      </c>
      <c r="I692">
        <f>INDEX($AF$61:$AF$68,B692)</f>
        <v/>
      </c>
      <c r="J692">
        <f>INDEX($AC$61:$AC$68,B692)</f>
        <v/>
      </c>
      <c r="K692">
        <f>INDEX($AD$61:$AD$68,B692)</f>
        <v/>
      </c>
      <c r="L692">
        <f>INDEX($AG$61:$AG$68,B692)</f>
        <v/>
      </c>
      <c r="M692">
        <f>INDEX($AH$61:$AH$68,B692)</f>
        <v/>
      </c>
      <c r="N692">
        <f>INDEX($AI$61:$AI$68,B692)</f>
        <v/>
      </c>
      <c r="O692">
        <f>O691*$B$26+L692*(1-$B$26)</f>
        <v/>
      </c>
      <c r="P692">
        <f>$B$7*(O692-O691)*(1-AS691)</f>
        <v/>
      </c>
      <c r="Q692">
        <f>M692+0.51274*AT691</f>
        <v/>
      </c>
      <c r="R692">
        <f>N692+0.616*AT691</f>
        <v/>
      </c>
      <c r="S692">
        <f>IF($B$13&gt;=0.6,Q692,IF($B$13&lt;=0.2,R692,R692+2.5*(Q692-R692)*($B$13-0.2)))</f>
        <v/>
      </c>
      <c r="T692">
        <f>IF(A692=1,S692,T691*$B$27+S692*(1-$B$27))</f>
        <v/>
      </c>
      <c r="U692">
        <f>0.6105*EXP(17.27*T692/(T692+237.3))</f>
        <v/>
      </c>
      <c r="V692">
        <f>($B$14*(I692*C692+IF(ABS((D692+0.1)-D692)&lt;0.000000001,4*$B$19*$B$20*(D692+273)^3,$B$19*$B$20*(((D692+0.1)+273)^4-(D692+273)^4)/((D692+0.1)-D692))*D692)+T692/H692)/($B$14*(I692+IF(ABS((D692+0.1)-D692)&lt;0.000000001,4*$B$19*$B$20*(D692+273)^3,$B$19*$B$20*(((D692+0.1)+273)^4-(D692+273)^4)/((D692+0.1)-D692)))+1/H692)</f>
        <v/>
      </c>
      <c r="W692">
        <f>($B$14*(I692*C692+IF(ABS(V692-D692)&lt;0.000000001,4*$B$19*$B$20*(D692+273)^3,$B$19*$B$20*((V692+273)^4-(D692+273)^4)/(V692-D692))*D692)+T692/H692)/($B$14*(I692+IF(ABS(V692-D692)&lt;0.000000001,4*$B$19*$B$20*(D692+273)^3,$B$19*$B$20*((V692+273)^4-(D692+273)^4)/(V692-D692)))+1/H692)</f>
        <v/>
      </c>
      <c r="X692">
        <f>($B$14*(I692*C692+IF(ABS(W692-D692)&lt;0.000000001,4*$B$19*$B$20*(D692+273)^3,$B$19*$B$20*((W692+273)^4-(D692+273)^4)/(W692-D692))*D692)+T692/H692)/($B$14*(I692+IF(ABS(W692-D692)&lt;0.000000001,4*$B$19*$B$20*(D692+273)^3,$B$19*$B$20*((W692+273)^4-(D692+273)^4)/(W692-D692)))+1/H692)</f>
        <v/>
      </c>
      <c r="Y692">
        <f>($B$14*(I692*C692+IF(ABS(X692-D692)&lt;0.000000001,4*$B$19*$B$20*(D692+273)^3,$B$19*$B$20*((X692+273)^4-(D692+273)^4)/(X692-D692))*D692)+T692/H692)/($B$14*(I692+IF(ABS(X692-D692)&lt;0.000000001,4*$B$19*$B$20*(D692+273)^3,$B$19*$B$20*((X692+273)^4-(D692+273)^4)/(X692-D692)))+1/H692)</f>
        <v/>
      </c>
      <c r="Z692">
        <f>IF(ABS(Y692-D692)&lt;0.000000001,4*$B$19*$B$20*(D692+273)^3,$B$19*$B$20*((Y692+273)^4-(D692+273)^4)/(Y692-D692))</f>
        <v/>
      </c>
      <c r="AA692">
        <f>$B$14*I692*(Y692-C692)</f>
        <v/>
      </c>
      <c r="AB692">
        <f>$B$14*Z692*(Y692-D692)</f>
        <v/>
      </c>
      <c r="AC692">
        <f>IF((U692-E692)/G692=0,0.001,(U692-E692)/G692)</f>
        <v/>
      </c>
      <c r="AD692">
        <f>F692-P692-J692-K692-AA692-AB692</f>
        <v/>
      </c>
      <c r="AE692">
        <f>AD692/AC692</f>
        <v/>
      </c>
      <c r="AF692">
        <f>IF(AD692&lt;=0,0,IF(AC692&lt;=0,$B$11,IF(AE692&gt;=1.7,$B$11,MIN(AD692/MAX(0.05,IF(AE692&gt;1,(2-AE692)^2/2,1-AE692^2/2)),$B$11))))</f>
        <v/>
      </c>
      <c r="AG692">
        <f>AG691*$B$28+AF692*(1-$B$28)</f>
        <v/>
      </c>
      <c r="AH692">
        <f>IF(AND(AD692&gt;0,AC692&lt;=0),0,AC692)</f>
        <v/>
      </c>
      <c r="AI692">
        <f>AH692/MAX(AG692,0.000001)</f>
        <v/>
      </c>
      <c r="AJ692">
        <f>MIN(IF(AI692&gt;=0.5,-AI692+SQRT(AI692^2+2),1),$B$12)</f>
        <v/>
      </c>
      <c r="AK692">
        <f>IF(AG692&lt;=0,0,AJ692*AH692)</f>
        <v/>
      </c>
      <c r="AL692">
        <f>IF(AD692&lt;=0,0,AD692)</f>
        <v/>
      </c>
      <c r="AM692">
        <f>AL692-AK692+P692</f>
        <v/>
      </c>
      <c r="AN692">
        <f>((AM692/$B$7+T691*AS691/2-T692*MAX(0.1,MIN(0.3,0.3-0.09*(AR691-36.8)))/2)+AR691*(1-AS691/2))/(1-MAX(0.1,MIN(0.3,0.3-0.09*(AR691-36.8)))/2)</f>
        <v/>
      </c>
      <c r="AO692">
        <f>((AM692/$B$7+T691*AS691/2-T692*MAX(0.1,MIN(0.3,0.3-0.09*(AN692-36.8)))/2)+AR691*(1-AS691/2))/(1-MAX(0.1,MIN(0.3,0.3-0.09*(AN692-36.8)))/2)</f>
        <v/>
      </c>
      <c r="AP692">
        <f>((AM692/$B$7+T691*AS691/2-T692*MAX(0.1,MIN(0.3,0.3-0.09*(AO692-36.8)))/2)+AR691*(1-AS691/2))/(1-MAX(0.1,MIN(0.3,0.3-0.09*(AO692-36.8)))/2)</f>
        <v/>
      </c>
      <c r="AQ692">
        <f>((AM692/$B$7+T691*AS691/2-T692*MAX(0.1,MIN(0.3,0.3-0.09*(AP692-36.8)))/2)+AR691*(1-AS691/2))/(1-MAX(0.1,MIN(0.3,0.3-0.09*(AP692-36.8)))/2)</f>
        <v/>
      </c>
      <c r="AR692">
        <f>((AM692/$B$7+T691*AS691/2-T692*MAX(0.1,MIN(0.3,0.3-0.09*(AQ692-36.8)))/2)+AR691*(1-AS691/2))/(1-MAX(0.1,MIN(0.3,0.3-0.09*(AQ692-36.8)))/2)</f>
        <v/>
      </c>
      <c r="AS692">
        <f>MAX(0.1,MIN(0.3,0.3-0.09*(AR692-36.8)))</f>
        <v/>
      </c>
      <c r="AT692">
        <f>AT691+(2*AR692-1.962*AT691-1.31)/9</f>
        <v/>
      </c>
      <c r="AU692">
        <f>AU691+AG692+K692</f>
        <v/>
      </c>
      <c r="AV692">
        <f>AU692*2.67*$B$6/1.8/60</f>
        <v/>
      </c>
      <c r="AW692">
        <f>IF(AT692&gt;=$B$36,1,0)</f>
        <v/>
      </c>
      <c r="AX692">
        <f>IF(AV692&gt;=$B$21,1,0)</f>
        <v/>
      </c>
    </row>
    <row r="693">
      <c r="A693" t="n">
        <v>620</v>
      </c>
      <c r="B693">
        <f>MATCH(A693-1,$D$61:$D$68,1)</f>
        <v/>
      </c>
      <c r="C693">
        <f>INDEX($G$61:$G$68,B693)</f>
        <v/>
      </c>
      <c r="D693">
        <f>INDEX($L$61:$L$68,B693)</f>
        <v/>
      </c>
      <c r="E693">
        <f>INDEX($M$61:$M$68,B693)</f>
        <v/>
      </c>
      <c r="F693">
        <f>INDEX($N$61:$N$68,B693)</f>
        <v/>
      </c>
      <c r="G693">
        <f>INDEX($AA$61:$AA$68,B693)</f>
        <v/>
      </c>
      <c r="H693">
        <f>INDEX($X$61:$X$68,B693)</f>
        <v/>
      </c>
      <c r="I693">
        <f>INDEX($AF$61:$AF$68,B693)</f>
        <v/>
      </c>
      <c r="J693">
        <f>INDEX($AC$61:$AC$68,B693)</f>
        <v/>
      </c>
      <c r="K693">
        <f>INDEX($AD$61:$AD$68,B693)</f>
        <v/>
      </c>
      <c r="L693">
        <f>INDEX($AG$61:$AG$68,B693)</f>
        <v/>
      </c>
      <c r="M693">
        <f>INDEX($AH$61:$AH$68,B693)</f>
        <v/>
      </c>
      <c r="N693">
        <f>INDEX($AI$61:$AI$68,B693)</f>
        <v/>
      </c>
      <c r="O693">
        <f>O692*$B$26+L693*(1-$B$26)</f>
        <v/>
      </c>
      <c r="P693">
        <f>$B$7*(O693-O692)*(1-AS692)</f>
        <v/>
      </c>
      <c r="Q693">
        <f>M693+0.51274*AT692</f>
        <v/>
      </c>
      <c r="R693">
        <f>N693+0.616*AT692</f>
        <v/>
      </c>
      <c r="S693">
        <f>IF($B$13&gt;=0.6,Q693,IF($B$13&lt;=0.2,R693,R693+2.5*(Q693-R693)*($B$13-0.2)))</f>
        <v/>
      </c>
      <c r="T693">
        <f>IF(A693=1,S693,T692*$B$27+S693*(1-$B$27))</f>
        <v/>
      </c>
      <c r="U693">
        <f>0.6105*EXP(17.27*T693/(T693+237.3))</f>
        <v/>
      </c>
      <c r="V693">
        <f>($B$14*(I693*C693+IF(ABS((D693+0.1)-D693)&lt;0.000000001,4*$B$19*$B$20*(D693+273)^3,$B$19*$B$20*(((D693+0.1)+273)^4-(D693+273)^4)/((D693+0.1)-D693))*D693)+T693/H693)/($B$14*(I693+IF(ABS((D693+0.1)-D693)&lt;0.000000001,4*$B$19*$B$20*(D693+273)^3,$B$19*$B$20*(((D693+0.1)+273)^4-(D693+273)^4)/((D693+0.1)-D693)))+1/H693)</f>
        <v/>
      </c>
      <c r="W693">
        <f>($B$14*(I693*C693+IF(ABS(V693-D693)&lt;0.000000001,4*$B$19*$B$20*(D693+273)^3,$B$19*$B$20*((V693+273)^4-(D693+273)^4)/(V693-D693))*D693)+T693/H693)/($B$14*(I693+IF(ABS(V693-D693)&lt;0.000000001,4*$B$19*$B$20*(D693+273)^3,$B$19*$B$20*((V693+273)^4-(D693+273)^4)/(V693-D693)))+1/H693)</f>
        <v/>
      </c>
      <c r="X693">
        <f>($B$14*(I693*C693+IF(ABS(W693-D693)&lt;0.000000001,4*$B$19*$B$20*(D693+273)^3,$B$19*$B$20*((W693+273)^4-(D693+273)^4)/(W693-D693))*D693)+T693/H693)/($B$14*(I693+IF(ABS(W693-D693)&lt;0.000000001,4*$B$19*$B$20*(D693+273)^3,$B$19*$B$20*((W693+273)^4-(D693+273)^4)/(W693-D693)))+1/H693)</f>
        <v/>
      </c>
      <c r="Y693">
        <f>($B$14*(I693*C693+IF(ABS(X693-D693)&lt;0.000000001,4*$B$19*$B$20*(D693+273)^3,$B$19*$B$20*((X693+273)^4-(D693+273)^4)/(X693-D693))*D693)+T693/H693)/($B$14*(I693+IF(ABS(X693-D693)&lt;0.000000001,4*$B$19*$B$20*(D693+273)^3,$B$19*$B$20*((X693+273)^4-(D693+273)^4)/(X693-D693)))+1/H693)</f>
        <v/>
      </c>
      <c r="Z693">
        <f>IF(ABS(Y693-D693)&lt;0.000000001,4*$B$19*$B$20*(D693+273)^3,$B$19*$B$20*((Y693+273)^4-(D693+273)^4)/(Y693-D693))</f>
        <v/>
      </c>
      <c r="AA693">
        <f>$B$14*I693*(Y693-C693)</f>
        <v/>
      </c>
      <c r="AB693">
        <f>$B$14*Z693*(Y693-D693)</f>
        <v/>
      </c>
      <c r="AC693">
        <f>IF((U693-E693)/G693=0,0.001,(U693-E693)/G693)</f>
        <v/>
      </c>
      <c r="AD693">
        <f>F693-P693-J693-K693-AA693-AB693</f>
        <v/>
      </c>
      <c r="AE693">
        <f>AD693/AC693</f>
        <v/>
      </c>
      <c r="AF693">
        <f>IF(AD693&lt;=0,0,IF(AC693&lt;=0,$B$11,IF(AE693&gt;=1.7,$B$11,MIN(AD693/MAX(0.05,IF(AE693&gt;1,(2-AE693)^2/2,1-AE693^2/2)),$B$11))))</f>
        <v/>
      </c>
      <c r="AG693">
        <f>AG692*$B$28+AF693*(1-$B$28)</f>
        <v/>
      </c>
      <c r="AH693">
        <f>IF(AND(AD693&gt;0,AC693&lt;=0),0,AC693)</f>
        <v/>
      </c>
      <c r="AI693">
        <f>AH693/MAX(AG693,0.000001)</f>
        <v/>
      </c>
      <c r="AJ693">
        <f>MIN(IF(AI693&gt;=0.5,-AI693+SQRT(AI693^2+2),1),$B$12)</f>
        <v/>
      </c>
      <c r="AK693">
        <f>IF(AG693&lt;=0,0,AJ693*AH693)</f>
        <v/>
      </c>
      <c r="AL693">
        <f>IF(AD693&lt;=0,0,AD693)</f>
        <v/>
      </c>
      <c r="AM693">
        <f>AL693-AK693+P693</f>
        <v/>
      </c>
      <c r="AN693">
        <f>((AM693/$B$7+T692*AS692/2-T693*MAX(0.1,MIN(0.3,0.3-0.09*(AR692-36.8)))/2)+AR692*(1-AS692/2))/(1-MAX(0.1,MIN(0.3,0.3-0.09*(AR692-36.8)))/2)</f>
        <v/>
      </c>
      <c r="AO693">
        <f>((AM693/$B$7+T692*AS692/2-T693*MAX(0.1,MIN(0.3,0.3-0.09*(AN693-36.8)))/2)+AR692*(1-AS692/2))/(1-MAX(0.1,MIN(0.3,0.3-0.09*(AN693-36.8)))/2)</f>
        <v/>
      </c>
      <c r="AP693">
        <f>((AM693/$B$7+T692*AS692/2-T693*MAX(0.1,MIN(0.3,0.3-0.09*(AO693-36.8)))/2)+AR692*(1-AS692/2))/(1-MAX(0.1,MIN(0.3,0.3-0.09*(AO693-36.8)))/2)</f>
        <v/>
      </c>
      <c r="AQ693">
        <f>((AM693/$B$7+T692*AS692/2-T693*MAX(0.1,MIN(0.3,0.3-0.09*(AP693-36.8)))/2)+AR692*(1-AS692/2))/(1-MAX(0.1,MIN(0.3,0.3-0.09*(AP693-36.8)))/2)</f>
        <v/>
      </c>
      <c r="AR693">
        <f>((AM693/$B$7+T692*AS692/2-T693*MAX(0.1,MIN(0.3,0.3-0.09*(AQ693-36.8)))/2)+AR692*(1-AS692/2))/(1-MAX(0.1,MIN(0.3,0.3-0.09*(AQ693-36.8)))/2)</f>
        <v/>
      </c>
      <c r="AS693">
        <f>MAX(0.1,MIN(0.3,0.3-0.09*(AR693-36.8)))</f>
        <v/>
      </c>
      <c r="AT693">
        <f>AT692+(2*AR693-1.962*AT692-1.31)/9</f>
        <v/>
      </c>
      <c r="AU693">
        <f>AU692+AG693+K693</f>
        <v/>
      </c>
      <c r="AV693">
        <f>AU693*2.67*$B$6/1.8/60</f>
        <v/>
      </c>
      <c r="AW693">
        <f>IF(AT693&gt;=$B$36,1,0)</f>
        <v/>
      </c>
      <c r="AX693">
        <f>IF(AV693&gt;=$B$21,1,0)</f>
        <v/>
      </c>
    </row>
    <row r="694">
      <c r="A694" t="n">
        <v>621</v>
      </c>
      <c r="B694">
        <f>MATCH(A694-1,$D$61:$D$68,1)</f>
        <v/>
      </c>
      <c r="C694">
        <f>INDEX($G$61:$G$68,B694)</f>
        <v/>
      </c>
      <c r="D694">
        <f>INDEX($L$61:$L$68,B694)</f>
        <v/>
      </c>
      <c r="E694">
        <f>INDEX($M$61:$M$68,B694)</f>
        <v/>
      </c>
      <c r="F694">
        <f>INDEX($N$61:$N$68,B694)</f>
        <v/>
      </c>
      <c r="G694">
        <f>INDEX($AA$61:$AA$68,B694)</f>
        <v/>
      </c>
      <c r="H694">
        <f>INDEX($X$61:$X$68,B694)</f>
        <v/>
      </c>
      <c r="I694">
        <f>INDEX($AF$61:$AF$68,B694)</f>
        <v/>
      </c>
      <c r="J694">
        <f>INDEX($AC$61:$AC$68,B694)</f>
        <v/>
      </c>
      <c r="K694">
        <f>INDEX($AD$61:$AD$68,B694)</f>
        <v/>
      </c>
      <c r="L694">
        <f>INDEX($AG$61:$AG$68,B694)</f>
        <v/>
      </c>
      <c r="M694">
        <f>INDEX($AH$61:$AH$68,B694)</f>
        <v/>
      </c>
      <c r="N694">
        <f>INDEX($AI$61:$AI$68,B694)</f>
        <v/>
      </c>
      <c r="O694">
        <f>O693*$B$26+L694*(1-$B$26)</f>
        <v/>
      </c>
      <c r="P694">
        <f>$B$7*(O694-O693)*(1-AS693)</f>
        <v/>
      </c>
      <c r="Q694">
        <f>M694+0.51274*AT693</f>
        <v/>
      </c>
      <c r="R694">
        <f>N694+0.616*AT693</f>
        <v/>
      </c>
      <c r="S694">
        <f>IF($B$13&gt;=0.6,Q694,IF($B$13&lt;=0.2,R694,R694+2.5*(Q694-R694)*($B$13-0.2)))</f>
        <v/>
      </c>
      <c r="T694">
        <f>IF(A694=1,S694,T693*$B$27+S694*(1-$B$27))</f>
        <v/>
      </c>
      <c r="U694">
        <f>0.6105*EXP(17.27*T694/(T694+237.3))</f>
        <v/>
      </c>
      <c r="V694">
        <f>($B$14*(I694*C694+IF(ABS((D694+0.1)-D694)&lt;0.000000001,4*$B$19*$B$20*(D694+273)^3,$B$19*$B$20*(((D694+0.1)+273)^4-(D694+273)^4)/((D694+0.1)-D694))*D694)+T694/H694)/($B$14*(I694+IF(ABS((D694+0.1)-D694)&lt;0.000000001,4*$B$19*$B$20*(D694+273)^3,$B$19*$B$20*(((D694+0.1)+273)^4-(D694+273)^4)/((D694+0.1)-D694)))+1/H694)</f>
        <v/>
      </c>
      <c r="W694">
        <f>($B$14*(I694*C694+IF(ABS(V694-D694)&lt;0.000000001,4*$B$19*$B$20*(D694+273)^3,$B$19*$B$20*((V694+273)^4-(D694+273)^4)/(V694-D694))*D694)+T694/H694)/($B$14*(I694+IF(ABS(V694-D694)&lt;0.000000001,4*$B$19*$B$20*(D694+273)^3,$B$19*$B$20*((V694+273)^4-(D694+273)^4)/(V694-D694)))+1/H694)</f>
        <v/>
      </c>
      <c r="X694">
        <f>($B$14*(I694*C694+IF(ABS(W694-D694)&lt;0.000000001,4*$B$19*$B$20*(D694+273)^3,$B$19*$B$20*((W694+273)^4-(D694+273)^4)/(W694-D694))*D694)+T694/H694)/($B$14*(I694+IF(ABS(W694-D694)&lt;0.000000001,4*$B$19*$B$20*(D694+273)^3,$B$19*$B$20*((W694+273)^4-(D694+273)^4)/(W694-D694)))+1/H694)</f>
        <v/>
      </c>
      <c r="Y694">
        <f>($B$14*(I694*C694+IF(ABS(X694-D694)&lt;0.000000001,4*$B$19*$B$20*(D694+273)^3,$B$19*$B$20*((X694+273)^4-(D694+273)^4)/(X694-D694))*D694)+T694/H694)/($B$14*(I694+IF(ABS(X694-D694)&lt;0.000000001,4*$B$19*$B$20*(D694+273)^3,$B$19*$B$20*((X694+273)^4-(D694+273)^4)/(X694-D694)))+1/H694)</f>
        <v/>
      </c>
      <c r="Z694">
        <f>IF(ABS(Y694-D694)&lt;0.000000001,4*$B$19*$B$20*(D694+273)^3,$B$19*$B$20*((Y694+273)^4-(D694+273)^4)/(Y694-D694))</f>
        <v/>
      </c>
      <c r="AA694">
        <f>$B$14*I694*(Y694-C694)</f>
        <v/>
      </c>
      <c r="AB694">
        <f>$B$14*Z694*(Y694-D694)</f>
        <v/>
      </c>
      <c r="AC694">
        <f>IF((U694-E694)/G694=0,0.001,(U694-E694)/G694)</f>
        <v/>
      </c>
      <c r="AD694">
        <f>F694-P694-J694-K694-AA694-AB694</f>
        <v/>
      </c>
      <c r="AE694">
        <f>AD694/AC694</f>
        <v/>
      </c>
      <c r="AF694">
        <f>IF(AD694&lt;=0,0,IF(AC694&lt;=0,$B$11,IF(AE694&gt;=1.7,$B$11,MIN(AD694/MAX(0.05,IF(AE694&gt;1,(2-AE694)^2/2,1-AE694^2/2)),$B$11))))</f>
        <v/>
      </c>
      <c r="AG694">
        <f>AG693*$B$28+AF694*(1-$B$28)</f>
        <v/>
      </c>
      <c r="AH694">
        <f>IF(AND(AD694&gt;0,AC694&lt;=0),0,AC694)</f>
        <v/>
      </c>
      <c r="AI694">
        <f>AH694/MAX(AG694,0.000001)</f>
        <v/>
      </c>
      <c r="AJ694">
        <f>MIN(IF(AI694&gt;=0.5,-AI694+SQRT(AI694^2+2),1),$B$12)</f>
        <v/>
      </c>
      <c r="AK694">
        <f>IF(AG694&lt;=0,0,AJ694*AH694)</f>
        <v/>
      </c>
      <c r="AL694">
        <f>IF(AD694&lt;=0,0,AD694)</f>
        <v/>
      </c>
      <c r="AM694">
        <f>AL694-AK694+P694</f>
        <v/>
      </c>
      <c r="AN694">
        <f>((AM694/$B$7+T693*AS693/2-T694*MAX(0.1,MIN(0.3,0.3-0.09*(AR693-36.8)))/2)+AR693*(1-AS693/2))/(1-MAX(0.1,MIN(0.3,0.3-0.09*(AR693-36.8)))/2)</f>
        <v/>
      </c>
      <c r="AO694">
        <f>((AM694/$B$7+T693*AS693/2-T694*MAX(0.1,MIN(0.3,0.3-0.09*(AN694-36.8)))/2)+AR693*(1-AS693/2))/(1-MAX(0.1,MIN(0.3,0.3-0.09*(AN694-36.8)))/2)</f>
        <v/>
      </c>
      <c r="AP694">
        <f>((AM694/$B$7+T693*AS693/2-T694*MAX(0.1,MIN(0.3,0.3-0.09*(AO694-36.8)))/2)+AR693*(1-AS693/2))/(1-MAX(0.1,MIN(0.3,0.3-0.09*(AO694-36.8)))/2)</f>
        <v/>
      </c>
      <c r="AQ694">
        <f>((AM694/$B$7+T693*AS693/2-T694*MAX(0.1,MIN(0.3,0.3-0.09*(AP694-36.8)))/2)+AR693*(1-AS693/2))/(1-MAX(0.1,MIN(0.3,0.3-0.09*(AP694-36.8)))/2)</f>
        <v/>
      </c>
      <c r="AR694">
        <f>((AM694/$B$7+T693*AS693/2-T694*MAX(0.1,MIN(0.3,0.3-0.09*(AQ694-36.8)))/2)+AR693*(1-AS693/2))/(1-MAX(0.1,MIN(0.3,0.3-0.09*(AQ694-36.8)))/2)</f>
        <v/>
      </c>
      <c r="AS694">
        <f>MAX(0.1,MIN(0.3,0.3-0.09*(AR694-36.8)))</f>
        <v/>
      </c>
      <c r="AT694">
        <f>AT693+(2*AR694-1.962*AT693-1.31)/9</f>
        <v/>
      </c>
      <c r="AU694">
        <f>AU693+AG694+K694</f>
        <v/>
      </c>
      <c r="AV694">
        <f>AU694*2.67*$B$6/1.8/60</f>
        <v/>
      </c>
      <c r="AW694">
        <f>IF(AT694&gt;=$B$36,1,0)</f>
        <v/>
      </c>
      <c r="AX694">
        <f>IF(AV694&gt;=$B$21,1,0)</f>
        <v/>
      </c>
    </row>
    <row r="695">
      <c r="A695" t="n">
        <v>622</v>
      </c>
      <c r="B695">
        <f>MATCH(A695-1,$D$61:$D$68,1)</f>
        <v/>
      </c>
      <c r="C695">
        <f>INDEX($G$61:$G$68,B695)</f>
        <v/>
      </c>
      <c r="D695">
        <f>INDEX($L$61:$L$68,B695)</f>
        <v/>
      </c>
      <c r="E695">
        <f>INDEX($M$61:$M$68,B695)</f>
        <v/>
      </c>
      <c r="F695">
        <f>INDEX($N$61:$N$68,B695)</f>
        <v/>
      </c>
      <c r="G695">
        <f>INDEX($AA$61:$AA$68,B695)</f>
        <v/>
      </c>
      <c r="H695">
        <f>INDEX($X$61:$X$68,B695)</f>
        <v/>
      </c>
      <c r="I695">
        <f>INDEX($AF$61:$AF$68,B695)</f>
        <v/>
      </c>
      <c r="J695">
        <f>INDEX($AC$61:$AC$68,B695)</f>
        <v/>
      </c>
      <c r="K695">
        <f>INDEX($AD$61:$AD$68,B695)</f>
        <v/>
      </c>
      <c r="L695">
        <f>INDEX($AG$61:$AG$68,B695)</f>
        <v/>
      </c>
      <c r="M695">
        <f>INDEX($AH$61:$AH$68,B695)</f>
        <v/>
      </c>
      <c r="N695">
        <f>INDEX($AI$61:$AI$68,B695)</f>
        <v/>
      </c>
      <c r="O695">
        <f>O694*$B$26+L695*(1-$B$26)</f>
        <v/>
      </c>
      <c r="P695">
        <f>$B$7*(O695-O694)*(1-AS694)</f>
        <v/>
      </c>
      <c r="Q695">
        <f>M695+0.51274*AT694</f>
        <v/>
      </c>
      <c r="R695">
        <f>N695+0.616*AT694</f>
        <v/>
      </c>
      <c r="S695">
        <f>IF($B$13&gt;=0.6,Q695,IF($B$13&lt;=0.2,R695,R695+2.5*(Q695-R695)*($B$13-0.2)))</f>
        <v/>
      </c>
      <c r="T695">
        <f>IF(A695=1,S695,T694*$B$27+S695*(1-$B$27))</f>
        <v/>
      </c>
      <c r="U695">
        <f>0.6105*EXP(17.27*T695/(T695+237.3))</f>
        <v/>
      </c>
      <c r="V695">
        <f>($B$14*(I695*C695+IF(ABS((D695+0.1)-D695)&lt;0.000000001,4*$B$19*$B$20*(D695+273)^3,$B$19*$B$20*(((D695+0.1)+273)^4-(D695+273)^4)/((D695+0.1)-D695))*D695)+T695/H695)/($B$14*(I695+IF(ABS((D695+0.1)-D695)&lt;0.000000001,4*$B$19*$B$20*(D695+273)^3,$B$19*$B$20*(((D695+0.1)+273)^4-(D695+273)^4)/((D695+0.1)-D695)))+1/H695)</f>
        <v/>
      </c>
      <c r="W695">
        <f>($B$14*(I695*C695+IF(ABS(V695-D695)&lt;0.000000001,4*$B$19*$B$20*(D695+273)^3,$B$19*$B$20*((V695+273)^4-(D695+273)^4)/(V695-D695))*D695)+T695/H695)/($B$14*(I695+IF(ABS(V695-D695)&lt;0.000000001,4*$B$19*$B$20*(D695+273)^3,$B$19*$B$20*((V695+273)^4-(D695+273)^4)/(V695-D695)))+1/H695)</f>
        <v/>
      </c>
      <c r="X695">
        <f>($B$14*(I695*C695+IF(ABS(W695-D695)&lt;0.000000001,4*$B$19*$B$20*(D695+273)^3,$B$19*$B$20*((W695+273)^4-(D695+273)^4)/(W695-D695))*D695)+T695/H695)/($B$14*(I695+IF(ABS(W695-D695)&lt;0.000000001,4*$B$19*$B$20*(D695+273)^3,$B$19*$B$20*((W695+273)^4-(D695+273)^4)/(W695-D695)))+1/H695)</f>
        <v/>
      </c>
      <c r="Y695">
        <f>($B$14*(I695*C695+IF(ABS(X695-D695)&lt;0.000000001,4*$B$19*$B$20*(D695+273)^3,$B$19*$B$20*((X695+273)^4-(D695+273)^4)/(X695-D695))*D695)+T695/H695)/($B$14*(I695+IF(ABS(X695-D695)&lt;0.000000001,4*$B$19*$B$20*(D695+273)^3,$B$19*$B$20*((X695+273)^4-(D695+273)^4)/(X695-D695)))+1/H695)</f>
        <v/>
      </c>
      <c r="Z695">
        <f>IF(ABS(Y695-D695)&lt;0.000000001,4*$B$19*$B$20*(D695+273)^3,$B$19*$B$20*((Y695+273)^4-(D695+273)^4)/(Y695-D695))</f>
        <v/>
      </c>
      <c r="AA695">
        <f>$B$14*I695*(Y695-C695)</f>
        <v/>
      </c>
      <c r="AB695">
        <f>$B$14*Z695*(Y695-D695)</f>
        <v/>
      </c>
      <c r="AC695">
        <f>IF((U695-E695)/G695=0,0.001,(U695-E695)/G695)</f>
        <v/>
      </c>
      <c r="AD695">
        <f>F695-P695-J695-K695-AA695-AB695</f>
        <v/>
      </c>
      <c r="AE695">
        <f>AD695/AC695</f>
        <v/>
      </c>
      <c r="AF695">
        <f>IF(AD695&lt;=0,0,IF(AC695&lt;=0,$B$11,IF(AE695&gt;=1.7,$B$11,MIN(AD695/MAX(0.05,IF(AE695&gt;1,(2-AE695)^2/2,1-AE695^2/2)),$B$11))))</f>
        <v/>
      </c>
      <c r="AG695">
        <f>AG694*$B$28+AF695*(1-$B$28)</f>
        <v/>
      </c>
      <c r="AH695">
        <f>IF(AND(AD695&gt;0,AC695&lt;=0),0,AC695)</f>
        <v/>
      </c>
      <c r="AI695">
        <f>AH695/MAX(AG695,0.000001)</f>
        <v/>
      </c>
      <c r="AJ695">
        <f>MIN(IF(AI695&gt;=0.5,-AI695+SQRT(AI695^2+2),1),$B$12)</f>
        <v/>
      </c>
      <c r="AK695">
        <f>IF(AG695&lt;=0,0,AJ695*AH695)</f>
        <v/>
      </c>
      <c r="AL695">
        <f>IF(AD695&lt;=0,0,AD695)</f>
        <v/>
      </c>
      <c r="AM695">
        <f>AL695-AK695+P695</f>
        <v/>
      </c>
      <c r="AN695">
        <f>((AM695/$B$7+T694*AS694/2-T695*MAX(0.1,MIN(0.3,0.3-0.09*(AR694-36.8)))/2)+AR694*(1-AS694/2))/(1-MAX(0.1,MIN(0.3,0.3-0.09*(AR694-36.8)))/2)</f>
        <v/>
      </c>
      <c r="AO695">
        <f>((AM695/$B$7+T694*AS694/2-T695*MAX(0.1,MIN(0.3,0.3-0.09*(AN695-36.8)))/2)+AR694*(1-AS694/2))/(1-MAX(0.1,MIN(0.3,0.3-0.09*(AN695-36.8)))/2)</f>
        <v/>
      </c>
      <c r="AP695">
        <f>((AM695/$B$7+T694*AS694/2-T695*MAX(0.1,MIN(0.3,0.3-0.09*(AO695-36.8)))/2)+AR694*(1-AS694/2))/(1-MAX(0.1,MIN(0.3,0.3-0.09*(AO695-36.8)))/2)</f>
        <v/>
      </c>
      <c r="AQ695">
        <f>((AM695/$B$7+T694*AS694/2-T695*MAX(0.1,MIN(0.3,0.3-0.09*(AP695-36.8)))/2)+AR694*(1-AS694/2))/(1-MAX(0.1,MIN(0.3,0.3-0.09*(AP695-36.8)))/2)</f>
        <v/>
      </c>
      <c r="AR695">
        <f>((AM695/$B$7+T694*AS694/2-T695*MAX(0.1,MIN(0.3,0.3-0.09*(AQ695-36.8)))/2)+AR694*(1-AS694/2))/(1-MAX(0.1,MIN(0.3,0.3-0.09*(AQ695-36.8)))/2)</f>
        <v/>
      </c>
      <c r="AS695">
        <f>MAX(0.1,MIN(0.3,0.3-0.09*(AR695-36.8)))</f>
        <v/>
      </c>
      <c r="AT695">
        <f>AT694+(2*AR695-1.962*AT694-1.31)/9</f>
        <v/>
      </c>
      <c r="AU695">
        <f>AU694+AG695+K695</f>
        <v/>
      </c>
      <c r="AV695">
        <f>AU695*2.67*$B$6/1.8/60</f>
        <v/>
      </c>
      <c r="AW695">
        <f>IF(AT695&gt;=$B$36,1,0)</f>
        <v/>
      </c>
      <c r="AX695">
        <f>IF(AV695&gt;=$B$21,1,0)</f>
        <v/>
      </c>
    </row>
    <row r="696">
      <c r="A696" t="n">
        <v>623</v>
      </c>
      <c r="B696">
        <f>MATCH(A696-1,$D$61:$D$68,1)</f>
        <v/>
      </c>
      <c r="C696">
        <f>INDEX($G$61:$G$68,B696)</f>
        <v/>
      </c>
      <c r="D696">
        <f>INDEX($L$61:$L$68,B696)</f>
        <v/>
      </c>
      <c r="E696">
        <f>INDEX($M$61:$M$68,B696)</f>
        <v/>
      </c>
      <c r="F696">
        <f>INDEX($N$61:$N$68,B696)</f>
        <v/>
      </c>
      <c r="G696">
        <f>INDEX($AA$61:$AA$68,B696)</f>
        <v/>
      </c>
      <c r="H696">
        <f>INDEX($X$61:$X$68,B696)</f>
        <v/>
      </c>
      <c r="I696">
        <f>INDEX($AF$61:$AF$68,B696)</f>
        <v/>
      </c>
      <c r="J696">
        <f>INDEX($AC$61:$AC$68,B696)</f>
        <v/>
      </c>
      <c r="K696">
        <f>INDEX($AD$61:$AD$68,B696)</f>
        <v/>
      </c>
      <c r="L696">
        <f>INDEX($AG$61:$AG$68,B696)</f>
        <v/>
      </c>
      <c r="M696">
        <f>INDEX($AH$61:$AH$68,B696)</f>
        <v/>
      </c>
      <c r="N696">
        <f>INDEX($AI$61:$AI$68,B696)</f>
        <v/>
      </c>
      <c r="O696">
        <f>O695*$B$26+L696*(1-$B$26)</f>
        <v/>
      </c>
      <c r="P696">
        <f>$B$7*(O696-O695)*(1-AS695)</f>
        <v/>
      </c>
      <c r="Q696">
        <f>M696+0.51274*AT695</f>
        <v/>
      </c>
      <c r="R696">
        <f>N696+0.616*AT695</f>
        <v/>
      </c>
      <c r="S696">
        <f>IF($B$13&gt;=0.6,Q696,IF($B$13&lt;=0.2,R696,R696+2.5*(Q696-R696)*($B$13-0.2)))</f>
        <v/>
      </c>
      <c r="T696">
        <f>IF(A696=1,S696,T695*$B$27+S696*(1-$B$27))</f>
        <v/>
      </c>
      <c r="U696">
        <f>0.6105*EXP(17.27*T696/(T696+237.3))</f>
        <v/>
      </c>
      <c r="V696">
        <f>($B$14*(I696*C696+IF(ABS((D696+0.1)-D696)&lt;0.000000001,4*$B$19*$B$20*(D696+273)^3,$B$19*$B$20*(((D696+0.1)+273)^4-(D696+273)^4)/((D696+0.1)-D696))*D696)+T696/H696)/($B$14*(I696+IF(ABS((D696+0.1)-D696)&lt;0.000000001,4*$B$19*$B$20*(D696+273)^3,$B$19*$B$20*(((D696+0.1)+273)^4-(D696+273)^4)/((D696+0.1)-D696)))+1/H696)</f>
        <v/>
      </c>
      <c r="W696">
        <f>($B$14*(I696*C696+IF(ABS(V696-D696)&lt;0.000000001,4*$B$19*$B$20*(D696+273)^3,$B$19*$B$20*((V696+273)^4-(D696+273)^4)/(V696-D696))*D696)+T696/H696)/($B$14*(I696+IF(ABS(V696-D696)&lt;0.000000001,4*$B$19*$B$20*(D696+273)^3,$B$19*$B$20*((V696+273)^4-(D696+273)^4)/(V696-D696)))+1/H696)</f>
        <v/>
      </c>
      <c r="X696">
        <f>($B$14*(I696*C696+IF(ABS(W696-D696)&lt;0.000000001,4*$B$19*$B$20*(D696+273)^3,$B$19*$B$20*((W696+273)^4-(D696+273)^4)/(W696-D696))*D696)+T696/H696)/($B$14*(I696+IF(ABS(W696-D696)&lt;0.000000001,4*$B$19*$B$20*(D696+273)^3,$B$19*$B$20*((W696+273)^4-(D696+273)^4)/(W696-D696)))+1/H696)</f>
        <v/>
      </c>
      <c r="Y696">
        <f>($B$14*(I696*C696+IF(ABS(X696-D696)&lt;0.000000001,4*$B$19*$B$20*(D696+273)^3,$B$19*$B$20*((X696+273)^4-(D696+273)^4)/(X696-D696))*D696)+T696/H696)/($B$14*(I696+IF(ABS(X696-D696)&lt;0.000000001,4*$B$19*$B$20*(D696+273)^3,$B$19*$B$20*((X696+273)^4-(D696+273)^4)/(X696-D696)))+1/H696)</f>
        <v/>
      </c>
      <c r="Z696">
        <f>IF(ABS(Y696-D696)&lt;0.000000001,4*$B$19*$B$20*(D696+273)^3,$B$19*$B$20*((Y696+273)^4-(D696+273)^4)/(Y696-D696))</f>
        <v/>
      </c>
      <c r="AA696">
        <f>$B$14*I696*(Y696-C696)</f>
        <v/>
      </c>
      <c r="AB696">
        <f>$B$14*Z696*(Y696-D696)</f>
        <v/>
      </c>
      <c r="AC696">
        <f>IF((U696-E696)/G696=0,0.001,(U696-E696)/G696)</f>
        <v/>
      </c>
      <c r="AD696">
        <f>F696-P696-J696-K696-AA696-AB696</f>
        <v/>
      </c>
      <c r="AE696">
        <f>AD696/AC696</f>
        <v/>
      </c>
      <c r="AF696">
        <f>IF(AD696&lt;=0,0,IF(AC696&lt;=0,$B$11,IF(AE696&gt;=1.7,$B$11,MIN(AD696/MAX(0.05,IF(AE696&gt;1,(2-AE696)^2/2,1-AE696^2/2)),$B$11))))</f>
        <v/>
      </c>
      <c r="AG696">
        <f>AG695*$B$28+AF696*(1-$B$28)</f>
        <v/>
      </c>
      <c r="AH696">
        <f>IF(AND(AD696&gt;0,AC696&lt;=0),0,AC696)</f>
        <v/>
      </c>
      <c r="AI696">
        <f>AH696/MAX(AG696,0.000001)</f>
        <v/>
      </c>
      <c r="AJ696">
        <f>MIN(IF(AI696&gt;=0.5,-AI696+SQRT(AI696^2+2),1),$B$12)</f>
        <v/>
      </c>
      <c r="AK696">
        <f>IF(AG696&lt;=0,0,AJ696*AH696)</f>
        <v/>
      </c>
      <c r="AL696">
        <f>IF(AD696&lt;=0,0,AD696)</f>
        <v/>
      </c>
      <c r="AM696">
        <f>AL696-AK696+P696</f>
        <v/>
      </c>
      <c r="AN696">
        <f>((AM696/$B$7+T695*AS695/2-T696*MAX(0.1,MIN(0.3,0.3-0.09*(AR695-36.8)))/2)+AR695*(1-AS695/2))/(1-MAX(0.1,MIN(0.3,0.3-0.09*(AR695-36.8)))/2)</f>
        <v/>
      </c>
      <c r="AO696">
        <f>((AM696/$B$7+T695*AS695/2-T696*MAX(0.1,MIN(0.3,0.3-0.09*(AN696-36.8)))/2)+AR695*(1-AS695/2))/(1-MAX(0.1,MIN(0.3,0.3-0.09*(AN696-36.8)))/2)</f>
        <v/>
      </c>
      <c r="AP696">
        <f>((AM696/$B$7+T695*AS695/2-T696*MAX(0.1,MIN(0.3,0.3-0.09*(AO696-36.8)))/2)+AR695*(1-AS695/2))/(1-MAX(0.1,MIN(0.3,0.3-0.09*(AO696-36.8)))/2)</f>
        <v/>
      </c>
      <c r="AQ696">
        <f>((AM696/$B$7+T695*AS695/2-T696*MAX(0.1,MIN(0.3,0.3-0.09*(AP696-36.8)))/2)+AR695*(1-AS695/2))/(1-MAX(0.1,MIN(0.3,0.3-0.09*(AP696-36.8)))/2)</f>
        <v/>
      </c>
      <c r="AR696">
        <f>((AM696/$B$7+T695*AS695/2-T696*MAX(0.1,MIN(0.3,0.3-0.09*(AQ696-36.8)))/2)+AR695*(1-AS695/2))/(1-MAX(0.1,MIN(0.3,0.3-0.09*(AQ696-36.8)))/2)</f>
        <v/>
      </c>
      <c r="AS696">
        <f>MAX(0.1,MIN(0.3,0.3-0.09*(AR696-36.8)))</f>
        <v/>
      </c>
      <c r="AT696">
        <f>AT695+(2*AR696-1.962*AT695-1.31)/9</f>
        <v/>
      </c>
      <c r="AU696">
        <f>AU695+AG696+K696</f>
        <v/>
      </c>
      <c r="AV696">
        <f>AU696*2.67*$B$6/1.8/60</f>
        <v/>
      </c>
      <c r="AW696">
        <f>IF(AT696&gt;=$B$36,1,0)</f>
        <v/>
      </c>
      <c r="AX696">
        <f>IF(AV696&gt;=$B$21,1,0)</f>
        <v/>
      </c>
    </row>
    <row r="697">
      <c r="A697" t="n">
        <v>624</v>
      </c>
      <c r="B697">
        <f>MATCH(A697-1,$D$61:$D$68,1)</f>
        <v/>
      </c>
      <c r="C697">
        <f>INDEX($G$61:$G$68,B697)</f>
        <v/>
      </c>
      <c r="D697">
        <f>INDEX($L$61:$L$68,B697)</f>
        <v/>
      </c>
      <c r="E697">
        <f>INDEX($M$61:$M$68,B697)</f>
        <v/>
      </c>
      <c r="F697">
        <f>INDEX($N$61:$N$68,B697)</f>
        <v/>
      </c>
      <c r="G697">
        <f>INDEX($AA$61:$AA$68,B697)</f>
        <v/>
      </c>
      <c r="H697">
        <f>INDEX($X$61:$X$68,B697)</f>
        <v/>
      </c>
      <c r="I697">
        <f>INDEX($AF$61:$AF$68,B697)</f>
        <v/>
      </c>
      <c r="J697">
        <f>INDEX($AC$61:$AC$68,B697)</f>
        <v/>
      </c>
      <c r="K697">
        <f>INDEX($AD$61:$AD$68,B697)</f>
        <v/>
      </c>
      <c r="L697">
        <f>INDEX($AG$61:$AG$68,B697)</f>
        <v/>
      </c>
      <c r="M697">
        <f>INDEX($AH$61:$AH$68,B697)</f>
        <v/>
      </c>
      <c r="N697">
        <f>INDEX($AI$61:$AI$68,B697)</f>
        <v/>
      </c>
      <c r="O697">
        <f>O696*$B$26+L697*(1-$B$26)</f>
        <v/>
      </c>
      <c r="P697">
        <f>$B$7*(O697-O696)*(1-AS696)</f>
        <v/>
      </c>
      <c r="Q697">
        <f>M697+0.51274*AT696</f>
        <v/>
      </c>
      <c r="R697">
        <f>N697+0.616*AT696</f>
        <v/>
      </c>
      <c r="S697">
        <f>IF($B$13&gt;=0.6,Q697,IF($B$13&lt;=0.2,R697,R697+2.5*(Q697-R697)*($B$13-0.2)))</f>
        <v/>
      </c>
      <c r="T697">
        <f>IF(A697=1,S697,T696*$B$27+S697*(1-$B$27))</f>
        <v/>
      </c>
      <c r="U697">
        <f>0.6105*EXP(17.27*T697/(T697+237.3))</f>
        <v/>
      </c>
      <c r="V697">
        <f>($B$14*(I697*C697+IF(ABS((D697+0.1)-D697)&lt;0.000000001,4*$B$19*$B$20*(D697+273)^3,$B$19*$B$20*(((D697+0.1)+273)^4-(D697+273)^4)/((D697+0.1)-D697))*D697)+T697/H697)/($B$14*(I697+IF(ABS((D697+0.1)-D697)&lt;0.000000001,4*$B$19*$B$20*(D697+273)^3,$B$19*$B$20*(((D697+0.1)+273)^4-(D697+273)^4)/((D697+0.1)-D697)))+1/H697)</f>
        <v/>
      </c>
      <c r="W697">
        <f>($B$14*(I697*C697+IF(ABS(V697-D697)&lt;0.000000001,4*$B$19*$B$20*(D697+273)^3,$B$19*$B$20*((V697+273)^4-(D697+273)^4)/(V697-D697))*D697)+T697/H697)/($B$14*(I697+IF(ABS(V697-D697)&lt;0.000000001,4*$B$19*$B$20*(D697+273)^3,$B$19*$B$20*((V697+273)^4-(D697+273)^4)/(V697-D697)))+1/H697)</f>
        <v/>
      </c>
      <c r="X697">
        <f>($B$14*(I697*C697+IF(ABS(W697-D697)&lt;0.000000001,4*$B$19*$B$20*(D697+273)^3,$B$19*$B$20*((W697+273)^4-(D697+273)^4)/(W697-D697))*D697)+T697/H697)/($B$14*(I697+IF(ABS(W697-D697)&lt;0.000000001,4*$B$19*$B$20*(D697+273)^3,$B$19*$B$20*((W697+273)^4-(D697+273)^4)/(W697-D697)))+1/H697)</f>
        <v/>
      </c>
      <c r="Y697">
        <f>($B$14*(I697*C697+IF(ABS(X697-D697)&lt;0.000000001,4*$B$19*$B$20*(D697+273)^3,$B$19*$B$20*((X697+273)^4-(D697+273)^4)/(X697-D697))*D697)+T697/H697)/($B$14*(I697+IF(ABS(X697-D697)&lt;0.000000001,4*$B$19*$B$20*(D697+273)^3,$B$19*$B$20*((X697+273)^4-(D697+273)^4)/(X697-D697)))+1/H697)</f>
        <v/>
      </c>
      <c r="Z697">
        <f>IF(ABS(Y697-D697)&lt;0.000000001,4*$B$19*$B$20*(D697+273)^3,$B$19*$B$20*((Y697+273)^4-(D697+273)^4)/(Y697-D697))</f>
        <v/>
      </c>
      <c r="AA697">
        <f>$B$14*I697*(Y697-C697)</f>
        <v/>
      </c>
      <c r="AB697">
        <f>$B$14*Z697*(Y697-D697)</f>
        <v/>
      </c>
      <c r="AC697">
        <f>IF((U697-E697)/G697=0,0.001,(U697-E697)/G697)</f>
        <v/>
      </c>
      <c r="AD697">
        <f>F697-P697-J697-K697-AA697-AB697</f>
        <v/>
      </c>
      <c r="AE697">
        <f>AD697/AC697</f>
        <v/>
      </c>
      <c r="AF697">
        <f>IF(AD697&lt;=0,0,IF(AC697&lt;=0,$B$11,IF(AE697&gt;=1.7,$B$11,MIN(AD697/MAX(0.05,IF(AE697&gt;1,(2-AE697)^2/2,1-AE697^2/2)),$B$11))))</f>
        <v/>
      </c>
      <c r="AG697">
        <f>AG696*$B$28+AF697*(1-$B$28)</f>
        <v/>
      </c>
      <c r="AH697">
        <f>IF(AND(AD697&gt;0,AC697&lt;=0),0,AC697)</f>
        <v/>
      </c>
      <c r="AI697">
        <f>AH697/MAX(AG697,0.000001)</f>
        <v/>
      </c>
      <c r="AJ697">
        <f>MIN(IF(AI697&gt;=0.5,-AI697+SQRT(AI697^2+2),1),$B$12)</f>
        <v/>
      </c>
      <c r="AK697">
        <f>IF(AG697&lt;=0,0,AJ697*AH697)</f>
        <v/>
      </c>
      <c r="AL697">
        <f>IF(AD697&lt;=0,0,AD697)</f>
        <v/>
      </c>
      <c r="AM697">
        <f>AL697-AK697+P697</f>
        <v/>
      </c>
      <c r="AN697">
        <f>((AM697/$B$7+T696*AS696/2-T697*MAX(0.1,MIN(0.3,0.3-0.09*(AR696-36.8)))/2)+AR696*(1-AS696/2))/(1-MAX(0.1,MIN(0.3,0.3-0.09*(AR696-36.8)))/2)</f>
        <v/>
      </c>
      <c r="AO697">
        <f>((AM697/$B$7+T696*AS696/2-T697*MAX(0.1,MIN(0.3,0.3-0.09*(AN697-36.8)))/2)+AR696*(1-AS696/2))/(1-MAX(0.1,MIN(0.3,0.3-0.09*(AN697-36.8)))/2)</f>
        <v/>
      </c>
      <c r="AP697">
        <f>((AM697/$B$7+T696*AS696/2-T697*MAX(0.1,MIN(0.3,0.3-0.09*(AO697-36.8)))/2)+AR696*(1-AS696/2))/(1-MAX(0.1,MIN(0.3,0.3-0.09*(AO697-36.8)))/2)</f>
        <v/>
      </c>
      <c r="AQ697">
        <f>((AM697/$B$7+T696*AS696/2-T697*MAX(0.1,MIN(0.3,0.3-0.09*(AP697-36.8)))/2)+AR696*(1-AS696/2))/(1-MAX(0.1,MIN(0.3,0.3-0.09*(AP697-36.8)))/2)</f>
        <v/>
      </c>
      <c r="AR697">
        <f>((AM697/$B$7+T696*AS696/2-T697*MAX(0.1,MIN(0.3,0.3-0.09*(AQ697-36.8)))/2)+AR696*(1-AS696/2))/(1-MAX(0.1,MIN(0.3,0.3-0.09*(AQ697-36.8)))/2)</f>
        <v/>
      </c>
      <c r="AS697">
        <f>MAX(0.1,MIN(0.3,0.3-0.09*(AR697-36.8)))</f>
        <v/>
      </c>
      <c r="AT697">
        <f>AT696+(2*AR697-1.962*AT696-1.31)/9</f>
        <v/>
      </c>
      <c r="AU697">
        <f>AU696+AG697+K697</f>
        <v/>
      </c>
      <c r="AV697">
        <f>AU697*2.67*$B$6/1.8/60</f>
        <v/>
      </c>
      <c r="AW697">
        <f>IF(AT697&gt;=$B$36,1,0)</f>
        <v/>
      </c>
      <c r="AX697">
        <f>IF(AV697&gt;=$B$21,1,0)</f>
        <v/>
      </c>
    </row>
    <row r="698">
      <c r="A698" t="n">
        <v>625</v>
      </c>
      <c r="B698">
        <f>MATCH(A698-1,$D$61:$D$68,1)</f>
        <v/>
      </c>
      <c r="C698">
        <f>INDEX($G$61:$G$68,B698)</f>
        <v/>
      </c>
      <c r="D698">
        <f>INDEX($L$61:$L$68,B698)</f>
        <v/>
      </c>
      <c r="E698">
        <f>INDEX($M$61:$M$68,B698)</f>
        <v/>
      </c>
      <c r="F698">
        <f>INDEX($N$61:$N$68,B698)</f>
        <v/>
      </c>
      <c r="G698">
        <f>INDEX($AA$61:$AA$68,B698)</f>
        <v/>
      </c>
      <c r="H698">
        <f>INDEX($X$61:$X$68,B698)</f>
        <v/>
      </c>
      <c r="I698">
        <f>INDEX($AF$61:$AF$68,B698)</f>
        <v/>
      </c>
      <c r="J698">
        <f>INDEX($AC$61:$AC$68,B698)</f>
        <v/>
      </c>
      <c r="K698">
        <f>INDEX($AD$61:$AD$68,B698)</f>
        <v/>
      </c>
      <c r="L698">
        <f>INDEX($AG$61:$AG$68,B698)</f>
        <v/>
      </c>
      <c r="M698">
        <f>INDEX($AH$61:$AH$68,B698)</f>
        <v/>
      </c>
      <c r="N698">
        <f>INDEX($AI$61:$AI$68,B698)</f>
        <v/>
      </c>
      <c r="O698">
        <f>O697*$B$26+L698*(1-$B$26)</f>
        <v/>
      </c>
      <c r="P698">
        <f>$B$7*(O698-O697)*(1-AS697)</f>
        <v/>
      </c>
      <c r="Q698">
        <f>M698+0.51274*AT697</f>
        <v/>
      </c>
      <c r="R698">
        <f>N698+0.616*AT697</f>
        <v/>
      </c>
      <c r="S698">
        <f>IF($B$13&gt;=0.6,Q698,IF($B$13&lt;=0.2,R698,R698+2.5*(Q698-R698)*($B$13-0.2)))</f>
        <v/>
      </c>
      <c r="T698">
        <f>IF(A698=1,S698,T697*$B$27+S698*(1-$B$27))</f>
        <v/>
      </c>
      <c r="U698">
        <f>0.6105*EXP(17.27*T698/(T698+237.3))</f>
        <v/>
      </c>
      <c r="V698">
        <f>($B$14*(I698*C698+IF(ABS((D698+0.1)-D698)&lt;0.000000001,4*$B$19*$B$20*(D698+273)^3,$B$19*$B$20*(((D698+0.1)+273)^4-(D698+273)^4)/((D698+0.1)-D698))*D698)+T698/H698)/($B$14*(I698+IF(ABS((D698+0.1)-D698)&lt;0.000000001,4*$B$19*$B$20*(D698+273)^3,$B$19*$B$20*(((D698+0.1)+273)^4-(D698+273)^4)/((D698+0.1)-D698)))+1/H698)</f>
        <v/>
      </c>
      <c r="W698">
        <f>($B$14*(I698*C698+IF(ABS(V698-D698)&lt;0.000000001,4*$B$19*$B$20*(D698+273)^3,$B$19*$B$20*((V698+273)^4-(D698+273)^4)/(V698-D698))*D698)+T698/H698)/($B$14*(I698+IF(ABS(V698-D698)&lt;0.000000001,4*$B$19*$B$20*(D698+273)^3,$B$19*$B$20*((V698+273)^4-(D698+273)^4)/(V698-D698)))+1/H698)</f>
        <v/>
      </c>
      <c r="X698">
        <f>($B$14*(I698*C698+IF(ABS(W698-D698)&lt;0.000000001,4*$B$19*$B$20*(D698+273)^3,$B$19*$B$20*((W698+273)^4-(D698+273)^4)/(W698-D698))*D698)+T698/H698)/($B$14*(I698+IF(ABS(W698-D698)&lt;0.000000001,4*$B$19*$B$20*(D698+273)^3,$B$19*$B$20*((W698+273)^4-(D698+273)^4)/(W698-D698)))+1/H698)</f>
        <v/>
      </c>
      <c r="Y698">
        <f>($B$14*(I698*C698+IF(ABS(X698-D698)&lt;0.000000001,4*$B$19*$B$20*(D698+273)^3,$B$19*$B$20*((X698+273)^4-(D698+273)^4)/(X698-D698))*D698)+T698/H698)/($B$14*(I698+IF(ABS(X698-D698)&lt;0.000000001,4*$B$19*$B$20*(D698+273)^3,$B$19*$B$20*((X698+273)^4-(D698+273)^4)/(X698-D698)))+1/H698)</f>
        <v/>
      </c>
      <c r="Z698">
        <f>IF(ABS(Y698-D698)&lt;0.000000001,4*$B$19*$B$20*(D698+273)^3,$B$19*$B$20*((Y698+273)^4-(D698+273)^4)/(Y698-D698))</f>
        <v/>
      </c>
      <c r="AA698">
        <f>$B$14*I698*(Y698-C698)</f>
        <v/>
      </c>
      <c r="AB698">
        <f>$B$14*Z698*(Y698-D698)</f>
        <v/>
      </c>
      <c r="AC698">
        <f>IF((U698-E698)/G698=0,0.001,(U698-E698)/G698)</f>
        <v/>
      </c>
      <c r="AD698">
        <f>F698-P698-J698-K698-AA698-AB698</f>
        <v/>
      </c>
      <c r="AE698">
        <f>AD698/AC698</f>
        <v/>
      </c>
      <c r="AF698">
        <f>IF(AD698&lt;=0,0,IF(AC698&lt;=0,$B$11,IF(AE698&gt;=1.7,$B$11,MIN(AD698/MAX(0.05,IF(AE698&gt;1,(2-AE698)^2/2,1-AE698^2/2)),$B$11))))</f>
        <v/>
      </c>
      <c r="AG698">
        <f>AG697*$B$28+AF698*(1-$B$28)</f>
        <v/>
      </c>
      <c r="AH698">
        <f>IF(AND(AD698&gt;0,AC698&lt;=0),0,AC698)</f>
        <v/>
      </c>
      <c r="AI698">
        <f>AH698/MAX(AG698,0.000001)</f>
        <v/>
      </c>
      <c r="AJ698">
        <f>MIN(IF(AI698&gt;=0.5,-AI698+SQRT(AI698^2+2),1),$B$12)</f>
        <v/>
      </c>
      <c r="AK698">
        <f>IF(AG698&lt;=0,0,AJ698*AH698)</f>
        <v/>
      </c>
      <c r="AL698">
        <f>IF(AD698&lt;=0,0,AD698)</f>
        <v/>
      </c>
      <c r="AM698">
        <f>AL698-AK698+P698</f>
        <v/>
      </c>
      <c r="AN698">
        <f>((AM698/$B$7+T697*AS697/2-T698*MAX(0.1,MIN(0.3,0.3-0.09*(AR697-36.8)))/2)+AR697*(1-AS697/2))/(1-MAX(0.1,MIN(0.3,0.3-0.09*(AR697-36.8)))/2)</f>
        <v/>
      </c>
      <c r="AO698">
        <f>((AM698/$B$7+T697*AS697/2-T698*MAX(0.1,MIN(0.3,0.3-0.09*(AN698-36.8)))/2)+AR697*(1-AS697/2))/(1-MAX(0.1,MIN(0.3,0.3-0.09*(AN698-36.8)))/2)</f>
        <v/>
      </c>
      <c r="AP698">
        <f>((AM698/$B$7+T697*AS697/2-T698*MAX(0.1,MIN(0.3,0.3-0.09*(AO698-36.8)))/2)+AR697*(1-AS697/2))/(1-MAX(0.1,MIN(0.3,0.3-0.09*(AO698-36.8)))/2)</f>
        <v/>
      </c>
      <c r="AQ698">
        <f>((AM698/$B$7+T697*AS697/2-T698*MAX(0.1,MIN(0.3,0.3-0.09*(AP698-36.8)))/2)+AR697*(1-AS697/2))/(1-MAX(0.1,MIN(0.3,0.3-0.09*(AP698-36.8)))/2)</f>
        <v/>
      </c>
      <c r="AR698">
        <f>((AM698/$B$7+T697*AS697/2-T698*MAX(0.1,MIN(0.3,0.3-0.09*(AQ698-36.8)))/2)+AR697*(1-AS697/2))/(1-MAX(0.1,MIN(0.3,0.3-0.09*(AQ698-36.8)))/2)</f>
        <v/>
      </c>
      <c r="AS698">
        <f>MAX(0.1,MIN(0.3,0.3-0.09*(AR698-36.8)))</f>
        <v/>
      </c>
      <c r="AT698">
        <f>AT697+(2*AR698-1.962*AT697-1.31)/9</f>
        <v/>
      </c>
      <c r="AU698">
        <f>AU697+AG698+K698</f>
        <v/>
      </c>
      <c r="AV698">
        <f>AU698*2.67*$B$6/1.8/60</f>
        <v/>
      </c>
      <c r="AW698">
        <f>IF(AT698&gt;=$B$36,1,0)</f>
        <v/>
      </c>
      <c r="AX698">
        <f>IF(AV698&gt;=$B$21,1,0)</f>
        <v/>
      </c>
    </row>
    <row r="699">
      <c r="A699" t="n">
        <v>626</v>
      </c>
      <c r="B699">
        <f>MATCH(A699-1,$D$61:$D$68,1)</f>
        <v/>
      </c>
      <c r="C699">
        <f>INDEX($G$61:$G$68,B699)</f>
        <v/>
      </c>
      <c r="D699">
        <f>INDEX($L$61:$L$68,B699)</f>
        <v/>
      </c>
      <c r="E699">
        <f>INDEX($M$61:$M$68,B699)</f>
        <v/>
      </c>
      <c r="F699">
        <f>INDEX($N$61:$N$68,B699)</f>
        <v/>
      </c>
      <c r="G699">
        <f>INDEX($AA$61:$AA$68,B699)</f>
        <v/>
      </c>
      <c r="H699">
        <f>INDEX($X$61:$X$68,B699)</f>
        <v/>
      </c>
      <c r="I699">
        <f>INDEX($AF$61:$AF$68,B699)</f>
        <v/>
      </c>
      <c r="J699">
        <f>INDEX($AC$61:$AC$68,B699)</f>
        <v/>
      </c>
      <c r="K699">
        <f>INDEX($AD$61:$AD$68,B699)</f>
        <v/>
      </c>
      <c r="L699">
        <f>INDEX($AG$61:$AG$68,B699)</f>
        <v/>
      </c>
      <c r="M699">
        <f>INDEX($AH$61:$AH$68,B699)</f>
        <v/>
      </c>
      <c r="N699">
        <f>INDEX($AI$61:$AI$68,B699)</f>
        <v/>
      </c>
      <c r="O699">
        <f>O698*$B$26+L699*(1-$B$26)</f>
        <v/>
      </c>
      <c r="P699">
        <f>$B$7*(O699-O698)*(1-AS698)</f>
        <v/>
      </c>
      <c r="Q699">
        <f>M699+0.51274*AT698</f>
        <v/>
      </c>
      <c r="R699">
        <f>N699+0.616*AT698</f>
        <v/>
      </c>
      <c r="S699">
        <f>IF($B$13&gt;=0.6,Q699,IF($B$13&lt;=0.2,R699,R699+2.5*(Q699-R699)*($B$13-0.2)))</f>
        <v/>
      </c>
      <c r="T699">
        <f>IF(A699=1,S699,T698*$B$27+S699*(1-$B$27))</f>
        <v/>
      </c>
      <c r="U699">
        <f>0.6105*EXP(17.27*T699/(T699+237.3))</f>
        <v/>
      </c>
      <c r="V699">
        <f>($B$14*(I699*C699+IF(ABS((D699+0.1)-D699)&lt;0.000000001,4*$B$19*$B$20*(D699+273)^3,$B$19*$B$20*(((D699+0.1)+273)^4-(D699+273)^4)/((D699+0.1)-D699))*D699)+T699/H699)/($B$14*(I699+IF(ABS((D699+0.1)-D699)&lt;0.000000001,4*$B$19*$B$20*(D699+273)^3,$B$19*$B$20*(((D699+0.1)+273)^4-(D699+273)^4)/((D699+0.1)-D699)))+1/H699)</f>
        <v/>
      </c>
      <c r="W699">
        <f>($B$14*(I699*C699+IF(ABS(V699-D699)&lt;0.000000001,4*$B$19*$B$20*(D699+273)^3,$B$19*$B$20*((V699+273)^4-(D699+273)^4)/(V699-D699))*D699)+T699/H699)/($B$14*(I699+IF(ABS(V699-D699)&lt;0.000000001,4*$B$19*$B$20*(D699+273)^3,$B$19*$B$20*((V699+273)^4-(D699+273)^4)/(V699-D699)))+1/H699)</f>
        <v/>
      </c>
      <c r="X699">
        <f>($B$14*(I699*C699+IF(ABS(W699-D699)&lt;0.000000001,4*$B$19*$B$20*(D699+273)^3,$B$19*$B$20*((W699+273)^4-(D699+273)^4)/(W699-D699))*D699)+T699/H699)/($B$14*(I699+IF(ABS(W699-D699)&lt;0.000000001,4*$B$19*$B$20*(D699+273)^3,$B$19*$B$20*((W699+273)^4-(D699+273)^4)/(W699-D699)))+1/H699)</f>
        <v/>
      </c>
      <c r="Y699">
        <f>($B$14*(I699*C699+IF(ABS(X699-D699)&lt;0.000000001,4*$B$19*$B$20*(D699+273)^3,$B$19*$B$20*((X699+273)^4-(D699+273)^4)/(X699-D699))*D699)+T699/H699)/($B$14*(I699+IF(ABS(X699-D699)&lt;0.000000001,4*$B$19*$B$20*(D699+273)^3,$B$19*$B$20*((X699+273)^4-(D699+273)^4)/(X699-D699)))+1/H699)</f>
        <v/>
      </c>
      <c r="Z699">
        <f>IF(ABS(Y699-D699)&lt;0.000000001,4*$B$19*$B$20*(D699+273)^3,$B$19*$B$20*((Y699+273)^4-(D699+273)^4)/(Y699-D699))</f>
        <v/>
      </c>
      <c r="AA699">
        <f>$B$14*I699*(Y699-C699)</f>
        <v/>
      </c>
      <c r="AB699">
        <f>$B$14*Z699*(Y699-D699)</f>
        <v/>
      </c>
      <c r="AC699">
        <f>IF((U699-E699)/G699=0,0.001,(U699-E699)/G699)</f>
        <v/>
      </c>
      <c r="AD699">
        <f>F699-P699-J699-K699-AA699-AB699</f>
        <v/>
      </c>
      <c r="AE699">
        <f>AD699/AC699</f>
        <v/>
      </c>
      <c r="AF699">
        <f>IF(AD699&lt;=0,0,IF(AC699&lt;=0,$B$11,IF(AE699&gt;=1.7,$B$11,MIN(AD699/MAX(0.05,IF(AE699&gt;1,(2-AE699)^2/2,1-AE699^2/2)),$B$11))))</f>
        <v/>
      </c>
      <c r="AG699">
        <f>AG698*$B$28+AF699*(1-$B$28)</f>
        <v/>
      </c>
      <c r="AH699">
        <f>IF(AND(AD699&gt;0,AC699&lt;=0),0,AC699)</f>
        <v/>
      </c>
      <c r="AI699">
        <f>AH699/MAX(AG699,0.000001)</f>
        <v/>
      </c>
      <c r="AJ699">
        <f>MIN(IF(AI699&gt;=0.5,-AI699+SQRT(AI699^2+2),1),$B$12)</f>
        <v/>
      </c>
      <c r="AK699">
        <f>IF(AG699&lt;=0,0,AJ699*AH699)</f>
        <v/>
      </c>
      <c r="AL699">
        <f>IF(AD699&lt;=0,0,AD699)</f>
        <v/>
      </c>
      <c r="AM699">
        <f>AL699-AK699+P699</f>
        <v/>
      </c>
      <c r="AN699">
        <f>((AM699/$B$7+T698*AS698/2-T699*MAX(0.1,MIN(0.3,0.3-0.09*(AR698-36.8)))/2)+AR698*(1-AS698/2))/(1-MAX(0.1,MIN(0.3,0.3-0.09*(AR698-36.8)))/2)</f>
        <v/>
      </c>
      <c r="AO699">
        <f>((AM699/$B$7+T698*AS698/2-T699*MAX(0.1,MIN(0.3,0.3-0.09*(AN699-36.8)))/2)+AR698*(1-AS698/2))/(1-MAX(0.1,MIN(0.3,0.3-0.09*(AN699-36.8)))/2)</f>
        <v/>
      </c>
      <c r="AP699">
        <f>((AM699/$B$7+T698*AS698/2-T699*MAX(0.1,MIN(0.3,0.3-0.09*(AO699-36.8)))/2)+AR698*(1-AS698/2))/(1-MAX(0.1,MIN(0.3,0.3-0.09*(AO699-36.8)))/2)</f>
        <v/>
      </c>
      <c r="AQ699">
        <f>((AM699/$B$7+T698*AS698/2-T699*MAX(0.1,MIN(0.3,0.3-0.09*(AP699-36.8)))/2)+AR698*(1-AS698/2))/(1-MAX(0.1,MIN(0.3,0.3-0.09*(AP699-36.8)))/2)</f>
        <v/>
      </c>
      <c r="AR699">
        <f>((AM699/$B$7+T698*AS698/2-T699*MAX(0.1,MIN(0.3,0.3-0.09*(AQ699-36.8)))/2)+AR698*(1-AS698/2))/(1-MAX(0.1,MIN(0.3,0.3-0.09*(AQ699-36.8)))/2)</f>
        <v/>
      </c>
      <c r="AS699">
        <f>MAX(0.1,MIN(0.3,0.3-0.09*(AR699-36.8)))</f>
        <v/>
      </c>
      <c r="AT699">
        <f>AT698+(2*AR699-1.962*AT698-1.31)/9</f>
        <v/>
      </c>
      <c r="AU699">
        <f>AU698+AG699+K699</f>
        <v/>
      </c>
      <c r="AV699">
        <f>AU699*2.67*$B$6/1.8/60</f>
        <v/>
      </c>
      <c r="AW699">
        <f>IF(AT699&gt;=$B$36,1,0)</f>
        <v/>
      </c>
      <c r="AX699">
        <f>IF(AV699&gt;=$B$21,1,0)</f>
        <v/>
      </c>
    </row>
    <row r="700">
      <c r="A700" t="n">
        <v>627</v>
      </c>
      <c r="B700">
        <f>MATCH(A700-1,$D$61:$D$68,1)</f>
        <v/>
      </c>
      <c r="C700">
        <f>INDEX($G$61:$G$68,B700)</f>
        <v/>
      </c>
      <c r="D700">
        <f>INDEX($L$61:$L$68,B700)</f>
        <v/>
      </c>
      <c r="E700">
        <f>INDEX($M$61:$M$68,B700)</f>
        <v/>
      </c>
      <c r="F700">
        <f>INDEX($N$61:$N$68,B700)</f>
        <v/>
      </c>
      <c r="G700">
        <f>INDEX($AA$61:$AA$68,B700)</f>
        <v/>
      </c>
      <c r="H700">
        <f>INDEX($X$61:$X$68,B700)</f>
        <v/>
      </c>
      <c r="I700">
        <f>INDEX($AF$61:$AF$68,B700)</f>
        <v/>
      </c>
      <c r="J700">
        <f>INDEX($AC$61:$AC$68,B700)</f>
        <v/>
      </c>
      <c r="K700">
        <f>INDEX($AD$61:$AD$68,B700)</f>
        <v/>
      </c>
      <c r="L700">
        <f>INDEX($AG$61:$AG$68,B700)</f>
        <v/>
      </c>
      <c r="M700">
        <f>INDEX($AH$61:$AH$68,B700)</f>
        <v/>
      </c>
      <c r="N700">
        <f>INDEX($AI$61:$AI$68,B700)</f>
        <v/>
      </c>
      <c r="O700">
        <f>O699*$B$26+L700*(1-$B$26)</f>
        <v/>
      </c>
      <c r="P700">
        <f>$B$7*(O700-O699)*(1-AS699)</f>
        <v/>
      </c>
      <c r="Q700">
        <f>M700+0.51274*AT699</f>
        <v/>
      </c>
      <c r="R700">
        <f>N700+0.616*AT699</f>
        <v/>
      </c>
      <c r="S700">
        <f>IF($B$13&gt;=0.6,Q700,IF($B$13&lt;=0.2,R700,R700+2.5*(Q700-R700)*($B$13-0.2)))</f>
        <v/>
      </c>
      <c r="T700">
        <f>IF(A700=1,S700,T699*$B$27+S700*(1-$B$27))</f>
        <v/>
      </c>
      <c r="U700">
        <f>0.6105*EXP(17.27*T700/(T700+237.3))</f>
        <v/>
      </c>
      <c r="V700">
        <f>($B$14*(I700*C700+IF(ABS((D700+0.1)-D700)&lt;0.000000001,4*$B$19*$B$20*(D700+273)^3,$B$19*$B$20*(((D700+0.1)+273)^4-(D700+273)^4)/((D700+0.1)-D700))*D700)+T700/H700)/($B$14*(I700+IF(ABS((D700+0.1)-D700)&lt;0.000000001,4*$B$19*$B$20*(D700+273)^3,$B$19*$B$20*(((D700+0.1)+273)^4-(D700+273)^4)/((D700+0.1)-D700)))+1/H700)</f>
        <v/>
      </c>
      <c r="W700">
        <f>($B$14*(I700*C700+IF(ABS(V700-D700)&lt;0.000000001,4*$B$19*$B$20*(D700+273)^3,$B$19*$B$20*((V700+273)^4-(D700+273)^4)/(V700-D700))*D700)+T700/H700)/($B$14*(I700+IF(ABS(V700-D700)&lt;0.000000001,4*$B$19*$B$20*(D700+273)^3,$B$19*$B$20*((V700+273)^4-(D700+273)^4)/(V700-D700)))+1/H700)</f>
        <v/>
      </c>
      <c r="X700">
        <f>($B$14*(I700*C700+IF(ABS(W700-D700)&lt;0.000000001,4*$B$19*$B$20*(D700+273)^3,$B$19*$B$20*((W700+273)^4-(D700+273)^4)/(W700-D700))*D700)+T700/H700)/($B$14*(I700+IF(ABS(W700-D700)&lt;0.000000001,4*$B$19*$B$20*(D700+273)^3,$B$19*$B$20*((W700+273)^4-(D700+273)^4)/(W700-D700)))+1/H700)</f>
        <v/>
      </c>
      <c r="Y700">
        <f>($B$14*(I700*C700+IF(ABS(X700-D700)&lt;0.000000001,4*$B$19*$B$20*(D700+273)^3,$B$19*$B$20*((X700+273)^4-(D700+273)^4)/(X700-D700))*D700)+T700/H700)/($B$14*(I700+IF(ABS(X700-D700)&lt;0.000000001,4*$B$19*$B$20*(D700+273)^3,$B$19*$B$20*((X700+273)^4-(D700+273)^4)/(X700-D700)))+1/H700)</f>
        <v/>
      </c>
      <c r="Z700">
        <f>IF(ABS(Y700-D700)&lt;0.000000001,4*$B$19*$B$20*(D700+273)^3,$B$19*$B$20*((Y700+273)^4-(D700+273)^4)/(Y700-D700))</f>
        <v/>
      </c>
      <c r="AA700">
        <f>$B$14*I700*(Y700-C700)</f>
        <v/>
      </c>
      <c r="AB700">
        <f>$B$14*Z700*(Y700-D700)</f>
        <v/>
      </c>
      <c r="AC700">
        <f>IF((U700-E700)/G700=0,0.001,(U700-E700)/G700)</f>
        <v/>
      </c>
      <c r="AD700">
        <f>F700-P700-J700-K700-AA700-AB700</f>
        <v/>
      </c>
      <c r="AE700">
        <f>AD700/AC700</f>
        <v/>
      </c>
      <c r="AF700">
        <f>IF(AD700&lt;=0,0,IF(AC700&lt;=0,$B$11,IF(AE700&gt;=1.7,$B$11,MIN(AD700/MAX(0.05,IF(AE700&gt;1,(2-AE700)^2/2,1-AE700^2/2)),$B$11))))</f>
        <v/>
      </c>
      <c r="AG700">
        <f>AG699*$B$28+AF700*(1-$B$28)</f>
        <v/>
      </c>
      <c r="AH700">
        <f>IF(AND(AD700&gt;0,AC700&lt;=0),0,AC700)</f>
        <v/>
      </c>
      <c r="AI700">
        <f>AH700/MAX(AG700,0.000001)</f>
        <v/>
      </c>
      <c r="AJ700">
        <f>MIN(IF(AI700&gt;=0.5,-AI700+SQRT(AI700^2+2),1),$B$12)</f>
        <v/>
      </c>
      <c r="AK700">
        <f>IF(AG700&lt;=0,0,AJ700*AH700)</f>
        <v/>
      </c>
      <c r="AL700">
        <f>IF(AD700&lt;=0,0,AD700)</f>
        <v/>
      </c>
      <c r="AM700">
        <f>AL700-AK700+P700</f>
        <v/>
      </c>
      <c r="AN700">
        <f>((AM700/$B$7+T699*AS699/2-T700*MAX(0.1,MIN(0.3,0.3-0.09*(AR699-36.8)))/2)+AR699*(1-AS699/2))/(1-MAX(0.1,MIN(0.3,0.3-0.09*(AR699-36.8)))/2)</f>
        <v/>
      </c>
      <c r="AO700">
        <f>((AM700/$B$7+T699*AS699/2-T700*MAX(0.1,MIN(0.3,0.3-0.09*(AN700-36.8)))/2)+AR699*(1-AS699/2))/(1-MAX(0.1,MIN(0.3,0.3-0.09*(AN700-36.8)))/2)</f>
        <v/>
      </c>
      <c r="AP700">
        <f>((AM700/$B$7+T699*AS699/2-T700*MAX(0.1,MIN(0.3,0.3-0.09*(AO700-36.8)))/2)+AR699*(1-AS699/2))/(1-MAX(0.1,MIN(0.3,0.3-0.09*(AO700-36.8)))/2)</f>
        <v/>
      </c>
      <c r="AQ700">
        <f>((AM700/$B$7+T699*AS699/2-T700*MAX(0.1,MIN(0.3,0.3-0.09*(AP700-36.8)))/2)+AR699*(1-AS699/2))/(1-MAX(0.1,MIN(0.3,0.3-0.09*(AP700-36.8)))/2)</f>
        <v/>
      </c>
      <c r="AR700">
        <f>((AM700/$B$7+T699*AS699/2-T700*MAX(0.1,MIN(0.3,0.3-0.09*(AQ700-36.8)))/2)+AR699*(1-AS699/2))/(1-MAX(0.1,MIN(0.3,0.3-0.09*(AQ700-36.8)))/2)</f>
        <v/>
      </c>
      <c r="AS700">
        <f>MAX(0.1,MIN(0.3,0.3-0.09*(AR700-36.8)))</f>
        <v/>
      </c>
      <c r="AT700">
        <f>AT699+(2*AR700-1.962*AT699-1.31)/9</f>
        <v/>
      </c>
      <c r="AU700">
        <f>AU699+AG700+K700</f>
        <v/>
      </c>
      <c r="AV700">
        <f>AU700*2.67*$B$6/1.8/60</f>
        <v/>
      </c>
      <c r="AW700">
        <f>IF(AT700&gt;=$B$36,1,0)</f>
        <v/>
      </c>
      <c r="AX700">
        <f>IF(AV700&gt;=$B$21,1,0)</f>
        <v/>
      </c>
    </row>
    <row r="701">
      <c r="A701" t="n">
        <v>628</v>
      </c>
      <c r="B701">
        <f>MATCH(A701-1,$D$61:$D$68,1)</f>
        <v/>
      </c>
      <c r="C701">
        <f>INDEX($G$61:$G$68,B701)</f>
        <v/>
      </c>
      <c r="D701">
        <f>INDEX($L$61:$L$68,B701)</f>
        <v/>
      </c>
      <c r="E701">
        <f>INDEX($M$61:$M$68,B701)</f>
        <v/>
      </c>
      <c r="F701">
        <f>INDEX($N$61:$N$68,B701)</f>
        <v/>
      </c>
      <c r="G701">
        <f>INDEX($AA$61:$AA$68,B701)</f>
        <v/>
      </c>
      <c r="H701">
        <f>INDEX($X$61:$X$68,B701)</f>
        <v/>
      </c>
      <c r="I701">
        <f>INDEX($AF$61:$AF$68,B701)</f>
        <v/>
      </c>
      <c r="J701">
        <f>INDEX($AC$61:$AC$68,B701)</f>
        <v/>
      </c>
      <c r="K701">
        <f>INDEX($AD$61:$AD$68,B701)</f>
        <v/>
      </c>
      <c r="L701">
        <f>INDEX($AG$61:$AG$68,B701)</f>
        <v/>
      </c>
      <c r="M701">
        <f>INDEX($AH$61:$AH$68,B701)</f>
        <v/>
      </c>
      <c r="N701">
        <f>INDEX($AI$61:$AI$68,B701)</f>
        <v/>
      </c>
      <c r="O701">
        <f>O700*$B$26+L701*(1-$B$26)</f>
        <v/>
      </c>
      <c r="P701">
        <f>$B$7*(O701-O700)*(1-AS700)</f>
        <v/>
      </c>
      <c r="Q701">
        <f>M701+0.51274*AT700</f>
        <v/>
      </c>
      <c r="R701">
        <f>N701+0.616*AT700</f>
        <v/>
      </c>
      <c r="S701">
        <f>IF($B$13&gt;=0.6,Q701,IF($B$13&lt;=0.2,R701,R701+2.5*(Q701-R701)*($B$13-0.2)))</f>
        <v/>
      </c>
      <c r="T701">
        <f>IF(A701=1,S701,T700*$B$27+S701*(1-$B$27))</f>
        <v/>
      </c>
      <c r="U701">
        <f>0.6105*EXP(17.27*T701/(T701+237.3))</f>
        <v/>
      </c>
      <c r="V701">
        <f>($B$14*(I701*C701+IF(ABS((D701+0.1)-D701)&lt;0.000000001,4*$B$19*$B$20*(D701+273)^3,$B$19*$B$20*(((D701+0.1)+273)^4-(D701+273)^4)/((D701+0.1)-D701))*D701)+T701/H701)/($B$14*(I701+IF(ABS((D701+0.1)-D701)&lt;0.000000001,4*$B$19*$B$20*(D701+273)^3,$B$19*$B$20*(((D701+0.1)+273)^4-(D701+273)^4)/((D701+0.1)-D701)))+1/H701)</f>
        <v/>
      </c>
      <c r="W701">
        <f>($B$14*(I701*C701+IF(ABS(V701-D701)&lt;0.000000001,4*$B$19*$B$20*(D701+273)^3,$B$19*$B$20*((V701+273)^4-(D701+273)^4)/(V701-D701))*D701)+T701/H701)/($B$14*(I701+IF(ABS(V701-D701)&lt;0.000000001,4*$B$19*$B$20*(D701+273)^3,$B$19*$B$20*((V701+273)^4-(D701+273)^4)/(V701-D701)))+1/H701)</f>
        <v/>
      </c>
      <c r="X701">
        <f>($B$14*(I701*C701+IF(ABS(W701-D701)&lt;0.000000001,4*$B$19*$B$20*(D701+273)^3,$B$19*$B$20*((W701+273)^4-(D701+273)^4)/(W701-D701))*D701)+T701/H701)/($B$14*(I701+IF(ABS(W701-D701)&lt;0.000000001,4*$B$19*$B$20*(D701+273)^3,$B$19*$B$20*((W701+273)^4-(D701+273)^4)/(W701-D701)))+1/H701)</f>
        <v/>
      </c>
      <c r="Y701">
        <f>($B$14*(I701*C701+IF(ABS(X701-D701)&lt;0.000000001,4*$B$19*$B$20*(D701+273)^3,$B$19*$B$20*((X701+273)^4-(D701+273)^4)/(X701-D701))*D701)+T701/H701)/($B$14*(I701+IF(ABS(X701-D701)&lt;0.000000001,4*$B$19*$B$20*(D701+273)^3,$B$19*$B$20*((X701+273)^4-(D701+273)^4)/(X701-D701)))+1/H701)</f>
        <v/>
      </c>
      <c r="Z701">
        <f>IF(ABS(Y701-D701)&lt;0.000000001,4*$B$19*$B$20*(D701+273)^3,$B$19*$B$20*((Y701+273)^4-(D701+273)^4)/(Y701-D701))</f>
        <v/>
      </c>
      <c r="AA701">
        <f>$B$14*I701*(Y701-C701)</f>
        <v/>
      </c>
      <c r="AB701">
        <f>$B$14*Z701*(Y701-D701)</f>
        <v/>
      </c>
      <c r="AC701">
        <f>IF((U701-E701)/G701=0,0.001,(U701-E701)/G701)</f>
        <v/>
      </c>
      <c r="AD701">
        <f>F701-P701-J701-K701-AA701-AB701</f>
        <v/>
      </c>
      <c r="AE701">
        <f>AD701/AC701</f>
        <v/>
      </c>
      <c r="AF701">
        <f>IF(AD701&lt;=0,0,IF(AC701&lt;=0,$B$11,IF(AE701&gt;=1.7,$B$11,MIN(AD701/MAX(0.05,IF(AE701&gt;1,(2-AE701)^2/2,1-AE701^2/2)),$B$11))))</f>
        <v/>
      </c>
      <c r="AG701">
        <f>AG700*$B$28+AF701*(1-$B$28)</f>
        <v/>
      </c>
      <c r="AH701">
        <f>IF(AND(AD701&gt;0,AC701&lt;=0),0,AC701)</f>
        <v/>
      </c>
      <c r="AI701">
        <f>AH701/MAX(AG701,0.000001)</f>
        <v/>
      </c>
      <c r="AJ701">
        <f>MIN(IF(AI701&gt;=0.5,-AI701+SQRT(AI701^2+2),1),$B$12)</f>
        <v/>
      </c>
      <c r="AK701">
        <f>IF(AG701&lt;=0,0,AJ701*AH701)</f>
        <v/>
      </c>
      <c r="AL701">
        <f>IF(AD701&lt;=0,0,AD701)</f>
        <v/>
      </c>
      <c r="AM701">
        <f>AL701-AK701+P701</f>
        <v/>
      </c>
      <c r="AN701">
        <f>((AM701/$B$7+T700*AS700/2-T701*MAX(0.1,MIN(0.3,0.3-0.09*(AR700-36.8)))/2)+AR700*(1-AS700/2))/(1-MAX(0.1,MIN(0.3,0.3-0.09*(AR700-36.8)))/2)</f>
        <v/>
      </c>
      <c r="AO701">
        <f>((AM701/$B$7+T700*AS700/2-T701*MAX(0.1,MIN(0.3,0.3-0.09*(AN701-36.8)))/2)+AR700*(1-AS700/2))/(1-MAX(0.1,MIN(0.3,0.3-0.09*(AN701-36.8)))/2)</f>
        <v/>
      </c>
      <c r="AP701">
        <f>((AM701/$B$7+T700*AS700/2-T701*MAX(0.1,MIN(0.3,0.3-0.09*(AO701-36.8)))/2)+AR700*(1-AS700/2))/(1-MAX(0.1,MIN(0.3,0.3-0.09*(AO701-36.8)))/2)</f>
        <v/>
      </c>
      <c r="AQ701">
        <f>((AM701/$B$7+T700*AS700/2-T701*MAX(0.1,MIN(0.3,0.3-0.09*(AP701-36.8)))/2)+AR700*(1-AS700/2))/(1-MAX(0.1,MIN(0.3,0.3-0.09*(AP701-36.8)))/2)</f>
        <v/>
      </c>
      <c r="AR701">
        <f>((AM701/$B$7+T700*AS700/2-T701*MAX(0.1,MIN(0.3,0.3-0.09*(AQ701-36.8)))/2)+AR700*(1-AS700/2))/(1-MAX(0.1,MIN(0.3,0.3-0.09*(AQ701-36.8)))/2)</f>
        <v/>
      </c>
      <c r="AS701">
        <f>MAX(0.1,MIN(0.3,0.3-0.09*(AR701-36.8)))</f>
        <v/>
      </c>
      <c r="AT701">
        <f>AT700+(2*AR701-1.962*AT700-1.31)/9</f>
        <v/>
      </c>
      <c r="AU701">
        <f>AU700+AG701+K701</f>
        <v/>
      </c>
      <c r="AV701">
        <f>AU701*2.67*$B$6/1.8/60</f>
        <v/>
      </c>
      <c r="AW701">
        <f>IF(AT701&gt;=$B$36,1,0)</f>
        <v/>
      </c>
      <c r="AX701">
        <f>IF(AV701&gt;=$B$21,1,0)</f>
        <v/>
      </c>
    </row>
    <row r="702">
      <c r="A702" t="n">
        <v>629</v>
      </c>
      <c r="B702">
        <f>MATCH(A702-1,$D$61:$D$68,1)</f>
        <v/>
      </c>
      <c r="C702">
        <f>INDEX($G$61:$G$68,B702)</f>
        <v/>
      </c>
      <c r="D702">
        <f>INDEX($L$61:$L$68,B702)</f>
        <v/>
      </c>
      <c r="E702">
        <f>INDEX($M$61:$M$68,B702)</f>
        <v/>
      </c>
      <c r="F702">
        <f>INDEX($N$61:$N$68,B702)</f>
        <v/>
      </c>
      <c r="G702">
        <f>INDEX($AA$61:$AA$68,B702)</f>
        <v/>
      </c>
      <c r="H702">
        <f>INDEX($X$61:$X$68,B702)</f>
        <v/>
      </c>
      <c r="I702">
        <f>INDEX($AF$61:$AF$68,B702)</f>
        <v/>
      </c>
      <c r="J702">
        <f>INDEX($AC$61:$AC$68,B702)</f>
        <v/>
      </c>
      <c r="K702">
        <f>INDEX($AD$61:$AD$68,B702)</f>
        <v/>
      </c>
      <c r="L702">
        <f>INDEX($AG$61:$AG$68,B702)</f>
        <v/>
      </c>
      <c r="M702">
        <f>INDEX($AH$61:$AH$68,B702)</f>
        <v/>
      </c>
      <c r="N702">
        <f>INDEX($AI$61:$AI$68,B702)</f>
        <v/>
      </c>
      <c r="O702">
        <f>O701*$B$26+L702*(1-$B$26)</f>
        <v/>
      </c>
      <c r="P702">
        <f>$B$7*(O702-O701)*(1-AS701)</f>
        <v/>
      </c>
      <c r="Q702">
        <f>M702+0.51274*AT701</f>
        <v/>
      </c>
      <c r="R702">
        <f>N702+0.616*AT701</f>
        <v/>
      </c>
      <c r="S702">
        <f>IF($B$13&gt;=0.6,Q702,IF($B$13&lt;=0.2,R702,R702+2.5*(Q702-R702)*($B$13-0.2)))</f>
        <v/>
      </c>
      <c r="T702">
        <f>IF(A702=1,S702,T701*$B$27+S702*(1-$B$27))</f>
        <v/>
      </c>
      <c r="U702">
        <f>0.6105*EXP(17.27*T702/(T702+237.3))</f>
        <v/>
      </c>
      <c r="V702">
        <f>($B$14*(I702*C702+IF(ABS((D702+0.1)-D702)&lt;0.000000001,4*$B$19*$B$20*(D702+273)^3,$B$19*$B$20*(((D702+0.1)+273)^4-(D702+273)^4)/((D702+0.1)-D702))*D702)+T702/H702)/($B$14*(I702+IF(ABS((D702+0.1)-D702)&lt;0.000000001,4*$B$19*$B$20*(D702+273)^3,$B$19*$B$20*(((D702+0.1)+273)^4-(D702+273)^4)/((D702+0.1)-D702)))+1/H702)</f>
        <v/>
      </c>
      <c r="W702">
        <f>($B$14*(I702*C702+IF(ABS(V702-D702)&lt;0.000000001,4*$B$19*$B$20*(D702+273)^3,$B$19*$B$20*((V702+273)^4-(D702+273)^4)/(V702-D702))*D702)+T702/H702)/($B$14*(I702+IF(ABS(V702-D702)&lt;0.000000001,4*$B$19*$B$20*(D702+273)^3,$B$19*$B$20*((V702+273)^4-(D702+273)^4)/(V702-D702)))+1/H702)</f>
        <v/>
      </c>
      <c r="X702">
        <f>($B$14*(I702*C702+IF(ABS(W702-D702)&lt;0.000000001,4*$B$19*$B$20*(D702+273)^3,$B$19*$B$20*((W702+273)^4-(D702+273)^4)/(W702-D702))*D702)+T702/H702)/($B$14*(I702+IF(ABS(W702-D702)&lt;0.000000001,4*$B$19*$B$20*(D702+273)^3,$B$19*$B$20*((W702+273)^4-(D702+273)^4)/(W702-D702)))+1/H702)</f>
        <v/>
      </c>
      <c r="Y702">
        <f>($B$14*(I702*C702+IF(ABS(X702-D702)&lt;0.000000001,4*$B$19*$B$20*(D702+273)^3,$B$19*$B$20*((X702+273)^4-(D702+273)^4)/(X702-D702))*D702)+T702/H702)/($B$14*(I702+IF(ABS(X702-D702)&lt;0.000000001,4*$B$19*$B$20*(D702+273)^3,$B$19*$B$20*((X702+273)^4-(D702+273)^4)/(X702-D702)))+1/H702)</f>
        <v/>
      </c>
      <c r="Z702">
        <f>IF(ABS(Y702-D702)&lt;0.000000001,4*$B$19*$B$20*(D702+273)^3,$B$19*$B$20*((Y702+273)^4-(D702+273)^4)/(Y702-D702))</f>
        <v/>
      </c>
      <c r="AA702">
        <f>$B$14*I702*(Y702-C702)</f>
        <v/>
      </c>
      <c r="AB702">
        <f>$B$14*Z702*(Y702-D702)</f>
        <v/>
      </c>
      <c r="AC702">
        <f>IF((U702-E702)/G702=0,0.001,(U702-E702)/G702)</f>
        <v/>
      </c>
      <c r="AD702">
        <f>F702-P702-J702-K702-AA702-AB702</f>
        <v/>
      </c>
      <c r="AE702">
        <f>AD702/AC702</f>
        <v/>
      </c>
      <c r="AF702">
        <f>IF(AD702&lt;=0,0,IF(AC702&lt;=0,$B$11,IF(AE702&gt;=1.7,$B$11,MIN(AD702/MAX(0.05,IF(AE702&gt;1,(2-AE702)^2/2,1-AE702^2/2)),$B$11))))</f>
        <v/>
      </c>
      <c r="AG702">
        <f>AG701*$B$28+AF702*(1-$B$28)</f>
        <v/>
      </c>
      <c r="AH702">
        <f>IF(AND(AD702&gt;0,AC702&lt;=0),0,AC702)</f>
        <v/>
      </c>
      <c r="AI702">
        <f>AH702/MAX(AG702,0.000001)</f>
        <v/>
      </c>
      <c r="AJ702">
        <f>MIN(IF(AI702&gt;=0.5,-AI702+SQRT(AI702^2+2),1),$B$12)</f>
        <v/>
      </c>
      <c r="AK702">
        <f>IF(AG702&lt;=0,0,AJ702*AH702)</f>
        <v/>
      </c>
      <c r="AL702">
        <f>IF(AD702&lt;=0,0,AD702)</f>
        <v/>
      </c>
      <c r="AM702">
        <f>AL702-AK702+P702</f>
        <v/>
      </c>
      <c r="AN702">
        <f>((AM702/$B$7+T701*AS701/2-T702*MAX(0.1,MIN(0.3,0.3-0.09*(AR701-36.8)))/2)+AR701*(1-AS701/2))/(1-MAX(0.1,MIN(0.3,0.3-0.09*(AR701-36.8)))/2)</f>
        <v/>
      </c>
      <c r="AO702">
        <f>((AM702/$B$7+T701*AS701/2-T702*MAX(0.1,MIN(0.3,0.3-0.09*(AN702-36.8)))/2)+AR701*(1-AS701/2))/(1-MAX(0.1,MIN(0.3,0.3-0.09*(AN702-36.8)))/2)</f>
        <v/>
      </c>
      <c r="AP702">
        <f>((AM702/$B$7+T701*AS701/2-T702*MAX(0.1,MIN(0.3,0.3-0.09*(AO702-36.8)))/2)+AR701*(1-AS701/2))/(1-MAX(0.1,MIN(0.3,0.3-0.09*(AO702-36.8)))/2)</f>
        <v/>
      </c>
      <c r="AQ702">
        <f>((AM702/$B$7+T701*AS701/2-T702*MAX(0.1,MIN(0.3,0.3-0.09*(AP702-36.8)))/2)+AR701*(1-AS701/2))/(1-MAX(0.1,MIN(0.3,0.3-0.09*(AP702-36.8)))/2)</f>
        <v/>
      </c>
      <c r="AR702">
        <f>((AM702/$B$7+T701*AS701/2-T702*MAX(0.1,MIN(0.3,0.3-0.09*(AQ702-36.8)))/2)+AR701*(1-AS701/2))/(1-MAX(0.1,MIN(0.3,0.3-0.09*(AQ702-36.8)))/2)</f>
        <v/>
      </c>
      <c r="AS702">
        <f>MAX(0.1,MIN(0.3,0.3-0.09*(AR702-36.8)))</f>
        <v/>
      </c>
      <c r="AT702">
        <f>AT701+(2*AR702-1.962*AT701-1.31)/9</f>
        <v/>
      </c>
      <c r="AU702">
        <f>AU701+AG702+K702</f>
        <v/>
      </c>
      <c r="AV702">
        <f>AU702*2.67*$B$6/1.8/60</f>
        <v/>
      </c>
      <c r="AW702">
        <f>IF(AT702&gt;=$B$36,1,0)</f>
        <v/>
      </c>
      <c r="AX702">
        <f>IF(AV702&gt;=$B$21,1,0)</f>
        <v/>
      </c>
    </row>
    <row r="703">
      <c r="A703" t="n">
        <v>630</v>
      </c>
      <c r="B703">
        <f>MATCH(A703-1,$D$61:$D$68,1)</f>
        <v/>
      </c>
      <c r="C703">
        <f>INDEX($G$61:$G$68,B703)</f>
        <v/>
      </c>
      <c r="D703">
        <f>INDEX($L$61:$L$68,B703)</f>
        <v/>
      </c>
      <c r="E703">
        <f>INDEX($M$61:$M$68,B703)</f>
        <v/>
      </c>
      <c r="F703">
        <f>INDEX($N$61:$N$68,B703)</f>
        <v/>
      </c>
      <c r="G703">
        <f>INDEX($AA$61:$AA$68,B703)</f>
        <v/>
      </c>
      <c r="H703">
        <f>INDEX($X$61:$X$68,B703)</f>
        <v/>
      </c>
      <c r="I703">
        <f>INDEX($AF$61:$AF$68,B703)</f>
        <v/>
      </c>
      <c r="J703">
        <f>INDEX($AC$61:$AC$68,B703)</f>
        <v/>
      </c>
      <c r="K703">
        <f>INDEX($AD$61:$AD$68,B703)</f>
        <v/>
      </c>
      <c r="L703">
        <f>INDEX($AG$61:$AG$68,B703)</f>
        <v/>
      </c>
      <c r="M703">
        <f>INDEX($AH$61:$AH$68,B703)</f>
        <v/>
      </c>
      <c r="N703">
        <f>INDEX($AI$61:$AI$68,B703)</f>
        <v/>
      </c>
      <c r="O703">
        <f>O702*$B$26+L703*(1-$B$26)</f>
        <v/>
      </c>
      <c r="P703">
        <f>$B$7*(O703-O702)*(1-AS702)</f>
        <v/>
      </c>
      <c r="Q703">
        <f>M703+0.51274*AT702</f>
        <v/>
      </c>
      <c r="R703">
        <f>N703+0.616*AT702</f>
        <v/>
      </c>
      <c r="S703">
        <f>IF($B$13&gt;=0.6,Q703,IF($B$13&lt;=0.2,R703,R703+2.5*(Q703-R703)*($B$13-0.2)))</f>
        <v/>
      </c>
      <c r="T703">
        <f>IF(A703=1,S703,T702*$B$27+S703*(1-$B$27))</f>
        <v/>
      </c>
      <c r="U703">
        <f>0.6105*EXP(17.27*T703/(T703+237.3))</f>
        <v/>
      </c>
      <c r="V703">
        <f>($B$14*(I703*C703+IF(ABS((D703+0.1)-D703)&lt;0.000000001,4*$B$19*$B$20*(D703+273)^3,$B$19*$B$20*(((D703+0.1)+273)^4-(D703+273)^4)/((D703+0.1)-D703))*D703)+T703/H703)/($B$14*(I703+IF(ABS((D703+0.1)-D703)&lt;0.000000001,4*$B$19*$B$20*(D703+273)^3,$B$19*$B$20*(((D703+0.1)+273)^4-(D703+273)^4)/((D703+0.1)-D703)))+1/H703)</f>
        <v/>
      </c>
      <c r="W703">
        <f>($B$14*(I703*C703+IF(ABS(V703-D703)&lt;0.000000001,4*$B$19*$B$20*(D703+273)^3,$B$19*$B$20*((V703+273)^4-(D703+273)^4)/(V703-D703))*D703)+T703/H703)/($B$14*(I703+IF(ABS(V703-D703)&lt;0.000000001,4*$B$19*$B$20*(D703+273)^3,$B$19*$B$20*((V703+273)^4-(D703+273)^4)/(V703-D703)))+1/H703)</f>
        <v/>
      </c>
      <c r="X703">
        <f>($B$14*(I703*C703+IF(ABS(W703-D703)&lt;0.000000001,4*$B$19*$B$20*(D703+273)^3,$B$19*$B$20*((W703+273)^4-(D703+273)^4)/(W703-D703))*D703)+T703/H703)/($B$14*(I703+IF(ABS(W703-D703)&lt;0.000000001,4*$B$19*$B$20*(D703+273)^3,$B$19*$B$20*((W703+273)^4-(D703+273)^4)/(W703-D703)))+1/H703)</f>
        <v/>
      </c>
      <c r="Y703">
        <f>($B$14*(I703*C703+IF(ABS(X703-D703)&lt;0.000000001,4*$B$19*$B$20*(D703+273)^3,$B$19*$B$20*((X703+273)^4-(D703+273)^4)/(X703-D703))*D703)+T703/H703)/($B$14*(I703+IF(ABS(X703-D703)&lt;0.000000001,4*$B$19*$B$20*(D703+273)^3,$B$19*$B$20*((X703+273)^4-(D703+273)^4)/(X703-D703)))+1/H703)</f>
        <v/>
      </c>
      <c r="Z703">
        <f>IF(ABS(Y703-D703)&lt;0.000000001,4*$B$19*$B$20*(D703+273)^3,$B$19*$B$20*((Y703+273)^4-(D703+273)^4)/(Y703-D703))</f>
        <v/>
      </c>
      <c r="AA703">
        <f>$B$14*I703*(Y703-C703)</f>
        <v/>
      </c>
      <c r="AB703">
        <f>$B$14*Z703*(Y703-D703)</f>
        <v/>
      </c>
      <c r="AC703">
        <f>IF((U703-E703)/G703=0,0.001,(U703-E703)/G703)</f>
        <v/>
      </c>
      <c r="AD703">
        <f>F703-P703-J703-K703-AA703-AB703</f>
        <v/>
      </c>
      <c r="AE703">
        <f>AD703/AC703</f>
        <v/>
      </c>
      <c r="AF703">
        <f>IF(AD703&lt;=0,0,IF(AC703&lt;=0,$B$11,IF(AE703&gt;=1.7,$B$11,MIN(AD703/MAX(0.05,IF(AE703&gt;1,(2-AE703)^2/2,1-AE703^2/2)),$B$11))))</f>
        <v/>
      </c>
      <c r="AG703">
        <f>AG702*$B$28+AF703*(1-$B$28)</f>
        <v/>
      </c>
      <c r="AH703">
        <f>IF(AND(AD703&gt;0,AC703&lt;=0),0,AC703)</f>
        <v/>
      </c>
      <c r="AI703">
        <f>AH703/MAX(AG703,0.000001)</f>
        <v/>
      </c>
      <c r="AJ703">
        <f>MIN(IF(AI703&gt;=0.5,-AI703+SQRT(AI703^2+2),1),$B$12)</f>
        <v/>
      </c>
      <c r="AK703">
        <f>IF(AG703&lt;=0,0,AJ703*AH703)</f>
        <v/>
      </c>
      <c r="AL703">
        <f>IF(AD703&lt;=0,0,AD703)</f>
        <v/>
      </c>
      <c r="AM703">
        <f>AL703-AK703+P703</f>
        <v/>
      </c>
      <c r="AN703">
        <f>((AM703/$B$7+T702*AS702/2-T703*MAX(0.1,MIN(0.3,0.3-0.09*(AR702-36.8)))/2)+AR702*(1-AS702/2))/(1-MAX(0.1,MIN(0.3,0.3-0.09*(AR702-36.8)))/2)</f>
        <v/>
      </c>
      <c r="AO703">
        <f>((AM703/$B$7+T702*AS702/2-T703*MAX(0.1,MIN(0.3,0.3-0.09*(AN703-36.8)))/2)+AR702*(1-AS702/2))/(1-MAX(0.1,MIN(0.3,0.3-0.09*(AN703-36.8)))/2)</f>
        <v/>
      </c>
      <c r="AP703">
        <f>((AM703/$B$7+T702*AS702/2-T703*MAX(0.1,MIN(0.3,0.3-0.09*(AO703-36.8)))/2)+AR702*(1-AS702/2))/(1-MAX(0.1,MIN(0.3,0.3-0.09*(AO703-36.8)))/2)</f>
        <v/>
      </c>
      <c r="AQ703">
        <f>((AM703/$B$7+T702*AS702/2-T703*MAX(0.1,MIN(0.3,0.3-0.09*(AP703-36.8)))/2)+AR702*(1-AS702/2))/(1-MAX(0.1,MIN(0.3,0.3-0.09*(AP703-36.8)))/2)</f>
        <v/>
      </c>
      <c r="AR703">
        <f>((AM703/$B$7+T702*AS702/2-T703*MAX(0.1,MIN(0.3,0.3-0.09*(AQ703-36.8)))/2)+AR702*(1-AS702/2))/(1-MAX(0.1,MIN(0.3,0.3-0.09*(AQ703-36.8)))/2)</f>
        <v/>
      </c>
      <c r="AS703">
        <f>MAX(0.1,MIN(0.3,0.3-0.09*(AR703-36.8)))</f>
        <v/>
      </c>
      <c r="AT703">
        <f>AT702+(2*AR703-1.962*AT702-1.31)/9</f>
        <v/>
      </c>
      <c r="AU703">
        <f>AU702+AG703+K703</f>
        <v/>
      </c>
      <c r="AV703">
        <f>AU703*2.67*$B$6/1.8/60</f>
        <v/>
      </c>
      <c r="AW703">
        <f>IF(AT703&gt;=$B$36,1,0)</f>
        <v/>
      </c>
      <c r="AX703">
        <f>IF(AV703&gt;=$B$21,1,0)</f>
        <v/>
      </c>
    </row>
    <row r="704">
      <c r="A704" t="n">
        <v>631</v>
      </c>
      <c r="B704">
        <f>MATCH(A704-1,$D$61:$D$68,1)</f>
        <v/>
      </c>
      <c r="C704">
        <f>INDEX($G$61:$G$68,B704)</f>
        <v/>
      </c>
      <c r="D704">
        <f>INDEX($L$61:$L$68,B704)</f>
        <v/>
      </c>
      <c r="E704">
        <f>INDEX($M$61:$M$68,B704)</f>
        <v/>
      </c>
      <c r="F704">
        <f>INDEX($N$61:$N$68,B704)</f>
        <v/>
      </c>
      <c r="G704">
        <f>INDEX($AA$61:$AA$68,B704)</f>
        <v/>
      </c>
      <c r="H704">
        <f>INDEX($X$61:$X$68,B704)</f>
        <v/>
      </c>
      <c r="I704">
        <f>INDEX($AF$61:$AF$68,B704)</f>
        <v/>
      </c>
      <c r="J704">
        <f>INDEX($AC$61:$AC$68,B704)</f>
        <v/>
      </c>
      <c r="K704">
        <f>INDEX($AD$61:$AD$68,B704)</f>
        <v/>
      </c>
      <c r="L704">
        <f>INDEX($AG$61:$AG$68,B704)</f>
        <v/>
      </c>
      <c r="M704">
        <f>INDEX($AH$61:$AH$68,B704)</f>
        <v/>
      </c>
      <c r="N704">
        <f>INDEX($AI$61:$AI$68,B704)</f>
        <v/>
      </c>
      <c r="O704">
        <f>O703*$B$26+L704*(1-$B$26)</f>
        <v/>
      </c>
      <c r="P704">
        <f>$B$7*(O704-O703)*(1-AS703)</f>
        <v/>
      </c>
      <c r="Q704">
        <f>M704+0.51274*AT703</f>
        <v/>
      </c>
      <c r="R704">
        <f>N704+0.616*AT703</f>
        <v/>
      </c>
      <c r="S704">
        <f>IF($B$13&gt;=0.6,Q704,IF($B$13&lt;=0.2,R704,R704+2.5*(Q704-R704)*($B$13-0.2)))</f>
        <v/>
      </c>
      <c r="T704">
        <f>IF(A704=1,S704,T703*$B$27+S704*(1-$B$27))</f>
        <v/>
      </c>
      <c r="U704">
        <f>0.6105*EXP(17.27*T704/(T704+237.3))</f>
        <v/>
      </c>
      <c r="V704">
        <f>($B$14*(I704*C704+IF(ABS((D704+0.1)-D704)&lt;0.000000001,4*$B$19*$B$20*(D704+273)^3,$B$19*$B$20*(((D704+0.1)+273)^4-(D704+273)^4)/((D704+0.1)-D704))*D704)+T704/H704)/($B$14*(I704+IF(ABS((D704+0.1)-D704)&lt;0.000000001,4*$B$19*$B$20*(D704+273)^3,$B$19*$B$20*(((D704+0.1)+273)^4-(D704+273)^4)/((D704+0.1)-D704)))+1/H704)</f>
        <v/>
      </c>
      <c r="W704">
        <f>($B$14*(I704*C704+IF(ABS(V704-D704)&lt;0.000000001,4*$B$19*$B$20*(D704+273)^3,$B$19*$B$20*((V704+273)^4-(D704+273)^4)/(V704-D704))*D704)+T704/H704)/($B$14*(I704+IF(ABS(V704-D704)&lt;0.000000001,4*$B$19*$B$20*(D704+273)^3,$B$19*$B$20*((V704+273)^4-(D704+273)^4)/(V704-D704)))+1/H704)</f>
        <v/>
      </c>
      <c r="X704">
        <f>($B$14*(I704*C704+IF(ABS(W704-D704)&lt;0.000000001,4*$B$19*$B$20*(D704+273)^3,$B$19*$B$20*((W704+273)^4-(D704+273)^4)/(W704-D704))*D704)+T704/H704)/($B$14*(I704+IF(ABS(W704-D704)&lt;0.000000001,4*$B$19*$B$20*(D704+273)^3,$B$19*$B$20*((W704+273)^4-(D704+273)^4)/(W704-D704)))+1/H704)</f>
        <v/>
      </c>
      <c r="Y704">
        <f>($B$14*(I704*C704+IF(ABS(X704-D704)&lt;0.000000001,4*$B$19*$B$20*(D704+273)^3,$B$19*$B$20*((X704+273)^4-(D704+273)^4)/(X704-D704))*D704)+T704/H704)/($B$14*(I704+IF(ABS(X704-D704)&lt;0.000000001,4*$B$19*$B$20*(D704+273)^3,$B$19*$B$20*((X704+273)^4-(D704+273)^4)/(X704-D704)))+1/H704)</f>
        <v/>
      </c>
      <c r="Z704">
        <f>IF(ABS(Y704-D704)&lt;0.000000001,4*$B$19*$B$20*(D704+273)^3,$B$19*$B$20*((Y704+273)^4-(D704+273)^4)/(Y704-D704))</f>
        <v/>
      </c>
      <c r="AA704">
        <f>$B$14*I704*(Y704-C704)</f>
        <v/>
      </c>
      <c r="AB704">
        <f>$B$14*Z704*(Y704-D704)</f>
        <v/>
      </c>
      <c r="AC704">
        <f>IF((U704-E704)/G704=0,0.001,(U704-E704)/G704)</f>
        <v/>
      </c>
      <c r="AD704">
        <f>F704-P704-J704-K704-AA704-AB704</f>
        <v/>
      </c>
      <c r="AE704">
        <f>AD704/AC704</f>
        <v/>
      </c>
      <c r="AF704">
        <f>IF(AD704&lt;=0,0,IF(AC704&lt;=0,$B$11,IF(AE704&gt;=1.7,$B$11,MIN(AD704/MAX(0.05,IF(AE704&gt;1,(2-AE704)^2/2,1-AE704^2/2)),$B$11))))</f>
        <v/>
      </c>
      <c r="AG704">
        <f>AG703*$B$28+AF704*(1-$B$28)</f>
        <v/>
      </c>
      <c r="AH704">
        <f>IF(AND(AD704&gt;0,AC704&lt;=0),0,AC704)</f>
        <v/>
      </c>
      <c r="AI704">
        <f>AH704/MAX(AG704,0.000001)</f>
        <v/>
      </c>
      <c r="AJ704">
        <f>MIN(IF(AI704&gt;=0.5,-AI704+SQRT(AI704^2+2),1),$B$12)</f>
        <v/>
      </c>
      <c r="AK704">
        <f>IF(AG704&lt;=0,0,AJ704*AH704)</f>
        <v/>
      </c>
      <c r="AL704">
        <f>IF(AD704&lt;=0,0,AD704)</f>
        <v/>
      </c>
      <c r="AM704">
        <f>AL704-AK704+P704</f>
        <v/>
      </c>
      <c r="AN704">
        <f>((AM704/$B$7+T703*AS703/2-T704*MAX(0.1,MIN(0.3,0.3-0.09*(AR703-36.8)))/2)+AR703*(1-AS703/2))/(1-MAX(0.1,MIN(0.3,0.3-0.09*(AR703-36.8)))/2)</f>
        <v/>
      </c>
      <c r="AO704">
        <f>((AM704/$B$7+T703*AS703/2-T704*MAX(0.1,MIN(0.3,0.3-0.09*(AN704-36.8)))/2)+AR703*(1-AS703/2))/(1-MAX(0.1,MIN(0.3,0.3-0.09*(AN704-36.8)))/2)</f>
        <v/>
      </c>
      <c r="AP704">
        <f>((AM704/$B$7+T703*AS703/2-T704*MAX(0.1,MIN(0.3,0.3-0.09*(AO704-36.8)))/2)+AR703*(1-AS703/2))/(1-MAX(0.1,MIN(0.3,0.3-0.09*(AO704-36.8)))/2)</f>
        <v/>
      </c>
      <c r="AQ704">
        <f>((AM704/$B$7+T703*AS703/2-T704*MAX(0.1,MIN(0.3,0.3-0.09*(AP704-36.8)))/2)+AR703*(1-AS703/2))/(1-MAX(0.1,MIN(0.3,0.3-0.09*(AP704-36.8)))/2)</f>
        <v/>
      </c>
      <c r="AR704">
        <f>((AM704/$B$7+T703*AS703/2-T704*MAX(0.1,MIN(0.3,0.3-0.09*(AQ704-36.8)))/2)+AR703*(1-AS703/2))/(1-MAX(0.1,MIN(0.3,0.3-0.09*(AQ704-36.8)))/2)</f>
        <v/>
      </c>
      <c r="AS704">
        <f>MAX(0.1,MIN(0.3,0.3-0.09*(AR704-36.8)))</f>
        <v/>
      </c>
      <c r="AT704">
        <f>AT703+(2*AR704-1.962*AT703-1.31)/9</f>
        <v/>
      </c>
      <c r="AU704">
        <f>AU703+AG704+K704</f>
        <v/>
      </c>
      <c r="AV704">
        <f>AU704*2.67*$B$6/1.8/60</f>
        <v/>
      </c>
      <c r="AW704">
        <f>IF(AT704&gt;=$B$36,1,0)</f>
        <v/>
      </c>
      <c r="AX704">
        <f>IF(AV704&gt;=$B$21,1,0)</f>
        <v/>
      </c>
    </row>
    <row r="705">
      <c r="A705" t="n">
        <v>632</v>
      </c>
      <c r="B705">
        <f>MATCH(A705-1,$D$61:$D$68,1)</f>
        <v/>
      </c>
      <c r="C705">
        <f>INDEX($G$61:$G$68,B705)</f>
        <v/>
      </c>
      <c r="D705">
        <f>INDEX($L$61:$L$68,B705)</f>
        <v/>
      </c>
      <c r="E705">
        <f>INDEX($M$61:$M$68,B705)</f>
        <v/>
      </c>
      <c r="F705">
        <f>INDEX($N$61:$N$68,B705)</f>
        <v/>
      </c>
      <c r="G705">
        <f>INDEX($AA$61:$AA$68,B705)</f>
        <v/>
      </c>
      <c r="H705">
        <f>INDEX($X$61:$X$68,B705)</f>
        <v/>
      </c>
      <c r="I705">
        <f>INDEX($AF$61:$AF$68,B705)</f>
        <v/>
      </c>
      <c r="J705">
        <f>INDEX($AC$61:$AC$68,B705)</f>
        <v/>
      </c>
      <c r="K705">
        <f>INDEX($AD$61:$AD$68,B705)</f>
        <v/>
      </c>
      <c r="L705">
        <f>INDEX($AG$61:$AG$68,B705)</f>
        <v/>
      </c>
      <c r="M705">
        <f>INDEX($AH$61:$AH$68,B705)</f>
        <v/>
      </c>
      <c r="N705">
        <f>INDEX($AI$61:$AI$68,B705)</f>
        <v/>
      </c>
      <c r="O705">
        <f>O704*$B$26+L705*(1-$B$26)</f>
        <v/>
      </c>
      <c r="P705">
        <f>$B$7*(O705-O704)*(1-AS704)</f>
        <v/>
      </c>
      <c r="Q705">
        <f>M705+0.51274*AT704</f>
        <v/>
      </c>
      <c r="R705">
        <f>N705+0.616*AT704</f>
        <v/>
      </c>
      <c r="S705">
        <f>IF($B$13&gt;=0.6,Q705,IF($B$13&lt;=0.2,R705,R705+2.5*(Q705-R705)*($B$13-0.2)))</f>
        <v/>
      </c>
      <c r="T705">
        <f>IF(A705=1,S705,T704*$B$27+S705*(1-$B$27))</f>
        <v/>
      </c>
      <c r="U705">
        <f>0.6105*EXP(17.27*T705/(T705+237.3))</f>
        <v/>
      </c>
      <c r="V705">
        <f>($B$14*(I705*C705+IF(ABS((D705+0.1)-D705)&lt;0.000000001,4*$B$19*$B$20*(D705+273)^3,$B$19*$B$20*(((D705+0.1)+273)^4-(D705+273)^4)/((D705+0.1)-D705))*D705)+T705/H705)/($B$14*(I705+IF(ABS((D705+0.1)-D705)&lt;0.000000001,4*$B$19*$B$20*(D705+273)^3,$B$19*$B$20*(((D705+0.1)+273)^4-(D705+273)^4)/((D705+0.1)-D705)))+1/H705)</f>
        <v/>
      </c>
      <c r="W705">
        <f>($B$14*(I705*C705+IF(ABS(V705-D705)&lt;0.000000001,4*$B$19*$B$20*(D705+273)^3,$B$19*$B$20*((V705+273)^4-(D705+273)^4)/(V705-D705))*D705)+T705/H705)/($B$14*(I705+IF(ABS(V705-D705)&lt;0.000000001,4*$B$19*$B$20*(D705+273)^3,$B$19*$B$20*((V705+273)^4-(D705+273)^4)/(V705-D705)))+1/H705)</f>
        <v/>
      </c>
      <c r="X705">
        <f>($B$14*(I705*C705+IF(ABS(W705-D705)&lt;0.000000001,4*$B$19*$B$20*(D705+273)^3,$B$19*$B$20*((W705+273)^4-(D705+273)^4)/(W705-D705))*D705)+T705/H705)/($B$14*(I705+IF(ABS(W705-D705)&lt;0.000000001,4*$B$19*$B$20*(D705+273)^3,$B$19*$B$20*((W705+273)^4-(D705+273)^4)/(W705-D705)))+1/H705)</f>
        <v/>
      </c>
      <c r="Y705">
        <f>($B$14*(I705*C705+IF(ABS(X705-D705)&lt;0.000000001,4*$B$19*$B$20*(D705+273)^3,$B$19*$B$20*((X705+273)^4-(D705+273)^4)/(X705-D705))*D705)+T705/H705)/($B$14*(I705+IF(ABS(X705-D705)&lt;0.000000001,4*$B$19*$B$20*(D705+273)^3,$B$19*$B$20*((X705+273)^4-(D705+273)^4)/(X705-D705)))+1/H705)</f>
        <v/>
      </c>
      <c r="Z705">
        <f>IF(ABS(Y705-D705)&lt;0.000000001,4*$B$19*$B$20*(D705+273)^3,$B$19*$B$20*((Y705+273)^4-(D705+273)^4)/(Y705-D705))</f>
        <v/>
      </c>
      <c r="AA705">
        <f>$B$14*I705*(Y705-C705)</f>
        <v/>
      </c>
      <c r="AB705">
        <f>$B$14*Z705*(Y705-D705)</f>
        <v/>
      </c>
      <c r="AC705">
        <f>IF((U705-E705)/G705=0,0.001,(U705-E705)/G705)</f>
        <v/>
      </c>
      <c r="AD705">
        <f>F705-P705-J705-K705-AA705-AB705</f>
        <v/>
      </c>
      <c r="AE705">
        <f>AD705/AC705</f>
        <v/>
      </c>
      <c r="AF705">
        <f>IF(AD705&lt;=0,0,IF(AC705&lt;=0,$B$11,IF(AE705&gt;=1.7,$B$11,MIN(AD705/MAX(0.05,IF(AE705&gt;1,(2-AE705)^2/2,1-AE705^2/2)),$B$11))))</f>
        <v/>
      </c>
      <c r="AG705">
        <f>AG704*$B$28+AF705*(1-$B$28)</f>
        <v/>
      </c>
      <c r="AH705">
        <f>IF(AND(AD705&gt;0,AC705&lt;=0),0,AC705)</f>
        <v/>
      </c>
      <c r="AI705">
        <f>AH705/MAX(AG705,0.000001)</f>
        <v/>
      </c>
      <c r="AJ705">
        <f>MIN(IF(AI705&gt;=0.5,-AI705+SQRT(AI705^2+2),1),$B$12)</f>
        <v/>
      </c>
      <c r="AK705">
        <f>IF(AG705&lt;=0,0,AJ705*AH705)</f>
        <v/>
      </c>
      <c r="AL705">
        <f>IF(AD705&lt;=0,0,AD705)</f>
        <v/>
      </c>
      <c r="AM705">
        <f>AL705-AK705+P705</f>
        <v/>
      </c>
      <c r="AN705">
        <f>((AM705/$B$7+T704*AS704/2-T705*MAX(0.1,MIN(0.3,0.3-0.09*(AR704-36.8)))/2)+AR704*(1-AS704/2))/(1-MAX(0.1,MIN(0.3,0.3-0.09*(AR704-36.8)))/2)</f>
        <v/>
      </c>
      <c r="AO705">
        <f>((AM705/$B$7+T704*AS704/2-T705*MAX(0.1,MIN(0.3,0.3-0.09*(AN705-36.8)))/2)+AR704*(1-AS704/2))/(1-MAX(0.1,MIN(0.3,0.3-0.09*(AN705-36.8)))/2)</f>
        <v/>
      </c>
      <c r="AP705">
        <f>((AM705/$B$7+T704*AS704/2-T705*MAX(0.1,MIN(0.3,0.3-0.09*(AO705-36.8)))/2)+AR704*(1-AS704/2))/(1-MAX(0.1,MIN(0.3,0.3-0.09*(AO705-36.8)))/2)</f>
        <v/>
      </c>
      <c r="AQ705">
        <f>((AM705/$B$7+T704*AS704/2-T705*MAX(0.1,MIN(0.3,0.3-0.09*(AP705-36.8)))/2)+AR704*(1-AS704/2))/(1-MAX(0.1,MIN(0.3,0.3-0.09*(AP705-36.8)))/2)</f>
        <v/>
      </c>
      <c r="AR705">
        <f>((AM705/$B$7+T704*AS704/2-T705*MAX(0.1,MIN(0.3,0.3-0.09*(AQ705-36.8)))/2)+AR704*(1-AS704/2))/(1-MAX(0.1,MIN(0.3,0.3-0.09*(AQ705-36.8)))/2)</f>
        <v/>
      </c>
      <c r="AS705">
        <f>MAX(0.1,MIN(0.3,0.3-0.09*(AR705-36.8)))</f>
        <v/>
      </c>
      <c r="AT705">
        <f>AT704+(2*AR705-1.962*AT704-1.31)/9</f>
        <v/>
      </c>
      <c r="AU705">
        <f>AU704+AG705+K705</f>
        <v/>
      </c>
      <c r="AV705">
        <f>AU705*2.67*$B$6/1.8/60</f>
        <v/>
      </c>
      <c r="AW705">
        <f>IF(AT705&gt;=$B$36,1,0)</f>
        <v/>
      </c>
      <c r="AX705">
        <f>IF(AV705&gt;=$B$21,1,0)</f>
        <v/>
      </c>
    </row>
    <row r="706">
      <c r="A706" t="n">
        <v>633</v>
      </c>
      <c r="B706">
        <f>MATCH(A706-1,$D$61:$D$68,1)</f>
        <v/>
      </c>
      <c r="C706">
        <f>INDEX($G$61:$G$68,B706)</f>
        <v/>
      </c>
      <c r="D706">
        <f>INDEX($L$61:$L$68,B706)</f>
        <v/>
      </c>
      <c r="E706">
        <f>INDEX($M$61:$M$68,B706)</f>
        <v/>
      </c>
      <c r="F706">
        <f>INDEX($N$61:$N$68,B706)</f>
        <v/>
      </c>
      <c r="G706">
        <f>INDEX($AA$61:$AA$68,B706)</f>
        <v/>
      </c>
      <c r="H706">
        <f>INDEX($X$61:$X$68,B706)</f>
        <v/>
      </c>
      <c r="I706">
        <f>INDEX($AF$61:$AF$68,B706)</f>
        <v/>
      </c>
      <c r="J706">
        <f>INDEX($AC$61:$AC$68,B706)</f>
        <v/>
      </c>
      <c r="K706">
        <f>INDEX($AD$61:$AD$68,B706)</f>
        <v/>
      </c>
      <c r="L706">
        <f>INDEX($AG$61:$AG$68,B706)</f>
        <v/>
      </c>
      <c r="M706">
        <f>INDEX($AH$61:$AH$68,B706)</f>
        <v/>
      </c>
      <c r="N706">
        <f>INDEX($AI$61:$AI$68,B706)</f>
        <v/>
      </c>
      <c r="O706">
        <f>O705*$B$26+L706*(1-$B$26)</f>
        <v/>
      </c>
      <c r="P706">
        <f>$B$7*(O706-O705)*(1-AS705)</f>
        <v/>
      </c>
      <c r="Q706">
        <f>M706+0.51274*AT705</f>
        <v/>
      </c>
      <c r="R706">
        <f>N706+0.616*AT705</f>
        <v/>
      </c>
      <c r="S706">
        <f>IF($B$13&gt;=0.6,Q706,IF($B$13&lt;=0.2,R706,R706+2.5*(Q706-R706)*($B$13-0.2)))</f>
        <v/>
      </c>
      <c r="T706">
        <f>IF(A706=1,S706,T705*$B$27+S706*(1-$B$27))</f>
        <v/>
      </c>
      <c r="U706">
        <f>0.6105*EXP(17.27*T706/(T706+237.3))</f>
        <v/>
      </c>
      <c r="V706">
        <f>($B$14*(I706*C706+IF(ABS((D706+0.1)-D706)&lt;0.000000001,4*$B$19*$B$20*(D706+273)^3,$B$19*$B$20*(((D706+0.1)+273)^4-(D706+273)^4)/((D706+0.1)-D706))*D706)+T706/H706)/($B$14*(I706+IF(ABS((D706+0.1)-D706)&lt;0.000000001,4*$B$19*$B$20*(D706+273)^3,$B$19*$B$20*(((D706+0.1)+273)^4-(D706+273)^4)/((D706+0.1)-D706)))+1/H706)</f>
        <v/>
      </c>
      <c r="W706">
        <f>($B$14*(I706*C706+IF(ABS(V706-D706)&lt;0.000000001,4*$B$19*$B$20*(D706+273)^3,$B$19*$B$20*((V706+273)^4-(D706+273)^4)/(V706-D706))*D706)+T706/H706)/($B$14*(I706+IF(ABS(V706-D706)&lt;0.000000001,4*$B$19*$B$20*(D706+273)^3,$B$19*$B$20*((V706+273)^4-(D706+273)^4)/(V706-D706)))+1/H706)</f>
        <v/>
      </c>
      <c r="X706">
        <f>($B$14*(I706*C706+IF(ABS(W706-D706)&lt;0.000000001,4*$B$19*$B$20*(D706+273)^3,$B$19*$B$20*((W706+273)^4-(D706+273)^4)/(W706-D706))*D706)+T706/H706)/($B$14*(I706+IF(ABS(W706-D706)&lt;0.000000001,4*$B$19*$B$20*(D706+273)^3,$B$19*$B$20*((W706+273)^4-(D706+273)^4)/(W706-D706)))+1/H706)</f>
        <v/>
      </c>
      <c r="Y706">
        <f>($B$14*(I706*C706+IF(ABS(X706-D706)&lt;0.000000001,4*$B$19*$B$20*(D706+273)^3,$B$19*$B$20*((X706+273)^4-(D706+273)^4)/(X706-D706))*D706)+T706/H706)/($B$14*(I706+IF(ABS(X706-D706)&lt;0.000000001,4*$B$19*$B$20*(D706+273)^3,$B$19*$B$20*((X706+273)^4-(D706+273)^4)/(X706-D706)))+1/H706)</f>
        <v/>
      </c>
      <c r="Z706">
        <f>IF(ABS(Y706-D706)&lt;0.000000001,4*$B$19*$B$20*(D706+273)^3,$B$19*$B$20*((Y706+273)^4-(D706+273)^4)/(Y706-D706))</f>
        <v/>
      </c>
      <c r="AA706">
        <f>$B$14*I706*(Y706-C706)</f>
        <v/>
      </c>
      <c r="AB706">
        <f>$B$14*Z706*(Y706-D706)</f>
        <v/>
      </c>
      <c r="AC706">
        <f>IF((U706-E706)/G706=0,0.001,(U706-E706)/G706)</f>
        <v/>
      </c>
      <c r="AD706">
        <f>F706-P706-J706-K706-AA706-AB706</f>
        <v/>
      </c>
      <c r="AE706">
        <f>AD706/AC706</f>
        <v/>
      </c>
      <c r="AF706">
        <f>IF(AD706&lt;=0,0,IF(AC706&lt;=0,$B$11,IF(AE706&gt;=1.7,$B$11,MIN(AD706/MAX(0.05,IF(AE706&gt;1,(2-AE706)^2/2,1-AE706^2/2)),$B$11))))</f>
        <v/>
      </c>
      <c r="AG706">
        <f>AG705*$B$28+AF706*(1-$B$28)</f>
        <v/>
      </c>
      <c r="AH706">
        <f>IF(AND(AD706&gt;0,AC706&lt;=0),0,AC706)</f>
        <v/>
      </c>
      <c r="AI706">
        <f>AH706/MAX(AG706,0.000001)</f>
        <v/>
      </c>
      <c r="AJ706">
        <f>MIN(IF(AI706&gt;=0.5,-AI706+SQRT(AI706^2+2),1),$B$12)</f>
        <v/>
      </c>
      <c r="AK706">
        <f>IF(AG706&lt;=0,0,AJ706*AH706)</f>
        <v/>
      </c>
      <c r="AL706">
        <f>IF(AD706&lt;=0,0,AD706)</f>
        <v/>
      </c>
      <c r="AM706">
        <f>AL706-AK706+P706</f>
        <v/>
      </c>
      <c r="AN706">
        <f>((AM706/$B$7+T705*AS705/2-T706*MAX(0.1,MIN(0.3,0.3-0.09*(AR705-36.8)))/2)+AR705*(1-AS705/2))/(1-MAX(0.1,MIN(0.3,0.3-0.09*(AR705-36.8)))/2)</f>
        <v/>
      </c>
      <c r="AO706">
        <f>((AM706/$B$7+T705*AS705/2-T706*MAX(0.1,MIN(0.3,0.3-0.09*(AN706-36.8)))/2)+AR705*(1-AS705/2))/(1-MAX(0.1,MIN(0.3,0.3-0.09*(AN706-36.8)))/2)</f>
        <v/>
      </c>
      <c r="AP706">
        <f>((AM706/$B$7+T705*AS705/2-T706*MAX(0.1,MIN(0.3,0.3-0.09*(AO706-36.8)))/2)+AR705*(1-AS705/2))/(1-MAX(0.1,MIN(0.3,0.3-0.09*(AO706-36.8)))/2)</f>
        <v/>
      </c>
      <c r="AQ706">
        <f>((AM706/$B$7+T705*AS705/2-T706*MAX(0.1,MIN(0.3,0.3-0.09*(AP706-36.8)))/2)+AR705*(1-AS705/2))/(1-MAX(0.1,MIN(0.3,0.3-0.09*(AP706-36.8)))/2)</f>
        <v/>
      </c>
      <c r="AR706">
        <f>((AM706/$B$7+T705*AS705/2-T706*MAX(0.1,MIN(0.3,0.3-0.09*(AQ706-36.8)))/2)+AR705*(1-AS705/2))/(1-MAX(0.1,MIN(0.3,0.3-0.09*(AQ706-36.8)))/2)</f>
        <v/>
      </c>
      <c r="AS706">
        <f>MAX(0.1,MIN(0.3,0.3-0.09*(AR706-36.8)))</f>
        <v/>
      </c>
      <c r="AT706">
        <f>AT705+(2*AR706-1.962*AT705-1.31)/9</f>
        <v/>
      </c>
      <c r="AU706">
        <f>AU705+AG706+K706</f>
        <v/>
      </c>
      <c r="AV706">
        <f>AU706*2.67*$B$6/1.8/60</f>
        <v/>
      </c>
      <c r="AW706">
        <f>IF(AT706&gt;=$B$36,1,0)</f>
        <v/>
      </c>
      <c r="AX706">
        <f>IF(AV706&gt;=$B$21,1,0)</f>
        <v/>
      </c>
    </row>
    <row r="707">
      <c r="A707" t="n">
        <v>634</v>
      </c>
      <c r="B707">
        <f>MATCH(A707-1,$D$61:$D$68,1)</f>
        <v/>
      </c>
      <c r="C707">
        <f>INDEX($G$61:$G$68,B707)</f>
        <v/>
      </c>
      <c r="D707">
        <f>INDEX($L$61:$L$68,B707)</f>
        <v/>
      </c>
      <c r="E707">
        <f>INDEX($M$61:$M$68,B707)</f>
        <v/>
      </c>
      <c r="F707">
        <f>INDEX($N$61:$N$68,B707)</f>
        <v/>
      </c>
      <c r="G707">
        <f>INDEX($AA$61:$AA$68,B707)</f>
        <v/>
      </c>
      <c r="H707">
        <f>INDEX($X$61:$X$68,B707)</f>
        <v/>
      </c>
      <c r="I707">
        <f>INDEX($AF$61:$AF$68,B707)</f>
        <v/>
      </c>
      <c r="J707">
        <f>INDEX($AC$61:$AC$68,B707)</f>
        <v/>
      </c>
      <c r="K707">
        <f>INDEX($AD$61:$AD$68,B707)</f>
        <v/>
      </c>
      <c r="L707">
        <f>INDEX($AG$61:$AG$68,B707)</f>
        <v/>
      </c>
      <c r="M707">
        <f>INDEX($AH$61:$AH$68,B707)</f>
        <v/>
      </c>
      <c r="N707">
        <f>INDEX($AI$61:$AI$68,B707)</f>
        <v/>
      </c>
      <c r="O707">
        <f>O706*$B$26+L707*(1-$B$26)</f>
        <v/>
      </c>
      <c r="P707">
        <f>$B$7*(O707-O706)*(1-AS706)</f>
        <v/>
      </c>
      <c r="Q707">
        <f>M707+0.51274*AT706</f>
        <v/>
      </c>
      <c r="R707">
        <f>N707+0.616*AT706</f>
        <v/>
      </c>
      <c r="S707">
        <f>IF($B$13&gt;=0.6,Q707,IF($B$13&lt;=0.2,R707,R707+2.5*(Q707-R707)*($B$13-0.2)))</f>
        <v/>
      </c>
      <c r="T707">
        <f>IF(A707=1,S707,T706*$B$27+S707*(1-$B$27))</f>
        <v/>
      </c>
      <c r="U707">
        <f>0.6105*EXP(17.27*T707/(T707+237.3))</f>
        <v/>
      </c>
      <c r="V707">
        <f>($B$14*(I707*C707+IF(ABS((D707+0.1)-D707)&lt;0.000000001,4*$B$19*$B$20*(D707+273)^3,$B$19*$B$20*(((D707+0.1)+273)^4-(D707+273)^4)/((D707+0.1)-D707))*D707)+T707/H707)/($B$14*(I707+IF(ABS((D707+0.1)-D707)&lt;0.000000001,4*$B$19*$B$20*(D707+273)^3,$B$19*$B$20*(((D707+0.1)+273)^4-(D707+273)^4)/((D707+0.1)-D707)))+1/H707)</f>
        <v/>
      </c>
      <c r="W707">
        <f>($B$14*(I707*C707+IF(ABS(V707-D707)&lt;0.000000001,4*$B$19*$B$20*(D707+273)^3,$B$19*$B$20*((V707+273)^4-(D707+273)^4)/(V707-D707))*D707)+T707/H707)/($B$14*(I707+IF(ABS(V707-D707)&lt;0.000000001,4*$B$19*$B$20*(D707+273)^3,$B$19*$B$20*((V707+273)^4-(D707+273)^4)/(V707-D707)))+1/H707)</f>
        <v/>
      </c>
      <c r="X707">
        <f>($B$14*(I707*C707+IF(ABS(W707-D707)&lt;0.000000001,4*$B$19*$B$20*(D707+273)^3,$B$19*$B$20*((W707+273)^4-(D707+273)^4)/(W707-D707))*D707)+T707/H707)/($B$14*(I707+IF(ABS(W707-D707)&lt;0.000000001,4*$B$19*$B$20*(D707+273)^3,$B$19*$B$20*((W707+273)^4-(D707+273)^4)/(W707-D707)))+1/H707)</f>
        <v/>
      </c>
      <c r="Y707">
        <f>($B$14*(I707*C707+IF(ABS(X707-D707)&lt;0.000000001,4*$B$19*$B$20*(D707+273)^3,$B$19*$B$20*((X707+273)^4-(D707+273)^4)/(X707-D707))*D707)+T707/H707)/($B$14*(I707+IF(ABS(X707-D707)&lt;0.000000001,4*$B$19*$B$20*(D707+273)^3,$B$19*$B$20*((X707+273)^4-(D707+273)^4)/(X707-D707)))+1/H707)</f>
        <v/>
      </c>
      <c r="Z707">
        <f>IF(ABS(Y707-D707)&lt;0.000000001,4*$B$19*$B$20*(D707+273)^3,$B$19*$B$20*((Y707+273)^4-(D707+273)^4)/(Y707-D707))</f>
        <v/>
      </c>
      <c r="AA707">
        <f>$B$14*I707*(Y707-C707)</f>
        <v/>
      </c>
      <c r="AB707">
        <f>$B$14*Z707*(Y707-D707)</f>
        <v/>
      </c>
      <c r="AC707">
        <f>IF((U707-E707)/G707=0,0.001,(U707-E707)/G707)</f>
        <v/>
      </c>
      <c r="AD707">
        <f>F707-P707-J707-K707-AA707-AB707</f>
        <v/>
      </c>
      <c r="AE707">
        <f>AD707/AC707</f>
        <v/>
      </c>
      <c r="AF707">
        <f>IF(AD707&lt;=0,0,IF(AC707&lt;=0,$B$11,IF(AE707&gt;=1.7,$B$11,MIN(AD707/MAX(0.05,IF(AE707&gt;1,(2-AE707)^2/2,1-AE707^2/2)),$B$11))))</f>
        <v/>
      </c>
      <c r="AG707">
        <f>AG706*$B$28+AF707*(1-$B$28)</f>
        <v/>
      </c>
      <c r="AH707">
        <f>IF(AND(AD707&gt;0,AC707&lt;=0),0,AC707)</f>
        <v/>
      </c>
      <c r="AI707">
        <f>AH707/MAX(AG707,0.000001)</f>
        <v/>
      </c>
      <c r="AJ707">
        <f>MIN(IF(AI707&gt;=0.5,-AI707+SQRT(AI707^2+2),1),$B$12)</f>
        <v/>
      </c>
      <c r="AK707">
        <f>IF(AG707&lt;=0,0,AJ707*AH707)</f>
        <v/>
      </c>
      <c r="AL707">
        <f>IF(AD707&lt;=0,0,AD707)</f>
        <v/>
      </c>
      <c r="AM707">
        <f>AL707-AK707+P707</f>
        <v/>
      </c>
      <c r="AN707">
        <f>((AM707/$B$7+T706*AS706/2-T707*MAX(0.1,MIN(0.3,0.3-0.09*(AR706-36.8)))/2)+AR706*(1-AS706/2))/(1-MAX(0.1,MIN(0.3,0.3-0.09*(AR706-36.8)))/2)</f>
        <v/>
      </c>
      <c r="AO707">
        <f>((AM707/$B$7+T706*AS706/2-T707*MAX(0.1,MIN(0.3,0.3-0.09*(AN707-36.8)))/2)+AR706*(1-AS706/2))/(1-MAX(0.1,MIN(0.3,0.3-0.09*(AN707-36.8)))/2)</f>
        <v/>
      </c>
      <c r="AP707">
        <f>((AM707/$B$7+T706*AS706/2-T707*MAX(0.1,MIN(0.3,0.3-0.09*(AO707-36.8)))/2)+AR706*(1-AS706/2))/(1-MAX(0.1,MIN(0.3,0.3-0.09*(AO707-36.8)))/2)</f>
        <v/>
      </c>
      <c r="AQ707">
        <f>((AM707/$B$7+T706*AS706/2-T707*MAX(0.1,MIN(0.3,0.3-0.09*(AP707-36.8)))/2)+AR706*(1-AS706/2))/(1-MAX(0.1,MIN(0.3,0.3-0.09*(AP707-36.8)))/2)</f>
        <v/>
      </c>
      <c r="AR707">
        <f>((AM707/$B$7+T706*AS706/2-T707*MAX(0.1,MIN(0.3,0.3-0.09*(AQ707-36.8)))/2)+AR706*(1-AS706/2))/(1-MAX(0.1,MIN(0.3,0.3-0.09*(AQ707-36.8)))/2)</f>
        <v/>
      </c>
      <c r="AS707">
        <f>MAX(0.1,MIN(0.3,0.3-0.09*(AR707-36.8)))</f>
        <v/>
      </c>
      <c r="AT707">
        <f>AT706+(2*AR707-1.962*AT706-1.31)/9</f>
        <v/>
      </c>
      <c r="AU707">
        <f>AU706+AG707+K707</f>
        <v/>
      </c>
      <c r="AV707">
        <f>AU707*2.67*$B$6/1.8/60</f>
        <v/>
      </c>
      <c r="AW707">
        <f>IF(AT707&gt;=$B$36,1,0)</f>
        <v/>
      </c>
      <c r="AX707">
        <f>IF(AV707&gt;=$B$21,1,0)</f>
        <v/>
      </c>
    </row>
    <row r="708">
      <c r="A708" t="n">
        <v>635</v>
      </c>
      <c r="B708">
        <f>MATCH(A708-1,$D$61:$D$68,1)</f>
        <v/>
      </c>
      <c r="C708">
        <f>INDEX($G$61:$G$68,B708)</f>
        <v/>
      </c>
      <c r="D708">
        <f>INDEX($L$61:$L$68,B708)</f>
        <v/>
      </c>
      <c r="E708">
        <f>INDEX($M$61:$M$68,B708)</f>
        <v/>
      </c>
      <c r="F708">
        <f>INDEX($N$61:$N$68,B708)</f>
        <v/>
      </c>
      <c r="G708">
        <f>INDEX($AA$61:$AA$68,B708)</f>
        <v/>
      </c>
      <c r="H708">
        <f>INDEX($X$61:$X$68,B708)</f>
        <v/>
      </c>
      <c r="I708">
        <f>INDEX($AF$61:$AF$68,B708)</f>
        <v/>
      </c>
      <c r="J708">
        <f>INDEX($AC$61:$AC$68,B708)</f>
        <v/>
      </c>
      <c r="K708">
        <f>INDEX($AD$61:$AD$68,B708)</f>
        <v/>
      </c>
      <c r="L708">
        <f>INDEX($AG$61:$AG$68,B708)</f>
        <v/>
      </c>
      <c r="M708">
        <f>INDEX($AH$61:$AH$68,B708)</f>
        <v/>
      </c>
      <c r="N708">
        <f>INDEX($AI$61:$AI$68,B708)</f>
        <v/>
      </c>
      <c r="O708">
        <f>O707*$B$26+L708*(1-$B$26)</f>
        <v/>
      </c>
      <c r="P708">
        <f>$B$7*(O708-O707)*(1-AS707)</f>
        <v/>
      </c>
      <c r="Q708">
        <f>M708+0.51274*AT707</f>
        <v/>
      </c>
      <c r="R708">
        <f>N708+0.616*AT707</f>
        <v/>
      </c>
      <c r="S708">
        <f>IF($B$13&gt;=0.6,Q708,IF($B$13&lt;=0.2,R708,R708+2.5*(Q708-R708)*($B$13-0.2)))</f>
        <v/>
      </c>
      <c r="T708">
        <f>IF(A708=1,S708,T707*$B$27+S708*(1-$B$27))</f>
        <v/>
      </c>
      <c r="U708">
        <f>0.6105*EXP(17.27*T708/(T708+237.3))</f>
        <v/>
      </c>
      <c r="V708">
        <f>($B$14*(I708*C708+IF(ABS((D708+0.1)-D708)&lt;0.000000001,4*$B$19*$B$20*(D708+273)^3,$B$19*$B$20*(((D708+0.1)+273)^4-(D708+273)^4)/((D708+0.1)-D708))*D708)+T708/H708)/($B$14*(I708+IF(ABS((D708+0.1)-D708)&lt;0.000000001,4*$B$19*$B$20*(D708+273)^3,$B$19*$B$20*(((D708+0.1)+273)^4-(D708+273)^4)/((D708+0.1)-D708)))+1/H708)</f>
        <v/>
      </c>
      <c r="W708">
        <f>($B$14*(I708*C708+IF(ABS(V708-D708)&lt;0.000000001,4*$B$19*$B$20*(D708+273)^3,$B$19*$B$20*((V708+273)^4-(D708+273)^4)/(V708-D708))*D708)+T708/H708)/($B$14*(I708+IF(ABS(V708-D708)&lt;0.000000001,4*$B$19*$B$20*(D708+273)^3,$B$19*$B$20*((V708+273)^4-(D708+273)^4)/(V708-D708)))+1/H708)</f>
        <v/>
      </c>
      <c r="X708">
        <f>($B$14*(I708*C708+IF(ABS(W708-D708)&lt;0.000000001,4*$B$19*$B$20*(D708+273)^3,$B$19*$B$20*((W708+273)^4-(D708+273)^4)/(W708-D708))*D708)+T708/H708)/($B$14*(I708+IF(ABS(W708-D708)&lt;0.000000001,4*$B$19*$B$20*(D708+273)^3,$B$19*$B$20*((W708+273)^4-(D708+273)^4)/(W708-D708)))+1/H708)</f>
        <v/>
      </c>
      <c r="Y708">
        <f>($B$14*(I708*C708+IF(ABS(X708-D708)&lt;0.000000001,4*$B$19*$B$20*(D708+273)^3,$B$19*$B$20*((X708+273)^4-(D708+273)^4)/(X708-D708))*D708)+T708/H708)/($B$14*(I708+IF(ABS(X708-D708)&lt;0.000000001,4*$B$19*$B$20*(D708+273)^3,$B$19*$B$20*((X708+273)^4-(D708+273)^4)/(X708-D708)))+1/H708)</f>
        <v/>
      </c>
      <c r="Z708">
        <f>IF(ABS(Y708-D708)&lt;0.000000001,4*$B$19*$B$20*(D708+273)^3,$B$19*$B$20*((Y708+273)^4-(D708+273)^4)/(Y708-D708))</f>
        <v/>
      </c>
      <c r="AA708">
        <f>$B$14*I708*(Y708-C708)</f>
        <v/>
      </c>
      <c r="AB708">
        <f>$B$14*Z708*(Y708-D708)</f>
        <v/>
      </c>
      <c r="AC708">
        <f>IF((U708-E708)/G708=0,0.001,(U708-E708)/G708)</f>
        <v/>
      </c>
      <c r="AD708">
        <f>F708-P708-J708-K708-AA708-AB708</f>
        <v/>
      </c>
      <c r="AE708">
        <f>AD708/AC708</f>
        <v/>
      </c>
      <c r="AF708">
        <f>IF(AD708&lt;=0,0,IF(AC708&lt;=0,$B$11,IF(AE708&gt;=1.7,$B$11,MIN(AD708/MAX(0.05,IF(AE708&gt;1,(2-AE708)^2/2,1-AE708^2/2)),$B$11))))</f>
        <v/>
      </c>
      <c r="AG708">
        <f>AG707*$B$28+AF708*(1-$B$28)</f>
        <v/>
      </c>
      <c r="AH708">
        <f>IF(AND(AD708&gt;0,AC708&lt;=0),0,AC708)</f>
        <v/>
      </c>
      <c r="AI708">
        <f>AH708/MAX(AG708,0.000001)</f>
        <v/>
      </c>
      <c r="AJ708">
        <f>MIN(IF(AI708&gt;=0.5,-AI708+SQRT(AI708^2+2),1),$B$12)</f>
        <v/>
      </c>
      <c r="AK708">
        <f>IF(AG708&lt;=0,0,AJ708*AH708)</f>
        <v/>
      </c>
      <c r="AL708">
        <f>IF(AD708&lt;=0,0,AD708)</f>
        <v/>
      </c>
      <c r="AM708">
        <f>AL708-AK708+P708</f>
        <v/>
      </c>
      <c r="AN708">
        <f>((AM708/$B$7+T707*AS707/2-T708*MAX(0.1,MIN(0.3,0.3-0.09*(AR707-36.8)))/2)+AR707*(1-AS707/2))/(1-MAX(0.1,MIN(0.3,0.3-0.09*(AR707-36.8)))/2)</f>
        <v/>
      </c>
      <c r="AO708">
        <f>((AM708/$B$7+T707*AS707/2-T708*MAX(0.1,MIN(0.3,0.3-0.09*(AN708-36.8)))/2)+AR707*(1-AS707/2))/(1-MAX(0.1,MIN(0.3,0.3-0.09*(AN708-36.8)))/2)</f>
        <v/>
      </c>
      <c r="AP708">
        <f>((AM708/$B$7+T707*AS707/2-T708*MAX(0.1,MIN(0.3,0.3-0.09*(AO708-36.8)))/2)+AR707*(1-AS707/2))/(1-MAX(0.1,MIN(0.3,0.3-0.09*(AO708-36.8)))/2)</f>
        <v/>
      </c>
      <c r="AQ708">
        <f>((AM708/$B$7+T707*AS707/2-T708*MAX(0.1,MIN(0.3,0.3-0.09*(AP708-36.8)))/2)+AR707*(1-AS707/2))/(1-MAX(0.1,MIN(0.3,0.3-0.09*(AP708-36.8)))/2)</f>
        <v/>
      </c>
      <c r="AR708">
        <f>((AM708/$B$7+T707*AS707/2-T708*MAX(0.1,MIN(0.3,0.3-0.09*(AQ708-36.8)))/2)+AR707*(1-AS707/2))/(1-MAX(0.1,MIN(0.3,0.3-0.09*(AQ708-36.8)))/2)</f>
        <v/>
      </c>
      <c r="AS708">
        <f>MAX(0.1,MIN(0.3,0.3-0.09*(AR708-36.8)))</f>
        <v/>
      </c>
      <c r="AT708">
        <f>AT707+(2*AR708-1.962*AT707-1.31)/9</f>
        <v/>
      </c>
      <c r="AU708">
        <f>AU707+AG708+K708</f>
        <v/>
      </c>
      <c r="AV708">
        <f>AU708*2.67*$B$6/1.8/60</f>
        <v/>
      </c>
      <c r="AW708">
        <f>IF(AT708&gt;=$B$36,1,0)</f>
        <v/>
      </c>
      <c r="AX708">
        <f>IF(AV708&gt;=$B$21,1,0)</f>
        <v/>
      </c>
    </row>
    <row r="709">
      <c r="A709" t="n">
        <v>636</v>
      </c>
      <c r="B709">
        <f>MATCH(A709-1,$D$61:$D$68,1)</f>
        <v/>
      </c>
      <c r="C709">
        <f>INDEX($G$61:$G$68,B709)</f>
        <v/>
      </c>
      <c r="D709">
        <f>INDEX($L$61:$L$68,B709)</f>
        <v/>
      </c>
      <c r="E709">
        <f>INDEX($M$61:$M$68,B709)</f>
        <v/>
      </c>
      <c r="F709">
        <f>INDEX($N$61:$N$68,B709)</f>
        <v/>
      </c>
      <c r="G709">
        <f>INDEX($AA$61:$AA$68,B709)</f>
        <v/>
      </c>
      <c r="H709">
        <f>INDEX($X$61:$X$68,B709)</f>
        <v/>
      </c>
      <c r="I709">
        <f>INDEX($AF$61:$AF$68,B709)</f>
        <v/>
      </c>
      <c r="J709">
        <f>INDEX($AC$61:$AC$68,B709)</f>
        <v/>
      </c>
      <c r="K709">
        <f>INDEX($AD$61:$AD$68,B709)</f>
        <v/>
      </c>
      <c r="L709">
        <f>INDEX($AG$61:$AG$68,B709)</f>
        <v/>
      </c>
      <c r="M709">
        <f>INDEX($AH$61:$AH$68,B709)</f>
        <v/>
      </c>
      <c r="N709">
        <f>INDEX($AI$61:$AI$68,B709)</f>
        <v/>
      </c>
      <c r="O709">
        <f>O708*$B$26+L709*(1-$B$26)</f>
        <v/>
      </c>
      <c r="P709">
        <f>$B$7*(O709-O708)*(1-AS708)</f>
        <v/>
      </c>
      <c r="Q709">
        <f>M709+0.51274*AT708</f>
        <v/>
      </c>
      <c r="R709">
        <f>N709+0.616*AT708</f>
        <v/>
      </c>
      <c r="S709">
        <f>IF($B$13&gt;=0.6,Q709,IF($B$13&lt;=0.2,R709,R709+2.5*(Q709-R709)*($B$13-0.2)))</f>
        <v/>
      </c>
      <c r="T709">
        <f>IF(A709=1,S709,T708*$B$27+S709*(1-$B$27))</f>
        <v/>
      </c>
      <c r="U709">
        <f>0.6105*EXP(17.27*T709/(T709+237.3))</f>
        <v/>
      </c>
      <c r="V709">
        <f>($B$14*(I709*C709+IF(ABS((D709+0.1)-D709)&lt;0.000000001,4*$B$19*$B$20*(D709+273)^3,$B$19*$B$20*(((D709+0.1)+273)^4-(D709+273)^4)/((D709+0.1)-D709))*D709)+T709/H709)/($B$14*(I709+IF(ABS((D709+0.1)-D709)&lt;0.000000001,4*$B$19*$B$20*(D709+273)^3,$B$19*$B$20*(((D709+0.1)+273)^4-(D709+273)^4)/((D709+0.1)-D709)))+1/H709)</f>
        <v/>
      </c>
      <c r="W709">
        <f>($B$14*(I709*C709+IF(ABS(V709-D709)&lt;0.000000001,4*$B$19*$B$20*(D709+273)^3,$B$19*$B$20*((V709+273)^4-(D709+273)^4)/(V709-D709))*D709)+T709/H709)/($B$14*(I709+IF(ABS(V709-D709)&lt;0.000000001,4*$B$19*$B$20*(D709+273)^3,$B$19*$B$20*((V709+273)^4-(D709+273)^4)/(V709-D709)))+1/H709)</f>
        <v/>
      </c>
      <c r="X709">
        <f>($B$14*(I709*C709+IF(ABS(W709-D709)&lt;0.000000001,4*$B$19*$B$20*(D709+273)^3,$B$19*$B$20*((W709+273)^4-(D709+273)^4)/(W709-D709))*D709)+T709/H709)/($B$14*(I709+IF(ABS(W709-D709)&lt;0.000000001,4*$B$19*$B$20*(D709+273)^3,$B$19*$B$20*((W709+273)^4-(D709+273)^4)/(W709-D709)))+1/H709)</f>
        <v/>
      </c>
      <c r="Y709">
        <f>($B$14*(I709*C709+IF(ABS(X709-D709)&lt;0.000000001,4*$B$19*$B$20*(D709+273)^3,$B$19*$B$20*((X709+273)^4-(D709+273)^4)/(X709-D709))*D709)+T709/H709)/($B$14*(I709+IF(ABS(X709-D709)&lt;0.000000001,4*$B$19*$B$20*(D709+273)^3,$B$19*$B$20*((X709+273)^4-(D709+273)^4)/(X709-D709)))+1/H709)</f>
        <v/>
      </c>
      <c r="Z709">
        <f>IF(ABS(Y709-D709)&lt;0.000000001,4*$B$19*$B$20*(D709+273)^3,$B$19*$B$20*((Y709+273)^4-(D709+273)^4)/(Y709-D709))</f>
        <v/>
      </c>
      <c r="AA709">
        <f>$B$14*I709*(Y709-C709)</f>
        <v/>
      </c>
      <c r="AB709">
        <f>$B$14*Z709*(Y709-D709)</f>
        <v/>
      </c>
      <c r="AC709">
        <f>IF((U709-E709)/G709=0,0.001,(U709-E709)/G709)</f>
        <v/>
      </c>
      <c r="AD709">
        <f>F709-P709-J709-K709-AA709-AB709</f>
        <v/>
      </c>
      <c r="AE709">
        <f>AD709/AC709</f>
        <v/>
      </c>
      <c r="AF709">
        <f>IF(AD709&lt;=0,0,IF(AC709&lt;=0,$B$11,IF(AE709&gt;=1.7,$B$11,MIN(AD709/MAX(0.05,IF(AE709&gt;1,(2-AE709)^2/2,1-AE709^2/2)),$B$11))))</f>
        <v/>
      </c>
      <c r="AG709">
        <f>AG708*$B$28+AF709*(1-$B$28)</f>
        <v/>
      </c>
      <c r="AH709">
        <f>IF(AND(AD709&gt;0,AC709&lt;=0),0,AC709)</f>
        <v/>
      </c>
      <c r="AI709">
        <f>AH709/MAX(AG709,0.000001)</f>
        <v/>
      </c>
      <c r="AJ709">
        <f>MIN(IF(AI709&gt;=0.5,-AI709+SQRT(AI709^2+2),1),$B$12)</f>
        <v/>
      </c>
      <c r="AK709">
        <f>IF(AG709&lt;=0,0,AJ709*AH709)</f>
        <v/>
      </c>
      <c r="AL709">
        <f>IF(AD709&lt;=0,0,AD709)</f>
        <v/>
      </c>
      <c r="AM709">
        <f>AL709-AK709+P709</f>
        <v/>
      </c>
      <c r="AN709">
        <f>((AM709/$B$7+T708*AS708/2-T709*MAX(0.1,MIN(0.3,0.3-0.09*(AR708-36.8)))/2)+AR708*(1-AS708/2))/(1-MAX(0.1,MIN(0.3,0.3-0.09*(AR708-36.8)))/2)</f>
        <v/>
      </c>
      <c r="AO709">
        <f>((AM709/$B$7+T708*AS708/2-T709*MAX(0.1,MIN(0.3,0.3-0.09*(AN709-36.8)))/2)+AR708*(1-AS708/2))/(1-MAX(0.1,MIN(0.3,0.3-0.09*(AN709-36.8)))/2)</f>
        <v/>
      </c>
      <c r="AP709">
        <f>((AM709/$B$7+T708*AS708/2-T709*MAX(0.1,MIN(0.3,0.3-0.09*(AO709-36.8)))/2)+AR708*(1-AS708/2))/(1-MAX(0.1,MIN(0.3,0.3-0.09*(AO709-36.8)))/2)</f>
        <v/>
      </c>
      <c r="AQ709">
        <f>((AM709/$B$7+T708*AS708/2-T709*MAX(0.1,MIN(0.3,0.3-0.09*(AP709-36.8)))/2)+AR708*(1-AS708/2))/(1-MAX(0.1,MIN(0.3,0.3-0.09*(AP709-36.8)))/2)</f>
        <v/>
      </c>
      <c r="AR709">
        <f>((AM709/$B$7+T708*AS708/2-T709*MAX(0.1,MIN(0.3,0.3-0.09*(AQ709-36.8)))/2)+AR708*(1-AS708/2))/(1-MAX(0.1,MIN(0.3,0.3-0.09*(AQ709-36.8)))/2)</f>
        <v/>
      </c>
      <c r="AS709">
        <f>MAX(0.1,MIN(0.3,0.3-0.09*(AR709-36.8)))</f>
        <v/>
      </c>
      <c r="AT709">
        <f>AT708+(2*AR709-1.962*AT708-1.31)/9</f>
        <v/>
      </c>
      <c r="AU709">
        <f>AU708+AG709+K709</f>
        <v/>
      </c>
      <c r="AV709">
        <f>AU709*2.67*$B$6/1.8/60</f>
        <v/>
      </c>
      <c r="AW709">
        <f>IF(AT709&gt;=$B$36,1,0)</f>
        <v/>
      </c>
      <c r="AX709">
        <f>IF(AV709&gt;=$B$21,1,0)</f>
        <v/>
      </c>
    </row>
    <row r="710">
      <c r="A710" t="n">
        <v>637</v>
      </c>
      <c r="B710">
        <f>MATCH(A710-1,$D$61:$D$68,1)</f>
        <v/>
      </c>
      <c r="C710">
        <f>INDEX($G$61:$G$68,B710)</f>
        <v/>
      </c>
      <c r="D710">
        <f>INDEX($L$61:$L$68,B710)</f>
        <v/>
      </c>
      <c r="E710">
        <f>INDEX($M$61:$M$68,B710)</f>
        <v/>
      </c>
      <c r="F710">
        <f>INDEX($N$61:$N$68,B710)</f>
        <v/>
      </c>
      <c r="G710">
        <f>INDEX($AA$61:$AA$68,B710)</f>
        <v/>
      </c>
      <c r="H710">
        <f>INDEX($X$61:$X$68,B710)</f>
        <v/>
      </c>
      <c r="I710">
        <f>INDEX($AF$61:$AF$68,B710)</f>
        <v/>
      </c>
      <c r="J710">
        <f>INDEX($AC$61:$AC$68,B710)</f>
        <v/>
      </c>
      <c r="K710">
        <f>INDEX($AD$61:$AD$68,B710)</f>
        <v/>
      </c>
      <c r="L710">
        <f>INDEX($AG$61:$AG$68,B710)</f>
        <v/>
      </c>
      <c r="M710">
        <f>INDEX($AH$61:$AH$68,B710)</f>
        <v/>
      </c>
      <c r="N710">
        <f>INDEX($AI$61:$AI$68,B710)</f>
        <v/>
      </c>
      <c r="O710">
        <f>O709*$B$26+L710*(1-$B$26)</f>
        <v/>
      </c>
      <c r="P710">
        <f>$B$7*(O710-O709)*(1-AS709)</f>
        <v/>
      </c>
      <c r="Q710">
        <f>M710+0.51274*AT709</f>
        <v/>
      </c>
      <c r="R710">
        <f>N710+0.616*AT709</f>
        <v/>
      </c>
      <c r="S710">
        <f>IF($B$13&gt;=0.6,Q710,IF($B$13&lt;=0.2,R710,R710+2.5*(Q710-R710)*($B$13-0.2)))</f>
        <v/>
      </c>
      <c r="T710">
        <f>IF(A710=1,S710,T709*$B$27+S710*(1-$B$27))</f>
        <v/>
      </c>
      <c r="U710">
        <f>0.6105*EXP(17.27*T710/(T710+237.3))</f>
        <v/>
      </c>
      <c r="V710">
        <f>($B$14*(I710*C710+IF(ABS((D710+0.1)-D710)&lt;0.000000001,4*$B$19*$B$20*(D710+273)^3,$B$19*$B$20*(((D710+0.1)+273)^4-(D710+273)^4)/((D710+0.1)-D710))*D710)+T710/H710)/($B$14*(I710+IF(ABS((D710+0.1)-D710)&lt;0.000000001,4*$B$19*$B$20*(D710+273)^3,$B$19*$B$20*(((D710+0.1)+273)^4-(D710+273)^4)/((D710+0.1)-D710)))+1/H710)</f>
        <v/>
      </c>
      <c r="W710">
        <f>($B$14*(I710*C710+IF(ABS(V710-D710)&lt;0.000000001,4*$B$19*$B$20*(D710+273)^3,$B$19*$B$20*((V710+273)^4-(D710+273)^4)/(V710-D710))*D710)+T710/H710)/($B$14*(I710+IF(ABS(V710-D710)&lt;0.000000001,4*$B$19*$B$20*(D710+273)^3,$B$19*$B$20*((V710+273)^4-(D710+273)^4)/(V710-D710)))+1/H710)</f>
        <v/>
      </c>
      <c r="X710">
        <f>($B$14*(I710*C710+IF(ABS(W710-D710)&lt;0.000000001,4*$B$19*$B$20*(D710+273)^3,$B$19*$B$20*((W710+273)^4-(D710+273)^4)/(W710-D710))*D710)+T710/H710)/($B$14*(I710+IF(ABS(W710-D710)&lt;0.000000001,4*$B$19*$B$20*(D710+273)^3,$B$19*$B$20*((W710+273)^4-(D710+273)^4)/(W710-D710)))+1/H710)</f>
        <v/>
      </c>
      <c r="Y710">
        <f>($B$14*(I710*C710+IF(ABS(X710-D710)&lt;0.000000001,4*$B$19*$B$20*(D710+273)^3,$B$19*$B$20*((X710+273)^4-(D710+273)^4)/(X710-D710))*D710)+T710/H710)/($B$14*(I710+IF(ABS(X710-D710)&lt;0.000000001,4*$B$19*$B$20*(D710+273)^3,$B$19*$B$20*((X710+273)^4-(D710+273)^4)/(X710-D710)))+1/H710)</f>
        <v/>
      </c>
      <c r="Z710">
        <f>IF(ABS(Y710-D710)&lt;0.000000001,4*$B$19*$B$20*(D710+273)^3,$B$19*$B$20*((Y710+273)^4-(D710+273)^4)/(Y710-D710))</f>
        <v/>
      </c>
      <c r="AA710">
        <f>$B$14*I710*(Y710-C710)</f>
        <v/>
      </c>
      <c r="AB710">
        <f>$B$14*Z710*(Y710-D710)</f>
        <v/>
      </c>
      <c r="AC710">
        <f>IF((U710-E710)/G710=0,0.001,(U710-E710)/G710)</f>
        <v/>
      </c>
      <c r="AD710">
        <f>F710-P710-J710-K710-AA710-AB710</f>
        <v/>
      </c>
      <c r="AE710">
        <f>AD710/AC710</f>
        <v/>
      </c>
      <c r="AF710">
        <f>IF(AD710&lt;=0,0,IF(AC710&lt;=0,$B$11,IF(AE710&gt;=1.7,$B$11,MIN(AD710/MAX(0.05,IF(AE710&gt;1,(2-AE710)^2/2,1-AE710^2/2)),$B$11))))</f>
        <v/>
      </c>
      <c r="AG710">
        <f>AG709*$B$28+AF710*(1-$B$28)</f>
        <v/>
      </c>
      <c r="AH710">
        <f>IF(AND(AD710&gt;0,AC710&lt;=0),0,AC710)</f>
        <v/>
      </c>
      <c r="AI710">
        <f>AH710/MAX(AG710,0.000001)</f>
        <v/>
      </c>
      <c r="AJ710">
        <f>MIN(IF(AI710&gt;=0.5,-AI710+SQRT(AI710^2+2),1),$B$12)</f>
        <v/>
      </c>
      <c r="AK710">
        <f>IF(AG710&lt;=0,0,AJ710*AH710)</f>
        <v/>
      </c>
      <c r="AL710">
        <f>IF(AD710&lt;=0,0,AD710)</f>
        <v/>
      </c>
      <c r="AM710">
        <f>AL710-AK710+P710</f>
        <v/>
      </c>
      <c r="AN710">
        <f>((AM710/$B$7+T709*AS709/2-T710*MAX(0.1,MIN(0.3,0.3-0.09*(AR709-36.8)))/2)+AR709*(1-AS709/2))/(1-MAX(0.1,MIN(0.3,0.3-0.09*(AR709-36.8)))/2)</f>
        <v/>
      </c>
      <c r="AO710">
        <f>((AM710/$B$7+T709*AS709/2-T710*MAX(0.1,MIN(0.3,0.3-0.09*(AN710-36.8)))/2)+AR709*(1-AS709/2))/(1-MAX(0.1,MIN(0.3,0.3-0.09*(AN710-36.8)))/2)</f>
        <v/>
      </c>
      <c r="AP710">
        <f>((AM710/$B$7+T709*AS709/2-T710*MAX(0.1,MIN(0.3,0.3-0.09*(AO710-36.8)))/2)+AR709*(1-AS709/2))/(1-MAX(0.1,MIN(0.3,0.3-0.09*(AO710-36.8)))/2)</f>
        <v/>
      </c>
      <c r="AQ710">
        <f>((AM710/$B$7+T709*AS709/2-T710*MAX(0.1,MIN(0.3,0.3-0.09*(AP710-36.8)))/2)+AR709*(1-AS709/2))/(1-MAX(0.1,MIN(0.3,0.3-0.09*(AP710-36.8)))/2)</f>
        <v/>
      </c>
      <c r="AR710">
        <f>((AM710/$B$7+T709*AS709/2-T710*MAX(0.1,MIN(0.3,0.3-0.09*(AQ710-36.8)))/2)+AR709*(1-AS709/2))/(1-MAX(0.1,MIN(0.3,0.3-0.09*(AQ710-36.8)))/2)</f>
        <v/>
      </c>
      <c r="AS710">
        <f>MAX(0.1,MIN(0.3,0.3-0.09*(AR710-36.8)))</f>
        <v/>
      </c>
      <c r="AT710">
        <f>AT709+(2*AR710-1.962*AT709-1.31)/9</f>
        <v/>
      </c>
      <c r="AU710">
        <f>AU709+AG710+K710</f>
        <v/>
      </c>
      <c r="AV710">
        <f>AU710*2.67*$B$6/1.8/60</f>
        <v/>
      </c>
      <c r="AW710">
        <f>IF(AT710&gt;=$B$36,1,0)</f>
        <v/>
      </c>
      <c r="AX710">
        <f>IF(AV710&gt;=$B$21,1,0)</f>
        <v/>
      </c>
    </row>
    <row r="711">
      <c r="A711" t="n">
        <v>638</v>
      </c>
      <c r="B711">
        <f>MATCH(A711-1,$D$61:$D$68,1)</f>
        <v/>
      </c>
      <c r="C711">
        <f>INDEX($G$61:$G$68,B711)</f>
        <v/>
      </c>
      <c r="D711">
        <f>INDEX($L$61:$L$68,B711)</f>
        <v/>
      </c>
      <c r="E711">
        <f>INDEX($M$61:$M$68,B711)</f>
        <v/>
      </c>
      <c r="F711">
        <f>INDEX($N$61:$N$68,B711)</f>
        <v/>
      </c>
      <c r="G711">
        <f>INDEX($AA$61:$AA$68,B711)</f>
        <v/>
      </c>
      <c r="H711">
        <f>INDEX($X$61:$X$68,B711)</f>
        <v/>
      </c>
      <c r="I711">
        <f>INDEX($AF$61:$AF$68,B711)</f>
        <v/>
      </c>
      <c r="J711">
        <f>INDEX($AC$61:$AC$68,B711)</f>
        <v/>
      </c>
      <c r="K711">
        <f>INDEX($AD$61:$AD$68,B711)</f>
        <v/>
      </c>
      <c r="L711">
        <f>INDEX($AG$61:$AG$68,B711)</f>
        <v/>
      </c>
      <c r="M711">
        <f>INDEX($AH$61:$AH$68,B711)</f>
        <v/>
      </c>
      <c r="N711">
        <f>INDEX($AI$61:$AI$68,B711)</f>
        <v/>
      </c>
      <c r="O711">
        <f>O710*$B$26+L711*(1-$B$26)</f>
        <v/>
      </c>
      <c r="P711">
        <f>$B$7*(O711-O710)*(1-AS710)</f>
        <v/>
      </c>
      <c r="Q711">
        <f>M711+0.51274*AT710</f>
        <v/>
      </c>
      <c r="R711">
        <f>N711+0.616*AT710</f>
        <v/>
      </c>
      <c r="S711">
        <f>IF($B$13&gt;=0.6,Q711,IF($B$13&lt;=0.2,R711,R711+2.5*(Q711-R711)*($B$13-0.2)))</f>
        <v/>
      </c>
      <c r="T711">
        <f>IF(A711=1,S711,T710*$B$27+S711*(1-$B$27))</f>
        <v/>
      </c>
      <c r="U711">
        <f>0.6105*EXP(17.27*T711/(T711+237.3))</f>
        <v/>
      </c>
      <c r="V711">
        <f>($B$14*(I711*C711+IF(ABS((D711+0.1)-D711)&lt;0.000000001,4*$B$19*$B$20*(D711+273)^3,$B$19*$B$20*(((D711+0.1)+273)^4-(D711+273)^4)/((D711+0.1)-D711))*D711)+T711/H711)/($B$14*(I711+IF(ABS((D711+0.1)-D711)&lt;0.000000001,4*$B$19*$B$20*(D711+273)^3,$B$19*$B$20*(((D711+0.1)+273)^4-(D711+273)^4)/((D711+0.1)-D711)))+1/H711)</f>
        <v/>
      </c>
      <c r="W711">
        <f>($B$14*(I711*C711+IF(ABS(V711-D711)&lt;0.000000001,4*$B$19*$B$20*(D711+273)^3,$B$19*$B$20*((V711+273)^4-(D711+273)^4)/(V711-D711))*D711)+T711/H711)/($B$14*(I711+IF(ABS(V711-D711)&lt;0.000000001,4*$B$19*$B$20*(D711+273)^3,$B$19*$B$20*((V711+273)^4-(D711+273)^4)/(V711-D711)))+1/H711)</f>
        <v/>
      </c>
      <c r="X711">
        <f>($B$14*(I711*C711+IF(ABS(W711-D711)&lt;0.000000001,4*$B$19*$B$20*(D711+273)^3,$B$19*$B$20*((W711+273)^4-(D711+273)^4)/(W711-D711))*D711)+T711/H711)/($B$14*(I711+IF(ABS(W711-D711)&lt;0.000000001,4*$B$19*$B$20*(D711+273)^3,$B$19*$B$20*((W711+273)^4-(D711+273)^4)/(W711-D711)))+1/H711)</f>
        <v/>
      </c>
      <c r="Y711">
        <f>($B$14*(I711*C711+IF(ABS(X711-D711)&lt;0.000000001,4*$B$19*$B$20*(D711+273)^3,$B$19*$B$20*((X711+273)^4-(D711+273)^4)/(X711-D711))*D711)+T711/H711)/($B$14*(I711+IF(ABS(X711-D711)&lt;0.000000001,4*$B$19*$B$20*(D711+273)^3,$B$19*$B$20*((X711+273)^4-(D711+273)^4)/(X711-D711)))+1/H711)</f>
        <v/>
      </c>
      <c r="Z711">
        <f>IF(ABS(Y711-D711)&lt;0.000000001,4*$B$19*$B$20*(D711+273)^3,$B$19*$B$20*((Y711+273)^4-(D711+273)^4)/(Y711-D711))</f>
        <v/>
      </c>
      <c r="AA711">
        <f>$B$14*I711*(Y711-C711)</f>
        <v/>
      </c>
      <c r="AB711">
        <f>$B$14*Z711*(Y711-D711)</f>
        <v/>
      </c>
      <c r="AC711">
        <f>IF((U711-E711)/G711=0,0.001,(U711-E711)/G711)</f>
        <v/>
      </c>
      <c r="AD711">
        <f>F711-P711-J711-K711-AA711-AB711</f>
        <v/>
      </c>
      <c r="AE711">
        <f>AD711/AC711</f>
        <v/>
      </c>
      <c r="AF711">
        <f>IF(AD711&lt;=0,0,IF(AC711&lt;=0,$B$11,IF(AE711&gt;=1.7,$B$11,MIN(AD711/MAX(0.05,IF(AE711&gt;1,(2-AE711)^2/2,1-AE711^2/2)),$B$11))))</f>
        <v/>
      </c>
      <c r="AG711">
        <f>AG710*$B$28+AF711*(1-$B$28)</f>
        <v/>
      </c>
      <c r="AH711">
        <f>IF(AND(AD711&gt;0,AC711&lt;=0),0,AC711)</f>
        <v/>
      </c>
      <c r="AI711">
        <f>AH711/MAX(AG711,0.000001)</f>
        <v/>
      </c>
      <c r="AJ711">
        <f>MIN(IF(AI711&gt;=0.5,-AI711+SQRT(AI711^2+2),1),$B$12)</f>
        <v/>
      </c>
      <c r="AK711">
        <f>IF(AG711&lt;=0,0,AJ711*AH711)</f>
        <v/>
      </c>
      <c r="AL711">
        <f>IF(AD711&lt;=0,0,AD711)</f>
        <v/>
      </c>
      <c r="AM711">
        <f>AL711-AK711+P711</f>
        <v/>
      </c>
      <c r="AN711">
        <f>((AM711/$B$7+T710*AS710/2-T711*MAX(0.1,MIN(0.3,0.3-0.09*(AR710-36.8)))/2)+AR710*(1-AS710/2))/(1-MAX(0.1,MIN(0.3,0.3-0.09*(AR710-36.8)))/2)</f>
        <v/>
      </c>
      <c r="AO711">
        <f>((AM711/$B$7+T710*AS710/2-T711*MAX(0.1,MIN(0.3,0.3-0.09*(AN711-36.8)))/2)+AR710*(1-AS710/2))/(1-MAX(0.1,MIN(0.3,0.3-0.09*(AN711-36.8)))/2)</f>
        <v/>
      </c>
      <c r="AP711">
        <f>((AM711/$B$7+T710*AS710/2-T711*MAX(0.1,MIN(0.3,0.3-0.09*(AO711-36.8)))/2)+AR710*(1-AS710/2))/(1-MAX(0.1,MIN(0.3,0.3-0.09*(AO711-36.8)))/2)</f>
        <v/>
      </c>
      <c r="AQ711">
        <f>((AM711/$B$7+T710*AS710/2-T711*MAX(0.1,MIN(0.3,0.3-0.09*(AP711-36.8)))/2)+AR710*(1-AS710/2))/(1-MAX(0.1,MIN(0.3,0.3-0.09*(AP711-36.8)))/2)</f>
        <v/>
      </c>
      <c r="AR711">
        <f>((AM711/$B$7+T710*AS710/2-T711*MAX(0.1,MIN(0.3,0.3-0.09*(AQ711-36.8)))/2)+AR710*(1-AS710/2))/(1-MAX(0.1,MIN(0.3,0.3-0.09*(AQ711-36.8)))/2)</f>
        <v/>
      </c>
      <c r="AS711">
        <f>MAX(0.1,MIN(0.3,0.3-0.09*(AR711-36.8)))</f>
        <v/>
      </c>
      <c r="AT711">
        <f>AT710+(2*AR711-1.962*AT710-1.31)/9</f>
        <v/>
      </c>
      <c r="AU711">
        <f>AU710+AG711+K711</f>
        <v/>
      </c>
      <c r="AV711">
        <f>AU711*2.67*$B$6/1.8/60</f>
        <v/>
      </c>
      <c r="AW711">
        <f>IF(AT711&gt;=$B$36,1,0)</f>
        <v/>
      </c>
      <c r="AX711">
        <f>IF(AV711&gt;=$B$21,1,0)</f>
        <v/>
      </c>
    </row>
    <row r="712">
      <c r="A712" t="n">
        <v>639</v>
      </c>
      <c r="B712">
        <f>MATCH(A712-1,$D$61:$D$68,1)</f>
        <v/>
      </c>
      <c r="C712">
        <f>INDEX($G$61:$G$68,B712)</f>
        <v/>
      </c>
      <c r="D712">
        <f>INDEX($L$61:$L$68,B712)</f>
        <v/>
      </c>
      <c r="E712">
        <f>INDEX($M$61:$M$68,B712)</f>
        <v/>
      </c>
      <c r="F712">
        <f>INDEX($N$61:$N$68,B712)</f>
        <v/>
      </c>
      <c r="G712">
        <f>INDEX($AA$61:$AA$68,B712)</f>
        <v/>
      </c>
      <c r="H712">
        <f>INDEX($X$61:$X$68,B712)</f>
        <v/>
      </c>
      <c r="I712">
        <f>INDEX($AF$61:$AF$68,B712)</f>
        <v/>
      </c>
      <c r="J712">
        <f>INDEX($AC$61:$AC$68,B712)</f>
        <v/>
      </c>
      <c r="K712">
        <f>INDEX($AD$61:$AD$68,B712)</f>
        <v/>
      </c>
      <c r="L712">
        <f>INDEX($AG$61:$AG$68,B712)</f>
        <v/>
      </c>
      <c r="M712">
        <f>INDEX($AH$61:$AH$68,B712)</f>
        <v/>
      </c>
      <c r="N712">
        <f>INDEX($AI$61:$AI$68,B712)</f>
        <v/>
      </c>
      <c r="O712">
        <f>O711*$B$26+L712*(1-$B$26)</f>
        <v/>
      </c>
      <c r="P712">
        <f>$B$7*(O712-O711)*(1-AS711)</f>
        <v/>
      </c>
      <c r="Q712">
        <f>M712+0.51274*AT711</f>
        <v/>
      </c>
      <c r="R712">
        <f>N712+0.616*AT711</f>
        <v/>
      </c>
      <c r="S712">
        <f>IF($B$13&gt;=0.6,Q712,IF($B$13&lt;=0.2,R712,R712+2.5*(Q712-R712)*($B$13-0.2)))</f>
        <v/>
      </c>
      <c r="T712">
        <f>IF(A712=1,S712,T711*$B$27+S712*(1-$B$27))</f>
        <v/>
      </c>
      <c r="U712">
        <f>0.6105*EXP(17.27*T712/(T712+237.3))</f>
        <v/>
      </c>
      <c r="V712">
        <f>($B$14*(I712*C712+IF(ABS((D712+0.1)-D712)&lt;0.000000001,4*$B$19*$B$20*(D712+273)^3,$B$19*$B$20*(((D712+0.1)+273)^4-(D712+273)^4)/((D712+0.1)-D712))*D712)+T712/H712)/($B$14*(I712+IF(ABS((D712+0.1)-D712)&lt;0.000000001,4*$B$19*$B$20*(D712+273)^3,$B$19*$B$20*(((D712+0.1)+273)^4-(D712+273)^4)/((D712+0.1)-D712)))+1/H712)</f>
        <v/>
      </c>
      <c r="W712">
        <f>($B$14*(I712*C712+IF(ABS(V712-D712)&lt;0.000000001,4*$B$19*$B$20*(D712+273)^3,$B$19*$B$20*((V712+273)^4-(D712+273)^4)/(V712-D712))*D712)+T712/H712)/($B$14*(I712+IF(ABS(V712-D712)&lt;0.000000001,4*$B$19*$B$20*(D712+273)^3,$B$19*$B$20*((V712+273)^4-(D712+273)^4)/(V712-D712)))+1/H712)</f>
        <v/>
      </c>
      <c r="X712">
        <f>($B$14*(I712*C712+IF(ABS(W712-D712)&lt;0.000000001,4*$B$19*$B$20*(D712+273)^3,$B$19*$B$20*((W712+273)^4-(D712+273)^4)/(W712-D712))*D712)+T712/H712)/($B$14*(I712+IF(ABS(W712-D712)&lt;0.000000001,4*$B$19*$B$20*(D712+273)^3,$B$19*$B$20*((W712+273)^4-(D712+273)^4)/(W712-D712)))+1/H712)</f>
        <v/>
      </c>
      <c r="Y712">
        <f>($B$14*(I712*C712+IF(ABS(X712-D712)&lt;0.000000001,4*$B$19*$B$20*(D712+273)^3,$B$19*$B$20*((X712+273)^4-(D712+273)^4)/(X712-D712))*D712)+T712/H712)/($B$14*(I712+IF(ABS(X712-D712)&lt;0.000000001,4*$B$19*$B$20*(D712+273)^3,$B$19*$B$20*((X712+273)^4-(D712+273)^4)/(X712-D712)))+1/H712)</f>
        <v/>
      </c>
      <c r="Z712">
        <f>IF(ABS(Y712-D712)&lt;0.000000001,4*$B$19*$B$20*(D712+273)^3,$B$19*$B$20*((Y712+273)^4-(D712+273)^4)/(Y712-D712))</f>
        <v/>
      </c>
      <c r="AA712">
        <f>$B$14*I712*(Y712-C712)</f>
        <v/>
      </c>
      <c r="AB712">
        <f>$B$14*Z712*(Y712-D712)</f>
        <v/>
      </c>
      <c r="AC712">
        <f>IF((U712-E712)/G712=0,0.001,(U712-E712)/G712)</f>
        <v/>
      </c>
      <c r="AD712">
        <f>F712-P712-J712-K712-AA712-AB712</f>
        <v/>
      </c>
      <c r="AE712">
        <f>AD712/AC712</f>
        <v/>
      </c>
      <c r="AF712">
        <f>IF(AD712&lt;=0,0,IF(AC712&lt;=0,$B$11,IF(AE712&gt;=1.7,$B$11,MIN(AD712/MAX(0.05,IF(AE712&gt;1,(2-AE712)^2/2,1-AE712^2/2)),$B$11))))</f>
        <v/>
      </c>
      <c r="AG712">
        <f>AG711*$B$28+AF712*(1-$B$28)</f>
        <v/>
      </c>
      <c r="AH712">
        <f>IF(AND(AD712&gt;0,AC712&lt;=0),0,AC712)</f>
        <v/>
      </c>
      <c r="AI712">
        <f>AH712/MAX(AG712,0.000001)</f>
        <v/>
      </c>
      <c r="AJ712">
        <f>MIN(IF(AI712&gt;=0.5,-AI712+SQRT(AI712^2+2),1),$B$12)</f>
        <v/>
      </c>
      <c r="AK712">
        <f>IF(AG712&lt;=0,0,AJ712*AH712)</f>
        <v/>
      </c>
      <c r="AL712">
        <f>IF(AD712&lt;=0,0,AD712)</f>
        <v/>
      </c>
      <c r="AM712">
        <f>AL712-AK712+P712</f>
        <v/>
      </c>
      <c r="AN712">
        <f>((AM712/$B$7+T711*AS711/2-T712*MAX(0.1,MIN(0.3,0.3-0.09*(AR711-36.8)))/2)+AR711*(1-AS711/2))/(1-MAX(0.1,MIN(0.3,0.3-0.09*(AR711-36.8)))/2)</f>
        <v/>
      </c>
      <c r="AO712">
        <f>((AM712/$B$7+T711*AS711/2-T712*MAX(0.1,MIN(0.3,0.3-0.09*(AN712-36.8)))/2)+AR711*(1-AS711/2))/(1-MAX(0.1,MIN(0.3,0.3-0.09*(AN712-36.8)))/2)</f>
        <v/>
      </c>
      <c r="AP712">
        <f>((AM712/$B$7+T711*AS711/2-T712*MAX(0.1,MIN(0.3,0.3-0.09*(AO712-36.8)))/2)+AR711*(1-AS711/2))/(1-MAX(0.1,MIN(0.3,0.3-0.09*(AO712-36.8)))/2)</f>
        <v/>
      </c>
      <c r="AQ712">
        <f>((AM712/$B$7+T711*AS711/2-T712*MAX(0.1,MIN(0.3,0.3-0.09*(AP712-36.8)))/2)+AR711*(1-AS711/2))/(1-MAX(0.1,MIN(0.3,0.3-0.09*(AP712-36.8)))/2)</f>
        <v/>
      </c>
      <c r="AR712">
        <f>((AM712/$B$7+T711*AS711/2-T712*MAX(0.1,MIN(0.3,0.3-0.09*(AQ712-36.8)))/2)+AR711*(1-AS711/2))/(1-MAX(0.1,MIN(0.3,0.3-0.09*(AQ712-36.8)))/2)</f>
        <v/>
      </c>
      <c r="AS712">
        <f>MAX(0.1,MIN(0.3,0.3-0.09*(AR712-36.8)))</f>
        <v/>
      </c>
      <c r="AT712">
        <f>AT711+(2*AR712-1.962*AT711-1.31)/9</f>
        <v/>
      </c>
      <c r="AU712">
        <f>AU711+AG712+K712</f>
        <v/>
      </c>
      <c r="AV712">
        <f>AU712*2.67*$B$6/1.8/60</f>
        <v/>
      </c>
      <c r="AW712">
        <f>IF(AT712&gt;=$B$36,1,0)</f>
        <v/>
      </c>
      <c r="AX712">
        <f>IF(AV712&gt;=$B$21,1,0)</f>
        <v/>
      </c>
    </row>
    <row r="713">
      <c r="A713" t="n">
        <v>640</v>
      </c>
      <c r="B713">
        <f>MATCH(A713-1,$D$61:$D$68,1)</f>
        <v/>
      </c>
      <c r="C713">
        <f>INDEX($G$61:$G$68,B713)</f>
        <v/>
      </c>
      <c r="D713">
        <f>INDEX($L$61:$L$68,B713)</f>
        <v/>
      </c>
      <c r="E713">
        <f>INDEX($M$61:$M$68,B713)</f>
        <v/>
      </c>
      <c r="F713">
        <f>INDEX($N$61:$N$68,B713)</f>
        <v/>
      </c>
      <c r="G713">
        <f>INDEX($AA$61:$AA$68,B713)</f>
        <v/>
      </c>
      <c r="H713">
        <f>INDEX($X$61:$X$68,B713)</f>
        <v/>
      </c>
      <c r="I713">
        <f>INDEX($AF$61:$AF$68,B713)</f>
        <v/>
      </c>
      <c r="J713">
        <f>INDEX($AC$61:$AC$68,B713)</f>
        <v/>
      </c>
      <c r="K713">
        <f>INDEX($AD$61:$AD$68,B713)</f>
        <v/>
      </c>
      <c r="L713">
        <f>INDEX($AG$61:$AG$68,B713)</f>
        <v/>
      </c>
      <c r="M713">
        <f>INDEX($AH$61:$AH$68,B713)</f>
        <v/>
      </c>
      <c r="N713">
        <f>INDEX($AI$61:$AI$68,B713)</f>
        <v/>
      </c>
      <c r="O713">
        <f>O712*$B$26+L713*(1-$B$26)</f>
        <v/>
      </c>
      <c r="P713">
        <f>$B$7*(O713-O712)*(1-AS712)</f>
        <v/>
      </c>
      <c r="Q713">
        <f>M713+0.51274*AT712</f>
        <v/>
      </c>
      <c r="R713">
        <f>N713+0.616*AT712</f>
        <v/>
      </c>
      <c r="S713">
        <f>IF($B$13&gt;=0.6,Q713,IF($B$13&lt;=0.2,R713,R713+2.5*(Q713-R713)*($B$13-0.2)))</f>
        <v/>
      </c>
      <c r="T713">
        <f>IF(A713=1,S713,T712*$B$27+S713*(1-$B$27))</f>
        <v/>
      </c>
      <c r="U713">
        <f>0.6105*EXP(17.27*T713/(T713+237.3))</f>
        <v/>
      </c>
      <c r="V713">
        <f>($B$14*(I713*C713+IF(ABS((D713+0.1)-D713)&lt;0.000000001,4*$B$19*$B$20*(D713+273)^3,$B$19*$B$20*(((D713+0.1)+273)^4-(D713+273)^4)/((D713+0.1)-D713))*D713)+T713/H713)/($B$14*(I713+IF(ABS((D713+0.1)-D713)&lt;0.000000001,4*$B$19*$B$20*(D713+273)^3,$B$19*$B$20*(((D713+0.1)+273)^4-(D713+273)^4)/((D713+0.1)-D713)))+1/H713)</f>
        <v/>
      </c>
      <c r="W713">
        <f>($B$14*(I713*C713+IF(ABS(V713-D713)&lt;0.000000001,4*$B$19*$B$20*(D713+273)^3,$B$19*$B$20*((V713+273)^4-(D713+273)^4)/(V713-D713))*D713)+T713/H713)/($B$14*(I713+IF(ABS(V713-D713)&lt;0.000000001,4*$B$19*$B$20*(D713+273)^3,$B$19*$B$20*((V713+273)^4-(D713+273)^4)/(V713-D713)))+1/H713)</f>
        <v/>
      </c>
      <c r="X713">
        <f>($B$14*(I713*C713+IF(ABS(W713-D713)&lt;0.000000001,4*$B$19*$B$20*(D713+273)^3,$B$19*$B$20*((W713+273)^4-(D713+273)^4)/(W713-D713))*D713)+T713/H713)/($B$14*(I713+IF(ABS(W713-D713)&lt;0.000000001,4*$B$19*$B$20*(D713+273)^3,$B$19*$B$20*((W713+273)^4-(D713+273)^4)/(W713-D713)))+1/H713)</f>
        <v/>
      </c>
      <c r="Y713">
        <f>($B$14*(I713*C713+IF(ABS(X713-D713)&lt;0.000000001,4*$B$19*$B$20*(D713+273)^3,$B$19*$B$20*((X713+273)^4-(D713+273)^4)/(X713-D713))*D713)+T713/H713)/($B$14*(I713+IF(ABS(X713-D713)&lt;0.000000001,4*$B$19*$B$20*(D713+273)^3,$B$19*$B$20*((X713+273)^4-(D713+273)^4)/(X713-D713)))+1/H713)</f>
        <v/>
      </c>
      <c r="Z713">
        <f>IF(ABS(Y713-D713)&lt;0.000000001,4*$B$19*$B$20*(D713+273)^3,$B$19*$B$20*((Y713+273)^4-(D713+273)^4)/(Y713-D713))</f>
        <v/>
      </c>
      <c r="AA713">
        <f>$B$14*I713*(Y713-C713)</f>
        <v/>
      </c>
      <c r="AB713">
        <f>$B$14*Z713*(Y713-D713)</f>
        <v/>
      </c>
      <c r="AC713">
        <f>IF((U713-E713)/G713=0,0.001,(U713-E713)/G713)</f>
        <v/>
      </c>
      <c r="AD713">
        <f>F713-P713-J713-K713-AA713-AB713</f>
        <v/>
      </c>
      <c r="AE713">
        <f>AD713/AC713</f>
        <v/>
      </c>
      <c r="AF713">
        <f>IF(AD713&lt;=0,0,IF(AC713&lt;=0,$B$11,IF(AE713&gt;=1.7,$B$11,MIN(AD713/MAX(0.05,IF(AE713&gt;1,(2-AE713)^2/2,1-AE713^2/2)),$B$11))))</f>
        <v/>
      </c>
      <c r="AG713">
        <f>AG712*$B$28+AF713*(1-$B$28)</f>
        <v/>
      </c>
      <c r="AH713">
        <f>IF(AND(AD713&gt;0,AC713&lt;=0),0,AC713)</f>
        <v/>
      </c>
      <c r="AI713">
        <f>AH713/MAX(AG713,0.000001)</f>
        <v/>
      </c>
      <c r="AJ713">
        <f>MIN(IF(AI713&gt;=0.5,-AI713+SQRT(AI713^2+2),1),$B$12)</f>
        <v/>
      </c>
      <c r="AK713">
        <f>IF(AG713&lt;=0,0,AJ713*AH713)</f>
        <v/>
      </c>
      <c r="AL713">
        <f>IF(AD713&lt;=0,0,AD713)</f>
        <v/>
      </c>
      <c r="AM713">
        <f>AL713-AK713+P713</f>
        <v/>
      </c>
      <c r="AN713">
        <f>((AM713/$B$7+T712*AS712/2-T713*MAX(0.1,MIN(0.3,0.3-0.09*(AR712-36.8)))/2)+AR712*(1-AS712/2))/(1-MAX(0.1,MIN(0.3,0.3-0.09*(AR712-36.8)))/2)</f>
        <v/>
      </c>
      <c r="AO713">
        <f>((AM713/$B$7+T712*AS712/2-T713*MAX(0.1,MIN(0.3,0.3-0.09*(AN713-36.8)))/2)+AR712*(1-AS712/2))/(1-MAX(0.1,MIN(0.3,0.3-0.09*(AN713-36.8)))/2)</f>
        <v/>
      </c>
      <c r="AP713">
        <f>((AM713/$B$7+T712*AS712/2-T713*MAX(0.1,MIN(0.3,0.3-0.09*(AO713-36.8)))/2)+AR712*(1-AS712/2))/(1-MAX(0.1,MIN(0.3,0.3-0.09*(AO713-36.8)))/2)</f>
        <v/>
      </c>
      <c r="AQ713">
        <f>((AM713/$B$7+T712*AS712/2-T713*MAX(0.1,MIN(0.3,0.3-0.09*(AP713-36.8)))/2)+AR712*(1-AS712/2))/(1-MAX(0.1,MIN(0.3,0.3-0.09*(AP713-36.8)))/2)</f>
        <v/>
      </c>
      <c r="AR713">
        <f>((AM713/$B$7+T712*AS712/2-T713*MAX(0.1,MIN(0.3,0.3-0.09*(AQ713-36.8)))/2)+AR712*(1-AS712/2))/(1-MAX(0.1,MIN(0.3,0.3-0.09*(AQ713-36.8)))/2)</f>
        <v/>
      </c>
      <c r="AS713">
        <f>MAX(0.1,MIN(0.3,0.3-0.09*(AR713-36.8)))</f>
        <v/>
      </c>
      <c r="AT713">
        <f>AT712+(2*AR713-1.962*AT712-1.31)/9</f>
        <v/>
      </c>
      <c r="AU713">
        <f>AU712+AG713+K713</f>
        <v/>
      </c>
      <c r="AV713">
        <f>AU713*2.67*$B$6/1.8/60</f>
        <v/>
      </c>
      <c r="AW713">
        <f>IF(AT713&gt;=$B$36,1,0)</f>
        <v/>
      </c>
      <c r="AX713">
        <f>IF(AV713&gt;=$B$21,1,0)</f>
        <v/>
      </c>
    </row>
    <row r="714">
      <c r="A714" t="n">
        <v>641</v>
      </c>
      <c r="B714">
        <f>MATCH(A714-1,$D$61:$D$68,1)</f>
        <v/>
      </c>
      <c r="C714">
        <f>INDEX($G$61:$G$68,B714)</f>
        <v/>
      </c>
      <c r="D714">
        <f>INDEX($L$61:$L$68,B714)</f>
        <v/>
      </c>
      <c r="E714">
        <f>INDEX($M$61:$M$68,B714)</f>
        <v/>
      </c>
      <c r="F714">
        <f>INDEX($N$61:$N$68,B714)</f>
        <v/>
      </c>
      <c r="G714">
        <f>INDEX($AA$61:$AA$68,B714)</f>
        <v/>
      </c>
      <c r="H714">
        <f>INDEX($X$61:$X$68,B714)</f>
        <v/>
      </c>
      <c r="I714">
        <f>INDEX($AF$61:$AF$68,B714)</f>
        <v/>
      </c>
      <c r="J714">
        <f>INDEX($AC$61:$AC$68,B714)</f>
        <v/>
      </c>
      <c r="K714">
        <f>INDEX($AD$61:$AD$68,B714)</f>
        <v/>
      </c>
      <c r="L714">
        <f>INDEX($AG$61:$AG$68,B714)</f>
        <v/>
      </c>
      <c r="M714">
        <f>INDEX($AH$61:$AH$68,B714)</f>
        <v/>
      </c>
      <c r="N714">
        <f>INDEX($AI$61:$AI$68,B714)</f>
        <v/>
      </c>
      <c r="O714">
        <f>O713*$B$26+L714*(1-$B$26)</f>
        <v/>
      </c>
      <c r="P714">
        <f>$B$7*(O714-O713)*(1-AS713)</f>
        <v/>
      </c>
      <c r="Q714">
        <f>M714+0.51274*AT713</f>
        <v/>
      </c>
      <c r="R714">
        <f>N714+0.616*AT713</f>
        <v/>
      </c>
      <c r="S714">
        <f>IF($B$13&gt;=0.6,Q714,IF($B$13&lt;=0.2,R714,R714+2.5*(Q714-R714)*($B$13-0.2)))</f>
        <v/>
      </c>
      <c r="T714">
        <f>IF(A714=1,S714,T713*$B$27+S714*(1-$B$27))</f>
        <v/>
      </c>
      <c r="U714">
        <f>0.6105*EXP(17.27*T714/(T714+237.3))</f>
        <v/>
      </c>
      <c r="V714">
        <f>($B$14*(I714*C714+IF(ABS((D714+0.1)-D714)&lt;0.000000001,4*$B$19*$B$20*(D714+273)^3,$B$19*$B$20*(((D714+0.1)+273)^4-(D714+273)^4)/((D714+0.1)-D714))*D714)+T714/H714)/($B$14*(I714+IF(ABS((D714+0.1)-D714)&lt;0.000000001,4*$B$19*$B$20*(D714+273)^3,$B$19*$B$20*(((D714+0.1)+273)^4-(D714+273)^4)/((D714+0.1)-D714)))+1/H714)</f>
        <v/>
      </c>
      <c r="W714">
        <f>($B$14*(I714*C714+IF(ABS(V714-D714)&lt;0.000000001,4*$B$19*$B$20*(D714+273)^3,$B$19*$B$20*((V714+273)^4-(D714+273)^4)/(V714-D714))*D714)+T714/H714)/($B$14*(I714+IF(ABS(V714-D714)&lt;0.000000001,4*$B$19*$B$20*(D714+273)^3,$B$19*$B$20*((V714+273)^4-(D714+273)^4)/(V714-D714)))+1/H714)</f>
        <v/>
      </c>
      <c r="X714">
        <f>($B$14*(I714*C714+IF(ABS(W714-D714)&lt;0.000000001,4*$B$19*$B$20*(D714+273)^3,$B$19*$B$20*((W714+273)^4-(D714+273)^4)/(W714-D714))*D714)+T714/H714)/($B$14*(I714+IF(ABS(W714-D714)&lt;0.000000001,4*$B$19*$B$20*(D714+273)^3,$B$19*$B$20*((W714+273)^4-(D714+273)^4)/(W714-D714)))+1/H714)</f>
        <v/>
      </c>
      <c r="Y714">
        <f>($B$14*(I714*C714+IF(ABS(X714-D714)&lt;0.000000001,4*$B$19*$B$20*(D714+273)^3,$B$19*$B$20*((X714+273)^4-(D714+273)^4)/(X714-D714))*D714)+T714/H714)/($B$14*(I714+IF(ABS(X714-D714)&lt;0.000000001,4*$B$19*$B$20*(D714+273)^3,$B$19*$B$20*((X714+273)^4-(D714+273)^4)/(X714-D714)))+1/H714)</f>
        <v/>
      </c>
      <c r="Z714">
        <f>IF(ABS(Y714-D714)&lt;0.000000001,4*$B$19*$B$20*(D714+273)^3,$B$19*$B$20*((Y714+273)^4-(D714+273)^4)/(Y714-D714))</f>
        <v/>
      </c>
      <c r="AA714">
        <f>$B$14*I714*(Y714-C714)</f>
        <v/>
      </c>
      <c r="AB714">
        <f>$B$14*Z714*(Y714-D714)</f>
        <v/>
      </c>
      <c r="AC714">
        <f>IF((U714-E714)/G714=0,0.001,(U714-E714)/G714)</f>
        <v/>
      </c>
      <c r="AD714">
        <f>F714-P714-J714-K714-AA714-AB714</f>
        <v/>
      </c>
      <c r="AE714">
        <f>AD714/AC714</f>
        <v/>
      </c>
      <c r="AF714">
        <f>IF(AD714&lt;=0,0,IF(AC714&lt;=0,$B$11,IF(AE714&gt;=1.7,$B$11,MIN(AD714/MAX(0.05,IF(AE714&gt;1,(2-AE714)^2/2,1-AE714^2/2)),$B$11))))</f>
        <v/>
      </c>
      <c r="AG714">
        <f>AG713*$B$28+AF714*(1-$B$28)</f>
        <v/>
      </c>
      <c r="AH714">
        <f>IF(AND(AD714&gt;0,AC714&lt;=0),0,AC714)</f>
        <v/>
      </c>
      <c r="AI714">
        <f>AH714/MAX(AG714,0.000001)</f>
        <v/>
      </c>
      <c r="AJ714">
        <f>MIN(IF(AI714&gt;=0.5,-AI714+SQRT(AI714^2+2),1),$B$12)</f>
        <v/>
      </c>
      <c r="AK714">
        <f>IF(AG714&lt;=0,0,AJ714*AH714)</f>
        <v/>
      </c>
      <c r="AL714">
        <f>IF(AD714&lt;=0,0,AD714)</f>
        <v/>
      </c>
      <c r="AM714">
        <f>AL714-AK714+P714</f>
        <v/>
      </c>
      <c r="AN714">
        <f>((AM714/$B$7+T713*AS713/2-T714*MAX(0.1,MIN(0.3,0.3-0.09*(AR713-36.8)))/2)+AR713*(1-AS713/2))/(1-MAX(0.1,MIN(0.3,0.3-0.09*(AR713-36.8)))/2)</f>
        <v/>
      </c>
      <c r="AO714">
        <f>((AM714/$B$7+T713*AS713/2-T714*MAX(0.1,MIN(0.3,0.3-0.09*(AN714-36.8)))/2)+AR713*(1-AS713/2))/(1-MAX(0.1,MIN(0.3,0.3-0.09*(AN714-36.8)))/2)</f>
        <v/>
      </c>
      <c r="AP714">
        <f>((AM714/$B$7+T713*AS713/2-T714*MAX(0.1,MIN(0.3,0.3-0.09*(AO714-36.8)))/2)+AR713*(1-AS713/2))/(1-MAX(0.1,MIN(0.3,0.3-0.09*(AO714-36.8)))/2)</f>
        <v/>
      </c>
      <c r="AQ714">
        <f>((AM714/$B$7+T713*AS713/2-T714*MAX(0.1,MIN(0.3,0.3-0.09*(AP714-36.8)))/2)+AR713*(1-AS713/2))/(1-MAX(0.1,MIN(0.3,0.3-0.09*(AP714-36.8)))/2)</f>
        <v/>
      </c>
      <c r="AR714">
        <f>((AM714/$B$7+T713*AS713/2-T714*MAX(0.1,MIN(0.3,0.3-0.09*(AQ714-36.8)))/2)+AR713*(1-AS713/2))/(1-MAX(0.1,MIN(0.3,0.3-0.09*(AQ714-36.8)))/2)</f>
        <v/>
      </c>
      <c r="AS714">
        <f>MAX(0.1,MIN(0.3,0.3-0.09*(AR714-36.8)))</f>
        <v/>
      </c>
      <c r="AT714">
        <f>AT713+(2*AR714-1.962*AT713-1.31)/9</f>
        <v/>
      </c>
      <c r="AU714">
        <f>AU713+AG714+K714</f>
        <v/>
      </c>
      <c r="AV714">
        <f>AU714*2.67*$B$6/1.8/60</f>
        <v/>
      </c>
      <c r="AW714">
        <f>IF(AT714&gt;=$B$36,1,0)</f>
        <v/>
      </c>
      <c r="AX714">
        <f>IF(AV714&gt;=$B$21,1,0)</f>
        <v/>
      </c>
    </row>
    <row r="715">
      <c r="A715" t="n">
        <v>642</v>
      </c>
      <c r="B715">
        <f>MATCH(A715-1,$D$61:$D$68,1)</f>
        <v/>
      </c>
      <c r="C715">
        <f>INDEX($G$61:$G$68,B715)</f>
        <v/>
      </c>
      <c r="D715">
        <f>INDEX($L$61:$L$68,B715)</f>
        <v/>
      </c>
      <c r="E715">
        <f>INDEX($M$61:$M$68,B715)</f>
        <v/>
      </c>
      <c r="F715">
        <f>INDEX($N$61:$N$68,B715)</f>
        <v/>
      </c>
      <c r="G715">
        <f>INDEX($AA$61:$AA$68,B715)</f>
        <v/>
      </c>
      <c r="H715">
        <f>INDEX($X$61:$X$68,B715)</f>
        <v/>
      </c>
      <c r="I715">
        <f>INDEX($AF$61:$AF$68,B715)</f>
        <v/>
      </c>
      <c r="J715">
        <f>INDEX($AC$61:$AC$68,B715)</f>
        <v/>
      </c>
      <c r="K715">
        <f>INDEX($AD$61:$AD$68,B715)</f>
        <v/>
      </c>
      <c r="L715">
        <f>INDEX($AG$61:$AG$68,B715)</f>
        <v/>
      </c>
      <c r="M715">
        <f>INDEX($AH$61:$AH$68,B715)</f>
        <v/>
      </c>
      <c r="N715">
        <f>INDEX($AI$61:$AI$68,B715)</f>
        <v/>
      </c>
      <c r="O715">
        <f>O714*$B$26+L715*(1-$B$26)</f>
        <v/>
      </c>
      <c r="P715">
        <f>$B$7*(O715-O714)*(1-AS714)</f>
        <v/>
      </c>
      <c r="Q715">
        <f>M715+0.51274*AT714</f>
        <v/>
      </c>
      <c r="R715">
        <f>N715+0.616*AT714</f>
        <v/>
      </c>
      <c r="S715">
        <f>IF($B$13&gt;=0.6,Q715,IF($B$13&lt;=0.2,R715,R715+2.5*(Q715-R715)*($B$13-0.2)))</f>
        <v/>
      </c>
      <c r="T715">
        <f>IF(A715=1,S715,T714*$B$27+S715*(1-$B$27))</f>
        <v/>
      </c>
      <c r="U715">
        <f>0.6105*EXP(17.27*T715/(T715+237.3))</f>
        <v/>
      </c>
      <c r="V715">
        <f>($B$14*(I715*C715+IF(ABS((D715+0.1)-D715)&lt;0.000000001,4*$B$19*$B$20*(D715+273)^3,$B$19*$B$20*(((D715+0.1)+273)^4-(D715+273)^4)/((D715+0.1)-D715))*D715)+T715/H715)/($B$14*(I715+IF(ABS((D715+0.1)-D715)&lt;0.000000001,4*$B$19*$B$20*(D715+273)^3,$B$19*$B$20*(((D715+0.1)+273)^4-(D715+273)^4)/((D715+0.1)-D715)))+1/H715)</f>
        <v/>
      </c>
      <c r="W715">
        <f>($B$14*(I715*C715+IF(ABS(V715-D715)&lt;0.000000001,4*$B$19*$B$20*(D715+273)^3,$B$19*$B$20*((V715+273)^4-(D715+273)^4)/(V715-D715))*D715)+T715/H715)/($B$14*(I715+IF(ABS(V715-D715)&lt;0.000000001,4*$B$19*$B$20*(D715+273)^3,$B$19*$B$20*((V715+273)^4-(D715+273)^4)/(V715-D715)))+1/H715)</f>
        <v/>
      </c>
      <c r="X715">
        <f>($B$14*(I715*C715+IF(ABS(W715-D715)&lt;0.000000001,4*$B$19*$B$20*(D715+273)^3,$B$19*$B$20*((W715+273)^4-(D715+273)^4)/(W715-D715))*D715)+T715/H715)/($B$14*(I715+IF(ABS(W715-D715)&lt;0.000000001,4*$B$19*$B$20*(D715+273)^3,$B$19*$B$20*((W715+273)^4-(D715+273)^4)/(W715-D715)))+1/H715)</f>
        <v/>
      </c>
      <c r="Y715">
        <f>($B$14*(I715*C715+IF(ABS(X715-D715)&lt;0.000000001,4*$B$19*$B$20*(D715+273)^3,$B$19*$B$20*((X715+273)^4-(D715+273)^4)/(X715-D715))*D715)+T715/H715)/($B$14*(I715+IF(ABS(X715-D715)&lt;0.000000001,4*$B$19*$B$20*(D715+273)^3,$B$19*$B$20*((X715+273)^4-(D715+273)^4)/(X715-D715)))+1/H715)</f>
        <v/>
      </c>
      <c r="Z715">
        <f>IF(ABS(Y715-D715)&lt;0.000000001,4*$B$19*$B$20*(D715+273)^3,$B$19*$B$20*((Y715+273)^4-(D715+273)^4)/(Y715-D715))</f>
        <v/>
      </c>
      <c r="AA715">
        <f>$B$14*I715*(Y715-C715)</f>
        <v/>
      </c>
      <c r="AB715">
        <f>$B$14*Z715*(Y715-D715)</f>
        <v/>
      </c>
      <c r="AC715">
        <f>IF((U715-E715)/G715=0,0.001,(U715-E715)/G715)</f>
        <v/>
      </c>
      <c r="AD715">
        <f>F715-P715-J715-K715-AA715-AB715</f>
        <v/>
      </c>
      <c r="AE715">
        <f>AD715/AC715</f>
        <v/>
      </c>
      <c r="AF715">
        <f>IF(AD715&lt;=0,0,IF(AC715&lt;=0,$B$11,IF(AE715&gt;=1.7,$B$11,MIN(AD715/MAX(0.05,IF(AE715&gt;1,(2-AE715)^2/2,1-AE715^2/2)),$B$11))))</f>
        <v/>
      </c>
      <c r="AG715">
        <f>AG714*$B$28+AF715*(1-$B$28)</f>
        <v/>
      </c>
      <c r="AH715">
        <f>IF(AND(AD715&gt;0,AC715&lt;=0),0,AC715)</f>
        <v/>
      </c>
      <c r="AI715">
        <f>AH715/MAX(AG715,0.000001)</f>
        <v/>
      </c>
      <c r="AJ715">
        <f>MIN(IF(AI715&gt;=0.5,-AI715+SQRT(AI715^2+2),1),$B$12)</f>
        <v/>
      </c>
      <c r="AK715">
        <f>IF(AG715&lt;=0,0,AJ715*AH715)</f>
        <v/>
      </c>
      <c r="AL715">
        <f>IF(AD715&lt;=0,0,AD715)</f>
        <v/>
      </c>
      <c r="AM715">
        <f>AL715-AK715+P715</f>
        <v/>
      </c>
      <c r="AN715">
        <f>((AM715/$B$7+T714*AS714/2-T715*MAX(0.1,MIN(0.3,0.3-0.09*(AR714-36.8)))/2)+AR714*(1-AS714/2))/(1-MAX(0.1,MIN(0.3,0.3-0.09*(AR714-36.8)))/2)</f>
        <v/>
      </c>
      <c r="AO715">
        <f>((AM715/$B$7+T714*AS714/2-T715*MAX(0.1,MIN(0.3,0.3-0.09*(AN715-36.8)))/2)+AR714*(1-AS714/2))/(1-MAX(0.1,MIN(0.3,0.3-0.09*(AN715-36.8)))/2)</f>
        <v/>
      </c>
      <c r="AP715">
        <f>((AM715/$B$7+T714*AS714/2-T715*MAX(0.1,MIN(0.3,0.3-0.09*(AO715-36.8)))/2)+AR714*(1-AS714/2))/(1-MAX(0.1,MIN(0.3,0.3-0.09*(AO715-36.8)))/2)</f>
        <v/>
      </c>
      <c r="AQ715">
        <f>((AM715/$B$7+T714*AS714/2-T715*MAX(0.1,MIN(0.3,0.3-0.09*(AP715-36.8)))/2)+AR714*(1-AS714/2))/(1-MAX(0.1,MIN(0.3,0.3-0.09*(AP715-36.8)))/2)</f>
        <v/>
      </c>
      <c r="AR715">
        <f>((AM715/$B$7+T714*AS714/2-T715*MAX(0.1,MIN(0.3,0.3-0.09*(AQ715-36.8)))/2)+AR714*(1-AS714/2))/(1-MAX(0.1,MIN(0.3,0.3-0.09*(AQ715-36.8)))/2)</f>
        <v/>
      </c>
      <c r="AS715">
        <f>MAX(0.1,MIN(0.3,0.3-0.09*(AR715-36.8)))</f>
        <v/>
      </c>
      <c r="AT715">
        <f>AT714+(2*AR715-1.962*AT714-1.31)/9</f>
        <v/>
      </c>
      <c r="AU715">
        <f>AU714+AG715+K715</f>
        <v/>
      </c>
      <c r="AV715">
        <f>AU715*2.67*$B$6/1.8/60</f>
        <v/>
      </c>
      <c r="AW715">
        <f>IF(AT715&gt;=$B$36,1,0)</f>
        <v/>
      </c>
      <c r="AX715">
        <f>IF(AV715&gt;=$B$21,1,0)</f>
        <v/>
      </c>
    </row>
    <row r="716">
      <c r="A716" t="n">
        <v>643</v>
      </c>
      <c r="B716">
        <f>MATCH(A716-1,$D$61:$D$68,1)</f>
        <v/>
      </c>
      <c r="C716">
        <f>INDEX($G$61:$G$68,B716)</f>
        <v/>
      </c>
      <c r="D716">
        <f>INDEX($L$61:$L$68,B716)</f>
        <v/>
      </c>
      <c r="E716">
        <f>INDEX($M$61:$M$68,B716)</f>
        <v/>
      </c>
      <c r="F716">
        <f>INDEX($N$61:$N$68,B716)</f>
        <v/>
      </c>
      <c r="G716">
        <f>INDEX($AA$61:$AA$68,B716)</f>
        <v/>
      </c>
      <c r="H716">
        <f>INDEX($X$61:$X$68,B716)</f>
        <v/>
      </c>
      <c r="I716">
        <f>INDEX($AF$61:$AF$68,B716)</f>
        <v/>
      </c>
      <c r="J716">
        <f>INDEX($AC$61:$AC$68,B716)</f>
        <v/>
      </c>
      <c r="K716">
        <f>INDEX($AD$61:$AD$68,B716)</f>
        <v/>
      </c>
      <c r="L716">
        <f>INDEX($AG$61:$AG$68,B716)</f>
        <v/>
      </c>
      <c r="M716">
        <f>INDEX($AH$61:$AH$68,B716)</f>
        <v/>
      </c>
      <c r="N716">
        <f>INDEX($AI$61:$AI$68,B716)</f>
        <v/>
      </c>
      <c r="O716">
        <f>O715*$B$26+L716*(1-$B$26)</f>
        <v/>
      </c>
      <c r="P716">
        <f>$B$7*(O716-O715)*(1-AS715)</f>
        <v/>
      </c>
      <c r="Q716">
        <f>M716+0.51274*AT715</f>
        <v/>
      </c>
      <c r="R716">
        <f>N716+0.616*AT715</f>
        <v/>
      </c>
      <c r="S716">
        <f>IF($B$13&gt;=0.6,Q716,IF($B$13&lt;=0.2,R716,R716+2.5*(Q716-R716)*($B$13-0.2)))</f>
        <v/>
      </c>
      <c r="T716">
        <f>IF(A716=1,S716,T715*$B$27+S716*(1-$B$27))</f>
        <v/>
      </c>
      <c r="U716">
        <f>0.6105*EXP(17.27*T716/(T716+237.3))</f>
        <v/>
      </c>
      <c r="V716">
        <f>($B$14*(I716*C716+IF(ABS((D716+0.1)-D716)&lt;0.000000001,4*$B$19*$B$20*(D716+273)^3,$B$19*$B$20*(((D716+0.1)+273)^4-(D716+273)^4)/((D716+0.1)-D716))*D716)+T716/H716)/($B$14*(I716+IF(ABS((D716+0.1)-D716)&lt;0.000000001,4*$B$19*$B$20*(D716+273)^3,$B$19*$B$20*(((D716+0.1)+273)^4-(D716+273)^4)/((D716+0.1)-D716)))+1/H716)</f>
        <v/>
      </c>
      <c r="W716">
        <f>($B$14*(I716*C716+IF(ABS(V716-D716)&lt;0.000000001,4*$B$19*$B$20*(D716+273)^3,$B$19*$B$20*((V716+273)^4-(D716+273)^4)/(V716-D716))*D716)+T716/H716)/($B$14*(I716+IF(ABS(V716-D716)&lt;0.000000001,4*$B$19*$B$20*(D716+273)^3,$B$19*$B$20*((V716+273)^4-(D716+273)^4)/(V716-D716)))+1/H716)</f>
        <v/>
      </c>
      <c r="X716">
        <f>($B$14*(I716*C716+IF(ABS(W716-D716)&lt;0.000000001,4*$B$19*$B$20*(D716+273)^3,$B$19*$B$20*((W716+273)^4-(D716+273)^4)/(W716-D716))*D716)+T716/H716)/($B$14*(I716+IF(ABS(W716-D716)&lt;0.000000001,4*$B$19*$B$20*(D716+273)^3,$B$19*$B$20*((W716+273)^4-(D716+273)^4)/(W716-D716)))+1/H716)</f>
        <v/>
      </c>
      <c r="Y716">
        <f>($B$14*(I716*C716+IF(ABS(X716-D716)&lt;0.000000001,4*$B$19*$B$20*(D716+273)^3,$B$19*$B$20*((X716+273)^4-(D716+273)^4)/(X716-D716))*D716)+T716/H716)/($B$14*(I716+IF(ABS(X716-D716)&lt;0.000000001,4*$B$19*$B$20*(D716+273)^3,$B$19*$B$20*((X716+273)^4-(D716+273)^4)/(X716-D716)))+1/H716)</f>
        <v/>
      </c>
      <c r="Z716">
        <f>IF(ABS(Y716-D716)&lt;0.000000001,4*$B$19*$B$20*(D716+273)^3,$B$19*$B$20*((Y716+273)^4-(D716+273)^4)/(Y716-D716))</f>
        <v/>
      </c>
      <c r="AA716">
        <f>$B$14*I716*(Y716-C716)</f>
        <v/>
      </c>
      <c r="AB716">
        <f>$B$14*Z716*(Y716-D716)</f>
        <v/>
      </c>
      <c r="AC716">
        <f>IF((U716-E716)/G716=0,0.001,(U716-E716)/G716)</f>
        <v/>
      </c>
      <c r="AD716">
        <f>F716-P716-J716-K716-AA716-AB716</f>
        <v/>
      </c>
      <c r="AE716">
        <f>AD716/AC716</f>
        <v/>
      </c>
      <c r="AF716">
        <f>IF(AD716&lt;=0,0,IF(AC716&lt;=0,$B$11,IF(AE716&gt;=1.7,$B$11,MIN(AD716/MAX(0.05,IF(AE716&gt;1,(2-AE716)^2/2,1-AE716^2/2)),$B$11))))</f>
        <v/>
      </c>
      <c r="AG716">
        <f>AG715*$B$28+AF716*(1-$B$28)</f>
        <v/>
      </c>
      <c r="AH716">
        <f>IF(AND(AD716&gt;0,AC716&lt;=0),0,AC716)</f>
        <v/>
      </c>
      <c r="AI716">
        <f>AH716/MAX(AG716,0.000001)</f>
        <v/>
      </c>
      <c r="AJ716">
        <f>MIN(IF(AI716&gt;=0.5,-AI716+SQRT(AI716^2+2),1),$B$12)</f>
        <v/>
      </c>
      <c r="AK716">
        <f>IF(AG716&lt;=0,0,AJ716*AH716)</f>
        <v/>
      </c>
      <c r="AL716">
        <f>IF(AD716&lt;=0,0,AD716)</f>
        <v/>
      </c>
      <c r="AM716">
        <f>AL716-AK716+P716</f>
        <v/>
      </c>
      <c r="AN716">
        <f>((AM716/$B$7+T715*AS715/2-T716*MAX(0.1,MIN(0.3,0.3-0.09*(AR715-36.8)))/2)+AR715*(1-AS715/2))/(1-MAX(0.1,MIN(0.3,0.3-0.09*(AR715-36.8)))/2)</f>
        <v/>
      </c>
      <c r="AO716">
        <f>((AM716/$B$7+T715*AS715/2-T716*MAX(0.1,MIN(0.3,0.3-0.09*(AN716-36.8)))/2)+AR715*(1-AS715/2))/(1-MAX(0.1,MIN(0.3,0.3-0.09*(AN716-36.8)))/2)</f>
        <v/>
      </c>
      <c r="AP716">
        <f>((AM716/$B$7+T715*AS715/2-T716*MAX(0.1,MIN(0.3,0.3-0.09*(AO716-36.8)))/2)+AR715*(1-AS715/2))/(1-MAX(0.1,MIN(0.3,0.3-0.09*(AO716-36.8)))/2)</f>
        <v/>
      </c>
      <c r="AQ716">
        <f>((AM716/$B$7+T715*AS715/2-T716*MAX(0.1,MIN(0.3,0.3-0.09*(AP716-36.8)))/2)+AR715*(1-AS715/2))/(1-MAX(0.1,MIN(0.3,0.3-0.09*(AP716-36.8)))/2)</f>
        <v/>
      </c>
      <c r="AR716">
        <f>((AM716/$B$7+T715*AS715/2-T716*MAX(0.1,MIN(0.3,0.3-0.09*(AQ716-36.8)))/2)+AR715*(1-AS715/2))/(1-MAX(0.1,MIN(0.3,0.3-0.09*(AQ716-36.8)))/2)</f>
        <v/>
      </c>
      <c r="AS716">
        <f>MAX(0.1,MIN(0.3,0.3-0.09*(AR716-36.8)))</f>
        <v/>
      </c>
      <c r="AT716">
        <f>AT715+(2*AR716-1.962*AT715-1.31)/9</f>
        <v/>
      </c>
      <c r="AU716">
        <f>AU715+AG716+K716</f>
        <v/>
      </c>
      <c r="AV716">
        <f>AU716*2.67*$B$6/1.8/60</f>
        <v/>
      </c>
      <c r="AW716">
        <f>IF(AT716&gt;=$B$36,1,0)</f>
        <v/>
      </c>
      <c r="AX716">
        <f>IF(AV716&gt;=$B$21,1,0)</f>
        <v/>
      </c>
    </row>
    <row r="717">
      <c r="A717" t="n">
        <v>644</v>
      </c>
      <c r="B717">
        <f>MATCH(A717-1,$D$61:$D$68,1)</f>
        <v/>
      </c>
      <c r="C717">
        <f>INDEX($G$61:$G$68,B717)</f>
        <v/>
      </c>
      <c r="D717">
        <f>INDEX($L$61:$L$68,B717)</f>
        <v/>
      </c>
      <c r="E717">
        <f>INDEX($M$61:$M$68,B717)</f>
        <v/>
      </c>
      <c r="F717">
        <f>INDEX($N$61:$N$68,B717)</f>
        <v/>
      </c>
      <c r="G717">
        <f>INDEX($AA$61:$AA$68,B717)</f>
        <v/>
      </c>
      <c r="H717">
        <f>INDEX($X$61:$X$68,B717)</f>
        <v/>
      </c>
      <c r="I717">
        <f>INDEX($AF$61:$AF$68,B717)</f>
        <v/>
      </c>
      <c r="J717">
        <f>INDEX($AC$61:$AC$68,B717)</f>
        <v/>
      </c>
      <c r="K717">
        <f>INDEX($AD$61:$AD$68,B717)</f>
        <v/>
      </c>
      <c r="L717">
        <f>INDEX($AG$61:$AG$68,B717)</f>
        <v/>
      </c>
      <c r="M717">
        <f>INDEX($AH$61:$AH$68,B717)</f>
        <v/>
      </c>
      <c r="N717">
        <f>INDEX($AI$61:$AI$68,B717)</f>
        <v/>
      </c>
      <c r="O717">
        <f>O716*$B$26+L717*(1-$B$26)</f>
        <v/>
      </c>
      <c r="P717">
        <f>$B$7*(O717-O716)*(1-AS716)</f>
        <v/>
      </c>
      <c r="Q717">
        <f>M717+0.51274*AT716</f>
        <v/>
      </c>
      <c r="R717">
        <f>N717+0.616*AT716</f>
        <v/>
      </c>
      <c r="S717">
        <f>IF($B$13&gt;=0.6,Q717,IF($B$13&lt;=0.2,R717,R717+2.5*(Q717-R717)*($B$13-0.2)))</f>
        <v/>
      </c>
      <c r="T717">
        <f>IF(A717=1,S717,T716*$B$27+S717*(1-$B$27))</f>
        <v/>
      </c>
      <c r="U717">
        <f>0.6105*EXP(17.27*T717/(T717+237.3))</f>
        <v/>
      </c>
      <c r="V717">
        <f>($B$14*(I717*C717+IF(ABS((D717+0.1)-D717)&lt;0.000000001,4*$B$19*$B$20*(D717+273)^3,$B$19*$B$20*(((D717+0.1)+273)^4-(D717+273)^4)/((D717+0.1)-D717))*D717)+T717/H717)/($B$14*(I717+IF(ABS((D717+0.1)-D717)&lt;0.000000001,4*$B$19*$B$20*(D717+273)^3,$B$19*$B$20*(((D717+0.1)+273)^4-(D717+273)^4)/((D717+0.1)-D717)))+1/H717)</f>
        <v/>
      </c>
      <c r="W717">
        <f>($B$14*(I717*C717+IF(ABS(V717-D717)&lt;0.000000001,4*$B$19*$B$20*(D717+273)^3,$B$19*$B$20*((V717+273)^4-(D717+273)^4)/(V717-D717))*D717)+T717/H717)/($B$14*(I717+IF(ABS(V717-D717)&lt;0.000000001,4*$B$19*$B$20*(D717+273)^3,$B$19*$B$20*((V717+273)^4-(D717+273)^4)/(V717-D717)))+1/H717)</f>
        <v/>
      </c>
      <c r="X717">
        <f>($B$14*(I717*C717+IF(ABS(W717-D717)&lt;0.000000001,4*$B$19*$B$20*(D717+273)^3,$B$19*$B$20*((W717+273)^4-(D717+273)^4)/(W717-D717))*D717)+T717/H717)/($B$14*(I717+IF(ABS(W717-D717)&lt;0.000000001,4*$B$19*$B$20*(D717+273)^3,$B$19*$B$20*((W717+273)^4-(D717+273)^4)/(W717-D717)))+1/H717)</f>
        <v/>
      </c>
      <c r="Y717">
        <f>($B$14*(I717*C717+IF(ABS(X717-D717)&lt;0.000000001,4*$B$19*$B$20*(D717+273)^3,$B$19*$B$20*((X717+273)^4-(D717+273)^4)/(X717-D717))*D717)+T717/H717)/($B$14*(I717+IF(ABS(X717-D717)&lt;0.000000001,4*$B$19*$B$20*(D717+273)^3,$B$19*$B$20*((X717+273)^4-(D717+273)^4)/(X717-D717)))+1/H717)</f>
        <v/>
      </c>
      <c r="Z717">
        <f>IF(ABS(Y717-D717)&lt;0.000000001,4*$B$19*$B$20*(D717+273)^3,$B$19*$B$20*((Y717+273)^4-(D717+273)^4)/(Y717-D717))</f>
        <v/>
      </c>
      <c r="AA717">
        <f>$B$14*I717*(Y717-C717)</f>
        <v/>
      </c>
      <c r="AB717">
        <f>$B$14*Z717*(Y717-D717)</f>
        <v/>
      </c>
      <c r="AC717">
        <f>IF((U717-E717)/G717=0,0.001,(U717-E717)/G717)</f>
        <v/>
      </c>
      <c r="AD717">
        <f>F717-P717-J717-K717-AA717-AB717</f>
        <v/>
      </c>
      <c r="AE717">
        <f>AD717/AC717</f>
        <v/>
      </c>
      <c r="AF717">
        <f>IF(AD717&lt;=0,0,IF(AC717&lt;=0,$B$11,IF(AE717&gt;=1.7,$B$11,MIN(AD717/MAX(0.05,IF(AE717&gt;1,(2-AE717)^2/2,1-AE717^2/2)),$B$11))))</f>
        <v/>
      </c>
      <c r="AG717">
        <f>AG716*$B$28+AF717*(1-$B$28)</f>
        <v/>
      </c>
      <c r="AH717">
        <f>IF(AND(AD717&gt;0,AC717&lt;=0),0,AC717)</f>
        <v/>
      </c>
      <c r="AI717">
        <f>AH717/MAX(AG717,0.000001)</f>
        <v/>
      </c>
      <c r="AJ717">
        <f>MIN(IF(AI717&gt;=0.5,-AI717+SQRT(AI717^2+2),1),$B$12)</f>
        <v/>
      </c>
      <c r="AK717">
        <f>IF(AG717&lt;=0,0,AJ717*AH717)</f>
        <v/>
      </c>
      <c r="AL717">
        <f>IF(AD717&lt;=0,0,AD717)</f>
        <v/>
      </c>
      <c r="AM717">
        <f>AL717-AK717+P717</f>
        <v/>
      </c>
      <c r="AN717">
        <f>((AM717/$B$7+T716*AS716/2-T717*MAX(0.1,MIN(0.3,0.3-0.09*(AR716-36.8)))/2)+AR716*(1-AS716/2))/(1-MAX(0.1,MIN(0.3,0.3-0.09*(AR716-36.8)))/2)</f>
        <v/>
      </c>
      <c r="AO717">
        <f>((AM717/$B$7+T716*AS716/2-T717*MAX(0.1,MIN(0.3,0.3-0.09*(AN717-36.8)))/2)+AR716*(1-AS716/2))/(1-MAX(0.1,MIN(0.3,0.3-0.09*(AN717-36.8)))/2)</f>
        <v/>
      </c>
      <c r="AP717">
        <f>((AM717/$B$7+T716*AS716/2-T717*MAX(0.1,MIN(0.3,0.3-0.09*(AO717-36.8)))/2)+AR716*(1-AS716/2))/(1-MAX(0.1,MIN(0.3,0.3-0.09*(AO717-36.8)))/2)</f>
        <v/>
      </c>
      <c r="AQ717">
        <f>((AM717/$B$7+T716*AS716/2-T717*MAX(0.1,MIN(0.3,0.3-0.09*(AP717-36.8)))/2)+AR716*(1-AS716/2))/(1-MAX(0.1,MIN(0.3,0.3-0.09*(AP717-36.8)))/2)</f>
        <v/>
      </c>
      <c r="AR717">
        <f>((AM717/$B$7+T716*AS716/2-T717*MAX(0.1,MIN(0.3,0.3-0.09*(AQ717-36.8)))/2)+AR716*(1-AS716/2))/(1-MAX(0.1,MIN(0.3,0.3-0.09*(AQ717-36.8)))/2)</f>
        <v/>
      </c>
      <c r="AS717">
        <f>MAX(0.1,MIN(0.3,0.3-0.09*(AR717-36.8)))</f>
        <v/>
      </c>
      <c r="AT717">
        <f>AT716+(2*AR717-1.962*AT716-1.31)/9</f>
        <v/>
      </c>
      <c r="AU717">
        <f>AU716+AG717+K717</f>
        <v/>
      </c>
      <c r="AV717">
        <f>AU717*2.67*$B$6/1.8/60</f>
        <v/>
      </c>
      <c r="AW717">
        <f>IF(AT717&gt;=$B$36,1,0)</f>
        <v/>
      </c>
      <c r="AX717">
        <f>IF(AV717&gt;=$B$21,1,0)</f>
        <v/>
      </c>
    </row>
    <row r="718">
      <c r="A718" t="n">
        <v>645</v>
      </c>
      <c r="B718">
        <f>MATCH(A718-1,$D$61:$D$68,1)</f>
        <v/>
      </c>
      <c r="C718">
        <f>INDEX($G$61:$G$68,B718)</f>
        <v/>
      </c>
      <c r="D718">
        <f>INDEX($L$61:$L$68,B718)</f>
        <v/>
      </c>
      <c r="E718">
        <f>INDEX($M$61:$M$68,B718)</f>
        <v/>
      </c>
      <c r="F718">
        <f>INDEX($N$61:$N$68,B718)</f>
        <v/>
      </c>
      <c r="G718">
        <f>INDEX($AA$61:$AA$68,B718)</f>
        <v/>
      </c>
      <c r="H718">
        <f>INDEX($X$61:$X$68,B718)</f>
        <v/>
      </c>
      <c r="I718">
        <f>INDEX($AF$61:$AF$68,B718)</f>
        <v/>
      </c>
      <c r="J718">
        <f>INDEX($AC$61:$AC$68,B718)</f>
        <v/>
      </c>
      <c r="K718">
        <f>INDEX($AD$61:$AD$68,B718)</f>
        <v/>
      </c>
      <c r="L718">
        <f>INDEX($AG$61:$AG$68,B718)</f>
        <v/>
      </c>
      <c r="M718">
        <f>INDEX($AH$61:$AH$68,B718)</f>
        <v/>
      </c>
      <c r="N718">
        <f>INDEX($AI$61:$AI$68,B718)</f>
        <v/>
      </c>
      <c r="O718">
        <f>O717*$B$26+L718*(1-$B$26)</f>
        <v/>
      </c>
      <c r="P718">
        <f>$B$7*(O718-O717)*(1-AS717)</f>
        <v/>
      </c>
      <c r="Q718">
        <f>M718+0.51274*AT717</f>
        <v/>
      </c>
      <c r="R718">
        <f>N718+0.616*AT717</f>
        <v/>
      </c>
      <c r="S718">
        <f>IF($B$13&gt;=0.6,Q718,IF($B$13&lt;=0.2,R718,R718+2.5*(Q718-R718)*($B$13-0.2)))</f>
        <v/>
      </c>
      <c r="T718">
        <f>IF(A718=1,S718,T717*$B$27+S718*(1-$B$27))</f>
        <v/>
      </c>
      <c r="U718">
        <f>0.6105*EXP(17.27*T718/(T718+237.3))</f>
        <v/>
      </c>
      <c r="V718">
        <f>($B$14*(I718*C718+IF(ABS((D718+0.1)-D718)&lt;0.000000001,4*$B$19*$B$20*(D718+273)^3,$B$19*$B$20*(((D718+0.1)+273)^4-(D718+273)^4)/((D718+0.1)-D718))*D718)+T718/H718)/($B$14*(I718+IF(ABS((D718+0.1)-D718)&lt;0.000000001,4*$B$19*$B$20*(D718+273)^3,$B$19*$B$20*(((D718+0.1)+273)^4-(D718+273)^4)/((D718+0.1)-D718)))+1/H718)</f>
        <v/>
      </c>
      <c r="W718">
        <f>($B$14*(I718*C718+IF(ABS(V718-D718)&lt;0.000000001,4*$B$19*$B$20*(D718+273)^3,$B$19*$B$20*((V718+273)^4-(D718+273)^4)/(V718-D718))*D718)+T718/H718)/($B$14*(I718+IF(ABS(V718-D718)&lt;0.000000001,4*$B$19*$B$20*(D718+273)^3,$B$19*$B$20*((V718+273)^4-(D718+273)^4)/(V718-D718)))+1/H718)</f>
        <v/>
      </c>
      <c r="X718">
        <f>($B$14*(I718*C718+IF(ABS(W718-D718)&lt;0.000000001,4*$B$19*$B$20*(D718+273)^3,$B$19*$B$20*((W718+273)^4-(D718+273)^4)/(W718-D718))*D718)+T718/H718)/($B$14*(I718+IF(ABS(W718-D718)&lt;0.000000001,4*$B$19*$B$20*(D718+273)^3,$B$19*$B$20*((W718+273)^4-(D718+273)^4)/(W718-D718)))+1/H718)</f>
        <v/>
      </c>
      <c r="Y718">
        <f>($B$14*(I718*C718+IF(ABS(X718-D718)&lt;0.000000001,4*$B$19*$B$20*(D718+273)^3,$B$19*$B$20*((X718+273)^4-(D718+273)^4)/(X718-D718))*D718)+T718/H718)/($B$14*(I718+IF(ABS(X718-D718)&lt;0.000000001,4*$B$19*$B$20*(D718+273)^3,$B$19*$B$20*((X718+273)^4-(D718+273)^4)/(X718-D718)))+1/H718)</f>
        <v/>
      </c>
      <c r="Z718">
        <f>IF(ABS(Y718-D718)&lt;0.000000001,4*$B$19*$B$20*(D718+273)^3,$B$19*$B$20*((Y718+273)^4-(D718+273)^4)/(Y718-D718))</f>
        <v/>
      </c>
      <c r="AA718">
        <f>$B$14*I718*(Y718-C718)</f>
        <v/>
      </c>
      <c r="AB718">
        <f>$B$14*Z718*(Y718-D718)</f>
        <v/>
      </c>
      <c r="AC718">
        <f>IF((U718-E718)/G718=0,0.001,(U718-E718)/G718)</f>
        <v/>
      </c>
      <c r="AD718">
        <f>F718-P718-J718-K718-AA718-AB718</f>
        <v/>
      </c>
      <c r="AE718">
        <f>AD718/AC718</f>
        <v/>
      </c>
      <c r="AF718">
        <f>IF(AD718&lt;=0,0,IF(AC718&lt;=0,$B$11,IF(AE718&gt;=1.7,$B$11,MIN(AD718/MAX(0.05,IF(AE718&gt;1,(2-AE718)^2/2,1-AE718^2/2)),$B$11))))</f>
        <v/>
      </c>
      <c r="AG718">
        <f>AG717*$B$28+AF718*(1-$B$28)</f>
        <v/>
      </c>
      <c r="AH718">
        <f>IF(AND(AD718&gt;0,AC718&lt;=0),0,AC718)</f>
        <v/>
      </c>
      <c r="AI718">
        <f>AH718/MAX(AG718,0.000001)</f>
        <v/>
      </c>
      <c r="AJ718">
        <f>MIN(IF(AI718&gt;=0.5,-AI718+SQRT(AI718^2+2),1),$B$12)</f>
        <v/>
      </c>
      <c r="AK718">
        <f>IF(AG718&lt;=0,0,AJ718*AH718)</f>
        <v/>
      </c>
      <c r="AL718">
        <f>IF(AD718&lt;=0,0,AD718)</f>
        <v/>
      </c>
      <c r="AM718">
        <f>AL718-AK718+P718</f>
        <v/>
      </c>
      <c r="AN718">
        <f>((AM718/$B$7+T717*AS717/2-T718*MAX(0.1,MIN(0.3,0.3-0.09*(AR717-36.8)))/2)+AR717*(1-AS717/2))/(1-MAX(0.1,MIN(0.3,0.3-0.09*(AR717-36.8)))/2)</f>
        <v/>
      </c>
      <c r="AO718">
        <f>((AM718/$B$7+T717*AS717/2-T718*MAX(0.1,MIN(0.3,0.3-0.09*(AN718-36.8)))/2)+AR717*(1-AS717/2))/(1-MAX(0.1,MIN(0.3,0.3-0.09*(AN718-36.8)))/2)</f>
        <v/>
      </c>
      <c r="AP718">
        <f>((AM718/$B$7+T717*AS717/2-T718*MAX(0.1,MIN(0.3,0.3-0.09*(AO718-36.8)))/2)+AR717*(1-AS717/2))/(1-MAX(0.1,MIN(0.3,0.3-0.09*(AO718-36.8)))/2)</f>
        <v/>
      </c>
      <c r="AQ718">
        <f>((AM718/$B$7+T717*AS717/2-T718*MAX(0.1,MIN(0.3,0.3-0.09*(AP718-36.8)))/2)+AR717*(1-AS717/2))/(1-MAX(0.1,MIN(0.3,0.3-0.09*(AP718-36.8)))/2)</f>
        <v/>
      </c>
      <c r="AR718">
        <f>((AM718/$B$7+T717*AS717/2-T718*MAX(0.1,MIN(0.3,0.3-0.09*(AQ718-36.8)))/2)+AR717*(1-AS717/2))/(1-MAX(0.1,MIN(0.3,0.3-0.09*(AQ718-36.8)))/2)</f>
        <v/>
      </c>
      <c r="AS718">
        <f>MAX(0.1,MIN(0.3,0.3-0.09*(AR718-36.8)))</f>
        <v/>
      </c>
      <c r="AT718">
        <f>AT717+(2*AR718-1.962*AT717-1.31)/9</f>
        <v/>
      </c>
      <c r="AU718">
        <f>AU717+AG718+K718</f>
        <v/>
      </c>
      <c r="AV718">
        <f>AU718*2.67*$B$6/1.8/60</f>
        <v/>
      </c>
      <c r="AW718">
        <f>IF(AT718&gt;=$B$36,1,0)</f>
        <v/>
      </c>
      <c r="AX718">
        <f>IF(AV718&gt;=$B$21,1,0)</f>
        <v/>
      </c>
    </row>
    <row r="719">
      <c r="A719" t="n">
        <v>646</v>
      </c>
      <c r="B719">
        <f>MATCH(A719-1,$D$61:$D$68,1)</f>
        <v/>
      </c>
      <c r="C719">
        <f>INDEX($G$61:$G$68,B719)</f>
        <v/>
      </c>
      <c r="D719">
        <f>INDEX($L$61:$L$68,B719)</f>
        <v/>
      </c>
      <c r="E719">
        <f>INDEX($M$61:$M$68,B719)</f>
        <v/>
      </c>
      <c r="F719">
        <f>INDEX($N$61:$N$68,B719)</f>
        <v/>
      </c>
      <c r="G719">
        <f>INDEX($AA$61:$AA$68,B719)</f>
        <v/>
      </c>
      <c r="H719">
        <f>INDEX($X$61:$X$68,B719)</f>
        <v/>
      </c>
      <c r="I719">
        <f>INDEX($AF$61:$AF$68,B719)</f>
        <v/>
      </c>
      <c r="J719">
        <f>INDEX($AC$61:$AC$68,B719)</f>
        <v/>
      </c>
      <c r="K719">
        <f>INDEX($AD$61:$AD$68,B719)</f>
        <v/>
      </c>
      <c r="L719">
        <f>INDEX($AG$61:$AG$68,B719)</f>
        <v/>
      </c>
      <c r="M719">
        <f>INDEX($AH$61:$AH$68,B719)</f>
        <v/>
      </c>
      <c r="N719">
        <f>INDEX($AI$61:$AI$68,B719)</f>
        <v/>
      </c>
      <c r="O719">
        <f>O718*$B$26+L719*(1-$B$26)</f>
        <v/>
      </c>
      <c r="P719">
        <f>$B$7*(O719-O718)*(1-AS718)</f>
        <v/>
      </c>
      <c r="Q719">
        <f>M719+0.51274*AT718</f>
        <v/>
      </c>
      <c r="R719">
        <f>N719+0.616*AT718</f>
        <v/>
      </c>
      <c r="S719">
        <f>IF($B$13&gt;=0.6,Q719,IF($B$13&lt;=0.2,R719,R719+2.5*(Q719-R719)*($B$13-0.2)))</f>
        <v/>
      </c>
      <c r="T719">
        <f>IF(A719=1,S719,T718*$B$27+S719*(1-$B$27))</f>
        <v/>
      </c>
      <c r="U719">
        <f>0.6105*EXP(17.27*T719/(T719+237.3))</f>
        <v/>
      </c>
      <c r="V719">
        <f>($B$14*(I719*C719+IF(ABS((D719+0.1)-D719)&lt;0.000000001,4*$B$19*$B$20*(D719+273)^3,$B$19*$B$20*(((D719+0.1)+273)^4-(D719+273)^4)/((D719+0.1)-D719))*D719)+T719/H719)/($B$14*(I719+IF(ABS((D719+0.1)-D719)&lt;0.000000001,4*$B$19*$B$20*(D719+273)^3,$B$19*$B$20*(((D719+0.1)+273)^4-(D719+273)^4)/((D719+0.1)-D719)))+1/H719)</f>
        <v/>
      </c>
      <c r="W719">
        <f>($B$14*(I719*C719+IF(ABS(V719-D719)&lt;0.000000001,4*$B$19*$B$20*(D719+273)^3,$B$19*$B$20*((V719+273)^4-(D719+273)^4)/(V719-D719))*D719)+T719/H719)/($B$14*(I719+IF(ABS(V719-D719)&lt;0.000000001,4*$B$19*$B$20*(D719+273)^3,$B$19*$B$20*((V719+273)^4-(D719+273)^4)/(V719-D719)))+1/H719)</f>
        <v/>
      </c>
      <c r="X719">
        <f>($B$14*(I719*C719+IF(ABS(W719-D719)&lt;0.000000001,4*$B$19*$B$20*(D719+273)^3,$B$19*$B$20*((W719+273)^4-(D719+273)^4)/(W719-D719))*D719)+T719/H719)/($B$14*(I719+IF(ABS(W719-D719)&lt;0.000000001,4*$B$19*$B$20*(D719+273)^3,$B$19*$B$20*((W719+273)^4-(D719+273)^4)/(W719-D719)))+1/H719)</f>
        <v/>
      </c>
      <c r="Y719">
        <f>($B$14*(I719*C719+IF(ABS(X719-D719)&lt;0.000000001,4*$B$19*$B$20*(D719+273)^3,$B$19*$B$20*((X719+273)^4-(D719+273)^4)/(X719-D719))*D719)+T719/H719)/($B$14*(I719+IF(ABS(X719-D719)&lt;0.000000001,4*$B$19*$B$20*(D719+273)^3,$B$19*$B$20*((X719+273)^4-(D719+273)^4)/(X719-D719)))+1/H719)</f>
        <v/>
      </c>
      <c r="Z719">
        <f>IF(ABS(Y719-D719)&lt;0.000000001,4*$B$19*$B$20*(D719+273)^3,$B$19*$B$20*((Y719+273)^4-(D719+273)^4)/(Y719-D719))</f>
        <v/>
      </c>
      <c r="AA719">
        <f>$B$14*I719*(Y719-C719)</f>
        <v/>
      </c>
      <c r="AB719">
        <f>$B$14*Z719*(Y719-D719)</f>
        <v/>
      </c>
      <c r="AC719">
        <f>IF((U719-E719)/G719=0,0.001,(U719-E719)/G719)</f>
        <v/>
      </c>
      <c r="AD719">
        <f>F719-P719-J719-K719-AA719-AB719</f>
        <v/>
      </c>
      <c r="AE719">
        <f>AD719/AC719</f>
        <v/>
      </c>
      <c r="AF719">
        <f>IF(AD719&lt;=0,0,IF(AC719&lt;=0,$B$11,IF(AE719&gt;=1.7,$B$11,MIN(AD719/MAX(0.05,IF(AE719&gt;1,(2-AE719)^2/2,1-AE719^2/2)),$B$11))))</f>
        <v/>
      </c>
      <c r="AG719">
        <f>AG718*$B$28+AF719*(1-$B$28)</f>
        <v/>
      </c>
      <c r="AH719">
        <f>IF(AND(AD719&gt;0,AC719&lt;=0),0,AC719)</f>
        <v/>
      </c>
      <c r="AI719">
        <f>AH719/MAX(AG719,0.000001)</f>
        <v/>
      </c>
      <c r="AJ719">
        <f>MIN(IF(AI719&gt;=0.5,-AI719+SQRT(AI719^2+2),1),$B$12)</f>
        <v/>
      </c>
      <c r="AK719">
        <f>IF(AG719&lt;=0,0,AJ719*AH719)</f>
        <v/>
      </c>
      <c r="AL719">
        <f>IF(AD719&lt;=0,0,AD719)</f>
        <v/>
      </c>
      <c r="AM719">
        <f>AL719-AK719+P719</f>
        <v/>
      </c>
      <c r="AN719">
        <f>((AM719/$B$7+T718*AS718/2-T719*MAX(0.1,MIN(0.3,0.3-0.09*(AR718-36.8)))/2)+AR718*(1-AS718/2))/(1-MAX(0.1,MIN(0.3,0.3-0.09*(AR718-36.8)))/2)</f>
        <v/>
      </c>
      <c r="AO719">
        <f>((AM719/$B$7+T718*AS718/2-T719*MAX(0.1,MIN(0.3,0.3-0.09*(AN719-36.8)))/2)+AR718*(1-AS718/2))/(1-MAX(0.1,MIN(0.3,0.3-0.09*(AN719-36.8)))/2)</f>
        <v/>
      </c>
      <c r="AP719">
        <f>((AM719/$B$7+T718*AS718/2-T719*MAX(0.1,MIN(0.3,0.3-0.09*(AO719-36.8)))/2)+AR718*(1-AS718/2))/(1-MAX(0.1,MIN(0.3,0.3-0.09*(AO719-36.8)))/2)</f>
        <v/>
      </c>
      <c r="AQ719">
        <f>((AM719/$B$7+T718*AS718/2-T719*MAX(0.1,MIN(0.3,0.3-0.09*(AP719-36.8)))/2)+AR718*(1-AS718/2))/(1-MAX(0.1,MIN(0.3,0.3-0.09*(AP719-36.8)))/2)</f>
        <v/>
      </c>
      <c r="AR719">
        <f>((AM719/$B$7+T718*AS718/2-T719*MAX(0.1,MIN(0.3,0.3-0.09*(AQ719-36.8)))/2)+AR718*(1-AS718/2))/(1-MAX(0.1,MIN(0.3,0.3-0.09*(AQ719-36.8)))/2)</f>
        <v/>
      </c>
      <c r="AS719">
        <f>MAX(0.1,MIN(0.3,0.3-0.09*(AR719-36.8)))</f>
        <v/>
      </c>
      <c r="AT719">
        <f>AT718+(2*AR719-1.962*AT718-1.31)/9</f>
        <v/>
      </c>
      <c r="AU719">
        <f>AU718+AG719+K719</f>
        <v/>
      </c>
      <c r="AV719">
        <f>AU719*2.67*$B$6/1.8/60</f>
        <v/>
      </c>
      <c r="AW719">
        <f>IF(AT719&gt;=$B$36,1,0)</f>
        <v/>
      </c>
      <c r="AX719">
        <f>IF(AV719&gt;=$B$21,1,0)</f>
        <v/>
      </c>
    </row>
    <row r="720">
      <c r="A720" t="n">
        <v>647</v>
      </c>
      <c r="B720">
        <f>MATCH(A720-1,$D$61:$D$68,1)</f>
        <v/>
      </c>
      <c r="C720">
        <f>INDEX($G$61:$G$68,B720)</f>
        <v/>
      </c>
      <c r="D720">
        <f>INDEX($L$61:$L$68,B720)</f>
        <v/>
      </c>
      <c r="E720">
        <f>INDEX($M$61:$M$68,B720)</f>
        <v/>
      </c>
      <c r="F720">
        <f>INDEX($N$61:$N$68,B720)</f>
        <v/>
      </c>
      <c r="G720">
        <f>INDEX($AA$61:$AA$68,B720)</f>
        <v/>
      </c>
      <c r="H720">
        <f>INDEX($X$61:$X$68,B720)</f>
        <v/>
      </c>
      <c r="I720">
        <f>INDEX($AF$61:$AF$68,B720)</f>
        <v/>
      </c>
      <c r="J720">
        <f>INDEX($AC$61:$AC$68,B720)</f>
        <v/>
      </c>
      <c r="K720">
        <f>INDEX($AD$61:$AD$68,B720)</f>
        <v/>
      </c>
      <c r="L720">
        <f>INDEX($AG$61:$AG$68,B720)</f>
        <v/>
      </c>
      <c r="M720">
        <f>INDEX($AH$61:$AH$68,B720)</f>
        <v/>
      </c>
      <c r="N720">
        <f>INDEX($AI$61:$AI$68,B720)</f>
        <v/>
      </c>
      <c r="O720">
        <f>O719*$B$26+L720*(1-$B$26)</f>
        <v/>
      </c>
      <c r="P720">
        <f>$B$7*(O720-O719)*(1-AS719)</f>
        <v/>
      </c>
      <c r="Q720">
        <f>M720+0.51274*AT719</f>
        <v/>
      </c>
      <c r="R720">
        <f>N720+0.616*AT719</f>
        <v/>
      </c>
      <c r="S720">
        <f>IF($B$13&gt;=0.6,Q720,IF($B$13&lt;=0.2,R720,R720+2.5*(Q720-R720)*($B$13-0.2)))</f>
        <v/>
      </c>
      <c r="T720">
        <f>IF(A720=1,S720,T719*$B$27+S720*(1-$B$27))</f>
        <v/>
      </c>
      <c r="U720">
        <f>0.6105*EXP(17.27*T720/(T720+237.3))</f>
        <v/>
      </c>
      <c r="V720">
        <f>($B$14*(I720*C720+IF(ABS((D720+0.1)-D720)&lt;0.000000001,4*$B$19*$B$20*(D720+273)^3,$B$19*$B$20*(((D720+0.1)+273)^4-(D720+273)^4)/((D720+0.1)-D720))*D720)+T720/H720)/($B$14*(I720+IF(ABS((D720+0.1)-D720)&lt;0.000000001,4*$B$19*$B$20*(D720+273)^3,$B$19*$B$20*(((D720+0.1)+273)^4-(D720+273)^4)/((D720+0.1)-D720)))+1/H720)</f>
        <v/>
      </c>
      <c r="W720">
        <f>($B$14*(I720*C720+IF(ABS(V720-D720)&lt;0.000000001,4*$B$19*$B$20*(D720+273)^3,$B$19*$B$20*((V720+273)^4-(D720+273)^4)/(V720-D720))*D720)+T720/H720)/($B$14*(I720+IF(ABS(V720-D720)&lt;0.000000001,4*$B$19*$B$20*(D720+273)^3,$B$19*$B$20*((V720+273)^4-(D720+273)^4)/(V720-D720)))+1/H720)</f>
        <v/>
      </c>
      <c r="X720">
        <f>($B$14*(I720*C720+IF(ABS(W720-D720)&lt;0.000000001,4*$B$19*$B$20*(D720+273)^3,$B$19*$B$20*((W720+273)^4-(D720+273)^4)/(W720-D720))*D720)+T720/H720)/($B$14*(I720+IF(ABS(W720-D720)&lt;0.000000001,4*$B$19*$B$20*(D720+273)^3,$B$19*$B$20*((W720+273)^4-(D720+273)^4)/(W720-D720)))+1/H720)</f>
        <v/>
      </c>
      <c r="Y720">
        <f>($B$14*(I720*C720+IF(ABS(X720-D720)&lt;0.000000001,4*$B$19*$B$20*(D720+273)^3,$B$19*$B$20*((X720+273)^4-(D720+273)^4)/(X720-D720))*D720)+T720/H720)/($B$14*(I720+IF(ABS(X720-D720)&lt;0.000000001,4*$B$19*$B$20*(D720+273)^3,$B$19*$B$20*((X720+273)^4-(D720+273)^4)/(X720-D720)))+1/H720)</f>
        <v/>
      </c>
      <c r="Z720">
        <f>IF(ABS(Y720-D720)&lt;0.000000001,4*$B$19*$B$20*(D720+273)^3,$B$19*$B$20*((Y720+273)^4-(D720+273)^4)/(Y720-D720))</f>
        <v/>
      </c>
      <c r="AA720">
        <f>$B$14*I720*(Y720-C720)</f>
        <v/>
      </c>
      <c r="AB720">
        <f>$B$14*Z720*(Y720-D720)</f>
        <v/>
      </c>
      <c r="AC720">
        <f>IF((U720-E720)/G720=0,0.001,(U720-E720)/G720)</f>
        <v/>
      </c>
      <c r="AD720">
        <f>F720-P720-J720-K720-AA720-AB720</f>
        <v/>
      </c>
      <c r="AE720">
        <f>AD720/AC720</f>
        <v/>
      </c>
      <c r="AF720">
        <f>IF(AD720&lt;=0,0,IF(AC720&lt;=0,$B$11,IF(AE720&gt;=1.7,$B$11,MIN(AD720/MAX(0.05,IF(AE720&gt;1,(2-AE720)^2/2,1-AE720^2/2)),$B$11))))</f>
        <v/>
      </c>
      <c r="AG720">
        <f>AG719*$B$28+AF720*(1-$B$28)</f>
        <v/>
      </c>
      <c r="AH720">
        <f>IF(AND(AD720&gt;0,AC720&lt;=0),0,AC720)</f>
        <v/>
      </c>
      <c r="AI720">
        <f>AH720/MAX(AG720,0.000001)</f>
        <v/>
      </c>
      <c r="AJ720">
        <f>MIN(IF(AI720&gt;=0.5,-AI720+SQRT(AI720^2+2),1),$B$12)</f>
        <v/>
      </c>
      <c r="AK720">
        <f>IF(AG720&lt;=0,0,AJ720*AH720)</f>
        <v/>
      </c>
      <c r="AL720">
        <f>IF(AD720&lt;=0,0,AD720)</f>
        <v/>
      </c>
      <c r="AM720">
        <f>AL720-AK720+P720</f>
        <v/>
      </c>
      <c r="AN720">
        <f>((AM720/$B$7+T719*AS719/2-T720*MAX(0.1,MIN(0.3,0.3-0.09*(AR719-36.8)))/2)+AR719*(1-AS719/2))/(1-MAX(0.1,MIN(0.3,0.3-0.09*(AR719-36.8)))/2)</f>
        <v/>
      </c>
      <c r="AO720">
        <f>((AM720/$B$7+T719*AS719/2-T720*MAX(0.1,MIN(0.3,0.3-0.09*(AN720-36.8)))/2)+AR719*(1-AS719/2))/(1-MAX(0.1,MIN(0.3,0.3-0.09*(AN720-36.8)))/2)</f>
        <v/>
      </c>
      <c r="AP720">
        <f>((AM720/$B$7+T719*AS719/2-T720*MAX(0.1,MIN(0.3,0.3-0.09*(AO720-36.8)))/2)+AR719*(1-AS719/2))/(1-MAX(0.1,MIN(0.3,0.3-0.09*(AO720-36.8)))/2)</f>
        <v/>
      </c>
      <c r="AQ720">
        <f>((AM720/$B$7+T719*AS719/2-T720*MAX(0.1,MIN(0.3,0.3-0.09*(AP720-36.8)))/2)+AR719*(1-AS719/2))/(1-MAX(0.1,MIN(0.3,0.3-0.09*(AP720-36.8)))/2)</f>
        <v/>
      </c>
      <c r="AR720">
        <f>((AM720/$B$7+T719*AS719/2-T720*MAX(0.1,MIN(0.3,0.3-0.09*(AQ720-36.8)))/2)+AR719*(1-AS719/2))/(1-MAX(0.1,MIN(0.3,0.3-0.09*(AQ720-36.8)))/2)</f>
        <v/>
      </c>
      <c r="AS720">
        <f>MAX(0.1,MIN(0.3,0.3-0.09*(AR720-36.8)))</f>
        <v/>
      </c>
      <c r="AT720">
        <f>AT719+(2*AR720-1.962*AT719-1.31)/9</f>
        <v/>
      </c>
      <c r="AU720">
        <f>AU719+AG720+K720</f>
        <v/>
      </c>
      <c r="AV720">
        <f>AU720*2.67*$B$6/1.8/60</f>
        <v/>
      </c>
      <c r="AW720">
        <f>IF(AT720&gt;=$B$36,1,0)</f>
        <v/>
      </c>
      <c r="AX720">
        <f>IF(AV720&gt;=$B$21,1,0)</f>
        <v/>
      </c>
    </row>
    <row r="721">
      <c r="A721" t="n">
        <v>648</v>
      </c>
      <c r="B721">
        <f>MATCH(A721-1,$D$61:$D$68,1)</f>
        <v/>
      </c>
      <c r="C721">
        <f>INDEX($G$61:$G$68,B721)</f>
        <v/>
      </c>
      <c r="D721">
        <f>INDEX($L$61:$L$68,B721)</f>
        <v/>
      </c>
      <c r="E721">
        <f>INDEX($M$61:$M$68,B721)</f>
        <v/>
      </c>
      <c r="F721">
        <f>INDEX($N$61:$N$68,B721)</f>
        <v/>
      </c>
      <c r="G721">
        <f>INDEX($AA$61:$AA$68,B721)</f>
        <v/>
      </c>
      <c r="H721">
        <f>INDEX($X$61:$X$68,B721)</f>
        <v/>
      </c>
      <c r="I721">
        <f>INDEX($AF$61:$AF$68,B721)</f>
        <v/>
      </c>
      <c r="J721">
        <f>INDEX($AC$61:$AC$68,B721)</f>
        <v/>
      </c>
      <c r="K721">
        <f>INDEX($AD$61:$AD$68,B721)</f>
        <v/>
      </c>
      <c r="L721">
        <f>INDEX($AG$61:$AG$68,B721)</f>
        <v/>
      </c>
      <c r="M721">
        <f>INDEX($AH$61:$AH$68,B721)</f>
        <v/>
      </c>
      <c r="N721">
        <f>INDEX($AI$61:$AI$68,B721)</f>
        <v/>
      </c>
      <c r="O721">
        <f>O720*$B$26+L721*(1-$B$26)</f>
        <v/>
      </c>
      <c r="P721">
        <f>$B$7*(O721-O720)*(1-AS720)</f>
        <v/>
      </c>
      <c r="Q721">
        <f>M721+0.51274*AT720</f>
        <v/>
      </c>
      <c r="R721">
        <f>N721+0.616*AT720</f>
        <v/>
      </c>
      <c r="S721">
        <f>IF($B$13&gt;=0.6,Q721,IF($B$13&lt;=0.2,R721,R721+2.5*(Q721-R721)*($B$13-0.2)))</f>
        <v/>
      </c>
      <c r="T721">
        <f>IF(A721=1,S721,T720*$B$27+S721*(1-$B$27))</f>
        <v/>
      </c>
      <c r="U721">
        <f>0.6105*EXP(17.27*T721/(T721+237.3))</f>
        <v/>
      </c>
      <c r="V721">
        <f>($B$14*(I721*C721+IF(ABS((D721+0.1)-D721)&lt;0.000000001,4*$B$19*$B$20*(D721+273)^3,$B$19*$B$20*(((D721+0.1)+273)^4-(D721+273)^4)/((D721+0.1)-D721))*D721)+T721/H721)/($B$14*(I721+IF(ABS((D721+0.1)-D721)&lt;0.000000001,4*$B$19*$B$20*(D721+273)^3,$B$19*$B$20*(((D721+0.1)+273)^4-(D721+273)^4)/((D721+0.1)-D721)))+1/H721)</f>
        <v/>
      </c>
      <c r="W721">
        <f>($B$14*(I721*C721+IF(ABS(V721-D721)&lt;0.000000001,4*$B$19*$B$20*(D721+273)^3,$B$19*$B$20*((V721+273)^4-(D721+273)^4)/(V721-D721))*D721)+T721/H721)/($B$14*(I721+IF(ABS(V721-D721)&lt;0.000000001,4*$B$19*$B$20*(D721+273)^3,$B$19*$B$20*((V721+273)^4-(D721+273)^4)/(V721-D721)))+1/H721)</f>
        <v/>
      </c>
      <c r="X721">
        <f>($B$14*(I721*C721+IF(ABS(W721-D721)&lt;0.000000001,4*$B$19*$B$20*(D721+273)^3,$B$19*$B$20*((W721+273)^4-(D721+273)^4)/(W721-D721))*D721)+T721/H721)/($B$14*(I721+IF(ABS(W721-D721)&lt;0.000000001,4*$B$19*$B$20*(D721+273)^3,$B$19*$B$20*((W721+273)^4-(D721+273)^4)/(W721-D721)))+1/H721)</f>
        <v/>
      </c>
      <c r="Y721">
        <f>($B$14*(I721*C721+IF(ABS(X721-D721)&lt;0.000000001,4*$B$19*$B$20*(D721+273)^3,$B$19*$B$20*((X721+273)^4-(D721+273)^4)/(X721-D721))*D721)+T721/H721)/($B$14*(I721+IF(ABS(X721-D721)&lt;0.000000001,4*$B$19*$B$20*(D721+273)^3,$B$19*$B$20*((X721+273)^4-(D721+273)^4)/(X721-D721)))+1/H721)</f>
        <v/>
      </c>
      <c r="Z721">
        <f>IF(ABS(Y721-D721)&lt;0.000000001,4*$B$19*$B$20*(D721+273)^3,$B$19*$B$20*((Y721+273)^4-(D721+273)^4)/(Y721-D721))</f>
        <v/>
      </c>
      <c r="AA721">
        <f>$B$14*I721*(Y721-C721)</f>
        <v/>
      </c>
      <c r="AB721">
        <f>$B$14*Z721*(Y721-D721)</f>
        <v/>
      </c>
      <c r="AC721">
        <f>IF((U721-E721)/G721=0,0.001,(U721-E721)/G721)</f>
        <v/>
      </c>
      <c r="AD721">
        <f>F721-P721-J721-K721-AA721-AB721</f>
        <v/>
      </c>
      <c r="AE721">
        <f>AD721/AC721</f>
        <v/>
      </c>
      <c r="AF721">
        <f>IF(AD721&lt;=0,0,IF(AC721&lt;=0,$B$11,IF(AE721&gt;=1.7,$B$11,MIN(AD721/MAX(0.05,IF(AE721&gt;1,(2-AE721)^2/2,1-AE721^2/2)),$B$11))))</f>
        <v/>
      </c>
      <c r="AG721">
        <f>AG720*$B$28+AF721*(1-$B$28)</f>
        <v/>
      </c>
      <c r="AH721">
        <f>IF(AND(AD721&gt;0,AC721&lt;=0),0,AC721)</f>
        <v/>
      </c>
      <c r="AI721">
        <f>AH721/MAX(AG721,0.000001)</f>
        <v/>
      </c>
      <c r="AJ721">
        <f>MIN(IF(AI721&gt;=0.5,-AI721+SQRT(AI721^2+2),1),$B$12)</f>
        <v/>
      </c>
      <c r="AK721">
        <f>IF(AG721&lt;=0,0,AJ721*AH721)</f>
        <v/>
      </c>
      <c r="AL721">
        <f>IF(AD721&lt;=0,0,AD721)</f>
        <v/>
      </c>
      <c r="AM721">
        <f>AL721-AK721+P721</f>
        <v/>
      </c>
      <c r="AN721">
        <f>((AM721/$B$7+T720*AS720/2-T721*MAX(0.1,MIN(0.3,0.3-0.09*(AR720-36.8)))/2)+AR720*(1-AS720/2))/(1-MAX(0.1,MIN(0.3,0.3-0.09*(AR720-36.8)))/2)</f>
        <v/>
      </c>
      <c r="AO721">
        <f>((AM721/$B$7+T720*AS720/2-T721*MAX(0.1,MIN(0.3,0.3-0.09*(AN721-36.8)))/2)+AR720*(1-AS720/2))/(1-MAX(0.1,MIN(0.3,0.3-0.09*(AN721-36.8)))/2)</f>
        <v/>
      </c>
      <c r="AP721">
        <f>((AM721/$B$7+T720*AS720/2-T721*MAX(0.1,MIN(0.3,0.3-0.09*(AO721-36.8)))/2)+AR720*(1-AS720/2))/(1-MAX(0.1,MIN(0.3,0.3-0.09*(AO721-36.8)))/2)</f>
        <v/>
      </c>
      <c r="AQ721">
        <f>((AM721/$B$7+T720*AS720/2-T721*MAX(0.1,MIN(0.3,0.3-0.09*(AP721-36.8)))/2)+AR720*(1-AS720/2))/(1-MAX(0.1,MIN(0.3,0.3-0.09*(AP721-36.8)))/2)</f>
        <v/>
      </c>
      <c r="AR721">
        <f>((AM721/$B$7+T720*AS720/2-T721*MAX(0.1,MIN(0.3,0.3-0.09*(AQ721-36.8)))/2)+AR720*(1-AS720/2))/(1-MAX(0.1,MIN(0.3,0.3-0.09*(AQ721-36.8)))/2)</f>
        <v/>
      </c>
      <c r="AS721">
        <f>MAX(0.1,MIN(0.3,0.3-0.09*(AR721-36.8)))</f>
        <v/>
      </c>
      <c r="AT721">
        <f>AT720+(2*AR721-1.962*AT720-1.31)/9</f>
        <v/>
      </c>
      <c r="AU721">
        <f>AU720+AG721+K721</f>
        <v/>
      </c>
      <c r="AV721">
        <f>AU721*2.67*$B$6/1.8/60</f>
        <v/>
      </c>
      <c r="AW721">
        <f>IF(AT721&gt;=$B$36,1,0)</f>
        <v/>
      </c>
      <c r="AX721">
        <f>IF(AV721&gt;=$B$21,1,0)</f>
        <v/>
      </c>
    </row>
    <row r="722">
      <c r="A722" t="n">
        <v>649</v>
      </c>
      <c r="B722">
        <f>MATCH(A722-1,$D$61:$D$68,1)</f>
        <v/>
      </c>
      <c r="C722">
        <f>INDEX($G$61:$G$68,B722)</f>
        <v/>
      </c>
      <c r="D722">
        <f>INDEX($L$61:$L$68,B722)</f>
        <v/>
      </c>
      <c r="E722">
        <f>INDEX($M$61:$M$68,B722)</f>
        <v/>
      </c>
      <c r="F722">
        <f>INDEX($N$61:$N$68,B722)</f>
        <v/>
      </c>
      <c r="G722">
        <f>INDEX($AA$61:$AA$68,B722)</f>
        <v/>
      </c>
      <c r="H722">
        <f>INDEX($X$61:$X$68,B722)</f>
        <v/>
      </c>
      <c r="I722">
        <f>INDEX($AF$61:$AF$68,B722)</f>
        <v/>
      </c>
      <c r="J722">
        <f>INDEX($AC$61:$AC$68,B722)</f>
        <v/>
      </c>
      <c r="K722">
        <f>INDEX($AD$61:$AD$68,B722)</f>
        <v/>
      </c>
      <c r="L722">
        <f>INDEX($AG$61:$AG$68,B722)</f>
        <v/>
      </c>
      <c r="M722">
        <f>INDEX($AH$61:$AH$68,B722)</f>
        <v/>
      </c>
      <c r="N722">
        <f>INDEX($AI$61:$AI$68,B722)</f>
        <v/>
      </c>
      <c r="O722">
        <f>O721*$B$26+L722*(1-$B$26)</f>
        <v/>
      </c>
      <c r="P722">
        <f>$B$7*(O722-O721)*(1-AS721)</f>
        <v/>
      </c>
      <c r="Q722">
        <f>M722+0.51274*AT721</f>
        <v/>
      </c>
      <c r="R722">
        <f>N722+0.616*AT721</f>
        <v/>
      </c>
      <c r="S722">
        <f>IF($B$13&gt;=0.6,Q722,IF($B$13&lt;=0.2,R722,R722+2.5*(Q722-R722)*($B$13-0.2)))</f>
        <v/>
      </c>
      <c r="T722">
        <f>IF(A722=1,S722,T721*$B$27+S722*(1-$B$27))</f>
        <v/>
      </c>
      <c r="U722">
        <f>0.6105*EXP(17.27*T722/(T722+237.3))</f>
        <v/>
      </c>
      <c r="V722">
        <f>($B$14*(I722*C722+IF(ABS((D722+0.1)-D722)&lt;0.000000001,4*$B$19*$B$20*(D722+273)^3,$B$19*$B$20*(((D722+0.1)+273)^4-(D722+273)^4)/((D722+0.1)-D722))*D722)+T722/H722)/($B$14*(I722+IF(ABS((D722+0.1)-D722)&lt;0.000000001,4*$B$19*$B$20*(D722+273)^3,$B$19*$B$20*(((D722+0.1)+273)^4-(D722+273)^4)/((D722+0.1)-D722)))+1/H722)</f>
        <v/>
      </c>
      <c r="W722">
        <f>($B$14*(I722*C722+IF(ABS(V722-D722)&lt;0.000000001,4*$B$19*$B$20*(D722+273)^3,$B$19*$B$20*((V722+273)^4-(D722+273)^4)/(V722-D722))*D722)+T722/H722)/($B$14*(I722+IF(ABS(V722-D722)&lt;0.000000001,4*$B$19*$B$20*(D722+273)^3,$B$19*$B$20*((V722+273)^4-(D722+273)^4)/(V722-D722)))+1/H722)</f>
        <v/>
      </c>
      <c r="X722">
        <f>($B$14*(I722*C722+IF(ABS(W722-D722)&lt;0.000000001,4*$B$19*$B$20*(D722+273)^3,$B$19*$B$20*((W722+273)^4-(D722+273)^4)/(W722-D722))*D722)+T722/H722)/($B$14*(I722+IF(ABS(W722-D722)&lt;0.000000001,4*$B$19*$B$20*(D722+273)^3,$B$19*$B$20*((W722+273)^4-(D722+273)^4)/(W722-D722)))+1/H722)</f>
        <v/>
      </c>
      <c r="Y722">
        <f>($B$14*(I722*C722+IF(ABS(X722-D722)&lt;0.000000001,4*$B$19*$B$20*(D722+273)^3,$B$19*$B$20*((X722+273)^4-(D722+273)^4)/(X722-D722))*D722)+T722/H722)/($B$14*(I722+IF(ABS(X722-D722)&lt;0.000000001,4*$B$19*$B$20*(D722+273)^3,$B$19*$B$20*((X722+273)^4-(D722+273)^4)/(X722-D722)))+1/H722)</f>
        <v/>
      </c>
      <c r="Z722">
        <f>IF(ABS(Y722-D722)&lt;0.000000001,4*$B$19*$B$20*(D722+273)^3,$B$19*$B$20*((Y722+273)^4-(D722+273)^4)/(Y722-D722))</f>
        <v/>
      </c>
      <c r="AA722">
        <f>$B$14*I722*(Y722-C722)</f>
        <v/>
      </c>
      <c r="AB722">
        <f>$B$14*Z722*(Y722-D722)</f>
        <v/>
      </c>
      <c r="AC722">
        <f>IF((U722-E722)/G722=0,0.001,(U722-E722)/G722)</f>
        <v/>
      </c>
      <c r="AD722">
        <f>F722-P722-J722-K722-AA722-AB722</f>
        <v/>
      </c>
      <c r="AE722">
        <f>AD722/AC722</f>
        <v/>
      </c>
      <c r="AF722">
        <f>IF(AD722&lt;=0,0,IF(AC722&lt;=0,$B$11,IF(AE722&gt;=1.7,$B$11,MIN(AD722/MAX(0.05,IF(AE722&gt;1,(2-AE722)^2/2,1-AE722^2/2)),$B$11))))</f>
        <v/>
      </c>
      <c r="AG722">
        <f>AG721*$B$28+AF722*(1-$B$28)</f>
        <v/>
      </c>
      <c r="AH722">
        <f>IF(AND(AD722&gt;0,AC722&lt;=0),0,AC722)</f>
        <v/>
      </c>
      <c r="AI722">
        <f>AH722/MAX(AG722,0.000001)</f>
        <v/>
      </c>
      <c r="AJ722">
        <f>MIN(IF(AI722&gt;=0.5,-AI722+SQRT(AI722^2+2),1),$B$12)</f>
        <v/>
      </c>
      <c r="AK722">
        <f>IF(AG722&lt;=0,0,AJ722*AH722)</f>
        <v/>
      </c>
      <c r="AL722">
        <f>IF(AD722&lt;=0,0,AD722)</f>
        <v/>
      </c>
      <c r="AM722">
        <f>AL722-AK722+P722</f>
        <v/>
      </c>
      <c r="AN722">
        <f>((AM722/$B$7+T721*AS721/2-T722*MAX(0.1,MIN(0.3,0.3-0.09*(AR721-36.8)))/2)+AR721*(1-AS721/2))/(1-MAX(0.1,MIN(0.3,0.3-0.09*(AR721-36.8)))/2)</f>
        <v/>
      </c>
      <c r="AO722">
        <f>((AM722/$B$7+T721*AS721/2-T722*MAX(0.1,MIN(0.3,0.3-0.09*(AN722-36.8)))/2)+AR721*(1-AS721/2))/(1-MAX(0.1,MIN(0.3,0.3-0.09*(AN722-36.8)))/2)</f>
        <v/>
      </c>
      <c r="AP722">
        <f>((AM722/$B$7+T721*AS721/2-T722*MAX(0.1,MIN(0.3,0.3-0.09*(AO722-36.8)))/2)+AR721*(1-AS721/2))/(1-MAX(0.1,MIN(0.3,0.3-0.09*(AO722-36.8)))/2)</f>
        <v/>
      </c>
      <c r="AQ722">
        <f>((AM722/$B$7+T721*AS721/2-T722*MAX(0.1,MIN(0.3,0.3-0.09*(AP722-36.8)))/2)+AR721*(1-AS721/2))/(1-MAX(0.1,MIN(0.3,0.3-0.09*(AP722-36.8)))/2)</f>
        <v/>
      </c>
      <c r="AR722">
        <f>((AM722/$B$7+T721*AS721/2-T722*MAX(0.1,MIN(0.3,0.3-0.09*(AQ722-36.8)))/2)+AR721*(1-AS721/2))/(1-MAX(0.1,MIN(0.3,0.3-0.09*(AQ722-36.8)))/2)</f>
        <v/>
      </c>
      <c r="AS722">
        <f>MAX(0.1,MIN(0.3,0.3-0.09*(AR722-36.8)))</f>
        <v/>
      </c>
      <c r="AT722">
        <f>AT721+(2*AR722-1.962*AT721-1.31)/9</f>
        <v/>
      </c>
      <c r="AU722">
        <f>AU721+AG722+K722</f>
        <v/>
      </c>
      <c r="AV722">
        <f>AU722*2.67*$B$6/1.8/60</f>
        <v/>
      </c>
      <c r="AW722">
        <f>IF(AT722&gt;=$B$36,1,0)</f>
        <v/>
      </c>
      <c r="AX722">
        <f>IF(AV722&gt;=$B$21,1,0)</f>
        <v/>
      </c>
    </row>
    <row r="723">
      <c r="A723" t="n">
        <v>650</v>
      </c>
      <c r="B723">
        <f>MATCH(A723-1,$D$61:$D$68,1)</f>
        <v/>
      </c>
      <c r="C723">
        <f>INDEX($G$61:$G$68,B723)</f>
        <v/>
      </c>
      <c r="D723">
        <f>INDEX($L$61:$L$68,B723)</f>
        <v/>
      </c>
      <c r="E723">
        <f>INDEX($M$61:$M$68,B723)</f>
        <v/>
      </c>
      <c r="F723">
        <f>INDEX($N$61:$N$68,B723)</f>
        <v/>
      </c>
      <c r="G723">
        <f>INDEX($AA$61:$AA$68,B723)</f>
        <v/>
      </c>
      <c r="H723">
        <f>INDEX($X$61:$X$68,B723)</f>
        <v/>
      </c>
      <c r="I723">
        <f>INDEX($AF$61:$AF$68,B723)</f>
        <v/>
      </c>
      <c r="J723">
        <f>INDEX($AC$61:$AC$68,B723)</f>
        <v/>
      </c>
      <c r="K723">
        <f>INDEX($AD$61:$AD$68,B723)</f>
        <v/>
      </c>
      <c r="L723">
        <f>INDEX($AG$61:$AG$68,B723)</f>
        <v/>
      </c>
      <c r="M723">
        <f>INDEX($AH$61:$AH$68,B723)</f>
        <v/>
      </c>
      <c r="N723">
        <f>INDEX($AI$61:$AI$68,B723)</f>
        <v/>
      </c>
      <c r="O723">
        <f>O722*$B$26+L723*(1-$B$26)</f>
        <v/>
      </c>
      <c r="P723">
        <f>$B$7*(O723-O722)*(1-AS722)</f>
        <v/>
      </c>
      <c r="Q723">
        <f>M723+0.51274*AT722</f>
        <v/>
      </c>
      <c r="R723">
        <f>N723+0.616*AT722</f>
        <v/>
      </c>
      <c r="S723">
        <f>IF($B$13&gt;=0.6,Q723,IF($B$13&lt;=0.2,R723,R723+2.5*(Q723-R723)*($B$13-0.2)))</f>
        <v/>
      </c>
      <c r="T723">
        <f>IF(A723=1,S723,T722*$B$27+S723*(1-$B$27))</f>
        <v/>
      </c>
      <c r="U723">
        <f>0.6105*EXP(17.27*T723/(T723+237.3))</f>
        <v/>
      </c>
      <c r="V723">
        <f>($B$14*(I723*C723+IF(ABS((D723+0.1)-D723)&lt;0.000000001,4*$B$19*$B$20*(D723+273)^3,$B$19*$B$20*(((D723+0.1)+273)^4-(D723+273)^4)/((D723+0.1)-D723))*D723)+T723/H723)/($B$14*(I723+IF(ABS((D723+0.1)-D723)&lt;0.000000001,4*$B$19*$B$20*(D723+273)^3,$B$19*$B$20*(((D723+0.1)+273)^4-(D723+273)^4)/((D723+0.1)-D723)))+1/H723)</f>
        <v/>
      </c>
      <c r="W723">
        <f>($B$14*(I723*C723+IF(ABS(V723-D723)&lt;0.000000001,4*$B$19*$B$20*(D723+273)^3,$B$19*$B$20*((V723+273)^4-(D723+273)^4)/(V723-D723))*D723)+T723/H723)/($B$14*(I723+IF(ABS(V723-D723)&lt;0.000000001,4*$B$19*$B$20*(D723+273)^3,$B$19*$B$20*((V723+273)^4-(D723+273)^4)/(V723-D723)))+1/H723)</f>
        <v/>
      </c>
      <c r="X723">
        <f>($B$14*(I723*C723+IF(ABS(W723-D723)&lt;0.000000001,4*$B$19*$B$20*(D723+273)^3,$B$19*$B$20*((W723+273)^4-(D723+273)^4)/(W723-D723))*D723)+T723/H723)/($B$14*(I723+IF(ABS(W723-D723)&lt;0.000000001,4*$B$19*$B$20*(D723+273)^3,$B$19*$B$20*((W723+273)^4-(D723+273)^4)/(W723-D723)))+1/H723)</f>
        <v/>
      </c>
      <c r="Y723">
        <f>($B$14*(I723*C723+IF(ABS(X723-D723)&lt;0.000000001,4*$B$19*$B$20*(D723+273)^3,$B$19*$B$20*((X723+273)^4-(D723+273)^4)/(X723-D723))*D723)+T723/H723)/($B$14*(I723+IF(ABS(X723-D723)&lt;0.000000001,4*$B$19*$B$20*(D723+273)^3,$B$19*$B$20*((X723+273)^4-(D723+273)^4)/(X723-D723)))+1/H723)</f>
        <v/>
      </c>
      <c r="Z723">
        <f>IF(ABS(Y723-D723)&lt;0.000000001,4*$B$19*$B$20*(D723+273)^3,$B$19*$B$20*((Y723+273)^4-(D723+273)^4)/(Y723-D723))</f>
        <v/>
      </c>
      <c r="AA723">
        <f>$B$14*I723*(Y723-C723)</f>
        <v/>
      </c>
      <c r="AB723">
        <f>$B$14*Z723*(Y723-D723)</f>
        <v/>
      </c>
      <c r="AC723">
        <f>IF((U723-E723)/G723=0,0.001,(U723-E723)/G723)</f>
        <v/>
      </c>
      <c r="AD723">
        <f>F723-P723-J723-K723-AA723-AB723</f>
        <v/>
      </c>
      <c r="AE723">
        <f>AD723/AC723</f>
        <v/>
      </c>
      <c r="AF723">
        <f>IF(AD723&lt;=0,0,IF(AC723&lt;=0,$B$11,IF(AE723&gt;=1.7,$B$11,MIN(AD723/MAX(0.05,IF(AE723&gt;1,(2-AE723)^2/2,1-AE723^2/2)),$B$11))))</f>
        <v/>
      </c>
      <c r="AG723">
        <f>AG722*$B$28+AF723*(1-$B$28)</f>
        <v/>
      </c>
      <c r="AH723">
        <f>IF(AND(AD723&gt;0,AC723&lt;=0),0,AC723)</f>
        <v/>
      </c>
      <c r="AI723">
        <f>AH723/MAX(AG723,0.000001)</f>
        <v/>
      </c>
      <c r="AJ723">
        <f>MIN(IF(AI723&gt;=0.5,-AI723+SQRT(AI723^2+2),1),$B$12)</f>
        <v/>
      </c>
      <c r="AK723">
        <f>IF(AG723&lt;=0,0,AJ723*AH723)</f>
        <v/>
      </c>
      <c r="AL723">
        <f>IF(AD723&lt;=0,0,AD723)</f>
        <v/>
      </c>
      <c r="AM723">
        <f>AL723-AK723+P723</f>
        <v/>
      </c>
      <c r="AN723">
        <f>((AM723/$B$7+T722*AS722/2-T723*MAX(0.1,MIN(0.3,0.3-0.09*(AR722-36.8)))/2)+AR722*(1-AS722/2))/(1-MAX(0.1,MIN(0.3,0.3-0.09*(AR722-36.8)))/2)</f>
        <v/>
      </c>
      <c r="AO723">
        <f>((AM723/$B$7+T722*AS722/2-T723*MAX(0.1,MIN(0.3,0.3-0.09*(AN723-36.8)))/2)+AR722*(1-AS722/2))/(1-MAX(0.1,MIN(0.3,0.3-0.09*(AN723-36.8)))/2)</f>
        <v/>
      </c>
      <c r="AP723">
        <f>((AM723/$B$7+T722*AS722/2-T723*MAX(0.1,MIN(0.3,0.3-0.09*(AO723-36.8)))/2)+AR722*(1-AS722/2))/(1-MAX(0.1,MIN(0.3,0.3-0.09*(AO723-36.8)))/2)</f>
        <v/>
      </c>
      <c r="AQ723">
        <f>((AM723/$B$7+T722*AS722/2-T723*MAX(0.1,MIN(0.3,0.3-0.09*(AP723-36.8)))/2)+AR722*(1-AS722/2))/(1-MAX(0.1,MIN(0.3,0.3-0.09*(AP723-36.8)))/2)</f>
        <v/>
      </c>
      <c r="AR723">
        <f>((AM723/$B$7+T722*AS722/2-T723*MAX(0.1,MIN(0.3,0.3-0.09*(AQ723-36.8)))/2)+AR722*(1-AS722/2))/(1-MAX(0.1,MIN(0.3,0.3-0.09*(AQ723-36.8)))/2)</f>
        <v/>
      </c>
      <c r="AS723">
        <f>MAX(0.1,MIN(0.3,0.3-0.09*(AR723-36.8)))</f>
        <v/>
      </c>
      <c r="AT723">
        <f>AT722+(2*AR723-1.962*AT722-1.31)/9</f>
        <v/>
      </c>
      <c r="AU723">
        <f>AU722+AG723+K723</f>
        <v/>
      </c>
      <c r="AV723">
        <f>AU723*2.67*$B$6/1.8/60</f>
        <v/>
      </c>
      <c r="AW723">
        <f>IF(AT723&gt;=$B$36,1,0)</f>
        <v/>
      </c>
      <c r="AX723">
        <f>IF(AV723&gt;=$B$21,1,0)</f>
        <v/>
      </c>
    </row>
    <row r="724">
      <c r="A724" t="n">
        <v>651</v>
      </c>
      <c r="B724">
        <f>MATCH(A724-1,$D$61:$D$68,1)</f>
        <v/>
      </c>
      <c r="C724">
        <f>INDEX($G$61:$G$68,B724)</f>
        <v/>
      </c>
      <c r="D724">
        <f>INDEX($L$61:$L$68,B724)</f>
        <v/>
      </c>
      <c r="E724">
        <f>INDEX($M$61:$M$68,B724)</f>
        <v/>
      </c>
      <c r="F724">
        <f>INDEX($N$61:$N$68,B724)</f>
        <v/>
      </c>
      <c r="G724">
        <f>INDEX($AA$61:$AA$68,B724)</f>
        <v/>
      </c>
      <c r="H724">
        <f>INDEX($X$61:$X$68,B724)</f>
        <v/>
      </c>
      <c r="I724">
        <f>INDEX($AF$61:$AF$68,B724)</f>
        <v/>
      </c>
      <c r="J724">
        <f>INDEX($AC$61:$AC$68,B724)</f>
        <v/>
      </c>
      <c r="K724">
        <f>INDEX($AD$61:$AD$68,B724)</f>
        <v/>
      </c>
      <c r="L724">
        <f>INDEX($AG$61:$AG$68,B724)</f>
        <v/>
      </c>
      <c r="M724">
        <f>INDEX($AH$61:$AH$68,B724)</f>
        <v/>
      </c>
      <c r="N724">
        <f>INDEX($AI$61:$AI$68,B724)</f>
        <v/>
      </c>
      <c r="O724">
        <f>O723*$B$26+L724*(1-$B$26)</f>
        <v/>
      </c>
      <c r="P724">
        <f>$B$7*(O724-O723)*(1-AS723)</f>
        <v/>
      </c>
      <c r="Q724">
        <f>M724+0.51274*AT723</f>
        <v/>
      </c>
      <c r="R724">
        <f>N724+0.616*AT723</f>
        <v/>
      </c>
      <c r="S724">
        <f>IF($B$13&gt;=0.6,Q724,IF($B$13&lt;=0.2,R724,R724+2.5*(Q724-R724)*($B$13-0.2)))</f>
        <v/>
      </c>
      <c r="T724">
        <f>IF(A724=1,S724,T723*$B$27+S724*(1-$B$27))</f>
        <v/>
      </c>
      <c r="U724">
        <f>0.6105*EXP(17.27*T724/(T724+237.3))</f>
        <v/>
      </c>
      <c r="V724">
        <f>($B$14*(I724*C724+IF(ABS((D724+0.1)-D724)&lt;0.000000001,4*$B$19*$B$20*(D724+273)^3,$B$19*$B$20*(((D724+0.1)+273)^4-(D724+273)^4)/((D724+0.1)-D724))*D724)+T724/H724)/($B$14*(I724+IF(ABS((D724+0.1)-D724)&lt;0.000000001,4*$B$19*$B$20*(D724+273)^3,$B$19*$B$20*(((D724+0.1)+273)^4-(D724+273)^4)/((D724+0.1)-D724)))+1/H724)</f>
        <v/>
      </c>
      <c r="W724">
        <f>($B$14*(I724*C724+IF(ABS(V724-D724)&lt;0.000000001,4*$B$19*$B$20*(D724+273)^3,$B$19*$B$20*((V724+273)^4-(D724+273)^4)/(V724-D724))*D724)+T724/H724)/($B$14*(I724+IF(ABS(V724-D724)&lt;0.000000001,4*$B$19*$B$20*(D724+273)^3,$B$19*$B$20*((V724+273)^4-(D724+273)^4)/(V724-D724)))+1/H724)</f>
        <v/>
      </c>
      <c r="X724">
        <f>($B$14*(I724*C724+IF(ABS(W724-D724)&lt;0.000000001,4*$B$19*$B$20*(D724+273)^3,$B$19*$B$20*((W724+273)^4-(D724+273)^4)/(W724-D724))*D724)+T724/H724)/($B$14*(I724+IF(ABS(W724-D724)&lt;0.000000001,4*$B$19*$B$20*(D724+273)^3,$B$19*$B$20*((W724+273)^4-(D724+273)^4)/(W724-D724)))+1/H724)</f>
        <v/>
      </c>
      <c r="Y724">
        <f>($B$14*(I724*C724+IF(ABS(X724-D724)&lt;0.000000001,4*$B$19*$B$20*(D724+273)^3,$B$19*$B$20*((X724+273)^4-(D724+273)^4)/(X724-D724))*D724)+T724/H724)/($B$14*(I724+IF(ABS(X724-D724)&lt;0.000000001,4*$B$19*$B$20*(D724+273)^3,$B$19*$B$20*((X724+273)^4-(D724+273)^4)/(X724-D724)))+1/H724)</f>
        <v/>
      </c>
      <c r="Z724">
        <f>IF(ABS(Y724-D724)&lt;0.000000001,4*$B$19*$B$20*(D724+273)^3,$B$19*$B$20*((Y724+273)^4-(D724+273)^4)/(Y724-D724))</f>
        <v/>
      </c>
      <c r="AA724">
        <f>$B$14*I724*(Y724-C724)</f>
        <v/>
      </c>
      <c r="AB724">
        <f>$B$14*Z724*(Y724-D724)</f>
        <v/>
      </c>
      <c r="AC724">
        <f>IF((U724-E724)/G724=0,0.001,(U724-E724)/G724)</f>
        <v/>
      </c>
      <c r="AD724">
        <f>F724-P724-J724-K724-AA724-AB724</f>
        <v/>
      </c>
      <c r="AE724">
        <f>AD724/AC724</f>
        <v/>
      </c>
      <c r="AF724">
        <f>IF(AD724&lt;=0,0,IF(AC724&lt;=0,$B$11,IF(AE724&gt;=1.7,$B$11,MIN(AD724/MAX(0.05,IF(AE724&gt;1,(2-AE724)^2/2,1-AE724^2/2)),$B$11))))</f>
        <v/>
      </c>
      <c r="AG724">
        <f>AG723*$B$28+AF724*(1-$B$28)</f>
        <v/>
      </c>
      <c r="AH724">
        <f>IF(AND(AD724&gt;0,AC724&lt;=0),0,AC724)</f>
        <v/>
      </c>
      <c r="AI724">
        <f>AH724/MAX(AG724,0.000001)</f>
        <v/>
      </c>
      <c r="AJ724">
        <f>MIN(IF(AI724&gt;=0.5,-AI724+SQRT(AI724^2+2),1),$B$12)</f>
        <v/>
      </c>
      <c r="AK724">
        <f>IF(AG724&lt;=0,0,AJ724*AH724)</f>
        <v/>
      </c>
      <c r="AL724">
        <f>IF(AD724&lt;=0,0,AD724)</f>
        <v/>
      </c>
      <c r="AM724">
        <f>AL724-AK724+P724</f>
        <v/>
      </c>
      <c r="AN724">
        <f>((AM724/$B$7+T723*AS723/2-T724*MAX(0.1,MIN(0.3,0.3-0.09*(AR723-36.8)))/2)+AR723*(1-AS723/2))/(1-MAX(0.1,MIN(0.3,0.3-0.09*(AR723-36.8)))/2)</f>
        <v/>
      </c>
      <c r="AO724">
        <f>((AM724/$B$7+T723*AS723/2-T724*MAX(0.1,MIN(0.3,0.3-0.09*(AN724-36.8)))/2)+AR723*(1-AS723/2))/(1-MAX(0.1,MIN(0.3,0.3-0.09*(AN724-36.8)))/2)</f>
        <v/>
      </c>
      <c r="AP724">
        <f>((AM724/$B$7+T723*AS723/2-T724*MAX(0.1,MIN(0.3,0.3-0.09*(AO724-36.8)))/2)+AR723*(1-AS723/2))/(1-MAX(0.1,MIN(0.3,0.3-0.09*(AO724-36.8)))/2)</f>
        <v/>
      </c>
      <c r="AQ724">
        <f>((AM724/$B$7+T723*AS723/2-T724*MAX(0.1,MIN(0.3,0.3-0.09*(AP724-36.8)))/2)+AR723*(1-AS723/2))/(1-MAX(0.1,MIN(0.3,0.3-0.09*(AP724-36.8)))/2)</f>
        <v/>
      </c>
      <c r="AR724">
        <f>((AM724/$B$7+T723*AS723/2-T724*MAX(0.1,MIN(0.3,0.3-0.09*(AQ724-36.8)))/2)+AR723*(1-AS723/2))/(1-MAX(0.1,MIN(0.3,0.3-0.09*(AQ724-36.8)))/2)</f>
        <v/>
      </c>
      <c r="AS724">
        <f>MAX(0.1,MIN(0.3,0.3-0.09*(AR724-36.8)))</f>
        <v/>
      </c>
      <c r="AT724">
        <f>AT723+(2*AR724-1.962*AT723-1.31)/9</f>
        <v/>
      </c>
      <c r="AU724">
        <f>AU723+AG724+K724</f>
        <v/>
      </c>
      <c r="AV724">
        <f>AU724*2.67*$B$6/1.8/60</f>
        <v/>
      </c>
      <c r="AW724">
        <f>IF(AT724&gt;=$B$36,1,0)</f>
        <v/>
      </c>
      <c r="AX724">
        <f>IF(AV724&gt;=$B$21,1,0)</f>
        <v/>
      </c>
    </row>
    <row r="725">
      <c r="A725" t="n">
        <v>652</v>
      </c>
      <c r="B725">
        <f>MATCH(A725-1,$D$61:$D$68,1)</f>
        <v/>
      </c>
      <c r="C725">
        <f>INDEX($G$61:$G$68,B725)</f>
        <v/>
      </c>
      <c r="D725">
        <f>INDEX($L$61:$L$68,B725)</f>
        <v/>
      </c>
      <c r="E725">
        <f>INDEX($M$61:$M$68,B725)</f>
        <v/>
      </c>
      <c r="F725">
        <f>INDEX($N$61:$N$68,B725)</f>
        <v/>
      </c>
      <c r="G725">
        <f>INDEX($AA$61:$AA$68,B725)</f>
        <v/>
      </c>
      <c r="H725">
        <f>INDEX($X$61:$X$68,B725)</f>
        <v/>
      </c>
      <c r="I725">
        <f>INDEX($AF$61:$AF$68,B725)</f>
        <v/>
      </c>
      <c r="J725">
        <f>INDEX($AC$61:$AC$68,B725)</f>
        <v/>
      </c>
      <c r="K725">
        <f>INDEX($AD$61:$AD$68,B725)</f>
        <v/>
      </c>
      <c r="L725">
        <f>INDEX($AG$61:$AG$68,B725)</f>
        <v/>
      </c>
      <c r="M725">
        <f>INDEX($AH$61:$AH$68,B725)</f>
        <v/>
      </c>
      <c r="N725">
        <f>INDEX($AI$61:$AI$68,B725)</f>
        <v/>
      </c>
      <c r="O725">
        <f>O724*$B$26+L725*(1-$B$26)</f>
        <v/>
      </c>
      <c r="P725">
        <f>$B$7*(O725-O724)*(1-AS724)</f>
        <v/>
      </c>
      <c r="Q725">
        <f>M725+0.51274*AT724</f>
        <v/>
      </c>
      <c r="R725">
        <f>N725+0.616*AT724</f>
        <v/>
      </c>
      <c r="S725">
        <f>IF($B$13&gt;=0.6,Q725,IF($B$13&lt;=0.2,R725,R725+2.5*(Q725-R725)*($B$13-0.2)))</f>
        <v/>
      </c>
      <c r="T725">
        <f>IF(A725=1,S725,T724*$B$27+S725*(1-$B$27))</f>
        <v/>
      </c>
      <c r="U725">
        <f>0.6105*EXP(17.27*T725/(T725+237.3))</f>
        <v/>
      </c>
      <c r="V725">
        <f>($B$14*(I725*C725+IF(ABS((D725+0.1)-D725)&lt;0.000000001,4*$B$19*$B$20*(D725+273)^3,$B$19*$B$20*(((D725+0.1)+273)^4-(D725+273)^4)/((D725+0.1)-D725))*D725)+T725/H725)/($B$14*(I725+IF(ABS((D725+0.1)-D725)&lt;0.000000001,4*$B$19*$B$20*(D725+273)^3,$B$19*$B$20*(((D725+0.1)+273)^4-(D725+273)^4)/((D725+0.1)-D725)))+1/H725)</f>
        <v/>
      </c>
      <c r="W725">
        <f>($B$14*(I725*C725+IF(ABS(V725-D725)&lt;0.000000001,4*$B$19*$B$20*(D725+273)^3,$B$19*$B$20*((V725+273)^4-(D725+273)^4)/(V725-D725))*D725)+T725/H725)/($B$14*(I725+IF(ABS(V725-D725)&lt;0.000000001,4*$B$19*$B$20*(D725+273)^3,$B$19*$B$20*((V725+273)^4-(D725+273)^4)/(V725-D725)))+1/H725)</f>
        <v/>
      </c>
      <c r="X725">
        <f>($B$14*(I725*C725+IF(ABS(W725-D725)&lt;0.000000001,4*$B$19*$B$20*(D725+273)^3,$B$19*$B$20*((W725+273)^4-(D725+273)^4)/(W725-D725))*D725)+T725/H725)/($B$14*(I725+IF(ABS(W725-D725)&lt;0.000000001,4*$B$19*$B$20*(D725+273)^3,$B$19*$B$20*((W725+273)^4-(D725+273)^4)/(W725-D725)))+1/H725)</f>
        <v/>
      </c>
      <c r="Y725">
        <f>($B$14*(I725*C725+IF(ABS(X725-D725)&lt;0.000000001,4*$B$19*$B$20*(D725+273)^3,$B$19*$B$20*((X725+273)^4-(D725+273)^4)/(X725-D725))*D725)+T725/H725)/($B$14*(I725+IF(ABS(X725-D725)&lt;0.000000001,4*$B$19*$B$20*(D725+273)^3,$B$19*$B$20*((X725+273)^4-(D725+273)^4)/(X725-D725)))+1/H725)</f>
        <v/>
      </c>
      <c r="Z725">
        <f>IF(ABS(Y725-D725)&lt;0.000000001,4*$B$19*$B$20*(D725+273)^3,$B$19*$B$20*((Y725+273)^4-(D725+273)^4)/(Y725-D725))</f>
        <v/>
      </c>
      <c r="AA725">
        <f>$B$14*I725*(Y725-C725)</f>
        <v/>
      </c>
      <c r="AB725">
        <f>$B$14*Z725*(Y725-D725)</f>
        <v/>
      </c>
      <c r="AC725">
        <f>IF((U725-E725)/G725=0,0.001,(U725-E725)/G725)</f>
        <v/>
      </c>
      <c r="AD725">
        <f>F725-P725-J725-K725-AA725-AB725</f>
        <v/>
      </c>
      <c r="AE725">
        <f>AD725/AC725</f>
        <v/>
      </c>
      <c r="AF725">
        <f>IF(AD725&lt;=0,0,IF(AC725&lt;=0,$B$11,IF(AE725&gt;=1.7,$B$11,MIN(AD725/MAX(0.05,IF(AE725&gt;1,(2-AE725)^2/2,1-AE725^2/2)),$B$11))))</f>
        <v/>
      </c>
      <c r="AG725">
        <f>AG724*$B$28+AF725*(1-$B$28)</f>
        <v/>
      </c>
      <c r="AH725">
        <f>IF(AND(AD725&gt;0,AC725&lt;=0),0,AC725)</f>
        <v/>
      </c>
      <c r="AI725">
        <f>AH725/MAX(AG725,0.000001)</f>
        <v/>
      </c>
      <c r="AJ725">
        <f>MIN(IF(AI725&gt;=0.5,-AI725+SQRT(AI725^2+2),1),$B$12)</f>
        <v/>
      </c>
      <c r="AK725">
        <f>IF(AG725&lt;=0,0,AJ725*AH725)</f>
        <v/>
      </c>
      <c r="AL725">
        <f>IF(AD725&lt;=0,0,AD725)</f>
        <v/>
      </c>
      <c r="AM725">
        <f>AL725-AK725+P725</f>
        <v/>
      </c>
      <c r="AN725">
        <f>((AM725/$B$7+T724*AS724/2-T725*MAX(0.1,MIN(0.3,0.3-0.09*(AR724-36.8)))/2)+AR724*(1-AS724/2))/(1-MAX(0.1,MIN(0.3,0.3-0.09*(AR724-36.8)))/2)</f>
        <v/>
      </c>
      <c r="AO725">
        <f>((AM725/$B$7+T724*AS724/2-T725*MAX(0.1,MIN(0.3,0.3-0.09*(AN725-36.8)))/2)+AR724*(1-AS724/2))/(1-MAX(0.1,MIN(0.3,0.3-0.09*(AN725-36.8)))/2)</f>
        <v/>
      </c>
      <c r="AP725">
        <f>((AM725/$B$7+T724*AS724/2-T725*MAX(0.1,MIN(0.3,0.3-0.09*(AO725-36.8)))/2)+AR724*(1-AS724/2))/(1-MAX(0.1,MIN(0.3,0.3-0.09*(AO725-36.8)))/2)</f>
        <v/>
      </c>
      <c r="AQ725">
        <f>((AM725/$B$7+T724*AS724/2-T725*MAX(0.1,MIN(0.3,0.3-0.09*(AP725-36.8)))/2)+AR724*(1-AS724/2))/(1-MAX(0.1,MIN(0.3,0.3-0.09*(AP725-36.8)))/2)</f>
        <v/>
      </c>
      <c r="AR725">
        <f>((AM725/$B$7+T724*AS724/2-T725*MAX(0.1,MIN(0.3,0.3-0.09*(AQ725-36.8)))/2)+AR724*(1-AS724/2))/(1-MAX(0.1,MIN(0.3,0.3-0.09*(AQ725-36.8)))/2)</f>
        <v/>
      </c>
      <c r="AS725">
        <f>MAX(0.1,MIN(0.3,0.3-0.09*(AR725-36.8)))</f>
        <v/>
      </c>
      <c r="AT725">
        <f>AT724+(2*AR725-1.962*AT724-1.31)/9</f>
        <v/>
      </c>
      <c r="AU725">
        <f>AU724+AG725+K725</f>
        <v/>
      </c>
      <c r="AV725">
        <f>AU725*2.67*$B$6/1.8/60</f>
        <v/>
      </c>
      <c r="AW725">
        <f>IF(AT725&gt;=$B$36,1,0)</f>
        <v/>
      </c>
      <c r="AX725">
        <f>IF(AV725&gt;=$B$21,1,0)</f>
        <v/>
      </c>
    </row>
    <row r="726">
      <c r="A726" t="n">
        <v>653</v>
      </c>
      <c r="B726">
        <f>MATCH(A726-1,$D$61:$D$68,1)</f>
        <v/>
      </c>
      <c r="C726">
        <f>INDEX($G$61:$G$68,B726)</f>
        <v/>
      </c>
      <c r="D726">
        <f>INDEX($L$61:$L$68,B726)</f>
        <v/>
      </c>
      <c r="E726">
        <f>INDEX($M$61:$M$68,B726)</f>
        <v/>
      </c>
      <c r="F726">
        <f>INDEX($N$61:$N$68,B726)</f>
        <v/>
      </c>
      <c r="G726">
        <f>INDEX($AA$61:$AA$68,B726)</f>
        <v/>
      </c>
      <c r="H726">
        <f>INDEX($X$61:$X$68,B726)</f>
        <v/>
      </c>
      <c r="I726">
        <f>INDEX($AF$61:$AF$68,B726)</f>
        <v/>
      </c>
      <c r="J726">
        <f>INDEX($AC$61:$AC$68,B726)</f>
        <v/>
      </c>
      <c r="K726">
        <f>INDEX($AD$61:$AD$68,B726)</f>
        <v/>
      </c>
      <c r="L726">
        <f>INDEX($AG$61:$AG$68,B726)</f>
        <v/>
      </c>
      <c r="M726">
        <f>INDEX($AH$61:$AH$68,B726)</f>
        <v/>
      </c>
      <c r="N726">
        <f>INDEX($AI$61:$AI$68,B726)</f>
        <v/>
      </c>
      <c r="O726">
        <f>O725*$B$26+L726*(1-$B$26)</f>
        <v/>
      </c>
      <c r="P726">
        <f>$B$7*(O726-O725)*(1-AS725)</f>
        <v/>
      </c>
      <c r="Q726">
        <f>M726+0.51274*AT725</f>
        <v/>
      </c>
      <c r="R726">
        <f>N726+0.616*AT725</f>
        <v/>
      </c>
      <c r="S726">
        <f>IF($B$13&gt;=0.6,Q726,IF($B$13&lt;=0.2,R726,R726+2.5*(Q726-R726)*($B$13-0.2)))</f>
        <v/>
      </c>
      <c r="T726">
        <f>IF(A726=1,S726,T725*$B$27+S726*(1-$B$27))</f>
        <v/>
      </c>
      <c r="U726">
        <f>0.6105*EXP(17.27*T726/(T726+237.3))</f>
        <v/>
      </c>
      <c r="V726">
        <f>($B$14*(I726*C726+IF(ABS((D726+0.1)-D726)&lt;0.000000001,4*$B$19*$B$20*(D726+273)^3,$B$19*$B$20*(((D726+0.1)+273)^4-(D726+273)^4)/((D726+0.1)-D726))*D726)+T726/H726)/($B$14*(I726+IF(ABS((D726+0.1)-D726)&lt;0.000000001,4*$B$19*$B$20*(D726+273)^3,$B$19*$B$20*(((D726+0.1)+273)^4-(D726+273)^4)/((D726+0.1)-D726)))+1/H726)</f>
        <v/>
      </c>
      <c r="W726">
        <f>($B$14*(I726*C726+IF(ABS(V726-D726)&lt;0.000000001,4*$B$19*$B$20*(D726+273)^3,$B$19*$B$20*((V726+273)^4-(D726+273)^4)/(V726-D726))*D726)+T726/H726)/($B$14*(I726+IF(ABS(V726-D726)&lt;0.000000001,4*$B$19*$B$20*(D726+273)^3,$B$19*$B$20*((V726+273)^4-(D726+273)^4)/(V726-D726)))+1/H726)</f>
        <v/>
      </c>
      <c r="X726">
        <f>($B$14*(I726*C726+IF(ABS(W726-D726)&lt;0.000000001,4*$B$19*$B$20*(D726+273)^3,$B$19*$B$20*((W726+273)^4-(D726+273)^4)/(W726-D726))*D726)+T726/H726)/($B$14*(I726+IF(ABS(W726-D726)&lt;0.000000001,4*$B$19*$B$20*(D726+273)^3,$B$19*$B$20*((W726+273)^4-(D726+273)^4)/(W726-D726)))+1/H726)</f>
        <v/>
      </c>
      <c r="Y726">
        <f>($B$14*(I726*C726+IF(ABS(X726-D726)&lt;0.000000001,4*$B$19*$B$20*(D726+273)^3,$B$19*$B$20*((X726+273)^4-(D726+273)^4)/(X726-D726))*D726)+T726/H726)/($B$14*(I726+IF(ABS(X726-D726)&lt;0.000000001,4*$B$19*$B$20*(D726+273)^3,$B$19*$B$20*((X726+273)^4-(D726+273)^4)/(X726-D726)))+1/H726)</f>
        <v/>
      </c>
      <c r="Z726">
        <f>IF(ABS(Y726-D726)&lt;0.000000001,4*$B$19*$B$20*(D726+273)^3,$B$19*$B$20*((Y726+273)^4-(D726+273)^4)/(Y726-D726))</f>
        <v/>
      </c>
      <c r="AA726">
        <f>$B$14*I726*(Y726-C726)</f>
        <v/>
      </c>
      <c r="AB726">
        <f>$B$14*Z726*(Y726-D726)</f>
        <v/>
      </c>
      <c r="AC726">
        <f>IF((U726-E726)/G726=0,0.001,(U726-E726)/G726)</f>
        <v/>
      </c>
      <c r="AD726">
        <f>F726-P726-J726-K726-AA726-AB726</f>
        <v/>
      </c>
      <c r="AE726">
        <f>AD726/AC726</f>
        <v/>
      </c>
      <c r="AF726">
        <f>IF(AD726&lt;=0,0,IF(AC726&lt;=0,$B$11,IF(AE726&gt;=1.7,$B$11,MIN(AD726/MAX(0.05,IF(AE726&gt;1,(2-AE726)^2/2,1-AE726^2/2)),$B$11))))</f>
        <v/>
      </c>
      <c r="AG726">
        <f>AG725*$B$28+AF726*(1-$B$28)</f>
        <v/>
      </c>
      <c r="AH726">
        <f>IF(AND(AD726&gt;0,AC726&lt;=0),0,AC726)</f>
        <v/>
      </c>
      <c r="AI726">
        <f>AH726/MAX(AG726,0.000001)</f>
        <v/>
      </c>
      <c r="AJ726">
        <f>MIN(IF(AI726&gt;=0.5,-AI726+SQRT(AI726^2+2),1),$B$12)</f>
        <v/>
      </c>
      <c r="AK726">
        <f>IF(AG726&lt;=0,0,AJ726*AH726)</f>
        <v/>
      </c>
      <c r="AL726">
        <f>IF(AD726&lt;=0,0,AD726)</f>
        <v/>
      </c>
      <c r="AM726">
        <f>AL726-AK726+P726</f>
        <v/>
      </c>
      <c r="AN726">
        <f>((AM726/$B$7+T725*AS725/2-T726*MAX(0.1,MIN(0.3,0.3-0.09*(AR725-36.8)))/2)+AR725*(1-AS725/2))/(1-MAX(0.1,MIN(0.3,0.3-0.09*(AR725-36.8)))/2)</f>
        <v/>
      </c>
      <c r="AO726">
        <f>((AM726/$B$7+T725*AS725/2-T726*MAX(0.1,MIN(0.3,0.3-0.09*(AN726-36.8)))/2)+AR725*(1-AS725/2))/(1-MAX(0.1,MIN(0.3,0.3-0.09*(AN726-36.8)))/2)</f>
        <v/>
      </c>
      <c r="AP726">
        <f>((AM726/$B$7+T725*AS725/2-T726*MAX(0.1,MIN(0.3,0.3-0.09*(AO726-36.8)))/2)+AR725*(1-AS725/2))/(1-MAX(0.1,MIN(0.3,0.3-0.09*(AO726-36.8)))/2)</f>
        <v/>
      </c>
      <c r="AQ726">
        <f>((AM726/$B$7+T725*AS725/2-T726*MAX(0.1,MIN(0.3,0.3-0.09*(AP726-36.8)))/2)+AR725*(1-AS725/2))/(1-MAX(0.1,MIN(0.3,0.3-0.09*(AP726-36.8)))/2)</f>
        <v/>
      </c>
      <c r="AR726">
        <f>((AM726/$B$7+T725*AS725/2-T726*MAX(0.1,MIN(0.3,0.3-0.09*(AQ726-36.8)))/2)+AR725*(1-AS725/2))/(1-MAX(0.1,MIN(0.3,0.3-0.09*(AQ726-36.8)))/2)</f>
        <v/>
      </c>
      <c r="AS726">
        <f>MAX(0.1,MIN(0.3,0.3-0.09*(AR726-36.8)))</f>
        <v/>
      </c>
      <c r="AT726">
        <f>AT725+(2*AR726-1.962*AT725-1.31)/9</f>
        <v/>
      </c>
      <c r="AU726">
        <f>AU725+AG726+K726</f>
        <v/>
      </c>
      <c r="AV726">
        <f>AU726*2.67*$B$6/1.8/60</f>
        <v/>
      </c>
      <c r="AW726">
        <f>IF(AT726&gt;=$B$36,1,0)</f>
        <v/>
      </c>
      <c r="AX726">
        <f>IF(AV726&gt;=$B$21,1,0)</f>
        <v/>
      </c>
    </row>
    <row r="727">
      <c r="A727" t="n">
        <v>654</v>
      </c>
      <c r="B727">
        <f>MATCH(A727-1,$D$61:$D$68,1)</f>
        <v/>
      </c>
      <c r="C727">
        <f>INDEX($G$61:$G$68,B727)</f>
        <v/>
      </c>
      <c r="D727">
        <f>INDEX($L$61:$L$68,B727)</f>
        <v/>
      </c>
      <c r="E727">
        <f>INDEX($M$61:$M$68,B727)</f>
        <v/>
      </c>
      <c r="F727">
        <f>INDEX($N$61:$N$68,B727)</f>
        <v/>
      </c>
      <c r="G727">
        <f>INDEX($AA$61:$AA$68,B727)</f>
        <v/>
      </c>
      <c r="H727">
        <f>INDEX($X$61:$X$68,B727)</f>
        <v/>
      </c>
      <c r="I727">
        <f>INDEX($AF$61:$AF$68,B727)</f>
        <v/>
      </c>
      <c r="J727">
        <f>INDEX($AC$61:$AC$68,B727)</f>
        <v/>
      </c>
      <c r="K727">
        <f>INDEX($AD$61:$AD$68,B727)</f>
        <v/>
      </c>
      <c r="L727">
        <f>INDEX($AG$61:$AG$68,B727)</f>
        <v/>
      </c>
      <c r="M727">
        <f>INDEX($AH$61:$AH$68,B727)</f>
        <v/>
      </c>
      <c r="N727">
        <f>INDEX($AI$61:$AI$68,B727)</f>
        <v/>
      </c>
      <c r="O727">
        <f>O726*$B$26+L727*(1-$B$26)</f>
        <v/>
      </c>
      <c r="P727">
        <f>$B$7*(O727-O726)*(1-AS726)</f>
        <v/>
      </c>
      <c r="Q727">
        <f>M727+0.51274*AT726</f>
        <v/>
      </c>
      <c r="R727">
        <f>N727+0.616*AT726</f>
        <v/>
      </c>
      <c r="S727">
        <f>IF($B$13&gt;=0.6,Q727,IF($B$13&lt;=0.2,R727,R727+2.5*(Q727-R727)*($B$13-0.2)))</f>
        <v/>
      </c>
      <c r="T727">
        <f>IF(A727=1,S727,T726*$B$27+S727*(1-$B$27))</f>
        <v/>
      </c>
      <c r="U727">
        <f>0.6105*EXP(17.27*T727/(T727+237.3))</f>
        <v/>
      </c>
      <c r="V727">
        <f>($B$14*(I727*C727+IF(ABS((D727+0.1)-D727)&lt;0.000000001,4*$B$19*$B$20*(D727+273)^3,$B$19*$B$20*(((D727+0.1)+273)^4-(D727+273)^4)/((D727+0.1)-D727))*D727)+T727/H727)/($B$14*(I727+IF(ABS((D727+0.1)-D727)&lt;0.000000001,4*$B$19*$B$20*(D727+273)^3,$B$19*$B$20*(((D727+0.1)+273)^4-(D727+273)^4)/((D727+0.1)-D727)))+1/H727)</f>
        <v/>
      </c>
      <c r="W727">
        <f>($B$14*(I727*C727+IF(ABS(V727-D727)&lt;0.000000001,4*$B$19*$B$20*(D727+273)^3,$B$19*$B$20*((V727+273)^4-(D727+273)^4)/(V727-D727))*D727)+T727/H727)/($B$14*(I727+IF(ABS(V727-D727)&lt;0.000000001,4*$B$19*$B$20*(D727+273)^3,$B$19*$B$20*((V727+273)^4-(D727+273)^4)/(V727-D727)))+1/H727)</f>
        <v/>
      </c>
      <c r="X727">
        <f>($B$14*(I727*C727+IF(ABS(W727-D727)&lt;0.000000001,4*$B$19*$B$20*(D727+273)^3,$B$19*$B$20*((W727+273)^4-(D727+273)^4)/(W727-D727))*D727)+T727/H727)/($B$14*(I727+IF(ABS(W727-D727)&lt;0.000000001,4*$B$19*$B$20*(D727+273)^3,$B$19*$B$20*((W727+273)^4-(D727+273)^4)/(W727-D727)))+1/H727)</f>
        <v/>
      </c>
      <c r="Y727">
        <f>($B$14*(I727*C727+IF(ABS(X727-D727)&lt;0.000000001,4*$B$19*$B$20*(D727+273)^3,$B$19*$B$20*((X727+273)^4-(D727+273)^4)/(X727-D727))*D727)+T727/H727)/($B$14*(I727+IF(ABS(X727-D727)&lt;0.000000001,4*$B$19*$B$20*(D727+273)^3,$B$19*$B$20*((X727+273)^4-(D727+273)^4)/(X727-D727)))+1/H727)</f>
        <v/>
      </c>
      <c r="Z727">
        <f>IF(ABS(Y727-D727)&lt;0.000000001,4*$B$19*$B$20*(D727+273)^3,$B$19*$B$20*((Y727+273)^4-(D727+273)^4)/(Y727-D727))</f>
        <v/>
      </c>
      <c r="AA727">
        <f>$B$14*I727*(Y727-C727)</f>
        <v/>
      </c>
      <c r="AB727">
        <f>$B$14*Z727*(Y727-D727)</f>
        <v/>
      </c>
      <c r="AC727">
        <f>IF((U727-E727)/G727=0,0.001,(U727-E727)/G727)</f>
        <v/>
      </c>
      <c r="AD727">
        <f>F727-P727-J727-K727-AA727-AB727</f>
        <v/>
      </c>
      <c r="AE727">
        <f>AD727/AC727</f>
        <v/>
      </c>
      <c r="AF727">
        <f>IF(AD727&lt;=0,0,IF(AC727&lt;=0,$B$11,IF(AE727&gt;=1.7,$B$11,MIN(AD727/MAX(0.05,IF(AE727&gt;1,(2-AE727)^2/2,1-AE727^2/2)),$B$11))))</f>
        <v/>
      </c>
      <c r="AG727">
        <f>AG726*$B$28+AF727*(1-$B$28)</f>
        <v/>
      </c>
      <c r="AH727">
        <f>IF(AND(AD727&gt;0,AC727&lt;=0),0,AC727)</f>
        <v/>
      </c>
      <c r="AI727">
        <f>AH727/MAX(AG727,0.000001)</f>
        <v/>
      </c>
      <c r="AJ727">
        <f>MIN(IF(AI727&gt;=0.5,-AI727+SQRT(AI727^2+2),1),$B$12)</f>
        <v/>
      </c>
      <c r="AK727">
        <f>IF(AG727&lt;=0,0,AJ727*AH727)</f>
        <v/>
      </c>
      <c r="AL727">
        <f>IF(AD727&lt;=0,0,AD727)</f>
        <v/>
      </c>
      <c r="AM727">
        <f>AL727-AK727+P727</f>
        <v/>
      </c>
      <c r="AN727">
        <f>((AM727/$B$7+T726*AS726/2-T727*MAX(0.1,MIN(0.3,0.3-0.09*(AR726-36.8)))/2)+AR726*(1-AS726/2))/(1-MAX(0.1,MIN(0.3,0.3-0.09*(AR726-36.8)))/2)</f>
        <v/>
      </c>
      <c r="AO727">
        <f>((AM727/$B$7+T726*AS726/2-T727*MAX(0.1,MIN(0.3,0.3-0.09*(AN727-36.8)))/2)+AR726*(1-AS726/2))/(1-MAX(0.1,MIN(0.3,0.3-0.09*(AN727-36.8)))/2)</f>
        <v/>
      </c>
      <c r="AP727">
        <f>((AM727/$B$7+T726*AS726/2-T727*MAX(0.1,MIN(0.3,0.3-0.09*(AO727-36.8)))/2)+AR726*(1-AS726/2))/(1-MAX(0.1,MIN(0.3,0.3-0.09*(AO727-36.8)))/2)</f>
        <v/>
      </c>
      <c r="AQ727">
        <f>((AM727/$B$7+T726*AS726/2-T727*MAX(0.1,MIN(0.3,0.3-0.09*(AP727-36.8)))/2)+AR726*(1-AS726/2))/(1-MAX(0.1,MIN(0.3,0.3-0.09*(AP727-36.8)))/2)</f>
        <v/>
      </c>
      <c r="AR727">
        <f>((AM727/$B$7+T726*AS726/2-T727*MAX(0.1,MIN(0.3,0.3-0.09*(AQ727-36.8)))/2)+AR726*(1-AS726/2))/(1-MAX(0.1,MIN(0.3,0.3-0.09*(AQ727-36.8)))/2)</f>
        <v/>
      </c>
      <c r="AS727">
        <f>MAX(0.1,MIN(0.3,0.3-0.09*(AR727-36.8)))</f>
        <v/>
      </c>
      <c r="AT727">
        <f>AT726+(2*AR727-1.962*AT726-1.31)/9</f>
        <v/>
      </c>
      <c r="AU727">
        <f>AU726+AG727+K727</f>
        <v/>
      </c>
      <c r="AV727">
        <f>AU727*2.67*$B$6/1.8/60</f>
        <v/>
      </c>
      <c r="AW727">
        <f>IF(AT727&gt;=$B$36,1,0)</f>
        <v/>
      </c>
      <c r="AX727">
        <f>IF(AV727&gt;=$B$21,1,0)</f>
        <v/>
      </c>
    </row>
    <row r="728">
      <c r="A728" t="n">
        <v>655</v>
      </c>
      <c r="B728">
        <f>MATCH(A728-1,$D$61:$D$68,1)</f>
        <v/>
      </c>
      <c r="C728">
        <f>INDEX($G$61:$G$68,B728)</f>
        <v/>
      </c>
      <c r="D728">
        <f>INDEX($L$61:$L$68,B728)</f>
        <v/>
      </c>
      <c r="E728">
        <f>INDEX($M$61:$M$68,B728)</f>
        <v/>
      </c>
      <c r="F728">
        <f>INDEX($N$61:$N$68,B728)</f>
        <v/>
      </c>
      <c r="G728">
        <f>INDEX($AA$61:$AA$68,B728)</f>
        <v/>
      </c>
      <c r="H728">
        <f>INDEX($X$61:$X$68,B728)</f>
        <v/>
      </c>
      <c r="I728">
        <f>INDEX($AF$61:$AF$68,B728)</f>
        <v/>
      </c>
      <c r="J728">
        <f>INDEX($AC$61:$AC$68,B728)</f>
        <v/>
      </c>
      <c r="K728">
        <f>INDEX($AD$61:$AD$68,B728)</f>
        <v/>
      </c>
      <c r="L728">
        <f>INDEX($AG$61:$AG$68,B728)</f>
        <v/>
      </c>
      <c r="M728">
        <f>INDEX($AH$61:$AH$68,B728)</f>
        <v/>
      </c>
      <c r="N728">
        <f>INDEX($AI$61:$AI$68,B728)</f>
        <v/>
      </c>
      <c r="O728">
        <f>O727*$B$26+L728*(1-$B$26)</f>
        <v/>
      </c>
      <c r="P728">
        <f>$B$7*(O728-O727)*(1-AS727)</f>
        <v/>
      </c>
      <c r="Q728">
        <f>M728+0.51274*AT727</f>
        <v/>
      </c>
      <c r="R728">
        <f>N728+0.616*AT727</f>
        <v/>
      </c>
      <c r="S728">
        <f>IF($B$13&gt;=0.6,Q728,IF($B$13&lt;=0.2,R728,R728+2.5*(Q728-R728)*($B$13-0.2)))</f>
        <v/>
      </c>
      <c r="T728">
        <f>IF(A728=1,S728,T727*$B$27+S728*(1-$B$27))</f>
        <v/>
      </c>
      <c r="U728">
        <f>0.6105*EXP(17.27*T728/(T728+237.3))</f>
        <v/>
      </c>
      <c r="V728">
        <f>($B$14*(I728*C728+IF(ABS((D728+0.1)-D728)&lt;0.000000001,4*$B$19*$B$20*(D728+273)^3,$B$19*$B$20*(((D728+0.1)+273)^4-(D728+273)^4)/((D728+0.1)-D728))*D728)+T728/H728)/($B$14*(I728+IF(ABS((D728+0.1)-D728)&lt;0.000000001,4*$B$19*$B$20*(D728+273)^3,$B$19*$B$20*(((D728+0.1)+273)^4-(D728+273)^4)/((D728+0.1)-D728)))+1/H728)</f>
        <v/>
      </c>
      <c r="W728">
        <f>($B$14*(I728*C728+IF(ABS(V728-D728)&lt;0.000000001,4*$B$19*$B$20*(D728+273)^3,$B$19*$B$20*((V728+273)^4-(D728+273)^4)/(V728-D728))*D728)+T728/H728)/($B$14*(I728+IF(ABS(V728-D728)&lt;0.000000001,4*$B$19*$B$20*(D728+273)^3,$B$19*$B$20*((V728+273)^4-(D728+273)^4)/(V728-D728)))+1/H728)</f>
        <v/>
      </c>
      <c r="X728">
        <f>($B$14*(I728*C728+IF(ABS(W728-D728)&lt;0.000000001,4*$B$19*$B$20*(D728+273)^3,$B$19*$B$20*((W728+273)^4-(D728+273)^4)/(W728-D728))*D728)+T728/H728)/($B$14*(I728+IF(ABS(W728-D728)&lt;0.000000001,4*$B$19*$B$20*(D728+273)^3,$B$19*$B$20*((W728+273)^4-(D728+273)^4)/(W728-D728)))+1/H728)</f>
        <v/>
      </c>
      <c r="Y728">
        <f>($B$14*(I728*C728+IF(ABS(X728-D728)&lt;0.000000001,4*$B$19*$B$20*(D728+273)^3,$B$19*$B$20*((X728+273)^4-(D728+273)^4)/(X728-D728))*D728)+T728/H728)/($B$14*(I728+IF(ABS(X728-D728)&lt;0.000000001,4*$B$19*$B$20*(D728+273)^3,$B$19*$B$20*((X728+273)^4-(D728+273)^4)/(X728-D728)))+1/H728)</f>
        <v/>
      </c>
      <c r="Z728">
        <f>IF(ABS(Y728-D728)&lt;0.000000001,4*$B$19*$B$20*(D728+273)^3,$B$19*$B$20*((Y728+273)^4-(D728+273)^4)/(Y728-D728))</f>
        <v/>
      </c>
      <c r="AA728">
        <f>$B$14*I728*(Y728-C728)</f>
        <v/>
      </c>
      <c r="AB728">
        <f>$B$14*Z728*(Y728-D728)</f>
        <v/>
      </c>
      <c r="AC728">
        <f>IF((U728-E728)/G728=0,0.001,(U728-E728)/G728)</f>
        <v/>
      </c>
      <c r="AD728">
        <f>F728-P728-J728-K728-AA728-AB728</f>
        <v/>
      </c>
      <c r="AE728">
        <f>AD728/AC728</f>
        <v/>
      </c>
      <c r="AF728">
        <f>IF(AD728&lt;=0,0,IF(AC728&lt;=0,$B$11,IF(AE728&gt;=1.7,$B$11,MIN(AD728/MAX(0.05,IF(AE728&gt;1,(2-AE728)^2/2,1-AE728^2/2)),$B$11))))</f>
        <v/>
      </c>
      <c r="AG728">
        <f>AG727*$B$28+AF728*(1-$B$28)</f>
        <v/>
      </c>
      <c r="AH728">
        <f>IF(AND(AD728&gt;0,AC728&lt;=0),0,AC728)</f>
        <v/>
      </c>
      <c r="AI728">
        <f>AH728/MAX(AG728,0.000001)</f>
        <v/>
      </c>
      <c r="AJ728">
        <f>MIN(IF(AI728&gt;=0.5,-AI728+SQRT(AI728^2+2),1),$B$12)</f>
        <v/>
      </c>
      <c r="AK728">
        <f>IF(AG728&lt;=0,0,AJ728*AH728)</f>
        <v/>
      </c>
      <c r="AL728">
        <f>IF(AD728&lt;=0,0,AD728)</f>
        <v/>
      </c>
      <c r="AM728">
        <f>AL728-AK728+P728</f>
        <v/>
      </c>
      <c r="AN728">
        <f>((AM728/$B$7+T727*AS727/2-T728*MAX(0.1,MIN(0.3,0.3-0.09*(AR727-36.8)))/2)+AR727*(1-AS727/2))/(1-MAX(0.1,MIN(0.3,0.3-0.09*(AR727-36.8)))/2)</f>
        <v/>
      </c>
      <c r="AO728">
        <f>((AM728/$B$7+T727*AS727/2-T728*MAX(0.1,MIN(0.3,0.3-0.09*(AN728-36.8)))/2)+AR727*(1-AS727/2))/(1-MAX(0.1,MIN(0.3,0.3-0.09*(AN728-36.8)))/2)</f>
        <v/>
      </c>
      <c r="AP728">
        <f>((AM728/$B$7+T727*AS727/2-T728*MAX(0.1,MIN(0.3,0.3-0.09*(AO728-36.8)))/2)+AR727*(1-AS727/2))/(1-MAX(0.1,MIN(0.3,0.3-0.09*(AO728-36.8)))/2)</f>
        <v/>
      </c>
      <c r="AQ728">
        <f>((AM728/$B$7+T727*AS727/2-T728*MAX(0.1,MIN(0.3,0.3-0.09*(AP728-36.8)))/2)+AR727*(1-AS727/2))/(1-MAX(0.1,MIN(0.3,0.3-0.09*(AP728-36.8)))/2)</f>
        <v/>
      </c>
      <c r="AR728">
        <f>((AM728/$B$7+T727*AS727/2-T728*MAX(0.1,MIN(0.3,0.3-0.09*(AQ728-36.8)))/2)+AR727*(1-AS727/2))/(1-MAX(0.1,MIN(0.3,0.3-0.09*(AQ728-36.8)))/2)</f>
        <v/>
      </c>
      <c r="AS728">
        <f>MAX(0.1,MIN(0.3,0.3-0.09*(AR728-36.8)))</f>
        <v/>
      </c>
      <c r="AT728">
        <f>AT727+(2*AR728-1.962*AT727-1.31)/9</f>
        <v/>
      </c>
      <c r="AU728">
        <f>AU727+AG728+K728</f>
        <v/>
      </c>
      <c r="AV728">
        <f>AU728*2.67*$B$6/1.8/60</f>
        <v/>
      </c>
      <c r="AW728">
        <f>IF(AT728&gt;=$B$36,1,0)</f>
        <v/>
      </c>
      <c r="AX728">
        <f>IF(AV728&gt;=$B$21,1,0)</f>
        <v/>
      </c>
    </row>
    <row r="729">
      <c r="A729" t="n">
        <v>656</v>
      </c>
      <c r="B729">
        <f>MATCH(A729-1,$D$61:$D$68,1)</f>
        <v/>
      </c>
      <c r="C729">
        <f>INDEX($G$61:$G$68,B729)</f>
        <v/>
      </c>
      <c r="D729">
        <f>INDEX($L$61:$L$68,B729)</f>
        <v/>
      </c>
      <c r="E729">
        <f>INDEX($M$61:$M$68,B729)</f>
        <v/>
      </c>
      <c r="F729">
        <f>INDEX($N$61:$N$68,B729)</f>
        <v/>
      </c>
      <c r="G729">
        <f>INDEX($AA$61:$AA$68,B729)</f>
        <v/>
      </c>
      <c r="H729">
        <f>INDEX($X$61:$X$68,B729)</f>
        <v/>
      </c>
      <c r="I729">
        <f>INDEX($AF$61:$AF$68,B729)</f>
        <v/>
      </c>
      <c r="J729">
        <f>INDEX($AC$61:$AC$68,B729)</f>
        <v/>
      </c>
      <c r="K729">
        <f>INDEX($AD$61:$AD$68,B729)</f>
        <v/>
      </c>
      <c r="L729">
        <f>INDEX($AG$61:$AG$68,B729)</f>
        <v/>
      </c>
      <c r="M729">
        <f>INDEX($AH$61:$AH$68,B729)</f>
        <v/>
      </c>
      <c r="N729">
        <f>INDEX($AI$61:$AI$68,B729)</f>
        <v/>
      </c>
      <c r="O729">
        <f>O728*$B$26+L729*(1-$B$26)</f>
        <v/>
      </c>
      <c r="P729">
        <f>$B$7*(O729-O728)*(1-AS728)</f>
        <v/>
      </c>
      <c r="Q729">
        <f>M729+0.51274*AT728</f>
        <v/>
      </c>
      <c r="R729">
        <f>N729+0.616*AT728</f>
        <v/>
      </c>
      <c r="S729">
        <f>IF($B$13&gt;=0.6,Q729,IF($B$13&lt;=0.2,R729,R729+2.5*(Q729-R729)*($B$13-0.2)))</f>
        <v/>
      </c>
      <c r="T729">
        <f>IF(A729=1,S729,T728*$B$27+S729*(1-$B$27))</f>
        <v/>
      </c>
      <c r="U729">
        <f>0.6105*EXP(17.27*T729/(T729+237.3))</f>
        <v/>
      </c>
      <c r="V729">
        <f>($B$14*(I729*C729+IF(ABS((D729+0.1)-D729)&lt;0.000000001,4*$B$19*$B$20*(D729+273)^3,$B$19*$B$20*(((D729+0.1)+273)^4-(D729+273)^4)/((D729+0.1)-D729))*D729)+T729/H729)/($B$14*(I729+IF(ABS((D729+0.1)-D729)&lt;0.000000001,4*$B$19*$B$20*(D729+273)^3,$B$19*$B$20*(((D729+0.1)+273)^4-(D729+273)^4)/((D729+0.1)-D729)))+1/H729)</f>
        <v/>
      </c>
      <c r="W729">
        <f>($B$14*(I729*C729+IF(ABS(V729-D729)&lt;0.000000001,4*$B$19*$B$20*(D729+273)^3,$B$19*$B$20*((V729+273)^4-(D729+273)^4)/(V729-D729))*D729)+T729/H729)/($B$14*(I729+IF(ABS(V729-D729)&lt;0.000000001,4*$B$19*$B$20*(D729+273)^3,$B$19*$B$20*((V729+273)^4-(D729+273)^4)/(V729-D729)))+1/H729)</f>
        <v/>
      </c>
      <c r="X729">
        <f>($B$14*(I729*C729+IF(ABS(W729-D729)&lt;0.000000001,4*$B$19*$B$20*(D729+273)^3,$B$19*$B$20*((W729+273)^4-(D729+273)^4)/(W729-D729))*D729)+T729/H729)/($B$14*(I729+IF(ABS(W729-D729)&lt;0.000000001,4*$B$19*$B$20*(D729+273)^3,$B$19*$B$20*((W729+273)^4-(D729+273)^4)/(W729-D729)))+1/H729)</f>
        <v/>
      </c>
      <c r="Y729">
        <f>($B$14*(I729*C729+IF(ABS(X729-D729)&lt;0.000000001,4*$B$19*$B$20*(D729+273)^3,$B$19*$B$20*((X729+273)^4-(D729+273)^4)/(X729-D729))*D729)+T729/H729)/($B$14*(I729+IF(ABS(X729-D729)&lt;0.000000001,4*$B$19*$B$20*(D729+273)^3,$B$19*$B$20*((X729+273)^4-(D729+273)^4)/(X729-D729)))+1/H729)</f>
        <v/>
      </c>
      <c r="Z729">
        <f>IF(ABS(Y729-D729)&lt;0.000000001,4*$B$19*$B$20*(D729+273)^3,$B$19*$B$20*((Y729+273)^4-(D729+273)^4)/(Y729-D729))</f>
        <v/>
      </c>
      <c r="AA729">
        <f>$B$14*I729*(Y729-C729)</f>
        <v/>
      </c>
      <c r="AB729">
        <f>$B$14*Z729*(Y729-D729)</f>
        <v/>
      </c>
      <c r="AC729">
        <f>IF((U729-E729)/G729=0,0.001,(U729-E729)/G729)</f>
        <v/>
      </c>
      <c r="AD729">
        <f>F729-P729-J729-K729-AA729-AB729</f>
        <v/>
      </c>
      <c r="AE729">
        <f>AD729/AC729</f>
        <v/>
      </c>
      <c r="AF729">
        <f>IF(AD729&lt;=0,0,IF(AC729&lt;=0,$B$11,IF(AE729&gt;=1.7,$B$11,MIN(AD729/MAX(0.05,IF(AE729&gt;1,(2-AE729)^2/2,1-AE729^2/2)),$B$11))))</f>
        <v/>
      </c>
      <c r="AG729">
        <f>AG728*$B$28+AF729*(1-$B$28)</f>
        <v/>
      </c>
      <c r="AH729">
        <f>IF(AND(AD729&gt;0,AC729&lt;=0),0,AC729)</f>
        <v/>
      </c>
      <c r="AI729">
        <f>AH729/MAX(AG729,0.000001)</f>
        <v/>
      </c>
      <c r="AJ729">
        <f>MIN(IF(AI729&gt;=0.5,-AI729+SQRT(AI729^2+2),1),$B$12)</f>
        <v/>
      </c>
      <c r="AK729">
        <f>IF(AG729&lt;=0,0,AJ729*AH729)</f>
        <v/>
      </c>
      <c r="AL729">
        <f>IF(AD729&lt;=0,0,AD729)</f>
        <v/>
      </c>
      <c r="AM729">
        <f>AL729-AK729+P729</f>
        <v/>
      </c>
      <c r="AN729">
        <f>((AM729/$B$7+T728*AS728/2-T729*MAX(0.1,MIN(0.3,0.3-0.09*(AR728-36.8)))/2)+AR728*(1-AS728/2))/(1-MAX(0.1,MIN(0.3,0.3-0.09*(AR728-36.8)))/2)</f>
        <v/>
      </c>
      <c r="AO729">
        <f>((AM729/$B$7+T728*AS728/2-T729*MAX(0.1,MIN(0.3,0.3-0.09*(AN729-36.8)))/2)+AR728*(1-AS728/2))/(1-MAX(0.1,MIN(0.3,0.3-0.09*(AN729-36.8)))/2)</f>
        <v/>
      </c>
      <c r="AP729">
        <f>((AM729/$B$7+T728*AS728/2-T729*MAX(0.1,MIN(0.3,0.3-0.09*(AO729-36.8)))/2)+AR728*(1-AS728/2))/(1-MAX(0.1,MIN(0.3,0.3-0.09*(AO729-36.8)))/2)</f>
        <v/>
      </c>
      <c r="AQ729">
        <f>((AM729/$B$7+T728*AS728/2-T729*MAX(0.1,MIN(0.3,0.3-0.09*(AP729-36.8)))/2)+AR728*(1-AS728/2))/(1-MAX(0.1,MIN(0.3,0.3-0.09*(AP729-36.8)))/2)</f>
        <v/>
      </c>
      <c r="AR729">
        <f>((AM729/$B$7+T728*AS728/2-T729*MAX(0.1,MIN(0.3,0.3-0.09*(AQ729-36.8)))/2)+AR728*(1-AS728/2))/(1-MAX(0.1,MIN(0.3,0.3-0.09*(AQ729-36.8)))/2)</f>
        <v/>
      </c>
      <c r="AS729">
        <f>MAX(0.1,MIN(0.3,0.3-0.09*(AR729-36.8)))</f>
        <v/>
      </c>
      <c r="AT729">
        <f>AT728+(2*AR729-1.962*AT728-1.31)/9</f>
        <v/>
      </c>
      <c r="AU729">
        <f>AU728+AG729+K729</f>
        <v/>
      </c>
      <c r="AV729">
        <f>AU729*2.67*$B$6/1.8/60</f>
        <v/>
      </c>
      <c r="AW729">
        <f>IF(AT729&gt;=$B$36,1,0)</f>
        <v/>
      </c>
      <c r="AX729">
        <f>IF(AV729&gt;=$B$21,1,0)</f>
        <v/>
      </c>
    </row>
    <row r="730">
      <c r="A730" t="n">
        <v>657</v>
      </c>
      <c r="B730">
        <f>MATCH(A730-1,$D$61:$D$68,1)</f>
        <v/>
      </c>
      <c r="C730">
        <f>INDEX($G$61:$G$68,B730)</f>
        <v/>
      </c>
      <c r="D730">
        <f>INDEX($L$61:$L$68,B730)</f>
        <v/>
      </c>
      <c r="E730">
        <f>INDEX($M$61:$M$68,B730)</f>
        <v/>
      </c>
      <c r="F730">
        <f>INDEX($N$61:$N$68,B730)</f>
        <v/>
      </c>
      <c r="G730">
        <f>INDEX($AA$61:$AA$68,B730)</f>
        <v/>
      </c>
      <c r="H730">
        <f>INDEX($X$61:$X$68,B730)</f>
        <v/>
      </c>
      <c r="I730">
        <f>INDEX($AF$61:$AF$68,B730)</f>
        <v/>
      </c>
      <c r="J730">
        <f>INDEX($AC$61:$AC$68,B730)</f>
        <v/>
      </c>
      <c r="K730">
        <f>INDEX($AD$61:$AD$68,B730)</f>
        <v/>
      </c>
      <c r="L730">
        <f>INDEX($AG$61:$AG$68,B730)</f>
        <v/>
      </c>
      <c r="M730">
        <f>INDEX($AH$61:$AH$68,B730)</f>
        <v/>
      </c>
      <c r="N730">
        <f>INDEX($AI$61:$AI$68,B730)</f>
        <v/>
      </c>
      <c r="O730">
        <f>O729*$B$26+L730*(1-$B$26)</f>
        <v/>
      </c>
      <c r="P730">
        <f>$B$7*(O730-O729)*(1-AS729)</f>
        <v/>
      </c>
      <c r="Q730">
        <f>M730+0.51274*AT729</f>
        <v/>
      </c>
      <c r="R730">
        <f>N730+0.616*AT729</f>
        <v/>
      </c>
      <c r="S730">
        <f>IF($B$13&gt;=0.6,Q730,IF($B$13&lt;=0.2,R730,R730+2.5*(Q730-R730)*($B$13-0.2)))</f>
        <v/>
      </c>
      <c r="T730">
        <f>IF(A730=1,S730,T729*$B$27+S730*(1-$B$27))</f>
        <v/>
      </c>
      <c r="U730">
        <f>0.6105*EXP(17.27*T730/(T730+237.3))</f>
        <v/>
      </c>
      <c r="V730">
        <f>($B$14*(I730*C730+IF(ABS((D730+0.1)-D730)&lt;0.000000001,4*$B$19*$B$20*(D730+273)^3,$B$19*$B$20*(((D730+0.1)+273)^4-(D730+273)^4)/((D730+0.1)-D730))*D730)+T730/H730)/($B$14*(I730+IF(ABS((D730+0.1)-D730)&lt;0.000000001,4*$B$19*$B$20*(D730+273)^3,$B$19*$B$20*(((D730+0.1)+273)^4-(D730+273)^4)/((D730+0.1)-D730)))+1/H730)</f>
        <v/>
      </c>
      <c r="W730">
        <f>($B$14*(I730*C730+IF(ABS(V730-D730)&lt;0.000000001,4*$B$19*$B$20*(D730+273)^3,$B$19*$B$20*((V730+273)^4-(D730+273)^4)/(V730-D730))*D730)+T730/H730)/($B$14*(I730+IF(ABS(V730-D730)&lt;0.000000001,4*$B$19*$B$20*(D730+273)^3,$B$19*$B$20*((V730+273)^4-(D730+273)^4)/(V730-D730)))+1/H730)</f>
        <v/>
      </c>
      <c r="X730">
        <f>($B$14*(I730*C730+IF(ABS(W730-D730)&lt;0.000000001,4*$B$19*$B$20*(D730+273)^3,$B$19*$B$20*((W730+273)^4-(D730+273)^4)/(W730-D730))*D730)+T730/H730)/($B$14*(I730+IF(ABS(W730-D730)&lt;0.000000001,4*$B$19*$B$20*(D730+273)^3,$B$19*$B$20*((W730+273)^4-(D730+273)^4)/(W730-D730)))+1/H730)</f>
        <v/>
      </c>
      <c r="Y730">
        <f>($B$14*(I730*C730+IF(ABS(X730-D730)&lt;0.000000001,4*$B$19*$B$20*(D730+273)^3,$B$19*$B$20*((X730+273)^4-(D730+273)^4)/(X730-D730))*D730)+T730/H730)/($B$14*(I730+IF(ABS(X730-D730)&lt;0.000000001,4*$B$19*$B$20*(D730+273)^3,$B$19*$B$20*((X730+273)^4-(D730+273)^4)/(X730-D730)))+1/H730)</f>
        <v/>
      </c>
      <c r="Z730">
        <f>IF(ABS(Y730-D730)&lt;0.000000001,4*$B$19*$B$20*(D730+273)^3,$B$19*$B$20*((Y730+273)^4-(D730+273)^4)/(Y730-D730))</f>
        <v/>
      </c>
      <c r="AA730">
        <f>$B$14*I730*(Y730-C730)</f>
        <v/>
      </c>
      <c r="AB730">
        <f>$B$14*Z730*(Y730-D730)</f>
        <v/>
      </c>
      <c r="AC730">
        <f>IF((U730-E730)/G730=0,0.001,(U730-E730)/G730)</f>
        <v/>
      </c>
      <c r="AD730">
        <f>F730-P730-J730-K730-AA730-AB730</f>
        <v/>
      </c>
      <c r="AE730">
        <f>AD730/AC730</f>
        <v/>
      </c>
      <c r="AF730">
        <f>IF(AD730&lt;=0,0,IF(AC730&lt;=0,$B$11,IF(AE730&gt;=1.7,$B$11,MIN(AD730/MAX(0.05,IF(AE730&gt;1,(2-AE730)^2/2,1-AE730^2/2)),$B$11))))</f>
        <v/>
      </c>
      <c r="AG730">
        <f>AG729*$B$28+AF730*(1-$B$28)</f>
        <v/>
      </c>
      <c r="AH730">
        <f>IF(AND(AD730&gt;0,AC730&lt;=0),0,AC730)</f>
        <v/>
      </c>
      <c r="AI730">
        <f>AH730/MAX(AG730,0.000001)</f>
        <v/>
      </c>
      <c r="AJ730">
        <f>MIN(IF(AI730&gt;=0.5,-AI730+SQRT(AI730^2+2),1),$B$12)</f>
        <v/>
      </c>
      <c r="AK730">
        <f>IF(AG730&lt;=0,0,AJ730*AH730)</f>
        <v/>
      </c>
      <c r="AL730">
        <f>IF(AD730&lt;=0,0,AD730)</f>
        <v/>
      </c>
      <c r="AM730">
        <f>AL730-AK730+P730</f>
        <v/>
      </c>
      <c r="AN730">
        <f>((AM730/$B$7+T729*AS729/2-T730*MAX(0.1,MIN(0.3,0.3-0.09*(AR729-36.8)))/2)+AR729*(1-AS729/2))/(1-MAX(0.1,MIN(0.3,0.3-0.09*(AR729-36.8)))/2)</f>
        <v/>
      </c>
      <c r="AO730">
        <f>((AM730/$B$7+T729*AS729/2-T730*MAX(0.1,MIN(0.3,0.3-0.09*(AN730-36.8)))/2)+AR729*(1-AS729/2))/(1-MAX(0.1,MIN(0.3,0.3-0.09*(AN730-36.8)))/2)</f>
        <v/>
      </c>
      <c r="AP730">
        <f>((AM730/$B$7+T729*AS729/2-T730*MAX(0.1,MIN(0.3,0.3-0.09*(AO730-36.8)))/2)+AR729*(1-AS729/2))/(1-MAX(0.1,MIN(0.3,0.3-0.09*(AO730-36.8)))/2)</f>
        <v/>
      </c>
      <c r="AQ730">
        <f>((AM730/$B$7+T729*AS729/2-T730*MAX(0.1,MIN(0.3,0.3-0.09*(AP730-36.8)))/2)+AR729*(1-AS729/2))/(1-MAX(0.1,MIN(0.3,0.3-0.09*(AP730-36.8)))/2)</f>
        <v/>
      </c>
      <c r="AR730">
        <f>((AM730/$B$7+T729*AS729/2-T730*MAX(0.1,MIN(0.3,0.3-0.09*(AQ730-36.8)))/2)+AR729*(1-AS729/2))/(1-MAX(0.1,MIN(0.3,0.3-0.09*(AQ730-36.8)))/2)</f>
        <v/>
      </c>
      <c r="AS730">
        <f>MAX(0.1,MIN(0.3,0.3-0.09*(AR730-36.8)))</f>
        <v/>
      </c>
      <c r="AT730">
        <f>AT729+(2*AR730-1.962*AT729-1.31)/9</f>
        <v/>
      </c>
      <c r="AU730">
        <f>AU729+AG730+K730</f>
        <v/>
      </c>
      <c r="AV730">
        <f>AU730*2.67*$B$6/1.8/60</f>
        <v/>
      </c>
      <c r="AW730">
        <f>IF(AT730&gt;=$B$36,1,0)</f>
        <v/>
      </c>
      <c r="AX730">
        <f>IF(AV730&gt;=$B$21,1,0)</f>
        <v/>
      </c>
    </row>
    <row r="731">
      <c r="A731" t="n">
        <v>658</v>
      </c>
      <c r="B731">
        <f>MATCH(A731-1,$D$61:$D$68,1)</f>
        <v/>
      </c>
      <c r="C731">
        <f>INDEX($G$61:$G$68,B731)</f>
        <v/>
      </c>
      <c r="D731">
        <f>INDEX($L$61:$L$68,B731)</f>
        <v/>
      </c>
      <c r="E731">
        <f>INDEX($M$61:$M$68,B731)</f>
        <v/>
      </c>
      <c r="F731">
        <f>INDEX($N$61:$N$68,B731)</f>
        <v/>
      </c>
      <c r="G731">
        <f>INDEX($AA$61:$AA$68,B731)</f>
        <v/>
      </c>
      <c r="H731">
        <f>INDEX($X$61:$X$68,B731)</f>
        <v/>
      </c>
      <c r="I731">
        <f>INDEX($AF$61:$AF$68,B731)</f>
        <v/>
      </c>
      <c r="J731">
        <f>INDEX($AC$61:$AC$68,B731)</f>
        <v/>
      </c>
      <c r="K731">
        <f>INDEX($AD$61:$AD$68,B731)</f>
        <v/>
      </c>
      <c r="L731">
        <f>INDEX($AG$61:$AG$68,B731)</f>
        <v/>
      </c>
      <c r="M731">
        <f>INDEX($AH$61:$AH$68,B731)</f>
        <v/>
      </c>
      <c r="N731">
        <f>INDEX($AI$61:$AI$68,B731)</f>
        <v/>
      </c>
      <c r="O731">
        <f>O730*$B$26+L731*(1-$B$26)</f>
        <v/>
      </c>
      <c r="P731">
        <f>$B$7*(O731-O730)*(1-AS730)</f>
        <v/>
      </c>
      <c r="Q731">
        <f>M731+0.51274*AT730</f>
        <v/>
      </c>
      <c r="R731">
        <f>N731+0.616*AT730</f>
        <v/>
      </c>
      <c r="S731">
        <f>IF($B$13&gt;=0.6,Q731,IF($B$13&lt;=0.2,R731,R731+2.5*(Q731-R731)*($B$13-0.2)))</f>
        <v/>
      </c>
      <c r="T731">
        <f>IF(A731=1,S731,T730*$B$27+S731*(1-$B$27))</f>
        <v/>
      </c>
      <c r="U731">
        <f>0.6105*EXP(17.27*T731/(T731+237.3))</f>
        <v/>
      </c>
      <c r="V731">
        <f>($B$14*(I731*C731+IF(ABS((D731+0.1)-D731)&lt;0.000000001,4*$B$19*$B$20*(D731+273)^3,$B$19*$B$20*(((D731+0.1)+273)^4-(D731+273)^4)/((D731+0.1)-D731))*D731)+T731/H731)/($B$14*(I731+IF(ABS((D731+0.1)-D731)&lt;0.000000001,4*$B$19*$B$20*(D731+273)^3,$B$19*$B$20*(((D731+0.1)+273)^4-(D731+273)^4)/((D731+0.1)-D731)))+1/H731)</f>
        <v/>
      </c>
      <c r="W731">
        <f>($B$14*(I731*C731+IF(ABS(V731-D731)&lt;0.000000001,4*$B$19*$B$20*(D731+273)^3,$B$19*$B$20*((V731+273)^4-(D731+273)^4)/(V731-D731))*D731)+T731/H731)/($B$14*(I731+IF(ABS(V731-D731)&lt;0.000000001,4*$B$19*$B$20*(D731+273)^3,$B$19*$B$20*((V731+273)^4-(D731+273)^4)/(V731-D731)))+1/H731)</f>
        <v/>
      </c>
      <c r="X731">
        <f>($B$14*(I731*C731+IF(ABS(W731-D731)&lt;0.000000001,4*$B$19*$B$20*(D731+273)^3,$B$19*$B$20*((W731+273)^4-(D731+273)^4)/(W731-D731))*D731)+T731/H731)/($B$14*(I731+IF(ABS(W731-D731)&lt;0.000000001,4*$B$19*$B$20*(D731+273)^3,$B$19*$B$20*((W731+273)^4-(D731+273)^4)/(W731-D731)))+1/H731)</f>
        <v/>
      </c>
      <c r="Y731">
        <f>($B$14*(I731*C731+IF(ABS(X731-D731)&lt;0.000000001,4*$B$19*$B$20*(D731+273)^3,$B$19*$B$20*((X731+273)^4-(D731+273)^4)/(X731-D731))*D731)+T731/H731)/($B$14*(I731+IF(ABS(X731-D731)&lt;0.000000001,4*$B$19*$B$20*(D731+273)^3,$B$19*$B$20*((X731+273)^4-(D731+273)^4)/(X731-D731)))+1/H731)</f>
        <v/>
      </c>
      <c r="Z731">
        <f>IF(ABS(Y731-D731)&lt;0.000000001,4*$B$19*$B$20*(D731+273)^3,$B$19*$B$20*((Y731+273)^4-(D731+273)^4)/(Y731-D731))</f>
        <v/>
      </c>
      <c r="AA731">
        <f>$B$14*I731*(Y731-C731)</f>
        <v/>
      </c>
      <c r="AB731">
        <f>$B$14*Z731*(Y731-D731)</f>
        <v/>
      </c>
      <c r="AC731">
        <f>IF((U731-E731)/G731=0,0.001,(U731-E731)/G731)</f>
        <v/>
      </c>
      <c r="AD731">
        <f>F731-P731-J731-K731-AA731-AB731</f>
        <v/>
      </c>
      <c r="AE731">
        <f>AD731/AC731</f>
        <v/>
      </c>
      <c r="AF731">
        <f>IF(AD731&lt;=0,0,IF(AC731&lt;=0,$B$11,IF(AE731&gt;=1.7,$B$11,MIN(AD731/MAX(0.05,IF(AE731&gt;1,(2-AE731)^2/2,1-AE731^2/2)),$B$11))))</f>
        <v/>
      </c>
      <c r="AG731">
        <f>AG730*$B$28+AF731*(1-$B$28)</f>
        <v/>
      </c>
      <c r="AH731">
        <f>IF(AND(AD731&gt;0,AC731&lt;=0),0,AC731)</f>
        <v/>
      </c>
      <c r="AI731">
        <f>AH731/MAX(AG731,0.000001)</f>
        <v/>
      </c>
      <c r="AJ731">
        <f>MIN(IF(AI731&gt;=0.5,-AI731+SQRT(AI731^2+2),1),$B$12)</f>
        <v/>
      </c>
      <c r="AK731">
        <f>IF(AG731&lt;=0,0,AJ731*AH731)</f>
        <v/>
      </c>
      <c r="AL731">
        <f>IF(AD731&lt;=0,0,AD731)</f>
        <v/>
      </c>
      <c r="AM731">
        <f>AL731-AK731+P731</f>
        <v/>
      </c>
      <c r="AN731">
        <f>((AM731/$B$7+T730*AS730/2-T731*MAX(0.1,MIN(0.3,0.3-0.09*(AR730-36.8)))/2)+AR730*(1-AS730/2))/(1-MAX(0.1,MIN(0.3,0.3-0.09*(AR730-36.8)))/2)</f>
        <v/>
      </c>
      <c r="AO731">
        <f>((AM731/$B$7+T730*AS730/2-T731*MAX(0.1,MIN(0.3,0.3-0.09*(AN731-36.8)))/2)+AR730*(1-AS730/2))/(1-MAX(0.1,MIN(0.3,0.3-0.09*(AN731-36.8)))/2)</f>
        <v/>
      </c>
      <c r="AP731">
        <f>((AM731/$B$7+T730*AS730/2-T731*MAX(0.1,MIN(0.3,0.3-0.09*(AO731-36.8)))/2)+AR730*(1-AS730/2))/(1-MAX(0.1,MIN(0.3,0.3-0.09*(AO731-36.8)))/2)</f>
        <v/>
      </c>
      <c r="AQ731">
        <f>((AM731/$B$7+T730*AS730/2-T731*MAX(0.1,MIN(0.3,0.3-0.09*(AP731-36.8)))/2)+AR730*(1-AS730/2))/(1-MAX(0.1,MIN(0.3,0.3-0.09*(AP731-36.8)))/2)</f>
        <v/>
      </c>
      <c r="AR731">
        <f>((AM731/$B$7+T730*AS730/2-T731*MAX(0.1,MIN(0.3,0.3-0.09*(AQ731-36.8)))/2)+AR730*(1-AS730/2))/(1-MAX(0.1,MIN(0.3,0.3-0.09*(AQ731-36.8)))/2)</f>
        <v/>
      </c>
      <c r="AS731">
        <f>MAX(0.1,MIN(0.3,0.3-0.09*(AR731-36.8)))</f>
        <v/>
      </c>
      <c r="AT731">
        <f>AT730+(2*AR731-1.962*AT730-1.31)/9</f>
        <v/>
      </c>
      <c r="AU731">
        <f>AU730+AG731+K731</f>
        <v/>
      </c>
      <c r="AV731">
        <f>AU731*2.67*$B$6/1.8/60</f>
        <v/>
      </c>
      <c r="AW731">
        <f>IF(AT731&gt;=$B$36,1,0)</f>
        <v/>
      </c>
      <c r="AX731">
        <f>IF(AV731&gt;=$B$21,1,0)</f>
        <v/>
      </c>
    </row>
    <row r="732">
      <c r="A732" t="n">
        <v>659</v>
      </c>
      <c r="B732">
        <f>MATCH(A732-1,$D$61:$D$68,1)</f>
        <v/>
      </c>
      <c r="C732">
        <f>INDEX($G$61:$G$68,B732)</f>
        <v/>
      </c>
      <c r="D732">
        <f>INDEX($L$61:$L$68,B732)</f>
        <v/>
      </c>
      <c r="E732">
        <f>INDEX($M$61:$M$68,B732)</f>
        <v/>
      </c>
      <c r="F732">
        <f>INDEX($N$61:$N$68,B732)</f>
        <v/>
      </c>
      <c r="G732">
        <f>INDEX($AA$61:$AA$68,B732)</f>
        <v/>
      </c>
      <c r="H732">
        <f>INDEX($X$61:$X$68,B732)</f>
        <v/>
      </c>
      <c r="I732">
        <f>INDEX($AF$61:$AF$68,B732)</f>
        <v/>
      </c>
      <c r="J732">
        <f>INDEX($AC$61:$AC$68,B732)</f>
        <v/>
      </c>
      <c r="K732">
        <f>INDEX($AD$61:$AD$68,B732)</f>
        <v/>
      </c>
      <c r="L732">
        <f>INDEX($AG$61:$AG$68,B732)</f>
        <v/>
      </c>
      <c r="M732">
        <f>INDEX($AH$61:$AH$68,B732)</f>
        <v/>
      </c>
      <c r="N732">
        <f>INDEX($AI$61:$AI$68,B732)</f>
        <v/>
      </c>
      <c r="O732">
        <f>O731*$B$26+L732*(1-$B$26)</f>
        <v/>
      </c>
      <c r="P732">
        <f>$B$7*(O732-O731)*(1-AS731)</f>
        <v/>
      </c>
      <c r="Q732">
        <f>M732+0.51274*AT731</f>
        <v/>
      </c>
      <c r="R732">
        <f>N732+0.616*AT731</f>
        <v/>
      </c>
      <c r="S732">
        <f>IF($B$13&gt;=0.6,Q732,IF($B$13&lt;=0.2,R732,R732+2.5*(Q732-R732)*($B$13-0.2)))</f>
        <v/>
      </c>
      <c r="T732">
        <f>IF(A732=1,S732,T731*$B$27+S732*(1-$B$27))</f>
        <v/>
      </c>
      <c r="U732">
        <f>0.6105*EXP(17.27*T732/(T732+237.3))</f>
        <v/>
      </c>
      <c r="V732">
        <f>($B$14*(I732*C732+IF(ABS((D732+0.1)-D732)&lt;0.000000001,4*$B$19*$B$20*(D732+273)^3,$B$19*$B$20*(((D732+0.1)+273)^4-(D732+273)^4)/((D732+0.1)-D732))*D732)+T732/H732)/($B$14*(I732+IF(ABS((D732+0.1)-D732)&lt;0.000000001,4*$B$19*$B$20*(D732+273)^3,$B$19*$B$20*(((D732+0.1)+273)^4-(D732+273)^4)/((D732+0.1)-D732)))+1/H732)</f>
        <v/>
      </c>
      <c r="W732">
        <f>($B$14*(I732*C732+IF(ABS(V732-D732)&lt;0.000000001,4*$B$19*$B$20*(D732+273)^3,$B$19*$B$20*((V732+273)^4-(D732+273)^4)/(V732-D732))*D732)+T732/H732)/($B$14*(I732+IF(ABS(V732-D732)&lt;0.000000001,4*$B$19*$B$20*(D732+273)^3,$B$19*$B$20*((V732+273)^4-(D732+273)^4)/(V732-D732)))+1/H732)</f>
        <v/>
      </c>
      <c r="X732">
        <f>($B$14*(I732*C732+IF(ABS(W732-D732)&lt;0.000000001,4*$B$19*$B$20*(D732+273)^3,$B$19*$B$20*((W732+273)^4-(D732+273)^4)/(W732-D732))*D732)+T732/H732)/($B$14*(I732+IF(ABS(W732-D732)&lt;0.000000001,4*$B$19*$B$20*(D732+273)^3,$B$19*$B$20*((W732+273)^4-(D732+273)^4)/(W732-D732)))+1/H732)</f>
        <v/>
      </c>
      <c r="Y732">
        <f>($B$14*(I732*C732+IF(ABS(X732-D732)&lt;0.000000001,4*$B$19*$B$20*(D732+273)^3,$B$19*$B$20*((X732+273)^4-(D732+273)^4)/(X732-D732))*D732)+T732/H732)/($B$14*(I732+IF(ABS(X732-D732)&lt;0.000000001,4*$B$19*$B$20*(D732+273)^3,$B$19*$B$20*((X732+273)^4-(D732+273)^4)/(X732-D732)))+1/H732)</f>
        <v/>
      </c>
      <c r="Z732">
        <f>IF(ABS(Y732-D732)&lt;0.000000001,4*$B$19*$B$20*(D732+273)^3,$B$19*$B$20*((Y732+273)^4-(D732+273)^4)/(Y732-D732))</f>
        <v/>
      </c>
      <c r="AA732">
        <f>$B$14*I732*(Y732-C732)</f>
        <v/>
      </c>
      <c r="AB732">
        <f>$B$14*Z732*(Y732-D732)</f>
        <v/>
      </c>
      <c r="AC732">
        <f>IF((U732-E732)/G732=0,0.001,(U732-E732)/G732)</f>
        <v/>
      </c>
      <c r="AD732">
        <f>F732-P732-J732-K732-AA732-AB732</f>
        <v/>
      </c>
      <c r="AE732">
        <f>AD732/AC732</f>
        <v/>
      </c>
      <c r="AF732">
        <f>IF(AD732&lt;=0,0,IF(AC732&lt;=0,$B$11,IF(AE732&gt;=1.7,$B$11,MIN(AD732/MAX(0.05,IF(AE732&gt;1,(2-AE732)^2/2,1-AE732^2/2)),$B$11))))</f>
        <v/>
      </c>
      <c r="AG732">
        <f>AG731*$B$28+AF732*(1-$B$28)</f>
        <v/>
      </c>
      <c r="AH732">
        <f>IF(AND(AD732&gt;0,AC732&lt;=0),0,AC732)</f>
        <v/>
      </c>
      <c r="AI732">
        <f>AH732/MAX(AG732,0.000001)</f>
        <v/>
      </c>
      <c r="AJ732">
        <f>MIN(IF(AI732&gt;=0.5,-AI732+SQRT(AI732^2+2),1),$B$12)</f>
        <v/>
      </c>
      <c r="AK732">
        <f>IF(AG732&lt;=0,0,AJ732*AH732)</f>
        <v/>
      </c>
      <c r="AL732">
        <f>IF(AD732&lt;=0,0,AD732)</f>
        <v/>
      </c>
      <c r="AM732">
        <f>AL732-AK732+P732</f>
        <v/>
      </c>
      <c r="AN732">
        <f>((AM732/$B$7+T731*AS731/2-T732*MAX(0.1,MIN(0.3,0.3-0.09*(AR731-36.8)))/2)+AR731*(1-AS731/2))/(1-MAX(0.1,MIN(0.3,0.3-0.09*(AR731-36.8)))/2)</f>
        <v/>
      </c>
      <c r="AO732">
        <f>((AM732/$B$7+T731*AS731/2-T732*MAX(0.1,MIN(0.3,0.3-0.09*(AN732-36.8)))/2)+AR731*(1-AS731/2))/(1-MAX(0.1,MIN(0.3,0.3-0.09*(AN732-36.8)))/2)</f>
        <v/>
      </c>
      <c r="AP732">
        <f>((AM732/$B$7+T731*AS731/2-T732*MAX(0.1,MIN(0.3,0.3-0.09*(AO732-36.8)))/2)+AR731*(1-AS731/2))/(1-MAX(0.1,MIN(0.3,0.3-0.09*(AO732-36.8)))/2)</f>
        <v/>
      </c>
      <c r="AQ732">
        <f>((AM732/$B$7+T731*AS731/2-T732*MAX(0.1,MIN(0.3,0.3-0.09*(AP732-36.8)))/2)+AR731*(1-AS731/2))/(1-MAX(0.1,MIN(0.3,0.3-0.09*(AP732-36.8)))/2)</f>
        <v/>
      </c>
      <c r="AR732">
        <f>((AM732/$B$7+T731*AS731/2-T732*MAX(0.1,MIN(0.3,0.3-0.09*(AQ732-36.8)))/2)+AR731*(1-AS731/2))/(1-MAX(0.1,MIN(0.3,0.3-0.09*(AQ732-36.8)))/2)</f>
        <v/>
      </c>
      <c r="AS732">
        <f>MAX(0.1,MIN(0.3,0.3-0.09*(AR732-36.8)))</f>
        <v/>
      </c>
      <c r="AT732">
        <f>AT731+(2*AR732-1.962*AT731-1.31)/9</f>
        <v/>
      </c>
      <c r="AU732">
        <f>AU731+AG732+K732</f>
        <v/>
      </c>
      <c r="AV732">
        <f>AU732*2.67*$B$6/1.8/60</f>
        <v/>
      </c>
      <c r="AW732">
        <f>IF(AT732&gt;=$B$36,1,0)</f>
        <v/>
      </c>
      <c r="AX732">
        <f>IF(AV732&gt;=$B$21,1,0)</f>
        <v/>
      </c>
    </row>
    <row r="733">
      <c r="A733" t="n">
        <v>660</v>
      </c>
      <c r="B733">
        <f>MATCH(A733-1,$D$61:$D$68,1)</f>
        <v/>
      </c>
      <c r="C733">
        <f>INDEX($G$61:$G$68,B733)</f>
        <v/>
      </c>
      <c r="D733">
        <f>INDEX($L$61:$L$68,B733)</f>
        <v/>
      </c>
      <c r="E733">
        <f>INDEX($M$61:$M$68,B733)</f>
        <v/>
      </c>
      <c r="F733">
        <f>INDEX($N$61:$N$68,B733)</f>
        <v/>
      </c>
      <c r="G733">
        <f>INDEX($AA$61:$AA$68,B733)</f>
        <v/>
      </c>
      <c r="H733">
        <f>INDEX($X$61:$X$68,B733)</f>
        <v/>
      </c>
      <c r="I733">
        <f>INDEX($AF$61:$AF$68,B733)</f>
        <v/>
      </c>
      <c r="J733">
        <f>INDEX($AC$61:$AC$68,B733)</f>
        <v/>
      </c>
      <c r="K733">
        <f>INDEX($AD$61:$AD$68,B733)</f>
        <v/>
      </c>
      <c r="L733">
        <f>INDEX($AG$61:$AG$68,B733)</f>
        <v/>
      </c>
      <c r="M733">
        <f>INDEX($AH$61:$AH$68,B733)</f>
        <v/>
      </c>
      <c r="N733">
        <f>INDEX($AI$61:$AI$68,B733)</f>
        <v/>
      </c>
      <c r="O733">
        <f>O732*$B$26+L733*(1-$B$26)</f>
        <v/>
      </c>
      <c r="P733">
        <f>$B$7*(O733-O732)*(1-AS732)</f>
        <v/>
      </c>
      <c r="Q733">
        <f>M733+0.51274*AT732</f>
        <v/>
      </c>
      <c r="R733">
        <f>N733+0.616*AT732</f>
        <v/>
      </c>
      <c r="S733">
        <f>IF($B$13&gt;=0.6,Q733,IF($B$13&lt;=0.2,R733,R733+2.5*(Q733-R733)*($B$13-0.2)))</f>
        <v/>
      </c>
      <c r="T733">
        <f>IF(A733=1,S733,T732*$B$27+S733*(1-$B$27))</f>
        <v/>
      </c>
      <c r="U733">
        <f>0.6105*EXP(17.27*T733/(T733+237.3))</f>
        <v/>
      </c>
      <c r="V733">
        <f>($B$14*(I733*C733+IF(ABS((D733+0.1)-D733)&lt;0.000000001,4*$B$19*$B$20*(D733+273)^3,$B$19*$B$20*(((D733+0.1)+273)^4-(D733+273)^4)/((D733+0.1)-D733))*D733)+T733/H733)/($B$14*(I733+IF(ABS((D733+0.1)-D733)&lt;0.000000001,4*$B$19*$B$20*(D733+273)^3,$B$19*$B$20*(((D733+0.1)+273)^4-(D733+273)^4)/((D733+0.1)-D733)))+1/H733)</f>
        <v/>
      </c>
      <c r="W733">
        <f>($B$14*(I733*C733+IF(ABS(V733-D733)&lt;0.000000001,4*$B$19*$B$20*(D733+273)^3,$B$19*$B$20*((V733+273)^4-(D733+273)^4)/(V733-D733))*D733)+T733/H733)/($B$14*(I733+IF(ABS(V733-D733)&lt;0.000000001,4*$B$19*$B$20*(D733+273)^3,$B$19*$B$20*((V733+273)^4-(D733+273)^4)/(V733-D733)))+1/H733)</f>
        <v/>
      </c>
      <c r="X733">
        <f>($B$14*(I733*C733+IF(ABS(W733-D733)&lt;0.000000001,4*$B$19*$B$20*(D733+273)^3,$B$19*$B$20*((W733+273)^4-(D733+273)^4)/(W733-D733))*D733)+T733/H733)/($B$14*(I733+IF(ABS(W733-D733)&lt;0.000000001,4*$B$19*$B$20*(D733+273)^3,$B$19*$B$20*((W733+273)^4-(D733+273)^4)/(W733-D733)))+1/H733)</f>
        <v/>
      </c>
      <c r="Y733">
        <f>($B$14*(I733*C733+IF(ABS(X733-D733)&lt;0.000000001,4*$B$19*$B$20*(D733+273)^3,$B$19*$B$20*((X733+273)^4-(D733+273)^4)/(X733-D733))*D733)+T733/H733)/($B$14*(I733+IF(ABS(X733-D733)&lt;0.000000001,4*$B$19*$B$20*(D733+273)^3,$B$19*$B$20*((X733+273)^4-(D733+273)^4)/(X733-D733)))+1/H733)</f>
        <v/>
      </c>
      <c r="Z733">
        <f>IF(ABS(Y733-D733)&lt;0.000000001,4*$B$19*$B$20*(D733+273)^3,$B$19*$B$20*((Y733+273)^4-(D733+273)^4)/(Y733-D733))</f>
        <v/>
      </c>
      <c r="AA733">
        <f>$B$14*I733*(Y733-C733)</f>
        <v/>
      </c>
      <c r="AB733">
        <f>$B$14*Z733*(Y733-D733)</f>
        <v/>
      </c>
      <c r="AC733">
        <f>IF((U733-E733)/G733=0,0.001,(U733-E733)/G733)</f>
        <v/>
      </c>
      <c r="AD733">
        <f>F733-P733-J733-K733-AA733-AB733</f>
        <v/>
      </c>
      <c r="AE733">
        <f>AD733/AC733</f>
        <v/>
      </c>
      <c r="AF733">
        <f>IF(AD733&lt;=0,0,IF(AC733&lt;=0,$B$11,IF(AE733&gt;=1.7,$B$11,MIN(AD733/MAX(0.05,IF(AE733&gt;1,(2-AE733)^2/2,1-AE733^2/2)),$B$11))))</f>
        <v/>
      </c>
      <c r="AG733">
        <f>AG732*$B$28+AF733*(1-$B$28)</f>
        <v/>
      </c>
      <c r="AH733">
        <f>IF(AND(AD733&gt;0,AC733&lt;=0),0,AC733)</f>
        <v/>
      </c>
      <c r="AI733">
        <f>AH733/MAX(AG733,0.000001)</f>
        <v/>
      </c>
      <c r="AJ733">
        <f>MIN(IF(AI733&gt;=0.5,-AI733+SQRT(AI733^2+2),1),$B$12)</f>
        <v/>
      </c>
      <c r="AK733">
        <f>IF(AG733&lt;=0,0,AJ733*AH733)</f>
        <v/>
      </c>
      <c r="AL733">
        <f>IF(AD733&lt;=0,0,AD733)</f>
        <v/>
      </c>
      <c r="AM733">
        <f>AL733-AK733+P733</f>
        <v/>
      </c>
      <c r="AN733">
        <f>((AM733/$B$7+T732*AS732/2-T733*MAX(0.1,MIN(0.3,0.3-0.09*(AR732-36.8)))/2)+AR732*(1-AS732/2))/(1-MAX(0.1,MIN(0.3,0.3-0.09*(AR732-36.8)))/2)</f>
        <v/>
      </c>
      <c r="AO733">
        <f>((AM733/$B$7+T732*AS732/2-T733*MAX(0.1,MIN(0.3,0.3-0.09*(AN733-36.8)))/2)+AR732*(1-AS732/2))/(1-MAX(0.1,MIN(0.3,0.3-0.09*(AN733-36.8)))/2)</f>
        <v/>
      </c>
      <c r="AP733">
        <f>((AM733/$B$7+T732*AS732/2-T733*MAX(0.1,MIN(0.3,0.3-0.09*(AO733-36.8)))/2)+AR732*(1-AS732/2))/(1-MAX(0.1,MIN(0.3,0.3-0.09*(AO733-36.8)))/2)</f>
        <v/>
      </c>
      <c r="AQ733">
        <f>((AM733/$B$7+T732*AS732/2-T733*MAX(0.1,MIN(0.3,0.3-0.09*(AP733-36.8)))/2)+AR732*(1-AS732/2))/(1-MAX(0.1,MIN(0.3,0.3-0.09*(AP733-36.8)))/2)</f>
        <v/>
      </c>
      <c r="AR733">
        <f>((AM733/$B$7+T732*AS732/2-T733*MAX(0.1,MIN(0.3,0.3-0.09*(AQ733-36.8)))/2)+AR732*(1-AS732/2))/(1-MAX(0.1,MIN(0.3,0.3-0.09*(AQ733-36.8)))/2)</f>
        <v/>
      </c>
      <c r="AS733">
        <f>MAX(0.1,MIN(0.3,0.3-0.09*(AR733-36.8)))</f>
        <v/>
      </c>
      <c r="AT733">
        <f>AT732+(2*AR733-1.962*AT732-1.31)/9</f>
        <v/>
      </c>
      <c r="AU733">
        <f>AU732+AG733+K733</f>
        <v/>
      </c>
      <c r="AV733">
        <f>AU733*2.67*$B$6/1.8/60</f>
        <v/>
      </c>
      <c r="AW733">
        <f>IF(AT733&gt;=$B$36,1,0)</f>
        <v/>
      </c>
      <c r="AX733">
        <f>IF(AV733&gt;=$B$21,1,0)</f>
        <v/>
      </c>
    </row>
    <row r="734">
      <c r="A734" t="n">
        <v>661</v>
      </c>
      <c r="B734">
        <f>MATCH(A734-1,$D$61:$D$68,1)</f>
        <v/>
      </c>
      <c r="C734">
        <f>INDEX($G$61:$G$68,B734)</f>
        <v/>
      </c>
      <c r="D734">
        <f>INDEX($L$61:$L$68,B734)</f>
        <v/>
      </c>
      <c r="E734">
        <f>INDEX($M$61:$M$68,B734)</f>
        <v/>
      </c>
      <c r="F734">
        <f>INDEX($N$61:$N$68,B734)</f>
        <v/>
      </c>
      <c r="G734">
        <f>INDEX($AA$61:$AA$68,B734)</f>
        <v/>
      </c>
      <c r="H734">
        <f>INDEX($X$61:$X$68,B734)</f>
        <v/>
      </c>
      <c r="I734">
        <f>INDEX($AF$61:$AF$68,B734)</f>
        <v/>
      </c>
      <c r="J734">
        <f>INDEX($AC$61:$AC$68,B734)</f>
        <v/>
      </c>
      <c r="K734">
        <f>INDEX($AD$61:$AD$68,B734)</f>
        <v/>
      </c>
      <c r="L734">
        <f>INDEX($AG$61:$AG$68,B734)</f>
        <v/>
      </c>
      <c r="M734">
        <f>INDEX($AH$61:$AH$68,B734)</f>
        <v/>
      </c>
      <c r="N734">
        <f>INDEX($AI$61:$AI$68,B734)</f>
        <v/>
      </c>
      <c r="O734">
        <f>O733*$B$26+L734*(1-$B$26)</f>
        <v/>
      </c>
      <c r="P734">
        <f>$B$7*(O734-O733)*(1-AS733)</f>
        <v/>
      </c>
      <c r="Q734">
        <f>M734+0.51274*AT733</f>
        <v/>
      </c>
      <c r="R734">
        <f>N734+0.616*AT733</f>
        <v/>
      </c>
      <c r="S734">
        <f>IF($B$13&gt;=0.6,Q734,IF($B$13&lt;=0.2,R734,R734+2.5*(Q734-R734)*($B$13-0.2)))</f>
        <v/>
      </c>
      <c r="T734">
        <f>IF(A734=1,S734,T733*$B$27+S734*(1-$B$27))</f>
        <v/>
      </c>
      <c r="U734">
        <f>0.6105*EXP(17.27*T734/(T734+237.3))</f>
        <v/>
      </c>
      <c r="V734">
        <f>($B$14*(I734*C734+IF(ABS((D734+0.1)-D734)&lt;0.000000001,4*$B$19*$B$20*(D734+273)^3,$B$19*$B$20*(((D734+0.1)+273)^4-(D734+273)^4)/((D734+0.1)-D734))*D734)+T734/H734)/($B$14*(I734+IF(ABS((D734+0.1)-D734)&lt;0.000000001,4*$B$19*$B$20*(D734+273)^3,$B$19*$B$20*(((D734+0.1)+273)^4-(D734+273)^4)/((D734+0.1)-D734)))+1/H734)</f>
        <v/>
      </c>
      <c r="W734">
        <f>($B$14*(I734*C734+IF(ABS(V734-D734)&lt;0.000000001,4*$B$19*$B$20*(D734+273)^3,$B$19*$B$20*((V734+273)^4-(D734+273)^4)/(V734-D734))*D734)+T734/H734)/($B$14*(I734+IF(ABS(V734-D734)&lt;0.000000001,4*$B$19*$B$20*(D734+273)^3,$B$19*$B$20*((V734+273)^4-(D734+273)^4)/(V734-D734)))+1/H734)</f>
        <v/>
      </c>
      <c r="X734">
        <f>($B$14*(I734*C734+IF(ABS(W734-D734)&lt;0.000000001,4*$B$19*$B$20*(D734+273)^3,$B$19*$B$20*((W734+273)^4-(D734+273)^4)/(W734-D734))*D734)+T734/H734)/($B$14*(I734+IF(ABS(W734-D734)&lt;0.000000001,4*$B$19*$B$20*(D734+273)^3,$B$19*$B$20*((W734+273)^4-(D734+273)^4)/(W734-D734)))+1/H734)</f>
        <v/>
      </c>
      <c r="Y734">
        <f>($B$14*(I734*C734+IF(ABS(X734-D734)&lt;0.000000001,4*$B$19*$B$20*(D734+273)^3,$B$19*$B$20*((X734+273)^4-(D734+273)^4)/(X734-D734))*D734)+T734/H734)/($B$14*(I734+IF(ABS(X734-D734)&lt;0.000000001,4*$B$19*$B$20*(D734+273)^3,$B$19*$B$20*((X734+273)^4-(D734+273)^4)/(X734-D734)))+1/H734)</f>
        <v/>
      </c>
      <c r="Z734">
        <f>IF(ABS(Y734-D734)&lt;0.000000001,4*$B$19*$B$20*(D734+273)^3,$B$19*$B$20*((Y734+273)^4-(D734+273)^4)/(Y734-D734))</f>
        <v/>
      </c>
      <c r="AA734">
        <f>$B$14*I734*(Y734-C734)</f>
        <v/>
      </c>
      <c r="AB734">
        <f>$B$14*Z734*(Y734-D734)</f>
        <v/>
      </c>
      <c r="AC734">
        <f>IF((U734-E734)/G734=0,0.001,(U734-E734)/G734)</f>
        <v/>
      </c>
      <c r="AD734">
        <f>F734-P734-J734-K734-AA734-AB734</f>
        <v/>
      </c>
      <c r="AE734">
        <f>AD734/AC734</f>
        <v/>
      </c>
      <c r="AF734">
        <f>IF(AD734&lt;=0,0,IF(AC734&lt;=0,$B$11,IF(AE734&gt;=1.7,$B$11,MIN(AD734/MAX(0.05,IF(AE734&gt;1,(2-AE734)^2/2,1-AE734^2/2)),$B$11))))</f>
        <v/>
      </c>
      <c r="AG734">
        <f>AG733*$B$28+AF734*(1-$B$28)</f>
        <v/>
      </c>
      <c r="AH734">
        <f>IF(AND(AD734&gt;0,AC734&lt;=0),0,AC734)</f>
        <v/>
      </c>
      <c r="AI734">
        <f>AH734/MAX(AG734,0.000001)</f>
        <v/>
      </c>
      <c r="AJ734">
        <f>MIN(IF(AI734&gt;=0.5,-AI734+SQRT(AI734^2+2),1),$B$12)</f>
        <v/>
      </c>
      <c r="AK734">
        <f>IF(AG734&lt;=0,0,AJ734*AH734)</f>
        <v/>
      </c>
      <c r="AL734">
        <f>IF(AD734&lt;=0,0,AD734)</f>
        <v/>
      </c>
      <c r="AM734">
        <f>AL734-AK734+P734</f>
        <v/>
      </c>
      <c r="AN734">
        <f>((AM734/$B$7+T733*AS733/2-T734*MAX(0.1,MIN(0.3,0.3-0.09*(AR733-36.8)))/2)+AR733*(1-AS733/2))/(1-MAX(0.1,MIN(0.3,0.3-0.09*(AR733-36.8)))/2)</f>
        <v/>
      </c>
      <c r="AO734">
        <f>((AM734/$B$7+T733*AS733/2-T734*MAX(0.1,MIN(0.3,0.3-0.09*(AN734-36.8)))/2)+AR733*(1-AS733/2))/(1-MAX(0.1,MIN(0.3,0.3-0.09*(AN734-36.8)))/2)</f>
        <v/>
      </c>
      <c r="AP734">
        <f>((AM734/$B$7+T733*AS733/2-T734*MAX(0.1,MIN(0.3,0.3-0.09*(AO734-36.8)))/2)+AR733*(1-AS733/2))/(1-MAX(0.1,MIN(0.3,0.3-0.09*(AO734-36.8)))/2)</f>
        <v/>
      </c>
      <c r="AQ734">
        <f>((AM734/$B$7+T733*AS733/2-T734*MAX(0.1,MIN(0.3,0.3-0.09*(AP734-36.8)))/2)+AR733*(1-AS733/2))/(1-MAX(0.1,MIN(0.3,0.3-0.09*(AP734-36.8)))/2)</f>
        <v/>
      </c>
      <c r="AR734">
        <f>((AM734/$B$7+T733*AS733/2-T734*MAX(0.1,MIN(0.3,0.3-0.09*(AQ734-36.8)))/2)+AR733*(1-AS733/2))/(1-MAX(0.1,MIN(0.3,0.3-0.09*(AQ734-36.8)))/2)</f>
        <v/>
      </c>
      <c r="AS734">
        <f>MAX(0.1,MIN(0.3,0.3-0.09*(AR734-36.8)))</f>
        <v/>
      </c>
      <c r="AT734">
        <f>AT733+(2*AR734-1.962*AT733-1.31)/9</f>
        <v/>
      </c>
      <c r="AU734">
        <f>AU733+AG734+K734</f>
        <v/>
      </c>
      <c r="AV734">
        <f>AU734*2.67*$B$6/1.8/60</f>
        <v/>
      </c>
      <c r="AW734">
        <f>IF(AT734&gt;=$B$36,1,0)</f>
        <v/>
      </c>
      <c r="AX734">
        <f>IF(AV734&gt;=$B$21,1,0)</f>
        <v/>
      </c>
    </row>
    <row r="735">
      <c r="A735" t="n">
        <v>662</v>
      </c>
      <c r="B735">
        <f>MATCH(A735-1,$D$61:$D$68,1)</f>
        <v/>
      </c>
      <c r="C735">
        <f>INDEX($G$61:$G$68,B735)</f>
        <v/>
      </c>
      <c r="D735">
        <f>INDEX($L$61:$L$68,B735)</f>
        <v/>
      </c>
      <c r="E735">
        <f>INDEX($M$61:$M$68,B735)</f>
        <v/>
      </c>
      <c r="F735">
        <f>INDEX($N$61:$N$68,B735)</f>
        <v/>
      </c>
      <c r="G735">
        <f>INDEX($AA$61:$AA$68,B735)</f>
        <v/>
      </c>
      <c r="H735">
        <f>INDEX($X$61:$X$68,B735)</f>
        <v/>
      </c>
      <c r="I735">
        <f>INDEX($AF$61:$AF$68,B735)</f>
        <v/>
      </c>
      <c r="J735">
        <f>INDEX($AC$61:$AC$68,B735)</f>
        <v/>
      </c>
      <c r="K735">
        <f>INDEX($AD$61:$AD$68,B735)</f>
        <v/>
      </c>
      <c r="L735">
        <f>INDEX($AG$61:$AG$68,B735)</f>
        <v/>
      </c>
      <c r="M735">
        <f>INDEX($AH$61:$AH$68,B735)</f>
        <v/>
      </c>
      <c r="N735">
        <f>INDEX($AI$61:$AI$68,B735)</f>
        <v/>
      </c>
      <c r="O735">
        <f>O734*$B$26+L735*(1-$B$26)</f>
        <v/>
      </c>
      <c r="P735">
        <f>$B$7*(O735-O734)*(1-AS734)</f>
        <v/>
      </c>
      <c r="Q735">
        <f>M735+0.51274*AT734</f>
        <v/>
      </c>
      <c r="R735">
        <f>N735+0.616*AT734</f>
        <v/>
      </c>
      <c r="S735">
        <f>IF($B$13&gt;=0.6,Q735,IF($B$13&lt;=0.2,R735,R735+2.5*(Q735-R735)*($B$13-0.2)))</f>
        <v/>
      </c>
      <c r="T735">
        <f>IF(A735=1,S735,T734*$B$27+S735*(1-$B$27))</f>
        <v/>
      </c>
      <c r="U735">
        <f>0.6105*EXP(17.27*T735/(T735+237.3))</f>
        <v/>
      </c>
      <c r="V735">
        <f>($B$14*(I735*C735+IF(ABS((D735+0.1)-D735)&lt;0.000000001,4*$B$19*$B$20*(D735+273)^3,$B$19*$B$20*(((D735+0.1)+273)^4-(D735+273)^4)/((D735+0.1)-D735))*D735)+T735/H735)/($B$14*(I735+IF(ABS((D735+0.1)-D735)&lt;0.000000001,4*$B$19*$B$20*(D735+273)^3,$B$19*$B$20*(((D735+0.1)+273)^4-(D735+273)^4)/((D735+0.1)-D735)))+1/H735)</f>
        <v/>
      </c>
      <c r="W735">
        <f>($B$14*(I735*C735+IF(ABS(V735-D735)&lt;0.000000001,4*$B$19*$B$20*(D735+273)^3,$B$19*$B$20*((V735+273)^4-(D735+273)^4)/(V735-D735))*D735)+T735/H735)/($B$14*(I735+IF(ABS(V735-D735)&lt;0.000000001,4*$B$19*$B$20*(D735+273)^3,$B$19*$B$20*((V735+273)^4-(D735+273)^4)/(V735-D735)))+1/H735)</f>
        <v/>
      </c>
      <c r="X735">
        <f>($B$14*(I735*C735+IF(ABS(W735-D735)&lt;0.000000001,4*$B$19*$B$20*(D735+273)^3,$B$19*$B$20*((W735+273)^4-(D735+273)^4)/(W735-D735))*D735)+T735/H735)/($B$14*(I735+IF(ABS(W735-D735)&lt;0.000000001,4*$B$19*$B$20*(D735+273)^3,$B$19*$B$20*((W735+273)^4-(D735+273)^4)/(W735-D735)))+1/H735)</f>
        <v/>
      </c>
      <c r="Y735">
        <f>($B$14*(I735*C735+IF(ABS(X735-D735)&lt;0.000000001,4*$B$19*$B$20*(D735+273)^3,$B$19*$B$20*((X735+273)^4-(D735+273)^4)/(X735-D735))*D735)+T735/H735)/($B$14*(I735+IF(ABS(X735-D735)&lt;0.000000001,4*$B$19*$B$20*(D735+273)^3,$B$19*$B$20*((X735+273)^4-(D735+273)^4)/(X735-D735)))+1/H735)</f>
        <v/>
      </c>
      <c r="Z735">
        <f>IF(ABS(Y735-D735)&lt;0.000000001,4*$B$19*$B$20*(D735+273)^3,$B$19*$B$20*((Y735+273)^4-(D735+273)^4)/(Y735-D735))</f>
        <v/>
      </c>
      <c r="AA735">
        <f>$B$14*I735*(Y735-C735)</f>
        <v/>
      </c>
      <c r="AB735">
        <f>$B$14*Z735*(Y735-D735)</f>
        <v/>
      </c>
      <c r="AC735">
        <f>IF((U735-E735)/G735=0,0.001,(U735-E735)/G735)</f>
        <v/>
      </c>
      <c r="AD735">
        <f>F735-P735-J735-K735-AA735-AB735</f>
        <v/>
      </c>
      <c r="AE735">
        <f>AD735/AC735</f>
        <v/>
      </c>
      <c r="AF735">
        <f>IF(AD735&lt;=0,0,IF(AC735&lt;=0,$B$11,IF(AE735&gt;=1.7,$B$11,MIN(AD735/MAX(0.05,IF(AE735&gt;1,(2-AE735)^2/2,1-AE735^2/2)),$B$11))))</f>
        <v/>
      </c>
      <c r="AG735">
        <f>AG734*$B$28+AF735*(1-$B$28)</f>
        <v/>
      </c>
      <c r="AH735">
        <f>IF(AND(AD735&gt;0,AC735&lt;=0),0,AC735)</f>
        <v/>
      </c>
      <c r="AI735">
        <f>AH735/MAX(AG735,0.000001)</f>
        <v/>
      </c>
      <c r="AJ735">
        <f>MIN(IF(AI735&gt;=0.5,-AI735+SQRT(AI735^2+2),1),$B$12)</f>
        <v/>
      </c>
      <c r="AK735">
        <f>IF(AG735&lt;=0,0,AJ735*AH735)</f>
        <v/>
      </c>
      <c r="AL735">
        <f>IF(AD735&lt;=0,0,AD735)</f>
        <v/>
      </c>
      <c r="AM735">
        <f>AL735-AK735+P735</f>
        <v/>
      </c>
      <c r="AN735">
        <f>((AM735/$B$7+T734*AS734/2-T735*MAX(0.1,MIN(0.3,0.3-0.09*(AR734-36.8)))/2)+AR734*(1-AS734/2))/(1-MAX(0.1,MIN(0.3,0.3-0.09*(AR734-36.8)))/2)</f>
        <v/>
      </c>
      <c r="AO735">
        <f>((AM735/$B$7+T734*AS734/2-T735*MAX(0.1,MIN(0.3,0.3-0.09*(AN735-36.8)))/2)+AR734*(1-AS734/2))/(1-MAX(0.1,MIN(0.3,0.3-0.09*(AN735-36.8)))/2)</f>
        <v/>
      </c>
      <c r="AP735">
        <f>((AM735/$B$7+T734*AS734/2-T735*MAX(0.1,MIN(0.3,0.3-0.09*(AO735-36.8)))/2)+AR734*(1-AS734/2))/(1-MAX(0.1,MIN(0.3,0.3-0.09*(AO735-36.8)))/2)</f>
        <v/>
      </c>
      <c r="AQ735">
        <f>((AM735/$B$7+T734*AS734/2-T735*MAX(0.1,MIN(0.3,0.3-0.09*(AP735-36.8)))/2)+AR734*(1-AS734/2))/(1-MAX(0.1,MIN(0.3,0.3-0.09*(AP735-36.8)))/2)</f>
        <v/>
      </c>
      <c r="AR735">
        <f>((AM735/$B$7+T734*AS734/2-T735*MAX(0.1,MIN(0.3,0.3-0.09*(AQ735-36.8)))/2)+AR734*(1-AS734/2))/(1-MAX(0.1,MIN(0.3,0.3-0.09*(AQ735-36.8)))/2)</f>
        <v/>
      </c>
      <c r="AS735">
        <f>MAX(0.1,MIN(0.3,0.3-0.09*(AR735-36.8)))</f>
        <v/>
      </c>
      <c r="AT735">
        <f>AT734+(2*AR735-1.962*AT734-1.31)/9</f>
        <v/>
      </c>
      <c r="AU735">
        <f>AU734+AG735+K735</f>
        <v/>
      </c>
      <c r="AV735">
        <f>AU735*2.67*$B$6/1.8/60</f>
        <v/>
      </c>
      <c r="AW735">
        <f>IF(AT735&gt;=$B$36,1,0)</f>
        <v/>
      </c>
      <c r="AX735">
        <f>IF(AV735&gt;=$B$21,1,0)</f>
        <v/>
      </c>
    </row>
    <row r="736">
      <c r="A736" t="n">
        <v>663</v>
      </c>
      <c r="B736">
        <f>MATCH(A736-1,$D$61:$D$68,1)</f>
        <v/>
      </c>
      <c r="C736">
        <f>INDEX($G$61:$G$68,B736)</f>
        <v/>
      </c>
      <c r="D736">
        <f>INDEX($L$61:$L$68,B736)</f>
        <v/>
      </c>
      <c r="E736">
        <f>INDEX($M$61:$M$68,B736)</f>
        <v/>
      </c>
      <c r="F736">
        <f>INDEX($N$61:$N$68,B736)</f>
        <v/>
      </c>
      <c r="G736">
        <f>INDEX($AA$61:$AA$68,B736)</f>
        <v/>
      </c>
      <c r="H736">
        <f>INDEX($X$61:$X$68,B736)</f>
        <v/>
      </c>
      <c r="I736">
        <f>INDEX($AF$61:$AF$68,B736)</f>
        <v/>
      </c>
      <c r="J736">
        <f>INDEX($AC$61:$AC$68,B736)</f>
        <v/>
      </c>
      <c r="K736">
        <f>INDEX($AD$61:$AD$68,B736)</f>
        <v/>
      </c>
      <c r="L736">
        <f>INDEX($AG$61:$AG$68,B736)</f>
        <v/>
      </c>
      <c r="M736">
        <f>INDEX($AH$61:$AH$68,B736)</f>
        <v/>
      </c>
      <c r="N736">
        <f>INDEX($AI$61:$AI$68,B736)</f>
        <v/>
      </c>
      <c r="O736">
        <f>O735*$B$26+L736*(1-$B$26)</f>
        <v/>
      </c>
      <c r="P736">
        <f>$B$7*(O736-O735)*(1-AS735)</f>
        <v/>
      </c>
      <c r="Q736">
        <f>M736+0.51274*AT735</f>
        <v/>
      </c>
      <c r="R736">
        <f>N736+0.616*AT735</f>
        <v/>
      </c>
      <c r="S736">
        <f>IF($B$13&gt;=0.6,Q736,IF($B$13&lt;=0.2,R736,R736+2.5*(Q736-R736)*($B$13-0.2)))</f>
        <v/>
      </c>
      <c r="T736">
        <f>IF(A736=1,S736,T735*$B$27+S736*(1-$B$27))</f>
        <v/>
      </c>
      <c r="U736">
        <f>0.6105*EXP(17.27*T736/(T736+237.3))</f>
        <v/>
      </c>
      <c r="V736">
        <f>($B$14*(I736*C736+IF(ABS((D736+0.1)-D736)&lt;0.000000001,4*$B$19*$B$20*(D736+273)^3,$B$19*$B$20*(((D736+0.1)+273)^4-(D736+273)^4)/((D736+0.1)-D736))*D736)+T736/H736)/($B$14*(I736+IF(ABS((D736+0.1)-D736)&lt;0.000000001,4*$B$19*$B$20*(D736+273)^3,$B$19*$B$20*(((D736+0.1)+273)^4-(D736+273)^4)/((D736+0.1)-D736)))+1/H736)</f>
        <v/>
      </c>
      <c r="W736">
        <f>($B$14*(I736*C736+IF(ABS(V736-D736)&lt;0.000000001,4*$B$19*$B$20*(D736+273)^3,$B$19*$B$20*((V736+273)^4-(D736+273)^4)/(V736-D736))*D736)+T736/H736)/($B$14*(I736+IF(ABS(V736-D736)&lt;0.000000001,4*$B$19*$B$20*(D736+273)^3,$B$19*$B$20*((V736+273)^4-(D736+273)^4)/(V736-D736)))+1/H736)</f>
        <v/>
      </c>
      <c r="X736">
        <f>($B$14*(I736*C736+IF(ABS(W736-D736)&lt;0.000000001,4*$B$19*$B$20*(D736+273)^3,$B$19*$B$20*((W736+273)^4-(D736+273)^4)/(W736-D736))*D736)+T736/H736)/($B$14*(I736+IF(ABS(W736-D736)&lt;0.000000001,4*$B$19*$B$20*(D736+273)^3,$B$19*$B$20*((W736+273)^4-(D736+273)^4)/(W736-D736)))+1/H736)</f>
        <v/>
      </c>
      <c r="Y736">
        <f>($B$14*(I736*C736+IF(ABS(X736-D736)&lt;0.000000001,4*$B$19*$B$20*(D736+273)^3,$B$19*$B$20*((X736+273)^4-(D736+273)^4)/(X736-D736))*D736)+T736/H736)/($B$14*(I736+IF(ABS(X736-D736)&lt;0.000000001,4*$B$19*$B$20*(D736+273)^3,$B$19*$B$20*((X736+273)^4-(D736+273)^4)/(X736-D736)))+1/H736)</f>
        <v/>
      </c>
      <c r="Z736">
        <f>IF(ABS(Y736-D736)&lt;0.000000001,4*$B$19*$B$20*(D736+273)^3,$B$19*$B$20*((Y736+273)^4-(D736+273)^4)/(Y736-D736))</f>
        <v/>
      </c>
      <c r="AA736">
        <f>$B$14*I736*(Y736-C736)</f>
        <v/>
      </c>
      <c r="AB736">
        <f>$B$14*Z736*(Y736-D736)</f>
        <v/>
      </c>
      <c r="AC736">
        <f>IF((U736-E736)/G736=0,0.001,(U736-E736)/G736)</f>
        <v/>
      </c>
      <c r="AD736">
        <f>F736-P736-J736-K736-AA736-AB736</f>
        <v/>
      </c>
      <c r="AE736">
        <f>AD736/AC736</f>
        <v/>
      </c>
      <c r="AF736">
        <f>IF(AD736&lt;=0,0,IF(AC736&lt;=0,$B$11,IF(AE736&gt;=1.7,$B$11,MIN(AD736/MAX(0.05,IF(AE736&gt;1,(2-AE736)^2/2,1-AE736^2/2)),$B$11))))</f>
        <v/>
      </c>
      <c r="AG736">
        <f>AG735*$B$28+AF736*(1-$B$28)</f>
        <v/>
      </c>
      <c r="AH736">
        <f>IF(AND(AD736&gt;0,AC736&lt;=0),0,AC736)</f>
        <v/>
      </c>
      <c r="AI736">
        <f>AH736/MAX(AG736,0.000001)</f>
        <v/>
      </c>
      <c r="AJ736">
        <f>MIN(IF(AI736&gt;=0.5,-AI736+SQRT(AI736^2+2),1),$B$12)</f>
        <v/>
      </c>
      <c r="AK736">
        <f>IF(AG736&lt;=0,0,AJ736*AH736)</f>
        <v/>
      </c>
      <c r="AL736">
        <f>IF(AD736&lt;=0,0,AD736)</f>
        <v/>
      </c>
      <c r="AM736">
        <f>AL736-AK736+P736</f>
        <v/>
      </c>
      <c r="AN736">
        <f>((AM736/$B$7+T735*AS735/2-T736*MAX(0.1,MIN(0.3,0.3-0.09*(AR735-36.8)))/2)+AR735*(1-AS735/2))/(1-MAX(0.1,MIN(0.3,0.3-0.09*(AR735-36.8)))/2)</f>
        <v/>
      </c>
      <c r="AO736">
        <f>((AM736/$B$7+T735*AS735/2-T736*MAX(0.1,MIN(0.3,0.3-0.09*(AN736-36.8)))/2)+AR735*(1-AS735/2))/(1-MAX(0.1,MIN(0.3,0.3-0.09*(AN736-36.8)))/2)</f>
        <v/>
      </c>
      <c r="AP736">
        <f>((AM736/$B$7+T735*AS735/2-T736*MAX(0.1,MIN(0.3,0.3-0.09*(AO736-36.8)))/2)+AR735*(1-AS735/2))/(1-MAX(0.1,MIN(0.3,0.3-0.09*(AO736-36.8)))/2)</f>
        <v/>
      </c>
      <c r="AQ736">
        <f>((AM736/$B$7+T735*AS735/2-T736*MAX(0.1,MIN(0.3,0.3-0.09*(AP736-36.8)))/2)+AR735*(1-AS735/2))/(1-MAX(0.1,MIN(0.3,0.3-0.09*(AP736-36.8)))/2)</f>
        <v/>
      </c>
      <c r="AR736">
        <f>((AM736/$B$7+T735*AS735/2-T736*MAX(0.1,MIN(0.3,0.3-0.09*(AQ736-36.8)))/2)+AR735*(1-AS735/2))/(1-MAX(0.1,MIN(0.3,0.3-0.09*(AQ736-36.8)))/2)</f>
        <v/>
      </c>
      <c r="AS736">
        <f>MAX(0.1,MIN(0.3,0.3-0.09*(AR736-36.8)))</f>
        <v/>
      </c>
      <c r="AT736">
        <f>AT735+(2*AR736-1.962*AT735-1.31)/9</f>
        <v/>
      </c>
      <c r="AU736">
        <f>AU735+AG736+K736</f>
        <v/>
      </c>
      <c r="AV736">
        <f>AU736*2.67*$B$6/1.8/60</f>
        <v/>
      </c>
      <c r="AW736">
        <f>IF(AT736&gt;=$B$36,1,0)</f>
        <v/>
      </c>
      <c r="AX736">
        <f>IF(AV736&gt;=$B$21,1,0)</f>
        <v/>
      </c>
    </row>
    <row r="737">
      <c r="A737" t="n">
        <v>664</v>
      </c>
      <c r="B737">
        <f>MATCH(A737-1,$D$61:$D$68,1)</f>
        <v/>
      </c>
      <c r="C737">
        <f>INDEX($G$61:$G$68,B737)</f>
        <v/>
      </c>
      <c r="D737">
        <f>INDEX($L$61:$L$68,B737)</f>
        <v/>
      </c>
      <c r="E737">
        <f>INDEX($M$61:$M$68,B737)</f>
        <v/>
      </c>
      <c r="F737">
        <f>INDEX($N$61:$N$68,B737)</f>
        <v/>
      </c>
      <c r="G737">
        <f>INDEX($AA$61:$AA$68,B737)</f>
        <v/>
      </c>
      <c r="H737">
        <f>INDEX($X$61:$X$68,B737)</f>
        <v/>
      </c>
      <c r="I737">
        <f>INDEX($AF$61:$AF$68,B737)</f>
        <v/>
      </c>
      <c r="J737">
        <f>INDEX($AC$61:$AC$68,B737)</f>
        <v/>
      </c>
      <c r="K737">
        <f>INDEX($AD$61:$AD$68,B737)</f>
        <v/>
      </c>
      <c r="L737">
        <f>INDEX($AG$61:$AG$68,B737)</f>
        <v/>
      </c>
      <c r="M737">
        <f>INDEX($AH$61:$AH$68,B737)</f>
        <v/>
      </c>
      <c r="N737">
        <f>INDEX($AI$61:$AI$68,B737)</f>
        <v/>
      </c>
      <c r="O737">
        <f>O736*$B$26+L737*(1-$B$26)</f>
        <v/>
      </c>
      <c r="P737">
        <f>$B$7*(O737-O736)*(1-AS736)</f>
        <v/>
      </c>
      <c r="Q737">
        <f>M737+0.51274*AT736</f>
        <v/>
      </c>
      <c r="R737">
        <f>N737+0.616*AT736</f>
        <v/>
      </c>
      <c r="S737">
        <f>IF($B$13&gt;=0.6,Q737,IF($B$13&lt;=0.2,R737,R737+2.5*(Q737-R737)*($B$13-0.2)))</f>
        <v/>
      </c>
      <c r="T737">
        <f>IF(A737=1,S737,T736*$B$27+S737*(1-$B$27))</f>
        <v/>
      </c>
      <c r="U737">
        <f>0.6105*EXP(17.27*T737/(T737+237.3))</f>
        <v/>
      </c>
      <c r="V737">
        <f>($B$14*(I737*C737+IF(ABS((D737+0.1)-D737)&lt;0.000000001,4*$B$19*$B$20*(D737+273)^3,$B$19*$B$20*(((D737+0.1)+273)^4-(D737+273)^4)/((D737+0.1)-D737))*D737)+T737/H737)/($B$14*(I737+IF(ABS((D737+0.1)-D737)&lt;0.000000001,4*$B$19*$B$20*(D737+273)^3,$B$19*$B$20*(((D737+0.1)+273)^4-(D737+273)^4)/((D737+0.1)-D737)))+1/H737)</f>
        <v/>
      </c>
      <c r="W737">
        <f>($B$14*(I737*C737+IF(ABS(V737-D737)&lt;0.000000001,4*$B$19*$B$20*(D737+273)^3,$B$19*$B$20*((V737+273)^4-(D737+273)^4)/(V737-D737))*D737)+T737/H737)/($B$14*(I737+IF(ABS(V737-D737)&lt;0.000000001,4*$B$19*$B$20*(D737+273)^3,$B$19*$B$20*((V737+273)^4-(D737+273)^4)/(V737-D737)))+1/H737)</f>
        <v/>
      </c>
      <c r="X737">
        <f>($B$14*(I737*C737+IF(ABS(W737-D737)&lt;0.000000001,4*$B$19*$B$20*(D737+273)^3,$B$19*$B$20*((W737+273)^4-(D737+273)^4)/(W737-D737))*D737)+T737/H737)/($B$14*(I737+IF(ABS(W737-D737)&lt;0.000000001,4*$B$19*$B$20*(D737+273)^3,$B$19*$B$20*((W737+273)^4-(D737+273)^4)/(W737-D737)))+1/H737)</f>
        <v/>
      </c>
      <c r="Y737">
        <f>($B$14*(I737*C737+IF(ABS(X737-D737)&lt;0.000000001,4*$B$19*$B$20*(D737+273)^3,$B$19*$B$20*((X737+273)^4-(D737+273)^4)/(X737-D737))*D737)+T737/H737)/($B$14*(I737+IF(ABS(X737-D737)&lt;0.000000001,4*$B$19*$B$20*(D737+273)^3,$B$19*$B$20*((X737+273)^4-(D737+273)^4)/(X737-D737)))+1/H737)</f>
        <v/>
      </c>
      <c r="Z737">
        <f>IF(ABS(Y737-D737)&lt;0.000000001,4*$B$19*$B$20*(D737+273)^3,$B$19*$B$20*((Y737+273)^4-(D737+273)^4)/(Y737-D737))</f>
        <v/>
      </c>
      <c r="AA737">
        <f>$B$14*I737*(Y737-C737)</f>
        <v/>
      </c>
      <c r="AB737">
        <f>$B$14*Z737*(Y737-D737)</f>
        <v/>
      </c>
      <c r="AC737">
        <f>IF((U737-E737)/G737=0,0.001,(U737-E737)/G737)</f>
        <v/>
      </c>
      <c r="AD737">
        <f>F737-P737-J737-K737-AA737-AB737</f>
        <v/>
      </c>
      <c r="AE737">
        <f>AD737/AC737</f>
        <v/>
      </c>
      <c r="AF737">
        <f>IF(AD737&lt;=0,0,IF(AC737&lt;=0,$B$11,IF(AE737&gt;=1.7,$B$11,MIN(AD737/MAX(0.05,IF(AE737&gt;1,(2-AE737)^2/2,1-AE737^2/2)),$B$11))))</f>
        <v/>
      </c>
      <c r="AG737">
        <f>AG736*$B$28+AF737*(1-$B$28)</f>
        <v/>
      </c>
      <c r="AH737">
        <f>IF(AND(AD737&gt;0,AC737&lt;=0),0,AC737)</f>
        <v/>
      </c>
      <c r="AI737">
        <f>AH737/MAX(AG737,0.000001)</f>
        <v/>
      </c>
      <c r="AJ737">
        <f>MIN(IF(AI737&gt;=0.5,-AI737+SQRT(AI737^2+2),1),$B$12)</f>
        <v/>
      </c>
      <c r="AK737">
        <f>IF(AG737&lt;=0,0,AJ737*AH737)</f>
        <v/>
      </c>
      <c r="AL737">
        <f>IF(AD737&lt;=0,0,AD737)</f>
        <v/>
      </c>
      <c r="AM737">
        <f>AL737-AK737+P737</f>
        <v/>
      </c>
      <c r="AN737">
        <f>((AM737/$B$7+T736*AS736/2-T737*MAX(0.1,MIN(0.3,0.3-0.09*(AR736-36.8)))/2)+AR736*(1-AS736/2))/(1-MAX(0.1,MIN(0.3,0.3-0.09*(AR736-36.8)))/2)</f>
        <v/>
      </c>
      <c r="AO737">
        <f>((AM737/$B$7+T736*AS736/2-T737*MAX(0.1,MIN(0.3,0.3-0.09*(AN737-36.8)))/2)+AR736*(1-AS736/2))/(1-MAX(0.1,MIN(0.3,0.3-0.09*(AN737-36.8)))/2)</f>
        <v/>
      </c>
      <c r="AP737">
        <f>((AM737/$B$7+T736*AS736/2-T737*MAX(0.1,MIN(0.3,0.3-0.09*(AO737-36.8)))/2)+AR736*(1-AS736/2))/(1-MAX(0.1,MIN(0.3,0.3-0.09*(AO737-36.8)))/2)</f>
        <v/>
      </c>
      <c r="AQ737">
        <f>((AM737/$B$7+T736*AS736/2-T737*MAX(0.1,MIN(0.3,0.3-0.09*(AP737-36.8)))/2)+AR736*(1-AS736/2))/(1-MAX(0.1,MIN(0.3,0.3-0.09*(AP737-36.8)))/2)</f>
        <v/>
      </c>
      <c r="AR737">
        <f>((AM737/$B$7+T736*AS736/2-T737*MAX(0.1,MIN(0.3,0.3-0.09*(AQ737-36.8)))/2)+AR736*(1-AS736/2))/(1-MAX(0.1,MIN(0.3,0.3-0.09*(AQ737-36.8)))/2)</f>
        <v/>
      </c>
      <c r="AS737">
        <f>MAX(0.1,MIN(0.3,0.3-0.09*(AR737-36.8)))</f>
        <v/>
      </c>
      <c r="AT737">
        <f>AT736+(2*AR737-1.962*AT736-1.31)/9</f>
        <v/>
      </c>
      <c r="AU737">
        <f>AU736+AG737+K737</f>
        <v/>
      </c>
      <c r="AV737">
        <f>AU737*2.67*$B$6/1.8/60</f>
        <v/>
      </c>
      <c r="AW737">
        <f>IF(AT737&gt;=$B$36,1,0)</f>
        <v/>
      </c>
      <c r="AX737">
        <f>IF(AV737&gt;=$B$21,1,0)</f>
        <v/>
      </c>
    </row>
    <row r="738">
      <c r="A738" t="n">
        <v>665</v>
      </c>
      <c r="B738">
        <f>MATCH(A738-1,$D$61:$D$68,1)</f>
        <v/>
      </c>
      <c r="C738">
        <f>INDEX($G$61:$G$68,B738)</f>
        <v/>
      </c>
      <c r="D738">
        <f>INDEX($L$61:$L$68,B738)</f>
        <v/>
      </c>
      <c r="E738">
        <f>INDEX($M$61:$M$68,B738)</f>
        <v/>
      </c>
      <c r="F738">
        <f>INDEX($N$61:$N$68,B738)</f>
        <v/>
      </c>
      <c r="G738">
        <f>INDEX($AA$61:$AA$68,B738)</f>
        <v/>
      </c>
      <c r="H738">
        <f>INDEX($X$61:$X$68,B738)</f>
        <v/>
      </c>
      <c r="I738">
        <f>INDEX($AF$61:$AF$68,B738)</f>
        <v/>
      </c>
      <c r="J738">
        <f>INDEX($AC$61:$AC$68,B738)</f>
        <v/>
      </c>
      <c r="K738">
        <f>INDEX($AD$61:$AD$68,B738)</f>
        <v/>
      </c>
      <c r="L738">
        <f>INDEX($AG$61:$AG$68,B738)</f>
        <v/>
      </c>
      <c r="M738">
        <f>INDEX($AH$61:$AH$68,B738)</f>
        <v/>
      </c>
      <c r="N738">
        <f>INDEX($AI$61:$AI$68,B738)</f>
        <v/>
      </c>
      <c r="O738">
        <f>O737*$B$26+L738*(1-$B$26)</f>
        <v/>
      </c>
      <c r="P738">
        <f>$B$7*(O738-O737)*(1-AS737)</f>
        <v/>
      </c>
      <c r="Q738">
        <f>M738+0.51274*AT737</f>
        <v/>
      </c>
      <c r="R738">
        <f>N738+0.616*AT737</f>
        <v/>
      </c>
      <c r="S738">
        <f>IF($B$13&gt;=0.6,Q738,IF($B$13&lt;=0.2,R738,R738+2.5*(Q738-R738)*($B$13-0.2)))</f>
        <v/>
      </c>
      <c r="T738">
        <f>IF(A738=1,S738,T737*$B$27+S738*(1-$B$27))</f>
        <v/>
      </c>
      <c r="U738">
        <f>0.6105*EXP(17.27*T738/(T738+237.3))</f>
        <v/>
      </c>
      <c r="V738">
        <f>($B$14*(I738*C738+IF(ABS((D738+0.1)-D738)&lt;0.000000001,4*$B$19*$B$20*(D738+273)^3,$B$19*$B$20*(((D738+0.1)+273)^4-(D738+273)^4)/((D738+0.1)-D738))*D738)+T738/H738)/($B$14*(I738+IF(ABS((D738+0.1)-D738)&lt;0.000000001,4*$B$19*$B$20*(D738+273)^3,$B$19*$B$20*(((D738+0.1)+273)^4-(D738+273)^4)/((D738+0.1)-D738)))+1/H738)</f>
        <v/>
      </c>
      <c r="W738">
        <f>($B$14*(I738*C738+IF(ABS(V738-D738)&lt;0.000000001,4*$B$19*$B$20*(D738+273)^3,$B$19*$B$20*((V738+273)^4-(D738+273)^4)/(V738-D738))*D738)+T738/H738)/($B$14*(I738+IF(ABS(V738-D738)&lt;0.000000001,4*$B$19*$B$20*(D738+273)^3,$B$19*$B$20*((V738+273)^4-(D738+273)^4)/(V738-D738)))+1/H738)</f>
        <v/>
      </c>
      <c r="X738">
        <f>($B$14*(I738*C738+IF(ABS(W738-D738)&lt;0.000000001,4*$B$19*$B$20*(D738+273)^3,$B$19*$B$20*((W738+273)^4-(D738+273)^4)/(W738-D738))*D738)+T738/H738)/($B$14*(I738+IF(ABS(W738-D738)&lt;0.000000001,4*$B$19*$B$20*(D738+273)^3,$B$19*$B$20*((W738+273)^4-(D738+273)^4)/(W738-D738)))+1/H738)</f>
        <v/>
      </c>
      <c r="Y738">
        <f>($B$14*(I738*C738+IF(ABS(X738-D738)&lt;0.000000001,4*$B$19*$B$20*(D738+273)^3,$B$19*$B$20*((X738+273)^4-(D738+273)^4)/(X738-D738))*D738)+T738/H738)/($B$14*(I738+IF(ABS(X738-D738)&lt;0.000000001,4*$B$19*$B$20*(D738+273)^3,$B$19*$B$20*((X738+273)^4-(D738+273)^4)/(X738-D738)))+1/H738)</f>
        <v/>
      </c>
      <c r="Z738">
        <f>IF(ABS(Y738-D738)&lt;0.000000001,4*$B$19*$B$20*(D738+273)^3,$B$19*$B$20*((Y738+273)^4-(D738+273)^4)/(Y738-D738))</f>
        <v/>
      </c>
      <c r="AA738">
        <f>$B$14*I738*(Y738-C738)</f>
        <v/>
      </c>
      <c r="AB738">
        <f>$B$14*Z738*(Y738-D738)</f>
        <v/>
      </c>
      <c r="AC738">
        <f>IF((U738-E738)/G738=0,0.001,(U738-E738)/G738)</f>
        <v/>
      </c>
      <c r="AD738">
        <f>F738-P738-J738-K738-AA738-AB738</f>
        <v/>
      </c>
      <c r="AE738">
        <f>AD738/AC738</f>
        <v/>
      </c>
      <c r="AF738">
        <f>IF(AD738&lt;=0,0,IF(AC738&lt;=0,$B$11,IF(AE738&gt;=1.7,$B$11,MIN(AD738/MAX(0.05,IF(AE738&gt;1,(2-AE738)^2/2,1-AE738^2/2)),$B$11))))</f>
        <v/>
      </c>
      <c r="AG738">
        <f>AG737*$B$28+AF738*(1-$B$28)</f>
        <v/>
      </c>
      <c r="AH738">
        <f>IF(AND(AD738&gt;0,AC738&lt;=0),0,AC738)</f>
        <v/>
      </c>
      <c r="AI738">
        <f>AH738/MAX(AG738,0.000001)</f>
        <v/>
      </c>
      <c r="AJ738">
        <f>MIN(IF(AI738&gt;=0.5,-AI738+SQRT(AI738^2+2),1),$B$12)</f>
        <v/>
      </c>
      <c r="AK738">
        <f>IF(AG738&lt;=0,0,AJ738*AH738)</f>
        <v/>
      </c>
      <c r="AL738">
        <f>IF(AD738&lt;=0,0,AD738)</f>
        <v/>
      </c>
      <c r="AM738">
        <f>AL738-AK738+P738</f>
        <v/>
      </c>
      <c r="AN738">
        <f>((AM738/$B$7+T737*AS737/2-T738*MAX(0.1,MIN(0.3,0.3-0.09*(AR737-36.8)))/2)+AR737*(1-AS737/2))/(1-MAX(0.1,MIN(0.3,0.3-0.09*(AR737-36.8)))/2)</f>
        <v/>
      </c>
      <c r="AO738">
        <f>((AM738/$B$7+T737*AS737/2-T738*MAX(0.1,MIN(0.3,0.3-0.09*(AN738-36.8)))/2)+AR737*(1-AS737/2))/(1-MAX(0.1,MIN(0.3,0.3-0.09*(AN738-36.8)))/2)</f>
        <v/>
      </c>
      <c r="AP738">
        <f>((AM738/$B$7+T737*AS737/2-T738*MAX(0.1,MIN(0.3,0.3-0.09*(AO738-36.8)))/2)+AR737*(1-AS737/2))/(1-MAX(0.1,MIN(0.3,0.3-0.09*(AO738-36.8)))/2)</f>
        <v/>
      </c>
      <c r="AQ738">
        <f>((AM738/$B$7+T737*AS737/2-T738*MAX(0.1,MIN(0.3,0.3-0.09*(AP738-36.8)))/2)+AR737*(1-AS737/2))/(1-MAX(0.1,MIN(0.3,0.3-0.09*(AP738-36.8)))/2)</f>
        <v/>
      </c>
      <c r="AR738">
        <f>((AM738/$B$7+T737*AS737/2-T738*MAX(0.1,MIN(0.3,0.3-0.09*(AQ738-36.8)))/2)+AR737*(1-AS737/2))/(1-MAX(0.1,MIN(0.3,0.3-0.09*(AQ738-36.8)))/2)</f>
        <v/>
      </c>
      <c r="AS738">
        <f>MAX(0.1,MIN(0.3,0.3-0.09*(AR738-36.8)))</f>
        <v/>
      </c>
      <c r="AT738">
        <f>AT737+(2*AR738-1.962*AT737-1.31)/9</f>
        <v/>
      </c>
      <c r="AU738">
        <f>AU737+AG738+K738</f>
        <v/>
      </c>
      <c r="AV738">
        <f>AU738*2.67*$B$6/1.8/60</f>
        <v/>
      </c>
      <c r="AW738">
        <f>IF(AT738&gt;=$B$36,1,0)</f>
        <v/>
      </c>
      <c r="AX738">
        <f>IF(AV738&gt;=$B$21,1,0)</f>
        <v/>
      </c>
    </row>
    <row r="739">
      <c r="A739" t="n">
        <v>666</v>
      </c>
      <c r="B739">
        <f>MATCH(A739-1,$D$61:$D$68,1)</f>
        <v/>
      </c>
      <c r="C739">
        <f>INDEX($G$61:$G$68,B739)</f>
        <v/>
      </c>
      <c r="D739">
        <f>INDEX($L$61:$L$68,B739)</f>
        <v/>
      </c>
      <c r="E739">
        <f>INDEX($M$61:$M$68,B739)</f>
        <v/>
      </c>
      <c r="F739">
        <f>INDEX($N$61:$N$68,B739)</f>
        <v/>
      </c>
      <c r="G739">
        <f>INDEX($AA$61:$AA$68,B739)</f>
        <v/>
      </c>
      <c r="H739">
        <f>INDEX($X$61:$X$68,B739)</f>
        <v/>
      </c>
      <c r="I739">
        <f>INDEX($AF$61:$AF$68,B739)</f>
        <v/>
      </c>
      <c r="J739">
        <f>INDEX($AC$61:$AC$68,B739)</f>
        <v/>
      </c>
      <c r="K739">
        <f>INDEX($AD$61:$AD$68,B739)</f>
        <v/>
      </c>
      <c r="L739">
        <f>INDEX($AG$61:$AG$68,B739)</f>
        <v/>
      </c>
      <c r="M739">
        <f>INDEX($AH$61:$AH$68,B739)</f>
        <v/>
      </c>
      <c r="N739">
        <f>INDEX($AI$61:$AI$68,B739)</f>
        <v/>
      </c>
      <c r="O739">
        <f>O738*$B$26+L739*(1-$B$26)</f>
        <v/>
      </c>
      <c r="P739">
        <f>$B$7*(O739-O738)*(1-AS738)</f>
        <v/>
      </c>
      <c r="Q739">
        <f>M739+0.51274*AT738</f>
        <v/>
      </c>
      <c r="R739">
        <f>N739+0.616*AT738</f>
        <v/>
      </c>
      <c r="S739">
        <f>IF($B$13&gt;=0.6,Q739,IF($B$13&lt;=0.2,R739,R739+2.5*(Q739-R739)*($B$13-0.2)))</f>
        <v/>
      </c>
      <c r="T739">
        <f>IF(A739=1,S739,T738*$B$27+S739*(1-$B$27))</f>
        <v/>
      </c>
      <c r="U739">
        <f>0.6105*EXP(17.27*T739/(T739+237.3))</f>
        <v/>
      </c>
      <c r="V739">
        <f>($B$14*(I739*C739+IF(ABS((D739+0.1)-D739)&lt;0.000000001,4*$B$19*$B$20*(D739+273)^3,$B$19*$B$20*(((D739+0.1)+273)^4-(D739+273)^4)/((D739+0.1)-D739))*D739)+T739/H739)/($B$14*(I739+IF(ABS((D739+0.1)-D739)&lt;0.000000001,4*$B$19*$B$20*(D739+273)^3,$B$19*$B$20*(((D739+0.1)+273)^4-(D739+273)^4)/((D739+0.1)-D739)))+1/H739)</f>
        <v/>
      </c>
      <c r="W739">
        <f>($B$14*(I739*C739+IF(ABS(V739-D739)&lt;0.000000001,4*$B$19*$B$20*(D739+273)^3,$B$19*$B$20*((V739+273)^4-(D739+273)^4)/(V739-D739))*D739)+T739/H739)/($B$14*(I739+IF(ABS(V739-D739)&lt;0.000000001,4*$B$19*$B$20*(D739+273)^3,$B$19*$B$20*((V739+273)^4-(D739+273)^4)/(V739-D739)))+1/H739)</f>
        <v/>
      </c>
      <c r="X739">
        <f>($B$14*(I739*C739+IF(ABS(W739-D739)&lt;0.000000001,4*$B$19*$B$20*(D739+273)^3,$B$19*$B$20*((W739+273)^4-(D739+273)^4)/(W739-D739))*D739)+T739/H739)/($B$14*(I739+IF(ABS(W739-D739)&lt;0.000000001,4*$B$19*$B$20*(D739+273)^3,$B$19*$B$20*((W739+273)^4-(D739+273)^4)/(W739-D739)))+1/H739)</f>
        <v/>
      </c>
      <c r="Y739">
        <f>($B$14*(I739*C739+IF(ABS(X739-D739)&lt;0.000000001,4*$B$19*$B$20*(D739+273)^3,$B$19*$B$20*((X739+273)^4-(D739+273)^4)/(X739-D739))*D739)+T739/H739)/($B$14*(I739+IF(ABS(X739-D739)&lt;0.000000001,4*$B$19*$B$20*(D739+273)^3,$B$19*$B$20*((X739+273)^4-(D739+273)^4)/(X739-D739)))+1/H739)</f>
        <v/>
      </c>
      <c r="Z739">
        <f>IF(ABS(Y739-D739)&lt;0.000000001,4*$B$19*$B$20*(D739+273)^3,$B$19*$B$20*((Y739+273)^4-(D739+273)^4)/(Y739-D739))</f>
        <v/>
      </c>
      <c r="AA739">
        <f>$B$14*I739*(Y739-C739)</f>
        <v/>
      </c>
      <c r="AB739">
        <f>$B$14*Z739*(Y739-D739)</f>
        <v/>
      </c>
      <c r="AC739">
        <f>IF((U739-E739)/G739=0,0.001,(U739-E739)/G739)</f>
        <v/>
      </c>
      <c r="AD739">
        <f>F739-P739-J739-K739-AA739-AB739</f>
        <v/>
      </c>
      <c r="AE739">
        <f>AD739/AC739</f>
        <v/>
      </c>
      <c r="AF739">
        <f>IF(AD739&lt;=0,0,IF(AC739&lt;=0,$B$11,IF(AE739&gt;=1.7,$B$11,MIN(AD739/MAX(0.05,IF(AE739&gt;1,(2-AE739)^2/2,1-AE739^2/2)),$B$11))))</f>
        <v/>
      </c>
      <c r="AG739">
        <f>AG738*$B$28+AF739*(1-$B$28)</f>
        <v/>
      </c>
      <c r="AH739">
        <f>IF(AND(AD739&gt;0,AC739&lt;=0),0,AC739)</f>
        <v/>
      </c>
      <c r="AI739">
        <f>AH739/MAX(AG739,0.000001)</f>
        <v/>
      </c>
      <c r="AJ739">
        <f>MIN(IF(AI739&gt;=0.5,-AI739+SQRT(AI739^2+2),1),$B$12)</f>
        <v/>
      </c>
      <c r="AK739">
        <f>IF(AG739&lt;=0,0,AJ739*AH739)</f>
        <v/>
      </c>
      <c r="AL739">
        <f>IF(AD739&lt;=0,0,AD739)</f>
        <v/>
      </c>
      <c r="AM739">
        <f>AL739-AK739+P739</f>
        <v/>
      </c>
      <c r="AN739">
        <f>((AM739/$B$7+T738*AS738/2-T739*MAX(0.1,MIN(0.3,0.3-0.09*(AR738-36.8)))/2)+AR738*(1-AS738/2))/(1-MAX(0.1,MIN(0.3,0.3-0.09*(AR738-36.8)))/2)</f>
        <v/>
      </c>
      <c r="AO739">
        <f>((AM739/$B$7+T738*AS738/2-T739*MAX(0.1,MIN(0.3,0.3-0.09*(AN739-36.8)))/2)+AR738*(1-AS738/2))/(1-MAX(0.1,MIN(0.3,0.3-0.09*(AN739-36.8)))/2)</f>
        <v/>
      </c>
      <c r="AP739">
        <f>((AM739/$B$7+T738*AS738/2-T739*MAX(0.1,MIN(0.3,0.3-0.09*(AO739-36.8)))/2)+AR738*(1-AS738/2))/(1-MAX(0.1,MIN(0.3,0.3-0.09*(AO739-36.8)))/2)</f>
        <v/>
      </c>
      <c r="AQ739">
        <f>((AM739/$B$7+T738*AS738/2-T739*MAX(0.1,MIN(0.3,0.3-0.09*(AP739-36.8)))/2)+AR738*(1-AS738/2))/(1-MAX(0.1,MIN(0.3,0.3-0.09*(AP739-36.8)))/2)</f>
        <v/>
      </c>
      <c r="AR739">
        <f>((AM739/$B$7+T738*AS738/2-T739*MAX(0.1,MIN(0.3,0.3-0.09*(AQ739-36.8)))/2)+AR738*(1-AS738/2))/(1-MAX(0.1,MIN(0.3,0.3-0.09*(AQ739-36.8)))/2)</f>
        <v/>
      </c>
      <c r="AS739">
        <f>MAX(0.1,MIN(0.3,0.3-0.09*(AR739-36.8)))</f>
        <v/>
      </c>
      <c r="AT739">
        <f>AT738+(2*AR739-1.962*AT738-1.31)/9</f>
        <v/>
      </c>
      <c r="AU739">
        <f>AU738+AG739+K739</f>
        <v/>
      </c>
      <c r="AV739">
        <f>AU739*2.67*$B$6/1.8/60</f>
        <v/>
      </c>
      <c r="AW739">
        <f>IF(AT739&gt;=$B$36,1,0)</f>
        <v/>
      </c>
      <c r="AX739">
        <f>IF(AV739&gt;=$B$21,1,0)</f>
        <v/>
      </c>
    </row>
    <row r="740">
      <c r="A740" t="n">
        <v>667</v>
      </c>
      <c r="B740">
        <f>MATCH(A740-1,$D$61:$D$68,1)</f>
        <v/>
      </c>
      <c r="C740">
        <f>INDEX($G$61:$G$68,B740)</f>
        <v/>
      </c>
      <c r="D740">
        <f>INDEX($L$61:$L$68,B740)</f>
        <v/>
      </c>
      <c r="E740">
        <f>INDEX($M$61:$M$68,B740)</f>
        <v/>
      </c>
      <c r="F740">
        <f>INDEX($N$61:$N$68,B740)</f>
        <v/>
      </c>
      <c r="G740">
        <f>INDEX($AA$61:$AA$68,B740)</f>
        <v/>
      </c>
      <c r="H740">
        <f>INDEX($X$61:$X$68,B740)</f>
        <v/>
      </c>
      <c r="I740">
        <f>INDEX($AF$61:$AF$68,B740)</f>
        <v/>
      </c>
      <c r="J740">
        <f>INDEX($AC$61:$AC$68,B740)</f>
        <v/>
      </c>
      <c r="K740">
        <f>INDEX($AD$61:$AD$68,B740)</f>
        <v/>
      </c>
      <c r="L740">
        <f>INDEX($AG$61:$AG$68,B740)</f>
        <v/>
      </c>
      <c r="M740">
        <f>INDEX($AH$61:$AH$68,B740)</f>
        <v/>
      </c>
      <c r="N740">
        <f>INDEX($AI$61:$AI$68,B740)</f>
        <v/>
      </c>
      <c r="O740">
        <f>O739*$B$26+L740*(1-$B$26)</f>
        <v/>
      </c>
      <c r="P740">
        <f>$B$7*(O740-O739)*(1-AS739)</f>
        <v/>
      </c>
      <c r="Q740">
        <f>M740+0.51274*AT739</f>
        <v/>
      </c>
      <c r="R740">
        <f>N740+0.616*AT739</f>
        <v/>
      </c>
      <c r="S740">
        <f>IF($B$13&gt;=0.6,Q740,IF($B$13&lt;=0.2,R740,R740+2.5*(Q740-R740)*($B$13-0.2)))</f>
        <v/>
      </c>
      <c r="T740">
        <f>IF(A740=1,S740,T739*$B$27+S740*(1-$B$27))</f>
        <v/>
      </c>
      <c r="U740">
        <f>0.6105*EXP(17.27*T740/(T740+237.3))</f>
        <v/>
      </c>
      <c r="V740">
        <f>($B$14*(I740*C740+IF(ABS((D740+0.1)-D740)&lt;0.000000001,4*$B$19*$B$20*(D740+273)^3,$B$19*$B$20*(((D740+0.1)+273)^4-(D740+273)^4)/((D740+0.1)-D740))*D740)+T740/H740)/($B$14*(I740+IF(ABS((D740+0.1)-D740)&lt;0.000000001,4*$B$19*$B$20*(D740+273)^3,$B$19*$B$20*(((D740+0.1)+273)^4-(D740+273)^4)/((D740+0.1)-D740)))+1/H740)</f>
        <v/>
      </c>
      <c r="W740">
        <f>($B$14*(I740*C740+IF(ABS(V740-D740)&lt;0.000000001,4*$B$19*$B$20*(D740+273)^3,$B$19*$B$20*((V740+273)^4-(D740+273)^4)/(V740-D740))*D740)+T740/H740)/($B$14*(I740+IF(ABS(V740-D740)&lt;0.000000001,4*$B$19*$B$20*(D740+273)^3,$B$19*$B$20*((V740+273)^4-(D740+273)^4)/(V740-D740)))+1/H740)</f>
        <v/>
      </c>
      <c r="X740">
        <f>($B$14*(I740*C740+IF(ABS(W740-D740)&lt;0.000000001,4*$B$19*$B$20*(D740+273)^3,$B$19*$B$20*((W740+273)^4-(D740+273)^4)/(W740-D740))*D740)+T740/H740)/($B$14*(I740+IF(ABS(W740-D740)&lt;0.000000001,4*$B$19*$B$20*(D740+273)^3,$B$19*$B$20*((W740+273)^4-(D740+273)^4)/(W740-D740)))+1/H740)</f>
        <v/>
      </c>
      <c r="Y740">
        <f>($B$14*(I740*C740+IF(ABS(X740-D740)&lt;0.000000001,4*$B$19*$B$20*(D740+273)^3,$B$19*$B$20*((X740+273)^4-(D740+273)^4)/(X740-D740))*D740)+T740/H740)/($B$14*(I740+IF(ABS(X740-D740)&lt;0.000000001,4*$B$19*$B$20*(D740+273)^3,$B$19*$B$20*((X740+273)^4-(D740+273)^4)/(X740-D740)))+1/H740)</f>
        <v/>
      </c>
      <c r="Z740">
        <f>IF(ABS(Y740-D740)&lt;0.000000001,4*$B$19*$B$20*(D740+273)^3,$B$19*$B$20*((Y740+273)^4-(D740+273)^4)/(Y740-D740))</f>
        <v/>
      </c>
      <c r="AA740">
        <f>$B$14*I740*(Y740-C740)</f>
        <v/>
      </c>
      <c r="AB740">
        <f>$B$14*Z740*(Y740-D740)</f>
        <v/>
      </c>
      <c r="AC740">
        <f>IF((U740-E740)/G740=0,0.001,(U740-E740)/G740)</f>
        <v/>
      </c>
      <c r="AD740">
        <f>F740-P740-J740-K740-AA740-AB740</f>
        <v/>
      </c>
      <c r="AE740">
        <f>AD740/AC740</f>
        <v/>
      </c>
      <c r="AF740">
        <f>IF(AD740&lt;=0,0,IF(AC740&lt;=0,$B$11,IF(AE740&gt;=1.7,$B$11,MIN(AD740/MAX(0.05,IF(AE740&gt;1,(2-AE740)^2/2,1-AE740^2/2)),$B$11))))</f>
        <v/>
      </c>
      <c r="AG740">
        <f>AG739*$B$28+AF740*(1-$B$28)</f>
        <v/>
      </c>
      <c r="AH740">
        <f>IF(AND(AD740&gt;0,AC740&lt;=0),0,AC740)</f>
        <v/>
      </c>
      <c r="AI740">
        <f>AH740/MAX(AG740,0.000001)</f>
        <v/>
      </c>
      <c r="AJ740">
        <f>MIN(IF(AI740&gt;=0.5,-AI740+SQRT(AI740^2+2),1),$B$12)</f>
        <v/>
      </c>
      <c r="AK740">
        <f>IF(AG740&lt;=0,0,AJ740*AH740)</f>
        <v/>
      </c>
      <c r="AL740">
        <f>IF(AD740&lt;=0,0,AD740)</f>
        <v/>
      </c>
      <c r="AM740">
        <f>AL740-AK740+P740</f>
        <v/>
      </c>
      <c r="AN740">
        <f>((AM740/$B$7+T739*AS739/2-T740*MAX(0.1,MIN(0.3,0.3-0.09*(AR739-36.8)))/2)+AR739*(1-AS739/2))/(1-MAX(0.1,MIN(0.3,0.3-0.09*(AR739-36.8)))/2)</f>
        <v/>
      </c>
      <c r="AO740">
        <f>((AM740/$B$7+T739*AS739/2-T740*MAX(0.1,MIN(0.3,0.3-0.09*(AN740-36.8)))/2)+AR739*(1-AS739/2))/(1-MAX(0.1,MIN(0.3,0.3-0.09*(AN740-36.8)))/2)</f>
        <v/>
      </c>
      <c r="AP740">
        <f>((AM740/$B$7+T739*AS739/2-T740*MAX(0.1,MIN(0.3,0.3-0.09*(AO740-36.8)))/2)+AR739*(1-AS739/2))/(1-MAX(0.1,MIN(0.3,0.3-0.09*(AO740-36.8)))/2)</f>
        <v/>
      </c>
      <c r="AQ740">
        <f>((AM740/$B$7+T739*AS739/2-T740*MAX(0.1,MIN(0.3,0.3-0.09*(AP740-36.8)))/2)+AR739*(1-AS739/2))/(1-MAX(0.1,MIN(0.3,0.3-0.09*(AP740-36.8)))/2)</f>
        <v/>
      </c>
      <c r="AR740">
        <f>((AM740/$B$7+T739*AS739/2-T740*MAX(0.1,MIN(0.3,0.3-0.09*(AQ740-36.8)))/2)+AR739*(1-AS739/2))/(1-MAX(0.1,MIN(0.3,0.3-0.09*(AQ740-36.8)))/2)</f>
        <v/>
      </c>
      <c r="AS740">
        <f>MAX(0.1,MIN(0.3,0.3-0.09*(AR740-36.8)))</f>
        <v/>
      </c>
      <c r="AT740">
        <f>AT739+(2*AR740-1.962*AT739-1.31)/9</f>
        <v/>
      </c>
      <c r="AU740">
        <f>AU739+AG740+K740</f>
        <v/>
      </c>
      <c r="AV740">
        <f>AU740*2.67*$B$6/1.8/60</f>
        <v/>
      </c>
      <c r="AW740">
        <f>IF(AT740&gt;=$B$36,1,0)</f>
        <v/>
      </c>
      <c r="AX740">
        <f>IF(AV740&gt;=$B$21,1,0)</f>
        <v/>
      </c>
    </row>
    <row r="741">
      <c r="A741" t="n">
        <v>668</v>
      </c>
      <c r="B741">
        <f>MATCH(A741-1,$D$61:$D$68,1)</f>
        <v/>
      </c>
      <c r="C741">
        <f>INDEX($G$61:$G$68,B741)</f>
        <v/>
      </c>
      <c r="D741">
        <f>INDEX($L$61:$L$68,B741)</f>
        <v/>
      </c>
      <c r="E741">
        <f>INDEX($M$61:$M$68,B741)</f>
        <v/>
      </c>
      <c r="F741">
        <f>INDEX($N$61:$N$68,B741)</f>
        <v/>
      </c>
      <c r="G741">
        <f>INDEX($AA$61:$AA$68,B741)</f>
        <v/>
      </c>
      <c r="H741">
        <f>INDEX($X$61:$X$68,B741)</f>
        <v/>
      </c>
      <c r="I741">
        <f>INDEX($AF$61:$AF$68,B741)</f>
        <v/>
      </c>
      <c r="J741">
        <f>INDEX($AC$61:$AC$68,B741)</f>
        <v/>
      </c>
      <c r="K741">
        <f>INDEX($AD$61:$AD$68,B741)</f>
        <v/>
      </c>
      <c r="L741">
        <f>INDEX($AG$61:$AG$68,B741)</f>
        <v/>
      </c>
      <c r="M741">
        <f>INDEX($AH$61:$AH$68,B741)</f>
        <v/>
      </c>
      <c r="N741">
        <f>INDEX($AI$61:$AI$68,B741)</f>
        <v/>
      </c>
      <c r="O741">
        <f>O740*$B$26+L741*(1-$B$26)</f>
        <v/>
      </c>
      <c r="P741">
        <f>$B$7*(O741-O740)*(1-AS740)</f>
        <v/>
      </c>
      <c r="Q741">
        <f>M741+0.51274*AT740</f>
        <v/>
      </c>
      <c r="R741">
        <f>N741+0.616*AT740</f>
        <v/>
      </c>
      <c r="S741">
        <f>IF($B$13&gt;=0.6,Q741,IF($B$13&lt;=0.2,R741,R741+2.5*(Q741-R741)*($B$13-0.2)))</f>
        <v/>
      </c>
      <c r="T741">
        <f>IF(A741=1,S741,T740*$B$27+S741*(1-$B$27))</f>
        <v/>
      </c>
      <c r="U741">
        <f>0.6105*EXP(17.27*T741/(T741+237.3))</f>
        <v/>
      </c>
      <c r="V741">
        <f>($B$14*(I741*C741+IF(ABS((D741+0.1)-D741)&lt;0.000000001,4*$B$19*$B$20*(D741+273)^3,$B$19*$B$20*(((D741+0.1)+273)^4-(D741+273)^4)/((D741+0.1)-D741))*D741)+T741/H741)/($B$14*(I741+IF(ABS((D741+0.1)-D741)&lt;0.000000001,4*$B$19*$B$20*(D741+273)^3,$B$19*$B$20*(((D741+0.1)+273)^4-(D741+273)^4)/((D741+0.1)-D741)))+1/H741)</f>
        <v/>
      </c>
      <c r="W741">
        <f>($B$14*(I741*C741+IF(ABS(V741-D741)&lt;0.000000001,4*$B$19*$B$20*(D741+273)^3,$B$19*$B$20*((V741+273)^4-(D741+273)^4)/(V741-D741))*D741)+T741/H741)/($B$14*(I741+IF(ABS(V741-D741)&lt;0.000000001,4*$B$19*$B$20*(D741+273)^3,$B$19*$B$20*((V741+273)^4-(D741+273)^4)/(V741-D741)))+1/H741)</f>
        <v/>
      </c>
      <c r="X741">
        <f>($B$14*(I741*C741+IF(ABS(W741-D741)&lt;0.000000001,4*$B$19*$B$20*(D741+273)^3,$B$19*$B$20*((W741+273)^4-(D741+273)^4)/(W741-D741))*D741)+T741/H741)/($B$14*(I741+IF(ABS(W741-D741)&lt;0.000000001,4*$B$19*$B$20*(D741+273)^3,$B$19*$B$20*((W741+273)^4-(D741+273)^4)/(W741-D741)))+1/H741)</f>
        <v/>
      </c>
      <c r="Y741">
        <f>($B$14*(I741*C741+IF(ABS(X741-D741)&lt;0.000000001,4*$B$19*$B$20*(D741+273)^3,$B$19*$B$20*((X741+273)^4-(D741+273)^4)/(X741-D741))*D741)+T741/H741)/($B$14*(I741+IF(ABS(X741-D741)&lt;0.000000001,4*$B$19*$B$20*(D741+273)^3,$B$19*$B$20*((X741+273)^4-(D741+273)^4)/(X741-D741)))+1/H741)</f>
        <v/>
      </c>
      <c r="Z741">
        <f>IF(ABS(Y741-D741)&lt;0.000000001,4*$B$19*$B$20*(D741+273)^3,$B$19*$B$20*((Y741+273)^4-(D741+273)^4)/(Y741-D741))</f>
        <v/>
      </c>
      <c r="AA741">
        <f>$B$14*I741*(Y741-C741)</f>
        <v/>
      </c>
      <c r="AB741">
        <f>$B$14*Z741*(Y741-D741)</f>
        <v/>
      </c>
      <c r="AC741">
        <f>IF((U741-E741)/G741=0,0.001,(U741-E741)/G741)</f>
        <v/>
      </c>
      <c r="AD741">
        <f>F741-P741-J741-K741-AA741-AB741</f>
        <v/>
      </c>
      <c r="AE741">
        <f>AD741/AC741</f>
        <v/>
      </c>
      <c r="AF741">
        <f>IF(AD741&lt;=0,0,IF(AC741&lt;=0,$B$11,IF(AE741&gt;=1.7,$B$11,MIN(AD741/MAX(0.05,IF(AE741&gt;1,(2-AE741)^2/2,1-AE741^2/2)),$B$11))))</f>
        <v/>
      </c>
      <c r="AG741">
        <f>AG740*$B$28+AF741*(1-$B$28)</f>
        <v/>
      </c>
      <c r="AH741">
        <f>IF(AND(AD741&gt;0,AC741&lt;=0),0,AC741)</f>
        <v/>
      </c>
      <c r="AI741">
        <f>AH741/MAX(AG741,0.000001)</f>
        <v/>
      </c>
      <c r="AJ741">
        <f>MIN(IF(AI741&gt;=0.5,-AI741+SQRT(AI741^2+2),1),$B$12)</f>
        <v/>
      </c>
      <c r="AK741">
        <f>IF(AG741&lt;=0,0,AJ741*AH741)</f>
        <v/>
      </c>
      <c r="AL741">
        <f>IF(AD741&lt;=0,0,AD741)</f>
        <v/>
      </c>
      <c r="AM741">
        <f>AL741-AK741+P741</f>
        <v/>
      </c>
      <c r="AN741">
        <f>((AM741/$B$7+T740*AS740/2-T741*MAX(0.1,MIN(0.3,0.3-0.09*(AR740-36.8)))/2)+AR740*(1-AS740/2))/(1-MAX(0.1,MIN(0.3,0.3-0.09*(AR740-36.8)))/2)</f>
        <v/>
      </c>
      <c r="AO741">
        <f>((AM741/$B$7+T740*AS740/2-T741*MAX(0.1,MIN(0.3,0.3-0.09*(AN741-36.8)))/2)+AR740*(1-AS740/2))/(1-MAX(0.1,MIN(0.3,0.3-0.09*(AN741-36.8)))/2)</f>
        <v/>
      </c>
      <c r="AP741">
        <f>((AM741/$B$7+T740*AS740/2-T741*MAX(0.1,MIN(0.3,0.3-0.09*(AO741-36.8)))/2)+AR740*(1-AS740/2))/(1-MAX(0.1,MIN(0.3,0.3-0.09*(AO741-36.8)))/2)</f>
        <v/>
      </c>
      <c r="AQ741">
        <f>((AM741/$B$7+T740*AS740/2-T741*MAX(0.1,MIN(0.3,0.3-0.09*(AP741-36.8)))/2)+AR740*(1-AS740/2))/(1-MAX(0.1,MIN(0.3,0.3-0.09*(AP741-36.8)))/2)</f>
        <v/>
      </c>
      <c r="AR741">
        <f>((AM741/$B$7+T740*AS740/2-T741*MAX(0.1,MIN(0.3,0.3-0.09*(AQ741-36.8)))/2)+AR740*(1-AS740/2))/(1-MAX(0.1,MIN(0.3,0.3-0.09*(AQ741-36.8)))/2)</f>
        <v/>
      </c>
      <c r="AS741">
        <f>MAX(0.1,MIN(0.3,0.3-0.09*(AR741-36.8)))</f>
        <v/>
      </c>
      <c r="AT741">
        <f>AT740+(2*AR741-1.962*AT740-1.31)/9</f>
        <v/>
      </c>
      <c r="AU741">
        <f>AU740+AG741+K741</f>
        <v/>
      </c>
      <c r="AV741">
        <f>AU741*2.67*$B$6/1.8/60</f>
        <v/>
      </c>
      <c r="AW741">
        <f>IF(AT741&gt;=$B$36,1,0)</f>
        <v/>
      </c>
      <c r="AX741">
        <f>IF(AV741&gt;=$B$21,1,0)</f>
        <v/>
      </c>
    </row>
    <row r="742">
      <c r="A742" t="n">
        <v>669</v>
      </c>
      <c r="B742">
        <f>MATCH(A742-1,$D$61:$D$68,1)</f>
        <v/>
      </c>
      <c r="C742">
        <f>INDEX($G$61:$G$68,B742)</f>
        <v/>
      </c>
      <c r="D742">
        <f>INDEX($L$61:$L$68,B742)</f>
        <v/>
      </c>
      <c r="E742">
        <f>INDEX($M$61:$M$68,B742)</f>
        <v/>
      </c>
      <c r="F742">
        <f>INDEX($N$61:$N$68,B742)</f>
        <v/>
      </c>
      <c r="G742">
        <f>INDEX($AA$61:$AA$68,B742)</f>
        <v/>
      </c>
      <c r="H742">
        <f>INDEX($X$61:$X$68,B742)</f>
        <v/>
      </c>
      <c r="I742">
        <f>INDEX($AF$61:$AF$68,B742)</f>
        <v/>
      </c>
      <c r="J742">
        <f>INDEX($AC$61:$AC$68,B742)</f>
        <v/>
      </c>
      <c r="K742">
        <f>INDEX($AD$61:$AD$68,B742)</f>
        <v/>
      </c>
      <c r="L742">
        <f>INDEX($AG$61:$AG$68,B742)</f>
        <v/>
      </c>
      <c r="M742">
        <f>INDEX($AH$61:$AH$68,B742)</f>
        <v/>
      </c>
      <c r="N742">
        <f>INDEX($AI$61:$AI$68,B742)</f>
        <v/>
      </c>
      <c r="O742">
        <f>O741*$B$26+L742*(1-$B$26)</f>
        <v/>
      </c>
      <c r="P742">
        <f>$B$7*(O742-O741)*(1-AS741)</f>
        <v/>
      </c>
      <c r="Q742">
        <f>M742+0.51274*AT741</f>
        <v/>
      </c>
      <c r="R742">
        <f>N742+0.616*AT741</f>
        <v/>
      </c>
      <c r="S742">
        <f>IF($B$13&gt;=0.6,Q742,IF($B$13&lt;=0.2,R742,R742+2.5*(Q742-R742)*($B$13-0.2)))</f>
        <v/>
      </c>
      <c r="T742">
        <f>IF(A742=1,S742,T741*$B$27+S742*(1-$B$27))</f>
        <v/>
      </c>
      <c r="U742">
        <f>0.6105*EXP(17.27*T742/(T742+237.3))</f>
        <v/>
      </c>
      <c r="V742">
        <f>($B$14*(I742*C742+IF(ABS((D742+0.1)-D742)&lt;0.000000001,4*$B$19*$B$20*(D742+273)^3,$B$19*$B$20*(((D742+0.1)+273)^4-(D742+273)^4)/((D742+0.1)-D742))*D742)+T742/H742)/($B$14*(I742+IF(ABS((D742+0.1)-D742)&lt;0.000000001,4*$B$19*$B$20*(D742+273)^3,$B$19*$B$20*(((D742+0.1)+273)^4-(D742+273)^4)/((D742+0.1)-D742)))+1/H742)</f>
        <v/>
      </c>
      <c r="W742">
        <f>($B$14*(I742*C742+IF(ABS(V742-D742)&lt;0.000000001,4*$B$19*$B$20*(D742+273)^3,$B$19*$B$20*((V742+273)^4-(D742+273)^4)/(V742-D742))*D742)+T742/H742)/($B$14*(I742+IF(ABS(V742-D742)&lt;0.000000001,4*$B$19*$B$20*(D742+273)^3,$B$19*$B$20*((V742+273)^4-(D742+273)^4)/(V742-D742)))+1/H742)</f>
        <v/>
      </c>
      <c r="X742">
        <f>($B$14*(I742*C742+IF(ABS(W742-D742)&lt;0.000000001,4*$B$19*$B$20*(D742+273)^3,$B$19*$B$20*((W742+273)^4-(D742+273)^4)/(W742-D742))*D742)+T742/H742)/($B$14*(I742+IF(ABS(W742-D742)&lt;0.000000001,4*$B$19*$B$20*(D742+273)^3,$B$19*$B$20*((W742+273)^4-(D742+273)^4)/(W742-D742)))+1/H742)</f>
        <v/>
      </c>
      <c r="Y742">
        <f>($B$14*(I742*C742+IF(ABS(X742-D742)&lt;0.000000001,4*$B$19*$B$20*(D742+273)^3,$B$19*$B$20*((X742+273)^4-(D742+273)^4)/(X742-D742))*D742)+T742/H742)/($B$14*(I742+IF(ABS(X742-D742)&lt;0.000000001,4*$B$19*$B$20*(D742+273)^3,$B$19*$B$20*((X742+273)^4-(D742+273)^4)/(X742-D742)))+1/H742)</f>
        <v/>
      </c>
      <c r="Z742">
        <f>IF(ABS(Y742-D742)&lt;0.000000001,4*$B$19*$B$20*(D742+273)^3,$B$19*$B$20*((Y742+273)^4-(D742+273)^4)/(Y742-D742))</f>
        <v/>
      </c>
      <c r="AA742">
        <f>$B$14*I742*(Y742-C742)</f>
        <v/>
      </c>
      <c r="AB742">
        <f>$B$14*Z742*(Y742-D742)</f>
        <v/>
      </c>
      <c r="AC742">
        <f>IF((U742-E742)/G742=0,0.001,(U742-E742)/G742)</f>
        <v/>
      </c>
      <c r="AD742">
        <f>F742-P742-J742-K742-AA742-AB742</f>
        <v/>
      </c>
      <c r="AE742">
        <f>AD742/AC742</f>
        <v/>
      </c>
      <c r="AF742">
        <f>IF(AD742&lt;=0,0,IF(AC742&lt;=0,$B$11,IF(AE742&gt;=1.7,$B$11,MIN(AD742/MAX(0.05,IF(AE742&gt;1,(2-AE742)^2/2,1-AE742^2/2)),$B$11))))</f>
        <v/>
      </c>
      <c r="AG742">
        <f>AG741*$B$28+AF742*(1-$B$28)</f>
        <v/>
      </c>
      <c r="AH742">
        <f>IF(AND(AD742&gt;0,AC742&lt;=0),0,AC742)</f>
        <v/>
      </c>
      <c r="AI742">
        <f>AH742/MAX(AG742,0.000001)</f>
        <v/>
      </c>
      <c r="AJ742">
        <f>MIN(IF(AI742&gt;=0.5,-AI742+SQRT(AI742^2+2),1),$B$12)</f>
        <v/>
      </c>
      <c r="AK742">
        <f>IF(AG742&lt;=0,0,AJ742*AH742)</f>
        <v/>
      </c>
      <c r="AL742">
        <f>IF(AD742&lt;=0,0,AD742)</f>
        <v/>
      </c>
      <c r="AM742">
        <f>AL742-AK742+P742</f>
        <v/>
      </c>
      <c r="AN742">
        <f>((AM742/$B$7+T741*AS741/2-T742*MAX(0.1,MIN(0.3,0.3-0.09*(AR741-36.8)))/2)+AR741*(1-AS741/2))/(1-MAX(0.1,MIN(0.3,0.3-0.09*(AR741-36.8)))/2)</f>
        <v/>
      </c>
      <c r="AO742">
        <f>((AM742/$B$7+T741*AS741/2-T742*MAX(0.1,MIN(0.3,0.3-0.09*(AN742-36.8)))/2)+AR741*(1-AS741/2))/(1-MAX(0.1,MIN(0.3,0.3-0.09*(AN742-36.8)))/2)</f>
        <v/>
      </c>
      <c r="AP742">
        <f>((AM742/$B$7+T741*AS741/2-T742*MAX(0.1,MIN(0.3,0.3-0.09*(AO742-36.8)))/2)+AR741*(1-AS741/2))/(1-MAX(0.1,MIN(0.3,0.3-0.09*(AO742-36.8)))/2)</f>
        <v/>
      </c>
      <c r="AQ742">
        <f>((AM742/$B$7+T741*AS741/2-T742*MAX(0.1,MIN(0.3,0.3-0.09*(AP742-36.8)))/2)+AR741*(1-AS741/2))/(1-MAX(0.1,MIN(0.3,0.3-0.09*(AP742-36.8)))/2)</f>
        <v/>
      </c>
      <c r="AR742">
        <f>((AM742/$B$7+T741*AS741/2-T742*MAX(0.1,MIN(0.3,0.3-0.09*(AQ742-36.8)))/2)+AR741*(1-AS741/2))/(1-MAX(0.1,MIN(0.3,0.3-0.09*(AQ742-36.8)))/2)</f>
        <v/>
      </c>
      <c r="AS742">
        <f>MAX(0.1,MIN(0.3,0.3-0.09*(AR742-36.8)))</f>
        <v/>
      </c>
      <c r="AT742">
        <f>AT741+(2*AR742-1.962*AT741-1.31)/9</f>
        <v/>
      </c>
      <c r="AU742">
        <f>AU741+AG742+K742</f>
        <v/>
      </c>
      <c r="AV742">
        <f>AU742*2.67*$B$6/1.8/60</f>
        <v/>
      </c>
      <c r="AW742">
        <f>IF(AT742&gt;=$B$36,1,0)</f>
        <v/>
      </c>
      <c r="AX742">
        <f>IF(AV742&gt;=$B$21,1,0)</f>
        <v/>
      </c>
    </row>
    <row r="743">
      <c r="A743" t="n">
        <v>670</v>
      </c>
      <c r="B743">
        <f>MATCH(A743-1,$D$61:$D$68,1)</f>
        <v/>
      </c>
      <c r="C743">
        <f>INDEX($G$61:$G$68,B743)</f>
        <v/>
      </c>
      <c r="D743">
        <f>INDEX($L$61:$L$68,B743)</f>
        <v/>
      </c>
      <c r="E743">
        <f>INDEX($M$61:$M$68,B743)</f>
        <v/>
      </c>
      <c r="F743">
        <f>INDEX($N$61:$N$68,B743)</f>
        <v/>
      </c>
      <c r="G743">
        <f>INDEX($AA$61:$AA$68,B743)</f>
        <v/>
      </c>
      <c r="H743">
        <f>INDEX($X$61:$X$68,B743)</f>
        <v/>
      </c>
      <c r="I743">
        <f>INDEX($AF$61:$AF$68,B743)</f>
        <v/>
      </c>
      <c r="J743">
        <f>INDEX($AC$61:$AC$68,B743)</f>
        <v/>
      </c>
      <c r="K743">
        <f>INDEX($AD$61:$AD$68,B743)</f>
        <v/>
      </c>
      <c r="L743">
        <f>INDEX($AG$61:$AG$68,B743)</f>
        <v/>
      </c>
      <c r="M743">
        <f>INDEX($AH$61:$AH$68,B743)</f>
        <v/>
      </c>
      <c r="N743">
        <f>INDEX($AI$61:$AI$68,B743)</f>
        <v/>
      </c>
      <c r="O743">
        <f>O742*$B$26+L743*(1-$B$26)</f>
        <v/>
      </c>
      <c r="P743">
        <f>$B$7*(O743-O742)*(1-AS742)</f>
        <v/>
      </c>
      <c r="Q743">
        <f>M743+0.51274*AT742</f>
        <v/>
      </c>
      <c r="R743">
        <f>N743+0.616*AT742</f>
        <v/>
      </c>
      <c r="S743">
        <f>IF($B$13&gt;=0.6,Q743,IF($B$13&lt;=0.2,R743,R743+2.5*(Q743-R743)*($B$13-0.2)))</f>
        <v/>
      </c>
      <c r="T743">
        <f>IF(A743=1,S743,T742*$B$27+S743*(1-$B$27))</f>
        <v/>
      </c>
      <c r="U743">
        <f>0.6105*EXP(17.27*T743/(T743+237.3))</f>
        <v/>
      </c>
      <c r="V743">
        <f>($B$14*(I743*C743+IF(ABS((D743+0.1)-D743)&lt;0.000000001,4*$B$19*$B$20*(D743+273)^3,$B$19*$B$20*(((D743+0.1)+273)^4-(D743+273)^4)/((D743+0.1)-D743))*D743)+T743/H743)/($B$14*(I743+IF(ABS((D743+0.1)-D743)&lt;0.000000001,4*$B$19*$B$20*(D743+273)^3,$B$19*$B$20*(((D743+0.1)+273)^4-(D743+273)^4)/((D743+0.1)-D743)))+1/H743)</f>
        <v/>
      </c>
      <c r="W743">
        <f>($B$14*(I743*C743+IF(ABS(V743-D743)&lt;0.000000001,4*$B$19*$B$20*(D743+273)^3,$B$19*$B$20*((V743+273)^4-(D743+273)^4)/(V743-D743))*D743)+T743/H743)/($B$14*(I743+IF(ABS(V743-D743)&lt;0.000000001,4*$B$19*$B$20*(D743+273)^3,$B$19*$B$20*((V743+273)^4-(D743+273)^4)/(V743-D743)))+1/H743)</f>
        <v/>
      </c>
      <c r="X743">
        <f>($B$14*(I743*C743+IF(ABS(W743-D743)&lt;0.000000001,4*$B$19*$B$20*(D743+273)^3,$B$19*$B$20*((W743+273)^4-(D743+273)^4)/(W743-D743))*D743)+T743/H743)/($B$14*(I743+IF(ABS(W743-D743)&lt;0.000000001,4*$B$19*$B$20*(D743+273)^3,$B$19*$B$20*((W743+273)^4-(D743+273)^4)/(W743-D743)))+1/H743)</f>
        <v/>
      </c>
      <c r="Y743">
        <f>($B$14*(I743*C743+IF(ABS(X743-D743)&lt;0.000000001,4*$B$19*$B$20*(D743+273)^3,$B$19*$B$20*((X743+273)^4-(D743+273)^4)/(X743-D743))*D743)+T743/H743)/($B$14*(I743+IF(ABS(X743-D743)&lt;0.000000001,4*$B$19*$B$20*(D743+273)^3,$B$19*$B$20*((X743+273)^4-(D743+273)^4)/(X743-D743)))+1/H743)</f>
        <v/>
      </c>
      <c r="Z743">
        <f>IF(ABS(Y743-D743)&lt;0.000000001,4*$B$19*$B$20*(D743+273)^3,$B$19*$B$20*((Y743+273)^4-(D743+273)^4)/(Y743-D743))</f>
        <v/>
      </c>
      <c r="AA743">
        <f>$B$14*I743*(Y743-C743)</f>
        <v/>
      </c>
      <c r="AB743">
        <f>$B$14*Z743*(Y743-D743)</f>
        <v/>
      </c>
      <c r="AC743">
        <f>IF((U743-E743)/G743=0,0.001,(U743-E743)/G743)</f>
        <v/>
      </c>
      <c r="AD743">
        <f>F743-P743-J743-K743-AA743-AB743</f>
        <v/>
      </c>
      <c r="AE743">
        <f>AD743/AC743</f>
        <v/>
      </c>
      <c r="AF743">
        <f>IF(AD743&lt;=0,0,IF(AC743&lt;=0,$B$11,IF(AE743&gt;=1.7,$B$11,MIN(AD743/MAX(0.05,IF(AE743&gt;1,(2-AE743)^2/2,1-AE743^2/2)),$B$11))))</f>
        <v/>
      </c>
      <c r="AG743">
        <f>AG742*$B$28+AF743*(1-$B$28)</f>
        <v/>
      </c>
      <c r="AH743">
        <f>IF(AND(AD743&gt;0,AC743&lt;=0),0,AC743)</f>
        <v/>
      </c>
      <c r="AI743">
        <f>AH743/MAX(AG743,0.000001)</f>
        <v/>
      </c>
      <c r="AJ743">
        <f>MIN(IF(AI743&gt;=0.5,-AI743+SQRT(AI743^2+2),1),$B$12)</f>
        <v/>
      </c>
      <c r="AK743">
        <f>IF(AG743&lt;=0,0,AJ743*AH743)</f>
        <v/>
      </c>
      <c r="AL743">
        <f>IF(AD743&lt;=0,0,AD743)</f>
        <v/>
      </c>
      <c r="AM743">
        <f>AL743-AK743+P743</f>
        <v/>
      </c>
      <c r="AN743">
        <f>((AM743/$B$7+T742*AS742/2-T743*MAX(0.1,MIN(0.3,0.3-0.09*(AR742-36.8)))/2)+AR742*(1-AS742/2))/(1-MAX(0.1,MIN(0.3,0.3-0.09*(AR742-36.8)))/2)</f>
        <v/>
      </c>
      <c r="AO743">
        <f>((AM743/$B$7+T742*AS742/2-T743*MAX(0.1,MIN(0.3,0.3-0.09*(AN743-36.8)))/2)+AR742*(1-AS742/2))/(1-MAX(0.1,MIN(0.3,0.3-0.09*(AN743-36.8)))/2)</f>
        <v/>
      </c>
      <c r="AP743">
        <f>((AM743/$B$7+T742*AS742/2-T743*MAX(0.1,MIN(0.3,0.3-0.09*(AO743-36.8)))/2)+AR742*(1-AS742/2))/(1-MAX(0.1,MIN(0.3,0.3-0.09*(AO743-36.8)))/2)</f>
        <v/>
      </c>
      <c r="AQ743">
        <f>((AM743/$B$7+T742*AS742/2-T743*MAX(0.1,MIN(0.3,0.3-0.09*(AP743-36.8)))/2)+AR742*(1-AS742/2))/(1-MAX(0.1,MIN(0.3,0.3-0.09*(AP743-36.8)))/2)</f>
        <v/>
      </c>
      <c r="AR743">
        <f>((AM743/$B$7+T742*AS742/2-T743*MAX(0.1,MIN(0.3,0.3-0.09*(AQ743-36.8)))/2)+AR742*(1-AS742/2))/(1-MAX(0.1,MIN(0.3,0.3-0.09*(AQ743-36.8)))/2)</f>
        <v/>
      </c>
      <c r="AS743">
        <f>MAX(0.1,MIN(0.3,0.3-0.09*(AR743-36.8)))</f>
        <v/>
      </c>
      <c r="AT743">
        <f>AT742+(2*AR743-1.962*AT742-1.31)/9</f>
        <v/>
      </c>
      <c r="AU743">
        <f>AU742+AG743+K743</f>
        <v/>
      </c>
      <c r="AV743">
        <f>AU743*2.67*$B$6/1.8/60</f>
        <v/>
      </c>
      <c r="AW743">
        <f>IF(AT743&gt;=$B$36,1,0)</f>
        <v/>
      </c>
      <c r="AX743">
        <f>IF(AV743&gt;=$B$21,1,0)</f>
        <v/>
      </c>
    </row>
    <row r="744">
      <c r="A744" t="n">
        <v>671</v>
      </c>
      <c r="B744">
        <f>MATCH(A744-1,$D$61:$D$68,1)</f>
        <v/>
      </c>
      <c r="C744">
        <f>INDEX($G$61:$G$68,B744)</f>
        <v/>
      </c>
      <c r="D744">
        <f>INDEX($L$61:$L$68,B744)</f>
        <v/>
      </c>
      <c r="E744">
        <f>INDEX($M$61:$M$68,B744)</f>
        <v/>
      </c>
      <c r="F744">
        <f>INDEX($N$61:$N$68,B744)</f>
        <v/>
      </c>
      <c r="G744">
        <f>INDEX($AA$61:$AA$68,B744)</f>
        <v/>
      </c>
      <c r="H744">
        <f>INDEX($X$61:$X$68,B744)</f>
        <v/>
      </c>
      <c r="I744">
        <f>INDEX($AF$61:$AF$68,B744)</f>
        <v/>
      </c>
      <c r="J744">
        <f>INDEX($AC$61:$AC$68,B744)</f>
        <v/>
      </c>
      <c r="K744">
        <f>INDEX($AD$61:$AD$68,B744)</f>
        <v/>
      </c>
      <c r="L744">
        <f>INDEX($AG$61:$AG$68,B744)</f>
        <v/>
      </c>
      <c r="M744">
        <f>INDEX($AH$61:$AH$68,B744)</f>
        <v/>
      </c>
      <c r="N744">
        <f>INDEX($AI$61:$AI$68,B744)</f>
        <v/>
      </c>
      <c r="O744">
        <f>O743*$B$26+L744*(1-$B$26)</f>
        <v/>
      </c>
      <c r="P744">
        <f>$B$7*(O744-O743)*(1-AS743)</f>
        <v/>
      </c>
      <c r="Q744">
        <f>M744+0.51274*AT743</f>
        <v/>
      </c>
      <c r="R744">
        <f>N744+0.616*AT743</f>
        <v/>
      </c>
      <c r="S744">
        <f>IF($B$13&gt;=0.6,Q744,IF($B$13&lt;=0.2,R744,R744+2.5*(Q744-R744)*($B$13-0.2)))</f>
        <v/>
      </c>
      <c r="T744">
        <f>IF(A744=1,S744,T743*$B$27+S744*(1-$B$27))</f>
        <v/>
      </c>
      <c r="U744">
        <f>0.6105*EXP(17.27*T744/(T744+237.3))</f>
        <v/>
      </c>
      <c r="V744">
        <f>($B$14*(I744*C744+IF(ABS((D744+0.1)-D744)&lt;0.000000001,4*$B$19*$B$20*(D744+273)^3,$B$19*$B$20*(((D744+0.1)+273)^4-(D744+273)^4)/((D744+0.1)-D744))*D744)+T744/H744)/($B$14*(I744+IF(ABS((D744+0.1)-D744)&lt;0.000000001,4*$B$19*$B$20*(D744+273)^3,$B$19*$B$20*(((D744+0.1)+273)^4-(D744+273)^4)/((D744+0.1)-D744)))+1/H744)</f>
        <v/>
      </c>
      <c r="W744">
        <f>($B$14*(I744*C744+IF(ABS(V744-D744)&lt;0.000000001,4*$B$19*$B$20*(D744+273)^3,$B$19*$B$20*((V744+273)^4-(D744+273)^4)/(V744-D744))*D744)+T744/H744)/($B$14*(I744+IF(ABS(V744-D744)&lt;0.000000001,4*$B$19*$B$20*(D744+273)^3,$B$19*$B$20*((V744+273)^4-(D744+273)^4)/(V744-D744)))+1/H744)</f>
        <v/>
      </c>
      <c r="X744">
        <f>($B$14*(I744*C744+IF(ABS(W744-D744)&lt;0.000000001,4*$B$19*$B$20*(D744+273)^3,$B$19*$B$20*((W744+273)^4-(D744+273)^4)/(W744-D744))*D744)+T744/H744)/($B$14*(I744+IF(ABS(W744-D744)&lt;0.000000001,4*$B$19*$B$20*(D744+273)^3,$B$19*$B$20*((W744+273)^4-(D744+273)^4)/(W744-D744)))+1/H744)</f>
        <v/>
      </c>
      <c r="Y744">
        <f>($B$14*(I744*C744+IF(ABS(X744-D744)&lt;0.000000001,4*$B$19*$B$20*(D744+273)^3,$B$19*$B$20*((X744+273)^4-(D744+273)^4)/(X744-D744))*D744)+T744/H744)/($B$14*(I744+IF(ABS(X744-D744)&lt;0.000000001,4*$B$19*$B$20*(D744+273)^3,$B$19*$B$20*((X744+273)^4-(D744+273)^4)/(X744-D744)))+1/H744)</f>
        <v/>
      </c>
      <c r="Z744">
        <f>IF(ABS(Y744-D744)&lt;0.000000001,4*$B$19*$B$20*(D744+273)^3,$B$19*$B$20*((Y744+273)^4-(D744+273)^4)/(Y744-D744))</f>
        <v/>
      </c>
      <c r="AA744">
        <f>$B$14*I744*(Y744-C744)</f>
        <v/>
      </c>
      <c r="AB744">
        <f>$B$14*Z744*(Y744-D744)</f>
        <v/>
      </c>
      <c r="AC744">
        <f>IF((U744-E744)/G744=0,0.001,(U744-E744)/G744)</f>
        <v/>
      </c>
      <c r="AD744">
        <f>F744-P744-J744-K744-AA744-AB744</f>
        <v/>
      </c>
      <c r="AE744">
        <f>AD744/AC744</f>
        <v/>
      </c>
      <c r="AF744">
        <f>IF(AD744&lt;=0,0,IF(AC744&lt;=0,$B$11,IF(AE744&gt;=1.7,$B$11,MIN(AD744/MAX(0.05,IF(AE744&gt;1,(2-AE744)^2/2,1-AE744^2/2)),$B$11))))</f>
        <v/>
      </c>
      <c r="AG744">
        <f>AG743*$B$28+AF744*(1-$B$28)</f>
        <v/>
      </c>
      <c r="AH744">
        <f>IF(AND(AD744&gt;0,AC744&lt;=0),0,AC744)</f>
        <v/>
      </c>
      <c r="AI744">
        <f>AH744/MAX(AG744,0.000001)</f>
        <v/>
      </c>
      <c r="AJ744">
        <f>MIN(IF(AI744&gt;=0.5,-AI744+SQRT(AI744^2+2),1),$B$12)</f>
        <v/>
      </c>
      <c r="AK744">
        <f>IF(AG744&lt;=0,0,AJ744*AH744)</f>
        <v/>
      </c>
      <c r="AL744">
        <f>IF(AD744&lt;=0,0,AD744)</f>
        <v/>
      </c>
      <c r="AM744">
        <f>AL744-AK744+P744</f>
        <v/>
      </c>
      <c r="AN744">
        <f>((AM744/$B$7+T743*AS743/2-T744*MAX(0.1,MIN(0.3,0.3-0.09*(AR743-36.8)))/2)+AR743*(1-AS743/2))/(1-MAX(0.1,MIN(0.3,0.3-0.09*(AR743-36.8)))/2)</f>
        <v/>
      </c>
      <c r="AO744">
        <f>((AM744/$B$7+T743*AS743/2-T744*MAX(0.1,MIN(0.3,0.3-0.09*(AN744-36.8)))/2)+AR743*(1-AS743/2))/(1-MAX(0.1,MIN(0.3,0.3-0.09*(AN744-36.8)))/2)</f>
        <v/>
      </c>
      <c r="AP744">
        <f>((AM744/$B$7+T743*AS743/2-T744*MAX(0.1,MIN(0.3,0.3-0.09*(AO744-36.8)))/2)+AR743*(1-AS743/2))/(1-MAX(0.1,MIN(0.3,0.3-0.09*(AO744-36.8)))/2)</f>
        <v/>
      </c>
      <c r="AQ744">
        <f>((AM744/$B$7+T743*AS743/2-T744*MAX(0.1,MIN(0.3,0.3-0.09*(AP744-36.8)))/2)+AR743*(1-AS743/2))/(1-MAX(0.1,MIN(0.3,0.3-0.09*(AP744-36.8)))/2)</f>
        <v/>
      </c>
      <c r="AR744">
        <f>((AM744/$B$7+T743*AS743/2-T744*MAX(0.1,MIN(0.3,0.3-0.09*(AQ744-36.8)))/2)+AR743*(1-AS743/2))/(1-MAX(0.1,MIN(0.3,0.3-0.09*(AQ744-36.8)))/2)</f>
        <v/>
      </c>
      <c r="AS744">
        <f>MAX(0.1,MIN(0.3,0.3-0.09*(AR744-36.8)))</f>
        <v/>
      </c>
      <c r="AT744">
        <f>AT743+(2*AR744-1.962*AT743-1.31)/9</f>
        <v/>
      </c>
      <c r="AU744">
        <f>AU743+AG744+K744</f>
        <v/>
      </c>
      <c r="AV744">
        <f>AU744*2.67*$B$6/1.8/60</f>
        <v/>
      </c>
      <c r="AW744">
        <f>IF(AT744&gt;=$B$36,1,0)</f>
        <v/>
      </c>
      <c r="AX744">
        <f>IF(AV744&gt;=$B$21,1,0)</f>
        <v/>
      </c>
    </row>
    <row r="745">
      <c r="A745" t="n">
        <v>672</v>
      </c>
      <c r="B745">
        <f>MATCH(A745-1,$D$61:$D$68,1)</f>
        <v/>
      </c>
      <c r="C745">
        <f>INDEX($G$61:$G$68,B745)</f>
        <v/>
      </c>
      <c r="D745">
        <f>INDEX($L$61:$L$68,B745)</f>
        <v/>
      </c>
      <c r="E745">
        <f>INDEX($M$61:$M$68,B745)</f>
        <v/>
      </c>
      <c r="F745">
        <f>INDEX($N$61:$N$68,B745)</f>
        <v/>
      </c>
      <c r="G745">
        <f>INDEX($AA$61:$AA$68,B745)</f>
        <v/>
      </c>
      <c r="H745">
        <f>INDEX($X$61:$X$68,B745)</f>
        <v/>
      </c>
      <c r="I745">
        <f>INDEX($AF$61:$AF$68,B745)</f>
        <v/>
      </c>
      <c r="J745">
        <f>INDEX($AC$61:$AC$68,B745)</f>
        <v/>
      </c>
      <c r="K745">
        <f>INDEX($AD$61:$AD$68,B745)</f>
        <v/>
      </c>
      <c r="L745">
        <f>INDEX($AG$61:$AG$68,B745)</f>
        <v/>
      </c>
      <c r="M745">
        <f>INDEX($AH$61:$AH$68,B745)</f>
        <v/>
      </c>
      <c r="N745">
        <f>INDEX($AI$61:$AI$68,B745)</f>
        <v/>
      </c>
      <c r="O745">
        <f>O744*$B$26+L745*(1-$B$26)</f>
        <v/>
      </c>
      <c r="P745">
        <f>$B$7*(O745-O744)*(1-AS744)</f>
        <v/>
      </c>
      <c r="Q745">
        <f>M745+0.51274*AT744</f>
        <v/>
      </c>
      <c r="R745">
        <f>N745+0.616*AT744</f>
        <v/>
      </c>
      <c r="S745">
        <f>IF($B$13&gt;=0.6,Q745,IF($B$13&lt;=0.2,R745,R745+2.5*(Q745-R745)*($B$13-0.2)))</f>
        <v/>
      </c>
      <c r="T745">
        <f>IF(A745=1,S745,T744*$B$27+S745*(1-$B$27))</f>
        <v/>
      </c>
      <c r="U745">
        <f>0.6105*EXP(17.27*T745/(T745+237.3))</f>
        <v/>
      </c>
      <c r="V745">
        <f>($B$14*(I745*C745+IF(ABS((D745+0.1)-D745)&lt;0.000000001,4*$B$19*$B$20*(D745+273)^3,$B$19*$B$20*(((D745+0.1)+273)^4-(D745+273)^4)/((D745+0.1)-D745))*D745)+T745/H745)/($B$14*(I745+IF(ABS((D745+0.1)-D745)&lt;0.000000001,4*$B$19*$B$20*(D745+273)^3,$B$19*$B$20*(((D745+0.1)+273)^4-(D745+273)^4)/((D745+0.1)-D745)))+1/H745)</f>
        <v/>
      </c>
      <c r="W745">
        <f>($B$14*(I745*C745+IF(ABS(V745-D745)&lt;0.000000001,4*$B$19*$B$20*(D745+273)^3,$B$19*$B$20*((V745+273)^4-(D745+273)^4)/(V745-D745))*D745)+T745/H745)/($B$14*(I745+IF(ABS(V745-D745)&lt;0.000000001,4*$B$19*$B$20*(D745+273)^3,$B$19*$B$20*((V745+273)^4-(D745+273)^4)/(V745-D745)))+1/H745)</f>
        <v/>
      </c>
      <c r="X745">
        <f>($B$14*(I745*C745+IF(ABS(W745-D745)&lt;0.000000001,4*$B$19*$B$20*(D745+273)^3,$B$19*$B$20*((W745+273)^4-(D745+273)^4)/(W745-D745))*D745)+T745/H745)/($B$14*(I745+IF(ABS(W745-D745)&lt;0.000000001,4*$B$19*$B$20*(D745+273)^3,$B$19*$B$20*((W745+273)^4-(D745+273)^4)/(W745-D745)))+1/H745)</f>
        <v/>
      </c>
      <c r="Y745">
        <f>($B$14*(I745*C745+IF(ABS(X745-D745)&lt;0.000000001,4*$B$19*$B$20*(D745+273)^3,$B$19*$B$20*((X745+273)^4-(D745+273)^4)/(X745-D745))*D745)+T745/H745)/($B$14*(I745+IF(ABS(X745-D745)&lt;0.000000001,4*$B$19*$B$20*(D745+273)^3,$B$19*$B$20*((X745+273)^4-(D745+273)^4)/(X745-D745)))+1/H745)</f>
        <v/>
      </c>
      <c r="Z745">
        <f>IF(ABS(Y745-D745)&lt;0.000000001,4*$B$19*$B$20*(D745+273)^3,$B$19*$B$20*((Y745+273)^4-(D745+273)^4)/(Y745-D745))</f>
        <v/>
      </c>
      <c r="AA745">
        <f>$B$14*I745*(Y745-C745)</f>
        <v/>
      </c>
      <c r="AB745">
        <f>$B$14*Z745*(Y745-D745)</f>
        <v/>
      </c>
      <c r="AC745">
        <f>IF((U745-E745)/G745=0,0.001,(U745-E745)/G745)</f>
        <v/>
      </c>
      <c r="AD745">
        <f>F745-P745-J745-K745-AA745-AB745</f>
        <v/>
      </c>
      <c r="AE745">
        <f>AD745/AC745</f>
        <v/>
      </c>
      <c r="AF745">
        <f>IF(AD745&lt;=0,0,IF(AC745&lt;=0,$B$11,IF(AE745&gt;=1.7,$B$11,MIN(AD745/MAX(0.05,IF(AE745&gt;1,(2-AE745)^2/2,1-AE745^2/2)),$B$11))))</f>
        <v/>
      </c>
      <c r="AG745">
        <f>AG744*$B$28+AF745*(1-$B$28)</f>
        <v/>
      </c>
      <c r="AH745">
        <f>IF(AND(AD745&gt;0,AC745&lt;=0),0,AC745)</f>
        <v/>
      </c>
      <c r="AI745">
        <f>AH745/MAX(AG745,0.000001)</f>
        <v/>
      </c>
      <c r="AJ745">
        <f>MIN(IF(AI745&gt;=0.5,-AI745+SQRT(AI745^2+2),1),$B$12)</f>
        <v/>
      </c>
      <c r="AK745">
        <f>IF(AG745&lt;=0,0,AJ745*AH745)</f>
        <v/>
      </c>
      <c r="AL745">
        <f>IF(AD745&lt;=0,0,AD745)</f>
        <v/>
      </c>
      <c r="AM745">
        <f>AL745-AK745+P745</f>
        <v/>
      </c>
      <c r="AN745">
        <f>((AM745/$B$7+T744*AS744/2-T745*MAX(0.1,MIN(0.3,0.3-0.09*(AR744-36.8)))/2)+AR744*(1-AS744/2))/(1-MAX(0.1,MIN(0.3,0.3-0.09*(AR744-36.8)))/2)</f>
        <v/>
      </c>
      <c r="AO745">
        <f>((AM745/$B$7+T744*AS744/2-T745*MAX(0.1,MIN(0.3,0.3-0.09*(AN745-36.8)))/2)+AR744*(1-AS744/2))/(1-MAX(0.1,MIN(0.3,0.3-0.09*(AN745-36.8)))/2)</f>
        <v/>
      </c>
      <c r="AP745">
        <f>((AM745/$B$7+T744*AS744/2-T745*MAX(0.1,MIN(0.3,0.3-0.09*(AO745-36.8)))/2)+AR744*(1-AS744/2))/(1-MAX(0.1,MIN(0.3,0.3-0.09*(AO745-36.8)))/2)</f>
        <v/>
      </c>
      <c r="AQ745">
        <f>((AM745/$B$7+T744*AS744/2-T745*MAX(0.1,MIN(0.3,0.3-0.09*(AP745-36.8)))/2)+AR744*(1-AS744/2))/(1-MAX(0.1,MIN(0.3,0.3-0.09*(AP745-36.8)))/2)</f>
        <v/>
      </c>
      <c r="AR745">
        <f>((AM745/$B$7+T744*AS744/2-T745*MAX(0.1,MIN(0.3,0.3-0.09*(AQ745-36.8)))/2)+AR744*(1-AS744/2))/(1-MAX(0.1,MIN(0.3,0.3-0.09*(AQ745-36.8)))/2)</f>
        <v/>
      </c>
      <c r="AS745">
        <f>MAX(0.1,MIN(0.3,0.3-0.09*(AR745-36.8)))</f>
        <v/>
      </c>
      <c r="AT745">
        <f>AT744+(2*AR745-1.962*AT744-1.31)/9</f>
        <v/>
      </c>
      <c r="AU745">
        <f>AU744+AG745+K745</f>
        <v/>
      </c>
      <c r="AV745">
        <f>AU745*2.67*$B$6/1.8/60</f>
        <v/>
      </c>
      <c r="AW745">
        <f>IF(AT745&gt;=$B$36,1,0)</f>
        <v/>
      </c>
      <c r="AX745">
        <f>IF(AV745&gt;=$B$21,1,0)</f>
        <v/>
      </c>
    </row>
    <row r="746">
      <c r="A746" t="n">
        <v>673</v>
      </c>
      <c r="B746">
        <f>MATCH(A746-1,$D$61:$D$68,1)</f>
        <v/>
      </c>
      <c r="C746">
        <f>INDEX($G$61:$G$68,B746)</f>
        <v/>
      </c>
      <c r="D746">
        <f>INDEX($L$61:$L$68,B746)</f>
        <v/>
      </c>
      <c r="E746">
        <f>INDEX($M$61:$M$68,B746)</f>
        <v/>
      </c>
      <c r="F746">
        <f>INDEX($N$61:$N$68,B746)</f>
        <v/>
      </c>
      <c r="G746">
        <f>INDEX($AA$61:$AA$68,B746)</f>
        <v/>
      </c>
      <c r="H746">
        <f>INDEX($X$61:$X$68,B746)</f>
        <v/>
      </c>
      <c r="I746">
        <f>INDEX($AF$61:$AF$68,B746)</f>
        <v/>
      </c>
      <c r="J746">
        <f>INDEX($AC$61:$AC$68,B746)</f>
        <v/>
      </c>
      <c r="K746">
        <f>INDEX($AD$61:$AD$68,B746)</f>
        <v/>
      </c>
      <c r="L746">
        <f>INDEX($AG$61:$AG$68,B746)</f>
        <v/>
      </c>
      <c r="M746">
        <f>INDEX($AH$61:$AH$68,B746)</f>
        <v/>
      </c>
      <c r="N746">
        <f>INDEX($AI$61:$AI$68,B746)</f>
        <v/>
      </c>
      <c r="O746">
        <f>O745*$B$26+L746*(1-$B$26)</f>
        <v/>
      </c>
      <c r="P746">
        <f>$B$7*(O746-O745)*(1-AS745)</f>
        <v/>
      </c>
      <c r="Q746">
        <f>M746+0.51274*AT745</f>
        <v/>
      </c>
      <c r="R746">
        <f>N746+0.616*AT745</f>
        <v/>
      </c>
      <c r="S746">
        <f>IF($B$13&gt;=0.6,Q746,IF($B$13&lt;=0.2,R746,R746+2.5*(Q746-R746)*($B$13-0.2)))</f>
        <v/>
      </c>
      <c r="T746">
        <f>IF(A746=1,S746,T745*$B$27+S746*(1-$B$27))</f>
        <v/>
      </c>
      <c r="U746">
        <f>0.6105*EXP(17.27*T746/(T746+237.3))</f>
        <v/>
      </c>
      <c r="V746">
        <f>($B$14*(I746*C746+IF(ABS((D746+0.1)-D746)&lt;0.000000001,4*$B$19*$B$20*(D746+273)^3,$B$19*$B$20*(((D746+0.1)+273)^4-(D746+273)^4)/((D746+0.1)-D746))*D746)+T746/H746)/($B$14*(I746+IF(ABS((D746+0.1)-D746)&lt;0.000000001,4*$B$19*$B$20*(D746+273)^3,$B$19*$B$20*(((D746+0.1)+273)^4-(D746+273)^4)/((D746+0.1)-D746)))+1/H746)</f>
        <v/>
      </c>
      <c r="W746">
        <f>($B$14*(I746*C746+IF(ABS(V746-D746)&lt;0.000000001,4*$B$19*$B$20*(D746+273)^3,$B$19*$B$20*((V746+273)^4-(D746+273)^4)/(V746-D746))*D746)+T746/H746)/($B$14*(I746+IF(ABS(V746-D746)&lt;0.000000001,4*$B$19*$B$20*(D746+273)^3,$B$19*$B$20*((V746+273)^4-(D746+273)^4)/(V746-D746)))+1/H746)</f>
        <v/>
      </c>
      <c r="X746">
        <f>($B$14*(I746*C746+IF(ABS(W746-D746)&lt;0.000000001,4*$B$19*$B$20*(D746+273)^3,$B$19*$B$20*((W746+273)^4-(D746+273)^4)/(W746-D746))*D746)+T746/H746)/($B$14*(I746+IF(ABS(W746-D746)&lt;0.000000001,4*$B$19*$B$20*(D746+273)^3,$B$19*$B$20*((W746+273)^4-(D746+273)^4)/(W746-D746)))+1/H746)</f>
        <v/>
      </c>
      <c r="Y746">
        <f>($B$14*(I746*C746+IF(ABS(X746-D746)&lt;0.000000001,4*$B$19*$B$20*(D746+273)^3,$B$19*$B$20*((X746+273)^4-(D746+273)^4)/(X746-D746))*D746)+T746/H746)/($B$14*(I746+IF(ABS(X746-D746)&lt;0.000000001,4*$B$19*$B$20*(D746+273)^3,$B$19*$B$20*((X746+273)^4-(D746+273)^4)/(X746-D746)))+1/H746)</f>
        <v/>
      </c>
      <c r="Z746">
        <f>IF(ABS(Y746-D746)&lt;0.000000001,4*$B$19*$B$20*(D746+273)^3,$B$19*$B$20*((Y746+273)^4-(D746+273)^4)/(Y746-D746))</f>
        <v/>
      </c>
      <c r="AA746">
        <f>$B$14*I746*(Y746-C746)</f>
        <v/>
      </c>
      <c r="AB746">
        <f>$B$14*Z746*(Y746-D746)</f>
        <v/>
      </c>
      <c r="AC746">
        <f>IF((U746-E746)/G746=0,0.001,(U746-E746)/G746)</f>
        <v/>
      </c>
      <c r="AD746">
        <f>F746-P746-J746-K746-AA746-AB746</f>
        <v/>
      </c>
      <c r="AE746">
        <f>AD746/AC746</f>
        <v/>
      </c>
      <c r="AF746">
        <f>IF(AD746&lt;=0,0,IF(AC746&lt;=0,$B$11,IF(AE746&gt;=1.7,$B$11,MIN(AD746/MAX(0.05,IF(AE746&gt;1,(2-AE746)^2/2,1-AE746^2/2)),$B$11))))</f>
        <v/>
      </c>
      <c r="AG746">
        <f>AG745*$B$28+AF746*(1-$B$28)</f>
        <v/>
      </c>
      <c r="AH746">
        <f>IF(AND(AD746&gt;0,AC746&lt;=0),0,AC746)</f>
        <v/>
      </c>
      <c r="AI746">
        <f>AH746/MAX(AG746,0.000001)</f>
        <v/>
      </c>
      <c r="AJ746">
        <f>MIN(IF(AI746&gt;=0.5,-AI746+SQRT(AI746^2+2),1),$B$12)</f>
        <v/>
      </c>
      <c r="AK746">
        <f>IF(AG746&lt;=0,0,AJ746*AH746)</f>
        <v/>
      </c>
      <c r="AL746">
        <f>IF(AD746&lt;=0,0,AD746)</f>
        <v/>
      </c>
      <c r="AM746">
        <f>AL746-AK746+P746</f>
        <v/>
      </c>
      <c r="AN746">
        <f>((AM746/$B$7+T745*AS745/2-T746*MAX(0.1,MIN(0.3,0.3-0.09*(AR745-36.8)))/2)+AR745*(1-AS745/2))/(1-MAX(0.1,MIN(0.3,0.3-0.09*(AR745-36.8)))/2)</f>
        <v/>
      </c>
      <c r="AO746">
        <f>((AM746/$B$7+T745*AS745/2-T746*MAX(0.1,MIN(0.3,0.3-0.09*(AN746-36.8)))/2)+AR745*(1-AS745/2))/(1-MAX(0.1,MIN(0.3,0.3-0.09*(AN746-36.8)))/2)</f>
        <v/>
      </c>
      <c r="AP746">
        <f>((AM746/$B$7+T745*AS745/2-T746*MAX(0.1,MIN(0.3,0.3-0.09*(AO746-36.8)))/2)+AR745*(1-AS745/2))/(1-MAX(0.1,MIN(0.3,0.3-0.09*(AO746-36.8)))/2)</f>
        <v/>
      </c>
      <c r="AQ746">
        <f>((AM746/$B$7+T745*AS745/2-T746*MAX(0.1,MIN(0.3,0.3-0.09*(AP746-36.8)))/2)+AR745*(1-AS745/2))/(1-MAX(0.1,MIN(0.3,0.3-0.09*(AP746-36.8)))/2)</f>
        <v/>
      </c>
      <c r="AR746">
        <f>((AM746/$B$7+T745*AS745/2-T746*MAX(0.1,MIN(0.3,0.3-0.09*(AQ746-36.8)))/2)+AR745*(1-AS745/2))/(1-MAX(0.1,MIN(0.3,0.3-0.09*(AQ746-36.8)))/2)</f>
        <v/>
      </c>
      <c r="AS746">
        <f>MAX(0.1,MIN(0.3,0.3-0.09*(AR746-36.8)))</f>
        <v/>
      </c>
      <c r="AT746">
        <f>AT745+(2*AR746-1.962*AT745-1.31)/9</f>
        <v/>
      </c>
      <c r="AU746">
        <f>AU745+AG746+K746</f>
        <v/>
      </c>
      <c r="AV746">
        <f>AU746*2.67*$B$6/1.8/60</f>
        <v/>
      </c>
      <c r="AW746">
        <f>IF(AT746&gt;=$B$36,1,0)</f>
        <v/>
      </c>
      <c r="AX746">
        <f>IF(AV746&gt;=$B$21,1,0)</f>
        <v/>
      </c>
    </row>
    <row r="747">
      <c r="A747" t="n">
        <v>674</v>
      </c>
      <c r="B747">
        <f>MATCH(A747-1,$D$61:$D$68,1)</f>
        <v/>
      </c>
      <c r="C747">
        <f>INDEX($G$61:$G$68,B747)</f>
        <v/>
      </c>
      <c r="D747">
        <f>INDEX($L$61:$L$68,B747)</f>
        <v/>
      </c>
      <c r="E747">
        <f>INDEX($M$61:$M$68,B747)</f>
        <v/>
      </c>
      <c r="F747">
        <f>INDEX($N$61:$N$68,B747)</f>
        <v/>
      </c>
      <c r="G747">
        <f>INDEX($AA$61:$AA$68,B747)</f>
        <v/>
      </c>
      <c r="H747">
        <f>INDEX($X$61:$X$68,B747)</f>
        <v/>
      </c>
      <c r="I747">
        <f>INDEX($AF$61:$AF$68,B747)</f>
        <v/>
      </c>
      <c r="J747">
        <f>INDEX($AC$61:$AC$68,B747)</f>
        <v/>
      </c>
      <c r="K747">
        <f>INDEX($AD$61:$AD$68,B747)</f>
        <v/>
      </c>
      <c r="L747">
        <f>INDEX($AG$61:$AG$68,B747)</f>
        <v/>
      </c>
      <c r="M747">
        <f>INDEX($AH$61:$AH$68,B747)</f>
        <v/>
      </c>
      <c r="N747">
        <f>INDEX($AI$61:$AI$68,B747)</f>
        <v/>
      </c>
      <c r="O747">
        <f>O746*$B$26+L747*(1-$B$26)</f>
        <v/>
      </c>
      <c r="P747">
        <f>$B$7*(O747-O746)*(1-AS746)</f>
        <v/>
      </c>
      <c r="Q747">
        <f>M747+0.51274*AT746</f>
        <v/>
      </c>
      <c r="R747">
        <f>N747+0.616*AT746</f>
        <v/>
      </c>
      <c r="S747">
        <f>IF($B$13&gt;=0.6,Q747,IF($B$13&lt;=0.2,R747,R747+2.5*(Q747-R747)*($B$13-0.2)))</f>
        <v/>
      </c>
      <c r="T747">
        <f>IF(A747=1,S747,T746*$B$27+S747*(1-$B$27))</f>
        <v/>
      </c>
      <c r="U747">
        <f>0.6105*EXP(17.27*T747/(T747+237.3))</f>
        <v/>
      </c>
      <c r="V747">
        <f>($B$14*(I747*C747+IF(ABS((D747+0.1)-D747)&lt;0.000000001,4*$B$19*$B$20*(D747+273)^3,$B$19*$B$20*(((D747+0.1)+273)^4-(D747+273)^4)/((D747+0.1)-D747))*D747)+T747/H747)/($B$14*(I747+IF(ABS((D747+0.1)-D747)&lt;0.000000001,4*$B$19*$B$20*(D747+273)^3,$B$19*$B$20*(((D747+0.1)+273)^4-(D747+273)^4)/((D747+0.1)-D747)))+1/H747)</f>
        <v/>
      </c>
      <c r="W747">
        <f>($B$14*(I747*C747+IF(ABS(V747-D747)&lt;0.000000001,4*$B$19*$B$20*(D747+273)^3,$B$19*$B$20*((V747+273)^4-(D747+273)^4)/(V747-D747))*D747)+T747/H747)/($B$14*(I747+IF(ABS(V747-D747)&lt;0.000000001,4*$B$19*$B$20*(D747+273)^3,$B$19*$B$20*((V747+273)^4-(D747+273)^4)/(V747-D747)))+1/H747)</f>
        <v/>
      </c>
      <c r="X747">
        <f>($B$14*(I747*C747+IF(ABS(W747-D747)&lt;0.000000001,4*$B$19*$B$20*(D747+273)^3,$B$19*$B$20*((W747+273)^4-(D747+273)^4)/(W747-D747))*D747)+T747/H747)/($B$14*(I747+IF(ABS(W747-D747)&lt;0.000000001,4*$B$19*$B$20*(D747+273)^3,$B$19*$B$20*((W747+273)^4-(D747+273)^4)/(W747-D747)))+1/H747)</f>
        <v/>
      </c>
      <c r="Y747">
        <f>($B$14*(I747*C747+IF(ABS(X747-D747)&lt;0.000000001,4*$B$19*$B$20*(D747+273)^3,$B$19*$B$20*((X747+273)^4-(D747+273)^4)/(X747-D747))*D747)+T747/H747)/($B$14*(I747+IF(ABS(X747-D747)&lt;0.000000001,4*$B$19*$B$20*(D747+273)^3,$B$19*$B$20*((X747+273)^4-(D747+273)^4)/(X747-D747)))+1/H747)</f>
        <v/>
      </c>
      <c r="Z747">
        <f>IF(ABS(Y747-D747)&lt;0.000000001,4*$B$19*$B$20*(D747+273)^3,$B$19*$B$20*((Y747+273)^4-(D747+273)^4)/(Y747-D747))</f>
        <v/>
      </c>
      <c r="AA747">
        <f>$B$14*I747*(Y747-C747)</f>
        <v/>
      </c>
      <c r="AB747">
        <f>$B$14*Z747*(Y747-D747)</f>
        <v/>
      </c>
      <c r="AC747">
        <f>IF((U747-E747)/G747=0,0.001,(U747-E747)/G747)</f>
        <v/>
      </c>
      <c r="AD747">
        <f>F747-P747-J747-K747-AA747-AB747</f>
        <v/>
      </c>
      <c r="AE747">
        <f>AD747/AC747</f>
        <v/>
      </c>
      <c r="AF747">
        <f>IF(AD747&lt;=0,0,IF(AC747&lt;=0,$B$11,IF(AE747&gt;=1.7,$B$11,MIN(AD747/MAX(0.05,IF(AE747&gt;1,(2-AE747)^2/2,1-AE747^2/2)),$B$11))))</f>
        <v/>
      </c>
      <c r="AG747">
        <f>AG746*$B$28+AF747*(1-$B$28)</f>
        <v/>
      </c>
      <c r="AH747">
        <f>IF(AND(AD747&gt;0,AC747&lt;=0),0,AC747)</f>
        <v/>
      </c>
      <c r="AI747">
        <f>AH747/MAX(AG747,0.000001)</f>
        <v/>
      </c>
      <c r="AJ747">
        <f>MIN(IF(AI747&gt;=0.5,-AI747+SQRT(AI747^2+2),1),$B$12)</f>
        <v/>
      </c>
      <c r="AK747">
        <f>IF(AG747&lt;=0,0,AJ747*AH747)</f>
        <v/>
      </c>
      <c r="AL747">
        <f>IF(AD747&lt;=0,0,AD747)</f>
        <v/>
      </c>
      <c r="AM747">
        <f>AL747-AK747+P747</f>
        <v/>
      </c>
      <c r="AN747">
        <f>((AM747/$B$7+T746*AS746/2-T747*MAX(0.1,MIN(0.3,0.3-0.09*(AR746-36.8)))/2)+AR746*(1-AS746/2))/(1-MAX(0.1,MIN(0.3,0.3-0.09*(AR746-36.8)))/2)</f>
        <v/>
      </c>
      <c r="AO747">
        <f>((AM747/$B$7+T746*AS746/2-T747*MAX(0.1,MIN(0.3,0.3-0.09*(AN747-36.8)))/2)+AR746*(1-AS746/2))/(1-MAX(0.1,MIN(0.3,0.3-0.09*(AN747-36.8)))/2)</f>
        <v/>
      </c>
      <c r="AP747">
        <f>((AM747/$B$7+T746*AS746/2-T747*MAX(0.1,MIN(0.3,0.3-0.09*(AO747-36.8)))/2)+AR746*(1-AS746/2))/(1-MAX(0.1,MIN(0.3,0.3-0.09*(AO747-36.8)))/2)</f>
        <v/>
      </c>
      <c r="AQ747">
        <f>((AM747/$B$7+T746*AS746/2-T747*MAX(0.1,MIN(0.3,0.3-0.09*(AP747-36.8)))/2)+AR746*(1-AS746/2))/(1-MAX(0.1,MIN(0.3,0.3-0.09*(AP747-36.8)))/2)</f>
        <v/>
      </c>
      <c r="AR747">
        <f>((AM747/$B$7+T746*AS746/2-T747*MAX(0.1,MIN(0.3,0.3-0.09*(AQ747-36.8)))/2)+AR746*(1-AS746/2))/(1-MAX(0.1,MIN(0.3,0.3-0.09*(AQ747-36.8)))/2)</f>
        <v/>
      </c>
      <c r="AS747">
        <f>MAX(0.1,MIN(0.3,0.3-0.09*(AR747-36.8)))</f>
        <v/>
      </c>
      <c r="AT747">
        <f>AT746+(2*AR747-1.962*AT746-1.31)/9</f>
        <v/>
      </c>
      <c r="AU747">
        <f>AU746+AG747+K747</f>
        <v/>
      </c>
      <c r="AV747">
        <f>AU747*2.67*$B$6/1.8/60</f>
        <v/>
      </c>
      <c r="AW747">
        <f>IF(AT747&gt;=$B$36,1,0)</f>
        <v/>
      </c>
      <c r="AX747">
        <f>IF(AV747&gt;=$B$21,1,0)</f>
        <v/>
      </c>
    </row>
    <row r="748">
      <c r="A748" t="n">
        <v>675</v>
      </c>
      <c r="B748">
        <f>MATCH(A748-1,$D$61:$D$68,1)</f>
        <v/>
      </c>
      <c r="C748">
        <f>INDEX($G$61:$G$68,B748)</f>
        <v/>
      </c>
      <c r="D748">
        <f>INDEX($L$61:$L$68,B748)</f>
        <v/>
      </c>
      <c r="E748">
        <f>INDEX($M$61:$M$68,B748)</f>
        <v/>
      </c>
      <c r="F748">
        <f>INDEX($N$61:$N$68,B748)</f>
        <v/>
      </c>
      <c r="G748">
        <f>INDEX($AA$61:$AA$68,B748)</f>
        <v/>
      </c>
      <c r="H748">
        <f>INDEX($X$61:$X$68,B748)</f>
        <v/>
      </c>
      <c r="I748">
        <f>INDEX($AF$61:$AF$68,B748)</f>
        <v/>
      </c>
      <c r="J748">
        <f>INDEX($AC$61:$AC$68,B748)</f>
        <v/>
      </c>
      <c r="K748">
        <f>INDEX($AD$61:$AD$68,B748)</f>
        <v/>
      </c>
      <c r="L748">
        <f>INDEX($AG$61:$AG$68,B748)</f>
        <v/>
      </c>
      <c r="M748">
        <f>INDEX($AH$61:$AH$68,B748)</f>
        <v/>
      </c>
      <c r="N748">
        <f>INDEX($AI$61:$AI$68,B748)</f>
        <v/>
      </c>
      <c r="O748">
        <f>O747*$B$26+L748*(1-$B$26)</f>
        <v/>
      </c>
      <c r="P748">
        <f>$B$7*(O748-O747)*(1-AS747)</f>
        <v/>
      </c>
      <c r="Q748">
        <f>M748+0.51274*AT747</f>
        <v/>
      </c>
      <c r="R748">
        <f>N748+0.616*AT747</f>
        <v/>
      </c>
      <c r="S748">
        <f>IF($B$13&gt;=0.6,Q748,IF($B$13&lt;=0.2,R748,R748+2.5*(Q748-R748)*($B$13-0.2)))</f>
        <v/>
      </c>
      <c r="T748">
        <f>IF(A748=1,S748,T747*$B$27+S748*(1-$B$27))</f>
        <v/>
      </c>
      <c r="U748">
        <f>0.6105*EXP(17.27*T748/(T748+237.3))</f>
        <v/>
      </c>
      <c r="V748">
        <f>($B$14*(I748*C748+IF(ABS((D748+0.1)-D748)&lt;0.000000001,4*$B$19*$B$20*(D748+273)^3,$B$19*$B$20*(((D748+0.1)+273)^4-(D748+273)^4)/((D748+0.1)-D748))*D748)+T748/H748)/($B$14*(I748+IF(ABS((D748+0.1)-D748)&lt;0.000000001,4*$B$19*$B$20*(D748+273)^3,$B$19*$B$20*(((D748+0.1)+273)^4-(D748+273)^4)/((D748+0.1)-D748)))+1/H748)</f>
        <v/>
      </c>
      <c r="W748">
        <f>($B$14*(I748*C748+IF(ABS(V748-D748)&lt;0.000000001,4*$B$19*$B$20*(D748+273)^3,$B$19*$B$20*((V748+273)^4-(D748+273)^4)/(V748-D748))*D748)+T748/H748)/($B$14*(I748+IF(ABS(V748-D748)&lt;0.000000001,4*$B$19*$B$20*(D748+273)^3,$B$19*$B$20*((V748+273)^4-(D748+273)^4)/(V748-D748)))+1/H748)</f>
        <v/>
      </c>
      <c r="X748">
        <f>($B$14*(I748*C748+IF(ABS(W748-D748)&lt;0.000000001,4*$B$19*$B$20*(D748+273)^3,$B$19*$B$20*((W748+273)^4-(D748+273)^4)/(W748-D748))*D748)+T748/H748)/($B$14*(I748+IF(ABS(W748-D748)&lt;0.000000001,4*$B$19*$B$20*(D748+273)^3,$B$19*$B$20*((W748+273)^4-(D748+273)^4)/(W748-D748)))+1/H748)</f>
        <v/>
      </c>
      <c r="Y748">
        <f>($B$14*(I748*C748+IF(ABS(X748-D748)&lt;0.000000001,4*$B$19*$B$20*(D748+273)^3,$B$19*$B$20*((X748+273)^4-(D748+273)^4)/(X748-D748))*D748)+T748/H748)/($B$14*(I748+IF(ABS(X748-D748)&lt;0.000000001,4*$B$19*$B$20*(D748+273)^3,$B$19*$B$20*((X748+273)^4-(D748+273)^4)/(X748-D748)))+1/H748)</f>
        <v/>
      </c>
      <c r="Z748">
        <f>IF(ABS(Y748-D748)&lt;0.000000001,4*$B$19*$B$20*(D748+273)^3,$B$19*$B$20*((Y748+273)^4-(D748+273)^4)/(Y748-D748))</f>
        <v/>
      </c>
      <c r="AA748">
        <f>$B$14*I748*(Y748-C748)</f>
        <v/>
      </c>
      <c r="AB748">
        <f>$B$14*Z748*(Y748-D748)</f>
        <v/>
      </c>
      <c r="AC748">
        <f>IF((U748-E748)/G748=0,0.001,(U748-E748)/G748)</f>
        <v/>
      </c>
      <c r="AD748">
        <f>F748-P748-J748-K748-AA748-AB748</f>
        <v/>
      </c>
      <c r="AE748">
        <f>AD748/AC748</f>
        <v/>
      </c>
      <c r="AF748">
        <f>IF(AD748&lt;=0,0,IF(AC748&lt;=0,$B$11,IF(AE748&gt;=1.7,$B$11,MIN(AD748/MAX(0.05,IF(AE748&gt;1,(2-AE748)^2/2,1-AE748^2/2)),$B$11))))</f>
        <v/>
      </c>
      <c r="AG748">
        <f>AG747*$B$28+AF748*(1-$B$28)</f>
        <v/>
      </c>
      <c r="AH748">
        <f>IF(AND(AD748&gt;0,AC748&lt;=0),0,AC748)</f>
        <v/>
      </c>
      <c r="AI748">
        <f>AH748/MAX(AG748,0.000001)</f>
        <v/>
      </c>
      <c r="AJ748">
        <f>MIN(IF(AI748&gt;=0.5,-AI748+SQRT(AI748^2+2),1),$B$12)</f>
        <v/>
      </c>
      <c r="AK748">
        <f>IF(AG748&lt;=0,0,AJ748*AH748)</f>
        <v/>
      </c>
      <c r="AL748">
        <f>IF(AD748&lt;=0,0,AD748)</f>
        <v/>
      </c>
      <c r="AM748">
        <f>AL748-AK748+P748</f>
        <v/>
      </c>
      <c r="AN748">
        <f>((AM748/$B$7+T747*AS747/2-T748*MAX(0.1,MIN(0.3,0.3-0.09*(AR747-36.8)))/2)+AR747*(1-AS747/2))/(1-MAX(0.1,MIN(0.3,0.3-0.09*(AR747-36.8)))/2)</f>
        <v/>
      </c>
      <c r="AO748">
        <f>((AM748/$B$7+T747*AS747/2-T748*MAX(0.1,MIN(0.3,0.3-0.09*(AN748-36.8)))/2)+AR747*(1-AS747/2))/(1-MAX(0.1,MIN(0.3,0.3-0.09*(AN748-36.8)))/2)</f>
        <v/>
      </c>
      <c r="AP748">
        <f>((AM748/$B$7+T747*AS747/2-T748*MAX(0.1,MIN(0.3,0.3-0.09*(AO748-36.8)))/2)+AR747*(1-AS747/2))/(1-MAX(0.1,MIN(0.3,0.3-0.09*(AO748-36.8)))/2)</f>
        <v/>
      </c>
      <c r="AQ748">
        <f>((AM748/$B$7+T747*AS747/2-T748*MAX(0.1,MIN(0.3,0.3-0.09*(AP748-36.8)))/2)+AR747*(1-AS747/2))/(1-MAX(0.1,MIN(0.3,0.3-0.09*(AP748-36.8)))/2)</f>
        <v/>
      </c>
      <c r="AR748">
        <f>((AM748/$B$7+T747*AS747/2-T748*MAX(0.1,MIN(0.3,0.3-0.09*(AQ748-36.8)))/2)+AR747*(1-AS747/2))/(1-MAX(0.1,MIN(0.3,0.3-0.09*(AQ748-36.8)))/2)</f>
        <v/>
      </c>
      <c r="AS748">
        <f>MAX(0.1,MIN(0.3,0.3-0.09*(AR748-36.8)))</f>
        <v/>
      </c>
      <c r="AT748">
        <f>AT747+(2*AR748-1.962*AT747-1.31)/9</f>
        <v/>
      </c>
      <c r="AU748">
        <f>AU747+AG748+K748</f>
        <v/>
      </c>
      <c r="AV748">
        <f>AU748*2.67*$B$6/1.8/60</f>
        <v/>
      </c>
      <c r="AW748">
        <f>IF(AT748&gt;=$B$36,1,0)</f>
        <v/>
      </c>
      <c r="AX748">
        <f>IF(AV748&gt;=$B$21,1,0)</f>
        <v/>
      </c>
    </row>
    <row r="749">
      <c r="A749" t="n">
        <v>676</v>
      </c>
      <c r="B749">
        <f>MATCH(A749-1,$D$61:$D$68,1)</f>
        <v/>
      </c>
      <c r="C749">
        <f>INDEX($G$61:$G$68,B749)</f>
        <v/>
      </c>
      <c r="D749">
        <f>INDEX($L$61:$L$68,B749)</f>
        <v/>
      </c>
      <c r="E749">
        <f>INDEX($M$61:$M$68,B749)</f>
        <v/>
      </c>
      <c r="F749">
        <f>INDEX($N$61:$N$68,B749)</f>
        <v/>
      </c>
      <c r="G749">
        <f>INDEX($AA$61:$AA$68,B749)</f>
        <v/>
      </c>
      <c r="H749">
        <f>INDEX($X$61:$X$68,B749)</f>
        <v/>
      </c>
      <c r="I749">
        <f>INDEX($AF$61:$AF$68,B749)</f>
        <v/>
      </c>
      <c r="J749">
        <f>INDEX($AC$61:$AC$68,B749)</f>
        <v/>
      </c>
      <c r="K749">
        <f>INDEX($AD$61:$AD$68,B749)</f>
        <v/>
      </c>
      <c r="L749">
        <f>INDEX($AG$61:$AG$68,B749)</f>
        <v/>
      </c>
      <c r="M749">
        <f>INDEX($AH$61:$AH$68,B749)</f>
        <v/>
      </c>
      <c r="N749">
        <f>INDEX($AI$61:$AI$68,B749)</f>
        <v/>
      </c>
      <c r="O749">
        <f>O748*$B$26+L749*(1-$B$26)</f>
        <v/>
      </c>
      <c r="P749">
        <f>$B$7*(O749-O748)*(1-AS748)</f>
        <v/>
      </c>
      <c r="Q749">
        <f>M749+0.51274*AT748</f>
        <v/>
      </c>
      <c r="R749">
        <f>N749+0.616*AT748</f>
        <v/>
      </c>
      <c r="S749">
        <f>IF($B$13&gt;=0.6,Q749,IF($B$13&lt;=0.2,R749,R749+2.5*(Q749-R749)*($B$13-0.2)))</f>
        <v/>
      </c>
      <c r="T749">
        <f>IF(A749=1,S749,T748*$B$27+S749*(1-$B$27))</f>
        <v/>
      </c>
      <c r="U749">
        <f>0.6105*EXP(17.27*T749/(T749+237.3))</f>
        <v/>
      </c>
      <c r="V749">
        <f>($B$14*(I749*C749+IF(ABS((D749+0.1)-D749)&lt;0.000000001,4*$B$19*$B$20*(D749+273)^3,$B$19*$B$20*(((D749+0.1)+273)^4-(D749+273)^4)/((D749+0.1)-D749))*D749)+T749/H749)/($B$14*(I749+IF(ABS((D749+0.1)-D749)&lt;0.000000001,4*$B$19*$B$20*(D749+273)^3,$B$19*$B$20*(((D749+0.1)+273)^4-(D749+273)^4)/((D749+0.1)-D749)))+1/H749)</f>
        <v/>
      </c>
      <c r="W749">
        <f>($B$14*(I749*C749+IF(ABS(V749-D749)&lt;0.000000001,4*$B$19*$B$20*(D749+273)^3,$B$19*$B$20*((V749+273)^4-(D749+273)^4)/(V749-D749))*D749)+T749/H749)/($B$14*(I749+IF(ABS(V749-D749)&lt;0.000000001,4*$B$19*$B$20*(D749+273)^3,$B$19*$B$20*((V749+273)^4-(D749+273)^4)/(V749-D749)))+1/H749)</f>
        <v/>
      </c>
      <c r="X749">
        <f>($B$14*(I749*C749+IF(ABS(W749-D749)&lt;0.000000001,4*$B$19*$B$20*(D749+273)^3,$B$19*$B$20*((W749+273)^4-(D749+273)^4)/(W749-D749))*D749)+T749/H749)/($B$14*(I749+IF(ABS(W749-D749)&lt;0.000000001,4*$B$19*$B$20*(D749+273)^3,$B$19*$B$20*((W749+273)^4-(D749+273)^4)/(W749-D749)))+1/H749)</f>
        <v/>
      </c>
      <c r="Y749">
        <f>($B$14*(I749*C749+IF(ABS(X749-D749)&lt;0.000000001,4*$B$19*$B$20*(D749+273)^3,$B$19*$B$20*((X749+273)^4-(D749+273)^4)/(X749-D749))*D749)+T749/H749)/($B$14*(I749+IF(ABS(X749-D749)&lt;0.000000001,4*$B$19*$B$20*(D749+273)^3,$B$19*$B$20*((X749+273)^4-(D749+273)^4)/(X749-D749)))+1/H749)</f>
        <v/>
      </c>
      <c r="Z749">
        <f>IF(ABS(Y749-D749)&lt;0.000000001,4*$B$19*$B$20*(D749+273)^3,$B$19*$B$20*((Y749+273)^4-(D749+273)^4)/(Y749-D749))</f>
        <v/>
      </c>
      <c r="AA749">
        <f>$B$14*I749*(Y749-C749)</f>
        <v/>
      </c>
      <c r="AB749">
        <f>$B$14*Z749*(Y749-D749)</f>
        <v/>
      </c>
      <c r="AC749">
        <f>IF((U749-E749)/G749=0,0.001,(U749-E749)/G749)</f>
        <v/>
      </c>
      <c r="AD749">
        <f>F749-P749-J749-K749-AA749-AB749</f>
        <v/>
      </c>
      <c r="AE749">
        <f>AD749/AC749</f>
        <v/>
      </c>
      <c r="AF749">
        <f>IF(AD749&lt;=0,0,IF(AC749&lt;=0,$B$11,IF(AE749&gt;=1.7,$B$11,MIN(AD749/MAX(0.05,IF(AE749&gt;1,(2-AE749)^2/2,1-AE749^2/2)),$B$11))))</f>
        <v/>
      </c>
      <c r="AG749">
        <f>AG748*$B$28+AF749*(1-$B$28)</f>
        <v/>
      </c>
      <c r="AH749">
        <f>IF(AND(AD749&gt;0,AC749&lt;=0),0,AC749)</f>
        <v/>
      </c>
      <c r="AI749">
        <f>AH749/MAX(AG749,0.000001)</f>
        <v/>
      </c>
      <c r="AJ749">
        <f>MIN(IF(AI749&gt;=0.5,-AI749+SQRT(AI749^2+2),1),$B$12)</f>
        <v/>
      </c>
      <c r="AK749">
        <f>IF(AG749&lt;=0,0,AJ749*AH749)</f>
        <v/>
      </c>
      <c r="AL749">
        <f>IF(AD749&lt;=0,0,AD749)</f>
        <v/>
      </c>
      <c r="AM749">
        <f>AL749-AK749+P749</f>
        <v/>
      </c>
      <c r="AN749">
        <f>((AM749/$B$7+T748*AS748/2-T749*MAX(0.1,MIN(0.3,0.3-0.09*(AR748-36.8)))/2)+AR748*(1-AS748/2))/(1-MAX(0.1,MIN(0.3,0.3-0.09*(AR748-36.8)))/2)</f>
        <v/>
      </c>
      <c r="AO749">
        <f>((AM749/$B$7+T748*AS748/2-T749*MAX(0.1,MIN(0.3,0.3-0.09*(AN749-36.8)))/2)+AR748*(1-AS748/2))/(1-MAX(0.1,MIN(0.3,0.3-0.09*(AN749-36.8)))/2)</f>
        <v/>
      </c>
      <c r="AP749">
        <f>((AM749/$B$7+T748*AS748/2-T749*MAX(0.1,MIN(0.3,0.3-0.09*(AO749-36.8)))/2)+AR748*(1-AS748/2))/(1-MAX(0.1,MIN(0.3,0.3-0.09*(AO749-36.8)))/2)</f>
        <v/>
      </c>
      <c r="AQ749">
        <f>((AM749/$B$7+T748*AS748/2-T749*MAX(0.1,MIN(0.3,0.3-0.09*(AP749-36.8)))/2)+AR748*(1-AS748/2))/(1-MAX(0.1,MIN(0.3,0.3-0.09*(AP749-36.8)))/2)</f>
        <v/>
      </c>
      <c r="AR749">
        <f>((AM749/$B$7+T748*AS748/2-T749*MAX(0.1,MIN(0.3,0.3-0.09*(AQ749-36.8)))/2)+AR748*(1-AS748/2))/(1-MAX(0.1,MIN(0.3,0.3-0.09*(AQ749-36.8)))/2)</f>
        <v/>
      </c>
      <c r="AS749">
        <f>MAX(0.1,MIN(0.3,0.3-0.09*(AR749-36.8)))</f>
        <v/>
      </c>
      <c r="AT749">
        <f>AT748+(2*AR749-1.962*AT748-1.31)/9</f>
        <v/>
      </c>
      <c r="AU749">
        <f>AU748+AG749+K749</f>
        <v/>
      </c>
      <c r="AV749">
        <f>AU749*2.67*$B$6/1.8/60</f>
        <v/>
      </c>
      <c r="AW749">
        <f>IF(AT749&gt;=$B$36,1,0)</f>
        <v/>
      </c>
      <c r="AX749">
        <f>IF(AV749&gt;=$B$21,1,0)</f>
        <v/>
      </c>
    </row>
    <row r="750">
      <c r="A750" t="n">
        <v>677</v>
      </c>
      <c r="B750">
        <f>MATCH(A750-1,$D$61:$D$68,1)</f>
        <v/>
      </c>
      <c r="C750">
        <f>INDEX($G$61:$G$68,B750)</f>
        <v/>
      </c>
      <c r="D750">
        <f>INDEX($L$61:$L$68,B750)</f>
        <v/>
      </c>
      <c r="E750">
        <f>INDEX($M$61:$M$68,B750)</f>
        <v/>
      </c>
      <c r="F750">
        <f>INDEX($N$61:$N$68,B750)</f>
        <v/>
      </c>
      <c r="G750">
        <f>INDEX($AA$61:$AA$68,B750)</f>
        <v/>
      </c>
      <c r="H750">
        <f>INDEX($X$61:$X$68,B750)</f>
        <v/>
      </c>
      <c r="I750">
        <f>INDEX($AF$61:$AF$68,B750)</f>
        <v/>
      </c>
      <c r="J750">
        <f>INDEX($AC$61:$AC$68,B750)</f>
        <v/>
      </c>
      <c r="K750">
        <f>INDEX($AD$61:$AD$68,B750)</f>
        <v/>
      </c>
      <c r="L750">
        <f>INDEX($AG$61:$AG$68,B750)</f>
        <v/>
      </c>
      <c r="M750">
        <f>INDEX($AH$61:$AH$68,B750)</f>
        <v/>
      </c>
      <c r="N750">
        <f>INDEX($AI$61:$AI$68,B750)</f>
        <v/>
      </c>
      <c r="O750">
        <f>O749*$B$26+L750*(1-$B$26)</f>
        <v/>
      </c>
      <c r="P750">
        <f>$B$7*(O750-O749)*(1-AS749)</f>
        <v/>
      </c>
      <c r="Q750">
        <f>M750+0.51274*AT749</f>
        <v/>
      </c>
      <c r="R750">
        <f>N750+0.616*AT749</f>
        <v/>
      </c>
      <c r="S750">
        <f>IF($B$13&gt;=0.6,Q750,IF($B$13&lt;=0.2,R750,R750+2.5*(Q750-R750)*($B$13-0.2)))</f>
        <v/>
      </c>
      <c r="T750">
        <f>IF(A750=1,S750,T749*$B$27+S750*(1-$B$27))</f>
        <v/>
      </c>
      <c r="U750">
        <f>0.6105*EXP(17.27*T750/(T750+237.3))</f>
        <v/>
      </c>
      <c r="V750">
        <f>($B$14*(I750*C750+IF(ABS((D750+0.1)-D750)&lt;0.000000001,4*$B$19*$B$20*(D750+273)^3,$B$19*$B$20*(((D750+0.1)+273)^4-(D750+273)^4)/((D750+0.1)-D750))*D750)+T750/H750)/($B$14*(I750+IF(ABS((D750+0.1)-D750)&lt;0.000000001,4*$B$19*$B$20*(D750+273)^3,$B$19*$B$20*(((D750+0.1)+273)^4-(D750+273)^4)/((D750+0.1)-D750)))+1/H750)</f>
        <v/>
      </c>
      <c r="W750">
        <f>($B$14*(I750*C750+IF(ABS(V750-D750)&lt;0.000000001,4*$B$19*$B$20*(D750+273)^3,$B$19*$B$20*((V750+273)^4-(D750+273)^4)/(V750-D750))*D750)+T750/H750)/($B$14*(I750+IF(ABS(V750-D750)&lt;0.000000001,4*$B$19*$B$20*(D750+273)^3,$B$19*$B$20*((V750+273)^4-(D750+273)^4)/(V750-D750)))+1/H750)</f>
        <v/>
      </c>
      <c r="X750">
        <f>($B$14*(I750*C750+IF(ABS(W750-D750)&lt;0.000000001,4*$B$19*$B$20*(D750+273)^3,$B$19*$B$20*((W750+273)^4-(D750+273)^4)/(W750-D750))*D750)+T750/H750)/($B$14*(I750+IF(ABS(W750-D750)&lt;0.000000001,4*$B$19*$B$20*(D750+273)^3,$B$19*$B$20*((W750+273)^4-(D750+273)^4)/(W750-D750)))+1/H750)</f>
        <v/>
      </c>
      <c r="Y750">
        <f>($B$14*(I750*C750+IF(ABS(X750-D750)&lt;0.000000001,4*$B$19*$B$20*(D750+273)^3,$B$19*$B$20*((X750+273)^4-(D750+273)^4)/(X750-D750))*D750)+T750/H750)/($B$14*(I750+IF(ABS(X750-D750)&lt;0.000000001,4*$B$19*$B$20*(D750+273)^3,$B$19*$B$20*((X750+273)^4-(D750+273)^4)/(X750-D750)))+1/H750)</f>
        <v/>
      </c>
      <c r="Z750">
        <f>IF(ABS(Y750-D750)&lt;0.000000001,4*$B$19*$B$20*(D750+273)^3,$B$19*$B$20*((Y750+273)^4-(D750+273)^4)/(Y750-D750))</f>
        <v/>
      </c>
      <c r="AA750">
        <f>$B$14*I750*(Y750-C750)</f>
        <v/>
      </c>
      <c r="AB750">
        <f>$B$14*Z750*(Y750-D750)</f>
        <v/>
      </c>
      <c r="AC750">
        <f>IF((U750-E750)/G750=0,0.001,(U750-E750)/G750)</f>
        <v/>
      </c>
      <c r="AD750">
        <f>F750-P750-J750-K750-AA750-AB750</f>
        <v/>
      </c>
      <c r="AE750">
        <f>AD750/AC750</f>
        <v/>
      </c>
      <c r="AF750">
        <f>IF(AD750&lt;=0,0,IF(AC750&lt;=0,$B$11,IF(AE750&gt;=1.7,$B$11,MIN(AD750/MAX(0.05,IF(AE750&gt;1,(2-AE750)^2/2,1-AE750^2/2)),$B$11))))</f>
        <v/>
      </c>
      <c r="AG750">
        <f>AG749*$B$28+AF750*(1-$B$28)</f>
        <v/>
      </c>
      <c r="AH750">
        <f>IF(AND(AD750&gt;0,AC750&lt;=0),0,AC750)</f>
        <v/>
      </c>
      <c r="AI750">
        <f>AH750/MAX(AG750,0.000001)</f>
        <v/>
      </c>
      <c r="AJ750">
        <f>MIN(IF(AI750&gt;=0.5,-AI750+SQRT(AI750^2+2),1),$B$12)</f>
        <v/>
      </c>
      <c r="AK750">
        <f>IF(AG750&lt;=0,0,AJ750*AH750)</f>
        <v/>
      </c>
      <c r="AL750">
        <f>IF(AD750&lt;=0,0,AD750)</f>
        <v/>
      </c>
      <c r="AM750">
        <f>AL750-AK750+P750</f>
        <v/>
      </c>
      <c r="AN750">
        <f>((AM750/$B$7+T749*AS749/2-T750*MAX(0.1,MIN(0.3,0.3-0.09*(AR749-36.8)))/2)+AR749*(1-AS749/2))/(1-MAX(0.1,MIN(0.3,0.3-0.09*(AR749-36.8)))/2)</f>
        <v/>
      </c>
      <c r="AO750">
        <f>((AM750/$B$7+T749*AS749/2-T750*MAX(0.1,MIN(0.3,0.3-0.09*(AN750-36.8)))/2)+AR749*(1-AS749/2))/(1-MAX(0.1,MIN(0.3,0.3-0.09*(AN750-36.8)))/2)</f>
        <v/>
      </c>
      <c r="AP750">
        <f>((AM750/$B$7+T749*AS749/2-T750*MAX(0.1,MIN(0.3,0.3-0.09*(AO750-36.8)))/2)+AR749*(1-AS749/2))/(1-MAX(0.1,MIN(0.3,0.3-0.09*(AO750-36.8)))/2)</f>
        <v/>
      </c>
      <c r="AQ750">
        <f>((AM750/$B$7+T749*AS749/2-T750*MAX(0.1,MIN(0.3,0.3-0.09*(AP750-36.8)))/2)+AR749*(1-AS749/2))/(1-MAX(0.1,MIN(0.3,0.3-0.09*(AP750-36.8)))/2)</f>
        <v/>
      </c>
      <c r="AR750">
        <f>((AM750/$B$7+T749*AS749/2-T750*MAX(0.1,MIN(0.3,0.3-0.09*(AQ750-36.8)))/2)+AR749*(1-AS749/2))/(1-MAX(0.1,MIN(0.3,0.3-0.09*(AQ750-36.8)))/2)</f>
        <v/>
      </c>
      <c r="AS750">
        <f>MAX(0.1,MIN(0.3,0.3-0.09*(AR750-36.8)))</f>
        <v/>
      </c>
      <c r="AT750">
        <f>AT749+(2*AR750-1.962*AT749-1.31)/9</f>
        <v/>
      </c>
      <c r="AU750">
        <f>AU749+AG750+K750</f>
        <v/>
      </c>
      <c r="AV750">
        <f>AU750*2.67*$B$6/1.8/60</f>
        <v/>
      </c>
      <c r="AW750">
        <f>IF(AT750&gt;=$B$36,1,0)</f>
        <v/>
      </c>
      <c r="AX750">
        <f>IF(AV750&gt;=$B$21,1,0)</f>
        <v/>
      </c>
    </row>
    <row r="751">
      <c r="A751" t="n">
        <v>678</v>
      </c>
      <c r="B751">
        <f>MATCH(A751-1,$D$61:$D$68,1)</f>
        <v/>
      </c>
      <c r="C751">
        <f>INDEX($G$61:$G$68,B751)</f>
        <v/>
      </c>
      <c r="D751">
        <f>INDEX($L$61:$L$68,B751)</f>
        <v/>
      </c>
      <c r="E751">
        <f>INDEX($M$61:$M$68,B751)</f>
        <v/>
      </c>
      <c r="F751">
        <f>INDEX($N$61:$N$68,B751)</f>
        <v/>
      </c>
      <c r="G751">
        <f>INDEX($AA$61:$AA$68,B751)</f>
        <v/>
      </c>
      <c r="H751">
        <f>INDEX($X$61:$X$68,B751)</f>
        <v/>
      </c>
      <c r="I751">
        <f>INDEX($AF$61:$AF$68,B751)</f>
        <v/>
      </c>
      <c r="J751">
        <f>INDEX($AC$61:$AC$68,B751)</f>
        <v/>
      </c>
      <c r="K751">
        <f>INDEX($AD$61:$AD$68,B751)</f>
        <v/>
      </c>
      <c r="L751">
        <f>INDEX($AG$61:$AG$68,B751)</f>
        <v/>
      </c>
      <c r="M751">
        <f>INDEX($AH$61:$AH$68,B751)</f>
        <v/>
      </c>
      <c r="N751">
        <f>INDEX($AI$61:$AI$68,B751)</f>
        <v/>
      </c>
      <c r="O751">
        <f>O750*$B$26+L751*(1-$B$26)</f>
        <v/>
      </c>
      <c r="P751">
        <f>$B$7*(O751-O750)*(1-AS750)</f>
        <v/>
      </c>
      <c r="Q751">
        <f>M751+0.51274*AT750</f>
        <v/>
      </c>
      <c r="R751">
        <f>N751+0.616*AT750</f>
        <v/>
      </c>
      <c r="S751">
        <f>IF($B$13&gt;=0.6,Q751,IF($B$13&lt;=0.2,R751,R751+2.5*(Q751-R751)*($B$13-0.2)))</f>
        <v/>
      </c>
      <c r="T751">
        <f>IF(A751=1,S751,T750*$B$27+S751*(1-$B$27))</f>
        <v/>
      </c>
      <c r="U751">
        <f>0.6105*EXP(17.27*T751/(T751+237.3))</f>
        <v/>
      </c>
      <c r="V751">
        <f>($B$14*(I751*C751+IF(ABS((D751+0.1)-D751)&lt;0.000000001,4*$B$19*$B$20*(D751+273)^3,$B$19*$B$20*(((D751+0.1)+273)^4-(D751+273)^4)/((D751+0.1)-D751))*D751)+T751/H751)/($B$14*(I751+IF(ABS((D751+0.1)-D751)&lt;0.000000001,4*$B$19*$B$20*(D751+273)^3,$B$19*$B$20*(((D751+0.1)+273)^4-(D751+273)^4)/((D751+0.1)-D751)))+1/H751)</f>
        <v/>
      </c>
      <c r="W751">
        <f>($B$14*(I751*C751+IF(ABS(V751-D751)&lt;0.000000001,4*$B$19*$B$20*(D751+273)^3,$B$19*$B$20*((V751+273)^4-(D751+273)^4)/(V751-D751))*D751)+T751/H751)/($B$14*(I751+IF(ABS(V751-D751)&lt;0.000000001,4*$B$19*$B$20*(D751+273)^3,$B$19*$B$20*((V751+273)^4-(D751+273)^4)/(V751-D751)))+1/H751)</f>
        <v/>
      </c>
      <c r="X751">
        <f>($B$14*(I751*C751+IF(ABS(W751-D751)&lt;0.000000001,4*$B$19*$B$20*(D751+273)^3,$B$19*$B$20*((W751+273)^4-(D751+273)^4)/(W751-D751))*D751)+T751/H751)/($B$14*(I751+IF(ABS(W751-D751)&lt;0.000000001,4*$B$19*$B$20*(D751+273)^3,$B$19*$B$20*((W751+273)^4-(D751+273)^4)/(W751-D751)))+1/H751)</f>
        <v/>
      </c>
      <c r="Y751">
        <f>($B$14*(I751*C751+IF(ABS(X751-D751)&lt;0.000000001,4*$B$19*$B$20*(D751+273)^3,$B$19*$B$20*((X751+273)^4-(D751+273)^4)/(X751-D751))*D751)+T751/H751)/($B$14*(I751+IF(ABS(X751-D751)&lt;0.000000001,4*$B$19*$B$20*(D751+273)^3,$B$19*$B$20*((X751+273)^4-(D751+273)^4)/(X751-D751)))+1/H751)</f>
        <v/>
      </c>
      <c r="Z751">
        <f>IF(ABS(Y751-D751)&lt;0.000000001,4*$B$19*$B$20*(D751+273)^3,$B$19*$B$20*((Y751+273)^4-(D751+273)^4)/(Y751-D751))</f>
        <v/>
      </c>
      <c r="AA751">
        <f>$B$14*I751*(Y751-C751)</f>
        <v/>
      </c>
      <c r="AB751">
        <f>$B$14*Z751*(Y751-D751)</f>
        <v/>
      </c>
      <c r="AC751">
        <f>IF((U751-E751)/G751=0,0.001,(U751-E751)/G751)</f>
        <v/>
      </c>
      <c r="AD751">
        <f>F751-P751-J751-K751-AA751-AB751</f>
        <v/>
      </c>
      <c r="AE751">
        <f>AD751/AC751</f>
        <v/>
      </c>
      <c r="AF751">
        <f>IF(AD751&lt;=0,0,IF(AC751&lt;=0,$B$11,IF(AE751&gt;=1.7,$B$11,MIN(AD751/MAX(0.05,IF(AE751&gt;1,(2-AE751)^2/2,1-AE751^2/2)),$B$11))))</f>
        <v/>
      </c>
      <c r="AG751">
        <f>AG750*$B$28+AF751*(1-$B$28)</f>
        <v/>
      </c>
      <c r="AH751">
        <f>IF(AND(AD751&gt;0,AC751&lt;=0),0,AC751)</f>
        <v/>
      </c>
      <c r="AI751">
        <f>AH751/MAX(AG751,0.000001)</f>
        <v/>
      </c>
      <c r="AJ751">
        <f>MIN(IF(AI751&gt;=0.5,-AI751+SQRT(AI751^2+2),1),$B$12)</f>
        <v/>
      </c>
      <c r="AK751">
        <f>IF(AG751&lt;=0,0,AJ751*AH751)</f>
        <v/>
      </c>
      <c r="AL751">
        <f>IF(AD751&lt;=0,0,AD751)</f>
        <v/>
      </c>
      <c r="AM751">
        <f>AL751-AK751+P751</f>
        <v/>
      </c>
      <c r="AN751">
        <f>((AM751/$B$7+T750*AS750/2-T751*MAX(0.1,MIN(0.3,0.3-0.09*(AR750-36.8)))/2)+AR750*(1-AS750/2))/(1-MAX(0.1,MIN(0.3,0.3-0.09*(AR750-36.8)))/2)</f>
        <v/>
      </c>
      <c r="AO751">
        <f>((AM751/$B$7+T750*AS750/2-T751*MAX(0.1,MIN(0.3,0.3-0.09*(AN751-36.8)))/2)+AR750*(1-AS750/2))/(1-MAX(0.1,MIN(0.3,0.3-0.09*(AN751-36.8)))/2)</f>
        <v/>
      </c>
      <c r="AP751">
        <f>((AM751/$B$7+T750*AS750/2-T751*MAX(0.1,MIN(0.3,0.3-0.09*(AO751-36.8)))/2)+AR750*(1-AS750/2))/(1-MAX(0.1,MIN(0.3,0.3-0.09*(AO751-36.8)))/2)</f>
        <v/>
      </c>
      <c r="AQ751">
        <f>((AM751/$B$7+T750*AS750/2-T751*MAX(0.1,MIN(0.3,0.3-0.09*(AP751-36.8)))/2)+AR750*(1-AS750/2))/(1-MAX(0.1,MIN(0.3,0.3-0.09*(AP751-36.8)))/2)</f>
        <v/>
      </c>
      <c r="AR751">
        <f>((AM751/$B$7+T750*AS750/2-T751*MAX(0.1,MIN(0.3,0.3-0.09*(AQ751-36.8)))/2)+AR750*(1-AS750/2))/(1-MAX(0.1,MIN(0.3,0.3-0.09*(AQ751-36.8)))/2)</f>
        <v/>
      </c>
      <c r="AS751">
        <f>MAX(0.1,MIN(0.3,0.3-0.09*(AR751-36.8)))</f>
        <v/>
      </c>
      <c r="AT751">
        <f>AT750+(2*AR751-1.962*AT750-1.31)/9</f>
        <v/>
      </c>
      <c r="AU751">
        <f>AU750+AG751+K751</f>
        <v/>
      </c>
      <c r="AV751">
        <f>AU751*2.67*$B$6/1.8/60</f>
        <v/>
      </c>
      <c r="AW751">
        <f>IF(AT751&gt;=$B$36,1,0)</f>
        <v/>
      </c>
      <c r="AX751">
        <f>IF(AV751&gt;=$B$21,1,0)</f>
        <v/>
      </c>
    </row>
    <row r="752">
      <c r="A752" t="n">
        <v>679</v>
      </c>
      <c r="B752">
        <f>MATCH(A752-1,$D$61:$D$68,1)</f>
        <v/>
      </c>
      <c r="C752">
        <f>INDEX($G$61:$G$68,B752)</f>
        <v/>
      </c>
      <c r="D752">
        <f>INDEX($L$61:$L$68,B752)</f>
        <v/>
      </c>
      <c r="E752">
        <f>INDEX($M$61:$M$68,B752)</f>
        <v/>
      </c>
      <c r="F752">
        <f>INDEX($N$61:$N$68,B752)</f>
        <v/>
      </c>
      <c r="G752">
        <f>INDEX($AA$61:$AA$68,B752)</f>
        <v/>
      </c>
      <c r="H752">
        <f>INDEX($X$61:$X$68,B752)</f>
        <v/>
      </c>
      <c r="I752">
        <f>INDEX($AF$61:$AF$68,B752)</f>
        <v/>
      </c>
      <c r="J752">
        <f>INDEX($AC$61:$AC$68,B752)</f>
        <v/>
      </c>
      <c r="K752">
        <f>INDEX($AD$61:$AD$68,B752)</f>
        <v/>
      </c>
      <c r="L752">
        <f>INDEX($AG$61:$AG$68,B752)</f>
        <v/>
      </c>
      <c r="M752">
        <f>INDEX($AH$61:$AH$68,B752)</f>
        <v/>
      </c>
      <c r="N752">
        <f>INDEX($AI$61:$AI$68,B752)</f>
        <v/>
      </c>
      <c r="O752">
        <f>O751*$B$26+L752*(1-$B$26)</f>
        <v/>
      </c>
      <c r="P752">
        <f>$B$7*(O752-O751)*(1-AS751)</f>
        <v/>
      </c>
      <c r="Q752">
        <f>M752+0.51274*AT751</f>
        <v/>
      </c>
      <c r="R752">
        <f>N752+0.616*AT751</f>
        <v/>
      </c>
      <c r="S752">
        <f>IF($B$13&gt;=0.6,Q752,IF($B$13&lt;=0.2,R752,R752+2.5*(Q752-R752)*($B$13-0.2)))</f>
        <v/>
      </c>
      <c r="T752">
        <f>IF(A752=1,S752,T751*$B$27+S752*(1-$B$27))</f>
        <v/>
      </c>
      <c r="U752">
        <f>0.6105*EXP(17.27*T752/(T752+237.3))</f>
        <v/>
      </c>
      <c r="V752">
        <f>($B$14*(I752*C752+IF(ABS((D752+0.1)-D752)&lt;0.000000001,4*$B$19*$B$20*(D752+273)^3,$B$19*$B$20*(((D752+0.1)+273)^4-(D752+273)^4)/((D752+0.1)-D752))*D752)+T752/H752)/($B$14*(I752+IF(ABS((D752+0.1)-D752)&lt;0.000000001,4*$B$19*$B$20*(D752+273)^3,$B$19*$B$20*(((D752+0.1)+273)^4-(D752+273)^4)/((D752+0.1)-D752)))+1/H752)</f>
        <v/>
      </c>
      <c r="W752">
        <f>($B$14*(I752*C752+IF(ABS(V752-D752)&lt;0.000000001,4*$B$19*$B$20*(D752+273)^3,$B$19*$B$20*((V752+273)^4-(D752+273)^4)/(V752-D752))*D752)+T752/H752)/($B$14*(I752+IF(ABS(V752-D752)&lt;0.000000001,4*$B$19*$B$20*(D752+273)^3,$B$19*$B$20*((V752+273)^4-(D752+273)^4)/(V752-D752)))+1/H752)</f>
        <v/>
      </c>
      <c r="X752">
        <f>($B$14*(I752*C752+IF(ABS(W752-D752)&lt;0.000000001,4*$B$19*$B$20*(D752+273)^3,$B$19*$B$20*((W752+273)^4-(D752+273)^4)/(W752-D752))*D752)+T752/H752)/($B$14*(I752+IF(ABS(W752-D752)&lt;0.000000001,4*$B$19*$B$20*(D752+273)^3,$B$19*$B$20*((W752+273)^4-(D752+273)^4)/(W752-D752)))+1/H752)</f>
        <v/>
      </c>
      <c r="Y752">
        <f>($B$14*(I752*C752+IF(ABS(X752-D752)&lt;0.000000001,4*$B$19*$B$20*(D752+273)^3,$B$19*$B$20*((X752+273)^4-(D752+273)^4)/(X752-D752))*D752)+T752/H752)/($B$14*(I752+IF(ABS(X752-D752)&lt;0.000000001,4*$B$19*$B$20*(D752+273)^3,$B$19*$B$20*((X752+273)^4-(D752+273)^4)/(X752-D752)))+1/H752)</f>
        <v/>
      </c>
      <c r="Z752">
        <f>IF(ABS(Y752-D752)&lt;0.000000001,4*$B$19*$B$20*(D752+273)^3,$B$19*$B$20*((Y752+273)^4-(D752+273)^4)/(Y752-D752))</f>
        <v/>
      </c>
      <c r="AA752">
        <f>$B$14*I752*(Y752-C752)</f>
        <v/>
      </c>
      <c r="AB752">
        <f>$B$14*Z752*(Y752-D752)</f>
        <v/>
      </c>
      <c r="AC752">
        <f>IF((U752-E752)/G752=0,0.001,(U752-E752)/G752)</f>
        <v/>
      </c>
      <c r="AD752">
        <f>F752-P752-J752-K752-AA752-AB752</f>
        <v/>
      </c>
      <c r="AE752">
        <f>AD752/AC752</f>
        <v/>
      </c>
      <c r="AF752">
        <f>IF(AD752&lt;=0,0,IF(AC752&lt;=0,$B$11,IF(AE752&gt;=1.7,$B$11,MIN(AD752/MAX(0.05,IF(AE752&gt;1,(2-AE752)^2/2,1-AE752^2/2)),$B$11))))</f>
        <v/>
      </c>
      <c r="AG752">
        <f>AG751*$B$28+AF752*(1-$B$28)</f>
        <v/>
      </c>
      <c r="AH752">
        <f>IF(AND(AD752&gt;0,AC752&lt;=0),0,AC752)</f>
        <v/>
      </c>
      <c r="AI752">
        <f>AH752/MAX(AG752,0.000001)</f>
        <v/>
      </c>
      <c r="AJ752">
        <f>MIN(IF(AI752&gt;=0.5,-AI752+SQRT(AI752^2+2),1),$B$12)</f>
        <v/>
      </c>
      <c r="AK752">
        <f>IF(AG752&lt;=0,0,AJ752*AH752)</f>
        <v/>
      </c>
      <c r="AL752">
        <f>IF(AD752&lt;=0,0,AD752)</f>
        <v/>
      </c>
      <c r="AM752">
        <f>AL752-AK752+P752</f>
        <v/>
      </c>
      <c r="AN752">
        <f>((AM752/$B$7+T751*AS751/2-T752*MAX(0.1,MIN(0.3,0.3-0.09*(AR751-36.8)))/2)+AR751*(1-AS751/2))/(1-MAX(0.1,MIN(0.3,0.3-0.09*(AR751-36.8)))/2)</f>
        <v/>
      </c>
      <c r="AO752">
        <f>((AM752/$B$7+T751*AS751/2-T752*MAX(0.1,MIN(0.3,0.3-0.09*(AN752-36.8)))/2)+AR751*(1-AS751/2))/(1-MAX(0.1,MIN(0.3,0.3-0.09*(AN752-36.8)))/2)</f>
        <v/>
      </c>
      <c r="AP752">
        <f>((AM752/$B$7+T751*AS751/2-T752*MAX(0.1,MIN(0.3,0.3-0.09*(AO752-36.8)))/2)+AR751*(1-AS751/2))/(1-MAX(0.1,MIN(0.3,0.3-0.09*(AO752-36.8)))/2)</f>
        <v/>
      </c>
      <c r="AQ752">
        <f>((AM752/$B$7+T751*AS751/2-T752*MAX(0.1,MIN(0.3,0.3-0.09*(AP752-36.8)))/2)+AR751*(1-AS751/2))/(1-MAX(0.1,MIN(0.3,0.3-0.09*(AP752-36.8)))/2)</f>
        <v/>
      </c>
      <c r="AR752">
        <f>((AM752/$B$7+T751*AS751/2-T752*MAX(0.1,MIN(0.3,0.3-0.09*(AQ752-36.8)))/2)+AR751*(1-AS751/2))/(1-MAX(0.1,MIN(0.3,0.3-0.09*(AQ752-36.8)))/2)</f>
        <v/>
      </c>
      <c r="AS752">
        <f>MAX(0.1,MIN(0.3,0.3-0.09*(AR752-36.8)))</f>
        <v/>
      </c>
      <c r="AT752">
        <f>AT751+(2*AR752-1.962*AT751-1.31)/9</f>
        <v/>
      </c>
      <c r="AU752">
        <f>AU751+AG752+K752</f>
        <v/>
      </c>
      <c r="AV752">
        <f>AU752*2.67*$B$6/1.8/60</f>
        <v/>
      </c>
      <c r="AW752">
        <f>IF(AT752&gt;=$B$36,1,0)</f>
        <v/>
      </c>
      <c r="AX752">
        <f>IF(AV752&gt;=$B$21,1,0)</f>
        <v/>
      </c>
    </row>
    <row r="753">
      <c r="A753" t="n">
        <v>680</v>
      </c>
      <c r="B753">
        <f>MATCH(A753-1,$D$61:$D$68,1)</f>
        <v/>
      </c>
      <c r="C753">
        <f>INDEX($G$61:$G$68,B753)</f>
        <v/>
      </c>
      <c r="D753">
        <f>INDEX($L$61:$L$68,B753)</f>
        <v/>
      </c>
      <c r="E753">
        <f>INDEX($M$61:$M$68,B753)</f>
        <v/>
      </c>
      <c r="F753">
        <f>INDEX($N$61:$N$68,B753)</f>
        <v/>
      </c>
      <c r="G753">
        <f>INDEX($AA$61:$AA$68,B753)</f>
        <v/>
      </c>
      <c r="H753">
        <f>INDEX($X$61:$X$68,B753)</f>
        <v/>
      </c>
      <c r="I753">
        <f>INDEX($AF$61:$AF$68,B753)</f>
        <v/>
      </c>
      <c r="J753">
        <f>INDEX($AC$61:$AC$68,B753)</f>
        <v/>
      </c>
      <c r="K753">
        <f>INDEX($AD$61:$AD$68,B753)</f>
        <v/>
      </c>
      <c r="L753">
        <f>INDEX($AG$61:$AG$68,B753)</f>
        <v/>
      </c>
      <c r="M753">
        <f>INDEX($AH$61:$AH$68,B753)</f>
        <v/>
      </c>
      <c r="N753">
        <f>INDEX($AI$61:$AI$68,B753)</f>
        <v/>
      </c>
      <c r="O753">
        <f>O752*$B$26+L753*(1-$B$26)</f>
        <v/>
      </c>
      <c r="P753">
        <f>$B$7*(O753-O752)*(1-AS752)</f>
        <v/>
      </c>
      <c r="Q753">
        <f>M753+0.51274*AT752</f>
        <v/>
      </c>
      <c r="R753">
        <f>N753+0.616*AT752</f>
        <v/>
      </c>
      <c r="S753">
        <f>IF($B$13&gt;=0.6,Q753,IF($B$13&lt;=0.2,R753,R753+2.5*(Q753-R753)*($B$13-0.2)))</f>
        <v/>
      </c>
      <c r="T753">
        <f>IF(A753=1,S753,T752*$B$27+S753*(1-$B$27))</f>
        <v/>
      </c>
      <c r="U753">
        <f>0.6105*EXP(17.27*T753/(T753+237.3))</f>
        <v/>
      </c>
      <c r="V753">
        <f>($B$14*(I753*C753+IF(ABS((D753+0.1)-D753)&lt;0.000000001,4*$B$19*$B$20*(D753+273)^3,$B$19*$B$20*(((D753+0.1)+273)^4-(D753+273)^4)/((D753+0.1)-D753))*D753)+T753/H753)/($B$14*(I753+IF(ABS((D753+0.1)-D753)&lt;0.000000001,4*$B$19*$B$20*(D753+273)^3,$B$19*$B$20*(((D753+0.1)+273)^4-(D753+273)^4)/((D753+0.1)-D753)))+1/H753)</f>
        <v/>
      </c>
      <c r="W753">
        <f>($B$14*(I753*C753+IF(ABS(V753-D753)&lt;0.000000001,4*$B$19*$B$20*(D753+273)^3,$B$19*$B$20*((V753+273)^4-(D753+273)^4)/(V753-D753))*D753)+T753/H753)/($B$14*(I753+IF(ABS(V753-D753)&lt;0.000000001,4*$B$19*$B$20*(D753+273)^3,$B$19*$B$20*((V753+273)^4-(D753+273)^4)/(V753-D753)))+1/H753)</f>
        <v/>
      </c>
      <c r="X753">
        <f>($B$14*(I753*C753+IF(ABS(W753-D753)&lt;0.000000001,4*$B$19*$B$20*(D753+273)^3,$B$19*$B$20*((W753+273)^4-(D753+273)^4)/(W753-D753))*D753)+T753/H753)/($B$14*(I753+IF(ABS(W753-D753)&lt;0.000000001,4*$B$19*$B$20*(D753+273)^3,$B$19*$B$20*((W753+273)^4-(D753+273)^4)/(W753-D753)))+1/H753)</f>
        <v/>
      </c>
      <c r="Y753">
        <f>($B$14*(I753*C753+IF(ABS(X753-D753)&lt;0.000000001,4*$B$19*$B$20*(D753+273)^3,$B$19*$B$20*((X753+273)^4-(D753+273)^4)/(X753-D753))*D753)+T753/H753)/($B$14*(I753+IF(ABS(X753-D753)&lt;0.000000001,4*$B$19*$B$20*(D753+273)^3,$B$19*$B$20*((X753+273)^4-(D753+273)^4)/(X753-D753)))+1/H753)</f>
        <v/>
      </c>
      <c r="Z753">
        <f>IF(ABS(Y753-D753)&lt;0.000000001,4*$B$19*$B$20*(D753+273)^3,$B$19*$B$20*((Y753+273)^4-(D753+273)^4)/(Y753-D753))</f>
        <v/>
      </c>
      <c r="AA753">
        <f>$B$14*I753*(Y753-C753)</f>
        <v/>
      </c>
      <c r="AB753">
        <f>$B$14*Z753*(Y753-D753)</f>
        <v/>
      </c>
      <c r="AC753">
        <f>IF((U753-E753)/G753=0,0.001,(U753-E753)/G753)</f>
        <v/>
      </c>
      <c r="AD753">
        <f>F753-P753-J753-K753-AA753-AB753</f>
        <v/>
      </c>
      <c r="AE753">
        <f>AD753/AC753</f>
        <v/>
      </c>
      <c r="AF753">
        <f>IF(AD753&lt;=0,0,IF(AC753&lt;=0,$B$11,IF(AE753&gt;=1.7,$B$11,MIN(AD753/MAX(0.05,IF(AE753&gt;1,(2-AE753)^2/2,1-AE753^2/2)),$B$11))))</f>
        <v/>
      </c>
      <c r="AG753">
        <f>AG752*$B$28+AF753*(1-$B$28)</f>
        <v/>
      </c>
      <c r="AH753">
        <f>IF(AND(AD753&gt;0,AC753&lt;=0),0,AC753)</f>
        <v/>
      </c>
      <c r="AI753">
        <f>AH753/MAX(AG753,0.000001)</f>
        <v/>
      </c>
      <c r="AJ753">
        <f>MIN(IF(AI753&gt;=0.5,-AI753+SQRT(AI753^2+2),1),$B$12)</f>
        <v/>
      </c>
      <c r="AK753">
        <f>IF(AG753&lt;=0,0,AJ753*AH753)</f>
        <v/>
      </c>
      <c r="AL753">
        <f>IF(AD753&lt;=0,0,AD753)</f>
        <v/>
      </c>
      <c r="AM753">
        <f>AL753-AK753+P753</f>
        <v/>
      </c>
      <c r="AN753">
        <f>((AM753/$B$7+T752*AS752/2-T753*MAX(0.1,MIN(0.3,0.3-0.09*(AR752-36.8)))/2)+AR752*(1-AS752/2))/(1-MAX(0.1,MIN(0.3,0.3-0.09*(AR752-36.8)))/2)</f>
        <v/>
      </c>
      <c r="AO753">
        <f>((AM753/$B$7+T752*AS752/2-T753*MAX(0.1,MIN(0.3,0.3-0.09*(AN753-36.8)))/2)+AR752*(1-AS752/2))/(1-MAX(0.1,MIN(0.3,0.3-0.09*(AN753-36.8)))/2)</f>
        <v/>
      </c>
      <c r="AP753">
        <f>((AM753/$B$7+T752*AS752/2-T753*MAX(0.1,MIN(0.3,0.3-0.09*(AO753-36.8)))/2)+AR752*(1-AS752/2))/(1-MAX(0.1,MIN(0.3,0.3-0.09*(AO753-36.8)))/2)</f>
        <v/>
      </c>
      <c r="AQ753">
        <f>((AM753/$B$7+T752*AS752/2-T753*MAX(0.1,MIN(0.3,0.3-0.09*(AP753-36.8)))/2)+AR752*(1-AS752/2))/(1-MAX(0.1,MIN(0.3,0.3-0.09*(AP753-36.8)))/2)</f>
        <v/>
      </c>
      <c r="AR753">
        <f>((AM753/$B$7+T752*AS752/2-T753*MAX(0.1,MIN(0.3,0.3-0.09*(AQ753-36.8)))/2)+AR752*(1-AS752/2))/(1-MAX(0.1,MIN(0.3,0.3-0.09*(AQ753-36.8)))/2)</f>
        <v/>
      </c>
      <c r="AS753">
        <f>MAX(0.1,MIN(0.3,0.3-0.09*(AR753-36.8)))</f>
        <v/>
      </c>
      <c r="AT753">
        <f>AT752+(2*AR753-1.962*AT752-1.31)/9</f>
        <v/>
      </c>
      <c r="AU753">
        <f>AU752+AG753+K753</f>
        <v/>
      </c>
      <c r="AV753">
        <f>AU753*2.67*$B$6/1.8/60</f>
        <v/>
      </c>
      <c r="AW753">
        <f>IF(AT753&gt;=$B$36,1,0)</f>
        <v/>
      </c>
      <c r="AX753">
        <f>IF(AV753&gt;=$B$21,1,0)</f>
        <v/>
      </c>
    </row>
    <row r="754">
      <c r="A754" t="n">
        <v>681</v>
      </c>
      <c r="B754">
        <f>MATCH(A754-1,$D$61:$D$68,1)</f>
        <v/>
      </c>
      <c r="C754">
        <f>INDEX($G$61:$G$68,B754)</f>
        <v/>
      </c>
      <c r="D754">
        <f>INDEX($L$61:$L$68,B754)</f>
        <v/>
      </c>
      <c r="E754">
        <f>INDEX($M$61:$M$68,B754)</f>
        <v/>
      </c>
      <c r="F754">
        <f>INDEX($N$61:$N$68,B754)</f>
        <v/>
      </c>
      <c r="G754">
        <f>INDEX($AA$61:$AA$68,B754)</f>
        <v/>
      </c>
      <c r="H754">
        <f>INDEX($X$61:$X$68,B754)</f>
        <v/>
      </c>
      <c r="I754">
        <f>INDEX($AF$61:$AF$68,B754)</f>
        <v/>
      </c>
      <c r="J754">
        <f>INDEX($AC$61:$AC$68,B754)</f>
        <v/>
      </c>
      <c r="K754">
        <f>INDEX($AD$61:$AD$68,B754)</f>
        <v/>
      </c>
      <c r="L754">
        <f>INDEX($AG$61:$AG$68,B754)</f>
        <v/>
      </c>
      <c r="M754">
        <f>INDEX($AH$61:$AH$68,B754)</f>
        <v/>
      </c>
      <c r="N754">
        <f>INDEX($AI$61:$AI$68,B754)</f>
        <v/>
      </c>
      <c r="O754">
        <f>O753*$B$26+L754*(1-$B$26)</f>
        <v/>
      </c>
      <c r="P754">
        <f>$B$7*(O754-O753)*(1-AS753)</f>
        <v/>
      </c>
      <c r="Q754">
        <f>M754+0.51274*AT753</f>
        <v/>
      </c>
      <c r="R754">
        <f>N754+0.616*AT753</f>
        <v/>
      </c>
      <c r="S754">
        <f>IF($B$13&gt;=0.6,Q754,IF($B$13&lt;=0.2,R754,R754+2.5*(Q754-R754)*($B$13-0.2)))</f>
        <v/>
      </c>
      <c r="T754">
        <f>IF(A754=1,S754,T753*$B$27+S754*(1-$B$27))</f>
        <v/>
      </c>
      <c r="U754">
        <f>0.6105*EXP(17.27*T754/(T754+237.3))</f>
        <v/>
      </c>
      <c r="V754">
        <f>($B$14*(I754*C754+IF(ABS((D754+0.1)-D754)&lt;0.000000001,4*$B$19*$B$20*(D754+273)^3,$B$19*$B$20*(((D754+0.1)+273)^4-(D754+273)^4)/((D754+0.1)-D754))*D754)+T754/H754)/($B$14*(I754+IF(ABS((D754+0.1)-D754)&lt;0.000000001,4*$B$19*$B$20*(D754+273)^3,$B$19*$B$20*(((D754+0.1)+273)^4-(D754+273)^4)/((D754+0.1)-D754)))+1/H754)</f>
        <v/>
      </c>
      <c r="W754">
        <f>($B$14*(I754*C754+IF(ABS(V754-D754)&lt;0.000000001,4*$B$19*$B$20*(D754+273)^3,$B$19*$B$20*((V754+273)^4-(D754+273)^4)/(V754-D754))*D754)+T754/H754)/($B$14*(I754+IF(ABS(V754-D754)&lt;0.000000001,4*$B$19*$B$20*(D754+273)^3,$B$19*$B$20*((V754+273)^4-(D754+273)^4)/(V754-D754)))+1/H754)</f>
        <v/>
      </c>
      <c r="X754">
        <f>($B$14*(I754*C754+IF(ABS(W754-D754)&lt;0.000000001,4*$B$19*$B$20*(D754+273)^3,$B$19*$B$20*((W754+273)^4-(D754+273)^4)/(W754-D754))*D754)+T754/H754)/($B$14*(I754+IF(ABS(W754-D754)&lt;0.000000001,4*$B$19*$B$20*(D754+273)^3,$B$19*$B$20*((W754+273)^4-(D754+273)^4)/(W754-D754)))+1/H754)</f>
        <v/>
      </c>
      <c r="Y754">
        <f>($B$14*(I754*C754+IF(ABS(X754-D754)&lt;0.000000001,4*$B$19*$B$20*(D754+273)^3,$B$19*$B$20*((X754+273)^4-(D754+273)^4)/(X754-D754))*D754)+T754/H754)/($B$14*(I754+IF(ABS(X754-D754)&lt;0.000000001,4*$B$19*$B$20*(D754+273)^3,$B$19*$B$20*((X754+273)^4-(D754+273)^4)/(X754-D754)))+1/H754)</f>
        <v/>
      </c>
      <c r="Z754">
        <f>IF(ABS(Y754-D754)&lt;0.000000001,4*$B$19*$B$20*(D754+273)^3,$B$19*$B$20*((Y754+273)^4-(D754+273)^4)/(Y754-D754))</f>
        <v/>
      </c>
      <c r="AA754">
        <f>$B$14*I754*(Y754-C754)</f>
        <v/>
      </c>
      <c r="AB754">
        <f>$B$14*Z754*(Y754-D754)</f>
        <v/>
      </c>
      <c r="AC754">
        <f>IF((U754-E754)/G754=0,0.001,(U754-E754)/G754)</f>
        <v/>
      </c>
      <c r="AD754">
        <f>F754-P754-J754-K754-AA754-AB754</f>
        <v/>
      </c>
      <c r="AE754">
        <f>AD754/AC754</f>
        <v/>
      </c>
      <c r="AF754">
        <f>IF(AD754&lt;=0,0,IF(AC754&lt;=0,$B$11,IF(AE754&gt;=1.7,$B$11,MIN(AD754/MAX(0.05,IF(AE754&gt;1,(2-AE754)^2/2,1-AE754^2/2)),$B$11))))</f>
        <v/>
      </c>
      <c r="AG754">
        <f>AG753*$B$28+AF754*(1-$B$28)</f>
        <v/>
      </c>
      <c r="AH754">
        <f>IF(AND(AD754&gt;0,AC754&lt;=0),0,AC754)</f>
        <v/>
      </c>
      <c r="AI754">
        <f>AH754/MAX(AG754,0.000001)</f>
        <v/>
      </c>
      <c r="AJ754">
        <f>MIN(IF(AI754&gt;=0.5,-AI754+SQRT(AI754^2+2),1),$B$12)</f>
        <v/>
      </c>
      <c r="AK754">
        <f>IF(AG754&lt;=0,0,AJ754*AH754)</f>
        <v/>
      </c>
      <c r="AL754">
        <f>IF(AD754&lt;=0,0,AD754)</f>
        <v/>
      </c>
      <c r="AM754">
        <f>AL754-AK754+P754</f>
        <v/>
      </c>
      <c r="AN754">
        <f>((AM754/$B$7+T753*AS753/2-T754*MAX(0.1,MIN(0.3,0.3-0.09*(AR753-36.8)))/2)+AR753*(1-AS753/2))/(1-MAX(0.1,MIN(0.3,0.3-0.09*(AR753-36.8)))/2)</f>
        <v/>
      </c>
      <c r="AO754">
        <f>((AM754/$B$7+T753*AS753/2-T754*MAX(0.1,MIN(0.3,0.3-0.09*(AN754-36.8)))/2)+AR753*(1-AS753/2))/(1-MAX(0.1,MIN(0.3,0.3-0.09*(AN754-36.8)))/2)</f>
        <v/>
      </c>
      <c r="AP754">
        <f>((AM754/$B$7+T753*AS753/2-T754*MAX(0.1,MIN(0.3,0.3-0.09*(AO754-36.8)))/2)+AR753*(1-AS753/2))/(1-MAX(0.1,MIN(0.3,0.3-0.09*(AO754-36.8)))/2)</f>
        <v/>
      </c>
      <c r="AQ754">
        <f>((AM754/$B$7+T753*AS753/2-T754*MAX(0.1,MIN(0.3,0.3-0.09*(AP754-36.8)))/2)+AR753*(1-AS753/2))/(1-MAX(0.1,MIN(0.3,0.3-0.09*(AP754-36.8)))/2)</f>
        <v/>
      </c>
      <c r="AR754">
        <f>((AM754/$B$7+T753*AS753/2-T754*MAX(0.1,MIN(0.3,0.3-0.09*(AQ754-36.8)))/2)+AR753*(1-AS753/2))/(1-MAX(0.1,MIN(0.3,0.3-0.09*(AQ754-36.8)))/2)</f>
        <v/>
      </c>
      <c r="AS754">
        <f>MAX(0.1,MIN(0.3,0.3-0.09*(AR754-36.8)))</f>
        <v/>
      </c>
      <c r="AT754">
        <f>AT753+(2*AR754-1.962*AT753-1.31)/9</f>
        <v/>
      </c>
      <c r="AU754">
        <f>AU753+AG754+K754</f>
        <v/>
      </c>
      <c r="AV754">
        <f>AU754*2.67*$B$6/1.8/60</f>
        <v/>
      </c>
      <c r="AW754">
        <f>IF(AT754&gt;=$B$36,1,0)</f>
        <v/>
      </c>
      <c r="AX754">
        <f>IF(AV754&gt;=$B$21,1,0)</f>
        <v/>
      </c>
    </row>
    <row r="755">
      <c r="A755" t="n">
        <v>682</v>
      </c>
      <c r="B755">
        <f>MATCH(A755-1,$D$61:$D$68,1)</f>
        <v/>
      </c>
      <c r="C755">
        <f>INDEX($G$61:$G$68,B755)</f>
        <v/>
      </c>
      <c r="D755">
        <f>INDEX($L$61:$L$68,B755)</f>
        <v/>
      </c>
      <c r="E755">
        <f>INDEX($M$61:$M$68,B755)</f>
        <v/>
      </c>
      <c r="F755">
        <f>INDEX($N$61:$N$68,B755)</f>
        <v/>
      </c>
      <c r="G755">
        <f>INDEX($AA$61:$AA$68,B755)</f>
        <v/>
      </c>
      <c r="H755">
        <f>INDEX($X$61:$X$68,B755)</f>
        <v/>
      </c>
      <c r="I755">
        <f>INDEX($AF$61:$AF$68,B755)</f>
        <v/>
      </c>
      <c r="J755">
        <f>INDEX($AC$61:$AC$68,B755)</f>
        <v/>
      </c>
      <c r="K755">
        <f>INDEX($AD$61:$AD$68,B755)</f>
        <v/>
      </c>
      <c r="L755">
        <f>INDEX($AG$61:$AG$68,B755)</f>
        <v/>
      </c>
      <c r="M755">
        <f>INDEX($AH$61:$AH$68,B755)</f>
        <v/>
      </c>
      <c r="N755">
        <f>INDEX($AI$61:$AI$68,B755)</f>
        <v/>
      </c>
      <c r="O755">
        <f>O754*$B$26+L755*(1-$B$26)</f>
        <v/>
      </c>
      <c r="P755">
        <f>$B$7*(O755-O754)*(1-AS754)</f>
        <v/>
      </c>
      <c r="Q755">
        <f>M755+0.51274*AT754</f>
        <v/>
      </c>
      <c r="R755">
        <f>N755+0.616*AT754</f>
        <v/>
      </c>
      <c r="S755">
        <f>IF($B$13&gt;=0.6,Q755,IF($B$13&lt;=0.2,R755,R755+2.5*(Q755-R755)*($B$13-0.2)))</f>
        <v/>
      </c>
      <c r="T755">
        <f>IF(A755=1,S755,T754*$B$27+S755*(1-$B$27))</f>
        <v/>
      </c>
      <c r="U755">
        <f>0.6105*EXP(17.27*T755/(T755+237.3))</f>
        <v/>
      </c>
      <c r="V755">
        <f>($B$14*(I755*C755+IF(ABS((D755+0.1)-D755)&lt;0.000000001,4*$B$19*$B$20*(D755+273)^3,$B$19*$B$20*(((D755+0.1)+273)^4-(D755+273)^4)/((D755+0.1)-D755))*D755)+T755/H755)/($B$14*(I755+IF(ABS((D755+0.1)-D755)&lt;0.000000001,4*$B$19*$B$20*(D755+273)^3,$B$19*$B$20*(((D755+0.1)+273)^4-(D755+273)^4)/((D755+0.1)-D755)))+1/H755)</f>
        <v/>
      </c>
      <c r="W755">
        <f>($B$14*(I755*C755+IF(ABS(V755-D755)&lt;0.000000001,4*$B$19*$B$20*(D755+273)^3,$B$19*$B$20*((V755+273)^4-(D755+273)^4)/(V755-D755))*D755)+T755/H755)/($B$14*(I755+IF(ABS(V755-D755)&lt;0.000000001,4*$B$19*$B$20*(D755+273)^3,$B$19*$B$20*((V755+273)^4-(D755+273)^4)/(V755-D755)))+1/H755)</f>
        <v/>
      </c>
      <c r="X755">
        <f>($B$14*(I755*C755+IF(ABS(W755-D755)&lt;0.000000001,4*$B$19*$B$20*(D755+273)^3,$B$19*$B$20*((W755+273)^4-(D755+273)^4)/(W755-D755))*D755)+T755/H755)/($B$14*(I755+IF(ABS(W755-D755)&lt;0.000000001,4*$B$19*$B$20*(D755+273)^3,$B$19*$B$20*((W755+273)^4-(D755+273)^4)/(W755-D755)))+1/H755)</f>
        <v/>
      </c>
      <c r="Y755">
        <f>($B$14*(I755*C755+IF(ABS(X755-D755)&lt;0.000000001,4*$B$19*$B$20*(D755+273)^3,$B$19*$B$20*((X755+273)^4-(D755+273)^4)/(X755-D755))*D755)+T755/H755)/($B$14*(I755+IF(ABS(X755-D755)&lt;0.000000001,4*$B$19*$B$20*(D755+273)^3,$B$19*$B$20*((X755+273)^4-(D755+273)^4)/(X755-D755)))+1/H755)</f>
        <v/>
      </c>
      <c r="Z755">
        <f>IF(ABS(Y755-D755)&lt;0.000000001,4*$B$19*$B$20*(D755+273)^3,$B$19*$B$20*((Y755+273)^4-(D755+273)^4)/(Y755-D755))</f>
        <v/>
      </c>
      <c r="AA755">
        <f>$B$14*I755*(Y755-C755)</f>
        <v/>
      </c>
      <c r="AB755">
        <f>$B$14*Z755*(Y755-D755)</f>
        <v/>
      </c>
      <c r="AC755">
        <f>IF((U755-E755)/G755=0,0.001,(U755-E755)/G755)</f>
        <v/>
      </c>
      <c r="AD755">
        <f>F755-P755-J755-K755-AA755-AB755</f>
        <v/>
      </c>
      <c r="AE755">
        <f>AD755/AC755</f>
        <v/>
      </c>
      <c r="AF755">
        <f>IF(AD755&lt;=0,0,IF(AC755&lt;=0,$B$11,IF(AE755&gt;=1.7,$B$11,MIN(AD755/MAX(0.05,IF(AE755&gt;1,(2-AE755)^2/2,1-AE755^2/2)),$B$11))))</f>
        <v/>
      </c>
      <c r="AG755">
        <f>AG754*$B$28+AF755*(1-$B$28)</f>
        <v/>
      </c>
      <c r="AH755">
        <f>IF(AND(AD755&gt;0,AC755&lt;=0),0,AC755)</f>
        <v/>
      </c>
      <c r="AI755">
        <f>AH755/MAX(AG755,0.000001)</f>
        <v/>
      </c>
      <c r="AJ755">
        <f>MIN(IF(AI755&gt;=0.5,-AI755+SQRT(AI755^2+2),1),$B$12)</f>
        <v/>
      </c>
      <c r="AK755">
        <f>IF(AG755&lt;=0,0,AJ755*AH755)</f>
        <v/>
      </c>
      <c r="AL755">
        <f>IF(AD755&lt;=0,0,AD755)</f>
        <v/>
      </c>
      <c r="AM755">
        <f>AL755-AK755+P755</f>
        <v/>
      </c>
      <c r="AN755">
        <f>((AM755/$B$7+T754*AS754/2-T755*MAX(0.1,MIN(0.3,0.3-0.09*(AR754-36.8)))/2)+AR754*(1-AS754/2))/(1-MAX(0.1,MIN(0.3,0.3-0.09*(AR754-36.8)))/2)</f>
        <v/>
      </c>
      <c r="AO755">
        <f>((AM755/$B$7+T754*AS754/2-T755*MAX(0.1,MIN(0.3,0.3-0.09*(AN755-36.8)))/2)+AR754*(1-AS754/2))/(1-MAX(0.1,MIN(0.3,0.3-0.09*(AN755-36.8)))/2)</f>
        <v/>
      </c>
      <c r="AP755">
        <f>((AM755/$B$7+T754*AS754/2-T755*MAX(0.1,MIN(0.3,0.3-0.09*(AO755-36.8)))/2)+AR754*(1-AS754/2))/(1-MAX(0.1,MIN(0.3,0.3-0.09*(AO755-36.8)))/2)</f>
        <v/>
      </c>
      <c r="AQ755">
        <f>((AM755/$B$7+T754*AS754/2-T755*MAX(0.1,MIN(0.3,0.3-0.09*(AP755-36.8)))/2)+AR754*(1-AS754/2))/(1-MAX(0.1,MIN(0.3,0.3-0.09*(AP755-36.8)))/2)</f>
        <v/>
      </c>
      <c r="AR755">
        <f>((AM755/$B$7+T754*AS754/2-T755*MAX(0.1,MIN(0.3,0.3-0.09*(AQ755-36.8)))/2)+AR754*(1-AS754/2))/(1-MAX(0.1,MIN(0.3,0.3-0.09*(AQ755-36.8)))/2)</f>
        <v/>
      </c>
      <c r="AS755">
        <f>MAX(0.1,MIN(0.3,0.3-0.09*(AR755-36.8)))</f>
        <v/>
      </c>
      <c r="AT755">
        <f>AT754+(2*AR755-1.962*AT754-1.31)/9</f>
        <v/>
      </c>
      <c r="AU755">
        <f>AU754+AG755+K755</f>
        <v/>
      </c>
      <c r="AV755">
        <f>AU755*2.67*$B$6/1.8/60</f>
        <v/>
      </c>
      <c r="AW755">
        <f>IF(AT755&gt;=$B$36,1,0)</f>
        <v/>
      </c>
      <c r="AX755">
        <f>IF(AV755&gt;=$B$21,1,0)</f>
        <v/>
      </c>
    </row>
    <row r="756">
      <c r="A756" t="n">
        <v>683</v>
      </c>
      <c r="B756">
        <f>MATCH(A756-1,$D$61:$D$68,1)</f>
        <v/>
      </c>
      <c r="C756">
        <f>INDEX($G$61:$G$68,B756)</f>
        <v/>
      </c>
      <c r="D756">
        <f>INDEX($L$61:$L$68,B756)</f>
        <v/>
      </c>
      <c r="E756">
        <f>INDEX($M$61:$M$68,B756)</f>
        <v/>
      </c>
      <c r="F756">
        <f>INDEX($N$61:$N$68,B756)</f>
        <v/>
      </c>
      <c r="G756">
        <f>INDEX($AA$61:$AA$68,B756)</f>
        <v/>
      </c>
      <c r="H756">
        <f>INDEX($X$61:$X$68,B756)</f>
        <v/>
      </c>
      <c r="I756">
        <f>INDEX($AF$61:$AF$68,B756)</f>
        <v/>
      </c>
      <c r="J756">
        <f>INDEX($AC$61:$AC$68,B756)</f>
        <v/>
      </c>
      <c r="K756">
        <f>INDEX($AD$61:$AD$68,B756)</f>
        <v/>
      </c>
      <c r="L756">
        <f>INDEX($AG$61:$AG$68,B756)</f>
        <v/>
      </c>
      <c r="M756">
        <f>INDEX($AH$61:$AH$68,B756)</f>
        <v/>
      </c>
      <c r="N756">
        <f>INDEX($AI$61:$AI$68,B756)</f>
        <v/>
      </c>
      <c r="O756">
        <f>O755*$B$26+L756*(1-$B$26)</f>
        <v/>
      </c>
      <c r="P756">
        <f>$B$7*(O756-O755)*(1-AS755)</f>
        <v/>
      </c>
      <c r="Q756">
        <f>M756+0.51274*AT755</f>
        <v/>
      </c>
      <c r="R756">
        <f>N756+0.616*AT755</f>
        <v/>
      </c>
      <c r="S756">
        <f>IF($B$13&gt;=0.6,Q756,IF($B$13&lt;=0.2,R756,R756+2.5*(Q756-R756)*($B$13-0.2)))</f>
        <v/>
      </c>
      <c r="T756">
        <f>IF(A756=1,S756,T755*$B$27+S756*(1-$B$27))</f>
        <v/>
      </c>
      <c r="U756">
        <f>0.6105*EXP(17.27*T756/(T756+237.3))</f>
        <v/>
      </c>
      <c r="V756">
        <f>($B$14*(I756*C756+IF(ABS((D756+0.1)-D756)&lt;0.000000001,4*$B$19*$B$20*(D756+273)^3,$B$19*$B$20*(((D756+0.1)+273)^4-(D756+273)^4)/((D756+0.1)-D756))*D756)+T756/H756)/($B$14*(I756+IF(ABS((D756+0.1)-D756)&lt;0.000000001,4*$B$19*$B$20*(D756+273)^3,$B$19*$B$20*(((D756+0.1)+273)^4-(D756+273)^4)/((D756+0.1)-D756)))+1/H756)</f>
        <v/>
      </c>
      <c r="W756">
        <f>($B$14*(I756*C756+IF(ABS(V756-D756)&lt;0.000000001,4*$B$19*$B$20*(D756+273)^3,$B$19*$B$20*((V756+273)^4-(D756+273)^4)/(V756-D756))*D756)+T756/H756)/($B$14*(I756+IF(ABS(V756-D756)&lt;0.000000001,4*$B$19*$B$20*(D756+273)^3,$B$19*$B$20*((V756+273)^4-(D756+273)^4)/(V756-D756)))+1/H756)</f>
        <v/>
      </c>
      <c r="X756">
        <f>($B$14*(I756*C756+IF(ABS(W756-D756)&lt;0.000000001,4*$B$19*$B$20*(D756+273)^3,$B$19*$B$20*((W756+273)^4-(D756+273)^4)/(W756-D756))*D756)+T756/H756)/($B$14*(I756+IF(ABS(W756-D756)&lt;0.000000001,4*$B$19*$B$20*(D756+273)^3,$B$19*$B$20*((W756+273)^4-(D756+273)^4)/(W756-D756)))+1/H756)</f>
        <v/>
      </c>
      <c r="Y756">
        <f>($B$14*(I756*C756+IF(ABS(X756-D756)&lt;0.000000001,4*$B$19*$B$20*(D756+273)^3,$B$19*$B$20*((X756+273)^4-(D756+273)^4)/(X756-D756))*D756)+T756/H756)/($B$14*(I756+IF(ABS(X756-D756)&lt;0.000000001,4*$B$19*$B$20*(D756+273)^3,$B$19*$B$20*((X756+273)^4-(D756+273)^4)/(X756-D756)))+1/H756)</f>
        <v/>
      </c>
      <c r="Z756">
        <f>IF(ABS(Y756-D756)&lt;0.000000001,4*$B$19*$B$20*(D756+273)^3,$B$19*$B$20*((Y756+273)^4-(D756+273)^4)/(Y756-D756))</f>
        <v/>
      </c>
      <c r="AA756">
        <f>$B$14*I756*(Y756-C756)</f>
        <v/>
      </c>
      <c r="AB756">
        <f>$B$14*Z756*(Y756-D756)</f>
        <v/>
      </c>
      <c r="AC756">
        <f>IF((U756-E756)/G756=0,0.001,(U756-E756)/G756)</f>
        <v/>
      </c>
      <c r="AD756">
        <f>F756-P756-J756-K756-AA756-AB756</f>
        <v/>
      </c>
      <c r="AE756">
        <f>AD756/AC756</f>
        <v/>
      </c>
      <c r="AF756">
        <f>IF(AD756&lt;=0,0,IF(AC756&lt;=0,$B$11,IF(AE756&gt;=1.7,$B$11,MIN(AD756/MAX(0.05,IF(AE756&gt;1,(2-AE756)^2/2,1-AE756^2/2)),$B$11))))</f>
        <v/>
      </c>
      <c r="AG756">
        <f>AG755*$B$28+AF756*(1-$B$28)</f>
        <v/>
      </c>
      <c r="AH756">
        <f>IF(AND(AD756&gt;0,AC756&lt;=0),0,AC756)</f>
        <v/>
      </c>
      <c r="AI756">
        <f>AH756/MAX(AG756,0.000001)</f>
        <v/>
      </c>
      <c r="AJ756">
        <f>MIN(IF(AI756&gt;=0.5,-AI756+SQRT(AI756^2+2),1),$B$12)</f>
        <v/>
      </c>
      <c r="AK756">
        <f>IF(AG756&lt;=0,0,AJ756*AH756)</f>
        <v/>
      </c>
      <c r="AL756">
        <f>IF(AD756&lt;=0,0,AD756)</f>
        <v/>
      </c>
      <c r="AM756">
        <f>AL756-AK756+P756</f>
        <v/>
      </c>
      <c r="AN756">
        <f>((AM756/$B$7+T755*AS755/2-T756*MAX(0.1,MIN(0.3,0.3-0.09*(AR755-36.8)))/2)+AR755*(1-AS755/2))/(1-MAX(0.1,MIN(0.3,0.3-0.09*(AR755-36.8)))/2)</f>
        <v/>
      </c>
      <c r="AO756">
        <f>((AM756/$B$7+T755*AS755/2-T756*MAX(0.1,MIN(0.3,0.3-0.09*(AN756-36.8)))/2)+AR755*(1-AS755/2))/(1-MAX(0.1,MIN(0.3,0.3-0.09*(AN756-36.8)))/2)</f>
        <v/>
      </c>
      <c r="AP756">
        <f>((AM756/$B$7+T755*AS755/2-T756*MAX(0.1,MIN(0.3,0.3-0.09*(AO756-36.8)))/2)+AR755*(1-AS755/2))/(1-MAX(0.1,MIN(0.3,0.3-0.09*(AO756-36.8)))/2)</f>
        <v/>
      </c>
      <c r="AQ756">
        <f>((AM756/$B$7+T755*AS755/2-T756*MAX(0.1,MIN(0.3,0.3-0.09*(AP756-36.8)))/2)+AR755*(1-AS755/2))/(1-MAX(0.1,MIN(0.3,0.3-0.09*(AP756-36.8)))/2)</f>
        <v/>
      </c>
      <c r="AR756">
        <f>((AM756/$B$7+T755*AS755/2-T756*MAX(0.1,MIN(0.3,0.3-0.09*(AQ756-36.8)))/2)+AR755*(1-AS755/2))/(1-MAX(0.1,MIN(0.3,0.3-0.09*(AQ756-36.8)))/2)</f>
        <v/>
      </c>
      <c r="AS756">
        <f>MAX(0.1,MIN(0.3,0.3-0.09*(AR756-36.8)))</f>
        <v/>
      </c>
      <c r="AT756">
        <f>AT755+(2*AR756-1.962*AT755-1.31)/9</f>
        <v/>
      </c>
      <c r="AU756">
        <f>AU755+AG756+K756</f>
        <v/>
      </c>
      <c r="AV756">
        <f>AU756*2.67*$B$6/1.8/60</f>
        <v/>
      </c>
      <c r="AW756">
        <f>IF(AT756&gt;=$B$36,1,0)</f>
        <v/>
      </c>
      <c r="AX756">
        <f>IF(AV756&gt;=$B$21,1,0)</f>
        <v/>
      </c>
    </row>
    <row r="757">
      <c r="A757" t="n">
        <v>684</v>
      </c>
      <c r="B757">
        <f>MATCH(A757-1,$D$61:$D$68,1)</f>
        <v/>
      </c>
      <c r="C757">
        <f>INDEX($G$61:$G$68,B757)</f>
        <v/>
      </c>
      <c r="D757">
        <f>INDEX($L$61:$L$68,B757)</f>
        <v/>
      </c>
      <c r="E757">
        <f>INDEX($M$61:$M$68,B757)</f>
        <v/>
      </c>
      <c r="F757">
        <f>INDEX($N$61:$N$68,B757)</f>
        <v/>
      </c>
      <c r="G757">
        <f>INDEX($AA$61:$AA$68,B757)</f>
        <v/>
      </c>
      <c r="H757">
        <f>INDEX($X$61:$X$68,B757)</f>
        <v/>
      </c>
      <c r="I757">
        <f>INDEX($AF$61:$AF$68,B757)</f>
        <v/>
      </c>
      <c r="J757">
        <f>INDEX($AC$61:$AC$68,B757)</f>
        <v/>
      </c>
      <c r="K757">
        <f>INDEX($AD$61:$AD$68,B757)</f>
        <v/>
      </c>
      <c r="L757">
        <f>INDEX($AG$61:$AG$68,B757)</f>
        <v/>
      </c>
      <c r="M757">
        <f>INDEX($AH$61:$AH$68,B757)</f>
        <v/>
      </c>
      <c r="N757">
        <f>INDEX($AI$61:$AI$68,B757)</f>
        <v/>
      </c>
      <c r="O757">
        <f>O756*$B$26+L757*(1-$B$26)</f>
        <v/>
      </c>
      <c r="P757">
        <f>$B$7*(O757-O756)*(1-AS756)</f>
        <v/>
      </c>
      <c r="Q757">
        <f>M757+0.51274*AT756</f>
        <v/>
      </c>
      <c r="R757">
        <f>N757+0.616*AT756</f>
        <v/>
      </c>
      <c r="S757">
        <f>IF($B$13&gt;=0.6,Q757,IF($B$13&lt;=0.2,R757,R757+2.5*(Q757-R757)*($B$13-0.2)))</f>
        <v/>
      </c>
      <c r="T757">
        <f>IF(A757=1,S757,T756*$B$27+S757*(1-$B$27))</f>
        <v/>
      </c>
      <c r="U757">
        <f>0.6105*EXP(17.27*T757/(T757+237.3))</f>
        <v/>
      </c>
      <c r="V757">
        <f>($B$14*(I757*C757+IF(ABS((D757+0.1)-D757)&lt;0.000000001,4*$B$19*$B$20*(D757+273)^3,$B$19*$B$20*(((D757+0.1)+273)^4-(D757+273)^4)/((D757+0.1)-D757))*D757)+T757/H757)/($B$14*(I757+IF(ABS((D757+0.1)-D757)&lt;0.000000001,4*$B$19*$B$20*(D757+273)^3,$B$19*$B$20*(((D757+0.1)+273)^4-(D757+273)^4)/((D757+0.1)-D757)))+1/H757)</f>
        <v/>
      </c>
      <c r="W757">
        <f>($B$14*(I757*C757+IF(ABS(V757-D757)&lt;0.000000001,4*$B$19*$B$20*(D757+273)^3,$B$19*$B$20*((V757+273)^4-(D757+273)^4)/(V757-D757))*D757)+T757/H757)/($B$14*(I757+IF(ABS(V757-D757)&lt;0.000000001,4*$B$19*$B$20*(D757+273)^3,$B$19*$B$20*((V757+273)^4-(D757+273)^4)/(V757-D757)))+1/H757)</f>
        <v/>
      </c>
      <c r="X757">
        <f>($B$14*(I757*C757+IF(ABS(W757-D757)&lt;0.000000001,4*$B$19*$B$20*(D757+273)^3,$B$19*$B$20*((W757+273)^4-(D757+273)^4)/(W757-D757))*D757)+T757/H757)/($B$14*(I757+IF(ABS(W757-D757)&lt;0.000000001,4*$B$19*$B$20*(D757+273)^3,$B$19*$B$20*((W757+273)^4-(D757+273)^4)/(W757-D757)))+1/H757)</f>
        <v/>
      </c>
      <c r="Y757">
        <f>($B$14*(I757*C757+IF(ABS(X757-D757)&lt;0.000000001,4*$B$19*$B$20*(D757+273)^3,$B$19*$B$20*((X757+273)^4-(D757+273)^4)/(X757-D757))*D757)+T757/H757)/($B$14*(I757+IF(ABS(X757-D757)&lt;0.000000001,4*$B$19*$B$20*(D757+273)^3,$B$19*$B$20*((X757+273)^4-(D757+273)^4)/(X757-D757)))+1/H757)</f>
        <v/>
      </c>
      <c r="Z757">
        <f>IF(ABS(Y757-D757)&lt;0.000000001,4*$B$19*$B$20*(D757+273)^3,$B$19*$B$20*((Y757+273)^4-(D757+273)^4)/(Y757-D757))</f>
        <v/>
      </c>
      <c r="AA757">
        <f>$B$14*I757*(Y757-C757)</f>
        <v/>
      </c>
      <c r="AB757">
        <f>$B$14*Z757*(Y757-D757)</f>
        <v/>
      </c>
      <c r="AC757">
        <f>IF((U757-E757)/G757=0,0.001,(U757-E757)/G757)</f>
        <v/>
      </c>
      <c r="AD757">
        <f>F757-P757-J757-K757-AA757-AB757</f>
        <v/>
      </c>
      <c r="AE757">
        <f>AD757/AC757</f>
        <v/>
      </c>
      <c r="AF757">
        <f>IF(AD757&lt;=0,0,IF(AC757&lt;=0,$B$11,IF(AE757&gt;=1.7,$B$11,MIN(AD757/MAX(0.05,IF(AE757&gt;1,(2-AE757)^2/2,1-AE757^2/2)),$B$11))))</f>
        <v/>
      </c>
      <c r="AG757">
        <f>AG756*$B$28+AF757*(1-$B$28)</f>
        <v/>
      </c>
      <c r="AH757">
        <f>IF(AND(AD757&gt;0,AC757&lt;=0),0,AC757)</f>
        <v/>
      </c>
      <c r="AI757">
        <f>AH757/MAX(AG757,0.000001)</f>
        <v/>
      </c>
      <c r="AJ757">
        <f>MIN(IF(AI757&gt;=0.5,-AI757+SQRT(AI757^2+2),1),$B$12)</f>
        <v/>
      </c>
      <c r="AK757">
        <f>IF(AG757&lt;=0,0,AJ757*AH757)</f>
        <v/>
      </c>
      <c r="AL757">
        <f>IF(AD757&lt;=0,0,AD757)</f>
        <v/>
      </c>
      <c r="AM757">
        <f>AL757-AK757+P757</f>
        <v/>
      </c>
      <c r="AN757">
        <f>((AM757/$B$7+T756*AS756/2-T757*MAX(0.1,MIN(0.3,0.3-0.09*(AR756-36.8)))/2)+AR756*(1-AS756/2))/(1-MAX(0.1,MIN(0.3,0.3-0.09*(AR756-36.8)))/2)</f>
        <v/>
      </c>
      <c r="AO757">
        <f>((AM757/$B$7+T756*AS756/2-T757*MAX(0.1,MIN(0.3,0.3-0.09*(AN757-36.8)))/2)+AR756*(1-AS756/2))/(1-MAX(0.1,MIN(0.3,0.3-0.09*(AN757-36.8)))/2)</f>
        <v/>
      </c>
      <c r="AP757">
        <f>((AM757/$B$7+T756*AS756/2-T757*MAX(0.1,MIN(0.3,0.3-0.09*(AO757-36.8)))/2)+AR756*(1-AS756/2))/(1-MAX(0.1,MIN(0.3,0.3-0.09*(AO757-36.8)))/2)</f>
        <v/>
      </c>
      <c r="AQ757">
        <f>((AM757/$B$7+T756*AS756/2-T757*MAX(0.1,MIN(0.3,0.3-0.09*(AP757-36.8)))/2)+AR756*(1-AS756/2))/(1-MAX(0.1,MIN(0.3,0.3-0.09*(AP757-36.8)))/2)</f>
        <v/>
      </c>
      <c r="AR757">
        <f>((AM757/$B$7+T756*AS756/2-T757*MAX(0.1,MIN(0.3,0.3-0.09*(AQ757-36.8)))/2)+AR756*(1-AS756/2))/(1-MAX(0.1,MIN(0.3,0.3-0.09*(AQ757-36.8)))/2)</f>
        <v/>
      </c>
      <c r="AS757">
        <f>MAX(0.1,MIN(0.3,0.3-0.09*(AR757-36.8)))</f>
        <v/>
      </c>
      <c r="AT757">
        <f>AT756+(2*AR757-1.962*AT756-1.31)/9</f>
        <v/>
      </c>
      <c r="AU757">
        <f>AU756+AG757+K757</f>
        <v/>
      </c>
      <c r="AV757">
        <f>AU757*2.67*$B$6/1.8/60</f>
        <v/>
      </c>
      <c r="AW757">
        <f>IF(AT757&gt;=$B$36,1,0)</f>
        <v/>
      </c>
      <c r="AX757">
        <f>IF(AV757&gt;=$B$21,1,0)</f>
        <v/>
      </c>
    </row>
    <row r="758">
      <c r="A758" t="n">
        <v>685</v>
      </c>
      <c r="B758">
        <f>MATCH(A758-1,$D$61:$D$68,1)</f>
        <v/>
      </c>
      <c r="C758">
        <f>INDEX($G$61:$G$68,B758)</f>
        <v/>
      </c>
      <c r="D758">
        <f>INDEX($L$61:$L$68,B758)</f>
        <v/>
      </c>
      <c r="E758">
        <f>INDEX($M$61:$M$68,B758)</f>
        <v/>
      </c>
      <c r="F758">
        <f>INDEX($N$61:$N$68,B758)</f>
        <v/>
      </c>
      <c r="G758">
        <f>INDEX($AA$61:$AA$68,B758)</f>
        <v/>
      </c>
      <c r="H758">
        <f>INDEX($X$61:$X$68,B758)</f>
        <v/>
      </c>
      <c r="I758">
        <f>INDEX($AF$61:$AF$68,B758)</f>
        <v/>
      </c>
      <c r="J758">
        <f>INDEX($AC$61:$AC$68,B758)</f>
        <v/>
      </c>
      <c r="K758">
        <f>INDEX($AD$61:$AD$68,B758)</f>
        <v/>
      </c>
      <c r="L758">
        <f>INDEX($AG$61:$AG$68,B758)</f>
        <v/>
      </c>
      <c r="M758">
        <f>INDEX($AH$61:$AH$68,B758)</f>
        <v/>
      </c>
      <c r="N758">
        <f>INDEX($AI$61:$AI$68,B758)</f>
        <v/>
      </c>
      <c r="O758">
        <f>O757*$B$26+L758*(1-$B$26)</f>
        <v/>
      </c>
      <c r="P758">
        <f>$B$7*(O758-O757)*(1-AS757)</f>
        <v/>
      </c>
      <c r="Q758">
        <f>M758+0.51274*AT757</f>
        <v/>
      </c>
      <c r="R758">
        <f>N758+0.616*AT757</f>
        <v/>
      </c>
      <c r="S758">
        <f>IF($B$13&gt;=0.6,Q758,IF($B$13&lt;=0.2,R758,R758+2.5*(Q758-R758)*($B$13-0.2)))</f>
        <v/>
      </c>
      <c r="T758">
        <f>IF(A758=1,S758,T757*$B$27+S758*(1-$B$27))</f>
        <v/>
      </c>
      <c r="U758">
        <f>0.6105*EXP(17.27*T758/(T758+237.3))</f>
        <v/>
      </c>
      <c r="V758">
        <f>($B$14*(I758*C758+IF(ABS((D758+0.1)-D758)&lt;0.000000001,4*$B$19*$B$20*(D758+273)^3,$B$19*$B$20*(((D758+0.1)+273)^4-(D758+273)^4)/((D758+0.1)-D758))*D758)+T758/H758)/($B$14*(I758+IF(ABS((D758+0.1)-D758)&lt;0.000000001,4*$B$19*$B$20*(D758+273)^3,$B$19*$B$20*(((D758+0.1)+273)^4-(D758+273)^4)/((D758+0.1)-D758)))+1/H758)</f>
        <v/>
      </c>
      <c r="W758">
        <f>($B$14*(I758*C758+IF(ABS(V758-D758)&lt;0.000000001,4*$B$19*$B$20*(D758+273)^3,$B$19*$B$20*((V758+273)^4-(D758+273)^4)/(V758-D758))*D758)+T758/H758)/($B$14*(I758+IF(ABS(V758-D758)&lt;0.000000001,4*$B$19*$B$20*(D758+273)^3,$B$19*$B$20*((V758+273)^4-(D758+273)^4)/(V758-D758)))+1/H758)</f>
        <v/>
      </c>
      <c r="X758">
        <f>($B$14*(I758*C758+IF(ABS(W758-D758)&lt;0.000000001,4*$B$19*$B$20*(D758+273)^3,$B$19*$B$20*((W758+273)^4-(D758+273)^4)/(W758-D758))*D758)+T758/H758)/($B$14*(I758+IF(ABS(W758-D758)&lt;0.000000001,4*$B$19*$B$20*(D758+273)^3,$B$19*$B$20*((W758+273)^4-(D758+273)^4)/(W758-D758)))+1/H758)</f>
        <v/>
      </c>
      <c r="Y758">
        <f>($B$14*(I758*C758+IF(ABS(X758-D758)&lt;0.000000001,4*$B$19*$B$20*(D758+273)^3,$B$19*$B$20*((X758+273)^4-(D758+273)^4)/(X758-D758))*D758)+T758/H758)/($B$14*(I758+IF(ABS(X758-D758)&lt;0.000000001,4*$B$19*$B$20*(D758+273)^3,$B$19*$B$20*((X758+273)^4-(D758+273)^4)/(X758-D758)))+1/H758)</f>
        <v/>
      </c>
      <c r="Z758">
        <f>IF(ABS(Y758-D758)&lt;0.000000001,4*$B$19*$B$20*(D758+273)^3,$B$19*$B$20*((Y758+273)^4-(D758+273)^4)/(Y758-D758))</f>
        <v/>
      </c>
      <c r="AA758">
        <f>$B$14*I758*(Y758-C758)</f>
        <v/>
      </c>
      <c r="AB758">
        <f>$B$14*Z758*(Y758-D758)</f>
        <v/>
      </c>
      <c r="AC758">
        <f>IF((U758-E758)/G758=0,0.001,(U758-E758)/G758)</f>
        <v/>
      </c>
      <c r="AD758">
        <f>F758-P758-J758-K758-AA758-AB758</f>
        <v/>
      </c>
      <c r="AE758">
        <f>AD758/AC758</f>
        <v/>
      </c>
      <c r="AF758">
        <f>IF(AD758&lt;=0,0,IF(AC758&lt;=0,$B$11,IF(AE758&gt;=1.7,$B$11,MIN(AD758/MAX(0.05,IF(AE758&gt;1,(2-AE758)^2/2,1-AE758^2/2)),$B$11))))</f>
        <v/>
      </c>
      <c r="AG758">
        <f>AG757*$B$28+AF758*(1-$B$28)</f>
        <v/>
      </c>
      <c r="AH758">
        <f>IF(AND(AD758&gt;0,AC758&lt;=0),0,AC758)</f>
        <v/>
      </c>
      <c r="AI758">
        <f>AH758/MAX(AG758,0.000001)</f>
        <v/>
      </c>
      <c r="AJ758">
        <f>MIN(IF(AI758&gt;=0.5,-AI758+SQRT(AI758^2+2),1),$B$12)</f>
        <v/>
      </c>
      <c r="AK758">
        <f>IF(AG758&lt;=0,0,AJ758*AH758)</f>
        <v/>
      </c>
      <c r="AL758">
        <f>IF(AD758&lt;=0,0,AD758)</f>
        <v/>
      </c>
      <c r="AM758">
        <f>AL758-AK758+P758</f>
        <v/>
      </c>
      <c r="AN758">
        <f>((AM758/$B$7+T757*AS757/2-T758*MAX(0.1,MIN(0.3,0.3-0.09*(AR757-36.8)))/2)+AR757*(1-AS757/2))/(1-MAX(0.1,MIN(0.3,0.3-0.09*(AR757-36.8)))/2)</f>
        <v/>
      </c>
      <c r="AO758">
        <f>((AM758/$B$7+T757*AS757/2-T758*MAX(0.1,MIN(0.3,0.3-0.09*(AN758-36.8)))/2)+AR757*(1-AS757/2))/(1-MAX(0.1,MIN(0.3,0.3-0.09*(AN758-36.8)))/2)</f>
        <v/>
      </c>
      <c r="AP758">
        <f>((AM758/$B$7+T757*AS757/2-T758*MAX(0.1,MIN(0.3,0.3-0.09*(AO758-36.8)))/2)+AR757*(1-AS757/2))/(1-MAX(0.1,MIN(0.3,0.3-0.09*(AO758-36.8)))/2)</f>
        <v/>
      </c>
      <c r="AQ758">
        <f>((AM758/$B$7+T757*AS757/2-T758*MAX(0.1,MIN(0.3,0.3-0.09*(AP758-36.8)))/2)+AR757*(1-AS757/2))/(1-MAX(0.1,MIN(0.3,0.3-0.09*(AP758-36.8)))/2)</f>
        <v/>
      </c>
      <c r="AR758">
        <f>((AM758/$B$7+T757*AS757/2-T758*MAX(0.1,MIN(0.3,0.3-0.09*(AQ758-36.8)))/2)+AR757*(1-AS757/2))/(1-MAX(0.1,MIN(0.3,0.3-0.09*(AQ758-36.8)))/2)</f>
        <v/>
      </c>
      <c r="AS758">
        <f>MAX(0.1,MIN(0.3,0.3-0.09*(AR758-36.8)))</f>
        <v/>
      </c>
      <c r="AT758">
        <f>AT757+(2*AR758-1.962*AT757-1.31)/9</f>
        <v/>
      </c>
      <c r="AU758">
        <f>AU757+AG758+K758</f>
        <v/>
      </c>
      <c r="AV758">
        <f>AU758*2.67*$B$6/1.8/60</f>
        <v/>
      </c>
      <c r="AW758">
        <f>IF(AT758&gt;=$B$36,1,0)</f>
        <v/>
      </c>
      <c r="AX758">
        <f>IF(AV758&gt;=$B$21,1,0)</f>
        <v/>
      </c>
    </row>
    <row r="759">
      <c r="A759" t="n">
        <v>686</v>
      </c>
      <c r="B759">
        <f>MATCH(A759-1,$D$61:$D$68,1)</f>
        <v/>
      </c>
      <c r="C759">
        <f>INDEX($G$61:$G$68,B759)</f>
        <v/>
      </c>
      <c r="D759">
        <f>INDEX($L$61:$L$68,B759)</f>
        <v/>
      </c>
      <c r="E759">
        <f>INDEX($M$61:$M$68,B759)</f>
        <v/>
      </c>
      <c r="F759">
        <f>INDEX($N$61:$N$68,B759)</f>
        <v/>
      </c>
      <c r="G759">
        <f>INDEX($AA$61:$AA$68,B759)</f>
        <v/>
      </c>
      <c r="H759">
        <f>INDEX($X$61:$X$68,B759)</f>
        <v/>
      </c>
      <c r="I759">
        <f>INDEX($AF$61:$AF$68,B759)</f>
        <v/>
      </c>
      <c r="J759">
        <f>INDEX($AC$61:$AC$68,B759)</f>
        <v/>
      </c>
      <c r="K759">
        <f>INDEX($AD$61:$AD$68,B759)</f>
        <v/>
      </c>
      <c r="L759">
        <f>INDEX($AG$61:$AG$68,B759)</f>
        <v/>
      </c>
      <c r="M759">
        <f>INDEX($AH$61:$AH$68,B759)</f>
        <v/>
      </c>
      <c r="N759">
        <f>INDEX($AI$61:$AI$68,B759)</f>
        <v/>
      </c>
      <c r="O759">
        <f>O758*$B$26+L759*(1-$B$26)</f>
        <v/>
      </c>
      <c r="P759">
        <f>$B$7*(O759-O758)*(1-AS758)</f>
        <v/>
      </c>
      <c r="Q759">
        <f>M759+0.51274*AT758</f>
        <v/>
      </c>
      <c r="R759">
        <f>N759+0.616*AT758</f>
        <v/>
      </c>
      <c r="S759">
        <f>IF($B$13&gt;=0.6,Q759,IF($B$13&lt;=0.2,R759,R759+2.5*(Q759-R759)*($B$13-0.2)))</f>
        <v/>
      </c>
      <c r="T759">
        <f>IF(A759=1,S759,T758*$B$27+S759*(1-$B$27))</f>
        <v/>
      </c>
      <c r="U759">
        <f>0.6105*EXP(17.27*T759/(T759+237.3))</f>
        <v/>
      </c>
      <c r="V759">
        <f>($B$14*(I759*C759+IF(ABS((D759+0.1)-D759)&lt;0.000000001,4*$B$19*$B$20*(D759+273)^3,$B$19*$B$20*(((D759+0.1)+273)^4-(D759+273)^4)/((D759+0.1)-D759))*D759)+T759/H759)/($B$14*(I759+IF(ABS((D759+0.1)-D759)&lt;0.000000001,4*$B$19*$B$20*(D759+273)^3,$B$19*$B$20*(((D759+0.1)+273)^4-(D759+273)^4)/((D759+0.1)-D759)))+1/H759)</f>
        <v/>
      </c>
      <c r="W759">
        <f>($B$14*(I759*C759+IF(ABS(V759-D759)&lt;0.000000001,4*$B$19*$B$20*(D759+273)^3,$B$19*$B$20*((V759+273)^4-(D759+273)^4)/(V759-D759))*D759)+T759/H759)/($B$14*(I759+IF(ABS(V759-D759)&lt;0.000000001,4*$B$19*$B$20*(D759+273)^3,$B$19*$B$20*((V759+273)^4-(D759+273)^4)/(V759-D759)))+1/H759)</f>
        <v/>
      </c>
      <c r="X759">
        <f>($B$14*(I759*C759+IF(ABS(W759-D759)&lt;0.000000001,4*$B$19*$B$20*(D759+273)^3,$B$19*$B$20*((W759+273)^4-(D759+273)^4)/(W759-D759))*D759)+T759/H759)/($B$14*(I759+IF(ABS(W759-D759)&lt;0.000000001,4*$B$19*$B$20*(D759+273)^3,$B$19*$B$20*((W759+273)^4-(D759+273)^4)/(W759-D759)))+1/H759)</f>
        <v/>
      </c>
      <c r="Y759">
        <f>($B$14*(I759*C759+IF(ABS(X759-D759)&lt;0.000000001,4*$B$19*$B$20*(D759+273)^3,$B$19*$B$20*((X759+273)^4-(D759+273)^4)/(X759-D759))*D759)+T759/H759)/($B$14*(I759+IF(ABS(X759-D759)&lt;0.000000001,4*$B$19*$B$20*(D759+273)^3,$B$19*$B$20*((X759+273)^4-(D759+273)^4)/(X759-D759)))+1/H759)</f>
        <v/>
      </c>
      <c r="Z759">
        <f>IF(ABS(Y759-D759)&lt;0.000000001,4*$B$19*$B$20*(D759+273)^3,$B$19*$B$20*((Y759+273)^4-(D759+273)^4)/(Y759-D759))</f>
        <v/>
      </c>
      <c r="AA759">
        <f>$B$14*I759*(Y759-C759)</f>
        <v/>
      </c>
      <c r="AB759">
        <f>$B$14*Z759*(Y759-D759)</f>
        <v/>
      </c>
      <c r="AC759">
        <f>IF((U759-E759)/G759=0,0.001,(U759-E759)/G759)</f>
        <v/>
      </c>
      <c r="AD759">
        <f>F759-P759-J759-K759-AA759-AB759</f>
        <v/>
      </c>
      <c r="AE759">
        <f>AD759/AC759</f>
        <v/>
      </c>
      <c r="AF759">
        <f>IF(AD759&lt;=0,0,IF(AC759&lt;=0,$B$11,IF(AE759&gt;=1.7,$B$11,MIN(AD759/MAX(0.05,IF(AE759&gt;1,(2-AE759)^2/2,1-AE759^2/2)),$B$11))))</f>
        <v/>
      </c>
      <c r="AG759">
        <f>AG758*$B$28+AF759*(1-$B$28)</f>
        <v/>
      </c>
      <c r="AH759">
        <f>IF(AND(AD759&gt;0,AC759&lt;=0),0,AC759)</f>
        <v/>
      </c>
      <c r="AI759">
        <f>AH759/MAX(AG759,0.000001)</f>
        <v/>
      </c>
      <c r="AJ759">
        <f>MIN(IF(AI759&gt;=0.5,-AI759+SQRT(AI759^2+2),1),$B$12)</f>
        <v/>
      </c>
      <c r="AK759">
        <f>IF(AG759&lt;=0,0,AJ759*AH759)</f>
        <v/>
      </c>
      <c r="AL759">
        <f>IF(AD759&lt;=0,0,AD759)</f>
        <v/>
      </c>
      <c r="AM759">
        <f>AL759-AK759+P759</f>
        <v/>
      </c>
      <c r="AN759">
        <f>((AM759/$B$7+T758*AS758/2-T759*MAX(0.1,MIN(0.3,0.3-0.09*(AR758-36.8)))/2)+AR758*(1-AS758/2))/(1-MAX(0.1,MIN(0.3,0.3-0.09*(AR758-36.8)))/2)</f>
        <v/>
      </c>
      <c r="AO759">
        <f>((AM759/$B$7+T758*AS758/2-T759*MAX(0.1,MIN(0.3,0.3-0.09*(AN759-36.8)))/2)+AR758*(1-AS758/2))/(1-MAX(0.1,MIN(0.3,0.3-0.09*(AN759-36.8)))/2)</f>
        <v/>
      </c>
      <c r="AP759">
        <f>((AM759/$B$7+T758*AS758/2-T759*MAX(0.1,MIN(0.3,0.3-0.09*(AO759-36.8)))/2)+AR758*(1-AS758/2))/(1-MAX(0.1,MIN(0.3,0.3-0.09*(AO759-36.8)))/2)</f>
        <v/>
      </c>
      <c r="AQ759">
        <f>((AM759/$B$7+T758*AS758/2-T759*MAX(0.1,MIN(0.3,0.3-0.09*(AP759-36.8)))/2)+AR758*(1-AS758/2))/(1-MAX(0.1,MIN(0.3,0.3-0.09*(AP759-36.8)))/2)</f>
        <v/>
      </c>
      <c r="AR759">
        <f>((AM759/$B$7+T758*AS758/2-T759*MAX(0.1,MIN(0.3,0.3-0.09*(AQ759-36.8)))/2)+AR758*(1-AS758/2))/(1-MAX(0.1,MIN(0.3,0.3-0.09*(AQ759-36.8)))/2)</f>
        <v/>
      </c>
      <c r="AS759">
        <f>MAX(0.1,MIN(0.3,0.3-0.09*(AR759-36.8)))</f>
        <v/>
      </c>
      <c r="AT759">
        <f>AT758+(2*AR759-1.962*AT758-1.31)/9</f>
        <v/>
      </c>
      <c r="AU759">
        <f>AU758+AG759+K759</f>
        <v/>
      </c>
      <c r="AV759">
        <f>AU759*2.67*$B$6/1.8/60</f>
        <v/>
      </c>
      <c r="AW759">
        <f>IF(AT759&gt;=$B$36,1,0)</f>
        <v/>
      </c>
      <c r="AX759">
        <f>IF(AV759&gt;=$B$21,1,0)</f>
        <v/>
      </c>
    </row>
    <row r="760">
      <c r="A760" t="n">
        <v>687</v>
      </c>
      <c r="B760">
        <f>MATCH(A760-1,$D$61:$D$68,1)</f>
        <v/>
      </c>
      <c r="C760">
        <f>INDEX($G$61:$G$68,B760)</f>
        <v/>
      </c>
      <c r="D760">
        <f>INDEX($L$61:$L$68,B760)</f>
        <v/>
      </c>
      <c r="E760">
        <f>INDEX($M$61:$M$68,B760)</f>
        <v/>
      </c>
      <c r="F760">
        <f>INDEX($N$61:$N$68,B760)</f>
        <v/>
      </c>
      <c r="G760">
        <f>INDEX($AA$61:$AA$68,B760)</f>
        <v/>
      </c>
      <c r="H760">
        <f>INDEX($X$61:$X$68,B760)</f>
        <v/>
      </c>
      <c r="I760">
        <f>INDEX($AF$61:$AF$68,B760)</f>
        <v/>
      </c>
      <c r="J760">
        <f>INDEX($AC$61:$AC$68,B760)</f>
        <v/>
      </c>
      <c r="K760">
        <f>INDEX($AD$61:$AD$68,B760)</f>
        <v/>
      </c>
      <c r="L760">
        <f>INDEX($AG$61:$AG$68,B760)</f>
        <v/>
      </c>
      <c r="M760">
        <f>INDEX($AH$61:$AH$68,B760)</f>
        <v/>
      </c>
      <c r="N760">
        <f>INDEX($AI$61:$AI$68,B760)</f>
        <v/>
      </c>
      <c r="O760">
        <f>O759*$B$26+L760*(1-$B$26)</f>
        <v/>
      </c>
      <c r="P760">
        <f>$B$7*(O760-O759)*(1-AS759)</f>
        <v/>
      </c>
      <c r="Q760">
        <f>M760+0.51274*AT759</f>
        <v/>
      </c>
      <c r="R760">
        <f>N760+0.616*AT759</f>
        <v/>
      </c>
      <c r="S760">
        <f>IF($B$13&gt;=0.6,Q760,IF($B$13&lt;=0.2,R760,R760+2.5*(Q760-R760)*($B$13-0.2)))</f>
        <v/>
      </c>
      <c r="T760">
        <f>IF(A760=1,S760,T759*$B$27+S760*(1-$B$27))</f>
        <v/>
      </c>
      <c r="U760">
        <f>0.6105*EXP(17.27*T760/(T760+237.3))</f>
        <v/>
      </c>
      <c r="V760">
        <f>($B$14*(I760*C760+IF(ABS((D760+0.1)-D760)&lt;0.000000001,4*$B$19*$B$20*(D760+273)^3,$B$19*$B$20*(((D760+0.1)+273)^4-(D760+273)^4)/((D760+0.1)-D760))*D760)+T760/H760)/($B$14*(I760+IF(ABS((D760+0.1)-D760)&lt;0.000000001,4*$B$19*$B$20*(D760+273)^3,$B$19*$B$20*(((D760+0.1)+273)^4-(D760+273)^4)/((D760+0.1)-D760)))+1/H760)</f>
        <v/>
      </c>
      <c r="W760">
        <f>($B$14*(I760*C760+IF(ABS(V760-D760)&lt;0.000000001,4*$B$19*$B$20*(D760+273)^3,$B$19*$B$20*((V760+273)^4-(D760+273)^4)/(V760-D760))*D760)+T760/H760)/($B$14*(I760+IF(ABS(V760-D760)&lt;0.000000001,4*$B$19*$B$20*(D760+273)^3,$B$19*$B$20*((V760+273)^4-(D760+273)^4)/(V760-D760)))+1/H760)</f>
        <v/>
      </c>
      <c r="X760">
        <f>($B$14*(I760*C760+IF(ABS(W760-D760)&lt;0.000000001,4*$B$19*$B$20*(D760+273)^3,$B$19*$B$20*((W760+273)^4-(D760+273)^4)/(W760-D760))*D760)+T760/H760)/($B$14*(I760+IF(ABS(W760-D760)&lt;0.000000001,4*$B$19*$B$20*(D760+273)^3,$B$19*$B$20*((W760+273)^4-(D760+273)^4)/(W760-D760)))+1/H760)</f>
        <v/>
      </c>
      <c r="Y760">
        <f>($B$14*(I760*C760+IF(ABS(X760-D760)&lt;0.000000001,4*$B$19*$B$20*(D760+273)^3,$B$19*$B$20*((X760+273)^4-(D760+273)^4)/(X760-D760))*D760)+T760/H760)/($B$14*(I760+IF(ABS(X760-D760)&lt;0.000000001,4*$B$19*$B$20*(D760+273)^3,$B$19*$B$20*((X760+273)^4-(D760+273)^4)/(X760-D760)))+1/H760)</f>
        <v/>
      </c>
      <c r="Z760">
        <f>IF(ABS(Y760-D760)&lt;0.000000001,4*$B$19*$B$20*(D760+273)^3,$B$19*$B$20*((Y760+273)^4-(D760+273)^4)/(Y760-D760))</f>
        <v/>
      </c>
      <c r="AA760">
        <f>$B$14*I760*(Y760-C760)</f>
        <v/>
      </c>
      <c r="AB760">
        <f>$B$14*Z760*(Y760-D760)</f>
        <v/>
      </c>
      <c r="AC760">
        <f>IF((U760-E760)/G760=0,0.001,(U760-E760)/G760)</f>
        <v/>
      </c>
      <c r="AD760">
        <f>F760-P760-J760-K760-AA760-AB760</f>
        <v/>
      </c>
      <c r="AE760">
        <f>AD760/AC760</f>
        <v/>
      </c>
      <c r="AF760">
        <f>IF(AD760&lt;=0,0,IF(AC760&lt;=0,$B$11,IF(AE760&gt;=1.7,$B$11,MIN(AD760/MAX(0.05,IF(AE760&gt;1,(2-AE760)^2/2,1-AE760^2/2)),$B$11))))</f>
        <v/>
      </c>
      <c r="AG760">
        <f>AG759*$B$28+AF760*(1-$B$28)</f>
        <v/>
      </c>
      <c r="AH760">
        <f>IF(AND(AD760&gt;0,AC760&lt;=0),0,AC760)</f>
        <v/>
      </c>
      <c r="AI760">
        <f>AH760/MAX(AG760,0.000001)</f>
        <v/>
      </c>
      <c r="AJ760">
        <f>MIN(IF(AI760&gt;=0.5,-AI760+SQRT(AI760^2+2),1),$B$12)</f>
        <v/>
      </c>
      <c r="AK760">
        <f>IF(AG760&lt;=0,0,AJ760*AH760)</f>
        <v/>
      </c>
      <c r="AL760">
        <f>IF(AD760&lt;=0,0,AD760)</f>
        <v/>
      </c>
      <c r="AM760">
        <f>AL760-AK760+P760</f>
        <v/>
      </c>
      <c r="AN760">
        <f>((AM760/$B$7+T759*AS759/2-T760*MAX(0.1,MIN(0.3,0.3-0.09*(AR759-36.8)))/2)+AR759*(1-AS759/2))/(1-MAX(0.1,MIN(0.3,0.3-0.09*(AR759-36.8)))/2)</f>
        <v/>
      </c>
      <c r="AO760">
        <f>((AM760/$B$7+T759*AS759/2-T760*MAX(0.1,MIN(0.3,0.3-0.09*(AN760-36.8)))/2)+AR759*(1-AS759/2))/(1-MAX(0.1,MIN(0.3,0.3-0.09*(AN760-36.8)))/2)</f>
        <v/>
      </c>
      <c r="AP760">
        <f>((AM760/$B$7+T759*AS759/2-T760*MAX(0.1,MIN(0.3,0.3-0.09*(AO760-36.8)))/2)+AR759*(1-AS759/2))/(1-MAX(0.1,MIN(0.3,0.3-0.09*(AO760-36.8)))/2)</f>
        <v/>
      </c>
      <c r="AQ760">
        <f>((AM760/$B$7+T759*AS759/2-T760*MAX(0.1,MIN(0.3,0.3-0.09*(AP760-36.8)))/2)+AR759*(1-AS759/2))/(1-MAX(0.1,MIN(0.3,0.3-0.09*(AP760-36.8)))/2)</f>
        <v/>
      </c>
      <c r="AR760">
        <f>((AM760/$B$7+T759*AS759/2-T760*MAX(0.1,MIN(0.3,0.3-0.09*(AQ760-36.8)))/2)+AR759*(1-AS759/2))/(1-MAX(0.1,MIN(0.3,0.3-0.09*(AQ760-36.8)))/2)</f>
        <v/>
      </c>
      <c r="AS760">
        <f>MAX(0.1,MIN(0.3,0.3-0.09*(AR760-36.8)))</f>
        <v/>
      </c>
      <c r="AT760">
        <f>AT759+(2*AR760-1.962*AT759-1.31)/9</f>
        <v/>
      </c>
      <c r="AU760">
        <f>AU759+AG760+K760</f>
        <v/>
      </c>
      <c r="AV760">
        <f>AU760*2.67*$B$6/1.8/60</f>
        <v/>
      </c>
      <c r="AW760">
        <f>IF(AT760&gt;=$B$36,1,0)</f>
        <v/>
      </c>
      <c r="AX760">
        <f>IF(AV760&gt;=$B$21,1,0)</f>
        <v/>
      </c>
    </row>
    <row r="761">
      <c r="A761" t="n">
        <v>688</v>
      </c>
      <c r="B761">
        <f>MATCH(A761-1,$D$61:$D$68,1)</f>
        <v/>
      </c>
      <c r="C761">
        <f>INDEX($G$61:$G$68,B761)</f>
        <v/>
      </c>
      <c r="D761">
        <f>INDEX($L$61:$L$68,B761)</f>
        <v/>
      </c>
      <c r="E761">
        <f>INDEX($M$61:$M$68,B761)</f>
        <v/>
      </c>
      <c r="F761">
        <f>INDEX($N$61:$N$68,B761)</f>
        <v/>
      </c>
      <c r="G761">
        <f>INDEX($AA$61:$AA$68,B761)</f>
        <v/>
      </c>
      <c r="H761">
        <f>INDEX($X$61:$X$68,B761)</f>
        <v/>
      </c>
      <c r="I761">
        <f>INDEX($AF$61:$AF$68,B761)</f>
        <v/>
      </c>
      <c r="J761">
        <f>INDEX($AC$61:$AC$68,B761)</f>
        <v/>
      </c>
      <c r="K761">
        <f>INDEX($AD$61:$AD$68,B761)</f>
        <v/>
      </c>
      <c r="L761">
        <f>INDEX($AG$61:$AG$68,B761)</f>
        <v/>
      </c>
      <c r="M761">
        <f>INDEX($AH$61:$AH$68,B761)</f>
        <v/>
      </c>
      <c r="N761">
        <f>INDEX($AI$61:$AI$68,B761)</f>
        <v/>
      </c>
      <c r="O761">
        <f>O760*$B$26+L761*(1-$B$26)</f>
        <v/>
      </c>
      <c r="P761">
        <f>$B$7*(O761-O760)*(1-AS760)</f>
        <v/>
      </c>
      <c r="Q761">
        <f>M761+0.51274*AT760</f>
        <v/>
      </c>
      <c r="R761">
        <f>N761+0.616*AT760</f>
        <v/>
      </c>
      <c r="S761">
        <f>IF($B$13&gt;=0.6,Q761,IF($B$13&lt;=0.2,R761,R761+2.5*(Q761-R761)*($B$13-0.2)))</f>
        <v/>
      </c>
      <c r="T761">
        <f>IF(A761=1,S761,T760*$B$27+S761*(1-$B$27))</f>
        <v/>
      </c>
      <c r="U761">
        <f>0.6105*EXP(17.27*T761/(T761+237.3))</f>
        <v/>
      </c>
      <c r="V761">
        <f>($B$14*(I761*C761+IF(ABS((D761+0.1)-D761)&lt;0.000000001,4*$B$19*$B$20*(D761+273)^3,$B$19*$B$20*(((D761+0.1)+273)^4-(D761+273)^4)/((D761+0.1)-D761))*D761)+T761/H761)/($B$14*(I761+IF(ABS((D761+0.1)-D761)&lt;0.000000001,4*$B$19*$B$20*(D761+273)^3,$B$19*$B$20*(((D761+0.1)+273)^4-(D761+273)^4)/((D761+0.1)-D761)))+1/H761)</f>
        <v/>
      </c>
      <c r="W761">
        <f>($B$14*(I761*C761+IF(ABS(V761-D761)&lt;0.000000001,4*$B$19*$B$20*(D761+273)^3,$B$19*$B$20*((V761+273)^4-(D761+273)^4)/(V761-D761))*D761)+T761/H761)/($B$14*(I761+IF(ABS(V761-D761)&lt;0.000000001,4*$B$19*$B$20*(D761+273)^3,$B$19*$B$20*((V761+273)^4-(D761+273)^4)/(V761-D761)))+1/H761)</f>
        <v/>
      </c>
      <c r="X761">
        <f>($B$14*(I761*C761+IF(ABS(W761-D761)&lt;0.000000001,4*$B$19*$B$20*(D761+273)^3,$B$19*$B$20*((W761+273)^4-(D761+273)^4)/(W761-D761))*D761)+T761/H761)/($B$14*(I761+IF(ABS(W761-D761)&lt;0.000000001,4*$B$19*$B$20*(D761+273)^3,$B$19*$B$20*((W761+273)^4-(D761+273)^4)/(W761-D761)))+1/H761)</f>
        <v/>
      </c>
      <c r="Y761">
        <f>($B$14*(I761*C761+IF(ABS(X761-D761)&lt;0.000000001,4*$B$19*$B$20*(D761+273)^3,$B$19*$B$20*((X761+273)^4-(D761+273)^4)/(X761-D761))*D761)+T761/H761)/($B$14*(I761+IF(ABS(X761-D761)&lt;0.000000001,4*$B$19*$B$20*(D761+273)^3,$B$19*$B$20*((X761+273)^4-(D761+273)^4)/(X761-D761)))+1/H761)</f>
        <v/>
      </c>
      <c r="Z761">
        <f>IF(ABS(Y761-D761)&lt;0.000000001,4*$B$19*$B$20*(D761+273)^3,$B$19*$B$20*((Y761+273)^4-(D761+273)^4)/(Y761-D761))</f>
        <v/>
      </c>
      <c r="AA761">
        <f>$B$14*I761*(Y761-C761)</f>
        <v/>
      </c>
      <c r="AB761">
        <f>$B$14*Z761*(Y761-D761)</f>
        <v/>
      </c>
      <c r="AC761">
        <f>IF((U761-E761)/G761=0,0.001,(U761-E761)/G761)</f>
        <v/>
      </c>
      <c r="AD761">
        <f>F761-P761-J761-K761-AA761-AB761</f>
        <v/>
      </c>
      <c r="AE761">
        <f>AD761/AC761</f>
        <v/>
      </c>
      <c r="AF761">
        <f>IF(AD761&lt;=0,0,IF(AC761&lt;=0,$B$11,IF(AE761&gt;=1.7,$B$11,MIN(AD761/MAX(0.05,IF(AE761&gt;1,(2-AE761)^2/2,1-AE761^2/2)),$B$11))))</f>
        <v/>
      </c>
      <c r="AG761">
        <f>AG760*$B$28+AF761*(1-$B$28)</f>
        <v/>
      </c>
      <c r="AH761">
        <f>IF(AND(AD761&gt;0,AC761&lt;=0),0,AC761)</f>
        <v/>
      </c>
      <c r="AI761">
        <f>AH761/MAX(AG761,0.000001)</f>
        <v/>
      </c>
      <c r="AJ761">
        <f>MIN(IF(AI761&gt;=0.5,-AI761+SQRT(AI761^2+2),1),$B$12)</f>
        <v/>
      </c>
      <c r="AK761">
        <f>IF(AG761&lt;=0,0,AJ761*AH761)</f>
        <v/>
      </c>
      <c r="AL761">
        <f>IF(AD761&lt;=0,0,AD761)</f>
        <v/>
      </c>
      <c r="AM761">
        <f>AL761-AK761+P761</f>
        <v/>
      </c>
      <c r="AN761">
        <f>((AM761/$B$7+T760*AS760/2-T761*MAX(0.1,MIN(0.3,0.3-0.09*(AR760-36.8)))/2)+AR760*(1-AS760/2))/(1-MAX(0.1,MIN(0.3,0.3-0.09*(AR760-36.8)))/2)</f>
        <v/>
      </c>
      <c r="AO761">
        <f>((AM761/$B$7+T760*AS760/2-T761*MAX(0.1,MIN(0.3,0.3-0.09*(AN761-36.8)))/2)+AR760*(1-AS760/2))/(1-MAX(0.1,MIN(0.3,0.3-0.09*(AN761-36.8)))/2)</f>
        <v/>
      </c>
      <c r="AP761">
        <f>((AM761/$B$7+T760*AS760/2-T761*MAX(0.1,MIN(0.3,0.3-0.09*(AO761-36.8)))/2)+AR760*(1-AS760/2))/(1-MAX(0.1,MIN(0.3,0.3-0.09*(AO761-36.8)))/2)</f>
        <v/>
      </c>
      <c r="AQ761">
        <f>((AM761/$B$7+T760*AS760/2-T761*MAX(0.1,MIN(0.3,0.3-0.09*(AP761-36.8)))/2)+AR760*(1-AS760/2))/(1-MAX(0.1,MIN(0.3,0.3-0.09*(AP761-36.8)))/2)</f>
        <v/>
      </c>
      <c r="AR761">
        <f>((AM761/$B$7+T760*AS760/2-T761*MAX(0.1,MIN(0.3,0.3-0.09*(AQ761-36.8)))/2)+AR760*(1-AS760/2))/(1-MAX(0.1,MIN(0.3,0.3-0.09*(AQ761-36.8)))/2)</f>
        <v/>
      </c>
      <c r="AS761">
        <f>MAX(0.1,MIN(0.3,0.3-0.09*(AR761-36.8)))</f>
        <v/>
      </c>
      <c r="AT761">
        <f>AT760+(2*AR761-1.962*AT760-1.31)/9</f>
        <v/>
      </c>
      <c r="AU761">
        <f>AU760+AG761+K761</f>
        <v/>
      </c>
      <c r="AV761">
        <f>AU761*2.67*$B$6/1.8/60</f>
        <v/>
      </c>
      <c r="AW761">
        <f>IF(AT761&gt;=$B$36,1,0)</f>
        <v/>
      </c>
      <c r="AX761">
        <f>IF(AV761&gt;=$B$21,1,0)</f>
        <v/>
      </c>
    </row>
    <row r="762">
      <c r="A762" t="n">
        <v>689</v>
      </c>
      <c r="B762">
        <f>MATCH(A762-1,$D$61:$D$68,1)</f>
        <v/>
      </c>
      <c r="C762">
        <f>INDEX($G$61:$G$68,B762)</f>
        <v/>
      </c>
      <c r="D762">
        <f>INDEX($L$61:$L$68,B762)</f>
        <v/>
      </c>
      <c r="E762">
        <f>INDEX($M$61:$M$68,B762)</f>
        <v/>
      </c>
      <c r="F762">
        <f>INDEX($N$61:$N$68,B762)</f>
        <v/>
      </c>
      <c r="G762">
        <f>INDEX($AA$61:$AA$68,B762)</f>
        <v/>
      </c>
      <c r="H762">
        <f>INDEX($X$61:$X$68,B762)</f>
        <v/>
      </c>
      <c r="I762">
        <f>INDEX($AF$61:$AF$68,B762)</f>
        <v/>
      </c>
      <c r="J762">
        <f>INDEX($AC$61:$AC$68,B762)</f>
        <v/>
      </c>
      <c r="K762">
        <f>INDEX($AD$61:$AD$68,B762)</f>
        <v/>
      </c>
      <c r="L762">
        <f>INDEX($AG$61:$AG$68,B762)</f>
        <v/>
      </c>
      <c r="M762">
        <f>INDEX($AH$61:$AH$68,B762)</f>
        <v/>
      </c>
      <c r="N762">
        <f>INDEX($AI$61:$AI$68,B762)</f>
        <v/>
      </c>
      <c r="O762">
        <f>O761*$B$26+L762*(1-$B$26)</f>
        <v/>
      </c>
      <c r="P762">
        <f>$B$7*(O762-O761)*(1-AS761)</f>
        <v/>
      </c>
      <c r="Q762">
        <f>M762+0.51274*AT761</f>
        <v/>
      </c>
      <c r="R762">
        <f>N762+0.616*AT761</f>
        <v/>
      </c>
      <c r="S762">
        <f>IF($B$13&gt;=0.6,Q762,IF($B$13&lt;=0.2,R762,R762+2.5*(Q762-R762)*($B$13-0.2)))</f>
        <v/>
      </c>
      <c r="T762">
        <f>IF(A762=1,S762,T761*$B$27+S762*(1-$B$27))</f>
        <v/>
      </c>
      <c r="U762">
        <f>0.6105*EXP(17.27*T762/(T762+237.3))</f>
        <v/>
      </c>
      <c r="V762">
        <f>($B$14*(I762*C762+IF(ABS((D762+0.1)-D762)&lt;0.000000001,4*$B$19*$B$20*(D762+273)^3,$B$19*$B$20*(((D762+0.1)+273)^4-(D762+273)^4)/((D762+0.1)-D762))*D762)+T762/H762)/($B$14*(I762+IF(ABS((D762+0.1)-D762)&lt;0.000000001,4*$B$19*$B$20*(D762+273)^3,$B$19*$B$20*(((D762+0.1)+273)^4-(D762+273)^4)/((D762+0.1)-D762)))+1/H762)</f>
        <v/>
      </c>
      <c r="W762">
        <f>($B$14*(I762*C762+IF(ABS(V762-D762)&lt;0.000000001,4*$B$19*$B$20*(D762+273)^3,$B$19*$B$20*((V762+273)^4-(D762+273)^4)/(V762-D762))*D762)+T762/H762)/($B$14*(I762+IF(ABS(V762-D762)&lt;0.000000001,4*$B$19*$B$20*(D762+273)^3,$B$19*$B$20*((V762+273)^4-(D762+273)^4)/(V762-D762)))+1/H762)</f>
        <v/>
      </c>
      <c r="X762">
        <f>($B$14*(I762*C762+IF(ABS(W762-D762)&lt;0.000000001,4*$B$19*$B$20*(D762+273)^3,$B$19*$B$20*((W762+273)^4-(D762+273)^4)/(W762-D762))*D762)+T762/H762)/($B$14*(I762+IF(ABS(W762-D762)&lt;0.000000001,4*$B$19*$B$20*(D762+273)^3,$B$19*$B$20*((W762+273)^4-(D762+273)^4)/(W762-D762)))+1/H762)</f>
        <v/>
      </c>
      <c r="Y762">
        <f>($B$14*(I762*C762+IF(ABS(X762-D762)&lt;0.000000001,4*$B$19*$B$20*(D762+273)^3,$B$19*$B$20*((X762+273)^4-(D762+273)^4)/(X762-D762))*D762)+T762/H762)/($B$14*(I762+IF(ABS(X762-D762)&lt;0.000000001,4*$B$19*$B$20*(D762+273)^3,$B$19*$B$20*((X762+273)^4-(D762+273)^4)/(X762-D762)))+1/H762)</f>
        <v/>
      </c>
      <c r="Z762">
        <f>IF(ABS(Y762-D762)&lt;0.000000001,4*$B$19*$B$20*(D762+273)^3,$B$19*$B$20*((Y762+273)^4-(D762+273)^4)/(Y762-D762))</f>
        <v/>
      </c>
      <c r="AA762">
        <f>$B$14*I762*(Y762-C762)</f>
        <v/>
      </c>
      <c r="AB762">
        <f>$B$14*Z762*(Y762-D762)</f>
        <v/>
      </c>
      <c r="AC762">
        <f>IF((U762-E762)/G762=0,0.001,(U762-E762)/G762)</f>
        <v/>
      </c>
      <c r="AD762">
        <f>F762-P762-J762-K762-AA762-AB762</f>
        <v/>
      </c>
      <c r="AE762">
        <f>AD762/AC762</f>
        <v/>
      </c>
      <c r="AF762">
        <f>IF(AD762&lt;=0,0,IF(AC762&lt;=0,$B$11,IF(AE762&gt;=1.7,$B$11,MIN(AD762/MAX(0.05,IF(AE762&gt;1,(2-AE762)^2/2,1-AE762^2/2)),$B$11))))</f>
        <v/>
      </c>
      <c r="AG762">
        <f>AG761*$B$28+AF762*(1-$B$28)</f>
        <v/>
      </c>
      <c r="AH762">
        <f>IF(AND(AD762&gt;0,AC762&lt;=0),0,AC762)</f>
        <v/>
      </c>
      <c r="AI762">
        <f>AH762/MAX(AG762,0.000001)</f>
        <v/>
      </c>
      <c r="AJ762">
        <f>MIN(IF(AI762&gt;=0.5,-AI762+SQRT(AI762^2+2),1),$B$12)</f>
        <v/>
      </c>
      <c r="AK762">
        <f>IF(AG762&lt;=0,0,AJ762*AH762)</f>
        <v/>
      </c>
      <c r="AL762">
        <f>IF(AD762&lt;=0,0,AD762)</f>
        <v/>
      </c>
      <c r="AM762">
        <f>AL762-AK762+P762</f>
        <v/>
      </c>
      <c r="AN762">
        <f>((AM762/$B$7+T761*AS761/2-T762*MAX(0.1,MIN(0.3,0.3-0.09*(AR761-36.8)))/2)+AR761*(1-AS761/2))/(1-MAX(0.1,MIN(0.3,0.3-0.09*(AR761-36.8)))/2)</f>
        <v/>
      </c>
      <c r="AO762">
        <f>((AM762/$B$7+T761*AS761/2-T762*MAX(0.1,MIN(0.3,0.3-0.09*(AN762-36.8)))/2)+AR761*(1-AS761/2))/(1-MAX(0.1,MIN(0.3,0.3-0.09*(AN762-36.8)))/2)</f>
        <v/>
      </c>
      <c r="AP762">
        <f>((AM762/$B$7+T761*AS761/2-T762*MAX(0.1,MIN(0.3,0.3-0.09*(AO762-36.8)))/2)+AR761*(1-AS761/2))/(1-MAX(0.1,MIN(0.3,0.3-0.09*(AO762-36.8)))/2)</f>
        <v/>
      </c>
      <c r="AQ762">
        <f>((AM762/$B$7+T761*AS761/2-T762*MAX(0.1,MIN(0.3,0.3-0.09*(AP762-36.8)))/2)+AR761*(1-AS761/2))/(1-MAX(0.1,MIN(0.3,0.3-0.09*(AP762-36.8)))/2)</f>
        <v/>
      </c>
      <c r="AR762">
        <f>((AM762/$B$7+T761*AS761/2-T762*MAX(0.1,MIN(0.3,0.3-0.09*(AQ762-36.8)))/2)+AR761*(1-AS761/2))/(1-MAX(0.1,MIN(0.3,0.3-0.09*(AQ762-36.8)))/2)</f>
        <v/>
      </c>
      <c r="AS762">
        <f>MAX(0.1,MIN(0.3,0.3-0.09*(AR762-36.8)))</f>
        <v/>
      </c>
      <c r="AT762">
        <f>AT761+(2*AR762-1.962*AT761-1.31)/9</f>
        <v/>
      </c>
      <c r="AU762">
        <f>AU761+AG762+K762</f>
        <v/>
      </c>
      <c r="AV762">
        <f>AU762*2.67*$B$6/1.8/60</f>
        <v/>
      </c>
      <c r="AW762">
        <f>IF(AT762&gt;=$B$36,1,0)</f>
        <v/>
      </c>
      <c r="AX762">
        <f>IF(AV762&gt;=$B$21,1,0)</f>
        <v/>
      </c>
    </row>
    <row r="763">
      <c r="A763" t="n">
        <v>690</v>
      </c>
      <c r="B763">
        <f>MATCH(A763-1,$D$61:$D$68,1)</f>
        <v/>
      </c>
      <c r="C763">
        <f>INDEX($G$61:$G$68,B763)</f>
        <v/>
      </c>
      <c r="D763">
        <f>INDEX($L$61:$L$68,B763)</f>
        <v/>
      </c>
      <c r="E763">
        <f>INDEX($M$61:$M$68,B763)</f>
        <v/>
      </c>
      <c r="F763">
        <f>INDEX($N$61:$N$68,B763)</f>
        <v/>
      </c>
      <c r="G763">
        <f>INDEX($AA$61:$AA$68,B763)</f>
        <v/>
      </c>
      <c r="H763">
        <f>INDEX($X$61:$X$68,B763)</f>
        <v/>
      </c>
      <c r="I763">
        <f>INDEX($AF$61:$AF$68,B763)</f>
        <v/>
      </c>
      <c r="J763">
        <f>INDEX($AC$61:$AC$68,B763)</f>
        <v/>
      </c>
      <c r="K763">
        <f>INDEX($AD$61:$AD$68,B763)</f>
        <v/>
      </c>
      <c r="L763">
        <f>INDEX($AG$61:$AG$68,B763)</f>
        <v/>
      </c>
      <c r="M763">
        <f>INDEX($AH$61:$AH$68,B763)</f>
        <v/>
      </c>
      <c r="N763">
        <f>INDEX($AI$61:$AI$68,B763)</f>
        <v/>
      </c>
      <c r="O763">
        <f>O762*$B$26+L763*(1-$B$26)</f>
        <v/>
      </c>
      <c r="P763">
        <f>$B$7*(O763-O762)*(1-AS762)</f>
        <v/>
      </c>
      <c r="Q763">
        <f>M763+0.51274*AT762</f>
        <v/>
      </c>
      <c r="R763">
        <f>N763+0.616*AT762</f>
        <v/>
      </c>
      <c r="S763">
        <f>IF($B$13&gt;=0.6,Q763,IF($B$13&lt;=0.2,R763,R763+2.5*(Q763-R763)*($B$13-0.2)))</f>
        <v/>
      </c>
      <c r="T763">
        <f>IF(A763=1,S763,T762*$B$27+S763*(1-$B$27))</f>
        <v/>
      </c>
      <c r="U763">
        <f>0.6105*EXP(17.27*T763/(T763+237.3))</f>
        <v/>
      </c>
      <c r="V763">
        <f>($B$14*(I763*C763+IF(ABS((D763+0.1)-D763)&lt;0.000000001,4*$B$19*$B$20*(D763+273)^3,$B$19*$B$20*(((D763+0.1)+273)^4-(D763+273)^4)/((D763+0.1)-D763))*D763)+T763/H763)/($B$14*(I763+IF(ABS((D763+0.1)-D763)&lt;0.000000001,4*$B$19*$B$20*(D763+273)^3,$B$19*$B$20*(((D763+0.1)+273)^4-(D763+273)^4)/((D763+0.1)-D763)))+1/H763)</f>
        <v/>
      </c>
      <c r="W763">
        <f>($B$14*(I763*C763+IF(ABS(V763-D763)&lt;0.000000001,4*$B$19*$B$20*(D763+273)^3,$B$19*$B$20*((V763+273)^4-(D763+273)^4)/(V763-D763))*D763)+T763/H763)/($B$14*(I763+IF(ABS(V763-D763)&lt;0.000000001,4*$B$19*$B$20*(D763+273)^3,$B$19*$B$20*((V763+273)^4-(D763+273)^4)/(V763-D763)))+1/H763)</f>
        <v/>
      </c>
      <c r="X763">
        <f>($B$14*(I763*C763+IF(ABS(W763-D763)&lt;0.000000001,4*$B$19*$B$20*(D763+273)^3,$B$19*$B$20*((W763+273)^4-(D763+273)^4)/(W763-D763))*D763)+T763/H763)/($B$14*(I763+IF(ABS(W763-D763)&lt;0.000000001,4*$B$19*$B$20*(D763+273)^3,$B$19*$B$20*((W763+273)^4-(D763+273)^4)/(W763-D763)))+1/H763)</f>
        <v/>
      </c>
      <c r="Y763">
        <f>($B$14*(I763*C763+IF(ABS(X763-D763)&lt;0.000000001,4*$B$19*$B$20*(D763+273)^3,$B$19*$B$20*((X763+273)^4-(D763+273)^4)/(X763-D763))*D763)+T763/H763)/($B$14*(I763+IF(ABS(X763-D763)&lt;0.000000001,4*$B$19*$B$20*(D763+273)^3,$B$19*$B$20*((X763+273)^4-(D763+273)^4)/(X763-D763)))+1/H763)</f>
        <v/>
      </c>
      <c r="Z763">
        <f>IF(ABS(Y763-D763)&lt;0.000000001,4*$B$19*$B$20*(D763+273)^3,$B$19*$B$20*((Y763+273)^4-(D763+273)^4)/(Y763-D763))</f>
        <v/>
      </c>
      <c r="AA763">
        <f>$B$14*I763*(Y763-C763)</f>
        <v/>
      </c>
      <c r="AB763">
        <f>$B$14*Z763*(Y763-D763)</f>
        <v/>
      </c>
      <c r="AC763">
        <f>IF((U763-E763)/G763=0,0.001,(U763-E763)/G763)</f>
        <v/>
      </c>
      <c r="AD763">
        <f>F763-P763-J763-K763-AA763-AB763</f>
        <v/>
      </c>
      <c r="AE763">
        <f>AD763/AC763</f>
        <v/>
      </c>
      <c r="AF763">
        <f>IF(AD763&lt;=0,0,IF(AC763&lt;=0,$B$11,IF(AE763&gt;=1.7,$B$11,MIN(AD763/MAX(0.05,IF(AE763&gt;1,(2-AE763)^2/2,1-AE763^2/2)),$B$11))))</f>
        <v/>
      </c>
      <c r="AG763">
        <f>AG762*$B$28+AF763*(1-$B$28)</f>
        <v/>
      </c>
      <c r="AH763">
        <f>IF(AND(AD763&gt;0,AC763&lt;=0),0,AC763)</f>
        <v/>
      </c>
      <c r="AI763">
        <f>AH763/MAX(AG763,0.000001)</f>
        <v/>
      </c>
      <c r="AJ763">
        <f>MIN(IF(AI763&gt;=0.5,-AI763+SQRT(AI763^2+2),1),$B$12)</f>
        <v/>
      </c>
      <c r="AK763">
        <f>IF(AG763&lt;=0,0,AJ763*AH763)</f>
        <v/>
      </c>
      <c r="AL763">
        <f>IF(AD763&lt;=0,0,AD763)</f>
        <v/>
      </c>
      <c r="AM763">
        <f>AL763-AK763+P763</f>
        <v/>
      </c>
      <c r="AN763">
        <f>((AM763/$B$7+T762*AS762/2-T763*MAX(0.1,MIN(0.3,0.3-0.09*(AR762-36.8)))/2)+AR762*(1-AS762/2))/(1-MAX(0.1,MIN(0.3,0.3-0.09*(AR762-36.8)))/2)</f>
        <v/>
      </c>
      <c r="AO763">
        <f>((AM763/$B$7+T762*AS762/2-T763*MAX(0.1,MIN(0.3,0.3-0.09*(AN763-36.8)))/2)+AR762*(1-AS762/2))/(1-MAX(0.1,MIN(0.3,0.3-0.09*(AN763-36.8)))/2)</f>
        <v/>
      </c>
      <c r="AP763">
        <f>((AM763/$B$7+T762*AS762/2-T763*MAX(0.1,MIN(0.3,0.3-0.09*(AO763-36.8)))/2)+AR762*(1-AS762/2))/(1-MAX(0.1,MIN(0.3,0.3-0.09*(AO763-36.8)))/2)</f>
        <v/>
      </c>
      <c r="AQ763">
        <f>((AM763/$B$7+T762*AS762/2-T763*MAX(0.1,MIN(0.3,0.3-0.09*(AP763-36.8)))/2)+AR762*(1-AS762/2))/(1-MAX(0.1,MIN(0.3,0.3-0.09*(AP763-36.8)))/2)</f>
        <v/>
      </c>
      <c r="AR763">
        <f>((AM763/$B$7+T762*AS762/2-T763*MAX(0.1,MIN(0.3,0.3-0.09*(AQ763-36.8)))/2)+AR762*(1-AS762/2))/(1-MAX(0.1,MIN(0.3,0.3-0.09*(AQ763-36.8)))/2)</f>
        <v/>
      </c>
      <c r="AS763">
        <f>MAX(0.1,MIN(0.3,0.3-0.09*(AR763-36.8)))</f>
        <v/>
      </c>
      <c r="AT763">
        <f>AT762+(2*AR763-1.962*AT762-1.31)/9</f>
        <v/>
      </c>
      <c r="AU763">
        <f>AU762+AG763+K763</f>
        <v/>
      </c>
      <c r="AV763">
        <f>AU763*2.67*$B$6/1.8/60</f>
        <v/>
      </c>
      <c r="AW763">
        <f>IF(AT763&gt;=$B$36,1,0)</f>
        <v/>
      </c>
      <c r="AX763">
        <f>IF(AV763&gt;=$B$21,1,0)</f>
        <v/>
      </c>
    </row>
    <row r="764">
      <c r="A764" t="n">
        <v>691</v>
      </c>
      <c r="B764">
        <f>MATCH(A764-1,$D$61:$D$68,1)</f>
        <v/>
      </c>
      <c r="C764">
        <f>INDEX($G$61:$G$68,B764)</f>
        <v/>
      </c>
      <c r="D764">
        <f>INDEX($L$61:$L$68,B764)</f>
        <v/>
      </c>
      <c r="E764">
        <f>INDEX($M$61:$M$68,B764)</f>
        <v/>
      </c>
      <c r="F764">
        <f>INDEX($N$61:$N$68,B764)</f>
        <v/>
      </c>
      <c r="G764">
        <f>INDEX($AA$61:$AA$68,B764)</f>
        <v/>
      </c>
      <c r="H764">
        <f>INDEX($X$61:$X$68,B764)</f>
        <v/>
      </c>
      <c r="I764">
        <f>INDEX($AF$61:$AF$68,B764)</f>
        <v/>
      </c>
      <c r="J764">
        <f>INDEX($AC$61:$AC$68,B764)</f>
        <v/>
      </c>
      <c r="K764">
        <f>INDEX($AD$61:$AD$68,B764)</f>
        <v/>
      </c>
      <c r="L764">
        <f>INDEX($AG$61:$AG$68,B764)</f>
        <v/>
      </c>
      <c r="M764">
        <f>INDEX($AH$61:$AH$68,B764)</f>
        <v/>
      </c>
      <c r="N764">
        <f>INDEX($AI$61:$AI$68,B764)</f>
        <v/>
      </c>
      <c r="O764">
        <f>O763*$B$26+L764*(1-$B$26)</f>
        <v/>
      </c>
      <c r="P764">
        <f>$B$7*(O764-O763)*(1-AS763)</f>
        <v/>
      </c>
      <c r="Q764">
        <f>M764+0.51274*AT763</f>
        <v/>
      </c>
      <c r="R764">
        <f>N764+0.616*AT763</f>
        <v/>
      </c>
      <c r="S764">
        <f>IF($B$13&gt;=0.6,Q764,IF($B$13&lt;=0.2,R764,R764+2.5*(Q764-R764)*($B$13-0.2)))</f>
        <v/>
      </c>
      <c r="T764">
        <f>IF(A764=1,S764,T763*$B$27+S764*(1-$B$27))</f>
        <v/>
      </c>
      <c r="U764">
        <f>0.6105*EXP(17.27*T764/(T764+237.3))</f>
        <v/>
      </c>
      <c r="V764">
        <f>($B$14*(I764*C764+IF(ABS((D764+0.1)-D764)&lt;0.000000001,4*$B$19*$B$20*(D764+273)^3,$B$19*$B$20*(((D764+0.1)+273)^4-(D764+273)^4)/((D764+0.1)-D764))*D764)+T764/H764)/($B$14*(I764+IF(ABS((D764+0.1)-D764)&lt;0.000000001,4*$B$19*$B$20*(D764+273)^3,$B$19*$B$20*(((D764+0.1)+273)^4-(D764+273)^4)/((D764+0.1)-D764)))+1/H764)</f>
        <v/>
      </c>
      <c r="W764">
        <f>($B$14*(I764*C764+IF(ABS(V764-D764)&lt;0.000000001,4*$B$19*$B$20*(D764+273)^3,$B$19*$B$20*((V764+273)^4-(D764+273)^4)/(V764-D764))*D764)+T764/H764)/($B$14*(I764+IF(ABS(V764-D764)&lt;0.000000001,4*$B$19*$B$20*(D764+273)^3,$B$19*$B$20*((V764+273)^4-(D764+273)^4)/(V764-D764)))+1/H764)</f>
        <v/>
      </c>
      <c r="X764">
        <f>($B$14*(I764*C764+IF(ABS(W764-D764)&lt;0.000000001,4*$B$19*$B$20*(D764+273)^3,$B$19*$B$20*((W764+273)^4-(D764+273)^4)/(W764-D764))*D764)+T764/H764)/($B$14*(I764+IF(ABS(W764-D764)&lt;0.000000001,4*$B$19*$B$20*(D764+273)^3,$B$19*$B$20*((W764+273)^4-(D764+273)^4)/(W764-D764)))+1/H764)</f>
        <v/>
      </c>
      <c r="Y764">
        <f>($B$14*(I764*C764+IF(ABS(X764-D764)&lt;0.000000001,4*$B$19*$B$20*(D764+273)^3,$B$19*$B$20*((X764+273)^4-(D764+273)^4)/(X764-D764))*D764)+T764/H764)/($B$14*(I764+IF(ABS(X764-D764)&lt;0.000000001,4*$B$19*$B$20*(D764+273)^3,$B$19*$B$20*((X764+273)^4-(D764+273)^4)/(X764-D764)))+1/H764)</f>
        <v/>
      </c>
      <c r="Z764">
        <f>IF(ABS(Y764-D764)&lt;0.000000001,4*$B$19*$B$20*(D764+273)^3,$B$19*$B$20*((Y764+273)^4-(D764+273)^4)/(Y764-D764))</f>
        <v/>
      </c>
      <c r="AA764">
        <f>$B$14*I764*(Y764-C764)</f>
        <v/>
      </c>
      <c r="AB764">
        <f>$B$14*Z764*(Y764-D764)</f>
        <v/>
      </c>
      <c r="AC764">
        <f>IF((U764-E764)/G764=0,0.001,(U764-E764)/G764)</f>
        <v/>
      </c>
      <c r="AD764">
        <f>F764-P764-J764-K764-AA764-AB764</f>
        <v/>
      </c>
      <c r="AE764">
        <f>AD764/AC764</f>
        <v/>
      </c>
      <c r="AF764">
        <f>IF(AD764&lt;=0,0,IF(AC764&lt;=0,$B$11,IF(AE764&gt;=1.7,$B$11,MIN(AD764/MAX(0.05,IF(AE764&gt;1,(2-AE764)^2/2,1-AE764^2/2)),$B$11))))</f>
        <v/>
      </c>
      <c r="AG764">
        <f>AG763*$B$28+AF764*(1-$B$28)</f>
        <v/>
      </c>
      <c r="AH764">
        <f>IF(AND(AD764&gt;0,AC764&lt;=0),0,AC764)</f>
        <v/>
      </c>
      <c r="AI764">
        <f>AH764/MAX(AG764,0.000001)</f>
        <v/>
      </c>
      <c r="AJ764">
        <f>MIN(IF(AI764&gt;=0.5,-AI764+SQRT(AI764^2+2),1),$B$12)</f>
        <v/>
      </c>
      <c r="AK764">
        <f>IF(AG764&lt;=0,0,AJ764*AH764)</f>
        <v/>
      </c>
      <c r="AL764">
        <f>IF(AD764&lt;=0,0,AD764)</f>
        <v/>
      </c>
      <c r="AM764">
        <f>AL764-AK764+P764</f>
        <v/>
      </c>
      <c r="AN764">
        <f>((AM764/$B$7+T763*AS763/2-T764*MAX(0.1,MIN(0.3,0.3-0.09*(AR763-36.8)))/2)+AR763*(1-AS763/2))/(1-MAX(0.1,MIN(0.3,0.3-0.09*(AR763-36.8)))/2)</f>
        <v/>
      </c>
      <c r="AO764">
        <f>((AM764/$B$7+T763*AS763/2-T764*MAX(0.1,MIN(0.3,0.3-0.09*(AN764-36.8)))/2)+AR763*(1-AS763/2))/(1-MAX(0.1,MIN(0.3,0.3-0.09*(AN764-36.8)))/2)</f>
        <v/>
      </c>
      <c r="AP764">
        <f>((AM764/$B$7+T763*AS763/2-T764*MAX(0.1,MIN(0.3,0.3-0.09*(AO764-36.8)))/2)+AR763*(1-AS763/2))/(1-MAX(0.1,MIN(0.3,0.3-0.09*(AO764-36.8)))/2)</f>
        <v/>
      </c>
      <c r="AQ764">
        <f>((AM764/$B$7+T763*AS763/2-T764*MAX(0.1,MIN(0.3,0.3-0.09*(AP764-36.8)))/2)+AR763*(1-AS763/2))/(1-MAX(0.1,MIN(0.3,0.3-0.09*(AP764-36.8)))/2)</f>
        <v/>
      </c>
      <c r="AR764">
        <f>((AM764/$B$7+T763*AS763/2-T764*MAX(0.1,MIN(0.3,0.3-0.09*(AQ764-36.8)))/2)+AR763*(1-AS763/2))/(1-MAX(0.1,MIN(0.3,0.3-0.09*(AQ764-36.8)))/2)</f>
        <v/>
      </c>
      <c r="AS764">
        <f>MAX(0.1,MIN(0.3,0.3-0.09*(AR764-36.8)))</f>
        <v/>
      </c>
      <c r="AT764">
        <f>AT763+(2*AR764-1.962*AT763-1.31)/9</f>
        <v/>
      </c>
      <c r="AU764">
        <f>AU763+AG764+K764</f>
        <v/>
      </c>
      <c r="AV764">
        <f>AU764*2.67*$B$6/1.8/60</f>
        <v/>
      </c>
      <c r="AW764">
        <f>IF(AT764&gt;=$B$36,1,0)</f>
        <v/>
      </c>
      <c r="AX764">
        <f>IF(AV764&gt;=$B$21,1,0)</f>
        <v/>
      </c>
    </row>
    <row r="765">
      <c r="A765" t="n">
        <v>692</v>
      </c>
      <c r="B765">
        <f>MATCH(A765-1,$D$61:$D$68,1)</f>
        <v/>
      </c>
      <c r="C765">
        <f>INDEX($G$61:$G$68,B765)</f>
        <v/>
      </c>
      <c r="D765">
        <f>INDEX($L$61:$L$68,B765)</f>
        <v/>
      </c>
      <c r="E765">
        <f>INDEX($M$61:$M$68,B765)</f>
        <v/>
      </c>
      <c r="F765">
        <f>INDEX($N$61:$N$68,B765)</f>
        <v/>
      </c>
      <c r="G765">
        <f>INDEX($AA$61:$AA$68,B765)</f>
        <v/>
      </c>
      <c r="H765">
        <f>INDEX($X$61:$X$68,B765)</f>
        <v/>
      </c>
      <c r="I765">
        <f>INDEX($AF$61:$AF$68,B765)</f>
        <v/>
      </c>
      <c r="J765">
        <f>INDEX($AC$61:$AC$68,B765)</f>
        <v/>
      </c>
      <c r="K765">
        <f>INDEX($AD$61:$AD$68,B765)</f>
        <v/>
      </c>
      <c r="L765">
        <f>INDEX($AG$61:$AG$68,B765)</f>
        <v/>
      </c>
      <c r="M765">
        <f>INDEX($AH$61:$AH$68,B765)</f>
        <v/>
      </c>
      <c r="N765">
        <f>INDEX($AI$61:$AI$68,B765)</f>
        <v/>
      </c>
      <c r="O765">
        <f>O764*$B$26+L765*(1-$B$26)</f>
        <v/>
      </c>
      <c r="P765">
        <f>$B$7*(O765-O764)*(1-AS764)</f>
        <v/>
      </c>
      <c r="Q765">
        <f>M765+0.51274*AT764</f>
        <v/>
      </c>
      <c r="R765">
        <f>N765+0.616*AT764</f>
        <v/>
      </c>
      <c r="S765">
        <f>IF($B$13&gt;=0.6,Q765,IF($B$13&lt;=0.2,R765,R765+2.5*(Q765-R765)*($B$13-0.2)))</f>
        <v/>
      </c>
      <c r="T765">
        <f>IF(A765=1,S765,T764*$B$27+S765*(1-$B$27))</f>
        <v/>
      </c>
      <c r="U765">
        <f>0.6105*EXP(17.27*T765/(T765+237.3))</f>
        <v/>
      </c>
      <c r="V765">
        <f>($B$14*(I765*C765+IF(ABS((D765+0.1)-D765)&lt;0.000000001,4*$B$19*$B$20*(D765+273)^3,$B$19*$B$20*(((D765+0.1)+273)^4-(D765+273)^4)/((D765+0.1)-D765))*D765)+T765/H765)/($B$14*(I765+IF(ABS((D765+0.1)-D765)&lt;0.000000001,4*$B$19*$B$20*(D765+273)^3,$B$19*$B$20*(((D765+0.1)+273)^4-(D765+273)^4)/((D765+0.1)-D765)))+1/H765)</f>
        <v/>
      </c>
      <c r="W765">
        <f>($B$14*(I765*C765+IF(ABS(V765-D765)&lt;0.000000001,4*$B$19*$B$20*(D765+273)^3,$B$19*$B$20*((V765+273)^4-(D765+273)^4)/(V765-D765))*D765)+T765/H765)/($B$14*(I765+IF(ABS(V765-D765)&lt;0.000000001,4*$B$19*$B$20*(D765+273)^3,$B$19*$B$20*((V765+273)^4-(D765+273)^4)/(V765-D765)))+1/H765)</f>
        <v/>
      </c>
      <c r="X765">
        <f>($B$14*(I765*C765+IF(ABS(W765-D765)&lt;0.000000001,4*$B$19*$B$20*(D765+273)^3,$B$19*$B$20*((W765+273)^4-(D765+273)^4)/(W765-D765))*D765)+T765/H765)/($B$14*(I765+IF(ABS(W765-D765)&lt;0.000000001,4*$B$19*$B$20*(D765+273)^3,$B$19*$B$20*((W765+273)^4-(D765+273)^4)/(W765-D765)))+1/H765)</f>
        <v/>
      </c>
      <c r="Y765">
        <f>($B$14*(I765*C765+IF(ABS(X765-D765)&lt;0.000000001,4*$B$19*$B$20*(D765+273)^3,$B$19*$B$20*((X765+273)^4-(D765+273)^4)/(X765-D765))*D765)+T765/H765)/($B$14*(I765+IF(ABS(X765-D765)&lt;0.000000001,4*$B$19*$B$20*(D765+273)^3,$B$19*$B$20*((X765+273)^4-(D765+273)^4)/(X765-D765)))+1/H765)</f>
        <v/>
      </c>
      <c r="Z765">
        <f>IF(ABS(Y765-D765)&lt;0.000000001,4*$B$19*$B$20*(D765+273)^3,$B$19*$B$20*((Y765+273)^4-(D765+273)^4)/(Y765-D765))</f>
        <v/>
      </c>
      <c r="AA765">
        <f>$B$14*I765*(Y765-C765)</f>
        <v/>
      </c>
      <c r="AB765">
        <f>$B$14*Z765*(Y765-D765)</f>
        <v/>
      </c>
      <c r="AC765">
        <f>IF((U765-E765)/G765=0,0.001,(U765-E765)/G765)</f>
        <v/>
      </c>
      <c r="AD765">
        <f>F765-P765-J765-K765-AA765-AB765</f>
        <v/>
      </c>
      <c r="AE765">
        <f>AD765/AC765</f>
        <v/>
      </c>
      <c r="AF765">
        <f>IF(AD765&lt;=0,0,IF(AC765&lt;=0,$B$11,IF(AE765&gt;=1.7,$B$11,MIN(AD765/MAX(0.05,IF(AE765&gt;1,(2-AE765)^2/2,1-AE765^2/2)),$B$11))))</f>
        <v/>
      </c>
      <c r="AG765">
        <f>AG764*$B$28+AF765*(1-$B$28)</f>
        <v/>
      </c>
      <c r="AH765">
        <f>IF(AND(AD765&gt;0,AC765&lt;=0),0,AC765)</f>
        <v/>
      </c>
      <c r="AI765">
        <f>AH765/MAX(AG765,0.000001)</f>
        <v/>
      </c>
      <c r="AJ765">
        <f>MIN(IF(AI765&gt;=0.5,-AI765+SQRT(AI765^2+2),1),$B$12)</f>
        <v/>
      </c>
      <c r="AK765">
        <f>IF(AG765&lt;=0,0,AJ765*AH765)</f>
        <v/>
      </c>
      <c r="AL765">
        <f>IF(AD765&lt;=0,0,AD765)</f>
        <v/>
      </c>
      <c r="AM765">
        <f>AL765-AK765+P765</f>
        <v/>
      </c>
      <c r="AN765">
        <f>((AM765/$B$7+T764*AS764/2-T765*MAX(0.1,MIN(0.3,0.3-0.09*(AR764-36.8)))/2)+AR764*(1-AS764/2))/(1-MAX(0.1,MIN(0.3,0.3-0.09*(AR764-36.8)))/2)</f>
        <v/>
      </c>
      <c r="AO765">
        <f>((AM765/$B$7+T764*AS764/2-T765*MAX(0.1,MIN(0.3,0.3-0.09*(AN765-36.8)))/2)+AR764*(1-AS764/2))/(1-MAX(0.1,MIN(0.3,0.3-0.09*(AN765-36.8)))/2)</f>
        <v/>
      </c>
      <c r="AP765">
        <f>((AM765/$B$7+T764*AS764/2-T765*MAX(0.1,MIN(0.3,0.3-0.09*(AO765-36.8)))/2)+AR764*(1-AS764/2))/(1-MAX(0.1,MIN(0.3,0.3-0.09*(AO765-36.8)))/2)</f>
        <v/>
      </c>
      <c r="AQ765">
        <f>((AM765/$B$7+T764*AS764/2-T765*MAX(0.1,MIN(0.3,0.3-0.09*(AP765-36.8)))/2)+AR764*(1-AS764/2))/(1-MAX(0.1,MIN(0.3,0.3-0.09*(AP765-36.8)))/2)</f>
        <v/>
      </c>
      <c r="AR765">
        <f>((AM765/$B$7+T764*AS764/2-T765*MAX(0.1,MIN(0.3,0.3-0.09*(AQ765-36.8)))/2)+AR764*(1-AS764/2))/(1-MAX(0.1,MIN(0.3,0.3-0.09*(AQ765-36.8)))/2)</f>
        <v/>
      </c>
      <c r="AS765">
        <f>MAX(0.1,MIN(0.3,0.3-0.09*(AR765-36.8)))</f>
        <v/>
      </c>
      <c r="AT765">
        <f>AT764+(2*AR765-1.962*AT764-1.31)/9</f>
        <v/>
      </c>
      <c r="AU765">
        <f>AU764+AG765+K765</f>
        <v/>
      </c>
      <c r="AV765">
        <f>AU765*2.67*$B$6/1.8/60</f>
        <v/>
      </c>
      <c r="AW765">
        <f>IF(AT765&gt;=$B$36,1,0)</f>
        <v/>
      </c>
      <c r="AX765">
        <f>IF(AV765&gt;=$B$21,1,0)</f>
        <v/>
      </c>
    </row>
    <row r="766">
      <c r="A766" t="n">
        <v>693</v>
      </c>
      <c r="B766">
        <f>MATCH(A766-1,$D$61:$D$68,1)</f>
        <v/>
      </c>
      <c r="C766">
        <f>INDEX($G$61:$G$68,B766)</f>
        <v/>
      </c>
      <c r="D766">
        <f>INDEX($L$61:$L$68,B766)</f>
        <v/>
      </c>
      <c r="E766">
        <f>INDEX($M$61:$M$68,B766)</f>
        <v/>
      </c>
      <c r="F766">
        <f>INDEX($N$61:$N$68,B766)</f>
        <v/>
      </c>
      <c r="G766">
        <f>INDEX($AA$61:$AA$68,B766)</f>
        <v/>
      </c>
      <c r="H766">
        <f>INDEX($X$61:$X$68,B766)</f>
        <v/>
      </c>
      <c r="I766">
        <f>INDEX($AF$61:$AF$68,B766)</f>
        <v/>
      </c>
      <c r="J766">
        <f>INDEX($AC$61:$AC$68,B766)</f>
        <v/>
      </c>
      <c r="K766">
        <f>INDEX($AD$61:$AD$68,B766)</f>
        <v/>
      </c>
      <c r="L766">
        <f>INDEX($AG$61:$AG$68,B766)</f>
        <v/>
      </c>
      <c r="M766">
        <f>INDEX($AH$61:$AH$68,B766)</f>
        <v/>
      </c>
      <c r="N766">
        <f>INDEX($AI$61:$AI$68,B766)</f>
        <v/>
      </c>
      <c r="O766">
        <f>O765*$B$26+L766*(1-$B$26)</f>
        <v/>
      </c>
      <c r="P766">
        <f>$B$7*(O766-O765)*(1-AS765)</f>
        <v/>
      </c>
      <c r="Q766">
        <f>M766+0.51274*AT765</f>
        <v/>
      </c>
      <c r="R766">
        <f>N766+0.616*AT765</f>
        <v/>
      </c>
      <c r="S766">
        <f>IF($B$13&gt;=0.6,Q766,IF($B$13&lt;=0.2,R766,R766+2.5*(Q766-R766)*($B$13-0.2)))</f>
        <v/>
      </c>
      <c r="T766">
        <f>IF(A766=1,S766,T765*$B$27+S766*(1-$B$27))</f>
        <v/>
      </c>
      <c r="U766">
        <f>0.6105*EXP(17.27*T766/(T766+237.3))</f>
        <v/>
      </c>
      <c r="V766">
        <f>($B$14*(I766*C766+IF(ABS((D766+0.1)-D766)&lt;0.000000001,4*$B$19*$B$20*(D766+273)^3,$B$19*$B$20*(((D766+0.1)+273)^4-(D766+273)^4)/((D766+0.1)-D766))*D766)+T766/H766)/($B$14*(I766+IF(ABS((D766+0.1)-D766)&lt;0.000000001,4*$B$19*$B$20*(D766+273)^3,$B$19*$B$20*(((D766+0.1)+273)^4-(D766+273)^4)/((D766+0.1)-D766)))+1/H766)</f>
        <v/>
      </c>
      <c r="W766">
        <f>($B$14*(I766*C766+IF(ABS(V766-D766)&lt;0.000000001,4*$B$19*$B$20*(D766+273)^3,$B$19*$B$20*((V766+273)^4-(D766+273)^4)/(V766-D766))*D766)+T766/H766)/($B$14*(I766+IF(ABS(V766-D766)&lt;0.000000001,4*$B$19*$B$20*(D766+273)^3,$B$19*$B$20*((V766+273)^4-(D766+273)^4)/(V766-D766)))+1/H766)</f>
        <v/>
      </c>
      <c r="X766">
        <f>($B$14*(I766*C766+IF(ABS(W766-D766)&lt;0.000000001,4*$B$19*$B$20*(D766+273)^3,$B$19*$B$20*((W766+273)^4-(D766+273)^4)/(W766-D766))*D766)+T766/H766)/($B$14*(I766+IF(ABS(W766-D766)&lt;0.000000001,4*$B$19*$B$20*(D766+273)^3,$B$19*$B$20*((W766+273)^4-(D766+273)^4)/(W766-D766)))+1/H766)</f>
        <v/>
      </c>
      <c r="Y766">
        <f>($B$14*(I766*C766+IF(ABS(X766-D766)&lt;0.000000001,4*$B$19*$B$20*(D766+273)^3,$B$19*$B$20*((X766+273)^4-(D766+273)^4)/(X766-D766))*D766)+T766/H766)/($B$14*(I766+IF(ABS(X766-D766)&lt;0.000000001,4*$B$19*$B$20*(D766+273)^3,$B$19*$B$20*((X766+273)^4-(D766+273)^4)/(X766-D766)))+1/H766)</f>
        <v/>
      </c>
      <c r="Z766">
        <f>IF(ABS(Y766-D766)&lt;0.000000001,4*$B$19*$B$20*(D766+273)^3,$B$19*$B$20*((Y766+273)^4-(D766+273)^4)/(Y766-D766))</f>
        <v/>
      </c>
      <c r="AA766">
        <f>$B$14*I766*(Y766-C766)</f>
        <v/>
      </c>
      <c r="AB766">
        <f>$B$14*Z766*(Y766-D766)</f>
        <v/>
      </c>
      <c r="AC766">
        <f>IF((U766-E766)/G766=0,0.001,(U766-E766)/G766)</f>
        <v/>
      </c>
      <c r="AD766">
        <f>F766-P766-J766-K766-AA766-AB766</f>
        <v/>
      </c>
      <c r="AE766">
        <f>AD766/AC766</f>
        <v/>
      </c>
      <c r="AF766">
        <f>IF(AD766&lt;=0,0,IF(AC766&lt;=0,$B$11,IF(AE766&gt;=1.7,$B$11,MIN(AD766/MAX(0.05,IF(AE766&gt;1,(2-AE766)^2/2,1-AE766^2/2)),$B$11))))</f>
        <v/>
      </c>
      <c r="AG766">
        <f>AG765*$B$28+AF766*(1-$B$28)</f>
        <v/>
      </c>
      <c r="AH766">
        <f>IF(AND(AD766&gt;0,AC766&lt;=0),0,AC766)</f>
        <v/>
      </c>
      <c r="AI766">
        <f>AH766/MAX(AG766,0.000001)</f>
        <v/>
      </c>
      <c r="AJ766">
        <f>MIN(IF(AI766&gt;=0.5,-AI766+SQRT(AI766^2+2),1),$B$12)</f>
        <v/>
      </c>
      <c r="AK766">
        <f>IF(AG766&lt;=0,0,AJ766*AH766)</f>
        <v/>
      </c>
      <c r="AL766">
        <f>IF(AD766&lt;=0,0,AD766)</f>
        <v/>
      </c>
      <c r="AM766">
        <f>AL766-AK766+P766</f>
        <v/>
      </c>
      <c r="AN766">
        <f>((AM766/$B$7+T765*AS765/2-T766*MAX(0.1,MIN(0.3,0.3-0.09*(AR765-36.8)))/2)+AR765*(1-AS765/2))/(1-MAX(0.1,MIN(0.3,0.3-0.09*(AR765-36.8)))/2)</f>
        <v/>
      </c>
      <c r="AO766">
        <f>((AM766/$B$7+T765*AS765/2-T766*MAX(0.1,MIN(0.3,0.3-0.09*(AN766-36.8)))/2)+AR765*(1-AS765/2))/(1-MAX(0.1,MIN(0.3,0.3-0.09*(AN766-36.8)))/2)</f>
        <v/>
      </c>
      <c r="AP766">
        <f>((AM766/$B$7+T765*AS765/2-T766*MAX(0.1,MIN(0.3,0.3-0.09*(AO766-36.8)))/2)+AR765*(1-AS765/2))/(1-MAX(0.1,MIN(0.3,0.3-0.09*(AO766-36.8)))/2)</f>
        <v/>
      </c>
      <c r="AQ766">
        <f>((AM766/$B$7+T765*AS765/2-T766*MAX(0.1,MIN(0.3,0.3-0.09*(AP766-36.8)))/2)+AR765*(1-AS765/2))/(1-MAX(0.1,MIN(0.3,0.3-0.09*(AP766-36.8)))/2)</f>
        <v/>
      </c>
      <c r="AR766">
        <f>((AM766/$B$7+T765*AS765/2-T766*MAX(0.1,MIN(0.3,0.3-0.09*(AQ766-36.8)))/2)+AR765*(1-AS765/2))/(1-MAX(0.1,MIN(0.3,0.3-0.09*(AQ766-36.8)))/2)</f>
        <v/>
      </c>
      <c r="AS766">
        <f>MAX(0.1,MIN(0.3,0.3-0.09*(AR766-36.8)))</f>
        <v/>
      </c>
      <c r="AT766">
        <f>AT765+(2*AR766-1.962*AT765-1.31)/9</f>
        <v/>
      </c>
      <c r="AU766">
        <f>AU765+AG766+K766</f>
        <v/>
      </c>
      <c r="AV766">
        <f>AU766*2.67*$B$6/1.8/60</f>
        <v/>
      </c>
      <c r="AW766">
        <f>IF(AT766&gt;=$B$36,1,0)</f>
        <v/>
      </c>
      <c r="AX766">
        <f>IF(AV766&gt;=$B$21,1,0)</f>
        <v/>
      </c>
    </row>
    <row r="767">
      <c r="A767" t="n">
        <v>694</v>
      </c>
      <c r="B767">
        <f>MATCH(A767-1,$D$61:$D$68,1)</f>
        <v/>
      </c>
      <c r="C767">
        <f>INDEX($G$61:$G$68,B767)</f>
        <v/>
      </c>
      <c r="D767">
        <f>INDEX($L$61:$L$68,B767)</f>
        <v/>
      </c>
      <c r="E767">
        <f>INDEX($M$61:$M$68,B767)</f>
        <v/>
      </c>
      <c r="F767">
        <f>INDEX($N$61:$N$68,B767)</f>
        <v/>
      </c>
      <c r="G767">
        <f>INDEX($AA$61:$AA$68,B767)</f>
        <v/>
      </c>
      <c r="H767">
        <f>INDEX($X$61:$X$68,B767)</f>
        <v/>
      </c>
      <c r="I767">
        <f>INDEX($AF$61:$AF$68,B767)</f>
        <v/>
      </c>
      <c r="J767">
        <f>INDEX($AC$61:$AC$68,B767)</f>
        <v/>
      </c>
      <c r="K767">
        <f>INDEX($AD$61:$AD$68,B767)</f>
        <v/>
      </c>
      <c r="L767">
        <f>INDEX($AG$61:$AG$68,B767)</f>
        <v/>
      </c>
      <c r="M767">
        <f>INDEX($AH$61:$AH$68,B767)</f>
        <v/>
      </c>
      <c r="N767">
        <f>INDEX($AI$61:$AI$68,B767)</f>
        <v/>
      </c>
      <c r="O767">
        <f>O766*$B$26+L767*(1-$B$26)</f>
        <v/>
      </c>
      <c r="P767">
        <f>$B$7*(O767-O766)*(1-AS766)</f>
        <v/>
      </c>
      <c r="Q767">
        <f>M767+0.51274*AT766</f>
        <v/>
      </c>
      <c r="R767">
        <f>N767+0.616*AT766</f>
        <v/>
      </c>
      <c r="S767">
        <f>IF($B$13&gt;=0.6,Q767,IF($B$13&lt;=0.2,R767,R767+2.5*(Q767-R767)*($B$13-0.2)))</f>
        <v/>
      </c>
      <c r="T767">
        <f>IF(A767=1,S767,T766*$B$27+S767*(1-$B$27))</f>
        <v/>
      </c>
      <c r="U767">
        <f>0.6105*EXP(17.27*T767/(T767+237.3))</f>
        <v/>
      </c>
      <c r="V767">
        <f>($B$14*(I767*C767+IF(ABS((D767+0.1)-D767)&lt;0.000000001,4*$B$19*$B$20*(D767+273)^3,$B$19*$B$20*(((D767+0.1)+273)^4-(D767+273)^4)/((D767+0.1)-D767))*D767)+T767/H767)/($B$14*(I767+IF(ABS((D767+0.1)-D767)&lt;0.000000001,4*$B$19*$B$20*(D767+273)^3,$B$19*$B$20*(((D767+0.1)+273)^4-(D767+273)^4)/((D767+0.1)-D767)))+1/H767)</f>
        <v/>
      </c>
      <c r="W767">
        <f>($B$14*(I767*C767+IF(ABS(V767-D767)&lt;0.000000001,4*$B$19*$B$20*(D767+273)^3,$B$19*$B$20*((V767+273)^4-(D767+273)^4)/(V767-D767))*D767)+T767/H767)/($B$14*(I767+IF(ABS(V767-D767)&lt;0.000000001,4*$B$19*$B$20*(D767+273)^3,$B$19*$B$20*((V767+273)^4-(D767+273)^4)/(V767-D767)))+1/H767)</f>
        <v/>
      </c>
      <c r="X767">
        <f>($B$14*(I767*C767+IF(ABS(W767-D767)&lt;0.000000001,4*$B$19*$B$20*(D767+273)^3,$B$19*$B$20*((W767+273)^4-(D767+273)^4)/(W767-D767))*D767)+T767/H767)/($B$14*(I767+IF(ABS(W767-D767)&lt;0.000000001,4*$B$19*$B$20*(D767+273)^3,$B$19*$B$20*((W767+273)^4-(D767+273)^4)/(W767-D767)))+1/H767)</f>
        <v/>
      </c>
      <c r="Y767">
        <f>($B$14*(I767*C767+IF(ABS(X767-D767)&lt;0.000000001,4*$B$19*$B$20*(D767+273)^3,$B$19*$B$20*((X767+273)^4-(D767+273)^4)/(X767-D767))*D767)+T767/H767)/($B$14*(I767+IF(ABS(X767-D767)&lt;0.000000001,4*$B$19*$B$20*(D767+273)^3,$B$19*$B$20*((X767+273)^4-(D767+273)^4)/(X767-D767)))+1/H767)</f>
        <v/>
      </c>
      <c r="Z767">
        <f>IF(ABS(Y767-D767)&lt;0.000000001,4*$B$19*$B$20*(D767+273)^3,$B$19*$B$20*((Y767+273)^4-(D767+273)^4)/(Y767-D767))</f>
        <v/>
      </c>
      <c r="AA767">
        <f>$B$14*I767*(Y767-C767)</f>
        <v/>
      </c>
      <c r="AB767">
        <f>$B$14*Z767*(Y767-D767)</f>
        <v/>
      </c>
      <c r="AC767">
        <f>IF((U767-E767)/G767=0,0.001,(U767-E767)/G767)</f>
        <v/>
      </c>
      <c r="AD767">
        <f>F767-P767-J767-K767-AA767-AB767</f>
        <v/>
      </c>
      <c r="AE767">
        <f>AD767/AC767</f>
        <v/>
      </c>
      <c r="AF767">
        <f>IF(AD767&lt;=0,0,IF(AC767&lt;=0,$B$11,IF(AE767&gt;=1.7,$B$11,MIN(AD767/MAX(0.05,IF(AE767&gt;1,(2-AE767)^2/2,1-AE767^2/2)),$B$11))))</f>
        <v/>
      </c>
      <c r="AG767">
        <f>AG766*$B$28+AF767*(1-$B$28)</f>
        <v/>
      </c>
      <c r="AH767">
        <f>IF(AND(AD767&gt;0,AC767&lt;=0),0,AC767)</f>
        <v/>
      </c>
      <c r="AI767">
        <f>AH767/MAX(AG767,0.000001)</f>
        <v/>
      </c>
      <c r="AJ767">
        <f>MIN(IF(AI767&gt;=0.5,-AI767+SQRT(AI767^2+2),1),$B$12)</f>
        <v/>
      </c>
      <c r="AK767">
        <f>IF(AG767&lt;=0,0,AJ767*AH767)</f>
        <v/>
      </c>
      <c r="AL767">
        <f>IF(AD767&lt;=0,0,AD767)</f>
        <v/>
      </c>
      <c r="AM767">
        <f>AL767-AK767+P767</f>
        <v/>
      </c>
      <c r="AN767">
        <f>((AM767/$B$7+T766*AS766/2-T767*MAX(0.1,MIN(0.3,0.3-0.09*(AR766-36.8)))/2)+AR766*(1-AS766/2))/(1-MAX(0.1,MIN(0.3,0.3-0.09*(AR766-36.8)))/2)</f>
        <v/>
      </c>
      <c r="AO767">
        <f>((AM767/$B$7+T766*AS766/2-T767*MAX(0.1,MIN(0.3,0.3-0.09*(AN767-36.8)))/2)+AR766*(1-AS766/2))/(1-MAX(0.1,MIN(0.3,0.3-0.09*(AN767-36.8)))/2)</f>
        <v/>
      </c>
      <c r="AP767">
        <f>((AM767/$B$7+T766*AS766/2-T767*MAX(0.1,MIN(0.3,0.3-0.09*(AO767-36.8)))/2)+AR766*(1-AS766/2))/(1-MAX(0.1,MIN(0.3,0.3-0.09*(AO767-36.8)))/2)</f>
        <v/>
      </c>
      <c r="AQ767">
        <f>((AM767/$B$7+T766*AS766/2-T767*MAX(0.1,MIN(0.3,0.3-0.09*(AP767-36.8)))/2)+AR766*(1-AS766/2))/(1-MAX(0.1,MIN(0.3,0.3-0.09*(AP767-36.8)))/2)</f>
        <v/>
      </c>
      <c r="AR767">
        <f>((AM767/$B$7+T766*AS766/2-T767*MAX(0.1,MIN(0.3,0.3-0.09*(AQ767-36.8)))/2)+AR766*(1-AS766/2))/(1-MAX(0.1,MIN(0.3,0.3-0.09*(AQ767-36.8)))/2)</f>
        <v/>
      </c>
      <c r="AS767">
        <f>MAX(0.1,MIN(0.3,0.3-0.09*(AR767-36.8)))</f>
        <v/>
      </c>
      <c r="AT767">
        <f>AT766+(2*AR767-1.962*AT766-1.31)/9</f>
        <v/>
      </c>
      <c r="AU767">
        <f>AU766+AG767+K767</f>
        <v/>
      </c>
      <c r="AV767">
        <f>AU767*2.67*$B$6/1.8/60</f>
        <v/>
      </c>
      <c r="AW767">
        <f>IF(AT767&gt;=$B$36,1,0)</f>
        <v/>
      </c>
      <c r="AX767">
        <f>IF(AV767&gt;=$B$21,1,0)</f>
        <v/>
      </c>
    </row>
    <row r="768">
      <c r="A768" t="n">
        <v>695</v>
      </c>
      <c r="B768">
        <f>MATCH(A768-1,$D$61:$D$68,1)</f>
        <v/>
      </c>
      <c r="C768">
        <f>INDEX($G$61:$G$68,B768)</f>
        <v/>
      </c>
      <c r="D768">
        <f>INDEX($L$61:$L$68,B768)</f>
        <v/>
      </c>
      <c r="E768">
        <f>INDEX($M$61:$M$68,B768)</f>
        <v/>
      </c>
      <c r="F768">
        <f>INDEX($N$61:$N$68,B768)</f>
        <v/>
      </c>
      <c r="G768">
        <f>INDEX($AA$61:$AA$68,B768)</f>
        <v/>
      </c>
      <c r="H768">
        <f>INDEX($X$61:$X$68,B768)</f>
        <v/>
      </c>
      <c r="I768">
        <f>INDEX($AF$61:$AF$68,B768)</f>
        <v/>
      </c>
      <c r="J768">
        <f>INDEX($AC$61:$AC$68,B768)</f>
        <v/>
      </c>
      <c r="K768">
        <f>INDEX($AD$61:$AD$68,B768)</f>
        <v/>
      </c>
      <c r="L768">
        <f>INDEX($AG$61:$AG$68,B768)</f>
        <v/>
      </c>
      <c r="M768">
        <f>INDEX($AH$61:$AH$68,B768)</f>
        <v/>
      </c>
      <c r="N768">
        <f>INDEX($AI$61:$AI$68,B768)</f>
        <v/>
      </c>
      <c r="O768">
        <f>O767*$B$26+L768*(1-$B$26)</f>
        <v/>
      </c>
      <c r="P768">
        <f>$B$7*(O768-O767)*(1-AS767)</f>
        <v/>
      </c>
      <c r="Q768">
        <f>M768+0.51274*AT767</f>
        <v/>
      </c>
      <c r="R768">
        <f>N768+0.616*AT767</f>
        <v/>
      </c>
      <c r="S768">
        <f>IF($B$13&gt;=0.6,Q768,IF($B$13&lt;=0.2,R768,R768+2.5*(Q768-R768)*($B$13-0.2)))</f>
        <v/>
      </c>
      <c r="T768">
        <f>IF(A768=1,S768,T767*$B$27+S768*(1-$B$27))</f>
        <v/>
      </c>
      <c r="U768">
        <f>0.6105*EXP(17.27*T768/(T768+237.3))</f>
        <v/>
      </c>
      <c r="V768">
        <f>($B$14*(I768*C768+IF(ABS((D768+0.1)-D768)&lt;0.000000001,4*$B$19*$B$20*(D768+273)^3,$B$19*$B$20*(((D768+0.1)+273)^4-(D768+273)^4)/((D768+0.1)-D768))*D768)+T768/H768)/($B$14*(I768+IF(ABS((D768+0.1)-D768)&lt;0.000000001,4*$B$19*$B$20*(D768+273)^3,$B$19*$B$20*(((D768+0.1)+273)^4-(D768+273)^4)/((D768+0.1)-D768)))+1/H768)</f>
        <v/>
      </c>
      <c r="W768">
        <f>($B$14*(I768*C768+IF(ABS(V768-D768)&lt;0.000000001,4*$B$19*$B$20*(D768+273)^3,$B$19*$B$20*((V768+273)^4-(D768+273)^4)/(V768-D768))*D768)+T768/H768)/($B$14*(I768+IF(ABS(V768-D768)&lt;0.000000001,4*$B$19*$B$20*(D768+273)^3,$B$19*$B$20*((V768+273)^4-(D768+273)^4)/(V768-D768)))+1/H768)</f>
        <v/>
      </c>
      <c r="X768">
        <f>($B$14*(I768*C768+IF(ABS(W768-D768)&lt;0.000000001,4*$B$19*$B$20*(D768+273)^3,$B$19*$B$20*((W768+273)^4-(D768+273)^4)/(W768-D768))*D768)+T768/H768)/($B$14*(I768+IF(ABS(W768-D768)&lt;0.000000001,4*$B$19*$B$20*(D768+273)^3,$B$19*$B$20*((W768+273)^4-(D768+273)^4)/(W768-D768)))+1/H768)</f>
        <v/>
      </c>
      <c r="Y768">
        <f>($B$14*(I768*C768+IF(ABS(X768-D768)&lt;0.000000001,4*$B$19*$B$20*(D768+273)^3,$B$19*$B$20*((X768+273)^4-(D768+273)^4)/(X768-D768))*D768)+T768/H768)/($B$14*(I768+IF(ABS(X768-D768)&lt;0.000000001,4*$B$19*$B$20*(D768+273)^3,$B$19*$B$20*((X768+273)^4-(D768+273)^4)/(X768-D768)))+1/H768)</f>
        <v/>
      </c>
      <c r="Z768">
        <f>IF(ABS(Y768-D768)&lt;0.000000001,4*$B$19*$B$20*(D768+273)^3,$B$19*$B$20*((Y768+273)^4-(D768+273)^4)/(Y768-D768))</f>
        <v/>
      </c>
      <c r="AA768">
        <f>$B$14*I768*(Y768-C768)</f>
        <v/>
      </c>
      <c r="AB768">
        <f>$B$14*Z768*(Y768-D768)</f>
        <v/>
      </c>
      <c r="AC768">
        <f>IF((U768-E768)/G768=0,0.001,(U768-E768)/G768)</f>
        <v/>
      </c>
      <c r="AD768">
        <f>F768-P768-J768-K768-AA768-AB768</f>
        <v/>
      </c>
      <c r="AE768">
        <f>AD768/AC768</f>
        <v/>
      </c>
      <c r="AF768">
        <f>IF(AD768&lt;=0,0,IF(AC768&lt;=0,$B$11,IF(AE768&gt;=1.7,$B$11,MIN(AD768/MAX(0.05,IF(AE768&gt;1,(2-AE768)^2/2,1-AE768^2/2)),$B$11))))</f>
        <v/>
      </c>
      <c r="AG768">
        <f>AG767*$B$28+AF768*(1-$B$28)</f>
        <v/>
      </c>
      <c r="AH768">
        <f>IF(AND(AD768&gt;0,AC768&lt;=0),0,AC768)</f>
        <v/>
      </c>
      <c r="AI768">
        <f>AH768/MAX(AG768,0.000001)</f>
        <v/>
      </c>
      <c r="AJ768">
        <f>MIN(IF(AI768&gt;=0.5,-AI768+SQRT(AI768^2+2),1),$B$12)</f>
        <v/>
      </c>
      <c r="AK768">
        <f>IF(AG768&lt;=0,0,AJ768*AH768)</f>
        <v/>
      </c>
      <c r="AL768">
        <f>IF(AD768&lt;=0,0,AD768)</f>
        <v/>
      </c>
      <c r="AM768">
        <f>AL768-AK768+P768</f>
        <v/>
      </c>
      <c r="AN768">
        <f>((AM768/$B$7+T767*AS767/2-T768*MAX(0.1,MIN(0.3,0.3-0.09*(AR767-36.8)))/2)+AR767*(1-AS767/2))/(1-MAX(0.1,MIN(0.3,0.3-0.09*(AR767-36.8)))/2)</f>
        <v/>
      </c>
      <c r="AO768">
        <f>((AM768/$B$7+T767*AS767/2-T768*MAX(0.1,MIN(0.3,0.3-0.09*(AN768-36.8)))/2)+AR767*(1-AS767/2))/(1-MAX(0.1,MIN(0.3,0.3-0.09*(AN768-36.8)))/2)</f>
        <v/>
      </c>
      <c r="AP768">
        <f>((AM768/$B$7+T767*AS767/2-T768*MAX(0.1,MIN(0.3,0.3-0.09*(AO768-36.8)))/2)+AR767*(1-AS767/2))/(1-MAX(0.1,MIN(0.3,0.3-0.09*(AO768-36.8)))/2)</f>
        <v/>
      </c>
      <c r="AQ768">
        <f>((AM768/$B$7+T767*AS767/2-T768*MAX(0.1,MIN(0.3,0.3-0.09*(AP768-36.8)))/2)+AR767*(1-AS767/2))/(1-MAX(0.1,MIN(0.3,0.3-0.09*(AP768-36.8)))/2)</f>
        <v/>
      </c>
      <c r="AR768">
        <f>((AM768/$B$7+T767*AS767/2-T768*MAX(0.1,MIN(0.3,0.3-0.09*(AQ768-36.8)))/2)+AR767*(1-AS767/2))/(1-MAX(0.1,MIN(0.3,0.3-0.09*(AQ768-36.8)))/2)</f>
        <v/>
      </c>
      <c r="AS768">
        <f>MAX(0.1,MIN(0.3,0.3-0.09*(AR768-36.8)))</f>
        <v/>
      </c>
      <c r="AT768">
        <f>AT767+(2*AR768-1.962*AT767-1.31)/9</f>
        <v/>
      </c>
      <c r="AU768">
        <f>AU767+AG768+K768</f>
        <v/>
      </c>
      <c r="AV768">
        <f>AU768*2.67*$B$6/1.8/60</f>
        <v/>
      </c>
      <c r="AW768">
        <f>IF(AT768&gt;=$B$36,1,0)</f>
        <v/>
      </c>
      <c r="AX768">
        <f>IF(AV768&gt;=$B$21,1,0)</f>
        <v/>
      </c>
    </row>
    <row r="769">
      <c r="A769" t="n">
        <v>696</v>
      </c>
      <c r="B769">
        <f>MATCH(A769-1,$D$61:$D$68,1)</f>
        <v/>
      </c>
      <c r="C769">
        <f>INDEX($G$61:$G$68,B769)</f>
        <v/>
      </c>
      <c r="D769">
        <f>INDEX($L$61:$L$68,B769)</f>
        <v/>
      </c>
      <c r="E769">
        <f>INDEX($M$61:$M$68,B769)</f>
        <v/>
      </c>
      <c r="F769">
        <f>INDEX($N$61:$N$68,B769)</f>
        <v/>
      </c>
      <c r="G769">
        <f>INDEX($AA$61:$AA$68,B769)</f>
        <v/>
      </c>
      <c r="H769">
        <f>INDEX($X$61:$X$68,B769)</f>
        <v/>
      </c>
      <c r="I769">
        <f>INDEX($AF$61:$AF$68,B769)</f>
        <v/>
      </c>
      <c r="J769">
        <f>INDEX($AC$61:$AC$68,B769)</f>
        <v/>
      </c>
      <c r="K769">
        <f>INDEX($AD$61:$AD$68,B769)</f>
        <v/>
      </c>
      <c r="L769">
        <f>INDEX($AG$61:$AG$68,B769)</f>
        <v/>
      </c>
      <c r="M769">
        <f>INDEX($AH$61:$AH$68,B769)</f>
        <v/>
      </c>
      <c r="N769">
        <f>INDEX($AI$61:$AI$68,B769)</f>
        <v/>
      </c>
      <c r="O769">
        <f>O768*$B$26+L769*(1-$B$26)</f>
        <v/>
      </c>
      <c r="P769">
        <f>$B$7*(O769-O768)*(1-AS768)</f>
        <v/>
      </c>
      <c r="Q769">
        <f>M769+0.51274*AT768</f>
        <v/>
      </c>
      <c r="R769">
        <f>N769+0.616*AT768</f>
        <v/>
      </c>
      <c r="S769">
        <f>IF($B$13&gt;=0.6,Q769,IF($B$13&lt;=0.2,R769,R769+2.5*(Q769-R769)*($B$13-0.2)))</f>
        <v/>
      </c>
      <c r="T769">
        <f>IF(A769=1,S769,T768*$B$27+S769*(1-$B$27))</f>
        <v/>
      </c>
      <c r="U769">
        <f>0.6105*EXP(17.27*T769/(T769+237.3))</f>
        <v/>
      </c>
      <c r="V769">
        <f>($B$14*(I769*C769+IF(ABS((D769+0.1)-D769)&lt;0.000000001,4*$B$19*$B$20*(D769+273)^3,$B$19*$B$20*(((D769+0.1)+273)^4-(D769+273)^4)/((D769+0.1)-D769))*D769)+T769/H769)/($B$14*(I769+IF(ABS((D769+0.1)-D769)&lt;0.000000001,4*$B$19*$B$20*(D769+273)^3,$B$19*$B$20*(((D769+0.1)+273)^4-(D769+273)^4)/((D769+0.1)-D769)))+1/H769)</f>
        <v/>
      </c>
      <c r="W769">
        <f>($B$14*(I769*C769+IF(ABS(V769-D769)&lt;0.000000001,4*$B$19*$B$20*(D769+273)^3,$B$19*$B$20*((V769+273)^4-(D769+273)^4)/(V769-D769))*D769)+T769/H769)/($B$14*(I769+IF(ABS(V769-D769)&lt;0.000000001,4*$B$19*$B$20*(D769+273)^3,$B$19*$B$20*((V769+273)^4-(D769+273)^4)/(V769-D769)))+1/H769)</f>
        <v/>
      </c>
      <c r="X769">
        <f>($B$14*(I769*C769+IF(ABS(W769-D769)&lt;0.000000001,4*$B$19*$B$20*(D769+273)^3,$B$19*$B$20*((W769+273)^4-(D769+273)^4)/(W769-D769))*D769)+T769/H769)/($B$14*(I769+IF(ABS(W769-D769)&lt;0.000000001,4*$B$19*$B$20*(D769+273)^3,$B$19*$B$20*((W769+273)^4-(D769+273)^4)/(W769-D769)))+1/H769)</f>
        <v/>
      </c>
      <c r="Y769">
        <f>($B$14*(I769*C769+IF(ABS(X769-D769)&lt;0.000000001,4*$B$19*$B$20*(D769+273)^3,$B$19*$B$20*((X769+273)^4-(D769+273)^4)/(X769-D769))*D769)+T769/H769)/($B$14*(I769+IF(ABS(X769-D769)&lt;0.000000001,4*$B$19*$B$20*(D769+273)^3,$B$19*$B$20*((X769+273)^4-(D769+273)^4)/(X769-D769)))+1/H769)</f>
        <v/>
      </c>
      <c r="Z769">
        <f>IF(ABS(Y769-D769)&lt;0.000000001,4*$B$19*$B$20*(D769+273)^3,$B$19*$B$20*((Y769+273)^4-(D769+273)^4)/(Y769-D769))</f>
        <v/>
      </c>
      <c r="AA769">
        <f>$B$14*I769*(Y769-C769)</f>
        <v/>
      </c>
      <c r="AB769">
        <f>$B$14*Z769*(Y769-D769)</f>
        <v/>
      </c>
      <c r="AC769">
        <f>IF((U769-E769)/G769=0,0.001,(U769-E769)/G769)</f>
        <v/>
      </c>
      <c r="AD769">
        <f>F769-P769-J769-K769-AA769-AB769</f>
        <v/>
      </c>
      <c r="AE769">
        <f>AD769/AC769</f>
        <v/>
      </c>
      <c r="AF769">
        <f>IF(AD769&lt;=0,0,IF(AC769&lt;=0,$B$11,IF(AE769&gt;=1.7,$B$11,MIN(AD769/MAX(0.05,IF(AE769&gt;1,(2-AE769)^2/2,1-AE769^2/2)),$B$11))))</f>
        <v/>
      </c>
      <c r="AG769">
        <f>AG768*$B$28+AF769*(1-$B$28)</f>
        <v/>
      </c>
      <c r="AH769">
        <f>IF(AND(AD769&gt;0,AC769&lt;=0),0,AC769)</f>
        <v/>
      </c>
      <c r="AI769">
        <f>AH769/MAX(AG769,0.000001)</f>
        <v/>
      </c>
      <c r="AJ769">
        <f>MIN(IF(AI769&gt;=0.5,-AI769+SQRT(AI769^2+2),1),$B$12)</f>
        <v/>
      </c>
      <c r="AK769">
        <f>IF(AG769&lt;=0,0,AJ769*AH769)</f>
        <v/>
      </c>
      <c r="AL769">
        <f>IF(AD769&lt;=0,0,AD769)</f>
        <v/>
      </c>
      <c r="AM769">
        <f>AL769-AK769+P769</f>
        <v/>
      </c>
      <c r="AN769">
        <f>((AM769/$B$7+T768*AS768/2-T769*MAX(0.1,MIN(0.3,0.3-0.09*(AR768-36.8)))/2)+AR768*(1-AS768/2))/(1-MAX(0.1,MIN(0.3,0.3-0.09*(AR768-36.8)))/2)</f>
        <v/>
      </c>
      <c r="AO769">
        <f>((AM769/$B$7+T768*AS768/2-T769*MAX(0.1,MIN(0.3,0.3-0.09*(AN769-36.8)))/2)+AR768*(1-AS768/2))/(1-MAX(0.1,MIN(0.3,0.3-0.09*(AN769-36.8)))/2)</f>
        <v/>
      </c>
      <c r="AP769">
        <f>((AM769/$B$7+T768*AS768/2-T769*MAX(0.1,MIN(0.3,0.3-0.09*(AO769-36.8)))/2)+AR768*(1-AS768/2))/(1-MAX(0.1,MIN(0.3,0.3-0.09*(AO769-36.8)))/2)</f>
        <v/>
      </c>
      <c r="AQ769">
        <f>((AM769/$B$7+T768*AS768/2-T769*MAX(0.1,MIN(0.3,0.3-0.09*(AP769-36.8)))/2)+AR768*(1-AS768/2))/(1-MAX(0.1,MIN(0.3,0.3-0.09*(AP769-36.8)))/2)</f>
        <v/>
      </c>
      <c r="AR769">
        <f>((AM769/$B$7+T768*AS768/2-T769*MAX(0.1,MIN(0.3,0.3-0.09*(AQ769-36.8)))/2)+AR768*(1-AS768/2))/(1-MAX(0.1,MIN(0.3,0.3-0.09*(AQ769-36.8)))/2)</f>
        <v/>
      </c>
      <c r="AS769">
        <f>MAX(0.1,MIN(0.3,0.3-0.09*(AR769-36.8)))</f>
        <v/>
      </c>
      <c r="AT769">
        <f>AT768+(2*AR769-1.962*AT768-1.31)/9</f>
        <v/>
      </c>
      <c r="AU769">
        <f>AU768+AG769+K769</f>
        <v/>
      </c>
      <c r="AV769">
        <f>AU769*2.67*$B$6/1.8/60</f>
        <v/>
      </c>
      <c r="AW769">
        <f>IF(AT769&gt;=$B$36,1,0)</f>
        <v/>
      </c>
      <c r="AX769">
        <f>IF(AV769&gt;=$B$21,1,0)</f>
        <v/>
      </c>
    </row>
    <row r="770">
      <c r="A770" t="n">
        <v>697</v>
      </c>
      <c r="B770">
        <f>MATCH(A770-1,$D$61:$D$68,1)</f>
        <v/>
      </c>
      <c r="C770">
        <f>INDEX($G$61:$G$68,B770)</f>
        <v/>
      </c>
      <c r="D770">
        <f>INDEX($L$61:$L$68,B770)</f>
        <v/>
      </c>
      <c r="E770">
        <f>INDEX($M$61:$M$68,B770)</f>
        <v/>
      </c>
      <c r="F770">
        <f>INDEX($N$61:$N$68,B770)</f>
        <v/>
      </c>
      <c r="G770">
        <f>INDEX($AA$61:$AA$68,B770)</f>
        <v/>
      </c>
      <c r="H770">
        <f>INDEX($X$61:$X$68,B770)</f>
        <v/>
      </c>
      <c r="I770">
        <f>INDEX($AF$61:$AF$68,B770)</f>
        <v/>
      </c>
      <c r="J770">
        <f>INDEX($AC$61:$AC$68,B770)</f>
        <v/>
      </c>
      <c r="K770">
        <f>INDEX($AD$61:$AD$68,B770)</f>
        <v/>
      </c>
      <c r="L770">
        <f>INDEX($AG$61:$AG$68,B770)</f>
        <v/>
      </c>
      <c r="M770">
        <f>INDEX($AH$61:$AH$68,B770)</f>
        <v/>
      </c>
      <c r="N770">
        <f>INDEX($AI$61:$AI$68,B770)</f>
        <v/>
      </c>
      <c r="O770">
        <f>O769*$B$26+L770*(1-$B$26)</f>
        <v/>
      </c>
      <c r="P770">
        <f>$B$7*(O770-O769)*(1-AS769)</f>
        <v/>
      </c>
      <c r="Q770">
        <f>M770+0.51274*AT769</f>
        <v/>
      </c>
      <c r="R770">
        <f>N770+0.616*AT769</f>
        <v/>
      </c>
      <c r="S770">
        <f>IF($B$13&gt;=0.6,Q770,IF($B$13&lt;=0.2,R770,R770+2.5*(Q770-R770)*($B$13-0.2)))</f>
        <v/>
      </c>
      <c r="T770">
        <f>IF(A770=1,S770,T769*$B$27+S770*(1-$B$27))</f>
        <v/>
      </c>
      <c r="U770">
        <f>0.6105*EXP(17.27*T770/(T770+237.3))</f>
        <v/>
      </c>
      <c r="V770">
        <f>($B$14*(I770*C770+IF(ABS((D770+0.1)-D770)&lt;0.000000001,4*$B$19*$B$20*(D770+273)^3,$B$19*$B$20*(((D770+0.1)+273)^4-(D770+273)^4)/((D770+0.1)-D770))*D770)+T770/H770)/($B$14*(I770+IF(ABS((D770+0.1)-D770)&lt;0.000000001,4*$B$19*$B$20*(D770+273)^3,$B$19*$B$20*(((D770+0.1)+273)^4-(D770+273)^4)/((D770+0.1)-D770)))+1/H770)</f>
        <v/>
      </c>
      <c r="W770">
        <f>($B$14*(I770*C770+IF(ABS(V770-D770)&lt;0.000000001,4*$B$19*$B$20*(D770+273)^3,$B$19*$B$20*((V770+273)^4-(D770+273)^4)/(V770-D770))*D770)+T770/H770)/($B$14*(I770+IF(ABS(V770-D770)&lt;0.000000001,4*$B$19*$B$20*(D770+273)^3,$B$19*$B$20*((V770+273)^4-(D770+273)^4)/(V770-D770)))+1/H770)</f>
        <v/>
      </c>
      <c r="X770">
        <f>($B$14*(I770*C770+IF(ABS(W770-D770)&lt;0.000000001,4*$B$19*$B$20*(D770+273)^3,$B$19*$B$20*((W770+273)^4-(D770+273)^4)/(W770-D770))*D770)+T770/H770)/($B$14*(I770+IF(ABS(W770-D770)&lt;0.000000001,4*$B$19*$B$20*(D770+273)^3,$B$19*$B$20*((W770+273)^4-(D770+273)^4)/(W770-D770)))+1/H770)</f>
        <v/>
      </c>
      <c r="Y770">
        <f>($B$14*(I770*C770+IF(ABS(X770-D770)&lt;0.000000001,4*$B$19*$B$20*(D770+273)^3,$B$19*$B$20*((X770+273)^4-(D770+273)^4)/(X770-D770))*D770)+T770/H770)/($B$14*(I770+IF(ABS(X770-D770)&lt;0.000000001,4*$B$19*$B$20*(D770+273)^3,$B$19*$B$20*((X770+273)^4-(D770+273)^4)/(X770-D770)))+1/H770)</f>
        <v/>
      </c>
      <c r="Z770">
        <f>IF(ABS(Y770-D770)&lt;0.000000001,4*$B$19*$B$20*(D770+273)^3,$B$19*$B$20*((Y770+273)^4-(D770+273)^4)/(Y770-D770))</f>
        <v/>
      </c>
      <c r="AA770">
        <f>$B$14*I770*(Y770-C770)</f>
        <v/>
      </c>
      <c r="AB770">
        <f>$B$14*Z770*(Y770-D770)</f>
        <v/>
      </c>
      <c r="AC770">
        <f>IF((U770-E770)/G770=0,0.001,(U770-E770)/G770)</f>
        <v/>
      </c>
      <c r="AD770">
        <f>F770-P770-J770-K770-AA770-AB770</f>
        <v/>
      </c>
      <c r="AE770">
        <f>AD770/AC770</f>
        <v/>
      </c>
      <c r="AF770">
        <f>IF(AD770&lt;=0,0,IF(AC770&lt;=0,$B$11,IF(AE770&gt;=1.7,$B$11,MIN(AD770/MAX(0.05,IF(AE770&gt;1,(2-AE770)^2/2,1-AE770^2/2)),$B$11))))</f>
        <v/>
      </c>
      <c r="AG770">
        <f>AG769*$B$28+AF770*(1-$B$28)</f>
        <v/>
      </c>
      <c r="AH770">
        <f>IF(AND(AD770&gt;0,AC770&lt;=0),0,AC770)</f>
        <v/>
      </c>
      <c r="AI770">
        <f>AH770/MAX(AG770,0.000001)</f>
        <v/>
      </c>
      <c r="AJ770">
        <f>MIN(IF(AI770&gt;=0.5,-AI770+SQRT(AI770^2+2),1),$B$12)</f>
        <v/>
      </c>
      <c r="AK770">
        <f>IF(AG770&lt;=0,0,AJ770*AH770)</f>
        <v/>
      </c>
      <c r="AL770">
        <f>IF(AD770&lt;=0,0,AD770)</f>
        <v/>
      </c>
      <c r="AM770">
        <f>AL770-AK770+P770</f>
        <v/>
      </c>
      <c r="AN770">
        <f>((AM770/$B$7+T769*AS769/2-T770*MAX(0.1,MIN(0.3,0.3-0.09*(AR769-36.8)))/2)+AR769*(1-AS769/2))/(1-MAX(0.1,MIN(0.3,0.3-0.09*(AR769-36.8)))/2)</f>
        <v/>
      </c>
      <c r="AO770">
        <f>((AM770/$B$7+T769*AS769/2-T770*MAX(0.1,MIN(0.3,0.3-0.09*(AN770-36.8)))/2)+AR769*(1-AS769/2))/(1-MAX(0.1,MIN(0.3,0.3-0.09*(AN770-36.8)))/2)</f>
        <v/>
      </c>
      <c r="AP770">
        <f>((AM770/$B$7+T769*AS769/2-T770*MAX(0.1,MIN(0.3,0.3-0.09*(AO770-36.8)))/2)+AR769*(1-AS769/2))/(1-MAX(0.1,MIN(0.3,0.3-0.09*(AO770-36.8)))/2)</f>
        <v/>
      </c>
      <c r="AQ770">
        <f>((AM770/$B$7+T769*AS769/2-T770*MAX(0.1,MIN(0.3,0.3-0.09*(AP770-36.8)))/2)+AR769*(1-AS769/2))/(1-MAX(0.1,MIN(0.3,0.3-0.09*(AP770-36.8)))/2)</f>
        <v/>
      </c>
      <c r="AR770">
        <f>((AM770/$B$7+T769*AS769/2-T770*MAX(0.1,MIN(0.3,0.3-0.09*(AQ770-36.8)))/2)+AR769*(1-AS769/2))/(1-MAX(0.1,MIN(0.3,0.3-0.09*(AQ770-36.8)))/2)</f>
        <v/>
      </c>
      <c r="AS770">
        <f>MAX(0.1,MIN(0.3,0.3-0.09*(AR770-36.8)))</f>
        <v/>
      </c>
      <c r="AT770">
        <f>AT769+(2*AR770-1.962*AT769-1.31)/9</f>
        <v/>
      </c>
      <c r="AU770">
        <f>AU769+AG770+K770</f>
        <v/>
      </c>
      <c r="AV770">
        <f>AU770*2.67*$B$6/1.8/60</f>
        <v/>
      </c>
      <c r="AW770">
        <f>IF(AT770&gt;=$B$36,1,0)</f>
        <v/>
      </c>
      <c r="AX770">
        <f>IF(AV770&gt;=$B$21,1,0)</f>
        <v/>
      </c>
    </row>
    <row r="771">
      <c r="A771" t="n">
        <v>698</v>
      </c>
      <c r="B771">
        <f>MATCH(A771-1,$D$61:$D$68,1)</f>
        <v/>
      </c>
      <c r="C771">
        <f>INDEX($G$61:$G$68,B771)</f>
        <v/>
      </c>
      <c r="D771">
        <f>INDEX($L$61:$L$68,B771)</f>
        <v/>
      </c>
      <c r="E771">
        <f>INDEX($M$61:$M$68,B771)</f>
        <v/>
      </c>
      <c r="F771">
        <f>INDEX($N$61:$N$68,B771)</f>
        <v/>
      </c>
      <c r="G771">
        <f>INDEX($AA$61:$AA$68,B771)</f>
        <v/>
      </c>
      <c r="H771">
        <f>INDEX($X$61:$X$68,B771)</f>
        <v/>
      </c>
      <c r="I771">
        <f>INDEX($AF$61:$AF$68,B771)</f>
        <v/>
      </c>
      <c r="J771">
        <f>INDEX($AC$61:$AC$68,B771)</f>
        <v/>
      </c>
      <c r="K771">
        <f>INDEX($AD$61:$AD$68,B771)</f>
        <v/>
      </c>
      <c r="L771">
        <f>INDEX($AG$61:$AG$68,B771)</f>
        <v/>
      </c>
      <c r="M771">
        <f>INDEX($AH$61:$AH$68,B771)</f>
        <v/>
      </c>
      <c r="N771">
        <f>INDEX($AI$61:$AI$68,B771)</f>
        <v/>
      </c>
      <c r="O771">
        <f>O770*$B$26+L771*(1-$B$26)</f>
        <v/>
      </c>
      <c r="P771">
        <f>$B$7*(O771-O770)*(1-AS770)</f>
        <v/>
      </c>
      <c r="Q771">
        <f>M771+0.51274*AT770</f>
        <v/>
      </c>
      <c r="R771">
        <f>N771+0.616*AT770</f>
        <v/>
      </c>
      <c r="S771">
        <f>IF($B$13&gt;=0.6,Q771,IF($B$13&lt;=0.2,R771,R771+2.5*(Q771-R771)*($B$13-0.2)))</f>
        <v/>
      </c>
      <c r="T771">
        <f>IF(A771=1,S771,T770*$B$27+S771*(1-$B$27))</f>
        <v/>
      </c>
      <c r="U771">
        <f>0.6105*EXP(17.27*T771/(T771+237.3))</f>
        <v/>
      </c>
      <c r="V771">
        <f>($B$14*(I771*C771+IF(ABS((D771+0.1)-D771)&lt;0.000000001,4*$B$19*$B$20*(D771+273)^3,$B$19*$B$20*(((D771+0.1)+273)^4-(D771+273)^4)/((D771+0.1)-D771))*D771)+T771/H771)/($B$14*(I771+IF(ABS((D771+0.1)-D771)&lt;0.000000001,4*$B$19*$B$20*(D771+273)^3,$B$19*$B$20*(((D771+0.1)+273)^4-(D771+273)^4)/((D771+0.1)-D771)))+1/H771)</f>
        <v/>
      </c>
      <c r="W771">
        <f>($B$14*(I771*C771+IF(ABS(V771-D771)&lt;0.000000001,4*$B$19*$B$20*(D771+273)^3,$B$19*$B$20*((V771+273)^4-(D771+273)^4)/(V771-D771))*D771)+T771/H771)/($B$14*(I771+IF(ABS(V771-D771)&lt;0.000000001,4*$B$19*$B$20*(D771+273)^3,$B$19*$B$20*((V771+273)^4-(D771+273)^4)/(V771-D771)))+1/H771)</f>
        <v/>
      </c>
      <c r="X771">
        <f>($B$14*(I771*C771+IF(ABS(W771-D771)&lt;0.000000001,4*$B$19*$B$20*(D771+273)^3,$B$19*$B$20*((W771+273)^4-(D771+273)^4)/(W771-D771))*D771)+T771/H771)/($B$14*(I771+IF(ABS(W771-D771)&lt;0.000000001,4*$B$19*$B$20*(D771+273)^3,$B$19*$B$20*((W771+273)^4-(D771+273)^4)/(W771-D771)))+1/H771)</f>
        <v/>
      </c>
      <c r="Y771">
        <f>($B$14*(I771*C771+IF(ABS(X771-D771)&lt;0.000000001,4*$B$19*$B$20*(D771+273)^3,$B$19*$B$20*((X771+273)^4-(D771+273)^4)/(X771-D771))*D771)+T771/H771)/($B$14*(I771+IF(ABS(X771-D771)&lt;0.000000001,4*$B$19*$B$20*(D771+273)^3,$B$19*$B$20*((X771+273)^4-(D771+273)^4)/(X771-D771)))+1/H771)</f>
        <v/>
      </c>
      <c r="Z771">
        <f>IF(ABS(Y771-D771)&lt;0.000000001,4*$B$19*$B$20*(D771+273)^3,$B$19*$B$20*((Y771+273)^4-(D771+273)^4)/(Y771-D771))</f>
        <v/>
      </c>
      <c r="AA771">
        <f>$B$14*I771*(Y771-C771)</f>
        <v/>
      </c>
      <c r="AB771">
        <f>$B$14*Z771*(Y771-D771)</f>
        <v/>
      </c>
      <c r="AC771">
        <f>IF((U771-E771)/G771=0,0.001,(U771-E771)/G771)</f>
        <v/>
      </c>
      <c r="AD771">
        <f>F771-P771-J771-K771-AA771-AB771</f>
        <v/>
      </c>
      <c r="AE771">
        <f>AD771/AC771</f>
        <v/>
      </c>
      <c r="AF771">
        <f>IF(AD771&lt;=0,0,IF(AC771&lt;=0,$B$11,IF(AE771&gt;=1.7,$B$11,MIN(AD771/MAX(0.05,IF(AE771&gt;1,(2-AE771)^2/2,1-AE771^2/2)),$B$11))))</f>
        <v/>
      </c>
      <c r="AG771">
        <f>AG770*$B$28+AF771*(1-$B$28)</f>
        <v/>
      </c>
      <c r="AH771">
        <f>IF(AND(AD771&gt;0,AC771&lt;=0),0,AC771)</f>
        <v/>
      </c>
      <c r="AI771">
        <f>AH771/MAX(AG771,0.000001)</f>
        <v/>
      </c>
      <c r="AJ771">
        <f>MIN(IF(AI771&gt;=0.5,-AI771+SQRT(AI771^2+2),1),$B$12)</f>
        <v/>
      </c>
      <c r="AK771">
        <f>IF(AG771&lt;=0,0,AJ771*AH771)</f>
        <v/>
      </c>
      <c r="AL771">
        <f>IF(AD771&lt;=0,0,AD771)</f>
        <v/>
      </c>
      <c r="AM771">
        <f>AL771-AK771+P771</f>
        <v/>
      </c>
      <c r="AN771">
        <f>((AM771/$B$7+T770*AS770/2-T771*MAX(0.1,MIN(0.3,0.3-0.09*(AR770-36.8)))/2)+AR770*(1-AS770/2))/(1-MAX(0.1,MIN(0.3,0.3-0.09*(AR770-36.8)))/2)</f>
        <v/>
      </c>
      <c r="AO771">
        <f>((AM771/$B$7+T770*AS770/2-T771*MAX(0.1,MIN(0.3,0.3-0.09*(AN771-36.8)))/2)+AR770*(1-AS770/2))/(1-MAX(0.1,MIN(0.3,0.3-0.09*(AN771-36.8)))/2)</f>
        <v/>
      </c>
      <c r="AP771">
        <f>((AM771/$B$7+T770*AS770/2-T771*MAX(0.1,MIN(0.3,0.3-0.09*(AO771-36.8)))/2)+AR770*(1-AS770/2))/(1-MAX(0.1,MIN(0.3,0.3-0.09*(AO771-36.8)))/2)</f>
        <v/>
      </c>
      <c r="AQ771">
        <f>((AM771/$B$7+T770*AS770/2-T771*MAX(0.1,MIN(0.3,0.3-0.09*(AP771-36.8)))/2)+AR770*(1-AS770/2))/(1-MAX(0.1,MIN(0.3,0.3-0.09*(AP771-36.8)))/2)</f>
        <v/>
      </c>
      <c r="AR771">
        <f>((AM771/$B$7+T770*AS770/2-T771*MAX(0.1,MIN(0.3,0.3-0.09*(AQ771-36.8)))/2)+AR770*(1-AS770/2))/(1-MAX(0.1,MIN(0.3,0.3-0.09*(AQ771-36.8)))/2)</f>
        <v/>
      </c>
      <c r="AS771">
        <f>MAX(0.1,MIN(0.3,0.3-0.09*(AR771-36.8)))</f>
        <v/>
      </c>
      <c r="AT771">
        <f>AT770+(2*AR771-1.962*AT770-1.31)/9</f>
        <v/>
      </c>
      <c r="AU771">
        <f>AU770+AG771+K771</f>
        <v/>
      </c>
      <c r="AV771">
        <f>AU771*2.67*$B$6/1.8/60</f>
        <v/>
      </c>
      <c r="AW771">
        <f>IF(AT771&gt;=$B$36,1,0)</f>
        <v/>
      </c>
      <c r="AX771">
        <f>IF(AV771&gt;=$B$21,1,0)</f>
        <v/>
      </c>
    </row>
    <row r="772">
      <c r="A772" t="n">
        <v>699</v>
      </c>
      <c r="B772">
        <f>MATCH(A772-1,$D$61:$D$68,1)</f>
        <v/>
      </c>
      <c r="C772">
        <f>INDEX($G$61:$G$68,B772)</f>
        <v/>
      </c>
      <c r="D772">
        <f>INDEX($L$61:$L$68,B772)</f>
        <v/>
      </c>
      <c r="E772">
        <f>INDEX($M$61:$M$68,B772)</f>
        <v/>
      </c>
      <c r="F772">
        <f>INDEX($N$61:$N$68,B772)</f>
        <v/>
      </c>
      <c r="G772">
        <f>INDEX($AA$61:$AA$68,B772)</f>
        <v/>
      </c>
      <c r="H772">
        <f>INDEX($X$61:$X$68,B772)</f>
        <v/>
      </c>
      <c r="I772">
        <f>INDEX($AF$61:$AF$68,B772)</f>
        <v/>
      </c>
      <c r="J772">
        <f>INDEX($AC$61:$AC$68,B772)</f>
        <v/>
      </c>
      <c r="K772">
        <f>INDEX($AD$61:$AD$68,B772)</f>
        <v/>
      </c>
      <c r="L772">
        <f>INDEX($AG$61:$AG$68,B772)</f>
        <v/>
      </c>
      <c r="M772">
        <f>INDEX($AH$61:$AH$68,B772)</f>
        <v/>
      </c>
      <c r="N772">
        <f>INDEX($AI$61:$AI$68,B772)</f>
        <v/>
      </c>
      <c r="O772">
        <f>O771*$B$26+L772*(1-$B$26)</f>
        <v/>
      </c>
      <c r="P772">
        <f>$B$7*(O772-O771)*(1-AS771)</f>
        <v/>
      </c>
      <c r="Q772">
        <f>M772+0.51274*AT771</f>
        <v/>
      </c>
      <c r="R772">
        <f>N772+0.616*AT771</f>
        <v/>
      </c>
      <c r="S772">
        <f>IF($B$13&gt;=0.6,Q772,IF($B$13&lt;=0.2,R772,R772+2.5*(Q772-R772)*($B$13-0.2)))</f>
        <v/>
      </c>
      <c r="T772">
        <f>IF(A772=1,S772,T771*$B$27+S772*(1-$B$27))</f>
        <v/>
      </c>
      <c r="U772">
        <f>0.6105*EXP(17.27*T772/(T772+237.3))</f>
        <v/>
      </c>
      <c r="V772">
        <f>($B$14*(I772*C772+IF(ABS((D772+0.1)-D772)&lt;0.000000001,4*$B$19*$B$20*(D772+273)^3,$B$19*$B$20*(((D772+0.1)+273)^4-(D772+273)^4)/((D772+0.1)-D772))*D772)+T772/H772)/($B$14*(I772+IF(ABS((D772+0.1)-D772)&lt;0.000000001,4*$B$19*$B$20*(D772+273)^3,$B$19*$B$20*(((D772+0.1)+273)^4-(D772+273)^4)/((D772+0.1)-D772)))+1/H772)</f>
        <v/>
      </c>
      <c r="W772">
        <f>($B$14*(I772*C772+IF(ABS(V772-D772)&lt;0.000000001,4*$B$19*$B$20*(D772+273)^3,$B$19*$B$20*((V772+273)^4-(D772+273)^4)/(V772-D772))*D772)+T772/H772)/($B$14*(I772+IF(ABS(V772-D772)&lt;0.000000001,4*$B$19*$B$20*(D772+273)^3,$B$19*$B$20*((V772+273)^4-(D772+273)^4)/(V772-D772)))+1/H772)</f>
        <v/>
      </c>
      <c r="X772">
        <f>($B$14*(I772*C772+IF(ABS(W772-D772)&lt;0.000000001,4*$B$19*$B$20*(D772+273)^3,$B$19*$B$20*((W772+273)^4-(D772+273)^4)/(W772-D772))*D772)+T772/H772)/($B$14*(I772+IF(ABS(W772-D772)&lt;0.000000001,4*$B$19*$B$20*(D772+273)^3,$B$19*$B$20*((W772+273)^4-(D772+273)^4)/(W772-D772)))+1/H772)</f>
        <v/>
      </c>
      <c r="Y772">
        <f>($B$14*(I772*C772+IF(ABS(X772-D772)&lt;0.000000001,4*$B$19*$B$20*(D772+273)^3,$B$19*$B$20*((X772+273)^4-(D772+273)^4)/(X772-D772))*D772)+T772/H772)/($B$14*(I772+IF(ABS(X772-D772)&lt;0.000000001,4*$B$19*$B$20*(D772+273)^3,$B$19*$B$20*((X772+273)^4-(D772+273)^4)/(X772-D772)))+1/H772)</f>
        <v/>
      </c>
      <c r="Z772">
        <f>IF(ABS(Y772-D772)&lt;0.000000001,4*$B$19*$B$20*(D772+273)^3,$B$19*$B$20*((Y772+273)^4-(D772+273)^4)/(Y772-D772))</f>
        <v/>
      </c>
      <c r="AA772">
        <f>$B$14*I772*(Y772-C772)</f>
        <v/>
      </c>
      <c r="AB772">
        <f>$B$14*Z772*(Y772-D772)</f>
        <v/>
      </c>
      <c r="AC772">
        <f>IF((U772-E772)/G772=0,0.001,(U772-E772)/G772)</f>
        <v/>
      </c>
      <c r="AD772">
        <f>F772-P772-J772-K772-AA772-AB772</f>
        <v/>
      </c>
      <c r="AE772">
        <f>AD772/AC772</f>
        <v/>
      </c>
      <c r="AF772">
        <f>IF(AD772&lt;=0,0,IF(AC772&lt;=0,$B$11,IF(AE772&gt;=1.7,$B$11,MIN(AD772/MAX(0.05,IF(AE772&gt;1,(2-AE772)^2/2,1-AE772^2/2)),$B$11))))</f>
        <v/>
      </c>
      <c r="AG772">
        <f>AG771*$B$28+AF772*(1-$B$28)</f>
        <v/>
      </c>
      <c r="AH772">
        <f>IF(AND(AD772&gt;0,AC772&lt;=0),0,AC772)</f>
        <v/>
      </c>
      <c r="AI772">
        <f>AH772/MAX(AG772,0.000001)</f>
        <v/>
      </c>
      <c r="AJ772">
        <f>MIN(IF(AI772&gt;=0.5,-AI772+SQRT(AI772^2+2),1),$B$12)</f>
        <v/>
      </c>
      <c r="AK772">
        <f>IF(AG772&lt;=0,0,AJ772*AH772)</f>
        <v/>
      </c>
      <c r="AL772">
        <f>IF(AD772&lt;=0,0,AD772)</f>
        <v/>
      </c>
      <c r="AM772">
        <f>AL772-AK772+P772</f>
        <v/>
      </c>
      <c r="AN772">
        <f>((AM772/$B$7+T771*AS771/2-T772*MAX(0.1,MIN(0.3,0.3-0.09*(AR771-36.8)))/2)+AR771*(1-AS771/2))/(1-MAX(0.1,MIN(0.3,0.3-0.09*(AR771-36.8)))/2)</f>
        <v/>
      </c>
      <c r="AO772">
        <f>((AM772/$B$7+T771*AS771/2-T772*MAX(0.1,MIN(0.3,0.3-0.09*(AN772-36.8)))/2)+AR771*(1-AS771/2))/(1-MAX(0.1,MIN(0.3,0.3-0.09*(AN772-36.8)))/2)</f>
        <v/>
      </c>
      <c r="AP772">
        <f>((AM772/$B$7+T771*AS771/2-T772*MAX(0.1,MIN(0.3,0.3-0.09*(AO772-36.8)))/2)+AR771*(1-AS771/2))/(1-MAX(0.1,MIN(0.3,0.3-0.09*(AO772-36.8)))/2)</f>
        <v/>
      </c>
      <c r="AQ772">
        <f>((AM772/$B$7+T771*AS771/2-T772*MAX(0.1,MIN(0.3,0.3-0.09*(AP772-36.8)))/2)+AR771*(1-AS771/2))/(1-MAX(0.1,MIN(0.3,0.3-0.09*(AP772-36.8)))/2)</f>
        <v/>
      </c>
      <c r="AR772">
        <f>((AM772/$B$7+T771*AS771/2-T772*MAX(0.1,MIN(0.3,0.3-0.09*(AQ772-36.8)))/2)+AR771*(1-AS771/2))/(1-MAX(0.1,MIN(0.3,0.3-0.09*(AQ772-36.8)))/2)</f>
        <v/>
      </c>
      <c r="AS772">
        <f>MAX(0.1,MIN(0.3,0.3-0.09*(AR772-36.8)))</f>
        <v/>
      </c>
      <c r="AT772">
        <f>AT771+(2*AR772-1.962*AT771-1.31)/9</f>
        <v/>
      </c>
      <c r="AU772">
        <f>AU771+AG772+K772</f>
        <v/>
      </c>
      <c r="AV772">
        <f>AU772*2.67*$B$6/1.8/60</f>
        <v/>
      </c>
      <c r="AW772">
        <f>IF(AT772&gt;=$B$36,1,0)</f>
        <v/>
      </c>
      <c r="AX772">
        <f>IF(AV772&gt;=$B$21,1,0)</f>
        <v/>
      </c>
    </row>
    <row r="773">
      <c r="A773" t="n">
        <v>700</v>
      </c>
      <c r="B773">
        <f>MATCH(A773-1,$D$61:$D$68,1)</f>
        <v/>
      </c>
      <c r="C773">
        <f>INDEX($G$61:$G$68,B773)</f>
        <v/>
      </c>
      <c r="D773">
        <f>INDEX($L$61:$L$68,B773)</f>
        <v/>
      </c>
      <c r="E773">
        <f>INDEX($M$61:$M$68,B773)</f>
        <v/>
      </c>
      <c r="F773">
        <f>INDEX($N$61:$N$68,B773)</f>
        <v/>
      </c>
      <c r="G773">
        <f>INDEX($AA$61:$AA$68,B773)</f>
        <v/>
      </c>
      <c r="H773">
        <f>INDEX($X$61:$X$68,B773)</f>
        <v/>
      </c>
      <c r="I773">
        <f>INDEX($AF$61:$AF$68,B773)</f>
        <v/>
      </c>
      <c r="J773">
        <f>INDEX($AC$61:$AC$68,B773)</f>
        <v/>
      </c>
      <c r="K773">
        <f>INDEX($AD$61:$AD$68,B773)</f>
        <v/>
      </c>
      <c r="L773">
        <f>INDEX($AG$61:$AG$68,B773)</f>
        <v/>
      </c>
      <c r="M773">
        <f>INDEX($AH$61:$AH$68,B773)</f>
        <v/>
      </c>
      <c r="N773">
        <f>INDEX($AI$61:$AI$68,B773)</f>
        <v/>
      </c>
      <c r="O773">
        <f>O772*$B$26+L773*(1-$B$26)</f>
        <v/>
      </c>
      <c r="P773">
        <f>$B$7*(O773-O772)*(1-AS772)</f>
        <v/>
      </c>
      <c r="Q773">
        <f>M773+0.51274*AT772</f>
        <v/>
      </c>
      <c r="R773">
        <f>N773+0.616*AT772</f>
        <v/>
      </c>
      <c r="S773">
        <f>IF($B$13&gt;=0.6,Q773,IF($B$13&lt;=0.2,R773,R773+2.5*(Q773-R773)*($B$13-0.2)))</f>
        <v/>
      </c>
      <c r="T773">
        <f>IF(A773=1,S773,T772*$B$27+S773*(1-$B$27))</f>
        <v/>
      </c>
      <c r="U773">
        <f>0.6105*EXP(17.27*T773/(T773+237.3))</f>
        <v/>
      </c>
      <c r="V773">
        <f>($B$14*(I773*C773+IF(ABS((D773+0.1)-D773)&lt;0.000000001,4*$B$19*$B$20*(D773+273)^3,$B$19*$B$20*(((D773+0.1)+273)^4-(D773+273)^4)/((D773+0.1)-D773))*D773)+T773/H773)/($B$14*(I773+IF(ABS((D773+0.1)-D773)&lt;0.000000001,4*$B$19*$B$20*(D773+273)^3,$B$19*$B$20*(((D773+0.1)+273)^4-(D773+273)^4)/((D773+0.1)-D773)))+1/H773)</f>
        <v/>
      </c>
      <c r="W773">
        <f>($B$14*(I773*C773+IF(ABS(V773-D773)&lt;0.000000001,4*$B$19*$B$20*(D773+273)^3,$B$19*$B$20*((V773+273)^4-(D773+273)^4)/(V773-D773))*D773)+T773/H773)/($B$14*(I773+IF(ABS(V773-D773)&lt;0.000000001,4*$B$19*$B$20*(D773+273)^3,$B$19*$B$20*((V773+273)^4-(D773+273)^4)/(V773-D773)))+1/H773)</f>
        <v/>
      </c>
      <c r="X773">
        <f>($B$14*(I773*C773+IF(ABS(W773-D773)&lt;0.000000001,4*$B$19*$B$20*(D773+273)^3,$B$19*$B$20*((W773+273)^4-(D773+273)^4)/(W773-D773))*D773)+T773/H773)/($B$14*(I773+IF(ABS(W773-D773)&lt;0.000000001,4*$B$19*$B$20*(D773+273)^3,$B$19*$B$20*((W773+273)^4-(D773+273)^4)/(W773-D773)))+1/H773)</f>
        <v/>
      </c>
      <c r="Y773">
        <f>($B$14*(I773*C773+IF(ABS(X773-D773)&lt;0.000000001,4*$B$19*$B$20*(D773+273)^3,$B$19*$B$20*((X773+273)^4-(D773+273)^4)/(X773-D773))*D773)+T773/H773)/($B$14*(I773+IF(ABS(X773-D773)&lt;0.000000001,4*$B$19*$B$20*(D773+273)^3,$B$19*$B$20*((X773+273)^4-(D773+273)^4)/(X773-D773)))+1/H773)</f>
        <v/>
      </c>
      <c r="Z773">
        <f>IF(ABS(Y773-D773)&lt;0.000000001,4*$B$19*$B$20*(D773+273)^3,$B$19*$B$20*((Y773+273)^4-(D773+273)^4)/(Y773-D773))</f>
        <v/>
      </c>
      <c r="AA773">
        <f>$B$14*I773*(Y773-C773)</f>
        <v/>
      </c>
      <c r="AB773">
        <f>$B$14*Z773*(Y773-D773)</f>
        <v/>
      </c>
      <c r="AC773">
        <f>IF((U773-E773)/G773=0,0.001,(U773-E773)/G773)</f>
        <v/>
      </c>
      <c r="AD773">
        <f>F773-P773-J773-K773-AA773-AB773</f>
        <v/>
      </c>
      <c r="AE773">
        <f>AD773/AC773</f>
        <v/>
      </c>
      <c r="AF773">
        <f>IF(AD773&lt;=0,0,IF(AC773&lt;=0,$B$11,IF(AE773&gt;=1.7,$B$11,MIN(AD773/MAX(0.05,IF(AE773&gt;1,(2-AE773)^2/2,1-AE773^2/2)),$B$11))))</f>
        <v/>
      </c>
      <c r="AG773">
        <f>AG772*$B$28+AF773*(1-$B$28)</f>
        <v/>
      </c>
      <c r="AH773">
        <f>IF(AND(AD773&gt;0,AC773&lt;=0),0,AC773)</f>
        <v/>
      </c>
      <c r="AI773">
        <f>AH773/MAX(AG773,0.000001)</f>
        <v/>
      </c>
      <c r="AJ773">
        <f>MIN(IF(AI773&gt;=0.5,-AI773+SQRT(AI773^2+2),1),$B$12)</f>
        <v/>
      </c>
      <c r="AK773">
        <f>IF(AG773&lt;=0,0,AJ773*AH773)</f>
        <v/>
      </c>
      <c r="AL773">
        <f>IF(AD773&lt;=0,0,AD773)</f>
        <v/>
      </c>
      <c r="AM773">
        <f>AL773-AK773+P773</f>
        <v/>
      </c>
      <c r="AN773">
        <f>((AM773/$B$7+T772*AS772/2-T773*MAX(0.1,MIN(0.3,0.3-0.09*(AR772-36.8)))/2)+AR772*(1-AS772/2))/(1-MAX(0.1,MIN(0.3,0.3-0.09*(AR772-36.8)))/2)</f>
        <v/>
      </c>
      <c r="AO773">
        <f>((AM773/$B$7+T772*AS772/2-T773*MAX(0.1,MIN(0.3,0.3-0.09*(AN773-36.8)))/2)+AR772*(1-AS772/2))/(1-MAX(0.1,MIN(0.3,0.3-0.09*(AN773-36.8)))/2)</f>
        <v/>
      </c>
      <c r="AP773">
        <f>((AM773/$B$7+T772*AS772/2-T773*MAX(0.1,MIN(0.3,0.3-0.09*(AO773-36.8)))/2)+AR772*(1-AS772/2))/(1-MAX(0.1,MIN(0.3,0.3-0.09*(AO773-36.8)))/2)</f>
        <v/>
      </c>
      <c r="AQ773">
        <f>((AM773/$B$7+T772*AS772/2-T773*MAX(0.1,MIN(0.3,0.3-0.09*(AP773-36.8)))/2)+AR772*(1-AS772/2))/(1-MAX(0.1,MIN(0.3,0.3-0.09*(AP773-36.8)))/2)</f>
        <v/>
      </c>
      <c r="AR773">
        <f>((AM773/$B$7+T772*AS772/2-T773*MAX(0.1,MIN(0.3,0.3-0.09*(AQ773-36.8)))/2)+AR772*(1-AS772/2))/(1-MAX(0.1,MIN(0.3,0.3-0.09*(AQ773-36.8)))/2)</f>
        <v/>
      </c>
      <c r="AS773">
        <f>MAX(0.1,MIN(0.3,0.3-0.09*(AR773-36.8)))</f>
        <v/>
      </c>
      <c r="AT773">
        <f>AT772+(2*AR773-1.962*AT772-1.31)/9</f>
        <v/>
      </c>
      <c r="AU773">
        <f>AU772+AG773+K773</f>
        <v/>
      </c>
      <c r="AV773">
        <f>AU773*2.67*$B$6/1.8/60</f>
        <v/>
      </c>
      <c r="AW773">
        <f>IF(AT773&gt;=$B$36,1,0)</f>
        <v/>
      </c>
      <c r="AX773">
        <f>IF(AV773&gt;=$B$21,1,0)</f>
        <v/>
      </c>
    </row>
    <row r="774">
      <c r="A774" t="n">
        <v>701</v>
      </c>
      <c r="B774">
        <f>MATCH(A774-1,$D$61:$D$68,1)</f>
        <v/>
      </c>
      <c r="C774">
        <f>INDEX($G$61:$G$68,B774)</f>
        <v/>
      </c>
      <c r="D774">
        <f>INDEX($L$61:$L$68,B774)</f>
        <v/>
      </c>
      <c r="E774">
        <f>INDEX($M$61:$M$68,B774)</f>
        <v/>
      </c>
      <c r="F774">
        <f>INDEX($N$61:$N$68,B774)</f>
        <v/>
      </c>
      <c r="G774">
        <f>INDEX($AA$61:$AA$68,B774)</f>
        <v/>
      </c>
      <c r="H774">
        <f>INDEX($X$61:$X$68,B774)</f>
        <v/>
      </c>
      <c r="I774">
        <f>INDEX($AF$61:$AF$68,B774)</f>
        <v/>
      </c>
      <c r="J774">
        <f>INDEX($AC$61:$AC$68,B774)</f>
        <v/>
      </c>
      <c r="K774">
        <f>INDEX($AD$61:$AD$68,B774)</f>
        <v/>
      </c>
      <c r="L774">
        <f>INDEX($AG$61:$AG$68,B774)</f>
        <v/>
      </c>
      <c r="M774">
        <f>INDEX($AH$61:$AH$68,B774)</f>
        <v/>
      </c>
      <c r="N774">
        <f>INDEX($AI$61:$AI$68,B774)</f>
        <v/>
      </c>
      <c r="O774">
        <f>O773*$B$26+L774*(1-$B$26)</f>
        <v/>
      </c>
      <c r="P774">
        <f>$B$7*(O774-O773)*(1-AS773)</f>
        <v/>
      </c>
      <c r="Q774">
        <f>M774+0.51274*AT773</f>
        <v/>
      </c>
      <c r="R774">
        <f>N774+0.616*AT773</f>
        <v/>
      </c>
      <c r="S774">
        <f>IF($B$13&gt;=0.6,Q774,IF($B$13&lt;=0.2,R774,R774+2.5*(Q774-R774)*($B$13-0.2)))</f>
        <v/>
      </c>
      <c r="T774">
        <f>IF(A774=1,S774,T773*$B$27+S774*(1-$B$27))</f>
        <v/>
      </c>
      <c r="U774">
        <f>0.6105*EXP(17.27*T774/(T774+237.3))</f>
        <v/>
      </c>
      <c r="V774">
        <f>($B$14*(I774*C774+IF(ABS((D774+0.1)-D774)&lt;0.000000001,4*$B$19*$B$20*(D774+273)^3,$B$19*$B$20*(((D774+0.1)+273)^4-(D774+273)^4)/((D774+0.1)-D774))*D774)+T774/H774)/($B$14*(I774+IF(ABS((D774+0.1)-D774)&lt;0.000000001,4*$B$19*$B$20*(D774+273)^3,$B$19*$B$20*(((D774+0.1)+273)^4-(D774+273)^4)/((D774+0.1)-D774)))+1/H774)</f>
        <v/>
      </c>
      <c r="W774">
        <f>($B$14*(I774*C774+IF(ABS(V774-D774)&lt;0.000000001,4*$B$19*$B$20*(D774+273)^3,$B$19*$B$20*((V774+273)^4-(D774+273)^4)/(V774-D774))*D774)+T774/H774)/($B$14*(I774+IF(ABS(V774-D774)&lt;0.000000001,4*$B$19*$B$20*(D774+273)^3,$B$19*$B$20*((V774+273)^4-(D774+273)^4)/(V774-D774)))+1/H774)</f>
        <v/>
      </c>
      <c r="X774">
        <f>($B$14*(I774*C774+IF(ABS(W774-D774)&lt;0.000000001,4*$B$19*$B$20*(D774+273)^3,$B$19*$B$20*((W774+273)^4-(D774+273)^4)/(W774-D774))*D774)+T774/H774)/($B$14*(I774+IF(ABS(W774-D774)&lt;0.000000001,4*$B$19*$B$20*(D774+273)^3,$B$19*$B$20*((W774+273)^4-(D774+273)^4)/(W774-D774)))+1/H774)</f>
        <v/>
      </c>
      <c r="Y774">
        <f>($B$14*(I774*C774+IF(ABS(X774-D774)&lt;0.000000001,4*$B$19*$B$20*(D774+273)^3,$B$19*$B$20*((X774+273)^4-(D774+273)^4)/(X774-D774))*D774)+T774/H774)/($B$14*(I774+IF(ABS(X774-D774)&lt;0.000000001,4*$B$19*$B$20*(D774+273)^3,$B$19*$B$20*((X774+273)^4-(D774+273)^4)/(X774-D774)))+1/H774)</f>
        <v/>
      </c>
      <c r="Z774">
        <f>IF(ABS(Y774-D774)&lt;0.000000001,4*$B$19*$B$20*(D774+273)^3,$B$19*$B$20*((Y774+273)^4-(D774+273)^4)/(Y774-D774))</f>
        <v/>
      </c>
      <c r="AA774">
        <f>$B$14*I774*(Y774-C774)</f>
        <v/>
      </c>
      <c r="AB774">
        <f>$B$14*Z774*(Y774-D774)</f>
        <v/>
      </c>
      <c r="AC774">
        <f>IF((U774-E774)/G774=0,0.001,(U774-E774)/G774)</f>
        <v/>
      </c>
      <c r="AD774">
        <f>F774-P774-J774-K774-AA774-AB774</f>
        <v/>
      </c>
      <c r="AE774">
        <f>AD774/AC774</f>
        <v/>
      </c>
      <c r="AF774">
        <f>IF(AD774&lt;=0,0,IF(AC774&lt;=0,$B$11,IF(AE774&gt;=1.7,$B$11,MIN(AD774/MAX(0.05,IF(AE774&gt;1,(2-AE774)^2/2,1-AE774^2/2)),$B$11))))</f>
        <v/>
      </c>
      <c r="AG774">
        <f>AG773*$B$28+AF774*(1-$B$28)</f>
        <v/>
      </c>
      <c r="AH774">
        <f>IF(AND(AD774&gt;0,AC774&lt;=0),0,AC774)</f>
        <v/>
      </c>
      <c r="AI774">
        <f>AH774/MAX(AG774,0.000001)</f>
        <v/>
      </c>
      <c r="AJ774">
        <f>MIN(IF(AI774&gt;=0.5,-AI774+SQRT(AI774^2+2),1),$B$12)</f>
        <v/>
      </c>
      <c r="AK774">
        <f>IF(AG774&lt;=0,0,AJ774*AH774)</f>
        <v/>
      </c>
      <c r="AL774">
        <f>IF(AD774&lt;=0,0,AD774)</f>
        <v/>
      </c>
      <c r="AM774">
        <f>AL774-AK774+P774</f>
        <v/>
      </c>
      <c r="AN774">
        <f>((AM774/$B$7+T773*AS773/2-T774*MAX(0.1,MIN(0.3,0.3-0.09*(AR773-36.8)))/2)+AR773*(1-AS773/2))/(1-MAX(0.1,MIN(0.3,0.3-0.09*(AR773-36.8)))/2)</f>
        <v/>
      </c>
      <c r="AO774">
        <f>((AM774/$B$7+T773*AS773/2-T774*MAX(0.1,MIN(0.3,0.3-0.09*(AN774-36.8)))/2)+AR773*(1-AS773/2))/(1-MAX(0.1,MIN(0.3,0.3-0.09*(AN774-36.8)))/2)</f>
        <v/>
      </c>
      <c r="AP774">
        <f>((AM774/$B$7+T773*AS773/2-T774*MAX(0.1,MIN(0.3,0.3-0.09*(AO774-36.8)))/2)+AR773*(1-AS773/2))/(1-MAX(0.1,MIN(0.3,0.3-0.09*(AO774-36.8)))/2)</f>
        <v/>
      </c>
      <c r="AQ774">
        <f>((AM774/$B$7+T773*AS773/2-T774*MAX(0.1,MIN(0.3,0.3-0.09*(AP774-36.8)))/2)+AR773*(1-AS773/2))/(1-MAX(0.1,MIN(0.3,0.3-0.09*(AP774-36.8)))/2)</f>
        <v/>
      </c>
      <c r="AR774">
        <f>((AM774/$B$7+T773*AS773/2-T774*MAX(0.1,MIN(0.3,0.3-0.09*(AQ774-36.8)))/2)+AR773*(1-AS773/2))/(1-MAX(0.1,MIN(0.3,0.3-0.09*(AQ774-36.8)))/2)</f>
        <v/>
      </c>
      <c r="AS774">
        <f>MAX(0.1,MIN(0.3,0.3-0.09*(AR774-36.8)))</f>
        <v/>
      </c>
      <c r="AT774">
        <f>AT773+(2*AR774-1.962*AT773-1.31)/9</f>
        <v/>
      </c>
      <c r="AU774">
        <f>AU773+AG774+K774</f>
        <v/>
      </c>
      <c r="AV774">
        <f>AU774*2.67*$B$6/1.8/60</f>
        <v/>
      </c>
      <c r="AW774">
        <f>IF(AT774&gt;=$B$36,1,0)</f>
        <v/>
      </c>
      <c r="AX774">
        <f>IF(AV774&gt;=$B$21,1,0)</f>
        <v/>
      </c>
    </row>
    <row r="775">
      <c r="A775" t="n">
        <v>702</v>
      </c>
      <c r="B775">
        <f>MATCH(A775-1,$D$61:$D$68,1)</f>
        <v/>
      </c>
      <c r="C775">
        <f>INDEX($G$61:$G$68,B775)</f>
        <v/>
      </c>
      <c r="D775">
        <f>INDEX($L$61:$L$68,B775)</f>
        <v/>
      </c>
      <c r="E775">
        <f>INDEX($M$61:$M$68,B775)</f>
        <v/>
      </c>
      <c r="F775">
        <f>INDEX($N$61:$N$68,B775)</f>
        <v/>
      </c>
      <c r="G775">
        <f>INDEX($AA$61:$AA$68,B775)</f>
        <v/>
      </c>
      <c r="H775">
        <f>INDEX($X$61:$X$68,B775)</f>
        <v/>
      </c>
      <c r="I775">
        <f>INDEX($AF$61:$AF$68,B775)</f>
        <v/>
      </c>
      <c r="J775">
        <f>INDEX($AC$61:$AC$68,B775)</f>
        <v/>
      </c>
      <c r="K775">
        <f>INDEX($AD$61:$AD$68,B775)</f>
        <v/>
      </c>
      <c r="L775">
        <f>INDEX($AG$61:$AG$68,B775)</f>
        <v/>
      </c>
      <c r="M775">
        <f>INDEX($AH$61:$AH$68,B775)</f>
        <v/>
      </c>
      <c r="N775">
        <f>INDEX($AI$61:$AI$68,B775)</f>
        <v/>
      </c>
      <c r="O775">
        <f>O774*$B$26+L775*(1-$B$26)</f>
        <v/>
      </c>
      <c r="P775">
        <f>$B$7*(O775-O774)*(1-AS774)</f>
        <v/>
      </c>
      <c r="Q775">
        <f>M775+0.51274*AT774</f>
        <v/>
      </c>
      <c r="R775">
        <f>N775+0.616*AT774</f>
        <v/>
      </c>
      <c r="S775">
        <f>IF($B$13&gt;=0.6,Q775,IF($B$13&lt;=0.2,R775,R775+2.5*(Q775-R775)*($B$13-0.2)))</f>
        <v/>
      </c>
      <c r="T775">
        <f>IF(A775=1,S775,T774*$B$27+S775*(1-$B$27))</f>
        <v/>
      </c>
      <c r="U775">
        <f>0.6105*EXP(17.27*T775/(T775+237.3))</f>
        <v/>
      </c>
      <c r="V775">
        <f>($B$14*(I775*C775+IF(ABS((D775+0.1)-D775)&lt;0.000000001,4*$B$19*$B$20*(D775+273)^3,$B$19*$B$20*(((D775+0.1)+273)^4-(D775+273)^4)/((D775+0.1)-D775))*D775)+T775/H775)/($B$14*(I775+IF(ABS((D775+0.1)-D775)&lt;0.000000001,4*$B$19*$B$20*(D775+273)^3,$B$19*$B$20*(((D775+0.1)+273)^4-(D775+273)^4)/((D775+0.1)-D775)))+1/H775)</f>
        <v/>
      </c>
      <c r="W775">
        <f>($B$14*(I775*C775+IF(ABS(V775-D775)&lt;0.000000001,4*$B$19*$B$20*(D775+273)^3,$B$19*$B$20*((V775+273)^4-(D775+273)^4)/(V775-D775))*D775)+T775/H775)/($B$14*(I775+IF(ABS(V775-D775)&lt;0.000000001,4*$B$19*$B$20*(D775+273)^3,$B$19*$B$20*((V775+273)^4-(D775+273)^4)/(V775-D775)))+1/H775)</f>
        <v/>
      </c>
      <c r="X775">
        <f>($B$14*(I775*C775+IF(ABS(W775-D775)&lt;0.000000001,4*$B$19*$B$20*(D775+273)^3,$B$19*$B$20*((W775+273)^4-(D775+273)^4)/(W775-D775))*D775)+T775/H775)/($B$14*(I775+IF(ABS(W775-D775)&lt;0.000000001,4*$B$19*$B$20*(D775+273)^3,$B$19*$B$20*((W775+273)^4-(D775+273)^4)/(W775-D775)))+1/H775)</f>
        <v/>
      </c>
      <c r="Y775">
        <f>($B$14*(I775*C775+IF(ABS(X775-D775)&lt;0.000000001,4*$B$19*$B$20*(D775+273)^3,$B$19*$B$20*((X775+273)^4-(D775+273)^4)/(X775-D775))*D775)+T775/H775)/($B$14*(I775+IF(ABS(X775-D775)&lt;0.000000001,4*$B$19*$B$20*(D775+273)^3,$B$19*$B$20*((X775+273)^4-(D775+273)^4)/(X775-D775)))+1/H775)</f>
        <v/>
      </c>
      <c r="Z775">
        <f>IF(ABS(Y775-D775)&lt;0.000000001,4*$B$19*$B$20*(D775+273)^3,$B$19*$B$20*((Y775+273)^4-(D775+273)^4)/(Y775-D775))</f>
        <v/>
      </c>
      <c r="AA775">
        <f>$B$14*I775*(Y775-C775)</f>
        <v/>
      </c>
      <c r="AB775">
        <f>$B$14*Z775*(Y775-D775)</f>
        <v/>
      </c>
      <c r="AC775">
        <f>IF((U775-E775)/G775=0,0.001,(U775-E775)/G775)</f>
        <v/>
      </c>
      <c r="AD775">
        <f>F775-P775-J775-K775-AA775-AB775</f>
        <v/>
      </c>
      <c r="AE775">
        <f>AD775/AC775</f>
        <v/>
      </c>
      <c r="AF775">
        <f>IF(AD775&lt;=0,0,IF(AC775&lt;=0,$B$11,IF(AE775&gt;=1.7,$B$11,MIN(AD775/MAX(0.05,IF(AE775&gt;1,(2-AE775)^2/2,1-AE775^2/2)),$B$11))))</f>
        <v/>
      </c>
      <c r="AG775">
        <f>AG774*$B$28+AF775*(1-$B$28)</f>
        <v/>
      </c>
      <c r="AH775">
        <f>IF(AND(AD775&gt;0,AC775&lt;=0),0,AC775)</f>
        <v/>
      </c>
      <c r="AI775">
        <f>AH775/MAX(AG775,0.000001)</f>
        <v/>
      </c>
      <c r="AJ775">
        <f>MIN(IF(AI775&gt;=0.5,-AI775+SQRT(AI775^2+2),1),$B$12)</f>
        <v/>
      </c>
      <c r="AK775">
        <f>IF(AG775&lt;=0,0,AJ775*AH775)</f>
        <v/>
      </c>
      <c r="AL775">
        <f>IF(AD775&lt;=0,0,AD775)</f>
        <v/>
      </c>
      <c r="AM775">
        <f>AL775-AK775+P775</f>
        <v/>
      </c>
      <c r="AN775">
        <f>((AM775/$B$7+T774*AS774/2-T775*MAX(0.1,MIN(0.3,0.3-0.09*(AR774-36.8)))/2)+AR774*(1-AS774/2))/(1-MAX(0.1,MIN(0.3,0.3-0.09*(AR774-36.8)))/2)</f>
        <v/>
      </c>
      <c r="AO775">
        <f>((AM775/$B$7+T774*AS774/2-T775*MAX(0.1,MIN(0.3,0.3-0.09*(AN775-36.8)))/2)+AR774*(1-AS774/2))/(1-MAX(0.1,MIN(0.3,0.3-0.09*(AN775-36.8)))/2)</f>
        <v/>
      </c>
      <c r="AP775">
        <f>((AM775/$B$7+T774*AS774/2-T775*MAX(0.1,MIN(0.3,0.3-0.09*(AO775-36.8)))/2)+AR774*(1-AS774/2))/(1-MAX(0.1,MIN(0.3,0.3-0.09*(AO775-36.8)))/2)</f>
        <v/>
      </c>
      <c r="AQ775">
        <f>((AM775/$B$7+T774*AS774/2-T775*MAX(0.1,MIN(0.3,0.3-0.09*(AP775-36.8)))/2)+AR774*(1-AS774/2))/(1-MAX(0.1,MIN(0.3,0.3-0.09*(AP775-36.8)))/2)</f>
        <v/>
      </c>
      <c r="AR775">
        <f>((AM775/$B$7+T774*AS774/2-T775*MAX(0.1,MIN(0.3,0.3-0.09*(AQ775-36.8)))/2)+AR774*(1-AS774/2))/(1-MAX(0.1,MIN(0.3,0.3-0.09*(AQ775-36.8)))/2)</f>
        <v/>
      </c>
      <c r="AS775">
        <f>MAX(0.1,MIN(0.3,0.3-0.09*(AR775-36.8)))</f>
        <v/>
      </c>
      <c r="AT775">
        <f>AT774+(2*AR775-1.962*AT774-1.31)/9</f>
        <v/>
      </c>
      <c r="AU775">
        <f>AU774+AG775+K775</f>
        <v/>
      </c>
      <c r="AV775">
        <f>AU775*2.67*$B$6/1.8/60</f>
        <v/>
      </c>
      <c r="AW775">
        <f>IF(AT775&gt;=$B$36,1,0)</f>
        <v/>
      </c>
      <c r="AX775">
        <f>IF(AV775&gt;=$B$21,1,0)</f>
        <v/>
      </c>
    </row>
    <row r="776">
      <c r="A776" t="n">
        <v>703</v>
      </c>
      <c r="B776">
        <f>MATCH(A776-1,$D$61:$D$68,1)</f>
        <v/>
      </c>
      <c r="C776">
        <f>INDEX($G$61:$G$68,B776)</f>
        <v/>
      </c>
      <c r="D776">
        <f>INDEX($L$61:$L$68,B776)</f>
        <v/>
      </c>
      <c r="E776">
        <f>INDEX($M$61:$M$68,B776)</f>
        <v/>
      </c>
      <c r="F776">
        <f>INDEX($N$61:$N$68,B776)</f>
        <v/>
      </c>
      <c r="G776">
        <f>INDEX($AA$61:$AA$68,B776)</f>
        <v/>
      </c>
      <c r="H776">
        <f>INDEX($X$61:$X$68,B776)</f>
        <v/>
      </c>
      <c r="I776">
        <f>INDEX($AF$61:$AF$68,B776)</f>
        <v/>
      </c>
      <c r="J776">
        <f>INDEX($AC$61:$AC$68,B776)</f>
        <v/>
      </c>
      <c r="K776">
        <f>INDEX($AD$61:$AD$68,B776)</f>
        <v/>
      </c>
      <c r="L776">
        <f>INDEX($AG$61:$AG$68,B776)</f>
        <v/>
      </c>
      <c r="M776">
        <f>INDEX($AH$61:$AH$68,B776)</f>
        <v/>
      </c>
      <c r="N776">
        <f>INDEX($AI$61:$AI$68,B776)</f>
        <v/>
      </c>
      <c r="O776">
        <f>O775*$B$26+L776*(1-$B$26)</f>
        <v/>
      </c>
      <c r="P776">
        <f>$B$7*(O776-O775)*(1-AS775)</f>
        <v/>
      </c>
      <c r="Q776">
        <f>M776+0.51274*AT775</f>
        <v/>
      </c>
      <c r="R776">
        <f>N776+0.616*AT775</f>
        <v/>
      </c>
      <c r="S776">
        <f>IF($B$13&gt;=0.6,Q776,IF($B$13&lt;=0.2,R776,R776+2.5*(Q776-R776)*($B$13-0.2)))</f>
        <v/>
      </c>
      <c r="T776">
        <f>IF(A776=1,S776,T775*$B$27+S776*(1-$B$27))</f>
        <v/>
      </c>
      <c r="U776">
        <f>0.6105*EXP(17.27*T776/(T776+237.3))</f>
        <v/>
      </c>
      <c r="V776">
        <f>($B$14*(I776*C776+IF(ABS((D776+0.1)-D776)&lt;0.000000001,4*$B$19*$B$20*(D776+273)^3,$B$19*$B$20*(((D776+0.1)+273)^4-(D776+273)^4)/((D776+0.1)-D776))*D776)+T776/H776)/($B$14*(I776+IF(ABS((D776+0.1)-D776)&lt;0.000000001,4*$B$19*$B$20*(D776+273)^3,$B$19*$B$20*(((D776+0.1)+273)^4-(D776+273)^4)/((D776+0.1)-D776)))+1/H776)</f>
        <v/>
      </c>
      <c r="W776">
        <f>($B$14*(I776*C776+IF(ABS(V776-D776)&lt;0.000000001,4*$B$19*$B$20*(D776+273)^3,$B$19*$B$20*((V776+273)^4-(D776+273)^4)/(V776-D776))*D776)+T776/H776)/($B$14*(I776+IF(ABS(V776-D776)&lt;0.000000001,4*$B$19*$B$20*(D776+273)^3,$B$19*$B$20*((V776+273)^4-(D776+273)^4)/(V776-D776)))+1/H776)</f>
        <v/>
      </c>
      <c r="X776">
        <f>($B$14*(I776*C776+IF(ABS(W776-D776)&lt;0.000000001,4*$B$19*$B$20*(D776+273)^3,$B$19*$B$20*((W776+273)^4-(D776+273)^4)/(W776-D776))*D776)+T776/H776)/($B$14*(I776+IF(ABS(W776-D776)&lt;0.000000001,4*$B$19*$B$20*(D776+273)^3,$B$19*$B$20*((W776+273)^4-(D776+273)^4)/(W776-D776)))+1/H776)</f>
        <v/>
      </c>
      <c r="Y776">
        <f>($B$14*(I776*C776+IF(ABS(X776-D776)&lt;0.000000001,4*$B$19*$B$20*(D776+273)^3,$B$19*$B$20*((X776+273)^4-(D776+273)^4)/(X776-D776))*D776)+T776/H776)/($B$14*(I776+IF(ABS(X776-D776)&lt;0.000000001,4*$B$19*$B$20*(D776+273)^3,$B$19*$B$20*((X776+273)^4-(D776+273)^4)/(X776-D776)))+1/H776)</f>
        <v/>
      </c>
      <c r="Z776">
        <f>IF(ABS(Y776-D776)&lt;0.000000001,4*$B$19*$B$20*(D776+273)^3,$B$19*$B$20*((Y776+273)^4-(D776+273)^4)/(Y776-D776))</f>
        <v/>
      </c>
      <c r="AA776">
        <f>$B$14*I776*(Y776-C776)</f>
        <v/>
      </c>
      <c r="AB776">
        <f>$B$14*Z776*(Y776-D776)</f>
        <v/>
      </c>
      <c r="AC776">
        <f>IF((U776-E776)/G776=0,0.001,(U776-E776)/G776)</f>
        <v/>
      </c>
      <c r="AD776">
        <f>F776-P776-J776-K776-AA776-AB776</f>
        <v/>
      </c>
      <c r="AE776">
        <f>AD776/AC776</f>
        <v/>
      </c>
      <c r="AF776">
        <f>IF(AD776&lt;=0,0,IF(AC776&lt;=0,$B$11,IF(AE776&gt;=1.7,$B$11,MIN(AD776/MAX(0.05,IF(AE776&gt;1,(2-AE776)^2/2,1-AE776^2/2)),$B$11))))</f>
        <v/>
      </c>
      <c r="AG776">
        <f>AG775*$B$28+AF776*(1-$B$28)</f>
        <v/>
      </c>
      <c r="AH776">
        <f>IF(AND(AD776&gt;0,AC776&lt;=0),0,AC776)</f>
        <v/>
      </c>
      <c r="AI776">
        <f>AH776/MAX(AG776,0.000001)</f>
        <v/>
      </c>
      <c r="AJ776">
        <f>MIN(IF(AI776&gt;=0.5,-AI776+SQRT(AI776^2+2),1),$B$12)</f>
        <v/>
      </c>
      <c r="AK776">
        <f>IF(AG776&lt;=0,0,AJ776*AH776)</f>
        <v/>
      </c>
      <c r="AL776">
        <f>IF(AD776&lt;=0,0,AD776)</f>
        <v/>
      </c>
      <c r="AM776">
        <f>AL776-AK776+P776</f>
        <v/>
      </c>
      <c r="AN776">
        <f>((AM776/$B$7+T775*AS775/2-T776*MAX(0.1,MIN(0.3,0.3-0.09*(AR775-36.8)))/2)+AR775*(1-AS775/2))/(1-MAX(0.1,MIN(0.3,0.3-0.09*(AR775-36.8)))/2)</f>
        <v/>
      </c>
      <c r="AO776">
        <f>((AM776/$B$7+T775*AS775/2-T776*MAX(0.1,MIN(0.3,0.3-0.09*(AN776-36.8)))/2)+AR775*(1-AS775/2))/(1-MAX(0.1,MIN(0.3,0.3-0.09*(AN776-36.8)))/2)</f>
        <v/>
      </c>
      <c r="AP776">
        <f>((AM776/$B$7+T775*AS775/2-T776*MAX(0.1,MIN(0.3,0.3-0.09*(AO776-36.8)))/2)+AR775*(1-AS775/2))/(1-MAX(0.1,MIN(0.3,0.3-0.09*(AO776-36.8)))/2)</f>
        <v/>
      </c>
      <c r="AQ776">
        <f>((AM776/$B$7+T775*AS775/2-T776*MAX(0.1,MIN(0.3,0.3-0.09*(AP776-36.8)))/2)+AR775*(1-AS775/2))/(1-MAX(0.1,MIN(0.3,0.3-0.09*(AP776-36.8)))/2)</f>
        <v/>
      </c>
      <c r="AR776">
        <f>((AM776/$B$7+T775*AS775/2-T776*MAX(0.1,MIN(0.3,0.3-0.09*(AQ776-36.8)))/2)+AR775*(1-AS775/2))/(1-MAX(0.1,MIN(0.3,0.3-0.09*(AQ776-36.8)))/2)</f>
        <v/>
      </c>
      <c r="AS776">
        <f>MAX(0.1,MIN(0.3,0.3-0.09*(AR776-36.8)))</f>
        <v/>
      </c>
      <c r="AT776">
        <f>AT775+(2*AR776-1.962*AT775-1.31)/9</f>
        <v/>
      </c>
      <c r="AU776">
        <f>AU775+AG776+K776</f>
        <v/>
      </c>
      <c r="AV776">
        <f>AU776*2.67*$B$6/1.8/60</f>
        <v/>
      </c>
      <c r="AW776">
        <f>IF(AT776&gt;=$B$36,1,0)</f>
        <v/>
      </c>
      <c r="AX776">
        <f>IF(AV776&gt;=$B$21,1,0)</f>
        <v/>
      </c>
    </row>
    <row r="777">
      <c r="A777" t="n">
        <v>704</v>
      </c>
      <c r="B777">
        <f>MATCH(A777-1,$D$61:$D$68,1)</f>
        <v/>
      </c>
      <c r="C777">
        <f>INDEX($G$61:$G$68,B777)</f>
        <v/>
      </c>
      <c r="D777">
        <f>INDEX($L$61:$L$68,B777)</f>
        <v/>
      </c>
      <c r="E777">
        <f>INDEX($M$61:$M$68,B777)</f>
        <v/>
      </c>
      <c r="F777">
        <f>INDEX($N$61:$N$68,B777)</f>
        <v/>
      </c>
      <c r="G777">
        <f>INDEX($AA$61:$AA$68,B777)</f>
        <v/>
      </c>
      <c r="H777">
        <f>INDEX($X$61:$X$68,B777)</f>
        <v/>
      </c>
      <c r="I777">
        <f>INDEX($AF$61:$AF$68,B777)</f>
        <v/>
      </c>
      <c r="J777">
        <f>INDEX($AC$61:$AC$68,B777)</f>
        <v/>
      </c>
      <c r="K777">
        <f>INDEX($AD$61:$AD$68,B777)</f>
        <v/>
      </c>
      <c r="L777">
        <f>INDEX($AG$61:$AG$68,B777)</f>
        <v/>
      </c>
      <c r="M777">
        <f>INDEX($AH$61:$AH$68,B777)</f>
        <v/>
      </c>
      <c r="N777">
        <f>INDEX($AI$61:$AI$68,B777)</f>
        <v/>
      </c>
      <c r="O777">
        <f>O776*$B$26+L777*(1-$B$26)</f>
        <v/>
      </c>
      <c r="P777">
        <f>$B$7*(O777-O776)*(1-AS776)</f>
        <v/>
      </c>
      <c r="Q777">
        <f>M777+0.51274*AT776</f>
        <v/>
      </c>
      <c r="R777">
        <f>N777+0.616*AT776</f>
        <v/>
      </c>
      <c r="S777">
        <f>IF($B$13&gt;=0.6,Q777,IF($B$13&lt;=0.2,R777,R777+2.5*(Q777-R777)*($B$13-0.2)))</f>
        <v/>
      </c>
      <c r="T777">
        <f>IF(A777=1,S777,T776*$B$27+S777*(1-$B$27))</f>
        <v/>
      </c>
      <c r="U777">
        <f>0.6105*EXP(17.27*T777/(T777+237.3))</f>
        <v/>
      </c>
      <c r="V777">
        <f>($B$14*(I777*C777+IF(ABS((D777+0.1)-D777)&lt;0.000000001,4*$B$19*$B$20*(D777+273)^3,$B$19*$B$20*(((D777+0.1)+273)^4-(D777+273)^4)/((D777+0.1)-D777))*D777)+T777/H777)/($B$14*(I777+IF(ABS((D777+0.1)-D777)&lt;0.000000001,4*$B$19*$B$20*(D777+273)^3,$B$19*$B$20*(((D777+0.1)+273)^4-(D777+273)^4)/((D777+0.1)-D777)))+1/H777)</f>
        <v/>
      </c>
      <c r="W777">
        <f>($B$14*(I777*C777+IF(ABS(V777-D777)&lt;0.000000001,4*$B$19*$B$20*(D777+273)^3,$B$19*$B$20*((V777+273)^4-(D777+273)^4)/(V777-D777))*D777)+T777/H777)/($B$14*(I777+IF(ABS(V777-D777)&lt;0.000000001,4*$B$19*$B$20*(D777+273)^3,$B$19*$B$20*((V777+273)^4-(D777+273)^4)/(V777-D777)))+1/H777)</f>
        <v/>
      </c>
      <c r="X777">
        <f>($B$14*(I777*C777+IF(ABS(W777-D777)&lt;0.000000001,4*$B$19*$B$20*(D777+273)^3,$B$19*$B$20*((W777+273)^4-(D777+273)^4)/(W777-D777))*D777)+T777/H777)/($B$14*(I777+IF(ABS(W777-D777)&lt;0.000000001,4*$B$19*$B$20*(D777+273)^3,$B$19*$B$20*((W777+273)^4-(D777+273)^4)/(W777-D777)))+1/H777)</f>
        <v/>
      </c>
      <c r="Y777">
        <f>($B$14*(I777*C777+IF(ABS(X777-D777)&lt;0.000000001,4*$B$19*$B$20*(D777+273)^3,$B$19*$B$20*((X777+273)^4-(D777+273)^4)/(X777-D777))*D777)+T777/H777)/($B$14*(I777+IF(ABS(X777-D777)&lt;0.000000001,4*$B$19*$B$20*(D777+273)^3,$B$19*$B$20*((X777+273)^4-(D777+273)^4)/(X777-D777)))+1/H777)</f>
        <v/>
      </c>
      <c r="Z777">
        <f>IF(ABS(Y777-D777)&lt;0.000000001,4*$B$19*$B$20*(D777+273)^3,$B$19*$B$20*((Y777+273)^4-(D777+273)^4)/(Y777-D777))</f>
        <v/>
      </c>
      <c r="AA777">
        <f>$B$14*I777*(Y777-C777)</f>
        <v/>
      </c>
      <c r="AB777">
        <f>$B$14*Z777*(Y777-D777)</f>
        <v/>
      </c>
      <c r="AC777">
        <f>IF((U777-E777)/G777=0,0.001,(U777-E777)/G777)</f>
        <v/>
      </c>
      <c r="AD777">
        <f>F777-P777-J777-K777-AA777-AB777</f>
        <v/>
      </c>
      <c r="AE777">
        <f>AD777/AC777</f>
        <v/>
      </c>
      <c r="AF777">
        <f>IF(AD777&lt;=0,0,IF(AC777&lt;=0,$B$11,IF(AE777&gt;=1.7,$B$11,MIN(AD777/MAX(0.05,IF(AE777&gt;1,(2-AE777)^2/2,1-AE777^2/2)),$B$11))))</f>
        <v/>
      </c>
      <c r="AG777">
        <f>AG776*$B$28+AF777*(1-$B$28)</f>
        <v/>
      </c>
      <c r="AH777">
        <f>IF(AND(AD777&gt;0,AC777&lt;=0),0,AC777)</f>
        <v/>
      </c>
      <c r="AI777">
        <f>AH777/MAX(AG777,0.000001)</f>
        <v/>
      </c>
      <c r="AJ777">
        <f>MIN(IF(AI777&gt;=0.5,-AI777+SQRT(AI777^2+2),1),$B$12)</f>
        <v/>
      </c>
      <c r="AK777">
        <f>IF(AG777&lt;=0,0,AJ777*AH777)</f>
        <v/>
      </c>
      <c r="AL777">
        <f>IF(AD777&lt;=0,0,AD777)</f>
        <v/>
      </c>
      <c r="AM777">
        <f>AL777-AK777+P777</f>
        <v/>
      </c>
      <c r="AN777">
        <f>((AM777/$B$7+T776*AS776/2-T777*MAX(0.1,MIN(0.3,0.3-0.09*(AR776-36.8)))/2)+AR776*(1-AS776/2))/(1-MAX(0.1,MIN(0.3,0.3-0.09*(AR776-36.8)))/2)</f>
        <v/>
      </c>
      <c r="AO777">
        <f>((AM777/$B$7+T776*AS776/2-T777*MAX(0.1,MIN(0.3,0.3-0.09*(AN777-36.8)))/2)+AR776*(1-AS776/2))/(1-MAX(0.1,MIN(0.3,0.3-0.09*(AN777-36.8)))/2)</f>
        <v/>
      </c>
      <c r="AP777">
        <f>((AM777/$B$7+T776*AS776/2-T777*MAX(0.1,MIN(0.3,0.3-0.09*(AO777-36.8)))/2)+AR776*(1-AS776/2))/(1-MAX(0.1,MIN(0.3,0.3-0.09*(AO777-36.8)))/2)</f>
        <v/>
      </c>
      <c r="AQ777">
        <f>((AM777/$B$7+T776*AS776/2-T777*MAX(0.1,MIN(0.3,0.3-0.09*(AP777-36.8)))/2)+AR776*(1-AS776/2))/(1-MAX(0.1,MIN(0.3,0.3-0.09*(AP777-36.8)))/2)</f>
        <v/>
      </c>
      <c r="AR777">
        <f>((AM777/$B$7+T776*AS776/2-T777*MAX(0.1,MIN(0.3,0.3-0.09*(AQ777-36.8)))/2)+AR776*(1-AS776/2))/(1-MAX(0.1,MIN(0.3,0.3-0.09*(AQ777-36.8)))/2)</f>
        <v/>
      </c>
      <c r="AS777">
        <f>MAX(0.1,MIN(0.3,0.3-0.09*(AR777-36.8)))</f>
        <v/>
      </c>
      <c r="AT777">
        <f>AT776+(2*AR777-1.962*AT776-1.31)/9</f>
        <v/>
      </c>
      <c r="AU777">
        <f>AU776+AG777+K777</f>
        <v/>
      </c>
      <c r="AV777">
        <f>AU777*2.67*$B$6/1.8/60</f>
        <v/>
      </c>
      <c r="AW777">
        <f>IF(AT777&gt;=$B$36,1,0)</f>
        <v/>
      </c>
      <c r="AX777">
        <f>IF(AV777&gt;=$B$21,1,0)</f>
        <v/>
      </c>
    </row>
    <row r="778">
      <c r="A778" t="n">
        <v>705</v>
      </c>
      <c r="B778">
        <f>MATCH(A778-1,$D$61:$D$68,1)</f>
        <v/>
      </c>
      <c r="C778">
        <f>INDEX($G$61:$G$68,B778)</f>
        <v/>
      </c>
      <c r="D778">
        <f>INDEX($L$61:$L$68,B778)</f>
        <v/>
      </c>
      <c r="E778">
        <f>INDEX($M$61:$M$68,B778)</f>
        <v/>
      </c>
      <c r="F778">
        <f>INDEX($N$61:$N$68,B778)</f>
        <v/>
      </c>
      <c r="G778">
        <f>INDEX($AA$61:$AA$68,B778)</f>
        <v/>
      </c>
      <c r="H778">
        <f>INDEX($X$61:$X$68,B778)</f>
        <v/>
      </c>
      <c r="I778">
        <f>INDEX($AF$61:$AF$68,B778)</f>
        <v/>
      </c>
      <c r="J778">
        <f>INDEX($AC$61:$AC$68,B778)</f>
        <v/>
      </c>
      <c r="K778">
        <f>INDEX($AD$61:$AD$68,B778)</f>
        <v/>
      </c>
      <c r="L778">
        <f>INDEX($AG$61:$AG$68,B778)</f>
        <v/>
      </c>
      <c r="M778">
        <f>INDEX($AH$61:$AH$68,B778)</f>
        <v/>
      </c>
      <c r="N778">
        <f>INDEX($AI$61:$AI$68,B778)</f>
        <v/>
      </c>
      <c r="O778">
        <f>O777*$B$26+L778*(1-$B$26)</f>
        <v/>
      </c>
      <c r="P778">
        <f>$B$7*(O778-O777)*(1-AS777)</f>
        <v/>
      </c>
      <c r="Q778">
        <f>M778+0.51274*AT777</f>
        <v/>
      </c>
      <c r="R778">
        <f>N778+0.616*AT777</f>
        <v/>
      </c>
      <c r="S778">
        <f>IF($B$13&gt;=0.6,Q778,IF($B$13&lt;=0.2,R778,R778+2.5*(Q778-R778)*($B$13-0.2)))</f>
        <v/>
      </c>
      <c r="T778">
        <f>IF(A778=1,S778,T777*$B$27+S778*(1-$B$27))</f>
        <v/>
      </c>
      <c r="U778">
        <f>0.6105*EXP(17.27*T778/(T778+237.3))</f>
        <v/>
      </c>
      <c r="V778">
        <f>($B$14*(I778*C778+IF(ABS((D778+0.1)-D778)&lt;0.000000001,4*$B$19*$B$20*(D778+273)^3,$B$19*$B$20*(((D778+0.1)+273)^4-(D778+273)^4)/((D778+0.1)-D778))*D778)+T778/H778)/($B$14*(I778+IF(ABS((D778+0.1)-D778)&lt;0.000000001,4*$B$19*$B$20*(D778+273)^3,$B$19*$B$20*(((D778+0.1)+273)^4-(D778+273)^4)/((D778+0.1)-D778)))+1/H778)</f>
        <v/>
      </c>
      <c r="W778">
        <f>($B$14*(I778*C778+IF(ABS(V778-D778)&lt;0.000000001,4*$B$19*$B$20*(D778+273)^3,$B$19*$B$20*((V778+273)^4-(D778+273)^4)/(V778-D778))*D778)+T778/H778)/($B$14*(I778+IF(ABS(V778-D778)&lt;0.000000001,4*$B$19*$B$20*(D778+273)^3,$B$19*$B$20*((V778+273)^4-(D778+273)^4)/(V778-D778)))+1/H778)</f>
        <v/>
      </c>
      <c r="X778">
        <f>($B$14*(I778*C778+IF(ABS(W778-D778)&lt;0.000000001,4*$B$19*$B$20*(D778+273)^3,$B$19*$B$20*((W778+273)^4-(D778+273)^4)/(W778-D778))*D778)+T778/H778)/($B$14*(I778+IF(ABS(W778-D778)&lt;0.000000001,4*$B$19*$B$20*(D778+273)^3,$B$19*$B$20*((W778+273)^4-(D778+273)^4)/(W778-D778)))+1/H778)</f>
        <v/>
      </c>
      <c r="Y778">
        <f>($B$14*(I778*C778+IF(ABS(X778-D778)&lt;0.000000001,4*$B$19*$B$20*(D778+273)^3,$B$19*$B$20*((X778+273)^4-(D778+273)^4)/(X778-D778))*D778)+T778/H778)/($B$14*(I778+IF(ABS(X778-D778)&lt;0.000000001,4*$B$19*$B$20*(D778+273)^3,$B$19*$B$20*((X778+273)^4-(D778+273)^4)/(X778-D778)))+1/H778)</f>
        <v/>
      </c>
      <c r="Z778">
        <f>IF(ABS(Y778-D778)&lt;0.000000001,4*$B$19*$B$20*(D778+273)^3,$B$19*$B$20*((Y778+273)^4-(D778+273)^4)/(Y778-D778))</f>
        <v/>
      </c>
      <c r="AA778">
        <f>$B$14*I778*(Y778-C778)</f>
        <v/>
      </c>
      <c r="AB778">
        <f>$B$14*Z778*(Y778-D778)</f>
        <v/>
      </c>
      <c r="AC778">
        <f>IF((U778-E778)/G778=0,0.001,(U778-E778)/G778)</f>
        <v/>
      </c>
      <c r="AD778">
        <f>F778-P778-J778-K778-AA778-AB778</f>
        <v/>
      </c>
      <c r="AE778">
        <f>AD778/AC778</f>
        <v/>
      </c>
      <c r="AF778">
        <f>IF(AD778&lt;=0,0,IF(AC778&lt;=0,$B$11,IF(AE778&gt;=1.7,$B$11,MIN(AD778/MAX(0.05,IF(AE778&gt;1,(2-AE778)^2/2,1-AE778^2/2)),$B$11))))</f>
        <v/>
      </c>
      <c r="AG778">
        <f>AG777*$B$28+AF778*(1-$B$28)</f>
        <v/>
      </c>
      <c r="AH778">
        <f>IF(AND(AD778&gt;0,AC778&lt;=0),0,AC778)</f>
        <v/>
      </c>
      <c r="AI778">
        <f>AH778/MAX(AG778,0.000001)</f>
        <v/>
      </c>
      <c r="AJ778">
        <f>MIN(IF(AI778&gt;=0.5,-AI778+SQRT(AI778^2+2),1),$B$12)</f>
        <v/>
      </c>
      <c r="AK778">
        <f>IF(AG778&lt;=0,0,AJ778*AH778)</f>
        <v/>
      </c>
      <c r="AL778">
        <f>IF(AD778&lt;=0,0,AD778)</f>
        <v/>
      </c>
      <c r="AM778">
        <f>AL778-AK778+P778</f>
        <v/>
      </c>
      <c r="AN778">
        <f>((AM778/$B$7+T777*AS777/2-T778*MAX(0.1,MIN(0.3,0.3-0.09*(AR777-36.8)))/2)+AR777*(1-AS777/2))/(1-MAX(0.1,MIN(0.3,0.3-0.09*(AR777-36.8)))/2)</f>
        <v/>
      </c>
      <c r="AO778">
        <f>((AM778/$B$7+T777*AS777/2-T778*MAX(0.1,MIN(0.3,0.3-0.09*(AN778-36.8)))/2)+AR777*(1-AS777/2))/(1-MAX(0.1,MIN(0.3,0.3-0.09*(AN778-36.8)))/2)</f>
        <v/>
      </c>
      <c r="AP778">
        <f>((AM778/$B$7+T777*AS777/2-T778*MAX(0.1,MIN(0.3,0.3-0.09*(AO778-36.8)))/2)+AR777*(1-AS777/2))/(1-MAX(0.1,MIN(0.3,0.3-0.09*(AO778-36.8)))/2)</f>
        <v/>
      </c>
      <c r="AQ778">
        <f>((AM778/$B$7+T777*AS777/2-T778*MAX(0.1,MIN(0.3,0.3-0.09*(AP778-36.8)))/2)+AR777*(1-AS777/2))/(1-MAX(0.1,MIN(0.3,0.3-0.09*(AP778-36.8)))/2)</f>
        <v/>
      </c>
      <c r="AR778">
        <f>((AM778/$B$7+T777*AS777/2-T778*MAX(0.1,MIN(0.3,0.3-0.09*(AQ778-36.8)))/2)+AR777*(1-AS777/2))/(1-MAX(0.1,MIN(0.3,0.3-0.09*(AQ778-36.8)))/2)</f>
        <v/>
      </c>
      <c r="AS778">
        <f>MAX(0.1,MIN(0.3,0.3-0.09*(AR778-36.8)))</f>
        <v/>
      </c>
      <c r="AT778">
        <f>AT777+(2*AR778-1.962*AT777-1.31)/9</f>
        <v/>
      </c>
      <c r="AU778">
        <f>AU777+AG778+K778</f>
        <v/>
      </c>
      <c r="AV778">
        <f>AU778*2.67*$B$6/1.8/60</f>
        <v/>
      </c>
      <c r="AW778">
        <f>IF(AT778&gt;=$B$36,1,0)</f>
        <v/>
      </c>
      <c r="AX778">
        <f>IF(AV778&gt;=$B$21,1,0)</f>
        <v/>
      </c>
    </row>
    <row r="779">
      <c r="A779" t="n">
        <v>706</v>
      </c>
      <c r="B779">
        <f>MATCH(A779-1,$D$61:$D$68,1)</f>
        <v/>
      </c>
      <c r="C779">
        <f>INDEX($G$61:$G$68,B779)</f>
        <v/>
      </c>
      <c r="D779">
        <f>INDEX($L$61:$L$68,B779)</f>
        <v/>
      </c>
      <c r="E779">
        <f>INDEX($M$61:$M$68,B779)</f>
        <v/>
      </c>
      <c r="F779">
        <f>INDEX($N$61:$N$68,B779)</f>
        <v/>
      </c>
      <c r="G779">
        <f>INDEX($AA$61:$AA$68,B779)</f>
        <v/>
      </c>
      <c r="H779">
        <f>INDEX($X$61:$X$68,B779)</f>
        <v/>
      </c>
      <c r="I779">
        <f>INDEX($AF$61:$AF$68,B779)</f>
        <v/>
      </c>
      <c r="J779">
        <f>INDEX($AC$61:$AC$68,B779)</f>
        <v/>
      </c>
      <c r="K779">
        <f>INDEX($AD$61:$AD$68,B779)</f>
        <v/>
      </c>
      <c r="L779">
        <f>INDEX($AG$61:$AG$68,B779)</f>
        <v/>
      </c>
      <c r="M779">
        <f>INDEX($AH$61:$AH$68,B779)</f>
        <v/>
      </c>
      <c r="N779">
        <f>INDEX($AI$61:$AI$68,B779)</f>
        <v/>
      </c>
      <c r="O779">
        <f>O778*$B$26+L779*(1-$B$26)</f>
        <v/>
      </c>
      <c r="P779">
        <f>$B$7*(O779-O778)*(1-AS778)</f>
        <v/>
      </c>
      <c r="Q779">
        <f>M779+0.51274*AT778</f>
        <v/>
      </c>
      <c r="R779">
        <f>N779+0.616*AT778</f>
        <v/>
      </c>
      <c r="S779">
        <f>IF($B$13&gt;=0.6,Q779,IF($B$13&lt;=0.2,R779,R779+2.5*(Q779-R779)*($B$13-0.2)))</f>
        <v/>
      </c>
      <c r="T779">
        <f>IF(A779=1,S779,T778*$B$27+S779*(1-$B$27))</f>
        <v/>
      </c>
      <c r="U779">
        <f>0.6105*EXP(17.27*T779/(T779+237.3))</f>
        <v/>
      </c>
      <c r="V779">
        <f>($B$14*(I779*C779+IF(ABS((D779+0.1)-D779)&lt;0.000000001,4*$B$19*$B$20*(D779+273)^3,$B$19*$B$20*(((D779+0.1)+273)^4-(D779+273)^4)/((D779+0.1)-D779))*D779)+T779/H779)/($B$14*(I779+IF(ABS((D779+0.1)-D779)&lt;0.000000001,4*$B$19*$B$20*(D779+273)^3,$B$19*$B$20*(((D779+0.1)+273)^4-(D779+273)^4)/((D779+0.1)-D779)))+1/H779)</f>
        <v/>
      </c>
      <c r="W779">
        <f>($B$14*(I779*C779+IF(ABS(V779-D779)&lt;0.000000001,4*$B$19*$B$20*(D779+273)^3,$B$19*$B$20*((V779+273)^4-(D779+273)^4)/(V779-D779))*D779)+T779/H779)/($B$14*(I779+IF(ABS(V779-D779)&lt;0.000000001,4*$B$19*$B$20*(D779+273)^3,$B$19*$B$20*((V779+273)^4-(D779+273)^4)/(V779-D779)))+1/H779)</f>
        <v/>
      </c>
      <c r="X779">
        <f>($B$14*(I779*C779+IF(ABS(W779-D779)&lt;0.000000001,4*$B$19*$B$20*(D779+273)^3,$B$19*$B$20*((W779+273)^4-(D779+273)^4)/(W779-D779))*D779)+T779/H779)/($B$14*(I779+IF(ABS(W779-D779)&lt;0.000000001,4*$B$19*$B$20*(D779+273)^3,$B$19*$B$20*((W779+273)^4-(D779+273)^4)/(W779-D779)))+1/H779)</f>
        <v/>
      </c>
      <c r="Y779">
        <f>($B$14*(I779*C779+IF(ABS(X779-D779)&lt;0.000000001,4*$B$19*$B$20*(D779+273)^3,$B$19*$B$20*((X779+273)^4-(D779+273)^4)/(X779-D779))*D779)+T779/H779)/($B$14*(I779+IF(ABS(X779-D779)&lt;0.000000001,4*$B$19*$B$20*(D779+273)^3,$B$19*$B$20*((X779+273)^4-(D779+273)^4)/(X779-D779)))+1/H779)</f>
        <v/>
      </c>
      <c r="Z779">
        <f>IF(ABS(Y779-D779)&lt;0.000000001,4*$B$19*$B$20*(D779+273)^3,$B$19*$B$20*((Y779+273)^4-(D779+273)^4)/(Y779-D779))</f>
        <v/>
      </c>
      <c r="AA779">
        <f>$B$14*I779*(Y779-C779)</f>
        <v/>
      </c>
      <c r="AB779">
        <f>$B$14*Z779*(Y779-D779)</f>
        <v/>
      </c>
      <c r="AC779">
        <f>IF((U779-E779)/G779=0,0.001,(U779-E779)/G779)</f>
        <v/>
      </c>
      <c r="AD779">
        <f>F779-P779-J779-K779-AA779-AB779</f>
        <v/>
      </c>
      <c r="AE779">
        <f>AD779/AC779</f>
        <v/>
      </c>
      <c r="AF779">
        <f>IF(AD779&lt;=0,0,IF(AC779&lt;=0,$B$11,IF(AE779&gt;=1.7,$B$11,MIN(AD779/MAX(0.05,IF(AE779&gt;1,(2-AE779)^2/2,1-AE779^2/2)),$B$11))))</f>
        <v/>
      </c>
      <c r="AG779">
        <f>AG778*$B$28+AF779*(1-$B$28)</f>
        <v/>
      </c>
      <c r="AH779">
        <f>IF(AND(AD779&gt;0,AC779&lt;=0),0,AC779)</f>
        <v/>
      </c>
      <c r="AI779">
        <f>AH779/MAX(AG779,0.000001)</f>
        <v/>
      </c>
      <c r="AJ779">
        <f>MIN(IF(AI779&gt;=0.5,-AI779+SQRT(AI779^2+2),1),$B$12)</f>
        <v/>
      </c>
      <c r="AK779">
        <f>IF(AG779&lt;=0,0,AJ779*AH779)</f>
        <v/>
      </c>
      <c r="AL779">
        <f>IF(AD779&lt;=0,0,AD779)</f>
        <v/>
      </c>
      <c r="AM779">
        <f>AL779-AK779+P779</f>
        <v/>
      </c>
      <c r="AN779">
        <f>((AM779/$B$7+T778*AS778/2-T779*MAX(0.1,MIN(0.3,0.3-0.09*(AR778-36.8)))/2)+AR778*(1-AS778/2))/(1-MAX(0.1,MIN(0.3,0.3-0.09*(AR778-36.8)))/2)</f>
        <v/>
      </c>
      <c r="AO779">
        <f>((AM779/$B$7+T778*AS778/2-T779*MAX(0.1,MIN(0.3,0.3-0.09*(AN779-36.8)))/2)+AR778*(1-AS778/2))/(1-MAX(0.1,MIN(0.3,0.3-0.09*(AN779-36.8)))/2)</f>
        <v/>
      </c>
      <c r="AP779">
        <f>((AM779/$B$7+T778*AS778/2-T779*MAX(0.1,MIN(0.3,0.3-0.09*(AO779-36.8)))/2)+AR778*(1-AS778/2))/(1-MAX(0.1,MIN(0.3,0.3-0.09*(AO779-36.8)))/2)</f>
        <v/>
      </c>
      <c r="AQ779">
        <f>((AM779/$B$7+T778*AS778/2-T779*MAX(0.1,MIN(0.3,0.3-0.09*(AP779-36.8)))/2)+AR778*(1-AS778/2))/(1-MAX(0.1,MIN(0.3,0.3-0.09*(AP779-36.8)))/2)</f>
        <v/>
      </c>
      <c r="AR779">
        <f>((AM779/$B$7+T778*AS778/2-T779*MAX(0.1,MIN(0.3,0.3-0.09*(AQ779-36.8)))/2)+AR778*(1-AS778/2))/(1-MAX(0.1,MIN(0.3,0.3-0.09*(AQ779-36.8)))/2)</f>
        <v/>
      </c>
      <c r="AS779">
        <f>MAX(0.1,MIN(0.3,0.3-0.09*(AR779-36.8)))</f>
        <v/>
      </c>
      <c r="AT779">
        <f>AT778+(2*AR779-1.962*AT778-1.31)/9</f>
        <v/>
      </c>
      <c r="AU779">
        <f>AU778+AG779+K779</f>
        <v/>
      </c>
      <c r="AV779">
        <f>AU779*2.67*$B$6/1.8/60</f>
        <v/>
      </c>
      <c r="AW779">
        <f>IF(AT779&gt;=$B$36,1,0)</f>
        <v/>
      </c>
      <c r="AX779">
        <f>IF(AV779&gt;=$B$21,1,0)</f>
        <v/>
      </c>
    </row>
    <row r="780">
      <c r="A780" t="n">
        <v>707</v>
      </c>
      <c r="B780">
        <f>MATCH(A780-1,$D$61:$D$68,1)</f>
        <v/>
      </c>
      <c r="C780">
        <f>INDEX($G$61:$G$68,B780)</f>
        <v/>
      </c>
      <c r="D780">
        <f>INDEX($L$61:$L$68,B780)</f>
        <v/>
      </c>
      <c r="E780">
        <f>INDEX($M$61:$M$68,B780)</f>
        <v/>
      </c>
      <c r="F780">
        <f>INDEX($N$61:$N$68,B780)</f>
        <v/>
      </c>
      <c r="G780">
        <f>INDEX($AA$61:$AA$68,B780)</f>
        <v/>
      </c>
      <c r="H780">
        <f>INDEX($X$61:$X$68,B780)</f>
        <v/>
      </c>
      <c r="I780">
        <f>INDEX($AF$61:$AF$68,B780)</f>
        <v/>
      </c>
      <c r="J780">
        <f>INDEX($AC$61:$AC$68,B780)</f>
        <v/>
      </c>
      <c r="K780">
        <f>INDEX($AD$61:$AD$68,B780)</f>
        <v/>
      </c>
      <c r="L780">
        <f>INDEX($AG$61:$AG$68,B780)</f>
        <v/>
      </c>
      <c r="M780">
        <f>INDEX($AH$61:$AH$68,B780)</f>
        <v/>
      </c>
      <c r="N780">
        <f>INDEX($AI$61:$AI$68,B780)</f>
        <v/>
      </c>
      <c r="O780">
        <f>O779*$B$26+L780*(1-$B$26)</f>
        <v/>
      </c>
      <c r="P780">
        <f>$B$7*(O780-O779)*(1-AS779)</f>
        <v/>
      </c>
      <c r="Q780">
        <f>M780+0.51274*AT779</f>
        <v/>
      </c>
      <c r="R780">
        <f>N780+0.616*AT779</f>
        <v/>
      </c>
      <c r="S780">
        <f>IF($B$13&gt;=0.6,Q780,IF($B$13&lt;=0.2,R780,R780+2.5*(Q780-R780)*($B$13-0.2)))</f>
        <v/>
      </c>
      <c r="T780">
        <f>IF(A780=1,S780,T779*$B$27+S780*(1-$B$27))</f>
        <v/>
      </c>
      <c r="U780">
        <f>0.6105*EXP(17.27*T780/(T780+237.3))</f>
        <v/>
      </c>
      <c r="V780">
        <f>($B$14*(I780*C780+IF(ABS((D780+0.1)-D780)&lt;0.000000001,4*$B$19*$B$20*(D780+273)^3,$B$19*$B$20*(((D780+0.1)+273)^4-(D780+273)^4)/((D780+0.1)-D780))*D780)+T780/H780)/($B$14*(I780+IF(ABS((D780+0.1)-D780)&lt;0.000000001,4*$B$19*$B$20*(D780+273)^3,$B$19*$B$20*(((D780+0.1)+273)^4-(D780+273)^4)/((D780+0.1)-D780)))+1/H780)</f>
        <v/>
      </c>
      <c r="W780">
        <f>($B$14*(I780*C780+IF(ABS(V780-D780)&lt;0.000000001,4*$B$19*$B$20*(D780+273)^3,$B$19*$B$20*((V780+273)^4-(D780+273)^4)/(V780-D780))*D780)+T780/H780)/($B$14*(I780+IF(ABS(V780-D780)&lt;0.000000001,4*$B$19*$B$20*(D780+273)^3,$B$19*$B$20*((V780+273)^4-(D780+273)^4)/(V780-D780)))+1/H780)</f>
        <v/>
      </c>
      <c r="X780">
        <f>($B$14*(I780*C780+IF(ABS(W780-D780)&lt;0.000000001,4*$B$19*$B$20*(D780+273)^3,$B$19*$B$20*((W780+273)^4-(D780+273)^4)/(W780-D780))*D780)+T780/H780)/($B$14*(I780+IF(ABS(W780-D780)&lt;0.000000001,4*$B$19*$B$20*(D780+273)^3,$B$19*$B$20*((W780+273)^4-(D780+273)^4)/(W780-D780)))+1/H780)</f>
        <v/>
      </c>
      <c r="Y780">
        <f>($B$14*(I780*C780+IF(ABS(X780-D780)&lt;0.000000001,4*$B$19*$B$20*(D780+273)^3,$B$19*$B$20*((X780+273)^4-(D780+273)^4)/(X780-D780))*D780)+T780/H780)/($B$14*(I780+IF(ABS(X780-D780)&lt;0.000000001,4*$B$19*$B$20*(D780+273)^3,$B$19*$B$20*((X780+273)^4-(D780+273)^4)/(X780-D780)))+1/H780)</f>
        <v/>
      </c>
      <c r="Z780">
        <f>IF(ABS(Y780-D780)&lt;0.000000001,4*$B$19*$B$20*(D780+273)^3,$B$19*$B$20*((Y780+273)^4-(D780+273)^4)/(Y780-D780))</f>
        <v/>
      </c>
      <c r="AA780">
        <f>$B$14*I780*(Y780-C780)</f>
        <v/>
      </c>
      <c r="AB780">
        <f>$B$14*Z780*(Y780-D780)</f>
        <v/>
      </c>
      <c r="AC780">
        <f>IF((U780-E780)/G780=0,0.001,(U780-E780)/G780)</f>
        <v/>
      </c>
      <c r="AD780">
        <f>F780-P780-J780-K780-AA780-AB780</f>
        <v/>
      </c>
      <c r="AE780">
        <f>AD780/AC780</f>
        <v/>
      </c>
      <c r="AF780">
        <f>IF(AD780&lt;=0,0,IF(AC780&lt;=0,$B$11,IF(AE780&gt;=1.7,$B$11,MIN(AD780/MAX(0.05,IF(AE780&gt;1,(2-AE780)^2/2,1-AE780^2/2)),$B$11))))</f>
        <v/>
      </c>
      <c r="AG780">
        <f>AG779*$B$28+AF780*(1-$B$28)</f>
        <v/>
      </c>
      <c r="AH780">
        <f>IF(AND(AD780&gt;0,AC780&lt;=0),0,AC780)</f>
        <v/>
      </c>
      <c r="AI780">
        <f>AH780/MAX(AG780,0.000001)</f>
        <v/>
      </c>
      <c r="AJ780">
        <f>MIN(IF(AI780&gt;=0.5,-AI780+SQRT(AI780^2+2),1),$B$12)</f>
        <v/>
      </c>
      <c r="AK780">
        <f>IF(AG780&lt;=0,0,AJ780*AH780)</f>
        <v/>
      </c>
      <c r="AL780">
        <f>IF(AD780&lt;=0,0,AD780)</f>
        <v/>
      </c>
      <c r="AM780">
        <f>AL780-AK780+P780</f>
        <v/>
      </c>
      <c r="AN780">
        <f>((AM780/$B$7+T779*AS779/2-T780*MAX(0.1,MIN(0.3,0.3-0.09*(AR779-36.8)))/2)+AR779*(1-AS779/2))/(1-MAX(0.1,MIN(0.3,0.3-0.09*(AR779-36.8)))/2)</f>
        <v/>
      </c>
      <c r="AO780">
        <f>((AM780/$B$7+T779*AS779/2-T780*MAX(0.1,MIN(0.3,0.3-0.09*(AN780-36.8)))/2)+AR779*(1-AS779/2))/(1-MAX(0.1,MIN(0.3,0.3-0.09*(AN780-36.8)))/2)</f>
        <v/>
      </c>
      <c r="AP780">
        <f>((AM780/$B$7+T779*AS779/2-T780*MAX(0.1,MIN(0.3,0.3-0.09*(AO780-36.8)))/2)+AR779*(1-AS779/2))/(1-MAX(0.1,MIN(0.3,0.3-0.09*(AO780-36.8)))/2)</f>
        <v/>
      </c>
      <c r="AQ780">
        <f>((AM780/$B$7+T779*AS779/2-T780*MAX(0.1,MIN(0.3,0.3-0.09*(AP780-36.8)))/2)+AR779*(1-AS779/2))/(1-MAX(0.1,MIN(0.3,0.3-0.09*(AP780-36.8)))/2)</f>
        <v/>
      </c>
      <c r="AR780">
        <f>((AM780/$B$7+T779*AS779/2-T780*MAX(0.1,MIN(0.3,0.3-0.09*(AQ780-36.8)))/2)+AR779*(1-AS779/2))/(1-MAX(0.1,MIN(0.3,0.3-0.09*(AQ780-36.8)))/2)</f>
        <v/>
      </c>
      <c r="AS780">
        <f>MAX(0.1,MIN(0.3,0.3-0.09*(AR780-36.8)))</f>
        <v/>
      </c>
      <c r="AT780">
        <f>AT779+(2*AR780-1.962*AT779-1.31)/9</f>
        <v/>
      </c>
      <c r="AU780">
        <f>AU779+AG780+K780</f>
        <v/>
      </c>
      <c r="AV780">
        <f>AU780*2.67*$B$6/1.8/60</f>
        <v/>
      </c>
      <c r="AW780">
        <f>IF(AT780&gt;=$B$36,1,0)</f>
        <v/>
      </c>
      <c r="AX780">
        <f>IF(AV780&gt;=$B$21,1,0)</f>
        <v/>
      </c>
    </row>
    <row r="781">
      <c r="A781" t="n">
        <v>708</v>
      </c>
      <c r="B781">
        <f>MATCH(A781-1,$D$61:$D$68,1)</f>
        <v/>
      </c>
      <c r="C781">
        <f>INDEX($G$61:$G$68,B781)</f>
        <v/>
      </c>
      <c r="D781">
        <f>INDEX($L$61:$L$68,B781)</f>
        <v/>
      </c>
      <c r="E781">
        <f>INDEX($M$61:$M$68,B781)</f>
        <v/>
      </c>
      <c r="F781">
        <f>INDEX($N$61:$N$68,B781)</f>
        <v/>
      </c>
      <c r="G781">
        <f>INDEX($AA$61:$AA$68,B781)</f>
        <v/>
      </c>
      <c r="H781">
        <f>INDEX($X$61:$X$68,B781)</f>
        <v/>
      </c>
      <c r="I781">
        <f>INDEX($AF$61:$AF$68,B781)</f>
        <v/>
      </c>
      <c r="J781">
        <f>INDEX($AC$61:$AC$68,B781)</f>
        <v/>
      </c>
      <c r="K781">
        <f>INDEX($AD$61:$AD$68,B781)</f>
        <v/>
      </c>
      <c r="L781">
        <f>INDEX($AG$61:$AG$68,B781)</f>
        <v/>
      </c>
      <c r="M781">
        <f>INDEX($AH$61:$AH$68,B781)</f>
        <v/>
      </c>
      <c r="N781">
        <f>INDEX($AI$61:$AI$68,B781)</f>
        <v/>
      </c>
      <c r="O781">
        <f>O780*$B$26+L781*(1-$B$26)</f>
        <v/>
      </c>
      <c r="P781">
        <f>$B$7*(O781-O780)*(1-AS780)</f>
        <v/>
      </c>
      <c r="Q781">
        <f>M781+0.51274*AT780</f>
        <v/>
      </c>
      <c r="R781">
        <f>N781+0.616*AT780</f>
        <v/>
      </c>
      <c r="S781">
        <f>IF($B$13&gt;=0.6,Q781,IF($B$13&lt;=0.2,R781,R781+2.5*(Q781-R781)*($B$13-0.2)))</f>
        <v/>
      </c>
      <c r="T781">
        <f>IF(A781=1,S781,T780*$B$27+S781*(1-$B$27))</f>
        <v/>
      </c>
      <c r="U781">
        <f>0.6105*EXP(17.27*T781/(T781+237.3))</f>
        <v/>
      </c>
      <c r="V781">
        <f>($B$14*(I781*C781+IF(ABS((D781+0.1)-D781)&lt;0.000000001,4*$B$19*$B$20*(D781+273)^3,$B$19*$B$20*(((D781+0.1)+273)^4-(D781+273)^4)/((D781+0.1)-D781))*D781)+T781/H781)/($B$14*(I781+IF(ABS((D781+0.1)-D781)&lt;0.000000001,4*$B$19*$B$20*(D781+273)^3,$B$19*$B$20*(((D781+0.1)+273)^4-(D781+273)^4)/((D781+0.1)-D781)))+1/H781)</f>
        <v/>
      </c>
      <c r="W781">
        <f>($B$14*(I781*C781+IF(ABS(V781-D781)&lt;0.000000001,4*$B$19*$B$20*(D781+273)^3,$B$19*$B$20*((V781+273)^4-(D781+273)^4)/(V781-D781))*D781)+T781/H781)/($B$14*(I781+IF(ABS(V781-D781)&lt;0.000000001,4*$B$19*$B$20*(D781+273)^3,$B$19*$B$20*((V781+273)^4-(D781+273)^4)/(V781-D781)))+1/H781)</f>
        <v/>
      </c>
      <c r="X781">
        <f>($B$14*(I781*C781+IF(ABS(W781-D781)&lt;0.000000001,4*$B$19*$B$20*(D781+273)^3,$B$19*$B$20*((W781+273)^4-(D781+273)^4)/(W781-D781))*D781)+T781/H781)/($B$14*(I781+IF(ABS(W781-D781)&lt;0.000000001,4*$B$19*$B$20*(D781+273)^3,$B$19*$B$20*((W781+273)^4-(D781+273)^4)/(W781-D781)))+1/H781)</f>
        <v/>
      </c>
      <c r="Y781">
        <f>($B$14*(I781*C781+IF(ABS(X781-D781)&lt;0.000000001,4*$B$19*$B$20*(D781+273)^3,$B$19*$B$20*((X781+273)^4-(D781+273)^4)/(X781-D781))*D781)+T781/H781)/($B$14*(I781+IF(ABS(X781-D781)&lt;0.000000001,4*$B$19*$B$20*(D781+273)^3,$B$19*$B$20*((X781+273)^4-(D781+273)^4)/(X781-D781)))+1/H781)</f>
        <v/>
      </c>
      <c r="Z781">
        <f>IF(ABS(Y781-D781)&lt;0.000000001,4*$B$19*$B$20*(D781+273)^3,$B$19*$B$20*((Y781+273)^4-(D781+273)^4)/(Y781-D781))</f>
        <v/>
      </c>
      <c r="AA781">
        <f>$B$14*I781*(Y781-C781)</f>
        <v/>
      </c>
      <c r="AB781">
        <f>$B$14*Z781*(Y781-D781)</f>
        <v/>
      </c>
      <c r="AC781">
        <f>IF((U781-E781)/G781=0,0.001,(U781-E781)/G781)</f>
        <v/>
      </c>
      <c r="AD781">
        <f>F781-P781-J781-K781-AA781-AB781</f>
        <v/>
      </c>
      <c r="AE781">
        <f>AD781/AC781</f>
        <v/>
      </c>
      <c r="AF781">
        <f>IF(AD781&lt;=0,0,IF(AC781&lt;=0,$B$11,IF(AE781&gt;=1.7,$B$11,MIN(AD781/MAX(0.05,IF(AE781&gt;1,(2-AE781)^2/2,1-AE781^2/2)),$B$11))))</f>
        <v/>
      </c>
      <c r="AG781">
        <f>AG780*$B$28+AF781*(1-$B$28)</f>
        <v/>
      </c>
      <c r="AH781">
        <f>IF(AND(AD781&gt;0,AC781&lt;=0),0,AC781)</f>
        <v/>
      </c>
      <c r="AI781">
        <f>AH781/MAX(AG781,0.000001)</f>
        <v/>
      </c>
      <c r="AJ781">
        <f>MIN(IF(AI781&gt;=0.5,-AI781+SQRT(AI781^2+2),1),$B$12)</f>
        <v/>
      </c>
      <c r="AK781">
        <f>IF(AG781&lt;=0,0,AJ781*AH781)</f>
        <v/>
      </c>
      <c r="AL781">
        <f>IF(AD781&lt;=0,0,AD781)</f>
        <v/>
      </c>
      <c r="AM781">
        <f>AL781-AK781+P781</f>
        <v/>
      </c>
      <c r="AN781">
        <f>((AM781/$B$7+T780*AS780/2-T781*MAX(0.1,MIN(0.3,0.3-0.09*(AR780-36.8)))/2)+AR780*(1-AS780/2))/(1-MAX(0.1,MIN(0.3,0.3-0.09*(AR780-36.8)))/2)</f>
        <v/>
      </c>
      <c r="AO781">
        <f>((AM781/$B$7+T780*AS780/2-T781*MAX(0.1,MIN(0.3,0.3-0.09*(AN781-36.8)))/2)+AR780*(1-AS780/2))/(1-MAX(0.1,MIN(0.3,0.3-0.09*(AN781-36.8)))/2)</f>
        <v/>
      </c>
      <c r="AP781">
        <f>((AM781/$B$7+T780*AS780/2-T781*MAX(0.1,MIN(0.3,0.3-0.09*(AO781-36.8)))/2)+AR780*(1-AS780/2))/(1-MAX(0.1,MIN(0.3,0.3-0.09*(AO781-36.8)))/2)</f>
        <v/>
      </c>
      <c r="AQ781">
        <f>((AM781/$B$7+T780*AS780/2-T781*MAX(0.1,MIN(0.3,0.3-0.09*(AP781-36.8)))/2)+AR780*(1-AS780/2))/(1-MAX(0.1,MIN(0.3,0.3-0.09*(AP781-36.8)))/2)</f>
        <v/>
      </c>
      <c r="AR781">
        <f>((AM781/$B$7+T780*AS780/2-T781*MAX(0.1,MIN(0.3,0.3-0.09*(AQ781-36.8)))/2)+AR780*(1-AS780/2))/(1-MAX(0.1,MIN(0.3,0.3-0.09*(AQ781-36.8)))/2)</f>
        <v/>
      </c>
      <c r="AS781">
        <f>MAX(0.1,MIN(0.3,0.3-0.09*(AR781-36.8)))</f>
        <v/>
      </c>
      <c r="AT781">
        <f>AT780+(2*AR781-1.962*AT780-1.31)/9</f>
        <v/>
      </c>
      <c r="AU781">
        <f>AU780+AG781+K781</f>
        <v/>
      </c>
      <c r="AV781">
        <f>AU781*2.67*$B$6/1.8/60</f>
        <v/>
      </c>
      <c r="AW781">
        <f>IF(AT781&gt;=$B$36,1,0)</f>
        <v/>
      </c>
      <c r="AX781">
        <f>IF(AV781&gt;=$B$21,1,0)</f>
        <v/>
      </c>
    </row>
    <row r="782">
      <c r="A782" t="n">
        <v>709</v>
      </c>
      <c r="B782">
        <f>MATCH(A782-1,$D$61:$D$68,1)</f>
        <v/>
      </c>
      <c r="C782">
        <f>INDEX($G$61:$G$68,B782)</f>
        <v/>
      </c>
      <c r="D782">
        <f>INDEX($L$61:$L$68,B782)</f>
        <v/>
      </c>
      <c r="E782">
        <f>INDEX($M$61:$M$68,B782)</f>
        <v/>
      </c>
      <c r="F782">
        <f>INDEX($N$61:$N$68,B782)</f>
        <v/>
      </c>
      <c r="G782">
        <f>INDEX($AA$61:$AA$68,B782)</f>
        <v/>
      </c>
      <c r="H782">
        <f>INDEX($X$61:$X$68,B782)</f>
        <v/>
      </c>
      <c r="I782">
        <f>INDEX($AF$61:$AF$68,B782)</f>
        <v/>
      </c>
      <c r="J782">
        <f>INDEX($AC$61:$AC$68,B782)</f>
        <v/>
      </c>
      <c r="K782">
        <f>INDEX($AD$61:$AD$68,B782)</f>
        <v/>
      </c>
      <c r="L782">
        <f>INDEX($AG$61:$AG$68,B782)</f>
        <v/>
      </c>
      <c r="M782">
        <f>INDEX($AH$61:$AH$68,B782)</f>
        <v/>
      </c>
      <c r="N782">
        <f>INDEX($AI$61:$AI$68,B782)</f>
        <v/>
      </c>
      <c r="O782">
        <f>O781*$B$26+L782*(1-$B$26)</f>
        <v/>
      </c>
      <c r="P782">
        <f>$B$7*(O782-O781)*(1-AS781)</f>
        <v/>
      </c>
      <c r="Q782">
        <f>M782+0.51274*AT781</f>
        <v/>
      </c>
      <c r="R782">
        <f>N782+0.616*AT781</f>
        <v/>
      </c>
      <c r="S782">
        <f>IF($B$13&gt;=0.6,Q782,IF($B$13&lt;=0.2,R782,R782+2.5*(Q782-R782)*($B$13-0.2)))</f>
        <v/>
      </c>
      <c r="T782">
        <f>IF(A782=1,S782,T781*$B$27+S782*(1-$B$27))</f>
        <v/>
      </c>
      <c r="U782">
        <f>0.6105*EXP(17.27*T782/(T782+237.3))</f>
        <v/>
      </c>
      <c r="V782">
        <f>($B$14*(I782*C782+IF(ABS((D782+0.1)-D782)&lt;0.000000001,4*$B$19*$B$20*(D782+273)^3,$B$19*$B$20*(((D782+0.1)+273)^4-(D782+273)^4)/((D782+0.1)-D782))*D782)+T782/H782)/($B$14*(I782+IF(ABS((D782+0.1)-D782)&lt;0.000000001,4*$B$19*$B$20*(D782+273)^3,$B$19*$B$20*(((D782+0.1)+273)^4-(D782+273)^4)/((D782+0.1)-D782)))+1/H782)</f>
        <v/>
      </c>
      <c r="W782">
        <f>($B$14*(I782*C782+IF(ABS(V782-D782)&lt;0.000000001,4*$B$19*$B$20*(D782+273)^3,$B$19*$B$20*((V782+273)^4-(D782+273)^4)/(V782-D782))*D782)+T782/H782)/($B$14*(I782+IF(ABS(V782-D782)&lt;0.000000001,4*$B$19*$B$20*(D782+273)^3,$B$19*$B$20*((V782+273)^4-(D782+273)^4)/(V782-D782)))+1/H782)</f>
        <v/>
      </c>
      <c r="X782">
        <f>($B$14*(I782*C782+IF(ABS(W782-D782)&lt;0.000000001,4*$B$19*$B$20*(D782+273)^3,$B$19*$B$20*((W782+273)^4-(D782+273)^4)/(W782-D782))*D782)+T782/H782)/($B$14*(I782+IF(ABS(W782-D782)&lt;0.000000001,4*$B$19*$B$20*(D782+273)^3,$B$19*$B$20*((W782+273)^4-(D782+273)^4)/(W782-D782)))+1/H782)</f>
        <v/>
      </c>
      <c r="Y782">
        <f>($B$14*(I782*C782+IF(ABS(X782-D782)&lt;0.000000001,4*$B$19*$B$20*(D782+273)^3,$B$19*$B$20*((X782+273)^4-(D782+273)^4)/(X782-D782))*D782)+T782/H782)/($B$14*(I782+IF(ABS(X782-D782)&lt;0.000000001,4*$B$19*$B$20*(D782+273)^3,$B$19*$B$20*((X782+273)^4-(D782+273)^4)/(X782-D782)))+1/H782)</f>
        <v/>
      </c>
      <c r="Z782">
        <f>IF(ABS(Y782-D782)&lt;0.000000001,4*$B$19*$B$20*(D782+273)^3,$B$19*$B$20*((Y782+273)^4-(D782+273)^4)/(Y782-D782))</f>
        <v/>
      </c>
      <c r="AA782">
        <f>$B$14*I782*(Y782-C782)</f>
        <v/>
      </c>
      <c r="AB782">
        <f>$B$14*Z782*(Y782-D782)</f>
        <v/>
      </c>
      <c r="AC782">
        <f>IF((U782-E782)/G782=0,0.001,(U782-E782)/G782)</f>
        <v/>
      </c>
      <c r="AD782">
        <f>F782-P782-J782-K782-AA782-AB782</f>
        <v/>
      </c>
      <c r="AE782">
        <f>AD782/AC782</f>
        <v/>
      </c>
      <c r="AF782">
        <f>IF(AD782&lt;=0,0,IF(AC782&lt;=0,$B$11,IF(AE782&gt;=1.7,$B$11,MIN(AD782/MAX(0.05,IF(AE782&gt;1,(2-AE782)^2/2,1-AE782^2/2)),$B$11))))</f>
        <v/>
      </c>
      <c r="AG782">
        <f>AG781*$B$28+AF782*(1-$B$28)</f>
        <v/>
      </c>
      <c r="AH782">
        <f>IF(AND(AD782&gt;0,AC782&lt;=0),0,AC782)</f>
        <v/>
      </c>
      <c r="AI782">
        <f>AH782/MAX(AG782,0.000001)</f>
        <v/>
      </c>
      <c r="AJ782">
        <f>MIN(IF(AI782&gt;=0.5,-AI782+SQRT(AI782^2+2),1),$B$12)</f>
        <v/>
      </c>
      <c r="AK782">
        <f>IF(AG782&lt;=0,0,AJ782*AH782)</f>
        <v/>
      </c>
      <c r="AL782">
        <f>IF(AD782&lt;=0,0,AD782)</f>
        <v/>
      </c>
      <c r="AM782">
        <f>AL782-AK782+P782</f>
        <v/>
      </c>
      <c r="AN782">
        <f>((AM782/$B$7+T781*AS781/2-T782*MAX(0.1,MIN(0.3,0.3-0.09*(AR781-36.8)))/2)+AR781*(1-AS781/2))/(1-MAX(0.1,MIN(0.3,0.3-0.09*(AR781-36.8)))/2)</f>
        <v/>
      </c>
      <c r="AO782">
        <f>((AM782/$B$7+T781*AS781/2-T782*MAX(0.1,MIN(0.3,0.3-0.09*(AN782-36.8)))/2)+AR781*(1-AS781/2))/(1-MAX(0.1,MIN(0.3,0.3-0.09*(AN782-36.8)))/2)</f>
        <v/>
      </c>
      <c r="AP782">
        <f>((AM782/$B$7+T781*AS781/2-T782*MAX(0.1,MIN(0.3,0.3-0.09*(AO782-36.8)))/2)+AR781*(1-AS781/2))/(1-MAX(0.1,MIN(0.3,0.3-0.09*(AO782-36.8)))/2)</f>
        <v/>
      </c>
      <c r="AQ782">
        <f>((AM782/$B$7+T781*AS781/2-T782*MAX(0.1,MIN(0.3,0.3-0.09*(AP782-36.8)))/2)+AR781*(1-AS781/2))/(1-MAX(0.1,MIN(0.3,0.3-0.09*(AP782-36.8)))/2)</f>
        <v/>
      </c>
      <c r="AR782">
        <f>((AM782/$B$7+T781*AS781/2-T782*MAX(0.1,MIN(0.3,0.3-0.09*(AQ782-36.8)))/2)+AR781*(1-AS781/2))/(1-MAX(0.1,MIN(0.3,0.3-0.09*(AQ782-36.8)))/2)</f>
        <v/>
      </c>
      <c r="AS782">
        <f>MAX(0.1,MIN(0.3,0.3-0.09*(AR782-36.8)))</f>
        <v/>
      </c>
      <c r="AT782">
        <f>AT781+(2*AR782-1.962*AT781-1.31)/9</f>
        <v/>
      </c>
      <c r="AU782">
        <f>AU781+AG782+K782</f>
        <v/>
      </c>
      <c r="AV782">
        <f>AU782*2.67*$B$6/1.8/60</f>
        <v/>
      </c>
      <c r="AW782">
        <f>IF(AT782&gt;=$B$36,1,0)</f>
        <v/>
      </c>
      <c r="AX782">
        <f>IF(AV782&gt;=$B$21,1,0)</f>
        <v/>
      </c>
    </row>
    <row r="783">
      <c r="A783" t="n">
        <v>710</v>
      </c>
      <c r="B783">
        <f>MATCH(A783-1,$D$61:$D$68,1)</f>
        <v/>
      </c>
      <c r="C783">
        <f>INDEX($G$61:$G$68,B783)</f>
        <v/>
      </c>
      <c r="D783">
        <f>INDEX($L$61:$L$68,B783)</f>
        <v/>
      </c>
      <c r="E783">
        <f>INDEX($M$61:$M$68,B783)</f>
        <v/>
      </c>
      <c r="F783">
        <f>INDEX($N$61:$N$68,B783)</f>
        <v/>
      </c>
      <c r="G783">
        <f>INDEX($AA$61:$AA$68,B783)</f>
        <v/>
      </c>
      <c r="H783">
        <f>INDEX($X$61:$X$68,B783)</f>
        <v/>
      </c>
      <c r="I783">
        <f>INDEX($AF$61:$AF$68,B783)</f>
        <v/>
      </c>
      <c r="J783">
        <f>INDEX($AC$61:$AC$68,B783)</f>
        <v/>
      </c>
      <c r="K783">
        <f>INDEX($AD$61:$AD$68,B783)</f>
        <v/>
      </c>
      <c r="L783">
        <f>INDEX($AG$61:$AG$68,B783)</f>
        <v/>
      </c>
      <c r="M783">
        <f>INDEX($AH$61:$AH$68,B783)</f>
        <v/>
      </c>
      <c r="N783">
        <f>INDEX($AI$61:$AI$68,B783)</f>
        <v/>
      </c>
      <c r="O783">
        <f>O782*$B$26+L783*(1-$B$26)</f>
        <v/>
      </c>
      <c r="P783">
        <f>$B$7*(O783-O782)*(1-AS782)</f>
        <v/>
      </c>
      <c r="Q783">
        <f>M783+0.51274*AT782</f>
        <v/>
      </c>
      <c r="R783">
        <f>N783+0.616*AT782</f>
        <v/>
      </c>
      <c r="S783">
        <f>IF($B$13&gt;=0.6,Q783,IF($B$13&lt;=0.2,R783,R783+2.5*(Q783-R783)*($B$13-0.2)))</f>
        <v/>
      </c>
      <c r="T783">
        <f>IF(A783=1,S783,T782*$B$27+S783*(1-$B$27))</f>
        <v/>
      </c>
      <c r="U783">
        <f>0.6105*EXP(17.27*T783/(T783+237.3))</f>
        <v/>
      </c>
      <c r="V783">
        <f>($B$14*(I783*C783+IF(ABS((D783+0.1)-D783)&lt;0.000000001,4*$B$19*$B$20*(D783+273)^3,$B$19*$B$20*(((D783+0.1)+273)^4-(D783+273)^4)/((D783+0.1)-D783))*D783)+T783/H783)/($B$14*(I783+IF(ABS((D783+0.1)-D783)&lt;0.000000001,4*$B$19*$B$20*(D783+273)^3,$B$19*$B$20*(((D783+0.1)+273)^4-(D783+273)^4)/((D783+0.1)-D783)))+1/H783)</f>
        <v/>
      </c>
      <c r="W783">
        <f>($B$14*(I783*C783+IF(ABS(V783-D783)&lt;0.000000001,4*$B$19*$B$20*(D783+273)^3,$B$19*$B$20*((V783+273)^4-(D783+273)^4)/(V783-D783))*D783)+T783/H783)/($B$14*(I783+IF(ABS(V783-D783)&lt;0.000000001,4*$B$19*$B$20*(D783+273)^3,$B$19*$B$20*((V783+273)^4-(D783+273)^4)/(V783-D783)))+1/H783)</f>
        <v/>
      </c>
      <c r="X783">
        <f>($B$14*(I783*C783+IF(ABS(W783-D783)&lt;0.000000001,4*$B$19*$B$20*(D783+273)^3,$B$19*$B$20*((W783+273)^4-(D783+273)^4)/(W783-D783))*D783)+T783/H783)/($B$14*(I783+IF(ABS(W783-D783)&lt;0.000000001,4*$B$19*$B$20*(D783+273)^3,$B$19*$B$20*((W783+273)^4-(D783+273)^4)/(W783-D783)))+1/H783)</f>
        <v/>
      </c>
      <c r="Y783">
        <f>($B$14*(I783*C783+IF(ABS(X783-D783)&lt;0.000000001,4*$B$19*$B$20*(D783+273)^3,$B$19*$B$20*((X783+273)^4-(D783+273)^4)/(X783-D783))*D783)+T783/H783)/($B$14*(I783+IF(ABS(X783-D783)&lt;0.000000001,4*$B$19*$B$20*(D783+273)^3,$B$19*$B$20*((X783+273)^4-(D783+273)^4)/(X783-D783)))+1/H783)</f>
        <v/>
      </c>
      <c r="Z783">
        <f>IF(ABS(Y783-D783)&lt;0.000000001,4*$B$19*$B$20*(D783+273)^3,$B$19*$B$20*((Y783+273)^4-(D783+273)^4)/(Y783-D783))</f>
        <v/>
      </c>
      <c r="AA783">
        <f>$B$14*I783*(Y783-C783)</f>
        <v/>
      </c>
      <c r="AB783">
        <f>$B$14*Z783*(Y783-D783)</f>
        <v/>
      </c>
      <c r="AC783">
        <f>IF((U783-E783)/G783=0,0.001,(U783-E783)/G783)</f>
        <v/>
      </c>
      <c r="AD783">
        <f>F783-P783-J783-K783-AA783-AB783</f>
        <v/>
      </c>
      <c r="AE783">
        <f>AD783/AC783</f>
        <v/>
      </c>
      <c r="AF783">
        <f>IF(AD783&lt;=0,0,IF(AC783&lt;=0,$B$11,IF(AE783&gt;=1.7,$B$11,MIN(AD783/MAX(0.05,IF(AE783&gt;1,(2-AE783)^2/2,1-AE783^2/2)),$B$11))))</f>
        <v/>
      </c>
      <c r="AG783">
        <f>AG782*$B$28+AF783*(1-$B$28)</f>
        <v/>
      </c>
      <c r="AH783">
        <f>IF(AND(AD783&gt;0,AC783&lt;=0),0,AC783)</f>
        <v/>
      </c>
      <c r="AI783">
        <f>AH783/MAX(AG783,0.000001)</f>
        <v/>
      </c>
      <c r="AJ783">
        <f>MIN(IF(AI783&gt;=0.5,-AI783+SQRT(AI783^2+2),1),$B$12)</f>
        <v/>
      </c>
      <c r="AK783">
        <f>IF(AG783&lt;=0,0,AJ783*AH783)</f>
        <v/>
      </c>
      <c r="AL783">
        <f>IF(AD783&lt;=0,0,AD783)</f>
        <v/>
      </c>
      <c r="AM783">
        <f>AL783-AK783+P783</f>
        <v/>
      </c>
      <c r="AN783">
        <f>((AM783/$B$7+T782*AS782/2-T783*MAX(0.1,MIN(0.3,0.3-0.09*(AR782-36.8)))/2)+AR782*(1-AS782/2))/(1-MAX(0.1,MIN(0.3,0.3-0.09*(AR782-36.8)))/2)</f>
        <v/>
      </c>
      <c r="AO783">
        <f>((AM783/$B$7+T782*AS782/2-T783*MAX(0.1,MIN(0.3,0.3-0.09*(AN783-36.8)))/2)+AR782*(1-AS782/2))/(1-MAX(0.1,MIN(0.3,0.3-0.09*(AN783-36.8)))/2)</f>
        <v/>
      </c>
      <c r="AP783">
        <f>((AM783/$B$7+T782*AS782/2-T783*MAX(0.1,MIN(0.3,0.3-0.09*(AO783-36.8)))/2)+AR782*(1-AS782/2))/(1-MAX(0.1,MIN(0.3,0.3-0.09*(AO783-36.8)))/2)</f>
        <v/>
      </c>
      <c r="AQ783">
        <f>((AM783/$B$7+T782*AS782/2-T783*MAX(0.1,MIN(0.3,0.3-0.09*(AP783-36.8)))/2)+AR782*(1-AS782/2))/(1-MAX(0.1,MIN(0.3,0.3-0.09*(AP783-36.8)))/2)</f>
        <v/>
      </c>
      <c r="AR783">
        <f>((AM783/$B$7+T782*AS782/2-T783*MAX(0.1,MIN(0.3,0.3-0.09*(AQ783-36.8)))/2)+AR782*(1-AS782/2))/(1-MAX(0.1,MIN(0.3,0.3-0.09*(AQ783-36.8)))/2)</f>
        <v/>
      </c>
      <c r="AS783">
        <f>MAX(0.1,MIN(0.3,0.3-0.09*(AR783-36.8)))</f>
        <v/>
      </c>
      <c r="AT783">
        <f>AT782+(2*AR783-1.962*AT782-1.31)/9</f>
        <v/>
      </c>
      <c r="AU783">
        <f>AU782+AG783+K783</f>
        <v/>
      </c>
      <c r="AV783">
        <f>AU783*2.67*$B$6/1.8/60</f>
        <v/>
      </c>
      <c r="AW783">
        <f>IF(AT783&gt;=$B$36,1,0)</f>
        <v/>
      </c>
      <c r="AX783">
        <f>IF(AV783&gt;=$B$21,1,0)</f>
        <v/>
      </c>
    </row>
    <row r="784">
      <c r="A784" t="n">
        <v>711</v>
      </c>
      <c r="B784">
        <f>MATCH(A784-1,$D$61:$D$68,1)</f>
        <v/>
      </c>
      <c r="C784">
        <f>INDEX($G$61:$G$68,B784)</f>
        <v/>
      </c>
      <c r="D784">
        <f>INDEX($L$61:$L$68,B784)</f>
        <v/>
      </c>
      <c r="E784">
        <f>INDEX($M$61:$M$68,B784)</f>
        <v/>
      </c>
      <c r="F784">
        <f>INDEX($N$61:$N$68,B784)</f>
        <v/>
      </c>
      <c r="G784">
        <f>INDEX($AA$61:$AA$68,B784)</f>
        <v/>
      </c>
      <c r="H784">
        <f>INDEX($X$61:$X$68,B784)</f>
        <v/>
      </c>
      <c r="I784">
        <f>INDEX($AF$61:$AF$68,B784)</f>
        <v/>
      </c>
      <c r="J784">
        <f>INDEX($AC$61:$AC$68,B784)</f>
        <v/>
      </c>
      <c r="K784">
        <f>INDEX($AD$61:$AD$68,B784)</f>
        <v/>
      </c>
      <c r="L784">
        <f>INDEX($AG$61:$AG$68,B784)</f>
        <v/>
      </c>
      <c r="M784">
        <f>INDEX($AH$61:$AH$68,B784)</f>
        <v/>
      </c>
      <c r="N784">
        <f>INDEX($AI$61:$AI$68,B784)</f>
        <v/>
      </c>
      <c r="O784">
        <f>O783*$B$26+L784*(1-$B$26)</f>
        <v/>
      </c>
      <c r="P784">
        <f>$B$7*(O784-O783)*(1-AS783)</f>
        <v/>
      </c>
      <c r="Q784">
        <f>M784+0.51274*AT783</f>
        <v/>
      </c>
      <c r="R784">
        <f>N784+0.616*AT783</f>
        <v/>
      </c>
      <c r="S784">
        <f>IF($B$13&gt;=0.6,Q784,IF($B$13&lt;=0.2,R784,R784+2.5*(Q784-R784)*($B$13-0.2)))</f>
        <v/>
      </c>
      <c r="T784">
        <f>IF(A784=1,S784,T783*$B$27+S784*(1-$B$27))</f>
        <v/>
      </c>
      <c r="U784">
        <f>0.6105*EXP(17.27*T784/(T784+237.3))</f>
        <v/>
      </c>
      <c r="V784">
        <f>($B$14*(I784*C784+IF(ABS((D784+0.1)-D784)&lt;0.000000001,4*$B$19*$B$20*(D784+273)^3,$B$19*$B$20*(((D784+0.1)+273)^4-(D784+273)^4)/((D784+0.1)-D784))*D784)+T784/H784)/($B$14*(I784+IF(ABS((D784+0.1)-D784)&lt;0.000000001,4*$B$19*$B$20*(D784+273)^3,$B$19*$B$20*(((D784+0.1)+273)^4-(D784+273)^4)/((D784+0.1)-D784)))+1/H784)</f>
        <v/>
      </c>
      <c r="W784">
        <f>($B$14*(I784*C784+IF(ABS(V784-D784)&lt;0.000000001,4*$B$19*$B$20*(D784+273)^3,$B$19*$B$20*((V784+273)^4-(D784+273)^4)/(V784-D784))*D784)+T784/H784)/($B$14*(I784+IF(ABS(V784-D784)&lt;0.000000001,4*$B$19*$B$20*(D784+273)^3,$B$19*$B$20*((V784+273)^4-(D784+273)^4)/(V784-D784)))+1/H784)</f>
        <v/>
      </c>
      <c r="X784">
        <f>($B$14*(I784*C784+IF(ABS(W784-D784)&lt;0.000000001,4*$B$19*$B$20*(D784+273)^3,$B$19*$B$20*((W784+273)^4-(D784+273)^4)/(W784-D784))*D784)+T784/H784)/($B$14*(I784+IF(ABS(W784-D784)&lt;0.000000001,4*$B$19*$B$20*(D784+273)^3,$B$19*$B$20*((W784+273)^4-(D784+273)^4)/(W784-D784)))+1/H784)</f>
        <v/>
      </c>
      <c r="Y784">
        <f>($B$14*(I784*C784+IF(ABS(X784-D784)&lt;0.000000001,4*$B$19*$B$20*(D784+273)^3,$B$19*$B$20*((X784+273)^4-(D784+273)^4)/(X784-D784))*D784)+T784/H784)/($B$14*(I784+IF(ABS(X784-D784)&lt;0.000000001,4*$B$19*$B$20*(D784+273)^3,$B$19*$B$20*((X784+273)^4-(D784+273)^4)/(X784-D784)))+1/H784)</f>
        <v/>
      </c>
      <c r="Z784">
        <f>IF(ABS(Y784-D784)&lt;0.000000001,4*$B$19*$B$20*(D784+273)^3,$B$19*$B$20*((Y784+273)^4-(D784+273)^4)/(Y784-D784))</f>
        <v/>
      </c>
      <c r="AA784">
        <f>$B$14*I784*(Y784-C784)</f>
        <v/>
      </c>
      <c r="AB784">
        <f>$B$14*Z784*(Y784-D784)</f>
        <v/>
      </c>
      <c r="AC784">
        <f>IF((U784-E784)/G784=0,0.001,(U784-E784)/G784)</f>
        <v/>
      </c>
      <c r="AD784">
        <f>F784-P784-J784-K784-AA784-AB784</f>
        <v/>
      </c>
      <c r="AE784">
        <f>AD784/AC784</f>
        <v/>
      </c>
      <c r="AF784">
        <f>IF(AD784&lt;=0,0,IF(AC784&lt;=0,$B$11,IF(AE784&gt;=1.7,$B$11,MIN(AD784/MAX(0.05,IF(AE784&gt;1,(2-AE784)^2/2,1-AE784^2/2)),$B$11))))</f>
        <v/>
      </c>
      <c r="AG784">
        <f>AG783*$B$28+AF784*(1-$B$28)</f>
        <v/>
      </c>
      <c r="AH784">
        <f>IF(AND(AD784&gt;0,AC784&lt;=0),0,AC784)</f>
        <v/>
      </c>
      <c r="AI784">
        <f>AH784/MAX(AG784,0.000001)</f>
        <v/>
      </c>
      <c r="AJ784">
        <f>MIN(IF(AI784&gt;=0.5,-AI784+SQRT(AI784^2+2),1),$B$12)</f>
        <v/>
      </c>
      <c r="AK784">
        <f>IF(AG784&lt;=0,0,AJ784*AH784)</f>
        <v/>
      </c>
      <c r="AL784">
        <f>IF(AD784&lt;=0,0,AD784)</f>
        <v/>
      </c>
      <c r="AM784">
        <f>AL784-AK784+P784</f>
        <v/>
      </c>
      <c r="AN784">
        <f>((AM784/$B$7+T783*AS783/2-T784*MAX(0.1,MIN(0.3,0.3-0.09*(AR783-36.8)))/2)+AR783*(1-AS783/2))/(1-MAX(0.1,MIN(0.3,0.3-0.09*(AR783-36.8)))/2)</f>
        <v/>
      </c>
      <c r="AO784">
        <f>((AM784/$B$7+T783*AS783/2-T784*MAX(0.1,MIN(0.3,0.3-0.09*(AN784-36.8)))/2)+AR783*(1-AS783/2))/(1-MAX(0.1,MIN(0.3,0.3-0.09*(AN784-36.8)))/2)</f>
        <v/>
      </c>
      <c r="AP784">
        <f>((AM784/$B$7+T783*AS783/2-T784*MAX(0.1,MIN(0.3,0.3-0.09*(AO784-36.8)))/2)+AR783*(1-AS783/2))/(1-MAX(0.1,MIN(0.3,0.3-0.09*(AO784-36.8)))/2)</f>
        <v/>
      </c>
      <c r="AQ784">
        <f>((AM784/$B$7+T783*AS783/2-T784*MAX(0.1,MIN(0.3,0.3-0.09*(AP784-36.8)))/2)+AR783*(1-AS783/2))/(1-MAX(0.1,MIN(0.3,0.3-0.09*(AP784-36.8)))/2)</f>
        <v/>
      </c>
      <c r="AR784">
        <f>((AM784/$B$7+T783*AS783/2-T784*MAX(0.1,MIN(0.3,0.3-0.09*(AQ784-36.8)))/2)+AR783*(1-AS783/2))/(1-MAX(0.1,MIN(0.3,0.3-0.09*(AQ784-36.8)))/2)</f>
        <v/>
      </c>
      <c r="AS784">
        <f>MAX(0.1,MIN(0.3,0.3-0.09*(AR784-36.8)))</f>
        <v/>
      </c>
      <c r="AT784">
        <f>AT783+(2*AR784-1.962*AT783-1.31)/9</f>
        <v/>
      </c>
      <c r="AU784">
        <f>AU783+AG784+K784</f>
        <v/>
      </c>
      <c r="AV784">
        <f>AU784*2.67*$B$6/1.8/60</f>
        <v/>
      </c>
      <c r="AW784">
        <f>IF(AT784&gt;=$B$36,1,0)</f>
        <v/>
      </c>
      <c r="AX784">
        <f>IF(AV784&gt;=$B$21,1,0)</f>
        <v/>
      </c>
    </row>
    <row r="785">
      <c r="A785" t="n">
        <v>712</v>
      </c>
      <c r="B785">
        <f>MATCH(A785-1,$D$61:$D$68,1)</f>
        <v/>
      </c>
      <c r="C785">
        <f>INDEX($G$61:$G$68,B785)</f>
        <v/>
      </c>
      <c r="D785">
        <f>INDEX($L$61:$L$68,B785)</f>
        <v/>
      </c>
      <c r="E785">
        <f>INDEX($M$61:$M$68,B785)</f>
        <v/>
      </c>
      <c r="F785">
        <f>INDEX($N$61:$N$68,B785)</f>
        <v/>
      </c>
      <c r="G785">
        <f>INDEX($AA$61:$AA$68,B785)</f>
        <v/>
      </c>
      <c r="H785">
        <f>INDEX($X$61:$X$68,B785)</f>
        <v/>
      </c>
      <c r="I785">
        <f>INDEX($AF$61:$AF$68,B785)</f>
        <v/>
      </c>
      <c r="J785">
        <f>INDEX($AC$61:$AC$68,B785)</f>
        <v/>
      </c>
      <c r="K785">
        <f>INDEX($AD$61:$AD$68,B785)</f>
        <v/>
      </c>
      <c r="L785">
        <f>INDEX($AG$61:$AG$68,B785)</f>
        <v/>
      </c>
      <c r="M785">
        <f>INDEX($AH$61:$AH$68,B785)</f>
        <v/>
      </c>
      <c r="N785">
        <f>INDEX($AI$61:$AI$68,B785)</f>
        <v/>
      </c>
      <c r="O785">
        <f>O784*$B$26+L785*(1-$B$26)</f>
        <v/>
      </c>
      <c r="P785">
        <f>$B$7*(O785-O784)*(1-AS784)</f>
        <v/>
      </c>
      <c r="Q785">
        <f>M785+0.51274*AT784</f>
        <v/>
      </c>
      <c r="R785">
        <f>N785+0.616*AT784</f>
        <v/>
      </c>
      <c r="S785">
        <f>IF($B$13&gt;=0.6,Q785,IF($B$13&lt;=0.2,R785,R785+2.5*(Q785-R785)*($B$13-0.2)))</f>
        <v/>
      </c>
      <c r="T785">
        <f>IF(A785=1,S785,T784*$B$27+S785*(1-$B$27))</f>
        <v/>
      </c>
      <c r="U785">
        <f>0.6105*EXP(17.27*T785/(T785+237.3))</f>
        <v/>
      </c>
      <c r="V785">
        <f>($B$14*(I785*C785+IF(ABS((D785+0.1)-D785)&lt;0.000000001,4*$B$19*$B$20*(D785+273)^3,$B$19*$B$20*(((D785+0.1)+273)^4-(D785+273)^4)/((D785+0.1)-D785))*D785)+T785/H785)/($B$14*(I785+IF(ABS((D785+0.1)-D785)&lt;0.000000001,4*$B$19*$B$20*(D785+273)^3,$B$19*$B$20*(((D785+0.1)+273)^4-(D785+273)^4)/((D785+0.1)-D785)))+1/H785)</f>
        <v/>
      </c>
      <c r="W785">
        <f>($B$14*(I785*C785+IF(ABS(V785-D785)&lt;0.000000001,4*$B$19*$B$20*(D785+273)^3,$B$19*$B$20*((V785+273)^4-(D785+273)^4)/(V785-D785))*D785)+T785/H785)/($B$14*(I785+IF(ABS(V785-D785)&lt;0.000000001,4*$B$19*$B$20*(D785+273)^3,$B$19*$B$20*((V785+273)^4-(D785+273)^4)/(V785-D785)))+1/H785)</f>
        <v/>
      </c>
      <c r="X785">
        <f>($B$14*(I785*C785+IF(ABS(W785-D785)&lt;0.000000001,4*$B$19*$B$20*(D785+273)^3,$B$19*$B$20*((W785+273)^4-(D785+273)^4)/(W785-D785))*D785)+T785/H785)/($B$14*(I785+IF(ABS(W785-D785)&lt;0.000000001,4*$B$19*$B$20*(D785+273)^3,$B$19*$B$20*((W785+273)^4-(D785+273)^4)/(W785-D785)))+1/H785)</f>
        <v/>
      </c>
      <c r="Y785">
        <f>($B$14*(I785*C785+IF(ABS(X785-D785)&lt;0.000000001,4*$B$19*$B$20*(D785+273)^3,$B$19*$B$20*((X785+273)^4-(D785+273)^4)/(X785-D785))*D785)+T785/H785)/($B$14*(I785+IF(ABS(X785-D785)&lt;0.000000001,4*$B$19*$B$20*(D785+273)^3,$B$19*$B$20*((X785+273)^4-(D785+273)^4)/(X785-D785)))+1/H785)</f>
        <v/>
      </c>
      <c r="Z785">
        <f>IF(ABS(Y785-D785)&lt;0.000000001,4*$B$19*$B$20*(D785+273)^3,$B$19*$B$20*((Y785+273)^4-(D785+273)^4)/(Y785-D785))</f>
        <v/>
      </c>
      <c r="AA785">
        <f>$B$14*I785*(Y785-C785)</f>
        <v/>
      </c>
      <c r="AB785">
        <f>$B$14*Z785*(Y785-D785)</f>
        <v/>
      </c>
      <c r="AC785">
        <f>IF((U785-E785)/G785=0,0.001,(U785-E785)/G785)</f>
        <v/>
      </c>
      <c r="AD785">
        <f>F785-P785-J785-K785-AA785-AB785</f>
        <v/>
      </c>
      <c r="AE785">
        <f>AD785/AC785</f>
        <v/>
      </c>
      <c r="AF785">
        <f>IF(AD785&lt;=0,0,IF(AC785&lt;=0,$B$11,IF(AE785&gt;=1.7,$B$11,MIN(AD785/MAX(0.05,IF(AE785&gt;1,(2-AE785)^2/2,1-AE785^2/2)),$B$11))))</f>
        <v/>
      </c>
      <c r="AG785">
        <f>AG784*$B$28+AF785*(1-$B$28)</f>
        <v/>
      </c>
      <c r="AH785">
        <f>IF(AND(AD785&gt;0,AC785&lt;=0),0,AC785)</f>
        <v/>
      </c>
      <c r="AI785">
        <f>AH785/MAX(AG785,0.000001)</f>
        <v/>
      </c>
      <c r="AJ785">
        <f>MIN(IF(AI785&gt;=0.5,-AI785+SQRT(AI785^2+2),1),$B$12)</f>
        <v/>
      </c>
      <c r="AK785">
        <f>IF(AG785&lt;=0,0,AJ785*AH785)</f>
        <v/>
      </c>
      <c r="AL785">
        <f>IF(AD785&lt;=0,0,AD785)</f>
        <v/>
      </c>
      <c r="AM785">
        <f>AL785-AK785+P785</f>
        <v/>
      </c>
      <c r="AN785">
        <f>((AM785/$B$7+T784*AS784/2-T785*MAX(0.1,MIN(0.3,0.3-0.09*(AR784-36.8)))/2)+AR784*(1-AS784/2))/(1-MAX(0.1,MIN(0.3,0.3-0.09*(AR784-36.8)))/2)</f>
        <v/>
      </c>
      <c r="AO785">
        <f>((AM785/$B$7+T784*AS784/2-T785*MAX(0.1,MIN(0.3,0.3-0.09*(AN785-36.8)))/2)+AR784*(1-AS784/2))/(1-MAX(0.1,MIN(0.3,0.3-0.09*(AN785-36.8)))/2)</f>
        <v/>
      </c>
      <c r="AP785">
        <f>((AM785/$B$7+T784*AS784/2-T785*MAX(0.1,MIN(0.3,0.3-0.09*(AO785-36.8)))/2)+AR784*(1-AS784/2))/(1-MAX(0.1,MIN(0.3,0.3-0.09*(AO785-36.8)))/2)</f>
        <v/>
      </c>
      <c r="AQ785">
        <f>((AM785/$B$7+T784*AS784/2-T785*MAX(0.1,MIN(0.3,0.3-0.09*(AP785-36.8)))/2)+AR784*(1-AS784/2))/(1-MAX(0.1,MIN(0.3,0.3-0.09*(AP785-36.8)))/2)</f>
        <v/>
      </c>
      <c r="AR785">
        <f>((AM785/$B$7+T784*AS784/2-T785*MAX(0.1,MIN(0.3,0.3-0.09*(AQ785-36.8)))/2)+AR784*(1-AS784/2))/(1-MAX(0.1,MIN(0.3,0.3-0.09*(AQ785-36.8)))/2)</f>
        <v/>
      </c>
      <c r="AS785">
        <f>MAX(0.1,MIN(0.3,0.3-0.09*(AR785-36.8)))</f>
        <v/>
      </c>
      <c r="AT785">
        <f>AT784+(2*AR785-1.962*AT784-1.31)/9</f>
        <v/>
      </c>
      <c r="AU785">
        <f>AU784+AG785+K785</f>
        <v/>
      </c>
      <c r="AV785">
        <f>AU785*2.67*$B$6/1.8/60</f>
        <v/>
      </c>
      <c r="AW785">
        <f>IF(AT785&gt;=$B$36,1,0)</f>
        <v/>
      </c>
      <c r="AX785">
        <f>IF(AV785&gt;=$B$21,1,0)</f>
        <v/>
      </c>
    </row>
    <row r="786">
      <c r="A786" t="n">
        <v>713</v>
      </c>
      <c r="B786">
        <f>MATCH(A786-1,$D$61:$D$68,1)</f>
        <v/>
      </c>
      <c r="C786">
        <f>INDEX($G$61:$G$68,B786)</f>
        <v/>
      </c>
      <c r="D786">
        <f>INDEX($L$61:$L$68,B786)</f>
        <v/>
      </c>
      <c r="E786">
        <f>INDEX($M$61:$M$68,B786)</f>
        <v/>
      </c>
      <c r="F786">
        <f>INDEX($N$61:$N$68,B786)</f>
        <v/>
      </c>
      <c r="G786">
        <f>INDEX($AA$61:$AA$68,B786)</f>
        <v/>
      </c>
      <c r="H786">
        <f>INDEX($X$61:$X$68,B786)</f>
        <v/>
      </c>
      <c r="I786">
        <f>INDEX($AF$61:$AF$68,B786)</f>
        <v/>
      </c>
      <c r="J786">
        <f>INDEX($AC$61:$AC$68,B786)</f>
        <v/>
      </c>
      <c r="K786">
        <f>INDEX($AD$61:$AD$68,B786)</f>
        <v/>
      </c>
      <c r="L786">
        <f>INDEX($AG$61:$AG$68,B786)</f>
        <v/>
      </c>
      <c r="M786">
        <f>INDEX($AH$61:$AH$68,B786)</f>
        <v/>
      </c>
      <c r="N786">
        <f>INDEX($AI$61:$AI$68,B786)</f>
        <v/>
      </c>
      <c r="O786">
        <f>O785*$B$26+L786*(1-$B$26)</f>
        <v/>
      </c>
      <c r="P786">
        <f>$B$7*(O786-O785)*(1-AS785)</f>
        <v/>
      </c>
      <c r="Q786">
        <f>M786+0.51274*AT785</f>
        <v/>
      </c>
      <c r="R786">
        <f>N786+0.616*AT785</f>
        <v/>
      </c>
      <c r="S786">
        <f>IF($B$13&gt;=0.6,Q786,IF($B$13&lt;=0.2,R786,R786+2.5*(Q786-R786)*($B$13-0.2)))</f>
        <v/>
      </c>
      <c r="T786">
        <f>IF(A786=1,S786,T785*$B$27+S786*(1-$B$27))</f>
        <v/>
      </c>
      <c r="U786">
        <f>0.6105*EXP(17.27*T786/(T786+237.3))</f>
        <v/>
      </c>
      <c r="V786">
        <f>($B$14*(I786*C786+IF(ABS((D786+0.1)-D786)&lt;0.000000001,4*$B$19*$B$20*(D786+273)^3,$B$19*$B$20*(((D786+0.1)+273)^4-(D786+273)^4)/((D786+0.1)-D786))*D786)+T786/H786)/($B$14*(I786+IF(ABS((D786+0.1)-D786)&lt;0.000000001,4*$B$19*$B$20*(D786+273)^3,$B$19*$B$20*(((D786+0.1)+273)^4-(D786+273)^4)/((D786+0.1)-D786)))+1/H786)</f>
        <v/>
      </c>
      <c r="W786">
        <f>($B$14*(I786*C786+IF(ABS(V786-D786)&lt;0.000000001,4*$B$19*$B$20*(D786+273)^3,$B$19*$B$20*((V786+273)^4-(D786+273)^4)/(V786-D786))*D786)+T786/H786)/($B$14*(I786+IF(ABS(V786-D786)&lt;0.000000001,4*$B$19*$B$20*(D786+273)^3,$B$19*$B$20*((V786+273)^4-(D786+273)^4)/(V786-D786)))+1/H786)</f>
        <v/>
      </c>
      <c r="X786">
        <f>($B$14*(I786*C786+IF(ABS(W786-D786)&lt;0.000000001,4*$B$19*$B$20*(D786+273)^3,$B$19*$B$20*((W786+273)^4-(D786+273)^4)/(W786-D786))*D786)+T786/H786)/($B$14*(I786+IF(ABS(W786-D786)&lt;0.000000001,4*$B$19*$B$20*(D786+273)^3,$B$19*$B$20*((W786+273)^4-(D786+273)^4)/(W786-D786)))+1/H786)</f>
        <v/>
      </c>
      <c r="Y786">
        <f>($B$14*(I786*C786+IF(ABS(X786-D786)&lt;0.000000001,4*$B$19*$B$20*(D786+273)^3,$B$19*$B$20*((X786+273)^4-(D786+273)^4)/(X786-D786))*D786)+T786/H786)/($B$14*(I786+IF(ABS(X786-D786)&lt;0.000000001,4*$B$19*$B$20*(D786+273)^3,$B$19*$B$20*((X786+273)^4-(D786+273)^4)/(X786-D786)))+1/H786)</f>
        <v/>
      </c>
      <c r="Z786">
        <f>IF(ABS(Y786-D786)&lt;0.000000001,4*$B$19*$B$20*(D786+273)^3,$B$19*$B$20*((Y786+273)^4-(D786+273)^4)/(Y786-D786))</f>
        <v/>
      </c>
      <c r="AA786">
        <f>$B$14*I786*(Y786-C786)</f>
        <v/>
      </c>
      <c r="AB786">
        <f>$B$14*Z786*(Y786-D786)</f>
        <v/>
      </c>
      <c r="AC786">
        <f>IF((U786-E786)/G786=0,0.001,(U786-E786)/G786)</f>
        <v/>
      </c>
      <c r="AD786">
        <f>F786-P786-J786-K786-AA786-AB786</f>
        <v/>
      </c>
      <c r="AE786">
        <f>AD786/AC786</f>
        <v/>
      </c>
      <c r="AF786">
        <f>IF(AD786&lt;=0,0,IF(AC786&lt;=0,$B$11,IF(AE786&gt;=1.7,$B$11,MIN(AD786/MAX(0.05,IF(AE786&gt;1,(2-AE786)^2/2,1-AE786^2/2)),$B$11))))</f>
        <v/>
      </c>
      <c r="AG786">
        <f>AG785*$B$28+AF786*(1-$B$28)</f>
        <v/>
      </c>
      <c r="AH786">
        <f>IF(AND(AD786&gt;0,AC786&lt;=0),0,AC786)</f>
        <v/>
      </c>
      <c r="AI786">
        <f>AH786/MAX(AG786,0.000001)</f>
        <v/>
      </c>
      <c r="AJ786">
        <f>MIN(IF(AI786&gt;=0.5,-AI786+SQRT(AI786^2+2),1),$B$12)</f>
        <v/>
      </c>
      <c r="AK786">
        <f>IF(AG786&lt;=0,0,AJ786*AH786)</f>
        <v/>
      </c>
      <c r="AL786">
        <f>IF(AD786&lt;=0,0,AD786)</f>
        <v/>
      </c>
      <c r="AM786">
        <f>AL786-AK786+P786</f>
        <v/>
      </c>
      <c r="AN786">
        <f>((AM786/$B$7+T785*AS785/2-T786*MAX(0.1,MIN(0.3,0.3-0.09*(AR785-36.8)))/2)+AR785*(1-AS785/2))/(1-MAX(0.1,MIN(0.3,0.3-0.09*(AR785-36.8)))/2)</f>
        <v/>
      </c>
      <c r="AO786">
        <f>((AM786/$B$7+T785*AS785/2-T786*MAX(0.1,MIN(0.3,0.3-0.09*(AN786-36.8)))/2)+AR785*(1-AS785/2))/(1-MAX(0.1,MIN(0.3,0.3-0.09*(AN786-36.8)))/2)</f>
        <v/>
      </c>
      <c r="AP786">
        <f>((AM786/$B$7+T785*AS785/2-T786*MAX(0.1,MIN(0.3,0.3-0.09*(AO786-36.8)))/2)+AR785*(1-AS785/2))/(1-MAX(0.1,MIN(0.3,0.3-0.09*(AO786-36.8)))/2)</f>
        <v/>
      </c>
      <c r="AQ786">
        <f>((AM786/$B$7+T785*AS785/2-T786*MAX(0.1,MIN(0.3,0.3-0.09*(AP786-36.8)))/2)+AR785*(1-AS785/2))/(1-MAX(0.1,MIN(0.3,0.3-0.09*(AP786-36.8)))/2)</f>
        <v/>
      </c>
      <c r="AR786">
        <f>((AM786/$B$7+T785*AS785/2-T786*MAX(0.1,MIN(0.3,0.3-0.09*(AQ786-36.8)))/2)+AR785*(1-AS785/2))/(1-MAX(0.1,MIN(0.3,0.3-0.09*(AQ786-36.8)))/2)</f>
        <v/>
      </c>
      <c r="AS786">
        <f>MAX(0.1,MIN(0.3,0.3-0.09*(AR786-36.8)))</f>
        <v/>
      </c>
      <c r="AT786">
        <f>AT785+(2*AR786-1.962*AT785-1.31)/9</f>
        <v/>
      </c>
      <c r="AU786">
        <f>AU785+AG786+K786</f>
        <v/>
      </c>
      <c r="AV786">
        <f>AU786*2.67*$B$6/1.8/60</f>
        <v/>
      </c>
      <c r="AW786">
        <f>IF(AT786&gt;=$B$36,1,0)</f>
        <v/>
      </c>
      <c r="AX786">
        <f>IF(AV786&gt;=$B$21,1,0)</f>
        <v/>
      </c>
    </row>
    <row r="787">
      <c r="A787" t="n">
        <v>714</v>
      </c>
      <c r="B787">
        <f>MATCH(A787-1,$D$61:$D$68,1)</f>
        <v/>
      </c>
      <c r="C787">
        <f>INDEX($G$61:$G$68,B787)</f>
        <v/>
      </c>
      <c r="D787">
        <f>INDEX($L$61:$L$68,B787)</f>
        <v/>
      </c>
      <c r="E787">
        <f>INDEX($M$61:$M$68,B787)</f>
        <v/>
      </c>
      <c r="F787">
        <f>INDEX($N$61:$N$68,B787)</f>
        <v/>
      </c>
      <c r="G787">
        <f>INDEX($AA$61:$AA$68,B787)</f>
        <v/>
      </c>
      <c r="H787">
        <f>INDEX($X$61:$X$68,B787)</f>
        <v/>
      </c>
      <c r="I787">
        <f>INDEX($AF$61:$AF$68,B787)</f>
        <v/>
      </c>
      <c r="J787">
        <f>INDEX($AC$61:$AC$68,B787)</f>
        <v/>
      </c>
      <c r="K787">
        <f>INDEX($AD$61:$AD$68,B787)</f>
        <v/>
      </c>
      <c r="L787">
        <f>INDEX($AG$61:$AG$68,B787)</f>
        <v/>
      </c>
      <c r="M787">
        <f>INDEX($AH$61:$AH$68,B787)</f>
        <v/>
      </c>
      <c r="N787">
        <f>INDEX($AI$61:$AI$68,B787)</f>
        <v/>
      </c>
      <c r="O787">
        <f>O786*$B$26+L787*(1-$B$26)</f>
        <v/>
      </c>
      <c r="P787">
        <f>$B$7*(O787-O786)*(1-AS786)</f>
        <v/>
      </c>
      <c r="Q787">
        <f>M787+0.51274*AT786</f>
        <v/>
      </c>
      <c r="R787">
        <f>N787+0.616*AT786</f>
        <v/>
      </c>
      <c r="S787">
        <f>IF($B$13&gt;=0.6,Q787,IF($B$13&lt;=0.2,R787,R787+2.5*(Q787-R787)*($B$13-0.2)))</f>
        <v/>
      </c>
      <c r="T787">
        <f>IF(A787=1,S787,T786*$B$27+S787*(1-$B$27))</f>
        <v/>
      </c>
      <c r="U787">
        <f>0.6105*EXP(17.27*T787/(T787+237.3))</f>
        <v/>
      </c>
      <c r="V787">
        <f>($B$14*(I787*C787+IF(ABS((D787+0.1)-D787)&lt;0.000000001,4*$B$19*$B$20*(D787+273)^3,$B$19*$B$20*(((D787+0.1)+273)^4-(D787+273)^4)/((D787+0.1)-D787))*D787)+T787/H787)/($B$14*(I787+IF(ABS((D787+0.1)-D787)&lt;0.000000001,4*$B$19*$B$20*(D787+273)^3,$B$19*$B$20*(((D787+0.1)+273)^4-(D787+273)^4)/((D787+0.1)-D787)))+1/H787)</f>
        <v/>
      </c>
      <c r="W787">
        <f>($B$14*(I787*C787+IF(ABS(V787-D787)&lt;0.000000001,4*$B$19*$B$20*(D787+273)^3,$B$19*$B$20*((V787+273)^4-(D787+273)^4)/(V787-D787))*D787)+T787/H787)/($B$14*(I787+IF(ABS(V787-D787)&lt;0.000000001,4*$B$19*$B$20*(D787+273)^3,$B$19*$B$20*((V787+273)^4-(D787+273)^4)/(V787-D787)))+1/H787)</f>
        <v/>
      </c>
      <c r="X787">
        <f>($B$14*(I787*C787+IF(ABS(W787-D787)&lt;0.000000001,4*$B$19*$B$20*(D787+273)^3,$B$19*$B$20*((W787+273)^4-(D787+273)^4)/(W787-D787))*D787)+T787/H787)/($B$14*(I787+IF(ABS(W787-D787)&lt;0.000000001,4*$B$19*$B$20*(D787+273)^3,$B$19*$B$20*((W787+273)^4-(D787+273)^4)/(W787-D787)))+1/H787)</f>
        <v/>
      </c>
      <c r="Y787">
        <f>($B$14*(I787*C787+IF(ABS(X787-D787)&lt;0.000000001,4*$B$19*$B$20*(D787+273)^3,$B$19*$B$20*((X787+273)^4-(D787+273)^4)/(X787-D787))*D787)+T787/H787)/($B$14*(I787+IF(ABS(X787-D787)&lt;0.000000001,4*$B$19*$B$20*(D787+273)^3,$B$19*$B$20*((X787+273)^4-(D787+273)^4)/(X787-D787)))+1/H787)</f>
        <v/>
      </c>
      <c r="Z787">
        <f>IF(ABS(Y787-D787)&lt;0.000000001,4*$B$19*$B$20*(D787+273)^3,$B$19*$B$20*((Y787+273)^4-(D787+273)^4)/(Y787-D787))</f>
        <v/>
      </c>
      <c r="AA787">
        <f>$B$14*I787*(Y787-C787)</f>
        <v/>
      </c>
      <c r="AB787">
        <f>$B$14*Z787*(Y787-D787)</f>
        <v/>
      </c>
      <c r="AC787">
        <f>IF((U787-E787)/G787=0,0.001,(U787-E787)/G787)</f>
        <v/>
      </c>
      <c r="AD787">
        <f>F787-P787-J787-K787-AA787-AB787</f>
        <v/>
      </c>
      <c r="AE787">
        <f>AD787/AC787</f>
        <v/>
      </c>
      <c r="AF787">
        <f>IF(AD787&lt;=0,0,IF(AC787&lt;=0,$B$11,IF(AE787&gt;=1.7,$B$11,MIN(AD787/MAX(0.05,IF(AE787&gt;1,(2-AE787)^2/2,1-AE787^2/2)),$B$11))))</f>
        <v/>
      </c>
      <c r="AG787">
        <f>AG786*$B$28+AF787*(1-$B$28)</f>
        <v/>
      </c>
      <c r="AH787">
        <f>IF(AND(AD787&gt;0,AC787&lt;=0),0,AC787)</f>
        <v/>
      </c>
      <c r="AI787">
        <f>AH787/MAX(AG787,0.000001)</f>
        <v/>
      </c>
      <c r="AJ787">
        <f>MIN(IF(AI787&gt;=0.5,-AI787+SQRT(AI787^2+2),1),$B$12)</f>
        <v/>
      </c>
      <c r="AK787">
        <f>IF(AG787&lt;=0,0,AJ787*AH787)</f>
        <v/>
      </c>
      <c r="AL787">
        <f>IF(AD787&lt;=0,0,AD787)</f>
        <v/>
      </c>
      <c r="AM787">
        <f>AL787-AK787+P787</f>
        <v/>
      </c>
      <c r="AN787">
        <f>((AM787/$B$7+T786*AS786/2-T787*MAX(0.1,MIN(0.3,0.3-0.09*(AR786-36.8)))/2)+AR786*(1-AS786/2))/(1-MAX(0.1,MIN(0.3,0.3-0.09*(AR786-36.8)))/2)</f>
        <v/>
      </c>
      <c r="AO787">
        <f>((AM787/$B$7+T786*AS786/2-T787*MAX(0.1,MIN(0.3,0.3-0.09*(AN787-36.8)))/2)+AR786*(1-AS786/2))/(1-MAX(0.1,MIN(0.3,0.3-0.09*(AN787-36.8)))/2)</f>
        <v/>
      </c>
      <c r="AP787">
        <f>((AM787/$B$7+T786*AS786/2-T787*MAX(0.1,MIN(0.3,0.3-0.09*(AO787-36.8)))/2)+AR786*(1-AS786/2))/(1-MAX(0.1,MIN(0.3,0.3-0.09*(AO787-36.8)))/2)</f>
        <v/>
      </c>
      <c r="AQ787">
        <f>((AM787/$B$7+T786*AS786/2-T787*MAX(0.1,MIN(0.3,0.3-0.09*(AP787-36.8)))/2)+AR786*(1-AS786/2))/(1-MAX(0.1,MIN(0.3,0.3-0.09*(AP787-36.8)))/2)</f>
        <v/>
      </c>
      <c r="AR787">
        <f>((AM787/$B$7+T786*AS786/2-T787*MAX(0.1,MIN(0.3,0.3-0.09*(AQ787-36.8)))/2)+AR786*(1-AS786/2))/(1-MAX(0.1,MIN(0.3,0.3-0.09*(AQ787-36.8)))/2)</f>
        <v/>
      </c>
      <c r="AS787">
        <f>MAX(0.1,MIN(0.3,0.3-0.09*(AR787-36.8)))</f>
        <v/>
      </c>
      <c r="AT787">
        <f>AT786+(2*AR787-1.962*AT786-1.31)/9</f>
        <v/>
      </c>
      <c r="AU787">
        <f>AU786+AG787+K787</f>
        <v/>
      </c>
      <c r="AV787">
        <f>AU787*2.67*$B$6/1.8/60</f>
        <v/>
      </c>
      <c r="AW787">
        <f>IF(AT787&gt;=$B$36,1,0)</f>
        <v/>
      </c>
      <c r="AX787">
        <f>IF(AV787&gt;=$B$21,1,0)</f>
        <v/>
      </c>
    </row>
    <row r="788">
      <c r="A788" t="n">
        <v>715</v>
      </c>
      <c r="B788">
        <f>MATCH(A788-1,$D$61:$D$68,1)</f>
        <v/>
      </c>
      <c r="C788">
        <f>INDEX($G$61:$G$68,B788)</f>
        <v/>
      </c>
      <c r="D788">
        <f>INDEX($L$61:$L$68,B788)</f>
        <v/>
      </c>
      <c r="E788">
        <f>INDEX($M$61:$M$68,B788)</f>
        <v/>
      </c>
      <c r="F788">
        <f>INDEX($N$61:$N$68,B788)</f>
        <v/>
      </c>
      <c r="G788">
        <f>INDEX($AA$61:$AA$68,B788)</f>
        <v/>
      </c>
      <c r="H788">
        <f>INDEX($X$61:$X$68,B788)</f>
        <v/>
      </c>
      <c r="I788">
        <f>INDEX($AF$61:$AF$68,B788)</f>
        <v/>
      </c>
      <c r="J788">
        <f>INDEX($AC$61:$AC$68,B788)</f>
        <v/>
      </c>
      <c r="K788">
        <f>INDEX($AD$61:$AD$68,B788)</f>
        <v/>
      </c>
      <c r="L788">
        <f>INDEX($AG$61:$AG$68,B788)</f>
        <v/>
      </c>
      <c r="M788">
        <f>INDEX($AH$61:$AH$68,B788)</f>
        <v/>
      </c>
      <c r="N788">
        <f>INDEX($AI$61:$AI$68,B788)</f>
        <v/>
      </c>
      <c r="O788">
        <f>O787*$B$26+L788*(1-$B$26)</f>
        <v/>
      </c>
      <c r="P788">
        <f>$B$7*(O788-O787)*(1-AS787)</f>
        <v/>
      </c>
      <c r="Q788">
        <f>M788+0.51274*AT787</f>
        <v/>
      </c>
      <c r="R788">
        <f>N788+0.616*AT787</f>
        <v/>
      </c>
      <c r="S788">
        <f>IF($B$13&gt;=0.6,Q788,IF($B$13&lt;=0.2,R788,R788+2.5*(Q788-R788)*($B$13-0.2)))</f>
        <v/>
      </c>
      <c r="T788">
        <f>IF(A788=1,S788,T787*$B$27+S788*(1-$B$27))</f>
        <v/>
      </c>
      <c r="U788">
        <f>0.6105*EXP(17.27*T788/(T788+237.3))</f>
        <v/>
      </c>
      <c r="V788">
        <f>($B$14*(I788*C788+IF(ABS((D788+0.1)-D788)&lt;0.000000001,4*$B$19*$B$20*(D788+273)^3,$B$19*$B$20*(((D788+0.1)+273)^4-(D788+273)^4)/((D788+0.1)-D788))*D788)+T788/H788)/($B$14*(I788+IF(ABS((D788+0.1)-D788)&lt;0.000000001,4*$B$19*$B$20*(D788+273)^3,$B$19*$B$20*(((D788+0.1)+273)^4-(D788+273)^4)/((D788+0.1)-D788)))+1/H788)</f>
        <v/>
      </c>
      <c r="W788">
        <f>($B$14*(I788*C788+IF(ABS(V788-D788)&lt;0.000000001,4*$B$19*$B$20*(D788+273)^3,$B$19*$B$20*((V788+273)^4-(D788+273)^4)/(V788-D788))*D788)+T788/H788)/($B$14*(I788+IF(ABS(V788-D788)&lt;0.000000001,4*$B$19*$B$20*(D788+273)^3,$B$19*$B$20*((V788+273)^4-(D788+273)^4)/(V788-D788)))+1/H788)</f>
        <v/>
      </c>
      <c r="X788">
        <f>($B$14*(I788*C788+IF(ABS(W788-D788)&lt;0.000000001,4*$B$19*$B$20*(D788+273)^3,$B$19*$B$20*((W788+273)^4-(D788+273)^4)/(W788-D788))*D788)+T788/H788)/($B$14*(I788+IF(ABS(W788-D788)&lt;0.000000001,4*$B$19*$B$20*(D788+273)^3,$B$19*$B$20*((W788+273)^4-(D788+273)^4)/(W788-D788)))+1/H788)</f>
        <v/>
      </c>
      <c r="Y788">
        <f>($B$14*(I788*C788+IF(ABS(X788-D788)&lt;0.000000001,4*$B$19*$B$20*(D788+273)^3,$B$19*$B$20*((X788+273)^4-(D788+273)^4)/(X788-D788))*D788)+T788/H788)/($B$14*(I788+IF(ABS(X788-D788)&lt;0.000000001,4*$B$19*$B$20*(D788+273)^3,$B$19*$B$20*((X788+273)^4-(D788+273)^4)/(X788-D788)))+1/H788)</f>
        <v/>
      </c>
      <c r="Z788">
        <f>IF(ABS(Y788-D788)&lt;0.000000001,4*$B$19*$B$20*(D788+273)^3,$B$19*$B$20*((Y788+273)^4-(D788+273)^4)/(Y788-D788))</f>
        <v/>
      </c>
      <c r="AA788">
        <f>$B$14*I788*(Y788-C788)</f>
        <v/>
      </c>
      <c r="AB788">
        <f>$B$14*Z788*(Y788-D788)</f>
        <v/>
      </c>
      <c r="AC788">
        <f>IF((U788-E788)/G788=0,0.001,(U788-E788)/G788)</f>
        <v/>
      </c>
      <c r="AD788">
        <f>F788-P788-J788-K788-AA788-AB788</f>
        <v/>
      </c>
      <c r="AE788">
        <f>AD788/AC788</f>
        <v/>
      </c>
      <c r="AF788">
        <f>IF(AD788&lt;=0,0,IF(AC788&lt;=0,$B$11,IF(AE788&gt;=1.7,$B$11,MIN(AD788/MAX(0.05,IF(AE788&gt;1,(2-AE788)^2/2,1-AE788^2/2)),$B$11))))</f>
        <v/>
      </c>
      <c r="AG788">
        <f>AG787*$B$28+AF788*(1-$B$28)</f>
        <v/>
      </c>
      <c r="AH788">
        <f>IF(AND(AD788&gt;0,AC788&lt;=0),0,AC788)</f>
        <v/>
      </c>
      <c r="AI788">
        <f>AH788/MAX(AG788,0.000001)</f>
        <v/>
      </c>
      <c r="AJ788">
        <f>MIN(IF(AI788&gt;=0.5,-AI788+SQRT(AI788^2+2),1),$B$12)</f>
        <v/>
      </c>
      <c r="AK788">
        <f>IF(AG788&lt;=0,0,AJ788*AH788)</f>
        <v/>
      </c>
      <c r="AL788">
        <f>IF(AD788&lt;=0,0,AD788)</f>
        <v/>
      </c>
      <c r="AM788">
        <f>AL788-AK788+P788</f>
        <v/>
      </c>
      <c r="AN788">
        <f>((AM788/$B$7+T787*AS787/2-T788*MAX(0.1,MIN(0.3,0.3-0.09*(AR787-36.8)))/2)+AR787*(1-AS787/2))/(1-MAX(0.1,MIN(0.3,0.3-0.09*(AR787-36.8)))/2)</f>
        <v/>
      </c>
      <c r="AO788">
        <f>((AM788/$B$7+T787*AS787/2-T788*MAX(0.1,MIN(0.3,0.3-0.09*(AN788-36.8)))/2)+AR787*(1-AS787/2))/(1-MAX(0.1,MIN(0.3,0.3-0.09*(AN788-36.8)))/2)</f>
        <v/>
      </c>
      <c r="AP788">
        <f>((AM788/$B$7+T787*AS787/2-T788*MAX(0.1,MIN(0.3,0.3-0.09*(AO788-36.8)))/2)+AR787*(1-AS787/2))/(1-MAX(0.1,MIN(0.3,0.3-0.09*(AO788-36.8)))/2)</f>
        <v/>
      </c>
      <c r="AQ788">
        <f>((AM788/$B$7+T787*AS787/2-T788*MAX(0.1,MIN(0.3,0.3-0.09*(AP788-36.8)))/2)+AR787*(1-AS787/2))/(1-MAX(0.1,MIN(0.3,0.3-0.09*(AP788-36.8)))/2)</f>
        <v/>
      </c>
      <c r="AR788">
        <f>((AM788/$B$7+T787*AS787/2-T788*MAX(0.1,MIN(0.3,0.3-0.09*(AQ788-36.8)))/2)+AR787*(1-AS787/2))/(1-MAX(0.1,MIN(0.3,0.3-0.09*(AQ788-36.8)))/2)</f>
        <v/>
      </c>
      <c r="AS788">
        <f>MAX(0.1,MIN(0.3,0.3-0.09*(AR788-36.8)))</f>
        <v/>
      </c>
      <c r="AT788">
        <f>AT787+(2*AR788-1.962*AT787-1.31)/9</f>
        <v/>
      </c>
      <c r="AU788">
        <f>AU787+AG788+K788</f>
        <v/>
      </c>
      <c r="AV788">
        <f>AU788*2.67*$B$6/1.8/60</f>
        <v/>
      </c>
      <c r="AW788">
        <f>IF(AT788&gt;=$B$36,1,0)</f>
        <v/>
      </c>
      <c r="AX788">
        <f>IF(AV788&gt;=$B$21,1,0)</f>
        <v/>
      </c>
    </row>
    <row r="789">
      <c r="A789" t="n">
        <v>716</v>
      </c>
      <c r="B789">
        <f>MATCH(A789-1,$D$61:$D$68,1)</f>
        <v/>
      </c>
      <c r="C789">
        <f>INDEX($G$61:$G$68,B789)</f>
        <v/>
      </c>
      <c r="D789">
        <f>INDEX($L$61:$L$68,B789)</f>
        <v/>
      </c>
      <c r="E789">
        <f>INDEX($M$61:$M$68,B789)</f>
        <v/>
      </c>
      <c r="F789">
        <f>INDEX($N$61:$N$68,B789)</f>
        <v/>
      </c>
      <c r="G789">
        <f>INDEX($AA$61:$AA$68,B789)</f>
        <v/>
      </c>
      <c r="H789">
        <f>INDEX($X$61:$X$68,B789)</f>
        <v/>
      </c>
      <c r="I789">
        <f>INDEX($AF$61:$AF$68,B789)</f>
        <v/>
      </c>
      <c r="J789">
        <f>INDEX($AC$61:$AC$68,B789)</f>
        <v/>
      </c>
      <c r="K789">
        <f>INDEX($AD$61:$AD$68,B789)</f>
        <v/>
      </c>
      <c r="L789">
        <f>INDEX($AG$61:$AG$68,B789)</f>
        <v/>
      </c>
      <c r="M789">
        <f>INDEX($AH$61:$AH$68,B789)</f>
        <v/>
      </c>
      <c r="N789">
        <f>INDEX($AI$61:$AI$68,B789)</f>
        <v/>
      </c>
      <c r="O789">
        <f>O788*$B$26+L789*(1-$B$26)</f>
        <v/>
      </c>
      <c r="P789">
        <f>$B$7*(O789-O788)*(1-AS788)</f>
        <v/>
      </c>
      <c r="Q789">
        <f>M789+0.51274*AT788</f>
        <v/>
      </c>
      <c r="R789">
        <f>N789+0.616*AT788</f>
        <v/>
      </c>
      <c r="S789">
        <f>IF($B$13&gt;=0.6,Q789,IF($B$13&lt;=0.2,R789,R789+2.5*(Q789-R789)*($B$13-0.2)))</f>
        <v/>
      </c>
      <c r="T789">
        <f>IF(A789=1,S789,T788*$B$27+S789*(1-$B$27))</f>
        <v/>
      </c>
      <c r="U789">
        <f>0.6105*EXP(17.27*T789/(T789+237.3))</f>
        <v/>
      </c>
      <c r="V789">
        <f>($B$14*(I789*C789+IF(ABS((D789+0.1)-D789)&lt;0.000000001,4*$B$19*$B$20*(D789+273)^3,$B$19*$B$20*(((D789+0.1)+273)^4-(D789+273)^4)/((D789+0.1)-D789))*D789)+T789/H789)/($B$14*(I789+IF(ABS((D789+0.1)-D789)&lt;0.000000001,4*$B$19*$B$20*(D789+273)^3,$B$19*$B$20*(((D789+0.1)+273)^4-(D789+273)^4)/((D789+0.1)-D789)))+1/H789)</f>
        <v/>
      </c>
      <c r="W789">
        <f>($B$14*(I789*C789+IF(ABS(V789-D789)&lt;0.000000001,4*$B$19*$B$20*(D789+273)^3,$B$19*$B$20*((V789+273)^4-(D789+273)^4)/(V789-D789))*D789)+T789/H789)/($B$14*(I789+IF(ABS(V789-D789)&lt;0.000000001,4*$B$19*$B$20*(D789+273)^3,$B$19*$B$20*((V789+273)^4-(D789+273)^4)/(V789-D789)))+1/H789)</f>
        <v/>
      </c>
      <c r="X789">
        <f>($B$14*(I789*C789+IF(ABS(W789-D789)&lt;0.000000001,4*$B$19*$B$20*(D789+273)^3,$B$19*$B$20*((W789+273)^4-(D789+273)^4)/(W789-D789))*D789)+T789/H789)/($B$14*(I789+IF(ABS(W789-D789)&lt;0.000000001,4*$B$19*$B$20*(D789+273)^3,$B$19*$B$20*((W789+273)^4-(D789+273)^4)/(W789-D789)))+1/H789)</f>
        <v/>
      </c>
      <c r="Y789">
        <f>($B$14*(I789*C789+IF(ABS(X789-D789)&lt;0.000000001,4*$B$19*$B$20*(D789+273)^3,$B$19*$B$20*((X789+273)^4-(D789+273)^4)/(X789-D789))*D789)+T789/H789)/($B$14*(I789+IF(ABS(X789-D789)&lt;0.000000001,4*$B$19*$B$20*(D789+273)^3,$B$19*$B$20*((X789+273)^4-(D789+273)^4)/(X789-D789)))+1/H789)</f>
        <v/>
      </c>
      <c r="Z789">
        <f>IF(ABS(Y789-D789)&lt;0.000000001,4*$B$19*$B$20*(D789+273)^3,$B$19*$B$20*((Y789+273)^4-(D789+273)^4)/(Y789-D789))</f>
        <v/>
      </c>
      <c r="AA789">
        <f>$B$14*I789*(Y789-C789)</f>
        <v/>
      </c>
      <c r="AB789">
        <f>$B$14*Z789*(Y789-D789)</f>
        <v/>
      </c>
      <c r="AC789">
        <f>IF((U789-E789)/G789=0,0.001,(U789-E789)/G789)</f>
        <v/>
      </c>
      <c r="AD789">
        <f>F789-P789-J789-K789-AA789-AB789</f>
        <v/>
      </c>
      <c r="AE789">
        <f>AD789/AC789</f>
        <v/>
      </c>
      <c r="AF789">
        <f>IF(AD789&lt;=0,0,IF(AC789&lt;=0,$B$11,IF(AE789&gt;=1.7,$B$11,MIN(AD789/MAX(0.05,IF(AE789&gt;1,(2-AE789)^2/2,1-AE789^2/2)),$B$11))))</f>
        <v/>
      </c>
      <c r="AG789">
        <f>AG788*$B$28+AF789*(1-$B$28)</f>
        <v/>
      </c>
      <c r="AH789">
        <f>IF(AND(AD789&gt;0,AC789&lt;=0),0,AC789)</f>
        <v/>
      </c>
      <c r="AI789">
        <f>AH789/MAX(AG789,0.000001)</f>
        <v/>
      </c>
      <c r="AJ789">
        <f>MIN(IF(AI789&gt;=0.5,-AI789+SQRT(AI789^2+2),1),$B$12)</f>
        <v/>
      </c>
      <c r="AK789">
        <f>IF(AG789&lt;=0,0,AJ789*AH789)</f>
        <v/>
      </c>
      <c r="AL789">
        <f>IF(AD789&lt;=0,0,AD789)</f>
        <v/>
      </c>
      <c r="AM789">
        <f>AL789-AK789+P789</f>
        <v/>
      </c>
      <c r="AN789">
        <f>((AM789/$B$7+T788*AS788/2-T789*MAX(0.1,MIN(0.3,0.3-0.09*(AR788-36.8)))/2)+AR788*(1-AS788/2))/(1-MAX(0.1,MIN(0.3,0.3-0.09*(AR788-36.8)))/2)</f>
        <v/>
      </c>
      <c r="AO789">
        <f>((AM789/$B$7+T788*AS788/2-T789*MAX(0.1,MIN(0.3,0.3-0.09*(AN789-36.8)))/2)+AR788*(1-AS788/2))/(1-MAX(0.1,MIN(0.3,0.3-0.09*(AN789-36.8)))/2)</f>
        <v/>
      </c>
      <c r="AP789">
        <f>((AM789/$B$7+T788*AS788/2-T789*MAX(0.1,MIN(0.3,0.3-0.09*(AO789-36.8)))/2)+AR788*(1-AS788/2))/(1-MAX(0.1,MIN(0.3,0.3-0.09*(AO789-36.8)))/2)</f>
        <v/>
      </c>
      <c r="AQ789">
        <f>((AM789/$B$7+T788*AS788/2-T789*MAX(0.1,MIN(0.3,0.3-0.09*(AP789-36.8)))/2)+AR788*(1-AS788/2))/(1-MAX(0.1,MIN(0.3,0.3-0.09*(AP789-36.8)))/2)</f>
        <v/>
      </c>
      <c r="AR789">
        <f>((AM789/$B$7+T788*AS788/2-T789*MAX(0.1,MIN(0.3,0.3-0.09*(AQ789-36.8)))/2)+AR788*(1-AS788/2))/(1-MAX(0.1,MIN(0.3,0.3-0.09*(AQ789-36.8)))/2)</f>
        <v/>
      </c>
      <c r="AS789">
        <f>MAX(0.1,MIN(0.3,0.3-0.09*(AR789-36.8)))</f>
        <v/>
      </c>
      <c r="AT789">
        <f>AT788+(2*AR789-1.962*AT788-1.31)/9</f>
        <v/>
      </c>
      <c r="AU789">
        <f>AU788+AG789+K789</f>
        <v/>
      </c>
      <c r="AV789">
        <f>AU789*2.67*$B$6/1.8/60</f>
        <v/>
      </c>
      <c r="AW789">
        <f>IF(AT789&gt;=$B$36,1,0)</f>
        <v/>
      </c>
      <c r="AX789">
        <f>IF(AV789&gt;=$B$21,1,0)</f>
        <v/>
      </c>
    </row>
    <row r="790">
      <c r="A790" t="n">
        <v>717</v>
      </c>
      <c r="B790">
        <f>MATCH(A790-1,$D$61:$D$68,1)</f>
        <v/>
      </c>
      <c r="C790">
        <f>INDEX($G$61:$G$68,B790)</f>
        <v/>
      </c>
      <c r="D790">
        <f>INDEX($L$61:$L$68,B790)</f>
        <v/>
      </c>
      <c r="E790">
        <f>INDEX($M$61:$M$68,B790)</f>
        <v/>
      </c>
      <c r="F790">
        <f>INDEX($N$61:$N$68,B790)</f>
        <v/>
      </c>
      <c r="G790">
        <f>INDEX($AA$61:$AA$68,B790)</f>
        <v/>
      </c>
      <c r="H790">
        <f>INDEX($X$61:$X$68,B790)</f>
        <v/>
      </c>
      <c r="I790">
        <f>INDEX($AF$61:$AF$68,B790)</f>
        <v/>
      </c>
      <c r="J790">
        <f>INDEX($AC$61:$AC$68,B790)</f>
        <v/>
      </c>
      <c r="K790">
        <f>INDEX($AD$61:$AD$68,B790)</f>
        <v/>
      </c>
      <c r="L790">
        <f>INDEX($AG$61:$AG$68,B790)</f>
        <v/>
      </c>
      <c r="M790">
        <f>INDEX($AH$61:$AH$68,B790)</f>
        <v/>
      </c>
      <c r="N790">
        <f>INDEX($AI$61:$AI$68,B790)</f>
        <v/>
      </c>
      <c r="O790">
        <f>O789*$B$26+L790*(1-$B$26)</f>
        <v/>
      </c>
      <c r="P790">
        <f>$B$7*(O790-O789)*(1-AS789)</f>
        <v/>
      </c>
      <c r="Q790">
        <f>M790+0.51274*AT789</f>
        <v/>
      </c>
      <c r="R790">
        <f>N790+0.616*AT789</f>
        <v/>
      </c>
      <c r="S790">
        <f>IF($B$13&gt;=0.6,Q790,IF($B$13&lt;=0.2,R790,R790+2.5*(Q790-R790)*($B$13-0.2)))</f>
        <v/>
      </c>
      <c r="T790">
        <f>IF(A790=1,S790,T789*$B$27+S790*(1-$B$27))</f>
        <v/>
      </c>
      <c r="U790">
        <f>0.6105*EXP(17.27*T790/(T790+237.3))</f>
        <v/>
      </c>
      <c r="V790">
        <f>($B$14*(I790*C790+IF(ABS((D790+0.1)-D790)&lt;0.000000001,4*$B$19*$B$20*(D790+273)^3,$B$19*$B$20*(((D790+0.1)+273)^4-(D790+273)^4)/((D790+0.1)-D790))*D790)+T790/H790)/($B$14*(I790+IF(ABS((D790+0.1)-D790)&lt;0.000000001,4*$B$19*$B$20*(D790+273)^3,$B$19*$B$20*(((D790+0.1)+273)^4-(D790+273)^4)/((D790+0.1)-D790)))+1/H790)</f>
        <v/>
      </c>
      <c r="W790">
        <f>($B$14*(I790*C790+IF(ABS(V790-D790)&lt;0.000000001,4*$B$19*$B$20*(D790+273)^3,$B$19*$B$20*((V790+273)^4-(D790+273)^4)/(V790-D790))*D790)+T790/H790)/($B$14*(I790+IF(ABS(V790-D790)&lt;0.000000001,4*$B$19*$B$20*(D790+273)^3,$B$19*$B$20*((V790+273)^4-(D790+273)^4)/(V790-D790)))+1/H790)</f>
        <v/>
      </c>
      <c r="X790">
        <f>($B$14*(I790*C790+IF(ABS(W790-D790)&lt;0.000000001,4*$B$19*$B$20*(D790+273)^3,$B$19*$B$20*((W790+273)^4-(D790+273)^4)/(W790-D790))*D790)+T790/H790)/($B$14*(I790+IF(ABS(W790-D790)&lt;0.000000001,4*$B$19*$B$20*(D790+273)^3,$B$19*$B$20*((W790+273)^4-(D790+273)^4)/(W790-D790)))+1/H790)</f>
        <v/>
      </c>
      <c r="Y790">
        <f>($B$14*(I790*C790+IF(ABS(X790-D790)&lt;0.000000001,4*$B$19*$B$20*(D790+273)^3,$B$19*$B$20*((X790+273)^4-(D790+273)^4)/(X790-D790))*D790)+T790/H790)/($B$14*(I790+IF(ABS(X790-D790)&lt;0.000000001,4*$B$19*$B$20*(D790+273)^3,$B$19*$B$20*((X790+273)^4-(D790+273)^4)/(X790-D790)))+1/H790)</f>
        <v/>
      </c>
      <c r="Z790">
        <f>IF(ABS(Y790-D790)&lt;0.000000001,4*$B$19*$B$20*(D790+273)^3,$B$19*$B$20*((Y790+273)^4-(D790+273)^4)/(Y790-D790))</f>
        <v/>
      </c>
      <c r="AA790">
        <f>$B$14*I790*(Y790-C790)</f>
        <v/>
      </c>
      <c r="AB790">
        <f>$B$14*Z790*(Y790-D790)</f>
        <v/>
      </c>
      <c r="AC790">
        <f>IF((U790-E790)/G790=0,0.001,(U790-E790)/G790)</f>
        <v/>
      </c>
      <c r="AD790">
        <f>F790-P790-J790-K790-AA790-AB790</f>
        <v/>
      </c>
      <c r="AE790">
        <f>AD790/AC790</f>
        <v/>
      </c>
      <c r="AF790">
        <f>IF(AD790&lt;=0,0,IF(AC790&lt;=0,$B$11,IF(AE790&gt;=1.7,$B$11,MIN(AD790/MAX(0.05,IF(AE790&gt;1,(2-AE790)^2/2,1-AE790^2/2)),$B$11))))</f>
        <v/>
      </c>
      <c r="AG790">
        <f>AG789*$B$28+AF790*(1-$B$28)</f>
        <v/>
      </c>
      <c r="AH790">
        <f>IF(AND(AD790&gt;0,AC790&lt;=0),0,AC790)</f>
        <v/>
      </c>
      <c r="AI790">
        <f>AH790/MAX(AG790,0.000001)</f>
        <v/>
      </c>
      <c r="AJ790">
        <f>MIN(IF(AI790&gt;=0.5,-AI790+SQRT(AI790^2+2),1),$B$12)</f>
        <v/>
      </c>
      <c r="AK790">
        <f>IF(AG790&lt;=0,0,AJ790*AH790)</f>
        <v/>
      </c>
      <c r="AL790">
        <f>IF(AD790&lt;=0,0,AD790)</f>
        <v/>
      </c>
      <c r="AM790">
        <f>AL790-AK790+P790</f>
        <v/>
      </c>
      <c r="AN790">
        <f>((AM790/$B$7+T789*AS789/2-T790*MAX(0.1,MIN(0.3,0.3-0.09*(AR789-36.8)))/2)+AR789*(1-AS789/2))/(1-MAX(0.1,MIN(0.3,0.3-0.09*(AR789-36.8)))/2)</f>
        <v/>
      </c>
      <c r="AO790">
        <f>((AM790/$B$7+T789*AS789/2-T790*MAX(0.1,MIN(0.3,0.3-0.09*(AN790-36.8)))/2)+AR789*(1-AS789/2))/(1-MAX(0.1,MIN(0.3,0.3-0.09*(AN790-36.8)))/2)</f>
        <v/>
      </c>
      <c r="AP790">
        <f>((AM790/$B$7+T789*AS789/2-T790*MAX(0.1,MIN(0.3,0.3-0.09*(AO790-36.8)))/2)+AR789*(1-AS789/2))/(1-MAX(0.1,MIN(0.3,0.3-0.09*(AO790-36.8)))/2)</f>
        <v/>
      </c>
      <c r="AQ790">
        <f>((AM790/$B$7+T789*AS789/2-T790*MAX(0.1,MIN(0.3,0.3-0.09*(AP790-36.8)))/2)+AR789*(1-AS789/2))/(1-MAX(0.1,MIN(0.3,0.3-0.09*(AP790-36.8)))/2)</f>
        <v/>
      </c>
      <c r="AR790">
        <f>((AM790/$B$7+T789*AS789/2-T790*MAX(0.1,MIN(0.3,0.3-0.09*(AQ790-36.8)))/2)+AR789*(1-AS789/2))/(1-MAX(0.1,MIN(0.3,0.3-0.09*(AQ790-36.8)))/2)</f>
        <v/>
      </c>
      <c r="AS790">
        <f>MAX(0.1,MIN(0.3,0.3-0.09*(AR790-36.8)))</f>
        <v/>
      </c>
      <c r="AT790">
        <f>AT789+(2*AR790-1.962*AT789-1.31)/9</f>
        <v/>
      </c>
      <c r="AU790">
        <f>AU789+AG790+K790</f>
        <v/>
      </c>
      <c r="AV790">
        <f>AU790*2.67*$B$6/1.8/60</f>
        <v/>
      </c>
      <c r="AW790">
        <f>IF(AT790&gt;=$B$36,1,0)</f>
        <v/>
      </c>
      <c r="AX790">
        <f>IF(AV790&gt;=$B$21,1,0)</f>
        <v/>
      </c>
    </row>
    <row r="791">
      <c r="A791" t="n">
        <v>718</v>
      </c>
      <c r="B791">
        <f>MATCH(A791-1,$D$61:$D$68,1)</f>
        <v/>
      </c>
      <c r="C791">
        <f>INDEX($G$61:$G$68,B791)</f>
        <v/>
      </c>
      <c r="D791">
        <f>INDEX($L$61:$L$68,B791)</f>
        <v/>
      </c>
      <c r="E791">
        <f>INDEX($M$61:$M$68,B791)</f>
        <v/>
      </c>
      <c r="F791">
        <f>INDEX($N$61:$N$68,B791)</f>
        <v/>
      </c>
      <c r="G791">
        <f>INDEX($AA$61:$AA$68,B791)</f>
        <v/>
      </c>
      <c r="H791">
        <f>INDEX($X$61:$X$68,B791)</f>
        <v/>
      </c>
      <c r="I791">
        <f>INDEX($AF$61:$AF$68,B791)</f>
        <v/>
      </c>
      <c r="J791">
        <f>INDEX($AC$61:$AC$68,B791)</f>
        <v/>
      </c>
      <c r="K791">
        <f>INDEX($AD$61:$AD$68,B791)</f>
        <v/>
      </c>
      <c r="L791">
        <f>INDEX($AG$61:$AG$68,B791)</f>
        <v/>
      </c>
      <c r="M791">
        <f>INDEX($AH$61:$AH$68,B791)</f>
        <v/>
      </c>
      <c r="N791">
        <f>INDEX($AI$61:$AI$68,B791)</f>
        <v/>
      </c>
      <c r="O791">
        <f>O790*$B$26+L791*(1-$B$26)</f>
        <v/>
      </c>
      <c r="P791">
        <f>$B$7*(O791-O790)*(1-AS790)</f>
        <v/>
      </c>
      <c r="Q791">
        <f>M791+0.51274*AT790</f>
        <v/>
      </c>
      <c r="R791">
        <f>N791+0.616*AT790</f>
        <v/>
      </c>
      <c r="S791">
        <f>IF($B$13&gt;=0.6,Q791,IF($B$13&lt;=0.2,R791,R791+2.5*(Q791-R791)*($B$13-0.2)))</f>
        <v/>
      </c>
      <c r="T791">
        <f>IF(A791=1,S791,T790*$B$27+S791*(1-$B$27))</f>
        <v/>
      </c>
      <c r="U791">
        <f>0.6105*EXP(17.27*T791/(T791+237.3))</f>
        <v/>
      </c>
      <c r="V791">
        <f>($B$14*(I791*C791+IF(ABS((D791+0.1)-D791)&lt;0.000000001,4*$B$19*$B$20*(D791+273)^3,$B$19*$B$20*(((D791+0.1)+273)^4-(D791+273)^4)/((D791+0.1)-D791))*D791)+T791/H791)/($B$14*(I791+IF(ABS((D791+0.1)-D791)&lt;0.000000001,4*$B$19*$B$20*(D791+273)^3,$B$19*$B$20*(((D791+0.1)+273)^4-(D791+273)^4)/((D791+0.1)-D791)))+1/H791)</f>
        <v/>
      </c>
      <c r="W791">
        <f>($B$14*(I791*C791+IF(ABS(V791-D791)&lt;0.000000001,4*$B$19*$B$20*(D791+273)^3,$B$19*$B$20*((V791+273)^4-(D791+273)^4)/(V791-D791))*D791)+T791/H791)/($B$14*(I791+IF(ABS(V791-D791)&lt;0.000000001,4*$B$19*$B$20*(D791+273)^3,$B$19*$B$20*((V791+273)^4-(D791+273)^4)/(V791-D791)))+1/H791)</f>
        <v/>
      </c>
      <c r="X791">
        <f>($B$14*(I791*C791+IF(ABS(W791-D791)&lt;0.000000001,4*$B$19*$B$20*(D791+273)^3,$B$19*$B$20*((W791+273)^4-(D791+273)^4)/(W791-D791))*D791)+T791/H791)/($B$14*(I791+IF(ABS(W791-D791)&lt;0.000000001,4*$B$19*$B$20*(D791+273)^3,$B$19*$B$20*((W791+273)^4-(D791+273)^4)/(W791-D791)))+1/H791)</f>
        <v/>
      </c>
      <c r="Y791">
        <f>($B$14*(I791*C791+IF(ABS(X791-D791)&lt;0.000000001,4*$B$19*$B$20*(D791+273)^3,$B$19*$B$20*((X791+273)^4-(D791+273)^4)/(X791-D791))*D791)+T791/H791)/($B$14*(I791+IF(ABS(X791-D791)&lt;0.000000001,4*$B$19*$B$20*(D791+273)^3,$B$19*$B$20*((X791+273)^4-(D791+273)^4)/(X791-D791)))+1/H791)</f>
        <v/>
      </c>
      <c r="Z791">
        <f>IF(ABS(Y791-D791)&lt;0.000000001,4*$B$19*$B$20*(D791+273)^3,$B$19*$B$20*((Y791+273)^4-(D791+273)^4)/(Y791-D791))</f>
        <v/>
      </c>
      <c r="AA791">
        <f>$B$14*I791*(Y791-C791)</f>
        <v/>
      </c>
      <c r="AB791">
        <f>$B$14*Z791*(Y791-D791)</f>
        <v/>
      </c>
      <c r="AC791">
        <f>IF((U791-E791)/G791=0,0.001,(U791-E791)/G791)</f>
        <v/>
      </c>
      <c r="AD791">
        <f>F791-P791-J791-K791-AA791-AB791</f>
        <v/>
      </c>
      <c r="AE791">
        <f>AD791/AC791</f>
        <v/>
      </c>
      <c r="AF791">
        <f>IF(AD791&lt;=0,0,IF(AC791&lt;=0,$B$11,IF(AE791&gt;=1.7,$B$11,MIN(AD791/MAX(0.05,IF(AE791&gt;1,(2-AE791)^2/2,1-AE791^2/2)),$B$11))))</f>
        <v/>
      </c>
      <c r="AG791">
        <f>AG790*$B$28+AF791*(1-$B$28)</f>
        <v/>
      </c>
      <c r="AH791">
        <f>IF(AND(AD791&gt;0,AC791&lt;=0),0,AC791)</f>
        <v/>
      </c>
      <c r="AI791">
        <f>AH791/MAX(AG791,0.000001)</f>
        <v/>
      </c>
      <c r="AJ791">
        <f>MIN(IF(AI791&gt;=0.5,-AI791+SQRT(AI791^2+2),1),$B$12)</f>
        <v/>
      </c>
      <c r="AK791">
        <f>IF(AG791&lt;=0,0,AJ791*AH791)</f>
        <v/>
      </c>
      <c r="AL791">
        <f>IF(AD791&lt;=0,0,AD791)</f>
        <v/>
      </c>
      <c r="AM791">
        <f>AL791-AK791+P791</f>
        <v/>
      </c>
      <c r="AN791">
        <f>((AM791/$B$7+T790*AS790/2-T791*MAX(0.1,MIN(0.3,0.3-0.09*(AR790-36.8)))/2)+AR790*(1-AS790/2))/(1-MAX(0.1,MIN(0.3,0.3-0.09*(AR790-36.8)))/2)</f>
        <v/>
      </c>
      <c r="AO791">
        <f>((AM791/$B$7+T790*AS790/2-T791*MAX(0.1,MIN(0.3,0.3-0.09*(AN791-36.8)))/2)+AR790*(1-AS790/2))/(1-MAX(0.1,MIN(0.3,0.3-0.09*(AN791-36.8)))/2)</f>
        <v/>
      </c>
      <c r="AP791">
        <f>((AM791/$B$7+T790*AS790/2-T791*MAX(0.1,MIN(0.3,0.3-0.09*(AO791-36.8)))/2)+AR790*(1-AS790/2))/(1-MAX(0.1,MIN(0.3,0.3-0.09*(AO791-36.8)))/2)</f>
        <v/>
      </c>
      <c r="AQ791">
        <f>((AM791/$B$7+T790*AS790/2-T791*MAX(0.1,MIN(0.3,0.3-0.09*(AP791-36.8)))/2)+AR790*(1-AS790/2))/(1-MAX(0.1,MIN(0.3,0.3-0.09*(AP791-36.8)))/2)</f>
        <v/>
      </c>
      <c r="AR791">
        <f>((AM791/$B$7+T790*AS790/2-T791*MAX(0.1,MIN(0.3,0.3-0.09*(AQ791-36.8)))/2)+AR790*(1-AS790/2))/(1-MAX(0.1,MIN(0.3,0.3-0.09*(AQ791-36.8)))/2)</f>
        <v/>
      </c>
      <c r="AS791">
        <f>MAX(0.1,MIN(0.3,0.3-0.09*(AR791-36.8)))</f>
        <v/>
      </c>
      <c r="AT791">
        <f>AT790+(2*AR791-1.962*AT790-1.31)/9</f>
        <v/>
      </c>
      <c r="AU791">
        <f>AU790+AG791+K791</f>
        <v/>
      </c>
      <c r="AV791">
        <f>AU791*2.67*$B$6/1.8/60</f>
        <v/>
      </c>
      <c r="AW791">
        <f>IF(AT791&gt;=$B$36,1,0)</f>
        <v/>
      </c>
      <c r="AX791">
        <f>IF(AV791&gt;=$B$21,1,0)</f>
        <v/>
      </c>
    </row>
    <row r="792">
      <c r="A792" t="n">
        <v>719</v>
      </c>
      <c r="B792">
        <f>MATCH(A792-1,$D$61:$D$68,1)</f>
        <v/>
      </c>
      <c r="C792">
        <f>INDEX($G$61:$G$68,B792)</f>
        <v/>
      </c>
      <c r="D792">
        <f>INDEX($L$61:$L$68,B792)</f>
        <v/>
      </c>
      <c r="E792">
        <f>INDEX($M$61:$M$68,B792)</f>
        <v/>
      </c>
      <c r="F792">
        <f>INDEX($N$61:$N$68,B792)</f>
        <v/>
      </c>
      <c r="G792">
        <f>INDEX($AA$61:$AA$68,B792)</f>
        <v/>
      </c>
      <c r="H792">
        <f>INDEX($X$61:$X$68,B792)</f>
        <v/>
      </c>
      <c r="I792">
        <f>INDEX($AF$61:$AF$68,B792)</f>
        <v/>
      </c>
      <c r="J792">
        <f>INDEX($AC$61:$AC$68,B792)</f>
        <v/>
      </c>
      <c r="K792">
        <f>INDEX($AD$61:$AD$68,B792)</f>
        <v/>
      </c>
      <c r="L792">
        <f>INDEX($AG$61:$AG$68,B792)</f>
        <v/>
      </c>
      <c r="M792">
        <f>INDEX($AH$61:$AH$68,B792)</f>
        <v/>
      </c>
      <c r="N792">
        <f>INDEX($AI$61:$AI$68,B792)</f>
        <v/>
      </c>
      <c r="O792">
        <f>O791*$B$26+L792*(1-$B$26)</f>
        <v/>
      </c>
      <c r="P792">
        <f>$B$7*(O792-O791)*(1-AS791)</f>
        <v/>
      </c>
      <c r="Q792">
        <f>M792+0.51274*AT791</f>
        <v/>
      </c>
      <c r="R792">
        <f>N792+0.616*AT791</f>
        <v/>
      </c>
      <c r="S792">
        <f>IF($B$13&gt;=0.6,Q792,IF($B$13&lt;=0.2,R792,R792+2.5*(Q792-R792)*($B$13-0.2)))</f>
        <v/>
      </c>
      <c r="T792">
        <f>IF(A792=1,S792,T791*$B$27+S792*(1-$B$27))</f>
        <v/>
      </c>
      <c r="U792">
        <f>0.6105*EXP(17.27*T792/(T792+237.3))</f>
        <v/>
      </c>
      <c r="V792">
        <f>($B$14*(I792*C792+IF(ABS((D792+0.1)-D792)&lt;0.000000001,4*$B$19*$B$20*(D792+273)^3,$B$19*$B$20*(((D792+0.1)+273)^4-(D792+273)^4)/((D792+0.1)-D792))*D792)+T792/H792)/($B$14*(I792+IF(ABS((D792+0.1)-D792)&lt;0.000000001,4*$B$19*$B$20*(D792+273)^3,$B$19*$B$20*(((D792+0.1)+273)^4-(D792+273)^4)/((D792+0.1)-D792)))+1/H792)</f>
        <v/>
      </c>
      <c r="W792">
        <f>($B$14*(I792*C792+IF(ABS(V792-D792)&lt;0.000000001,4*$B$19*$B$20*(D792+273)^3,$B$19*$B$20*((V792+273)^4-(D792+273)^4)/(V792-D792))*D792)+T792/H792)/($B$14*(I792+IF(ABS(V792-D792)&lt;0.000000001,4*$B$19*$B$20*(D792+273)^3,$B$19*$B$20*((V792+273)^4-(D792+273)^4)/(V792-D792)))+1/H792)</f>
        <v/>
      </c>
      <c r="X792">
        <f>($B$14*(I792*C792+IF(ABS(W792-D792)&lt;0.000000001,4*$B$19*$B$20*(D792+273)^3,$B$19*$B$20*((W792+273)^4-(D792+273)^4)/(W792-D792))*D792)+T792/H792)/($B$14*(I792+IF(ABS(W792-D792)&lt;0.000000001,4*$B$19*$B$20*(D792+273)^3,$B$19*$B$20*((W792+273)^4-(D792+273)^4)/(W792-D792)))+1/H792)</f>
        <v/>
      </c>
      <c r="Y792">
        <f>($B$14*(I792*C792+IF(ABS(X792-D792)&lt;0.000000001,4*$B$19*$B$20*(D792+273)^3,$B$19*$B$20*((X792+273)^4-(D792+273)^4)/(X792-D792))*D792)+T792/H792)/($B$14*(I792+IF(ABS(X792-D792)&lt;0.000000001,4*$B$19*$B$20*(D792+273)^3,$B$19*$B$20*((X792+273)^4-(D792+273)^4)/(X792-D792)))+1/H792)</f>
        <v/>
      </c>
      <c r="Z792">
        <f>IF(ABS(Y792-D792)&lt;0.000000001,4*$B$19*$B$20*(D792+273)^3,$B$19*$B$20*((Y792+273)^4-(D792+273)^4)/(Y792-D792))</f>
        <v/>
      </c>
      <c r="AA792">
        <f>$B$14*I792*(Y792-C792)</f>
        <v/>
      </c>
      <c r="AB792">
        <f>$B$14*Z792*(Y792-D792)</f>
        <v/>
      </c>
      <c r="AC792">
        <f>IF((U792-E792)/G792=0,0.001,(U792-E792)/G792)</f>
        <v/>
      </c>
      <c r="AD792">
        <f>F792-P792-J792-K792-AA792-AB792</f>
        <v/>
      </c>
      <c r="AE792">
        <f>AD792/AC792</f>
        <v/>
      </c>
      <c r="AF792">
        <f>IF(AD792&lt;=0,0,IF(AC792&lt;=0,$B$11,IF(AE792&gt;=1.7,$B$11,MIN(AD792/MAX(0.05,IF(AE792&gt;1,(2-AE792)^2/2,1-AE792^2/2)),$B$11))))</f>
        <v/>
      </c>
      <c r="AG792">
        <f>AG791*$B$28+AF792*(1-$B$28)</f>
        <v/>
      </c>
      <c r="AH792">
        <f>IF(AND(AD792&gt;0,AC792&lt;=0),0,AC792)</f>
        <v/>
      </c>
      <c r="AI792">
        <f>AH792/MAX(AG792,0.000001)</f>
        <v/>
      </c>
      <c r="AJ792">
        <f>MIN(IF(AI792&gt;=0.5,-AI792+SQRT(AI792^2+2),1),$B$12)</f>
        <v/>
      </c>
      <c r="AK792">
        <f>IF(AG792&lt;=0,0,AJ792*AH792)</f>
        <v/>
      </c>
      <c r="AL792">
        <f>IF(AD792&lt;=0,0,AD792)</f>
        <v/>
      </c>
      <c r="AM792">
        <f>AL792-AK792+P792</f>
        <v/>
      </c>
      <c r="AN792">
        <f>((AM792/$B$7+T791*AS791/2-T792*MAX(0.1,MIN(0.3,0.3-0.09*(AR791-36.8)))/2)+AR791*(1-AS791/2))/(1-MAX(0.1,MIN(0.3,0.3-0.09*(AR791-36.8)))/2)</f>
        <v/>
      </c>
      <c r="AO792">
        <f>((AM792/$B$7+T791*AS791/2-T792*MAX(0.1,MIN(0.3,0.3-0.09*(AN792-36.8)))/2)+AR791*(1-AS791/2))/(1-MAX(0.1,MIN(0.3,0.3-0.09*(AN792-36.8)))/2)</f>
        <v/>
      </c>
      <c r="AP792">
        <f>((AM792/$B$7+T791*AS791/2-T792*MAX(0.1,MIN(0.3,0.3-0.09*(AO792-36.8)))/2)+AR791*(1-AS791/2))/(1-MAX(0.1,MIN(0.3,0.3-0.09*(AO792-36.8)))/2)</f>
        <v/>
      </c>
      <c r="AQ792">
        <f>((AM792/$B$7+T791*AS791/2-T792*MAX(0.1,MIN(0.3,0.3-0.09*(AP792-36.8)))/2)+AR791*(1-AS791/2))/(1-MAX(0.1,MIN(0.3,0.3-0.09*(AP792-36.8)))/2)</f>
        <v/>
      </c>
      <c r="AR792">
        <f>((AM792/$B$7+T791*AS791/2-T792*MAX(0.1,MIN(0.3,0.3-0.09*(AQ792-36.8)))/2)+AR791*(1-AS791/2))/(1-MAX(0.1,MIN(0.3,0.3-0.09*(AQ792-36.8)))/2)</f>
        <v/>
      </c>
      <c r="AS792">
        <f>MAX(0.1,MIN(0.3,0.3-0.09*(AR792-36.8)))</f>
        <v/>
      </c>
      <c r="AT792">
        <f>AT791+(2*AR792-1.962*AT791-1.31)/9</f>
        <v/>
      </c>
      <c r="AU792">
        <f>AU791+AG792+K792</f>
        <v/>
      </c>
      <c r="AV792">
        <f>AU792*2.67*$B$6/1.8/60</f>
        <v/>
      </c>
      <c r="AW792">
        <f>IF(AT792&gt;=$B$36,1,0)</f>
        <v/>
      </c>
      <c r="AX792">
        <f>IF(AV792&gt;=$B$21,1,0)</f>
        <v/>
      </c>
    </row>
    <row r="793">
      <c r="A793" t="n">
        <v>720</v>
      </c>
      <c r="B793">
        <f>MATCH(A793-1,$D$61:$D$68,1)</f>
        <v/>
      </c>
      <c r="C793">
        <f>INDEX($G$61:$G$68,B793)</f>
        <v/>
      </c>
      <c r="D793">
        <f>INDEX($L$61:$L$68,B793)</f>
        <v/>
      </c>
      <c r="E793">
        <f>INDEX($M$61:$M$68,B793)</f>
        <v/>
      </c>
      <c r="F793">
        <f>INDEX($N$61:$N$68,B793)</f>
        <v/>
      </c>
      <c r="G793">
        <f>INDEX($AA$61:$AA$68,B793)</f>
        <v/>
      </c>
      <c r="H793">
        <f>INDEX($X$61:$X$68,B793)</f>
        <v/>
      </c>
      <c r="I793">
        <f>INDEX($AF$61:$AF$68,B793)</f>
        <v/>
      </c>
      <c r="J793">
        <f>INDEX($AC$61:$AC$68,B793)</f>
        <v/>
      </c>
      <c r="K793">
        <f>INDEX($AD$61:$AD$68,B793)</f>
        <v/>
      </c>
      <c r="L793">
        <f>INDEX($AG$61:$AG$68,B793)</f>
        <v/>
      </c>
      <c r="M793">
        <f>INDEX($AH$61:$AH$68,B793)</f>
        <v/>
      </c>
      <c r="N793">
        <f>INDEX($AI$61:$AI$68,B793)</f>
        <v/>
      </c>
      <c r="O793">
        <f>O792*$B$26+L793*(1-$B$26)</f>
        <v/>
      </c>
      <c r="P793">
        <f>$B$7*(O793-O792)*(1-AS792)</f>
        <v/>
      </c>
      <c r="Q793">
        <f>M793+0.51274*AT792</f>
        <v/>
      </c>
      <c r="R793">
        <f>N793+0.616*AT792</f>
        <v/>
      </c>
      <c r="S793">
        <f>IF($B$13&gt;=0.6,Q793,IF($B$13&lt;=0.2,R793,R793+2.5*(Q793-R793)*($B$13-0.2)))</f>
        <v/>
      </c>
      <c r="T793">
        <f>IF(A793=1,S793,T792*$B$27+S793*(1-$B$27))</f>
        <v/>
      </c>
      <c r="U793">
        <f>0.6105*EXP(17.27*T793/(T793+237.3))</f>
        <v/>
      </c>
      <c r="V793">
        <f>($B$14*(I793*C793+IF(ABS((D793+0.1)-D793)&lt;0.000000001,4*$B$19*$B$20*(D793+273)^3,$B$19*$B$20*(((D793+0.1)+273)^4-(D793+273)^4)/((D793+0.1)-D793))*D793)+T793/H793)/($B$14*(I793+IF(ABS((D793+0.1)-D793)&lt;0.000000001,4*$B$19*$B$20*(D793+273)^3,$B$19*$B$20*(((D793+0.1)+273)^4-(D793+273)^4)/((D793+0.1)-D793)))+1/H793)</f>
        <v/>
      </c>
      <c r="W793">
        <f>($B$14*(I793*C793+IF(ABS(V793-D793)&lt;0.000000001,4*$B$19*$B$20*(D793+273)^3,$B$19*$B$20*((V793+273)^4-(D793+273)^4)/(V793-D793))*D793)+T793/H793)/($B$14*(I793+IF(ABS(V793-D793)&lt;0.000000001,4*$B$19*$B$20*(D793+273)^3,$B$19*$B$20*((V793+273)^4-(D793+273)^4)/(V793-D793)))+1/H793)</f>
        <v/>
      </c>
      <c r="X793">
        <f>($B$14*(I793*C793+IF(ABS(W793-D793)&lt;0.000000001,4*$B$19*$B$20*(D793+273)^3,$B$19*$B$20*((W793+273)^4-(D793+273)^4)/(W793-D793))*D793)+T793/H793)/($B$14*(I793+IF(ABS(W793-D793)&lt;0.000000001,4*$B$19*$B$20*(D793+273)^3,$B$19*$B$20*((W793+273)^4-(D793+273)^4)/(W793-D793)))+1/H793)</f>
        <v/>
      </c>
      <c r="Y793">
        <f>($B$14*(I793*C793+IF(ABS(X793-D793)&lt;0.000000001,4*$B$19*$B$20*(D793+273)^3,$B$19*$B$20*((X793+273)^4-(D793+273)^4)/(X793-D793))*D793)+T793/H793)/($B$14*(I793+IF(ABS(X793-D793)&lt;0.000000001,4*$B$19*$B$20*(D793+273)^3,$B$19*$B$20*((X793+273)^4-(D793+273)^4)/(X793-D793)))+1/H793)</f>
        <v/>
      </c>
      <c r="Z793">
        <f>IF(ABS(Y793-D793)&lt;0.000000001,4*$B$19*$B$20*(D793+273)^3,$B$19*$B$20*((Y793+273)^4-(D793+273)^4)/(Y793-D793))</f>
        <v/>
      </c>
      <c r="AA793">
        <f>$B$14*I793*(Y793-C793)</f>
        <v/>
      </c>
      <c r="AB793">
        <f>$B$14*Z793*(Y793-D793)</f>
        <v/>
      </c>
      <c r="AC793">
        <f>IF((U793-E793)/G793=0,0.001,(U793-E793)/G793)</f>
        <v/>
      </c>
      <c r="AD793">
        <f>F793-P793-J793-K793-AA793-AB793</f>
        <v/>
      </c>
      <c r="AE793">
        <f>AD793/AC793</f>
        <v/>
      </c>
      <c r="AF793">
        <f>IF(AD793&lt;=0,0,IF(AC793&lt;=0,$B$11,IF(AE793&gt;=1.7,$B$11,MIN(AD793/MAX(0.05,IF(AE793&gt;1,(2-AE793)^2/2,1-AE793^2/2)),$B$11))))</f>
        <v/>
      </c>
      <c r="AG793">
        <f>AG792*$B$28+AF793*(1-$B$28)</f>
        <v/>
      </c>
      <c r="AH793">
        <f>IF(AND(AD793&gt;0,AC793&lt;=0),0,AC793)</f>
        <v/>
      </c>
      <c r="AI793">
        <f>AH793/MAX(AG793,0.000001)</f>
        <v/>
      </c>
      <c r="AJ793">
        <f>MIN(IF(AI793&gt;=0.5,-AI793+SQRT(AI793^2+2),1),$B$12)</f>
        <v/>
      </c>
      <c r="AK793">
        <f>IF(AG793&lt;=0,0,AJ793*AH793)</f>
        <v/>
      </c>
      <c r="AL793">
        <f>IF(AD793&lt;=0,0,AD793)</f>
        <v/>
      </c>
      <c r="AM793">
        <f>AL793-AK793+P793</f>
        <v/>
      </c>
      <c r="AN793">
        <f>((AM793/$B$7+T792*AS792/2-T793*MAX(0.1,MIN(0.3,0.3-0.09*(AR792-36.8)))/2)+AR792*(1-AS792/2))/(1-MAX(0.1,MIN(0.3,0.3-0.09*(AR792-36.8)))/2)</f>
        <v/>
      </c>
      <c r="AO793">
        <f>((AM793/$B$7+T792*AS792/2-T793*MAX(0.1,MIN(0.3,0.3-0.09*(AN793-36.8)))/2)+AR792*(1-AS792/2))/(1-MAX(0.1,MIN(0.3,0.3-0.09*(AN793-36.8)))/2)</f>
        <v/>
      </c>
      <c r="AP793">
        <f>((AM793/$B$7+T792*AS792/2-T793*MAX(0.1,MIN(0.3,0.3-0.09*(AO793-36.8)))/2)+AR792*(1-AS792/2))/(1-MAX(0.1,MIN(0.3,0.3-0.09*(AO793-36.8)))/2)</f>
        <v/>
      </c>
      <c r="AQ793">
        <f>((AM793/$B$7+T792*AS792/2-T793*MAX(0.1,MIN(0.3,0.3-0.09*(AP793-36.8)))/2)+AR792*(1-AS792/2))/(1-MAX(0.1,MIN(0.3,0.3-0.09*(AP793-36.8)))/2)</f>
        <v/>
      </c>
      <c r="AR793">
        <f>((AM793/$B$7+T792*AS792/2-T793*MAX(0.1,MIN(0.3,0.3-0.09*(AQ793-36.8)))/2)+AR792*(1-AS792/2))/(1-MAX(0.1,MIN(0.3,0.3-0.09*(AQ793-36.8)))/2)</f>
        <v/>
      </c>
      <c r="AS793">
        <f>MAX(0.1,MIN(0.3,0.3-0.09*(AR793-36.8)))</f>
        <v/>
      </c>
      <c r="AT793">
        <f>AT792+(2*AR793-1.962*AT792-1.31)/9</f>
        <v/>
      </c>
      <c r="AU793">
        <f>AU792+AG793+K793</f>
        <v/>
      </c>
      <c r="AV793">
        <f>AU793*2.67*$B$6/1.8/60</f>
        <v/>
      </c>
      <c r="AW793">
        <f>IF(AT793&gt;=$B$36,1,0)</f>
        <v/>
      </c>
      <c r="AX793">
        <f>IF(AV793&gt;=$B$21,1,0)</f>
        <v/>
      </c>
    </row>
  </sheetData>
  <mergeCells count="2">
    <mergeCell ref="A2:H2"/>
    <mergeCell ref="A1:H1"/>
  </mergeCells>
  <printOptions horizontalCentered="1"/>
  <pageMargins left="0.5" right="0.5" top="0.75" bottom="0.7" header="0.3" footer="0.3"/>
  <pageSetup paperSize="1" orientation="landscape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8.xml><?xml version="1.0" encoding="utf-8"?>
<worksheet xmlns="http://schemas.openxmlformats.org/spreadsheetml/2006/main">
  <sheetPr>
    <tabColor rgb="FF007199"/>
    <outlinePr summaryBelow="1" summaryRight="1"/>
    <pageSetUpPr fitToPage="1"/>
  </sheetPr>
  <dimension ref="A1:D39"/>
  <sheetViews>
    <sheetView zoomScaleNormal="100" workbookViewId="0">
      <selection activeCell="A4" sqref="A4"/>
    </sheetView>
  </sheetViews>
  <sheetFormatPr baseColWidth="10" defaultColWidth="9.140625" defaultRowHeight="15"/>
  <cols>
    <col width="70" customWidth="1" min="1" max="1"/>
    <col width="34" customWidth="1" min="3" max="3"/>
  </cols>
  <sheetData>
    <row r="1" ht="18.75" customHeight="1">
      <c r="A1" s="35" t="inlineStr">
        <is>
          <t>CÓMO USAR HEATSTRESSRISK</t>
        </is>
      </c>
    </row>
    <row r="2" ht="15" customHeight="1">
      <c r="A2" s="30" t="inlineStr">
        <is>
          <t>1. MÉTODO DE EVALUACIÓN</t>
        </is>
      </c>
      <c r="B2" s="30" t="n"/>
      <c r="C2" s="30" t="inlineStr">
        <is>
          <t>Hoja: Evaluación</t>
        </is>
      </c>
      <c r="D2" s="30" t="n"/>
    </row>
    <row r="3" ht="15" customHeight="1">
      <c r="A3" s="30" t="inlineStr">
        <is>
          <t xml:space="preserve">   - Ingrese WBGT temperatura medida o estimada</t>
        </is>
      </c>
      <c r="B3" s="30" t="n"/>
      <c r="C3" s="30" t="n"/>
      <c r="D3" s="30" t="n"/>
    </row>
    <row r="4" ht="15" customHeight="1">
      <c r="A4" s="30" t="inlineStr">
        <is>
          <t xml:space="preserve">   - Seleccione o ingrese tasa metabólica</t>
        </is>
      </c>
      <c r="B4" s="30" t="n"/>
      <c r="C4" s="30" t="n"/>
      <c r="D4" s="30" t="n"/>
    </row>
    <row r="5" ht="15" customHeight="1">
      <c r="A5" s="30" t="inlineStr">
        <is>
          <t xml:space="preserve">   - Seleccione estado de aclimatación</t>
        </is>
      </c>
      <c r="B5" s="30" t="n"/>
      <c r="C5" s="30" t="n"/>
      <c r="D5" s="30" t="n"/>
    </row>
    <row r="6" ht="15" customHeight="1">
      <c r="A6" s="30" t="inlineStr">
        <is>
          <t xml:space="preserve">   - Ingrese valor de ajuste de ropa (CAV)</t>
        </is>
      </c>
      <c r="B6" s="30" t="n"/>
      <c r="C6" s="30" t="n"/>
      <c r="D6" s="30" t="n"/>
    </row>
    <row r="7" ht="15" customHeight="1">
      <c r="A7" s="30" t="inlineStr">
        <is>
          <t xml:space="preserve">   - Los resultados se calculan automáticamente</t>
        </is>
      </c>
      <c r="B7" s="30" t="n"/>
      <c r="C7" s="30" t="n"/>
      <c r="D7" s="30" t="n"/>
    </row>
    <row r="8">
      <c r="A8" s="30" t="n"/>
      <c r="B8" s="30" t="n"/>
      <c r="C8" s="30" t="n"/>
      <c r="D8" s="30" t="n"/>
    </row>
    <row r="9" ht="15" customHeight="1">
      <c r="A9" s="30" t="inlineStr">
        <is>
          <t>2. CÁLCULOS AUTOMÁTICOS</t>
        </is>
      </c>
      <c r="B9" s="30" t="n"/>
      <c r="C9" s="30" t="n"/>
      <c r="D9" s="30" t="n"/>
    </row>
    <row r="10" ht="15" customHeight="1">
      <c r="A10" s="30" t="inlineStr">
        <is>
          <t xml:space="preserve">   - TLV y AL se calculan según ecuaciones ACGIH</t>
        </is>
      </c>
      <c r="B10" s="30" t="n"/>
      <c r="C10" s="30" t="n"/>
      <c r="D10" s="30" t="n"/>
    </row>
    <row r="11" ht="15" customHeight="1">
      <c r="A11" s="30" t="inlineStr">
        <is>
          <t xml:space="preserve">   - Severidad se clasifica automáticamente</t>
        </is>
      </c>
      <c r="B11" s="30" t="n"/>
      <c r="C11" s="30" t="n"/>
      <c r="D11" s="30" t="n"/>
    </row>
    <row r="12" ht="15" customHeight="1">
      <c r="A12" s="30" t="inlineStr">
        <is>
          <t xml:space="preserve">   - Recomendaciones de nivel se basan en severidad</t>
        </is>
      </c>
      <c r="B12" s="30" t="n"/>
      <c r="C12" s="30" t="n"/>
      <c r="D12" s="30" t="n"/>
    </row>
    <row r="13">
      <c r="A13" s="30" t="n"/>
      <c r="B13" s="30" t="n"/>
      <c r="C13" s="30" t="n"/>
      <c r="D13" s="30" t="n"/>
    </row>
    <row r="14" ht="15" customHeight="1">
      <c r="A14" s="30" t="inlineStr">
        <is>
          <t>3. DATOS DE REFERENCIA</t>
        </is>
      </c>
      <c r="B14" s="30" t="n"/>
      <c r="C14" s="30" t="inlineStr">
        <is>
          <t>Hoja: Datos de Referencia</t>
        </is>
      </c>
      <c r="D14" s="30" t="n"/>
    </row>
    <row r="15" ht="15" customHeight="1">
      <c r="A15" s="30" t="inlineStr">
        <is>
          <t xml:space="preserve">   - Tasas metabólicas comunes</t>
        </is>
      </c>
      <c r="B15" s="30" t="n"/>
      <c r="C15" s="30" t="n"/>
      <c r="D15" s="30" t="n"/>
    </row>
    <row r="16" ht="15" customHeight="1">
      <c r="A16" s="30" t="inlineStr">
        <is>
          <t xml:space="preserve">   - Valores de ajuste de ropa</t>
        </is>
      </c>
      <c r="B16" s="30" t="n"/>
      <c r="C16" s="30" t="n"/>
      <c r="D16" s="30" t="n"/>
    </row>
    <row r="17" ht="15" customHeight="1">
      <c r="A17" s="30" t="inlineStr">
        <is>
          <t xml:space="preserve">   - Niveles de severidad</t>
        </is>
      </c>
      <c r="B17" s="30" t="n"/>
      <c r="C17" s="30" t="n"/>
      <c r="D17" s="30" t="n"/>
    </row>
    <row r="18">
      <c r="A18" s="30" t="n"/>
      <c r="B18" s="30" t="n"/>
      <c r="C18" s="30" t="n"/>
      <c r="D18" s="30" t="n"/>
    </row>
    <row r="19" ht="15" customHeight="1">
      <c r="A19" s="30" t="inlineStr">
        <is>
          <t>4. MÉTODO DETALLADO</t>
        </is>
      </c>
      <c r="B19" s="30" t="n"/>
      <c r="C19" s="30" t="inlineStr">
        <is>
          <t>Hoja: Análisis Detallado</t>
        </is>
      </c>
      <c r="D19" s="30" t="n"/>
    </row>
    <row r="20" ht="15" customHeight="1">
      <c r="A20" s="30" t="inlineStr">
        <is>
          <t xml:space="preserve">   - Para exposiciones heterogéneas con múltiples tareas</t>
        </is>
      </c>
      <c r="B20" s="30" t="n"/>
      <c r="C20" s="30" t="n"/>
      <c r="D20" s="30" t="n"/>
    </row>
    <row r="21" ht="15" customHeight="1">
      <c r="A21" s="30" t="inlineStr">
        <is>
          <t xml:space="preserve">   - Ingrese cada tarea con duración y WBGT</t>
        </is>
      </c>
      <c r="B21" s="30" t="n"/>
      <c r="C21" s="30" t="n"/>
      <c r="D21" s="30" t="n"/>
    </row>
    <row r="22" ht="15" customHeight="1">
      <c r="A22" s="30" t="inlineStr">
        <is>
          <t xml:space="preserve">   - Los promedios ponderados se calculan automáticamente</t>
        </is>
      </c>
      <c r="B22" s="30" t="n"/>
      <c r="C22" s="30" t="n"/>
      <c r="D22" s="30" t="n"/>
    </row>
    <row r="23">
      <c r="A23" s="30" t="n"/>
      <c r="B23" s="30" t="n"/>
      <c r="C23" s="30" t="n"/>
      <c r="D23" s="30" t="n"/>
    </row>
    <row r="24" ht="15" customHeight="1">
      <c r="A24" s="99" t="inlineStr">
        <is>
          <t>5. ANÁLISIS DETALLADO – CLASIFICACIÓN ACGIH (NUEVO V2)</t>
        </is>
      </c>
      <c r="B24" s="30" t="n"/>
      <c r="C24" s="100" t="inlineStr">
        <is>
          <t>Hoja: Análisis Detallado</t>
        </is>
      </c>
      <c r="D24" s="30" t="n"/>
    </row>
    <row r="25">
      <c r="A25" s="100" t="inlineStr">
        <is>
          <t xml:space="preserve">   - Ingrese aclimatación y CAV de ropa (B18:B19) debajo de los promedios ponderados</t>
        </is>
      </c>
      <c r="B25" s="30" t="n"/>
      <c r="C25" s="30" t="n"/>
      <c r="D25" s="30" t="n"/>
    </row>
    <row r="26">
      <c r="A26" s="100" t="inlineStr">
        <is>
          <t xml:space="preserve">   - TLV/AL se calculan con el PPA de la tasa metabólica y se clasifica la severidad</t>
        </is>
      </c>
      <c r="B26" s="30" t="n"/>
      <c r="C26" s="30" t="n"/>
      <c r="D26" s="30" t="n"/>
    </row>
    <row r="28">
      <c r="A28" s="99" t="inlineStr">
        <is>
          <t>6. PHS – TENSIÓN TÉRMICA PREDICHA, ISO 7933:2023 (NUEVO V2)</t>
        </is>
      </c>
      <c r="C28" s="100" t="inlineStr">
        <is>
          <t>Hoja: PHS</t>
        </is>
      </c>
    </row>
    <row r="29">
      <c r="A29" s="100" t="inlineStr">
        <is>
          <t xml:space="preserve">   - En 'Análisis Detallado' ingrese además Tbs, Tg, HR y velocidad del aire (columnas G–J) de cada tarea</t>
        </is>
      </c>
    </row>
    <row r="30">
      <c r="A30" s="100" t="inlineStr">
        <is>
          <t xml:space="preserve">   - En 'PHS' indique peso, estatura, postura y ropa (clo); Tr y Pa se calculan automáticamente</t>
        </is>
      </c>
    </row>
    <row r="31">
      <c r="A31" s="100" t="inlineStr">
        <is>
          <t xml:space="preserve">   - Resultados: Tre, pérdida de agua y tiempo máximo de exposición (Dlim); revise la validez y las notas</t>
        </is>
      </c>
    </row>
    <row r="33">
      <c r="A33" s="99" t="inlineStr">
        <is>
          <t>7. PLAN DE CONTROL AUTOMÁTICO (NUEVO V2)</t>
        </is>
      </c>
      <c r="C33" s="100" t="inlineStr">
        <is>
          <t>Hoja: Plan de Control</t>
        </is>
      </c>
    </row>
    <row r="34">
      <c r="A34" s="100" t="inlineStr">
        <is>
          <t xml:space="preserve">   - Elija la fuente de evaluación, el tipo de exposición y si hay trabajadores susceptibles</t>
        </is>
      </c>
    </row>
    <row r="35">
      <c r="A35" s="100" t="inlineStr">
        <is>
          <t xml:space="preserve">   - Se genera la lista de controles según severidad, ambiente, ropa, aclimatación y resultado PHS</t>
        </is>
      </c>
    </row>
    <row r="37">
      <c r="A37" s="99" t="inlineStr">
        <is>
          <t>8. BIBLIOTECA DE CONTROLES (EDITABLE)</t>
        </is>
      </c>
      <c r="C37" s="100" t="inlineStr">
        <is>
          <t>Hoja: Biblioteca de Controles</t>
        </is>
      </c>
    </row>
    <row r="38">
      <c r="A38" s="100" t="inlineStr">
        <is>
          <t xml:space="preserve">   - Cada fila es una regla: nivel, tipo, texto, severidad mínima y condiciones</t>
        </is>
      </c>
    </row>
    <row r="39">
      <c r="A39" s="100" t="inlineStr">
        <is>
          <t xml:space="preserve">   - La hoja 'Motor PHS' es de cálculo interno: no la modifique</t>
        </is>
      </c>
    </row>
  </sheetData>
  <mergeCells count="1">
    <mergeCell ref="A1:D1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>
  <sheetPr>
    <tabColor rgb="FFE77725"/>
    <pageSetUpPr fitToPage="1"/>
  </sheetPr>
  <dimension ref="A1"/>
  <sheetViews>
    <sheetView showGridLines="0" workbookViewId="0" tabSelected="1"/>
  </sheetViews>
  <sheetFormatPr defaultRowHeight="15"/>
  <cols>
    <col min="1" max="1" width="3.7109375" customWidth="1"/>
  </cols>
  <sheetData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Ocupacionales&amp;R&amp;"Calibri,Negrita"&amp;9&amp;K007199HeatStressRisk V2&amp;"Calibri,Normal"&amp;K595959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2026-09-01T01:50:34Z</dcterms:created>
  <dcterms:modified xmlns:dcterms="http://purl.org/dc/terms/" xmlns:xsi="http://www.w3.org/2001/XMLSchema-instance" xsi:type="dcterms:W3CDTF">2026-09-25T01:43:49Z</dcterms:modified>
  <cp:lastModifiedBy>AK18574</cp:lastModifiedBy>
  <cp:revision>0</cp:revision>
  <dc:title xmlns:dc="http://purl.org/dc/elements/1.1/">HeatStressRisk V2 — SCHO</dc:title>
  <dc:creator xmlns:dc="http://purl.org/dc/elements/1.1/">Álvaro Araque García — SCHO</dc:creator>
</cp:coreProperties>
</file>