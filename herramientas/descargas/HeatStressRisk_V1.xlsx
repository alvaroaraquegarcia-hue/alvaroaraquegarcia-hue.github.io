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01.xml" ContentType="application/vnd.openxmlformats-officedocument.spreadsheetml.worksheet+xml"/>
  <Override PartName="/xl/drawings/drawing_portada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ar\Desktop\LIBRO DE HERRAMIENTAS\Archivos HeatStressRisk\HeatStressRisk_V1\"/>
    </mc:Choice>
  </mc:AlternateContent>
  <xr:revisionPtr revIDLastSave="0" documentId="13_ncr:1_{573D16EF-E44A-427A-A9DB-61BE0F2BC1C8}" xr6:coauthVersionLast="47" xr6:coauthVersionMax="47" xr10:uidLastSave="{00000000-0000-0000-0000-000000000000}"/>
  <bookViews>
    <workbookView xWindow="-120" yWindow="-120" windowWidth="20730" windowHeight="11040" xr2:uid="{5D41CD73-9A40-499C-B7E8-D2BF66FF38F8}" activeTab="0" firstSheet="0"/>
  </bookViews>
  <sheets>
    <sheet name="Portada" sheetId="2" r:id="rIdPortada"/>
    <sheet name="ThermalRis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9" i="1" l="1"/>
  <c r="K10" i="1"/>
  <c r="K11" i="1"/>
  <c r="B16" i="1" s="1"/>
  <c r="K8" i="1"/>
  <c r="J9" i="1"/>
  <c r="J10" i="1"/>
  <c r="J11" i="1"/>
  <c r="J8" i="1"/>
  <c r="B14" i="1"/>
  <c r="B18" i="1" s="1"/>
  <c r="B19" i="1" s="1"/>
  <c r="B20" i="1" s="1"/>
  <c r="H9" i="1"/>
  <c r="H10" i="1"/>
  <c r="H11" i="1"/>
  <c r="H8" i="1"/>
  <c r="B15" i="1" s="1"/>
  <c r="B17" i="1" l="1"/>
  <c r="B21" i="1"/>
</calcChain>
</file>

<file path=xl/sharedStrings.xml><?xml version="1.0" encoding="utf-8"?>
<sst xmlns="http://schemas.openxmlformats.org/spreadsheetml/2006/main" count="34" uniqueCount="30">
  <si>
    <t>FACTOR DE AJUSTE POR ROPA (CAF)</t>
  </si>
  <si>
    <t>Factor por Vestimenta (CAF)</t>
  </si>
  <si>
    <t>°C</t>
  </si>
  <si>
    <t>Etapa / Zona de Trabajo</t>
  </si>
  <si>
    <t>Ambiente (1=Int/Sombra, 2=Sol)</t>
  </si>
  <si>
    <t>Tbh (°C)</t>
  </si>
  <si>
    <t>Tg (°C)</t>
  </si>
  <si>
    <t>Ta (°C)</t>
  </si>
  <si>
    <t>Tiempo t (min)</t>
  </si>
  <si>
    <t>Carga Metabólica M (W)</t>
  </si>
  <si>
    <t>WBGT Zonal (°C)</t>
  </si>
  <si>
    <t>Tarea 1: Area Hornos</t>
  </si>
  <si>
    <t>Tarea 2: Ensamble</t>
  </si>
  <si>
    <t>Área de Descanso</t>
  </si>
  <si>
    <t xml:space="preserve">                       RESULTADOS PONDERADOS DEL CICLO DE TRABAJO (TWA - 60 MIN)</t>
  </si>
  <si>
    <t>Tiempo Total Evaluado</t>
  </si>
  <si>
    <t>minutos</t>
  </si>
  <si>
    <t>Watts (W)</t>
  </si>
  <si>
    <t>Categoría de Trabajo Global</t>
  </si>
  <si>
    <t>"Tarea 3: Patio Exterior"</t>
  </si>
  <si>
    <t>Eficacia Control (%)</t>
  </si>
  <si>
    <t>Tg Con Control (°C)</t>
  </si>
  <si>
    <t>WBGT Con Control (°C)</t>
  </si>
  <si>
    <t>Límite Máximo Permisible (TLV)</t>
  </si>
  <si>
    <t>WBGT Efectivo Actual (Sin Control)</t>
  </si>
  <si>
    <t>WBGT Efectivo Proyectado (Con Control)</t>
  </si>
  <si>
    <t>Reducción Lograda (ΔWBGT)</t>
  </si>
  <si>
    <t>Carga Metabólica Ponderada</t>
  </si>
  <si>
    <t>EVALUACIÓN DE SOBRECARGA TÉRMICA</t>
  </si>
  <si>
    <t>HeatStressRisk_V1 — EVALUACIÓN DE ESTRÉS CALÓRICO (WBGT PONDERADO TWA — ISO 7243 / ACGIH)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</si>
</sst>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19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Portada" Type="http://schemas.openxmlformats.org/officeDocument/2006/relationships/worksheet" Target="worksheets/sheet101.xml"/></Relationships>
</file>

<file path=xl/drawings/_rels/drawing_portada.xml.rels><?xml version="1.0" encoding="UTF-8" standalone="yes"?><Relationships xmlns="http://schemas.openxmlformats.org/package/2006/relationships"><Relationship Id="rId1" Type="http://schemas.openxmlformats.org/officeDocument/2006/relationships/image" Target="../media/portada_scho.png"/></Relationships>
</file>

<file path=xl/drawings/drawing_portada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915400" cy="5695950"/>
    <xdr:pic>
      <xdr:nvPicPr>
        <xdr:cNvPr id="2" name="Portada SCH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15400" cy="5695950"/>
        </a:xfrm>
        <a:prstGeom prst="rect">
          <a:avLst/>
        </a:prstGeom>
        <a:ln w="9525">
          <a:solidFill>
            <a:srgbClr val="D9E1E6"/>
          </a:solidFill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_portada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74FA5-8AAA-41AF-8A58-2B831FF77897}">
  <sheetPr>
    <tabColor rgb="FF007199"/>
    <pageSetUpPr fitToPage="1"/>
  </sheetPr>
  <dimension ref="A1:K21"/>
  <sheetViews>
    <sheetView zoomScale="77" zoomScaleNormal="77" workbookViewId="0" showGridLines="0">
      <selection sqref="A1:J1"/>
    </sheetView>
  </sheetViews>
  <sheetFormatPr baseColWidth="10" defaultRowHeight="15" defaultColWidth="9.6945"/>
  <cols>
    <col min="1" max="1" width="44.6838" customWidth="1"/>
    <col min="2" max="2" width="34.8279" style="10" customWidth="1"/>
    <col min="3" max="5" width="13.1396" style="10" customWidth="1"/>
    <col min="6" max="6" width="16.1000" style="10" customWidth="1"/>
    <col min="7" max="7" width="25.7896" style="10" customWidth="1"/>
    <col min="8" max="8" width="19.8779" style="14" customWidth="1"/>
    <col min="9" max="9" width="24.3117" style="10" customWidth="1"/>
    <col min="10" max="10" width="23.4896" style="10" customWidth="1"/>
    <col min="11" max="11" width="25.7896" style="10" customWidth="1"/>
  </cols>
  <sheetData>
    <row r="1" spans="1:11">
      <c r="A1" s="20" t="s">
        <v>29</v>
      </c>
      <c r="B1" s="21"/>
      <c r="C1" s="21"/>
      <c r="D1" s="21"/>
      <c r="E1" s="21"/>
      <c r="F1" s="21"/>
      <c r="G1" s="21"/>
      <c r="H1" s="21"/>
      <c r="I1" s="21"/>
      <c r="J1" s="21"/>
      <c r="K1" s="17"/>
    </row>
    <row r="2" spans="1:11">
      <c r="A2" s="22"/>
      <c r="B2" s="22"/>
      <c r="C2" s="22"/>
      <c r="D2" s="22"/>
      <c r="E2" s="22"/>
      <c r="F2" s="22"/>
      <c r="G2" s="22"/>
      <c r="H2" s="22"/>
      <c r="I2" s="22"/>
      <c r="J2" s="22"/>
      <c r="K2" s="23"/>
    </row>
    <row r="3" spans="1:11">
      <c r="A3" s="1" t="s">
        <v>0</v>
      </c>
      <c r="B3" s="4"/>
      <c r="C3" s="4"/>
      <c r="D3" s="6"/>
      <c r="E3" s="6"/>
      <c r="F3" s="6"/>
      <c r="G3" s="6"/>
      <c r="H3" s="12"/>
      <c r="I3" s="6"/>
      <c r="J3" s="6"/>
      <c r="K3" s="6"/>
    </row>
    <row r="4" spans="1:11">
      <c r="A4" s="2" t="s">
        <v>1</v>
      </c>
      <c r="B4" s="5"/>
      <c r="C4" s="6" t="s">
        <v>2</v>
      </c>
      <c r="D4" s="6"/>
      <c r="E4" s="6"/>
      <c r="F4" s="6"/>
      <c r="G4" s="6"/>
      <c r="H4" s="12"/>
      <c r="I4" s="6"/>
      <c r="J4" s="6"/>
      <c r="K4" s="6"/>
    </row>
    <row r="5" spans="1:11">
      <c r="A5" s="2"/>
      <c r="B5" s="6"/>
      <c r="C5" s="6"/>
      <c r="D5" s="6"/>
      <c r="E5" s="6"/>
      <c r="F5" s="6"/>
      <c r="G5" s="6"/>
      <c r="H5" s="12"/>
      <c r="I5" s="6"/>
      <c r="J5" s="6"/>
      <c r="K5" s="6"/>
    </row>
    <row r="6" spans="1:11">
      <c r="A6" s="2"/>
      <c r="B6" s="6"/>
      <c r="C6" s="6"/>
      <c r="D6" s="6"/>
      <c r="E6" s="6"/>
      <c r="F6" s="6"/>
      <c r="G6" s="6"/>
      <c r="H6" s="12"/>
      <c r="I6" s="6"/>
      <c r="J6" s="6"/>
      <c r="K6" s="6"/>
    </row>
    <row r="7" spans="1:11">
      <c r="A7" s="1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13" t="s">
        <v>10</v>
      </c>
      <c r="I7" s="15" t="s">
        <v>20</v>
      </c>
      <c r="J7" s="15" t="s">
        <v>21</v>
      </c>
      <c r="K7" s="15" t="s">
        <v>22</v>
      </c>
    </row>
    <row r="8" spans="1:11">
      <c r="A8" s="3" t="s">
        <v>11</v>
      </c>
      <c r="B8" s="7"/>
      <c r="C8" s="7"/>
      <c r="D8" s="7"/>
      <c r="E8" s="7"/>
      <c r="F8" s="7"/>
      <c r="G8" s="7"/>
      <c r="H8" s="12">
        <f>IF(B8=1, 0.7*C8 + 0.3*D8, 0.7*C8 + 0.2*D8 + 0.1*E8)</f>
        <v>0</v>
      </c>
      <c r="I8" s="16"/>
      <c r="J8" s="6">
        <f>E8 + (D8 - E8) * (1 - I8)</f>
        <v>0</v>
      </c>
      <c r="K8" s="6">
        <f>IF(B8=1, 0.7*C8 + 0.3*J8, 0.7*C8 + 0.2*D8 + 0.1*E8)</f>
        <v>0</v>
      </c>
    </row>
    <row r="9" spans="1:11">
      <c r="A9" s="3" t="s">
        <v>12</v>
      </c>
      <c r="B9" s="7"/>
      <c r="C9" s="7"/>
      <c r="D9" s="7"/>
      <c r="E9" s="7"/>
      <c r="F9" s="7"/>
      <c r="G9" s="7"/>
      <c r="H9" s="12">
        <f t="shared" ref="H9:H11" si="0">IF(B9=1, 0.7*C9 + 0.3*D9, 0.7*C9 + 0.2*D9 + 0.1*E9)</f>
        <v>0</v>
      </c>
      <c r="I9" s="16"/>
      <c r="J9" s="6">
        <f t="shared" ref="J9:J11" si="1">E9 + (D9 - E9) * (1 - I9)</f>
        <v>0</v>
      </c>
      <c r="K9" s="6">
        <f t="shared" ref="K9:K11" si="2">IF(B9=1, 0.7*C9 + 0.3*J9, 0.7*C9 + 0.2*D9 + 0.1*E9)</f>
        <v>0</v>
      </c>
    </row>
    <row r="10" spans="1:11">
      <c r="A10" s="3" t="s">
        <v>19</v>
      </c>
      <c r="B10" s="7"/>
      <c r="C10" s="7"/>
      <c r="D10" s="7"/>
      <c r="E10" s="7"/>
      <c r="F10" s="7"/>
      <c r="G10" s="7"/>
      <c r="H10" s="12">
        <f t="shared" si="0"/>
        <v>0</v>
      </c>
      <c r="I10" s="16"/>
      <c r="J10" s="6">
        <f t="shared" si="1"/>
        <v>0</v>
      </c>
      <c r="K10" s="6">
        <f t="shared" si="2"/>
        <v>0</v>
      </c>
    </row>
    <row r="11" spans="1:11">
      <c r="A11" s="3" t="s">
        <v>13</v>
      </c>
      <c r="B11" s="7"/>
      <c r="C11" s="7"/>
      <c r="D11" s="7"/>
      <c r="E11" s="7"/>
      <c r="F11" s="7"/>
      <c r="G11" s="7"/>
      <c r="H11" s="12">
        <f t="shared" si="0"/>
        <v>0</v>
      </c>
      <c r="I11" s="16"/>
      <c r="J11" s="6">
        <f t="shared" si="1"/>
        <v>0</v>
      </c>
      <c r="K11" s="6">
        <f t="shared" si="2"/>
        <v>0</v>
      </c>
    </row>
    <row r="12" spans="1:11">
      <c r="A12" s="2"/>
      <c r="B12" s="6"/>
      <c r="C12" s="6"/>
      <c r="D12" s="6"/>
      <c r="E12" s="6"/>
      <c r="F12" s="6"/>
      <c r="G12" s="6"/>
      <c r="H12" s="12"/>
      <c r="I12" s="6"/>
      <c r="J12" s="6"/>
      <c r="K12" s="6"/>
    </row>
    <row r="13" spans="1:11">
      <c r="A13" s="18" t="s">
        <v>14</v>
      </c>
      <c r="B13" s="19"/>
      <c r="C13" s="19"/>
      <c r="D13" s="6"/>
      <c r="E13" s="6"/>
      <c r="F13" s="6"/>
      <c r="G13" s="6"/>
      <c r="H13" s="12"/>
      <c r="I13" s="6"/>
      <c r="J13" s="6"/>
      <c r="K13" s="6"/>
    </row>
    <row r="14" spans="1:11">
      <c r="A14" s="2" t="s">
        <v>15</v>
      </c>
      <c r="B14" s="6">
        <f>SUM(F8:F11)</f>
        <v>0</v>
      </c>
      <c r="C14" s="6" t="s">
        <v>16</v>
      </c>
      <c r="D14" s="6"/>
      <c r="E14" s="6"/>
      <c r="F14" s="6"/>
      <c r="G14" s="6"/>
      <c r="H14" s="12"/>
      <c r="I14" s="6"/>
      <c r="J14" s="6"/>
      <c r="K14" s="6"/>
    </row>
    <row r="15" spans="1:11">
      <c r="A15" s="2" t="s">
        <v>24</v>
      </c>
      <c r="B15" s="8" t="e">
        <f>SUMPRODUCT(H8:H11, F8:F11) / B14 + B4</f>
        <v>#DIV/0!</v>
      </c>
      <c r="C15" s="6" t="s">
        <v>2</v>
      </c>
      <c r="D15" s="6"/>
      <c r="E15" s="6"/>
      <c r="F15" s="6"/>
      <c r="G15" s="6"/>
      <c r="H15" s="12"/>
      <c r="I15" s="6"/>
      <c r="J15" s="6"/>
      <c r="K15" s="6"/>
    </row>
    <row r="16" spans="1:11">
      <c r="A16" s="2" t="s">
        <v>25</v>
      </c>
      <c r="B16" s="9" t="e">
        <f>SUMPRODUCT(K8:K11, F8:F11) / B14 + B4</f>
        <v>#DIV/0!</v>
      </c>
      <c r="C16" s="11" t="s">
        <v>2</v>
      </c>
      <c r="D16" s="6"/>
      <c r="E16" s="6"/>
      <c r="F16" s="6"/>
      <c r="G16" s="6"/>
      <c r="H16" s="12"/>
      <c r="I16" s="6"/>
      <c r="J16" s="6"/>
      <c r="K16" s="6"/>
    </row>
    <row r="17" spans="1:11">
      <c r="A17" s="2" t="s">
        <v>26</v>
      </c>
      <c r="B17" s="8" t="e">
        <f>B15 - B16</f>
        <v>#DIV/0!</v>
      </c>
      <c r="C17" s="6" t="s">
        <v>2</v>
      </c>
      <c r="D17" s="6"/>
      <c r="E17" s="6"/>
      <c r="F17" s="6"/>
      <c r="G17" s="6"/>
      <c r="H17" s="12"/>
      <c r="I17" s="6"/>
      <c r="J17" s="6"/>
      <c r="K17" s="6"/>
    </row>
    <row r="18" spans="1:11">
      <c r="A18" s="2" t="s">
        <v>27</v>
      </c>
      <c r="B18" s="6" t="e">
        <f>SUMPRODUCT(G8:G11, F8:F11) / B14</f>
        <v>#DIV/0!</v>
      </c>
      <c r="C18" s="6" t="s">
        <v>17</v>
      </c>
      <c r="D18" s="6"/>
      <c r="E18" s="6"/>
      <c r="F18" s="6"/>
      <c r="G18" s="6"/>
      <c r="H18" s="12"/>
      <c r="I18" s="6"/>
      <c r="J18" s="6"/>
      <c r="K18" s="6"/>
    </row>
    <row r="19" spans="1:11">
      <c r="A19" s="2" t="s">
        <v>18</v>
      </c>
      <c r="B19" s="6" t="e">
        <f>IF(B18&lt;=200, "LIVIANA", IF(B18&lt;=350, "MODERADA", IF(B18&lt;=500, "PESADA", "MUY PESADA")))</f>
        <v>#DIV/0!</v>
      </c>
      <c r="C19" s="6"/>
      <c r="D19" s="6"/>
      <c r="E19" s="6"/>
      <c r="F19" s="6"/>
      <c r="G19" s="6"/>
      <c r="H19" s="12"/>
      <c r="I19" s="6"/>
      <c r="J19" s="6"/>
      <c r="K19" s="6"/>
    </row>
    <row r="20" spans="1:11">
      <c r="A20" s="2" t="s">
        <v>23</v>
      </c>
      <c r="B20" s="6" t="e">
        <f>IF(B19="LIVIANA", 31, IF(B19="MODERADA", 28, IF(B19="PESADA", 26, 25)))</f>
        <v>#DIV/0!</v>
      </c>
      <c r="C20" s="6" t="s">
        <v>2</v>
      </c>
      <c r="D20" s="6"/>
      <c r="E20" s="6"/>
      <c r="F20" s="6"/>
      <c r="G20" s="6"/>
      <c r="H20" s="12"/>
      <c r="I20" s="6"/>
      <c r="J20" s="6"/>
      <c r="K20" s="6"/>
    </row>
    <row r="21" spans="1:11">
      <c r="A21" s="2" t="s">
        <v>28</v>
      </c>
      <c r="B21" s="6" t="e">
        <f>IF(B16&lt;=B20, "CUMPLE - EXPOSICIÓN ACEPTABLE", "ALERTA: SOBRECARGA TÉRMICA")</f>
        <v>#DIV/0!</v>
      </c>
      <c r="C21" s="6"/>
      <c r="D21" s="6"/>
      <c r="E21" s="6"/>
      <c r="F21" s="6"/>
      <c r="G21" s="6"/>
      <c r="H21" s="12"/>
      <c r="I21" s="6"/>
      <c r="J21" s="6"/>
      <c r="K21" s="6"/>
    </row>
  </sheetData>
  <mergeCells count="3">
    <mergeCell ref="A13:C13"/>
    <mergeCell ref="A1:J1"/>
    <mergeCell ref="A2:K2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Ocupacionales&amp;R&amp;"Calibri,Negrita"&amp;9&amp;K007199HeatStressRisk V1&amp;"Calibri,Normal"&amp;K595959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>
  <sheetPr>
    <tabColor rgb="FFE77725"/>
    <pageSetUpPr fitToPage="1"/>
  </sheetPr>
  <dimension ref="A1"/>
  <sheetViews>
    <sheetView showGridLines="0" workbookViewId="0" tabSelected="1"/>
  </sheetViews>
  <sheetFormatPr defaultRowHeight="15"/>
  <cols>
    <col min="1" max="1" width="3.7109375" customWidth="1"/>
  </cols>
  <sheetData/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Ocupacionales&amp;R&amp;"Calibri,Negrita"&amp;9&amp;K007199HeatStressRisk V1&amp;"Calibri,Normal"&amp;K595959  ·  &amp;A</oddHeader>
    <oddFooter>&amp;L&amp;"Calibri,Normal"&amp;8&amp;K595959Álvaro Araque García  |  Comité Académico SCHO&amp;R&amp;"Calibri,Normal"&amp;8&amp;K595959Página &amp;P de &amp;N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9572EBCC350E408729A97C50CF9DCF" ma:contentTypeVersion="5" ma:contentTypeDescription="Create a new document." ma:contentTypeScope="" ma:versionID="98ef5e140e029752db4a2e2d82997451">
  <xsd:schema xmlns:xsd="http://www.w3.org/2001/XMLSchema" xmlns:xs="http://www.w3.org/2001/XMLSchema" xmlns:p="http://schemas.microsoft.com/office/2006/metadata/properties" xmlns:ns3="be0e92d5-6baf-4589-967e-a5da5f18aaf0" targetNamespace="http://schemas.microsoft.com/office/2006/metadata/properties" ma:root="true" ma:fieldsID="90d2a38d8605daaa98a169b6030bf4f5" ns3:_="">
    <xsd:import namespace="be0e92d5-6baf-4589-967e-a5da5f18aaf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0e92d5-6baf-4589-967e-a5da5f18aaf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B61A18-AEEB-43C8-AC2C-32A40356B9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0e92d5-6baf-4589-967e-a5da5f18aa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CB5995-D8A1-4021-959D-F58E2BC396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37207B-FFCF-4239-B982-C5A8A02BB394}">
  <ds:schemaRefs>
    <ds:schemaRef ds:uri="http://purl.org/dc/terms/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be0e92d5-6baf-4589-967e-a5da5f18aaf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ThermalRisk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AK18574</cp:lastModifiedBy>
  <dcterms:created xsi:type="dcterms:W3CDTF">2026-08-03T19:42:59Z</dcterms:created>
  <dcterms:modified xsi:type="dcterms:W3CDTF">2026-09-29T21:53:45Z</dcterms:modified>
  <dc:title>HeatStressRisk V1 — SCHO</dc:title>
  <dc:creator>Álvaro Araque García — SCHO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0x010100CE9572EBCC350E408729A97C50CF9DCF</vt:lpwstr>
  </property>
</Properties>
</file>