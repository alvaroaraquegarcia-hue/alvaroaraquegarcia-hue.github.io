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Inicio" sheetId="2" state="visible" r:id="rId4"/>
    <sheet name="Agentes" sheetId="3" state="visible" r:id="rId5"/>
    <sheet name="GES" sheetId="4" state="visible" r:id="rId6"/>
    <sheet name="Muestreo" sheetId="5" state="visible" r:id="rId7"/>
    <sheet name="Estadística" sheetId="6" state="visible" r:id="rId8"/>
    <sheet name="Plan de Control" sheetId="7" state="visible" r:id="rId9"/>
    <sheet name="Biblioteca" sheetId="8" state="visible" r:id="rId10"/>
    <sheet name="Protección Respiratoria" sheetId="9" state="visible" r:id="rId11"/>
    <sheet name="Exposición Acumulada" sheetId="10" state="visible" r:id="rId12"/>
    <sheet name="Vigilancia Médic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ACGIH TLV 0,025 mg/m³ R (cuarzo y cristobalita). Verifique la edición vigente.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VC: ≥360 min=4 Permanente; 120–359=3 Alta; 30–119=2 Media; &lt;30=1 Baja; 0=Nula (Guía Técnica 2024, 3.2.1).</t>
        </r>
      </text>
    </comment>
    <comment ref="L5" authorId="0">
      <text>
        <r>
          <rPr>
            <sz val="10"/>
            <rFont val="Arial"/>
            <family val="2"/>
          </rPr>
          <t xml:space="preserve">VE = 4 (muy alto: efecto irreversible/incapacitante) para sílice, carbón y asbesto. PNOS = 2.</t>
        </r>
      </text>
    </comment>
    <comment ref="O5" authorId="0">
      <text>
        <r>
          <rPr>
            <sz val="10"/>
            <rFont val="Arial"/>
            <family val="2"/>
          </rPr>
          <t xml:space="preserve">6 a 10 muestras por GES (≤50 trabajadores); raíz cuadrada de N si N &gt; 50. Menos de 6 genera alta incertidumbre (GATI 7.2.1).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5" authorId="0">
      <text>
        <r>
          <rPr>
            <sz val="10"/>
            <rFont val="Arial"/>
            <family val="2"/>
          </rPr>
          <t xml:space="preserve">Regla NeumoRisk sobre el cuadro 3 de la GATI: 5 si el indicador ≥1; 4 si alguna muestra &gt; TLV; 3 si indicador ≥0,5; 2 si ≥0,1; 1 si &lt;0,1.</t>
        </r>
      </text>
    </comment>
    <comment ref="Z5" authorId="0">
      <text>
        <r>
          <rPr>
            <sz val="10"/>
            <rFont val="Arial"/>
            <family val="2"/>
          </rPr>
          <t xml:space="preserve">P95 = MG × DEG^1,645 (distribución lognormal). Se usa para seleccionar la protección respiratoria.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Sílice: ingreso, al 1er año, cada 3 años hasta el año 10 y luego cada 2 años. Asbesto: cada 3 años hasta el año 10 y luego cada 2. Carbón: Rx cada 4–5 años los primeros 15 años y luego cada 3; espirometría anual los 3 primeros años y luego cada 2–3 (se usa 2).</t>
        </r>
      </text>
    </comment>
  </commentList>
</comments>
</file>

<file path=xl/sharedStrings.xml><?xml version="1.0" encoding="utf-8"?>
<sst xmlns="http://schemas.openxmlformats.org/spreadsheetml/2006/main" count="713" uniqueCount="497">
  <si>
    <t xml:space="preserve">NeumoRisk V1</t>
  </si>
  <si>
    <t xml:space="preserve">Evaluación y control del riesgo por agentes neumoconióticos: sílice cristalina, carbón y asbesto</t>
  </si>
  <si>
    <t xml:space="preserve">Herramienta gratuita · Sociedad Colombiana de Higienistas Ocupacionales (SCHO) · Autores: Álvaro de Jesús Araque García y Luis Guillermo Araque Muñoz · Versión 1.0 – octubre de 2026  ·  ARCHIVO DE EJEMPLO</t>
  </si>
  <si>
    <t xml:space="preserve">Propósito</t>
  </si>
  <si>
    <t xml:space="preserve">Aplicar en forma práctica las recomendaciones de higiene de la GATI-NEUMO (MPS, 2006) y de la Guía Técnica de Higiene y Seguridad para Sílice Cristalina Respirable (MinTrabajo, 2024 – Res. 2467 de 2022): identificación, evaluación cualitativa, muestreo por GES, estadística, decisión, periodicidad, controles, protección respiratoria y vigilancia médica.</t>
  </si>
  <si>
    <t xml:space="preserve">Flujo de trabajo</t>
  </si>
  <si>
    <t xml:space="preserve">1) Agentes y VLP → 2) GES (identificación y valoración cualitativa) → 3) Muestreo → 4) Estadística GES (decisión) → 5) Plan de Control (con Biblioteca) → 6) Protección Respiratoria → 7) Exposición Acumulada → 8) Vigilancia Médica.</t>
  </si>
  <si>
    <t xml:space="preserve">Criterio de decisión</t>
  </si>
  <si>
    <t xml:space="preserve">Sílice cristalina: Res. 2467/2022 y Guía Técnica 2024 – Perfil de exposición PE = MG / TLV ajustado (≤0,5 bajo; 0,5–1 moderado; &gt;1 alto); validez GES con DEG ≤ 2,5. Carbón y asbesto: GATI-NEUMO 2006 – Concentración relativa CR = MA / TLV ajustado (&lt;0,5 controlada; ≥0,5 fuera de control); GES aceptable con DEG ≤ 2,0.</t>
  </si>
  <si>
    <t xml:space="preserve">Ajuste de jornada</t>
  </si>
  <si>
    <t xml:space="preserve">Brief &amp; Scala: factor diario 8/hd·(24−hd)/16 y semanal 40/hs·(168−hs)/128; se aplica el más restrictivo (Guía Técnica 2024). Nunca se incrementa el TLV para jornadas cortas.</t>
  </si>
  <si>
    <t xml:space="preserve">Leyenda de celdas</t>
  </si>
  <si>
    <t xml:space="preserve">Amarillo con texto azul: datos que usted diligencia. Gris: cálculo automático (no editar). Las listas desplegables evitan errores de digitación.</t>
  </si>
  <si>
    <t xml:space="preserve">Valores límite</t>
  </si>
  <si>
    <t xml:space="preserve">TLV ACGIH editables en la hoja Agentes. Verifíquelos cada año contra la publicación vigente de ACGIH (GATI-NEUMO 7.1.4: aplicar el criterio que más favorezca la salud del trabajador).</t>
  </si>
  <si>
    <t xml:space="preserve">Advertencia</t>
  </si>
  <si>
    <t xml:space="preserve">La herramienta apoya, pero no reemplaza, el criterio del higienista ocupacional con licencia en SST. Las mediciones deben hacerse con métodos validados y laboratorios acreditados.</t>
  </si>
  <si>
    <t xml:space="preserve">Referencias</t>
  </si>
  <si>
    <t xml:space="preserve">GATI-NEUMO (Ministerio de la Protección Social, 2006; adoptada por Res. 2844/2007) · Res. 2467 de 2022 · Guía Técnica de Higiene y Seguridad para la Prevención y el Control del Riesgo por Exposición a Sílice Cristalina Respirable (MinTrabajo, 2024) · ACGIH TLVs and BEIs · OSHA 29 CFR 1910.134 · NIOSH Manual of Analytical Methods.</t>
  </si>
  <si>
    <t xml:space="preserve">Datos de la evaluación</t>
  </si>
  <si>
    <t xml:space="preserve">Empresa</t>
  </si>
  <si>
    <t xml:space="preserve">Agregados y Minerales del Ejemplo S.A.S.</t>
  </si>
  <si>
    <t xml:space="preserve">NIT</t>
  </si>
  <si>
    <t xml:space="preserve">900.000.000-0</t>
  </si>
  <si>
    <t xml:space="preserve">Centro de trabajo / ciudad</t>
  </si>
  <si>
    <t xml:space="preserve">Planta y mina – Boyacá</t>
  </si>
  <si>
    <t xml:space="preserve">Actividad económica</t>
  </si>
  <si>
    <t xml:space="preserve">Extracción de carbón, trituración de agregados y fabricación de ladrillo</t>
  </si>
  <si>
    <t xml:space="preserve">Higienista responsable (licencia SST)</t>
  </si>
  <si>
    <t xml:space="preserve">Higienista Ocupacional (Lic. SST 0000)</t>
  </si>
  <si>
    <t xml:space="preserve">Fecha del estudio</t>
  </si>
  <si>
    <t xml:space="preserve">2026-09-15</t>
  </si>
  <si>
    <t xml:space="preserve">Laboratorio (acreditación)</t>
  </si>
  <si>
    <t xml:space="preserve">Laboratorio acreditado ISO/IEC 17025</t>
  </si>
  <si>
    <t xml:space="preserve">1. Agentes neumoconióticos y valores límite permisibles</t>
  </si>
  <si>
    <t xml:space="preserve">TLV-TWA ACGIH (8 h/día – 40 h/semana). Columna F editable: actualícela con la publicación ACGIH vigente.</t>
  </si>
  <si>
    <t xml:space="preserve">NeumoRisk V1 · Sílice cristalina, carbón y asbesto · SCHO · Celdas amarillas con texto azul = datos a diligenciar; celdas grises = cálculo automático (no editar).</t>
  </si>
  <si>
    <t xml:space="preserve">Código</t>
  </si>
  <si>
    <t xml:space="preserve">Agente</t>
  </si>
  <si>
    <t xml:space="preserve">CAS</t>
  </si>
  <si>
    <t xml:space="preserve">Fracción</t>
  </si>
  <si>
    <t xml:space="preserve">Unidad</t>
  </si>
  <si>
    <t xml:space="preserve">TLV-TWA ACGIH</t>
  </si>
  <si>
    <t xml:space="preserve">Método de muestreo y análisis</t>
  </si>
  <si>
    <t xml:space="preserve">Enfermedad asociada</t>
  </si>
  <si>
    <t xml:space="preserve">Carcinogenicidad</t>
  </si>
  <si>
    <t xml:space="preserve">Nota</t>
  </si>
  <si>
    <t xml:space="preserve">SIL-Q</t>
  </si>
  <si>
    <t xml:space="preserve">Sílice cristalina – α-cuarzo</t>
  </si>
  <si>
    <t xml:space="preserve">14808-60-7</t>
  </si>
  <si>
    <t xml:space="preserve">Respirable</t>
  </si>
  <si>
    <t xml:space="preserve">mg/m³</t>
  </si>
  <si>
    <t xml:space="preserve">Res. 2467/2022</t>
  </si>
  <si>
    <t xml:space="preserve">NIOSH 7500 (DRX, preferido); NIOSH 7602 (IR); NIOSH 7601 (VIS). Ciclón nylon 10 mm, 1,7 L/min, filtro PVC 37 mm 5 µm</t>
  </si>
  <si>
    <t xml:space="preserve">Silicosis (CIE-10 J62); cáncer de pulmón; EPOC; TB asociada</t>
  </si>
  <si>
    <t xml:space="preserve">ACGIH A2 · IARC 1</t>
  </si>
  <si>
    <t xml:space="preserve">Aplica si sílice libre cristalina ≥ 1 % en peso (GATI 7.1.5)</t>
  </si>
  <si>
    <t xml:space="preserve">SIL-C</t>
  </si>
  <si>
    <t xml:space="preserve">Sílice cristalina – cristobalita</t>
  </si>
  <si>
    <t xml:space="preserve">14464-46-1</t>
  </si>
  <si>
    <t xml:space="preserve">NIOSH 7500 (DRX)</t>
  </si>
  <si>
    <t xml:space="preserve">Silicosis (J62)</t>
  </si>
  <si>
    <t xml:space="preserve">Se forma al calentar cuarzo o sílice amorfa (&gt;1470 °C): fundición, refractarios, tierras diatomáceas calcinadas</t>
  </si>
  <si>
    <t xml:space="preserve">SIL-T</t>
  </si>
  <si>
    <t xml:space="preserve">Sílice cristalina – tridimita</t>
  </si>
  <si>
    <t xml:space="preserve">15468-32-3</t>
  </si>
  <si>
    <t xml:space="preserve">IARC 1</t>
  </si>
  <si>
    <t xml:space="preserve">Guía Técnica 2024 agrupa cuarzo, cristobalita y tridimita con TLV 0,025 mg/m³</t>
  </si>
  <si>
    <t xml:space="preserve">CAR-A</t>
  </si>
  <si>
    <t xml:space="preserve">Polvo de carbón – antracita</t>
  </si>
  <si>
    <t xml:space="preserve">—</t>
  </si>
  <si>
    <t xml:space="preserve">GATI-NEUMO 2006</t>
  </si>
  <si>
    <t xml:space="preserve">NIOSH 0600 (gravimétrico, fracción respirable) + NIOSH 7500 para cuarzo en la muestra</t>
  </si>
  <si>
    <t xml:space="preserve">Neumoconiosis del minero de carbón (J60); FMP</t>
  </si>
  <si>
    <t xml:space="preserve">ACGIH A4 · IARC 3</t>
  </si>
  <si>
    <t xml:space="preserve">Descartar sílice cristalina en la muestra: si ≥ 1 % evaluar también el cuarzo (columna de cuarzo)</t>
  </si>
  <si>
    <t xml:space="preserve">CAR-B</t>
  </si>
  <si>
    <t xml:space="preserve">Polvo de carbón – bituminoso o lignito</t>
  </si>
  <si>
    <t xml:space="preserve">NIOSH 0600 + NIOSH 7500 para cuarzo</t>
  </si>
  <si>
    <t xml:space="preserve">Idem antracita</t>
  </si>
  <si>
    <t xml:space="preserve">ASB</t>
  </si>
  <si>
    <t xml:space="preserve">Asbesto – todas las formas</t>
  </si>
  <si>
    <t xml:space="preserve">1332-21-4</t>
  </si>
  <si>
    <t xml:space="preserve">Fibras respirables (PCM)</t>
  </si>
  <si>
    <t xml:space="preserve">f/cm³</t>
  </si>
  <si>
    <t xml:space="preserve">OSHA ID-160 (PCM) / NIOSH 7400; confirmación por TEM NIOSH 7402 cuando haya otras fibras</t>
  </si>
  <si>
    <t xml:space="preserve">Asbestosis (J61); mesotelioma; cáncer de pulmón</t>
  </si>
  <si>
    <t xml:space="preserve">ACGIH A1 · IARC 1</t>
  </si>
  <si>
    <t xml:space="preserve">Fibra: L &gt; 5 µm, D &lt; 3 µm, L/D ≥ 3. Colombia: Ley 1968 de 2019 prohíbe el asbesto desde 2021 (aplica a remoción, demolición y mantenimiento)</t>
  </si>
  <si>
    <t xml:space="preserve">PNOS</t>
  </si>
  <si>
    <t xml:space="preserve">Polvo respirable sin asbesto y sílice &lt; 1 %</t>
  </si>
  <si>
    <t xml:space="preserve">NIOSH 0600 (gravimétrico)</t>
  </si>
  <si>
    <t xml:space="preserve">No neumoconiótico (partículas PNOS)</t>
  </si>
  <si>
    <t xml:space="preserve">Partículas insolubles no especificadas (ACGIH: 3 mg/m³ R). Se tratarán en la futura herramienta DustRisk</t>
  </si>
  <si>
    <t xml:space="preserve">Parámetros</t>
  </si>
  <si>
    <t xml:space="preserve">Denominador DEG</t>
  </si>
  <si>
    <t xml:space="preserve">n</t>
  </si>
  <si>
    <t xml:space="preserve">«n» según Res. 2467/2022 y ejemplo 2 de la Guía Técnica 2024 (DEG = 1,15). Use «n-1» para la desviación muestral clásica.</t>
  </si>
  <si>
    <t xml:space="preserve">Volumen minuto respiratorio (L/min)</t>
  </si>
  <si>
    <t xml:space="preserve">Trabajo moderado: 21 L/min (GATI-NEUMO 7.2.5). Usado para la vida útil de filtros.</t>
  </si>
  <si>
    <t xml:space="preserve">Carga de saturación del filtro (mg)</t>
  </si>
  <si>
    <t xml:space="preserve">200 mg: carga máxima del ensayo NIOSH 42 CFR 84 (GATI-NEUMO 7.2.5).</t>
  </si>
  <si>
    <t xml:space="preserve">Selección del valor límite (GATI-NEUMO 7.1.5)</t>
  </si>
  <si>
    <t xml:space="preserve">1. ¿El aerosol es de origen mineral (con potencial de sílice cristalina o asbesto) u orgánico?</t>
  </si>
  <si>
    <t xml:space="preserve">2. Mineral con sílice libre cristalina ≥ 1 % en peso → TLV de sílice cristalina (SIL-Q / SIL-C / SIL-T). Si contiene asbesto → TLV de asbesto (ASB).</t>
  </si>
  <si>
    <t xml:space="preserve">3. Orgánico, o mineral con sílice &lt; 1 % y sin asbesto → TLV de polvo respirable (PNOS, 3 mg/m³).</t>
  </si>
  <si>
    <t xml:space="preserve">4. Polvo de carbón: aplicar TLV de carbón (CAR-A / CAR-B) y verificar por separado el cuarzo de la muestra con NIOSH 7500.</t>
  </si>
  <si>
    <t xml:space="preserve">Factores de protección asignados – APF (OSHA 29 CFR 1910.134)</t>
  </si>
  <si>
    <t xml:space="preserve">Nº</t>
  </si>
  <si>
    <t xml:space="preserve">Tipo de respirador</t>
  </si>
  <si>
    <t xml:space="preserve">APF</t>
  </si>
  <si>
    <t xml:space="preserve">Pieza facial filtrante (desechable) N/R/P</t>
  </si>
  <si>
    <t xml:space="preserve">Media cara elastomérica con filtros P100</t>
  </si>
  <si>
    <t xml:space="preserve">PAPR con capucha o careta holgada</t>
  </si>
  <si>
    <t xml:space="preserve">Cara completa elastomérica con filtros P100</t>
  </si>
  <si>
    <t xml:space="preserve">PAPR con media cara</t>
  </si>
  <si>
    <t xml:space="preserve">PAPR con cara completa / casco certificado</t>
  </si>
  <si>
    <t xml:space="preserve">Línea de aire flujo continuo, cara completa</t>
  </si>
  <si>
    <t xml:space="preserve">Equipo autocontenido (SCBA) a presión positiva</t>
  </si>
  <si>
    <t xml:space="preserve">2. Grupos de Exposición Similar – identificación, valoración cualitativa y ajuste del TLV</t>
  </si>
  <si>
    <t xml:space="preserve">GATI-NEUMO Diagrama 2 y rec. 7.2.1 · Guía Técnica 2024 num. 3.1–3.2.1 (matriz AIHA: VC × VE) · Brief &amp; Scala (rec. 7.1.6)</t>
  </si>
  <si>
    <t xml:space="preserve">Código GES</t>
  </si>
  <si>
    <t xml:space="preserve">Cargos / oficios del GES</t>
  </si>
  <si>
    <t xml:space="preserve">Área / proceso</t>
  </si>
  <si>
    <t xml:space="preserve">Fuentes y actividades generadoras</t>
  </si>
  <si>
    <t xml:space="preserve">Agente (código)</t>
  </si>
  <si>
    <t xml:space="preserve">Nº trabajadores</t>
  </si>
  <si>
    <t xml:space="preserve">Controles existentes</t>
  </si>
  <si>
    <t xml:space="preserve">Horas / día</t>
  </si>
  <si>
    <t xml:space="preserve">Horas / semana</t>
  </si>
  <si>
    <t xml:space="preserve">Minutos de exposición por jornada</t>
  </si>
  <si>
    <t xml:space="preserve">VC (circunstancia)</t>
  </si>
  <si>
    <t xml:space="preserve">VE (efecto)</t>
  </si>
  <si>
    <t xml:space="preserve">Riesgo potencial VE×VC</t>
  </si>
  <si>
    <t xml:space="preserve">Interpretación</t>
  </si>
  <si>
    <t xml:space="preserve">Muestras mínimas</t>
  </si>
  <si>
    <t xml:space="preserve">Categoría cualitativa (juicio del higienista)</t>
  </si>
  <si>
    <t xml:space="preserve">TLV base</t>
  </si>
  <si>
    <t xml:space="preserve">Factor diario</t>
  </si>
  <si>
    <t xml:space="preserve">Factor semanal</t>
  </si>
  <si>
    <t xml:space="preserve">Factor aplicado</t>
  </si>
  <si>
    <t xml:space="preserve">TLV ajustado (B&amp;S)</t>
  </si>
  <si>
    <t xml:space="preserve">G01</t>
  </si>
  <si>
    <t xml:space="preserve">Operadores de trituradora y cribas</t>
  </si>
  <si>
    <t xml:space="preserve">Planta de agregados</t>
  </si>
  <si>
    <t xml:space="preserve">Trituración primaria y secundaria de roca arenisca; transferencia en bandas</t>
  </si>
  <si>
    <t xml:space="preserve">Encerramiento parcial; aspersión en tolva (intermitente)</t>
  </si>
  <si>
    <t xml:space="preserve">Alto</t>
  </si>
  <si>
    <t xml:space="preserve">G02</t>
  </si>
  <si>
    <t xml:space="preserve">Operarios de moldeo y prensado</t>
  </si>
  <si>
    <t xml:space="preserve">Ladrillera</t>
  </si>
  <si>
    <t xml:space="preserve">Mezcla de arcillas, moldeo y desmolde</t>
  </si>
  <si>
    <t xml:space="preserve">Ventilación general natural; humectación de la arcilla</t>
  </si>
  <si>
    <t xml:space="preserve">Moderado</t>
  </si>
  <si>
    <t xml:space="preserve">G03</t>
  </si>
  <si>
    <t xml:space="preserve">Pulidores de mármol y granito</t>
  </si>
  <si>
    <t xml:space="preserve">Taller de acabados</t>
  </si>
  <si>
    <t xml:space="preserve">Corte y pulido en húmedo de piezas de granito</t>
  </si>
  <si>
    <t xml:space="preserve">Herramienta con agua; LEV en mesa de corte</t>
  </si>
  <si>
    <t xml:space="preserve">G04</t>
  </si>
  <si>
    <t xml:space="preserve">Picadores y frenteros</t>
  </si>
  <si>
    <t xml:space="preserve">Mina subterránea de carbón</t>
  </si>
  <si>
    <t xml:space="preserve">Arranque con martillo picador, cargue y sostenimiento</t>
  </si>
  <si>
    <t xml:space="preserve">Ventilación principal; aspersión en frente</t>
  </si>
  <si>
    <t xml:space="preserve">Crítico</t>
  </si>
  <si>
    <t xml:space="preserve">G05</t>
  </si>
  <si>
    <t xml:space="preserve">Operadores de cargue y patio</t>
  </si>
  <si>
    <t xml:space="preserve">Patio de acopio de carbón</t>
  </si>
  <si>
    <t xml:space="preserve">Cargue de volquetas y apilamiento con cargador</t>
  </si>
  <si>
    <t xml:space="preserve">Cabina cerrada (sin presurizar); riego de vías</t>
  </si>
  <si>
    <t xml:space="preserve">G06</t>
  </si>
  <si>
    <t xml:space="preserve">Cuadrilla de demolición</t>
  </si>
  <si>
    <t xml:space="preserve">Mantenimiento de edificaciones</t>
  </si>
  <si>
    <t xml:space="preserve">Retiro de tejas y tanques de asbesto-cemento</t>
  </si>
  <si>
    <t xml:space="preserve">Humectación manual; respirador desechable</t>
  </si>
  <si>
    <t xml:space="preserve">3. Registro de muestras personales</t>
  </si>
  <si>
    <t xml:space="preserve">Una fila por muestra. Ingrese masa + caudal + tiempo, o la concentración reportada por el laboratorio (columna J; obligatoria para asbesto en f/cm³). Valores &lt; LD: registre LD/2.</t>
  </si>
  <si>
    <t xml:space="preserve">Fecha</t>
  </si>
  <si>
    <t xml:space="preserve">Trabajador / cargo</t>
  </si>
  <si>
    <t xml:space="preserve">Tipo de muestra</t>
  </si>
  <si>
    <t xml:space="preserve">Caudal (L/min)</t>
  </si>
  <si>
    <t xml:space="preserve">Tiempo de muestreo (min)</t>
  </si>
  <si>
    <t xml:space="preserve">Volumen (m³)</t>
  </si>
  <si>
    <t xml:space="preserve">Masa del analito (mg)</t>
  </si>
  <si>
    <t xml:space="preserve">Concentración reportada por laboratorio</t>
  </si>
  <si>
    <t xml:space="preserve">% sílice cristalina en el polvo</t>
  </si>
  <si>
    <t xml:space="preserve">Concentración (mg/m³ o f/cm³)</t>
  </si>
  <si>
    <t xml:space="preserve">Cuarzo derivado (mg/m³)</t>
  </si>
  <si>
    <t xml:space="preserve">TLV ajustado</t>
  </si>
  <si>
    <t xml:space="preserve">Índice C / TLV aj.</t>
  </si>
  <si>
    <t xml:space="preserve">Verificación de rango (si DEG excede)</t>
  </si>
  <si>
    <t xml:space="preserve">Observaciones</t>
  </si>
  <si>
    <t xml:space="preserve">ln C (aux)</t>
  </si>
  <si>
    <t xml:space="preserve">(ln C − ln MG)² (aux)</t>
  </si>
  <si>
    <t xml:space="preserve">(C − MA)² (aux)</t>
  </si>
  <si>
    <t xml:space="preserve">&gt; TLV (aux)</t>
  </si>
  <si>
    <t xml:space="preserve">Operador trituradora 1</t>
  </si>
  <si>
    <t xml:space="preserve">Personal</t>
  </si>
  <si>
    <t xml:space="preserve">Masa de cuarzo por DRX (NIOSH 7500)</t>
  </si>
  <si>
    <t xml:space="preserve">Operador trituradora 2</t>
  </si>
  <si>
    <t xml:space="preserve">Operador trituradora 3</t>
  </si>
  <si>
    <t xml:space="preserve">Operador trituradora 4</t>
  </si>
  <si>
    <t xml:space="preserve">Operador trituradora 5</t>
  </si>
  <si>
    <t xml:space="preserve">Operador trituradora 6</t>
  </si>
  <si>
    <t xml:space="preserve">Operario moldeo 1</t>
  </si>
  <si>
    <t xml:space="preserve">Operario moldeo 2</t>
  </si>
  <si>
    <t xml:space="preserve">Operario moldeo 3</t>
  </si>
  <si>
    <t xml:space="preserve">Operario moldeo 4</t>
  </si>
  <si>
    <t xml:space="preserve">Operario moldeo 5</t>
  </si>
  <si>
    <t xml:space="preserve">Operario moldeo 6</t>
  </si>
  <si>
    <t xml:space="preserve">Pulidor 1</t>
  </si>
  <si>
    <t xml:space="preserve">Serie de 5 muestras del ejemplo 1 de la Guía Técnica 2024</t>
  </si>
  <si>
    <t xml:space="preserve">Pulidor 2</t>
  </si>
  <si>
    <t xml:space="preserve">Pulidor 3</t>
  </si>
  <si>
    <t xml:space="preserve">Pulidor 4</t>
  </si>
  <si>
    <t xml:space="preserve">Pulidor 5</t>
  </si>
  <si>
    <t xml:space="preserve">Picador 1</t>
  </si>
  <si>
    <t xml:space="preserve">Picador 2</t>
  </si>
  <si>
    <t xml:space="preserve">Picador 3</t>
  </si>
  <si>
    <t xml:space="preserve">Picador 4</t>
  </si>
  <si>
    <t xml:space="preserve">Picador 5</t>
  </si>
  <si>
    <t xml:space="preserve">Picador 6</t>
  </si>
  <si>
    <t xml:space="preserve">Picador 7</t>
  </si>
  <si>
    <t xml:space="preserve">Operador cargue 1</t>
  </si>
  <si>
    <t xml:space="preserve">Operador cargue 2</t>
  </si>
  <si>
    <t xml:space="preserve">Operador cargue 3</t>
  </si>
  <si>
    <t xml:space="preserve">Operador cargue 4</t>
  </si>
  <si>
    <t xml:space="preserve">Operador cargue 5</t>
  </si>
  <si>
    <t xml:space="preserve">Operador cargue 6</t>
  </si>
  <si>
    <t xml:space="preserve">Demoledor 1</t>
  </si>
  <si>
    <t xml:space="preserve">Asbesto: concentración en f/cm³ reportada por PCM (OSHA ID-160)</t>
  </si>
  <si>
    <t xml:space="preserve">Demoledor 2</t>
  </si>
  <si>
    <t xml:space="preserve">Demoledor 3</t>
  </si>
  <si>
    <t xml:space="preserve">Demoledor 4</t>
  </si>
  <si>
    <t xml:space="preserve">Demoledor 5</t>
  </si>
  <si>
    <t xml:space="preserve">Demoledor 6</t>
  </si>
  <si>
    <t xml:space="preserve">4. Estadística por GES y criterio de decisión</t>
  </si>
  <si>
    <t xml:space="preserve">GATI-NEUMO 5.1 y 7.2.1–7.2.2 (CR, DEG ≤ 2,0, cuadro 3 de J. Rock) · Res. 2467/2022 y Guía Técnica 2024 num. 3.2.2.4–3.3 (MG, DEG ≤ 2,5, perfil de exposición)</t>
  </si>
  <si>
    <t xml:space="preserve">Suficiencia muestral</t>
  </si>
  <si>
    <t xml:space="preserve">Mínimo</t>
  </si>
  <si>
    <t xml:space="preserve">Máximo</t>
  </si>
  <si>
    <t xml:space="preserve">Media aritmética (MA)</t>
  </si>
  <si>
    <t xml:space="preserve">Desv. estándar</t>
  </si>
  <si>
    <t xml:space="preserve">Media geométrica (MG)</t>
  </si>
  <si>
    <t xml:space="preserve">DEG</t>
  </si>
  <si>
    <t xml:space="preserve">% muestras &gt; TLV aj.</t>
  </si>
  <si>
    <t xml:space="preserve">CR = MA / TLV aj. (GATI)</t>
  </si>
  <si>
    <t xml:space="preserve">PE = MG / TLV aj. (Res. 2467)</t>
  </si>
  <si>
    <t xml:space="preserve">Criterio aplicable</t>
  </si>
  <si>
    <t xml:space="preserve">Validez del GES</t>
  </si>
  <si>
    <t xml:space="preserve">Indicador de decisión</t>
  </si>
  <si>
    <t xml:space="preserve">Límite DEG</t>
  </si>
  <si>
    <t xml:space="preserve">Clasificación de la exposición</t>
  </si>
  <si>
    <t xml:space="preserve">Grado de exposición (Rock)</t>
  </si>
  <si>
    <t xml:space="preserve">Frecuencia de reevaluación (GATI cuadro 3)</t>
  </si>
  <si>
    <t xml:space="preserve">Frecuencia Res. 2467 (sílice)</t>
  </si>
  <si>
    <t xml:space="preserve">Vigilancia médica</t>
  </si>
  <si>
    <t xml:space="preserve">Percentil 95 estimado</t>
  </si>
  <si>
    <t xml:space="preserve">MA cuarzo en carbón (mg/m³)</t>
  </si>
  <si>
    <t xml:space="preserve">Índice cuarzo / TLV sílice aj.</t>
  </si>
  <si>
    <t xml:space="preserve">Alerta cuarzo</t>
  </si>
  <si>
    <t xml:space="preserve">5. Plan de Control por GES</t>
  </si>
  <si>
    <t xml:space="preserve">Recomendaciones automáticas según agente y clasificación (códigos B## en la Biblioteca). Diligencie las medidas adoptadas, responsables y seguimiento.</t>
  </si>
  <si>
    <t xml:space="preserve">Clasificación</t>
  </si>
  <si>
    <t xml:space="preserve">Grado</t>
  </si>
  <si>
    <t xml:space="preserve">Prioridad</t>
  </si>
  <si>
    <t xml:space="preserve">Medidas recomendadas (automático)</t>
  </si>
  <si>
    <t xml:space="preserve">Medida(s) adoptada(s)</t>
  </si>
  <si>
    <t xml:space="preserve">Jerarquía</t>
  </si>
  <si>
    <t xml:space="preserve">Responsable</t>
  </si>
  <si>
    <t xml:space="preserve">Fecha compromiso</t>
  </si>
  <si>
    <t xml:space="preserve">Estado</t>
  </si>
  <si>
    <t xml:space="preserve">Verificación de eficacia (remuestreo)</t>
  </si>
  <si>
    <t xml:space="preserve">Instalar LEV en puntos de transferencia y aspersión continua en tolva</t>
  </si>
  <si>
    <t xml:space="preserve">Ingeniería – fuente</t>
  </si>
  <si>
    <t xml:space="preserve">Jefe de planta</t>
  </si>
  <si>
    <t xml:space="preserve">En curso</t>
  </si>
  <si>
    <t xml:space="preserve">Remuestreo 6 muestras en ene-2027</t>
  </si>
  <si>
    <t xml:space="preserve">Rediseño del circuito de ventilación y aspersión en frente de arranque</t>
  </si>
  <si>
    <t xml:space="preserve">Ingeniería – medio</t>
  </si>
  <si>
    <t xml:space="preserve">Ingeniero de minas</t>
  </si>
  <si>
    <t xml:space="preserve">Pendiente</t>
  </si>
  <si>
    <t xml:space="preserve">Remuestreo trimestral</t>
  </si>
  <si>
    <t xml:space="preserve">Suspender retiro en seco; confinar zona con presión negativa y HEPA; ropa exclusiva y ducha</t>
  </si>
  <si>
    <t xml:space="preserve">Coordinador SST</t>
  </si>
  <si>
    <t xml:space="preserve">Medición de fibras en cada intervención</t>
  </si>
  <si>
    <t xml:space="preserve">Biblioteca de Controles</t>
  </si>
  <si>
    <t xml:space="preserve">Jerarquía de controles (Decreto 1072/2015) · GATI-NEUMO 7.2.3–7.2.6 · Guía Técnica 2024 cap. 4–6 · NEPSI · NIOSH IC 9465</t>
  </si>
  <si>
    <t xml:space="preserve">Medida de control</t>
  </si>
  <si>
    <t xml:space="preserve">Aplicación típica</t>
  </si>
  <si>
    <t xml:space="preserve">Fuente</t>
  </si>
  <si>
    <t xml:space="preserve">Clave (grupo|clasificación)</t>
  </si>
  <si>
    <t xml:space="preserve">Recomendación automática para el Plan de Control</t>
  </si>
  <si>
    <t xml:space="preserve">B01</t>
  </si>
  <si>
    <t xml:space="preserve">Sílice</t>
  </si>
  <si>
    <t xml:space="preserve">Sustitución</t>
  </si>
  <si>
    <t xml:space="preserve">Sustituir arena silícea en limpieza abrasiva por granalla metálica, escoria, cáscara de nuez o de cereales, bicarbonato o hielo seco</t>
  </si>
  <si>
    <t xml:space="preserve">Sandblasting, limpieza de superficies</t>
  </si>
  <si>
    <t xml:space="preserve">GATI-NEUMO 7.2.3</t>
  </si>
  <si>
    <t xml:space="preserve">SIL|Controlada</t>
  </si>
  <si>
    <t xml:space="preserve">Mantener controles existentes y orden y aseo con métodos húmedos/HEPA (B14–B15). Capacitación anual (B20). Reevaluar según periodicidad.</t>
  </si>
  <si>
    <t xml:space="preserve">B02</t>
  </si>
  <si>
    <t xml:space="preserve">Emplear materias primas con menor contenido de sílice cristalina (p. ej. arenas de olivino o cromita en fundición)</t>
  </si>
  <si>
    <t xml:space="preserve">Fundición, moldeo, cerámica</t>
  </si>
  <si>
    <t xml:space="preserve">NEPSI; Guía Técnica 2024</t>
  </si>
  <si>
    <t xml:space="preserve">SIL|Fuera de control – precaución</t>
  </si>
  <si>
    <t xml:space="preserve">Nivel de acción alcanzado: ingresar al SVE específico. Priorizar humectación y LEV en la fuente (B04–B06); verificar desempeño de la ventilación (B23); orden y aseo sin barrido en seco (B14); protección respiratoria P100/FFP3 complementaria (B24–B25).</t>
  </si>
  <si>
    <t xml:space="preserve">B03</t>
  </si>
  <si>
    <t xml:space="preserve">Sílice / Carbón</t>
  </si>
  <si>
    <t xml:space="preserve">Mecanizar y encerrar procesos de trituración, molienda, tamizado y transferencia</t>
  </si>
  <si>
    <t xml:space="preserve">Plantas de agregados, molinos, cribas</t>
  </si>
  <si>
    <t xml:space="preserve">SIL|Sobreexposición</t>
  </si>
  <si>
    <t xml:space="preserve">Control inmediato: evaluar sustitución (B01–B02), encerramiento y LEV (B03–B04), humectación o herramientas con agua/aspiración (B05–B06), cabinas (B07). Mientras tanto reducir tiempos (B17), demarcar (B18) y protección respiratoria según factor requerido (hoja Protección Respiratoria). Ingreso prioritario al SVE.</t>
  </si>
  <si>
    <t xml:space="preserve">B04</t>
  </si>
  <si>
    <t xml:space="preserve">Ventilación local exhaustiva (LEV) con captación en el punto de generación, diseñada según Manual de Ventilación Industrial ACGIH, con colector de alta eficiencia</t>
  </si>
  <si>
    <t xml:space="preserve">Puntos de transferencia, tolvas, mezcladoras, mesas de pulido</t>
  </si>
  <si>
    <t xml:space="preserve">GATI-NEUMO 7.2.3; ACGIH IV Manual</t>
  </si>
  <si>
    <t xml:space="preserve">CAR|Controlada</t>
  </si>
  <si>
    <t xml:space="preserve">Mantener ventilación principal y humectación. Verificar contenido de cuarzo en las muestras (NIOSH 7500). Capacitación y programa antitabaco (B20–B21).</t>
  </si>
  <si>
    <t xml:space="preserve">B05</t>
  </si>
  <si>
    <t xml:space="preserve">Humectación: aspersión o niebla de agua en perforación, corte, transporte y vías; perforación con inyección de agua</t>
  </si>
  <si>
    <t xml:space="preserve">Minería, construcción, canteras</t>
  </si>
  <si>
    <t xml:space="preserve">GATI-NEUMO 7.2.3; NIOSH IC 9465</t>
  </si>
  <si>
    <t xml:space="preserve">CAR|Fuera de control – precaución</t>
  </si>
  <si>
    <t xml:space="preserve">Reforzar ventilación principal (B08), aspersión en corte y transporte (B05, B09), cabinas (B07). Verificar el cuarzo de la muestra. Protección respiratoria complementaria (B24). Vigilancia médica (GATI 7.3.2).</t>
  </si>
  <si>
    <t xml:space="preserve">B06</t>
  </si>
  <si>
    <t xml:space="preserve">Herramientas eléctricas con suministro integrado de agua o con aspiración incorporada (cubierta + aspiradora HEPA)</t>
  </si>
  <si>
    <t xml:space="preserve">Corte, desbaste, perforación de concreto, ladrillo, piedra</t>
  </si>
  <si>
    <t xml:space="preserve">OSHA 1926.1153 Tabla 1; NEPSI</t>
  </si>
  <si>
    <t xml:space="preserve">CAR|Sobreexposición</t>
  </si>
  <si>
    <t xml:space="preserve">Control inmediato: rediseño de ventilación (B08), sistemas de supresión en minadores y bandas (B09), humectación (B05), cabinas presurizadas (B07). Reducir exposición (B17). Protección respiratoria según factor requerido. Evaluar cuarzo como agente adicional.</t>
  </si>
  <si>
    <t xml:space="preserve">B07</t>
  </si>
  <si>
    <t xml:space="preserve">Cabinas cerradas presurizadas y con aire filtrado para operadores de maquinaria pesada y salas de control</t>
  </si>
  <si>
    <t xml:space="preserve">Cargadores, perforadoras, salas de mando</t>
  </si>
  <si>
    <t xml:space="preserve">NIOSH IC 9465; NEPSI</t>
  </si>
  <si>
    <t xml:space="preserve">ASB|Controlada</t>
  </si>
  <si>
    <t xml:space="preserve">Mantener prácticas húmedas, aspiración HEPA y ropa/ducha (B12, B14, B19). Inventario y plan de retiro seguro de materiales con asbesto (Ley 1968/2019).</t>
  </si>
  <si>
    <t xml:space="preserve">B08</t>
  </si>
  <si>
    <t xml:space="preserve">Ventilación general/principal adecuada (minería subterránea) para dilución y arrastre del polvo</t>
  </si>
  <si>
    <t xml:space="preserve">Labores subterráneas</t>
  </si>
  <si>
    <t xml:space="preserve">Decreto 1886 de 2015</t>
  </si>
  <si>
    <t xml:space="preserve">ASB|Fuera de control – precaución</t>
  </si>
  <si>
    <t xml:space="preserve">Confinar la zona y extraer con HEPA (B11, B13); trabajo húmedo (B12); prohibir barrido en seco y aire comprimido (B14); ropa exclusiva y ducha (B19); respirador elastomérico P100 como mínimo (B26).</t>
  </si>
  <si>
    <t xml:space="preserve">B09</t>
  </si>
  <si>
    <t xml:space="preserve">Carbón</t>
  </si>
  <si>
    <t xml:space="preserve">Tambor de corte con aspersores, depuradores (scrubbers) en minadores continuos; control de polvo en bandas</t>
  </si>
  <si>
    <t xml:space="preserve">Minería de carbón subterránea</t>
  </si>
  <si>
    <t xml:space="preserve">NIOSH IC 9465</t>
  </si>
  <si>
    <t xml:space="preserve">ASB|Sobreexposición</t>
  </si>
  <si>
    <t xml:space="preserve">Suspender la tarea hasta implementar confinamiento con presión negativa y HEPA (B13), humectación (B12) y descontaminación (B19). Protección respiratoria según factor requerido (cara completa o PAPR). Medición continua de fibras (GATI 7.2.3).</t>
  </si>
  <si>
    <t xml:space="preserve">B10</t>
  </si>
  <si>
    <t xml:space="preserve">Asbesto</t>
  </si>
  <si>
    <t xml:space="preserve">Eliminación / Sustitución</t>
  </si>
  <si>
    <t xml:space="preserve">No introducir materiales con asbesto; sustituir por fibra de vidrio, fibras sintéticas o celulosa (Ley 1968 de 2019)</t>
  </si>
  <si>
    <t xml:space="preserve">Aislamientos, frenos, fibrocemento</t>
  </si>
  <si>
    <t xml:space="preserve">GATI-NEUMO 7.2.3; Ley 1968/2019</t>
  </si>
  <si>
    <t xml:space="preserve">PNO|Controlada</t>
  </si>
  <si>
    <t xml:space="preserve">Polvo no neumoconiótico (sílice &lt; 1 %, sin asbesto). Mantener controles generales; gestionar en DustRisk.</t>
  </si>
  <si>
    <t xml:space="preserve">B11</t>
  </si>
  <si>
    <t xml:space="preserve">Máximo encerramiento y LEV; material captado a colectores de alta eficiencia (HEPA) y almacenado en recipientes sellados</t>
  </si>
  <si>
    <t xml:space="preserve">Mantenimiento de frenos/embragues, retiro de aislamiento</t>
  </si>
  <si>
    <t xml:space="preserve">PNO|Fuera de control – precaución</t>
  </si>
  <si>
    <t xml:space="preserve">Polvo PNOS: controles de ingeniería generales (B03–B05, B14). Confirmar que la sílice cristalina sea &lt; 1 %.</t>
  </si>
  <si>
    <t xml:space="preserve">B12</t>
  </si>
  <si>
    <t xml:space="preserve">Procesar y retirar materiales en estado húmedo (humectación con surfactante) para reducir la emisión de fibras</t>
  </si>
  <si>
    <t xml:space="preserve">Demolición, remoción de tejas y tanques de fibrocemento</t>
  </si>
  <si>
    <t xml:space="preserve">PNO|Sobreexposición</t>
  </si>
  <si>
    <t xml:space="preserve">Polvo PNOS sobre el TLV: control en la fuente (B03–B05) y protección respiratoria temporal. Confirmar contenido de sílice.</t>
  </si>
  <si>
    <t xml:space="preserve">B13</t>
  </si>
  <si>
    <t xml:space="preserve">Confinamiento con presión negativa de la zona de remoción, unidades de extracción HEPA y esclusas de descontaminación</t>
  </si>
  <si>
    <t xml:space="preserve">Remoción de materiales friables</t>
  </si>
  <si>
    <t xml:space="preserve">OSHA 1926.1101</t>
  </si>
  <si>
    <t xml:space="preserve">B14</t>
  </si>
  <si>
    <t xml:space="preserve">Todos</t>
  </si>
  <si>
    <t xml:space="preserve">Administrativo</t>
  </si>
  <si>
    <t xml:space="preserve">Prohibir el barrido en seco y el aire comprimido para limpieza; usar aspiración industrial HEPA o métodos húmedos</t>
  </si>
  <si>
    <t xml:space="preserve">Orden y aseo, limpieza de equipos y pisos</t>
  </si>
  <si>
    <t xml:space="preserve">GATI-NEUMO 7.2.3; Guía Técnica 2024</t>
  </si>
  <si>
    <t xml:space="preserve">B15</t>
  </si>
  <si>
    <t xml:space="preserve">Programa de orden y aseo; evitar acumulación de material en pisos que genere resuspensión</t>
  </si>
  <si>
    <t xml:space="preserve">Todas las áreas</t>
  </si>
  <si>
    <t xml:space="preserve">B16</t>
  </si>
  <si>
    <t xml:space="preserve">Procedimientos de trabajo seguro: trabajar a favor de la corriente de aire, retirarse de zonas contaminadas cuando la tarea lo permita</t>
  </si>
  <si>
    <t xml:space="preserve">Operaciones manuales y semimecanizadas</t>
  </si>
  <si>
    <t xml:space="preserve">B17</t>
  </si>
  <si>
    <t xml:space="preserve">Reducir el tiempo de exposición (rotación) mientras se implementan controles de ingeniería</t>
  </si>
  <si>
    <t xml:space="preserve">GES con sobreexposición</t>
  </si>
  <si>
    <t xml:space="preserve">Guía Técnica 2024 cap. 4</t>
  </si>
  <si>
    <t xml:space="preserve">B18</t>
  </si>
  <si>
    <t xml:space="preserve">Señalización de advertencia, demarcación de zonas de riesgo y control de acceso</t>
  </si>
  <si>
    <t xml:space="preserve">Áreas con perfil moderado o alto</t>
  </si>
  <si>
    <t xml:space="preserve">B19</t>
  </si>
  <si>
    <t xml:space="preserve">Ropa de trabajo exclusiva, vestidores con casilleros separados (ropa limpia/sucia), ducha obligatoria al final de la jornada; lavado de ropa en la empresa</t>
  </si>
  <si>
    <t xml:space="preserve">Toda tarea con asbesto</t>
  </si>
  <si>
    <t xml:space="preserve">B20</t>
  </si>
  <si>
    <t xml:space="preserve">Programa de capacitación al ingreso y mínimo anual: fuentes, efectos, sinergia con el tabaco, controles, EPP y vigilancia médica</t>
  </si>
  <si>
    <t xml:space="preserve">Todos los expuestos</t>
  </si>
  <si>
    <t xml:space="preserve">GATI-NEUMO 7.2.6; Guía Técnica 2024 cap. 6</t>
  </si>
  <si>
    <t xml:space="preserve">B21</t>
  </si>
  <si>
    <t xml:space="preserve">Programa antitabaco dentro del SVE</t>
  </si>
  <si>
    <t xml:space="preserve">GATI-NEUMO 7.3.2</t>
  </si>
  <si>
    <t xml:space="preserve">B22</t>
  </si>
  <si>
    <t xml:space="preserve">Repetir evaluaciones ambientales ante cambios de proceso, equipos o funciones</t>
  </si>
  <si>
    <t xml:space="preserve">Gestión del cambio</t>
  </si>
  <si>
    <t xml:space="preserve">GATI-NEUMO 7.2.2 (NIOSH)</t>
  </si>
  <si>
    <t xml:space="preserve">B23</t>
  </si>
  <si>
    <t xml:space="preserve">Mantenimiento preventivo y verificación periódica de sistemas de ventilación y humectación (caudal, velocidad de captura, presión estática)</t>
  </si>
  <si>
    <t xml:space="preserve">LEV, colectores, aspersores</t>
  </si>
  <si>
    <t xml:space="preserve">ACGIH IV Manual</t>
  </si>
  <si>
    <t xml:space="preserve">B24</t>
  </si>
  <si>
    <t xml:space="preserve">EPP</t>
  </si>
  <si>
    <t xml:space="preserve">Programa de protección respiratoria (selección por APF, evaluación médica, pruebas de ajuste, mantenimiento, entrenamiento, registros)</t>
  </si>
  <si>
    <t xml:space="preserve">Mientras se implementan controles o como complemento</t>
  </si>
  <si>
    <t xml:space="preserve">GATI-NEUMO 7.2.4; Guía Técnica 2024 cap. 5; OSHA 1910.134</t>
  </si>
  <si>
    <t xml:space="preserve">B25</t>
  </si>
  <si>
    <t xml:space="preserve">Respiradores aprobados con eficiencia ≥ 95 % a 0,3 µm; preferir N/R/P100 o FFP3 (Guía Técnica 2024)</t>
  </si>
  <si>
    <t xml:space="preserve">Polvos con sílice</t>
  </si>
  <si>
    <t xml:space="preserve">Guía Técnica 2024 cap. 5</t>
  </si>
  <si>
    <t xml:space="preserve">B26</t>
  </si>
  <si>
    <t xml:space="preserve">Respirador elastomérico con filtros P100 como mínimo (no desechables); cara completa o PAPR según factor de protección requerido</t>
  </si>
  <si>
    <t xml:space="preserve">Remoción, demolición, mantenimiento</t>
  </si>
  <si>
    <t xml:space="preserve">GATI-NEUMO 7.2.3; OSHA 1926.1101</t>
  </si>
  <si>
    <t xml:space="preserve">B27</t>
  </si>
  <si>
    <t xml:space="preserve">Reemplazo de filtros: cuando se dañen o aumente la resistencia respiratoria; serie N por carga (≈200 mg); serie R una jornada</t>
  </si>
  <si>
    <t xml:space="preserve">Usuarios de respiradores purificadores</t>
  </si>
  <si>
    <t xml:space="preserve">GATI-NEUMO 7.2.5</t>
  </si>
  <si>
    <t xml:space="preserve">6. Selección de protección respiratoria y vida útil de filtros</t>
  </si>
  <si>
    <t xml:space="preserve">Medida provisional mientras se implementan controles de ingeniería (GATI 7.2.4). FPR = P95 / TLV ajustado → APF mínimo (OSHA 1910.134). Filtros: eficiencia ≥95 % a 0,3 µm; preferir N/R/P100 o FFP3 (Guía Técnica 2024).</t>
  </si>
  <si>
    <t xml:space="preserve">Concentración de referencia (P95 o máx.)</t>
  </si>
  <si>
    <t xml:space="preserve">Factor de protección requerido (FPR; en carbón incluye el cuarzo)</t>
  </si>
  <si>
    <t xml:space="preserve">Respirador mínimo (APF ≥ FPR)</t>
  </si>
  <si>
    <t xml:space="preserve">Filtro</t>
  </si>
  <si>
    <t xml:space="preserve">Polvo total/respirable en el aire (mg/m³)</t>
  </si>
  <si>
    <t xml:space="preserve">Horas de uso por jornada</t>
  </si>
  <si>
    <t xml:space="preserve">Nº de filtros del respirador</t>
  </si>
  <si>
    <t xml:space="preserve">Carga diaria por filtro (mg)</t>
  </si>
  <si>
    <t xml:space="preserve">Reemplazo estimado serie N (jornadas)</t>
  </si>
  <si>
    <t xml:space="preserve">Polvo respirable total medido por gravimetría (NIOSH 0600)</t>
  </si>
  <si>
    <t xml:space="preserve">7. Índice de exposición acumulada por trabajador (GATI-NEUMO 7.1.7)</t>
  </si>
  <si>
    <t xml:space="preserve">Exposición acumulada = Σ (Cj × Tj), con Cj = concentración promedio 8 h del oficio j y Tj = años en el oficio. Sílice: mg/m³·año de polvo total; asbesto: f/cm³·año.</t>
  </si>
  <si>
    <t xml:space="preserve">Trabajador</t>
  </si>
  <si>
    <t xml:space="preserve">Identificación</t>
  </si>
  <si>
    <t xml:space="preserve">GES actual</t>
  </si>
  <si>
    <t xml:space="preserve">Oficio 1</t>
  </si>
  <si>
    <t xml:space="preserve">C1</t>
  </si>
  <si>
    <t xml:space="preserve">T1 (años)</t>
  </si>
  <si>
    <t xml:space="preserve">Oficio 2</t>
  </si>
  <si>
    <t xml:space="preserve">C2</t>
  </si>
  <si>
    <t xml:space="preserve">T2 (años)</t>
  </si>
  <si>
    <t xml:space="preserve">Oficio 3</t>
  </si>
  <si>
    <t xml:space="preserve">C3</t>
  </si>
  <si>
    <t xml:space="preserve">T3 (años)</t>
  </si>
  <si>
    <t xml:space="preserve">Oficio 4</t>
  </si>
  <si>
    <t xml:space="preserve">C4</t>
  </si>
  <si>
    <t xml:space="preserve">T4 (años)</t>
  </si>
  <si>
    <t xml:space="preserve">Exposición acumulada</t>
  </si>
  <si>
    <t xml:space="preserve">Riesgo acumulado referencial de silicosis (cohortes A / B / C, Tabla 8 GATI)</t>
  </si>
  <si>
    <t xml:space="preserve">Lím. inferior (mg/m³·año)</t>
  </si>
  <si>
    <t xml:space="preserve">Cohorte A</t>
  </si>
  <si>
    <t xml:space="preserve">Cohorte B</t>
  </si>
  <si>
    <t xml:space="preserve">Cohorte C</t>
  </si>
  <si>
    <t xml:space="preserve">Trabajador A</t>
  </si>
  <si>
    <t xml:space="preserve">CC 1001</t>
  </si>
  <si>
    <t xml:space="preserve">Operador trituradora</t>
  </si>
  <si>
    <t xml:space="preserve">Ayudante de cantera</t>
  </si>
  <si>
    <t xml:space="preserve">Trabajador B</t>
  </si>
  <si>
    <t xml:space="preserve">CC 1002</t>
  </si>
  <si>
    <t xml:space="preserve">Operario moldeo</t>
  </si>
  <si>
    <t xml:space="preserve">Trabajador C</t>
  </si>
  <si>
    <t xml:space="preserve">CC 1003</t>
  </si>
  <si>
    <t xml:space="preserve">Picador</t>
  </si>
  <si>
    <t xml:space="preserve">Cochero</t>
  </si>
  <si>
    <t xml:space="preserve">Trabajador D</t>
  </si>
  <si>
    <t xml:space="preserve">CC 1004</t>
  </si>
  <si>
    <t xml:space="preserve">Demoledor</t>
  </si>
  <si>
    <t xml:space="preserve">Mantenimiento de frenos</t>
  </si>
  <si>
    <t xml:space="preserve">Fuente: Chen W. et al., 2005 – tres cohortes chinas (minería de estaño y tungsteno, cerámica), citado en GATI-NEUMO Tabla 8. Celdas de cohortes B y C sin dato en la tabla original se completan con el último valor.</t>
  </si>
  <si>
    <t xml:space="preserve">8. Vigilancia médica – periodicidad de evaluaciones (referencial)</t>
  </si>
  <si>
    <t xml:space="preserve">GATI-NEUMO 7.3.2 y Diagrama 3 · Guía Técnica 2024 cap. 7 (Res. 2346/2007 y 2467/2022). La programación definitiva corresponde al médico con licencia en SST.</t>
  </si>
  <si>
    <t xml:space="preserve">GES</t>
  </si>
  <si>
    <t xml:space="preserve">Fecha inicio de exposición</t>
  </si>
  <si>
    <t xml:space="preserve">Fecha último examen</t>
  </si>
  <si>
    <t xml:space="preserve">Años de exposición (a hoy)</t>
  </si>
  <si>
    <t xml:space="preserve">Intervalo Rx tórax OIT (años)</t>
  </si>
  <si>
    <t xml:space="preserve">Intervalo espirometría (años)</t>
  </si>
  <si>
    <t xml:space="preserve">Próxima Rx</t>
  </si>
  <si>
    <t xml:space="preserve">Próxima espirometría</t>
  </si>
  <si>
    <t xml:space="preserve">Contenido de la evaluación</t>
  </si>
  <si>
    <t xml:space="preserve">Seguimiento posocupacional</t>
  </si>
  <si>
    <t xml:space="preserve">Trabajador E</t>
  </si>
  <si>
    <t xml:space="preserve">CC 1005</t>
  </si>
  <si>
    <t xml:space="preserve">Trabajador F</t>
  </si>
  <si>
    <t xml:space="preserve">CC 1006</t>
  </si>
  <si>
    <t xml:space="preserve">Trabajador G</t>
  </si>
  <si>
    <t xml:space="preserve">CC 1007</t>
  </si>
  <si>
    <t xml:space="preserve">Trabajador H</t>
  </si>
  <si>
    <t xml:space="preserve">CC 1008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</si>
</sst>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"/>
    <numFmt numFmtId="166" formatCode="General"/>
    <numFmt numFmtId="167" formatCode="0.0000"/>
    <numFmt numFmtId="168" formatCode="yyyy\-mm\-dd"/>
    <numFmt numFmtId="169" formatCode="0.00"/>
    <numFmt numFmtId="170" formatCode="0%"/>
    <numFmt numFmtId="171" formatCode="0.0"/>
    <numFmt numFmtId="172" formatCode="0"/>
    <numFmt numFmtId="173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3864"/>
      <name val="Arial"/>
      <family val="0"/>
      <charset val="1"/>
    </font>
    <font>
      <sz val="12"/>
      <color rgb="FF40404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7199"/>
      <rgbColor rgb="FFBFBFBF"/>
      <rgbColor rgb="FF7F7F7F"/>
      <rgbColor rgb="FF9999FF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15</xdr:col>
      <xdr:colOff>353880</xdr:colOff>
      <xdr:row>30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5400" y="190440"/>
          <a:ext cx="8915040" cy="5695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tru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7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29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60" hidden="false" customHeight="true" outlineLevel="0" collapsed="false">
      <c r="B6" s="4" t="s">
        <v>3</v>
      </c>
      <c r="C6" s="5" t="s">
        <v>4</v>
      </c>
    </row>
    <row r="7" customFormat="false" ht="45" hidden="false" customHeight="true" outlineLevel="0" collapsed="false">
      <c r="B7" s="4" t="s">
        <v>5</v>
      </c>
      <c r="C7" s="5" t="s">
        <v>6</v>
      </c>
    </row>
    <row r="8" customFormat="false" ht="45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2" customFormat="false" ht="30" hidden="false" customHeight="true" outlineLevel="0" collapsed="false">
      <c r="B12" s="4" t="s">
        <v>15</v>
      </c>
      <c r="C12" s="5" t="s">
        <v>16</v>
      </c>
    </row>
    <row r="13" customFormat="false" ht="60" hidden="false" customHeight="true" outlineLevel="0" collapsed="false">
      <c r="B13" s="4" t="s">
        <v>17</v>
      </c>
      <c r="C13" s="5" t="s">
        <v>18</v>
      </c>
    </row>
    <row r="15" customFormat="false" ht="15" hidden="false" customHeight="false" outlineLevel="0" collapsed="false">
      <c r="B15" s="6" t="s">
        <v>19</v>
      </c>
    </row>
    <row r="16" customFormat="false" ht="15" hidden="false" customHeight="false" outlineLevel="0" collapsed="false">
      <c r="B16" s="7" t="s">
        <v>20</v>
      </c>
      <c r="C16" s="8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8" customFormat="false" ht="15" hidden="false" customHeight="false" outlineLevel="0" collapsed="false">
      <c r="B18" s="7" t="s">
        <v>24</v>
      </c>
      <c r="C18" s="8" t="s">
        <v>25</v>
      </c>
    </row>
    <row r="19" customFormat="false" ht="15" hidden="false" customHeight="false" outlineLevel="0" collapsed="false">
      <c r="B19" s="7" t="s">
        <v>26</v>
      </c>
      <c r="C19" s="8" t="s">
        <v>27</v>
      </c>
    </row>
    <row r="20" customFormat="false" ht="15" hidden="false" customHeight="false" outlineLevel="0" collapsed="false">
      <c r="B20" s="7" t="s">
        <v>28</v>
      </c>
      <c r="C20" s="8" t="s">
        <v>29</v>
      </c>
    </row>
    <row r="21" customFormat="false" ht="15" hidden="false" customHeight="false" outlineLevel="0" collapsed="false">
      <c r="B21" s="7" t="s">
        <v>30</v>
      </c>
      <c r="C21" s="8" t="s">
        <v>31</v>
      </c>
    </row>
    <row r="22" customFormat="false" ht="15" hidden="false" customHeight="false" outlineLevel="0" collapsed="false">
      <c r="B22" s="7" t="s">
        <v>32</v>
      </c>
      <c r="C22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45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9" t="s">
        <v>34</v>
      </c>
    </row>
    <row r="2" customFormat="false" ht="15" hidden="false" customHeight="false" outlineLevel="0" collapsed="false">
      <c r="A2" s="3" t="s">
        <v>35</v>
      </c>
    </row>
    <row r="3" customFormat="false" ht="15" hidden="false" customHeight="false" outlineLevel="0" collapsed="false">
      <c r="A3" s="10" t="s">
        <v>36</v>
      </c>
    </row>
    <row r="5" customFormat="false" ht="42" hidden="false" customHeight="true" outlineLevel="0" collapsed="false">
      <c r="A5" s="11" t="s">
        <v>37</v>
      </c>
      <c r="B5" s="11" t="s">
        <v>38</v>
      </c>
      <c r="C5" s="11" t="s">
        <v>39</v>
      </c>
      <c r="D5" s="11" t="s">
        <v>40</v>
      </c>
      <c r="E5" s="11" t="s">
        <v>41</v>
      </c>
      <c r="F5" s="11" t="s">
        <v>42</v>
      </c>
      <c r="G5" s="11" t="s">
        <v>7</v>
      </c>
      <c r="H5" s="11" t="s">
        <v>43</v>
      </c>
      <c r="I5" s="11" t="s">
        <v>44</v>
      </c>
      <c r="J5" s="11" t="s">
        <v>45</v>
      </c>
      <c r="K5" s="11" t="s">
        <v>46</v>
      </c>
    </row>
    <row r="6" customFormat="false" ht="48" hidden="false" customHeight="true" outlineLevel="0" collapsed="false">
      <c r="A6" s="12" t="s">
        <v>47</v>
      </c>
      <c r="B6" s="12" t="s">
        <v>48</v>
      </c>
      <c r="C6" s="12" t="s">
        <v>49</v>
      </c>
      <c r="D6" s="12" t="s">
        <v>50</v>
      </c>
      <c r="E6" s="12" t="s">
        <v>51</v>
      </c>
      <c r="F6" s="13" t="n">
        <v>0.025</v>
      </c>
      <c r="G6" s="12" t="s">
        <v>52</v>
      </c>
      <c r="H6" s="12" t="s">
        <v>53</v>
      </c>
      <c r="I6" s="12" t="s">
        <v>54</v>
      </c>
      <c r="J6" s="12" t="s">
        <v>55</v>
      </c>
      <c r="K6" s="12" t="s">
        <v>56</v>
      </c>
    </row>
    <row r="7" customFormat="false" ht="48" hidden="false" customHeight="true" outlineLevel="0" collapsed="false">
      <c r="A7" s="12" t="s">
        <v>57</v>
      </c>
      <c r="B7" s="12" t="s">
        <v>58</v>
      </c>
      <c r="C7" s="12" t="s">
        <v>59</v>
      </c>
      <c r="D7" s="12" t="s">
        <v>50</v>
      </c>
      <c r="E7" s="12" t="s">
        <v>51</v>
      </c>
      <c r="F7" s="13" t="n">
        <v>0.025</v>
      </c>
      <c r="G7" s="12" t="s">
        <v>52</v>
      </c>
      <c r="H7" s="12" t="s">
        <v>60</v>
      </c>
      <c r="I7" s="12" t="s">
        <v>61</v>
      </c>
      <c r="J7" s="12" t="s">
        <v>55</v>
      </c>
      <c r="K7" s="12" t="s">
        <v>62</v>
      </c>
    </row>
    <row r="8" customFormat="false" ht="48" hidden="false" customHeight="true" outlineLevel="0" collapsed="false">
      <c r="A8" s="12" t="s">
        <v>63</v>
      </c>
      <c r="B8" s="12" t="s">
        <v>64</v>
      </c>
      <c r="C8" s="12" t="s">
        <v>65</v>
      </c>
      <c r="D8" s="12" t="s">
        <v>50</v>
      </c>
      <c r="E8" s="12" t="s">
        <v>51</v>
      </c>
      <c r="F8" s="13" t="n">
        <v>0.025</v>
      </c>
      <c r="G8" s="12" t="s">
        <v>52</v>
      </c>
      <c r="H8" s="12" t="s">
        <v>60</v>
      </c>
      <c r="I8" s="12" t="s">
        <v>61</v>
      </c>
      <c r="J8" s="12" t="s">
        <v>66</v>
      </c>
      <c r="K8" s="12" t="s">
        <v>67</v>
      </c>
    </row>
    <row r="9" customFormat="false" ht="48" hidden="false" customHeight="true" outlineLevel="0" collapsed="false">
      <c r="A9" s="12" t="s">
        <v>68</v>
      </c>
      <c r="B9" s="12" t="s">
        <v>69</v>
      </c>
      <c r="C9" s="12" t="s">
        <v>70</v>
      </c>
      <c r="D9" s="12" t="s">
        <v>50</v>
      </c>
      <c r="E9" s="12" t="s">
        <v>51</v>
      </c>
      <c r="F9" s="13" t="n">
        <v>0.4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customFormat="false" ht="48" hidden="false" customHeight="true" outlineLevel="0" collapsed="false">
      <c r="A10" s="12" t="s">
        <v>76</v>
      </c>
      <c r="B10" s="12" t="s">
        <v>77</v>
      </c>
      <c r="C10" s="12" t="s">
        <v>70</v>
      </c>
      <c r="D10" s="12" t="s">
        <v>50</v>
      </c>
      <c r="E10" s="12" t="s">
        <v>51</v>
      </c>
      <c r="F10" s="13" t="n">
        <v>0.9</v>
      </c>
      <c r="G10" s="12" t="s">
        <v>71</v>
      </c>
      <c r="H10" s="12" t="s">
        <v>78</v>
      </c>
      <c r="I10" s="12" t="s">
        <v>73</v>
      </c>
      <c r="J10" s="12" t="s">
        <v>74</v>
      </c>
      <c r="K10" s="12" t="s">
        <v>79</v>
      </c>
    </row>
    <row r="11" customFormat="false" ht="48" hidden="false" customHeight="true" outlineLevel="0" collapsed="false">
      <c r="A11" s="12" t="s">
        <v>80</v>
      </c>
      <c r="B11" s="12" t="s">
        <v>81</v>
      </c>
      <c r="C11" s="12" t="s">
        <v>82</v>
      </c>
      <c r="D11" s="12" t="s">
        <v>83</v>
      </c>
      <c r="E11" s="12" t="s">
        <v>84</v>
      </c>
      <c r="F11" s="13" t="n">
        <v>0.1</v>
      </c>
      <c r="G11" s="12" t="s">
        <v>71</v>
      </c>
      <c r="H11" s="12" t="s">
        <v>85</v>
      </c>
      <c r="I11" s="12" t="s">
        <v>86</v>
      </c>
      <c r="J11" s="12" t="s">
        <v>87</v>
      </c>
      <c r="K11" s="12" t="s">
        <v>88</v>
      </c>
    </row>
    <row r="12" customFormat="false" ht="48" hidden="false" customHeight="true" outlineLevel="0" collapsed="false">
      <c r="A12" s="12" t="s">
        <v>89</v>
      </c>
      <c r="B12" s="12" t="s">
        <v>90</v>
      </c>
      <c r="C12" s="12" t="s">
        <v>70</v>
      </c>
      <c r="D12" s="12" t="s">
        <v>50</v>
      </c>
      <c r="E12" s="12" t="s">
        <v>51</v>
      </c>
      <c r="F12" s="13" t="n">
        <v>3</v>
      </c>
      <c r="G12" s="12" t="s">
        <v>71</v>
      </c>
      <c r="H12" s="12" t="s">
        <v>91</v>
      </c>
      <c r="I12" s="12" t="s">
        <v>92</v>
      </c>
      <c r="J12" s="12" t="s">
        <v>70</v>
      </c>
      <c r="K12" s="12" t="s">
        <v>93</v>
      </c>
    </row>
    <row r="14" customFormat="false" ht="15" hidden="false" customHeight="false" outlineLevel="0" collapsed="false">
      <c r="A14" s="6" t="s">
        <v>94</v>
      </c>
    </row>
    <row r="15" customFormat="false" ht="15" hidden="false" customHeight="false" outlineLevel="0" collapsed="false">
      <c r="A15" s="14" t="s">
        <v>95</v>
      </c>
      <c r="B15" s="14"/>
      <c r="C15" s="8" t="s">
        <v>96</v>
      </c>
      <c r="D15" s="3" t="s">
        <v>97</v>
      </c>
    </row>
    <row r="16" customFormat="false" ht="15" hidden="false" customHeight="false" outlineLevel="0" collapsed="false">
      <c r="A16" s="14" t="s">
        <v>98</v>
      </c>
      <c r="B16" s="14"/>
      <c r="C16" s="8" t="n">
        <v>21</v>
      </c>
      <c r="D16" s="3" t="s">
        <v>99</v>
      </c>
    </row>
    <row r="17" customFormat="false" ht="15" hidden="false" customHeight="false" outlineLevel="0" collapsed="false">
      <c r="A17" s="14" t="s">
        <v>100</v>
      </c>
      <c r="B17" s="14"/>
      <c r="C17" s="8" t="n">
        <v>200</v>
      </c>
      <c r="D17" s="3" t="s">
        <v>101</v>
      </c>
    </row>
    <row r="19" customFormat="false" ht="15" hidden="false" customHeight="false" outlineLevel="0" collapsed="false">
      <c r="A19" s="6" t="s">
        <v>102</v>
      </c>
    </row>
    <row r="20" customFormat="false" ht="15" hidden="false" customHeight="false" outlineLevel="0" collapsed="false">
      <c r="A20" s="15" t="s">
        <v>103</v>
      </c>
      <c r="B20" s="15"/>
      <c r="C20" s="15"/>
      <c r="D20" s="15"/>
      <c r="E20" s="15"/>
      <c r="F20" s="15"/>
      <c r="G20" s="15"/>
      <c r="H20" s="15"/>
    </row>
    <row r="21" customFormat="false" ht="15" hidden="false" customHeight="false" outlineLevel="0" collapsed="false">
      <c r="A21" s="15" t="s">
        <v>104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false" outlineLevel="0" collapsed="false">
      <c r="A22" s="15" t="s">
        <v>105</v>
      </c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15" t="s">
        <v>106</v>
      </c>
      <c r="B23" s="15"/>
      <c r="C23" s="15"/>
      <c r="D23" s="15"/>
      <c r="E23" s="15"/>
      <c r="F23" s="15"/>
      <c r="G23" s="15"/>
      <c r="H23" s="15"/>
    </row>
    <row r="26" customFormat="false" ht="15" hidden="false" customHeight="false" outlineLevel="0" collapsed="false">
      <c r="A26" s="6" t="s">
        <v>107</v>
      </c>
    </row>
    <row r="27" customFormat="false" ht="15" hidden="false" customHeight="false" outlineLevel="0" collapsed="false">
      <c r="A27" s="16" t="s">
        <v>108</v>
      </c>
      <c r="B27" s="16" t="s">
        <v>109</v>
      </c>
      <c r="C27" s="16" t="s">
        <v>110</v>
      </c>
    </row>
    <row r="28" customFormat="false" ht="15" hidden="false" customHeight="false" outlineLevel="0" collapsed="false">
      <c r="A28" s="17" t="n">
        <v>1</v>
      </c>
      <c r="B28" s="17" t="s">
        <v>111</v>
      </c>
      <c r="C28" s="17" t="n">
        <v>10</v>
      </c>
    </row>
    <row r="29" customFormat="false" ht="15" hidden="false" customHeight="false" outlineLevel="0" collapsed="false">
      <c r="A29" s="17" t="n">
        <v>2</v>
      </c>
      <c r="B29" s="17" t="s">
        <v>112</v>
      </c>
      <c r="C29" s="17" t="n">
        <v>10</v>
      </c>
    </row>
    <row r="30" customFormat="false" ht="15" hidden="false" customHeight="false" outlineLevel="0" collapsed="false">
      <c r="A30" s="17" t="n">
        <v>3</v>
      </c>
      <c r="B30" s="17" t="s">
        <v>113</v>
      </c>
      <c r="C30" s="17" t="n">
        <v>25</v>
      </c>
    </row>
    <row r="31" customFormat="false" ht="15" hidden="false" customHeight="false" outlineLevel="0" collapsed="false">
      <c r="A31" s="17" t="n">
        <v>4</v>
      </c>
      <c r="B31" s="17" t="s">
        <v>114</v>
      </c>
      <c r="C31" s="17" t="n">
        <v>50</v>
      </c>
    </row>
    <row r="32" customFormat="false" ht="15" hidden="false" customHeight="false" outlineLevel="0" collapsed="false">
      <c r="A32" s="17" t="n">
        <v>5</v>
      </c>
      <c r="B32" s="17" t="s">
        <v>115</v>
      </c>
      <c r="C32" s="17" t="n">
        <v>50</v>
      </c>
    </row>
    <row r="33" customFormat="false" ht="15" hidden="false" customHeight="false" outlineLevel="0" collapsed="false">
      <c r="A33" s="17" t="n">
        <v>6</v>
      </c>
      <c r="B33" s="17" t="s">
        <v>116</v>
      </c>
      <c r="C33" s="17" t="n">
        <v>1000</v>
      </c>
    </row>
    <row r="34" customFormat="false" ht="15" hidden="false" customHeight="false" outlineLevel="0" collapsed="false">
      <c r="A34" s="17" t="n">
        <v>7</v>
      </c>
      <c r="B34" s="17" t="s">
        <v>117</v>
      </c>
      <c r="C34" s="17" t="n">
        <v>1000</v>
      </c>
    </row>
    <row r="35" customFormat="false" ht="15" hidden="false" customHeight="false" outlineLevel="0" collapsed="false">
      <c r="A35" s="17" t="n">
        <v>8</v>
      </c>
      <c r="B35" s="17" t="s">
        <v>118</v>
      </c>
      <c r="C35" s="17" t="n">
        <v>10000</v>
      </c>
    </row>
  </sheetData>
  <mergeCells count="7">
    <mergeCell ref="A15:B15"/>
    <mergeCell ref="A16:B16"/>
    <mergeCell ref="A17:B17"/>
    <mergeCell ref="A20:H20"/>
    <mergeCell ref="A21:H21"/>
    <mergeCell ref="A22:H22"/>
    <mergeCell ref="A23:H23"/>
  </mergeCells>
  <dataValidations count="1">
    <dataValidation allowBlank="false" errorStyle="stop" operator="between" showDropDown="false" showErrorMessage="false" showInputMessage="false" sqref="C15" type="list">
      <formula1>"n,n-1"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6" min="5" style="0" width="9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7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20" min="17" style="0" width="8"/>
    <col collapsed="false" customWidth="true" hidden="false" outlineLevel="0" max="21" min="21" style="0" width="9"/>
    <col collapsed="false" customWidth="true" hidden="false" outlineLevel="0" max="22" min="22" style="0" width="7"/>
  </cols>
  <sheetData>
    <row r="1" customFormat="false" ht="19.7" hidden="false" customHeight="false" outlineLevel="0" collapsed="false">
      <c r="A1" s="9" t="s">
        <v>119</v>
      </c>
    </row>
    <row r="2" customFormat="false" ht="15" hidden="false" customHeight="false" outlineLevel="0" collapsed="false">
      <c r="A2" s="3" t="s">
        <v>120</v>
      </c>
    </row>
    <row r="3" customFormat="false" ht="15" hidden="false" customHeight="false" outlineLevel="0" collapsed="false">
      <c r="A3" s="10" t="s">
        <v>36</v>
      </c>
    </row>
    <row r="5" customFormat="false" ht="54" hidden="false" customHeight="true" outlineLevel="0" collapsed="false">
      <c r="A5" s="11" t="s">
        <v>121</v>
      </c>
      <c r="B5" s="11" t="s">
        <v>122</v>
      </c>
      <c r="C5" s="11" t="s">
        <v>123</v>
      </c>
      <c r="D5" s="11" t="s">
        <v>124</v>
      </c>
      <c r="E5" s="11" t="s">
        <v>125</v>
      </c>
      <c r="F5" s="11" t="s">
        <v>126</v>
      </c>
      <c r="G5" s="11" t="s">
        <v>127</v>
      </c>
      <c r="H5" s="11" t="s">
        <v>128</v>
      </c>
      <c r="I5" s="11" t="s">
        <v>129</v>
      </c>
      <c r="J5" s="11" t="s">
        <v>130</v>
      </c>
      <c r="K5" s="11" t="s">
        <v>131</v>
      </c>
      <c r="L5" s="11" t="s">
        <v>132</v>
      </c>
      <c r="M5" s="11" t="s">
        <v>133</v>
      </c>
      <c r="N5" s="11" t="s">
        <v>134</v>
      </c>
      <c r="O5" s="11" t="s">
        <v>135</v>
      </c>
      <c r="P5" s="11" t="s">
        <v>136</v>
      </c>
      <c r="Q5" s="11" t="s">
        <v>137</v>
      </c>
      <c r="R5" s="11" t="s">
        <v>138</v>
      </c>
      <c r="S5" s="11" t="s">
        <v>139</v>
      </c>
      <c r="T5" s="11" t="s">
        <v>140</v>
      </c>
      <c r="U5" s="11" t="s">
        <v>141</v>
      </c>
      <c r="V5" s="11" t="s">
        <v>41</v>
      </c>
    </row>
    <row r="6" customFormat="false" ht="15" hidden="false" customHeight="false" outlineLevel="0" collapsed="false">
      <c r="A6" s="18" t="s">
        <v>142</v>
      </c>
      <c r="B6" s="18" t="s">
        <v>143</v>
      </c>
      <c r="C6" s="18" t="s">
        <v>144</v>
      </c>
      <c r="D6" s="18" t="s">
        <v>145</v>
      </c>
      <c r="E6" s="18" t="s">
        <v>47</v>
      </c>
      <c r="F6" s="18" t="n">
        <v>12</v>
      </c>
      <c r="G6" s="18" t="s">
        <v>146</v>
      </c>
      <c r="H6" s="18" t="n">
        <v>8</v>
      </c>
      <c r="I6" s="18" t="n">
        <v>48</v>
      </c>
      <c r="J6" s="18" t="n">
        <v>420</v>
      </c>
      <c r="K6" s="19" t="n">
        <f aca="false">IF(J6="","",IF(J6&gt;=360,4,IF(J6&gt;=120,3,IF(J6&gt;=30,2,IF(J6&gt;0,1,0)))))</f>
        <v>4</v>
      </c>
      <c r="L6" s="19" t="n">
        <f aca="false">IF(E6="","",IF(E6="PNOS",2,4))</f>
        <v>4</v>
      </c>
      <c r="M6" s="19" t="n">
        <f aca="false">IF(OR(K6="",L6=""),"",K6*L6)</f>
        <v>16</v>
      </c>
      <c r="N6" s="19" t="str">
        <f aca="false">IF(M6="","",IF(M6=0,"Incipiente",IF(M6&lt;=4,"Bajo",IF(M6&lt;=8,"Moderado",IF(M6&lt;=12,"Alto","Muy alto")))))</f>
        <v>Muy alto</v>
      </c>
      <c r="O6" s="19" t="n">
        <f aca="false">IF(A6="","",IF(N(F6)&gt;50,ROUNDUP(SQRT(F6),0),6))</f>
        <v>6</v>
      </c>
      <c r="P6" s="18" t="s">
        <v>147</v>
      </c>
      <c r="Q6" s="20" t="n">
        <f aca="false">IF(E6="","",IFERROR(INDEX(Agentes!$F$6:$F$12,MATCH(E6,Agentes!$A$6:$A$12,0)),"Agente?"))</f>
        <v>0.025</v>
      </c>
      <c r="R6" s="20" t="n">
        <f aca="false">IF(N(H6)=0,"",8/H6*(24-H6)/16)</f>
        <v>1</v>
      </c>
      <c r="S6" s="20" t="n">
        <f aca="false">IF(N(I6)=0,"",40/I6*(168-I6)/128)</f>
        <v>0.78125</v>
      </c>
      <c r="T6" s="20" t="n">
        <f aca="false">IF(E6="","",MIN(1,IF(R6="",1,R6),IF(S6="",1,S6)))</f>
        <v>0.78125</v>
      </c>
      <c r="U6" s="21" t="n">
        <f aca="false">IF(OR(Q6="",T6=""),"",Q6*T6)</f>
        <v>0.01953125</v>
      </c>
      <c r="V6" s="19" t="str">
        <f aca="false">IF(E6="","",IFERROR(INDEX(Agentes!$E$6:$E$12,MATCH(E6,Agentes!$A$6:$A$12,0)),""))</f>
        <v>mg/m³</v>
      </c>
    </row>
    <row r="7" customFormat="false" ht="15" hidden="false" customHeight="false" outlineLevel="0" collapsed="false">
      <c r="A7" s="18" t="s">
        <v>148</v>
      </c>
      <c r="B7" s="18" t="s">
        <v>149</v>
      </c>
      <c r="C7" s="18" t="s">
        <v>150</v>
      </c>
      <c r="D7" s="18" t="s">
        <v>151</v>
      </c>
      <c r="E7" s="18" t="s">
        <v>47</v>
      </c>
      <c r="F7" s="18" t="n">
        <v>8</v>
      </c>
      <c r="G7" s="18" t="s">
        <v>152</v>
      </c>
      <c r="H7" s="18" t="n">
        <v>8</v>
      </c>
      <c r="I7" s="18" t="n">
        <v>48</v>
      </c>
      <c r="J7" s="18" t="n">
        <v>300</v>
      </c>
      <c r="K7" s="19" t="n">
        <f aca="false">IF(J7="","",IF(J7&gt;=360,4,IF(J7&gt;=120,3,IF(J7&gt;=30,2,IF(J7&gt;0,1,0)))))</f>
        <v>3</v>
      </c>
      <c r="L7" s="19" t="n">
        <f aca="false">IF(E7="","",IF(E7="PNOS",2,4))</f>
        <v>4</v>
      </c>
      <c r="M7" s="19" t="n">
        <f aca="false">IF(OR(K7="",L7=""),"",K7*L7)</f>
        <v>12</v>
      </c>
      <c r="N7" s="19" t="str">
        <f aca="false">IF(M7="","",IF(M7=0,"Incipiente",IF(M7&lt;=4,"Bajo",IF(M7&lt;=8,"Moderado",IF(M7&lt;=12,"Alto","Muy alto")))))</f>
        <v>Alto</v>
      </c>
      <c r="O7" s="19" t="n">
        <f aca="false">IF(A7="","",IF(N(F7)&gt;50,ROUNDUP(SQRT(F7),0),6))</f>
        <v>6</v>
      </c>
      <c r="P7" s="18" t="s">
        <v>153</v>
      </c>
      <c r="Q7" s="20" t="n">
        <f aca="false">IF(E7="","",IFERROR(INDEX(Agentes!$F$6:$F$12,MATCH(E7,Agentes!$A$6:$A$12,0)),"Agente?"))</f>
        <v>0.025</v>
      </c>
      <c r="R7" s="20" t="n">
        <f aca="false">IF(N(H7)=0,"",8/H7*(24-H7)/16)</f>
        <v>1</v>
      </c>
      <c r="S7" s="20" t="n">
        <f aca="false">IF(N(I7)=0,"",40/I7*(168-I7)/128)</f>
        <v>0.78125</v>
      </c>
      <c r="T7" s="20" t="n">
        <f aca="false">IF(E7="","",MIN(1,IF(R7="",1,R7),IF(S7="",1,S7)))</f>
        <v>0.78125</v>
      </c>
      <c r="U7" s="21" t="n">
        <f aca="false">IF(OR(Q7="",T7=""),"",Q7*T7)</f>
        <v>0.01953125</v>
      </c>
      <c r="V7" s="19" t="str">
        <f aca="false">IF(E7="","",IFERROR(INDEX(Agentes!$E$6:$E$12,MATCH(E7,Agentes!$A$6:$A$12,0)),""))</f>
        <v>mg/m³</v>
      </c>
    </row>
    <row r="8" customFormat="false" ht="15" hidden="false" customHeight="false" outlineLevel="0" collapsed="false">
      <c r="A8" s="18" t="s">
        <v>154</v>
      </c>
      <c r="B8" s="18" t="s">
        <v>155</v>
      </c>
      <c r="C8" s="18" t="s">
        <v>156</v>
      </c>
      <c r="D8" s="18" t="s">
        <v>157</v>
      </c>
      <c r="E8" s="18" t="s">
        <v>47</v>
      </c>
      <c r="F8" s="18" t="n">
        <v>12</v>
      </c>
      <c r="G8" s="18" t="s">
        <v>158</v>
      </c>
      <c r="H8" s="18" t="n">
        <v>8</v>
      </c>
      <c r="I8" s="18" t="n">
        <v>44</v>
      </c>
      <c r="J8" s="18" t="n">
        <v>400</v>
      </c>
      <c r="K8" s="19" t="n">
        <f aca="false">IF(J8="","",IF(J8&gt;=360,4,IF(J8&gt;=120,3,IF(J8&gt;=30,2,IF(J8&gt;0,1,0)))))</f>
        <v>4</v>
      </c>
      <c r="L8" s="19" t="n">
        <f aca="false">IF(E8="","",IF(E8="PNOS",2,4))</f>
        <v>4</v>
      </c>
      <c r="M8" s="19" t="n">
        <f aca="false">IF(OR(K8="",L8=""),"",K8*L8)</f>
        <v>16</v>
      </c>
      <c r="N8" s="19" t="str">
        <f aca="false">IF(M8="","",IF(M8=0,"Incipiente",IF(M8&lt;=4,"Bajo",IF(M8&lt;=8,"Moderado",IF(M8&lt;=12,"Alto","Muy alto")))))</f>
        <v>Muy alto</v>
      </c>
      <c r="O8" s="19" t="n">
        <f aca="false">IF(A8="","",IF(N(F8)&gt;50,ROUNDUP(SQRT(F8),0),6))</f>
        <v>6</v>
      </c>
      <c r="P8" s="18" t="s">
        <v>153</v>
      </c>
      <c r="Q8" s="20" t="n">
        <f aca="false">IF(E8="","",IFERROR(INDEX(Agentes!$F$6:$F$12,MATCH(E8,Agentes!$A$6:$A$12,0)),"Agente?"))</f>
        <v>0.025</v>
      </c>
      <c r="R8" s="20" t="n">
        <f aca="false">IF(N(H8)=0,"",8/H8*(24-H8)/16)</f>
        <v>1</v>
      </c>
      <c r="S8" s="20" t="n">
        <f aca="false">IF(N(I8)=0,"",40/I8*(168-I8)/128)</f>
        <v>0.880681818181818</v>
      </c>
      <c r="T8" s="20" t="n">
        <f aca="false">IF(E8="","",MIN(1,IF(R8="",1,R8),IF(S8="",1,S8)))</f>
        <v>0.880681818181818</v>
      </c>
      <c r="U8" s="21" t="n">
        <f aca="false">IF(OR(Q8="",T8=""),"",Q8*T8)</f>
        <v>0.0220170454545455</v>
      </c>
      <c r="V8" s="19" t="str">
        <f aca="false">IF(E8="","",IFERROR(INDEX(Agentes!$E$6:$E$12,MATCH(E8,Agentes!$A$6:$A$12,0)),""))</f>
        <v>mg/m³</v>
      </c>
    </row>
    <row r="9" customFormat="false" ht="15" hidden="false" customHeight="false" outlineLevel="0" collapsed="false">
      <c r="A9" s="18" t="s">
        <v>159</v>
      </c>
      <c r="B9" s="18" t="s">
        <v>160</v>
      </c>
      <c r="C9" s="18" t="s">
        <v>161</v>
      </c>
      <c r="D9" s="18" t="s">
        <v>162</v>
      </c>
      <c r="E9" s="18" t="s">
        <v>76</v>
      </c>
      <c r="F9" s="18" t="n">
        <v>30</v>
      </c>
      <c r="G9" s="18" t="s">
        <v>163</v>
      </c>
      <c r="H9" s="18" t="n">
        <v>8</v>
      </c>
      <c r="I9" s="18" t="n">
        <v>48</v>
      </c>
      <c r="J9" s="18" t="n">
        <v>450</v>
      </c>
      <c r="K9" s="19" t="n">
        <f aca="false">IF(J9="","",IF(J9&gt;=360,4,IF(J9&gt;=120,3,IF(J9&gt;=30,2,IF(J9&gt;0,1,0)))))</f>
        <v>4</v>
      </c>
      <c r="L9" s="19" t="n">
        <f aca="false">IF(E9="","",IF(E9="PNOS",2,4))</f>
        <v>4</v>
      </c>
      <c r="M9" s="19" t="n">
        <f aca="false">IF(OR(K9="",L9=""),"",K9*L9)</f>
        <v>16</v>
      </c>
      <c r="N9" s="19" t="str">
        <f aca="false">IF(M9="","",IF(M9=0,"Incipiente",IF(M9&lt;=4,"Bajo",IF(M9&lt;=8,"Moderado",IF(M9&lt;=12,"Alto","Muy alto")))))</f>
        <v>Muy alto</v>
      </c>
      <c r="O9" s="19" t="n">
        <f aca="false">IF(A9="","",IF(N(F9)&gt;50,ROUNDUP(SQRT(F9),0),6))</f>
        <v>6</v>
      </c>
      <c r="P9" s="18" t="s">
        <v>164</v>
      </c>
      <c r="Q9" s="20" t="n">
        <f aca="false">IF(E9="","",IFERROR(INDEX(Agentes!$F$6:$F$12,MATCH(E9,Agentes!$A$6:$A$12,0)),"Agente?"))</f>
        <v>0.9</v>
      </c>
      <c r="R9" s="20" t="n">
        <f aca="false">IF(N(H9)=0,"",8/H9*(24-H9)/16)</f>
        <v>1</v>
      </c>
      <c r="S9" s="20" t="n">
        <f aca="false">IF(N(I9)=0,"",40/I9*(168-I9)/128)</f>
        <v>0.78125</v>
      </c>
      <c r="T9" s="20" t="n">
        <f aca="false">IF(E9="","",MIN(1,IF(R9="",1,R9),IF(S9="",1,S9)))</f>
        <v>0.78125</v>
      </c>
      <c r="U9" s="21" t="n">
        <f aca="false">IF(OR(Q9="",T9=""),"",Q9*T9)</f>
        <v>0.703125</v>
      </c>
      <c r="V9" s="19" t="str">
        <f aca="false">IF(E9="","",IFERROR(INDEX(Agentes!$E$6:$E$12,MATCH(E9,Agentes!$A$6:$A$12,0)),""))</f>
        <v>mg/m³</v>
      </c>
    </row>
    <row r="10" customFormat="false" ht="15" hidden="false" customHeight="false" outlineLevel="0" collapsed="false">
      <c r="A10" s="18" t="s">
        <v>165</v>
      </c>
      <c r="B10" s="18" t="s">
        <v>166</v>
      </c>
      <c r="C10" s="18" t="s">
        <v>167</v>
      </c>
      <c r="D10" s="18" t="s">
        <v>168</v>
      </c>
      <c r="E10" s="18" t="s">
        <v>76</v>
      </c>
      <c r="F10" s="18" t="n">
        <v>10</v>
      </c>
      <c r="G10" s="18" t="s">
        <v>169</v>
      </c>
      <c r="H10" s="18" t="n">
        <v>8</v>
      </c>
      <c r="I10" s="18" t="n">
        <v>48</v>
      </c>
      <c r="J10" s="18" t="n">
        <v>360</v>
      </c>
      <c r="K10" s="19" t="n">
        <f aca="false">IF(J10="","",IF(J10&gt;=360,4,IF(J10&gt;=120,3,IF(J10&gt;=30,2,IF(J10&gt;0,1,0)))))</f>
        <v>4</v>
      </c>
      <c r="L10" s="19" t="n">
        <f aca="false">IF(E10="","",IF(E10="PNOS",2,4))</f>
        <v>4</v>
      </c>
      <c r="M10" s="19" t="n">
        <f aca="false">IF(OR(K10="",L10=""),"",K10*L10)</f>
        <v>16</v>
      </c>
      <c r="N10" s="19" t="str">
        <f aca="false">IF(M10="","",IF(M10=0,"Incipiente",IF(M10&lt;=4,"Bajo",IF(M10&lt;=8,"Moderado",IF(M10&lt;=12,"Alto","Muy alto")))))</f>
        <v>Muy alto</v>
      </c>
      <c r="O10" s="19" t="n">
        <f aca="false">IF(A10="","",IF(N(F10)&gt;50,ROUNDUP(SQRT(F10),0),6))</f>
        <v>6</v>
      </c>
      <c r="P10" s="18" t="s">
        <v>153</v>
      </c>
      <c r="Q10" s="20" t="n">
        <f aca="false">IF(E10="","",IFERROR(INDEX(Agentes!$F$6:$F$12,MATCH(E10,Agentes!$A$6:$A$12,0)),"Agente?"))</f>
        <v>0.9</v>
      </c>
      <c r="R10" s="20" t="n">
        <f aca="false">IF(N(H10)=0,"",8/H10*(24-H10)/16)</f>
        <v>1</v>
      </c>
      <c r="S10" s="20" t="n">
        <f aca="false">IF(N(I10)=0,"",40/I10*(168-I10)/128)</f>
        <v>0.78125</v>
      </c>
      <c r="T10" s="20" t="n">
        <f aca="false">IF(E10="","",MIN(1,IF(R10="",1,R10),IF(S10="",1,S10)))</f>
        <v>0.78125</v>
      </c>
      <c r="U10" s="21" t="n">
        <f aca="false">IF(OR(Q10="",T10=""),"",Q10*T10)</f>
        <v>0.703125</v>
      </c>
      <c r="V10" s="19" t="str">
        <f aca="false">IF(E10="","",IFERROR(INDEX(Agentes!$E$6:$E$12,MATCH(E10,Agentes!$A$6:$A$12,0)),""))</f>
        <v>mg/m³</v>
      </c>
    </row>
    <row r="11" customFormat="false" ht="15" hidden="false" customHeight="false" outlineLevel="0" collapsed="false">
      <c r="A11" s="18" t="s">
        <v>170</v>
      </c>
      <c r="B11" s="18" t="s">
        <v>171</v>
      </c>
      <c r="C11" s="18" t="s">
        <v>172</v>
      </c>
      <c r="D11" s="18" t="s">
        <v>173</v>
      </c>
      <c r="E11" s="18" t="s">
        <v>80</v>
      </c>
      <c r="F11" s="18" t="n">
        <v>6</v>
      </c>
      <c r="G11" s="18" t="s">
        <v>174</v>
      </c>
      <c r="H11" s="18" t="n">
        <v>8</v>
      </c>
      <c r="I11" s="18" t="n">
        <v>48</v>
      </c>
      <c r="J11" s="18" t="n">
        <v>240</v>
      </c>
      <c r="K11" s="19" t="n">
        <f aca="false">IF(J11="","",IF(J11&gt;=360,4,IF(J11&gt;=120,3,IF(J11&gt;=30,2,IF(J11&gt;0,1,0)))))</f>
        <v>3</v>
      </c>
      <c r="L11" s="19" t="n">
        <f aca="false">IF(E11="","",IF(E11="PNOS",2,4))</f>
        <v>4</v>
      </c>
      <c r="M11" s="19" t="n">
        <f aca="false">IF(OR(K11="",L11=""),"",K11*L11)</f>
        <v>12</v>
      </c>
      <c r="N11" s="19" t="str">
        <f aca="false">IF(M11="","",IF(M11=0,"Incipiente",IF(M11&lt;=4,"Bajo",IF(M11&lt;=8,"Moderado",IF(M11&lt;=12,"Alto","Muy alto")))))</f>
        <v>Alto</v>
      </c>
      <c r="O11" s="19" t="n">
        <f aca="false">IF(A11="","",IF(N(F11)&gt;50,ROUNDUP(SQRT(F11),0),6))</f>
        <v>6</v>
      </c>
      <c r="P11" s="18" t="s">
        <v>147</v>
      </c>
      <c r="Q11" s="20" t="n">
        <f aca="false">IF(E11="","",IFERROR(INDEX(Agentes!$F$6:$F$12,MATCH(E11,Agentes!$A$6:$A$12,0)),"Agente?"))</f>
        <v>0.1</v>
      </c>
      <c r="R11" s="20" t="n">
        <f aca="false">IF(N(H11)=0,"",8/H11*(24-H11)/16)</f>
        <v>1</v>
      </c>
      <c r="S11" s="20" t="n">
        <f aca="false">IF(N(I11)=0,"",40/I11*(168-I11)/128)</f>
        <v>0.78125</v>
      </c>
      <c r="T11" s="20" t="n">
        <f aca="false">IF(E11="","",MIN(1,IF(R11="",1,R11),IF(S11="",1,S11)))</f>
        <v>0.78125</v>
      </c>
      <c r="U11" s="21" t="n">
        <f aca="false">IF(OR(Q11="",T11=""),"",Q11*T11)</f>
        <v>0.078125</v>
      </c>
      <c r="V11" s="19" t="str">
        <f aca="false">IF(E11="","",IFERROR(INDEX(Agentes!$E$6:$E$12,MATCH(E11,Agentes!$A$6:$A$12,0)),""))</f>
        <v>f/cm³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9" t="str">
        <f aca="false">IF(J12="","",IF(J12&gt;=360,4,IF(J12&gt;=120,3,IF(J12&gt;=30,2,IF(J12&gt;0,1,0)))))</f>
        <v/>
      </c>
      <c r="L12" s="19" t="str">
        <f aca="false">IF(E12="","",IF(E12="PNOS",2,4))</f>
        <v/>
      </c>
      <c r="M12" s="19" t="str">
        <f aca="false">IF(OR(K12="",L12=""),"",K12*L12)</f>
        <v/>
      </c>
      <c r="N12" s="19" t="str">
        <f aca="false">IF(M12="","",IF(M12=0,"Incipiente",IF(M12&lt;=4,"Bajo",IF(M12&lt;=8,"Moderado",IF(M12&lt;=12,"Alto","Muy alto")))))</f>
        <v/>
      </c>
      <c r="O12" s="19" t="str">
        <f aca="false">IF(A12="","",IF(N(F12)&gt;50,ROUNDUP(SQRT(F12),0),6))</f>
        <v/>
      </c>
      <c r="P12" s="18"/>
      <c r="Q12" s="20" t="str">
        <f aca="false">IF(E12="","",IFERROR(INDEX(Agentes!$F$6:$F$12,MATCH(E12,Agentes!$A$6:$A$12,0)),"Agente?"))</f>
        <v/>
      </c>
      <c r="R12" s="20" t="str">
        <f aca="false">IF(N(H12)=0,"",8/H12*(24-H12)/16)</f>
        <v/>
      </c>
      <c r="S12" s="20" t="str">
        <f aca="false">IF(N(I12)=0,"",40/I12*(168-I12)/128)</f>
        <v/>
      </c>
      <c r="T12" s="20" t="str">
        <f aca="false">IF(E12="","",MIN(1,IF(R12="",1,R12),IF(S12="",1,S12)))</f>
        <v/>
      </c>
      <c r="U12" s="21" t="str">
        <f aca="false">IF(OR(Q12="",T12=""),"",Q12*T12)</f>
        <v/>
      </c>
      <c r="V12" s="19" t="str">
        <f aca="false">IF(E12="","",IFERROR(INDEX(Agentes!$E$6:$E$12,MATCH(E12,Agentes!$A$6:$A$12,0)),""))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 t="str">
        <f aca="false">IF(J13="","",IF(J13&gt;=360,4,IF(J13&gt;=120,3,IF(J13&gt;=30,2,IF(J13&gt;0,1,0)))))</f>
        <v/>
      </c>
      <c r="L13" s="19" t="str">
        <f aca="false">IF(E13="","",IF(E13="PNOS",2,4))</f>
        <v/>
      </c>
      <c r="M13" s="19" t="str">
        <f aca="false">IF(OR(K13="",L13=""),"",K13*L13)</f>
        <v/>
      </c>
      <c r="N13" s="19" t="str">
        <f aca="false">IF(M13="","",IF(M13=0,"Incipiente",IF(M13&lt;=4,"Bajo",IF(M13&lt;=8,"Moderado",IF(M13&lt;=12,"Alto","Muy alto")))))</f>
        <v/>
      </c>
      <c r="O13" s="19" t="str">
        <f aca="false">IF(A13="","",IF(N(F13)&gt;50,ROUNDUP(SQRT(F13),0),6))</f>
        <v/>
      </c>
      <c r="P13" s="18"/>
      <c r="Q13" s="20" t="str">
        <f aca="false">IF(E13="","",IFERROR(INDEX(Agentes!$F$6:$F$12,MATCH(E13,Agentes!$A$6:$A$12,0)),"Agente?"))</f>
        <v/>
      </c>
      <c r="R13" s="20" t="str">
        <f aca="false">IF(N(H13)=0,"",8/H13*(24-H13)/16)</f>
        <v/>
      </c>
      <c r="S13" s="20" t="str">
        <f aca="false">IF(N(I13)=0,"",40/I13*(168-I13)/128)</f>
        <v/>
      </c>
      <c r="T13" s="20" t="str">
        <f aca="false">IF(E13="","",MIN(1,IF(R13="",1,R13),IF(S13="",1,S13)))</f>
        <v/>
      </c>
      <c r="U13" s="21" t="str">
        <f aca="false">IF(OR(Q13="",T13=""),"",Q13*T13)</f>
        <v/>
      </c>
      <c r="V13" s="19" t="str">
        <f aca="false">IF(E13="","",IFERROR(INDEX(Agentes!$E$6:$E$12,MATCH(E13,Agentes!$A$6:$A$12,0)),""))</f>
        <v/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9" t="str">
        <f aca="false">IF(J14="","",IF(J14&gt;=360,4,IF(J14&gt;=120,3,IF(J14&gt;=30,2,IF(J14&gt;0,1,0)))))</f>
        <v/>
      </c>
      <c r="L14" s="19" t="str">
        <f aca="false">IF(E14="","",IF(E14="PNOS",2,4))</f>
        <v/>
      </c>
      <c r="M14" s="19" t="str">
        <f aca="false">IF(OR(K14="",L14=""),"",K14*L14)</f>
        <v/>
      </c>
      <c r="N14" s="19" t="str">
        <f aca="false">IF(M14="","",IF(M14=0,"Incipiente",IF(M14&lt;=4,"Bajo",IF(M14&lt;=8,"Moderado",IF(M14&lt;=12,"Alto","Muy alto")))))</f>
        <v/>
      </c>
      <c r="O14" s="19" t="str">
        <f aca="false">IF(A14="","",IF(N(F14)&gt;50,ROUNDUP(SQRT(F14),0),6))</f>
        <v/>
      </c>
      <c r="P14" s="18"/>
      <c r="Q14" s="20" t="str">
        <f aca="false">IF(E14="","",IFERROR(INDEX(Agentes!$F$6:$F$12,MATCH(E14,Agentes!$A$6:$A$12,0)),"Agente?"))</f>
        <v/>
      </c>
      <c r="R14" s="20" t="str">
        <f aca="false">IF(N(H14)=0,"",8/H14*(24-H14)/16)</f>
        <v/>
      </c>
      <c r="S14" s="20" t="str">
        <f aca="false">IF(N(I14)=0,"",40/I14*(168-I14)/128)</f>
        <v/>
      </c>
      <c r="T14" s="20" t="str">
        <f aca="false">IF(E14="","",MIN(1,IF(R14="",1,R14),IF(S14="",1,S14)))</f>
        <v/>
      </c>
      <c r="U14" s="21" t="str">
        <f aca="false">IF(OR(Q14="",T14=""),"",Q14*T14)</f>
        <v/>
      </c>
      <c r="V14" s="19" t="str">
        <f aca="false">IF(E14="","",IFERROR(INDEX(Agentes!$E$6:$E$12,MATCH(E14,Agentes!$A$6:$A$12,0)),""))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9" t="str">
        <f aca="false">IF(J15="","",IF(J15&gt;=360,4,IF(J15&gt;=120,3,IF(J15&gt;=30,2,IF(J15&gt;0,1,0)))))</f>
        <v/>
      </c>
      <c r="L15" s="19" t="str">
        <f aca="false">IF(E15="","",IF(E15="PNOS",2,4))</f>
        <v/>
      </c>
      <c r="M15" s="19" t="str">
        <f aca="false">IF(OR(K15="",L15=""),"",K15*L15)</f>
        <v/>
      </c>
      <c r="N15" s="19" t="str">
        <f aca="false">IF(M15="","",IF(M15=0,"Incipiente",IF(M15&lt;=4,"Bajo",IF(M15&lt;=8,"Moderado",IF(M15&lt;=12,"Alto","Muy alto")))))</f>
        <v/>
      </c>
      <c r="O15" s="19" t="str">
        <f aca="false">IF(A15="","",IF(N(F15)&gt;50,ROUNDUP(SQRT(F15),0),6))</f>
        <v/>
      </c>
      <c r="P15" s="18"/>
      <c r="Q15" s="20" t="str">
        <f aca="false">IF(E15="","",IFERROR(INDEX(Agentes!$F$6:$F$12,MATCH(E15,Agentes!$A$6:$A$12,0)),"Agente?"))</f>
        <v/>
      </c>
      <c r="R15" s="20" t="str">
        <f aca="false">IF(N(H15)=0,"",8/H15*(24-H15)/16)</f>
        <v/>
      </c>
      <c r="S15" s="20" t="str">
        <f aca="false">IF(N(I15)=0,"",40/I15*(168-I15)/128)</f>
        <v/>
      </c>
      <c r="T15" s="20" t="str">
        <f aca="false">IF(E15="","",MIN(1,IF(R15="",1,R15),IF(S15="",1,S15)))</f>
        <v/>
      </c>
      <c r="U15" s="21" t="str">
        <f aca="false">IF(OR(Q15="",T15=""),"",Q15*T15)</f>
        <v/>
      </c>
      <c r="V15" s="19" t="str">
        <f aca="false">IF(E15="","",IFERROR(INDEX(Agentes!$E$6:$E$12,MATCH(E15,Agentes!$A$6:$A$12,0)),""))</f>
        <v/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9" t="str">
        <f aca="false">IF(J16="","",IF(J16&gt;=360,4,IF(J16&gt;=120,3,IF(J16&gt;=30,2,IF(J16&gt;0,1,0)))))</f>
        <v/>
      </c>
      <c r="L16" s="19" t="str">
        <f aca="false">IF(E16="","",IF(E16="PNOS",2,4))</f>
        <v/>
      </c>
      <c r="M16" s="19" t="str">
        <f aca="false">IF(OR(K16="",L16=""),"",K16*L16)</f>
        <v/>
      </c>
      <c r="N16" s="19" t="str">
        <f aca="false">IF(M16="","",IF(M16=0,"Incipiente",IF(M16&lt;=4,"Bajo",IF(M16&lt;=8,"Moderado",IF(M16&lt;=12,"Alto","Muy alto")))))</f>
        <v/>
      </c>
      <c r="O16" s="19" t="str">
        <f aca="false">IF(A16="","",IF(N(F16)&gt;50,ROUNDUP(SQRT(F16),0),6))</f>
        <v/>
      </c>
      <c r="P16" s="18"/>
      <c r="Q16" s="20" t="str">
        <f aca="false">IF(E16="","",IFERROR(INDEX(Agentes!$F$6:$F$12,MATCH(E16,Agentes!$A$6:$A$12,0)),"Agente?"))</f>
        <v/>
      </c>
      <c r="R16" s="20" t="str">
        <f aca="false">IF(N(H16)=0,"",8/H16*(24-H16)/16)</f>
        <v/>
      </c>
      <c r="S16" s="20" t="str">
        <f aca="false">IF(N(I16)=0,"",40/I16*(168-I16)/128)</f>
        <v/>
      </c>
      <c r="T16" s="20" t="str">
        <f aca="false">IF(E16="","",MIN(1,IF(R16="",1,R16),IF(S16="",1,S16)))</f>
        <v/>
      </c>
      <c r="U16" s="21" t="str">
        <f aca="false">IF(OR(Q16="",T16=""),"",Q16*T16)</f>
        <v/>
      </c>
      <c r="V16" s="19" t="str">
        <f aca="false">IF(E16="","",IFERROR(INDEX(Agentes!$E$6:$E$12,MATCH(E16,Agentes!$A$6:$A$12,0)),""))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9" t="str">
        <f aca="false">IF(J17="","",IF(J17&gt;=360,4,IF(J17&gt;=120,3,IF(J17&gt;=30,2,IF(J17&gt;0,1,0)))))</f>
        <v/>
      </c>
      <c r="L17" s="19" t="str">
        <f aca="false">IF(E17="","",IF(E17="PNOS",2,4))</f>
        <v/>
      </c>
      <c r="M17" s="19" t="str">
        <f aca="false">IF(OR(K17="",L17=""),"",K17*L17)</f>
        <v/>
      </c>
      <c r="N17" s="19" t="str">
        <f aca="false">IF(M17="","",IF(M17=0,"Incipiente",IF(M17&lt;=4,"Bajo",IF(M17&lt;=8,"Moderado",IF(M17&lt;=12,"Alto","Muy alto")))))</f>
        <v/>
      </c>
      <c r="O17" s="19" t="str">
        <f aca="false">IF(A17="","",IF(N(F17)&gt;50,ROUNDUP(SQRT(F17),0),6))</f>
        <v/>
      </c>
      <c r="P17" s="18"/>
      <c r="Q17" s="20" t="str">
        <f aca="false">IF(E17="","",IFERROR(INDEX(Agentes!$F$6:$F$12,MATCH(E17,Agentes!$A$6:$A$12,0)),"Agente?"))</f>
        <v/>
      </c>
      <c r="R17" s="20" t="str">
        <f aca="false">IF(N(H17)=0,"",8/H17*(24-H17)/16)</f>
        <v/>
      </c>
      <c r="S17" s="20" t="str">
        <f aca="false">IF(N(I17)=0,"",40/I17*(168-I17)/128)</f>
        <v/>
      </c>
      <c r="T17" s="20" t="str">
        <f aca="false">IF(E17="","",MIN(1,IF(R17="",1,R17),IF(S17="",1,S17)))</f>
        <v/>
      </c>
      <c r="U17" s="21" t="str">
        <f aca="false">IF(OR(Q17="",T17=""),"",Q17*T17)</f>
        <v/>
      </c>
      <c r="V17" s="19" t="str">
        <f aca="false">IF(E17="","",IFERROR(INDEX(Agentes!$E$6:$E$12,MATCH(E17,Agentes!$A$6:$A$12,0)),""))</f>
        <v/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9" t="str">
        <f aca="false">IF(J18="","",IF(J18&gt;=360,4,IF(J18&gt;=120,3,IF(J18&gt;=30,2,IF(J18&gt;0,1,0)))))</f>
        <v/>
      </c>
      <c r="L18" s="19" t="str">
        <f aca="false">IF(E18="","",IF(E18="PNOS",2,4))</f>
        <v/>
      </c>
      <c r="M18" s="19" t="str">
        <f aca="false">IF(OR(K18="",L18=""),"",K18*L18)</f>
        <v/>
      </c>
      <c r="N18" s="19" t="str">
        <f aca="false">IF(M18="","",IF(M18=0,"Incipiente",IF(M18&lt;=4,"Bajo",IF(M18&lt;=8,"Moderado",IF(M18&lt;=12,"Alto","Muy alto")))))</f>
        <v/>
      </c>
      <c r="O18" s="19" t="str">
        <f aca="false">IF(A18="","",IF(N(F18)&gt;50,ROUNDUP(SQRT(F18),0),6))</f>
        <v/>
      </c>
      <c r="P18" s="18"/>
      <c r="Q18" s="20" t="str">
        <f aca="false">IF(E18="","",IFERROR(INDEX(Agentes!$F$6:$F$12,MATCH(E18,Agentes!$A$6:$A$12,0)),"Agente?"))</f>
        <v/>
      </c>
      <c r="R18" s="20" t="str">
        <f aca="false">IF(N(H18)=0,"",8/H18*(24-H18)/16)</f>
        <v/>
      </c>
      <c r="S18" s="20" t="str">
        <f aca="false">IF(N(I18)=0,"",40/I18*(168-I18)/128)</f>
        <v/>
      </c>
      <c r="T18" s="20" t="str">
        <f aca="false">IF(E18="","",MIN(1,IF(R18="",1,R18),IF(S18="",1,S18)))</f>
        <v/>
      </c>
      <c r="U18" s="21" t="str">
        <f aca="false">IF(OR(Q18="",T18=""),"",Q18*T18)</f>
        <v/>
      </c>
      <c r="V18" s="19" t="str">
        <f aca="false">IF(E18="","",IFERROR(INDEX(Agentes!$E$6:$E$12,MATCH(E18,Agentes!$A$6:$A$12,0)),""))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 t="str">
        <f aca="false">IF(J19="","",IF(J19&gt;=360,4,IF(J19&gt;=120,3,IF(J19&gt;=30,2,IF(J19&gt;0,1,0)))))</f>
        <v/>
      </c>
      <c r="L19" s="19" t="str">
        <f aca="false">IF(E19="","",IF(E19="PNOS",2,4))</f>
        <v/>
      </c>
      <c r="M19" s="19" t="str">
        <f aca="false">IF(OR(K19="",L19=""),"",K19*L19)</f>
        <v/>
      </c>
      <c r="N19" s="19" t="str">
        <f aca="false">IF(M19="","",IF(M19=0,"Incipiente",IF(M19&lt;=4,"Bajo",IF(M19&lt;=8,"Moderado",IF(M19&lt;=12,"Alto","Muy alto")))))</f>
        <v/>
      </c>
      <c r="O19" s="19" t="str">
        <f aca="false">IF(A19="","",IF(N(F19)&gt;50,ROUNDUP(SQRT(F19),0),6))</f>
        <v/>
      </c>
      <c r="P19" s="18"/>
      <c r="Q19" s="20" t="str">
        <f aca="false">IF(E19="","",IFERROR(INDEX(Agentes!$F$6:$F$12,MATCH(E19,Agentes!$A$6:$A$12,0)),"Agente?"))</f>
        <v/>
      </c>
      <c r="R19" s="20" t="str">
        <f aca="false">IF(N(H19)=0,"",8/H19*(24-H19)/16)</f>
        <v/>
      </c>
      <c r="S19" s="20" t="str">
        <f aca="false">IF(N(I19)=0,"",40/I19*(168-I19)/128)</f>
        <v/>
      </c>
      <c r="T19" s="20" t="str">
        <f aca="false">IF(E19="","",MIN(1,IF(R19="",1,R19),IF(S19="",1,S19)))</f>
        <v/>
      </c>
      <c r="U19" s="21" t="str">
        <f aca="false">IF(OR(Q19="",T19=""),"",Q19*T19)</f>
        <v/>
      </c>
      <c r="V19" s="19" t="str">
        <f aca="false">IF(E19="","",IFERROR(INDEX(Agentes!$E$6:$E$12,MATCH(E19,Agentes!$A$6:$A$12,0)),""))</f>
        <v/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9" t="str">
        <f aca="false">IF(J20="","",IF(J20&gt;=360,4,IF(J20&gt;=120,3,IF(J20&gt;=30,2,IF(J20&gt;0,1,0)))))</f>
        <v/>
      </c>
      <c r="L20" s="19" t="str">
        <f aca="false">IF(E20="","",IF(E20="PNOS",2,4))</f>
        <v/>
      </c>
      <c r="M20" s="19" t="str">
        <f aca="false">IF(OR(K20="",L20=""),"",K20*L20)</f>
        <v/>
      </c>
      <c r="N20" s="19" t="str">
        <f aca="false">IF(M20="","",IF(M20=0,"Incipiente",IF(M20&lt;=4,"Bajo",IF(M20&lt;=8,"Moderado",IF(M20&lt;=12,"Alto","Muy alto")))))</f>
        <v/>
      </c>
      <c r="O20" s="19" t="str">
        <f aca="false">IF(A20="","",IF(N(F20)&gt;50,ROUNDUP(SQRT(F20),0),6))</f>
        <v/>
      </c>
      <c r="P20" s="18"/>
      <c r="Q20" s="20" t="str">
        <f aca="false">IF(E20="","",IFERROR(INDEX(Agentes!$F$6:$F$12,MATCH(E20,Agentes!$A$6:$A$12,0)),"Agente?"))</f>
        <v/>
      </c>
      <c r="R20" s="20" t="str">
        <f aca="false">IF(N(H20)=0,"",8/H20*(24-H20)/16)</f>
        <v/>
      </c>
      <c r="S20" s="20" t="str">
        <f aca="false">IF(N(I20)=0,"",40/I20*(168-I20)/128)</f>
        <v/>
      </c>
      <c r="T20" s="20" t="str">
        <f aca="false">IF(E20="","",MIN(1,IF(R20="",1,R20),IF(S20="",1,S20)))</f>
        <v/>
      </c>
      <c r="U20" s="21" t="str">
        <f aca="false">IF(OR(Q20="",T20=""),"",Q20*T20)</f>
        <v/>
      </c>
      <c r="V20" s="19" t="str">
        <f aca="false">IF(E20="","",IFERROR(INDEX(Agentes!$E$6:$E$12,MATCH(E20,Agentes!$A$6:$A$12,0)),""))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9" t="str">
        <f aca="false">IF(J21="","",IF(J21&gt;=360,4,IF(J21&gt;=120,3,IF(J21&gt;=30,2,IF(J21&gt;0,1,0)))))</f>
        <v/>
      </c>
      <c r="L21" s="19" t="str">
        <f aca="false">IF(E21="","",IF(E21="PNOS",2,4))</f>
        <v/>
      </c>
      <c r="M21" s="19" t="str">
        <f aca="false">IF(OR(K21="",L21=""),"",K21*L21)</f>
        <v/>
      </c>
      <c r="N21" s="19" t="str">
        <f aca="false">IF(M21="","",IF(M21=0,"Incipiente",IF(M21&lt;=4,"Bajo",IF(M21&lt;=8,"Moderado",IF(M21&lt;=12,"Alto","Muy alto")))))</f>
        <v/>
      </c>
      <c r="O21" s="19" t="str">
        <f aca="false">IF(A21="","",IF(N(F21)&gt;50,ROUNDUP(SQRT(F21),0),6))</f>
        <v/>
      </c>
      <c r="P21" s="18"/>
      <c r="Q21" s="20" t="str">
        <f aca="false">IF(E21="","",IFERROR(INDEX(Agentes!$F$6:$F$12,MATCH(E21,Agentes!$A$6:$A$12,0)),"Agente?"))</f>
        <v/>
      </c>
      <c r="R21" s="20" t="str">
        <f aca="false">IF(N(H21)=0,"",8/H21*(24-H21)/16)</f>
        <v/>
      </c>
      <c r="S21" s="20" t="str">
        <f aca="false">IF(N(I21)=0,"",40/I21*(168-I21)/128)</f>
        <v/>
      </c>
      <c r="T21" s="20" t="str">
        <f aca="false">IF(E21="","",MIN(1,IF(R21="",1,R21),IF(S21="",1,S21)))</f>
        <v/>
      </c>
      <c r="U21" s="21" t="str">
        <f aca="false">IF(OR(Q21="",T21=""),"",Q21*T21)</f>
        <v/>
      </c>
      <c r="V21" s="19" t="str">
        <f aca="false">IF(E21="","",IFERROR(INDEX(Agentes!$E$6:$E$12,MATCH(E21,Agentes!$A$6:$A$12,0)),""))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9" t="str">
        <f aca="false">IF(J22="","",IF(J22&gt;=360,4,IF(J22&gt;=120,3,IF(J22&gt;=30,2,IF(J22&gt;0,1,0)))))</f>
        <v/>
      </c>
      <c r="L22" s="19" t="str">
        <f aca="false">IF(E22="","",IF(E22="PNOS",2,4))</f>
        <v/>
      </c>
      <c r="M22" s="19" t="str">
        <f aca="false">IF(OR(K22="",L22=""),"",K22*L22)</f>
        <v/>
      </c>
      <c r="N22" s="19" t="str">
        <f aca="false">IF(M22="","",IF(M22=0,"Incipiente",IF(M22&lt;=4,"Bajo",IF(M22&lt;=8,"Moderado",IF(M22&lt;=12,"Alto","Muy alto")))))</f>
        <v/>
      </c>
      <c r="O22" s="19" t="str">
        <f aca="false">IF(A22="","",IF(N(F22)&gt;50,ROUNDUP(SQRT(F22),0),6))</f>
        <v/>
      </c>
      <c r="P22" s="18"/>
      <c r="Q22" s="20" t="str">
        <f aca="false">IF(E22="","",IFERROR(INDEX(Agentes!$F$6:$F$12,MATCH(E22,Agentes!$A$6:$A$12,0)),"Agente?"))</f>
        <v/>
      </c>
      <c r="R22" s="20" t="str">
        <f aca="false">IF(N(H22)=0,"",8/H22*(24-H22)/16)</f>
        <v/>
      </c>
      <c r="S22" s="20" t="str">
        <f aca="false">IF(N(I22)=0,"",40/I22*(168-I22)/128)</f>
        <v/>
      </c>
      <c r="T22" s="20" t="str">
        <f aca="false">IF(E22="","",MIN(1,IF(R22="",1,R22),IF(S22="",1,S22)))</f>
        <v/>
      </c>
      <c r="U22" s="21" t="str">
        <f aca="false">IF(OR(Q22="",T22=""),"",Q22*T22)</f>
        <v/>
      </c>
      <c r="V22" s="19" t="str">
        <f aca="false">IF(E22="","",IFERROR(INDEX(Agentes!$E$6:$E$12,MATCH(E22,Agentes!$A$6:$A$12,0)),""))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9" t="str">
        <f aca="false">IF(J23="","",IF(J23&gt;=360,4,IF(J23&gt;=120,3,IF(J23&gt;=30,2,IF(J23&gt;0,1,0)))))</f>
        <v/>
      </c>
      <c r="L23" s="19" t="str">
        <f aca="false">IF(E23="","",IF(E23="PNOS",2,4))</f>
        <v/>
      </c>
      <c r="M23" s="19" t="str">
        <f aca="false">IF(OR(K23="",L23=""),"",K23*L23)</f>
        <v/>
      </c>
      <c r="N23" s="19" t="str">
        <f aca="false">IF(M23="","",IF(M23=0,"Incipiente",IF(M23&lt;=4,"Bajo",IF(M23&lt;=8,"Moderado",IF(M23&lt;=12,"Alto","Muy alto")))))</f>
        <v/>
      </c>
      <c r="O23" s="19" t="str">
        <f aca="false">IF(A23="","",IF(N(F23)&gt;50,ROUNDUP(SQRT(F23),0),6))</f>
        <v/>
      </c>
      <c r="P23" s="18"/>
      <c r="Q23" s="20" t="str">
        <f aca="false">IF(E23="","",IFERROR(INDEX(Agentes!$F$6:$F$12,MATCH(E23,Agentes!$A$6:$A$12,0)),"Agente?"))</f>
        <v/>
      </c>
      <c r="R23" s="20" t="str">
        <f aca="false">IF(N(H23)=0,"",8/H23*(24-H23)/16)</f>
        <v/>
      </c>
      <c r="S23" s="20" t="str">
        <f aca="false">IF(N(I23)=0,"",40/I23*(168-I23)/128)</f>
        <v/>
      </c>
      <c r="T23" s="20" t="str">
        <f aca="false">IF(E23="","",MIN(1,IF(R23="",1,R23),IF(S23="",1,S23)))</f>
        <v/>
      </c>
      <c r="U23" s="21" t="str">
        <f aca="false">IF(OR(Q23="",T23=""),"",Q23*T23)</f>
        <v/>
      </c>
      <c r="V23" s="19" t="str">
        <f aca="false">IF(E23="","",IFERROR(INDEX(Agentes!$E$6:$E$12,MATCH(E23,Agentes!$A$6:$A$12,0)),""))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9" t="str">
        <f aca="false">IF(J24="","",IF(J24&gt;=360,4,IF(J24&gt;=120,3,IF(J24&gt;=30,2,IF(J24&gt;0,1,0)))))</f>
        <v/>
      </c>
      <c r="L24" s="19" t="str">
        <f aca="false">IF(E24="","",IF(E24="PNOS",2,4))</f>
        <v/>
      </c>
      <c r="M24" s="19" t="str">
        <f aca="false">IF(OR(K24="",L24=""),"",K24*L24)</f>
        <v/>
      </c>
      <c r="N24" s="19" t="str">
        <f aca="false">IF(M24="","",IF(M24=0,"Incipiente",IF(M24&lt;=4,"Bajo",IF(M24&lt;=8,"Moderado",IF(M24&lt;=12,"Alto","Muy alto")))))</f>
        <v/>
      </c>
      <c r="O24" s="19" t="str">
        <f aca="false">IF(A24="","",IF(N(F24)&gt;50,ROUNDUP(SQRT(F24),0),6))</f>
        <v/>
      </c>
      <c r="P24" s="18"/>
      <c r="Q24" s="20" t="str">
        <f aca="false">IF(E24="","",IFERROR(INDEX(Agentes!$F$6:$F$12,MATCH(E24,Agentes!$A$6:$A$12,0)),"Agente?"))</f>
        <v/>
      </c>
      <c r="R24" s="20" t="str">
        <f aca="false">IF(N(H24)=0,"",8/H24*(24-H24)/16)</f>
        <v/>
      </c>
      <c r="S24" s="20" t="str">
        <f aca="false">IF(N(I24)=0,"",40/I24*(168-I24)/128)</f>
        <v/>
      </c>
      <c r="T24" s="20" t="str">
        <f aca="false">IF(E24="","",MIN(1,IF(R24="",1,R24),IF(S24="",1,S24)))</f>
        <v/>
      </c>
      <c r="U24" s="21" t="str">
        <f aca="false">IF(OR(Q24="",T24=""),"",Q24*T24)</f>
        <v/>
      </c>
      <c r="V24" s="19" t="str">
        <f aca="false">IF(E24="","",IFERROR(INDEX(Agentes!$E$6:$E$12,MATCH(E24,Agentes!$A$6:$A$12,0)),""))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9" t="str">
        <f aca="false">IF(J25="","",IF(J25&gt;=360,4,IF(J25&gt;=120,3,IF(J25&gt;=30,2,IF(J25&gt;0,1,0)))))</f>
        <v/>
      </c>
      <c r="L25" s="19" t="str">
        <f aca="false">IF(E25="","",IF(E25="PNOS",2,4))</f>
        <v/>
      </c>
      <c r="M25" s="19" t="str">
        <f aca="false">IF(OR(K25="",L25=""),"",K25*L25)</f>
        <v/>
      </c>
      <c r="N25" s="19" t="str">
        <f aca="false">IF(M25="","",IF(M25=0,"Incipiente",IF(M25&lt;=4,"Bajo",IF(M25&lt;=8,"Moderado",IF(M25&lt;=12,"Alto","Muy alto")))))</f>
        <v/>
      </c>
      <c r="O25" s="19" t="str">
        <f aca="false">IF(A25="","",IF(N(F25)&gt;50,ROUNDUP(SQRT(F25),0),6))</f>
        <v/>
      </c>
      <c r="P25" s="18"/>
      <c r="Q25" s="20" t="str">
        <f aca="false">IF(E25="","",IFERROR(INDEX(Agentes!$F$6:$F$12,MATCH(E25,Agentes!$A$6:$A$12,0)),"Agente?"))</f>
        <v/>
      </c>
      <c r="R25" s="20" t="str">
        <f aca="false">IF(N(H25)=0,"",8/H25*(24-H25)/16)</f>
        <v/>
      </c>
      <c r="S25" s="20" t="str">
        <f aca="false">IF(N(I25)=0,"",40/I25*(168-I25)/128)</f>
        <v/>
      </c>
      <c r="T25" s="20" t="str">
        <f aca="false">IF(E25="","",MIN(1,IF(R25="",1,R25),IF(S25="",1,S25)))</f>
        <v/>
      </c>
      <c r="U25" s="21" t="str">
        <f aca="false">IF(OR(Q25="",T25=""),"",Q25*T25)</f>
        <v/>
      </c>
      <c r="V25" s="19" t="str">
        <f aca="false">IF(E25="","",IFERROR(INDEX(Agentes!$E$6:$E$12,MATCH(E25,Agentes!$A$6:$A$12,0)),""))</f>
        <v/>
      </c>
    </row>
  </sheetData>
  <dataValidations count="2">
    <dataValidation allowBlank="true" errorStyle="stop" operator="between" showDropDown="false" showErrorMessage="false" showInputMessage="false" sqref="E6:E25" type="list">
      <formula1>Agentes!$A$6:$A$12</formula1>
      <formula2>0</formula2>
    </dataValidation>
    <dataValidation allowBlank="true" errorStyle="stop" operator="between" showDropDown="false" showErrorMessage="false" showInputMessage="false" sqref="P6:P25" type="list">
      <formula1>"Crítico,Alto,Moderado,Bajo"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V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17"/>
    <col collapsed="false" customWidth="true" hidden="false" outlineLevel="0" max="18" min="18" style="0" width="22"/>
    <col collapsed="false" customWidth="true" hidden="false" outlineLevel="0" max="19" min="19" style="0" width="8"/>
    <col collapsed="false" customWidth="true" hidden="false" outlineLevel="0" max="21" min="20" style="0" width="9"/>
    <col collapsed="false" customWidth="true" hidden="false" outlineLevel="0" max="22" min="22" style="0" width="6"/>
  </cols>
  <sheetData>
    <row r="1" customFormat="false" ht="19.7" hidden="false" customHeight="false" outlineLevel="0" collapsed="false">
      <c r="A1" s="9" t="s">
        <v>175</v>
      </c>
    </row>
    <row r="2" customFormat="false" ht="15" hidden="false" customHeight="false" outlineLevel="0" collapsed="false">
      <c r="A2" s="3" t="s">
        <v>176</v>
      </c>
    </row>
    <row r="3" customFormat="false" ht="15" hidden="false" customHeight="false" outlineLevel="0" collapsed="false">
      <c r="A3" s="10" t="s">
        <v>36</v>
      </c>
    </row>
    <row r="5" customFormat="false" ht="54" hidden="false" customHeight="true" outlineLevel="0" collapsed="false">
      <c r="A5" s="11" t="s">
        <v>108</v>
      </c>
      <c r="B5" s="11" t="s">
        <v>121</v>
      </c>
      <c r="C5" s="11" t="s">
        <v>177</v>
      </c>
      <c r="D5" s="11" t="s">
        <v>178</v>
      </c>
      <c r="E5" s="11" t="s">
        <v>179</v>
      </c>
      <c r="F5" s="11" t="s">
        <v>180</v>
      </c>
      <c r="G5" s="11" t="s">
        <v>181</v>
      </c>
      <c r="H5" s="11" t="s">
        <v>182</v>
      </c>
      <c r="I5" s="11" t="s">
        <v>183</v>
      </c>
      <c r="J5" s="11" t="s">
        <v>184</v>
      </c>
      <c r="K5" s="11" t="s">
        <v>185</v>
      </c>
      <c r="L5" s="11" t="s">
        <v>186</v>
      </c>
      <c r="M5" s="11" t="s">
        <v>38</v>
      </c>
      <c r="N5" s="11" t="s">
        <v>187</v>
      </c>
      <c r="O5" s="11" t="s">
        <v>188</v>
      </c>
      <c r="P5" s="11" t="s">
        <v>189</v>
      </c>
      <c r="Q5" s="11" t="s">
        <v>190</v>
      </c>
      <c r="R5" s="11" t="s">
        <v>191</v>
      </c>
      <c r="S5" s="11" t="s">
        <v>192</v>
      </c>
      <c r="T5" s="11" t="s">
        <v>193</v>
      </c>
      <c r="U5" s="11" t="s">
        <v>194</v>
      </c>
      <c r="V5" s="11" t="s">
        <v>195</v>
      </c>
    </row>
    <row r="6" customFormat="false" ht="15" hidden="false" customHeight="false" outlineLevel="0" collapsed="false">
      <c r="A6" s="18" t="n">
        <v>1</v>
      </c>
      <c r="B6" s="18" t="s">
        <v>142</v>
      </c>
      <c r="C6" s="22" t="n">
        <v>46266</v>
      </c>
      <c r="D6" s="18" t="s">
        <v>196</v>
      </c>
      <c r="E6" s="18" t="s">
        <v>197</v>
      </c>
      <c r="F6" s="18" t="n">
        <v>1.7</v>
      </c>
      <c r="G6" s="18" t="n">
        <v>480</v>
      </c>
      <c r="H6" s="20" t="n">
        <f aca="false">IF(OR(F6="",G6=""),"",F6*G6/1000)</f>
        <v>0.816</v>
      </c>
      <c r="I6" s="23" t="n">
        <v>0.03672</v>
      </c>
      <c r="J6" s="23"/>
      <c r="K6" s="18"/>
      <c r="L6" s="21" t="n">
        <f aca="false">IF(B6="","",IF(J6&lt;&gt;"",J6,IF(AND(N(I6)&gt;0,N(H6)&gt;0),I6/H6,"")))</f>
        <v>0.045</v>
      </c>
      <c r="M6" s="19" t="str">
        <f aca="false">IF(B6="","",IFERROR(INDEX(GES!$E$6:$E$25,MATCH(B6,GES!$A$6:$A$25,0)),"GES?"))</f>
        <v>SIL-Q</v>
      </c>
      <c r="N6" s="21" t="str">
        <f aca="false">IF(AND(ISNUMBER(L6),ISNUMBER(K6),LEFT(M6,3)="CAR"),L6*K6/100,"")</f>
        <v/>
      </c>
      <c r="O6" s="21" t="n">
        <f aca="false">IF(B6="","",IFERROR(INDEX(GES!$U$6:$U$25,MATCH(B6,GES!$A$6:$A$25,0)),""))</f>
        <v>0.01953125</v>
      </c>
      <c r="P6" s="24" t="n">
        <f aca="false">IF(AND(ISNUMBER(L6),ISNUMBER(O6)),L6/O6,"")</f>
        <v>2.304</v>
      </c>
      <c r="Q6" s="25" t="str">
        <f aca="false">IF(NOT(ISNUMBER(L6)),"",IFERROR(IF(INDEX(Estadística!$L$6:$L$25,MATCH(B6,Estadística!$A$6:$A$25,0))&gt;INDEX(Estadística!$T$6:$T$25,MATCH(B6,Estadística!$A$6:$A$25,0)),IF(OR(L6&lt;INDEX(Estadística!$I$6:$I$25,MATCH(B6,Estadística!$A$6:$A$25,0))/2,L6&gt;2*INDEX(Estadística!$I$6:$I$25,MATCH(B6,Estadística!$A$6:$A$25,0))),"Fuera de ½MA–2MA: revisar","Dentro de ½MA–2MA"),"—"),""))</f>
        <v>—</v>
      </c>
      <c r="R6" s="18" t="s">
        <v>198</v>
      </c>
      <c r="S6" s="19" t="n">
        <f aca="false">IF(ISNUMBER(L6),IF(L6&gt;0,LN(L6),""),"")</f>
        <v>-3.10109278921182</v>
      </c>
      <c r="T6" s="19" t="n">
        <f aca="false">IF(ISNUMBER(S6),IFERROR((S6-LN(INDEX(Estadística!$K$6:$K$25,MATCH(B6,Estadística!$A$6:$A$25,0))))^2,""),"")</f>
        <v>0.0221630418643104</v>
      </c>
      <c r="U6" s="19" t="n">
        <f aca="false">IF(ISNUMBER(L6),IFERROR((L6-INDEX(Estadística!$I$6:$I$25,MATCH(B6,Estadística!$A$6:$A$25,0)))^2,""),"")</f>
        <v>6.94444444444445E-005</v>
      </c>
      <c r="V6" s="19" t="n">
        <f aca="false">IF(ISNUMBER(P6),IF(P6&gt;1,1,0),"")</f>
        <v>1</v>
      </c>
    </row>
    <row r="7" customFormat="false" ht="15" hidden="false" customHeight="false" outlineLevel="0" collapsed="false">
      <c r="A7" s="18" t="n">
        <v>2</v>
      </c>
      <c r="B7" s="18" t="s">
        <v>142</v>
      </c>
      <c r="C7" s="22" t="n">
        <v>46267</v>
      </c>
      <c r="D7" s="18" t="s">
        <v>199</v>
      </c>
      <c r="E7" s="18" t="s">
        <v>197</v>
      </c>
      <c r="F7" s="18" t="n">
        <v>1.7</v>
      </c>
      <c r="G7" s="18" t="n">
        <v>480</v>
      </c>
      <c r="H7" s="20" t="n">
        <f aca="false">IF(OR(F7="",G7=""),"",F7*G7/1000)</f>
        <v>0.816</v>
      </c>
      <c r="I7" s="23" t="n">
        <v>0.05059</v>
      </c>
      <c r="J7" s="23"/>
      <c r="K7" s="18"/>
      <c r="L7" s="21" t="n">
        <f aca="false">IF(B7="","",IF(J7&lt;&gt;"",J7,IF(AND(N(I7)&gt;0,N(H7)&gt;0),I7/H7,"")))</f>
        <v>0.0619975490196079</v>
      </c>
      <c r="M7" s="19" t="str">
        <f aca="false">IF(B7="","",IFERROR(INDEX(GES!$E$6:$E$25,MATCH(B7,GES!$A$6:$A$25,0)),"GES?"))</f>
        <v>SIL-Q</v>
      </c>
      <c r="N7" s="21" t="str">
        <f aca="false">IF(AND(ISNUMBER(L7),ISNUMBER(K7),LEFT(M7,3)="CAR"),L7*K7/100,"")</f>
        <v/>
      </c>
      <c r="O7" s="21" t="n">
        <f aca="false">IF(B7="","",IFERROR(INDEX(GES!$U$6:$U$25,MATCH(B7,GES!$A$6:$A$25,0)),""))</f>
        <v>0.01953125</v>
      </c>
      <c r="P7" s="24" t="n">
        <f aca="false">IF(AND(ISNUMBER(L7),ISNUMBER(O7)),L7/O7,"")</f>
        <v>3.17427450980392</v>
      </c>
      <c r="Q7" s="25" t="str">
        <f aca="false">IF(NOT(ISNUMBER(L7)),"",IFERROR(IF(INDEX(Estadística!$L$6:$L$25,MATCH(B7,Estadística!$A$6:$A$25,0))&gt;INDEX(Estadística!$T$6:$T$25,MATCH(B7,Estadística!$A$6:$A$25,0)),IF(OR(L7&lt;INDEX(Estadística!$I$6:$I$25,MATCH(B7,Estadística!$A$6:$A$25,0))/2,L7&gt;2*INDEX(Estadística!$I$6:$I$25,MATCH(B7,Estadística!$A$6:$A$25,0))),"Fuera de ½MA–2MA: revisar","Dentro de ½MA–2MA"),"—"),""))</f>
        <v>—</v>
      </c>
      <c r="R7" s="18"/>
      <c r="S7" s="19" t="n">
        <f aca="false">IF(ISNUMBER(L7),IF(L7&gt;0,LN(L7),""),"")</f>
        <v>-2.78066042666026</v>
      </c>
      <c r="T7" s="19" t="n">
        <f aca="false">IF(ISNUMBER(S7),IFERROR((S7-LN(INDEX(Estadística!$K$6:$K$25,MATCH(B7,Estadística!$A$6:$A$25,0))))^2,""),"")</f>
        <v>0.0294327626901015</v>
      </c>
      <c r="U7" s="19" t="n">
        <f aca="false">IF(ISNUMBER(L7),IFERROR((L7-INDEX(Estadística!$I$6:$I$25,MATCH(B7,Estadística!$A$6:$A$25,0)))^2,""),"")</f>
        <v>7.50686334582852E-005</v>
      </c>
      <c r="V7" s="19" t="n">
        <f aca="false">IF(ISNUMBER(P7),IF(P7&gt;1,1,0),"")</f>
        <v>1</v>
      </c>
    </row>
    <row r="8" customFormat="false" ht="15" hidden="false" customHeight="false" outlineLevel="0" collapsed="false">
      <c r="A8" s="18" t="n">
        <v>3</v>
      </c>
      <c r="B8" s="18" t="s">
        <v>142</v>
      </c>
      <c r="C8" s="22" t="n">
        <v>46268</v>
      </c>
      <c r="D8" s="18" t="s">
        <v>200</v>
      </c>
      <c r="E8" s="18" t="s">
        <v>197</v>
      </c>
      <c r="F8" s="18" t="n">
        <v>1.7</v>
      </c>
      <c r="G8" s="18" t="n">
        <v>480</v>
      </c>
      <c r="H8" s="20" t="n">
        <f aca="false">IF(OR(F8="",G8=""),"",F8*G8/1000)</f>
        <v>0.816</v>
      </c>
      <c r="I8" s="23" t="n">
        <v>0.03101</v>
      </c>
      <c r="J8" s="23"/>
      <c r="K8" s="18"/>
      <c r="L8" s="21" t="n">
        <f aca="false">IF(B8="","",IF(J8&lt;&gt;"",J8,IF(AND(N(I8)&gt;0,N(H8)&gt;0),I8/H8,"")))</f>
        <v>0.0380024509803922</v>
      </c>
      <c r="M8" s="19" t="str">
        <f aca="false">IF(B8="","",IFERROR(INDEX(GES!$E$6:$E$25,MATCH(B8,GES!$A$6:$A$25,0)),"GES?"))</f>
        <v>SIL-Q</v>
      </c>
      <c r="N8" s="21" t="str">
        <f aca="false">IF(AND(ISNUMBER(L8),ISNUMBER(K8),LEFT(M8,3)="CAR"),L8*K8/100,"")</f>
        <v/>
      </c>
      <c r="O8" s="21" t="n">
        <f aca="false">IF(B8="","",IFERROR(INDEX(GES!$U$6:$U$25,MATCH(B8,GES!$A$6:$A$25,0)),""))</f>
        <v>0.01953125</v>
      </c>
      <c r="P8" s="24" t="n">
        <f aca="false">IF(AND(ISNUMBER(L8),ISNUMBER(O8)),L8/O8,"")</f>
        <v>1.94572549019608</v>
      </c>
      <c r="Q8" s="25" t="str">
        <f aca="false">IF(NOT(ISNUMBER(L8)),"",IFERROR(IF(INDEX(Estadística!$L$6:$L$25,MATCH(B8,Estadística!$A$6:$A$25,0))&gt;INDEX(Estadística!$T$6:$T$25,MATCH(B8,Estadística!$A$6:$A$25,0)),IF(OR(L8&lt;INDEX(Estadística!$I$6:$I$25,MATCH(B8,Estadística!$A$6:$A$25,0))/2,L8&gt;2*INDEX(Estadística!$I$6:$I$25,MATCH(B8,Estadística!$A$6:$A$25,0))),"Fuera de ½MA–2MA: revisar","Dentro de ½MA–2MA"),"—"),""))</f>
        <v>—</v>
      </c>
      <c r="R8" s="18"/>
      <c r="S8" s="19" t="n">
        <f aca="false">IF(ISNUMBER(L8),IF(L8&gt;0,LN(L8),""),"")</f>
        <v>-3.27010462185175</v>
      </c>
      <c r="T8" s="19" t="n">
        <f aca="false">IF(ISNUMBER(S8),IFERROR((S8-LN(INDEX(Estadística!$K$6:$K$25,MATCH(B8,Estadística!$A$6:$A$25,0))))^2,""),"")</f>
        <v>0.10105049294189</v>
      </c>
      <c r="U8" s="19" t="n">
        <f aca="false">IF(ISNUMBER(L8),IFERROR((L8-INDEX(Estadística!$I$6:$I$25,MATCH(B8,Estadística!$A$6:$A$25,0)))^2,""),"")</f>
        <v>0.000235035953719724</v>
      </c>
      <c r="V8" s="19" t="n">
        <f aca="false">IF(ISNUMBER(P8),IF(P8&gt;1,1,0),"")</f>
        <v>1</v>
      </c>
    </row>
    <row r="9" customFormat="false" ht="15" hidden="false" customHeight="false" outlineLevel="0" collapsed="false">
      <c r="A9" s="18" t="n">
        <v>4</v>
      </c>
      <c r="B9" s="18" t="s">
        <v>142</v>
      </c>
      <c r="C9" s="22" t="n">
        <v>46269</v>
      </c>
      <c r="D9" s="18" t="s">
        <v>201</v>
      </c>
      <c r="E9" s="18" t="s">
        <v>197</v>
      </c>
      <c r="F9" s="18" t="n">
        <v>1.7</v>
      </c>
      <c r="G9" s="18" t="n">
        <v>480</v>
      </c>
      <c r="H9" s="20" t="n">
        <f aca="false">IF(OR(F9="",G9=""),"",F9*G9/1000)</f>
        <v>0.816</v>
      </c>
      <c r="I9" s="23" t="n">
        <v>0.05794</v>
      </c>
      <c r="J9" s="23"/>
      <c r="K9" s="18"/>
      <c r="L9" s="21" t="n">
        <f aca="false">IF(B9="","",IF(J9&lt;&gt;"",J9,IF(AND(N(I9)&gt;0,N(H9)&gt;0),I9/H9,"")))</f>
        <v>0.0710049019607843</v>
      </c>
      <c r="M9" s="19" t="str">
        <f aca="false">IF(B9="","",IFERROR(INDEX(GES!$E$6:$E$25,MATCH(B9,GES!$A$6:$A$25,0)),"GES?"))</f>
        <v>SIL-Q</v>
      </c>
      <c r="N9" s="21" t="str">
        <f aca="false">IF(AND(ISNUMBER(L9),ISNUMBER(K9),LEFT(M9,3)="CAR"),L9*K9/100,"")</f>
        <v/>
      </c>
      <c r="O9" s="21" t="n">
        <f aca="false">IF(B9="","",IFERROR(INDEX(GES!$U$6:$U$25,MATCH(B9,GES!$A$6:$A$25,0)),""))</f>
        <v>0.01953125</v>
      </c>
      <c r="P9" s="24" t="n">
        <f aca="false">IF(AND(ISNUMBER(L9),ISNUMBER(O9)),L9/O9,"")</f>
        <v>3.63545098039216</v>
      </c>
      <c r="Q9" s="25" t="str">
        <f aca="false">IF(NOT(ISNUMBER(L9)),"",IFERROR(IF(INDEX(Estadística!$L$6:$L$25,MATCH(B9,Estadística!$A$6:$A$25,0))&gt;INDEX(Estadística!$T$6:$T$25,MATCH(B9,Estadística!$A$6:$A$25,0)),IF(OR(L9&lt;INDEX(Estadística!$I$6:$I$25,MATCH(B9,Estadística!$A$6:$A$25,0))/2,L9&gt;2*INDEX(Estadística!$I$6:$I$25,MATCH(B9,Estadística!$A$6:$A$25,0))),"Fuera de ½MA–2MA: revisar","Dentro de ½MA–2MA"),"—"),""))</f>
        <v>—</v>
      </c>
      <c r="R9" s="18"/>
      <c r="S9" s="19" t="n">
        <f aca="false">IF(ISNUMBER(L9),IF(L9&gt;0,LN(L9),""),"")</f>
        <v>-2.6450063626229</v>
      </c>
      <c r="T9" s="19" t="n">
        <f aca="false">IF(ISNUMBER(S9),IFERROR((S9-LN(INDEX(Estadística!$K$6:$K$25,MATCH(B9,Estadística!$A$6:$A$25,0))))^2,""),"")</f>
        <v>0.0943803541633124</v>
      </c>
      <c r="U9" s="19" t="n">
        <f aca="false">IF(ISNUMBER(L9),IFERROR((L9-INDEX(Estadística!$I$6:$I$25,MATCH(B9,Estadística!$A$6:$A$25,0)))^2,""),"")</f>
        <v>0.00031228433775471</v>
      </c>
      <c r="V9" s="19" t="n">
        <f aca="false">IF(ISNUMBER(P9),IF(P9&gt;1,1,0),"")</f>
        <v>1</v>
      </c>
    </row>
    <row r="10" customFormat="false" ht="15" hidden="false" customHeight="false" outlineLevel="0" collapsed="false">
      <c r="A10" s="18" t="n">
        <v>5</v>
      </c>
      <c r="B10" s="18" t="s">
        <v>142</v>
      </c>
      <c r="C10" s="22" t="n">
        <v>46270</v>
      </c>
      <c r="D10" s="18" t="s">
        <v>202</v>
      </c>
      <c r="E10" s="18" t="s">
        <v>197</v>
      </c>
      <c r="F10" s="18" t="n">
        <v>1.7</v>
      </c>
      <c r="G10" s="18" t="n">
        <v>480</v>
      </c>
      <c r="H10" s="20" t="n">
        <f aca="false">IF(OR(F10="",G10=""),"",F10*G10/1000)</f>
        <v>0.816</v>
      </c>
      <c r="I10" s="23" t="n">
        <v>0.04488</v>
      </c>
      <c r="J10" s="23"/>
      <c r="K10" s="18"/>
      <c r="L10" s="21" t="n">
        <f aca="false">IF(B10="","",IF(J10&lt;&gt;"",J10,IF(AND(N(I10)&gt;0,N(H10)&gt;0),I10/H10,"")))</f>
        <v>0.055</v>
      </c>
      <c r="M10" s="19" t="str">
        <f aca="false">IF(B10="","",IFERROR(INDEX(GES!$E$6:$E$25,MATCH(B10,GES!$A$6:$A$25,0)),"GES?"))</f>
        <v>SIL-Q</v>
      </c>
      <c r="N10" s="21" t="str">
        <f aca="false">IF(AND(ISNUMBER(L10),ISNUMBER(K10),LEFT(M10,3)="CAR"),L10*K10/100,"")</f>
        <v/>
      </c>
      <c r="O10" s="21" t="n">
        <f aca="false">IF(B10="","",IFERROR(INDEX(GES!$U$6:$U$25,MATCH(B10,GES!$A$6:$A$25,0)),""))</f>
        <v>0.01953125</v>
      </c>
      <c r="P10" s="24" t="n">
        <f aca="false">IF(AND(ISNUMBER(L10),ISNUMBER(O10)),L10/O10,"")</f>
        <v>2.816</v>
      </c>
      <c r="Q10" s="25" t="str">
        <f aca="false">IF(NOT(ISNUMBER(L10)),"",IFERROR(IF(INDEX(Estadística!$L$6:$L$25,MATCH(B10,Estadística!$A$6:$A$25,0))&gt;INDEX(Estadística!$T$6:$T$25,MATCH(B10,Estadística!$A$6:$A$25,0)),IF(OR(L10&lt;INDEX(Estadística!$I$6:$I$25,MATCH(B10,Estadística!$A$6:$A$25,0))/2,L10&gt;2*INDEX(Estadística!$I$6:$I$25,MATCH(B10,Estadística!$A$6:$A$25,0))),"Fuera de ½MA–2MA: revisar","Dentro de ½MA–2MA"),"—"),""))</f>
        <v>—</v>
      </c>
      <c r="R10" s="18"/>
      <c r="S10" s="19" t="n">
        <f aca="false">IF(ISNUMBER(L10),IF(L10&gt;0,LN(L10),""),"")</f>
        <v>-2.90042209374967</v>
      </c>
      <c r="T10" s="19" t="n">
        <f aca="false">IF(ISNUMBER(S10),IFERROR((S10-LN(INDEX(Estadística!$K$6:$K$25,MATCH(B10,Estadística!$A$6:$A$25,0))))^2,""),"")</f>
        <v>0.00268304588284265</v>
      </c>
      <c r="U10" s="19" t="n">
        <f aca="false">IF(ISNUMBER(L10),IFERROR((L10-INDEX(Estadística!$I$6:$I$25,MATCH(B10,Estadística!$A$6:$A$25,0)))^2,""),"")</f>
        <v>2.77777777777777E-006</v>
      </c>
      <c r="V10" s="19" t="n">
        <f aca="false">IF(ISNUMBER(P10),IF(P10&gt;1,1,0),"")</f>
        <v>1</v>
      </c>
    </row>
    <row r="11" customFormat="false" ht="15" hidden="false" customHeight="false" outlineLevel="0" collapsed="false">
      <c r="A11" s="18" t="n">
        <v>6</v>
      </c>
      <c r="B11" s="18" t="s">
        <v>142</v>
      </c>
      <c r="C11" s="22" t="n">
        <v>46271</v>
      </c>
      <c r="D11" s="18" t="s">
        <v>203</v>
      </c>
      <c r="E11" s="18" t="s">
        <v>197</v>
      </c>
      <c r="F11" s="18" t="n">
        <v>1.7</v>
      </c>
      <c r="G11" s="18" t="n">
        <v>480</v>
      </c>
      <c r="H11" s="20" t="n">
        <f aca="false">IF(OR(F11="",G11=""),"",F11*G11/1000)</f>
        <v>0.816</v>
      </c>
      <c r="I11" s="23" t="n">
        <v>0.03998</v>
      </c>
      <c r="J11" s="23"/>
      <c r="K11" s="18"/>
      <c r="L11" s="21" t="n">
        <f aca="false">IF(B11="","",IF(J11&lt;&gt;"",J11,IF(AND(N(I11)&gt;0,N(H11)&gt;0),I11/H11,"")))</f>
        <v>0.0489950980392157</v>
      </c>
      <c r="M11" s="19" t="str">
        <f aca="false">IF(B11="","",IFERROR(INDEX(GES!$E$6:$E$25,MATCH(B11,GES!$A$6:$A$25,0)),"GES?"))</f>
        <v>SIL-Q</v>
      </c>
      <c r="N11" s="21" t="str">
        <f aca="false">IF(AND(ISNUMBER(L11),ISNUMBER(K11),LEFT(M11,3)="CAR"),L11*K11/100,"")</f>
        <v/>
      </c>
      <c r="O11" s="21" t="n">
        <f aca="false">IF(B11="","",IFERROR(INDEX(GES!$U$6:$U$25,MATCH(B11,GES!$A$6:$A$25,0)),""))</f>
        <v>0.01953125</v>
      </c>
      <c r="P11" s="24" t="n">
        <f aca="false">IF(AND(ISNUMBER(L11),ISNUMBER(O11)),L11/O11,"")</f>
        <v>2.50854901960784</v>
      </c>
      <c r="Q11" s="25" t="str">
        <f aca="false">IF(NOT(ISNUMBER(L11)),"",IFERROR(IF(INDEX(Estadística!$L$6:$L$25,MATCH(B11,Estadística!$A$6:$A$25,0))&gt;INDEX(Estadística!$T$6:$T$25,MATCH(B11,Estadística!$A$6:$A$25,0)),IF(OR(L11&lt;INDEX(Estadística!$I$6:$I$25,MATCH(B11,Estadística!$A$6:$A$25,0))/2,L11&gt;2*INDEX(Estadística!$I$6:$I$25,MATCH(B11,Estadística!$A$6:$A$25,0))),"Fuera de ½MA–2MA: revisar","Dentro de ½MA–2MA"),"—"),""))</f>
        <v>—</v>
      </c>
      <c r="R11" s="18"/>
      <c r="S11" s="19" t="n">
        <f aca="false">IF(ISNUMBER(L11),IF(L11&gt;0,LN(L11),""),"")</f>
        <v>-3.01603502589185</v>
      </c>
      <c r="T11" s="19" t="n">
        <f aca="false">IF(ISNUMBER(S11),IFERROR((S11-LN(INDEX(Estadística!$K$6:$K$25,MATCH(B11,Estadística!$A$6:$A$25,0))))^2,""),"")</f>
        <v>0.00407232945126478</v>
      </c>
      <c r="U11" s="19" t="n">
        <f aca="false">IF(ISNUMBER(L11),IFERROR((L11-INDEX(Estadística!$I$6:$I$25,MATCH(B11,Estadística!$A$6:$A$25,0)))^2,""),"")</f>
        <v>1.88202854671281E-005</v>
      </c>
      <c r="V11" s="19" t="n">
        <f aca="false">IF(ISNUMBER(P11),IF(P11&gt;1,1,0),"")</f>
        <v>1</v>
      </c>
    </row>
    <row r="12" customFormat="false" ht="15" hidden="false" customHeight="false" outlineLevel="0" collapsed="false">
      <c r="A12" s="18" t="n">
        <v>7</v>
      </c>
      <c r="B12" s="18" t="s">
        <v>148</v>
      </c>
      <c r="C12" s="22" t="n">
        <v>46272</v>
      </c>
      <c r="D12" s="18" t="s">
        <v>204</v>
      </c>
      <c r="E12" s="18" t="s">
        <v>197</v>
      </c>
      <c r="F12" s="18" t="n">
        <v>1.7</v>
      </c>
      <c r="G12" s="18" t="n">
        <v>480</v>
      </c>
      <c r="H12" s="20" t="n">
        <f aca="false">IF(OR(F12="",G12=""),"",F12*G12/1000)</f>
        <v>0.816</v>
      </c>
      <c r="I12" s="23"/>
      <c r="J12" s="23" t="n">
        <v>0.009</v>
      </c>
      <c r="K12" s="18"/>
      <c r="L12" s="21" t="n">
        <f aca="false">IF(B12="","",IF(J12&lt;&gt;"",J12,IF(AND(N(I12)&gt;0,N(H12)&gt;0),I12/H12,"")))</f>
        <v>0.009</v>
      </c>
      <c r="M12" s="19" t="str">
        <f aca="false">IF(B12="","",IFERROR(INDEX(GES!$E$6:$E$25,MATCH(B12,GES!$A$6:$A$25,0)),"GES?"))</f>
        <v>SIL-Q</v>
      </c>
      <c r="N12" s="21" t="str">
        <f aca="false">IF(AND(ISNUMBER(L12),ISNUMBER(K12),LEFT(M12,3)="CAR"),L12*K12/100,"")</f>
        <v/>
      </c>
      <c r="O12" s="21" t="n">
        <f aca="false">IF(B12="","",IFERROR(INDEX(GES!$U$6:$U$25,MATCH(B12,GES!$A$6:$A$25,0)),""))</f>
        <v>0.01953125</v>
      </c>
      <c r="P12" s="24" t="n">
        <f aca="false">IF(AND(ISNUMBER(L12),ISNUMBER(O12)),L12/O12,"")</f>
        <v>0.4608</v>
      </c>
      <c r="Q12" s="25" t="str">
        <f aca="false">IF(NOT(ISNUMBER(L12)),"",IFERROR(IF(INDEX(Estadística!$L$6:$L$25,MATCH(B12,Estadística!$A$6:$A$25,0))&gt;INDEX(Estadística!$T$6:$T$25,MATCH(B12,Estadística!$A$6:$A$25,0)),IF(OR(L12&lt;INDEX(Estadística!$I$6:$I$25,MATCH(B12,Estadística!$A$6:$A$25,0))/2,L12&gt;2*INDEX(Estadística!$I$6:$I$25,MATCH(B12,Estadística!$A$6:$A$25,0))),"Fuera de ½MA–2MA: revisar","Dentro de ½MA–2MA"),"—"),""))</f>
        <v>—</v>
      </c>
      <c r="R12" s="18"/>
      <c r="S12" s="19" t="n">
        <f aca="false">IF(ISNUMBER(L12),IF(L12&gt;0,LN(L12),""),"")</f>
        <v>-4.71053070164592</v>
      </c>
      <c r="T12" s="19" t="n">
        <f aca="false">IF(ISNUMBER(S12),IFERROR((S12-LN(INDEX(Estadística!$K$6:$K$25,MATCH(B12,Estadística!$A$6:$A$25,0))))^2,""),"")</f>
        <v>0.0197709390649538</v>
      </c>
      <c r="U12" s="19" t="n">
        <f aca="false">IF(ISNUMBER(L12),IFERROR((L12-INDEX(Estadística!$I$6:$I$25,MATCH(B12,Estadística!$A$6:$A$25,0)))^2,""),"")</f>
        <v>2.25E-006</v>
      </c>
      <c r="V12" s="19" t="n">
        <f aca="false">IF(ISNUMBER(P12),IF(P12&gt;1,1,0),"")</f>
        <v>0</v>
      </c>
    </row>
    <row r="13" customFormat="false" ht="15" hidden="false" customHeight="false" outlineLevel="0" collapsed="false">
      <c r="A13" s="18" t="n">
        <v>8</v>
      </c>
      <c r="B13" s="18" t="s">
        <v>148</v>
      </c>
      <c r="C13" s="22" t="n">
        <v>46273</v>
      </c>
      <c r="D13" s="18" t="s">
        <v>205</v>
      </c>
      <c r="E13" s="18" t="s">
        <v>197</v>
      </c>
      <c r="F13" s="18" t="n">
        <v>1.7</v>
      </c>
      <c r="G13" s="18" t="n">
        <v>480</v>
      </c>
      <c r="H13" s="20" t="n">
        <f aca="false">IF(OR(F13="",G13=""),"",F13*G13/1000)</f>
        <v>0.816</v>
      </c>
      <c r="I13" s="23"/>
      <c r="J13" s="23" t="n">
        <v>0.012</v>
      </c>
      <c r="K13" s="18"/>
      <c r="L13" s="21" t="n">
        <f aca="false">IF(B13="","",IF(J13&lt;&gt;"",J13,IF(AND(N(I13)&gt;0,N(H13)&gt;0),I13/H13,"")))</f>
        <v>0.012</v>
      </c>
      <c r="M13" s="19" t="str">
        <f aca="false">IF(B13="","",IFERROR(INDEX(GES!$E$6:$E$25,MATCH(B13,GES!$A$6:$A$25,0)),"GES?"))</f>
        <v>SIL-Q</v>
      </c>
      <c r="N13" s="21" t="str">
        <f aca="false">IF(AND(ISNUMBER(L13),ISNUMBER(K13),LEFT(M13,3)="CAR"),L13*K13/100,"")</f>
        <v/>
      </c>
      <c r="O13" s="21" t="n">
        <f aca="false">IF(B13="","",IFERROR(INDEX(GES!$U$6:$U$25,MATCH(B13,GES!$A$6:$A$25,0)),""))</f>
        <v>0.01953125</v>
      </c>
      <c r="P13" s="24" t="n">
        <f aca="false">IF(AND(ISNUMBER(L13),ISNUMBER(O13)),L13/O13,"")</f>
        <v>0.6144</v>
      </c>
      <c r="Q13" s="25" t="str">
        <f aca="false">IF(NOT(ISNUMBER(L13)),"",IFERROR(IF(INDEX(Estadística!$L$6:$L$25,MATCH(B13,Estadística!$A$6:$A$25,0))&gt;INDEX(Estadística!$T$6:$T$25,MATCH(B13,Estadística!$A$6:$A$25,0)),IF(OR(L13&lt;INDEX(Estadística!$I$6:$I$25,MATCH(B13,Estadística!$A$6:$A$25,0))/2,L13&gt;2*INDEX(Estadística!$I$6:$I$25,MATCH(B13,Estadística!$A$6:$A$25,0))),"Fuera de ½MA–2MA: revisar","Dentro de ½MA–2MA"),"—"),""))</f>
        <v>—</v>
      </c>
      <c r="R13" s="18"/>
      <c r="S13" s="19" t="n">
        <f aca="false">IF(ISNUMBER(L13),IF(L13&gt;0,LN(L13),""),"")</f>
        <v>-4.42284862919414</v>
      </c>
      <c r="T13" s="19" t="n">
        <f aca="false">IF(ISNUMBER(S13),IFERROR((S13-LN(INDEX(Estadística!$K$6:$K$25,MATCH(B13,Estadística!$A$6:$A$25,0))))^2,""),"")</f>
        <v>0.0216304382414018</v>
      </c>
      <c r="U13" s="19" t="n">
        <f aca="false">IF(ISNUMBER(L13),IFERROR((L13-INDEX(Estadística!$I$6:$I$25,MATCH(B13,Estadística!$A$6:$A$25,0)))^2,""),"")</f>
        <v>2.25E-006</v>
      </c>
      <c r="V13" s="19" t="n">
        <f aca="false">IF(ISNUMBER(P13),IF(P13&gt;1,1,0),"")</f>
        <v>0</v>
      </c>
    </row>
    <row r="14" customFormat="false" ht="15" hidden="false" customHeight="false" outlineLevel="0" collapsed="false">
      <c r="A14" s="18" t="n">
        <v>9</v>
      </c>
      <c r="B14" s="18" t="s">
        <v>148</v>
      </c>
      <c r="C14" s="22" t="n">
        <v>46274</v>
      </c>
      <c r="D14" s="18" t="s">
        <v>206</v>
      </c>
      <c r="E14" s="18" t="s">
        <v>197</v>
      </c>
      <c r="F14" s="18" t="n">
        <v>1.7</v>
      </c>
      <c r="G14" s="18" t="n">
        <v>480</v>
      </c>
      <c r="H14" s="20" t="n">
        <f aca="false">IF(OR(F14="",G14=""),"",F14*G14/1000)</f>
        <v>0.816</v>
      </c>
      <c r="I14" s="23"/>
      <c r="J14" s="23" t="n">
        <v>0.008</v>
      </c>
      <c r="K14" s="18"/>
      <c r="L14" s="21" t="n">
        <f aca="false">IF(B14="","",IF(J14&lt;&gt;"",J14,IF(AND(N(I14)&gt;0,N(H14)&gt;0),I14/H14,"")))</f>
        <v>0.008</v>
      </c>
      <c r="M14" s="19" t="str">
        <f aca="false">IF(B14="","",IFERROR(INDEX(GES!$E$6:$E$25,MATCH(B14,GES!$A$6:$A$25,0)),"GES?"))</f>
        <v>SIL-Q</v>
      </c>
      <c r="N14" s="21" t="str">
        <f aca="false">IF(AND(ISNUMBER(L14),ISNUMBER(K14),LEFT(M14,3)="CAR"),L14*K14/100,"")</f>
        <v/>
      </c>
      <c r="O14" s="21" t="n">
        <f aca="false">IF(B14="","",IFERROR(INDEX(GES!$U$6:$U$25,MATCH(B14,GES!$A$6:$A$25,0)),""))</f>
        <v>0.01953125</v>
      </c>
      <c r="P14" s="24" t="n">
        <f aca="false">IF(AND(ISNUMBER(L14),ISNUMBER(O14)),L14/O14,"")</f>
        <v>0.4096</v>
      </c>
      <c r="Q14" s="25" t="str">
        <f aca="false">IF(NOT(ISNUMBER(L14)),"",IFERROR(IF(INDEX(Estadística!$L$6:$L$25,MATCH(B14,Estadística!$A$6:$A$25,0))&gt;INDEX(Estadística!$T$6:$T$25,MATCH(B14,Estadística!$A$6:$A$25,0)),IF(OR(L14&lt;INDEX(Estadística!$I$6:$I$25,MATCH(B14,Estadística!$A$6:$A$25,0))/2,L14&gt;2*INDEX(Estadística!$I$6:$I$25,MATCH(B14,Estadística!$A$6:$A$25,0))),"Fuera de ½MA–2MA: revisar","Dentro de ½MA–2MA"),"—"),""))</f>
        <v>—</v>
      </c>
      <c r="R14" s="18"/>
      <c r="S14" s="19" t="n">
        <f aca="false">IF(ISNUMBER(L14),IF(L14&gt;0,LN(L14),""),"")</f>
        <v>-4.8283137373023</v>
      </c>
      <c r="T14" s="19" t="n">
        <f aca="false">IF(ISNUMBER(S14),IFERROR((S14-LN(INDEX(Estadística!$K$6:$K$25,MATCH(B14,Estadística!$A$6:$A$25,0))))^2,""),"")</f>
        <v>0.0667665326365215</v>
      </c>
      <c r="U14" s="19" t="n">
        <f aca="false">IF(ISNUMBER(L14),IFERROR((L14-INDEX(Estadística!$I$6:$I$25,MATCH(B14,Estadística!$A$6:$A$25,0)))^2,""),"")</f>
        <v>6.25E-006</v>
      </c>
      <c r="V14" s="19" t="n">
        <f aca="false">IF(ISNUMBER(P14),IF(P14&gt;1,1,0),"")</f>
        <v>0</v>
      </c>
    </row>
    <row r="15" customFormat="false" ht="15" hidden="false" customHeight="false" outlineLevel="0" collapsed="false">
      <c r="A15" s="18" t="n">
        <v>10</v>
      </c>
      <c r="B15" s="18" t="s">
        <v>148</v>
      </c>
      <c r="C15" s="22" t="n">
        <v>46275</v>
      </c>
      <c r="D15" s="18" t="s">
        <v>207</v>
      </c>
      <c r="E15" s="18" t="s">
        <v>197</v>
      </c>
      <c r="F15" s="18" t="n">
        <v>1.7</v>
      </c>
      <c r="G15" s="18" t="n">
        <v>480</v>
      </c>
      <c r="H15" s="20" t="n">
        <f aca="false">IF(OR(F15="",G15=""),"",F15*G15/1000)</f>
        <v>0.816</v>
      </c>
      <c r="I15" s="23"/>
      <c r="J15" s="23" t="n">
        <v>0.011</v>
      </c>
      <c r="K15" s="18"/>
      <c r="L15" s="21" t="n">
        <f aca="false">IF(B15="","",IF(J15&lt;&gt;"",J15,IF(AND(N(I15)&gt;0,N(H15)&gt;0),I15/H15,"")))</f>
        <v>0.011</v>
      </c>
      <c r="M15" s="19" t="str">
        <f aca="false">IF(B15="","",IFERROR(INDEX(GES!$E$6:$E$25,MATCH(B15,GES!$A$6:$A$25,0)),"GES?"))</f>
        <v>SIL-Q</v>
      </c>
      <c r="N15" s="21" t="str">
        <f aca="false">IF(AND(ISNUMBER(L15),ISNUMBER(K15),LEFT(M15,3)="CAR"),L15*K15/100,"")</f>
        <v/>
      </c>
      <c r="O15" s="21" t="n">
        <f aca="false">IF(B15="","",IFERROR(INDEX(GES!$U$6:$U$25,MATCH(B15,GES!$A$6:$A$25,0)),""))</f>
        <v>0.01953125</v>
      </c>
      <c r="P15" s="24" t="n">
        <f aca="false">IF(AND(ISNUMBER(L15),ISNUMBER(O15)),L15/O15,"")</f>
        <v>0.5632</v>
      </c>
      <c r="Q15" s="25" t="str">
        <f aca="false">IF(NOT(ISNUMBER(L15)),"",IFERROR(IF(INDEX(Estadística!$L$6:$L$25,MATCH(B15,Estadística!$A$6:$A$25,0))&gt;INDEX(Estadística!$T$6:$T$25,MATCH(B15,Estadística!$A$6:$A$25,0)),IF(OR(L15&lt;INDEX(Estadística!$I$6:$I$25,MATCH(B15,Estadística!$A$6:$A$25,0))/2,L15&gt;2*INDEX(Estadística!$I$6:$I$25,MATCH(B15,Estadística!$A$6:$A$25,0))),"Fuera de ½MA–2MA: revisar","Dentro de ½MA–2MA"),"—"),""))</f>
        <v>—</v>
      </c>
      <c r="R15" s="18"/>
      <c r="S15" s="19" t="n">
        <f aca="false">IF(ISNUMBER(L15),IF(L15&gt;0,LN(L15),""),"")</f>
        <v>-4.50986000618377</v>
      </c>
      <c r="T15" s="19" t="n">
        <f aca="false">IF(ISNUMBER(S15),IFERROR((S15-LN(INDEX(Estadística!$K$6:$K$25,MATCH(B15,Estadística!$A$6:$A$25,0))))^2,""),"")</f>
        <v>0.00360738667986198</v>
      </c>
      <c r="U15" s="19" t="n">
        <f aca="false">IF(ISNUMBER(L15),IFERROR((L15-INDEX(Estadística!$I$6:$I$25,MATCH(B15,Estadística!$A$6:$A$25,0)))^2,""),"")</f>
        <v>2.49999999999999E-007</v>
      </c>
      <c r="V15" s="19" t="n">
        <f aca="false">IF(ISNUMBER(P15),IF(P15&gt;1,1,0),"")</f>
        <v>0</v>
      </c>
    </row>
    <row r="16" customFormat="false" ht="15" hidden="false" customHeight="false" outlineLevel="0" collapsed="false">
      <c r="A16" s="18" t="n">
        <v>11</v>
      </c>
      <c r="B16" s="18" t="s">
        <v>148</v>
      </c>
      <c r="C16" s="22" t="n">
        <v>46276</v>
      </c>
      <c r="D16" s="18" t="s">
        <v>208</v>
      </c>
      <c r="E16" s="18" t="s">
        <v>197</v>
      </c>
      <c r="F16" s="18" t="n">
        <v>1.7</v>
      </c>
      <c r="G16" s="18" t="n">
        <v>480</v>
      </c>
      <c r="H16" s="20" t="n">
        <f aca="false">IF(OR(F16="",G16=""),"",F16*G16/1000)</f>
        <v>0.816</v>
      </c>
      <c r="I16" s="23"/>
      <c r="J16" s="23" t="n">
        <v>0.01</v>
      </c>
      <c r="K16" s="18"/>
      <c r="L16" s="21" t="n">
        <f aca="false">IF(B16="","",IF(J16&lt;&gt;"",J16,IF(AND(N(I16)&gt;0,N(H16)&gt;0),I16/H16,"")))</f>
        <v>0.01</v>
      </c>
      <c r="M16" s="19" t="str">
        <f aca="false">IF(B16="","",IFERROR(INDEX(GES!$E$6:$E$25,MATCH(B16,GES!$A$6:$A$25,0)),"GES?"))</f>
        <v>SIL-Q</v>
      </c>
      <c r="N16" s="21" t="str">
        <f aca="false">IF(AND(ISNUMBER(L16),ISNUMBER(K16),LEFT(M16,3)="CAR"),L16*K16/100,"")</f>
        <v/>
      </c>
      <c r="O16" s="21" t="n">
        <f aca="false">IF(B16="","",IFERROR(INDEX(GES!$U$6:$U$25,MATCH(B16,GES!$A$6:$A$25,0)),""))</f>
        <v>0.01953125</v>
      </c>
      <c r="P16" s="24" t="n">
        <f aca="false">IF(AND(ISNUMBER(L16),ISNUMBER(O16)),L16/O16,"")</f>
        <v>0.512</v>
      </c>
      <c r="Q16" s="25" t="str">
        <f aca="false">IF(NOT(ISNUMBER(L16)),"",IFERROR(IF(INDEX(Estadística!$L$6:$L$25,MATCH(B16,Estadística!$A$6:$A$25,0))&gt;INDEX(Estadística!$T$6:$T$25,MATCH(B16,Estadística!$A$6:$A$25,0)),IF(OR(L16&lt;INDEX(Estadística!$I$6:$I$25,MATCH(B16,Estadística!$A$6:$A$25,0))/2,L16&gt;2*INDEX(Estadística!$I$6:$I$25,MATCH(B16,Estadística!$A$6:$A$25,0))),"Fuera de ½MA–2MA: revisar","Dentro de ½MA–2MA"),"—"),""))</f>
        <v>—</v>
      </c>
      <c r="R16" s="18"/>
      <c r="S16" s="19" t="n">
        <f aca="false">IF(ISNUMBER(L16),IF(L16&gt;0,LN(L16),""),"")</f>
        <v>-4.60517018598809</v>
      </c>
      <c r="T16" s="19" t="n">
        <f aca="false">IF(ISNUMBER(S16),IFERROR((S16-LN(INDEX(Estadística!$K$6:$K$25,MATCH(B16,Estadística!$A$6:$A$25,0))))^2,""),"")</f>
        <v>0.00124246772740851</v>
      </c>
      <c r="U16" s="19" t="n">
        <f aca="false">IF(ISNUMBER(L16),IFERROR((L16-INDEX(Estadística!$I$6:$I$25,MATCH(B16,Estadística!$A$6:$A$25,0)))^2,""),"")</f>
        <v>2.5E-007</v>
      </c>
      <c r="V16" s="19" t="n">
        <f aca="false">IF(ISNUMBER(P16),IF(P16&gt;1,1,0),"")</f>
        <v>0</v>
      </c>
    </row>
    <row r="17" customFormat="false" ht="15" hidden="false" customHeight="false" outlineLevel="0" collapsed="false">
      <c r="A17" s="18" t="n">
        <v>12</v>
      </c>
      <c r="B17" s="18" t="s">
        <v>148</v>
      </c>
      <c r="C17" s="22" t="n">
        <v>46277</v>
      </c>
      <c r="D17" s="18" t="s">
        <v>209</v>
      </c>
      <c r="E17" s="18" t="s">
        <v>197</v>
      </c>
      <c r="F17" s="18" t="n">
        <v>1.7</v>
      </c>
      <c r="G17" s="18" t="n">
        <v>480</v>
      </c>
      <c r="H17" s="20" t="n">
        <f aca="false">IF(OR(F17="",G17=""),"",F17*G17/1000)</f>
        <v>0.816</v>
      </c>
      <c r="I17" s="23"/>
      <c r="J17" s="23" t="n">
        <v>0.013</v>
      </c>
      <c r="K17" s="18"/>
      <c r="L17" s="21" t="n">
        <f aca="false">IF(B17="","",IF(J17&lt;&gt;"",J17,IF(AND(N(I17)&gt;0,N(H17)&gt;0),I17/H17,"")))</f>
        <v>0.013</v>
      </c>
      <c r="M17" s="19" t="str">
        <f aca="false">IF(B17="","",IFERROR(INDEX(GES!$E$6:$E$25,MATCH(B17,GES!$A$6:$A$25,0)),"GES?"))</f>
        <v>SIL-Q</v>
      </c>
      <c r="N17" s="21" t="str">
        <f aca="false">IF(AND(ISNUMBER(L17),ISNUMBER(K17),LEFT(M17,3)="CAR"),L17*K17/100,"")</f>
        <v/>
      </c>
      <c r="O17" s="21" t="n">
        <f aca="false">IF(B17="","",IFERROR(INDEX(GES!$U$6:$U$25,MATCH(B17,GES!$A$6:$A$25,0)),""))</f>
        <v>0.01953125</v>
      </c>
      <c r="P17" s="24" t="n">
        <f aca="false">IF(AND(ISNUMBER(L17),ISNUMBER(O17)),L17/O17,"")</f>
        <v>0.6656</v>
      </c>
      <c r="Q17" s="25" t="str">
        <f aca="false">IF(NOT(ISNUMBER(L17)),"",IFERROR(IF(INDEX(Estadística!$L$6:$L$25,MATCH(B17,Estadística!$A$6:$A$25,0))&gt;INDEX(Estadística!$T$6:$T$25,MATCH(B17,Estadística!$A$6:$A$25,0)),IF(OR(L17&lt;INDEX(Estadística!$I$6:$I$25,MATCH(B17,Estadística!$A$6:$A$25,0))/2,L17&gt;2*INDEX(Estadística!$I$6:$I$25,MATCH(B17,Estadística!$A$6:$A$25,0))),"Fuera de ½MA–2MA: revisar","Dentro de ½MA–2MA"),"—"),""))</f>
        <v>—</v>
      </c>
      <c r="R17" s="18"/>
      <c r="S17" s="19" t="n">
        <f aca="false">IF(ISNUMBER(L17),IF(L17&gt;0,LN(L17),""),"")</f>
        <v>-4.3428059215206</v>
      </c>
      <c r="T17" s="19" t="n">
        <f aca="false">IF(ISNUMBER(S17),IFERROR((S17-LN(INDEX(Estadística!$K$6:$K$25,MATCH(B17,Estadística!$A$6:$A$25,0))))^2,""),"")</f>
        <v>0.051581499753873</v>
      </c>
      <c r="U17" s="19" t="n">
        <f aca="false">IF(ISNUMBER(L17),IFERROR((L17-INDEX(Estadística!$I$6:$I$25,MATCH(B17,Estadística!$A$6:$A$25,0)))^2,""),"")</f>
        <v>6.24999999999999E-006</v>
      </c>
      <c r="V17" s="19" t="n">
        <f aca="false">IF(ISNUMBER(P17),IF(P17&gt;1,1,0),"")</f>
        <v>0</v>
      </c>
    </row>
    <row r="18" customFormat="false" ht="15" hidden="false" customHeight="false" outlineLevel="0" collapsed="false">
      <c r="A18" s="18" t="n">
        <v>13</v>
      </c>
      <c r="B18" s="18" t="s">
        <v>154</v>
      </c>
      <c r="C18" s="22" t="n">
        <v>46266</v>
      </c>
      <c r="D18" s="18" t="s">
        <v>210</v>
      </c>
      <c r="E18" s="18" t="s">
        <v>197</v>
      </c>
      <c r="F18" s="18" t="n">
        <v>1.7</v>
      </c>
      <c r="G18" s="18" t="n">
        <v>480</v>
      </c>
      <c r="H18" s="20" t="n">
        <f aca="false">IF(OR(F18="",G18=""),"",F18*G18/1000)</f>
        <v>0.816</v>
      </c>
      <c r="I18" s="23"/>
      <c r="J18" s="23" t="n">
        <v>0.018</v>
      </c>
      <c r="K18" s="18"/>
      <c r="L18" s="21" t="n">
        <f aca="false">IF(B18="","",IF(J18&lt;&gt;"",J18,IF(AND(N(I18)&gt;0,N(H18)&gt;0),I18/H18,"")))</f>
        <v>0.018</v>
      </c>
      <c r="M18" s="19" t="str">
        <f aca="false">IF(B18="","",IFERROR(INDEX(GES!$E$6:$E$25,MATCH(B18,GES!$A$6:$A$25,0)),"GES?"))</f>
        <v>SIL-Q</v>
      </c>
      <c r="N18" s="21" t="str">
        <f aca="false">IF(AND(ISNUMBER(L18),ISNUMBER(K18),LEFT(M18,3)="CAR"),L18*K18/100,"")</f>
        <v/>
      </c>
      <c r="O18" s="21" t="n">
        <f aca="false">IF(B18="","",IFERROR(INDEX(GES!$U$6:$U$25,MATCH(B18,GES!$A$6:$A$25,0)),""))</f>
        <v>0.0220170454545455</v>
      </c>
      <c r="P18" s="24" t="n">
        <f aca="false">IF(AND(ISNUMBER(L18),ISNUMBER(O18)),L18/O18,"")</f>
        <v>0.817548387096774</v>
      </c>
      <c r="Q18" s="25" t="str">
        <f aca="false">IF(NOT(ISNUMBER(L18)),"",IFERROR(IF(INDEX(Estadística!$L$6:$L$25,MATCH(B18,Estadística!$A$6:$A$25,0))&gt;INDEX(Estadística!$T$6:$T$25,MATCH(B18,Estadística!$A$6:$A$25,0)),IF(OR(L18&lt;INDEX(Estadística!$I$6:$I$25,MATCH(B18,Estadística!$A$6:$A$25,0))/2,L18&gt;2*INDEX(Estadística!$I$6:$I$25,MATCH(B18,Estadística!$A$6:$A$25,0))),"Fuera de ½MA–2MA: revisar","Dentro de ½MA–2MA"),"—"),""))</f>
        <v>—</v>
      </c>
      <c r="R18" s="18" t="s">
        <v>211</v>
      </c>
      <c r="S18" s="19" t="n">
        <f aca="false">IF(ISNUMBER(L18),IF(L18&gt;0,LN(L18),""),"")</f>
        <v>-4.01738352108597</v>
      </c>
      <c r="T18" s="19" t="n">
        <f aca="false">IF(ISNUMBER(S18),IFERROR((S18-LN(INDEX(Estadística!$K$6:$K$25,MATCH(B18,Estadística!$A$6:$A$25,0))))^2,""),"")</f>
        <v>0.00415540350778782</v>
      </c>
      <c r="U18" s="19" t="n">
        <f aca="false">IF(ISNUMBER(L18),IFERROR((L18-INDEX(Estadística!$I$6:$I$25,MATCH(B18,Estadística!$A$6:$A$25,0)))^2,""),"")</f>
        <v>1.96000000000001E-006</v>
      </c>
      <c r="V18" s="19" t="n">
        <f aca="false">IF(ISNUMBER(P18),IF(P18&gt;1,1,0),"")</f>
        <v>0</v>
      </c>
    </row>
    <row r="19" customFormat="false" ht="15" hidden="false" customHeight="false" outlineLevel="0" collapsed="false">
      <c r="A19" s="18" t="n">
        <v>14</v>
      </c>
      <c r="B19" s="18" t="s">
        <v>154</v>
      </c>
      <c r="C19" s="22" t="n">
        <v>46267</v>
      </c>
      <c r="D19" s="18" t="s">
        <v>212</v>
      </c>
      <c r="E19" s="18" t="s">
        <v>197</v>
      </c>
      <c r="F19" s="18" t="n">
        <v>1.7</v>
      </c>
      <c r="G19" s="18" t="n">
        <v>480</v>
      </c>
      <c r="H19" s="20" t="n">
        <f aca="false">IF(OR(F19="",G19=""),"",F19*G19/1000)</f>
        <v>0.816</v>
      </c>
      <c r="I19" s="23"/>
      <c r="J19" s="23" t="n">
        <v>0.02</v>
      </c>
      <c r="K19" s="18"/>
      <c r="L19" s="21" t="n">
        <f aca="false">IF(B19="","",IF(J19&lt;&gt;"",J19,IF(AND(N(I19)&gt;0,N(H19)&gt;0),I19/H19,"")))</f>
        <v>0.02</v>
      </c>
      <c r="M19" s="19" t="str">
        <f aca="false">IF(B19="","",IFERROR(INDEX(GES!$E$6:$E$25,MATCH(B19,GES!$A$6:$A$25,0)),"GES?"))</f>
        <v>SIL-Q</v>
      </c>
      <c r="N19" s="21" t="str">
        <f aca="false">IF(AND(ISNUMBER(L19),ISNUMBER(K19),LEFT(M19,3)="CAR"),L19*K19/100,"")</f>
        <v/>
      </c>
      <c r="O19" s="21" t="n">
        <f aca="false">IF(B19="","",IFERROR(INDEX(GES!$U$6:$U$25,MATCH(B19,GES!$A$6:$A$25,0)),""))</f>
        <v>0.0220170454545455</v>
      </c>
      <c r="P19" s="24" t="n">
        <f aca="false">IF(AND(ISNUMBER(L19),ISNUMBER(O19)),L19/O19,"")</f>
        <v>0.908387096774194</v>
      </c>
      <c r="Q19" s="25" t="str">
        <f aca="false">IF(NOT(ISNUMBER(L19)),"",IFERROR(IF(INDEX(Estadística!$L$6:$L$25,MATCH(B19,Estadística!$A$6:$A$25,0))&gt;INDEX(Estadística!$T$6:$T$25,MATCH(B19,Estadística!$A$6:$A$25,0)),IF(OR(L19&lt;INDEX(Estadística!$I$6:$I$25,MATCH(B19,Estadística!$A$6:$A$25,0))/2,L19&gt;2*INDEX(Estadística!$I$6:$I$25,MATCH(B19,Estadística!$A$6:$A$25,0))),"Fuera de ½MA–2MA: revisar","Dentro de ½MA–2MA"),"—"),""))</f>
        <v>—</v>
      </c>
      <c r="R19" s="18"/>
      <c r="S19" s="19" t="n">
        <f aca="false">IF(ISNUMBER(L19),IF(L19&gt;0,LN(L19),""),"")</f>
        <v>-3.91202300542815</v>
      </c>
      <c r="T19" s="19" t="n">
        <f aca="false">IF(ISNUMBER(S19),IFERROR((S19-LN(INDEX(Estadística!$K$6:$K$25,MATCH(B19,Estadística!$A$6:$A$25,0))))^2,""),"")</f>
        <v>0.00167265428202769</v>
      </c>
      <c r="U19" s="19" t="n">
        <f aca="false">IF(ISNUMBER(L19),IFERROR((L19-INDEX(Estadística!$I$6:$I$25,MATCH(B19,Estadística!$A$6:$A$25,0)))^2,""),"")</f>
        <v>3.6E-007</v>
      </c>
      <c r="V19" s="19" t="n">
        <f aca="false">IF(ISNUMBER(P19),IF(P19&gt;1,1,0),"")</f>
        <v>0</v>
      </c>
    </row>
    <row r="20" customFormat="false" ht="15" hidden="false" customHeight="false" outlineLevel="0" collapsed="false">
      <c r="A20" s="18" t="n">
        <v>15</v>
      </c>
      <c r="B20" s="18" t="s">
        <v>154</v>
      </c>
      <c r="C20" s="22" t="n">
        <v>46268</v>
      </c>
      <c r="D20" s="18" t="s">
        <v>213</v>
      </c>
      <c r="E20" s="18" t="s">
        <v>197</v>
      </c>
      <c r="F20" s="18" t="n">
        <v>1.7</v>
      </c>
      <c r="G20" s="18" t="n">
        <v>480</v>
      </c>
      <c r="H20" s="20" t="n">
        <f aca="false">IF(OR(F20="",G20=""),"",F20*G20/1000)</f>
        <v>0.816</v>
      </c>
      <c r="I20" s="23"/>
      <c r="J20" s="23" t="n">
        <v>0.023</v>
      </c>
      <c r="K20" s="18"/>
      <c r="L20" s="21" t="n">
        <f aca="false">IF(B20="","",IF(J20&lt;&gt;"",J20,IF(AND(N(I20)&gt;0,N(H20)&gt;0),I20/H20,"")))</f>
        <v>0.023</v>
      </c>
      <c r="M20" s="19" t="str">
        <f aca="false">IF(B20="","",IFERROR(INDEX(GES!$E$6:$E$25,MATCH(B20,GES!$A$6:$A$25,0)),"GES?"))</f>
        <v>SIL-Q</v>
      </c>
      <c r="N20" s="21" t="str">
        <f aca="false">IF(AND(ISNUMBER(L20),ISNUMBER(K20),LEFT(M20,3)="CAR"),L20*K20/100,"")</f>
        <v/>
      </c>
      <c r="O20" s="21" t="n">
        <f aca="false">IF(B20="","",IFERROR(INDEX(GES!$U$6:$U$25,MATCH(B20,GES!$A$6:$A$25,0)),""))</f>
        <v>0.0220170454545455</v>
      </c>
      <c r="P20" s="24" t="n">
        <f aca="false">IF(AND(ISNUMBER(L20),ISNUMBER(O20)),L20/O20,"")</f>
        <v>1.04464516129032</v>
      </c>
      <c r="Q20" s="25" t="str">
        <f aca="false">IF(NOT(ISNUMBER(L20)),"",IFERROR(IF(INDEX(Estadística!$L$6:$L$25,MATCH(B20,Estadística!$A$6:$A$25,0))&gt;INDEX(Estadística!$T$6:$T$25,MATCH(B20,Estadística!$A$6:$A$25,0)),IF(OR(L20&lt;INDEX(Estadística!$I$6:$I$25,MATCH(B20,Estadística!$A$6:$A$25,0))/2,L20&gt;2*INDEX(Estadística!$I$6:$I$25,MATCH(B20,Estadística!$A$6:$A$25,0))),"Fuera de ½MA–2MA: revisar","Dentro de ½MA–2MA"),"—"),""))</f>
        <v>—</v>
      </c>
      <c r="R20" s="18"/>
      <c r="S20" s="19" t="n">
        <f aca="false">IF(ISNUMBER(L20),IF(L20&gt;0,LN(L20),""),"")</f>
        <v>-3.77226106305299</v>
      </c>
      <c r="T20" s="19" t="n">
        <f aca="false">IF(ISNUMBER(S20),IFERROR((S20-LN(INDEX(Estadística!$K$6:$K$25,MATCH(B20,Estadística!$A$6:$A$25,0))))^2,""),"")</f>
        <v>0.032638049578808</v>
      </c>
      <c r="U20" s="19" t="n">
        <f aca="false">IF(ISNUMBER(L20),IFERROR((L20-INDEX(Estadística!$I$6:$I$25,MATCH(B20,Estadística!$A$6:$A$25,0)))^2,""),"")</f>
        <v>1.296E-005</v>
      </c>
      <c r="V20" s="19" t="n">
        <f aca="false">IF(ISNUMBER(P20),IF(P20&gt;1,1,0),"")</f>
        <v>1</v>
      </c>
    </row>
    <row r="21" customFormat="false" ht="15" hidden="false" customHeight="false" outlineLevel="0" collapsed="false">
      <c r="A21" s="18" t="n">
        <v>16</v>
      </c>
      <c r="B21" s="18" t="s">
        <v>154</v>
      </c>
      <c r="C21" s="22" t="n">
        <v>46269</v>
      </c>
      <c r="D21" s="18" t="s">
        <v>214</v>
      </c>
      <c r="E21" s="18" t="s">
        <v>197</v>
      </c>
      <c r="F21" s="18" t="n">
        <v>1.7</v>
      </c>
      <c r="G21" s="18" t="n">
        <v>480</v>
      </c>
      <c r="H21" s="20" t="n">
        <f aca="false">IF(OR(F21="",G21=""),"",F21*G21/1000)</f>
        <v>0.816</v>
      </c>
      <c r="I21" s="23"/>
      <c r="J21" s="23" t="n">
        <v>0.015</v>
      </c>
      <c r="K21" s="18"/>
      <c r="L21" s="21" t="n">
        <f aca="false">IF(B21="","",IF(J21&lt;&gt;"",J21,IF(AND(N(I21)&gt;0,N(H21)&gt;0),I21/H21,"")))</f>
        <v>0.015</v>
      </c>
      <c r="M21" s="19" t="str">
        <f aca="false">IF(B21="","",IFERROR(INDEX(GES!$E$6:$E$25,MATCH(B21,GES!$A$6:$A$25,0)),"GES?"))</f>
        <v>SIL-Q</v>
      </c>
      <c r="N21" s="21" t="str">
        <f aca="false">IF(AND(ISNUMBER(L21),ISNUMBER(K21),LEFT(M21,3)="CAR"),L21*K21/100,"")</f>
        <v/>
      </c>
      <c r="O21" s="21" t="n">
        <f aca="false">IF(B21="","",IFERROR(INDEX(GES!$U$6:$U$25,MATCH(B21,GES!$A$6:$A$25,0)),""))</f>
        <v>0.0220170454545455</v>
      </c>
      <c r="P21" s="24" t="n">
        <f aca="false">IF(AND(ISNUMBER(L21),ISNUMBER(O21)),L21/O21,"")</f>
        <v>0.681290322580645</v>
      </c>
      <c r="Q21" s="25" t="str">
        <f aca="false">IF(NOT(ISNUMBER(L21)),"",IFERROR(IF(INDEX(Estadística!$L$6:$L$25,MATCH(B21,Estadística!$A$6:$A$25,0))&gt;INDEX(Estadística!$T$6:$T$25,MATCH(B21,Estadística!$A$6:$A$25,0)),IF(OR(L21&lt;INDEX(Estadística!$I$6:$I$25,MATCH(B21,Estadística!$A$6:$A$25,0))/2,L21&gt;2*INDEX(Estadística!$I$6:$I$25,MATCH(B21,Estadística!$A$6:$A$25,0))),"Fuera de ½MA–2MA: revisar","Dentro de ½MA–2MA"),"—"),""))</f>
        <v>—</v>
      </c>
      <c r="R21" s="18"/>
      <c r="S21" s="19" t="n">
        <f aca="false">IF(ISNUMBER(L21),IF(L21&gt;0,LN(L21),""),"")</f>
        <v>-4.19970507787993</v>
      </c>
      <c r="T21" s="19" t="n">
        <f aca="false">IF(ISNUMBER(S21),IFERROR((S21-LN(INDEX(Estadística!$K$6:$K$25,MATCH(B21,Estadística!$A$6:$A$25,0))))^2,""),"")</f>
        <v>0.060902330878865</v>
      </c>
      <c r="U21" s="19" t="n">
        <f aca="false">IF(ISNUMBER(L21),IFERROR((L21-INDEX(Estadística!$I$6:$I$25,MATCH(B21,Estadística!$A$6:$A$25,0)))^2,""),"")</f>
        <v>1.936E-005</v>
      </c>
      <c r="V21" s="19" t="n">
        <f aca="false">IF(ISNUMBER(P21),IF(P21&gt;1,1,0),"")</f>
        <v>0</v>
      </c>
    </row>
    <row r="22" customFormat="false" ht="15" hidden="false" customHeight="false" outlineLevel="0" collapsed="false">
      <c r="A22" s="18" t="n">
        <v>17</v>
      </c>
      <c r="B22" s="18" t="s">
        <v>154</v>
      </c>
      <c r="C22" s="22" t="n">
        <v>46270</v>
      </c>
      <c r="D22" s="18" t="s">
        <v>215</v>
      </c>
      <c r="E22" s="18" t="s">
        <v>197</v>
      </c>
      <c r="F22" s="18" t="n">
        <v>1.7</v>
      </c>
      <c r="G22" s="18" t="n">
        <v>480</v>
      </c>
      <c r="H22" s="20" t="n">
        <f aca="false">IF(OR(F22="",G22=""),"",F22*G22/1000)</f>
        <v>0.816</v>
      </c>
      <c r="I22" s="23"/>
      <c r="J22" s="23" t="n">
        <v>0.021</v>
      </c>
      <c r="K22" s="18"/>
      <c r="L22" s="21" t="n">
        <f aca="false">IF(B22="","",IF(J22&lt;&gt;"",J22,IF(AND(N(I22)&gt;0,N(H22)&gt;0),I22/H22,"")))</f>
        <v>0.021</v>
      </c>
      <c r="M22" s="19" t="str">
        <f aca="false">IF(B22="","",IFERROR(INDEX(GES!$E$6:$E$25,MATCH(B22,GES!$A$6:$A$25,0)),"GES?"))</f>
        <v>SIL-Q</v>
      </c>
      <c r="N22" s="21" t="str">
        <f aca="false">IF(AND(ISNUMBER(L22),ISNUMBER(K22),LEFT(M22,3)="CAR"),L22*K22/100,"")</f>
        <v/>
      </c>
      <c r="O22" s="21" t="n">
        <f aca="false">IF(B22="","",IFERROR(INDEX(GES!$U$6:$U$25,MATCH(B22,GES!$A$6:$A$25,0)),""))</f>
        <v>0.0220170454545455</v>
      </c>
      <c r="P22" s="24" t="n">
        <f aca="false">IF(AND(ISNUMBER(L22),ISNUMBER(O22)),L22/O22,"")</f>
        <v>0.953806451612903</v>
      </c>
      <c r="Q22" s="25" t="str">
        <f aca="false">IF(NOT(ISNUMBER(L22)),"",IFERROR(IF(INDEX(Estadística!$L$6:$L$25,MATCH(B22,Estadística!$A$6:$A$25,0))&gt;INDEX(Estadística!$T$6:$T$25,MATCH(B22,Estadística!$A$6:$A$25,0)),IF(OR(L22&lt;INDEX(Estadística!$I$6:$I$25,MATCH(B22,Estadística!$A$6:$A$25,0))/2,L22&gt;2*INDEX(Estadística!$I$6:$I$25,MATCH(B22,Estadística!$A$6:$A$25,0))),"Fuera de ½MA–2MA: revisar","Dentro de ½MA–2MA"),"—"),""))</f>
        <v>—</v>
      </c>
      <c r="R22" s="18"/>
      <c r="S22" s="19" t="n">
        <f aca="false">IF(ISNUMBER(L22),IF(L22&gt;0,LN(L22),""),"")</f>
        <v>-3.86323284125871</v>
      </c>
      <c r="T22" s="19" t="n">
        <f aca="false">IF(ISNUMBER(S22),IFERROR((S22-LN(INDEX(Estadística!$K$6:$K$25,MATCH(B22,Estadística!$A$6:$A$25,0))))^2,""),"")</f>
        <v>0.00804398406836518</v>
      </c>
      <c r="U22" s="19" t="n">
        <f aca="false">IF(ISNUMBER(L22),IFERROR((L22-INDEX(Estadística!$I$6:$I$25,MATCH(B22,Estadística!$A$6:$A$25,0)))^2,""),"")</f>
        <v>2.56E-006</v>
      </c>
      <c r="V22" s="19" t="n">
        <f aca="false">IF(ISNUMBER(P22),IF(P22&gt;1,1,0),"")</f>
        <v>0</v>
      </c>
    </row>
    <row r="23" customFormat="false" ht="15" hidden="false" customHeight="false" outlineLevel="0" collapsed="false">
      <c r="A23" s="18" t="n">
        <v>18</v>
      </c>
      <c r="B23" s="18" t="s">
        <v>159</v>
      </c>
      <c r="C23" s="22" t="n">
        <v>46271</v>
      </c>
      <c r="D23" s="18" t="s">
        <v>216</v>
      </c>
      <c r="E23" s="18" t="s">
        <v>197</v>
      </c>
      <c r="F23" s="18" t="n">
        <v>1.7</v>
      </c>
      <c r="G23" s="18" t="n">
        <v>480</v>
      </c>
      <c r="H23" s="20" t="n">
        <f aca="false">IF(OR(F23="",G23=""),"",F23*G23/1000)</f>
        <v>0.816</v>
      </c>
      <c r="I23" s="23"/>
      <c r="J23" s="23" t="n">
        <v>0.95</v>
      </c>
      <c r="K23" s="18" t="n">
        <v>4</v>
      </c>
      <c r="L23" s="21" t="n">
        <f aca="false">IF(B23="","",IF(J23&lt;&gt;"",J23,IF(AND(N(I23)&gt;0,N(H23)&gt;0),I23/H23,"")))</f>
        <v>0.95</v>
      </c>
      <c r="M23" s="19" t="str">
        <f aca="false">IF(B23="","",IFERROR(INDEX(GES!$E$6:$E$25,MATCH(B23,GES!$A$6:$A$25,0)),"GES?"))</f>
        <v>CAR-B</v>
      </c>
      <c r="N23" s="21" t="n">
        <f aca="false">IF(AND(ISNUMBER(L23),ISNUMBER(K23),LEFT(M23,3)="CAR"),L23*K23/100,"")</f>
        <v>0.038</v>
      </c>
      <c r="O23" s="21" t="n">
        <f aca="false">IF(B23="","",IFERROR(INDEX(GES!$U$6:$U$25,MATCH(B23,GES!$A$6:$A$25,0)),""))</f>
        <v>0.703125</v>
      </c>
      <c r="P23" s="24" t="n">
        <f aca="false">IF(AND(ISNUMBER(L23),ISNUMBER(O23)),L23/O23,"")</f>
        <v>1.35111111111111</v>
      </c>
      <c r="Q23" s="25" t="str">
        <f aca="false">IF(NOT(ISNUMBER(L23)),"",IFERROR(IF(INDEX(Estadística!$L$6:$L$25,MATCH(B23,Estadística!$A$6:$A$25,0))&gt;INDEX(Estadística!$T$6:$T$25,MATCH(B23,Estadística!$A$6:$A$25,0)),IF(OR(L23&lt;INDEX(Estadística!$I$6:$I$25,MATCH(B23,Estadística!$A$6:$A$25,0))/2,L23&gt;2*INDEX(Estadística!$I$6:$I$25,MATCH(B23,Estadística!$A$6:$A$25,0))),"Fuera de ½MA–2MA: revisar","Dentro de ½MA–2MA"),"—"),""))</f>
        <v>—</v>
      </c>
      <c r="R23" s="18"/>
      <c r="S23" s="19" t="n">
        <f aca="false">IF(ISNUMBER(L23),IF(L23&gt;0,LN(L23),""),"")</f>
        <v>-0.0512932943875506</v>
      </c>
      <c r="T23" s="19" t="n">
        <f aca="false">IF(ISNUMBER(S23),IFERROR((S23-LN(INDEX(Estadística!$K$6:$K$25,MATCH(B23,Estadística!$A$6:$A$25,0))))^2,""),"")</f>
        <v>0.000818917027098323</v>
      </c>
      <c r="U23" s="19" t="n">
        <f aca="false">IF(ISNUMBER(L23),IFERROR((L23-INDEX(Estadística!$I$6:$I$25,MATCH(B23,Estadística!$A$6:$A$25,0)))^2,""),"")</f>
        <v>0.0025</v>
      </c>
      <c r="V23" s="19" t="n">
        <f aca="false">IF(ISNUMBER(P23),IF(P23&gt;1,1,0),"")</f>
        <v>1</v>
      </c>
    </row>
    <row r="24" customFormat="false" ht="15" hidden="false" customHeight="false" outlineLevel="0" collapsed="false">
      <c r="A24" s="18" t="n">
        <v>19</v>
      </c>
      <c r="B24" s="18" t="s">
        <v>159</v>
      </c>
      <c r="C24" s="22" t="n">
        <v>46272</v>
      </c>
      <c r="D24" s="18" t="s">
        <v>217</v>
      </c>
      <c r="E24" s="18" t="s">
        <v>197</v>
      </c>
      <c r="F24" s="18" t="n">
        <v>1.7</v>
      </c>
      <c r="G24" s="18" t="n">
        <v>480</v>
      </c>
      <c r="H24" s="20" t="n">
        <f aca="false">IF(OR(F24="",G24=""),"",F24*G24/1000)</f>
        <v>0.816</v>
      </c>
      <c r="I24" s="23"/>
      <c r="J24" s="23" t="n">
        <v>1.2</v>
      </c>
      <c r="K24" s="18" t="n">
        <v>5</v>
      </c>
      <c r="L24" s="21" t="n">
        <f aca="false">IF(B24="","",IF(J24&lt;&gt;"",J24,IF(AND(N(I24)&gt;0,N(H24)&gt;0),I24/H24,"")))</f>
        <v>1.2</v>
      </c>
      <c r="M24" s="19" t="str">
        <f aca="false">IF(B24="","",IFERROR(INDEX(GES!$E$6:$E$25,MATCH(B24,GES!$A$6:$A$25,0)),"GES?"))</f>
        <v>CAR-B</v>
      </c>
      <c r="N24" s="21" t="n">
        <f aca="false">IF(AND(ISNUMBER(L24),ISNUMBER(K24),LEFT(M24,3)="CAR"),L24*K24/100,"")</f>
        <v>0.06</v>
      </c>
      <c r="O24" s="21" t="n">
        <f aca="false">IF(B24="","",IFERROR(INDEX(GES!$U$6:$U$25,MATCH(B24,GES!$A$6:$A$25,0)),""))</f>
        <v>0.703125</v>
      </c>
      <c r="P24" s="24" t="n">
        <f aca="false">IF(AND(ISNUMBER(L24),ISNUMBER(O24)),L24/O24,"")</f>
        <v>1.70666666666667</v>
      </c>
      <c r="Q24" s="25" t="str">
        <f aca="false">IF(NOT(ISNUMBER(L24)),"",IFERROR(IF(INDEX(Estadística!$L$6:$L$25,MATCH(B24,Estadística!$A$6:$A$25,0))&gt;INDEX(Estadística!$T$6:$T$25,MATCH(B24,Estadística!$A$6:$A$25,0)),IF(OR(L24&lt;INDEX(Estadística!$I$6:$I$25,MATCH(B24,Estadística!$A$6:$A$25,0))/2,L24&gt;2*INDEX(Estadística!$I$6:$I$25,MATCH(B24,Estadística!$A$6:$A$25,0))),"Fuera de ½MA–2MA: revisar","Dentro de ½MA–2MA"),"—"),""))</f>
        <v>—</v>
      </c>
      <c r="R24" s="18"/>
      <c r="S24" s="19" t="n">
        <f aca="false">IF(ISNUMBER(L24),IF(L24&gt;0,LN(L24),""),"")</f>
        <v>0.182321556793955</v>
      </c>
      <c r="T24" s="19" t="n">
        <f aca="false">IF(ISNUMBER(S24),IFERROR((S24-LN(INDEX(Estadística!$K$6:$K$25,MATCH(B24,Estadística!$A$6:$A$25,0))))^2,""),"")</f>
        <v>0.042024231183663</v>
      </c>
      <c r="U24" s="19" t="n">
        <f aca="false">IF(ISNUMBER(L24),IFERROR((L24-INDEX(Estadística!$I$6:$I$25,MATCH(B24,Estadística!$A$6:$A$25,0)))^2,""),"")</f>
        <v>0.04</v>
      </c>
      <c r="V24" s="19" t="n">
        <f aca="false">IF(ISNUMBER(P24),IF(P24&gt;1,1,0),"")</f>
        <v>1</v>
      </c>
    </row>
    <row r="25" customFormat="false" ht="15" hidden="false" customHeight="false" outlineLevel="0" collapsed="false">
      <c r="A25" s="18" t="n">
        <v>20</v>
      </c>
      <c r="B25" s="18" t="s">
        <v>159</v>
      </c>
      <c r="C25" s="22" t="n">
        <v>46273</v>
      </c>
      <c r="D25" s="18" t="s">
        <v>218</v>
      </c>
      <c r="E25" s="18" t="s">
        <v>197</v>
      </c>
      <c r="F25" s="18" t="n">
        <v>1.7</v>
      </c>
      <c r="G25" s="18" t="n">
        <v>480</v>
      </c>
      <c r="H25" s="20" t="n">
        <f aca="false">IF(OR(F25="",G25=""),"",F25*G25/1000)</f>
        <v>0.816</v>
      </c>
      <c r="I25" s="23"/>
      <c r="J25" s="23" t="n">
        <v>0.8</v>
      </c>
      <c r="K25" s="18" t="n">
        <v>3</v>
      </c>
      <c r="L25" s="21" t="n">
        <f aca="false">IF(B25="","",IF(J25&lt;&gt;"",J25,IF(AND(N(I25)&gt;0,N(H25)&gt;0),I25/H25,"")))</f>
        <v>0.8</v>
      </c>
      <c r="M25" s="19" t="str">
        <f aca="false">IF(B25="","",IFERROR(INDEX(GES!$E$6:$E$25,MATCH(B25,GES!$A$6:$A$25,0)),"GES?"))</f>
        <v>CAR-B</v>
      </c>
      <c r="N25" s="21" t="n">
        <f aca="false">IF(AND(ISNUMBER(L25),ISNUMBER(K25),LEFT(M25,3)="CAR"),L25*K25/100,"")</f>
        <v>0.024</v>
      </c>
      <c r="O25" s="21" t="n">
        <f aca="false">IF(B25="","",IFERROR(INDEX(GES!$U$6:$U$25,MATCH(B25,GES!$A$6:$A$25,0)),""))</f>
        <v>0.703125</v>
      </c>
      <c r="P25" s="24" t="n">
        <f aca="false">IF(AND(ISNUMBER(L25),ISNUMBER(O25)),L25/O25,"")</f>
        <v>1.13777777777778</v>
      </c>
      <c r="Q25" s="25" t="str">
        <f aca="false">IF(NOT(ISNUMBER(L25)),"",IFERROR(IF(INDEX(Estadística!$L$6:$L$25,MATCH(B25,Estadística!$A$6:$A$25,0))&gt;INDEX(Estadística!$T$6:$T$25,MATCH(B25,Estadística!$A$6:$A$25,0)),IF(OR(L25&lt;INDEX(Estadística!$I$6:$I$25,MATCH(B25,Estadística!$A$6:$A$25,0))/2,L25&gt;2*INDEX(Estadística!$I$6:$I$25,MATCH(B25,Estadística!$A$6:$A$25,0))),"Fuera de ½MA–2MA: revisar","Dentro de ½MA–2MA"),"—"),""))</f>
        <v>—</v>
      </c>
      <c r="R25" s="18"/>
      <c r="S25" s="19" t="n">
        <f aca="false">IF(ISNUMBER(L25),IF(L25&gt;0,LN(L25),""),"")</f>
        <v>-0.22314355131421</v>
      </c>
      <c r="T25" s="19" t="n">
        <f aca="false">IF(ISNUMBER(S25),IFERROR((S25-LN(INDEX(Estadística!$K$6:$K$25,MATCH(B25,Estadística!$A$6:$A$25,0))))^2,""),"")</f>
        <v>0.0401870113847977</v>
      </c>
      <c r="U25" s="19" t="n">
        <f aca="false">IF(ISNUMBER(L25),IFERROR((L25-INDEX(Estadística!$I$6:$I$25,MATCH(B25,Estadística!$A$6:$A$25,0)))^2,""),"")</f>
        <v>0.04</v>
      </c>
      <c r="V25" s="19" t="n">
        <f aca="false">IF(ISNUMBER(P25),IF(P25&gt;1,1,0),"")</f>
        <v>1</v>
      </c>
    </row>
    <row r="26" customFormat="false" ht="15" hidden="false" customHeight="false" outlineLevel="0" collapsed="false">
      <c r="A26" s="18" t="n">
        <v>21</v>
      </c>
      <c r="B26" s="18" t="s">
        <v>159</v>
      </c>
      <c r="C26" s="22" t="n">
        <v>46274</v>
      </c>
      <c r="D26" s="18" t="s">
        <v>219</v>
      </c>
      <c r="E26" s="18" t="s">
        <v>197</v>
      </c>
      <c r="F26" s="18" t="n">
        <v>1.7</v>
      </c>
      <c r="G26" s="18" t="n">
        <v>480</v>
      </c>
      <c r="H26" s="20" t="n">
        <f aca="false">IF(OR(F26="",G26=""),"",F26*G26/1000)</f>
        <v>0.816</v>
      </c>
      <c r="I26" s="23"/>
      <c r="J26" s="23" t="n">
        <v>1.1</v>
      </c>
      <c r="K26" s="18" t="n">
        <v>6</v>
      </c>
      <c r="L26" s="21" t="n">
        <f aca="false">IF(B26="","",IF(J26&lt;&gt;"",J26,IF(AND(N(I26)&gt;0,N(H26)&gt;0),I26/H26,"")))</f>
        <v>1.1</v>
      </c>
      <c r="M26" s="19" t="str">
        <f aca="false">IF(B26="","",IFERROR(INDEX(GES!$E$6:$E$25,MATCH(B26,GES!$A$6:$A$25,0)),"GES?"))</f>
        <v>CAR-B</v>
      </c>
      <c r="N26" s="21" t="n">
        <f aca="false">IF(AND(ISNUMBER(L26),ISNUMBER(K26),LEFT(M26,3)="CAR"),L26*K26/100,"")</f>
        <v>0.066</v>
      </c>
      <c r="O26" s="21" t="n">
        <f aca="false">IF(B26="","",IFERROR(INDEX(GES!$U$6:$U$25,MATCH(B26,GES!$A$6:$A$25,0)),""))</f>
        <v>0.703125</v>
      </c>
      <c r="P26" s="24" t="n">
        <f aca="false">IF(AND(ISNUMBER(L26),ISNUMBER(O26)),L26/O26,"")</f>
        <v>1.56444444444444</v>
      </c>
      <c r="Q26" s="25" t="str">
        <f aca="false">IF(NOT(ISNUMBER(L26)),"",IFERROR(IF(INDEX(Estadística!$L$6:$L$25,MATCH(B26,Estadística!$A$6:$A$25,0))&gt;INDEX(Estadística!$T$6:$T$25,MATCH(B26,Estadística!$A$6:$A$25,0)),IF(OR(L26&lt;INDEX(Estadística!$I$6:$I$25,MATCH(B26,Estadística!$A$6:$A$25,0))/2,L26&gt;2*INDEX(Estadística!$I$6:$I$25,MATCH(B26,Estadística!$A$6:$A$25,0))),"Fuera de ½MA–2MA: revisar","Dentro de ½MA–2MA"),"—"),""))</f>
        <v>—</v>
      </c>
      <c r="R26" s="18"/>
      <c r="S26" s="19" t="n">
        <f aca="false">IF(ISNUMBER(L26),IF(L26&gt;0,LN(L26),""),"")</f>
        <v>0.0953101798043249</v>
      </c>
      <c r="T26" s="19" t="n">
        <f aca="false">IF(ISNUMBER(S26),IFERROR((S26-LN(INDEX(Estadística!$K$6:$K$25,MATCH(B26,Estadística!$A$6:$A$25,0))))^2,""),"")</f>
        <v>0.0139208726658589</v>
      </c>
      <c r="U26" s="19" t="n">
        <f aca="false">IF(ISNUMBER(L26),IFERROR((L26-INDEX(Estadística!$I$6:$I$25,MATCH(B26,Estadística!$A$6:$A$25,0)))^2,""),"")</f>
        <v>0.01</v>
      </c>
      <c r="V26" s="19" t="n">
        <f aca="false">IF(ISNUMBER(P26),IF(P26&gt;1,1,0),"")</f>
        <v>1</v>
      </c>
    </row>
    <row r="27" customFormat="false" ht="15" hidden="false" customHeight="false" outlineLevel="0" collapsed="false">
      <c r="A27" s="18" t="n">
        <v>22</v>
      </c>
      <c r="B27" s="18" t="s">
        <v>159</v>
      </c>
      <c r="C27" s="22" t="n">
        <v>46275</v>
      </c>
      <c r="D27" s="18" t="s">
        <v>220</v>
      </c>
      <c r="E27" s="18" t="s">
        <v>197</v>
      </c>
      <c r="F27" s="18" t="n">
        <v>1.7</v>
      </c>
      <c r="G27" s="18" t="n">
        <v>480</v>
      </c>
      <c r="H27" s="20" t="n">
        <f aca="false">IF(OR(F27="",G27=""),"",F27*G27/1000)</f>
        <v>0.816</v>
      </c>
      <c r="I27" s="23"/>
      <c r="J27" s="23" t="n">
        <v>1.35</v>
      </c>
      <c r="K27" s="18" t="n">
        <v>4</v>
      </c>
      <c r="L27" s="21" t="n">
        <f aca="false">IF(B27="","",IF(J27&lt;&gt;"",J27,IF(AND(N(I27)&gt;0,N(H27)&gt;0),I27/H27,"")))</f>
        <v>1.35</v>
      </c>
      <c r="M27" s="19" t="str">
        <f aca="false">IF(B27="","",IFERROR(INDEX(GES!$E$6:$E$25,MATCH(B27,GES!$A$6:$A$25,0)),"GES?"))</f>
        <v>CAR-B</v>
      </c>
      <c r="N27" s="21" t="n">
        <f aca="false">IF(AND(ISNUMBER(L27),ISNUMBER(K27),LEFT(M27,3)="CAR"),L27*K27/100,"")</f>
        <v>0.054</v>
      </c>
      <c r="O27" s="21" t="n">
        <f aca="false">IF(B27="","",IFERROR(INDEX(GES!$U$6:$U$25,MATCH(B27,GES!$A$6:$A$25,0)),""))</f>
        <v>0.703125</v>
      </c>
      <c r="P27" s="24" t="n">
        <f aca="false">IF(AND(ISNUMBER(L27),ISNUMBER(O27)),L27/O27,"")</f>
        <v>1.92</v>
      </c>
      <c r="Q27" s="25" t="str">
        <f aca="false">IF(NOT(ISNUMBER(L27)),"",IFERROR(IF(INDEX(Estadística!$L$6:$L$25,MATCH(B27,Estadística!$A$6:$A$25,0))&gt;INDEX(Estadística!$T$6:$T$25,MATCH(B27,Estadística!$A$6:$A$25,0)),IF(OR(L27&lt;INDEX(Estadística!$I$6:$I$25,MATCH(B27,Estadística!$A$6:$A$25,0))/2,L27&gt;2*INDEX(Estadística!$I$6:$I$25,MATCH(B27,Estadística!$A$6:$A$25,0))),"Fuera de ½MA–2MA: revisar","Dentro de ½MA–2MA"),"—"),""))</f>
        <v>—</v>
      </c>
      <c r="R27" s="18"/>
      <c r="S27" s="19" t="n">
        <f aca="false">IF(ISNUMBER(L27),IF(L27&gt;0,LN(L27),""),"")</f>
        <v>0.300104592450338</v>
      </c>
      <c r="T27" s="19" t="n">
        <f aca="false">IF(ISNUMBER(S27),IFERROR((S27-LN(INDEX(Estadística!$K$6:$K$25,MATCH(B27,Estadística!$A$6:$A$25,0))))^2,""),"")</f>
        <v>0.104187677564695</v>
      </c>
      <c r="U27" s="19" t="n">
        <f aca="false">IF(ISNUMBER(L27),IFERROR((L27-INDEX(Estadística!$I$6:$I$25,MATCH(B27,Estadística!$A$6:$A$25,0)))^2,""),"")</f>
        <v>0.1225</v>
      </c>
      <c r="V27" s="19" t="n">
        <f aca="false">IF(ISNUMBER(P27),IF(P27&gt;1,1,0),"")</f>
        <v>1</v>
      </c>
    </row>
    <row r="28" customFormat="false" ht="15" hidden="false" customHeight="false" outlineLevel="0" collapsed="false">
      <c r="A28" s="18" t="n">
        <v>23</v>
      </c>
      <c r="B28" s="18" t="s">
        <v>159</v>
      </c>
      <c r="C28" s="22" t="n">
        <v>46276</v>
      </c>
      <c r="D28" s="18" t="s">
        <v>221</v>
      </c>
      <c r="E28" s="18" t="s">
        <v>197</v>
      </c>
      <c r="F28" s="18" t="n">
        <v>1.7</v>
      </c>
      <c r="G28" s="18" t="n">
        <v>480</v>
      </c>
      <c r="H28" s="20" t="n">
        <f aca="false">IF(OR(F28="",G28=""),"",F28*G28/1000)</f>
        <v>0.816</v>
      </c>
      <c r="I28" s="23"/>
      <c r="J28" s="23" t="n">
        <v>0.7</v>
      </c>
      <c r="K28" s="18" t="n">
        <v>5</v>
      </c>
      <c r="L28" s="21" t="n">
        <f aca="false">IF(B28="","",IF(J28&lt;&gt;"",J28,IF(AND(N(I28)&gt;0,N(H28)&gt;0),I28/H28,"")))</f>
        <v>0.7</v>
      </c>
      <c r="M28" s="19" t="str">
        <f aca="false">IF(B28="","",IFERROR(INDEX(GES!$E$6:$E$25,MATCH(B28,GES!$A$6:$A$25,0)),"GES?"))</f>
        <v>CAR-B</v>
      </c>
      <c r="N28" s="21" t="n">
        <f aca="false">IF(AND(ISNUMBER(L28),ISNUMBER(K28),LEFT(M28,3)="CAR"),L28*K28/100,"")</f>
        <v>0.035</v>
      </c>
      <c r="O28" s="21" t="n">
        <f aca="false">IF(B28="","",IFERROR(INDEX(GES!$U$6:$U$25,MATCH(B28,GES!$A$6:$A$25,0)),""))</f>
        <v>0.703125</v>
      </c>
      <c r="P28" s="24" t="n">
        <f aca="false">IF(AND(ISNUMBER(L28),ISNUMBER(O28)),L28/O28,"")</f>
        <v>0.995555555555556</v>
      </c>
      <c r="Q28" s="25" t="str">
        <f aca="false">IF(NOT(ISNUMBER(L28)),"",IFERROR(IF(INDEX(Estadística!$L$6:$L$25,MATCH(B28,Estadística!$A$6:$A$25,0))&gt;INDEX(Estadística!$T$6:$T$25,MATCH(B28,Estadística!$A$6:$A$25,0)),IF(OR(L28&lt;INDEX(Estadística!$I$6:$I$25,MATCH(B28,Estadística!$A$6:$A$25,0))/2,L28&gt;2*INDEX(Estadística!$I$6:$I$25,MATCH(B28,Estadística!$A$6:$A$25,0))),"Fuera de ½MA–2MA: revisar","Dentro de ½MA–2MA"),"—"),""))</f>
        <v>—</v>
      </c>
      <c r="R28" s="18"/>
      <c r="S28" s="19" t="n">
        <f aca="false">IF(ISNUMBER(L28),IF(L28&gt;0,LN(L28),""),"")</f>
        <v>-0.356674943938732</v>
      </c>
      <c r="T28" s="19" t="n">
        <f aca="false">IF(ISNUMBER(S28),IFERROR((S28-LN(INDEX(Estadística!$K$6:$K$25,MATCH(B28,Estadística!$A$6:$A$25,0))))^2,""),"")</f>
        <v>0.111554915105882</v>
      </c>
      <c r="U28" s="19" t="n">
        <f aca="false">IF(ISNUMBER(L28),IFERROR((L28-INDEX(Estadística!$I$6:$I$25,MATCH(B28,Estadística!$A$6:$A$25,0)))^2,""),"")</f>
        <v>0.09</v>
      </c>
      <c r="V28" s="19" t="n">
        <f aca="false">IF(ISNUMBER(P28),IF(P28&gt;1,1,0),"")</f>
        <v>0</v>
      </c>
    </row>
    <row r="29" customFormat="false" ht="15" hidden="false" customHeight="false" outlineLevel="0" collapsed="false">
      <c r="A29" s="18" t="n">
        <v>24</v>
      </c>
      <c r="B29" s="18" t="s">
        <v>159</v>
      </c>
      <c r="C29" s="22" t="n">
        <v>46277</v>
      </c>
      <c r="D29" s="18" t="s">
        <v>222</v>
      </c>
      <c r="E29" s="18" t="s">
        <v>197</v>
      </c>
      <c r="F29" s="18" t="n">
        <v>1.7</v>
      </c>
      <c r="G29" s="18" t="n">
        <v>480</v>
      </c>
      <c r="H29" s="20" t="n">
        <f aca="false">IF(OR(F29="",G29=""),"",F29*G29/1000)</f>
        <v>0.816</v>
      </c>
      <c r="I29" s="23"/>
      <c r="J29" s="23" t="n">
        <v>0.9</v>
      </c>
      <c r="K29" s="18" t="n">
        <v>4</v>
      </c>
      <c r="L29" s="21" t="n">
        <f aca="false">IF(B29="","",IF(J29&lt;&gt;"",J29,IF(AND(N(I29)&gt;0,N(H29)&gt;0),I29/H29,"")))</f>
        <v>0.9</v>
      </c>
      <c r="M29" s="19" t="str">
        <f aca="false">IF(B29="","",IFERROR(INDEX(GES!$E$6:$E$25,MATCH(B29,GES!$A$6:$A$25,0)),"GES?"))</f>
        <v>CAR-B</v>
      </c>
      <c r="N29" s="21" t="n">
        <f aca="false">IF(AND(ISNUMBER(L29),ISNUMBER(K29),LEFT(M29,3)="CAR"),L29*K29/100,"")</f>
        <v>0.036</v>
      </c>
      <c r="O29" s="21" t="n">
        <f aca="false">IF(B29="","",IFERROR(INDEX(GES!$U$6:$U$25,MATCH(B29,GES!$A$6:$A$25,0)),""))</f>
        <v>0.703125</v>
      </c>
      <c r="P29" s="24" t="n">
        <f aca="false">IF(AND(ISNUMBER(L29),ISNUMBER(O29)),L29/O29,"")</f>
        <v>1.28</v>
      </c>
      <c r="Q29" s="25" t="str">
        <f aca="false">IF(NOT(ISNUMBER(L29)),"",IFERROR(IF(INDEX(Estadística!$L$6:$L$25,MATCH(B29,Estadística!$A$6:$A$25,0))&gt;INDEX(Estadística!$T$6:$T$25,MATCH(B29,Estadística!$A$6:$A$25,0)),IF(OR(L29&lt;INDEX(Estadística!$I$6:$I$25,MATCH(B29,Estadística!$A$6:$A$25,0))/2,L29&gt;2*INDEX(Estadística!$I$6:$I$25,MATCH(B29,Estadística!$A$6:$A$25,0))),"Fuera de ½MA–2MA: revisar","Dentro de ½MA–2MA"),"—"),""))</f>
        <v>—</v>
      </c>
      <c r="R29" s="18"/>
      <c r="S29" s="19" t="n">
        <f aca="false">IF(ISNUMBER(L29),IF(L29&gt;0,LN(L29),""),"")</f>
        <v>-0.105360515657826</v>
      </c>
      <c r="T29" s="19" t="n">
        <f aca="false">IF(ISNUMBER(S29),IFERROR((S29-LN(INDEX(Estadística!$K$6:$K$25,MATCH(B29,Estadística!$A$6:$A$25,0))))^2,""),"")</f>
        <v>0.00683663519438321</v>
      </c>
      <c r="U29" s="19" t="n">
        <f aca="false">IF(ISNUMBER(L29),IFERROR((L29-INDEX(Estadística!$I$6:$I$25,MATCH(B29,Estadística!$A$6:$A$25,0)))^2,""),"")</f>
        <v>0.01</v>
      </c>
      <c r="V29" s="19" t="n">
        <f aca="false">IF(ISNUMBER(P29),IF(P29&gt;1,1,0),"")</f>
        <v>1</v>
      </c>
    </row>
    <row r="30" customFormat="false" ht="15" hidden="false" customHeight="false" outlineLevel="0" collapsed="false">
      <c r="A30" s="18" t="n">
        <v>25</v>
      </c>
      <c r="B30" s="18" t="s">
        <v>165</v>
      </c>
      <c r="C30" s="22" t="n">
        <v>46266</v>
      </c>
      <c r="D30" s="18" t="s">
        <v>223</v>
      </c>
      <c r="E30" s="18" t="s">
        <v>197</v>
      </c>
      <c r="F30" s="18" t="n">
        <v>1.7</v>
      </c>
      <c r="G30" s="18" t="n">
        <v>480</v>
      </c>
      <c r="H30" s="20" t="n">
        <f aca="false">IF(OR(F30="",G30=""),"",F30*G30/1000)</f>
        <v>0.816</v>
      </c>
      <c r="I30" s="23"/>
      <c r="J30" s="23" t="n">
        <v>0.25</v>
      </c>
      <c r="K30" s="18" t="n">
        <v>2</v>
      </c>
      <c r="L30" s="21" t="n">
        <f aca="false">IF(B30="","",IF(J30&lt;&gt;"",J30,IF(AND(N(I30)&gt;0,N(H30)&gt;0),I30/H30,"")))</f>
        <v>0.25</v>
      </c>
      <c r="M30" s="19" t="str">
        <f aca="false">IF(B30="","",IFERROR(INDEX(GES!$E$6:$E$25,MATCH(B30,GES!$A$6:$A$25,0)),"GES?"))</f>
        <v>CAR-B</v>
      </c>
      <c r="N30" s="21" t="n">
        <f aca="false">IF(AND(ISNUMBER(L30),ISNUMBER(K30),LEFT(M30,3)="CAR"),L30*K30/100,"")</f>
        <v>0.005</v>
      </c>
      <c r="O30" s="21" t="n">
        <f aca="false">IF(B30="","",IFERROR(INDEX(GES!$U$6:$U$25,MATCH(B30,GES!$A$6:$A$25,0)),""))</f>
        <v>0.703125</v>
      </c>
      <c r="P30" s="24" t="n">
        <f aca="false">IF(AND(ISNUMBER(L30),ISNUMBER(O30)),L30/O30,"")</f>
        <v>0.355555555555556</v>
      </c>
      <c r="Q30" s="25" t="str">
        <f aca="false">IF(NOT(ISNUMBER(L30)),"",IFERROR(IF(INDEX(Estadística!$L$6:$L$25,MATCH(B30,Estadística!$A$6:$A$25,0))&gt;INDEX(Estadística!$T$6:$T$25,MATCH(B30,Estadística!$A$6:$A$25,0)),IF(OR(L30&lt;INDEX(Estadística!$I$6:$I$25,MATCH(B30,Estadística!$A$6:$A$25,0))/2,L30&gt;2*INDEX(Estadística!$I$6:$I$25,MATCH(B30,Estadística!$A$6:$A$25,0))),"Fuera de ½MA–2MA: revisar","Dentro de ½MA–2MA"),"—"),""))</f>
        <v>—</v>
      </c>
      <c r="R30" s="18"/>
      <c r="S30" s="19" t="n">
        <f aca="false">IF(ISNUMBER(L30),IF(L30&gt;0,LN(L30),""),"")</f>
        <v>-1.38629436111989</v>
      </c>
      <c r="T30" s="19" t="n">
        <f aca="false">IF(ISNUMBER(S30),IFERROR((S30-LN(INDEX(Estadística!$K$6:$K$25,MATCH(B30,Estadística!$A$6:$A$25,0))))^2,""),"")</f>
        <v>0.000858343899229617</v>
      </c>
      <c r="U30" s="19" t="n">
        <f aca="false">IF(ISNUMBER(L30),IFERROR((L30-INDEX(Estadística!$I$6:$I$25,MATCH(B30,Estadística!$A$6:$A$25,0)))^2,""),"")</f>
        <v>0.000177777777777779</v>
      </c>
      <c r="V30" s="19" t="n">
        <f aca="false">IF(ISNUMBER(P30),IF(P30&gt;1,1,0),"")</f>
        <v>0</v>
      </c>
    </row>
    <row r="31" customFormat="false" ht="15" hidden="false" customHeight="false" outlineLevel="0" collapsed="false">
      <c r="A31" s="18" t="n">
        <v>26</v>
      </c>
      <c r="B31" s="18" t="s">
        <v>165</v>
      </c>
      <c r="C31" s="22" t="n">
        <v>46267</v>
      </c>
      <c r="D31" s="18" t="s">
        <v>224</v>
      </c>
      <c r="E31" s="18" t="s">
        <v>197</v>
      </c>
      <c r="F31" s="18" t="n">
        <v>1.7</v>
      </c>
      <c r="G31" s="18" t="n">
        <v>480</v>
      </c>
      <c r="H31" s="20" t="n">
        <f aca="false">IF(OR(F31="",G31=""),"",F31*G31/1000)</f>
        <v>0.816</v>
      </c>
      <c r="I31" s="23"/>
      <c r="J31" s="23" t="n">
        <v>0.3</v>
      </c>
      <c r="K31" s="18" t="n">
        <v>2</v>
      </c>
      <c r="L31" s="21" t="n">
        <f aca="false">IF(B31="","",IF(J31&lt;&gt;"",J31,IF(AND(N(I31)&gt;0,N(H31)&gt;0),I31/H31,"")))</f>
        <v>0.3</v>
      </c>
      <c r="M31" s="19" t="str">
        <f aca="false">IF(B31="","",IFERROR(INDEX(GES!$E$6:$E$25,MATCH(B31,GES!$A$6:$A$25,0)),"GES?"))</f>
        <v>CAR-B</v>
      </c>
      <c r="N31" s="21" t="n">
        <f aca="false">IF(AND(ISNUMBER(L31),ISNUMBER(K31),LEFT(M31,3)="CAR"),L31*K31/100,"")</f>
        <v>0.006</v>
      </c>
      <c r="O31" s="21" t="n">
        <f aca="false">IF(B31="","",IFERROR(INDEX(GES!$U$6:$U$25,MATCH(B31,GES!$A$6:$A$25,0)),""))</f>
        <v>0.703125</v>
      </c>
      <c r="P31" s="24" t="n">
        <f aca="false">IF(AND(ISNUMBER(L31),ISNUMBER(O31)),L31/O31,"")</f>
        <v>0.426666666666667</v>
      </c>
      <c r="Q31" s="25" t="str">
        <f aca="false">IF(NOT(ISNUMBER(L31)),"",IFERROR(IF(INDEX(Estadística!$L$6:$L$25,MATCH(B31,Estadística!$A$6:$A$25,0))&gt;INDEX(Estadística!$T$6:$T$25,MATCH(B31,Estadística!$A$6:$A$25,0)),IF(OR(L31&lt;INDEX(Estadística!$I$6:$I$25,MATCH(B31,Estadística!$A$6:$A$25,0))/2,L31&gt;2*INDEX(Estadística!$I$6:$I$25,MATCH(B31,Estadística!$A$6:$A$25,0))),"Fuera de ½MA–2MA: revisar","Dentro de ½MA–2MA"),"—"),""))</f>
        <v>—</v>
      </c>
      <c r="R31" s="18"/>
      <c r="S31" s="19" t="n">
        <f aca="false">IF(ISNUMBER(L31),IF(L31&gt;0,LN(L31),""),"")</f>
        <v>-1.20397280432594</v>
      </c>
      <c r="T31" s="19" t="n">
        <f aca="false">IF(ISNUMBER(S31),IFERROR((S31-LN(INDEX(Estadística!$K$6:$K$25,MATCH(B31,Estadística!$A$6:$A$25,0))))^2,""),"")</f>
        <v>0.023416359905104</v>
      </c>
      <c r="U31" s="19" t="n">
        <f aca="false">IF(ISNUMBER(L31),IFERROR((L31-INDEX(Estadística!$I$6:$I$25,MATCH(B31,Estadística!$A$6:$A$25,0)))^2,""),"")</f>
        <v>0.00134444444444444</v>
      </c>
      <c r="V31" s="19" t="n">
        <f aca="false">IF(ISNUMBER(P31),IF(P31&gt;1,1,0),"")</f>
        <v>0</v>
      </c>
    </row>
    <row r="32" customFormat="false" ht="15" hidden="false" customHeight="false" outlineLevel="0" collapsed="false">
      <c r="A32" s="18" t="n">
        <v>27</v>
      </c>
      <c r="B32" s="18" t="s">
        <v>165</v>
      </c>
      <c r="C32" s="22" t="n">
        <v>46268</v>
      </c>
      <c r="D32" s="18" t="s">
        <v>225</v>
      </c>
      <c r="E32" s="18" t="s">
        <v>197</v>
      </c>
      <c r="F32" s="18" t="n">
        <v>1.7</v>
      </c>
      <c r="G32" s="18" t="n">
        <v>480</v>
      </c>
      <c r="H32" s="20" t="n">
        <f aca="false">IF(OR(F32="",G32=""),"",F32*G32/1000)</f>
        <v>0.816</v>
      </c>
      <c r="I32" s="23"/>
      <c r="J32" s="23" t="n">
        <v>0.18</v>
      </c>
      <c r="K32" s="18" t="n">
        <v>3</v>
      </c>
      <c r="L32" s="21" t="n">
        <f aca="false">IF(B32="","",IF(J32&lt;&gt;"",J32,IF(AND(N(I32)&gt;0,N(H32)&gt;0),I32/H32,"")))</f>
        <v>0.18</v>
      </c>
      <c r="M32" s="19" t="str">
        <f aca="false">IF(B32="","",IFERROR(INDEX(GES!$E$6:$E$25,MATCH(B32,GES!$A$6:$A$25,0)),"GES?"))</f>
        <v>CAR-B</v>
      </c>
      <c r="N32" s="21" t="n">
        <f aca="false">IF(AND(ISNUMBER(L32),ISNUMBER(K32),LEFT(M32,3)="CAR"),L32*K32/100,"")</f>
        <v>0.0054</v>
      </c>
      <c r="O32" s="21" t="n">
        <f aca="false">IF(B32="","",IFERROR(INDEX(GES!$U$6:$U$25,MATCH(B32,GES!$A$6:$A$25,0)),""))</f>
        <v>0.703125</v>
      </c>
      <c r="P32" s="24" t="n">
        <f aca="false">IF(AND(ISNUMBER(L32),ISNUMBER(O32)),L32/O32,"")</f>
        <v>0.256</v>
      </c>
      <c r="Q32" s="25" t="str">
        <f aca="false">IF(NOT(ISNUMBER(L32)),"",IFERROR(IF(INDEX(Estadística!$L$6:$L$25,MATCH(B32,Estadística!$A$6:$A$25,0))&gt;INDEX(Estadística!$T$6:$T$25,MATCH(B32,Estadística!$A$6:$A$25,0)),IF(OR(L32&lt;INDEX(Estadística!$I$6:$I$25,MATCH(B32,Estadística!$A$6:$A$25,0))/2,L32&gt;2*INDEX(Estadística!$I$6:$I$25,MATCH(B32,Estadística!$A$6:$A$25,0))),"Fuera de ½MA–2MA: revisar","Dentro de ½MA–2MA"),"—"),""))</f>
        <v>—</v>
      </c>
      <c r="R32" s="18"/>
      <c r="S32" s="19" t="n">
        <f aca="false">IF(ISNUMBER(L32),IF(L32&gt;0,LN(L32),""),"")</f>
        <v>-1.71479842809193</v>
      </c>
      <c r="T32" s="19" t="n">
        <f aca="false">IF(ISNUMBER(S32),IFERROR((S32-LN(INDEX(Estadística!$K$6:$K$25,MATCH(B32,Estadística!$A$6:$A$25,0))))^2,""),"")</f>
        <v>0.128021966126986</v>
      </c>
      <c r="U32" s="19" t="n">
        <f aca="false">IF(ISNUMBER(L32),IFERROR((L32-INDEX(Estadística!$I$6:$I$25,MATCH(B32,Estadística!$A$6:$A$25,0)))^2,""),"")</f>
        <v>0.00694444444444445</v>
      </c>
      <c r="V32" s="19" t="n">
        <f aca="false">IF(ISNUMBER(P32),IF(P32&gt;1,1,0),"")</f>
        <v>0</v>
      </c>
    </row>
    <row r="33" customFormat="false" ht="15" hidden="false" customHeight="false" outlineLevel="0" collapsed="false">
      <c r="A33" s="18" t="n">
        <v>28</v>
      </c>
      <c r="B33" s="18" t="s">
        <v>165</v>
      </c>
      <c r="C33" s="22" t="n">
        <v>46269</v>
      </c>
      <c r="D33" s="18" t="s">
        <v>226</v>
      </c>
      <c r="E33" s="18" t="s">
        <v>197</v>
      </c>
      <c r="F33" s="18" t="n">
        <v>1.7</v>
      </c>
      <c r="G33" s="18" t="n">
        <v>480</v>
      </c>
      <c r="H33" s="20" t="n">
        <f aca="false">IF(OR(F33="",G33=""),"",F33*G33/1000)</f>
        <v>0.816</v>
      </c>
      <c r="I33" s="23"/>
      <c r="J33" s="23" t="n">
        <v>0.22</v>
      </c>
      <c r="K33" s="18" t="n">
        <v>2</v>
      </c>
      <c r="L33" s="21" t="n">
        <f aca="false">IF(B33="","",IF(J33&lt;&gt;"",J33,IF(AND(N(I33)&gt;0,N(H33)&gt;0),I33/H33,"")))</f>
        <v>0.22</v>
      </c>
      <c r="M33" s="19" t="str">
        <f aca="false">IF(B33="","",IFERROR(INDEX(GES!$E$6:$E$25,MATCH(B33,GES!$A$6:$A$25,0)),"GES?"))</f>
        <v>CAR-B</v>
      </c>
      <c r="N33" s="21" t="n">
        <f aca="false">IF(AND(ISNUMBER(L33),ISNUMBER(K33),LEFT(M33,3)="CAR"),L33*K33/100,"")</f>
        <v>0.0044</v>
      </c>
      <c r="O33" s="21" t="n">
        <f aca="false">IF(B33="","",IFERROR(INDEX(GES!$U$6:$U$25,MATCH(B33,GES!$A$6:$A$25,0)),""))</f>
        <v>0.703125</v>
      </c>
      <c r="P33" s="24" t="n">
        <f aca="false">IF(AND(ISNUMBER(L33),ISNUMBER(O33)),L33/O33,"")</f>
        <v>0.312888888888889</v>
      </c>
      <c r="Q33" s="25" t="str">
        <f aca="false">IF(NOT(ISNUMBER(L33)),"",IFERROR(IF(INDEX(Estadística!$L$6:$L$25,MATCH(B33,Estadística!$A$6:$A$25,0))&gt;INDEX(Estadística!$T$6:$T$25,MATCH(B33,Estadística!$A$6:$A$25,0)),IF(OR(L33&lt;INDEX(Estadística!$I$6:$I$25,MATCH(B33,Estadística!$A$6:$A$25,0))/2,L33&gt;2*INDEX(Estadística!$I$6:$I$25,MATCH(B33,Estadística!$A$6:$A$25,0))),"Fuera de ½MA–2MA: revisar","Dentro de ½MA–2MA"),"—"),""))</f>
        <v>—</v>
      </c>
      <c r="R33" s="18"/>
      <c r="S33" s="19" t="n">
        <f aca="false">IF(ISNUMBER(L33),IF(L33&gt;0,LN(L33),""),"")</f>
        <v>-1.51412773262978</v>
      </c>
      <c r="T33" s="19" t="n">
        <f aca="false">IF(ISNUMBER(S33),IFERROR((S33-LN(INDEX(Estadística!$K$6:$K$25,MATCH(B33,Estadística!$A$6:$A$25,0))))^2,""),"")</f>
        <v>0.0246901128891179</v>
      </c>
      <c r="U33" s="19" t="n">
        <f aca="false">IF(ISNUMBER(L33),IFERROR((L33-INDEX(Estadística!$I$6:$I$25,MATCH(B33,Estadística!$A$6:$A$25,0)))^2,""),"")</f>
        <v>0.00187777777777778</v>
      </c>
      <c r="V33" s="19" t="n">
        <f aca="false">IF(ISNUMBER(P33),IF(P33&gt;1,1,0),"")</f>
        <v>0</v>
      </c>
    </row>
    <row r="34" customFormat="false" ht="15" hidden="false" customHeight="false" outlineLevel="0" collapsed="false">
      <c r="A34" s="18" t="n">
        <v>29</v>
      </c>
      <c r="B34" s="18" t="s">
        <v>165</v>
      </c>
      <c r="C34" s="22" t="n">
        <v>46270</v>
      </c>
      <c r="D34" s="18" t="s">
        <v>227</v>
      </c>
      <c r="E34" s="18" t="s">
        <v>197</v>
      </c>
      <c r="F34" s="18" t="n">
        <v>1.7</v>
      </c>
      <c r="G34" s="18" t="n">
        <v>480</v>
      </c>
      <c r="H34" s="20" t="n">
        <f aca="false">IF(OR(F34="",G34=""),"",F34*G34/1000)</f>
        <v>0.816</v>
      </c>
      <c r="I34" s="23"/>
      <c r="J34" s="23" t="n">
        <v>0.35</v>
      </c>
      <c r="K34" s="18" t="n">
        <v>2</v>
      </c>
      <c r="L34" s="21" t="n">
        <f aca="false">IF(B34="","",IF(J34&lt;&gt;"",J34,IF(AND(N(I34)&gt;0,N(H34)&gt;0),I34/H34,"")))</f>
        <v>0.35</v>
      </c>
      <c r="M34" s="19" t="str">
        <f aca="false">IF(B34="","",IFERROR(INDEX(GES!$E$6:$E$25,MATCH(B34,GES!$A$6:$A$25,0)),"GES?"))</f>
        <v>CAR-B</v>
      </c>
      <c r="N34" s="21" t="n">
        <f aca="false">IF(AND(ISNUMBER(L34),ISNUMBER(K34),LEFT(M34,3)="CAR"),L34*K34/100,"")</f>
        <v>0.007</v>
      </c>
      <c r="O34" s="21" t="n">
        <f aca="false">IF(B34="","",IFERROR(INDEX(GES!$U$6:$U$25,MATCH(B34,GES!$A$6:$A$25,0)),""))</f>
        <v>0.703125</v>
      </c>
      <c r="P34" s="24" t="n">
        <f aca="false">IF(AND(ISNUMBER(L34),ISNUMBER(O34)),L34/O34,"")</f>
        <v>0.497777777777778</v>
      </c>
      <c r="Q34" s="25" t="str">
        <f aca="false">IF(NOT(ISNUMBER(L34)),"",IFERROR(IF(INDEX(Estadística!$L$6:$L$25,MATCH(B34,Estadística!$A$6:$A$25,0))&gt;INDEX(Estadística!$T$6:$T$25,MATCH(B34,Estadística!$A$6:$A$25,0)),IF(OR(L34&lt;INDEX(Estadística!$I$6:$I$25,MATCH(B34,Estadística!$A$6:$A$25,0))/2,L34&gt;2*INDEX(Estadística!$I$6:$I$25,MATCH(B34,Estadística!$A$6:$A$25,0))),"Fuera de ½MA–2MA: revisar","Dentro de ½MA–2MA"),"—"),""))</f>
        <v>—</v>
      </c>
      <c r="R34" s="18"/>
      <c r="S34" s="19" t="n">
        <f aca="false">IF(ISNUMBER(L34),IF(L34&gt;0,LN(L34),""),"")</f>
        <v>-1.04982212449868</v>
      </c>
      <c r="T34" s="19" t="n">
        <f aca="false">IF(ISNUMBER(S34),IFERROR((S34-LN(INDEX(Estadística!$K$6:$K$25,MATCH(B34,Estadística!$A$6:$A$25,0))))^2,""),"")</f>
        <v>0.0943563146980488</v>
      </c>
      <c r="U34" s="19" t="n">
        <f aca="false">IF(ISNUMBER(L34),IFERROR((L34-INDEX(Estadística!$I$6:$I$25,MATCH(B34,Estadística!$A$6:$A$25,0)))^2,""),"")</f>
        <v>0.0075111111111111</v>
      </c>
      <c r="V34" s="19" t="n">
        <f aca="false">IF(ISNUMBER(P34),IF(P34&gt;1,1,0),"")</f>
        <v>0</v>
      </c>
    </row>
    <row r="35" customFormat="false" ht="15" hidden="false" customHeight="false" outlineLevel="0" collapsed="false">
      <c r="A35" s="18" t="n">
        <v>30</v>
      </c>
      <c r="B35" s="18" t="s">
        <v>165</v>
      </c>
      <c r="C35" s="22" t="n">
        <v>46271</v>
      </c>
      <c r="D35" s="18" t="s">
        <v>228</v>
      </c>
      <c r="E35" s="18" t="s">
        <v>197</v>
      </c>
      <c r="F35" s="18" t="n">
        <v>1.7</v>
      </c>
      <c r="G35" s="18" t="n">
        <v>480</v>
      </c>
      <c r="H35" s="20" t="n">
        <f aca="false">IF(OR(F35="",G35=""),"",F35*G35/1000)</f>
        <v>0.816</v>
      </c>
      <c r="I35" s="23"/>
      <c r="J35" s="23" t="n">
        <v>0.28</v>
      </c>
      <c r="K35" s="18" t="n">
        <v>3</v>
      </c>
      <c r="L35" s="21" t="n">
        <f aca="false">IF(B35="","",IF(J35&lt;&gt;"",J35,IF(AND(N(I35)&gt;0,N(H35)&gt;0),I35/H35,"")))</f>
        <v>0.28</v>
      </c>
      <c r="M35" s="19" t="str">
        <f aca="false">IF(B35="","",IFERROR(INDEX(GES!$E$6:$E$25,MATCH(B35,GES!$A$6:$A$25,0)),"GES?"))</f>
        <v>CAR-B</v>
      </c>
      <c r="N35" s="21" t="n">
        <f aca="false">IF(AND(ISNUMBER(L35),ISNUMBER(K35),LEFT(M35,3)="CAR"),L35*K35/100,"")</f>
        <v>0.0084</v>
      </c>
      <c r="O35" s="21" t="n">
        <f aca="false">IF(B35="","",IFERROR(INDEX(GES!$U$6:$U$25,MATCH(B35,GES!$A$6:$A$25,0)),""))</f>
        <v>0.703125</v>
      </c>
      <c r="P35" s="24" t="n">
        <f aca="false">IF(AND(ISNUMBER(L35),ISNUMBER(O35)),L35/O35,"")</f>
        <v>0.398222222222222</v>
      </c>
      <c r="Q35" s="25" t="str">
        <f aca="false">IF(NOT(ISNUMBER(L35)),"",IFERROR(IF(INDEX(Estadística!$L$6:$L$25,MATCH(B35,Estadística!$A$6:$A$25,0))&gt;INDEX(Estadística!$T$6:$T$25,MATCH(B35,Estadística!$A$6:$A$25,0)),IF(OR(L35&lt;INDEX(Estadística!$I$6:$I$25,MATCH(B35,Estadística!$A$6:$A$25,0))/2,L35&gt;2*INDEX(Estadística!$I$6:$I$25,MATCH(B35,Estadística!$A$6:$A$25,0))),"Fuera de ½MA–2MA: revisar","Dentro de ½MA–2MA"),"—"),""))</f>
        <v>—</v>
      </c>
      <c r="R35" s="18"/>
      <c r="S35" s="19" t="n">
        <f aca="false">IF(ISNUMBER(L35),IF(L35&gt;0,LN(L35),""),"")</f>
        <v>-1.27296567581289</v>
      </c>
      <c r="T35" s="19" t="n">
        <f aca="false">IF(ISNUMBER(S35),IFERROR((S35-LN(INDEX(Estadística!$K$6:$K$25,MATCH(B35,Estadística!$A$6:$A$25,0))))^2,""),"")</f>
        <v>0.00706123897695467</v>
      </c>
      <c r="U35" s="19" t="n">
        <f aca="false">IF(ISNUMBER(L35),IFERROR((L35-INDEX(Estadística!$I$6:$I$25,MATCH(B35,Estadística!$A$6:$A$25,0)))^2,""),"")</f>
        <v>0.000277777777777778</v>
      </c>
      <c r="V35" s="19" t="n">
        <f aca="false">IF(ISNUMBER(P35),IF(P35&gt;1,1,0),"")</f>
        <v>0</v>
      </c>
    </row>
    <row r="36" customFormat="false" ht="15" hidden="false" customHeight="false" outlineLevel="0" collapsed="false">
      <c r="A36" s="18" t="n">
        <v>31</v>
      </c>
      <c r="B36" s="18" t="s">
        <v>170</v>
      </c>
      <c r="C36" s="22" t="n">
        <v>46272</v>
      </c>
      <c r="D36" s="18" t="s">
        <v>229</v>
      </c>
      <c r="E36" s="18" t="s">
        <v>197</v>
      </c>
      <c r="F36" s="18" t="n">
        <v>2</v>
      </c>
      <c r="G36" s="18" t="n">
        <v>240</v>
      </c>
      <c r="H36" s="20" t="n">
        <f aca="false">IF(OR(F36="",G36=""),"",F36*G36/1000)</f>
        <v>0.48</v>
      </c>
      <c r="I36" s="23"/>
      <c r="J36" s="23" t="n">
        <v>0.03</v>
      </c>
      <c r="K36" s="18"/>
      <c r="L36" s="21" t="n">
        <f aca="false">IF(B36="","",IF(J36&lt;&gt;"",J36,IF(AND(N(I36)&gt;0,N(H36)&gt;0),I36/H36,"")))</f>
        <v>0.03</v>
      </c>
      <c r="M36" s="19" t="str">
        <f aca="false">IF(B36="","",IFERROR(INDEX(GES!$E$6:$E$25,MATCH(B36,GES!$A$6:$A$25,0)),"GES?"))</f>
        <v>ASB</v>
      </c>
      <c r="N36" s="21" t="str">
        <f aca="false">IF(AND(ISNUMBER(L36),ISNUMBER(K36),LEFT(M36,3)="CAR"),L36*K36/100,"")</f>
        <v/>
      </c>
      <c r="O36" s="21" t="n">
        <f aca="false">IF(B36="","",IFERROR(INDEX(GES!$U$6:$U$25,MATCH(B36,GES!$A$6:$A$25,0)),""))</f>
        <v>0.078125</v>
      </c>
      <c r="P36" s="24" t="n">
        <f aca="false">IF(AND(ISNUMBER(L36),ISNUMBER(O36)),L36/O36,"")</f>
        <v>0.384</v>
      </c>
      <c r="Q36" s="25" t="str">
        <f aca="false">IF(NOT(ISNUMBER(L36)),"",IFERROR(IF(INDEX(Estadística!$L$6:$L$25,MATCH(B36,Estadística!$A$6:$A$25,0))&gt;INDEX(Estadística!$T$6:$T$25,MATCH(B36,Estadística!$A$6:$A$25,0)),IF(OR(L36&lt;INDEX(Estadística!$I$6:$I$25,MATCH(B36,Estadística!$A$6:$A$25,0))/2,L36&gt;2*INDEX(Estadística!$I$6:$I$25,MATCH(B36,Estadística!$A$6:$A$25,0))),"Fuera de ½MA–2MA: revisar","Dentro de ½MA–2MA"),"—"),""))</f>
        <v>—</v>
      </c>
      <c r="R36" s="18" t="s">
        <v>230</v>
      </c>
      <c r="S36" s="19" t="n">
        <f aca="false">IF(ISNUMBER(L36),IF(L36&gt;0,LN(L36),""),"")</f>
        <v>-3.50655789731998</v>
      </c>
      <c r="T36" s="19" t="n">
        <f aca="false">IF(ISNUMBER(S36),IFERROR((S36-LN(INDEX(Estadística!$K$6:$K$25,MATCH(B36,Estadística!$A$6:$A$25,0))))^2,""),"")</f>
        <v>0.118682434333118</v>
      </c>
      <c r="U36" s="19" t="n">
        <f aca="false">IF(ISNUMBER(L36),IFERROR((L36-INDEX(Estadística!$I$6:$I$25,MATCH(B36,Estadística!$A$6:$A$25,0)))^2,""),"")</f>
        <v>0.000277777777777778</v>
      </c>
      <c r="V36" s="19" t="n">
        <f aca="false">IF(ISNUMBER(P36),IF(P36&gt;1,1,0),"")</f>
        <v>0</v>
      </c>
    </row>
    <row r="37" customFormat="false" ht="15" hidden="false" customHeight="false" outlineLevel="0" collapsed="false">
      <c r="A37" s="18" t="n">
        <v>32</v>
      </c>
      <c r="B37" s="18" t="s">
        <v>170</v>
      </c>
      <c r="C37" s="22" t="n">
        <v>46273</v>
      </c>
      <c r="D37" s="18" t="s">
        <v>231</v>
      </c>
      <c r="E37" s="18" t="s">
        <v>197</v>
      </c>
      <c r="F37" s="18" t="n">
        <v>2</v>
      </c>
      <c r="G37" s="18" t="n">
        <v>240</v>
      </c>
      <c r="H37" s="20" t="n">
        <f aca="false">IF(OR(F37="",G37=""),"",F37*G37/1000)</f>
        <v>0.48</v>
      </c>
      <c r="I37" s="23"/>
      <c r="J37" s="23" t="n">
        <v>0.05</v>
      </c>
      <c r="K37" s="18"/>
      <c r="L37" s="21" t="n">
        <f aca="false">IF(B37="","",IF(J37&lt;&gt;"",J37,IF(AND(N(I37)&gt;0,N(H37)&gt;0),I37/H37,"")))</f>
        <v>0.05</v>
      </c>
      <c r="M37" s="19" t="str">
        <f aca="false">IF(B37="","",IFERROR(INDEX(GES!$E$6:$E$25,MATCH(B37,GES!$A$6:$A$25,0)),"GES?"))</f>
        <v>ASB</v>
      </c>
      <c r="N37" s="21" t="str">
        <f aca="false">IF(AND(ISNUMBER(L37),ISNUMBER(K37),LEFT(M37,3)="CAR"),L37*K37/100,"")</f>
        <v/>
      </c>
      <c r="O37" s="21" t="n">
        <f aca="false">IF(B37="","",IFERROR(INDEX(GES!$U$6:$U$25,MATCH(B37,GES!$A$6:$A$25,0)),""))</f>
        <v>0.078125</v>
      </c>
      <c r="P37" s="24" t="n">
        <f aca="false">IF(AND(ISNUMBER(L37),ISNUMBER(O37)),L37/O37,"")</f>
        <v>0.64</v>
      </c>
      <c r="Q37" s="25" t="str">
        <f aca="false">IF(NOT(ISNUMBER(L37)),"",IFERROR(IF(INDEX(Estadística!$L$6:$L$25,MATCH(B37,Estadística!$A$6:$A$25,0))&gt;INDEX(Estadística!$T$6:$T$25,MATCH(B37,Estadística!$A$6:$A$25,0)),IF(OR(L37&lt;INDEX(Estadística!$I$6:$I$25,MATCH(B37,Estadística!$A$6:$A$25,0))/2,L37&gt;2*INDEX(Estadística!$I$6:$I$25,MATCH(B37,Estadística!$A$6:$A$25,0))),"Fuera de ½MA–2MA: revisar","Dentro de ½MA–2MA"),"—"),""))</f>
        <v>—</v>
      </c>
      <c r="R37" s="18"/>
      <c r="S37" s="19" t="n">
        <f aca="false">IF(ISNUMBER(L37),IF(L37&gt;0,LN(L37),""),"")</f>
        <v>-2.99573227355399</v>
      </c>
      <c r="T37" s="19" t="n">
        <f aca="false">IF(ISNUMBER(S37),IFERROR((S37-LN(INDEX(Estadística!$K$6:$K$25,MATCH(B37,Estadística!$A$6:$A$25,0))))^2,""),"")</f>
        <v>0.0276631585335286</v>
      </c>
      <c r="U37" s="19" t="n">
        <f aca="false">IF(ISNUMBER(L37),IFERROR((L37-INDEX(Estadística!$I$6:$I$25,MATCH(B37,Estadística!$A$6:$A$25,0)))^2,""),"")</f>
        <v>1.11111111111111E-005</v>
      </c>
      <c r="V37" s="19" t="n">
        <f aca="false">IF(ISNUMBER(P37),IF(P37&gt;1,1,0),"")</f>
        <v>0</v>
      </c>
    </row>
    <row r="38" customFormat="false" ht="15" hidden="false" customHeight="false" outlineLevel="0" collapsed="false">
      <c r="A38" s="18" t="n">
        <v>33</v>
      </c>
      <c r="B38" s="18" t="s">
        <v>170</v>
      </c>
      <c r="C38" s="22" t="n">
        <v>46274</v>
      </c>
      <c r="D38" s="18" t="s">
        <v>232</v>
      </c>
      <c r="E38" s="18" t="s">
        <v>197</v>
      </c>
      <c r="F38" s="18" t="n">
        <v>2</v>
      </c>
      <c r="G38" s="18" t="n">
        <v>240</v>
      </c>
      <c r="H38" s="20" t="n">
        <f aca="false">IF(OR(F38="",G38=""),"",F38*G38/1000)</f>
        <v>0.48</v>
      </c>
      <c r="I38" s="23"/>
      <c r="J38" s="23" t="n">
        <v>0.02</v>
      </c>
      <c r="K38" s="18"/>
      <c r="L38" s="21" t="n">
        <f aca="false">IF(B38="","",IF(J38&lt;&gt;"",J38,IF(AND(N(I38)&gt;0,N(H38)&gt;0),I38/H38,"")))</f>
        <v>0.02</v>
      </c>
      <c r="M38" s="19" t="str">
        <f aca="false">IF(B38="","",IFERROR(INDEX(GES!$E$6:$E$25,MATCH(B38,GES!$A$6:$A$25,0)),"GES?"))</f>
        <v>ASB</v>
      </c>
      <c r="N38" s="21" t="str">
        <f aca="false">IF(AND(ISNUMBER(L38),ISNUMBER(K38),LEFT(M38,3)="CAR"),L38*K38/100,"")</f>
        <v/>
      </c>
      <c r="O38" s="21" t="n">
        <f aca="false">IF(B38="","",IFERROR(INDEX(GES!$U$6:$U$25,MATCH(B38,GES!$A$6:$A$25,0)),""))</f>
        <v>0.078125</v>
      </c>
      <c r="P38" s="24" t="n">
        <f aca="false">IF(AND(ISNUMBER(L38),ISNUMBER(O38)),L38/O38,"")</f>
        <v>0.256</v>
      </c>
      <c r="Q38" s="25" t="str">
        <f aca="false">IF(NOT(ISNUMBER(L38)),"",IFERROR(IF(INDEX(Estadística!$L$6:$L$25,MATCH(B38,Estadística!$A$6:$A$25,0))&gt;INDEX(Estadística!$T$6:$T$25,MATCH(B38,Estadística!$A$6:$A$25,0)),IF(OR(L38&lt;INDEX(Estadística!$I$6:$I$25,MATCH(B38,Estadística!$A$6:$A$25,0))/2,L38&gt;2*INDEX(Estadística!$I$6:$I$25,MATCH(B38,Estadística!$A$6:$A$25,0))),"Fuera de ½MA–2MA: revisar","Dentro de ½MA–2MA"),"—"),""))</f>
        <v>—</v>
      </c>
      <c r="R38" s="18"/>
      <c r="S38" s="19" t="n">
        <f aca="false">IF(ISNUMBER(L38),IF(L38&gt;0,LN(L38),""),"")</f>
        <v>-3.91202300542815</v>
      </c>
      <c r="T38" s="19" t="n">
        <f aca="false">IF(ISNUMBER(S38),IFERROR((S38-LN(INDEX(Estadística!$K$6:$K$25,MATCH(B38,Estadística!$A$6:$A$25,0))))^2,""),"")</f>
        <v>0.562452418588827</v>
      </c>
      <c r="U38" s="19" t="n">
        <f aca="false">IF(ISNUMBER(L38),IFERROR((L38-INDEX(Estadística!$I$6:$I$25,MATCH(B38,Estadística!$A$6:$A$25,0)))^2,""),"")</f>
        <v>0.000711111111111111</v>
      </c>
      <c r="V38" s="19" t="n">
        <f aca="false">IF(ISNUMBER(P38),IF(P38&gt;1,1,0),"")</f>
        <v>0</v>
      </c>
    </row>
    <row r="39" customFormat="false" ht="15" hidden="false" customHeight="false" outlineLevel="0" collapsed="false">
      <c r="A39" s="18" t="n">
        <v>34</v>
      </c>
      <c r="B39" s="18" t="s">
        <v>170</v>
      </c>
      <c r="C39" s="22" t="n">
        <v>46275</v>
      </c>
      <c r="D39" s="18" t="s">
        <v>233</v>
      </c>
      <c r="E39" s="18" t="s">
        <v>197</v>
      </c>
      <c r="F39" s="18" t="n">
        <v>2</v>
      </c>
      <c r="G39" s="18" t="n">
        <v>240</v>
      </c>
      <c r="H39" s="20" t="n">
        <f aca="false">IF(OR(F39="",G39=""),"",F39*G39/1000)</f>
        <v>0.48</v>
      </c>
      <c r="I39" s="23"/>
      <c r="J39" s="23" t="n">
        <v>0.08</v>
      </c>
      <c r="K39" s="18"/>
      <c r="L39" s="21" t="n">
        <f aca="false">IF(B39="","",IF(J39&lt;&gt;"",J39,IF(AND(N(I39)&gt;0,N(H39)&gt;0),I39/H39,"")))</f>
        <v>0.08</v>
      </c>
      <c r="M39" s="19" t="str">
        <f aca="false">IF(B39="","",IFERROR(INDEX(GES!$E$6:$E$25,MATCH(B39,GES!$A$6:$A$25,0)),"GES?"))</f>
        <v>ASB</v>
      </c>
      <c r="N39" s="21" t="str">
        <f aca="false">IF(AND(ISNUMBER(L39),ISNUMBER(K39),LEFT(M39,3)="CAR"),L39*K39/100,"")</f>
        <v/>
      </c>
      <c r="O39" s="21" t="n">
        <f aca="false">IF(B39="","",IFERROR(INDEX(GES!$U$6:$U$25,MATCH(B39,GES!$A$6:$A$25,0)),""))</f>
        <v>0.078125</v>
      </c>
      <c r="P39" s="24" t="n">
        <f aca="false">IF(AND(ISNUMBER(L39),ISNUMBER(O39)),L39/O39,"")</f>
        <v>1.024</v>
      </c>
      <c r="Q39" s="25" t="str">
        <f aca="false">IF(NOT(ISNUMBER(L39)),"",IFERROR(IF(INDEX(Estadística!$L$6:$L$25,MATCH(B39,Estadística!$A$6:$A$25,0))&gt;INDEX(Estadística!$T$6:$T$25,MATCH(B39,Estadística!$A$6:$A$25,0)),IF(OR(L39&lt;INDEX(Estadística!$I$6:$I$25,MATCH(B39,Estadística!$A$6:$A$25,0))/2,L39&gt;2*INDEX(Estadística!$I$6:$I$25,MATCH(B39,Estadística!$A$6:$A$25,0))),"Fuera de ½MA–2MA: revisar","Dentro de ½MA–2MA"),"—"),""))</f>
        <v>—</v>
      </c>
      <c r="R39" s="18"/>
      <c r="S39" s="19" t="n">
        <f aca="false">IF(ISNUMBER(L39),IF(L39&gt;0,LN(L39),""),"")</f>
        <v>-2.52572864430826</v>
      </c>
      <c r="T39" s="19" t="n">
        <f aca="false">IF(ISNUMBER(S39),IFERROR((S39-LN(INDEX(Estadística!$K$6:$K$25,MATCH(B39,Estadística!$A$6:$A$25,0))))^2,""),"")</f>
        <v>0.404910883564432</v>
      </c>
      <c r="U39" s="19" t="n">
        <f aca="false">IF(ISNUMBER(L39),IFERROR((L39-INDEX(Estadística!$I$6:$I$25,MATCH(B39,Estadística!$A$6:$A$25,0)))^2,""),"")</f>
        <v>0.00111111111111111</v>
      </c>
      <c r="V39" s="19" t="n">
        <f aca="false">IF(ISNUMBER(P39),IF(P39&gt;1,1,0),"")</f>
        <v>1</v>
      </c>
    </row>
    <row r="40" customFormat="false" ht="15" hidden="false" customHeight="false" outlineLevel="0" collapsed="false">
      <c r="A40" s="18" t="n">
        <v>35</v>
      </c>
      <c r="B40" s="18" t="s">
        <v>170</v>
      </c>
      <c r="C40" s="22" t="n">
        <v>46276</v>
      </c>
      <c r="D40" s="18" t="s">
        <v>234</v>
      </c>
      <c r="E40" s="18" t="s">
        <v>197</v>
      </c>
      <c r="F40" s="18" t="n">
        <v>2</v>
      </c>
      <c r="G40" s="18" t="n">
        <v>240</v>
      </c>
      <c r="H40" s="20" t="n">
        <f aca="false">IF(OR(F40="",G40=""),"",F40*G40/1000)</f>
        <v>0.48</v>
      </c>
      <c r="I40" s="23"/>
      <c r="J40" s="23" t="n">
        <v>0.04</v>
      </c>
      <c r="K40" s="18"/>
      <c r="L40" s="21" t="n">
        <f aca="false">IF(B40="","",IF(J40&lt;&gt;"",J40,IF(AND(N(I40)&gt;0,N(H40)&gt;0),I40/H40,"")))</f>
        <v>0.04</v>
      </c>
      <c r="M40" s="19" t="str">
        <f aca="false">IF(B40="","",IFERROR(INDEX(GES!$E$6:$E$25,MATCH(B40,GES!$A$6:$A$25,0)),"GES?"))</f>
        <v>ASB</v>
      </c>
      <c r="N40" s="21" t="str">
        <f aca="false">IF(AND(ISNUMBER(L40),ISNUMBER(K40),LEFT(M40,3)="CAR"),L40*K40/100,"")</f>
        <v/>
      </c>
      <c r="O40" s="21" t="n">
        <f aca="false">IF(B40="","",IFERROR(INDEX(GES!$U$6:$U$25,MATCH(B40,GES!$A$6:$A$25,0)),""))</f>
        <v>0.078125</v>
      </c>
      <c r="P40" s="24" t="n">
        <f aca="false">IF(AND(ISNUMBER(L40),ISNUMBER(O40)),L40/O40,"")</f>
        <v>0.512</v>
      </c>
      <c r="Q40" s="25" t="str">
        <f aca="false">IF(NOT(ISNUMBER(L40)),"",IFERROR(IF(INDEX(Estadística!$L$6:$L$25,MATCH(B40,Estadística!$A$6:$A$25,0))&gt;INDEX(Estadística!$T$6:$T$25,MATCH(B40,Estadística!$A$6:$A$25,0)),IF(OR(L40&lt;INDEX(Estadística!$I$6:$I$25,MATCH(B40,Estadística!$A$6:$A$25,0))/2,L40&gt;2*INDEX(Estadística!$I$6:$I$25,MATCH(B40,Estadística!$A$6:$A$25,0))),"Fuera de ½MA–2MA: revisar","Dentro de ½MA–2MA"),"—"),""))</f>
        <v>—</v>
      </c>
      <c r="R40" s="18"/>
      <c r="S40" s="19" t="n">
        <f aca="false">IF(ISNUMBER(L40),IF(L40&gt;0,LN(L40),""),"")</f>
        <v>-3.2188758248682</v>
      </c>
      <c r="T40" s="19" t="n">
        <f aca="false">IF(ISNUMBER(S40),IFERROR((S40-LN(INDEX(Estadística!$K$6:$K$25,MATCH(B40,Estadística!$A$6:$A$25,0))))^2,""),"")</f>
        <v>0.00322863715842827</v>
      </c>
      <c r="U40" s="19" t="n">
        <f aca="false">IF(ISNUMBER(L40),IFERROR((L40-INDEX(Estadística!$I$6:$I$25,MATCH(B40,Estadística!$A$6:$A$25,0)))^2,""),"")</f>
        <v>4.44444444444445E-005</v>
      </c>
      <c r="V40" s="19" t="n">
        <f aca="false">IF(ISNUMBER(P40),IF(P40&gt;1,1,0),"")</f>
        <v>0</v>
      </c>
    </row>
    <row r="41" customFormat="false" ht="15" hidden="false" customHeight="false" outlineLevel="0" collapsed="false">
      <c r="A41" s="18" t="n">
        <v>36</v>
      </c>
      <c r="B41" s="18" t="s">
        <v>170</v>
      </c>
      <c r="C41" s="22" t="n">
        <v>46277</v>
      </c>
      <c r="D41" s="18" t="s">
        <v>235</v>
      </c>
      <c r="E41" s="18" t="s">
        <v>197</v>
      </c>
      <c r="F41" s="18" t="n">
        <v>2</v>
      </c>
      <c r="G41" s="18" t="n">
        <v>240</v>
      </c>
      <c r="H41" s="20" t="n">
        <f aca="false">IF(OR(F41="",G41=""),"",F41*G41/1000)</f>
        <v>0.48</v>
      </c>
      <c r="I41" s="23"/>
      <c r="J41" s="23" t="n">
        <v>0.06</v>
      </c>
      <c r="K41" s="18"/>
      <c r="L41" s="21" t="n">
        <f aca="false">IF(B41="","",IF(J41&lt;&gt;"",J41,IF(AND(N(I41)&gt;0,N(H41)&gt;0),I41/H41,"")))</f>
        <v>0.06</v>
      </c>
      <c r="M41" s="19" t="str">
        <f aca="false">IF(B41="","",IFERROR(INDEX(GES!$E$6:$E$25,MATCH(B41,GES!$A$6:$A$25,0)),"GES?"))</f>
        <v>ASB</v>
      </c>
      <c r="N41" s="21" t="str">
        <f aca="false">IF(AND(ISNUMBER(L41),ISNUMBER(K41),LEFT(M41,3)="CAR"),L41*K41/100,"")</f>
        <v/>
      </c>
      <c r="O41" s="21" t="n">
        <f aca="false">IF(B41="","",IFERROR(INDEX(GES!$U$6:$U$25,MATCH(B41,GES!$A$6:$A$25,0)),""))</f>
        <v>0.078125</v>
      </c>
      <c r="P41" s="24" t="n">
        <f aca="false">IF(AND(ISNUMBER(L41),ISNUMBER(O41)),L41/O41,"")</f>
        <v>0.768</v>
      </c>
      <c r="Q41" s="25" t="str">
        <f aca="false">IF(NOT(ISNUMBER(L41)),"",IFERROR(IF(INDEX(Estadística!$L$6:$L$25,MATCH(B41,Estadística!$A$6:$A$25,0))&gt;INDEX(Estadística!$T$6:$T$25,MATCH(B41,Estadística!$A$6:$A$25,0)),IF(OR(L41&lt;INDEX(Estadística!$I$6:$I$25,MATCH(B41,Estadística!$A$6:$A$25,0))/2,L41&gt;2*INDEX(Estadística!$I$6:$I$25,MATCH(B41,Estadística!$A$6:$A$25,0))),"Fuera de ½MA–2MA: revisar","Dentro de ½MA–2MA"),"—"),""))</f>
        <v>—</v>
      </c>
      <c r="R41" s="18"/>
      <c r="S41" s="19" t="n">
        <f aca="false">IF(ISNUMBER(L41),IF(L41&gt;0,LN(L41),""),"")</f>
        <v>-2.81341071676004</v>
      </c>
      <c r="T41" s="19" t="n">
        <f aca="false">IF(ISNUMBER(S41),IFERROR((S41-LN(INDEX(Estadística!$K$6:$K$25,MATCH(B41,Estadística!$A$6:$A$25,0))))^2,""),"")</f>
        <v>0.121552645903934</v>
      </c>
      <c r="U41" s="19" t="n">
        <f aca="false">IF(ISNUMBER(L41),IFERROR((L41-INDEX(Estadística!$I$6:$I$25,MATCH(B41,Estadística!$A$6:$A$25,0)))^2,""),"")</f>
        <v>0.000177777777777778</v>
      </c>
      <c r="V41" s="19" t="n">
        <f aca="false">IF(ISNUMBER(P41),IF(P41&gt;1,1,0),"")</f>
        <v>0</v>
      </c>
    </row>
    <row r="42" customFormat="false" ht="15" hidden="false" customHeight="false" outlineLevel="0" collapsed="false">
      <c r="A42" s="18" t="n">
        <v>37</v>
      </c>
      <c r="B42" s="18"/>
      <c r="C42" s="22"/>
      <c r="D42" s="18"/>
      <c r="E42" s="18"/>
      <c r="F42" s="18"/>
      <c r="G42" s="18"/>
      <c r="H42" s="20" t="str">
        <f aca="false">IF(OR(F42="",G42=""),"",F42*G42/1000)</f>
        <v/>
      </c>
      <c r="I42" s="23"/>
      <c r="J42" s="23"/>
      <c r="K42" s="18"/>
      <c r="L42" s="21" t="str">
        <f aca="false">IF(B42="","",IF(J42&lt;&gt;"",J42,IF(AND(N(I42)&gt;0,N(H42)&gt;0),I42/H42,"")))</f>
        <v/>
      </c>
      <c r="M42" s="19" t="str">
        <f aca="false">IF(B42="","",IFERROR(INDEX(GES!$E$6:$E$25,MATCH(B42,GES!$A$6:$A$25,0)),"GES?"))</f>
        <v/>
      </c>
      <c r="N42" s="21" t="str">
        <f aca="false">IF(AND(ISNUMBER(L42),ISNUMBER(K42),LEFT(M42,3)="CAR"),L42*K42/100,"")</f>
        <v/>
      </c>
      <c r="O42" s="21" t="str">
        <f aca="false">IF(B42="","",IFERROR(INDEX(GES!$U$6:$U$25,MATCH(B42,GES!$A$6:$A$25,0)),""))</f>
        <v/>
      </c>
      <c r="P42" s="24" t="str">
        <f aca="false">IF(AND(ISNUMBER(L42),ISNUMBER(O42)),L42/O42,"")</f>
        <v/>
      </c>
      <c r="Q42" s="25" t="str">
        <f aca="false">IF(NOT(ISNUMBER(L42)),"",IFERROR(IF(INDEX(Estadística!$L$6:$L$25,MATCH(B42,Estadística!$A$6:$A$25,0))&gt;INDEX(Estadística!$T$6:$T$25,MATCH(B42,Estadística!$A$6:$A$25,0)),IF(OR(L42&lt;INDEX(Estadística!$I$6:$I$25,MATCH(B42,Estadística!$A$6:$A$25,0))/2,L42&gt;2*INDEX(Estadística!$I$6:$I$25,MATCH(B42,Estadística!$A$6:$A$25,0))),"Fuera de ½MA–2MA: revisar","Dentro de ½MA–2MA"),"—"),""))</f>
        <v/>
      </c>
      <c r="R42" s="18"/>
      <c r="S42" s="19" t="str">
        <f aca="false">IF(ISNUMBER(L42),IF(L42&gt;0,LN(L42),""),"")</f>
        <v/>
      </c>
      <c r="T42" s="19" t="str">
        <f aca="false">IF(ISNUMBER(S42),IFERROR((S42-LN(INDEX(Estadística!$K$6:$K$25,MATCH(B42,Estadística!$A$6:$A$25,0))))^2,""),"")</f>
        <v/>
      </c>
      <c r="U42" s="19" t="str">
        <f aca="false">IF(ISNUMBER(L42),IFERROR((L42-INDEX(Estadística!$I$6:$I$25,MATCH(B42,Estadística!$A$6:$A$25,0)))^2,""),"")</f>
        <v/>
      </c>
      <c r="V42" s="19" t="str">
        <f aca="false">IF(ISNUMBER(P42),IF(P42&gt;1,1,0),"")</f>
        <v/>
      </c>
    </row>
    <row r="43" customFormat="false" ht="15" hidden="false" customHeight="false" outlineLevel="0" collapsed="false">
      <c r="A43" s="18" t="n">
        <v>38</v>
      </c>
      <c r="B43" s="18"/>
      <c r="C43" s="22"/>
      <c r="D43" s="18"/>
      <c r="E43" s="18"/>
      <c r="F43" s="18"/>
      <c r="G43" s="18"/>
      <c r="H43" s="20" t="str">
        <f aca="false">IF(OR(F43="",G43=""),"",F43*G43/1000)</f>
        <v/>
      </c>
      <c r="I43" s="23"/>
      <c r="J43" s="23"/>
      <c r="K43" s="18"/>
      <c r="L43" s="21" t="str">
        <f aca="false">IF(B43="","",IF(J43&lt;&gt;"",J43,IF(AND(N(I43)&gt;0,N(H43)&gt;0),I43/H43,"")))</f>
        <v/>
      </c>
      <c r="M43" s="19" t="str">
        <f aca="false">IF(B43="","",IFERROR(INDEX(GES!$E$6:$E$25,MATCH(B43,GES!$A$6:$A$25,0)),"GES?"))</f>
        <v/>
      </c>
      <c r="N43" s="21" t="str">
        <f aca="false">IF(AND(ISNUMBER(L43),ISNUMBER(K43),LEFT(M43,3)="CAR"),L43*K43/100,"")</f>
        <v/>
      </c>
      <c r="O43" s="21" t="str">
        <f aca="false">IF(B43="","",IFERROR(INDEX(GES!$U$6:$U$25,MATCH(B43,GES!$A$6:$A$25,0)),""))</f>
        <v/>
      </c>
      <c r="P43" s="24" t="str">
        <f aca="false">IF(AND(ISNUMBER(L43),ISNUMBER(O43)),L43/O43,"")</f>
        <v/>
      </c>
      <c r="Q43" s="25" t="str">
        <f aca="false">IF(NOT(ISNUMBER(L43)),"",IFERROR(IF(INDEX(Estadística!$L$6:$L$25,MATCH(B43,Estadística!$A$6:$A$25,0))&gt;INDEX(Estadística!$T$6:$T$25,MATCH(B43,Estadística!$A$6:$A$25,0)),IF(OR(L43&lt;INDEX(Estadística!$I$6:$I$25,MATCH(B43,Estadística!$A$6:$A$25,0))/2,L43&gt;2*INDEX(Estadística!$I$6:$I$25,MATCH(B43,Estadística!$A$6:$A$25,0))),"Fuera de ½MA–2MA: revisar","Dentro de ½MA–2MA"),"—"),""))</f>
        <v/>
      </c>
      <c r="R43" s="18"/>
      <c r="S43" s="19" t="str">
        <f aca="false">IF(ISNUMBER(L43),IF(L43&gt;0,LN(L43),""),"")</f>
        <v/>
      </c>
      <c r="T43" s="19" t="str">
        <f aca="false">IF(ISNUMBER(S43),IFERROR((S43-LN(INDEX(Estadística!$K$6:$K$25,MATCH(B43,Estadística!$A$6:$A$25,0))))^2,""),"")</f>
        <v/>
      </c>
      <c r="U43" s="19" t="str">
        <f aca="false">IF(ISNUMBER(L43),IFERROR((L43-INDEX(Estadística!$I$6:$I$25,MATCH(B43,Estadística!$A$6:$A$25,0)))^2,""),"")</f>
        <v/>
      </c>
      <c r="V43" s="19" t="str">
        <f aca="false">IF(ISNUMBER(P43),IF(P43&gt;1,1,0),"")</f>
        <v/>
      </c>
    </row>
    <row r="44" customFormat="false" ht="15" hidden="false" customHeight="false" outlineLevel="0" collapsed="false">
      <c r="A44" s="18" t="n">
        <v>39</v>
      </c>
      <c r="B44" s="18"/>
      <c r="C44" s="22"/>
      <c r="D44" s="18"/>
      <c r="E44" s="18"/>
      <c r="F44" s="18"/>
      <c r="G44" s="18"/>
      <c r="H44" s="20" t="str">
        <f aca="false">IF(OR(F44="",G44=""),"",F44*G44/1000)</f>
        <v/>
      </c>
      <c r="I44" s="23"/>
      <c r="J44" s="23"/>
      <c r="K44" s="18"/>
      <c r="L44" s="21" t="str">
        <f aca="false">IF(B44="","",IF(J44&lt;&gt;"",J44,IF(AND(N(I44)&gt;0,N(H44)&gt;0),I44/H44,"")))</f>
        <v/>
      </c>
      <c r="M44" s="19" t="str">
        <f aca="false">IF(B44="","",IFERROR(INDEX(GES!$E$6:$E$25,MATCH(B44,GES!$A$6:$A$25,0)),"GES?"))</f>
        <v/>
      </c>
      <c r="N44" s="21" t="str">
        <f aca="false">IF(AND(ISNUMBER(L44),ISNUMBER(K44),LEFT(M44,3)="CAR"),L44*K44/100,"")</f>
        <v/>
      </c>
      <c r="O44" s="21" t="str">
        <f aca="false">IF(B44="","",IFERROR(INDEX(GES!$U$6:$U$25,MATCH(B44,GES!$A$6:$A$25,0)),""))</f>
        <v/>
      </c>
      <c r="P44" s="24" t="str">
        <f aca="false">IF(AND(ISNUMBER(L44),ISNUMBER(O44)),L44/O44,"")</f>
        <v/>
      </c>
      <c r="Q44" s="25" t="str">
        <f aca="false">IF(NOT(ISNUMBER(L44)),"",IFERROR(IF(INDEX(Estadística!$L$6:$L$25,MATCH(B44,Estadística!$A$6:$A$25,0))&gt;INDEX(Estadística!$T$6:$T$25,MATCH(B44,Estadística!$A$6:$A$25,0)),IF(OR(L44&lt;INDEX(Estadística!$I$6:$I$25,MATCH(B44,Estadística!$A$6:$A$25,0))/2,L44&gt;2*INDEX(Estadística!$I$6:$I$25,MATCH(B44,Estadística!$A$6:$A$25,0))),"Fuera de ½MA–2MA: revisar","Dentro de ½MA–2MA"),"—"),""))</f>
        <v/>
      </c>
      <c r="R44" s="18"/>
      <c r="S44" s="19" t="str">
        <f aca="false">IF(ISNUMBER(L44),IF(L44&gt;0,LN(L44),""),"")</f>
        <v/>
      </c>
      <c r="T44" s="19" t="str">
        <f aca="false">IF(ISNUMBER(S44),IFERROR((S44-LN(INDEX(Estadística!$K$6:$K$25,MATCH(B44,Estadística!$A$6:$A$25,0))))^2,""),"")</f>
        <v/>
      </c>
      <c r="U44" s="19" t="str">
        <f aca="false">IF(ISNUMBER(L44),IFERROR((L44-INDEX(Estadística!$I$6:$I$25,MATCH(B44,Estadística!$A$6:$A$25,0)))^2,""),"")</f>
        <v/>
      </c>
      <c r="V44" s="19" t="str">
        <f aca="false">IF(ISNUMBER(P44),IF(P44&gt;1,1,0),"")</f>
        <v/>
      </c>
    </row>
    <row r="45" customFormat="false" ht="15" hidden="false" customHeight="false" outlineLevel="0" collapsed="false">
      <c r="A45" s="18" t="n">
        <v>40</v>
      </c>
      <c r="B45" s="18"/>
      <c r="C45" s="22"/>
      <c r="D45" s="18"/>
      <c r="E45" s="18"/>
      <c r="F45" s="18"/>
      <c r="G45" s="18"/>
      <c r="H45" s="20" t="str">
        <f aca="false">IF(OR(F45="",G45=""),"",F45*G45/1000)</f>
        <v/>
      </c>
      <c r="I45" s="23"/>
      <c r="J45" s="23"/>
      <c r="K45" s="18"/>
      <c r="L45" s="21" t="str">
        <f aca="false">IF(B45="","",IF(J45&lt;&gt;"",J45,IF(AND(N(I45)&gt;0,N(H45)&gt;0),I45/H45,"")))</f>
        <v/>
      </c>
      <c r="M45" s="19" t="str">
        <f aca="false">IF(B45="","",IFERROR(INDEX(GES!$E$6:$E$25,MATCH(B45,GES!$A$6:$A$25,0)),"GES?"))</f>
        <v/>
      </c>
      <c r="N45" s="21" t="str">
        <f aca="false">IF(AND(ISNUMBER(L45),ISNUMBER(K45),LEFT(M45,3)="CAR"),L45*K45/100,"")</f>
        <v/>
      </c>
      <c r="O45" s="21" t="str">
        <f aca="false">IF(B45="","",IFERROR(INDEX(GES!$U$6:$U$25,MATCH(B45,GES!$A$6:$A$25,0)),""))</f>
        <v/>
      </c>
      <c r="P45" s="24" t="str">
        <f aca="false">IF(AND(ISNUMBER(L45),ISNUMBER(O45)),L45/O45,"")</f>
        <v/>
      </c>
      <c r="Q45" s="25" t="str">
        <f aca="false">IF(NOT(ISNUMBER(L45)),"",IFERROR(IF(INDEX(Estadística!$L$6:$L$25,MATCH(B45,Estadística!$A$6:$A$25,0))&gt;INDEX(Estadística!$T$6:$T$25,MATCH(B45,Estadística!$A$6:$A$25,0)),IF(OR(L45&lt;INDEX(Estadística!$I$6:$I$25,MATCH(B45,Estadística!$A$6:$A$25,0))/2,L45&gt;2*INDEX(Estadística!$I$6:$I$25,MATCH(B45,Estadística!$A$6:$A$25,0))),"Fuera de ½MA–2MA: revisar","Dentro de ½MA–2MA"),"—"),""))</f>
        <v/>
      </c>
      <c r="R45" s="18"/>
      <c r="S45" s="19" t="str">
        <f aca="false">IF(ISNUMBER(L45),IF(L45&gt;0,LN(L45),""),"")</f>
        <v/>
      </c>
      <c r="T45" s="19" t="str">
        <f aca="false">IF(ISNUMBER(S45),IFERROR((S45-LN(INDEX(Estadística!$K$6:$K$25,MATCH(B45,Estadística!$A$6:$A$25,0))))^2,""),"")</f>
        <v/>
      </c>
      <c r="U45" s="19" t="str">
        <f aca="false">IF(ISNUMBER(L45),IFERROR((L45-INDEX(Estadística!$I$6:$I$25,MATCH(B45,Estadística!$A$6:$A$25,0)))^2,""),"")</f>
        <v/>
      </c>
      <c r="V45" s="19" t="str">
        <f aca="false">IF(ISNUMBER(P45),IF(P45&gt;1,1,0),"")</f>
        <v/>
      </c>
    </row>
    <row r="46" customFormat="false" ht="15" hidden="false" customHeight="false" outlineLevel="0" collapsed="false">
      <c r="A46" s="18" t="n">
        <v>41</v>
      </c>
      <c r="B46" s="18"/>
      <c r="C46" s="22"/>
      <c r="D46" s="18"/>
      <c r="E46" s="18"/>
      <c r="F46" s="18"/>
      <c r="G46" s="18"/>
      <c r="H46" s="20" t="str">
        <f aca="false">IF(OR(F46="",G46=""),"",F46*G46/1000)</f>
        <v/>
      </c>
      <c r="I46" s="23"/>
      <c r="J46" s="23"/>
      <c r="K46" s="18"/>
      <c r="L46" s="21" t="str">
        <f aca="false">IF(B46="","",IF(J46&lt;&gt;"",J46,IF(AND(N(I46)&gt;0,N(H46)&gt;0),I46/H46,"")))</f>
        <v/>
      </c>
      <c r="M46" s="19" t="str">
        <f aca="false">IF(B46="","",IFERROR(INDEX(GES!$E$6:$E$25,MATCH(B46,GES!$A$6:$A$25,0)),"GES?"))</f>
        <v/>
      </c>
      <c r="N46" s="21" t="str">
        <f aca="false">IF(AND(ISNUMBER(L46),ISNUMBER(K46),LEFT(M46,3)="CAR"),L46*K46/100,"")</f>
        <v/>
      </c>
      <c r="O46" s="21" t="str">
        <f aca="false">IF(B46="","",IFERROR(INDEX(GES!$U$6:$U$25,MATCH(B46,GES!$A$6:$A$25,0)),""))</f>
        <v/>
      </c>
      <c r="P46" s="24" t="str">
        <f aca="false">IF(AND(ISNUMBER(L46),ISNUMBER(O46)),L46/O46,"")</f>
        <v/>
      </c>
      <c r="Q46" s="25" t="str">
        <f aca="false">IF(NOT(ISNUMBER(L46)),"",IFERROR(IF(INDEX(Estadística!$L$6:$L$25,MATCH(B46,Estadística!$A$6:$A$25,0))&gt;INDEX(Estadística!$T$6:$T$25,MATCH(B46,Estadística!$A$6:$A$25,0)),IF(OR(L46&lt;INDEX(Estadística!$I$6:$I$25,MATCH(B46,Estadística!$A$6:$A$25,0))/2,L46&gt;2*INDEX(Estadística!$I$6:$I$25,MATCH(B46,Estadística!$A$6:$A$25,0))),"Fuera de ½MA–2MA: revisar","Dentro de ½MA–2MA"),"—"),""))</f>
        <v/>
      </c>
      <c r="R46" s="18"/>
      <c r="S46" s="19" t="str">
        <f aca="false">IF(ISNUMBER(L46),IF(L46&gt;0,LN(L46),""),"")</f>
        <v/>
      </c>
      <c r="T46" s="19" t="str">
        <f aca="false">IF(ISNUMBER(S46),IFERROR((S46-LN(INDEX(Estadística!$K$6:$K$25,MATCH(B46,Estadística!$A$6:$A$25,0))))^2,""),"")</f>
        <v/>
      </c>
      <c r="U46" s="19" t="str">
        <f aca="false">IF(ISNUMBER(L46),IFERROR((L46-INDEX(Estadística!$I$6:$I$25,MATCH(B46,Estadística!$A$6:$A$25,0)))^2,""),"")</f>
        <v/>
      </c>
      <c r="V46" s="19" t="str">
        <f aca="false">IF(ISNUMBER(P46),IF(P46&gt;1,1,0),"")</f>
        <v/>
      </c>
    </row>
    <row r="47" customFormat="false" ht="15" hidden="false" customHeight="false" outlineLevel="0" collapsed="false">
      <c r="A47" s="18" t="n">
        <v>42</v>
      </c>
      <c r="B47" s="18"/>
      <c r="C47" s="22"/>
      <c r="D47" s="18"/>
      <c r="E47" s="18"/>
      <c r="F47" s="18"/>
      <c r="G47" s="18"/>
      <c r="H47" s="20" t="str">
        <f aca="false">IF(OR(F47="",G47=""),"",F47*G47/1000)</f>
        <v/>
      </c>
      <c r="I47" s="23"/>
      <c r="J47" s="23"/>
      <c r="K47" s="18"/>
      <c r="L47" s="21" t="str">
        <f aca="false">IF(B47="","",IF(J47&lt;&gt;"",J47,IF(AND(N(I47)&gt;0,N(H47)&gt;0),I47/H47,"")))</f>
        <v/>
      </c>
      <c r="M47" s="19" t="str">
        <f aca="false">IF(B47="","",IFERROR(INDEX(GES!$E$6:$E$25,MATCH(B47,GES!$A$6:$A$25,0)),"GES?"))</f>
        <v/>
      </c>
      <c r="N47" s="21" t="str">
        <f aca="false">IF(AND(ISNUMBER(L47),ISNUMBER(K47),LEFT(M47,3)="CAR"),L47*K47/100,"")</f>
        <v/>
      </c>
      <c r="O47" s="21" t="str">
        <f aca="false">IF(B47="","",IFERROR(INDEX(GES!$U$6:$U$25,MATCH(B47,GES!$A$6:$A$25,0)),""))</f>
        <v/>
      </c>
      <c r="P47" s="24" t="str">
        <f aca="false">IF(AND(ISNUMBER(L47),ISNUMBER(O47)),L47/O47,"")</f>
        <v/>
      </c>
      <c r="Q47" s="25" t="str">
        <f aca="false">IF(NOT(ISNUMBER(L47)),"",IFERROR(IF(INDEX(Estadística!$L$6:$L$25,MATCH(B47,Estadística!$A$6:$A$25,0))&gt;INDEX(Estadística!$T$6:$T$25,MATCH(B47,Estadística!$A$6:$A$25,0)),IF(OR(L47&lt;INDEX(Estadística!$I$6:$I$25,MATCH(B47,Estadística!$A$6:$A$25,0))/2,L47&gt;2*INDEX(Estadística!$I$6:$I$25,MATCH(B47,Estadística!$A$6:$A$25,0))),"Fuera de ½MA–2MA: revisar","Dentro de ½MA–2MA"),"—"),""))</f>
        <v/>
      </c>
      <c r="R47" s="18"/>
      <c r="S47" s="19" t="str">
        <f aca="false">IF(ISNUMBER(L47),IF(L47&gt;0,LN(L47),""),"")</f>
        <v/>
      </c>
      <c r="T47" s="19" t="str">
        <f aca="false">IF(ISNUMBER(S47),IFERROR((S47-LN(INDEX(Estadística!$K$6:$K$25,MATCH(B47,Estadística!$A$6:$A$25,0))))^2,""),"")</f>
        <v/>
      </c>
      <c r="U47" s="19" t="str">
        <f aca="false">IF(ISNUMBER(L47),IFERROR((L47-INDEX(Estadística!$I$6:$I$25,MATCH(B47,Estadística!$A$6:$A$25,0)))^2,""),"")</f>
        <v/>
      </c>
      <c r="V47" s="19" t="str">
        <f aca="false">IF(ISNUMBER(P47),IF(P47&gt;1,1,0),"")</f>
        <v/>
      </c>
    </row>
    <row r="48" customFormat="false" ht="15" hidden="false" customHeight="false" outlineLevel="0" collapsed="false">
      <c r="A48" s="18" t="n">
        <v>43</v>
      </c>
      <c r="B48" s="18"/>
      <c r="C48" s="22"/>
      <c r="D48" s="18"/>
      <c r="E48" s="18"/>
      <c r="F48" s="18"/>
      <c r="G48" s="18"/>
      <c r="H48" s="20" t="str">
        <f aca="false">IF(OR(F48="",G48=""),"",F48*G48/1000)</f>
        <v/>
      </c>
      <c r="I48" s="23"/>
      <c r="J48" s="23"/>
      <c r="K48" s="18"/>
      <c r="L48" s="21" t="str">
        <f aca="false">IF(B48="","",IF(J48&lt;&gt;"",J48,IF(AND(N(I48)&gt;0,N(H48)&gt;0),I48/H48,"")))</f>
        <v/>
      </c>
      <c r="M48" s="19" t="str">
        <f aca="false">IF(B48="","",IFERROR(INDEX(GES!$E$6:$E$25,MATCH(B48,GES!$A$6:$A$25,0)),"GES?"))</f>
        <v/>
      </c>
      <c r="N48" s="21" t="str">
        <f aca="false">IF(AND(ISNUMBER(L48),ISNUMBER(K48),LEFT(M48,3)="CAR"),L48*K48/100,"")</f>
        <v/>
      </c>
      <c r="O48" s="21" t="str">
        <f aca="false">IF(B48="","",IFERROR(INDEX(GES!$U$6:$U$25,MATCH(B48,GES!$A$6:$A$25,0)),""))</f>
        <v/>
      </c>
      <c r="P48" s="24" t="str">
        <f aca="false">IF(AND(ISNUMBER(L48),ISNUMBER(O48)),L48/O48,"")</f>
        <v/>
      </c>
      <c r="Q48" s="25" t="str">
        <f aca="false">IF(NOT(ISNUMBER(L48)),"",IFERROR(IF(INDEX(Estadística!$L$6:$L$25,MATCH(B48,Estadística!$A$6:$A$25,0))&gt;INDEX(Estadística!$T$6:$T$25,MATCH(B48,Estadística!$A$6:$A$25,0)),IF(OR(L48&lt;INDEX(Estadística!$I$6:$I$25,MATCH(B48,Estadística!$A$6:$A$25,0))/2,L48&gt;2*INDEX(Estadística!$I$6:$I$25,MATCH(B48,Estadística!$A$6:$A$25,0))),"Fuera de ½MA–2MA: revisar","Dentro de ½MA–2MA"),"—"),""))</f>
        <v/>
      </c>
      <c r="R48" s="18"/>
      <c r="S48" s="19" t="str">
        <f aca="false">IF(ISNUMBER(L48),IF(L48&gt;0,LN(L48),""),"")</f>
        <v/>
      </c>
      <c r="T48" s="19" t="str">
        <f aca="false">IF(ISNUMBER(S48),IFERROR((S48-LN(INDEX(Estadística!$K$6:$K$25,MATCH(B48,Estadística!$A$6:$A$25,0))))^2,""),"")</f>
        <v/>
      </c>
      <c r="U48" s="19" t="str">
        <f aca="false">IF(ISNUMBER(L48),IFERROR((L48-INDEX(Estadística!$I$6:$I$25,MATCH(B48,Estadística!$A$6:$A$25,0)))^2,""),"")</f>
        <v/>
      </c>
      <c r="V48" s="19" t="str">
        <f aca="false">IF(ISNUMBER(P48),IF(P48&gt;1,1,0),"")</f>
        <v/>
      </c>
    </row>
    <row r="49" customFormat="false" ht="15" hidden="false" customHeight="false" outlineLevel="0" collapsed="false">
      <c r="A49" s="18" t="n">
        <v>44</v>
      </c>
      <c r="B49" s="18"/>
      <c r="C49" s="22"/>
      <c r="D49" s="18"/>
      <c r="E49" s="18"/>
      <c r="F49" s="18"/>
      <c r="G49" s="18"/>
      <c r="H49" s="20" t="str">
        <f aca="false">IF(OR(F49="",G49=""),"",F49*G49/1000)</f>
        <v/>
      </c>
      <c r="I49" s="23"/>
      <c r="J49" s="23"/>
      <c r="K49" s="18"/>
      <c r="L49" s="21" t="str">
        <f aca="false">IF(B49="","",IF(J49&lt;&gt;"",J49,IF(AND(N(I49)&gt;0,N(H49)&gt;0),I49/H49,"")))</f>
        <v/>
      </c>
      <c r="M49" s="19" t="str">
        <f aca="false">IF(B49="","",IFERROR(INDEX(GES!$E$6:$E$25,MATCH(B49,GES!$A$6:$A$25,0)),"GES?"))</f>
        <v/>
      </c>
      <c r="N49" s="21" t="str">
        <f aca="false">IF(AND(ISNUMBER(L49),ISNUMBER(K49),LEFT(M49,3)="CAR"),L49*K49/100,"")</f>
        <v/>
      </c>
      <c r="O49" s="21" t="str">
        <f aca="false">IF(B49="","",IFERROR(INDEX(GES!$U$6:$U$25,MATCH(B49,GES!$A$6:$A$25,0)),""))</f>
        <v/>
      </c>
      <c r="P49" s="24" t="str">
        <f aca="false">IF(AND(ISNUMBER(L49),ISNUMBER(O49)),L49/O49,"")</f>
        <v/>
      </c>
      <c r="Q49" s="25" t="str">
        <f aca="false">IF(NOT(ISNUMBER(L49)),"",IFERROR(IF(INDEX(Estadística!$L$6:$L$25,MATCH(B49,Estadística!$A$6:$A$25,0))&gt;INDEX(Estadística!$T$6:$T$25,MATCH(B49,Estadística!$A$6:$A$25,0)),IF(OR(L49&lt;INDEX(Estadística!$I$6:$I$25,MATCH(B49,Estadística!$A$6:$A$25,0))/2,L49&gt;2*INDEX(Estadística!$I$6:$I$25,MATCH(B49,Estadística!$A$6:$A$25,0))),"Fuera de ½MA–2MA: revisar","Dentro de ½MA–2MA"),"—"),""))</f>
        <v/>
      </c>
      <c r="R49" s="18"/>
      <c r="S49" s="19" t="str">
        <f aca="false">IF(ISNUMBER(L49),IF(L49&gt;0,LN(L49),""),"")</f>
        <v/>
      </c>
      <c r="T49" s="19" t="str">
        <f aca="false">IF(ISNUMBER(S49),IFERROR((S49-LN(INDEX(Estadística!$K$6:$K$25,MATCH(B49,Estadística!$A$6:$A$25,0))))^2,""),"")</f>
        <v/>
      </c>
      <c r="U49" s="19" t="str">
        <f aca="false">IF(ISNUMBER(L49),IFERROR((L49-INDEX(Estadística!$I$6:$I$25,MATCH(B49,Estadística!$A$6:$A$25,0)))^2,""),"")</f>
        <v/>
      </c>
      <c r="V49" s="19" t="str">
        <f aca="false">IF(ISNUMBER(P49),IF(P49&gt;1,1,0),"")</f>
        <v/>
      </c>
    </row>
    <row r="50" customFormat="false" ht="15" hidden="false" customHeight="false" outlineLevel="0" collapsed="false">
      <c r="A50" s="18" t="n">
        <v>45</v>
      </c>
      <c r="B50" s="18"/>
      <c r="C50" s="22"/>
      <c r="D50" s="18"/>
      <c r="E50" s="18"/>
      <c r="F50" s="18"/>
      <c r="G50" s="18"/>
      <c r="H50" s="20" t="str">
        <f aca="false">IF(OR(F50="",G50=""),"",F50*G50/1000)</f>
        <v/>
      </c>
      <c r="I50" s="23"/>
      <c r="J50" s="23"/>
      <c r="K50" s="18"/>
      <c r="L50" s="21" t="str">
        <f aca="false">IF(B50="","",IF(J50&lt;&gt;"",J50,IF(AND(N(I50)&gt;0,N(H50)&gt;0),I50/H50,"")))</f>
        <v/>
      </c>
      <c r="M50" s="19" t="str">
        <f aca="false">IF(B50="","",IFERROR(INDEX(GES!$E$6:$E$25,MATCH(B50,GES!$A$6:$A$25,0)),"GES?"))</f>
        <v/>
      </c>
      <c r="N50" s="21" t="str">
        <f aca="false">IF(AND(ISNUMBER(L50),ISNUMBER(K50),LEFT(M50,3)="CAR"),L50*K50/100,"")</f>
        <v/>
      </c>
      <c r="O50" s="21" t="str">
        <f aca="false">IF(B50="","",IFERROR(INDEX(GES!$U$6:$U$25,MATCH(B50,GES!$A$6:$A$25,0)),""))</f>
        <v/>
      </c>
      <c r="P50" s="24" t="str">
        <f aca="false">IF(AND(ISNUMBER(L50),ISNUMBER(O50)),L50/O50,"")</f>
        <v/>
      </c>
      <c r="Q50" s="25" t="str">
        <f aca="false">IF(NOT(ISNUMBER(L50)),"",IFERROR(IF(INDEX(Estadística!$L$6:$L$25,MATCH(B50,Estadística!$A$6:$A$25,0))&gt;INDEX(Estadística!$T$6:$T$25,MATCH(B50,Estadística!$A$6:$A$25,0)),IF(OR(L50&lt;INDEX(Estadística!$I$6:$I$25,MATCH(B50,Estadística!$A$6:$A$25,0))/2,L50&gt;2*INDEX(Estadística!$I$6:$I$25,MATCH(B50,Estadística!$A$6:$A$25,0))),"Fuera de ½MA–2MA: revisar","Dentro de ½MA–2MA"),"—"),""))</f>
        <v/>
      </c>
      <c r="R50" s="18"/>
      <c r="S50" s="19" t="str">
        <f aca="false">IF(ISNUMBER(L50),IF(L50&gt;0,LN(L50),""),"")</f>
        <v/>
      </c>
      <c r="T50" s="19" t="str">
        <f aca="false">IF(ISNUMBER(S50),IFERROR((S50-LN(INDEX(Estadística!$K$6:$K$25,MATCH(B50,Estadística!$A$6:$A$25,0))))^2,""),"")</f>
        <v/>
      </c>
      <c r="U50" s="19" t="str">
        <f aca="false">IF(ISNUMBER(L50),IFERROR((L50-INDEX(Estadística!$I$6:$I$25,MATCH(B50,Estadística!$A$6:$A$25,0)))^2,""),"")</f>
        <v/>
      </c>
      <c r="V50" s="19" t="str">
        <f aca="false">IF(ISNUMBER(P50),IF(P50&gt;1,1,0),"")</f>
        <v/>
      </c>
    </row>
    <row r="51" customFormat="false" ht="15" hidden="false" customHeight="false" outlineLevel="0" collapsed="false">
      <c r="A51" s="18" t="n">
        <v>46</v>
      </c>
      <c r="B51" s="18"/>
      <c r="C51" s="22"/>
      <c r="D51" s="18"/>
      <c r="E51" s="18"/>
      <c r="F51" s="18"/>
      <c r="G51" s="18"/>
      <c r="H51" s="20" t="str">
        <f aca="false">IF(OR(F51="",G51=""),"",F51*G51/1000)</f>
        <v/>
      </c>
      <c r="I51" s="23"/>
      <c r="J51" s="23"/>
      <c r="K51" s="18"/>
      <c r="L51" s="21" t="str">
        <f aca="false">IF(B51="","",IF(J51&lt;&gt;"",J51,IF(AND(N(I51)&gt;0,N(H51)&gt;0),I51/H51,"")))</f>
        <v/>
      </c>
      <c r="M51" s="19" t="str">
        <f aca="false">IF(B51="","",IFERROR(INDEX(GES!$E$6:$E$25,MATCH(B51,GES!$A$6:$A$25,0)),"GES?"))</f>
        <v/>
      </c>
      <c r="N51" s="21" t="str">
        <f aca="false">IF(AND(ISNUMBER(L51),ISNUMBER(K51),LEFT(M51,3)="CAR"),L51*K51/100,"")</f>
        <v/>
      </c>
      <c r="O51" s="21" t="str">
        <f aca="false">IF(B51="","",IFERROR(INDEX(GES!$U$6:$U$25,MATCH(B51,GES!$A$6:$A$25,0)),""))</f>
        <v/>
      </c>
      <c r="P51" s="24" t="str">
        <f aca="false">IF(AND(ISNUMBER(L51),ISNUMBER(O51)),L51/O51,"")</f>
        <v/>
      </c>
      <c r="Q51" s="25" t="str">
        <f aca="false">IF(NOT(ISNUMBER(L51)),"",IFERROR(IF(INDEX(Estadística!$L$6:$L$25,MATCH(B51,Estadística!$A$6:$A$25,0))&gt;INDEX(Estadística!$T$6:$T$25,MATCH(B51,Estadística!$A$6:$A$25,0)),IF(OR(L51&lt;INDEX(Estadística!$I$6:$I$25,MATCH(B51,Estadística!$A$6:$A$25,0))/2,L51&gt;2*INDEX(Estadística!$I$6:$I$25,MATCH(B51,Estadística!$A$6:$A$25,0))),"Fuera de ½MA–2MA: revisar","Dentro de ½MA–2MA"),"—"),""))</f>
        <v/>
      </c>
      <c r="R51" s="18"/>
      <c r="S51" s="19" t="str">
        <f aca="false">IF(ISNUMBER(L51),IF(L51&gt;0,LN(L51),""),"")</f>
        <v/>
      </c>
      <c r="T51" s="19" t="str">
        <f aca="false">IF(ISNUMBER(S51),IFERROR((S51-LN(INDEX(Estadística!$K$6:$K$25,MATCH(B51,Estadística!$A$6:$A$25,0))))^2,""),"")</f>
        <v/>
      </c>
      <c r="U51" s="19" t="str">
        <f aca="false">IF(ISNUMBER(L51),IFERROR((L51-INDEX(Estadística!$I$6:$I$25,MATCH(B51,Estadística!$A$6:$A$25,0)))^2,""),"")</f>
        <v/>
      </c>
      <c r="V51" s="19" t="str">
        <f aca="false">IF(ISNUMBER(P51),IF(P51&gt;1,1,0),"")</f>
        <v/>
      </c>
    </row>
    <row r="52" customFormat="false" ht="15" hidden="false" customHeight="false" outlineLevel="0" collapsed="false">
      <c r="A52" s="18" t="n">
        <v>47</v>
      </c>
      <c r="B52" s="18"/>
      <c r="C52" s="22"/>
      <c r="D52" s="18"/>
      <c r="E52" s="18"/>
      <c r="F52" s="18"/>
      <c r="G52" s="18"/>
      <c r="H52" s="20" t="str">
        <f aca="false">IF(OR(F52="",G52=""),"",F52*G52/1000)</f>
        <v/>
      </c>
      <c r="I52" s="23"/>
      <c r="J52" s="23"/>
      <c r="K52" s="18"/>
      <c r="L52" s="21" t="str">
        <f aca="false">IF(B52="","",IF(J52&lt;&gt;"",J52,IF(AND(N(I52)&gt;0,N(H52)&gt;0),I52/H52,"")))</f>
        <v/>
      </c>
      <c r="M52" s="19" t="str">
        <f aca="false">IF(B52="","",IFERROR(INDEX(GES!$E$6:$E$25,MATCH(B52,GES!$A$6:$A$25,0)),"GES?"))</f>
        <v/>
      </c>
      <c r="N52" s="21" t="str">
        <f aca="false">IF(AND(ISNUMBER(L52),ISNUMBER(K52),LEFT(M52,3)="CAR"),L52*K52/100,"")</f>
        <v/>
      </c>
      <c r="O52" s="21" t="str">
        <f aca="false">IF(B52="","",IFERROR(INDEX(GES!$U$6:$U$25,MATCH(B52,GES!$A$6:$A$25,0)),""))</f>
        <v/>
      </c>
      <c r="P52" s="24" t="str">
        <f aca="false">IF(AND(ISNUMBER(L52),ISNUMBER(O52)),L52/O52,"")</f>
        <v/>
      </c>
      <c r="Q52" s="25" t="str">
        <f aca="false">IF(NOT(ISNUMBER(L52)),"",IFERROR(IF(INDEX(Estadística!$L$6:$L$25,MATCH(B52,Estadística!$A$6:$A$25,0))&gt;INDEX(Estadística!$T$6:$T$25,MATCH(B52,Estadística!$A$6:$A$25,0)),IF(OR(L52&lt;INDEX(Estadística!$I$6:$I$25,MATCH(B52,Estadística!$A$6:$A$25,0))/2,L52&gt;2*INDEX(Estadística!$I$6:$I$25,MATCH(B52,Estadística!$A$6:$A$25,0))),"Fuera de ½MA–2MA: revisar","Dentro de ½MA–2MA"),"—"),""))</f>
        <v/>
      </c>
      <c r="R52" s="18"/>
      <c r="S52" s="19" t="str">
        <f aca="false">IF(ISNUMBER(L52),IF(L52&gt;0,LN(L52),""),"")</f>
        <v/>
      </c>
      <c r="T52" s="19" t="str">
        <f aca="false">IF(ISNUMBER(S52),IFERROR((S52-LN(INDEX(Estadística!$K$6:$K$25,MATCH(B52,Estadística!$A$6:$A$25,0))))^2,""),"")</f>
        <v/>
      </c>
      <c r="U52" s="19" t="str">
        <f aca="false">IF(ISNUMBER(L52),IFERROR((L52-INDEX(Estadística!$I$6:$I$25,MATCH(B52,Estadística!$A$6:$A$25,0)))^2,""),"")</f>
        <v/>
      </c>
      <c r="V52" s="19" t="str">
        <f aca="false">IF(ISNUMBER(P52),IF(P52&gt;1,1,0),"")</f>
        <v/>
      </c>
    </row>
    <row r="53" customFormat="false" ht="15" hidden="false" customHeight="false" outlineLevel="0" collapsed="false">
      <c r="A53" s="18" t="n">
        <v>48</v>
      </c>
      <c r="B53" s="18"/>
      <c r="C53" s="22"/>
      <c r="D53" s="18"/>
      <c r="E53" s="18"/>
      <c r="F53" s="18"/>
      <c r="G53" s="18"/>
      <c r="H53" s="20" t="str">
        <f aca="false">IF(OR(F53="",G53=""),"",F53*G53/1000)</f>
        <v/>
      </c>
      <c r="I53" s="23"/>
      <c r="J53" s="23"/>
      <c r="K53" s="18"/>
      <c r="L53" s="21" t="str">
        <f aca="false">IF(B53="","",IF(J53&lt;&gt;"",J53,IF(AND(N(I53)&gt;0,N(H53)&gt;0),I53/H53,"")))</f>
        <v/>
      </c>
      <c r="M53" s="19" t="str">
        <f aca="false">IF(B53="","",IFERROR(INDEX(GES!$E$6:$E$25,MATCH(B53,GES!$A$6:$A$25,0)),"GES?"))</f>
        <v/>
      </c>
      <c r="N53" s="21" t="str">
        <f aca="false">IF(AND(ISNUMBER(L53),ISNUMBER(K53),LEFT(M53,3)="CAR"),L53*K53/100,"")</f>
        <v/>
      </c>
      <c r="O53" s="21" t="str">
        <f aca="false">IF(B53="","",IFERROR(INDEX(GES!$U$6:$U$25,MATCH(B53,GES!$A$6:$A$25,0)),""))</f>
        <v/>
      </c>
      <c r="P53" s="24" t="str">
        <f aca="false">IF(AND(ISNUMBER(L53),ISNUMBER(O53)),L53/O53,"")</f>
        <v/>
      </c>
      <c r="Q53" s="25" t="str">
        <f aca="false">IF(NOT(ISNUMBER(L53)),"",IFERROR(IF(INDEX(Estadística!$L$6:$L$25,MATCH(B53,Estadística!$A$6:$A$25,0))&gt;INDEX(Estadística!$T$6:$T$25,MATCH(B53,Estadística!$A$6:$A$25,0)),IF(OR(L53&lt;INDEX(Estadística!$I$6:$I$25,MATCH(B53,Estadística!$A$6:$A$25,0))/2,L53&gt;2*INDEX(Estadística!$I$6:$I$25,MATCH(B53,Estadística!$A$6:$A$25,0))),"Fuera de ½MA–2MA: revisar","Dentro de ½MA–2MA"),"—"),""))</f>
        <v/>
      </c>
      <c r="R53" s="18"/>
      <c r="S53" s="19" t="str">
        <f aca="false">IF(ISNUMBER(L53),IF(L53&gt;0,LN(L53),""),"")</f>
        <v/>
      </c>
      <c r="T53" s="19" t="str">
        <f aca="false">IF(ISNUMBER(S53),IFERROR((S53-LN(INDEX(Estadística!$K$6:$K$25,MATCH(B53,Estadística!$A$6:$A$25,0))))^2,""),"")</f>
        <v/>
      </c>
      <c r="U53" s="19" t="str">
        <f aca="false">IF(ISNUMBER(L53),IFERROR((L53-INDEX(Estadística!$I$6:$I$25,MATCH(B53,Estadística!$A$6:$A$25,0)))^2,""),"")</f>
        <v/>
      </c>
      <c r="V53" s="19" t="str">
        <f aca="false">IF(ISNUMBER(P53),IF(P53&gt;1,1,0),"")</f>
        <v/>
      </c>
    </row>
    <row r="54" customFormat="false" ht="15" hidden="false" customHeight="false" outlineLevel="0" collapsed="false">
      <c r="A54" s="18" t="n">
        <v>49</v>
      </c>
      <c r="B54" s="18"/>
      <c r="C54" s="22"/>
      <c r="D54" s="18"/>
      <c r="E54" s="18"/>
      <c r="F54" s="18"/>
      <c r="G54" s="18"/>
      <c r="H54" s="20" t="str">
        <f aca="false">IF(OR(F54="",G54=""),"",F54*G54/1000)</f>
        <v/>
      </c>
      <c r="I54" s="23"/>
      <c r="J54" s="23"/>
      <c r="K54" s="18"/>
      <c r="L54" s="21" t="str">
        <f aca="false">IF(B54="","",IF(J54&lt;&gt;"",J54,IF(AND(N(I54)&gt;0,N(H54)&gt;0),I54/H54,"")))</f>
        <v/>
      </c>
      <c r="M54" s="19" t="str">
        <f aca="false">IF(B54="","",IFERROR(INDEX(GES!$E$6:$E$25,MATCH(B54,GES!$A$6:$A$25,0)),"GES?"))</f>
        <v/>
      </c>
      <c r="N54" s="21" t="str">
        <f aca="false">IF(AND(ISNUMBER(L54),ISNUMBER(K54),LEFT(M54,3)="CAR"),L54*K54/100,"")</f>
        <v/>
      </c>
      <c r="O54" s="21" t="str">
        <f aca="false">IF(B54="","",IFERROR(INDEX(GES!$U$6:$U$25,MATCH(B54,GES!$A$6:$A$25,0)),""))</f>
        <v/>
      </c>
      <c r="P54" s="24" t="str">
        <f aca="false">IF(AND(ISNUMBER(L54),ISNUMBER(O54)),L54/O54,"")</f>
        <v/>
      </c>
      <c r="Q54" s="25" t="str">
        <f aca="false">IF(NOT(ISNUMBER(L54)),"",IFERROR(IF(INDEX(Estadística!$L$6:$L$25,MATCH(B54,Estadística!$A$6:$A$25,0))&gt;INDEX(Estadística!$T$6:$T$25,MATCH(B54,Estadística!$A$6:$A$25,0)),IF(OR(L54&lt;INDEX(Estadística!$I$6:$I$25,MATCH(B54,Estadística!$A$6:$A$25,0))/2,L54&gt;2*INDEX(Estadística!$I$6:$I$25,MATCH(B54,Estadística!$A$6:$A$25,0))),"Fuera de ½MA–2MA: revisar","Dentro de ½MA–2MA"),"—"),""))</f>
        <v/>
      </c>
      <c r="R54" s="18"/>
      <c r="S54" s="19" t="str">
        <f aca="false">IF(ISNUMBER(L54),IF(L54&gt;0,LN(L54),""),"")</f>
        <v/>
      </c>
      <c r="T54" s="19" t="str">
        <f aca="false">IF(ISNUMBER(S54),IFERROR((S54-LN(INDEX(Estadística!$K$6:$K$25,MATCH(B54,Estadística!$A$6:$A$25,0))))^2,""),"")</f>
        <v/>
      </c>
      <c r="U54" s="19" t="str">
        <f aca="false">IF(ISNUMBER(L54),IFERROR((L54-INDEX(Estadística!$I$6:$I$25,MATCH(B54,Estadística!$A$6:$A$25,0)))^2,""),"")</f>
        <v/>
      </c>
      <c r="V54" s="19" t="str">
        <f aca="false">IF(ISNUMBER(P54),IF(P54&gt;1,1,0),"")</f>
        <v/>
      </c>
    </row>
    <row r="55" customFormat="false" ht="15" hidden="false" customHeight="false" outlineLevel="0" collapsed="false">
      <c r="A55" s="18" t="n">
        <v>50</v>
      </c>
      <c r="B55" s="18"/>
      <c r="C55" s="22"/>
      <c r="D55" s="18"/>
      <c r="E55" s="18"/>
      <c r="F55" s="18"/>
      <c r="G55" s="18"/>
      <c r="H55" s="20" t="str">
        <f aca="false">IF(OR(F55="",G55=""),"",F55*G55/1000)</f>
        <v/>
      </c>
      <c r="I55" s="23"/>
      <c r="J55" s="23"/>
      <c r="K55" s="18"/>
      <c r="L55" s="21" t="str">
        <f aca="false">IF(B55="","",IF(J55&lt;&gt;"",J55,IF(AND(N(I55)&gt;0,N(H55)&gt;0),I55/H55,"")))</f>
        <v/>
      </c>
      <c r="M55" s="19" t="str">
        <f aca="false">IF(B55="","",IFERROR(INDEX(GES!$E$6:$E$25,MATCH(B55,GES!$A$6:$A$25,0)),"GES?"))</f>
        <v/>
      </c>
      <c r="N55" s="21" t="str">
        <f aca="false">IF(AND(ISNUMBER(L55),ISNUMBER(K55),LEFT(M55,3)="CAR"),L55*K55/100,"")</f>
        <v/>
      </c>
      <c r="O55" s="21" t="str">
        <f aca="false">IF(B55="","",IFERROR(INDEX(GES!$U$6:$U$25,MATCH(B55,GES!$A$6:$A$25,0)),""))</f>
        <v/>
      </c>
      <c r="P55" s="24" t="str">
        <f aca="false">IF(AND(ISNUMBER(L55),ISNUMBER(O55)),L55/O55,"")</f>
        <v/>
      </c>
      <c r="Q55" s="25" t="str">
        <f aca="false">IF(NOT(ISNUMBER(L55)),"",IFERROR(IF(INDEX(Estadística!$L$6:$L$25,MATCH(B55,Estadística!$A$6:$A$25,0))&gt;INDEX(Estadística!$T$6:$T$25,MATCH(B55,Estadística!$A$6:$A$25,0)),IF(OR(L55&lt;INDEX(Estadística!$I$6:$I$25,MATCH(B55,Estadística!$A$6:$A$25,0))/2,L55&gt;2*INDEX(Estadística!$I$6:$I$25,MATCH(B55,Estadística!$A$6:$A$25,0))),"Fuera de ½MA–2MA: revisar","Dentro de ½MA–2MA"),"—"),""))</f>
        <v/>
      </c>
      <c r="R55" s="18"/>
      <c r="S55" s="19" t="str">
        <f aca="false">IF(ISNUMBER(L55),IF(L55&gt;0,LN(L55),""),"")</f>
        <v/>
      </c>
      <c r="T55" s="19" t="str">
        <f aca="false">IF(ISNUMBER(S55),IFERROR((S55-LN(INDEX(Estadística!$K$6:$K$25,MATCH(B55,Estadística!$A$6:$A$25,0))))^2,""),"")</f>
        <v/>
      </c>
      <c r="U55" s="19" t="str">
        <f aca="false">IF(ISNUMBER(L55),IFERROR((L55-INDEX(Estadística!$I$6:$I$25,MATCH(B55,Estadística!$A$6:$A$25,0)))^2,""),"")</f>
        <v/>
      </c>
      <c r="V55" s="19" t="str">
        <f aca="false">IF(ISNUMBER(P55),IF(P55&gt;1,1,0),"")</f>
        <v/>
      </c>
    </row>
    <row r="56" customFormat="false" ht="15" hidden="false" customHeight="false" outlineLevel="0" collapsed="false">
      <c r="A56" s="18" t="n">
        <v>51</v>
      </c>
      <c r="B56" s="18"/>
      <c r="C56" s="22"/>
      <c r="D56" s="18"/>
      <c r="E56" s="18"/>
      <c r="F56" s="18"/>
      <c r="G56" s="18"/>
      <c r="H56" s="20" t="str">
        <f aca="false">IF(OR(F56="",G56=""),"",F56*G56/1000)</f>
        <v/>
      </c>
      <c r="I56" s="23"/>
      <c r="J56" s="23"/>
      <c r="K56" s="18"/>
      <c r="L56" s="21" t="str">
        <f aca="false">IF(B56="","",IF(J56&lt;&gt;"",J56,IF(AND(N(I56)&gt;0,N(H56)&gt;0),I56/H56,"")))</f>
        <v/>
      </c>
      <c r="M56" s="19" t="str">
        <f aca="false">IF(B56="","",IFERROR(INDEX(GES!$E$6:$E$25,MATCH(B56,GES!$A$6:$A$25,0)),"GES?"))</f>
        <v/>
      </c>
      <c r="N56" s="21" t="str">
        <f aca="false">IF(AND(ISNUMBER(L56),ISNUMBER(K56),LEFT(M56,3)="CAR"),L56*K56/100,"")</f>
        <v/>
      </c>
      <c r="O56" s="21" t="str">
        <f aca="false">IF(B56="","",IFERROR(INDEX(GES!$U$6:$U$25,MATCH(B56,GES!$A$6:$A$25,0)),""))</f>
        <v/>
      </c>
      <c r="P56" s="24" t="str">
        <f aca="false">IF(AND(ISNUMBER(L56),ISNUMBER(O56)),L56/O56,"")</f>
        <v/>
      </c>
      <c r="Q56" s="25" t="str">
        <f aca="false">IF(NOT(ISNUMBER(L56)),"",IFERROR(IF(INDEX(Estadística!$L$6:$L$25,MATCH(B56,Estadística!$A$6:$A$25,0))&gt;INDEX(Estadística!$T$6:$T$25,MATCH(B56,Estadística!$A$6:$A$25,0)),IF(OR(L56&lt;INDEX(Estadística!$I$6:$I$25,MATCH(B56,Estadística!$A$6:$A$25,0))/2,L56&gt;2*INDEX(Estadística!$I$6:$I$25,MATCH(B56,Estadística!$A$6:$A$25,0))),"Fuera de ½MA–2MA: revisar","Dentro de ½MA–2MA"),"—"),""))</f>
        <v/>
      </c>
      <c r="R56" s="18"/>
      <c r="S56" s="19" t="str">
        <f aca="false">IF(ISNUMBER(L56),IF(L56&gt;0,LN(L56),""),"")</f>
        <v/>
      </c>
      <c r="T56" s="19" t="str">
        <f aca="false">IF(ISNUMBER(S56),IFERROR((S56-LN(INDEX(Estadística!$K$6:$K$25,MATCH(B56,Estadística!$A$6:$A$25,0))))^2,""),"")</f>
        <v/>
      </c>
      <c r="U56" s="19" t="str">
        <f aca="false">IF(ISNUMBER(L56),IFERROR((L56-INDEX(Estadística!$I$6:$I$25,MATCH(B56,Estadística!$A$6:$A$25,0)))^2,""),"")</f>
        <v/>
      </c>
      <c r="V56" s="19" t="str">
        <f aca="false">IF(ISNUMBER(P56),IF(P56&gt;1,1,0),"")</f>
        <v/>
      </c>
    </row>
    <row r="57" customFormat="false" ht="15" hidden="false" customHeight="false" outlineLevel="0" collapsed="false">
      <c r="A57" s="18" t="n">
        <v>52</v>
      </c>
      <c r="B57" s="18"/>
      <c r="C57" s="22"/>
      <c r="D57" s="18"/>
      <c r="E57" s="18"/>
      <c r="F57" s="18"/>
      <c r="G57" s="18"/>
      <c r="H57" s="20" t="str">
        <f aca="false">IF(OR(F57="",G57=""),"",F57*G57/1000)</f>
        <v/>
      </c>
      <c r="I57" s="23"/>
      <c r="J57" s="23"/>
      <c r="K57" s="18"/>
      <c r="L57" s="21" t="str">
        <f aca="false">IF(B57="","",IF(J57&lt;&gt;"",J57,IF(AND(N(I57)&gt;0,N(H57)&gt;0),I57/H57,"")))</f>
        <v/>
      </c>
      <c r="M57" s="19" t="str">
        <f aca="false">IF(B57="","",IFERROR(INDEX(GES!$E$6:$E$25,MATCH(B57,GES!$A$6:$A$25,0)),"GES?"))</f>
        <v/>
      </c>
      <c r="N57" s="21" t="str">
        <f aca="false">IF(AND(ISNUMBER(L57),ISNUMBER(K57),LEFT(M57,3)="CAR"),L57*K57/100,"")</f>
        <v/>
      </c>
      <c r="O57" s="21" t="str">
        <f aca="false">IF(B57="","",IFERROR(INDEX(GES!$U$6:$U$25,MATCH(B57,GES!$A$6:$A$25,0)),""))</f>
        <v/>
      </c>
      <c r="P57" s="24" t="str">
        <f aca="false">IF(AND(ISNUMBER(L57),ISNUMBER(O57)),L57/O57,"")</f>
        <v/>
      </c>
      <c r="Q57" s="25" t="str">
        <f aca="false">IF(NOT(ISNUMBER(L57)),"",IFERROR(IF(INDEX(Estadística!$L$6:$L$25,MATCH(B57,Estadística!$A$6:$A$25,0))&gt;INDEX(Estadística!$T$6:$T$25,MATCH(B57,Estadística!$A$6:$A$25,0)),IF(OR(L57&lt;INDEX(Estadística!$I$6:$I$25,MATCH(B57,Estadística!$A$6:$A$25,0))/2,L57&gt;2*INDEX(Estadística!$I$6:$I$25,MATCH(B57,Estadística!$A$6:$A$25,0))),"Fuera de ½MA–2MA: revisar","Dentro de ½MA–2MA"),"—"),""))</f>
        <v/>
      </c>
      <c r="R57" s="18"/>
      <c r="S57" s="19" t="str">
        <f aca="false">IF(ISNUMBER(L57),IF(L57&gt;0,LN(L57),""),"")</f>
        <v/>
      </c>
      <c r="T57" s="19" t="str">
        <f aca="false">IF(ISNUMBER(S57),IFERROR((S57-LN(INDEX(Estadística!$K$6:$K$25,MATCH(B57,Estadística!$A$6:$A$25,0))))^2,""),"")</f>
        <v/>
      </c>
      <c r="U57" s="19" t="str">
        <f aca="false">IF(ISNUMBER(L57),IFERROR((L57-INDEX(Estadística!$I$6:$I$25,MATCH(B57,Estadística!$A$6:$A$25,0)))^2,""),"")</f>
        <v/>
      </c>
      <c r="V57" s="19" t="str">
        <f aca="false">IF(ISNUMBER(P57),IF(P57&gt;1,1,0),"")</f>
        <v/>
      </c>
    </row>
    <row r="58" customFormat="false" ht="15" hidden="false" customHeight="false" outlineLevel="0" collapsed="false">
      <c r="A58" s="18" t="n">
        <v>53</v>
      </c>
      <c r="B58" s="18"/>
      <c r="C58" s="22"/>
      <c r="D58" s="18"/>
      <c r="E58" s="18"/>
      <c r="F58" s="18"/>
      <c r="G58" s="18"/>
      <c r="H58" s="20" t="str">
        <f aca="false">IF(OR(F58="",G58=""),"",F58*G58/1000)</f>
        <v/>
      </c>
      <c r="I58" s="23"/>
      <c r="J58" s="23"/>
      <c r="K58" s="18"/>
      <c r="L58" s="21" t="str">
        <f aca="false">IF(B58="","",IF(J58&lt;&gt;"",J58,IF(AND(N(I58)&gt;0,N(H58)&gt;0),I58/H58,"")))</f>
        <v/>
      </c>
      <c r="M58" s="19" t="str">
        <f aca="false">IF(B58="","",IFERROR(INDEX(GES!$E$6:$E$25,MATCH(B58,GES!$A$6:$A$25,0)),"GES?"))</f>
        <v/>
      </c>
      <c r="N58" s="21" t="str">
        <f aca="false">IF(AND(ISNUMBER(L58),ISNUMBER(K58),LEFT(M58,3)="CAR"),L58*K58/100,"")</f>
        <v/>
      </c>
      <c r="O58" s="21" t="str">
        <f aca="false">IF(B58="","",IFERROR(INDEX(GES!$U$6:$U$25,MATCH(B58,GES!$A$6:$A$25,0)),""))</f>
        <v/>
      </c>
      <c r="P58" s="24" t="str">
        <f aca="false">IF(AND(ISNUMBER(L58),ISNUMBER(O58)),L58/O58,"")</f>
        <v/>
      </c>
      <c r="Q58" s="25" t="str">
        <f aca="false">IF(NOT(ISNUMBER(L58)),"",IFERROR(IF(INDEX(Estadística!$L$6:$L$25,MATCH(B58,Estadística!$A$6:$A$25,0))&gt;INDEX(Estadística!$T$6:$T$25,MATCH(B58,Estadística!$A$6:$A$25,0)),IF(OR(L58&lt;INDEX(Estadística!$I$6:$I$25,MATCH(B58,Estadística!$A$6:$A$25,0))/2,L58&gt;2*INDEX(Estadística!$I$6:$I$25,MATCH(B58,Estadística!$A$6:$A$25,0))),"Fuera de ½MA–2MA: revisar","Dentro de ½MA–2MA"),"—"),""))</f>
        <v/>
      </c>
      <c r="R58" s="18"/>
      <c r="S58" s="19" t="str">
        <f aca="false">IF(ISNUMBER(L58),IF(L58&gt;0,LN(L58),""),"")</f>
        <v/>
      </c>
      <c r="T58" s="19" t="str">
        <f aca="false">IF(ISNUMBER(S58),IFERROR((S58-LN(INDEX(Estadística!$K$6:$K$25,MATCH(B58,Estadística!$A$6:$A$25,0))))^2,""),"")</f>
        <v/>
      </c>
      <c r="U58" s="19" t="str">
        <f aca="false">IF(ISNUMBER(L58),IFERROR((L58-INDEX(Estadística!$I$6:$I$25,MATCH(B58,Estadística!$A$6:$A$25,0)))^2,""),"")</f>
        <v/>
      </c>
      <c r="V58" s="19" t="str">
        <f aca="false">IF(ISNUMBER(P58),IF(P58&gt;1,1,0),"")</f>
        <v/>
      </c>
    </row>
    <row r="59" customFormat="false" ht="15" hidden="false" customHeight="false" outlineLevel="0" collapsed="false">
      <c r="A59" s="18" t="n">
        <v>54</v>
      </c>
      <c r="B59" s="18"/>
      <c r="C59" s="22"/>
      <c r="D59" s="18"/>
      <c r="E59" s="18"/>
      <c r="F59" s="18"/>
      <c r="G59" s="18"/>
      <c r="H59" s="20" t="str">
        <f aca="false">IF(OR(F59="",G59=""),"",F59*G59/1000)</f>
        <v/>
      </c>
      <c r="I59" s="23"/>
      <c r="J59" s="23"/>
      <c r="K59" s="18"/>
      <c r="L59" s="21" t="str">
        <f aca="false">IF(B59="","",IF(J59&lt;&gt;"",J59,IF(AND(N(I59)&gt;0,N(H59)&gt;0),I59/H59,"")))</f>
        <v/>
      </c>
      <c r="M59" s="19" t="str">
        <f aca="false">IF(B59="","",IFERROR(INDEX(GES!$E$6:$E$25,MATCH(B59,GES!$A$6:$A$25,0)),"GES?"))</f>
        <v/>
      </c>
      <c r="N59" s="21" t="str">
        <f aca="false">IF(AND(ISNUMBER(L59),ISNUMBER(K59),LEFT(M59,3)="CAR"),L59*K59/100,"")</f>
        <v/>
      </c>
      <c r="O59" s="21" t="str">
        <f aca="false">IF(B59="","",IFERROR(INDEX(GES!$U$6:$U$25,MATCH(B59,GES!$A$6:$A$25,0)),""))</f>
        <v/>
      </c>
      <c r="P59" s="24" t="str">
        <f aca="false">IF(AND(ISNUMBER(L59),ISNUMBER(O59)),L59/O59,"")</f>
        <v/>
      </c>
      <c r="Q59" s="25" t="str">
        <f aca="false">IF(NOT(ISNUMBER(L59)),"",IFERROR(IF(INDEX(Estadística!$L$6:$L$25,MATCH(B59,Estadística!$A$6:$A$25,0))&gt;INDEX(Estadística!$T$6:$T$25,MATCH(B59,Estadística!$A$6:$A$25,0)),IF(OR(L59&lt;INDEX(Estadística!$I$6:$I$25,MATCH(B59,Estadística!$A$6:$A$25,0))/2,L59&gt;2*INDEX(Estadística!$I$6:$I$25,MATCH(B59,Estadística!$A$6:$A$25,0))),"Fuera de ½MA–2MA: revisar","Dentro de ½MA–2MA"),"—"),""))</f>
        <v/>
      </c>
      <c r="R59" s="18"/>
      <c r="S59" s="19" t="str">
        <f aca="false">IF(ISNUMBER(L59),IF(L59&gt;0,LN(L59),""),"")</f>
        <v/>
      </c>
      <c r="T59" s="19" t="str">
        <f aca="false">IF(ISNUMBER(S59),IFERROR((S59-LN(INDEX(Estadística!$K$6:$K$25,MATCH(B59,Estadística!$A$6:$A$25,0))))^2,""),"")</f>
        <v/>
      </c>
      <c r="U59" s="19" t="str">
        <f aca="false">IF(ISNUMBER(L59),IFERROR((L59-INDEX(Estadística!$I$6:$I$25,MATCH(B59,Estadística!$A$6:$A$25,0)))^2,""),"")</f>
        <v/>
      </c>
      <c r="V59" s="19" t="str">
        <f aca="false">IF(ISNUMBER(P59),IF(P59&gt;1,1,0),"")</f>
        <v/>
      </c>
    </row>
    <row r="60" customFormat="false" ht="15" hidden="false" customHeight="false" outlineLevel="0" collapsed="false">
      <c r="A60" s="18" t="n">
        <v>55</v>
      </c>
      <c r="B60" s="18"/>
      <c r="C60" s="22"/>
      <c r="D60" s="18"/>
      <c r="E60" s="18"/>
      <c r="F60" s="18"/>
      <c r="G60" s="18"/>
      <c r="H60" s="20" t="str">
        <f aca="false">IF(OR(F60="",G60=""),"",F60*G60/1000)</f>
        <v/>
      </c>
      <c r="I60" s="23"/>
      <c r="J60" s="23"/>
      <c r="K60" s="18"/>
      <c r="L60" s="21" t="str">
        <f aca="false">IF(B60="","",IF(J60&lt;&gt;"",J60,IF(AND(N(I60)&gt;0,N(H60)&gt;0),I60/H60,"")))</f>
        <v/>
      </c>
      <c r="M60" s="19" t="str">
        <f aca="false">IF(B60="","",IFERROR(INDEX(GES!$E$6:$E$25,MATCH(B60,GES!$A$6:$A$25,0)),"GES?"))</f>
        <v/>
      </c>
      <c r="N60" s="21" t="str">
        <f aca="false">IF(AND(ISNUMBER(L60),ISNUMBER(K60),LEFT(M60,3)="CAR"),L60*K60/100,"")</f>
        <v/>
      </c>
      <c r="O60" s="21" t="str">
        <f aca="false">IF(B60="","",IFERROR(INDEX(GES!$U$6:$U$25,MATCH(B60,GES!$A$6:$A$25,0)),""))</f>
        <v/>
      </c>
      <c r="P60" s="24" t="str">
        <f aca="false">IF(AND(ISNUMBER(L60),ISNUMBER(O60)),L60/O60,"")</f>
        <v/>
      </c>
      <c r="Q60" s="25" t="str">
        <f aca="false">IF(NOT(ISNUMBER(L60)),"",IFERROR(IF(INDEX(Estadística!$L$6:$L$25,MATCH(B60,Estadística!$A$6:$A$25,0))&gt;INDEX(Estadística!$T$6:$T$25,MATCH(B60,Estadística!$A$6:$A$25,0)),IF(OR(L60&lt;INDEX(Estadística!$I$6:$I$25,MATCH(B60,Estadística!$A$6:$A$25,0))/2,L60&gt;2*INDEX(Estadística!$I$6:$I$25,MATCH(B60,Estadística!$A$6:$A$25,0))),"Fuera de ½MA–2MA: revisar","Dentro de ½MA–2MA"),"—"),""))</f>
        <v/>
      </c>
      <c r="R60" s="18"/>
      <c r="S60" s="19" t="str">
        <f aca="false">IF(ISNUMBER(L60),IF(L60&gt;0,LN(L60),""),"")</f>
        <v/>
      </c>
      <c r="T60" s="19" t="str">
        <f aca="false">IF(ISNUMBER(S60),IFERROR((S60-LN(INDEX(Estadística!$K$6:$K$25,MATCH(B60,Estadística!$A$6:$A$25,0))))^2,""),"")</f>
        <v/>
      </c>
      <c r="U60" s="19" t="str">
        <f aca="false">IF(ISNUMBER(L60),IFERROR((L60-INDEX(Estadística!$I$6:$I$25,MATCH(B60,Estadística!$A$6:$A$25,0)))^2,""),"")</f>
        <v/>
      </c>
      <c r="V60" s="19" t="str">
        <f aca="false">IF(ISNUMBER(P60),IF(P60&gt;1,1,0),"")</f>
        <v/>
      </c>
    </row>
    <row r="61" customFormat="false" ht="15" hidden="false" customHeight="false" outlineLevel="0" collapsed="false">
      <c r="A61" s="18" t="n">
        <v>56</v>
      </c>
      <c r="B61" s="18"/>
      <c r="C61" s="22"/>
      <c r="D61" s="18"/>
      <c r="E61" s="18"/>
      <c r="F61" s="18"/>
      <c r="G61" s="18"/>
      <c r="H61" s="20" t="str">
        <f aca="false">IF(OR(F61="",G61=""),"",F61*G61/1000)</f>
        <v/>
      </c>
      <c r="I61" s="23"/>
      <c r="J61" s="23"/>
      <c r="K61" s="18"/>
      <c r="L61" s="21" t="str">
        <f aca="false">IF(B61="","",IF(J61&lt;&gt;"",J61,IF(AND(N(I61)&gt;0,N(H61)&gt;0),I61/H61,"")))</f>
        <v/>
      </c>
      <c r="M61" s="19" t="str">
        <f aca="false">IF(B61="","",IFERROR(INDEX(GES!$E$6:$E$25,MATCH(B61,GES!$A$6:$A$25,0)),"GES?"))</f>
        <v/>
      </c>
      <c r="N61" s="21" t="str">
        <f aca="false">IF(AND(ISNUMBER(L61),ISNUMBER(K61),LEFT(M61,3)="CAR"),L61*K61/100,"")</f>
        <v/>
      </c>
      <c r="O61" s="21" t="str">
        <f aca="false">IF(B61="","",IFERROR(INDEX(GES!$U$6:$U$25,MATCH(B61,GES!$A$6:$A$25,0)),""))</f>
        <v/>
      </c>
      <c r="P61" s="24" t="str">
        <f aca="false">IF(AND(ISNUMBER(L61),ISNUMBER(O61)),L61/O61,"")</f>
        <v/>
      </c>
      <c r="Q61" s="25" t="str">
        <f aca="false">IF(NOT(ISNUMBER(L61)),"",IFERROR(IF(INDEX(Estadística!$L$6:$L$25,MATCH(B61,Estadística!$A$6:$A$25,0))&gt;INDEX(Estadística!$T$6:$T$25,MATCH(B61,Estadística!$A$6:$A$25,0)),IF(OR(L61&lt;INDEX(Estadística!$I$6:$I$25,MATCH(B61,Estadística!$A$6:$A$25,0))/2,L61&gt;2*INDEX(Estadística!$I$6:$I$25,MATCH(B61,Estadística!$A$6:$A$25,0))),"Fuera de ½MA–2MA: revisar","Dentro de ½MA–2MA"),"—"),""))</f>
        <v/>
      </c>
      <c r="R61" s="18"/>
      <c r="S61" s="19" t="str">
        <f aca="false">IF(ISNUMBER(L61),IF(L61&gt;0,LN(L61),""),"")</f>
        <v/>
      </c>
      <c r="T61" s="19" t="str">
        <f aca="false">IF(ISNUMBER(S61),IFERROR((S61-LN(INDEX(Estadística!$K$6:$K$25,MATCH(B61,Estadística!$A$6:$A$25,0))))^2,""),"")</f>
        <v/>
      </c>
      <c r="U61" s="19" t="str">
        <f aca="false">IF(ISNUMBER(L61),IFERROR((L61-INDEX(Estadística!$I$6:$I$25,MATCH(B61,Estadística!$A$6:$A$25,0)))^2,""),"")</f>
        <v/>
      </c>
      <c r="V61" s="19" t="str">
        <f aca="false">IF(ISNUMBER(P61),IF(P61&gt;1,1,0),"")</f>
        <v/>
      </c>
    </row>
    <row r="62" customFormat="false" ht="15" hidden="false" customHeight="false" outlineLevel="0" collapsed="false">
      <c r="A62" s="18" t="n">
        <v>57</v>
      </c>
      <c r="B62" s="18"/>
      <c r="C62" s="22"/>
      <c r="D62" s="18"/>
      <c r="E62" s="18"/>
      <c r="F62" s="18"/>
      <c r="G62" s="18"/>
      <c r="H62" s="20" t="str">
        <f aca="false">IF(OR(F62="",G62=""),"",F62*G62/1000)</f>
        <v/>
      </c>
      <c r="I62" s="23"/>
      <c r="J62" s="23"/>
      <c r="K62" s="18"/>
      <c r="L62" s="21" t="str">
        <f aca="false">IF(B62="","",IF(J62&lt;&gt;"",J62,IF(AND(N(I62)&gt;0,N(H62)&gt;0),I62/H62,"")))</f>
        <v/>
      </c>
      <c r="M62" s="19" t="str">
        <f aca="false">IF(B62="","",IFERROR(INDEX(GES!$E$6:$E$25,MATCH(B62,GES!$A$6:$A$25,0)),"GES?"))</f>
        <v/>
      </c>
      <c r="N62" s="21" t="str">
        <f aca="false">IF(AND(ISNUMBER(L62),ISNUMBER(K62),LEFT(M62,3)="CAR"),L62*K62/100,"")</f>
        <v/>
      </c>
      <c r="O62" s="21" t="str">
        <f aca="false">IF(B62="","",IFERROR(INDEX(GES!$U$6:$U$25,MATCH(B62,GES!$A$6:$A$25,0)),""))</f>
        <v/>
      </c>
      <c r="P62" s="24" t="str">
        <f aca="false">IF(AND(ISNUMBER(L62),ISNUMBER(O62)),L62/O62,"")</f>
        <v/>
      </c>
      <c r="Q62" s="25" t="str">
        <f aca="false">IF(NOT(ISNUMBER(L62)),"",IFERROR(IF(INDEX(Estadística!$L$6:$L$25,MATCH(B62,Estadística!$A$6:$A$25,0))&gt;INDEX(Estadística!$T$6:$T$25,MATCH(B62,Estadística!$A$6:$A$25,0)),IF(OR(L62&lt;INDEX(Estadística!$I$6:$I$25,MATCH(B62,Estadística!$A$6:$A$25,0))/2,L62&gt;2*INDEX(Estadística!$I$6:$I$25,MATCH(B62,Estadística!$A$6:$A$25,0))),"Fuera de ½MA–2MA: revisar","Dentro de ½MA–2MA"),"—"),""))</f>
        <v/>
      </c>
      <c r="R62" s="18"/>
      <c r="S62" s="19" t="str">
        <f aca="false">IF(ISNUMBER(L62),IF(L62&gt;0,LN(L62),""),"")</f>
        <v/>
      </c>
      <c r="T62" s="19" t="str">
        <f aca="false">IF(ISNUMBER(S62),IFERROR((S62-LN(INDEX(Estadística!$K$6:$K$25,MATCH(B62,Estadística!$A$6:$A$25,0))))^2,""),"")</f>
        <v/>
      </c>
      <c r="U62" s="19" t="str">
        <f aca="false">IF(ISNUMBER(L62),IFERROR((L62-INDEX(Estadística!$I$6:$I$25,MATCH(B62,Estadística!$A$6:$A$25,0)))^2,""),"")</f>
        <v/>
      </c>
      <c r="V62" s="19" t="str">
        <f aca="false">IF(ISNUMBER(P62),IF(P62&gt;1,1,0),"")</f>
        <v/>
      </c>
    </row>
    <row r="63" customFormat="false" ht="15" hidden="false" customHeight="false" outlineLevel="0" collapsed="false">
      <c r="A63" s="18" t="n">
        <v>58</v>
      </c>
      <c r="B63" s="18"/>
      <c r="C63" s="22"/>
      <c r="D63" s="18"/>
      <c r="E63" s="18"/>
      <c r="F63" s="18"/>
      <c r="G63" s="18"/>
      <c r="H63" s="20" t="str">
        <f aca="false">IF(OR(F63="",G63=""),"",F63*G63/1000)</f>
        <v/>
      </c>
      <c r="I63" s="23"/>
      <c r="J63" s="23"/>
      <c r="K63" s="18"/>
      <c r="L63" s="21" t="str">
        <f aca="false">IF(B63="","",IF(J63&lt;&gt;"",J63,IF(AND(N(I63)&gt;0,N(H63)&gt;0),I63/H63,"")))</f>
        <v/>
      </c>
      <c r="M63" s="19" t="str">
        <f aca="false">IF(B63="","",IFERROR(INDEX(GES!$E$6:$E$25,MATCH(B63,GES!$A$6:$A$25,0)),"GES?"))</f>
        <v/>
      </c>
      <c r="N63" s="21" t="str">
        <f aca="false">IF(AND(ISNUMBER(L63),ISNUMBER(K63),LEFT(M63,3)="CAR"),L63*K63/100,"")</f>
        <v/>
      </c>
      <c r="O63" s="21" t="str">
        <f aca="false">IF(B63="","",IFERROR(INDEX(GES!$U$6:$U$25,MATCH(B63,GES!$A$6:$A$25,0)),""))</f>
        <v/>
      </c>
      <c r="P63" s="24" t="str">
        <f aca="false">IF(AND(ISNUMBER(L63),ISNUMBER(O63)),L63/O63,"")</f>
        <v/>
      </c>
      <c r="Q63" s="25" t="str">
        <f aca="false">IF(NOT(ISNUMBER(L63)),"",IFERROR(IF(INDEX(Estadística!$L$6:$L$25,MATCH(B63,Estadística!$A$6:$A$25,0))&gt;INDEX(Estadística!$T$6:$T$25,MATCH(B63,Estadística!$A$6:$A$25,0)),IF(OR(L63&lt;INDEX(Estadística!$I$6:$I$25,MATCH(B63,Estadística!$A$6:$A$25,0))/2,L63&gt;2*INDEX(Estadística!$I$6:$I$25,MATCH(B63,Estadística!$A$6:$A$25,0))),"Fuera de ½MA–2MA: revisar","Dentro de ½MA–2MA"),"—"),""))</f>
        <v/>
      </c>
      <c r="R63" s="18"/>
      <c r="S63" s="19" t="str">
        <f aca="false">IF(ISNUMBER(L63),IF(L63&gt;0,LN(L63),""),"")</f>
        <v/>
      </c>
      <c r="T63" s="19" t="str">
        <f aca="false">IF(ISNUMBER(S63),IFERROR((S63-LN(INDEX(Estadística!$K$6:$K$25,MATCH(B63,Estadística!$A$6:$A$25,0))))^2,""),"")</f>
        <v/>
      </c>
      <c r="U63" s="19" t="str">
        <f aca="false">IF(ISNUMBER(L63),IFERROR((L63-INDEX(Estadística!$I$6:$I$25,MATCH(B63,Estadística!$A$6:$A$25,0)))^2,""),"")</f>
        <v/>
      </c>
      <c r="V63" s="19" t="str">
        <f aca="false">IF(ISNUMBER(P63),IF(P63&gt;1,1,0),"")</f>
        <v/>
      </c>
    </row>
    <row r="64" customFormat="false" ht="15" hidden="false" customHeight="false" outlineLevel="0" collapsed="false">
      <c r="A64" s="18" t="n">
        <v>59</v>
      </c>
      <c r="B64" s="18"/>
      <c r="C64" s="22"/>
      <c r="D64" s="18"/>
      <c r="E64" s="18"/>
      <c r="F64" s="18"/>
      <c r="G64" s="18"/>
      <c r="H64" s="20" t="str">
        <f aca="false">IF(OR(F64="",G64=""),"",F64*G64/1000)</f>
        <v/>
      </c>
      <c r="I64" s="23"/>
      <c r="J64" s="23"/>
      <c r="K64" s="18"/>
      <c r="L64" s="21" t="str">
        <f aca="false">IF(B64="","",IF(J64&lt;&gt;"",J64,IF(AND(N(I64)&gt;0,N(H64)&gt;0),I64/H64,"")))</f>
        <v/>
      </c>
      <c r="M64" s="19" t="str">
        <f aca="false">IF(B64="","",IFERROR(INDEX(GES!$E$6:$E$25,MATCH(B64,GES!$A$6:$A$25,0)),"GES?"))</f>
        <v/>
      </c>
      <c r="N64" s="21" t="str">
        <f aca="false">IF(AND(ISNUMBER(L64),ISNUMBER(K64),LEFT(M64,3)="CAR"),L64*K64/100,"")</f>
        <v/>
      </c>
      <c r="O64" s="21" t="str">
        <f aca="false">IF(B64="","",IFERROR(INDEX(GES!$U$6:$U$25,MATCH(B64,GES!$A$6:$A$25,0)),""))</f>
        <v/>
      </c>
      <c r="P64" s="24" t="str">
        <f aca="false">IF(AND(ISNUMBER(L64),ISNUMBER(O64)),L64/O64,"")</f>
        <v/>
      </c>
      <c r="Q64" s="25" t="str">
        <f aca="false">IF(NOT(ISNUMBER(L64)),"",IFERROR(IF(INDEX(Estadística!$L$6:$L$25,MATCH(B64,Estadística!$A$6:$A$25,0))&gt;INDEX(Estadística!$T$6:$T$25,MATCH(B64,Estadística!$A$6:$A$25,0)),IF(OR(L64&lt;INDEX(Estadística!$I$6:$I$25,MATCH(B64,Estadística!$A$6:$A$25,0))/2,L64&gt;2*INDEX(Estadística!$I$6:$I$25,MATCH(B64,Estadística!$A$6:$A$25,0))),"Fuera de ½MA–2MA: revisar","Dentro de ½MA–2MA"),"—"),""))</f>
        <v/>
      </c>
      <c r="R64" s="18"/>
      <c r="S64" s="19" t="str">
        <f aca="false">IF(ISNUMBER(L64),IF(L64&gt;0,LN(L64),""),"")</f>
        <v/>
      </c>
      <c r="T64" s="19" t="str">
        <f aca="false">IF(ISNUMBER(S64),IFERROR((S64-LN(INDEX(Estadística!$K$6:$K$25,MATCH(B64,Estadística!$A$6:$A$25,0))))^2,""),"")</f>
        <v/>
      </c>
      <c r="U64" s="19" t="str">
        <f aca="false">IF(ISNUMBER(L64),IFERROR((L64-INDEX(Estadística!$I$6:$I$25,MATCH(B64,Estadística!$A$6:$A$25,0)))^2,""),"")</f>
        <v/>
      </c>
      <c r="V64" s="19" t="str">
        <f aca="false">IF(ISNUMBER(P64),IF(P64&gt;1,1,0),"")</f>
        <v/>
      </c>
    </row>
    <row r="65" customFormat="false" ht="15" hidden="false" customHeight="false" outlineLevel="0" collapsed="false">
      <c r="A65" s="18" t="n">
        <v>60</v>
      </c>
      <c r="B65" s="18"/>
      <c r="C65" s="22"/>
      <c r="D65" s="18"/>
      <c r="E65" s="18"/>
      <c r="F65" s="18"/>
      <c r="G65" s="18"/>
      <c r="H65" s="20" t="str">
        <f aca="false">IF(OR(F65="",G65=""),"",F65*G65/1000)</f>
        <v/>
      </c>
      <c r="I65" s="23"/>
      <c r="J65" s="23"/>
      <c r="K65" s="18"/>
      <c r="L65" s="21" t="str">
        <f aca="false">IF(B65="","",IF(J65&lt;&gt;"",J65,IF(AND(N(I65)&gt;0,N(H65)&gt;0),I65/H65,"")))</f>
        <v/>
      </c>
      <c r="M65" s="19" t="str">
        <f aca="false">IF(B65="","",IFERROR(INDEX(GES!$E$6:$E$25,MATCH(B65,GES!$A$6:$A$25,0)),"GES?"))</f>
        <v/>
      </c>
      <c r="N65" s="21" t="str">
        <f aca="false">IF(AND(ISNUMBER(L65),ISNUMBER(K65),LEFT(M65,3)="CAR"),L65*K65/100,"")</f>
        <v/>
      </c>
      <c r="O65" s="21" t="str">
        <f aca="false">IF(B65="","",IFERROR(INDEX(GES!$U$6:$U$25,MATCH(B65,GES!$A$6:$A$25,0)),""))</f>
        <v/>
      </c>
      <c r="P65" s="24" t="str">
        <f aca="false">IF(AND(ISNUMBER(L65),ISNUMBER(O65)),L65/O65,"")</f>
        <v/>
      </c>
      <c r="Q65" s="25" t="str">
        <f aca="false">IF(NOT(ISNUMBER(L65)),"",IFERROR(IF(INDEX(Estadística!$L$6:$L$25,MATCH(B65,Estadística!$A$6:$A$25,0))&gt;INDEX(Estadística!$T$6:$T$25,MATCH(B65,Estadística!$A$6:$A$25,0)),IF(OR(L65&lt;INDEX(Estadística!$I$6:$I$25,MATCH(B65,Estadística!$A$6:$A$25,0))/2,L65&gt;2*INDEX(Estadística!$I$6:$I$25,MATCH(B65,Estadística!$A$6:$A$25,0))),"Fuera de ½MA–2MA: revisar","Dentro de ½MA–2MA"),"—"),""))</f>
        <v/>
      </c>
      <c r="R65" s="18"/>
      <c r="S65" s="19" t="str">
        <f aca="false">IF(ISNUMBER(L65),IF(L65&gt;0,LN(L65),""),"")</f>
        <v/>
      </c>
      <c r="T65" s="19" t="str">
        <f aca="false">IF(ISNUMBER(S65),IFERROR((S65-LN(INDEX(Estadística!$K$6:$K$25,MATCH(B65,Estadística!$A$6:$A$25,0))))^2,""),"")</f>
        <v/>
      </c>
      <c r="U65" s="19" t="str">
        <f aca="false">IF(ISNUMBER(L65),IFERROR((L65-INDEX(Estadística!$I$6:$I$25,MATCH(B65,Estadística!$A$6:$A$25,0)))^2,""),"")</f>
        <v/>
      </c>
      <c r="V65" s="19" t="str">
        <f aca="false">IF(ISNUMBER(P65),IF(P65&gt;1,1,0),"")</f>
        <v/>
      </c>
    </row>
    <row r="66" customFormat="false" ht="15" hidden="false" customHeight="false" outlineLevel="0" collapsed="false">
      <c r="A66" s="18" t="n">
        <v>61</v>
      </c>
      <c r="B66" s="18"/>
      <c r="C66" s="22"/>
      <c r="D66" s="18"/>
      <c r="E66" s="18"/>
      <c r="F66" s="18"/>
      <c r="G66" s="18"/>
      <c r="H66" s="20" t="str">
        <f aca="false">IF(OR(F66="",G66=""),"",F66*G66/1000)</f>
        <v/>
      </c>
      <c r="I66" s="23"/>
      <c r="J66" s="23"/>
      <c r="K66" s="18"/>
      <c r="L66" s="21" t="str">
        <f aca="false">IF(B66="","",IF(J66&lt;&gt;"",J66,IF(AND(N(I66)&gt;0,N(H66)&gt;0),I66/H66,"")))</f>
        <v/>
      </c>
      <c r="M66" s="19" t="str">
        <f aca="false">IF(B66="","",IFERROR(INDEX(GES!$E$6:$E$25,MATCH(B66,GES!$A$6:$A$25,0)),"GES?"))</f>
        <v/>
      </c>
      <c r="N66" s="21" t="str">
        <f aca="false">IF(AND(ISNUMBER(L66),ISNUMBER(K66),LEFT(M66,3)="CAR"),L66*K66/100,"")</f>
        <v/>
      </c>
      <c r="O66" s="21" t="str">
        <f aca="false">IF(B66="","",IFERROR(INDEX(GES!$U$6:$U$25,MATCH(B66,GES!$A$6:$A$25,0)),""))</f>
        <v/>
      </c>
      <c r="P66" s="24" t="str">
        <f aca="false">IF(AND(ISNUMBER(L66),ISNUMBER(O66)),L66/O66,"")</f>
        <v/>
      </c>
      <c r="Q66" s="25" t="str">
        <f aca="false">IF(NOT(ISNUMBER(L66)),"",IFERROR(IF(INDEX(Estadística!$L$6:$L$25,MATCH(B66,Estadística!$A$6:$A$25,0))&gt;INDEX(Estadística!$T$6:$T$25,MATCH(B66,Estadística!$A$6:$A$25,0)),IF(OR(L66&lt;INDEX(Estadística!$I$6:$I$25,MATCH(B66,Estadística!$A$6:$A$25,0))/2,L66&gt;2*INDEX(Estadística!$I$6:$I$25,MATCH(B66,Estadística!$A$6:$A$25,0))),"Fuera de ½MA–2MA: revisar","Dentro de ½MA–2MA"),"—"),""))</f>
        <v/>
      </c>
      <c r="R66" s="18"/>
      <c r="S66" s="19" t="str">
        <f aca="false">IF(ISNUMBER(L66),IF(L66&gt;0,LN(L66),""),"")</f>
        <v/>
      </c>
      <c r="T66" s="19" t="str">
        <f aca="false">IF(ISNUMBER(S66),IFERROR((S66-LN(INDEX(Estadística!$K$6:$K$25,MATCH(B66,Estadística!$A$6:$A$25,0))))^2,""),"")</f>
        <v/>
      </c>
      <c r="U66" s="19" t="str">
        <f aca="false">IF(ISNUMBER(L66),IFERROR((L66-INDEX(Estadística!$I$6:$I$25,MATCH(B66,Estadística!$A$6:$A$25,0)))^2,""),"")</f>
        <v/>
      </c>
      <c r="V66" s="19" t="str">
        <f aca="false">IF(ISNUMBER(P66),IF(P66&gt;1,1,0),"")</f>
        <v/>
      </c>
    </row>
    <row r="67" customFormat="false" ht="15" hidden="false" customHeight="false" outlineLevel="0" collapsed="false">
      <c r="A67" s="18" t="n">
        <v>62</v>
      </c>
      <c r="B67" s="18"/>
      <c r="C67" s="22"/>
      <c r="D67" s="18"/>
      <c r="E67" s="18"/>
      <c r="F67" s="18"/>
      <c r="G67" s="18"/>
      <c r="H67" s="20" t="str">
        <f aca="false">IF(OR(F67="",G67=""),"",F67*G67/1000)</f>
        <v/>
      </c>
      <c r="I67" s="23"/>
      <c r="J67" s="23"/>
      <c r="K67" s="18"/>
      <c r="L67" s="21" t="str">
        <f aca="false">IF(B67="","",IF(J67&lt;&gt;"",J67,IF(AND(N(I67)&gt;0,N(H67)&gt;0),I67/H67,"")))</f>
        <v/>
      </c>
      <c r="M67" s="19" t="str">
        <f aca="false">IF(B67="","",IFERROR(INDEX(GES!$E$6:$E$25,MATCH(B67,GES!$A$6:$A$25,0)),"GES?"))</f>
        <v/>
      </c>
      <c r="N67" s="21" t="str">
        <f aca="false">IF(AND(ISNUMBER(L67),ISNUMBER(K67),LEFT(M67,3)="CAR"),L67*K67/100,"")</f>
        <v/>
      </c>
      <c r="O67" s="21" t="str">
        <f aca="false">IF(B67="","",IFERROR(INDEX(GES!$U$6:$U$25,MATCH(B67,GES!$A$6:$A$25,0)),""))</f>
        <v/>
      </c>
      <c r="P67" s="24" t="str">
        <f aca="false">IF(AND(ISNUMBER(L67),ISNUMBER(O67)),L67/O67,"")</f>
        <v/>
      </c>
      <c r="Q67" s="25" t="str">
        <f aca="false">IF(NOT(ISNUMBER(L67)),"",IFERROR(IF(INDEX(Estadística!$L$6:$L$25,MATCH(B67,Estadística!$A$6:$A$25,0))&gt;INDEX(Estadística!$T$6:$T$25,MATCH(B67,Estadística!$A$6:$A$25,0)),IF(OR(L67&lt;INDEX(Estadística!$I$6:$I$25,MATCH(B67,Estadística!$A$6:$A$25,0))/2,L67&gt;2*INDEX(Estadística!$I$6:$I$25,MATCH(B67,Estadística!$A$6:$A$25,0))),"Fuera de ½MA–2MA: revisar","Dentro de ½MA–2MA"),"—"),""))</f>
        <v/>
      </c>
      <c r="R67" s="18"/>
      <c r="S67" s="19" t="str">
        <f aca="false">IF(ISNUMBER(L67),IF(L67&gt;0,LN(L67),""),"")</f>
        <v/>
      </c>
      <c r="T67" s="19" t="str">
        <f aca="false">IF(ISNUMBER(S67),IFERROR((S67-LN(INDEX(Estadística!$K$6:$K$25,MATCH(B67,Estadística!$A$6:$A$25,0))))^2,""),"")</f>
        <v/>
      </c>
      <c r="U67" s="19" t="str">
        <f aca="false">IF(ISNUMBER(L67),IFERROR((L67-INDEX(Estadística!$I$6:$I$25,MATCH(B67,Estadística!$A$6:$A$25,0)))^2,""),"")</f>
        <v/>
      </c>
      <c r="V67" s="19" t="str">
        <f aca="false">IF(ISNUMBER(P67),IF(P67&gt;1,1,0),"")</f>
        <v/>
      </c>
    </row>
    <row r="68" customFormat="false" ht="15" hidden="false" customHeight="false" outlineLevel="0" collapsed="false">
      <c r="A68" s="18" t="n">
        <v>63</v>
      </c>
      <c r="B68" s="18"/>
      <c r="C68" s="22"/>
      <c r="D68" s="18"/>
      <c r="E68" s="18"/>
      <c r="F68" s="18"/>
      <c r="G68" s="18"/>
      <c r="H68" s="20" t="str">
        <f aca="false">IF(OR(F68="",G68=""),"",F68*G68/1000)</f>
        <v/>
      </c>
      <c r="I68" s="23"/>
      <c r="J68" s="23"/>
      <c r="K68" s="18"/>
      <c r="L68" s="21" t="str">
        <f aca="false">IF(B68="","",IF(J68&lt;&gt;"",J68,IF(AND(N(I68)&gt;0,N(H68)&gt;0),I68/H68,"")))</f>
        <v/>
      </c>
      <c r="M68" s="19" t="str">
        <f aca="false">IF(B68="","",IFERROR(INDEX(GES!$E$6:$E$25,MATCH(B68,GES!$A$6:$A$25,0)),"GES?"))</f>
        <v/>
      </c>
      <c r="N68" s="21" t="str">
        <f aca="false">IF(AND(ISNUMBER(L68),ISNUMBER(K68),LEFT(M68,3)="CAR"),L68*K68/100,"")</f>
        <v/>
      </c>
      <c r="O68" s="21" t="str">
        <f aca="false">IF(B68="","",IFERROR(INDEX(GES!$U$6:$U$25,MATCH(B68,GES!$A$6:$A$25,0)),""))</f>
        <v/>
      </c>
      <c r="P68" s="24" t="str">
        <f aca="false">IF(AND(ISNUMBER(L68),ISNUMBER(O68)),L68/O68,"")</f>
        <v/>
      </c>
      <c r="Q68" s="25" t="str">
        <f aca="false">IF(NOT(ISNUMBER(L68)),"",IFERROR(IF(INDEX(Estadística!$L$6:$L$25,MATCH(B68,Estadística!$A$6:$A$25,0))&gt;INDEX(Estadística!$T$6:$T$25,MATCH(B68,Estadística!$A$6:$A$25,0)),IF(OR(L68&lt;INDEX(Estadística!$I$6:$I$25,MATCH(B68,Estadística!$A$6:$A$25,0))/2,L68&gt;2*INDEX(Estadística!$I$6:$I$25,MATCH(B68,Estadística!$A$6:$A$25,0))),"Fuera de ½MA–2MA: revisar","Dentro de ½MA–2MA"),"—"),""))</f>
        <v/>
      </c>
      <c r="R68" s="18"/>
      <c r="S68" s="19" t="str">
        <f aca="false">IF(ISNUMBER(L68),IF(L68&gt;0,LN(L68),""),"")</f>
        <v/>
      </c>
      <c r="T68" s="19" t="str">
        <f aca="false">IF(ISNUMBER(S68),IFERROR((S68-LN(INDEX(Estadística!$K$6:$K$25,MATCH(B68,Estadística!$A$6:$A$25,0))))^2,""),"")</f>
        <v/>
      </c>
      <c r="U68" s="19" t="str">
        <f aca="false">IF(ISNUMBER(L68),IFERROR((L68-INDEX(Estadística!$I$6:$I$25,MATCH(B68,Estadística!$A$6:$A$25,0)))^2,""),"")</f>
        <v/>
      </c>
      <c r="V68" s="19" t="str">
        <f aca="false">IF(ISNUMBER(P68),IF(P68&gt;1,1,0),"")</f>
        <v/>
      </c>
    </row>
    <row r="69" customFormat="false" ht="15" hidden="false" customHeight="false" outlineLevel="0" collapsed="false">
      <c r="A69" s="18" t="n">
        <v>64</v>
      </c>
      <c r="B69" s="18"/>
      <c r="C69" s="22"/>
      <c r="D69" s="18"/>
      <c r="E69" s="18"/>
      <c r="F69" s="18"/>
      <c r="G69" s="18"/>
      <c r="H69" s="20" t="str">
        <f aca="false">IF(OR(F69="",G69=""),"",F69*G69/1000)</f>
        <v/>
      </c>
      <c r="I69" s="23"/>
      <c r="J69" s="23"/>
      <c r="K69" s="18"/>
      <c r="L69" s="21" t="str">
        <f aca="false">IF(B69="","",IF(J69&lt;&gt;"",J69,IF(AND(N(I69)&gt;0,N(H69)&gt;0),I69/H69,"")))</f>
        <v/>
      </c>
      <c r="M69" s="19" t="str">
        <f aca="false">IF(B69="","",IFERROR(INDEX(GES!$E$6:$E$25,MATCH(B69,GES!$A$6:$A$25,0)),"GES?"))</f>
        <v/>
      </c>
      <c r="N69" s="21" t="str">
        <f aca="false">IF(AND(ISNUMBER(L69),ISNUMBER(K69),LEFT(M69,3)="CAR"),L69*K69/100,"")</f>
        <v/>
      </c>
      <c r="O69" s="21" t="str">
        <f aca="false">IF(B69="","",IFERROR(INDEX(GES!$U$6:$U$25,MATCH(B69,GES!$A$6:$A$25,0)),""))</f>
        <v/>
      </c>
      <c r="P69" s="24" t="str">
        <f aca="false">IF(AND(ISNUMBER(L69),ISNUMBER(O69)),L69/O69,"")</f>
        <v/>
      </c>
      <c r="Q69" s="25" t="str">
        <f aca="false">IF(NOT(ISNUMBER(L69)),"",IFERROR(IF(INDEX(Estadística!$L$6:$L$25,MATCH(B69,Estadística!$A$6:$A$25,0))&gt;INDEX(Estadística!$T$6:$T$25,MATCH(B69,Estadística!$A$6:$A$25,0)),IF(OR(L69&lt;INDEX(Estadística!$I$6:$I$25,MATCH(B69,Estadística!$A$6:$A$25,0))/2,L69&gt;2*INDEX(Estadística!$I$6:$I$25,MATCH(B69,Estadística!$A$6:$A$25,0))),"Fuera de ½MA–2MA: revisar","Dentro de ½MA–2MA"),"—"),""))</f>
        <v/>
      </c>
      <c r="R69" s="18"/>
      <c r="S69" s="19" t="str">
        <f aca="false">IF(ISNUMBER(L69),IF(L69&gt;0,LN(L69),""),"")</f>
        <v/>
      </c>
      <c r="T69" s="19" t="str">
        <f aca="false">IF(ISNUMBER(S69),IFERROR((S69-LN(INDEX(Estadística!$K$6:$K$25,MATCH(B69,Estadística!$A$6:$A$25,0))))^2,""),"")</f>
        <v/>
      </c>
      <c r="U69" s="19" t="str">
        <f aca="false">IF(ISNUMBER(L69),IFERROR((L69-INDEX(Estadística!$I$6:$I$25,MATCH(B69,Estadística!$A$6:$A$25,0)))^2,""),"")</f>
        <v/>
      </c>
      <c r="V69" s="19" t="str">
        <f aca="false">IF(ISNUMBER(P69),IF(P69&gt;1,1,0),"")</f>
        <v/>
      </c>
    </row>
    <row r="70" customFormat="false" ht="15" hidden="false" customHeight="false" outlineLevel="0" collapsed="false">
      <c r="A70" s="18" t="n">
        <v>65</v>
      </c>
      <c r="B70" s="18"/>
      <c r="C70" s="22"/>
      <c r="D70" s="18"/>
      <c r="E70" s="18"/>
      <c r="F70" s="18"/>
      <c r="G70" s="18"/>
      <c r="H70" s="20" t="str">
        <f aca="false">IF(OR(F70="",G70=""),"",F70*G70/1000)</f>
        <v/>
      </c>
      <c r="I70" s="23"/>
      <c r="J70" s="23"/>
      <c r="K70" s="18"/>
      <c r="L70" s="21" t="str">
        <f aca="false">IF(B70="","",IF(J70&lt;&gt;"",J70,IF(AND(N(I70)&gt;0,N(H70)&gt;0),I70/H70,"")))</f>
        <v/>
      </c>
      <c r="M70" s="19" t="str">
        <f aca="false">IF(B70="","",IFERROR(INDEX(GES!$E$6:$E$25,MATCH(B70,GES!$A$6:$A$25,0)),"GES?"))</f>
        <v/>
      </c>
      <c r="N70" s="21" t="str">
        <f aca="false">IF(AND(ISNUMBER(L70),ISNUMBER(K70),LEFT(M70,3)="CAR"),L70*K70/100,"")</f>
        <v/>
      </c>
      <c r="O70" s="21" t="str">
        <f aca="false">IF(B70="","",IFERROR(INDEX(GES!$U$6:$U$25,MATCH(B70,GES!$A$6:$A$25,0)),""))</f>
        <v/>
      </c>
      <c r="P70" s="24" t="str">
        <f aca="false">IF(AND(ISNUMBER(L70),ISNUMBER(O70)),L70/O70,"")</f>
        <v/>
      </c>
      <c r="Q70" s="25" t="str">
        <f aca="false">IF(NOT(ISNUMBER(L70)),"",IFERROR(IF(INDEX(Estadística!$L$6:$L$25,MATCH(B70,Estadística!$A$6:$A$25,0))&gt;INDEX(Estadística!$T$6:$T$25,MATCH(B70,Estadística!$A$6:$A$25,0)),IF(OR(L70&lt;INDEX(Estadística!$I$6:$I$25,MATCH(B70,Estadística!$A$6:$A$25,0))/2,L70&gt;2*INDEX(Estadística!$I$6:$I$25,MATCH(B70,Estadística!$A$6:$A$25,0))),"Fuera de ½MA–2MA: revisar","Dentro de ½MA–2MA"),"—"),""))</f>
        <v/>
      </c>
      <c r="R70" s="18"/>
      <c r="S70" s="19" t="str">
        <f aca="false">IF(ISNUMBER(L70),IF(L70&gt;0,LN(L70),""),"")</f>
        <v/>
      </c>
      <c r="T70" s="19" t="str">
        <f aca="false">IF(ISNUMBER(S70),IFERROR((S70-LN(INDEX(Estadística!$K$6:$K$25,MATCH(B70,Estadística!$A$6:$A$25,0))))^2,""),"")</f>
        <v/>
      </c>
      <c r="U70" s="19" t="str">
        <f aca="false">IF(ISNUMBER(L70),IFERROR((L70-INDEX(Estadística!$I$6:$I$25,MATCH(B70,Estadística!$A$6:$A$25,0)))^2,""),"")</f>
        <v/>
      </c>
      <c r="V70" s="19" t="str">
        <f aca="false">IF(ISNUMBER(P70),IF(P70&gt;1,1,0),"")</f>
        <v/>
      </c>
    </row>
    <row r="71" customFormat="false" ht="15" hidden="false" customHeight="false" outlineLevel="0" collapsed="false">
      <c r="A71" s="18" t="n">
        <v>66</v>
      </c>
      <c r="B71" s="18"/>
      <c r="C71" s="22"/>
      <c r="D71" s="18"/>
      <c r="E71" s="18"/>
      <c r="F71" s="18"/>
      <c r="G71" s="18"/>
      <c r="H71" s="20" t="str">
        <f aca="false">IF(OR(F71="",G71=""),"",F71*G71/1000)</f>
        <v/>
      </c>
      <c r="I71" s="23"/>
      <c r="J71" s="23"/>
      <c r="K71" s="18"/>
      <c r="L71" s="21" t="str">
        <f aca="false">IF(B71="","",IF(J71&lt;&gt;"",J71,IF(AND(N(I71)&gt;0,N(H71)&gt;0),I71/H71,"")))</f>
        <v/>
      </c>
      <c r="M71" s="19" t="str">
        <f aca="false">IF(B71="","",IFERROR(INDEX(GES!$E$6:$E$25,MATCH(B71,GES!$A$6:$A$25,0)),"GES?"))</f>
        <v/>
      </c>
      <c r="N71" s="21" t="str">
        <f aca="false">IF(AND(ISNUMBER(L71),ISNUMBER(K71),LEFT(M71,3)="CAR"),L71*K71/100,"")</f>
        <v/>
      </c>
      <c r="O71" s="21" t="str">
        <f aca="false">IF(B71="","",IFERROR(INDEX(GES!$U$6:$U$25,MATCH(B71,GES!$A$6:$A$25,0)),""))</f>
        <v/>
      </c>
      <c r="P71" s="24" t="str">
        <f aca="false">IF(AND(ISNUMBER(L71),ISNUMBER(O71)),L71/O71,"")</f>
        <v/>
      </c>
      <c r="Q71" s="25" t="str">
        <f aca="false">IF(NOT(ISNUMBER(L71)),"",IFERROR(IF(INDEX(Estadística!$L$6:$L$25,MATCH(B71,Estadística!$A$6:$A$25,0))&gt;INDEX(Estadística!$T$6:$T$25,MATCH(B71,Estadística!$A$6:$A$25,0)),IF(OR(L71&lt;INDEX(Estadística!$I$6:$I$25,MATCH(B71,Estadística!$A$6:$A$25,0))/2,L71&gt;2*INDEX(Estadística!$I$6:$I$25,MATCH(B71,Estadística!$A$6:$A$25,0))),"Fuera de ½MA–2MA: revisar","Dentro de ½MA–2MA"),"—"),""))</f>
        <v/>
      </c>
      <c r="R71" s="18"/>
      <c r="S71" s="19" t="str">
        <f aca="false">IF(ISNUMBER(L71),IF(L71&gt;0,LN(L71),""),"")</f>
        <v/>
      </c>
      <c r="T71" s="19" t="str">
        <f aca="false">IF(ISNUMBER(S71),IFERROR((S71-LN(INDEX(Estadística!$K$6:$K$25,MATCH(B71,Estadística!$A$6:$A$25,0))))^2,""),"")</f>
        <v/>
      </c>
      <c r="U71" s="19" t="str">
        <f aca="false">IF(ISNUMBER(L71),IFERROR((L71-INDEX(Estadística!$I$6:$I$25,MATCH(B71,Estadística!$A$6:$A$25,0)))^2,""),"")</f>
        <v/>
      </c>
      <c r="V71" s="19" t="str">
        <f aca="false">IF(ISNUMBER(P71),IF(P71&gt;1,1,0),"")</f>
        <v/>
      </c>
    </row>
    <row r="72" customFormat="false" ht="15" hidden="false" customHeight="false" outlineLevel="0" collapsed="false">
      <c r="A72" s="18" t="n">
        <v>67</v>
      </c>
      <c r="B72" s="18"/>
      <c r="C72" s="22"/>
      <c r="D72" s="18"/>
      <c r="E72" s="18"/>
      <c r="F72" s="18"/>
      <c r="G72" s="18"/>
      <c r="H72" s="20" t="str">
        <f aca="false">IF(OR(F72="",G72=""),"",F72*G72/1000)</f>
        <v/>
      </c>
      <c r="I72" s="23"/>
      <c r="J72" s="23"/>
      <c r="K72" s="18"/>
      <c r="L72" s="21" t="str">
        <f aca="false">IF(B72="","",IF(J72&lt;&gt;"",J72,IF(AND(N(I72)&gt;0,N(H72)&gt;0),I72/H72,"")))</f>
        <v/>
      </c>
      <c r="M72" s="19" t="str">
        <f aca="false">IF(B72="","",IFERROR(INDEX(GES!$E$6:$E$25,MATCH(B72,GES!$A$6:$A$25,0)),"GES?"))</f>
        <v/>
      </c>
      <c r="N72" s="21" t="str">
        <f aca="false">IF(AND(ISNUMBER(L72),ISNUMBER(K72),LEFT(M72,3)="CAR"),L72*K72/100,"")</f>
        <v/>
      </c>
      <c r="O72" s="21" t="str">
        <f aca="false">IF(B72="","",IFERROR(INDEX(GES!$U$6:$U$25,MATCH(B72,GES!$A$6:$A$25,0)),""))</f>
        <v/>
      </c>
      <c r="P72" s="24" t="str">
        <f aca="false">IF(AND(ISNUMBER(L72),ISNUMBER(O72)),L72/O72,"")</f>
        <v/>
      </c>
      <c r="Q72" s="25" t="str">
        <f aca="false">IF(NOT(ISNUMBER(L72)),"",IFERROR(IF(INDEX(Estadística!$L$6:$L$25,MATCH(B72,Estadística!$A$6:$A$25,0))&gt;INDEX(Estadística!$T$6:$T$25,MATCH(B72,Estadística!$A$6:$A$25,0)),IF(OR(L72&lt;INDEX(Estadística!$I$6:$I$25,MATCH(B72,Estadística!$A$6:$A$25,0))/2,L72&gt;2*INDEX(Estadística!$I$6:$I$25,MATCH(B72,Estadística!$A$6:$A$25,0))),"Fuera de ½MA–2MA: revisar","Dentro de ½MA–2MA"),"—"),""))</f>
        <v/>
      </c>
      <c r="R72" s="18"/>
      <c r="S72" s="19" t="str">
        <f aca="false">IF(ISNUMBER(L72),IF(L72&gt;0,LN(L72),""),"")</f>
        <v/>
      </c>
      <c r="T72" s="19" t="str">
        <f aca="false">IF(ISNUMBER(S72),IFERROR((S72-LN(INDEX(Estadística!$K$6:$K$25,MATCH(B72,Estadística!$A$6:$A$25,0))))^2,""),"")</f>
        <v/>
      </c>
      <c r="U72" s="19" t="str">
        <f aca="false">IF(ISNUMBER(L72),IFERROR((L72-INDEX(Estadística!$I$6:$I$25,MATCH(B72,Estadística!$A$6:$A$25,0)))^2,""),"")</f>
        <v/>
      </c>
      <c r="V72" s="19" t="str">
        <f aca="false">IF(ISNUMBER(P72),IF(P72&gt;1,1,0),"")</f>
        <v/>
      </c>
    </row>
    <row r="73" customFormat="false" ht="15" hidden="false" customHeight="false" outlineLevel="0" collapsed="false">
      <c r="A73" s="18" t="n">
        <v>68</v>
      </c>
      <c r="B73" s="18"/>
      <c r="C73" s="22"/>
      <c r="D73" s="18"/>
      <c r="E73" s="18"/>
      <c r="F73" s="18"/>
      <c r="G73" s="18"/>
      <c r="H73" s="20" t="str">
        <f aca="false">IF(OR(F73="",G73=""),"",F73*G73/1000)</f>
        <v/>
      </c>
      <c r="I73" s="23"/>
      <c r="J73" s="23"/>
      <c r="K73" s="18"/>
      <c r="L73" s="21" t="str">
        <f aca="false">IF(B73="","",IF(J73&lt;&gt;"",J73,IF(AND(N(I73)&gt;0,N(H73)&gt;0),I73/H73,"")))</f>
        <v/>
      </c>
      <c r="M73" s="19" t="str">
        <f aca="false">IF(B73="","",IFERROR(INDEX(GES!$E$6:$E$25,MATCH(B73,GES!$A$6:$A$25,0)),"GES?"))</f>
        <v/>
      </c>
      <c r="N73" s="21" t="str">
        <f aca="false">IF(AND(ISNUMBER(L73),ISNUMBER(K73),LEFT(M73,3)="CAR"),L73*K73/100,"")</f>
        <v/>
      </c>
      <c r="O73" s="21" t="str">
        <f aca="false">IF(B73="","",IFERROR(INDEX(GES!$U$6:$U$25,MATCH(B73,GES!$A$6:$A$25,0)),""))</f>
        <v/>
      </c>
      <c r="P73" s="24" t="str">
        <f aca="false">IF(AND(ISNUMBER(L73),ISNUMBER(O73)),L73/O73,"")</f>
        <v/>
      </c>
      <c r="Q73" s="25" t="str">
        <f aca="false">IF(NOT(ISNUMBER(L73)),"",IFERROR(IF(INDEX(Estadística!$L$6:$L$25,MATCH(B73,Estadística!$A$6:$A$25,0))&gt;INDEX(Estadística!$T$6:$T$25,MATCH(B73,Estadística!$A$6:$A$25,0)),IF(OR(L73&lt;INDEX(Estadística!$I$6:$I$25,MATCH(B73,Estadística!$A$6:$A$25,0))/2,L73&gt;2*INDEX(Estadística!$I$6:$I$25,MATCH(B73,Estadística!$A$6:$A$25,0))),"Fuera de ½MA–2MA: revisar","Dentro de ½MA–2MA"),"—"),""))</f>
        <v/>
      </c>
      <c r="R73" s="18"/>
      <c r="S73" s="19" t="str">
        <f aca="false">IF(ISNUMBER(L73),IF(L73&gt;0,LN(L73),""),"")</f>
        <v/>
      </c>
      <c r="T73" s="19" t="str">
        <f aca="false">IF(ISNUMBER(S73),IFERROR((S73-LN(INDEX(Estadística!$K$6:$K$25,MATCH(B73,Estadística!$A$6:$A$25,0))))^2,""),"")</f>
        <v/>
      </c>
      <c r="U73" s="19" t="str">
        <f aca="false">IF(ISNUMBER(L73),IFERROR((L73-INDEX(Estadística!$I$6:$I$25,MATCH(B73,Estadística!$A$6:$A$25,0)))^2,""),"")</f>
        <v/>
      </c>
      <c r="V73" s="19" t="str">
        <f aca="false">IF(ISNUMBER(P73),IF(P73&gt;1,1,0),"")</f>
        <v/>
      </c>
    </row>
    <row r="74" customFormat="false" ht="15" hidden="false" customHeight="false" outlineLevel="0" collapsed="false">
      <c r="A74" s="18" t="n">
        <v>69</v>
      </c>
      <c r="B74" s="18"/>
      <c r="C74" s="22"/>
      <c r="D74" s="18"/>
      <c r="E74" s="18"/>
      <c r="F74" s="18"/>
      <c r="G74" s="18"/>
      <c r="H74" s="20" t="str">
        <f aca="false">IF(OR(F74="",G74=""),"",F74*G74/1000)</f>
        <v/>
      </c>
      <c r="I74" s="23"/>
      <c r="J74" s="23"/>
      <c r="K74" s="18"/>
      <c r="L74" s="21" t="str">
        <f aca="false">IF(B74="","",IF(J74&lt;&gt;"",J74,IF(AND(N(I74)&gt;0,N(H74)&gt;0),I74/H74,"")))</f>
        <v/>
      </c>
      <c r="M74" s="19" t="str">
        <f aca="false">IF(B74="","",IFERROR(INDEX(GES!$E$6:$E$25,MATCH(B74,GES!$A$6:$A$25,0)),"GES?"))</f>
        <v/>
      </c>
      <c r="N74" s="21" t="str">
        <f aca="false">IF(AND(ISNUMBER(L74),ISNUMBER(K74),LEFT(M74,3)="CAR"),L74*K74/100,"")</f>
        <v/>
      </c>
      <c r="O74" s="21" t="str">
        <f aca="false">IF(B74="","",IFERROR(INDEX(GES!$U$6:$U$25,MATCH(B74,GES!$A$6:$A$25,0)),""))</f>
        <v/>
      </c>
      <c r="P74" s="24" t="str">
        <f aca="false">IF(AND(ISNUMBER(L74),ISNUMBER(O74)),L74/O74,"")</f>
        <v/>
      </c>
      <c r="Q74" s="25" t="str">
        <f aca="false">IF(NOT(ISNUMBER(L74)),"",IFERROR(IF(INDEX(Estadística!$L$6:$L$25,MATCH(B74,Estadística!$A$6:$A$25,0))&gt;INDEX(Estadística!$T$6:$T$25,MATCH(B74,Estadística!$A$6:$A$25,0)),IF(OR(L74&lt;INDEX(Estadística!$I$6:$I$25,MATCH(B74,Estadística!$A$6:$A$25,0))/2,L74&gt;2*INDEX(Estadística!$I$6:$I$25,MATCH(B74,Estadística!$A$6:$A$25,0))),"Fuera de ½MA–2MA: revisar","Dentro de ½MA–2MA"),"—"),""))</f>
        <v/>
      </c>
      <c r="R74" s="18"/>
      <c r="S74" s="19" t="str">
        <f aca="false">IF(ISNUMBER(L74),IF(L74&gt;0,LN(L74),""),"")</f>
        <v/>
      </c>
      <c r="T74" s="19" t="str">
        <f aca="false">IF(ISNUMBER(S74),IFERROR((S74-LN(INDEX(Estadística!$K$6:$K$25,MATCH(B74,Estadística!$A$6:$A$25,0))))^2,""),"")</f>
        <v/>
      </c>
      <c r="U74" s="19" t="str">
        <f aca="false">IF(ISNUMBER(L74),IFERROR((L74-INDEX(Estadística!$I$6:$I$25,MATCH(B74,Estadística!$A$6:$A$25,0)))^2,""),"")</f>
        <v/>
      </c>
      <c r="V74" s="19" t="str">
        <f aca="false">IF(ISNUMBER(P74),IF(P74&gt;1,1,0),"")</f>
        <v/>
      </c>
    </row>
    <row r="75" customFormat="false" ht="15" hidden="false" customHeight="false" outlineLevel="0" collapsed="false">
      <c r="A75" s="18" t="n">
        <v>70</v>
      </c>
      <c r="B75" s="18"/>
      <c r="C75" s="22"/>
      <c r="D75" s="18"/>
      <c r="E75" s="18"/>
      <c r="F75" s="18"/>
      <c r="G75" s="18"/>
      <c r="H75" s="20" t="str">
        <f aca="false">IF(OR(F75="",G75=""),"",F75*G75/1000)</f>
        <v/>
      </c>
      <c r="I75" s="23"/>
      <c r="J75" s="23"/>
      <c r="K75" s="18"/>
      <c r="L75" s="21" t="str">
        <f aca="false">IF(B75="","",IF(J75&lt;&gt;"",J75,IF(AND(N(I75)&gt;0,N(H75)&gt;0),I75/H75,"")))</f>
        <v/>
      </c>
      <c r="M75" s="19" t="str">
        <f aca="false">IF(B75="","",IFERROR(INDEX(GES!$E$6:$E$25,MATCH(B75,GES!$A$6:$A$25,0)),"GES?"))</f>
        <v/>
      </c>
      <c r="N75" s="21" t="str">
        <f aca="false">IF(AND(ISNUMBER(L75),ISNUMBER(K75),LEFT(M75,3)="CAR"),L75*K75/100,"")</f>
        <v/>
      </c>
      <c r="O75" s="21" t="str">
        <f aca="false">IF(B75="","",IFERROR(INDEX(GES!$U$6:$U$25,MATCH(B75,GES!$A$6:$A$25,0)),""))</f>
        <v/>
      </c>
      <c r="P75" s="24" t="str">
        <f aca="false">IF(AND(ISNUMBER(L75),ISNUMBER(O75)),L75/O75,"")</f>
        <v/>
      </c>
      <c r="Q75" s="25" t="str">
        <f aca="false">IF(NOT(ISNUMBER(L75)),"",IFERROR(IF(INDEX(Estadística!$L$6:$L$25,MATCH(B75,Estadística!$A$6:$A$25,0))&gt;INDEX(Estadística!$T$6:$T$25,MATCH(B75,Estadística!$A$6:$A$25,0)),IF(OR(L75&lt;INDEX(Estadística!$I$6:$I$25,MATCH(B75,Estadística!$A$6:$A$25,0))/2,L75&gt;2*INDEX(Estadística!$I$6:$I$25,MATCH(B75,Estadística!$A$6:$A$25,0))),"Fuera de ½MA–2MA: revisar","Dentro de ½MA–2MA"),"—"),""))</f>
        <v/>
      </c>
      <c r="R75" s="18"/>
      <c r="S75" s="19" t="str">
        <f aca="false">IF(ISNUMBER(L75),IF(L75&gt;0,LN(L75),""),"")</f>
        <v/>
      </c>
      <c r="T75" s="19" t="str">
        <f aca="false">IF(ISNUMBER(S75),IFERROR((S75-LN(INDEX(Estadística!$K$6:$K$25,MATCH(B75,Estadística!$A$6:$A$25,0))))^2,""),"")</f>
        <v/>
      </c>
      <c r="U75" s="19" t="str">
        <f aca="false">IF(ISNUMBER(L75),IFERROR((L75-INDEX(Estadística!$I$6:$I$25,MATCH(B75,Estadística!$A$6:$A$25,0)))^2,""),"")</f>
        <v/>
      </c>
      <c r="V75" s="19" t="str">
        <f aca="false">IF(ISNUMBER(P75),IF(P75&gt;1,1,0),"")</f>
        <v/>
      </c>
    </row>
    <row r="76" customFormat="false" ht="15" hidden="false" customHeight="false" outlineLevel="0" collapsed="false">
      <c r="A76" s="18" t="n">
        <v>71</v>
      </c>
      <c r="B76" s="18"/>
      <c r="C76" s="22"/>
      <c r="D76" s="18"/>
      <c r="E76" s="18"/>
      <c r="F76" s="18"/>
      <c r="G76" s="18"/>
      <c r="H76" s="20" t="str">
        <f aca="false">IF(OR(F76="",G76=""),"",F76*G76/1000)</f>
        <v/>
      </c>
      <c r="I76" s="23"/>
      <c r="J76" s="23"/>
      <c r="K76" s="18"/>
      <c r="L76" s="21" t="str">
        <f aca="false">IF(B76="","",IF(J76&lt;&gt;"",J76,IF(AND(N(I76)&gt;0,N(H76)&gt;0),I76/H76,"")))</f>
        <v/>
      </c>
      <c r="M76" s="19" t="str">
        <f aca="false">IF(B76="","",IFERROR(INDEX(GES!$E$6:$E$25,MATCH(B76,GES!$A$6:$A$25,0)),"GES?"))</f>
        <v/>
      </c>
      <c r="N76" s="21" t="str">
        <f aca="false">IF(AND(ISNUMBER(L76),ISNUMBER(K76),LEFT(M76,3)="CAR"),L76*K76/100,"")</f>
        <v/>
      </c>
      <c r="O76" s="21" t="str">
        <f aca="false">IF(B76="","",IFERROR(INDEX(GES!$U$6:$U$25,MATCH(B76,GES!$A$6:$A$25,0)),""))</f>
        <v/>
      </c>
      <c r="P76" s="24" t="str">
        <f aca="false">IF(AND(ISNUMBER(L76),ISNUMBER(O76)),L76/O76,"")</f>
        <v/>
      </c>
      <c r="Q76" s="25" t="str">
        <f aca="false">IF(NOT(ISNUMBER(L76)),"",IFERROR(IF(INDEX(Estadística!$L$6:$L$25,MATCH(B76,Estadística!$A$6:$A$25,0))&gt;INDEX(Estadística!$T$6:$T$25,MATCH(B76,Estadística!$A$6:$A$25,0)),IF(OR(L76&lt;INDEX(Estadística!$I$6:$I$25,MATCH(B76,Estadística!$A$6:$A$25,0))/2,L76&gt;2*INDEX(Estadística!$I$6:$I$25,MATCH(B76,Estadística!$A$6:$A$25,0))),"Fuera de ½MA–2MA: revisar","Dentro de ½MA–2MA"),"—"),""))</f>
        <v/>
      </c>
      <c r="R76" s="18"/>
      <c r="S76" s="19" t="str">
        <f aca="false">IF(ISNUMBER(L76),IF(L76&gt;0,LN(L76),""),"")</f>
        <v/>
      </c>
      <c r="T76" s="19" t="str">
        <f aca="false">IF(ISNUMBER(S76),IFERROR((S76-LN(INDEX(Estadística!$K$6:$K$25,MATCH(B76,Estadística!$A$6:$A$25,0))))^2,""),"")</f>
        <v/>
      </c>
      <c r="U76" s="19" t="str">
        <f aca="false">IF(ISNUMBER(L76),IFERROR((L76-INDEX(Estadística!$I$6:$I$25,MATCH(B76,Estadística!$A$6:$A$25,0)))^2,""),"")</f>
        <v/>
      </c>
      <c r="V76" s="19" t="str">
        <f aca="false">IF(ISNUMBER(P76),IF(P76&gt;1,1,0),"")</f>
        <v/>
      </c>
    </row>
    <row r="77" customFormat="false" ht="15" hidden="false" customHeight="false" outlineLevel="0" collapsed="false">
      <c r="A77" s="18" t="n">
        <v>72</v>
      </c>
      <c r="B77" s="18"/>
      <c r="C77" s="22"/>
      <c r="D77" s="18"/>
      <c r="E77" s="18"/>
      <c r="F77" s="18"/>
      <c r="G77" s="18"/>
      <c r="H77" s="20" t="str">
        <f aca="false">IF(OR(F77="",G77=""),"",F77*G77/1000)</f>
        <v/>
      </c>
      <c r="I77" s="23"/>
      <c r="J77" s="23"/>
      <c r="K77" s="18"/>
      <c r="L77" s="21" t="str">
        <f aca="false">IF(B77="","",IF(J77&lt;&gt;"",J77,IF(AND(N(I77)&gt;0,N(H77)&gt;0),I77/H77,"")))</f>
        <v/>
      </c>
      <c r="M77" s="19" t="str">
        <f aca="false">IF(B77="","",IFERROR(INDEX(GES!$E$6:$E$25,MATCH(B77,GES!$A$6:$A$25,0)),"GES?"))</f>
        <v/>
      </c>
      <c r="N77" s="21" t="str">
        <f aca="false">IF(AND(ISNUMBER(L77),ISNUMBER(K77),LEFT(M77,3)="CAR"),L77*K77/100,"")</f>
        <v/>
      </c>
      <c r="O77" s="21" t="str">
        <f aca="false">IF(B77="","",IFERROR(INDEX(GES!$U$6:$U$25,MATCH(B77,GES!$A$6:$A$25,0)),""))</f>
        <v/>
      </c>
      <c r="P77" s="24" t="str">
        <f aca="false">IF(AND(ISNUMBER(L77),ISNUMBER(O77)),L77/O77,"")</f>
        <v/>
      </c>
      <c r="Q77" s="25" t="str">
        <f aca="false">IF(NOT(ISNUMBER(L77)),"",IFERROR(IF(INDEX(Estadística!$L$6:$L$25,MATCH(B77,Estadística!$A$6:$A$25,0))&gt;INDEX(Estadística!$T$6:$T$25,MATCH(B77,Estadística!$A$6:$A$25,0)),IF(OR(L77&lt;INDEX(Estadística!$I$6:$I$25,MATCH(B77,Estadística!$A$6:$A$25,0))/2,L77&gt;2*INDEX(Estadística!$I$6:$I$25,MATCH(B77,Estadística!$A$6:$A$25,0))),"Fuera de ½MA–2MA: revisar","Dentro de ½MA–2MA"),"—"),""))</f>
        <v/>
      </c>
      <c r="R77" s="18"/>
      <c r="S77" s="19" t="str">
        <f aca="false">IF(ISNUMBER(L77),IF(L77&gt;0,LN(L77),""),"")</f>
        <v/>
      </c>
      <c r="T77" s="19" t="str">
        <f aca="false">IF(ISNUMBER(S77),IFERROR((S77-LN(INDEX(Estadística!$K$6:$K$25,MATCH(B77,Estadística!$A$6:$A$25,0))))^2,""),"")</f>
        <v/>
      </c>
      <c r="U77" s="19" t="str">
        <f aca="false">IF(ISNUMBER(L77),IFERROR((L77-INDEX(Estadística!$I$6:$I$25,MATCH(B77,Estadística!$A$6:$A$25,0)))^2,""),"")</f>
        <v/>
      </c>
      <c r="V77" s="19" t="str">
        <f aca="false">IF(ISNUMBER(P77),IF(P77&gt;1,1,0),"")</f>
        <v/>
      </c>
    </row>
    <row r="78" customFormat="false" ht="15" hidden="false" customHeight="false" outlineLevel="0" collapsed="false">
      <c r="A78" s="18" t="n">
        <v>73</v>
      </c>
      <c r="B78" s="18"/>
      <c r="C78" s="22"/>
      <c r="D78" s="18"/>
      <c r="E78" s="18"/>
      <c r="F78" s="18"/>
      <c r="G78" s="18"/>
      <c r="H78" s="20" t="str">
        <f aca="false">IF(OR(F78="",G78=""),"",F78*G78/1000)</f>
        <v/>
      </c>
      <c r="I78" s="23"/>
      <c r="J78" s="23"/>
      <c r="K78" s="18"/>
      <c r="L78" s="21" t="str">
        <f aca="false">IF(B78="","",IF(J78&lt;&gt;"",J78,IF(AND(N(I78)&gt;0,N(H78)&gt;0),I78/H78,"")))</f>
        <v/>
      </c>
      <c r="M78" s="19" t="str">
        <f aca="false">IF(B78="","",IFERROR(INDEX(GES!$E$6:$E$25,MATCH(B78,GES!$A$6:$A$25,0)),"GES?"))</f>
        <v/>
      </c>
      <c r="N78" s="21" t="str">
        <f aca="false">IF(AND(ISNUMBER(L78),ISNUMBER(K78),LEFT(M78,3)="CAR"),L78*K78/100,"")</f>
        <v/>
      </c>
      <c r="O78" s="21" t="str">
        <f aca="false">IF(B78="","",IFERROR(INDEX(GES!$U$6:$U$25,MATCH(B78,GES!$A$6:$A$25,0)),""))</f>
        <v/>
      </c>
      <c r="P78" s="24" t="str">
        <f aca="false">IF(AND(ISNUMBER(L78),ISNUMBER(O78)),L78/O78,"")</f>
        <v/>
      </c>
      <c r="Q78" s="25" t="str">
        <f aca="false">IF(NOT(ISNUMBER(L78)),"",IFERROR(IF(INDEX(Estadística!$L$6:$L$25,MATCH(B78,Estadística!$A$6:$A$25,0))&gt;INDEX(Estadística!$T$6:$T$25,MATCH(B78,Estadística!$A$6:$A$25,0)),IF(OR(L78&lt;INDEX(Estadística!$I$6:$I$25,MATCH(B78,Estadística!$A$6:$A$25,0))/2,L78&gt;2*INDEX(Estadística!$I$6:$I$25,MATCH(B78,Estadística!$A$6:$A$25,0))),"Fuera de ½MA–2MA: revisar","Dentro de ½MA–2MA"),"—"),""))</f>
        <v/>
      </c>
      <c r="R78" s="18"/>
      <c r="S78" s="19" t="str">
        <f aca="false">IF(ISNUMBER(L78),IF(L78&gt;0,LN(L78),""),"")</f>
        <v/>
      </c>
      <c r="T78" s="19" t="str">
        <f aca="false">IF(ISNUMBER(S78),IFERROR((S78-LN(INDEX(Estadística!$K$6:$K$25,MATCH(B78,Estadística!$A$6:$A$25,0))))^2,""),"")</f>
        <v/>
      </c>
      <c r="U78" s="19" t="str">
        <f aca="false">IF(ISNUMBER(L78),IFERROR((L78-INDEX(Estadística!$I$6:$I$25,MATCH(B78,Estadística!$A$6:$A$25,0)))^2,""),"")</f>
        <v/>
      </c>
      <c r="V78" s="19" t="str">
        <f aca="false">IF(ISNUMBER(P78),IF(P78&gt;1,1,0),"")</f>
        <v/>
      </c>
    </row>
    <row r="79" customFormat="false" ht="15" hidden="false" customHeight="false" outlineLevel="0" collapsed="false">
      <c r="A79" s="18" t="n">
        <v>74</v>
      </c>
      <c r="B79" s="18"/>
      <c r="C79" s="22"/>
      <c r="D79" s="18"/>
      <c r="E79" s="18"/>
      <c r="F79" s="18"/>
      <c r="G79" s="18"/>
      <c r="H79" s="20" t="str">
        <f aca="false">IF(OR(F79="",G79=""),"",F79*G79/1000)</f>
        <v/>
      </c>
      <c r="I79" s="23"/>
      <c r="J79" s="23"/>
      <c r="K79" s="18"/>
      <c r="L79" s="21" t="str">
        <f aca="false">IF(B79="","",IF(J79&lt;&gt;"",J79,IF(AND(N(I79)&gt;0,N(H79)&gt;0),I79/H79,"")))</f>
        <v/>
      </c>
      <c r="M79" s="19" t="str">
        <f aca="false">IF(B79="","",IFERROR(INDEX(GES!$E$6:$E$25,MATCH(B79,GES!$A$6:$A$25,0)),"GES?"))</f>
        <v/>
      </c>
      <c r="N79" s="21" t="str">
        <f aca="false">IF(AND(ISNUMBER(L79),ISNUMBER(K79),LEFT(M79,3)="CAR"),L79*K79/100,"")</f>
        <v/>
      </c>
      <c r="O79" s="21" t="str">
        <f aca="false">IF(B79="","",IFERROR(INDEX(GES!$U$6:$U$25,MATCH(B79,GES!$A$6:$A$25,0)),""))</f>
        <v/>
      </c>
      <c r="P79" s="24" t="str">
        <f aca="false">IF(AND(ISNUMBER(L79),ISNUMBER(O79)),L79/O79,"")</f>
        <v/>
      </c>
      <c r="Q79" s="25" t="str">
        <f aca="false">IF(NOT(ISNUMBER(L79)),"",IFERROR(IF(INDEX(Estadística!$L$6:$L$25,MATCH(B79,Estadística!$A$6:$A$25,0))&gt;INDEX(Estadística!$T$6:$T$25,MATCH(B79,Estadística!$A$6:$A$25,0)),IF(OR(L79&lt;INDEX(Estadística!$I$6:$I$25,MATCH(B79,Estadística!$A$6:$A$25,0))/2,L79&gt;2*INDEX(Estadística!$I$6:$I$25,MATCH(B79,Estadística!$A$6:$A$25,0))),"Fuera de ½MA–2MA: revisar","Dentro de ½MA–2MA"),"—"),""))</f>
        <v/>
      </c>
      <c r="R79" s="18"/>
      <c r="S79" s="19" t="str">
        <f aca="false">IF(ISNUMBER(L79),IF(L79&gt;0,LN(L79),""),"")</f>
        <v/>
      </c>
      <c r="T79" s="19" t="str">
        <f aca="false">IF(ISNUMBER(S79),IFERROR((S79-LN(INDEX(Estadística!$K$6:$K$25,MATCH(B79,Estadística!$A$6:$A$25,0))))^2,""),"")</f>
        <v/>
      </c>
      <c r="U79" s="19" t="str">
        <f aca="false">IF(ISNUMBER(L79),IFERROR((L79-INDEX(Estadística!$I$6:$I$25,MATCH(B79,Estadística!$A$6:$A$25,0)))^2,""),"")</f>
        <v/>
      </c>
      <c r="V79" s="19" t="str">
        <f aca="false">IF(ISNUMBER(P79),IF(P79&gt;1,1,0),"")</f>
        <v/>
      </c>
    </row>
    <row r="80" customFormat="false" ht="15" hidden="false" customHeight="false" outlineLevel="0" collapsed="false">
      <c r="A80" s="18" t="n">
        <v>75</v>
      </c>
      <c r="B80" s="18"/>
      <c r="C80" s="22"/>
      <c r="D80" s="18"/>
      <c r="E80" s="18"/>
      <c r="F80" s="18"/>
      <c r="G80" s="18"/>
      <c r="H80" s="20" t="str">
        <f aca="false">IF(OR(F80="",G80=""),"",F80*G80/1000)</f>
        <v/>
      </c>
      <c r="I80" s="23"/>
      <c r="J80" s="23"/>
      <c r="K80" s="18"/>
      <c r="L80" s="21" t="str">
        <f aca="false">IF(B80="","",IF(J80&lt;&gt;"",J80,IF(AND(N(I80)&gt;0,N(H80)&gt;0),I80/H80,"")))</f>
        <v/>
      </c>
      <c r="M80" s="19" t="str">
        <f aca="false">IF(B80="","",IFERROR(INDEX(GES!$E$6:$E$25,MATCH(B80,GES!$A$6:$A$25,0)),"GES?"))</f>
        <v/>
      </c>
      <c r="N80" s="21" t="str">
        <f aca="false">IF(AND(ISNUMBER(L80),ISNUMBER(K80),LEFT(M80,3)="CAR"),L80*K80/100,"")</f>
        <v/>
      </c>
      <c r="O80" s="21" t="str">
        <f aca="false">IF(B80="","",IFERROR(INDEX(GES!$U$6:$U$25,MATCH(B80,GES!$A$6:$A$25,0)),""))</f>
        <v/>
      </c>
      <c r="P80" s="24" t="str">
        <f aca="false">IF(AND(ISNUMBER(L80),ISNUMBER(O80)),L80/O80,"")</f>
        <v/>
      </c>
      <c r="Q80" s="25" t="str">
        <f aca="false">IF(NOT(ISNUMBER(L80)),"",IFERROR(IF(INDEX(Estadística!$L$6:$L$25,MATCH(B80,Estadística!$A$6:$A$25,0))&gt;INDEX(Estadística!$T$6:$T$25,MATCH(B80,Estadística!$A$6:$A$25,0)),IF(OR(L80&lt;INDEX(Estadística!$I$6:$I$25,MATCH(B80,Estadística!$A$6:$A$25,0))/2,L80&gt;2*INDEX(Estadística!$I$6:$I$25,MATCH(B80,Estadística!$A$6:$A$25,0))),"Fuera de ½MA–2MA: revisar","Dentro de ½MA–2MA"),"—"),""))</f>
        <v/>
      </c>
      <c r="R80" s="18"/>
      <c r="S80" s="19" t="str">
        <f aca="false">IF(ISNUMBER(L80),IF(L80&gt;0,LN(L80),""),"")</f>
        <v/>
      </c>
      <c r="T80" s="19" t="str">
        <f aca="false">IF(ISNUMBER(S80),IFERROR((S80-LN(INDEX(Estadística!$K$6:$K$25,MATCH(B80,Estadística!$A$6:$A$25,0))))^2,""),"")</f>
        <v/>
      </c>
      <c r="U80" s="19" t="str">
        <f aca="false">IF(ISNUMBER(L80),IFERROR((L80-INDEX(Estadística!$I$6:$I$25,MATCH(B80,Estadística!$A$6:$A$25,0)))^2,""),"")</f>
        <v/>
      </c>
      <c r="V80" s="19" t="str">
        <f aca="false">IF(ISNUMBER(P80),IF(P80&gt;1,1,0),"")</f>
        <v/>
      </c>
    </row>
    <row r="81" customFormat="false" ht="15" hidden="false" customHeight="false" outlineLevel="0" collapsed="false">
      <c r="A81" s="18" t="n">
        <v>76</v>
      </c>
      <c r="B81" s="18"/>
      <c r="C81" s="22"/>
      <c r="D81" s="18"/>
      <c r="E81" s="18"/>
      <c r="F81" s="18"/>
      <c r="G81" s="18"/>
      <c r="H81" s="20" t="str">
        <f aca="false">IF(OR(F81="",G81=""),"",F81*G81/1000)</f>
        <v/>
      </c>
      <c r="I81" s="23"/>
      <c r="J81" s="23"/>
      <c r="K81" s="18"/>
      <c r="L81" s="21" t="str">
        <f aca="false">IF(B81="","",IF(J81&lt;&gt;"",J81,IF(AND(N(I81)&gt;0,N(H81)&gt;0),I81/H81,"")))</f>
        <v/>
      </c>
      <c r="M81" s="19" t="str">
        <f aca="false">IF(B81="","",IFERROR(INDEX(GES!$E$6:$E$25,MATCH(B81,GES!$A$6:$A$25,0)),"GES?"))</f>
        <v/>
      </c>
      <c r="N81" s="21" t="str">
        <f aca="false">IF(AND(ISNUMBER(L81),ISNUMBER(K81),LEFT(M81,3)="CAR"),L81*K81/100,"")</f>
        <v/>
      </c>
      <c r="O81" s="21" t="str">
        <f aca="false">IF(B81="","",IFERROR(INDEX(GES!$U$6:$U$25,MATCH(B81,GES!$A$6:$A$25,0)),""))</f>
        <v/>
      </c>
      <c r="P81" s="24" t="str">
        <f aca="false">IF(AND(ISNUMBER(L81),ISNUMBER(O81)),L81/O81,"")</f>
        <v/>
      </c>
      <c r="Q81" s="25" t="str">
        <f aca="false">IF(NOT(ISNUMBER(L81)),"",IFERROR(IF(INDEX(Estadística!$L$6:$L$25,MATCH(B81,Estadística!$A$6:$A$25,0))&gt;INDEX(Estadística!$T$6:$T$25,MATCH(B81,Estadística!$A$6:$A$25,0)),IF(OR(L81&lt;INDEX(Estadística!$I$6:$I$25,MATCH(B81,Estadística!$A$6:$A$25,0))/2,L81&gt;2*INDEX(Estadística!$I$6:$I$25,MATCH(B81,Estadística!$A$6:$A$25,0))),"Fuera de ½MA–2MA: revisar","Dentro de ½MA–2MA"),"—"),""))</f>
        <v/>
      </c>
      <c r="R81" s="18"/>
      <c r="S81" s="19" t="str">
        <f aca="false">IF(ISNUMBER(L81),IF(L81&gt;0,LN(L81),""),"")</f>
        <v/>
      </c>
      <c r="T81" s="19" t="str">
        <f aca="false">IF(ISNUMBER(S81),IFERROR((S81-LN(INDEX(Estadística!$K$6:$K$25,MATCH(B81,Estadística!$A$6:$A$25,0))))^2,""),"")</f>
        <v/>
      </c>
      <c r="U81" s="19" t="str">
        <f aca="false">IF(ISNUMBER(L81),IFERROR((L81-INDEX(Estadística!$I$6:$I$25,MATCH(B81,Estadística!$A$6:$A$25,0)))^2,""),"")</f>
        <v/>
      </c>
      <c r="V81" s="19" t="str">
        <f aca="false">IF(ISNUMBER(P81),IF(P81&gt;1,1,0),"")</f>
        <v/>
      </c>
    </row>
    <row r="82" customFormat="false" ht="15" hidden="false" customHeight="false" outlineLevel="0" collapsed="false">
      <c r="A82" s="18" t="n">
        <v>77</v>
      </c>
      <c r="B82" s="18"/>
      <c r="C82" s="22"/>
      <c r="D82" s="18"/>
      <c r="E82" s="18"/>
      <c r="F82" s="18"/>
      <c r="G82" s="18"/>
      <c r="H82" s="20" t="str">
        <f aca="false">IF(OR(F82="",G82=""),"",F82*G82/1000)</f>
        <v/>
      </c>
      <c r="I82" s="23"/>
      <c r="J82" s="23"/>
      <c r="K82" s="18"/>
      <c r="L82" s="21" t="str">
        <f aca="false">IF(B82="","",IF(J82&lt;&gt;"",J82,IF(AND(N(I82)&gt;0,N(H82)&gt;0),I82/H82,"")))</f>
        <v/>
      </c>
      <c r="M82" s="19" t="str">
        <f aca="false">IF(B82="","",IFERROR(INDEX(GES!$E$6:$E$25,MATCH(B82,GES!$A$6:$A$25,0)),"GES?"))</f>
        <v/>
      </c>
      <c r="N82" s="21" t="str">
        <f aca="false">IF(AND(ISNUMBER(L82),ISNUMBER(K82),LEFT(M82,3)="CAR"),L82*K82/100,"")</f>
        <v/>
      </c>
      <c r="O82" s="21" t="str">
        <f aca="false">IF(B82="","",IFERROR(INDEX(GES!$U$6:$U$25,MATCH(B82,GES!$A$6:$A$25,0)),""))</f>
        <v/>
      </c>
      <c r="P82" s="24" t="str">
        <f aca="false">IF(AND(ISNUMBER(L82),ISNUMBER(O82)),L82/O82,"")</f>
        <v/>
      </c>
      <c r="Q82" s="25" t="str">
        <f aca="false">IF(NOT(ISNUMBER(L82)),"",IFERROR(IF(INDEX(Estadística!$L$6:$L$25,MATCH(B82,Estadística!$A$6:$A$25,0))&gt;INDEX(Estadística!$T$6:$T$25,MATCH(B82,Estadística!$A$6:$A$25,0)),IF(OR(L82&lt;INDEX(Estadística!$I$6:$I$25,MATCH(B82,Estadística!$A$6:$A$25,0))/2,L82&gt;2*INDEX(Estadística!$I$6:$I$25,MATCH(B82,Estadística!$A$6:$A$25,0))),"Fuera de ½MA–2MA: revisar","Dentro de ½MA–2MA"),"—"),""))</f>
        <v/>
      </c>
      <c r="R82" s="18"/>
      <c r="S82" s="19" t="str">
        <f aca="false">IF(ISNUMBER(L82),IF(L82&gt;0,LN(L82),""),"")</f>
        <v/>
      </c>
      <c r="T82" s="19" t="str">
        <f aca="false">IF(ISNUMBER(S82),IFERROR((S82-LN(INDEX(Estadística!$K$6:$K$25,MATCH(B82,Estadística!$A$6:$A$25,0))))^2,""),"")</f>
        <v/>
      </c>
      <c r="U82" s="19" t="str">
        <f aca="false">IF(ISNUMBER(L82),IFERROR((L82-INDEX(Estadística!$I$6:$I$25,MATCH(B82,Estadística!$A$6:$A$25,0)))^2,""),"")</f>
        <v/>
      </c>
      <c r="V82" s="19" t="str">
        <f aca="false">IF(ISNUMBER(P82),IF(P82&gt;1,1,0),"")</f>
        <v/>
      </c>
    </row>
    <row r="83" customFormat="false" ht="15" hidden="false" customHeight="false" outlineLevel="0" collapsed="false">
      <c r="A83" s="18" t="n">
        <v>78</v>
      </c>
      <c r="B83" s="18"/>
      <c r="C83" s="22"/>
      <c r="D83" s="18"/>
      <c r="E83" s="18"/>
      <c r="F83" s="18"/>
      <c r="G83" s="18"/>
      <c r="H83" s="20" t="str">
        <f aca="false">IF(OR(F83="",G83=""),"",F83*G83/1000)</f>
        <v/>
      </c>
      <c r="I83" s="23"/>
      <c r="J83" s="23"/>
      <c r="K83" s="18"/>
      <c r="L83" s="21" t="str">
        <f aca="false">IF(B83="","",IF(J83&lt;&gt;"",J83,IF(AND(N(I83)&gt;0,N(H83)&gt;0),I83/H83,"")))</f>
        <v/>
      </c>
      <c r="M83" s="19" t="str">
        <f aca="false">IF(B83="","",IFERROR(INDEX(GES!$E$6:$E$25,MATCH(B83,GES!$A$6:$A$25,0)),"GES?"))</f>
        <v/>
      </c>
      <c r="N83" s="21" t="str">
        <f aca="false">IF(AND(ISNUMBER(L83),ISNUMBER(K83),LEFT(M83,3)="CAR"),L83*K83/100,"")</f>
        <v/>
      </c>
      <c r="O83" s="21" t="str">
        <f aca="false">IF(B83="","",IFERROR(INDEX(GES!$U$6:$U$25,MATCH(B83,GES!$A$6:$A$25,0)),""))</f>
        <v/>
      </c>
      <c r="P83" s="24" t="str">
        <f aca="false">IF(AND(ISNUMBER(L83),ISNUMBER(O83)),L83/O83,"")</f>
        <v/>
      </c>
      <c r="Q83" s="25" t="str">
        <f aca="false">IF(NOT(ISNUMBER(L83)),"",IFERROR(IF(INDEX(Estadística!$L$6:$L$25,MATCH(B83,Estadística!$A$6:$A$25,0))&gt;INDEX(Estadística!$T$6:$T$25,MATCH(B83,Estadística!$A$6:$A$25,0)),IF(OR(L83&lt;INDEX(Estadística!$I$6:$I$25,MATCH(B83,Estadística!$A$6:$A$25,0))/2,L83&gt;2*INDEX(Estadística!$I$6:$I$25,MATCH(B83,Estadística!$A$6:$A$25,0))),"Fuera de ½MA–2MA: revisar","Dentro de ½MA–2MA"),"—"),""))</f>
        <v/>
      </c>
      <c r="R83" s="18"/>
      <c r="S83" s="19" t="str">
        <f aca="false">IF(ISNUMBER(L83),IF(L83&gt;0,LN(L83),""),"")</f>
        <v/>
      </c>
      <c r="T83" s="19" t="str">
        <f aca="false">IF(ISNUMBER(S83),IFERROR((S83-LN(INDEX(Estadística!$K$6:$K$25,MATCH(B83,Estadística!$A$6:$A$25,0))))^2,""),"")</f>
        <v/>
      </c>
      <c r="U83" s="19" t="str">
        <f aca="false">IF(ISNUMBER(L83),IFERROR((L83-INDEX(Estadística!$I$6:$I$25,MATCH(B83,Estadística!$A$6:$A$25,0)))^2,""),"")</f>
        <v/>
      </c>
      <c r="V83" s="19" t="str">
        <f aca="false">IF(ISNUMBER(P83),IF(P83&gt;1,1,0),"")</f>
        <v/>
      </c>
    </row>
    <row r="84" customFormat="false" ht="15" hidden="false" customHeight="false" outlineLevel="0" collapsed="false">
      <c r="A84" s="18" t="n">
        <v>79</v>
      </c>
      <c r="B84" s="18"/>
      <c r="C84" s="22"/>
      <c r="D84" s="18"/>
      <c r="E84" s="18"/>
      <c r="F84" s="18"/>
      <c r="G84" s="18"/>
      <c r="H84" s="20" t="str">
        <f aca="false">IF(OR(F84="",G84=""),"",F84*G84/1000)</f>
        <v/>
      </c>
      <c r="I84" s="23"/>
      <c r="J84" s="23"/>
      <c r="K84" s="18"/>
      <c r="L84" s="21" t="str">
        <f aca="false">IF(B84="","",IF(J84&lt;&gt;"",J84,IF(AND(N(I84)&gt;0,N(H84)&gt;0),I84/H84,"")))</f>
        <v/>
      </c>
      <c r="M84" s="19" t="str">
        <f aca="false">IF(B84="","",IFERROR(INDEX(GES!$E$6:$E$25,MATCH(B84,GES!$A$6:$A$25,0)),"GES?"))</f>
        <v/>
      </c>
      <c r="N84" s="21" t="str">
        <f aca="false">IF(AND(ISNUMBER(L84),ISNUMBER(K84),LEFT(M84,3)="CAR"),L84*K84/100,"")</f>
        <v/>
      </c>
      <c r="O84" s="21" t="str">
        <f aca="false">IF(B84="","",IFERROR(INDEX(GES!$U$6:$U$25,MATCH(B84,GES!$A$6:$A$25,0)),""))</f>
        <v/>
      </c>
      <c r="P84" s="24" t="str">
        <f aca="false">IF(AND(ISNUMBER(L84),ISNUMBER(O84)),L84/O84,"")</f>
        <v/>
      </c>
      <c r="Q84" s="25" t="str">
        <f aca="false">IF(NOT(ISNUMBER(L84)),"",IFERROR(IF(INDEX(Estadística!$L$6:$L$25,MATCH(B84,Estadística!$A$6:$A$25,0))&gt;INDEX(Estadística!$T$6:$T$25,MATCH(B84,Estadística!$A$6:$A$25,0)),IF(OR(L84&lt;INDEX(Estadística!$I$6:$I$25,MATCH(B84,Estadística!$A$6:$A$25,0))/2,L84&gt;2*INDEX(Estadística!$I$6:$I$25,MATCH(B84,Estadística!$A$6:$A$25,0))),"Fuera de ½MA–2MA: revisar","Dentro de ½MA–2MA"),"—"),""))</f>
        <v/>
      </c>
      <c r="R84" s="18"/>
      <c r="S84" s="19" t="str">
        <f aca="false">IF(ISNUMBER(L84),IF(L84&gt;0,LN(L84),""),"")</f>
        <v/>
      </c>
      <c r="T84" s="19" t="str">
        <f aca="false">IF(ISNUMBER(S84),IFERROR((S84-LN(INDEX(Estadística!$K$6:$K$25,MATCH(B84,Estadística!$A$6:$A$25,0))))^2,""),"")</f>
        <v/>
      </c>
      <c r="U84" s="19" t="str">
        <f aca="false">IF(ISNUMBER(L84),IFERROR((L84-INDEX(Estadística!$I$6:$I$25,MATCH(B84,Estadística!$A$6:$A$25,0)))^2,""),"")</f>
        <v/>
      </c>
      <c r="V84" s="19" t="str">
        <f aca="false">IF(ISNUMBER(P84),IF(P84&gt;1,1,0),"")</f>
        <v/>
      </c>
    </row>
    <row r="85" customFormat="false" ht="15" hidden="false" customHeight="false" outlineLevel="0" collapsed="false">
      <c r="A85" s="18" t="n">
        <v>80</v>
      </c>
      <c r="B85" s="18"/>
      <c r="C85" s="22"/>
      <c r="D85" s="18"/>
      <c r="E85" s="18"/>
      <c r="F85" s="18"/>
      <c r="G85" s="18"/>
      <c r="H85" s="20" t="str">
        <f aca="false">IF(OR(F85="",G85=""),"",F85*G85/1000)</f>
        <v/>
      </c>
      <c r="I85" s="23"/>
      <c r="J85" s="23"/>
      <c r="K85" s="18"/>
      <c r="L85" s="21" t="str">
        <f aca="false">IF(B85="","",IF(J85&lt;&gt;"",J85,IF(AND(N(I85)&gt;0,N(H85)&gt;0),I85/H85,"")))</f>
        <v/>
      </c>
      <c r="M85" s="19" t="str">
        <f aca="false">IF(B85="","",IFERROR(INDEX(GES!$E$6:$E$25,MATCH(B85,GES!$A$6:$A$25,0)),"GES?"))</f>
        <v/>
      </c>
      <c r="N85" s="21" t="str">
        <f aca="false">IF(AND(ISNUMBER(L85),ISNUMBER(K85),LEFT(M85,3)="CAR"),L85*K85/100,"")</f>
        <v/>
      </c>
      <c r="O85" s="21" t="str">
        <f aca="false">IF(B85="","",IFERROR(INDEX(GES!$U$6:$U$25,MATCH(B85,GES!$A$6:$A$25,0)),""))</f>
        <v/>
      </c>
      <c r="P85" s="24" t="str">
        <f aca="false">IF(AND(ISNUMBER(L85),ISNUMBER(O85)),L85/O85,"")</f>
        <v/>
      </c>
      <c r="Q85" s="25" t="str">
        <f aca="false">IF(NOT(ISNUMBER(L85)),"",IFERROR(IF(INDEX(Estadística!$L$6:$L$25,MATCH(B85,Estadística!$A$6:$A$25,0))&gt;INDEX(Estadística!$T$6:$T$25,MATCH(B85,Estadística!$A$6:$A$25,0)),IF(OR(L85&lt;INDEX(Estadística!$I$6:$I$25,MATCH(B85,Estadística!$A$6:$A$25,0))/2,L85&gt;2*INDEX(Estadística!$I$6:$I$25,MATCH(B85,Estadística!$A$6:$A$25,0))),"Fuera de ½MA–2MA: revisar","Dentro de ½MA–2MA"),"—"),""))</f>
        <v/>
      </c>
      <c r="R85" s="18"/>
      <c r="S85" s="19" t="str">
        <f aca="false">IF(ISNUMBER(L85),IF(L85&gt;0,LN(L85),""),"")</f>
        <v/>
      </c>
      <c r="T85" s="19" t="str">
        <f aca="false">IF(ISNUMBER(S85),IFERROR((S85-LN(INDEX(Estadística!$K$6:$K$25,MATCH(B85,Estadística!$A$6:$A$25,0))))^2,""),"")</f>
        <v/>
      </c>
      <c r="U85" s="19" t="str">
        <f aca="false">IF(ISNUMBER(L85),IFERROR((L85-INDEX(Estadística!$I$6:$I$25,MATCH(B85,Estadística!$A$6:$A$25,0)))^2,""),"")</f>
        <v/>
      </c>
      <c r="V85" s="19" t="str">
        <f aca="false">IF(ISNUMBER(P85),IF(P85&gt;1,1,0),"")</f>
        <v/>
      </c>
    </row>
    <row r="86" customFormat="false" ht="15" hidden="false" customHeight="false" outlineLevel="0" collapsed="false">
      <c r="A86" s="18" t="n">
        <v>81</v>
      </c>
      <c r="B86" s="18"/>
      <c r="C86" s="22"/>
      <c r="D86" s="18"/>
      <c r="E86" s="18"/>
      <c r="F86" s="18"/>
      <c r="G86" s="18"/>
      <c r="H86" s="20" t="str">
        <f aca="false">IF(OR(F86="",G86=""),"",F86*G86/1000)</f>
        <v/>
      </c>
      <c r="I86" s="23"/>
      <c r="J86" s="23"/>
      <c r="K86" s="18"/>
      <c r="L86" s="21" t="str">
        <f aca="false">IF(B86="","",IF(J86&lt;&gt;"",J86,IF(AND(N(I86)&gt;0,N(H86)&gt;0),I86/H86,"")))</f>
        <v/>
      </c>
      <c r="M86" s="19" t="str">
        <f aca="false">IF(B86="","",IFERROR(INDEX(GES!$E$6:$E$25,MATCH(B86,GES!$A$6:$A$25,0)),"GES?"))</f>
        <v/>
      </c>
      <c r="N86" s="21" t="str">
        <f aca="false">IF(AND(ISNUMBER(L86),ISNUMBER(K86),LEFT(M86,3)="CAR"),L86*K86/100,"")</f>
        <v/>
      </c>
      <c r="O86" s="21" t="str">
        <f aca="false">IF(B86="","",IFERROR(INDEX(GES!$U$6:$U$25,MATCH(B86,GES!$A$6:$A$25,0)),""))</f>
        <v/>
      </c>
      <c r="P86" s="24" t="str">
        <f aca="false">IF(AND(ISNUMBER(L86),ISNUMBER(O86)),L86/O86,"")</f>
        <v/>
      </c>
      <c r="Q86" s="25" t="str">
        <f aca="false">IF(NOT(ISNUMBER(L86)),"",IFERROR(IF(INDEX(Estadística!$L$6:$L$25,MATCH(B86,Estadística!$A$6:$A$25,0))&gt;INDEX(Estadística!$T$6:$T$25,MATCH(B86,Estadística!$A$6:$A$25,0)),IF(OR(L86&lt;INDEX(Estadística!$I$6:$I$25,MATCH(B86,Estadística!$A$6:$A$25,0))/2,L86&gt;2*INDEX(Estadística!$I$6:$I$25,MATCH(B86,Estadística!$A$6:$A$25,0))),"Fuera de ½MA–2MA: revisar","Dentro de ½MA–2MA"),"—"),""))</f>
        <v/>
      </c>
      <c r="R86" s="18"/>
      <c r="S86" s="19" t="str">
        <f aca="false">IF(ISNUMBER(L86),IF(L86&gt;0,LN(L86),""),"")</f>
        <v/>
      </c>
      <c r="T86" s="19" t="str">
        <f aca="false">IF(ISNUMBER(S86),IFERROR((S86-LN(INDEX(Estadística!$K$6:$K$25,MATCH(B86,Estadística!$A$6:$A$25,0))))^2,""),"")</f>
        <v/>
      </c>
      <c r="U86" s="19" t="str">
        <f aca="false">IF(ISNUMBER(L86),IFERROR((L86-INDEX(Estadística!$I$6:$I$25,MATCH(B86,Estadística!$A$6:$A$25,0)))^2,""),"")</f>
        <v/>
      </c>
      <c r="V86" s="19" t="str">
        <f aca="false">IF(ISNUMBER(P86),IF(P86&gt;1,1,0),"")</f>
        <v/>
      </c>
    </row>
    <row r="87" customFormat="false" ht="15" hidden="false" customHeight="false" outlineLevel="0" collapsed="false">
      <c r="A87" s="18" t="n">
        <v>82</v>
      </c>
      <c r="B87" s="18"/>
      <c r="C87" s="22"/>
      <c r="D87" s="18"/>
      <c r="E87" s="18"/>
      <c r="F87" s="18"/>
      <c r="G87" s="18"/>
      <c r="H87" s="20" t="str">
        <f aca="false">IF(OR(F87="",G87=""),"",F87*G87/1000)</f>
        <v/>
      </c>
      <c r="I87" s="23"/>
      <c r="J87" s="23"/>
      <c r="K87" s="18"/>
      <c r="L87" s="21" t="str">
        <f aca="false">IF(B87="","",IF(J87&lt;&gt;"",J87,IF(AND(N(I87)&gt;0,N(H87)&gt;0),I87/H87,"")))</f>
        <v/>
      </c>
      <c r="M87" s="19" t="str">
        <f aca="false">IF(B87="","",IFERROR(INDEX(GES!$E$6:$E$25,MATCH(B87,GES!$A$6:$A$25,0)),"GES?"))</f>
        <v/>
      </c>
      <c r="N87" s="21" t="str">
        <f aca="false">IF(AND(ISNUMBER(L87),ISNUMBER(K87),LEFT(M87,3)="CAR"),L87*K87/100,"")</f>
        <v/>
      </c>
      <c r="O87" s="21" t="str">
        <f aca="false">IF(B87="","",IFERROR(INDEX(GES!$U$6:$U$25,MATCH(B87,GES!$A$6:$A$25,0)),""))</f>
        <v/>
      </c>
      <c r="P87" s="24" t="str">
        <f aca="false">IF(AND(ISNUMBER(L87),ISNUMBER(O87)),L87/O87,"")</f>
        <v/>
      </c>
      <c r="Q87" s="25" t="str">
        <f aca="false">IF(NOT(ISNUMBER(L87)),"",IFERROR(IF(INDEX(Estadística!$L$6:$L$25,MATCH(B87,Estadística!$A$6:$A$25,0))&gt;INDEX(Estadística!$T$6:$T$25,MATCH(B87,Estadística!$A$6:$A$25,0)),IF(OR(L87&lt;INDEX(Estadística!$I$6:$I$25,MATCH(B87,Estadística!$A$6:$A$25,0))/2,L87&gt;2*INDEX(Estadística!$I$6:$I$25,MATCH(B87,Estadística!$A$6:$A$25,0))),"Fuera de ½MA–2MA: revisar","Dentro de ½MA–2MA"),"—"),""))</f>
        <v/>
      </c>
      <c r="R87" s="18"/>
      <c r="S87" s="19" t="str">
        <f aca="false">IF(ISNUMBER(L87),IF(L87&gt;0,LN(L87),""),"")</f>
        <v/>
      </c>
      <c r="T87" s="19" t="str">
        <f aca="false">IF(ISNUMBER(S87),IFERROR((S87-LN(INDEX(Estadística!$K$6:$K$25,MATCH(B87,Estadística!$A$6:$A$25,0))))^2,""),"")</f>
        <v/>
      </c>
      <c r="U87" s="19" t="str">
        <f aca="false">IF(ISNUMBER(L87),IFERROR((L87-INDEX(Estadística!$I$6:$I$25,MATCH(B87,Estadística!$A$6:$A$25,0)))^2,""),"")</f>
        <v/>
      </c>
      <c r="V87" s="19" t="str">
        <f aca="false">IF(ISNUMBER(P87),IF(P87&gt;1,1,0),"")</f>
        <v/>
      </c>
    </row>
    <row r="88" customFormat="false" ht="15" hidden="false" customHeight="false" outlineLevel="0" collapsed="false">
      <c r="A88" s="18" t="n">
        <v>83</v>
      </c>
      <c r="B88" s="18"/>
      <c r="C88" s="22"/>
      <c r="D88" s="18"/>
      <c r="E88" s="18"/>
      <c r="F88" s="18"/>
      <c r="G88" s="18"/>
      <c r="H88" s="20" t="str">
        <f aca="false">IF(OR(F88="",G88=""),"",F88*G88/1000)</f>
        <v/>
      </c>
      <c r="I88" s="23"/>
      <c r="J88" s="23"/>
      <c r="K88" s="18"/>
      <c r="L88" s="21" t="str">
        <f aca="false">IF(B88="","",IF(J88&lt;&gt;"",J88,IF(AND(N(I88)&gt;0,N(H88)&gt;0),I88/H88,"")))</f>
        <v/>
      </c>
      <c r="M88" s="19" t="str">
        <f aca="false">IF(B88="","",IFERROR(INDEX(GES!$E$6:$E$25,MATCH(B88,GES!$A$6:$A$25,0)),"GES?"))</f>
        <v/>
      </c>
      <c r="N88" s="21" t="str">
        <f aca="false">IF(AND(ISNUMBER(L88),ISNUMBER(K88),LEFT(M88,3)="CAR"),L88*K88/100,"")</f>
        <v/>
      </c>
      <c r="O88" s="21" t="str">
        <f aca="false">IF(B88="","",IFERROR(INDEX(GES!$U$6:$U$25,MATCH(B88,GES!$A$6:$A$25,0)),""))</f>
        <v/>
      </c>
      <c r="P88" s="24" t="str">
        <f aca="false">IF(AND(ISNUMBER(L88),ISNUMBER(O88)),L88/O88,"")</f>
        <v/>
      </c>
      <c r="Q88" s="25" t="str">
        <f aca="false">IF(NOT(ISNUMBER(L88)),"",IFERROR(IF(INDEX(Estadística!$L$6:$L$25,MATCH(B88,Estadística!$A$6:$A$25,0))&gt;INDEX(Estadística!$T$6:$T$25,MATCH(B88,Estadística!$A$6:$A$25,0)),IF(OR(L88&lt;INDEX(Estadística!$I$6:$I$25,MATCH(B88,Estadística!$A$6:$A$25,0))/2,L88&gt;2*INDEX(Estadística!$I$6:$I$25,MATCH(B88,Estadística!$A$6:$A$25,0))),"Fuera de ½MA–2MA: revisar","Dentro de ½MA–2MA"),"—"),""))</f>
        <v/>
      </c>
      <c r="R88" s="18"/>
      <c r="S88" s="19" t="str">
        <f aca="false">IF(ISNUMBER(L88),IF(L88&gt;0,LN(L88),""),"")</f>
        <v/>
      </c>
      <c r="T88" s="19" t="str">
        <f aca="false">IF(ISNUMBER(S88),IFERROR((S88-LN(INDEX(Estadística!$K$6:$K$25,MATCH(B88,Estadística!$A$6:$A$25,0))))^2,""),"")</f>
        <v/>
      </c>
      <c r="U88" s="19" t="str">
        <f aca="false">IF(ISNUMBER(L88),IFERROR((L88-INDEX(Estadística!$I$6:$I$25,MATCH(B88,Estadística!$A$6:$A$25,0)))^2,""),"")</f>
        <v/>
      </c>
      <c r="V88" s="19" t="str">
        <f aca="false">IF(ISNUMBER(P88),IF(P88&gt;1,1,0),"")</f>
        <v/>
      </c>
    </row>
    <row r="89" customFormat="false" ht="15" hidden="false" customHeight="false" outlineLevel="0" collapsed="false">
      <c r="A89" s="18" t="n">
        <v>84</v>
      </c>
      <c r="B89" s="18"/>
      <c r="C89" s="22"/>
      <c r="D89" s="18"/>
      <c r="E89" s="18"/>
      <c r="F89" s="18"/>
      <c r="G89" s="18"/>
      <c r="H89" s="20" t="str">
        <f aca="false">IF(OR(F89="",G89=""),"",F89*G89/1000)</f>
        <v/>
      </c>
      <c r="I89" s="23"/>
      <c r="J89" s="23"/>
      <c r="K89" s="18"/>
      <c r="L89" s="21" t="str">
        <f aca="false">IF(B89="","",IF(J89&lt;&gt;"",J89,IF(AND(N(I89)&gt;0,N(H89)&gt;0),I89/H89,"")))</f>
        <v/>
      </c>
      <c r="M89" s="19" t="str">
        <f aca="false">IF(B89="","",IFERROR(INDEX(GES!$E$6:$E$25,MATCH(B89,GES!$A$6:$A$25,0)),"GES?"))</f>
        <v/>
      </c>
      <c r="N89" s="21" t="str">
        <f aca="false">IF(AND(ISNUMBER(L89),ISNUMBER(K89),LEFT(M89,3)="CAR"),L89*K89/100,"")</f>
        <v/>
      </c>
      <c r="O89" s="21" t="str">
        <f aca="false">IF(B89="","",IFERROR(INDEX(GES!$U$6:$U$25,MATCH(B89,GES!$A$6:$A$25,0)),""))</f>
        <v/>
      </c>
      <c r="P89" s="24" t="str">
        <f aca="false">IF(AND(ISNUMBER(L89),ISNUMBER(O89)),L89/O89,"")</f>
        <v/>
      </c>
      <c r="Q89" s="25" t="str">
        <f aca="false">IF(NOT(ISNUMBER(L89)),"",IFERROR(IF(INDEX(Estadística!$L$6:$L$25,MATCH(B89,Estadística!$A$6:$A$25,0))&gt;INDEX(Estadística!$T$6:$T$25,MATCH(B89,Estadística!$A$6:$A$25,0)),IF(OR(L89&lt;INDEX(Estadística!$I$6:$I$25,MATCH(B89,Estadística!$A$6:$A$25,0))/2,L89&gt;2*INDEX(Estadística!$I$6:$I$25,MATCH(B89,Estadística!$A$6:$A$25,0))),"Fuera de ½MA–2MA: revisar","Dentro de ½MA–2MA"),"—"),""))</f>
        <v/>
      </c>
      <c r="R89" s="18"/>
      <c r="S89" s="19" t="str">
        <f aca="false">IF(ISNUMBER(L89),IF(L89&gt;0,LN(L89),""),"")</f>
        <v/>
      </c>
      <c r="T89" s="19" t="str">
        <f aca="false">IF(ISNUMBER(S89),IFERROR((S89-LN(INDEX(Estadística!$K$6:$K$25,MATCH(B89,Estadística!$A$6:$A$25,0))))^2,""),"")</f>
        <v/>
      </c>
      <c r="U89" s="19" t="str">
        <f aca="false">IF(ISNUMBER(L89),IFERROR((L89-INDEX(Estadística!$I$6:$I$25,MATCH(B89,Estadística!$A$6:$A$25,0)))^2,""),"")</f>
        <v/>
      </c>
      <c r="V89" s="19" t="str">
        <f aca="false">IF(ISNUMBER(P89),IF(P89&gt;1,1,0),"")</f>
        <v/>
      </c>
    </row>
    <row r="90" customFormat="false" ht="15" hidden="false" customHeight="false" outlineLevel="0" collapsed="false">
      <c r="A90" s="18" t="n">
        <v>85</v>
      </c>
      <c r="B90" s="18"/>
      <c r="C90" s="22"/>
      <c r="D90" s="18"/>
      <c r="E90" s="18"/>
      <c r="F90" s="18"/>
      <c r="G90" s="18"/>
      <c r="H90" s="20" t="str">
        <f aca="false">IF(OR(F90="",G90=""),"",F90*G90/1000)</f>
        <v/>
      </c>
      <c r="I90" s="23"/>
      <c r="J90" s="23"/>
      <c r="K90" s="18"/>
      <c r="L90" s="21" t="str">
        <f aca="false">IF(B90="","",IF(J90&lt;&gt;"",J90,IF(AND(N(I90)&gt;0,N(H90)&gt;0),I90/H90,"")))</f>
        <v/>
      </c>
      <c r="M90" s="19" t="str">
        <f aca="false">IF(B90="","",IFERROR(INDEX(GES!$E$6:$E$25,MATCH(B90,GES!$A$6:$A$25,0)),"GES?"))</f>
        <v/>
      </c>
      <c r="N90" s="21" t="str">
        <f aca="false">IF(AND(ISNUMBER(L90),ISNUMBER(K90),LEFT(M90,3)="CAR"),L90*K90/100,"")</f>
        <v/>
      </c>
      <c r="O90" s="21" t="str">
        <f aca="false">IF(B90="","",IFERROR(INDEX(GES!$U$6:$U$25,MATCH(B90,GES!$A$6:$A$25,0)),""))</f>
        <v/>
      </c>
      <c r="P90" s="24" t="str">
        <f aca="false">IF(AND(ISNUMBER(L90),ISNUMBER(O90)),L90/O90,"")</f>
        <v/>
      </c>
      <c r="Q90" s="25" t="str">
        <f aca="false">IF(NOT(ISNUMBER(L90)),"",IFERROR(IF(INDEX(Estadística!$L$6:$L$25,MATCH(B90,Estadística!$A$6:$A$25,0))&gt;INDEX(Estadística!$T$6:$T$25,MATCH(B90,Estadística!$A$6:$A$25,0)),IF(OR(L90&lt;INDEX(Estadística!$I$6:$I$25,MATCH(B90,Estadística!$A$6:$A$25,0))/2,L90&gt;2*INDEX(Estadística!$I$6:$I$25,MATCH(B90,Estadística!$A$6:$A$25,0))),"Fuera de ½MA–2MA: revisar","Dentro de ½MA–2MA"),"—"),""))</f>
        <v/>
      </c>
      <c r="R90" s="18"/>
      <c r="S90" s="19" t="str">
        <f aca="false">IF(ISNUMBER(L90),IF(L90&gt;0,LN(L90),""),"")</f>
        <v/>
      </c>
      <c r="T90" s="19" t="str">
        <f aca="false">IF(ISNUMBER(S90),IFERROR((S90-LN(INDEX(Estadística!$K$6:$K$25,MATCH(B90,Estadística!$A$6:$A$25,0))))^2,""),"")</f>
        <v/>
      </c>
      <c r="U90" s="19" t="str">
        <f aca="false">IF(ISNUMBER(L90),IFERROR((L90-INDEX(Estadística!$I$6:$I$25,MATCH(B90,Estadística!$A$6:$A$25,0)))^2,""),"")</f>
        <v/>
      </c>
      <c r="V90" s="19" t="str">
        <f aca="false">IF(ISNUMBER(P90),IF(P90&gt;1,1,0),"")</f>
        <v/>
      </c>
    </row>
    <row r="91" customFormat="false" ht="15" hidden="false" customHeight="false" outlineLevel="0" collapsed="false">
      <c r="A91" s="18" t="n">
        <v>86</v>
      </c>
      <c r="B91" s="18"/>
      <c r="C91" s="22"/>
      <c r="D91" s="18"/>
      <c r="E91" s="18"/>
      <c r="F91" s="18"/>
      <c r="G91" s="18"/>
      <c r="H91" s="20" t="str">
        <f aca="false">IF(OR(F91="",G91=""),"",F91*G91/1000)</f>
        <v/>
      </c>
      <c r="I91" s="23"/>
      <c r="J91" s="23"/>
      <c r="K91" s="18"/>
      <c r="L91" s="21" t="str">
        <f aca="false">IF(B91="","",IF(J91&lt;&gt;"",J91,IF(AND(N(I91)&gt;0,N(H91)&gt;0),I91/H91,"")))</f>
        <v/>
      </c>
      <c r="M91" s="19" t="str">
        <f aca="false">IF(B91="","",IFERROR(INDEX(GES!$E$6:$E$25,MATCH(B91,GES!$A$6:$A$25,0)),"GES?"))</f>
        <v/>
      </c>
      <c r="N91" s="21" t="str">
        <f aca="false">IF(AND(ISNUMBER(L91),ISNUMBER(K91),LEFT(M91,3)="CAR"),L91*K91/100,"")</f>
        <v/>
      </c>
      <c r="O91" s="21" t="str">
        <f aca="false">IF(B91="","",IFERROR(INDEX(GES!$U$6:$U$25,MATCH(B91,GES!$A$6:$A$25,0)),""))</f>
        <v/>
      </c>
      <c r="P91" s="24" t="str">
        <f aca="false">IF(AND(ISNUMBER(L91),ISNUMBER(O91)),L91/O91,"")</f>
        <v/>
      </c>
      <c r="Q91" s="25" t="str">
        <f aca="false">IF(NOT(ISNUMBER(L91)),"",IFERROR(IF(INDEX(Estadística!$L$6:$L$25,MATCH(B91,Estadística!$A$6:$A$25,0))&gt;INDEX(Estadística!$T$6:$T$25,MATCH(B91,Estadística!$A$6:$A$25,0)),IF(OR(L91&lt;INDEX(Estadística!$I$6:$I$25,MATCH(B91,Estadística!$A$6:$A$25,0))/2,L91&gt;2*INDEX(Estadística!$I$6:$I$25,MATCH(B91,Estadística!$A$6:$A$25,0))),"Fuera de ½MA–2MA: revisar","Dentro de ½MA–2MA"),"—"),""))</f>
        <v/>
      </c>
      <c r="R91" s="18"/>
      <c r="S91" s="19" t="str">
        <f aca="false">IF(ISNUMBER(L91),IF(L91&gt;0,LN(L91),""),"")</f>
        <v/>
      </c>
      <c r="T91" s="19" t="str">
        <f aca="false">IF(ISNUMBER(S91),IFERROR((S91-LN(INDEX(Estadística!$K$6:$K$25,MATCH(B91,Estadística!$A$6:$A$25,0))))^2,""),"")</f>
        <v/>
      </c>
      <c r="U91" s="19" t="str">
        <f aca="false">IF(ISNUMBER(L91),IFERROR((L91-INDEX(Estadística!$I$6:$I$25,MATCH(B91,Estadística!$A$6:$A$25,0)))^2,""),"")</f>
        <v/>
      </c>
      <c r="V91" s="19" t="str">
        <f aca="false">IF(ISNUMBER(P91),IF(P91&gt;1,1,0),"")</f>
        <v/>
      </c>
    </row>
    <row r="92" customFormat="false" ht="15" hidden="false" customHeight="false" outlineLevel="0" collapsed="false">
      <c r="A92" s="18" t="n">
        <v>87</v>
      </c>
      <c r="B92" s="18"/>
      <c r="C92" s="22"/>
      <c r="D92" s="18"/>
      <c r="E92" s="18"/>
      <c r="F92" s="18"/>
      <c r="G92" s="18"/>
      <c r="H92" s="20" t="str">
        <f aca="false">IF(OR(F92="",G92=""),"",F92*G92/1000)</f>
        <v/>
      </c>
      <c r="I92" s="23"/>
      <c r="J92" s="23"/>
      <c r="K92" s="18"/>
      <c r="L92" s="21" t="str">
        <f aca="false">IF(B92="","",IF(J92&lt;&gt;"",J92,IF(AND(N(I92)&gt;0,N(H92)&gt;0),I92/H92,"")))</f>
        <v/>
      </c>
      <c r="M92" s="19" t="str">
        <f aca="false">IF(B92="","",IFERROR(INDEX(GES!$E$6:$E$25,MATCH(B92,GES!$A$6:$A$25,0)),"GES?"))</f>
        <v/>
      </c>
      <c r="N92" s="21" t="str">
        <f aca="false">IF(AND(ISNUMBER(L92),ISNUMBER(K92),LEFT(M92,3)="CAR"),L92*K92/100,"")</f>
        <v/>
      </c>
      <c r="O92" s="21" t="str">
        <f aca="false">IF(B92="","",IFERROR(INDEX(GES!$U$6:$U$25,MATCH(B92,GES!$A$6:$A$25,0)),""))</f>
        <v/>
      </c>
      <c r="P92" s="24" t="str">
        <f aca="false">IF(AND(ISNUMBER(L92),ISNUMBER(O92)),L92/O92,"")</f>
        <v/>
      </c>
      <c r="Q92" s="25" t="str">
        <f aca="false">IF(NOT(ISNUMBER(L92)),"",IFERROR(IF(INDEX(Estadística!$L$6:$L$25,MATCH(B92,Estadística!$A$6:$A$25,0))&gt;INDEX(Estadística!$T$6:$T$25,MATCH(B92,Estadística!$A$6:$A$25,0)),IF(OR(L92&lt;INDEX(Estadística!$I$6:$I$25,MATCH(B92,Estadística!$A$6:$A$25,0))/2,L92&gt;2*INDEX(Estadística!$I$6:$I$25,MATCH(B92,Estadística!$A$6:$A$25,0))),"Fuera de ½MA–2MA: revisar","Dentro de ½MA–2MA"),"—"),""))</f>
        <v/>
      </c>
      <c r="R92" s="18"/>
      <c r="S92" s="19" t="str">
        <f aca="false">IF(ISNUMBER(L92),IF(L92&gt;0,LN(L92),""),"")</f>
        <v/>
      </c>
      <c r="T92" s="19" t="str">
        <f aca="false">IF(ISNUMBER(S92),IFERROR((S92-LN(INDEX(Estadística!$K$6:$K$25,MATCH(B92,Estadística!$A$6:$A$25,0))))^2,""),"")</f>
        <v/>
      </c>
      <c r="U92" s="19" t="str">
        <f aca="false">IF(ISNUMBER(L92),IFERROR((L92-INDEX(Estadística!$I$6:$I$25,MATCH(B92,Estadística!$A$6:$A$25,0)))^2,""),"")</f>
        <v/>
      </c>
      <c r="V92" s="19" t="str">
        <f aca="false">IF(ISNUMBER(P92),IF(P92&gt;1,1,0),"")</f>
        <v/>
      </c>
    </row>
    <row r="93" customFormat="false" ht="15" hidden="false" customHeight="false" outlineLevel="0" collapsed="false">
      <c r="A93" s="18" t="n">
        <v>88</v>
      </c>
      <c r="B93" s="18"/>
      <c r="C93" s="22"/>
      <c r="D93" s="18"/>
      <c r="E93" s="18"/>
      <c r="F93" s="18"/>
      <c r="G93" s="18"/>
      <c r="H93" s="20" t="str">
        <f aca="false">IF(OR(F93="",G93=""),"",F93*G93/1000)</f>
        <v/>
      </c>
      <c r="I93" s="23"/>
      <c r="J93" s="23"/>
      <c r="K93" s="18"/>
      <c r="L93" s="21" t="str">
        <f aca="false">IF(B93="","",IF(J93&lt;&gt;"",J93,IF(AND(N(I93)&gt;0,N(H93)&gt;0),I93/H93,"")))</f>
        <v/>
      </c>
      <c r="M93" s="19" t="str">
        <f aca="false">IF(B93="","",IFERROR(INDEX(GES!$E$6:$E$25,MATCH(B93,GES!$A$6:$A$25,0)),"GES?"))</f>
        <v/>
      </c>
      <c r="N93" s="21" t="str">
        <f aca="false">IF(AND(ISNUMBER(L93),ISNUMBER(K93),LEFT(M93,3)="CAR"),L93*K93/100,"")</f>
        <v/>
      </c>
      <c r="O93" s="21" t="str">
        <f aca="false">IF(B93="","",IFERROR(INDEX(GES!$U$6:$U$25,MATCH(B93,GES!$A$6:$A$25,0)),""))</f>
        <v/>
      </c>
      <c r="P93" s="24" t="str">
        <f aca="false">IF(AND(ISNUMBER(L93),ISNUMBER(O93)),L93/O93,"")</f>
        <v/>
      </c>
      <c r="Q93" s="25" t="str">
        <f aca="false">IF(NOT(ISNUMBER(L93)),"",IFERROR(IF(INDEX(Estadística!$L$6:$L$25,MATCH(B93,Estadística!$A$6:$A$25,0))&gt;INDEX(Estadística!$T$6:$T$25,MATCH(B93,Estadística!$A$6:$A$25,0)),IF(OR(L93&lt;INDEX(Estadística!$I$6:$I$25,MATCH(B93,Estadística!$A$6:$A$25,0))/2,L93&gt;2*INDEX(Estadística!$I$6:$I$25,MATCH(B93,Estadística!$A$6:$A$25,0))),"Fuera de ½MA–2MA: revisar","Dentro de ½MA–2MA"),"—"),""))</f>
        <v/>
      </c>
      <c r="R93" s="18"/>
      <c r="S93" s="19" t="str">
        <f aca="false">IF(ISNUMBER(L93),IF(L93&gt;0,LN(L93),""),"")</f>
        <v/>
      </c>
      <c r="T93" s="19" t="str">
        <f aca="false">IF(ISNUMBER(S93),IFERROR((S93-LN(INDEX(Estadística!$K$6:$K$25,MATCH(B93,Estadística!$A$6:$A$25,0))))^2,""),"")</f>
        <v/>
      </c>
      <c r="U93" s="19" t="str">
        <f aca="false">IF(ISNUMBER(L93),IFERROR((L93-INDEX(Estadística!$I$6:$I$25,MATCH(B93,Estadística!$A$6:$A$25,0)))^2,""),"")</f>
        <v/>
      </c>
      <c r="V93" s="19" t="str">
        <f aca="false">IF(ISNUMBER(P93),IF(P93&gt;1,1,0),"")</f>
        <v/>
      </c>
    </row>
    <row r="94" customFormat="false" ht="15" hidden="false" customHeight="false" outlineLevel="0" collapsed="false">
      <c r="A94" s="18" t="n">
        <v>89</v>
      </c>
      <c r="B94" s="18"/>
      <c r="C94" s="22"/>
      <c r="D94" s="18"/>
      <c r="E94" s="18"/>
      <c r="F94" s="18"/>
      <c r="G94" s="18"/>
      <c r="H94" s="20" t="str">
        <f aca="false">IF(OR(F94="",G94=""),"",F94*G94/1000)</f>
        <v/>
      </c>
      <c r="I94" s="23"/>
      <c r="J94" s="23"/>
      <c r="K94" s="18"/>
      <c r="L94" s="21" t="str">
        <f aca="false">IF(B94="","",IF(J94&lt;&gt;"",J94,IF(AND(N(I94)&gt;0,N(H94)&gt;0),I94/H94,"")))</f>
        <v/>
      </c>
      <c r="M94" s="19" t="str">
        <f aca="false">IF(B94="","",IFERROR(INDEX(GES!$E$6:$E$25,MATCH(B94,GES!$A$6:$A$25,0)),"GES?"))</f>
        <v/>
      </c>
      <c r="N94" s="21" t="str">
        <f aca="false">IF(AND(ISNUMBER(L94),ISNUMBER(K94),LEFT(M94,3)="CAR"),L94*K94/100,"")</f>
        <v/>
      </c>
      <c r="O94" s="21" t="str">
        <f aca="false">IF(B94="","",IFERROR(INDEX(GES!$U$6:$U$25,MATCH(B94,GES!$A$6:$A$25,0)),""))</f>
        <v/>
      </c>
      <c r="P94" s="24" t="str">
        <f aca="false">IF(AND(ISNUMBER(L94),ISNUMBER(O94)),L94/O94,"")</f>
        <v/>
      </c>
      <c r="Q94" s="25" t="str">
        <f aca="false">IF(NOT(ISNUMBER(L94)),"",IFERROR(IF(INDEX(Estadística!$L$6:$L$25,MATCH(B94,Estadística!$A$6:$A$25,0))&gt;INDEX(Estadística!$T$6:$T$25,MATCH(B94,Estadística!$A$6:$A$25,0)),IF(OR(L94&lt;INDEX(Estadística!$I$6:$I$25,MATCH(B94,Estadística!$A$6:$A$25,0))/2,L94&gt;2*INDEX(Estadística!$I$6:$I$25,MATCH(B94,Estadística!$A$6:$A$25,0))),"Fuera de ½MA–2MA: revisar","Dentro de ½MA–2MA"),"—"),""))</f>
        <v/>
      </c>
      <c r="R94" s="18"/>
      <c r="S94" s="19" t="str">
        <f aca="false">IF(ISNUMBER(L94),IF(L94&gt;0,LN(L94),""),"")</f>
        <v/>
      </c>
      <c r="T94" s="19" t="str">
        <f aca="false">IF(ISNUMBER(S94),IFERROR((S94-LN(INDEX(Estadística!$K$6:$K$25,MATCH(B94,Estadística!$A$6:$A$25,0))))^2,""),"")</f>
        <v/>
      </c>
      <c r="U94" s="19" t="str">
        <f aca="false">IF(ISNUMBER(L94),IFERROR((L94-INDEX(Estadística!$I$6:$I$25,MATCH(B94,Estadística!$A$6:$A$25,0)))^2,""),"")</f>
        <v/>
      </c>
      <c r="V94" s="19" t="str">
        <f aca="false">IF(ISNUMBER(P94),IF(P94&gt;1,1,0),"")</f>
        <v/>
      </c>
    </row>
    <row r="95" customFormat="false" ht="15" hidden="false" customHeight="false" outlineLevel="0" collapsed="false">
      <c r="A95" s="18" t="n">
        <v>90</v>
      </c>
      <c r="B95" s="18"/>
      <c r="C95" s="22"/>
      <c r="D95" s="18"/>
      <c r="E95" s="18"/>
      <c r="F95" s="18"/>
      <c r="G95" s="18"/>
      <c r="H95" s="20" t="str">
        <f aca="false">IF(OR(F95="",G95=""),"",F95*G95/1000)</f>
        <v/>
      </c>
      <c r="I95" s="23"/>
      <c r="J95" s="23"/>
      <c r="K95" s="18"/>
      <c r="L95" s="21" t="str">
        <f aca="false">IF(B95="","",IF(J95&lt;&gt;"",J95,IF(AND(N(I95)&gt;0,N(H95)&gt;0),I95/H95,"")))</f>
        <v/>
      </c>
      <c r="M95" s="19" t="str">
        <f aca="false">IF(B95="","",IFERROR(INDEX(GES!$E$6:$E$25,MATCH(B95,GES!$A$6:$A$25,0)),"GES?"))</f>
        <v/>
      </c>
      <c r="N95" s="21" t="str">
        <f aca="false">IF(AND(ISNUMBER(L95),ISNUMBER(K95),LEFT(M95,3)="CAR"),L95*K95/100,"")</f>
        <v/>
      </c>
      <c r="O95" s="21" t="str">
        <f aca="false">IF(B95="","",IFERROR(INDEX(GES!$U$6:$U$25,MATCH(B95,GES!$A$6:$A$25,0)),""))</f>
        <v/>
      </c>
      <c r="P95" s="24" t="str">
        <f aca="false">IF(AND(ISNUMBER(L95),ISNUMBER(O95)),L95/O95,"")</f>
        <v/>
      </c>
      <c r="Q95" s="25" t="str">
        <f aca="false">IF(NOT(ISNUMBER(L95)),"",IFERROR(IF(INDEX(Estadística!$L$6:$L$25,MATCH(B95,Estadística!$A$6:$A$25,0))&gt;INDEX(Estadística!$T$6:$T$25,MATCH(B95,Estadística!$A$6:$A$25,0)),IF(OR(L95&lt;INDEX(Estadística!$I$6:$I$25,MATCH(B95,Estadística!$A$6:$A$25,0))/2,L95&gt;2*INDEX(Estadística!$I$6:$I$25,MATCH(B95,Estadística!$A$6:$A$25,0))),"Fuera de ½MA–2MA: revisar","Dentro de ½MA–2MA"),"—"),""))</f>
        <v/>
      </c>
      <c r="R95" s="18"/>
      <c r="S95" s="19" t="str">
        <f aca="false">IF(ISNUMBER(L95),IF(L95&gt;0,LN(L95),""),"")</f>
        <v/>
      </c>
      <c r="T95" s="19" t="str">
        <f aca="false">IF(ISNUMBER(S95),IFERROR((S95-LN(INDEX(Estadística!$K$6:$K$25,MATCH(B95,Estadística!$A$6:$A$25,0))))^2,""),"")</f>
        <v/>
      </c>
      <c r="U95" s="19" t="str">
        <f aca="false">IF(ISNUMBER(L95),IFERROR((L95-INDEX(Estadística!$I$6:$I$25,MATCH(B95,Estadística!$A$6:$A$25,0)))^2,""),"")</f>
        <v/>
      </c>
      <c r="V95" s="19" t="str">
        <f aca="false">IF(ISNUMBER(P95),IF(P95&gt;1,1,0),"")</f>
        <v/>
      </c>
    </row>
    <row r="96" customFormat="false" ht="15" hidden="false" customHeight="false" outlineLevel="0" collapsed="false">
      <c r="A96" s="18" t="n">
        <v>91</v>
      </c>
      <c r="B96" s="18"/>
      <c r="C96" s="22"/>
      <c r="D96" s="18"/>
      <c r="E96" s="18"/>
      <c r="F96" s="18"/>
      <c r="G96" s="18"/>
      <c r="H96" s="20" t="str">
        <f aca="false">IF(OR(F96="",G96=""),"",F96*G96/1000)</f>
        <v/>
      </c>
      <c r="I96" s="23"/>
      <c r="J96" s="23"/>
      <c r="K96" s="18"/>
      <c r="L96" s="21" t="str">
        <f aca="false">IF(B96="","",IF(J96&lt;&gt;"",J96,IF(AND(N(I96)&gt;0,N(H96)&gt;0),I96/H96,"")))</f>
        <v/>
      </c>
      <c r="M96" s="19" t="str">
        <f aca="false">IF(B96="","",IFERROR(INDEX(GES!$E$6:$E$25,MATCH(B96,GES!$A$6:$A$25,0)),"GES?"))</f>
        <v/>
      </c>
      <c r="N96" s="21" t="str">
        <f aca="false">IF(AND(ISNUMBER(L96),ISNUMBER(K96),LEFT(M96,3)="CAR"),L96*K96/100,"")</f>
        <v/>
      </c>
      <c r="O96" s="21" t="str">
        <f aca="false">IF(B96="","",IFERROR(INDEX(GES!$U$6:$U$25,MATCH(B96,GES!$A$6:$A$25,0)),""))</f>
        <v/>
      </c>
      <c r="P96" s="24" t="str">
        <f aca="false">IF(AND(ISNUMBER(L96),ISNUMBER(O96)),L96/O96,"")</f>
        <v/>
      </c>
      <c r="Q96" s="25" t="str">
        <f aca="false">IF(NOT(ISNUMBER(L96)),"",IFERROR(IF(INDEX(Estadística!$L$6:$L$25,MATCH(B96,Estadística!$A$6:$A$25,0))&gt;INDEX(Estadística!$T$6:$T$25,MATCH(B96,Estadística!$A$6:$A$25,0)),IF(OR(L96&lt;INDEX(Estadística!$I$6:$I$25,MATCH(B96,Estadística!$A$6:$A$25,0))/2,L96&gt;2*INDEX(Estadística!$I$6:$I$25,MATCH(B96,Estadística!$A$6:$A$25,0))),"Fuera de ½MA–2MA: revisar","Dentro de ½MA–2MA"),"—"),""))</f>
        <v/>
      </c>
      <c r="R96" s="18"/>
      <c r="S96" s="19" t="str">
        <f aca="false">IF(ISNUMBER(L96),IF(L96&gt;0,LN(L96),""),"")</f>
        <v/>
      </c>
      <c r="T96" s="19" t="str">
        <f aca="false">IF(ISNUMBER(S96),IFERROR((S96-LN(INDEX(Estadística!$K$6:$K$25,MATCH(B96,Estadística!$A$6:$A$25,0))))^2,""),"")</f>
        <v/>
      </c>
      <c r="U96" s="19" t="str">
        <f aca="false">IF(ISNUMBER(L96),IFERROR((L96-INDEX(Estadística!$I$6:$I$25,MATCH(B96,Estadística!$A$6:$A$25,0)))^2,""),"")</f>
        <v/>
      </c>
      <c r="V96" s="19" t="str">
        <f aca="false">IF(ISNUMBER(P96),IF(P96&gt;1,1,0),"")</f>
        <v/>
      </c>
    </row>
    <row r="97" customFormat="false" ht="15" hidden="false" customHeight="false" outlineLevel="0" collapsed="false">
      <c r="A97" s="18" t="n">
        <v>92</v>
      </c>
      <c r="B97" s="18"/>
      <c r="C97" s="22"/>
      <c r="D97" s="18"/>
      <c r="E97" s="18"/>
      <c r="F97" s="18"/>
      <c r="G97" s="18"/>
      <c r="H97" s="20" t="str">
        <f aca="false">IF(OR(F97="",G97=""),"",F97*G97/1000)</f>
        <v/>
      </c>
      <c r="I97" s="23"/>
      <c r="J97" s="23"/>
      <c r="K97" s="18"/>
      <c r="L97" s="21" t="str">
        <f aca="false">IF(B97="","",IF(J97&lt;&gt;"",J97,IF(AND(N(I97)&gt;0,N(H97)&gt;0),I97/H97,"")))</f>
        <v/>
      </c>
      <c r="M97" s="19" t="str">
        <f aca="false">IF(B97="","",IFERROR(INDEX(GES!$E$6:$E$25,MATCH(B97,GES!$A$6:$A$25,0)),"GES?"))</f>
        <v/>
      </c>
      <c r="N97" s="21" t="str">
        <f aca="false">IF(AND(ISNUMBER(L97),ISNUMBER(K97),LEFT(M97,3)="CAR"),L97*K97/100,"")</f>
        <v/>
      </c>
      <c r="O97" s="21" t="str">
        <f aca="false">IF(B97="","",IFERROR(INDEX(GES!$U$6:$U$25,MATCH(B97,GES!$A$6:$A$25,0)),""))</f>
        <v/>
      </c>
      <c r="P97" s="24" t="str">
        <f aca="false">IF(AND(ISNUMBER(L97),ISNUMBER(O97)),L97/O97,"")</f>
        <v/>
      </c>
      <c r="Q97" s="25" t="str">
        <f aca="false">IF(NOT(ISNUMBER(L97)),"",IFERROR(IF(INDEX(Estadística!$L$6:$L$25,MATCH(B97,Estadística!$A$6:$A$25,0))&gt;INDEX(Estadística!$T$6:$T$25,MATCH(B97,Estadística!$A$6:$A$25,0)),IF(OR(L97&lt;INDEX(Estadística!$I$6:$I$25,MATCH(B97,Estadística!$A$6:$A$25,0))/2,L97&gt;2*INDEX(Estadística!$I$6:$I$25,MATCH(B97,Estadística!$A$6:$A$25,0))),"Fuera de ½MA–2MA: revisar","Dentro de ½MA–2MA"),"—"),""))</f>
        <v/>
      </c>
      <c r="R97" s="18"/>
      <c r="S97" s="19" t="str">
        <f aca="false">IF(ISNUMBER(L97),IF(L97&gt;0,LN(L97),""),"")</f>
        <v/>
      </c>
      <c r="T97" s="19" t="str">
        <f aca="false">IF(ISNUMBER(S97),IFERROR((S97-LN(INDEX(Estadística!$K$6:$K$25,MATCH(B97,Estadística!$A$6:$A$25,0))))^2,""),"")</f>
        <v/>
      </c>
      <c r="U97" s="19" t="str">
        <f aca="false">IF(ISNUMBER(L97),IFERROR((L97-INDEX(Estadística!$I$6:$I$25,MATCH(B97,Estadística!$A$6:$A$25,0)))^2,""),"")</f>
        <v/>
      </c>
      <c r="V97" s="19" t="str">
        <f aca="false">IF(ISNUMBER(P97),IF(P97&gt;1,1,0),"")</f>
        <v/>
      </c>
    </row>
    <row r="98" customFormat="false" ht="15" hidden="false" customHeight="false" outlineLevel="0" collapsed="false">
      <c r="A98" s="18" t="n">
        <v>93</v>
      </c>
      <c r="B98" s="18"/>
      <c r="C98" s="22"/>
      <c r="D98" s="18"/>
      <c r="E98" s="18"/>
      <c r="F98" s="18"/>
      <c r="G98" s="18"/>
      <c r="H98" s="20" t="str">
        <f aca="false">IF(OR(F98="",G98=""),"",F98*G98/1000)</f>
        <v/>
      </c>
      <c r="I98" s="23"/>
      <c r="J98" s="23"/>
      <c r="K98" s="18"/>
      <c r="L98" s="21" t="str">
        <f aca="false">IF(B98="","",IF(J98&lt;&gt;"",J98,IF(AND(N(I98)&gt;0,N(H98)&gt;0),I98/H98,"")))</f>
        <v/>
      </c>
      <c r="M98" s="19" t="str">
        <f aca="false">IF(B98="","",IFERROR(INDEX(GES!$E$6:$E$25,MATCH(B98,GES!$A$6:$A$25,0)),"GES?"))</f>
        <v/>
      </c>
      <c r="N98" s="21" t="str">
        <f aca="false">IF(AND(ISNUMBER(L98),ISNUMBER(K98),LEFT(M98,3)="CAR"),L98*K98/100,"")</f>
        <v/>
      </c>
      <c r="O98" s="21" t="str">
        <f aca="false">IF(B98="","",IFERROR(INDEX(GES!$U$6:$U$25,MATCH(B98,GES!$A$6:$A$25,0)),""))</f>
        <v/>
      </c>
      <c r="P98" s="24" t="str">
        <f aca="false">IF(AND(ISNUMBER(L98),ISNUMBER(O98)),L98/O98,"")</f>
        <v/>
      </c>
      <c r="Q98" s="25" t="str">
        <f aca="false">IF(NOT(ISNUMBER(L98)),"",IFERROR(IF(INDEX(Estadística!$L$6:$L$25,MATCH(B98,Estadística!$A$6:$A$25,0))&gt;INDEX(Estadística!$T$6:$T$25,MATCH(B98,Estadística!$A$6:$A$25,0)),IF(OR(L98&lt;INDEX(Estadística!$I$6:$I$25,MATCH(B98,Estadística!$A$6:$A$25,0))/2,L98&gt;2*INDEX(Estadística!$I$6:$I$25,MATCH(B98,Estadística!$A$6:$A$25,0))),"Fuera de ½MA–2MA: revisar","Dentro de ½MA–2MA"),"—"),""))</f>
        <v/>
      </c>
      <c r="R98" s="18"/>
      <c r="S98" s="19" t="str">
        <f aca="false">IF(ISNUMBER(L98),IF(L98&gt;0,LN(L98),""),"")</f>
        <v/>
      </c>
      <c r="T98" s="19" t="str">
        <f aca="false">IF(ISNUMBER(S98),IFERROR((S98-LN(INDEX(Estadística!$K$6:$K$25,MATCH(B98,Estadística!$A$6:$A$25,0))))^2,""),"")</f>
        <v/>
      </c>
      <c r="U98" s="19" t="str">
        <f aca="false">IF(ISNUMBER(L98),IFERROR((L98-INDEX(Estadística!$I$6:$I$25,MATCH(B98,Estadística!$A$6:$A$25,0)))^2,""),"")</f>
        <v/>
      </c>
      <c r="V98" s="19" t="str">
        <f aca="false">IF(ISNUMBER(P98),IF(P98&gt;1,1,0),"")</f>
        <v/>
      </c>
    </row>
    <row r="99" customFormat="false" ht="15" hidden="false" customHeight="false" outlineLevel="0" collapsed="false">
      <c r="A99" s="18" t="n">
        <v>94</v>
      </c>
      <c r="B99" s="18"/>
      <c r="C99" s="22"/>
      <c r="D99" s="18"/>
      <c r="E99" s="18"/>
      <c r="F99" s="18"/>
      <c r="G99" s="18"/>
      <c r="H99" s="20" t="str">
        <f aca="false">IF(OR(F99="",G99=""),"",F99*G99/1000)</f>
        <v/>
      </c>
      <c r="I99" s="23"/>
      <c r="J99" s="23"/>
      <c r="K99" s="18"/>
      <c r="L99" s="21" t="str">
        <f aca="false">IF(B99="","",IF(J99&lt;&gt;"",J99,IF(AND(N(I99)&gt;0,N(H99)&gt;0),I99/H99,"")))</f>
        <v/>
      </c>
      <c r="M99" s="19" t="str">
        <f aca="false">IF(B99="","",IFERROR(INDEX(GES!$E$6:$E$25,MATCH(B99,GES!$A$6:$A$25,0)),"GES?"))</f>
        <v/>
      </c>
      <c r="N99" s="21" t="str">
        <f aca="false">IF(AND(ISNUMBER(L99),ISNUMBER(K99),LEFT(M99,3)="CAR"),L99*K99/100,"")</f>
        <v/>
      </c>
      <c r="O99" s="21" t="str">
        <f aca="false">IF(B99="","",IFERROR(INDEX(GES!$U$6:$U$25,MATCH(B99,GES!$A$6:$A$25,0)),""))</f>
        <v/>
      </c>
      <c r="P99" s="24" t="str">
        <f aca="false">IF(AND(ISNUMBER(L99),ISNUMBER(O99)),L99/O99,"")</f>
        <v/>
      </c>
      <c r="Q99" s="25" t="str">
        <f aca="false">IF(NOT(ISNUMBER(L99)),"",IFERROR(IF(INDEX(Estadística!$L$6:$L$25,MATCH(B99,Estadística!$A$6:$A$25,0))&gt;INDEX(Estadística!$T$6:$T$25,MATCH(B99,Estadística!$A$6:$A$25,0)),IF(OR(L99&lt;INDEX(Estadística!$I$6:$I$25,MATCH(B99,Estadística!$A$6:$A$25,0))/2,L99&gt;2*INDEX(Estadística!$I$6:$I$25,MATCH(B99,Estadística!$A$6:$A$25,0))),"Fuera de ½MA–2MA: revisar","Dentro de ½MA–2MA"),"—"),""))</f>
        <v/>
      </c>
      <c r="R99" s="18"/>
      <c r="S99" s="19" t="str">
        <f aca="false">IF(ISNUMBER(L99),IF(L99&gt;0,LN(L99),""),"")</f>
        <v/>
      </c>
      <c r="T99" s="19" t="str">
        <f aca="false">IF(ISNUMBER(S99),IFERROR((S99-LN(INDEX(Estadística!$K$6:$K$25,MATCH(B99,Estadística!$A$6:$A$25,0))))^2,""),"")</f>
        <v/>
      </c>
      <c r="U99" s="19" t="str">
        <f aca="false">IF(ISNUMBER(L99),IFERROR((L99-INDEX(Estadística!$I$6:$I$25,MATCH(B99,Estadística!$A$6:$A$25,0)))^2,""),"")</f>
        <v/>
      </c>
      <c r="V99" s="19" t="str">
        <f aca="false">IF(ISNUMBER(P99),IF(P99&gt;1,1,0),"")</f>
        <v/>
      </c>
    </row>
    <row r="100" customFormat="false" ht="15" hidden="false" customHeight="false" outlineLevel="0" collapsed="false">
      <c r="A100" s="18" t="n">
        <v>95</v>
      </c>
      <c r="B100" s="18"/>
      <c r="C100" s="22"/>
      <c r="D100" s="18"/>
      <c r="E100" s="18"/>
      <c r="F100" s="18"/>
      <c r="G100" s="18"/>
      <c r="H100" s="20" t="str">
        <f aca="false">IF(OR(F100="",G100=""),"",F100*G100/1000)</f>
        <v/>
      </c>
      <c r="I100" s="23"/>
      <c r="J100" s="23"/>
      <c r="K100" s="18"/>
      <c r="L100" s="21" t="str">
        <f aca="false">IF(B100="","",IF(J100&lt;&gt;"",J100,IF(AND(N(I100)&gt;0,N(H100)&gt;0),I100/H100,"")))</f>
        <v/>
      </c>
      <c r="M100" s="19" t="str">
        <f aca="false">IF(B100="","",IFERROR(INDEX(GES!$E$6:$E$25,MATCH(B100,GES!$A$6:$A$25,0)),"GES?"))</f>
        <v/>
      </c>
      <c r="N100" s="21" t="str">
        <f aca="false">IF(AND(ISNUMBER(L100),ISNUMBER(K100),LEFT(M100,3)="CAR"),L100*K100/100,"")</f>
        <v/>
      </c>
      <c r="O100" s="21" t="str">
        <f aca="false">IF(B100="","",IFERROR(INDEX(GES!$U$6:$U$25,MATCH(B100,GES!$A$6:$A$25,0)),""))</f>
        <v/>
      </c>
      <c r="P100" s="24" t="str">
        <f aca="false">IF(AND(ISNUMBER(L100),ISNUMBER(O100)),L100/O100,"")</f>
        <v/>
      </c>
      <c r="Q100" s="25" t="str">
        <f aca="false">IF(NOT(ISNUMBER(L100)),"",IFERROR(IF(INDEX(Estadística!$L$6:$L$25,MATCH(B100,Estadística!$A$6:$A$25,0))&gt;INDEX(Estadística!$T$6:$T$25,MATCH(B100,Estadística!$A$6:$A$25,0)),IF(OR(L100&lt;INDEX(Estadística!$I$6:$I$25,MATCH(B100,Estadística!$A$6:$A$25,0))/2,L100&gt;2*INDEX(Estadística!$I$6:$I$25,MATCH(B100,Estadística!$A$6:$A$25,0))),"Fuera de ½MA–2MA: revisar","Dentro de ½MA–2MA"),"—"),""))</f>
        <v/>
      </c>
      <c r="R100" s="18"/>
      <c r="S100" s="19" t="str">
        <f aca="false">IF(ISNUMBER(L100),IF(L100&gt;0,LN(L100),""),"")</f>
        <v/>
      </c>
      <c r="T100" s="19" t="str">
        <f aca="false">IF(ISNUMBER(S100),IFERROR((S100-LN(INDEX(Estadística!$K$6:$K$25,MATCH(B100,Estadística!$A$6:$A$25,0))))^2,""),"")</f>
        <v/>
      </c>
      <c r="U100" s="19" t="str">
        <f aca="false">IF(ISNUMBER(L100),IFERROR((L100-INDEX(Estadística!$I$6:$I$25,MATCH(B100,Estadística!$A$6:$A$25,0)))^2,""),"")</f>
        <v/>
      </c>
      <c r="V100" s="19" t="str">
        <f aca="false">IF(ISNUMBER(P100),IF(P100&gt;1,1,0),"")</f>
        <v/>
      </c>
    </row>
    <row r="101" customFormat="false" ht="15" hidden="false" customHeight="false" outlineLevel="0" collapsed="false">
      <c r="A101" s="18" t="n">
        <v>96</v>
      </c>
      <c r="B101" s="18"/>
      <c r="C101" s="22"/>
      <c r="D101" s="18"/>
      <c r="E101" s="18"/>
      <c r="F101" s="18"/>
      <c r="G101" s="18"/>
      <c r="H101" s="20" t="str">
        <f aca="false">IF(OR(F101="",G101=""),"",F101*G101/1000)</f>
        <v/>
      </c>
      <c r="I101" s="23"/>
      <c r="J101" s="23"/>
      <c r="K101" s="18"/>
      <c r="L101" s="21" t="str">
        <f aca="false">IF(B101="","",IF(J101&lt;&gt;"",J101,IF(AND(N(I101)&gt;0,N(H101)&gt;0),I101/H101,"")))</f>
        <v/>
      </c>
      <c r="M101" s="19" t="str">
        <f aca="false">IF(B101="","",IFERROR(INDEX(GES!$E$6:$E$25,MATCH(B101,GES!$A$6:$A$25,0)),"GES?"))</f>
        <v/>
      </c>
      <c r="N101" s="21" t="str">
        <f aca="false">IF(AND(ISNUMBER(L101),ISNUMBER(K101),LEFT(M101,3)="CAR"),L101*K101/100,"")</f>
        <v/>
      </c>
      <c r="O101" s="21" t="str">
        <f aca="false">IF(B101="","",IFERROR(INDEX(GES!$U$6:$U$25,MATCH(B101,GES!$A$6:$A$25,0)),""))</f>
        <v/>
      </c>
      <c r="P101" s="24" t="str">
        <f aca="false">IF(AND(ISNUMBER(L101),ISNUMBER(O101)),L101/O101,"")</f>
        <v/>
      </c>
      <c r="Q101" s="25" t="str">
        <f aca="false">IF(NOT(ISNUMBER(L101)),"",IFERROR(IF(INDEX(Estadística!$L$6:$L$25,MATCH(B101,Estadística!$A$6:$A$25,0))&gt;INDEX(Estadística!$T$6:$T$25,MATCH(B101,Estadística!$A$6:$A$25,0)),IF(OR(L101&lt;INDEX(Estadística!$I$6:$I$25,MATCH(B101,Estadística!$A$6:$A$25,0))/2,L101&gt;2*INDEX(Estadística!$I$6:$I$25,MATCH(B101,Estadística!$A$6:$A$25,0))),"Fuera de ½MA–2MA: revisar","Dentro de ½MA–2MA"),"—"),""))</f>
        <v/>
      </c>
      <c r="R101" s="18"/>
      <c r="S101" s="19" t="str">
        <f aca="false">IF(ISNUMBER(L101),IF(L101&gt;0,LN(L101),""),"")</f>
        <v/>
      </c>
      <c r="T101" s="19" t="str">
        <f aca="false">IF(ISNUMBER(S101),IFERROR((S101-LN(INDEX(Estadística!$K$6:$K$25,MATCH(B101,Estadística!$A$6:$A$25,0))))^2,""),"")</f>
        <v/>
      </c>
      <c r="U101" s="19" t="str">
        <f aca="false">IF(ISNUMBER(L101),IFERROR((L101-INDEX(Estadística!$I$6:$I$25,MATCH(B101,Estadística!$A$6:$A$25,0)))^2,""),"")</f>
        <v/>
      </c>
      <c r="V101" s="19" t="str">
        <f aca="false">IF(ISNUMBER(P101),IF(P101&gt;1,1,0),"")</f>
        <v/>
      </c>
    </row>
    <row r="102" customFormat="false" ht="15" hidden="false" customHeight="false" outlineLevel="0" collapsed="false">
      <c r="A102" s="18" t="n">
        <v>97</v>
      </c>
      <c r="B102" s="18"/>
      <c r="C102" s="22"/>
      <c r="D102" s="18"/>
      <c r="E102" s="18"/>
      <c r="F102" s="18"/>
      <c r="G102" s="18"/>
      <c r="H102" s="20" t="str">
        <f aca="false">IF(OR(F102="",G102=""),"",F102*G102/1000)</f>
        <v/>
      </c>
      <c r="I102" s="23"/>
      <c r="J102" s="23"/>
      <c r="K102" s="18"/>
      <c r="L102" s="21" t="str">
        <f aca="false">IF(B102="","",IF(J102&lt;&gt;"",J102,IF(AND(N(I102)&gt;0,N(H102)&gt;0),I102/H102,"")))</f>
        <v/>
      </c>
      <c r="M102" s="19" t="str">
        <f aca="false">IF(B102="","",IFERROR(INDEX(GES!$E$6:$E$25,MATCH(B102,GES!$A$6:$A$25,0)),"GES?"))</f>
        <v/>
      </c>
      <c r="N102" s="21" t="str">
        <f aca="false">IF(AND(ISNUMBER(L102),ISNUMBER(K102),LEFT(M102,3)="CAR"),L102*K102/100,"")</f>
        <v/>
      </c>
      <c r="O102" s="21" t="str">
        <f aca="false">IF(B102="","",IFERROR(INDEX(GES!$U$6:$U$25,MATCH(B102,GES!$A$6:$A$25,0)),""))</f>
        <v/>
      </c>
      <c r="P102" s="24" t="str">
        <f aca="false">IF(AND(ISNUMBER(L102),ISNUMBER(O102)),L102/O102,"")</f>
        <v/>
      </c>
      <c r="Q102" s="25" t="str">
        <f aca="false">IF(NOT(ISNUMBER(L102)),"",IFERROR(IF(INDEX(Estadística!$L$6:$L$25,MATCH(B102,Estadística!$A$6:$A$25,0))&gt;INDEX(Estadística!$T$6:$T$25,MATCH(B102,Estadística!$A$6:$A$25,0)),IF(OR(L102&lt;INDEX(Estadística!$I$6:$I$25,MATCH(B102,Estadística!$A$6:$A$25,0))/2,L102&gt;2*INDEX(Estadística!$I$6:$I$25,MATCH(B102,Estadística!$A$6:$A$25,0))),"Fuera de ½MA–2MA: revisar","Dentro de ½MA–2MA"),"—"),""))</f>
        <v/>
      </c>
      <c r="R102" s="18"/>
      <c r="S102" s="19" t="str">
        <f aca="false">IF(ISNUMBER(L102),IF(L102&gt;0,LN(L102),""),"")</f>
        <v/>
      </c>
      <c r="T102" s="19" t="str">
        <f aca="false">IF(ISNUMBER(S102),IFERROR((S102-LN(INDEX(Estadística!$K$6:$K$25,MATCH(B102,Estadística!$A$6:$A$25,0))))^2,""),"")</f>
        <v/>
      </c>
      <c r="U102" s="19" t="str">
        <f aca="false">IF(ISNUMBER(L102),IFERROR((L102-INDEX(Estadística!$I$6:$I$25,MATCH(B102,Estadística!$A$6:$A$25,0)))^2,""),"")</f>
        <v/>
      </c>
      <c r="V102" s="19" t="str">
        <f aca="false">IF(ISNUMBER(P102),IF(P102&gt;1,1,0),"")</f>
        <v/>
      </c>
    </row>
    <row r="103" customFormat="false" ht="15" hidden="false" customHeight="false" outlineLevel="0" collapsed="false">
      <c r="A103" s="18" t="n">
        <v>98</v>
      </c>
      <c r="B103" s="18"/>
      <c r="C103" s="22"/>
      <c r="D103" s="18"/>
      <c r="E103" s="18"/>
      <c r="F103" s="18"/>
      <c r="G103" s="18"/>
      <c r="H103" s="20" t="str">
        <f aca="false">IF(OR(F103="",G103=""),"",F103*G103/1000)</f>
        <v/>
      </c>
      <c r="I103" s="23"/>
      <c r="J103" s="23"/>
      <c r="K103" s="18"/>
      <c r="L103" s="21" t="str">
        <f aca="false">IF(B103="","",IF(J103&lt;&gt;"",J103,IF(AND(N(I103)&gt;0,N(H103)&gt;0),I103/H103,"")))</f>
        <v/>
      </c>
      <c r="M103" s="19" t="str">
        <f aca="false">IF(B103="","",IFERROR(INDEX(GES!$E$6:$E$25,MATCH(B103,GES!$A$6:$A$25,0)),"GES?"))</f>
        <v/>
      </c>
      <c r="N103" s="21" t="str">
        <f aca="false">IF(AND(ISNUMBER(L103),ISNUMBER(K103),LEFT(M103,3)="CAR"),L103*K103/100,"")</f>
        <v/>
      </c>
      <c r="O103" s="21" t="str">
        <f aca="false">IF(B103="","",IFERROR(INDEX(GES!$U$6:$U$25,MATCH(B103,GES!$A$6:$A$25,0)),""))</f>
        <v/>
      </c>
      <c r="P103" s="24" t="str">
        <f aca="false">IF(AND(ISNUMBER(L103),ISNUMBER(O103)),L103/O103,"")</f>
        <v/>
      </c>
      <c r="Q103" s="25" t="str">
        <f aca="false">IF(NOT(ISNUMBER(L103)),"",IFERROR(IF(INDEX(Estadística!$L$6:$L$25,MATCH(B103,Estadística!$A$6:$A$25,0))&gt;INDEX(Estadística!$T$6:$T$25,MATCH(B103,Estadística!$A$6:$A$25,0)),IF(OR(L103&lt;INDEX(Estadística!$I$6:$I$25,MATCH(B103,Estadística!$A$6:$A$25,0))/2,L103&gt;2*INDEX(Estadística!$I$6:$I$25,MATCH(B103,Estadística!$A$6:$A$25,0))),"Fuera de ½MA–2MA: revisar","Dentro de ½MA–2MA"),"—"),""))</f>
        <v/>
      </c>
      <c r="R103" s="18"/>
      <c r="S103" s="19" t="str">
        <f aca="false">IF(ISNUMBER(L103),IF(L103&gt;0,LN(L103),""),"")</f>
        <v/>
      </c>
      <c r="T103" s="19" t="str">
        <f aca="false">IF(ISNUMBER(S103),IFERROR((S103-LN(INDEX(Estadística!$K$6:$K$25,MATCH(B103,Estadística!$A$6:$A$25,0))))^2,""),"")</f>
        <v/>
      </c>
      <c r="U103" s="19" t="str">
        <f aca="false">IF(ISNUMBER(L103),IFERROR((L103-INDEX(Estadística!$I$6:$I$25,MATCH(B103,Estadística!$A$6:$A$25,0)))^2,""),"")</f>
        <v/>
      </c>
      <c r="V103" s="19" t="str">
        <f aca="false">IF(ISNUMBER(P103),IF(P103&gt;1,1,0),"")</f>
        <v/>
      </c>
    </row>
    <row r="104" customFormat="false" ht="15" hidden="false" customHeight="false" outlineLevel="0" collapsed="false">
      <c r="A104" s="18" t="n">
        <v>99</v>
      </c>
      <c r="B104" s="18"/>
      <c r="C104" s="22"/>
      <c r="D104" s="18"/>
      <c r="E104" s="18"/>
      <c r="F104" s="18"/>
      <c r="G104" s="18"/>
      <c r="H104" s="20" t="str">
        <f aca="false">IF(OR(F104="",G104=""),"",F104*G104/1000)</f>
        <v/>
      </c>
      <c r="I104" s="23"/>
      <c r="J104" s="23"/>
      <c r="K104" s="18"/>
      <c r="L104" s="21" t="str">
        <f aca="false">IF(B104="","",IF(J104&lt;&gt;"",J104,IF(AND(N(I104)&gt;0,N(H104)&gt;0),I104/H104,"")))</f>
        <v/>
      </c>
      <c r="M104" s="19" t="str">
        <f aca="false">IF(B104="","",IFERROR(INDEX(GES!$E$6:$E$25,MATCH(B104,GES!$A$6:$A$25,0)),"GES?"))</f>
        <v/>
      </c>
      <c r="N104" s="21" t="str">
        <f aca="false">IF(AND(ISNUMBER(L104),ISNUMBER(K104),LEFT(M104,3)="CAR"),L104*K104/100,"")</f>
        <v/>
      </c>
      <c r="O104" s="21" t="str">
        <f aca="false">IF(B104="","",IFERROR(INDEX(GES!$U$6:$U$25,MATCH(B104,GES!$A$6:$A$25,0)),""))</f>
        <v/>
      </c>
      <c r="P104" s="24" t="str">
        <f aca="false">IF(AND(ISNUMBER(L104),ISNUMBER(O104)),L104/O104,"")</f>
        <v/>
      </c>
      <c r="Q104" s="25" t="str">
        <f aca="false">IF(NOT(ISNUMBER(L104)),"",IFERROR(IF(INDEX(Estadística!$L$6:$L$25,MATCH(B104,Estadística!$A$6:$A$25,0))&gt;INDEX(Estadística!$T$6:$T$25,MATCH(B104,Estadística!$A$6:$A$25,0)),IF(OR(L104&lt;INDEX(Estadística!$I$6:$I$25,MATCH(B104,Estadística!$A$6:$A$25,0))/2,L104&gt;2*INDEX(Estadística!$I$6:$I$25,MATCH(B104,Estadística!$A$6:$A$25,0))),"Fuera de ½MA–2MA: revisar","Dentro de ½MA–2MA"),"—"),""))</f>
        <v/>
      </c>
      <c r="R104" s="18"/>
      <c r="S104" s="19" t="str">
        <f aca="false">IF(ISNUMBER(L104),IF(L104&gt;0,LN(L104),""),"")</f>
        <v/>
      </c>
      <c r="T104" s="19" t="str">
        <f aca="false">IF(ISNUMBER(S104),IFERROR((S104-LN(INDEX(Estadística!$K$6:$K$25,MATCH(B104,Estadística!$A$6:$A$25,0))))^2,""),"")</f>
        <v/>
      </c>
      <c r="U104" s="19" t="str">
        <f aca="false">IF(ISNUMBER(L104),IFERROR((L104-INDEX(Estadística!$I$6:$I$25,MATCH(B104,Estadística!$A$6:$A$25,0)))^2,""),"")</f>
        <v/>
      </c>
      <c r="V104" s="19" t="str">
        <f aca="false">IF(ISNUMBER(P104),IF(P104&gt;1,1,0),"")</f>
        <v/>
      </c>
    </row>
    <row r="105" customFormat="false" ht="15" hidden="false" customHeight="false" outlineLevel="0" collapsed="false">
      <c r="A105" s="18" t="n">
        <v>100</v>
      </c>
      <c r="B105" s="18"/>
      <c r="C105" s="22"/>
      <c r="D105" s="18"/>
      <c r="E105" s="18"/>
      <c r="F105" s="18"/>
      <c r="G105" s="18"/>
      <c r="H105" s="20" t="str">
        <f aca="false">IF(OR(F105="",G105=""),"",F105*G105/1000)</f>
        <v/>
      </c>
      <c r="I105" s="23"/>
      <c r="J105" s="23"/>
      <c r="K105" s="18"/>
      <c r="L105" s="21" t="str">
        <f aca="false">IF(B105="","",IF(J105&lt;&gt;"",J105,IF(AND(N(I105)&gt;0,N(H105)&gt;0),I105/H105,"")))</f>
        <v/>
      </c>
      <c r="M105" s="19" t="str">
        <f aca="false">IF(B105="","",IFERROR(INDEX(GES!$E$6:$E$25,MATCH(B105,GES!$A$6:$A$25,0)),"GES?"))</f>
        <v/>
      </c>
      <c r="N105" s="21" t="str">
        <f aca="false">IF(AND(ISNUMBER(L105),ISNUMBER(K105),LEFT(M105,3)="CAR"),L105*K105/100,"")</f>
        <v/>
      </c>
      <c r="O105" s="21" t="str">
        <f aca="false">IF(B105="","",IFERROR(INDEX(GES!$U$6:$U$25,MATCH(B105,GES!$A$6:$A$25,0)),""))</f>
        <v/>
      </c>
      <c r="P105" s="24" t="str">
        <f aca="false">IF(AND(ISNUMBER(L105),ISNUMBER(O105)),L105/O105,"")</f>
        <v/>
      </c>
      <c r="Q105" s="25" t="str">
        <f aca="false">IF(NOT(ISNUMBER(L105)),"",IFERROR(IF(INDEX(Estadística!$L$6:$L$25,MATCH(B105,Estadística!$A$6:$A$25,0))&gt;INDEX(Estadística!$T$6:$T$25,MATCH(B105,Estadística!$A$6:$A$25,0)),IF(OR(L105&lt;INDEX(Estadística!$I$6:$I$25,MATCH(B105,Estadística!$A$6:$A$25,0))/2,L105&gt;2*INDEX(Estadística!$I$6:$I$25,MATCH(B105,Estadística!$A$6:$A$25,0))),"Fuera de ½MA–2MA: revisar","Dentro de ½MA–2MA"),"—"),""))</f>
        <v/>
      </c>
      <c r="R105" s="18"/>
      <c r="S105" s="19" t="str">
        <f aca="false">IF(ISNUMBER(L105),IF(L105&gt;0,LN(L105),""),"")</f>
        <v/>
      </c>
      <c r="T105" s="19" t="str">
        <f aca="false">IF(ISNUMBER(S105),IFERROR((S105-LN(INDEX(Estadística!$K$6:$K$25,MATCH(B105,Estadística!$A$6:$A$25,0))))^2,""),"")</f>
        <v/>
      </c>
      <c r="U105" s="19" t="str">
        <f aca="false">IF(ISNUMBER(L105),IFERROR((L105-INDEX(Estadística!$I$6:$I$25,MATCH(B105,Estadística!$A$6:$A$25,0)))^2,""),"")</f>
        <v/>
      </c>
      <c r="V105" s="19" t="str">
        <f aca="false">IF(ISNUMBER(P105),IF(P105&gt;1,1,0),"")</f>
        <v/>
      </c>
    </row>
    <row r="106" customFormat="false" ht="15" hidden="false" customHeight="false" outlineLevel="0" collapsed="false">
      <c r="A106" s="18" t="n">
        <v>101</v>
      </c>
      <c r="B106" s="18"/>
      <c r="C106" s="22"/>
      <c r="D106" s="18"/>
      <c r="E106" s="18"/>
      <c r="F106" s="18"/>
      <c r="G106" s="18"/>
      <c r="H106" s="20" t="str">
        <f aca="false">IF(OR(F106="",G106=""),"",F106*G106/1000)</f>
        <v/>
      </c>
      <c r="I106" s="23"/>
      <c r="J106" s="23"/>
      <c r="K106" s="18"/>
      <c r="L106" s="21" t="str">
        <f aca="false">IF(B106="","",IF(J106&lt;&gt;"",J106,IF(AND(N(I106)&gt;0,N(H106)&gt;0),I106/H106,"")))</f>
        <v/>
      </c>
      <c r="M106" s="19" t="str">
        <f aca="false">IF(B106="","",IFERROR(INDEX(GES!$E$6:$E$25,MATCH(B106,GES!$A$6:$A$25,0)),"GES?"))</f>
        <v/>
      </c>
      <c r="N106" s="21" t="str">
        <f aca="false">IF(AND(ISNUMBER(L106),ISNUMBER(K106),LEFT(M106,3)="CAR"),L106*K106/100,"")</f>
        <v/>
      </c>
      <c r="O106" s="21" t="str">
        <f aca="false">IF(B106="","",IFERROR(INDEX(GES!$U$6:$U$25,MATCH(B106,GES!$A$6:$A$25,0)),""))</f>
        <v/>
      </c>
      <c r="P106" s="24" t="str">
        <f aca="false">IF(AND(ISNUMBER(L106),ISNUMBER(O106)),L106/O106,"")</f>
        <v/>
      </c>
      <c r="Q106" s="25" t="str">
        <f aca="false">IF(NOT(ISNUMBER(L106)),"",IFERROR(IF(INDEX(Estadística!$L$6:$L$25,MATCH(B106,Estadística!$A$6:$A$25,0))&gt;INDEX(Estadística!$T$6:$T$25,MATCH(B106,Estadística!$A$6:$A$25,0)),IF(OR(L106&lt;INDEX(Estadística!$I$6:$I$25,MATCH(B106,Estadística!$A$6:$A$25,0))/2,L106&gt;2*INDEX(Estadística!$I$6:$I$25,MATCH(B106,Estadística!$A$6:$A$25,0))),"Fuera de ½MA–2MA: revisar","Dentro de ½MA–2MA"),"—"),""))</f>
        <v/>
      </c>
      <c r="R106" s="18"/>
      <c r="S106" s="19" t="str">
        <f aca="false">IF(ISNUMBER(L106),IF(L106&gt;0,LN(L106),""),"")</f>
        <v/>
      </c>
      <c r="T106" s="19" t="str">
        <f aca="false">IF(ISNUMBER(S106),IFERROR((S106-LN(INDEX(Estadística!$K$6:$K$25,MATCH(B106,Estadística!$A$6:$A$25,0))))^2,""),"")</f>
        <v/>
      </c>
      <c r="U106" s="19" t="str">
        <f aca="false">IF(ISNUMBER(L106),IFERROR((L106-INDEX(Estadística!$I$6:$I$25,MATCH(B106,Estadística!$A$6:$A$25,0)))^2,""),"")</f>
        <v/>
      </c>
      <c r="V106" s="19" t="str">
        <f aca="false">IF(ISNUMBER(P106),IF(P106&gt;1,1,0),"")</f>
        <v/>
      </c>
    </row>
    <row r="107" customFormat="false" ht="15" hidden="false" customHeight="false" outlineLevel="0" collapsed="false">
      <c r="A107" s="18" t="n">
        <v>102</v>
      </c>
      <c r="B107" s="18"/>
      <c r="C107" s="22"/>
      <c r="D107" s="18"/>
      <c r="E107" s="18"/>
      <c r="F107" s="18"/>
      <c r="G107" s="18"/>
      <c r="H107" s="20" t="str">
        <f aca="false">IF(OR(F107="",G107=""),"",F107*G107/1000)</f>
        <v/>
      </c>
      <c r="I107" s="23"/>
      <c r="J107" s="23"/>
      <c r="K107" s="18"/>
      <c r="L107" s="21" t="str">
        <f aca="false">IF(B107="","",IF(J107&lt;&gt;"",J107,IF(AND(N(I107)&gt;0,N(H107)&gt;0),I107/H107,"")))</f>
        <v/>
      </c>
      <c r="M107" s="19" t="str">
        <f aca="false">IF(B107="","",IFERROR(INDEX(GES!$E$6:$E$25,MATCH(B107,GES!$A$6:$A$25,0)),"GES?"))</f>
        <v/>
      </c>
      <c r="N107" s="21" t="str">
        <f aca="false">IF(AND(ISNUMBER(L107),ISNUMBER(K107),LEFT(M107,3)="CAR"),L107*K107/100,"")</f>
        <v/>
      </c>
      <c r="O107" s="21" t="str">
        <f aca="false">IF(B107="","",IFERROR(INDEX(GES!$U$6:$U$25,MATCH(B107,GES!$A$6:$A$25,0)),""))</f>
        <v/>
      </c>
      <c r="P107" s="24" t="str">
        <f aca="false">IF(AND(ISNUMBER(L107),ISNUMBER(O107)),L107/O107,"")</f>
        <v/>
      </c>
      <c r="Q107" s="25" t="str">
        <f aca="false">IF(NOT(ISNUMBER(L107)),"",IFERROR(IF(INDEX(Estadística!$L$6:$L$25,MATCH(B107,Estadística!$A$6:$A$25,0))&gt;INDEX(Estadística!$T$6:$T$25,MATCH(B107,Estadística!$A$6:$A$25,0)),IF(OR(L107&lt;INDEX(Estadística!$I$6:$I$25,MATCH(B107,Estadística!$A$6:$A$25,0))/2,L107&gt;2*INDEX(Estadística!$I$6:$I$25,MATCH(B107,Estadística!$A$6:$A$25,0))),"Fuera de ½MA–2MA: revisar","Dentro de ½MA–2MA"),"—"),""))</f>
        <v/>
      </c>
      <c r="R107" s="18"/>
      <c r="S107" s="19" t="str">
        <f aca="false">IF(ISNUMBER(L107),IF(L107&gt;0,LN(L107),""),"")</f>
        <v/>
      </c>
      <c r="T107" s="19" t="str">
        <f aca="false">IF(ISNUMBER(S107),IFERROR((S107-LN(INDEX(Estadística!$K$6:$K$25,MATCH(B107,Estadística!$A$6:$A$25,0))))^2,""),"")</f>
        <v/>
      </c>
      <c r="U107" s="19" t="str">
        <f aca="false">IF(ISNUMBER(L107),IFERROR((L107-INDEX(Estadística!$I$6:$I$25,MATCH(B107,Estadística!$A$6:$A$25,0)))^2,""),"")</f>
        <v/>
      </c>
      <c r="V107" s="19" t="str">
        <f aca="false">IF(ISNUMBER(P107),IF(P107&gt;1,1,0),"")</f>
        <v/>
      </c>
    </row>
    <row r="108" customFormat="false" ht="15" hidden="false" customHeight="false" outlineLevel="0" collapsed="false">
      <c r="A108" s="18" t="n">
        <v>103</v>
      </c>
      <c r="B108" s="18"/>
      <c r="C108" s="22"/>
      <c r="D108" s="18"/>
      <c r="E108" s="18"/>
      <c r="F108" s="18"/>
      <c r="G108" s="18"/>
      <c r="H108" s="20" t="str">
        <f aca="false">IF(OR(F108="",G108=""),"",F108*G108/1000)</f>
        <v/>
      </c>
      <c r="I108" s="23"/>
      <c r="J108" s="23"/>
      <c r="K108" s="18"/>
      <c r="L108" s="21" t="str">
        <f aca="false">IF(B108="","",IF(J108&lt;&gt;"",J108,IF(AND(N(I108)&gt;0,N(H108)&gt;0),I108/H108,"")))</f>
        <v/>
      </c>
      <c r="M108" s="19" t="str">
        <f aca="false">IF(B108="","",IFERROR(INDEX(GES!$E$6:$E$25,MATCH(B108,GES!$A$6:$A$25,0)),"GES?"))</f>
        <v/>
      </c>
      <c r="N108" s="21" t="str">
        <f aca="false">IF(AND(ISNUMBER(L108),ISNUMBER(K108),LEFT(M108,3)="CAR"),L108*K108/100,"")</f>
        <v/>
      </c>
      <c r="O108" s="21" t="str">
        <f aca="false">IF(B108="","",IFERROR(INDEX(GES!$U$6:$U$25,MATCH(B108,GES!$A$6:$A$25,0)),""))</f>
        <v/>
      </c>
      <c r="P108" s="24" t="str">
        <f aca="false">IF(AND(ISNUMBER(L108),ISNUMBER(O108)),L108/O108,"")</f>
        <v/>
      </c>
      <c r="Q108" s="25" t="str">
        <f aca="false">IF(NOT(ISNUMBER(L108)),"",IFERROR(IF(INDEX(Estadística!$L$6:$L$25,MATCH(B108,Estadística!$A$6:$A$25,0))&gt;INDEX(Estadística!$T$6:$T$25,MATCH(B108,Estadística!$A$6:$A$25,0)),IF(OR(L108&lt;INDEX(Estadística!$I$6:$I$25,MATCH(B108,Estadística!$A$6:$A$25,0))/2,L108&gt;2*INDEX(Estadística!$I$6:$I$25,MATCH(B108,Estadística!$A$6:$A$25,0))),"Fuera de ½MA–2MA: revisar","Dentro de ½MA–2MA"),"—"),""))</f>
        <v/>
      </c>
      <c r="R108" s="18"/>
      <c r="S108" s="19" t="str">
        <f aca="false">IF(ISNUMBER(L108),IF(L108&gt;0,LN(L108),""),"")</f>
        <v/>
      </c>
      <c r="T108" s="19" t="str">
        <f aca="false">IF(ISNUMBER(S108),IFERROR((S108-LN(INDEX(Estadística!$K$6:$K$25,MATCH(B108,Estadística!$A$6:$A$25,0))))^2,""),"")</f>
        <v/>
      </c>
      <c r="U108" s="19" t="str">
        <f aca="false">IF(ISNUMBER(L108),IFERROR((L108-INDEX(Estadística!$I$6:$I$25,MATCH(B108,Estadística!$A$6:$A$25,0)))^2,""),"")</f>
        <v/>
      </c>
      <c r="V108" s="19" t="str">
        <f aca="false">IF(ISNUMBER(P108),IF(P108&gt;1,1,0),"")</f>
        <v/>
      </c>
    </row>
    <row r="109" customFormat="false" ht="15" hidden="false" customHeight="false" outlineLevel="0" collapsed="false">
      <c r="A109" s="18" t="n">
        <v>104</v>
      </c>
      <c r="B109" s="18"/>
      <c r="C109" s="22"/>
      <c r="D109" s="18"/>
      <c r="E109" s="18"/>
      <c r="F109" s="18"/>
      <c r="G109" s="18"/>
      <c r="H109" s="20" t="str">
        <f aca="false">IF(OR(F109="",G109=""),"",F109*G109/1000)</f>
        <v/>
      </c>
      <c r="I109" s="23"/>
      <c r="J109" s="23"/>
      <c r="K109" s="18"/>
      <c r="L109" s="21" t="str">
        <f aca="false">IF(B109="","",IF(J109&lt;&gt;"",J109,IF(AND(N(I109)&gt;0,N(H109)&gt;0),I109/H109,"")))</f>
        <v/>
      </c>
      <c r="M109" s="19" t="str">
        <f aca="false">IF(B109="","",IFERROR(INDEX(GES!$E$6:$E$25,MATCH(B109,GES!$A$6:$A$25,0)),"GES?"))</f>
        <v/>
      </c>
      <c r="N109" s="21" t="str">
        <f aca="false">IF(AND(ISNUMBER(L109),ISNUMBER(K109),LEFT(M109,3)="CAR"),L109*K109/100,"")</f>
        <v/>
      </c>
      <c r="O109" s="21" t="str">
        <f aca="false">IF(B109="","",IFERROR(INDEX(GES!$U$6:$U$25,MATCH(B109,GES!$A$6:$A$25,0)),""))</f>
        <v/>
      </c>
      <c r="P109" s="24" t="str">
        <f aca="false">IF(AND(ISNUMBER(L109),ISNUMBER(O109)),L109/O109,"")</f>
        <v/>
      </c>
      <c r="Q109" s="25" t="str">
        <f aca="false">IF(NOT(ISNUMBER(L109)),"",IFERROR(IF(INDEX(Estadística!$L$6:$L$25,MATCH(B109,Estadística!$A$6:$A$25,0))&gt;INDEX(Estadística!$T$6:$T$25,MATCH(B109,Estadística!$A$6:$A$25,0)),IF(OR(L109&lt;INDEX(Estadística!$I$6:$I$25,MATCH(B109,Estadística!$A$6:$A$25,0))/2,L109&gt;2*INDEX(Estadística!$I$6:$I$25,MATCH(B109,Estadística!$A$6:$A$25,0))),"Fuera de ½MA–2MA: revisar","Dentro de ½MA–2MA"),"—"),""))</f>
        <v/>
      </c>
      <c r="R109" s="18"/>
      <c r="S109" s="19" t="str">
        <f aca="false">IF(ISNUMBER(L109),IF(L109&gt;0,LN(L109),""),"")</f>
        <v/>
      </c>
      <c r="T109" s="19" t="str">
        <f aca="false">IF(ISNUMBER(S109),IFERROR((S109-LN(INDEX(Estadística!$K$6:$K$25,MATCH(B109,Estadística!$A$6:$A$25,0))))^2,""),"")</f>
        <v/>
      </c>
      <c r="U109" s="19" t="str">
        <f aca="false">IF(ISNUMBER(L109),IFERROR((L109-INDEX(Estadística!$I$6:$I$25,MATCH(B109,Estadística!$A$6:$A$25,0)))^2,""),"")</f>
        <v/>
      </c>
      <c r="V109" s="19" t="str">
        <f aca="false">IF(ISNUMBER(P109),IF(P109&gt;1,1,0),"")</f>
        <v/>
      </c>
    </row>
    <row r="110" customFormat="false" ht="15" hidden="false" customHeight="false" outlineLevel="0" collapsed="false">
      <c r="A110" s="18" t="n">
        <v>105</v>
      </c>
      <c r="B110" s="18"/>
      <c r="C110" s="22"/>
      <c r="D110" s="18"/>
      <c r="E110" s="18"/>
      <c r="F110" s="18"/>
      <c r="G110" s="18"/>
      <c r="H110" s="20" t="str">
        <f aca="false">IF(OR(F110="",G110=""),"",F110*G110/1000)</f>
        <v/>
      </c>
      <c r="I110" s="23"/>
      <c r="J110" s="23"/>
      <c r="K110" s="18"/>
      <c r="L110" s="21" t="str">
        <f aca="false">IF(B110="","",IF(J110&lt;&gt;"",J110,IF(AND(N(I110)&gt;0,N(H110)&gt;0),I110/H110,"")))</f>
        <v/>
      </c>
      <c r="M110" s="19" t="str">
        <f aca="false">IF(B110="","",IFERROR(INDEX(GES!$E$6:$E$25,MATCH(B110,GES!$A$6:$A$25,0)),"GES?"))</f>
        <v/>
      </c>
      <c r="N110" s="21" t="str">
        <f aca="false">IF(AND(ISNUMBER(L110),ISNUMBER(K110),LEFT(M110,3)="CAR"),L110*K110/100,"")</f>
        <v/>
      </c>
      <c r="O110" s="21" t="str">
        <f aca="false">IF(B110="","",IFERROR(INDEX(GES!$U$6:$U$25,MATCH(B110,GES!$A$6:$A$25,0)),""))</f>
        <v/>
      </c>
      <c r="P110" s="24" t="str">
        <f aca="false">IF(AND(ISNUMBER(L110),ISNUMBER(O110)),L110/O110,"")</f>
        <v/>
      </c>
      <c r="Q110" s="25" t="str">
        <f aca="false">IF(NOT(ISNUMBER(L110)),"",IFERROR(IF(INDEX(Estadística!$L$6:$L$25,MATCH(B110,Estadística!$A$6:$A$25,0))&gt;INDEX(Estadística!$T$6:$T$25,MATCH(B110,Estadística!$A$6:$A$25,0)),IF(OR(L110&lt;INDEX(Estadística!$I$6:$I$25,MATCH(B110,Estadística!$A$6:$A$25,0))/2,L110&gt;2*INDEX(Estadística!$I$6:$I$25,MATCH(B110,Estadística!$A$6:$A$25,0))),"Fuera de ½MA–2MA: revisar","Dentro de ½MA–2MA"),"—"),""))</f>
        <v/>
      </c>
      <c r="R110" s="18"/>
      <c r="S110" s="19" t="str">
        <f aca="false">IF(ISNUMBER(L110),IF(L110&gt;0,LN(L110),""),"")</f>
        <v/>
      </c>
      <c r="T110" s="19" t="str">
        <f aca="false">IF(ISNUMBER(S110),IFERROR((S110-LN(INDEX(Estadística!$K$6:$K$25,MATCH(B110,Estadística!$A$6:$A$25,0))))^2,""),"")</f>
        <v/>
      </c>
      <c r="U110" s="19" t="str">
        <f aca="false">IF(ISNUMBER(L110),IFERROR((L110-INDEX(Estadística!$I$6:$I$25,MATCH(B110,Estadística!$A$6:$A$25,0)))^2,""),"")</f>
        <v/>
      </c>
      <c r="V110" s="19" t="str">
        <f aca="false">IF(ISNUMBER(P110),IF(P110&gt;1,1,0),"")</f>
        <v/>
      </c>
    </row>
    <row r="111" customFormat="false" ht="15" hidden="false" customHeight="false" outlineLevel="0" collapsed="false">
      <c r="A111" s="18" t="n">
        <v>106</v>
      </c>
      <c r="B111" s="18"/>
      <c r="C111" s="22"/>
      <c r="D111" s="18"/>
      <c r="E111" s="18"/>
      <c r="F111" s="18"/>
      <c r="G111" s="18"/>
      <c r="H111" s="20" t="str">
        <f aca="false">IF(OR(F111="",G111=""),"",F111*G111/1000)</f>
        <v/>
      </c>
      <c r="I111" s="23"/>
      <c r="J111" s="23"/>
      <c r="K111" s="18"/>
      <c r="L111" s="21" t="str">
        <f aca="false">IF(B111="","",IF(J111&lt;&gt;"",J111,IF(AND(N(I111)&gt;0,N(H111)&gt;0),I111/H111,"")))</f>
        <v/>
      </c>
      <c r="M111" s="19" t="str">
        <f aca="false">IF(B111="","",IFERROR(INDEX(GES!$E$6:$E$25,MATCH(B111,GES!$A$6:$A$25,0)),"GES?"))</f>
        <v/>
      </c>
      <c r="N111" s="21" t="str">
        <f aca="false">IF(AND(ISNUMBER(L111),ISNUMBER(K111),LEFT(M111,3)="CAR"),L111*K111/100,"")</f>
        <v/>
      </c>
      <c r="O111" s="21" t="str">
        <f aca="false">IF(B111="","",IFERROR(INDEX(GES!$U$6:$U$25,MATCH(B111,GES!$A$6:$A$25,0)),""))</f>
        <v/>
      </c>
      <c r="P111" s="24" t="str">
        <f aca="false">IF(AND(ISNUMBER(L111),ISNUMBER(O111)),L111/O111,"")</f>
        <v/>
      </c>
      <c r="Q111" s="25" t="str">
        <f aca="false">IF(NOT(ISNUMBER(L111)),"",IFERROR(IF(INDEX(Estadística!$L$6:$L$25,MATCH(B111,Estadística!$A$6:$A$25,0))&gt;INDEX(Estadística!$T$6:$T$25,MATCH(B111,Estadística!$A$6:$A$25,0)),IF(OR(L111&lt;INDEX(Estadística!$I$6:$I$25,MATCH(B111,Estadística!$A$6:$A$25,0))/2,L111&gt;2*INDEX(Estadística!$I$6:$I$25,MATCH(B111,Estadística!$A$6:$A$25,0))),"Fuera de ½MA–2MA: revisar","Dentro de ½MA–2MA"),"—"),""))</f>
        <v/>
      </c>
      <c r="R111" s="18"/>
      <c r="S111" s="19" t="str">
        <f aca="false">IF(ISNUMBER(L111),IF(L111&gt;0,LN(L111),""),"")</f>
        <v/>
      </c>
      <c r="T111" s="19" t="str">
        <f aca="false">IF(ISNUMBER(S111),IFERROR((S111-LN(INDEX(Estadística!$K$6:$K$25,MATCH(B111,Estadística!$A$6:$A$25,0))))^2,""),"")</f>
        <v/>
      </c>
      <c r="U111" s="19" t="str">
        <f aca="false">IF(ISNUMBER(L111),IFERROR((L111-INDEX(Estadística!$I$6:$I$25,MATCH(B111,Estadística!$A$6:$A$25,0)))^2,""),"")</f>
        <v/>
      </c>
      <c r="V111" s="19" t="str">
        <f aca="false">IF(ISNUMBER(P111),IF(P111&gt;1,1,0),"")</f>
        <v/>
      </c>
    </row>
    <row r="112" customFormat="false" ht="15" hidden="false" customHeight="false" outlineLevel="0" collapsed="false">
      <c r="A112" s="18" t="n">
        <v>107</v>
      </c>
      <c r="B112" s="18"/>
      <c r="C112" s="22"/>
      <c r="D112" s="18"/>
      <c r="E112" s="18"/>
      <c r="F112" s="18"/>
      <c r="G112" s="18"/>
      <c r="H112" s="20" t="str">
        <f aca="false">IF(OR(F112="",G112=""),"",F112*G112/1000)</f>
        <v/>
      </c>
      <c r="I112" s="23"/>
      <c r="J112" s="23"/>
      <c r="K112" s="18"/>
      <c r="L112" s="21" t="str">
        <f aca="false">IF(B112="","",IF(J112&lt;&gt;"",J112,IF(AND(N(I112)&gt;0,N(H112)&gt;0),I112/H112,"")))</f>
        <v/>
      </c>
      <c r="M112" s="19" t="str">
        <f aca="false">IF(B112="","",IFERROR(INDEX(GES!$E$6:$E$25,MATCH(B112,GES!$A$6:$A$25,0)),"GES?"))</f>
        <v/>
      </c>
      <c r="N112" s="21" t="str">
        <f aca="false">IF(AND(ISNUMBER(L112),ISNUMBER(K112),LEFT(M112,3)="CAR"),L112*K112/100,"")</f>
        <v/>
      </c>
      <c r="O112" s="21" t="str">
        <f aca="false">IF(B112="","",IFERROR(INDEX(GES!$U$6:$U$25,MATCH(B112,GES!$A$6:$A$25,0)),""))</f>
        <v/>
      </c>
      <c r="P112" s="24" t="str">
        <f aca="false">IF(AND(ISNUMBER(L112),ISNUMBER(O112)),L112/O112,"")</f>
        <v/>
      </c>
      <c r="Q112" s="25" t="str">
        <f aca="false">IF(NOT(ISNUMBER(L112)),"",IFERROR(IF(INDEX(Estadística!$L$6:$L$25,MATCH(B112,Estadística!$A$6:$A$25,0))&gt;INDEX(Estadística!$T$6:$T$25,MATCH(B112,Estadística!$A$6:$A$25,0)),IF(OR(L112&lt;INDEX(Estadística!$I$6:$I$25,MATCH(B112,Estadística!$A$6:$A$25,0))/2,L112&gt;2*INDEX(Estadística!$I$6:$I$25,MATCH(B112,Estadística!$A$6:$A$25,0))),"Fuera de ½MA–2MA: revisar","Dentro de ½MA–2MA"),"—"),""))</f>
        <v/>
      </c>
      <c r="R112" s="18"/>
      <c r="S112" s="19" t="str">
        <f aca="false">IF(ISNUMBER(L112),IF(L112&gt;0,LN(L112),""),"")</f>
        <v/>
      </c>
      <c r="T112" s="19" t="str">
        <f aca="false">IF(ISNUMBER(S112),IFERROR((S112-LN(INDEX(Estadística!$K$6:$K$25,MATCH(B112,Estadística!$A$6:$A$25,0))))^2,""),"")</f>
        <v/>
      </c>
      <c r="U112" s="19" t="str">
        <f aca="false">IF(ISNUMBER(L112),IFERROR((L112-INDEX(Estadística!$I$6:$I$25,MATCH(B112,Estadística!$A$6:$A$25,0)))^2,""),"")</f>
        <v/>
      </c>
      <c r="V112" s="19" t="str">
        <f aca="false">IF(ISNUMBER(P112),IF(P112&gt;1,1,0),"")</f>
        <v/>
      </c>
    </row>
    <row r="113" customFormat="false" ht="15" hidden="false" customHeight="false" outlineLevel="0" collapsed="false">
      <c r="A113" s="18" t="n">
        <v>108</v>
      </c>
      <c r="B113" s="18"/>
      <c r="C113" s="22"/>
      <c r="D113" s="18"/>
      <c r="E113" s="18"/>
      <c r="F113" s="18"/>
      <c r="G113" s="18"/>
      <c r="H113" s="20" t="str">
        <f aca="false">IF(OR(F113="",G113=""),"",F113*G113/1000)</f>
        <v/>
      </c>
      <c r="I113" s="23"/>
      <c r="J113" s="23"/>
      <c r="K113" s="18"/>
      <c r="L113" s="21" t="str">
        <f aca="false">IF(B113="","",IF(J113&lt;&gt;"",J113,IF(AND(N(I113)&gt;0,N(H113)&gt;0),I113/H113,"")))</f>
        <v/>
      </c>
      <c r="M113" s="19" t="str">
        <f aca="false">IF(B113="","",IFERROR(INDEX(GES!$E$6:$E$25,MATCH(B113,GES!$A$6:$A$25,0)),"GES?"))</f>
        <v/>
      </c>
      <c r="N113" s="21" t="str">
        <f aca="false">IF(AND(ISNUMBER(L113),ISNUMBER(K113),LEFT(M113,3)="CAR"),L113*K113/100,"")</f>
        <v/>
      </c>
      <c r="O113" s="21" t="str">
        <f aca="false">IF(B113="","",IFERROR(INDEX(GES!$U$6:$U$25,MATCH(B113,GES!$A$6:$A$25,0)),""))</f>
        <v/>
      </c>
      <c r="P113" s="24" t="str">
        <f aca="false">IF(AND(ISNUMBER(L113),ISNUMBER(O113)),L113/O113,"")</f>
        <v/>
      </c>
      <c r="Q113" s="25" t="str">
        <f aca="false">IF(NOT(ISNUMBER(L113)),"",IFERROR(IF(INDEX(Estadística!$L$6:$L$25,MATCH(B113,Estadística!$A$6:$A$25,0))&gt;INDEX(Estadística!$T$6:$T$25,MATCH(B113,Estadística!$A$6:$A$25,0)),IF(OR(L113&lt;INDEX(Estadística!$I$6:$I$25,MATCH(B113,Estadística!$A$6:$A$25,0))/2,L113&gt;2*INDEX(Estadística!$I$6:$I$25,MATCH(B113,Estadística!$A$6:$A$25,0))),"Fuera de ½MA–2MA: revisar","Dentro de ½MA–2MA"),"—"),""))</f>
        <v/>
      </c>
      <c r="R113" s="18"/>
      <c r="S113" s="19" t="str">
        <f aca="false">IF(ISNUMBER(L113),IF(L113&gt;0,LN(L113),""),"")</f>
        <v/>
      </c>
      <c r="T113" s="19" t="str">
        <f aca="false">IF(ISNUMBER(S113),IFERROR((S113-LN(INDEX(Estadística!$K$6:$K$25,MATCH(B113,Estadística!$A$6:$A$25,0))))^2,""),"")</f>
        <v/>
      </c>
      <c r="U113" s="19" t="str">
        <f aca="false">IF(ISNUMBER(L113),IFERROR((L113-INDEX(Estadística!$I$6:$I$25,MATCH(B113,Estadística!$A$6:$A$25,0)))^2,""),"")</f>
        <v/>
      </c>
      <c r="V113" s="19" t="str">
        <f aca="false">IF(ISNUMBER(P113),IF(P113&gt;1,1,0),"")</f>
        <v/>
      </c>
    </row>
    <row r="114" customFormat="false" ht="15" hidden="false" customHeight="false" outlineLevel="0" collapsed="false">
      <c r="A114" s="18" t="n">
        <v>109</v>
      </c>
      <c r="B114" s="18"/>
      <c r="C114" s="22"/>
      <c r="D114" s="18"/>
      <c r="E114" s="18"/>
      <c r="F114" s="18"/>
      <c r="G114" s="18"/>
      <c r="H114" s="20" t="str">
        <f aca="false">IF(OR(F114="",G114=""),"",F114*G114/1000)</f>
        <v/>
      </c>
      <c r="I114" s="23"/>
      <c r="J114" s="23"/>
      <c r="K114" s="18"/>
      <c r="L114" s="21" t="str">
        <f aca="false">IF(B114="","",IF(J114&lt;&gt;"",J114,IF(AND(N(I114)&gt;0,N(H114)&gt;0),I114/H114,"")))</f>
        <v/>
      </c>
      <c r="M114" s="19" t="str">
        <f aca="false">IF(B114="","",IFERROR(INDEX(GES!$E$6:$E$25,MATCH(B114,GES!$A$6:$A$25,0)),"GES?"))</f>
        <v/>
      </c>
      <c r="N114" s="21" t="str">
        <f aca="false">IF(AND(ISNUMBER(L114),ISNUMBER(K114),LEFT(M114,3)="CAR"),L114*K114/100,"")</f>
        <v/>
      </c>
      <c r="O114" s="21" t="str">
        <f aca="false">IF(B114="","",IFERROR(INDEX(GES!$U$6:$U$25,MATCH(B114,GES!$A$6:$A$25,0)),""))</f>
        <v/>
      </c>
      <c r="P114" s="24" t="str">
        <f aca="false">IF(AND(ISNUMBER(L114),ISNUMBER(O114)),L114/O114,"")</f>
        <v/>
      </c>
      <c r="Q114" s="25" t="str">
        <f aca="false">IF(NOT(ISNUMBER(L114)),"",IFERROR(IF(INDEX(Estadística!$L$6:$L$25,MATCH(B114,Estadística!$A$6:$A$25,0))&gt;INDEX(Estadística!$T$6:$T$25,MATCH(B114,Estadística!$A$6:$A$25,0)),IF(OR(L114&lt;INDEX(Estadística!$I$6:$I$25,MATCH(B114,Estadística!$A$6:$A$25,0))/2,L114&gt;2*INDEX(Estadística!$I$6:$I$25,MATCH(B114,Estadística!$A$6:$A$25,0))),"Fuera de ½MA–2MA: revisar","Dentro de ½MA–2MA"),"—"),""))</f>
        <v/>
      </c>
      <c r="R114" s="18"/>
      <c r="S114" s="19" t="str">
        <f aca="false">IF(ISNUMBER(L114),IF(L114&gt;0,LN(L114),""),"")</f>
        <v/>
      </c>
      <c r="T114" s="19" t="str">
        <f aca="false">IF(ISNUMBER(S114),IFERROR((S114-LN(INDEX(Estadística!$K$6:$K$25,MATCH(B114,Estadística!$A$6:$A$25,0))))^2,""),"")</f>
        <v/>
      </c>
      <c r="U114" s="19" t="str">
        <f aca="false">IF(ISNUMBER(L114),IFERROR((L114-INDEX(Estadística!$I$6:$I$25,MATCH(B114,Estadística!$A$6:$A$25,0)))^2,""),"")</f>
        <v/>
      </c>
      <c r="V114" s="19" t="str">
        <f aca="false">IF(ISNUMBER(P114),IF(P114&gt;1,1,0),"")</f>
        <v/>
      </c>
    </row>
    <row r="115" customFormat="false" ht="15" hidden="false" customHeight="false" outlineLevel="0" collapsed="false">
      <c r="A115" s="18" t="n">
        <v>110</v>
      </c>
      <c r="B115" s="18"/>
      <c r="C115" s="22"/>
      <c r="D115" s="18"/>
      <c r="E115" s="18"/>
      <c r="F115" s="18"/>
      <c r="G115" s="18"/>
      <c r="H115" s="20" t="str">
        <f aca="false">IF(OR(F115="",G115=""),"",F115*G115/1000)</f>
        <v/>
      </c>
      <c r="I115" s="23"/>
      <c r="J115" s="23"/>
      <c r="K115" s="18"/>
      <c r="L115" s="21" t="str">
        <f aca="false">IF(B115="","",IF(J115&lt;&gt;"",J115,IF(AND(N(I115)&gt;0,N(H115)&gt;0),I115/H115,"")))</f>
        <v/>
      </c>
      <c r="M115" s="19" t="str">
        <f aca="false">IF(B115="","",IFERROR(INDEX(GES!$E$6:$E$25,MATCH(B115,GES!$A$6:$A$25,0)),"GES?"))</f>
        <v/>
      </c>
      <c r="N115" s="21" t="str">
        <f aca="false">IF(AND(ISNUMBER(L115),ISNUMBER(K115),LEFT(M115,3)="CAR"),L115*K115/100,"")</f>
        <v/>
      </c>
      <c r="O115" s="21" t="str">
        <f aca="false">IF(B115="","",IFERROR(INDEX(GES!$U$6:$U$25,MATCH(B115,GES!$A$6:$A$25,0)),""))</f>
        <v/>
      </c>
      <c r="P115" s="24" t="str">
        <f aca="false">IF(AND(ISNUMBER(L115),ISNUMBER(O115)),L115/O115,"")</f>
        <v/>
      </c>
      <c r="Q115" s="25" t="str">
        <f aca="false">IF(NOT(ISNUMBER(L115)),"",IFERROR(IF(INDEX(Estadística!$L$6:$L$25,MATCH(B115,Estadística!$A$6:$A$25,0))&gt;INDEX(Estadística!$T$6:$T$25,MATCH(B115,Estadística!$A$6:$A$25,0)),IF(OR(L115&lt;INDEX(Estadística!$I$6:$I$25,MATCH(B115,Estadística!$A$6:$A$25,0))/2,L115&gt;2*INDEX(Estadística!$I$6:$I$25,MATCH(B115,Estadística!$A$6:$A$25,0))),"Fuera de ½MA–2MA: revisar","Dentro de ½MA–2MA"),"—"),""))</f>
        <v/>
      </c>
      <c r="R115" s="18"/>
      <c r="S115" s="19" t="str">
        <f aca="false">IF(ISNUMBER(L115),IF(L115&gt;0,LN(L115),""),"")</f>
        <v/>
      </c>
      <c r="T115" s="19" t="str">
        <f aca="false">IF(ISNUMBER(S115),IFERROR((S115-LN(INDEX(Estadística!$K$6:$K$25,MATCH(B115,Estadística!$A$6:$A$25,0))))^2,""),"")</f>
        <v/>
      </c>
      <c r="U115" s="19" t="str">
        <f aca="false">IF(ISNUMBER(L115),IFERROR((L115-INDEX(Estadística!$I$6:$I$25,MATCH(B115,Estadística!$A$6:$A$25,0)))^2,""),"")</f>
        <v/>
      </c>
      <c r="V115" s="19" t="str">
        <f aca="false">IF(ISNUMBER(P115),IF(P115&gt;1,1,0),"")</f>
        <v/>
      </c>
    </row>
    <row r="116" customFormat="false" ht="15" hidden="false" customHeight="false" outlineLevel="0" collapsed="false">
      <c r="A116" s="18" t="n">
        <v>111</v>
      </c>
      <c r="B116" s="18"/>
      <c r="C116" s="22"/>
      <c r="D116" s="18"/>
      <c r="E116" s="18"/>
      <c r="F116" s="18"/>
      <c r="G116" s="18"/>
      <c r="H116" s="20" t="str">
        <f aca="false">IF(OR(F116="",G116=""),"",F116*G116/1000)</f>
        <v/>
      </c>
      <c r="I116" s="23"/>
      <c r="J116" s="23"/>
      <c r="K116" s="18"/>
      <c r="L116" s="21" t="str">
        <f aca="false">IF(B116="","",IF(J116&lt;&gt;"",J116,IF(AND(N(I116)&gt;0,N(H116)&gt;0),I116/H116,"")))</f>
        <v/>
      </c>
      <c r="M116" s="19" t="str">
        <f aca="false">IF(B116="","",IFERROR(INDEX(GES!$E$6:$E$25,MATCH(B116,GES!$A$6:$A$25,0)),"GES?"))</f>
        <v/>
      </c>
      <c r="N116" s="21" t="str">
        <f aca="false">IF(AND(ISNUMBER(L116),ISNUMBER(K116),LEFT(M116,3)="CAR"),L116*K116/100,"")</f>
        <v/>
      </c>
      <c r="O116" s="21" t="str">
        <f aca="false">IF(B116="","",IFERROR(INDEX(GES!$U$6:$U$25,MATCH(B116,GES!$A$6:$A$25,0)),""))</f>
        <v/>
      </c>
      <c r="P116" s="24" t="str">
        <f aca="false">IF(AND(ISNUMBER(L116),ISNUMBER(O116)),L116/O116,"")</f>
        <v/>
      </c>
      <c r="Q116" s="25" t="str">
        <f aca="false">IF(NOT(ISNUMBER(L116)),"",IFERROR(IF(INDEX(Estadística!$L$6:$L$25,MATCH(B116,Estadística!$A$6:$A$25,0))&gt;INDEX(Estadística!$T$6:$T$25,MATCH(B116,Estadística!$A$6:$A$25,0)),IF(OR(L116&lt;INDEX(Estadística!$I$6:$I$25,MATCH(B116,Estadística!$A$6:$A$25,0))/2,L116&gt;2*INDEX(Estadística!$I$6:$I$25,MATCH(B116,Estadística!$A$6:$A$25,0))),"Fuera de ½MA–2MA: revisar","Dentro de ½MA–2MA"),"—"),""))</f>
        <v/>
      </c>
      <c r="R116" s="18"/>
      <c r="S116" s="19" t="str">
        <f aca="false">IF(ISNUMBER(L116),IF(L116&gt;0,LN(L116),""),"")</f>
        <v/>
      </c>
      <c r="T116" s="19" t="str">
        <f aca="false">IF(ISNUMBER(S116),IFERROR((S116-LN(INDEX(Estadística!$K$6:$K$25,MATCH(B116,Estadística!$A$6:$A$25,0))))^2,""),"")</f>
        <v/>
      </c>
      <c r="U116" s="19" t="str">
        <f aca="false">IF(ISNUMBER(L116),IFERROR((L116-INDEX(Estadística!$I$6:$I$25,MATCH(B116,Estadística!$A$6:$A$25,0)))^2,""),"")</f>
        <v/>
      </c>
      <c r="V116" s="19" t="str">
        <f aca="false">IF(ISNUMBER(P116),IF(P116&gt;1,1,0),"")</f>
        <v/>
      </c>
    </row>
    <row r="117" customFormat="false" ht="15" hidden="false" customHeight="false" outlineLevel="0" collapsed="false">
      <c r="A117" s="18" t="n">
        <v>112</v>
      </c>
      <c r="B117" s="18"/>
      <c r="C117" s="22"/>
      <c r="D117" s="18"/>
      <c r="E117" s="18"/>
      <c r="F117" s="18"/>
      <c r="G117" s="18"/>
      <c r="H117" s="20" t="str">
        <f aca="false">IF(OR(F117="",G117=""),"",F117*G117/1000)</f>
        <v/>
      </c>
      <c r="I117" s="23"/>
      <c r="J117" s="23"/>
      <c r="K117" s="18"/>
      <c r="L117" s="21" t="str">
        <f aca="false">IF(B117="","",IF(J117&lt;&gt;"",J117,IF(AND(N(I117)&gt;0,N(H117)&gt;0),I117/H117,"")))</f>
        <v/>
      </c>
      <c r="M117" s="19" t="str">
        <f aca="false">IF(B117="","",IFERROR(INDEX(GES!$E$6:$E$25,MATCH(B117,GES!$A$6:$A$25,0)),"GES?"))</f>
        <v/>
      </c>
      <c r="N117" s="21" t="str">
        <f aca="false">IF(AND(ISNUMBER(L117),ISNUMBER(K117),LEFT(M117,3)="CAR"),L117*K117/100,"")</f>
        <v/>
      </c>
      <c r="O117" s="21" t="str">
        <f aca="false">IF(B117="","",IFERROR(INDEX(GES!$U$6:$U$25,MATCH(B117,GES!$A$6:$A$25,0)),""))</f>
        <v/>
      </c>
      <c r="P117" s="24" t="str">
        <f aca="false">IF(AND(ISNUMBER(L117),ISNUMBER(O117)),L117/O117,"")</f>
        <v/>
      </c>
      <c r="Q117" s="25" t="str">
        <f aca="false">IF(NOT(ISNUMBER(L117)),"",IFERROR(IF(INDEX(Estadística!$L$6:$L$25,MATCH(B117,Estadística!$A$6:$A$25,0))&gt;INDEX(Estadística!$T$6:$T$25,MATCH(B117,Estadística!$A$6:$A$25,0)),IF(OR(L117&lt;INDEX(Estadística!$I$6:$I$25,MATCH(B117,Estadística!$A$6:$A$25,0))/2,L117&gt;2*INDEX(Estadística!$I$6:$I$25,MATCH(B117,Estadística!$A$6:$A$25,0))),"Fuera de ½MA–2MA: revisar","Dentro de ½MA–2MA"),"—"),""))</f>
        <v/>
      </c>
      <c r="R117" s="18"/>
      <c r="S117" s="19" t="str">
        <f aca="false">IF(ISNUMBER(L117),IF(L117&gt;0,LN(L117),""),"")</f>
        <v/>
      </c>
      <c r="T117" s="19" t="str">
        <f aca="false">IF(ISNUMBER(S117),IFERROR((S117-LN(INDEX(Estadística!$K$6:$K$25,MATCH(B117,Estadística!$A$6:$A$25,0))))^2,""),"")</f>
        <v/>
      </c>
      <c r="U117" s="19" t="str">
        <f aca="false">IF(ISNUMBER(L117),IFERROR((L117-INDEX(Estadística!$I$6:$I$25,MATCH(B117,Estadística!$A$6:$A$25,0)))^2,""),"")</f>
        <v/>
      </c>
      <c r="V117" s="19" t="str">
        <f aca="false">IF(ISNUMBER(P117),IF(P117&gt;1,1,0),"")</f>
        <v/>
      </c>
    </row>
    <row r="118" customFormat="false" ht="15" hidden="false" customHeight="false" outlineLevel="0" collapsed="false">
      <c r="A118" s="18" t="n">
        <v>113</v>
      </c>
      <c r="B118" s="18"/>
      <c r="C118" s="22"/>
      <c r="D118" s="18"/>
      <c r="E118" s="18"/>
      <c r="F118" s="18"/>
      <c r="G118" s="18"/>
      <c r="H118" s="20" t="str">
        <f aca="false">IF(OR(F118="",G118=""),"",F118*G118/1000)</f>
        <v/>
      </c>
      <c r="I118" s="23"/>
      <c r="J118" s="23"/>
      <c r="K118" s="18"/>
      <c r="L118" s="21" t="str">
        <f aca="false">IF(B118="","",IF(J118&lt;&gt;"",J118,IF(AND(N(I118)&gt;0,N(H118)&gt;0),I118/H118,"")))</f>
        <v/>
      </c>
      <c r="M118" s="19" t="str">
        <f aca="false">IF(B118="","",IFERROR(INDEX(GES!$E$6:$E$25,MATCH(B118,GES!$A$6:$A$25,0)),"GES?"))</f>
        <v/>
      </c>
      <c r="N118" s="21" t="str">
        <f aca="false">IF(AND(ISNUMBER(L118),ISNUMBER(K118),LEFT(M118,3)="CAR"),L118*K118/100,"")</f>
        <v/>
      </c>
      <c r="O118" s="21" t="str">
        <f aca="false">IF(B118="","",IFERROR(INDEX(GES!$U$6:$U$25,MATCH(B118,GES!$A$6:$A$25,0)),""))</f>
        <v/>
      </c>
      <c r="P118" s="24" t="str">
        <f aca="false">IF(AND(ISNUMBER(L118),ISNUMBER(O118)),L118/O118,"")</f>
        <v/>
      </c>
      <c r="Q118" s="25" t="str">
        <f aca="false">IF(NOT(ISNUMBER(L118)),"",IFERROR(IF(INDEX(Estadística!$L$6:$L$25,MATCH(B118,Estadística!$A$6:$A$25,0))&gt;INDEX(Estadística!$T$6:$T$25,MATCH(B118,Estadística!$A$6:$A$25,0)),IF(OR(L118&lt;INDEX(Estadística!$I$6:$I$25,MATCH(B118,Estadística!$A$6:$A$25,0))/2,L118&gt;2*INDEX(Estadística!$I$6:$I$25,MATCH(B118,Estadística!$A$6:$A$25,0))),"Fuera de ½MA–2MA: revisar","Dentro de ½MA–2MA"),"—"),""))</f>
        <v/>
      </c>
      <c r="R118" s="18"/>
      <c r="S118" s="19" t="str">
        <f aca="false">IF(ISNUMBER(L118),IF(L118&gt;0,LN(L118),""),"")</f>
        <v/>
      </c>
      <c r="T118" s="19" t="str">
        <f aca="false">IF(ISNUMBER(S118),IFERROR((S118-LN(INDEX(Estadística!$K$6:$K$25,MATCH(B118,Estadística!$A$6:$A$25,0))))^2,""),"")</f>
        <v/>
      </c>
      <c r="U118" s="19" t="str">
        <f aca="false">IF(ISNUMBER(L118),IFERROR((L118-INDEX(Estadística!$I$6:$I$25,MATCH(B118,Estadística!$A$6:$A$25,0)))^2,""),"")</f>
        <v/>
      </c>
      <c r="V118" s="19" t="str">
        <f aca="false">IF(ISNUMBER(P118),IF(P118&gt;1,1,0),"")</f>
        <v/>
      </c>
    </row>
    <row r="119" customFormat="false" ht="15" hidden="false" customHeight="false" outlineLevel="0" collapsed="false">
      <c r="A119" s="18" t="n">
        <v>114</v>
      </c>
      <c r="B119" s="18"/>
      <c r="C119" s="22"/>
      <c r="D119" s="18"/>
      <c r="E119" s="18"/>
      <c r="F119" s="18"/>
      <c r="G119" s="18"/>
      <c r="H119" s="20" t="str">
        <f aca="false">IF(OR(F119="",G119=""),"",F119*G119/1000)</f>
        <v/>
      </c>
      <c r="I119" s="23"/>
      <c r="J119" s="23"/>
      <c r="K119" s="18"/>
      <c r="L119" s="21" t="str">
        <f aca="false">IF(B119="","",IF(J119&lt;&gt;"",J119,IF(AND(N(I119)&gt;0,N(H119)&gt;0),I119/H119,"")))</f>
        <v/>
      </c>
      <c r="M119" s="19" t="str">
        <f aca="false">IF(B119="","",IFERROR(INDEX(GES!$E$6:$E$25,MATCH(B119,GES!$A$6:$A$25,0)),"GES?"))</f>
        <v/>
      </c>
      <c r="N119" s="21" t="str">
        <f aca="false">IF(AND(ISNUMBER(L119),ISNUMBER(K119),LEFT(M119,3)="CAR"),L119*K119/100,"")</f>
        <v/>
      </c>
      <c r="O119" s="21" t="str">
        <f aca="false">IF(B119="","",IFERROR(INDEX(GES!$U$6:$U$25,MATCH(B119,GES!$A$6:$A$25,0)),""))</f>
        <v/>
      </c>
      <c r="P119" s="24" t="str">
        <f aca="false">IF(AND(ISNUMBER(L119),ISNUMBER(O119)),L119/O119,"")</f>
        <v/>
      </c>
      <c r="Q119" s="25" t="str">
        <f aca="false">IF(NOT(ISNUMBER(L119)),"",IFERROR(IF(INDEX(Estadística!$L$6:$L$25,MATCH(B119,Estadística!$A$6:$A$25,0))&gt;INDEX(Estadística!$T$6:$T$25,MATCH(B119,Estadística!$A$6:$A$25,0)),IF(OR(L119&lt;INDEX(Estadística!$I$6:$I$25,MATCH(B119,Estadística!$A$6:$A$25,0))/2,L119&gt;2*INDEX(Estadística!$I$6:$I$25,MATCH(B119,Estadística!$A$6:$A$25,0))),"Fuera de ½MA–2MA: revisar","Dentro de ½MA–2MA"),"—"),""))</f>
        <v/>
      </c>
      <c r="R119" s="18"/>
      <c r="S119" s="19" t="str">
        <f aca="false">IF(ISNUMBER(L119),IF(L119&gt;0,LN(L119),""),"")</f>
        <v/>
      </c>
      <c r="T119" s="19" t="str">
        <f aca="false">IF(ISNUMBER(S119),IFERROR((S119-LN(INDEX(Estadística!$K$6:$K$25,MATCH(B119,Estadística!$A$6:$A$25,0))))^2,""),"")</f>
        <v/>
      </c>
      <c r="U119" s="19" t="str">
        <f aca="false">IF(ISNUMBER(L119),IFERROR((L119-INDEX(Estadística!$I$6:$I$25,MATCH(B119,Estadística!$A$6:$A$25,0)))^2,""),"")</f>
        <v/>
      </c>
      <c r="V119" s="19" t="str">
        <f aca="false">IF(ISNUMBER(P119),IF(P119&gt;1,1,0),"")</f>
        <v/>
      </c>
    </row>
    <row r="120" customFormat="false" ht="15" hidden="false" customHeight="false" outlineLevel="0" collapsed="false">
      <c r="A120" s="18" t="n">
        <v>115</v>
      </c>
      <c r="B120" s="18"/>
      <c r="C120" s="22"/>
      <c r="D120" s="18"/>
      <c r="E120" s="18"/>
      <c r="F120" s="18"/>
      <c r="G120" s="18"/>
      <c r="H120" s="20" t="str">
        <f aca="false">IF(OR(F120="",G120=""),"",F120*G120/1000)</f>
        <v/>
      </c>
      <c r="I120" s="23"/>
      <c r="J120" s="23"/>
      <c r="K120" s="18"/>
      <c r="L120" s="21" t="str">
        <f aca="false">IF(B120="","",IF(J120&lt;&gt;"",J120,IF(AND(N(I120)&gt;0,N(H120)&gt;0),I120/H120,"")))</f>
        <v/>
      </c>
      <c r="M120" s="19" t="str">
        <f aca="false">IF(B120="","",IFERROR(INDEX(GES!$E$6:$E$25,MATCH(B120,GES!$A$6:$A$25,0)),"GES?"))</f>
        <v/>
      </c>
      <c r="N120" s="21" t="str">
        <f aca="false">IF(AND(ISNUMBER(L120),ISNUMBER(K120),LEFT(M120,3)="CAR"),L120*K120/100,"")</f>
        <v/>
      </c>
      <c r="O120" s="21" t="str">
        <f aca="false">IF(B120="","",IFERROR(INDEX(GES!$U$6:$U$25,MATCH(B120,GES!$A$6:$A$25,0)),""))</f>
        <v/>
      </c>
      <c r="P120" s="24" t="str">
        <f aca="false">IF(AND(ISNUMBER(L120),ISNUMBER(O120)),L120/O120,"")</f>
        <v/>
      </c>
      <c r="Q120" s="25" t="str">
        <f aca="false">IF(NOT(ISNUMBER(L120)),"",IFERROR(IF(INDEX(Estadística!$L$6:$L$25,MATCH(B120,Estadística!$A$6:$A$25,0))&gt;INDEX(Estadística!$T$6:$T$25,MATCH(B120,Estadística!$A$6:$A$25,0)),IF(OR(L120&lt;INDEX(Estadística!$I$6:$I$25,MATCH(B120,Estadística!$A$6:$A$25,0))/2,L120&gt;2*INDEX(Estadística!$I$6:$I$25,MATCH(B120,Estadística!$A$6:$A$25,0))),"Fuera de ½MA–2MA: revisar","Dentro de ½MA–2MA"),"—"),""))</f>
        <v/>
      </c>
      <c r="R120" s="18"/>
      <c r="S120" s="19" t="str">
        <f aca="false">IF(ISNUMBER(L120),IF(L120&gt;0,LN(L120),""),"")</f>
        <v/>
      </c>
      <c r="T120" s="19" t="str">
        <f aca="false">IF(ISNUMBER(S120),IFERROR((S120-LN(INDEX(Estadística!$K$6:$K$25,MATCH(B120,Estadística!$A$6:$A$25,0))))^2,""),"")</f>
        <v/>
      </c>
      <c r="U120" s="19" t="str">
        <f aca="false">IF(ISNUMBER(L120),IFERROR((L120-INDEX(Estadística!$I$6:$I$25,MATCH(B120,Estadística!$A$6:$A$25,0)))^2,""),"")</f>
        <v/>
      </c>
      <c r="V120" s="19" t="str">
        <f aca="false">IF(ISNUMBER(P120),IF(P120&gt;1,1,0),"")</f>
        <v/>
      </c>
    </row>
    <row r="121" customFormat="false" ht="15" hidden="false" customHeight="false" outlineLevel="0" collapsed="false">
      <c r="A121" s="18" t="n">
        <v>116</v>
      </c>
      <c r="B121" s="18"/>
      <c r="C121" s="22"/>
      <c r="D121" s="18"/>
      <c r="E121" s="18"/>
      <c r="F121" s="18"/>
      <c r="G121" s="18"/>
      <c r="H121" s="20" t="str">
        <f aca="false">IF(OR(F121="",G121=""),"",F121*G121/1000)</f>
        <v/>
      </c>
      <c r="I121" s="23"/>
      <c r="J121" s="23"/>
      <c r="K121" s="18"/>
      <c r="L121" s="21" t="str">
        <f aca="false">IF(B121="","",IF(J121&lt;&gt;"",J121,IF(AND(N(I121)&gt;0,N(H121)&gt;0),I121/H121,"")))</f>
        <v/>
      </c>
      <c r="M121" s="19" t="str">
        <f aca="false">IF(B121="","",IFERROR(INDEX(GES!$E$6:$E$25,MATCH(B121,GES!$A$6:$A$25,0)),"GES?"))</f>
        <v/>
      </c>
      <c r="N121" s="21" t="str">
        <f aca="false">IF(AND(ISNUMBER(L121),ISNUMBER(K121),LEFT(M121,3)="CAR"),L121*K121/100,"")</f>
        <v/>
      </c>
      <c r="O121" s="21" t="str">
        <f aca="false">IF(B121="","",IFERROR(INDEX(GES!$U$6:$U$25,MATCH(B121,GES!$A$6:$A$25,0)),""))</f>
        <v/>
      </c>
      <c r="P121" s="24" t="str">
        <f aca="false">IF(AND(ISNUMBER(L121),ISNUMBER(O121)),L121/O121,"")</f>
        <v/>
      </c>
      <c r="Q121" s="25" t="str">
        <f aca="false">IF(NOT(ISNUMBER(L121)),"",IFERROR(IF(INDEX(Estadística!$L$6:$L$25,MATCH(B121,Estadística!$A$6:$A$25,0))&gt;INDEX(Estadística!$T$6:$T$25,MATCH(B121,Estadística!$A$6:$A$25,0)),IF(OR(L121&lt;INDEX(Estadística!$I$6:$I$25,MATCH(B121,Estadística!$A$6:$A$25,0))/2,L121&gt;2*INDEX(Estadística!$I$6:$I$25,MATCH(B121,Estadística!$A$6:$A$25,0))),"Fuera de ½MA–2MA: revisar","Dentro de ½MA–2MA"),"—"),""))</f>
        <v/>
      </c>
      <c r="R121" s="18"/>
      <c r="S121" s="19" t="str">
        <f aca="false">IF(ISNUMBER(L121),IF(L121&gt;0,LN(L121),""),"")</f>
        <v/>
      </c>
      <c r="T121" s="19" t="str">
        <f aca="false">IF(ISNUMBER(S121),IFERROR((S121-LN(INDEX(Estadística!$K$6:$K$25,MATCH(B121,Estadística!$A$6:$A$25,0))))^2,""),"")</f>
        <v/>
      </c>
      <c r="U121" s="19" t="str">
        <f aca="false">IF(ISNUMBER(L121),IFERROR((L121-INDEX(Estadística!$I$6:$I$25,MATCH(B121,Estadística!$A$6:$A$25,0)))^2,""),"")</f>
        <v/>
      </c>
      <c r="V121" s="19" t="str">
        <f aca="false">IF(ISNUMBER(P121),IF(P121&gt;1,1,0),"")</f>
        <v/>
      </c>
    </row>
    <row r="122" customFormat="false" ht="15" hidden="false" customHeight="false" outlineLevel="0" collapsed="false">
      <c r="A122" s="18" t="n">
        <v>117</v>
      </c>
      <c r="B122" s="18"/>
      <c r="C122" s="22"/>
      <c r="D122" s="18"/>
      <c r="E122" s="18"/>
      <c r="F122" s="18"/>
      <c r="G122" s="18"/>
      <c r="H122" s="20" t="str">
        <f aca="false">IF(OR(F122="",G122=""),"",F122*G122/1000)</f>
        <v/>
      </c>
      <c r="I122" s="23"/>
      <c r="J122" s="23"/>
      <c r="K122" s="18"/>
      <c r="L122" s="21" t="str">
        <f aca="false">IF(B122="","",IF(J122&lt;&gt;"",J122,IF(AND(N(I122)&gt;0,N(H122)&gt;0),I122/H122,"")))</f>
        <v/>
      </c>
      <c r="M122" s="19" t="str">
        <f aca="false">IF(B122="","",IFERROR(INDEX(GES!$E$6:$E$25,MATCH(B122,GES!$A$6:$A$25,0)),"GES?"))</f>
        <v/>
      </c>
      <c r="N122" s="21" t="str">
        <f aca="false">IF(AND(ISNUMBER(L122),ISNUMBER(K122),LEFT(M122,3)="CAR"),L122*K122/100,"")</f>
        <v/>
      </c>
      <c r="O122" s="21" t="str">
        <f aca="false">IF(B122="","",IFERROR(INDEX(GES!$U$6:$U$25,MATCH(B122,GES!$A$6:$A$25,0)),""))</f>
        <v/>
      </c>
      <c r="P122" s="24" t="str">
        <f aca="false">IF(AND(ISNUMBER(L122),ISNUMBER(O122)),L122/O122,"")</f>
        <v/>
      </c>
      <c r="Q122" s="25" t="str">
        <f aca="false">IF(NOT(ISNUMBER(L122)),"",IFERROR(IF(INDEX(Estadística!$L$6:$L$25,MATCH(B122,Estadística!$A$6:$A$25,0))&gt;INDEX(Estadística!$T$6:$T$25,MATCH(B122,Estadística!$A$6:$A$25,0)),IF(OR(L122&lt;INDEX(Estadística!$I$6:$I$25,MATCH(B122,Estadística!$A$6:$A$25,0))/2,L122&gt;2*INDEX(Estadística!$I$6:$I$25,MATCH(B122,Estadística!$A$6:$A$25,0))),"Fuera de ½MA–2MA: revisar","Dentro de ½MA–2MA"),"—"),""))</f>
        <v/>
      </c>
      <c r="R122" s="18"/>
      <c r="S122" s="19" t="str">
        <f aca="false">IF(ISNUMBER(L122),IF(L122&gt;0,LN(L122),""),"")</f>
        <v/>
      </c>
      <c r="T122" s="19" t="str">
        <f aca="false">IF(ISNUMBER(S122),IFERROR((S122-LN(INDEX(Estadística!$K$6:$K$25,MATCH(B122,Estadística!$A$6:$A$25,0))))^2,""),"")</f>
        <v/>
      </c>
      <c r="U122" s="19" t="str">
        <f aca="false">IF(ISNUMBER(L122),IFERROR((L122-INDEX(Estadística!$I$6:$I$25,MATCH(B122,Estadística!$A$6:$A$25,0)))^2,""),"")</f>
        <v/>
      </c>
      <c r="V122" s="19" t="str">
        <f aca="false">IF(ISNUMBER(P122),IF(P122&gt;1,1,0),"")</f>
        <v/>
      </c>
    </row>
    <row r="123" customFormat="false" ht="15" hidden="false" customHeight="false" outlineLevel="0" collapsed="false">
      <c r="A123" s="18" t="n">
        <v>118</v>
      </c>
      <c r="B123" s="18"/>
      <c r="C123" s="22"/>
      <c r="D123" s="18"/>
      <c r="E123" s="18"/>
      <c r="F123" s="18"/>
      <c r="G123" s="18"/>
      <c r="H123" s="20" t="str">
        <f aca="false">IF(OR(F123="",G123=""),"",F123*G123/1000)</f>
        <v/>
      </c>
      <c r="I123" s="23"/>
      <c r="J123" s="23"/>
      <c r="K123" s="18"/>
      <c r="L123" s="21" t="str">
        <f aca="false">IF(B123="","",IF(J123&lt;&gt;"",J123,IF(AND(N(I123)&gt;0,N(H123)&gt;0),I123/H123,"")))</f>
        <v/>
      </c>
      <c r="M123" s="19" t="str">
        <f aca="false">IF(B123="","",IFERROR(INDEX(GES!$E$6:$E$25,MATCH(B123,GES!$A$6:$A$25,0)),"GES?"))</f>
        <v/>
      </c>
      <c r="N123" s="21" t="str">
        <f aca="false">IF(AND(ISNUMBER(L123),ISNUMBER(K123),LEFT(M123,3)="CAR"),L123*K123/100,"")</f>
        <v/>
      </c>
      <c r="O123" s="21" t="str">
        <f aca="false">IF(B123="","",IFERROR(INDEX(GES!$U$6:$U$25,MATCH(B123,GES!$A$6:$A$25,0)),""))</f>
        <v/>
      </c>
      <c r="P123" s="24" t="str">
        <f aca="false">IF(AND(ISNUMBER(L123),ISNUMBER(O123)),L123/O123,"")</f>
        <v/>
      </c>
      <c r="Q123" s="25" t="str">
        <f aca="false">IF(NOT(ISNUMBER(L123)),"",IFERROR(IF(INDEX(Estadística!$L$6:$L$25,MATCH(B123,Estadística!$A$6:$A$25,0))&gt;INDEX(Estadística!$T$6:$T$25,MATCH(B123,Estadística!$A$6:$A$25,0)),IF(OR(L123&lt;INDEX(Estadística!$I$6:$I$25,MATCH(B123,Estadística!$A$6:$A$25,0))/2,L123&gt;2*INDEX(Estadística!$I$6:$I$25,MATCH(B123,Estadística!$A$6:$A$25,0))),"Fuera de ½MA–2MA: revisar","Dentro de ½MA–2MA"),"—"),""))</f>
        <v/>
      </c>
      <c r="R123" s="18"/>
      <c r="S123" s="19" t="str">
        <f aca="false">IF(ISNUMBER(L123),IF(L123&gt;0,LN(L123),""),"")</f>
        <v/>
      </c>
      <c r="T123" s="19" t="str">
        <f aca="false">IF(ISNUMBER(S123),IFERROR((S123-LN(INDEX(Estadística!$K$6:$K$25,MATCH(B123,Estadística!$A$6:$A$25,0))))^2,""),"")</f>
        <v/>
      </c>
      <c r="U123" s="19" t="str">
        <f aca="false">IF(ISNUMBER(L123),IFERROR((L123-INDEX(Estadística!$I$6:$I$25,MATCH(B123,Estadística!$A$6:$A$25,0)))^2,""),"")</f>
        <v/>
      </c>
      <c r="V123" s="19" t="str">
        <f aca="false">IF(ISNUMBER(P123),IF(P123&gt;1,1,0),"")</f>
        <v/>
      </c>
    </row>
    <row r="124" customFormat="false" ht="15" hidden="false" customHeight="false" outlineLevel="0" collapsed="false">
      <c r="A124" s="18" t="n">
        <v>119</v>
      </c>
      <c r="B124" s="18"/>
      <c r="C124" s="22"/>
      <c r="D124" s="18"/>
      <c r="E124" s="18"/>
      <c r="F124" s="18"/>
      <c r="G124" s="18"/>
      <c r="H124" s="20" t="str">
        <f aca="false">IF(OR(F124="",G124=""),"",F124*G124/1000)</f>
        <v/>
      </c>
      <c r="I124" s="23"/>
      <c r="J124" s="23"/>
      <c r="K124" s="18"/>
      <c r="L124" s="21" t="str">
        <f aca="false">IF(B124="","",IF(J124&lt;&gt;"",J124,IF(AND(N(I124)&gt;0,N(H124)&gt;0),I124/H124,"")))</f>
        <v/>
      </c>
      <c r="M124" s="19" t="str">
        <f aca="false">IF(B124="","",IFERROR(INDEX(GES!$E$6:$E$25,MATCH(B124,GES!$A$6:$A$25,0)),"GES?"))</f>
        <v/>
      </c>
      <c r="N124" s="21" t="str">
        <f aca="false">IF(AND(ISNUMBER(L124),ISNUMBER(K124),LEFT(M124,3)="CAR"),L124*K124/100,"")</f>
        <v/>
      </c>
      <c r="O124" s="21" t="str">
        <f aca="false">IF(B124="","",IFERROR(INDEX(GES!$U$6:$U$25,MATCH(B124,GES!$A$6:$A$25,0)),""))</f>
        <v/>
      </c>
      <c r="P124" s="24" t="str">
        <f aca="false">IF(AND(ISNUMBER(L124),ISNUMBER(O124)),L124/O124,"")</f>
        <v/>
      </c>
      <c r="Q124" s="25" t="str">
        <f aca="false">IF(NOT(ISNUMBER(L124)),"",IFERROR(IF(INDEX(Estadística!$L$6:$L$25,MATCH(B124,Estadística!$A$6:$A$25,0))&gt;INDEX(Estadística!$T$6:$T$25,MATCH(B124,Estadística!$A$6:$A$25,0)),IF(OR(L124&lt;INDEX(Estadística!$I$6:$I$25,MATCH(B124,Estadística!$A$6:$A$25,0))/2,L124&gt;2*INDEX(Estadística!$I$6:$I$25,MATCH(B124,Estadística!$A$6:$A$25,0))),"Fuera de ½MA–2MA: revisar","Dentro de ½MA–2MA"),"—"),""))</f>
        <v/>
      </c>
      <c r="R124" s="18"/>
      <c r="S124" s="19" t="str">
        <f aca="false">IF(ISNUMBER(L124),IF(L124&gt;0,LN(L124),""),"")</f>
        <v/>
      </c>
      <c r="T124" s="19" t="str">
        <f aca="false">IF(ISNUMBER(S124),IFERROR((S124-LN(INDEX(Estadística!$K$6:$K$25,MATCH(B124,Estadística!$A$6:$A$25,0))))^2,""),"")</f>
        <v/>
      </c>
      <c r="U124" s="19" t="str">
        <f aca="false">IF(ISNUMBER(L124),IFERROR((L124-INDEX(Estadística!$I$6:$I$25,MATCH(B124,Estadística!$A$6:$A$25,0)))^2,""),"")</f>
        <v/>
      </c>
      <c r="V124" s="19" t="str">
        <f aca="false">IF(ISNUMBER(P124),IF(P124&gt;1,1,0),"")</f>
        <v/>
      </c>
    </row>
    <row r="125" customFormat="false" ht="15" hidden="false" customHeight="false" outlineLevel="0" collapsed="false">
      <c r="A125" s="18" t="n">
        <v>120</v>
      </c>
      <c r="B125" s="18"/>
      <c r="C125" s="22"/>
      <c r="D125" s="18"/>
      <c r="E125" s="18"/>
      <c r="F125" s="18"/>
      <c r="G125" s="18"/>
      <c r="H125" s="20" t="str">
        <f aca="false">IF(OR(F125="",G125=""),"",F125*G125/1000)</f>
        <v/>
      </c>
      <c r="I125" s="23"/>
      <c r="J125" s="23"/>
      <c r="K125" s="18"/>
      <c r="L125" s="21" t="str">
        <f aca="false">IF(B125="","",IF(J125&lt;&gt;"",J125,IF(AND(N(I125)&gt;0,N(H125)&gt;0),I125/H125,"")))</f>
        <v/>
      </c>
      <c r="M125" s="19" t="str">
        <f aca="false">IF(B125="","",IFERROR(INDEX(GES!$E$6:$E$25,MATCH(B125,GES!$A$6:$A$25,0)),"GES?"))</f>
        <v/>
      </c>
      <c r="N125" s="21" t="str">
        <f aca="false">IF(AND(ISNUMBER(L125),ISNUMBER(K125),LEFT(M125,3)="CAR"),L125*K125/100,"")</f>
        <v/>
      </c>
      <c r="O125" s="21" t="str">
        <f aca="false">IF(B125="","",IFERROR(INDEX(GES!$U$6:$U$25,MATCH(B125,GES!$A$6:$A$25,0)),""))</f>
        <v/>
      </c>
      <c r="P125" s="24" t="str">
        <f aca="false">IF(AND(ISNUMBER(L125),ISNUMBER(O125)),L125/O125,"")</f>
        <v/>
      </c>
      <c r="Q125" s="25" t="str">
        <f aca="false">IF(NOT(ISNUMBER(L125)),"",IFERROR(IF(INDEX(Estadística!$L$6:$L$25,MATCH(B125,Estadística!$A$6:$A$25,0))&gt;INDEX(Estadística!$T$6:$T$25,MATCH(B125,Estadística!$A$6:$A$25,0)),IF(OR(L125&lt;INDEX(Estadística!$I$6:$I$25,MATCH(B125,Estadística!$A$6:$A$25,0))/2,L125&gt;2*INDEX(Estadística!$I$6:$I$25,MATCH(B125,Estadística!$A$6:$A$25,0))),"Fuera de ½MA–2MA: revisar","Dentro de ½MA–2MA"),"—"),""))</f>
        <v/>
      </c>
      <c r="R125" s="18"/>
      <c r="S125" s="19" t="str">
        <f aca="false">IF(ISNUMBER(L125),IF(L125&gt;0,LN(L125),""),"")</f>
        <v/>
      </c>
      <c r="T125" s="19" t="str">
        <f aca="false">IF(ISNUMBER(S125),IFERROR((S125-LN(INDEX(Estadística!$K$6:$K$25,MATCH(B125,Estadística!$A$6:$A$25,0))))^2,""),"")</f>
        <v/>
      </c>
      <c r="U125" s="19" t="str">
        <f aca="false">IF(ISNUMBER(L125),IFERROR((L125-INDEX(Estadística!$I$6:$I$25,MATCH(B125,Estadística!$A$6:$A$25,0)))^2,""),"")</f>
        <v/>
      </c>
      <c r="V125" s="19" t="str">
        <f aca="false">IF(ISNUMBER(P125),IF(P125&gt;1,1,0),"")</f>
        <v/>
      </c>
    </row>
    <row r="126" customFormat="false" ht="15" hidden="false" customHeight="false" outlineLevel="0" collapsed="false">
      <c r="A126" s="18" t="n">
        <v>121</v>
      </c>
      <c r="B126" s="18"/>
      <c r="C126" s="22"/>
      <c r="D126" s="18"/>
      <c r="E126" s="18"/>
      <c r="F126" s="18"/>
      <c r="G126" s="18"/>
      <c r="H126" s="20" t="str">
        <f aca="false">IF(OR(F126="",G126=""),"",F126*G126/1000)</f>
        <v/>
      </c>
      <c r="I126" s="23"/>
      <c r="J126" s="23"/>
      <c r="K126" s="18"/>
      <c r="L126" s="21" t="str">
        <f aca="false">IF(B126="","",IF(J126&lt;&gt;"",J126,IF(AND(N(I126)&gt;0,N(H126)&gt;0),I126/H126,"")))</f>
        <v/>
      </c>
      <c r="M126" s="19" t="str">
        <f aca="false">IF(B126="","",IFERROR(INDEX(GES!$E$6:$E$25,MATCH(B126,GES!$A$6:$A$25,0)),"GES?"))</f>
        <v/>
      </c>
      <c r="N126" s="21" t="str">
        <f aca="false">IF(AND(ISNUMBER(L126),ISNUMBER(K126),LEFT(M126,3)="CAR"),L126*K126/100,"")</f>
        <v/>
      </c>
      <c r="O126" s="21" t="str">
        <f aca="false">IF(B126="","",IFERROR(INDEX(GES!$U$6:$U$25,MATCH(B126,GES!$A$6:$A$25,0)),""))</f>
        <v/>
      </c>
      <c r="P126" s="24" t="str">
        <f aca="false">IF(AND(ISNUMBER(L126),ISNUMBER(O126)),L126/O126,"")</f>
        <v/>
      </c>
      <c r="Q126" s="25" t="str">
        <f aca="false">IF(NOT(ISNUMBER(L126)),"",IFERROR(IF(INDEX(Estadística!$L$6:$L$25,MATCH(B126,Estadística!$A$6:$A$25,0))&gt;INDEX(Estadística!$T$6:$T$25,MATCH(B126,Estadística!$A$6:$A$25,0)),IF(OR(L126&lt;INDEX(Estadística!$I$6:$I$25,MATCH(B126,Estadística!$A$6:$A$25,0))/2,L126&gt;2*INDEX(Estadística!$I$6:$I$25,MATCH(B126,Estadística!$A$6:$A$25,0))),"Fuera de ½MA–2MA: revisar","Dentro de ½MA–2MA"),"—"),""))</f>
        <v/>
      </c>
      <c r="R126" s="18"/>
      <c r="S126" s="19" t="str">
        <f aca="false">IF(ISNUMBER(L126),IF(L126&gt;0,LN(L126),""),"")</f>
        <v/>
      </c>
      <c r="T126" s="19" t="str">
        <f aca="false">IF(ISNUMBER(S126),IFERROR((S126-LN(INDEX(Estadística!$K$6:$K$25,MATCH(B126,Estadística!$A$6:$A$25,0))))^2,""),"")</f>
        <v/>
      </c>
      <c r="U126" s="19" t="str">
        <f aca="false">IF(ISNUMBER(L126),IFERROR((L126-INDEX(Estadística!$I$6:$I$25,MATCH(B126,Estadística!$A$6:$A$25,0)))^2,""),"")</f>
        <v/>
      </c>
      <c r="V126" s="19" t="str">
        <f aca="false">IF(ISNUMBER(P126),IF(P126&gt;1,1,0),"")</f>
        <v/>
      </c>
    </row>
    <row r="127" customFormat="false" ht="15" hidden="false" customHeight="false" outlineLevel="0" collapsed="false">
      <c r="A127" s="18" t="n">
        <v>122</v>
      </c>
      <c r="B127" s="18"/>
      <c r="C127" s="22"/>
      <c r="D127" s="18"/>
      <c r="E127" s="18"/>
      <c r="F127" s="18"/>
      <c r="G127" s="18"/>
      <c r="H127" s="20" t="str">
        <f aca="false">IF(OR(F127="",G127=""),"",F127*G127/1000)</f>
        <v/>
      </c>
      <c r="I127" s="23"/>
      <c r="J127" s="23"/>
      <c r="K127" s="18"/>
      <c r="L127" s="21" t="str">
        <f aca="false">IF(B127="","",IF(J127&lt;&gt;"",J127,IF(AND(N(I127)&gt;0,N(H127)&gt;0),I127/H127,"")))</f>
        <v/>
      </c>
      <c r="M127" s="19" t="str">
        <f aca="false">IF(B127="","",IFERROR(INDEX(GES!$E$6:$E$25,MATCH(B127,GES!$A$6:$A$25,0)),"GES?"))</f>
        <v/>
      </c>
      <c r="N127" s="21" t="str">
        <f aca="false">IF(AND(ISNUMBER(L127),ISNUMBER(K127),LEFT(M127,3)="CAR"),L127*K127/100,"")</f>
        <v/>
      </c>
      <c r="O127" s="21" t="str">
        <f aca="false">IF(B127="","",IFERROR(INDEX(GES!$U$6:$U$25,MATCH(B127,GES!$A$6:$A$25,0)),""))</f>
        <v/>
      </c>
      <c r="P127" s="24" t="str">
        <f aca="false">IF(AND(ISNUMBER(L127),ISNUMBER(O127)),L127/O127,"")</f>
        <v/>
      </c>
      <c r="Q127" s="25" t="str">
        <f aca="false">IF(NOT(ISNUMBER(L127)),"",IFERROR(IF(INDEX(Estadística!$L$6:$L$25,MATCH(B127,Estadística!$A$6:$A$25,0))&gt;INDEX(Estadística!$T$6:$T$25,MATCH(B127,Estadística!$A$6:$A$25,0)),IF(OR(L127&lt;INDEX(Estadística!$I$6:$I$25,MATCH(B127,Estadística!$A$6:$A$25,0))/2,L127&gt;2*INDEX(Estadística!$I$6:$I$25,MATCH(B127,Estadística!$A$6:$A$25,0))),"Fuera de ½MA–2MA: revisar","Dentro de ½MA–2MA"),"—"),""))</f>
        <v/>
      </c>
      <c r="R127" s="18"/>
      <c r="S127" s="19" t="str">
        <f aca="false">IF(ISNUMBER(L127),IF(L127&gt;0,LN(L127),""),"")</f>
        <v/>
      </c>
      <c r="T127" s="19" t="str">
        <f aca="false">IF(ISNUMBER(S127),IFERROR((S127-LN(INDEX(Estadística!$K$6:$K$25,MATCH(B127,Estadística!$A$6:$A$25,0))))^2,""),"")</f>
        <v/>
      </c>
      <c r="U127" s="19" t="str">
        <f aca="false">IF(ISNUMBER(L127),IFERROR((L127-INDEX(Estadística!$I$6:$I$25,MATCH(B127,Estadística!$A$6:$A$25,0)))^2,""),"")</f>
        <v/>
      </c>
      <c r="V127" s="19" t="str">
        <f aca="false">IF(ISNUMBER(P127),IF(P127&gt;1,1,0),"")</f>
        <v/>
      </c>
    </row>
    <row r="128" customFormat="false" ht="15" hidden="false" customHeight="false" outlineLevel="0" collapsed="false">
      <c r="A128" s="18" t="n">
        <v>123</v>
      </c>
      <c r="B128" s="18"/>
      <c r="C128" s="22"/>
      <c r="D128" s="18"/>
      <c r="E128" s="18"/>
      <c r="F128" s="18"/>
      <c r="G128" s="18"/>
      <c r="H128" s="20" t="str">
        <f aca="false">IF(OR(F128="",G128=""),"",F128*G128/1000)</f>
        <v/>
      </c>
      <c r="I128" s="23"/>
      <c r="J128" s="23"/>
      <c r="K128" s="18"/>
      <c r="L128" s="21" t="str">
        <f aca="false">IF(B128="","",IF(J128&lt;&gt;"",J128,IF(AND(N(I128)&gt;0,N(H128)&gt;0),I128/H128,"")))</f>
        <v/>
      </c>
      <c r="M128" s="19" t="str">
        <f aca="false">IF(B128="","",IFERROR(INDEX(GES!$E$6:$E$25,MATCH(B128,GES!$A$6:$A$25,0)),"GES?"))</f>
        <v/>
      </c>
      <c r="N128" s="21" t="str">
        <f aca="false">IF(AND(ISNUMBER(L128),ISNUMBER(K128),LEFT(M128,3)="CAR"),L128*K128/100,"")</f>
        <v/>
      </c>
      <c r="O128" s="21" t="str">
        <f aca="false">IF(B128="","",IFERROR(INDEX(GES!$U$6:$U$25,MATCH(B128,GES!$A$6:$A$25,0)),""))</f>
        <v/>
      </c>
      <c r="P128" s="24" t="str">
        <f aca="false">IF(AND(ISNUMBER(L128),ISNUMBER(O128)),L128/O128,"")</f>
        <v/>
      </c>
      <c r="Q128" s="25" t="str">
        <f aca="false">IF(NOT(ISNUMBER(L128)),"",IFERROR(IF(INDEX(Estadística!$L$6:$L$25,MATCH(B128,Estadística!$A$6:$A$25,0))&gt;INDEX(Estadística!$T$6:$T$25,MATCH(B128,Estadística!$A$6:$A$25,0)),IF(OR(L128&lt;INDEX(Estadística!$I$6:$I$25,MATCH(B128,Estadística!$A$6:$A$25,0))/2,L128&gt;2*INDEX(Estadística!$I$6:$I$25,MATCH(B128,Estadística!$A$6:$A$25,0))),"Fuera de ½MA–2MA: revisar","Dentro de ½MA–2MA"),"—"),""))</f>
        <v/>
      </c>
      <c r="R128" s="18"/>
      <c r="S128" s="19" t="str">
        <f aca="false">IF(ISNUMBER(L128),IF(L128&gt;0,LN(L128),""),"")</f>
        <v/>
      </c>
      <c r="T128" s="19" t="str">
        <f aca="false">IF(ISNUMBER(S128),IFERROR((S128-LN(INDEX(Estadística!$K$6:$K$25,MATCH(B128,Estadística!$A$6:$A$25,0))))^2,""),"")</f>
        <v/>
      </c>
      <c r="U128" s="19" t="str">
        <f aca="false">IF(ISNUMBER(L128),IFERROR((L128-INDEX(Estadística!$I$6:$I$25,MATCH(B128,Estadística!$A$6:$A$25,0)))^2,""),"")</f>
        <v/>
      </c>
      <c r="V128" s="19" t="str">
        <f aca="false">IF(ISNUMBER(P128),IF(P128&gt;1,1,0),"")</f>
        <v/>
      </c>
    </row>
    <row r="129" customFormat="false" ht="15" hidden="false" customHeight="false" outlineLevel="0" collapsed="false">
      <c r="A129" s="18" t="n">
        <v>124</v>
      </c>
      <c r="B129" s="18"/>
      <c r="C129" s="22"/>
      <c r="D129" s="18"/>
      <c r="E129" s="18"/>
      <c r="F129" s="18"/>
      <c r="G129" s="18"/>
      <c r="H129" s="20" t="str">
        <f aca="false">IF(OR(F129="",G129=""),"",F129*G129/1000)</f>
        <v/>
      </c>
      <c r="I129" s="23"/>
      <c r="J129" s="23"/>
      <c r="K129" s="18"/>
      <c r="L129" s="21" t="str">
        <f aca="false">IF(B129="","",IF(J129&lt;&gt;"",J129,IF(AND(N(I129)&gt;0,N(H129)&gt;0),I129/H129,"")))</f>
        <v/>
      </c>
      <c r="M129" s="19" t="str">
        <f aca="false">IF(B129="","",IFERROR(INDEX(GES!$E$6:$E$25,MATCH(B129,GES!$A$6:$A$25,0)),"GES?"))</f>
        <v/>
      </c>
      <c r="N129" s="21" t="str">
        <f aca="false">IF(AND(ISNUMBER(L129),ISNUMBER(K129),LEFT(M129,3)="CAR"),L129*K129/100,"")</f>
        <v/>
      </c>
      <c r="O129" s="21" t="str">
        <f aca="false">IF(B129="","",IFERROR(INDEX(GES!$U$6:$U$25,MATCH(B129,GES!$A$6:$A$25,0)),""))</f>
        <v/>
      </c>
      <c r="P129" s="24" t="str">
        <f aca="false">IF(AND(ISNUMBER(L129),ISNUMBER(O129)),L129/O129,"")</f>
        <v/>
      </c>
      <c r="Q129" s="25" t="str">
        <f aca="false">IF(NOT(ISNUMBER(L129)),"",IFERROR(IF(INDEX(Estadística!$L$6:$L$25,MATCH(B129,Estadística!$A$6:$A$25,0))&gt;INDEX(Estadística!$T$6:$T$25,MATCH(B129,Estadística!$A$6:$A$25,0)),IF(OR(L129&lt;INDEX(Estadística!$I$6:$I$25,MATCH(B129,Estadística!$A$6:$A$25,0))/2,L129&gt;2*INDEX(Estadística!$I$6:$I$25,MATCH(B129,Estadística!$A$6:$A$25,0))),"Fuera de ½MA–2MA: revisar","Dentro de ½MA–2MA"),"—"),""))</f>
        <v/>
      </c>
      <c r="R129" s="18"/>
      <c r="S129" s="19" t="str">
        <f aca="false">IF(ISNUMBER(L129),IF(L129&gt;0,LN(L129),""),"")</f>
        <v/>
      </c>
      <c r="T129" s="19" t="str">
        <f aca="false">IF(ISNUMBER(S129),IFERROR((S129-LN(INDEX(Estadística!$K$6:$K$25,MATCH(B129,Estadística!$A$6:$A$25,0))))^2,""),"")</f>
        <v/>
      </c>
      <c r="U129" s="19" t="str">
        <f aca="false">IF(ISNUMBER(L129),IFERROR((L129-INDEX(Estadística!$I$6:$I$25,MATCH(B129,Estadística!$A$6:$A$25,0)))^2,""),"")</f>
        <v/>
      </c>
      <c r="V129" s="19" t="str">
        <f aca="false">IF(ISNUMBER(P129),IF(P129&gt;1,1,0),"")</f>
        <v/>
      </c>
    </row>
    <row r="130" customFormat="false" ht="15" hidden="false" customHeight="false" outlineLevel="0" collapsed="false">
      <c r="A130" s="18" t="n">
        <v>125</v>
      </c>
      <c r="B130" s="18"/>
      <c r="C130" s="22"/>
      <c r="D130" s="18"/>
      <c r="E130" s="18"/>
      <c r="F130" s="18"/>
      <c r="G130" s="18"/>
      <c r="H130" s="20" t="str">
        <f aca="false">IF(OR(F130="",G130=""),"",F130*G130/1000)</f>
        <v/>
      </c>
      <c r="I130" s="23"/>
      <c r="J130" s="23"/>
      <c r="K130" s="18"/>
      <c r="L130" s="21" t="str">
        <f aca="false">IF(B130="","",IF(J130&lt;&gt;"",J130,IF(AND(N(I130)&gt;0,N(H130)&gt;0),I130/H130,"")))</f>
        <v/>
      </c>
      <c r="M130" s="19" t="str">
        <f aca="false">IF(B130="","",IFERROR(INDEX(GES!$E$6:$E$25,MATCH(B130,GES!$A$6:$A$25,0)),"GES?"))</f>
        <v/>
      </c>
      <c r="N130" s="21" t="str">
        <f aca="false">IF(AND(ISNUMBER(L130),ISNUMBER(K130),LEFT(M130,3)="CAR"),L130*K130/100,"")</f>
        <v/>
      </c>
      <c r="O130" s="21" t="str">
        <f aca="false">IF(B130="","",IFERROR(INDEX(GES!$U$6:$U$25,MATCH(B130,GES!$A$6:$A$25,0)),""))</f>
        <v/>
      </c>
      <c r="P130" s="24" t="str">
        <f aca="false">IF(AND(ISNUMBER(L130),ISNUMBER(O130)),L130/O130,"")</f>
        <v/>
      </c>
      <c r="Q130" s="25" t="str">
        <f aca="false">IF(NOT(ISNUMBER(L130)),"",IFERROR(IF(INDEX(Estadística!$L$6:$L$25,MATCH(B130,Estadística!$A$6:$A$25,0))&gt;INDEX(Estadística!$T$6:$T$25,MATCH(B130,Estadística!$A$6:$A$25,0)),IF(OR(L130&lt;INDEX(Estadística!$I$6:$I$25,MATCH(B130,Estadística!$A$6:$A$25,0))/2,L130&gt;2*INDEX(Estadística!$I$6:$I$25,MATCH(B130,Estadística!$A$6:$A$25,0))),"Fuera de ½MA–2MA: revisar","Dentro de ½MA–2MA"),"—"),""))</f>
        <v/>
      </c>
      <c r="R130" s="18"/>
      <c r="S130" s="19" t="str">
        <f aca="false">IF(ISNUMBER(L130),IF(L130&gt;0,LN(L130),""),"")</f>
        <v/>
      </c>
      <c r="T130" s="19" t="str">
        <f aca="false">IF(ISNUMBER(S130),IFERROR((S130-LN(INDEX(Estadística!$K$6:$K$25,MATCH(B130,Estadística!$A$6:$A$25,0))))^2,""),"")</f>
        <v/>
      </c>
      <c r="U130" s="19" t="str">
        <f aca="false">IF(ISNUMBER(L130),IFERROR((L130-INDEX(Estadística!$I$6:$I$25,MATCH(B130,Estadística!$A$6:$A$25,0)))^2,""),"")</f>
        <v/>
      </c>
      <c r="V130" s="19" t="str">
        <f aca="false">IF(ISNUMBER(P130),IF(P130&gt;1,1,0),"")</f>
        <v/>
      </c>
    </row>
    <row r="131" customFormat="false" ht="15" hidden="false" customHeight="false" outlineLevel="0" collapsed="false">
      <c r="A131" s="18" t="n">
        <v>126</v>
      </c>
      <c r="B131" s="18"/>
      <c r="C131" s="22"/>
      <c r="D131" s="18"/>
      <c r="E131" s="18"/>
      <c r="F131" s="18"/>
      <c r="G131" s="18"/>
      <c r="H131" s="20" t="str">
        <f aca="false">IF(OR(F131="",G131=""),"",F131*G131/1000)</f>
        <v/>
      </c>
      <c r="I131" s="23"/>
      <c r="J131" s="23"/>
      <c r="K131" s="18"/>
      <c r="L131" s="21" t="str">
        <f aca="false">IF(B131="","",IF(J131&lt;&gt;"",J131,IF(AND(N(I131)&gt;0,N(H131)&gt;0),I131/H131,"")))</f>
        <v/>
      </c>
      <c r="M131" s="19" t="str">
        <f aca="false">IF(B131="","",IFERROR(INDEX(GES!$E$6:$E$25,MATCH(B131,GES!$A$6:$A$25,0)),"GES?"))</f>
        <v/>
      </c>
      <c r="N131" s="21" t="str">
        <f aca="false">IF(AND(ISNUMBER(L131),ISNUMBER(K131),LEFT(M131,3)="CAR"),L131*K131/100,"")</f>
        <v/>
      </c>
      <c r="O131" s="21" t="str">
        <f aca="false">IF(B131="","",IFERROR(INDEX(GES!$U$6:$U$25,MATCH(B131,GES!$A$6:$A$25,0)),""))</f>
        <v/>
      </c>
      <c r="P131" s="24" t="str">
        <f aca="false">IF(AND(ISNUMBER(L131),ISNUMBER(O131)),L131/O131,"")</f>
        <v/>
      </c>
      <c r="Q131" s="25" t="str">
        <f aca="false">IF(NOT(ISNUMBER(L131)),"",IFERROR(IF(INDEX(Estadística!$L$6:$L$25,MATCH(B131,Estadística!$A$6:$A$25,0))&gt;INDEX(Estadística!$T$6:$T$25,MATCH(B131,Estadística!$A$6:$A$25,0)),IF(OR(L131&lt;INDEX(Estadística!$I$6:$I$25,MATCH(B131,Estadística!$A$6:$A$25,0))/2,L131&gt;2*INDEX(Estadística!$I$6:$I$25,MATCH(B131,Estadística!$A$6:$A$25,0))),"Fuera de ½MA–2MA: revisar","Dentro de ½MA–2MA"),"—"),""))</f>
        <v/>
      </c>
      <c r="R131" s="18"/>
      <c r="S131" s="19" t="str">
        <f aca="false">IF(ISNUMBER(L131),IF(L131&gt;0,LN(L131),""),"")</f>
        <v/>
      </c>
      <c r="T131" s="19" t="str">
        <f aca="false">IF(ISNUMBER(S131),IFERROR((S131-LN(INDEX(Estadística!$K$6:$K$25,MATCH(B131,Estadística!$A$6:$A$25,0))))^2,""),"")</f>
        <v/>
      </c>
      <c r="U131" s="19" t="str">
        <f aca="false">IF(ISNUMBER(L131),IFERROR((L131-INDEX(Estadística!$I$6:$I$25,MATCH(B131,Estadística!$A$6:$A$25,0)))^2,""),"")</f>
        <v/>
      </c>
      <c r="V131" s="19" t="str">
        <f aca="false">IF(ISNUMBER(P131),IF(P131&gt;1,1,0),"")</f>
        <v/>
      </c>
    </row>
    <row r="132" customFormat="false" ht="15" hidden="false" customHeight="false" outlineLevel="0" collapsed="false">
      <c r="A132" s="18" t="n">
        <v>127</v>
      </c>
      <c r="B132" s="18"/>
      <c r="C132" s="22"/>
      <c r="D132" s="18"/>
      <c r="E132" s="18"/>
      <c r="F132" s="18"/>
      <c r="G132" s="18"/>
      <c r="H132" s="20" t="str">
        <f aca="false">IF(OR(F132="",G132=""),"",F132*G132/1000)</f>
        <v/>
      </c>
      <c r="I132" s="23"/>
      <c r="J132" s="23"/>
      <c r="K132" s="18"/>
      <c r="L132" s="21" t="str">
        <f aca="false">IF(B132="","",IF(J132&lt;&gt;"",J132,IF(AND(N(I132)&gt;0,N(H132)&gt;0),I132/H132,"")))</f>
        <v/>
      </c>
      <c r="M132" s="19" t="str">
        <f aca="false">IF(B132="","",IFERROR(INDEX(GES!$E$6:$E$25,MATCH(B132,GES!$A$6:$A$25,0)),"GES?"))</f>
        <v/>
      </c>
      <c r="N132" s="21" t="str">
        <f aca="false">IF(AND(ISNUMBER(L132),ISNUMBER(K132),LEFT(M132,3)="CAR"),L132*K132/100,"")</f>
        <v/>
      </c>
      <c r="O132" s="21" t="str">
        <f aca="false">IF(B132="","",IFERROR(INDEX(GES!$U$6:$U$25,MATCH(B132,GES!$A$6:$A$25,0)),""))</f>
        <v/>
      </c>
      <c r="P132" s="24" t="str">
        <f aca="false">IF(AND(ISNUMBER(L132),ISNUMBER(O132)),L132/O132,"")</f>
        <v/>
      </c>
      <c r="Q132" s="25" t="str">
        <f aca="false">IF(NOT(ISNUMBER(L132)),"",IFERROR(IF(INDEX(Estadística!$L$6:$L$25,MATCH(B132,Estadística!$A$6:$A$25,0))&gt;INDEX(Estadística!$T$6:$T$25,MATCH(B132,Estadística!$A$6:$A$25,0)),IF(OR(L132&lt;INDEX(Estadística!$I$6:$I$25,MATCH(B132,Estadística!$A$6:$A$25,0))/2,L132&gt;2*INDEX(Estadística!$I$6:$I$25,MATCH(B132,Estadística!$A$6:$A$25,0))),"Fuera de ½MA–2MA: revisar","Dentro de ½MA–2MA"),"—"),""))</f>
        <v/>
      </c>
      <c r="R132" s="18"/>
      <c r="S132" s="19" t="str">
        <f aca="false">IF(ISNUMBER(L132),IF(L132&gt;0,LN(L132),""),"")</f>
        <v/>
      </c>
      <c r="T132" s="19" t="str">
        <f aca="false">IF(ISNUMBER(S132),IFERROR((S132-LN(INDEX(Estadística!$K$6:$K$25,MATCH(B132,Estadística!$A$6:$A$25,0))))^2,""),"")</f>
        <v/>
      </c>
      <c r="U132" s="19" t="str">
        <f aca="false">IF(ISNUMBER(L132),IFERROR((L132-INDEX(Estadística!$I$6:$I$25,MATCH(B132,Estadística!$A$6:$A$25,0)))^2,""),"")</f>
        <v/>
      </c>
      <c r="V132" s="19" t="str">
        <f aca="false">IF(ISNUMBER(P132),IF(P132&gt;1,1,0),"")</f>
        <v/>
      </c>
    </row>
    <row r="133" customFormat="false" ht="15" hidden="false" customHeight="false" outlineLevel="0" collapsed="false">
      <c r="A133" s="18" t="n">
        <v>128</v>
      </c>
      <c r="B133" s="18"/>
      <c r="C133" s="22"/>
      <c r="D133" s="18"/>
      <c r="E133" s="18"/>
      <c r="F133" s="18"/>
      <c r="G133" s="18"/>
      <c r="H133" s="20" t="str">
        <f aca="false">IF(OR(F133="",G133=""),"",F133*G133/1000)</f>
        <v/>
      </c>
      <c r="I133" s="23"/>
      <c r="J133" s="23"/>
      <c r="K133" s="18"/>
      <c r="L133" s="21" t="str">
        <f aca="false">IF(B133="","",IF(J133&lt;&gt;"",J133,IF(AND(N(I133)&gt;0,N(H133)&gt;0),I133/H133,"")))</f>
        <v/>
      </c>
      <c r="M133" s="19" t="str">
        <f aca="false">IF(B133="","",IFERROR(INDEX(GES!$E$6:$E$25,MATCH(B133,GES!$A$6:$A$25,0)),"GES?"))</f>
        <v/>
      </c>
      <c r="N133" s="21" t="str">
        <f aca="false">IF(AND(ISNUMBER(L133),ISNUMBER(K133),LEFT(M133,3)="CAR"),L133*K133/100,"")</f>
        <v/>
      </c>
      <c r="O133" s="21" t="str">
        <f aca="false">IF(B133="","",IFERROR(INDEX(GES!$U$6:$U$25,MATCH(B133,GES!$A$6:$A$25,0)),""))</f>
        <v/>
      </c>
      <c r="P133" s="24" t="str">
        <f aca="false">IF(AND(ISNUMBER(L133),ISNUMBER(O133)),L133/O133,"")</f>
        <v/>
      </c>
      <c r="Q133" s="25" t="str">
        <f aca="false">IF(NOT(ISNUMBER(L133)),"",IFERROR(IF(INDEX(Estadística!$L$6:$L$25,MATCH(B133,Estadística!$A$6:$A$25,0))&gt;INDEX(Estadística!$T$6:$T$25,MATCH(B133,Estadística!$A$6:$A$25,0)),IF(OR(L133&lt;INDEX(Estadística!$I$6:$I$25,MATCH(B133,Estadística!$A$6:$A$25,0))/2,L133&gt;2*INDEX(Estadística!$I$6:$I$25,MATCH(B133,Estadística!$A$6:$A$25,0))),"Fuera de ½MA–2MA: revisar","Dentro de ½MA–2MA"),"—"),""))</f>
        <v/>
      </c>
      <c r="R133" s="18"/>
      <c r="S133" s="19" t="str">
        <f aca="false">IF(ISNUMBER(L133),IF(L133&gt;0,LN(L133),""),"")</f>
        <v/>
      </c>
      <c r="T133" s="19" t="str">
        <f aca="false">IF(ISNUMBER(S133),IFERROR((S133-LN(INDEX(Estadística!$K$6:$K$25,MATCH(B133,Estadística!$A$6:$A$25,0))))^2,""),"")</f>
        <v/>
      </c>
      <c r="U133" s="19" t="str">
        <f aca="false">IF(ISNUMBER(L133),IFERROR((L133-INDEX(Estadística!$I$6:$I$25,MATCH(B133,Estadística!$A$6:$A$25,0)))^2,""),"")</f>
        <v/>
      </c>
      <c r="V133" s="19" t="str">
        <f aca="false">IF(ISNUMBER(P133),IF(P133&gt;1,1,0),"")</f>
        <v/>
      </c>
    </row>
    <row r="134" customFormat="false" ht="15" hidden="false" customHeight="false" outlineLevel="0" collapsed="false">
      <c r="A134" s="18" t="n">
        <v>129</v>
      </c>
      <c r="B134" s="18"/>
      <c r="C134" s="22"/>
      <c r="D134" s="18"/>
      <c r="E134" s="18"/>
      <c r="F134" s="18"/>
      <c r="G134" s="18"/>
      <c r="H134" s="20" t="str">
        <f aca="false">IF(OR(F134="",G134=""),"",F134*G134/1000)</f>
        <v/>
      </c>
      <c r="I134" s="23"/>
      <c r="J134" s="23"/>
      <c r="K134" s="18"/>
      <c r="L134" s="21" t="str">
        <f aca="false">IF(B134="","",IF(J134&lt;&gt;"",J134,IF(AND(N(I134)&gt;0,N(H134)&gt;0),I134/H134,"")))</f>
        <v/>
      </c>
      <c r="M134" s="19" t="str">
        <f aca="false">IF(B134="","",IFERROR(INDEX(GES!$E$6:$E$25,MATCH(B134,GES!$A$6:$A$25,0)),"GES?"))</f>
        <v/>
      </c>
      <c r="N134" s="21" t="str">
        <f aca="false">IF(AND(ISNUMBER(L134),ISNUMBER(K134),LEFT(M134,3)="CAR"),L134*K134/100,"")</f>
        <v/>
      </c>
      <c r="O134" s="21" t="str">
        <f aca="false">IF(B134="","",IFERROR(INDEX(GES!$U$6:$U$25,MATCH(B134,GES!$A$6:$A$25,0)),""))</f>
        <v/>
      </c>
      <c r="P134" s="24" t="str">
        <f aca="false">IF(AND(ISNUMBER(L134),ISNUMBER(O134)),L134/O134,"")</f>
        <v/>
      </c>
      <c r="Q134" s="25" t="str">
        <f aca="false">IF(NOT(ISNUMBER(L134)),"",IFERROR(IF(INDEX(Estadística!$L$6:$L$25,MATCH(B134,Estadística!$A$6:$A$25,0))&gt;INDEX(Estadística!$T$6:$T$25,MATCH(B134,Estadística!$A$6:$A$25,0)),IF(OR(L134&lt;INDEX(Estadística!$I$6:$I$25,MATCH(B134,Estadística!$A$6:$A$25,0))/2,L134&gt;2*INDEX(Estadística!$I$6:$I$25,MATCH(B134,Estadística!$A$6:$A$25,0))),"Fuera de ½MA–2MA: revisar","Dentro de ½MA–2MA"),"—"),""))</f>
        <v/>
      </c>
      <c r="R134" s="18"/>
      <c r="S134" s="19" t="str">
        <f aca="false">IF(ISNUMBER(L134),IF(L134&gt;0,LN(L134),""),"")</f>
        <v/>
      </c>
      <c r="T134" s="19" t="str">
        <f aca="false">IF(ISNUMBER(S134),IFERROR((S134-LN(INDEX(Estadística!$K$6:$K$25,MATCH(B134,Estadística!$A$6:$A$25,0))))^2,""),"")</f>
        <v/>
      </c>
      <c r="U134" s="19" t="str">
        <f aca="false">IF(ISNUMBER(L134),IFERROR((L134-INDEX(Estadística!$I$6:$I$25,MATCH(B134,Estadística!$A$6:$A$25,0)))^2,""),"")</f>
        <v/>
      </c>
      <c r="V134" s="19" t="str">
        <f aca="false">IF(ISNUMBER(P134),IF(P134&gt;1,1,0),"")</f>
        <v/>
      </c>
    </row>
    <row r="135" customFormat="false" ht="15" hidden="false" customHeight="false" outlineLevel="0" collapsed="false">
      <c r="A135" s="18" t="n">
        <v>130</v>
      </c>
      <c r="B135" s="18"/>
      <c r="C135" s="22"/>
      <c r="D135" s="18"/>
      <c r="E135" s="18"/>
      <c r="F135" s="18"/>
      <c r="G135" s="18"/>
      <c r="H135" s="20" t="str">
        <f aca="false">IF(OR(F135="",G135=""),"",F135*G135/1000)</f>
        <v/>
      </c>
      <c r="I135" s="23"/>
      <c r="J135" s="23"/>
      <c r="K135" s="18"/>
      <c r="L135" s="21" t="str">
        <f aca="false">IF(B135="","",IF(J135&lt;&gt;"",J135,IF(AND(N(I135)&gt;0,N(H135)&gt;0),I135/H135,"")))</f>
        <v/>
      </c>
      <c r="M135" s="19" t="str">
        <f aca="false">IF(B135="","",IFERROR(INDEX(GES!$E$6:$E$25,MATCH(B135,GES!$A$6:$A$25,0)),"GES?"))</f>
        <v/>
      </c>
      <c r="N135" s="21" t="str">
        <f aca="false">IF(AND(ISNUMBER(L135),ISNUMBER(K135),LEFT(M135,3)="CAR"),L135*K135/100,"")</f>
        <v/>
      </c>
      <c r="O135" s="21" t="str">
        <f aca="false">IF(B135="","",IFERROR(INDEX(GES!$U$6:$U$25,MATCH(B135,GES!$A$6:$A$25,0)),""))</f>
        <v/>
      </c>
      <c r="P135" s="24" t="str">
        <f aca="false">IF(AND(ISNUMBER(L135),ISNUMBER(O135)),L135/O135,"")</f>
        <v/>
      </c>
      <c r="Q135" s="25" t="str">
        <f aca="false">IF(NOT(ISNUMBER(L135)),"",IFERROR(IF(INDEX(Estadística!$L$6:$L$25,MATCH(B135,Estadística!$A$6:$A$25,0))&gt;INDEX(Estadística!$T$6:$T$25,MATCH(B135,Estadística!$A$6:$A$25,0)),IF(OR(L135&lt;INDEX(Estadística!$I$6:$I$25,MATCH(B135,Estadística!$A$6:$A$25,0))/2,L135&gt;2*INDEX(Estadística!$I$6:$I$25,MATCH(B135,Estadística!$A$6:$A$25,0))),"Fuera de ½MA–2MA: revisar","Dentro de ½MA–2MA"),"—"),""))</f>
        <v/>
      </c>
      <c r="R135" s="18"/>
      <c r="S135" s="19" t="str">
        <f aca="false">IF(ISNUMBER(L135),IF(L135&gt;0,LN(L135),""),"")</f>
        <v/>
      </c>
      <c r="T135" s="19" t="str">
        <f aca="false">IF(ISNUMBER(S135),IFERROR((S135-LN(INDEX(Estadística!$K$6:$K$25,MATCH(B135,Estadística!$A$6:$A$25,0))))^2,""),"")</f>
        <v/>
      </c>
      <c r="U135" s="19" t="str">
        <f aca="false">IF(ISNUMBER(L135),IFERROR((L135-INDEX(Estadística!$I$6:$I$25,MATCH(B135,Estadística!$A$6:$A$25,0)))^2,""),"")</f>
        <v/>
      </c>
      <c r="V135" s="19" t="str">
        <f aca="false">IF(ISNUMBER(P135),IF(P135&gt;1,1,0),"")</f>
        <v/>
      </c>
    </row>
    <row r="136" customFormat="false" ht="15" hidden="false" customHeight="false" outlineLevel="0" collapsed="false">
      <c r="A136" s="18" t="n">
        <v>131</v>
      </c>
      <c r="B136" s="18"/>
      <c r="C136" s="22"/>
      <c r="D136" s="18"/>
      <c r="E136" s="18"/>
      <c r="F136" s="18"/>
      <c r="G136" s="18"/>
      <c r="H136" s="20" t="str">
        <f aca="false">IF(OR(F136="",G136=""),"",F136*G136/1000)</f>
        <v/>
      </c>
      <c r="I136" s="23"/>
      <c r="J136" s="23"/>
      <c r="K136" s="18"/>
      <c r="L136" s="21" t="str">
        <f aca="false">IF(B136="","",IF(J136&lt;&gt;"",J136,IF(AND(N(I136)&gt;0,N(H136)&gt;0),I136/H136,"")))</f>
        <v/>
      </c>
      <c r="M136" s="19" t="str">
        <f aca="false">IF(B136="","",IFERROR(INDEX(GES!$E$6:$E$25,MATCH(B136,GES!$A$6:$A$25,0)),"GES?"))</f>
        <v/>
      </c>
      <c r="N136" s="21" t="str">
        <f aca="false">IF(AND(ISNUMBER(L136),ISNUMBER(K136),LEFT(M136,3)="CAR"),L136*K136/100,"")</f>
        <v/>
      </c>
      <c r="O136" s="21" t="str">
        <f aca="false">IF(B136="","",IFERROR(INDEX(GES!$U$6:$U$25,MATCH(B136,GES!$A$6:$A$25,0)),""))</f>
        <v/>
      </c>
      <c r="P136" s="24" t="str">
        <f aca="false">IF(AND(ISNUMBER(L136),ISNUMBER(O136)),L136/O136,"")</f>
        <v/>
      </c>
      <c r="Q136" s="25" t="str">
        <f aca="false">IF(NOT(ISNUMBER(L136)),"",IFERROR(IF(INDEX(Estadística!$L$6:$L$25,MATCH(B136,Estadística!$A$6:$A$25,0))&gt;INDEX(Estadística!$T$6:$T$25,MATCH(B136,Estadística!$A$6:$A$25,0)),IF(OR(L136&lt;INDEX(Estadística!$I$6:$I$25,MATCH(B136,Estadística!$A$6:$A$25,0))/2,L136&gt;2*INDEX(Estadística!$I$6:$I$25,MATCH(B136,Estadística!$A$6:$A$25,0))),"Fuera de ½MA–2MA: revisar","Dentro de ½MA–2MA"),"—"),""))</f>
        <v/>
      </c>
      <c r="R136" s="18"/>
      <c r="S136" s="19" t="str">
        <f aca="false">IF(ISNUMBER(L136),IF(L136&gt;0,LN(L136),""),"")</f>
        <v/>
      </c>
      <c r="T136" s="19" t="str">
        <f aca="false">IF(ISNUMBER(S136),IFERROR((S136-LN(INDEX(Estadística!$K$6:$K$25,MATCH(B136,Estadística!$A$6:$A$25,0))))^2,""),"")</f>
        <v/>
      </c>
      <c r="U136" s="19" t="str">
        <f aca="false">IF(ISNUMBER(L136),IFERROR((L136-INDEX(Estadística!$I$6:$I$25,MATCH(B136,Estadística!$A$6:$A$25,0)))^2,""),"")</f>
        <v/>
      </c>
      <c r="V136" s="19" t="str">
        <f aca="false">IF(ISNUMBER(P136),IF(P136&gt;1,1,0),"")</f>
        <v/>
      </c>
    </row>
    <row r="137" customFormat="false" ht="15" hidden="false" customHeight="false" outlineLevel="0" collapsed="false">
      <c r="A137" s="18" t="n">
        <v>132</v>
      </c>
      <c r="B137" s="18"/>
      <c r="C137" s="22"/>
      <c r="D137" s="18"/>
      <c r="E137" s="18"/>
      <c r="F137" s="18"/>
      <c r="G137" s="18"/>
      <c r="H137" s="20" t="str">
        <f aca="false">IF(OR(F137="",G137=""),"",F137*G137/1000)</f>
        <v/>
      </c>
      <c r="I137" s="23"/>
      <c r="J137" s="23"/>
      <c r="K137" s="18"/>
      <c r="L137" s="21" t="str">
        <f aca="false">IF(B137="","",IF(J137&lt;&gt;"",J137,IF(AND(N(I137)&gt;0,N(H137)&gt;0),I137/H137,"")))</f>
        <v/>
      </c>
      <c r="M137" s="19" t="str">
        <f aca="false">IF(B137="","",IFERROR(INDEX(GES!$E$6:$E$25,MATCH(B137,GES!$A$6:$A$25,0)),"GES?"))</f>
        <v/>
      </c>
      <c r="N137" s="21" t="str">
        <f aca="false">IF(AND(ISNUMBER(L137),ISNUMBER(K137),LEFT(M137,3)="CAR"),L137*K137/100,"")</f>
        <v/>
      </c>
      <c r="O137" s="21" t="str">
        <f aca="false">IF(B137="","",IFERROR(INDEX(GES!$U$6:$U$25,MATCH(B137,GES!$A$6:$A$25,0)),""))</f>
        <v/>
      </c>
      <c r="P137" s="24" t="str">
        <f aca="false">IF(AND(ISNUMBER(L137),ISNUMBER(O137)),L137/O137,"")</f>
        <v/>
      </c>
      <c r="Q137" s="25" t="str">
        <f aca="false">IF(NOT(ISNUMBER(L137)),"",IFERROR(IF(INDEX(Estadística!$L$6:$L$25,MATCH(B137,Estadística!$A$6:$A$25,0))&gt;INDEX(Estadística!$T$6:$T$25,MATCH(B137,Estadística!$A$6:$A$25,0)),IF(OR(L137&lt;INDEX(Estadística!$I$6:$I$25,MATCH(B137,Estadística!$A$6:$A$25,0))/2,L137&gt;2*INDEX(Estadística!$I$6:$I$25,MATCH(B137,Estadística!$A$6:$A$25,0))),"Fuera de ½MA–2MA: revisar","Dentro de ½MA–2MA"),"—"),""))</f>
        <v/>
      </c>
      <c r="R137" s="18"/>
      <c r="S137" s="19" t="str">
        <f aca="false">IF(ISNUMBER(L137),IF(L137&gt;0,LN(L137),""),"")</f>
        <v/>
      </c>
      <c r="T137" s="19" t="str">
        <f aca="false">IF(ISNUMBER(S137),IFERROR((S137-LN(INDEX(Estadística!$K$6:$K$25,MATCH(B137,Estadística!$A$6:$A$25,0))))^2,""),"")</f>
        <v/>
      </c>
      <c r="U137" s="19" t="str">
        <f aca="false">IF(ISNUMBER(L137),IFERROR((L137-INDEX(Estadística!$I$6:$I$25,MATCH(B137,Estadística!$A$6:$A$25,0)))^2,""),"")</f>
        <v/>
      </c>
      <c r="V137" s="19" t="str">
        <f aca="false">IF(ISNUMBER(P137),IF(P137&gt;1,1,0),"")</f>
        <v/>
      </c>
    </row>
    <row r="138" customFormat="false" ht="15" hidden="false" customHeight="false" outlineLevel="0" collapsed="false">
      <c r="A138" s="18" t="n">
        <v>133</v>
      </c>
      <c r="B138" s="18"/>
      <c r="C138" s="22"/>
      <c r="D138" s="18"/>
      <c r="E138" s="18"/>
      <c r="F138" s="18"/>
      <c r="G138" s="18"/>
      <c r="H138" s="20" t="str">
        <f aca="false">IF(OR(F138="",G138=""),"",F138*G138/1000)</f>
        <v/>
      </c>
      <c r="I138" s="23"/>
      <c r="J138" s="23"/>
      <c r="K138" s="18"/>
      <c r="L138" s="21" t="str">
        <f aca="false">IF(B138="","",IF(J138&lt;&gt;"",J138,IF(AND(N(I138)&gt;0,N(H138)&gt;0),I138/H138,"")))</f>
        <v/>
      </c>
      <c r="M138" s="19" t="str">
        <f aca="false">IF(B138="","",IFERROR(INDEX(GES!$E$6:$E$25,MATCH(B138,GES!$A$6:$A$25,0)),"GES?"))</f>
        <v/>
      </c>
      <c r="N138" s="21" t="str">
        <f aca="false">IF(AND(ISNUMBER(L138),ISNUMBER(K138),LEFT(M138,3)="CAR"),L138*K138/100,"")</f>
        <v/>
      </c>
      <c r="O138" s="21" t="str">
        <f aca="false">IF(B138="","",IFERROR(INDEX(GES!$U$6:$U$25,MATCH(B138,GES!$A$6:$A$25,0)),""))</f>
        <v/>
      </c>
      <c r="P138" s="24" t="str">
        <f aca="false">IF(AND(ISNUMBER(L138),ISNUMBER(O138)),L138/O138,"")</f>
        <v/>
      </c>
      <c r="Q138" s="25" t="str">
        <f aca="false">IF(NOT(ISNUMBER(L138)),"",IFERROR(IF(INDEX(Estadística!$L$6:$L$25,MATCH(B138,Estadística!$A$6:$A$25,0))&gt;INDEX(Estadística!$T$6:$T$25,MATCH(B138,Estadística!$A$6:$A$25,0)),IF(OR(L138&lt;INDEX(Estadística!$I$6:$I$25,MATCH(B138,Estadística!$A$6:$A$25,0))/2,L138&gt;2*INDEX(Estadística!$I$6:$I$25,MATCH(B138,Estadística!$A$6:$A$25,0))),"Fuera de ½MA–2MA: revisar","Dentro de ½MA–2MA"),"—"),""))</f>
        <v/>
      </c>
      <c r="R138" s="18"/>
      <c r="S138" s="19" t="str">
        <f aca="false">IF(ISNUMBER(L138),IF(L138&gt;0,LN(L138),""),"")</f>
        <v/>
      </c>
      <c r="T138" s="19" t="str">
        <f aca="false">IF(ISNUMBER(S138),IFERROR((S138-LN(INDEX(Estadística!$K$6:$K$25,MATCH(B138,Estadística!$A$6:$A$25,0))))^2,""),"")</f>
        <v/>
      </c>
      <c r="U138" s="19" t="str">
        <f aca="false">IF(ISNUMBER(L138),IFERROR((L138-INDEX(Estadística!$I$6:$I$25,MATCH(B138,Estadística!$A$6:$A$25,0)))^2,""),"")</f>
        <v/>
      </c>
      <c r="V138" s="19" t="str">
        <f aca="false">IF(ISNUMBER(P138),IF(P138&gt;1,1,0),"")</f>
        <v/>
      </c>
    </row>
    <row r="139" customFormat="false" ht="15" hidden="false" customHeight="false" outlineLevel="0" collapsed="false">
      <c r="A139" s="18" t="n">
        <v>134</v>
      </c>
      <c r="B139" s="18"/>
      <c r="C139" s="22"/>
      <c r="D139" s="18"/>
      <c r="E139" s="18"/>
      <c r="F139" s="18"/>
      <c r="G139" s="18"/>
      <c r="H139" s="20" t="str">
        <f aca="false">IF(OR(F139="",G139=""),"",F139*G139/1000)</f>
        <v/>
      </c>
      <c r="I139" s="23"/>
      <c r="J139" s="23"/>
      <c r="K139" s="18"/>
      <c r="L139" s="21" t="str">
        <f aca="false">IF(B139="","",IF(J139&lt;&gt;"",J139,IF(AND(N(I139)&gt;0,N(H139)&gt;0),I139/H139,"")))</f>
        <v/>
      </c>
      <c r="M139" s="19" t="str">
        <f aca="false">IF(B139="","",IFERROR(INDEX(GES!$E$6:$E$25,MATCH(B139,GES!$A$6:$A$25,0)),"GES?"))</f>
        <v/>
      </c>
      <c r="N139" s="21" t="str">
        <f aca="false">IF(AND(ISNUMBER(L139),ISNUMBER(K139),LEFT(M139,3)="CAR"),L139*K139/100,"")</f>
        <v/>
      </c>
      <c r="O139" s="21" t="str">
        <f aca="false">IF(B139="","",IFERROR(INDEX(GES!$U$6:$U$25,MATCH(B139,GES!$A$6:$A$25,0)),""))</f>
        <v/>
      </c>
      <c r="P139" s="24" t="str">
        <f aca="false">IF(AND(ISNUMBER(L139),ISNUMBER(O139)),L139/O139,"")</f>
        <v/>
      </c>
      <c r="Q139" s="25" t="str">
        <f aca="false">IF(NOT(ISNUMBER(L139)),"",IFERROR(IF(INDEX(Estadística!$L$6:$L$25,MATCH(B139,Estadística!$A$6:$A$25,0))&gt;INDEX(Estadística!$T$6:$T$25,MATCH(B139,Estadística!$A$6:$A$25,0)),IF(OR(L139&lt;INDEX(Estadística!$I$6:$I$25,MATCH(B139,Estadística!$A$6:$A$25,0))/2,L139&gt;2*INDEX(Estadística!$I$6:$I$25,MATCH(B139,Estadística!$A$6:$A$25,0))),"Fuera de ½MA–2MA: revisar","Dentro de ½MA–2MA"),"—"),""))</f>
        <v/>
      </c>
      <c r="R139" s="18"/>
      <c r="S139" s="19" t="str">
        <f aca="false">IF(ISNUMBER(L139),IF(L139&gt;0,LN(L139),""),"")</f>
        <v/>
      </c>
      <c r="T139" s="19" t="str">
        <f aca="false">IF(ISNUMBER(S139),IFERROR((S139-LN(INDEX(Estadística!$K$6:$K$25,MATCH(B139,Estadística!$A$6:$A$25,0))))^2,""),"")</f>
        <v/>
      </c>
      <c r="U139" s="19" t="str">
        <f aca="false">IF(ISNUMBER(L139),IFERROR((L139-INDEX(Estadística!$I$6:$I$25,MATCH(B139,Estadística!$A$6:$A$25,0)))^2,""),"")</f>
        <v/>
      </c>
      <c r="V139" s="19" t="str">
        <f aca="false">IF(ISNUMBER(P139),IF(P139&gt;1,1,0),"")</f>
        <v/>
      </c>
    </row>
    <row r="140" customFormat="false" ht="15" hidden="false" customHeight="false" outlineLevel="0" collapsed="false">
      <c r="A140" s="18" t="n">
        <v>135</v>
      </c>
      <c r="B140" s="18"/>
      <c r="C140" s="22"/>
      <c r="D140" s="18"/>
      <c r="E140" s="18"/>
      <c r="F140" s="18"/>
      <c r="G140" s="18"/>
      <c r="H140" s="20" t="str">
        <f aca="false">IF(OR(F140="",G140=""),"",F140*G140/1000)</f>
        <v/>
      </c>
      <c r="I140" s="23"/>
      <c r="J140" s="23"/>
      <c r="K140" s="18"/>
      <c r="L140" s="21" t="str">
        <f aca="false">IF(B140="","",IF(J140&lt;&gt;"",J140,IF(AND(N(I140)&gt;0,N(H140)&gt;0),I140/H140,"")))</f>
        <v/>
      </c>
      <c r="M140" s="19" t="str">
        <f aca="false">IF(B140="","",IFERROR(INDEX(GES!$E$6:$E$25,MATCH(B140,GES!$A$6:$A$25,0)),"GES?"))</f>
        <v/>
      </c>
      <c r="N140" s="21" t="str">
        <f aca="false">IF(AND(ISNUMBER(L140),ISNUMBER(K140),LEFT(M140,3)="CAR"),L140*K140/100,"")</f>
        <v/>
      </c>
      <c r="O140" s="21" t="str">
        <f aca="false">IF(B140="","",IFERROR(INDEX(GES!$U$6:$U$25,MATCH(B140,GES!$A$6:$A$25,0)),""))</f>
        <v/>
      </c>
      <c r="P140" s="24" t="str">
        <f aca="false">IF(AND(ISNUMBER(L140),ISNUMBER(O140)),L140/O140,"")</f>
        <v/>
      </c>
      <c r="Q140" s="25" t="str">
        <f aca="false">IF(NOT(ISNUMBER(L140)),"",IFERROR(IF(INDEX(Estadística!$L$6:$L$25,MATCH(B140,Estadística!$A$6:$A$25,0))&gt;INDEX(Estadística!$T$6:$T$25,MATCH(B140,Estadística!$A$6:$A$25,0)),IF(OR(L140&lt;INDEX(Estadística!$I$6:$I$25,MATCH(B140,Estadística!$A$6:$A$25,0))/2,L140&gt;2*INDEX(Estadística!$I$6:$I$25,MATCH(B140,Estadística!$A$6:$A$25,0))),"Fuera de ½MA–2MA: revisar","Dentro de ½MA–2MA"),"—"),""))</f>
        <v/>
      </c>
      <c r="R140" s="18"/>
      <c r="S140" s="19" t="str">
        <f aca="false">IF(ISNUMBER(L140),IF(L140&gt;0,LN(L140),""),"")</f>
        <v/>
      </c>
      <c r="T140" s="19" t="str">
        <f aca="false">IF(ISNUMBER(S140),IFERROR((S140-LN(INDEX(Estadística!$K$6:$K$25,MATCH(B140,Estadística!$A$6:$A$25,0))))^2,""),"")</f>
        <v/>
      </c>
      <c r="U140" s="19" t="str">
        <f aca="false">IF(ISNUMBER(L140),IFERROR((L140-INDEX(Estadística!$I$6:$I$25,MATCH(B140,Estadística!$A$6:$A$25,0)))^2,""),"")</f>
        <v/>
      </c>
      <c r="V140" s="19" t="str">
        <f aca="false">IF(ISNUMBER(P140),IF(P140&gt;1,1,0),"")</f>
        <v/>
      </c>
    </row>
    <row r="141" customFormat="false" ht="15" hidden="false" customHeight="false" outlineLevel="0" collapsed="false">
      <c r="A141" s="18" t="n">
        <v>136</v>
      </c>
      <c r="B141" s="18"/>
      <c r="C141" s="22"/>
      <c r="D141" s="18"/>
      <c r="E141" s="18"/>
      <c r="F141" s="18"/>
      <c r="G141" s="18"/>
      <c r="H141" s="20" t="str">
        <f aca="false">IF(OR(F141="",G141=""),"",F141*G141/1000)</f>
        <v/>
      </c>
      <c r="I141" s="23"/>
      <c r="J141" s="23"/>
      <c r="K141" s="18"/>
      <c r="L141" s="21" t="str">
        <f aca="false">IF(B141="","",IF(J141&lt;&gt;"",J141,IF(AND(N(I141)&gt;0,N(H141)&gt;0),I141/H141,"")))</f>
        <v/>
      </c>
      <c r="M141" s="19" t="str">
        <f aca="false">IF(B141="","",IFERROR(INDEX(GES!$E$6:$E$25,MATCH(B141,GES!$A$6:$A$25,0)),"GES?"))</f>
        <v/>
      </c>
      <c r="N141" s="21" t="str">
        <f aca="false">IF(AND(ISNUMBER(L141),ISNUMBER(K141),LEFT(M141,3)="CAR"),L141*K141/100,"")</f>
        <v/>
      </c>
      <c r="O141" s="21" t="str">
        <f aca="false">IF(B141="","",IFERROR(INDEX(GES!$U$6:$U$25,MATCH(B141,GES!$A$6:$A$25,0)),""))</f>
        <v/>
      </c>
      <c r="P141" s="24" t="str">
        <f aca="false">IF(AND(ISNUMBER(L141),ISNUMBER(O141)),L141/O141,"")</f>
        <v/>
      </c>
      <c r="Q141" s="25" t="str">
        <f aca="false">IF(NOT(ISNUMBER(L141)),"",IFERROR(IF(INDEX(Estadística!$L$6:$L$25,MATCH(B141,Estadística!$A$6:$A$25,0))&gt;INDEX(Estadística!$T$6:$T$25,MATCH(B141,Estadística!$A$6:$A$25,0)),IF(OR(L141&lt;INDEX(Estadística!$I$6:$I$25,MATCH(B141,Estadística!$A$6:$A$25,0))/2,L141&gt;2*INDEX(Estadística!$I$6:$I$25,MATCH(B141,Estadística!$A$6:$A$25,0))),"Fuera de ½MA–2MA: revisar","Dentro de ½MA–2MA"),"—"),""))</f>
        <v/>
      </c>
      <c r="R141" s="18"/>
      <c r="S141" s="19" t="str">
        <f aca="false">IF(ISNUMBER(L141),IF(L141&gt;0,LN(L141),""),"")</f>
        <v/>
      </c>
      <c r="T141" s="19" t="str">
        <f aca="false">IF(ISNUMBER(S141),IFERROR((S141-LN(INDEX(Estadística!$K$6:$K$25,MATCH(B141,Estadística!$A$6:$A$25,0))))^2,""),"")</f>
        <v/>
      </c>
      <c r="U141" s="19" t="str">
        <f aca="false">IF(ISNUMBER(L141),IFERROR((L141-INDEX(Estadística!$I$6:$I$25,MATCH(B141,Estadística!$A$6:$A$25,0)))^2,""),"")</f>
        <v/>
      </c>
      <c r="V141" s="19" t="str">
        <f aca="false">IF(ISNUMBER(P141),IF(P141&gt;1,1,0),"")</f>
        <v/>
      </c>
    </row>
    <row r="142" customFormat="false" ht="15" hidden="false" customHeight="false" outlineLevel="0" collapsed="false">
      <c r="A142" s="18" t="n">
        <v>137</v>
      </c>
      <c r="B142" s="18"/>
      <c r="C142" s="22"/>
      <c r="D142" s="18"/>
      <c r="E142" s="18"/>
      <c r="F142" s="18"/>
      <c r="G142" s="18"/>
      <c r="H142" s="20" t="str">
        <f aca="false">IF(OR(F142="",G142=""),"",F142*G142/1000)</f>
        <v/>
      </c>
      <c r="I142" s="23"/>
      <c r="J142" s="23"/>
      <c r="K142" s="18"/>
      <c r="L142" s="21" t="str">
        <f aca="false">IF(B142="","",IF(J142&lt;&gt;"",J142,IF(AND(N(I142)&gt;0,N(H142)&gt;0),I142/H142,"")))</f>
        <v/>
      </c>
      <c r="M142" s="19" t="str">
        <f aca="false">IF(B142="","",IFERROR(INDEX(GES!$E$6:$E$25,MATCH(B142,GES!$A$6:$A$25,0)),"GES?"))</f>
        <v/>
      </c>
      <c r="N142" s="21" t="str">
        <f aca="false">IF(AND(ISNUMBER(L142),ISNUMBER(K142),LEFT(M142,3)="CAR"),L142*K142/100,"")</f>
        <v/>
      </c>
      <c r="O142" s="21" t="str">
        <f aca="false">IF(B142="","",IFERROR(INDEX(GES!$U$6:$U$25,MATCH(B142,GES!$A$6:$A$25,0)),""))</f>
        <v/>
      </c>
      <c r="P142" s="24" t="str">
        <f aca="false">IF(AND(ISNUMBER(L142),ISNUMBER(O142)),L142/O142,"")</f>
        <v/>
      </c>
      <c r="Q142" s="25" t="str">
        <f aca="false">IF(NOT(ISNUMBER(L142)),"",IFERROR(IF(INDEX(Estadística!$L$6:$L$25,MATCH(B142,Estadística!$A$6:$A$25,0))&gt;INDEX(Estadística!$T$6:$T$25,MATCH(B142,Estadística!$A$6:$A$25,0)),IF(OR(L142&lt;INDEX(Estadística!$I$6:$I$25,MATCH(B142,Estadística!$A$6:$A$25,0))/2,L142&gt;2*INDEX(Estadística!$I$6:$I$25,MATCH(B142,Estadística!$A$6:$A$25,0))),"Fuera de ½MA–2MA: revisar","Dentro de ½MA–2MA"),"—"),""))</f>
        <v/>
      </c>
      <c r="R142" s="18"/>
      <c r="S142" s="19" t="str">
        <f aca="false">IF(ISNUMBER(L142),IF(L142&gt;0,LN(L142),""),"")</f>
        <v/>
      </c>
      <c r="T142" s="19" t="str">
        <f aca="false">IF(ISNUMBER(S142),IFERROR((S142-LN(INDEX(Estadística!$K$6:$K$25,MATCH(B142,Estadística!$A$6:$A$25,0))))^2,""),"")</f>
        <v/>
      </c>
      <c r="U142" s="19" t="str">
        <f aca="false">IF(ISNUMBER(L142),IFERROR((L142-INDEX(Estadística!$I$6:$I$25,MATCH(B142,Estadística!$A$6:$A$25,0)))^2,""),"")</f>
        <v/>
      </c>
      <c r="V142" s="19" t="str">
        <f aca="false">IF(ISNUMBER(P142),IF(P142&gt;1,1,0),"")</f>
        <v/>
      </c>
    </row>
    <row r="143" customFormat="false" ht="15" hidden="false" customHeight="false" outlineLevel="0" collapsed="false">
      <c r="A143" s="18" t="n">
        <v>138</v>
      </c>
      <c r="B143" s="18"/>
      <c r="C143" s="22"/>
      <c r="D143" s="18"/>
      <c r="E143" s="18"/>
      <c r="F143" s="18"/>
      <c r="G143" s="18"/>
      <c r="H143" s="20" t="str">
        <f aca="false">IF(OR(F143="",G143=""),"",F143*G143/1000)</f>
        <v/>
      </c>
      <c r="I143" s="23"/>
      <c r="J143" s="23"/>
      <c r="K143" s="18"/>
      <c r="L143" s="21" t="str">
        <f aca="false">IF(B143="","",IF(J143&lt;&gt;"",J143,IF(AND(N(I143)&gt;0,N(H143)&gt;0),I143/H143,"")))</f>
        <v/>
      </c>
      <c r="M143" s="19" t="str">
        <f aca="false">IF(B143="","",IFERROR(INDEX(GES!$E$6:$E$25,MATCH(B143,GES!$A$6:$A$25,0)),"GES?"))</f>
        <v/>
      </c>
      <c r="N143" s="21" t="str">
        <f aca="false">IF(AND(ISNUMBER(L143),ISNUMBER(K143),LEFT(M143,3)="CAR"),L143*K143/100,"")</f>
        <v/>
      </c>
      <c r="O143" s="21" t="str">
        <f aca="false">IF(B143="","",IFERROR(INDEX(GES!$U$6:$U$25,MATCH(B143,GES!$A$6:$A$25,0)),""))</f>
        <v/>
      </c>
      <c r="P143" s="24" t="str">
        <f aca="false">IF(AND(ISNUMBER(L143),ISNUMBER(O143)),L143/O143,"")</f>
        <v/>
      </c>
      <c r="Q143" s="25" t="str">
        <f aca="false">IF(NOT(ISNUMBER(L143)),"",IFERROR(IF(INDEX(Estadística!$L$6:$L$25,MATCH(B143,Estadística!$A$6:$A$25,0))&gt;INDEX(Estadística!$T$6:$T$25,MATCH(B143,Estadística!$A$6:$A$25,0)),IF(OR(L143&lt;INDEX(Estadística!$I$6:$I$25,MATCH(B143,Estadística!$A$6:$A$25,0))/2,L143&gt;2*INDEX(Estadística!$I$6:$I$25,MATCH(B143,Estadística!$A$6:$A$25,0))),"Fuera de ½MA–2MA: revisar","Dentro de ½MA–2MA"),"—"),""))</f>
        <v/>
      </c>
      <c r="R143" s="18"/>
      <c r="S143" s="19" t="str">
        <f aca="false">IF(ISNUMBER(L143),IF(L143&gt;0,LN(L143),""),"")</f>
        <v/>
      </c>
      <c r="T143" s="19" t="str">
        <f aca="false">IF(ISNUMBER(S143),IFERROR((S143-LN(INDEX(Estadística!$K$6:$K$25,MATCH(B143,Estadística!$A$6:$A$25,0))))^2,""),"")</f>
        <v/>
      </c>
      <c r="U143" s="19" t="str">
        <f aca="false">IF(ISNUMBER(L143),IFERROR((L143-INDEX(Estadística!$I$6:$I$25,MATCH(B143,Estadística!$A$6:$A$25,0)))^2,""),"")</f>
        <v/>
      </c>
      <c r="V143" s="19" t="str">
        <f aca="false">IF(ISNUMBER(P143),IF(P143&gt;1,1,0),"")</f>
        <v/>
      </c>
    </row>
    <row r="144" customFormat="false" ht="15" hidden="false" customHeight="false" outlineLevel="0" collapsed="false">
      <c r="A144" s="18" t="n">
        <v>139</v>
      </c>
      <c r="B144" s="18"/>
      <c r="C144" s="22"/>
      <c r="D144" s="18"/>
      <c r="E144" s="18"/>
      <c r="F144" s="18"/>
      <c r="G144" s="18"/>
      <c r="H144" s="20" t="str">
        <f aca="false">IF(OR(F144="",G144=""),"",F144*G144/1000)</f>
        <v/>
      </c>
      <c r="I144" s="23"/>
      <c r="J144" s="23"/>
      <c r="K144" s="18"/>
      <c r="L144" s="21" t="str">
        <f aca="false">IF(B144="","",IF(J144&lt;&gt;"",J144,IF(AND(N(I144)&gt;0,N(H144)&gt;0),I144/H144,"")))</f>
        <v/>
      </c>
      <c r="M144" s="19" t="str">
        <f aca="false">IF(B144="","",IFERROR(INDEX(GES!$E$6:$E$25,MATCH(B144,GES!$A$6:$A$25,0)),"GES?"))</f>
        <v/>
      </c>
      <c r="N144" s="21" t="str">
        <f aca="false">IF(AND(ISNUMBER(L144),ISNUMBER(K144),LEFT(M144,3)="CAR"),L144*K144/100,"")</f>
        <v/>
      </c>
      <c r="O144" s="21" t="str">
        <f aca="false">IF(B144="","",IFERROR(INDEX(GES!$U$6:$U$25,MATCH(B144,GES!$A$6:$A$25,0)),""))</f>
        <v/>
      </c>
      <c r="P144" s="24" t="str">
        <f aca="false">IF(AND(ISNUMBER(L144),ISNUMBER(O144)),L144/O144,"")</f>
        <v/>
      </c>
      <c r="Q144" s="25" t="str">
        <f aca="false">IF(NOT(ISNUMBER(L144)),"",IFERROR(IF(INDEX(Estadística!$L$6:$L$25,MATCH(B144,Estadística!$A$6:$A$25,0))&gt;INDEX(Estadística!$T$6:$T$25,MATCH(B144,Estadística!$A$6:$A$25,0)),IF(OR(L144&lt;INDEX(Estadística!$I$6:$I$25,MATCH(B144,Estadística!$A$6:$A$25,0))/2,L144&gt;2*INDEX(Estadística!$I$6:$I$25,MATCH(B144,Estadística!$A$6:$A$25,0))),"Fuera de ½MA–2MA: revisar","Dentro de ½MA–2MA"),"—"),""))</f>
        <v/>
      </c>
      <c r="R144" s="18"/>
      <c r="S144" s="19" t="str">
        <f aca="false">IF(ISNUMBER(L144),IF(L144&gt;0,LN(L144),""),"")</f>
        <v/>
      </c>
      <c r="T144" s="19" t="str">
        <f aca="false">IF(ISNUMBER(S144),IFERROR((S144-LN(INDEX(Estadística!$K$6:$K$25,MATCH(B144,Estadística!$A$6:$A$25,0))))^2,""),"")</f>
        <v/>
      </c>
      <c r="U144" s="19" t="str">
        <f aca="false">IF(ISNUMBER(L144),IFERROR((L144-INDEX(Estadística!$I$6:$I$25,MATCH(B144,Estadística!$A$6:$A$25,0)))^2,""),"")</f>
        <v/>
      </c>
      <c r="V144" s="19" t="str">
        <f aca="false">IF(ISNUMBER(P144),IF(P144&gt;1,1,0),"")</f>
        <v/>
      </c>
    </row>
    <row r="145" customFormat="false" ht="15" hidden="false" customHeight="false" outlineLevel="0" collapsed="false">
      <c r="A145" s="18" t="n">
        <v>140</v>
      </c>
      <c r="B145" s="18"/>
      <c r="C145" s="22"/>
      <c r="D145" s="18"/>
      <c r="E145" s="18"/>
      <c r="F145" s="18"/>
      <c r="G145" s="18"/>
      <c r="H145" s="20" t="str">
        <f aca="false">IF(OR(F145="",G145=""),"",F145*G145/1000)</f>
        <v/>
      </c>
      <c r="I145" s="23"/>
      <c r="J145" s="23"/>
      <c r="K145" s="18"/>
      <c r="L145" s="21" t="str">
        <f aca="false">IF(B145="","",IF(J145&lt;&gt;"",J145,IF(AND(N(I145)&gt;0,N(H145)&gt;0),I145/H145,"")))</f>
        <v/>
      </c>
      <c r="M145" s="19" t="str">
        <f aca="false">IF(B145="","",IFERROR(INDEX(GES!$E$6:$E$25,MATCH(B145,GES!$A$6:$A$25,0)),"GES?"))</f>
        <v/>
      </c>
      <c r="N145" s="21" t="str">
        <f aca="false">IF(AND(ISNUMBER(L145),ISNUMBER(K145),LEFT(M145,3)="CAR"),L145*K145/100,"")</f>
        <v/>
      </c>
      <c r="O145" s="21" t="str">
        <f aca="false">IF(B145="","",IFERROR(INDEX(GES!$U$6:$U$25,MATCH(B145,GES!$A$6:$A$25,0)),""))</f>
        <v/>
      </c>
      <c r="P145" s="24" t="str">
        <f aca="false">IF(AND(ISNUMBER(L145),ISNUMBER(O145)),L145/O145,"")</f>
        <v/>
      </c>
      <c r="Q145" s="25" t="str">
        <f aca="false">IF(NOT(ISNUMBER(L145)),"",IFERROR(IF(INDEX(Estadística!$L$6:$L$25,MATCH(B145,Estadística!$A$6:$A$25,0))&gt;INDEX(Estadística!$T$6:$T$25,MATCH(B145,Estadística!$A$6:$A$25,0)),IF(OR(L145&lt;INDEX(Estadística!$I$6:$I$25,MATCH(B145,Estadística!$A$6:$A$25,0))/2,L145&gt;2*INDEX(Estadística!$I$6:$I$25,MATCH(B145,Estadística!$A$6:$A$25,0))),"Fuera de ½MA–2MA: revisar","Dentro de ½MA–2MA"),"—"),""))</f>
        <v/>
      </c>
      <c r="R145" s="18"/>
      <c r="S145" s="19" t="str">
        <f aca="false">IF(ISNUMBER(L145),IF(L145&gt;0,LN(L145),""),"")</f>
        <v/>
      </c>
      <c r="T145" s="19" t="str">
        <f aca="false">IF(ISNUMBER(S145),IFERROR((S145-LN(INDEX(Estadística!$K$6:$K$25,MATCH(B145,Estadística!$A$6:$A$25,0))))^2,""),"")</f>
        <v/>
      </c>
      <c r="U145" s="19" t="str">
        <f aca="false">IF(ISNUMBER(L145),IFERROR((L145-INDEX(Estadística!$I$6:$I$25,MATCH(B145,Estadística!$A$6:$A$25,0)))^2,""),"")</f>
        <v/>
      </c>
      <c r="V145" s="19" t="str">
        <f aca="false">IF(ISNUMBER(P145),IF(P145&gt;1,1,0),"")</f>
        <v/>
      </c>
    </row>
    <row r="146" customFormat="false" ht="15" hidden="false" customHeight="false" outlineLevel="0" collapsed="false">
      <c r="A146" s="18" t="n">
        <v>141</v>
      </c>
      <c r="B146" s="18"/>
      <c r="C146" s="22"/>
      <c r="D146" s="18"/>
      <c r="E146" s="18"/>
      <c r="F146" s="18"/>
      <c r="G146" s="18"/>
      <c r="H146" s="20" t="str">
        <f aca="false">IF(OR(F146="",G146=""),"",F146*G146/1000)</f>
        <v/>
      </c>
      <c r="I146" s="23"/>
      <c r="J146" s="23"/>
      <c r="K146" s="18"/>
      <c r="L146" s="21" t="str">
        <f aca="false">IF(B146="","",IF(J146&lt;&gt;"",J146,IF(AND(N(I146)&gt;0,N(H146)&gt;0),I146/H146,"")))</f>
        <v/>
      </c>
      <c r="M146" s="19" t="str">
        <f aca="false">IF(B146="","",IFERROR(INDEX(GES!$E$6:$E$25,MATCH(B146,GES!$A$6:$A$25,0)),"GES?"))</f>
        <v/>
      </c>
      <c r="N146" s="21" t="str">
        <f aca="false">IF(AND(ISNUMBER(L146),ISNUMBER(K146),LEFT(M146,3)="CAR"),L146*K146/100,"")</f>
        <v/>
      </c>
      <c r="O146" s="21" t="str">
        <f aca="false">IF(B146="","",IFERROR(INDEX(GES!$U$6:$U$25,MATCH(B146,GES!$A$6:$A$25,0)),""))</f>
        <v/>
      </c>
      <c r="P146" s="24" t="str">
        <f aca="false">IF(AND(ISNUMBER(L146),ISNUMBER(O146)),L146/O146,"")</f>
        <v/>
      </c>
      <c r="Q146" s="25" t="str">
        <f aca="false">IF(NOT(ISNUMBER(L146)),"",IFERROR(IF(INDEX(Estadística!$L$6:$L$25,MATCH(B146,Estadística!$A$6:$A$25,0))&gt;INDEX(Estadística!$T$6:$T$25,MATCH(B146,Estadística!$A$6:$A$25,0)),IF(OR(L146&lt;INDEX(Estadística!$I$6:$I$25,MATCH(B146,Estadística!$A$6:$A$25,0))/2,L146&gt;2*INDEX(Estadística!$I$6:$I$25,MATCH(B146,Estadística!$A$6:$A$25,0))),"Fuera de ½MA–2MA: revisar","Dentro de ½MA–2MA"),"—"),""))</f>
        <v/>
      </c>
      <c r="R146" s="18"/>
      <c r="S146" s="19" t="str">
        <f aca="false">IF(ISNUMBER(L146),IF(L146&gt;0,LN(L146),""),"")</f>
        <v/>
      </c>
      <c r="T146" s="19" t="str">
        <f aca="false">IF(ISNUMBER(S146),IFERROR((S146-LN(INDEX(Estadística!$K$6:$K$25,MATCH(B146,Estadística!$A$6:$A$25,0))))^2,""),"")</f>
        <v/>
      </c>
      <c r="U146" s="19" t="str">
        <f aca="false">IF(ISNUMBER(L146),IFERROR((L146-INDEX(Estadística!$I$6:$I$25,MATCH(B146,Estadística!$A$6:$A$25,0)))^2,""),"")</f>
        <v/>
      </c>
      <c r="V146" s="19" t="str">
        <f aca="false">IF(ISNUMBER(P146),IF(P146&gt;1,1,0),"")</f>
        <v/>
      </c>
    </row>
    <row r="147" customFormat="false" ht="15" hidden="false" customHeight="false" outlineLevel="0" collapsed="false">
      <c r="A147" s="18" t="n">
        <v>142</v>
      </c>
      <c r="B147" s="18"/>
      <c r="C147" s="22"/>
      <c r="D147" s="18"/>
      <c r="E147" s="18"/>
      <c r="F147" s="18"/>
      <c r="G147" s="18"/>
      <c r="H147" s="20" t="str">
        <f aca="false">IF(OR(F147="",G147=""),"",F147*G147/1000)</f>
        <v/>
      </c>
      <c r="I147" s="23"/>
      <c r="J147" s="23"/>
      <c r="K147" s="18"/>
      <c r="L147" s="21" t="str">
        <f aca="false">IF(B147="","",IF(J147&lt;&gt;"",J147,IF(AND(N(I147)&gt;0,N(H147)&gt;0),I147/H147,"")))</f>
        <v/>
      </c>
      <c r="M147" s="19" t="str">
        <f aca="false">IF(B147="","",IFERROR(INDEX(GES!$E$6:$E$25,MATCH(B147,GES!$A$6:$A$25,0)),"GES?"))</f>
        <v/>
      </c>
      <c r="N147" s="21" t="str">
        <f aca="false">IF(AND(ISNUMBER(L147),ISNUMBER(K147),LEFT(M147,3)="CAR"),L147*K147/100,"")</f>
        <v/>
      </c>
      <c r="O147" s="21" t="str">
        <f aca="false">IF(B147="","",IFERROR(INDEX(GES!$U$6:$U$25,MATCH(B147,GES!$A$6:$A$25,0)),""))</f>
        <v/>
      </c>
      <c r="P147" s="24" t="str">
        <f aca="false">IF(AND(ISNUMBER(L147),ISNUMBER(O147)),L147/O147,"")</f>
        <v/>
      </c>
      <c r="Q147" s="25" t="str">
        <f aca="false">IF(NOT(ISNUMBER(L147)),"",IFERROR(IF(INDEX(Estadística!$L$6:$L$25,MATCH(B147,Estadística!$A$6:$A$25,0))&gt;INDEX(Estadística!$T$6:$T$25,MATCH(B147,Estadística!$A$6:$A$25,0)),IF(OR(L147&lt;INDEX(Estadística!$I$6:$I$25,MATCH(B147,Estadística!$A$6:$A$25,0))/2,L147&gt;2*INDEX(Estadística!$I$6:$I$25,MATCH(B147,Estadística!$A$6:$A$25,0))),"Fuera de ½MA–2MA: revisar","Dentro de ½MA–2MA"),"—"),""))</f>
        <v/>
      </c>
      <c r="R147" s="18"/>
      <c r="S147" s="19" t="str">
        <f aca="false">IF(ISNUMBER(L147),IF(L147&gt;0,LN(L147),""),"")</f>
        <v/>
      </c>
      <c r="T147" s="19" t="str">
        <f aca="false">IF(ISNUMBER(S147),IFERROR((S147-LN(INDEX(Estadística!$K$6:$K$25,MATCH(B147,Estadística!$A$6:$A$25,0))))^2,""),"")</f>
        <v/>
      </c>
      <c r="U147" s="19" t="str">
        <f aca="false">IF(ISNUMBER(L147),IFERROR((L147-INDEX(Estadística!$I$6:$I$25,MATCH(B147,Estadística!$A$6:$A$25,0)))^2,""),"")</f>
        <v/>
      </c>
      <c r="V147" s="19" t="str">
        <f aca="false">IF(ISNUMBER(P147),IF(P147&gt;1,1,0),"")</f>
        <v/>
      </c>
    </row>
    <row r="148" customFormat="false" ht="15" hidden="false" customHeight="false" outlineLevel="0" collapsed="false">
      <c r="A148" s="18" t="n">
        <v>143</v>
      </c>
      <c r="B148" s="18"/>
      <c r="C148" s="22"/>
      <c r="D148" s="18"/>
      <c r="E148" s="18"/>
      <c r="F148" s="18"/>
      <c r="G148" s="18"/>
      <c r="H148" s="20" t="str">
        <f aca="false">IF(OR(F148="",G148=""),"",F148*G148/1000)</f>
        <v/>
      </c>
      <c r="I148" s="23"/>
      <c r="J148" s="23"/>
      <c r="K148" s="18"/>
      <c r="L148" s="21" t="str">
        <f aca="false">IF(B148="","",IF(J148&lt;&gt;"",J148,IF(AND(N(I148)&gt;0,N(H148)&gt;0),I148/H148,"")))</f>
        <v/>
      </c>
      <c r="M148" s="19" t="str">
        <f aca="false">IF(B148="","",IFERROR(INDEX(GES!$E$6:$E$25,MATCH(B148,GES!$A$6:$A$25,0)),"GES?"))</f>
        <v/>
      </c>
      <c r="N148" s="21" t="str">
        <f aca="false">IF(AND(ISNUMBER(L148),ISNUMBER(K148),LEFT(M148,3)="CAR"),L148*K148/100,"")</f>
        <v/>
      </c>
      <c r="O148" s="21" t="str">
        <f aca="false">IF(B148="","",IFERROR(INDEX(GES!$U$6:$U$25,MATCH(B148,GES!$A$6:$A$25,0)),""))</f>
        <v/>
      </c>
      <c r="P148" s="24" t="str">
        <f aca="false">IF(AND(ISNUMBER(L148),ISNUMBER(O148)),L148/O148,"")</f>
        <v/>
      </c>
      <c r="Q148" s="25" t="str">
        <f aca="false">IF(NOT(ISNUMBER(L148)),"",IFERROR(IF(INDEX(Estadística!$L$6:$L$25,MATCH(B148,Estadística!$A$6:$A$25,0))&gt;INDEX(Estadística!$T$6:$T$25,MATCH(B148,Estadística!$A$6:$A$25,0)),IF(OR(L148&lt;INDEX(Estadística!$I$6:$I$25,MATCH(B148,Estadística!$A$6:$A$25,0))/2,L148&gt;2*INDEX(Estadística!$I$6:$I$25,MATCH(B148,Estadística!$A$6:$A$25,0))),"Fuera de ½MA–2MA: revisar","Dentro de ½MA–2MA"),"—"),""))</f>
        <v/>
      </c>
      <c r="R148" s="18"/>
      <c r="S148" s="19" t="str">
        <f aca="false">IF(ISNUMBER(L148),IF(L148&gt;0,LN(L148),""),"")</f>
        <v/>
      </c>
      <c r="T148" s="19" t="str">
        <f aca="false">IF(ISNUMBER(S148),IFERROR((S148-LN(INDEX(Estadística!$K$6:$K$25,MATCH(B148,Estadística!$A$6:$A$25,0))))^2,""),"")</f>
        <v/>
      </c>
      <c r="U148" s="19" t="str">
        <f aca="false">IF(ISNUMBER(L148),IFERROR((L148-INDEX(Estadística!$I$6:$I$25,MATCH(B148,Estadística!$A$6:$A$25,0)))^2,""),"")</f>
        <v/>
      </c>
      <c r="V148" s="19" t="str">
        <f aca="false">IF(ISNUMBER(P148),IF(P148&gt;1,1,0),"")</f>
        <v/>
      </c>
    </row>
    <row r="149" customFormat="false" ht="15" hidden="false" customHeight="false" outlineLevel="0" collapsed="false">
      <c r="A149" s="18" t="n">
        <v>144</v>
      </c>
      <c r="B149" s="18"/>
      <c r="C149" s="22"/>
      <c r="D149" s="18"/>
      <c r="E149" s="18"/>
      <c r="F149" s="18"/>
      <c r="G149" s="18"/>
      <c r="H149" s="20" t="str">
        <f aca="false">IF(OR(F149="",G149=""),"",F149*G149/1000)</f>
        <v/>
      </c>
      <c r="I149" s="23"/>
      <c r="J149" s="23"/>
      <c r="K149" s="18"/>
      <c r="L149" s="21" t="str">
        <f aca="false">IF(B149="","",IF(J149&lt;&gt;"",J149,IF(AND(N(I149)&gt;0,N(H149)&gt;0),I149/H149,"")))</f>
        <v/>
      </c>
      <c r="M149" s="19" t="str">
        <f aca="false">IF(B149="","",IFERROR(INDEX(GES!$E$6:$E$25,MATCH(B149,GES!$A$6:$A$25,0)),"GES?"))</f>
        <v/>
      </c>
      <c r="N149" s="21" t="str">
        <f aca="false">IF(AND(ISNUMBER(L149),ISNUMBER(K149),LEFT(M149,3)="CAR"),L149*K149/100,"")</f>
        <v/>
      </c>
      <c r="O149" s="21" t="str">
        <f aca="false">IF(B149="","",IFERROR(INDEX(GES!$U$6:$U$25,MATCH(B149,GES!$A$6:$A$25,0)),""))</f>
        <v/>
      </c>
      <c r="P149" s="24" t="str">
        <f aca="false">IF(AND(ISNUMBER(L149),ISNUMBER(O149)),L149/O149,"")</f>
        <v/>
      </c>
      <c r="Q149" s="25" t="str">
        <f aca="false">IF(NOT(ISNUMBER(L149)),"",IFERROR(IF(INDEX(Estadística!$L$6:$L$25,MATCH(B149,Estadística!$A$6:$A$25,0))&gt;INDEX(Estadística!$T$6:$T$25,MATCH(B149,Estadística!$A$6:$A$25,0)),IF(OR(L149&lt;INDEX(Estadística!$I$6:$I$25,MATCH(B149,Estadística!$A$6:$A$25,0))/2,L149&gt;2*INDEX(Estadística!$I$6:$I$25,MATCH(B149,Estadística!$A$6:$A$25,0))),"Fuera de ½MA–2MA: revisar","Dentro de ½MA–2MA"),"—"),""))</f>
        <v/>
      </c>
      <c r="R149" s="18"/>
      <c r="S149" s="19" t="str">
        <f aca="false">IF(ISNUMBER(L149),IF(L149&gt;0,LN(L149),""),"")</f>
        <v/>
      </c>
      <c r="T149" s="19" t="str">
        <f aca="false">IF(ISNUMBER(S149),IFERROR((S149-LN(INDEX(Estadística!$K$6:$K$25,MATCH(B149,Estadística!$A$6:$A$25,0))))^2,""),"")</f>
        <v/>
      </c>
      <c r="U149" s="19" t="str">
        <f aca="false">IF(ISNUMBER(L149),IFERROR((L149-INDEX(Estadística!$I$6:$I$25,MATCH(B149,Estadística!$A$6:$A$25,0)))^2,""),"")</f>
        <v/>
      </c>
      <c r="V149" s="19" t="str">
        <f aca="false">IF(ISNUMBER(P149),IF(P149&gt;1,1,0),"")</f>
        <v/>
      </c>
    </row>
    <row r="150" customFormat="false" ht="15" hidden="false" customHeight="false" outlineLevel="0" collapsed="false">
      <c r="A150" s="18" t="n">
        <v>145</v>
      </c>
      <c r="B150" s="18"/>
      <c r="C150" s="22"/>
      <c r="D150" s="18"/>
      <c r="E150" s="18"/>
      <c r="F150" s="18"/>
      <c r="G150" s="18"/>
      <c r="H150" s="20" t="str">
        <f aca="false">IF(OR(F150="",G150=""),"",F150*G150/1000)</f>
        <v/>
      </c>
      <c r="I150" s="23"/>
      <c r="J150" s="23"/>
      <c r="K150" s="18"/>
      <c r="L150" s="21" t="str">
        <f aca="false">IF(B150="","",IF(J150&lt;&gt;"",J150,IF(AND(N(I150)&gt;0,N(H150)&gt;0),I150/H150,"")))</f>
        <v/>
      </c>
      <c r="M150" s="19" t="str">
        <f aca="false">IF(B150="","",IFERROR(INDEX(GES!$E$6:$E$25,MATCH(B150,GES!$A$6:$A$25,0)),"GES?"))</f>
        <v/>
      </c>
      <c r="N150" s="21" t="str">
        <f aca="false">IF(AND(ISNUMBER(L150),ISNUMBER(K150),LEFT(M150,3)="CAR"),L150*K150/100,"")</f>
        <v/>
      </c>
      <c r="O150" s="21" t="str">
        <f aca="false">IF(B150="","",IFERROR(INDEX(GES!$U$6:$U$25,MATCH(B150,GES!$A$6:$A$25,0)),""))</f>
        <v/>
      </c>
      <c r="P150" s="24" t="str">
        <f aca="false">IF(AND(ISNUMBER(L150),ISNUMBER(O150)),L150/O150,"")</f>
        <v/>
      </c>
      <c r="Q150" s="25" t="str">
        <f aca="false">IF(NOT(ISNUMBER(L150)),"",IFERROR(IF(INDEX(Estadística!$L$6:$L$25,MATCH(B150,Estadística!$A$6:$A$25,0))&gt;INDEX(Estadística!$T$6:$T$25,MATCH(B150,Estadística!$A$6:$A$25,0)),IF(OR(L150&lt;INDEX(Estadística!$I$6:$I$25,MATCH(B150,Estadística!$A$6:$A$25,0))/2,L150&gt;2*INDEX(Estadística!$I$6:$I$25,MATCH(B150,Estadística!$A$6:$A$25,0))),"Fuera de ½MA–2MA: revisar","Dentro de ½MA–2MA"),"—"),""))</f>
        <v/>
      </c>
      <c r="R150" s="18"/>
      <c r="S150" s="19" t="str">
        <f aca="false">IF(ISNUMBER(L150),IF(L150&gt;0,LN(L150),""),"")</f>
        <v/>
      </c>
      <c r="T150" s="19" t="str">
        <f aca="false">IF(ISNUMBER(S150),IFERROR((S150-LN(INDEX(Estadística!$K$6:$K$25,MATCH(B150,Estadística!$A$6:$A$25,0))))^2,""),"")</f>
        <v/>
      </c>
      <c r="U150" s="19" t="str">
        <f aca="false">IF(ISNUMBER(L150),IFERROR((L150-INDEX(Estadística!$I$6:$I$25,MATCH(B150,Estadística!$A$6:$A$25,0)))^2,""),"")</f>
        <v/>
      </c>
      <c r="V150" s="19" t="str">
        <f aca="false">IF(ISNUMBER(P150),IF(P150&gt;1,1,0),"")</f>
        <v/>
      </c>
    </row>
    <row r="151" customFormat="false" ht="15" hidden="false" customHeight="false" outlineLevel="0" collapsed="false">
      <c r="A151" s="18" t="n">
        <v>146</v>
      </c>
      <c r="B151" s="18"/>
      <c r="C151" s="22"/>
      <c r="D151" s="18"/>
      <c r="E151" s="18"/>
      <c r="F151" s="18"/>
      <c r="G151" s="18"/>
      <c r="H151" s="20" t="str">
        <f aca="false">IF(OR(F151="",G151=""),"",F151*G151/1000)</f>
        <v/>
      </c>
      <c r="I151" s="23"/>
      <c r="J151" s="23"/>
      <c r="K151" s="18"/>
      <c r="L151" s="21" t="str">
        <f aca="false">IF(B151="","",IF(J151&lt;&gt;"",J151,IF(AND(N(I151)&gt;0,N(H151)&gt;0),I151/H151,"")))</f>
        <v/>
      </c>
      <c r="M151" s="19" t="str">
        <f aca="false">IF(B151="","",IFERROR(INDEX(GES!$E$6:$E$25,MATCH(B151,GES!$A$6:$A$25,0)),"GES?"))</f>
        <v/>
      </c>
      <c r="N151" s="21" t="str">
        <f aca="false">IF(AND(ISNUMBER(L151),ISNUMBER(K151),LEFT(M151,3)="CAR"),L151*K151/100,"")</f>
        <v/>
      </c>
      <c r="O151" s="21" t="str">
        <f aca="false">IF(B151="","",IFERROR(INDEX(GES!$U$6:$U$25,MATCH(B151,GES!$A$6:$A$25,0)),""))</f>
        <v/>
      </c>
      <c r="P151" s="24" t="str">
        <f aca="false">IF(AND(ISNUMBER(L151),ISNUMBER(O151)),L151/O151,"")</f>
        <v/>
      </c>
      <c r="Q151" s="25" t="str">
        <f aca="false">IF(NOT(ISNUMBER(L151)),"",IFERROR(IF(INDEX(Estadística!$L$6:$L$25,MATCH(B151,Estadística!$A$6:$A$25,0))&gt;INDEX(Estadística!$T$6:$T$25,MATCH(B151,Estadística!$A$6:$A$25,0)),IF(OR(L151&lt;INDEX(Estadística!$I$6:$I$25,MATCH(B151,Estadística!$A$6:$A$25,0))/2,L151&gt;2*INDEX(Estadística!$I$6:$I$25,MATCH(B151,Estadística!$A$6:$A$25,0))),"Fuera de ½MA–2MA: revisar","Dentro de ½MA–2MA"),"—"),""))</f>
        <v/>
      </c>
      <c r="R151" s="18"/>
      <c r="S151" s="19" t="str">
        <f aca="false">IF(ISNUMBER(L151),IF(L151&gt;0,LN(L151),""),"")</f>
        <v/>
      </c>
      <c r="T151" s="19" t="str">
        <f aca="false">IF(ISNUMBER(S151),IFERROR((S151-LN(INDEX(Estadística!$K$6:$K$25,MATCH(B151,Estadística!$A$6:$A$25,0))))^2,""),"")</f>
        <v/>
      </c>
      <c r="U151" s="19" t="str">
        <f aca="false">IF(ISNUMBER(L151),IFERROR((L151-INDEX(Estadística!$I$6:$I$25,MATCH(B151,Estadística!$A$6:$A$25,0)))^2,""),"")</f>
        <v/>
      </c>
      <c r="V151" s="19" t="str">
        <f aca="false">IF(ISNUMBER(P151),IF(P151&gt;1,1,0),"")</f>
        <v/>
      </c>
    </row>
    <row r="152" customFormat="false" ht="15" hidden="false" customHeight="false" outlineLevel="0" collapsed="false">
      <c r="A152" s="18" t="n">
        <v>147</v>
      </c>
      <c r="B152" s="18"/>
      <c r="C152" s="22"/>
      <c r="D152" s="18"/>
      <c r="E152" s="18"/>
      <c r="F152" s="18"/>
      <c r="G152" s="18"/>
      <c r="H152" s="20" t="str">
        <f aca="false">IF(OR(F152="",G152=""),"",F152*G152/1000)</f>
        <v/>
      </c>
      <c r="I152" s="23"/>
      <c r="J152" s="23"/>
      <c r="K152" s="18"/>
      <c r="L152" s="21" t="str">
        <f aca="false">IF(B152="","",IF(J152&lt;&gt;"",J152,IF(AND(N(I152)&gt;0,N(H152)&gt;0),I152/H152,"")))</f>
        <v/>
      </c>
      <c r="M152" s="19" t="str">
        <f aca="false">IF(B152="","",IFERROR(INDEX(GES!$E$6:$E$25,MATCH(B152,GES!$A$6:$A$25,0)),"GES?"))</f>
        <v/>
      </c>
      <c r="N152" s="21" t="str">
        <f aca="false">IF(AND(ISNUMBER(L152),ISNUMBER(K152),LEFT(M152,3)="CAR"),L152*K152/100,"")</f>
        <v/>
      </c>
      <c r="O152" s="21" t="str">
        <f aca="false">IF(B152="","",IFERROR(INDEX(GES!$U$6:$U$25,MATCH(B152,GES!$A$6:$A$25,0)),""))</f>
        <v/>
      </c>
      <c r="P152" s="24" t="str">
        <f aca="false">IF(AND(ISNUMBER(L152),ISNUMBER(O152)),L152/O152,"")</f>
        <v/>
      </c>
      <c r="Q152" s="25" t="str">
        <f aca="false">IF(NOT(ISNUMBER(L152)),"",IFERROR(IF(INDEX(Estadística!$L$6:$L$25,MATCH(B152,Estadística!$A$6:$A$25,0))&gt;INDEX(Estadística!$T$6:$T$25,MATCH(B152,Estadística!$A$6:$A$25,0)),IF(OR(L152&lt;INDEX(Estadística!$I$6:$I$25,MATCH(B152,Estadística!$A$6:$A$25,0))/2,L152&gt;2*INDEX(Estadística!$I$6:$I$25,MATCH(B152,Estadística!$A$6:$A$25,0))),"Fuera de ½MA–2MA: revisar","Dentro de ½MA–2MA"),"—"),""))</f>
        <v/>
      </c>
      <c r="R152" s="18"/>
      <c r="S152" s="19" t="str">
        <f aca="false">IF(ISNUMBER(L152),IF(L152&gt;0,LN(L152),""),"")</f>
        <v/>
      </c>
      <c r="T152" s="19" t="str">
        <f aca="false">IF(ISNUMBER(S152),IFERROR((S152-LN(INDEX(Estadística!$K$6:$K$25,MATCH(B152,Estadística!$A$6:$A$25,0))))^2,""),"")</f>
        <v/>
      </c>
      <c r="U152" s="19" t="str">
        <f aca="false">IF(ISNUMBER(L152),IFERROR((L152-INDEX(Estadística!$I$6:$I$25,MATCH(B152,Estadística!$A$6:$A$25,0)))^2,""),"")</f>
        <v/>
      </c>
      <c r="V152" s="19" t="str">
        <f aca="false">IF(ISNUMBER(P152),IF(P152&gt;1,1,0),"")</f>
        <v/>
      </c>
    </row>
    <row r="153" customFormat="false" ht="15" hidden="false" customHeight="false" outlineLevel="0" collapsed="false">
      <c r="A153" s="18" t="n">
        <v>148</v>
      </c>
      <c r="B153" s="18"/>
      <c r="C153" s="22"/>
      <c r="D153" s="18"/>
      <c r="E153" s="18"/>
      <c r="F153" s="18"/>
      <c r="G153" s="18"/>
      <c r="H153" s="20" t="str">
        <f aca="false">IF(OR(F153="",G153=""),"",F153*G153/1000)</f>
        <v/>
      </c>
      <c r="I153" s="23"/>
      <c r="J153" s="23"/>
      <c r="K153" s="18"/>
      <c r="L153" s="21" t="str">
        <f aca="false">IF(B153="","",IF(J153&lt;&gt;"",J153,IF(AND(N(I153)&gt;0,N(H153)&gt;0),I153/H153,"")))</f>
        <v/>
      </c>
      <c r="M153" s="19" t="str">
        <f aca="false">IF(B153="","",IFERROR(INDEX(GES!$E$6:$E$25,MATCH(B153,GES!$A$6:$A$25,0)),"GES?"))</f>
        <v/>
      </c>
      <c r="N153" s="21" t="str">
        <f aca="false">IF(AND(ISNUMBER(L153),ISNUMBER(K153),LEFT(M153,3)="CAR"),L153*K153/100,"")</f>
        <v/>
      </c>
      <c r="O153" s="21" t="str">
        <f aca="false">IF(B153="","",IFERROR(INDEX(GES!$U$6:$U$25,MATCH(B153,GES!$A$6:$A$25,0)),""))</f>
        <v/>
      </c>
      <c r="P153" s="24" t="str">
        <f aca="false">IF(AND(ISNUMBER(L153),ISNUMBER(O153)),L153/O153,"")</f>
        <v/>
      </c>
      <c r="Q153" s="25" t="str">
        <f aca="false">IF(NOT(ISNUMBER(L153)),"",IFERROR(IF(INDEX(Estadística!$L$6:$L$25,MATCH(B153,Estadística!$A$6:$A$25,0))&gt;INDEX(Estadística!$T$6:$T$25,MATCH(B153,Estadística!$A$6:$A$25,0)),IF(OR(L153&lt;INDEX(Estadística!$I$6:$I$25,MATCH(B153,Estadística!$A$6:$A$25,0))/2,L153&gt;2*INDEX(Estadística!$I$6:$I$25,MATCH(B153,Estadística!$A$6:$A$25,0))),"Fuera de ½MA–2MA: revisar","Dentro de ½MA–2MA"),"—"),""))</f>
        <v/>
      </c>
      <c r="R153" s="18"/>
      <c r="S153" s="19" t="str">
        <f aca="false">IF(ISNUMBER(L153),IF(L153&gt;0,LN(L153),""),"")</f>
        <v/>
      </c>
      <c r="T153" s="19" t="str">
        <f aca="false">IF(ISNUMBER(S153),IFERROR((S153-LN(INDEX(Estadística!$K$6:$K$25,MATCH(B153,Estadística!$A$6:$A$25,0))))^2,""),"")</f>
        <v/>
      </c>
      <c r="U153" s="19" t="str">
        <f aca="false">IF(ISNUMBER(L153),IFERROR((L153-INDEX(Estadística!$I$6:$I$25,MATCH(B153,Estadística!$A$6:$A$25,0)))^2,""),"")</f>
        <v/>
      </c>
      <c r="V153" s="19" t="str">
        <f aca="false">IF(ISNUMBER(P153),IF(P153&gt;1,1,0),"")</f>
        <v/>
      </c>
    </row>
    <row r="154" customFormat="false" ht="15" hidden="false" customHeight="false" outlineLevel="0" collapsed="false">
      <c r="A154" s="18" t="n">
        <v>149</v>
      </c>
      <c r="B154" s="18"/>
      <c r="C154" s="22"/>
      <c r="D154" s="18"/>
      <c r="E154" s="18"/>
      <c r="F154" s="18"/>
      <c r="G154" s="18"/>
      <c r="H154" s="20" t="str">
        <f aca="false">IF(OR(F154="",G154=""),"",F154*G154/1000)</f>
        <v/>
      </c>
      <c r="I154" s="23"/>
      <c r="J154" s="23"/>
      <c r="K154" s="18"/>
      <c r="L154" s="21" t="str">
        <f aca="false">IF(B154="","",IF(J154&lt;&gt;"",J154,IF(AND(N(I154)&gt;0,N(H154)&gt;0),I154/H154,"")))</f>
        <v/>
      </c>
      <c r="M154" s="19" t="str">
        <f aca="false">IF(B154="","",IFERROR(INDEX(GES!$E$6:$E$25,MATCH(B154,GES!$A$6:$A$25,0)),"GES?"))</f>
        <v/>
      </c>
      <c r="N154" s="21" t="str">
        <f aca="false">IF(AND(ISNUMBER(L154),ISNUMBER(K154),LEFT(M154,3)="CAR"),L154*K154/100,"")</f>
        <v/>
      </c>
      <c r="O154" s="21" t="str">
        <f aca="false">IF(B154="","",IFERROR(INDEX(GES!$U$6:$U$25,MATCH(B154,GES!$A$6:$A$25,0)),""))</f>
        <v/>
      </c>
      <c r="P154" s="24" t="str">
        <f aca="false">IF(AND(ISNUMBER(L154),ISNUMBER(O154)),L154/O154,"")</f>
        <v/>
      </c>
      <c r="Q154" s="25" t="str">
        <f aca="false">IF(NOT(ISNUMBER(L154)),"",IFERROR(IF(INDEX(Estadística!$L$6:$L$25,MATCH(B154,Estadística!$A$6:$A$25,0))&gt;INDEX(Estadística!$T$6:$T$25,MATCH(B154,Estadística!$A$6:$A$25,0)),IF(OR(L154&lt;INDEX(Estadística!$I$6:$I$25,MATCH(B154,Estadística!$A$6:$A$25,0))/2,L154&gt;2*INDEX(Estadística!$I$6:$I$25,MATCH(B154,Estadística!$A$6:$A$25,0))),"Fuera de ½MA–2MA: revisar","Dentro de ½MA–2MA"),"—"),""))</f>
        <v/>
      </c>
      <c r="R154" s="18"/>
      <c r="S154" s="19" t="str">
        <f aca="false">IF(ISNUMBER(L154),IF(L154&gt;0,LN(L154),""),"")</f>
        <v/>
      </c>
      <c r="T154" s="19" t="str">
        <f aca="false">IF(ISNUMBER(S154),IFERROR((S154-LN(INDEX(Estadística!$K$6:$K$25,MATCH(B154,Estadística!$A$6:$A$25,0))))^2,""),"")</f>
        <v/>
      </c>
      <c r="U154" s="19" t="str">
        <f aca="false">IF(ISNUMBER(L154),IFERROR((L154-INDEX(Estadística!$I$6:$I$25,MATCH(B154,Estadística!$A$6:$A$25,0)))^2,""),"")</f>
        <v/>
      </c>
      <c r="V154" s="19" t="str">
        <f aca="false">IF(ISNUMBER(P154),IF(P154&gt;1,1,0),"")</f>
        <v/>
      </c>
    </row>
    <row r="155" customFormat="false" ht="15" hidden="false" customHeight="false" outlineLevel="0" collapsed="false">
      <c r="A155" s="18" t="n">
        <v>150</v>
      </c>
      <c r="B155" s="18"/>
      <c r="C155" s="22"/>
      <c r="D155" s="18"/>
      <c r="E155" s="18"/>
      <c r="F155" s="18"/>
      <c r="G155" s="18"/>
      <c r="H155" s="20" t="str">
        <f aca="false">IF(OR(F155="",G155=""),"",F155*G155/1000)</f>
        <v/>
      </c>
      <c r="I155" s="23"/>
      <c r="J155" s="23"/>
      <c r="K155" s="18"/>
      <c r="L155" s="21" t="str">
        <f aca="false">IF(B155="","",IF(J155&lt;&gt;"",J155,IF(AND(N(I155)&gt;0,N(H155)&gt;0),I155/H155,"")))</f>
        <v/>
      </c>
      <c r="M155" s="19" t="str">
        <f aca="false">IF(B155="","",IFERROR(INDEX(GES!$E$6:$E$25,MATCH(B155,GES!$A$6:$A$25,0)),"GES?"))</f>
        <v/>
      </c>
      <c r="N155" s="21" t="str">
        <f aca="false">IF(AND(ISNUMBER(L155),ISNUMBER(K155),LEFT(M155,3)="CAR"),L155*K155/100,"")</f>
        <v/>
      </c>
      <c r="O155" s="21" t="str">
        <f aca="false">IF(B155="","",IFERROR(INDEX(GES!$U$6:$U$25,MATCH(B155,GES!$A$6:$A$25,0)),""))</f>
        <v/>
      </c>
      <c r="P155" s="24" t="str">
        <f aca="false">IF(AND(ISNUMBER(L155),ISNUMBER(O155)),L155/O155,"")</f>
        <v/>
      </c>
      <c r="Q155" s="25" t="str">
        <f aca="false">IF(NOT(ISNUMBER(L155)),"",IFERROR(IF(INDEX(Estadística!$L$6:$L$25,MATCH(B155,Estadística!$A$6:$A$25,0))&gt;INDEX(Estadística!$T$6:$T$25,MATCH(B155,Estadística!$A$6:$A$25,0)),IF(OR(L155&lt;INDEX(Estadística!$I$6:$I$25,MATCH(B155,Estadística!$A$6:$A$25,0))/2,L155&gt;2*INDEX(Estadística!$I$6:$I$25,MATCH(B155,Estadística!$A$6:$A$25,0))),"Fuera de ½MA–2MA: revisar","Dentro de ½MA–2MA"),"—"),""))</f>
        <v/>
      </c>
      <c r="R155" s="18"/>
      <c r="S155" s="19" t="str">
        <f aca="false">IF(ISNUMBER(L155),IF(L155&gt;0,LN(L155),""),"")</f>
        <v/>
      </c>
      <c r="T155" s="19" t="str">
        <f aca="false">IF(ISNUMBER(S155),IFERROR((S155-LN(INDEX(Estadística!$K$6:$K$25,MATCH(B155,Estadística!$A$6:$A$25,0))))^2,""),"")</f>
        <v/>
      </c>
      <c r="U155" s="19" t="str">
        <f aca="false">IF(ISNUMBER(L155),IFERROR((L155-INDEX(Estadística!$I$6:$I$25,MATCH(B155,Estadística!$A$6:$A$25,0)))^2,""),"")</f>
        <v/>
      </c>
      <c r="V155" s="19" t="str">
        <f aca="false">IF(ISNUMBER(P155),IF(P155&gt;1,1,0),"")</f>
        <v/>
      </c>
    </row>
    <row r="156" customFormat="false" ht="15" hidden="false" customHeight="false" outlineLevel="0" collapsed="false">
      <c r="A156" s="18" t="n">
        <v>151</v>
      </c>
      <c r="B156" s="18"/>
      <c r="C156" s="22"/>
      <c r="D156" s="18"/>
      <c r="E156" s="18"/>
      <c r="F156" s="18"/>
      <c r="G156" s="18"/>
      <c r="H156" s="20" t="str">
        <f aca="false">IF(OR(F156="",G156=""),"",F156*G156/1000)</f>
        <v/>
      </c>
      <c r="I156" s="23"/>
      <c r="J156" s="23"/>
      <c r="K156" s="18"/>
      <c r="L156" s="21" t="str">
        <f aca="false">IF(B156="","",IF(J156&lt;&gt;"",J156,IF(AND(N(I156)&gt;0,N(H156)&gt;0),I156/H156,"")))</f>
        <v/>
      </c>
      <c r="M156" s="19" t="str">
        <f aca="false">IF(B156="","",IFERROR(INDEX(GES!$E$6:$E$25,MATCH(B156,GES!$A$6:$A$25,0)),"GES?"))</f>
        <v/>
      </c>
      <c r="N156" s="21" t="str">
        <f aca="false">IF(AND(ISNUMBER(L156),ISNUMBER(K156),LEFT(M156,3)="CAR"),L156*K156/100,"")</f>
        <v/>
      </c>
      <c r="O156" s="21" t="str">
        <f aca="false">IF(B156="","",IFERROR(INDEX(GES!$U$6:$U$25,MATCH(B156,GES!$A$6:$A$25,0)),""))</f>
        <v/>
      </c>
      <c r="P156" s="24" t="str">
        <f aca="false">IF(AND(ISNUMBER(L156),ISNUMBER(O156)),L156/O156,"")</f>
        <v/>
      </c>
      <c r="Q156" s="25" t="str">
        <f aca="false">IF(NOT(ISNUMBER(L156)),"",IFERROR(IF(INDEX(Estadística!$L$6:$L$25,MATCH(B156,Estadística!$A$6:$A$25,0))&gt;INDEX(Estadística!$T$6:$T$25,MATCH(B156,Estadística!$A$6:$A$25,0)),IF(OR(L156&lt;INDEX(Estadística!$I$6:$I$25,MATCH(B156,Estadística!$A$6:$A$25,0))/2,L156&gt;2*INDEX(Estadística!$I$6:$I$25,MATCH(B156,Estadística!$A$6:$A$25,0))),"Fuera de ½MA–2MA: revisar","Dentro de ½MA–2MA"),"—"),""))</f>
        <v/>
      </c>
      <c r="R156" s="18"/>
      <c r="S156" s="19" t="str">
        <f aca="false">IF(ISNUMBER(L156),IF(L156&gt;0,LN(L156),""),"")</f>
        <v/>
      </c>
      <c r="T156" s="19" t="str">
        <f aca="false">IF(ISNUMBER(S156),IFERROR((S156-LN(INDEX(Estadística!$K$6:$K$25,MATCH(B156,Estadística!$A$6:$A$25,0))))^2,""),"")</f>
        <v/>
      </c>
      <c r="U156" s="19" t="str">
        <f aca="false">IF(ISNUMBER(L156),IFERROR((L156-INDEX(Estadística!$I$6:$I$25,MATCH(B156,Estadística!$A$6:$A$25,0)))^2,""),"")</f>
        <v/>
      </c>
      <c r="V156" s="19" t="str">
        <f aca="false">IF(ISNUMBER(P156),IF(P156&gt;1,1,0),"")</f>
        <v/>
      </c>
    </row>
    <row r="157" customFormat="false" ht="15" hidden="false" customHeight="false" outlineLevel="0" collapsed="false">
      <c r="A157" s="18" t="n">
        <v>152</v>
      </c>
      <c r="B157" s="18"/>
      <c r="C157" s="22"/>
      <c r="D157" s="18"/>
      <c r="E157" s="18"/>
      <c r="F157" s="18"/>
      <c r="G157" s="18"/>
      <c r="H157" s="20" t="str">
        <f aca="false">IF(OR(F157="",G157=""),"",F157*G157/1000)</f>
        <v/>
      </c>
      <c r="I157" s="23"/>
      <c r="J157" s="23"/>
      <c r="K157" s="18"/>
      <c r="L157" s="21" t="str">
        <f aca="false">IF(B157="","",IF(J157&lt;&gt;"",J157,IF(AND(N(I157)&gt;0,N(H157)&gt;0),I157/H157,"")))</f>
        <v/>
      </c>
      <c r="M157" s="19" t="str">
        <f aca="false">IF(B157="","",IFERROR(INDEX(GES!$E$6:$E$25,MATCH(B157,GES!$A$6:$A$25,0)),"GES?"))</f>
        <v/>
      </c>
      <c r="N157" s="21" t="str">
        <f aca="false">IF(AND(ISNUMBER(L157),ISNUMBER(K157),LEFT(M157,3)="CAR"),L157*K157/100,"")</f>
        <v/>
      </c>
      <c r="O157" s="21" t="str">
        <f aca="false">IF(B157="","",IFERROR(INDEX(GES!$U$6:$U$25,MATCH(B157,GES!$A$6:$A$25,0)),""))</f>
        <v/>
      </c>
      <c r="P157" s="24" t="str">
        <f aca="false">IF(AND(ISNUMBER(L157),ISNUMBER(O157)),L157/O157,"")</f>
        <v/>
      </c>
      <c r="Q157" s="25" t="str">
        <f aca="false">IF(NOT(ISNUMBER(L157)),"",IFERROR(IF(INDEX(Estadística!$L$6:$L$25,MATCH(B157,Estadística!$A$6:$A$25,0))&gt;INDEX(Estadística!$T$6:$T$25,MATCH(B157,Estadística!$A$6:$A$25,0)),IF(OR(L157&lt;INDEX(Estadística!$I$6:$I$25,MATCH(B157,Estadística!$A$6:$A$25,0))/2,L157&gt;2*INDEX(Estadística!$I$6:$I$25,MATCH(B157,Estadística!$A$6:$A$25,0))),"Fuera de ½MA–2MA: revisar","Dentro de ½MA–2MA"),"—"),""))</f>
        <v/>
      </c>
      <c r="R157" s="18"/>
      <c r="S157" s="19" t="str">
        <f aca="false">IF(ISNUMBER(L157),IF(L157&gt;0,LN(L157),""),"")</f>
        <v/>
      </c>
      <c r="T157" s="19" t="str">
        <f aca="false">IF(ISNUMBER(S157),IFERROR((S157-LN(INDEX(Estadística!$K$6:$K$25,MATCH(B157,Estadística!$A$6:$A$25,0))))^2,""),"")</f>
        <v/>
      </c>
      <c r="U157" s="19" t="str">
        <f aca="false">IF(ISNUMBER(L157),IFERROR((L157-INDEX(Estadística!$I$6:$I$25,MATCH(B157,Estadística!$A$6:$A$25,0)))^2,""),"")</f>
        <v/>
      </c>
      <c r="V157" s="19" t="str">
        <f aca="false">IF(ISNUMBER(P157),IF(P157&gt;1,1,0),"")</f>
        <v/>
      </c>
    </row>
    <row r="158" customFormat="false" ht="15" hidden="false" customHeight="false" outlineLevel="0" collapsed="false">
      <c r="A158" s="18" t="n">
        <v>153</v>
      </c>
      <c r="B158" s="18"/>
      <c r="C158" s="22"/>
      <c r="D158" s="18"/>
      <c r="E158" s="18"/>
      <c r="F158" s="18"/>
      <c r="G158" s="18"/>
      <c r="H158" s="20" t="str">
        <f aca="false">IF(OR(F158="",G158=""),"",F158*G158/1000)</f>
        <v/>
      </c>
      <c r="I158" s="23"/>
      <c r="J158" s="23"/>
      <c r="K158" s="18"/>
      <c r="L158" s="21" t="str">
        <f aca="false">IF(B158="","",IF(J158&lt;&gt;"",J158,IF(AND(N(I158)&gt;0,N(H158)&gt;0),I158/H158,"")))</f>
        <v/>
      </c>
      <c r="M158" s="19" t="str">
        <f aca="false">IF(B158="","",IFERROR(INDEX(GES!$E$6:$E$25,MATCH(B158,GES!$A$6:$A$25,0)),"GES?"))</f>
        <v/>
      </c>
      <c r="N158" s="21" t="str">
        <f aca="false">IF(AND(ISNUMBER(L158),ISNUMBER(K158),LEFT(M158,3)="CAR"),L158*K158/100,"")</f>
        <v/>
      </c>
      <c r="O158" s="21" t="str">
        <f aca="false">IF(B158="","",IFERROR(INDEX(GES!$U$6:$U$25,MATCH(B158,GES!$A$6:$A$25,0)),""))</f>
        <v/>
      </c>
      <c r="P158" s="24" t="str">
        <f aca="false">IF(AND(ISNUMBER(L158),ISNUMBER(O158)),L158/O158,"")</f>
        <v/>
      </c>
      <c r="Q158" s="25" t="str">
        <f aca="false">IF(NOT(ISNUMBER(L158)),"",IFERROR(IF(INDEX(Estadística!$L$6:$L$25,MATCH(B158,Estadística!$A$6:$A$25,0))&gt;INDEX(Estadística!$T$6:$T$25,MATCH(B158,Estadística!$A$6:$A$25,0)),IF(OR(L158&lt;INDEX(Estadística!$I$6:$I$25,MATCH(B158,Estadística!$A$6:$A$25,0))/2,L158&gt;2*INDEX(Estadística!$I$6:$I$25,MATCH(B158,Estadística!$A$6:$A$25,0))),"Fuera de ½MA–2MA: revisar","Dentro de ½MA–2MA"),"—"),""))</f>
        <v/>
      </c>
      <c r="R158" s="18"/>
      <c r="S158" s="19" t="str">
        <f aca="false">IF(ISNUMBER(L158),IF(L158&gt;0,LN(L158),""),"")</f>
        <v/>
      </c>
      <c r="T158" s="19" t="str">
        <f aca="false">IF(ISNUMBER(S158),IFERROR((S158-LN(INDEX(Estadística!$K$6:$K$25,MATCH(B158,Estadística!$A$6:$A$25,0))))^2,""),"")</f>
        <v/>
      </c>
      <c r="U158" s="19" t="str">
        <f aca="false">IF(ISNUMBER(L158),IFERROR((L158-INDEX(Estadística!$I$6:$I$25,MATCH(B158,Estadística!$A$6:$A$25,0)))^2,""),"")</f>
        <v/>
      </c>
      <c r="V158" s="19" t="str">
        <f aca="false">IF(ISNUMBER(P158),IF(P158&gt;1,1,0),"")</f>
        <v/>
      </c>
    </row>
    <row r="159" customFormat="false" ht="15" hidden="false" customHeight="false" outlineLevel="0" collapsed="false">
      <c r="A159" s="18" t="n">
        <v>154</v>
      </c>
      <c r="B159" s="18"/>
      <c r="C159" s="22"/>
      <c r="D159" s="18"/>
      <c r="E159" s="18"/>
      <c r="F159" s="18"/>
      <c r="G159" s="18"/>
      <c r="H159" s="20" t="str">
        <f aca="false">IF(OR(F159="",G159=""),"",F159*G159/1000)</f>
        <v/>
      </c>
      <c r="I159" s="23"/>
      <c r="J159" s="23"/>
      <c r="K159" s="18"/>
      <c r="L159" s="21" t="str">
        <f aca="false">IF(B159="","",IF(J159&lt;&gt;"",J159,IF(AND(N(I159)&gt;0,N(H159)&gt;0),I159/H159,"")))</f>
        <v/>
      </c>
      <c r="M159" s="19" t="str">
        <f aca="false">IF(B159="","",IFERROR(INDEX(GES!$E$6:$E$25,MATCH(B159,GES!$A$6:$A$25,0)),"GES?"))</f>
        <v/>
      </c>
      <c r="N159" s="21" t="str">
        <f aca="false">IF(AND(ISNUMBER(L159),ISNUMBER(K159),LEFT(M159,3)="CAR"),L159*K159/100,"")</f>
        <v/>
      </c>
      <c r="O159" s="21" t="str">
        <f aca="false">IF(B159="","",IFERROR(INDEX(GES!$U$6:$U$25,MATCH(B159,GES!$A$6:$A$25,0)),""))</f>
        <v/>
      </c>
      <c r="P159" s="24" t="str">
        <f aca="false">IF(AND(ISNUMBER(L159),ISNUMBER(O159)),L159/O159,"")</f>
        <v/>
      </c>
      <c r="Q159" s="25" t="str">
        <f aca="false">IF(NOT(ISNUMBER(L159)),"",IFERROR(IF(INDEX(Estadística!$L$6:$L$25,MATCH(B159,Estadística!$A$6:$A$25,0))&gt;INDEX(Estadística!$T$6:$T$25,MATCH(B159,Estadística!$A$6:$A$25,0)),IF(OR(L159&lt;INDEX(Estadística!$I$6:$I$25,MATCH(B159,Estadística!$A$6:$A$25,0))/2,L159&gt;2*INDEX(Estadística!$I$6:$I$25,MATCH(B159,Estadística!$A$6:$A$25,0))),"Fuera de ½MA–2MA: revisar","Dentro de ½MA–2MA"),"—"),""))</f>
        <v/>
      </c>
      <c r="R159" s="18"/>
      <c r="S159" s="19" t="str">
        <f aca="false">IF(ISNUMBER(L159),IF(L159&gt;0,LN(L159),""),"")</f>
        <v/>
      </c>
      <c r="T159" s="19" t="str">
        <f aca="false">IF(ISNUMBER(S159),IFERROR((S159-LN(INDEX(Estadística!$K$6:$K$25,MATCH(B159,Estadística!$A$6:$A$25,0))))^2,""),"")</f>
        <v/>
      </c>
      <c r="U159" s="19" t="str">
        <f aca="false">IF(ISNUMBER(L159),IFERROR((L159-INDEX(Estadística!$I$6:$I$25,MATCH(B159,Estadística!$A$6:$A$25,0)))^2,""),"")</f>
        <v/>
      </c>
      <c r="V159" s="19" t="str">
        <f aca="false">IF(ISNUMBER(P159),IF(P159&gt;1,1,0),"")</f>
        <v/>
      </c>
    </row>
    <row r="160" customFormat="false" ht="15" hidden="false" customHeight="false" outlineLevel="0" collapsed="false">
      <c r="A160" s="18" t="n">
        <v>155</v>
      </c>
      <c r="B160" s="18"/>
      <c r="C160" s="22"/>
      <c r="D160" s="18"/>
      <c r="E160" s="18"/>
      <c r="F160" s="18"/>
      <c r="G160" s="18"/>
      <c r="H160" s="20" t="str">
        <f aca="false">IF(OR(F160="",G160=""),"",F160*G160/1000)</f>
        <v/>
      </c>
      <c r="I160" s="23"/>
      <c r="J160" s="23"/>
      <c r="K160" s="18"/>
      <c r="L160" s="21" t="str">
        <f aca="false">IF(B160="","",IF(J160&lt;&gt;"",J160,IF(AND(N(I160)&gt;0,N(H160)&gt;0),I160/H160,"")))</f>
        <v/>
      </c>
      <c r="M160" s="19" t="str">
        <f aca="false">IF(B160="","",IFERROR(INDEX(GES!$E$6:$E$25,MATCH(B160,GES!$A$6:$A$25,0)),"GES?"))</f>
        <v/>
      </c>
      <c r="N160" s="21" t="str">
        <f aca="false">IF(AND(ISNUMBER(L160),ISNUMBER(K160),LEFT(M160,3)="CAR"),L160*K160/100,"")</f>
        <v/>
      </c>
      <c r="O160" s="21" t="str">
        <f aca="false">IF(B160="","",IFERROR(INDEX(GES!$U$6:$U$25,MATCH(B160,GES!$A$6:$A$25,0)),""))</f>
        <v/>
      </c>
      <c r="P160" s="24" t="str">
        <f aca="false">IF(AND(ISNUMBER(L160),ISNUMBER(O160)),L160/O160,"")</f>
        <v/>
      </c>
      <c r="Q160" s="25" t="str">
        <f aca="false">IF(NOT(ISNUMBER(L160)),"",IFERROR(IF(INDEX(Estadística!$L$6:$L$25,MATCH(B160,Estadística!$A$6:$A$25,0))&gt;INDEX(Estadística!$T$6:$T$25,MATCH(B160,Estadística!$A$6:$A$25,0)),IF(OR(L160&lt;INDEX(Estadística!$I$6:$I$25,MATCH(B160,Estadística!$A$6:$A$25,0))/2,L160&gt;2*INDEX(Estadística!$I$6:$I$25,MATCH(B160,Estadística!$A$6:$A$25,0))),"Fuera de ½MA–2MA: revisar","Dentro de ½MA–2MA"),"—"),""))</f>
        <v/>
      </c>
      <c r="R160" s="18"/>
      <c r="S160" s="19" t="str">
        <f aca="false">IF(ISNUMBER(L160),IF(L160&gt;0,LN(L160),""),"")</f>
        <v/>
      </c>
      <c r="T160" s="19" t="str">
        <f aca="false">IF(ISNUMBER(S160),IFERROR((S160-LN(INDEX(Estadística!$K$6:$K$25,MATCH(B160,Estadística!$A$6:$A$25,0))))^2,""),"")</f>
        <v/>
      </c>
      <c r="U160" s="19" t="str">
        <f aca="false">IF(ISNUMBER(L160),IFERROR((L160-INDEX(Estadística!$I$6:$I$25,MATCH(B160,Estadística!$A$6:$A$25,0)))^2,""),"")</f>
        <v/>
      </c>
      <c r="V160" s="19" t="str">
        <f aca="false">IF(ISNUMBER(P160),IF(P160&gt;1,1,0),"")</f>
        <v/>
      </c>
    </row>
    <row r="161" customFormat="false" ht="15" hidden="false" customHeight="false" outlineLevel="0" collapsed="false">
      <c r="A161" s="18" t="n">
        <v>156</v>
      </c>
      <c r="B161" s="18"/>
      <c r="C161" s="22"/>
      <c r="D161" s="18"/>
      <c r="E161" s="18"/>
      <c r="F161" s="18"/>
      <c r="G161" s="18"/>
      <c r="H161" s="20" t="str">
        <f aca="false">IF(OR(F161="",G161=""),"",F161*G161/1000)</f>
        <v/>
      </c>
      <c r="I161" s="23"/>
      <c r="J161" s="23"/>
      <c r="K161" s="18"/>
      <c r="L161" s="21" t="str">
        <f aca="false">IF(B161="","",IF(J161&lt;&gt;"",J161,IF(AND(N(I161)&gt;0,N(H161)&gt;0),I161/H161,"")))</f>
        <v/>
      </c>
      <c r="M161" s="19" t="str">
        <f aca="false">IF(B161="","",IFERROR(INDEX(GES!$E$6:$E$25,MATCH(B161,GES!$A$6:$A$25,0)),"GES?"))</f>
        <v/>
      </c>
      <c r="N161" s="21" t="str">
        <f aca="false">IF(AND(ISNUMBER(L161),ISNUMBER(K161),LEFT(M161,3)="CAR"),L161*K161/100,"")</f>
        <v/>
      </c>
      <c r="O161" s="21" t="str">
        <f aca="false">IF(B161="","",IFERROR(INDEX(GES!$U$6:$U$25,MATCH(B161,GES!$A$6:$A$25,0)),""))</f>
        <v/>
      </c>
      <c r="P161" s="24" t="str">
        <f aca="false">IF(AND(ISNUMBER(L161),ISNUMBER(O161)),L161/O161,"")</f>
        <v/>
      </c>
      <c r="Q161" s="25" t="str">
        <f aca="false">IF(NOT(ISNUMBER(L161)),"",IFERROR(IF(INDEX(Estadística!$L$6:$L$25,MATCH(B161,Estadística!$A$6:$A$25,0))&gt;INDEX(Estadística!$T$6:$T$25,MATCH(B161,Estadística!$A$6:$A$25,0)),IF(OR(L161&lt;INDEX(Estadística!$I$6:$I$25,MATCH(B161,Estadística!$A$6:$A$25,0))/2,L161&gt;2*INDEX(Estadística!$I$6:$I$25,MATCH(B161,Estadística!$A$6:$A$25,0))),"Fuera de ½MA–2MA: revisar","Dentro de ½MA–2MA"),"—"),""))</f>
        <v/>
      </c>
      <c r="R161" s="18"/>
      <c r="S161" s="19" t="str">
        <f aca="false">IF(ISNUMBER(L161),IF(L161&gt;0,LN(L161),""),"")</f>
        <v/>
      </c>
      <c r="T161" s="19" t="str">
        <f aca="false">IF(ISNUMBER(S161),IFERROR((S161-LN(INDEX(Estadística!$K$6:$K$25,MATCH(B161,Estadística!$A$6:$A$25,0))))^2,""),"")</f>
        <v/>
      </c>
      <c r="U161" s="19" t="str">
        <f aca="false">IF(ISNUMBER(L161),IFERROR((L161-INDEX(Estadística!$I$6:$I$25,MATCH(B161,Estadística!$A$6:$A$25,0)))^2,""),"")</f>
        <v/>
      </c>
      <c r="V161" s="19" t="str">
        <f aca="false">IF(ISNUMBER(P161),IF(P161&gt;1,1,0),"")</f>
        <v/>
      </c>
    </row>
    <row r="162" customFormat="false" ht="15" hidden="false" customHeight="false" outlineLevel="0" collapsed="false">
      <c r="A162" s="18" t="n">
        <v>157</v>
      </c>
      <c r="B162" s="18"/>
      <c r="C162" s="22"/>
      <c r="D162" s="18"/>
      <c r="E162" s="18"/>
      <c r="F162" s="18"/>
      <c r="G162" s="18"/>
      <c r="H162" s="20" t="str">
        <f aca="false">IF(OR(F162="",G162=""),"",F162*G162/1000)</f>
        <v/>
      </c>
      <c r="I162" s="23"/>
      <c r="J162" s="23"/>
      <c r="K162" s="18"/>
      <c r="L162" s="21" t="str">
        <f aca="false">IF(B162="","",IF(J162&lt;&gt;"",J162,IF(AND(N(I162)&gt;0,N(H162)&gt;0),I162/H162,"")))</f>
        <v/>
      </c>
      <c r="M162" s="19" t="str">
        <f aca="false">IF(B162="","",IFERROR(INDEX(GES!$E$6:$E$25,MATCH(B162,GES!$A$6:$A$25,0)),"GES?"))</f>
        <v/>
      </c>
      <c r="N162" s="21" t="str">
        <f aca="false">IF(AND(ISNUMBER(L162),ISNUMBER(K162),LEFT(M162,3)="CAR"),L162*K162/100,"")</f>
        <v/>
      </c>
      <c r="O162" s="21" t="str">
        <f aca="false">IF(B162="","",IFERROR(INDEX(GES!$U$6:$U$25,MATCH(B162,GES!$A$6:$A$25,0)),""))</f>
        <v/>
      </c>
      <c r="P162" s="24" t="str">
        <f aca="false">IF(AND(ISNUMBER(L162),ISNUMBER(O162)),L162/O162,"")</f>
        <v/>
      </c>
      <c r="Q162" s="25" t="str">
        <f aca="false">IF(NOT(ISNUMBER(L162)),"",IFERROR(IF(INDEX(Estadística!$L$6:$L$25,MATCH(B162,Estadística!$A$6:$A$25,0))&gt;INDEX(Estadística!$T$6:$T$25,MATCH(B162,Estadística!$A$6:$A$25,0)),IF(OR(L162&lt;INDEX(Estadística!$I$6:$I$25,MATCH(B162,Estadística!$A$6:$A$25,0))/2,L162&gt;2*INDEX(Estadística!$I$6:$I$25,MATCH(B162,Estadística!$A$6:$A$25,0))),"Fuera de ½MA–2MA: revisar","Dentro de ½MA–2MA"),"—"),""))</f>
        <v/>
      </c>
      <c r="R162" s="18"/>
      <c r="S162" s="19" t="str">
        <f aca="false">IF(ISNUMBER(L162),IF(L162&gt;0,LN(L162),""),"")</f>
        <v/>
      </c>
      <c r="T162" s="19" t="str">
        <f aca="false">IF(ISNUMBER(S162),IFERROR((S162-LN(INDEX(Estadística!$K$6:$K$25,MATCH(B162,Estadística!$A$6:$A$25,0))))^2,""),"")</f>
        <v/>
      </c>
      <c r="U162" s="19" t="str">
        <f aca="false">IF(ISNUMBER(L162),IFERROR((L162-INDEX(Estadística!$I$6:$I$25,MATCH(B162,Estadística!$A$6:$A$25,0)))^2,""),"")</f>
        <v/>
      </c>
      <c r="V162" s="19" t="str">
        <f aca="false">IF(ISNUMBER(P162),IF(P162&gt;1,1,0),"")</f>
        <v/>
      </c>
    </row>
    <row r="163" customFormat="false" ht="15" hidden="false" customHeight="false" outlineLevel="0" collapsed="false">
      <c r="A163" s="18" t="n">
        <v>158</v>
      </c>
      <c r="B163" s="18"/>
      <c r="C163" s="22"/>
      <c r="D163" s="18"/>
      <c r="E163" s="18"/>
      <c r="F163" s="18"/>
      <c r="G163" s="18"/>
      <c r="H163" s="20" t="str">
        <f aca="false">IF(OR(F163="",G163=""),"",F163*G163/1000)</f>
        <v/>
      </c>
      <c r="I163" s="23"/>
      <c r="J163" s="23"/>
      <c r="K163" s="18"/>
      <c r="L163" s="21" t="str">
        <f aca="false">IF(B163="","",IF(J163&lt;&gt;"",J163,IF(AND(N(I163)&gt;0,N(H163)&gt;0),I163/H163,"")))</f>
        <v/>
      </c>
      <c r="M163" s="19" t="str">
        <f aca="false">IF(B163="","",IFERROR(INDEX(GES!$E$6:$E$25,MATCH(B163,GES!$A$6:$A$25,0)),"GES?"))</f>
        <v/>
      </c>
      <c r="N163" s="21" t="str">
        <f aca="false">IF(AND(ISNUMBER(L163),ISNUMBER(K163),LEFT(M163,3)="CAR"),L163*K163/100,"")</f>
        <v/>
      </c>
      <c r="O163" s="21" t="str">
        <f aca="false">IF(B163="","",IFERROR(INDEX(GES!$U$6:$U$25,MATCH(B163,GES!$A$6:$A$25,0)),""))</f>
        <v/>
      </c>
      <c r="P163" s="24" t="str">
        <f aca="false">IF(AND(ISNUMBER(L163),ISNUMBER(O163)),L163/O163,"")</f>
        <v/>
      </c>
      <c r="Q163" s="25" t="str">
        <f aca="false">IF(NOT(ISNUMBER(L163)),"",IFERROR(IF(INDEX(Estadística!$L$6:$L$25,MATCH(B163,Estadística!$A$6:$A$25,0))&gt;INDEX(Estadística!$T$6:$T$25,MATCH(B163,Estadística!$A$6:$A$25,0)),IF(OR(L163&lt;INDEX(Estadística!$I$6:$I$25,MATCH(B163,Estadística!$A$6:$A$25,0))/2,L163&gt;2*INDEX(Estadística!$I$6:$I$25,MATCH(B163,Estadística!$A$6:$A$25,0))),"Fuera de ½MA–2MA: revisar","Dentro de ½MA–2MA"),"—"),""))</f>
        <v/>
      </c>
      <c r="R163" s="18"/>
      <c r="S163" s="19" t="str">
        <f aca="false">IF(ISNUMBER(L163),IF(L163&gt;0,LN(L163),""),"")</f>
        <v/>
      </c>
      <c r="T163" s="19" t="str">
        <f aca="false">IF(ISNUMBER(S163),IFERROR((S163-LN(INDEX(Estadística!$K$6:$K$25,MATCH(B163,Estadística!$A$6:$A$25,0))))^2,""),"")</f>
        <v/>
      </c>
      <c r="U163" s="19" t="str">
        <f aca="false">IF(ISNUMBER(L163),IFERROR((L163-INDEX(Estadística!$I$6:$I$25,MATCH(B163,Estadística!$A$6:$A$25,0)))^2,""),"")</f>
        <v/>
      </c>
      <c r="V163" s="19" t="str">
        <f aca="false">IF(ISNUMBER(P163),IF(P163&gt;1,1,0),"")</f>
        <v/>
      </c>
    </row>
    <row r="164" customFormat="false" ht="15" hidden="false" customHeight="false" outlineLevel="0" collapsed="false">
      <c r="A164" s="18" t="n">
        <v>159</v>
      </c>
      <c r="B164" s="18"/>
      <c r="C164" s="22"/>
      <c r="D164" s="18"/>
      <c r="E164" s="18"/>
      <c r="F164" s="18"/>
      <c r="G164" s="18"/>
      <c r="H164" s="20" t="str">
        <f aca="false">IF(OR(F164="",G164=""),"",F164*G164/1000)</f>
        <v/>
      </c>
      <c r="I164" s="23"/>
      <c r="J164" s="23"/>
      <c r="K164" s="18"/>
      <c r="L164" s="21" t="str">
        <f aca="false">IF(B164="","",IF(J164&lt;&gt;"",J164,IF(AND(N(I164)&gt;0,N(H164)&gt;0),I164/H164,"")))</f>
        <v/>
      </c>
      <c r="M164" s="19" t="str">
        <f aca="false">IF(B164="","",IFERROR(INDEX(GES!$E$6:$E$25,MATCH(B164,GES!$A$6:$A$25,0)),"GES?"))</f>
        <v/>
      </c>
      <c r="N164" s="21" t="str">
        <f aca="false">IF(AND(ISNUMBER(L164),ISNUMBER(K164),LEFT(M164,3)="CAR"),L164*K164/100,"")</f>
        <v/>
      </c>
      <c r="O164" s="21" t="str">
        <f aca="false">IF(B164="","",IFERROR(INDEX(GES!$U$6:$U$25,MATCH(B164,GES!$A$6:$A$25,0)),""))</f>
        <v/>
      </c>
      <c r="P164" s="24" t="str">
        <f aca="false">IF(AND(ISNUMBER(L164),ISNUMBER(O164)),L164/O164,"")</f>
        <v/>
      </c>
      <c r="Q164" s="25" t="str">
        <f aca="false">IF(NOT(ISNUMBER(L164)),"",IFERROR(IF(INDEX(Estadística!$L$6:$L$25,MATCH(B164,Estadística!$A$6:$A$25,0))&gt;INDEX(Estadística!$T$6:$T$25,MATCH(B164,Estadística!$A$6:$A$25,0)),IF(OR(L164&lt;INDEX(Estadística!$I$6:$I$25,MATCH(B164,Estadística!$A$6:$A$25,0))/2,L164&gt;2*INDEX(Estadística!$I$6:$I$25,MATCH(B164,Estadística!$A$6:$A$25,0))),"Fuera de ½MA–2MA: revisar","Dentro de ½MA–2MA"),"—"),""))</f>
        <v/>
      </c>
      <c r="R164" s="18"/>
      <c r="S164" s="19" t="str">
        <f aca="false">IF(ISNUMBER(L164),IF(L164&gt;0,LN(L164),""),"")</f>
        <v/>
      </c>
      <c r="T164" s="19" t="str">
        <f aca="false">IF(ISNUMBER(S164),IFERROR((S164-LN(INDEX(Estadística!$K$6:$K$25,MATCH(B164,Estadística!$A$6:$A$25,0))))^2,""),"")</f>
        <v/>
      </c>
      <c r="U164" s="19" t="str">
        <f aca="false">IF(ISNUMBER(L164),IFERROR((L164-INDEX(Estadística!$I$6:$I$25,MATCH(B164,Estadística!$A$6:$A$25,0)))^2,""),"")</f>
        <v/>
      </c>
      <c r="V164" s="19" t="str">
        <f aca="false">IF(ISNUMBER(P164),IF(P164&gt;1,1,0),"")</f>
        <v/>
      </c>
    </row>
    <row r="165" customFormat="false" ht="15" hidden="false" customHeight="false" outlineLevel="0" collapsed="false">
      <c r="A165" s="18" t="n">
        <v>160</v>
      </c>
      <c r="B165" s="18"/>
      <c r="C165" s="22"/>
      <c r="D165" s="18"/>
      <c r="E165" s="18"/>
      <c r="F165" s="18"/>
      <c r="G165" s="18"/>
      <c r="H165" s="20" t="str">
        <f aca="false">IF(OR(F165="",G165=""),"",F165*G165/1000)</f>
        <v/>
      </c>
      <c r="I165" s="23"/>
      <c r="J165" s="23"/>
      <c r="K165" s="18"/>
      <c r="L165" s="21" t="str">
        <f aca="false">IF(B165="","",IF(J165&lt;&gt;"",J165,IF(AND(N(I165)&gt;0,N(H165)&gt;0),I165/H165,"")))</f>
        <v/>
      </c>
      <c r="M165" s="19" t="str">
        <f aca="false">IF(B165="","",IFERROR(INDEX(GES!$E$6:$E$25,MATCH(B165,GES!$A$6:$A$25,0)),"GES?"))</f>
        <v/>
      </c>
      <c r="N165" s="21" t="str">
        <f aca="false">IF(AND(ISNUMBER(L165),ISNUMBER(K165),LEFT(M165,3)="CAR"),L165*K165/100,"")</f>
        <v/>
      </c>
      <c r="O165" s="21" t="str">
        <f aca="false">IF(B165="","",IFERROR(INDEX(GES!$U$6:$U$25,MATCH(B165,GES!$A$6:$A$25,0)),""))</f>
        <v/>
      </c>
      <c r="P165" s="24" t="str">
        <f aca="false">IF(AND(ISNUMBER(L165),ISNUMBER(O165)),L165/O165,"")</f>
        <v/>
      </c>
      <c r="Q165" s="25" t="str">
        <f aca="false">IF(NOT(ISNUMBER(L165)),"",IFERROR(IF(INDEX(Estadística!$L$6:$L$25,MATCH(B165,Estadística!$A$6:$A$25,0))&gt;INDEX(Estadística!$T$6:$T$25,MATCH(B165,Estadística!$A$6:$A$25,0)),IF(OR(L165&lt;INDEX(Estadística!$I$6:$I$25,MATCH(B165,Estadística!$A$6:$A$25,0))/2,L165&gt;2*INDEX(Estadística!$I$6:$I$25,MATCH(B165,Estadística!$A$6:$A$25,0))),"Fuera de ½MA–2MA: revisar","Dentro de ½MA–2MA"),"—"),""))</f>
        <v/>
      </c>
      <c r="R165" s="18"/>
      <c r="S165" s="19" t="str">
        <f aca="false">IF(ISNUMBER(L165),IF(L165&gt;0,LN(L165),""),"")</f>
        <v/>
      </c>
      <c r="T165" s="19" t="str">
        <f aca="false">IF(ISNUMBER(S165),IFERROR((S165-LN(INDEX(Estadística!$K$6:$K$25,MATCH(B165,Estadística!$A$6:$A$25,0))))^2,""),"")</f>
        <v/>
      </c>
      <c r="U165" s="19" t="str">
        <f aca="false">IF(ISNUMBER(L165),IFERROR((L165-INDEX(Estadística!$I$6:$I$25,MATCH(B165,Estadística!$A$6:$A$25,0)))^2,""),"")</f>
        <v/>
      </c>
      <c r="V165" s="19" t="str">
        <f aca="false">IF(ISNUMBER(P165),IF(P165&gt;1,1,0),"")</f>
        <v/>
      </c>
    </row>
    <row r="166" customFormat="false" ht="15" hidden="false" customHeight="false" outlineLevel="0" collapsed="false">
      <c r="A166" s="18" t="n">
        <v>161</v>
      </c>
      <c r="B166" s="18"/>
      <c r="C166" s="22"/>
      <c r="D166" s="18"/>
      <c r="E166" s="18"/>
      <c r="F166" s="18"/>
      <c r="G166" s="18"/>
      <c r="H166" s="20" t="str">
        <f aca="false">IF(OR(F166="",G166=""),"",F166*G166/1000)</f>
        <v/>
      </c>
      <c r="I166" s="23"/>
      <c r="J166" s="23"/>
      <c r="K166" s="18"/>
      <c r="L166" s="21" t="str">
        <f aca="false">IF(B166="","",IF(J166&lt;&gt;"",J166,IF(AND(N(I166)&gt;0,N(H166)&gt;0),I166/H166,"")))</f>
        <v/>
      </c>
      <c r="M166" s="19" t="str">
        <f aca="false">IF(B166="","",IFERROR(INDEX(GES!$E$6:$E$25,MATCH(B166,GES!$A$6:$A$25,0)),"GES?"))</f>
        <v/>
      </c>
      <c r="N166" s="21" t="str">
        <f aca="false">IF(AND(ISNUMBER(L166),ISNUMBER(K166),LEFT(M166,3)="CAR"),L166*K166/100,"")</f>
        <v/>
      </c>
      <c r="O166" s="21" t="str">
        <f aca="false">IF(B166="","",IFERROR(INDEX(GES!$U$6:$U$25,MATCH(B166,GES!$A$6:$A$25,0)),""))</f>
        <v/>
      </c>
      <c r="P166" s="24" t="str">
        <f aca="false">IF(AND(ISNUMBER(L166),ISNUMBER(O166)),L166/O166,"")</f>
        <v/>
      </c>
      <c r="Q166" s="25" t="str">
        <f aca="false">IF(NOT(ISNUMBER(L166)),"",IFERROR(IF(INDEX(Estadística!$L$6:$L$25,MATCH(B166,Estadística!$A$6:$A$25,0))&gt;INDEX(Estadística!$T$6:$T$25,MATCH(B166,Estadística!$A$6:$A$25,0)),IF(OR(L166&lt;INDEX(Estadística!$I$6:$I$25,MATCH(B166,Estadística!$A$6:$A$25,0))/2,L166&gt;2*INDEX(Estadística!$I$6:$I$25,MATCH(B166,Estadística!$A$6:$A$25,0))),"Fuera de ½MA–2MA: revisar","Dentro de ½MA–2MA"),"—"),""))</f>
        <v/>
      </c>
      <c r="R166" s="18"/>
      <c r="S166" s="19" t="str">
        <f aca="false">IF(ISNUMBER(L166),IF(L166&gt;0,LN(L166),""),"")</f>
        <v/>
      </c>
      <c r="T166" s="19" t="str">
        <f aca="false">IF(ISNUMBER(S166),IFERROR((S166-LN(INDEX(Estadística!$K$6:$K$25,MATCH(B166,Estadística!$A$6:$A$25,0))))^2,""),"")</f>
        <v/>
      </c>
      <c r="U166" s="19" t="str">
        <f aca="false">IF(ISNUMBER(L166),IFERROR((L166-INDEX(Estadística!$I$6:$I$25,MATCH(B166,Estadística!$A$6:$A$25,0)))^2,""),"")</f>
        <v/>
      </c>
      <c r="V166" s="19" t="str">
        <f aca="false">IF(ISNUMBER(P166),IF(P166&gt;1,1,0),"")</f>
        <v/>
      </c>
    </row>
    <row r="167" customFormat="false" ht="15" hidden="false" customHeight="false" outlineLevel="0" collapsed="false">
      <c r="A167" s="18" t="n">
        <v>162</v>
      </c>
      <c r="B167" s="18"/>
      <c r="C167" s="22"/>
      <c r="D167" s="18"/>
      <c r="E167" s="18"/>
      <c r="F167" s="18"/>
      <c r="G167" s="18"/>
      <c r="H167" s="20" t="str">
        <f aca="false">IF(OR(F167="",G167=""),"",F167*G167/1000)</f>
        <v/>
      </c>
      <c r="I167" s="23"/>
      <c r="J167" s="23"/>
      <c r="K167" s="18"/>
      <c r="L167" s="21" t="str">
        <f aca="false">IF(B167="","",IF(J167&lt;&gt;"",J167,IF(AND(N(I167)&gt;0,N(H167)&gt;0),I167/H167,"")))</f>
        <v/>
      </c>
      <c r="M167" s="19" t="str">
        <f aca="false">IF(B167="","",IFERROR(INDEX(GES!$E$6:$E$25,MATCH(B167,GES!$A$6:$A$25,0)),"GES?"))</f>
        <v/>
      </c>
      <c r="N167" s="21" t="str">
        <f aca="false">IF(AND(ISNUMBER(L167),ISNUMBER(K167),LEFT(M167,3)="CAR"),L167*K167/100,"")</f>
        <v/>
      </c>
      <c r="O167" s="21" t="str">
        <f aca="false">IF(B167="","",IFERROR(INDEX(GES!$U$6:$U$25,MATCH(B167,GES!$A$6:$A$25,0)),""))</f>
        <v/>
      </c>
      <c r="P167" s="24" t="str">
        <f aca="false">IF(AND(ISNUMBER(L167),ISNUMBER(O167)),L167/O167,"")</f>
        <v/>
      </c>
      <c r="Q167" s="25" t="str">
        <f aca="false">IF(NOT(ISNUMBER(L167)),"",IFERROR(IF(INDEX(Estadística!$L$6:$L$25,MATCH(B167,Estadística!$A$6:$A$25,0))&gt;INDEX(Estadística!$T$6:$T$25,MATCH(B167,Estadística!$A$6:$A$25,0)),IF(OR(L167&lt;INDEX(Estadística!$I$6:$I$25,MATCH(B167,Estadística!$A$6:$A$25,0))/2,L167&gt;2*INDEX(Estadística!$I$6:$I$25,MATCH(B167,Estadística!$A$6:$A$25,0))),"Fuera de ½MA–2MA: revisar","Dentro de ½MA–2MA"),"—"),""))</f>
        <v/>
      </c>
      <c r="R167" s="18"/>
      <c r="S167" s="19" t="str">
        <f aca="false">IF(ISNUMBER(L167),IF(L167&gt;0,LN(L167),""),"")</f>
        <v/>
      </c>
      <c r="T167" s="19" t="str">
        <f aca="false">IF(ISNUMBER(S167),IFERROR((S167-LN(INDEX(Estadística!$K$6:$K$25,MATCH(B167,Estadística!$A$6:$A$25,0))))^2,""),"")</f>
        <v/>
      </c>
      <c r="U167" s="19" t="str">
        <f aca="false">IF(ISNUMBER(L167),IFERROR((L167-INDEX(Estadística!$I$6:$I$25,MATCH(B167,Estadística!$A$6:$A$25,0)))^2,""),"")</f>
        <v/>
      </c>
      <c r="V167" s="19" t="str">
        <f aca="false">IF(ISNUMBER(P167),IF(P167&gt;1,1,0),"")</f>
        <v/>
      </c>
    </row>
    <row r="168" customFormat="false" ht="15" hidden="false" customHeight="false" outlineLevel="0" collapsed="false">
      <c r="A168" s="18" t="n">
        <v>163</v>
      </c>
      <c r="B168" s="18"/>
      <c r="C168" s="22"/>
      <c r="D168" s="18"/>
      <c r="E168" s="18"/>
      <c r="F168" s="18"/>
      <c r="G168" s="18"/>
      <c r="H168" s="20" t="str">
        <f aca="false">IF(OR(F168="",G168=""),"",F168*G168/1000)</f>
        <v/>
      </c>
      <c r="I168" s="23"/>
      <c r="J168" s="23"/>
      <c r="K168" s="18"/>
      <c r="L168" s="21" t="str">
        <f aca="false">IF(B168="","",IF(J168&lt;&gt;"",J168,IF(AND(N(I168)&gt;0,N(H168)&gt;0),I168/H168,"")))</f>
        <v/>
      </c>
      <c r="M168" s="19" t="str">
        <f aca="false">IF(B168="","",IFERROR(INDEX(GES!$E$6:$E$25,MATCH(B168,GES!$A$6:$A$25,0)),"GES?"))</f>
        <v/>
      </c>
      <c r="N168" s="21" t="str">
        <f aca="false">IF(AND(ISNUMBER(L168),ISNUMBER(K168),LEFT(M168,3)="CAR"),L168*K168/100,"")</f>
        <v/>
      </c>
      <c r="O168" s="21" t="str">
        <f aca="false">IF(B168="","",IFERROR(INDEX(GES!$U$6:$U$25,MATCH(B168,GES!$A$6:$A$25,0)),""))</f>
        <v/>
      </c>
      <c r="P168" s="24" t="str">
        <f aca="false">IF(AND(ISNUMBER(L168),ISNUMBER(O168)),L168/O168,"")</f>
        <v/>
      </c>
      <c r="Q168" s="25" t="str">
        <f aca="false">IF(NOT(ISNUMBER(L168)),"",IFERROR(IF(INDEX(Estadística!$L$6:$L$25,MATCH(B168,Estadística!$A$6:$A$25,0))&gt;INDEX(Estadística!$T$6:$T$25,MATCH(B168,Estadística!$A$6:$A$25,0)),IF(OR(L168&lt;INDEX(Estadística!$I$6:$I$25,MATCH(B168,Estadística!$A$6:$A$25,0))/2,L168&gt;2*INDEX(Estadística!$I$6:$I$25,MATCH(B168,Estadística!$A$6:$A$25,0))),"Fuera de ½MA–2MA: revisar","Dentro de ½MA–2MA"),"—"),""))</f>
        <v/>
      </c>
      <c r="R168" s="18"/>
      <c r="S168" s="19" t="str">
        <f aca="false">IF(ISNUMBER(L168),IF(L168&gt;0,LN(L168),""),"")</f>
        <v/>
      </c>
      <c r="T168" s="19" t="str">
        <f aca="false">IF(ISNUMBER(S168),IFERROR((S168-LN(INDEX(Estadística!$K$6:$K$25,MATCH(B168,Estadística!$A$6:$A$25,0))))^2,""),"")</f>
        <v/>
      </c>
      <c r="U168" s="19" t="str">
        <f aca="false">IF(ISNUMBER(L168),IFERROR((L168-INDEX(Estadística!$I$6:$I$25,MATCH(B168,Estadística!$A$6:$A$25,0)))^2,""),"")</f>
        <v/>
      </c>
      <c r="V168" s="19" t="str">
        <f aca="false">IF(ISNUMBER(P168),IF(P168&gt;1,1,0),"")</f>
        <v/>
      </c>
    </row>
    <row r="169" customFormat="false" ht="15" hidden="false" customHeight="false" outlineLevel="0" collapsed="false">
      <c r="A169" s="18" t="n">
        <v>164</v>
      </c>
      <c r="B169" s="18"/>
      <c r="C169" s="22"/>
      <c r="D169" s="18"/>
      <c r="E169" s="18"/>
      <c r="F169" s="18"/>
      <c r="G169" s="18"/>
      <c r="H169" s="20" t="str">
        <f aca="false">IF(OR(F169="",G169=""),"",F169*G169/1000)</f>
        <v/>
      </c>
      <c r="I169" s="23"/>
      <c r="J169" s="23"/>
      <c r="K169" s="18"/>
      <c r="L169" s="21" t="str">
        <f aca="false">IF(B169="","",IF(J169&lt;&gt;"",J169,IF(AND(N(I169)&gt;0,N(H169)&gt;0),I169/H169,"")))</f>
        <v/>
      </c>
      <c r="M169" s="19" t="str">
        <f aca="false">IF(B169="","",IFERROR(INDEX(GES!$E$6:$E$25,MATCH(B169,GES!$A$6:$A$25,0)),"GES?"))</f>
        <v/>
      </c>
      <c r="N169" s="21" t="str">
        <f aca="false">IF(AND(ISNUMBER(L169),ISNUMBER(K169),LEFT(M169,3)="CAR"),L169*K169/100,"")</f>
        <v/>
      </c>
      <c r="O169" s="21" t="str">
        <f aca="false">IF(B169="","",IFERROR(INDEX(GES!$U$6:$U$25,MATCH(B169,GES!$A$6:$A$25,0)),""))</f>
        <v/>
      </c>
      <c r="P169" s="24" t="str">
        <f aca="false">IF(AND(ISNUMBER(L169),ISNUMBER(O169)),L169/O169,"")</f>
        <v/>
      </c>
      <c r="Q169" s="25" t="str">
        <f aca="false">IF(NOT(ISNUMBER(L169)),"",IFERROR(IF(INDEX(Estadística!$L$6:$L$25,MATCH(B169,Estadística!$A$6:$A$25,0))&gt;INDEX(Estadística!$T$6:$T$25,MATCH(B169,Estadística!$A$6:$A$25,0)),IF(OR(L169&lt;INDEX(Estadística!$I$6:$I$25,MATCH(B169,Estadística!$A$6:$A$25,0))/2,L169&gt;2*INDEX(Estadística!$I$6:$I$25,MATCH(B169,Estadística!$A$6:$A$25,0))),"Fuera de ½MA–2MA: revisar","Dentro de ½MA–2MA"),"—"),""))</f>
        <v/>
      </c>
      <c r="R169" s="18"/>
      <c r="S169" s="19" t="str">
        <f aca="false">IF(ISNUMBER(L169),IF(L169&gt;0,LN(L169),""),"")</f>
        <v/>
      </c>
      <c r="T169" s="19" t="str">
        <f aca="false">IF(ISNUMBER(S169),IFERROR((S169-LN(INDEX(Estadística!$K$6:$K$25,MATCH(B169,Estadística!$A$6:$A$25,0))))^2,""),"")</f>
        <v/>
      </c>
      <c r="U169" s="19" t="str">
        <f aca="false">IF(ISNUMBER(L169),IFERROR((L169-INDEX(Estadística!$I$6:$I$25,MATCH(B169,Estadística!$A$6:$A$25,0)))^2,""),"")</f>
        <v/>
      </c>
      <c r="V169" s="19" t="str">
        <f aca="false">IF(ISNUMBER(P169),IF(P169&gt;1,1,0),"")</f>
        <v/>
      </c>
    </row>
    <row r="170" customFormat="false" ht="15" hidden="false" customHeight="false" outlineLevel="0" collapsed="false">
      <c r="A170" s="18" t="n">
        <v>165</v>
      </c>
      <c r="B170" s="18"/>
      <c r="C170" s="22"/>
      <c r="D170" s="18"/>
      <c r="E170" s="18"/>
      <c r="F170" s="18"/>
      <c r="G170" s="18"/>
      <c r="H170" s="20" t="str">
        <f aca="false">IF(OR(F170="",G170=""),"",F170*G170/1000)</f>
        <v/>
      </c>
      <c r="I170" s="23"/>
      <c r="J170" s="23"/>
      <c r="K170" s="18"/>
      <c r="L170" s="21" t="str">
        <f aca="false">IF(B170="","",IF(J170&lt;&gt;"",J170,IF(AND(N(I170)&gt;0,N(H170)&gt;0),I170/H170,"")))</f>
        <v/>
      </c>
      <c r="M170" s="19" t="str">
        <f aca="false">IF(B170="","",IFERROR(INDEX(GES!$E$6:$E$25,MATCH(B170,GES!$A$6:$A$25,0)),"GES?"))</f>
        <v/>
      </c>
      <c r="N170" s="21" t="str">
        <f aca="false">IF(AND(ISNUMBER(L170),ISNUMBER(K170),LEFT(M170,3)="CAR"),L170*K170/100,"")</f>
        <v/>
      </c>
      <c r="O170" s="21" t="str">
        <f aca="false">IF(B170="","",IFERROR(INDEX(GES!$U$6:$U$25,MATCH(B170,GES!$A$6:$A$25,0)),""))</f>
        <v/>
      </c>
      <c r="P170" s="24" t="str">
        <f aca="false">IF(AND(ISNUMBER(L170),ISNUMBER(O170)),L170/O170,"")</f>
        <v/>
      </c>
      <c r="Q170" s="25" t="str">
        <f aca="false">IF(NOT(ISNUMBER(L170)),"",IFERROR(IF(INDEX(Estadística!$L$6:$L$25,MATCH(B170,Estadística!$A$6:$A$25,0))&gt;INDEX(Estadística!$T$6:$T$25,MATCH(B170,Estadística!$A$6:$A$25,0)),IF(OR(L170&lt;INDEX(Estadística!$I$6:$I$25,MATCH(B170,Estadística!$A$6:$A$25,0))/2,L170&gt;2*INDEX(Estadística!$I$6:$I$25,MATCH(B170,Estadística!$A$6:$A$25,0))),"Fuera de ½MA–2MA: revisar","Dentro de ½MA–2MA"),"—"),""))</f>
        <v/>
      </c>
      <c r="R170" s="18"/>
      <c r="S170" s="19" t="str">
        <f aca="false">IF(ISNUMBER(L170),IF(L170&gt;0,LN(L170),""),"")</f>
        <v/>
      </c>
      <c r="T170" s="19" t="str">
        <f aca="false">IF(ISNUMBER(S170),IFERROR((S170-LN(INDEX(Estadística!$K$6:$K$25,MATCH(B170,Estadística!$A$6:$A$25,0))))^2,""),"")</f>
        <v/>
      </c>
      <c r="U170" s="19" t="str">
        <f aca="false">IF(ISNUMBER(L170),IFERROR((L170-INDEX(Estadística!$I$6:$I$25,MATCH(B170,Estadística!$A$6:$A$25,0)))^2,""),"")</f>
        <v/>
      </c>
      <c r="V170" s="19" t="str">
        <f aca="false">IF(ISNUMBER(P170),IF(P170&gt;1,1,0),"")</f>
        <v/>
      </c>
    </row>
    <row r="171" customFormat="false" ht="15" hidden="false" customHeight="false" outlineLevel="0" collapsed="false">
      <c r="A171" s="18" t="n">
        <v>166</v>
      </c>
      <c r="B171" s="18"/>
      <c r="C171" s="22"/>
      <c r="D171" s="18"/>
      <c r="E171" s="18"/>
      <c r="F171" s="18"/>
      <c r="G171" s="18"/>
      <c r="H171" s="20" t="str">
        <f aca="false">IF(OR(F171="",G171=""),"",F171*G171/1000)</f>
        <v/>
      </c>
      <c r="I171" s="23"/>
      <c r="J171" s="23"/>
      <c r="K171" s="18"/>
      <c r="L171" s="21" t="str">
        <f aca="false">IF(B171="","",IF(J171&lt;&gt;"",J171,IF(AND(N(I171)&gt;0,N(H171)&gt;0),I171/H171,"")))</f>
        <v/>
      </c>
      <c r="M171" s="19" t="str">
        <f aca="false">IF(B171="","",IFERROR(INDEX(GES!$E$6:$E$25,MATCH(B171,GES!$A$6:$A$25,0)),"GES?"))</f>
        <v/>
      </c>
      <c r="N171" s="21" t="str">
        <f aca="false">IF(AND(ISNUMBER(L171),ISNUMBER(K171),LEFT(M171,3)="CAR"),L171*K171/100,"")</f>
        <v/>
      </c>
      <c r="O171" s="21" t="str">
        <f aca="false">IF(B171="","",IFERROR(INDEX(GES!$U$6:$U$25,MATCH(B171,GES!$A$6:$A$25,0)),""))</f>
        <v/>
      </c>
      <c r="P171" s="24" t="str">
        <f aca="false">IF(AND(ISNUMBER(L171),ISNUMBER(O171)),L171/O171,"")</f>
        <v/>
      </c>
      <c r="Q171" s="25" t="str">
        <f aca="false">IF(NOT(ISNUMBER(L171)),"",IFERROR(IF(INDEX(Estadística!$L$6:$L$25,MATCH(B171,Estadística!$A$6:$A$25,0))&gt;INDEX(Estadística!$T$6:$T$25,MATCH(B171,Estadística!$A$6:$A$25,0)),IF(OR(L171&lt;INDEX(Estadística!$I$6:$I$25,MATCH(B171,Estadística!$A$6:$A$25,0))/2,L171&gt;2*INDEX(Estadística!$I$6:$I$25,MATCH(B171,Estadística!$A$6:$A$25,0))),"Fuera de ½MA–2MA: revisar","Dentro de ½MA–2MA"),"—"),""))</f>
        <v/>
      </c>
      <c r="R171" s="18"/>
      <c r="S171" s="19" t="str">
        <f aca="false">IF(ISNUMBER(L171),IF(L171&gt;0,LN(L171),""),"")</f>
        <v/>
      </c>
      <c r="T171" s="19" t="str">
        <f aca="false">IF(ISNUMBER(S171),IFERROR((S171-LN(INDEX(Estadística!$K$6:$K$25,MATCH(B171,Estadística!$A$6:$A$25,0))))^2,""),"")</f>
        <v/>
      </c>
      <c r="U171" s="19" t="str">
        <f aca="false">IF(ISNUMBER(L171),IFERROR((L171-INDEX(Estadística!$I$6:$I$25,MATCH(B171,Estadística!$A$6:$A$25,0)))^2,""),"")</f>
        <v/>
      </c>
      <c r="V171" s="19" t="str">
        <f aca="false">IF(ISNUMBER(P171),IF(P171&gt;1,1,0),"")</f>
        <v/>
      </c>
    </row>
    <row r="172" customFormat="false" ht="15" hidden="false" customHeight="false" outlineLevel="0" collapsed="false">
      <c r="A172" s="18" t="n">
        <v>167</v>
      </c>
      <c r="B172" s="18"/>
      <c r="C172" s="22"/>
      <c r="D172" s="18"/>
      <c r="E172" s="18"/>
      <c r="F172" s="18"/>
      <c r="G172" s="18"/>
      <c r="H172" s="20" t="str">
        <f aca="false">IF(OR(F172="",G172=""),"",F172*G172/1000)</f>
        <v/>
      </c>
      <c r="I172" s="23"/>
      <c r="J172" s="23"/>
      <c r="K172" s="18"/>
      <c r="L172" s="21" t="str">
        <f aca="false">IF(B172="","",IF(J172&lt;&gt;"",J172,IF(AND(N(I172)&gt;0,N(H172)&gt;0),I172/H172,"")))</f>
        <v/>
      </c>
      <c r="M172" s="19" t="str">
        <f aca="false">IF(B172="","",IFERROR(INDEX(GES!$E$6:$E$25,MATCH(B172,GES!$A$6:$A$25,0)),"GES?"))</f>
        <v/>
      </c>
      <c r="N172" s="21" t="str">
        <f aca="false">IF(AND(ISNUMBER(L172),ISNUMBER(K172),LEFT(M172,3)="CAR"),L172*K172/100,"")</f>
        <v/>
      </c>
      <c r="O172" s="21" t="str">
        <f aca="false">IF(B172="","",IFERROR(INDEX(GES!$U$6:$U$25,MATCH(B172,GES!$A$6:$A$25,0)),""))</f>
        <v/>
      </c>
      <c r="P172" s="24" t="str">
        <f aca="false">IF(AND(ISNUMBER(L172),ISNUMBER(O172)),L172/O172,"")</f>
        <v/>
      </c>
      <c r="Q172" s="25" t="str">
        <f aca="false">IF(NOT(ISNUMBER(L172)),"",IFERROR(IF(INDEX(Estadística!$L$6:$L$25,MATCH(B172,Estadística!$A$6:$A$25,0))&gt;INDEX(Estadística!$T$6:$T$25,MATCH(B172,Estadística!$A$6:$A$25,0)),IF(OR(L172&lt;INDEX(Estadística!$I$6:$I$25,MATCH(B172,Estadística!$A$6:$A$25,0))/2,L172&gt;2*INDEX(Estadística!$I$6:$I$25,MATCH(B172,Estadística!$A$6:$A$25,0))),"Fuera de ½MA–2MA: revisar","Dentro de ½MA–2MA"),"—"),""))</f>
        <v/>
      </c>
      <c r="R172" s="18"/>
      <c r="S172" s="19" t="str">
        <f aca="false">IF(ISNUMBER(L172),IF(L172&gt;0,LN(L172),""),"")</f>
        <v/>
      </c>
      <c r="T172" s="19" t="str">
        <f aca="false">IF(ISNUMBER(S172),IFERROR((S172-LN(INDEX(Estadística!$K$6:$K$25,MATCH(B172,Estadística!$A$6:$A$25,0))))^2,""),"")</f>
        <v/>
      </c>
      <c r="U172" s="19" t="str">
        <f aca="false">IF(ISNUMBER(L172),IFERROR((L172-INDEX(Estadística!$I$6:$I$25,MATCH(B172,Estadística!$A$6:$A$25,0)))^2,""),"")</f>
        <v/>
      </c>
      <c r="V172" s="19" t="str">
        <f aca="false">IF(ISNUMBER(P172),IF(P172&gt;1,1,0),"")</f>
        <v/>
      </c>
    </row>
    <row r="173" customFormat="false" ht="15" hidden="false" customHeight="false" outlineLevel="0" collapsed="false">
      <c r="A173" s="18" t="n">
        <v>168</v>
      </c>
      <c r="B173" s="18"/>
      <c r="C173" s="22"/>
      <c r="D173" s="18"/>
      <c r="E173" s="18"/>
      <c r="F173" s="18"/>
      <c r="G173" s="18"/>
      <c r="H173" s="20" t="str">
        <f aca="false">IF(OR(F173="",G173=""),"",F173*G173/1000)</f>
        <v/>
      </c>
      <c r="I173" s="23"/>
      <c r="J173" s="23"/>
      <c r="K173" s="18"/>
      <c r="L173" s="21" t="str">
        <f aca="false">IF(B173="","",IF(J173&lt;&gt;"",J173,IF(AND(N(I173)&gt;0,N(H173)&gt;0),I173/H173,"")))</f>
        <v/>
      </c>
      <c r="M173" s="19" t="str">
        <f aca="false">IF(B173="","",IFERROR(INDEX(GES!$E$6:$E$25,MATCH(B173,GES!$A$6:$A$25,0)),"GES?"))</f>
        <v/>
      </c>
      <c r="N173" s="21" t="str">
        <f aca="false">IF(AND(ISNUMBER(L173),ISNUMBER(K173),LEFT(M173,3)="CAR"),L173*K173/100,"")</f>
        <v/>
      </c>
      <c r="O173" s="21" t="str">
        <f aca="false">IF(B173="","",IFERROR(INDEX(GES!$U$6:$U$25,MATCH(B173,GES!$A$6:$A$25,0)),""))</f>
        <v/>
      </c>
      <c r="P173" s="24" t="str">
        <f aca="false">IF(AND(ISNUMBER(L173),ISNUMBER(O173)),L173/O173,"")</f>
        <v/>
      </c>
      <c r="Q173" s="25" t="str">
        <f aca="false">IF(NOT(ISNUMBER(L173)),"",IFERROR(IF(INDEX(Estadística!$L$6:$L$25,MATCH(B173,Estadística!$A$6:$A$25,0))&gt;INDEX(Estadística!$T$6:$T$25,MATCH(B173,Estadística!$A$6:$A$25,0)),IF(OR(L173&lt;INDEX(Estadística!$I$6:$I$25,MATCH(B173,Estadística!$A$6:$A$25,0))/2,L173&gt;2*INDEX(Estadística!$I$6:$I$25,MATCH(B173,Estadística!$A$6:$A$25,0))),"Fuera de ½MA–2MA: revisar","Dentro de ½MA–2MA"),"—"),""))</f>
        <v/>
      </c>
      <c r="R173" s="18"/>
      <c r="S173" s="19" t="str">
        <f aca="false">IF(ISNUMBER(L173),IF(L173&gt;0,LN(L173),""),"")</f>
        <v/>
      </c>
      <c r="T173" s="19" t="str">
        <f aca="false">IF(ISNUMBER(S173),IFERROR((S173-LN(INDEX(Estadística!$K$6:$K$25,MATCH(B173,Estadística!$A$6:$A$25,0))))^2,""),"")</f>
        <v/>
      </c>
      <c r="U173" s="19" t="str">
        <f aca="false">IF(ISNUMBER(L173),IFERROR((L173-INDEX(Estadística!$I$6:$I$25,MATCH(B173,Estadística!$A$6:$A$25,0)))^2,""),"")</f>
        <v/>
      </c>
      <c r="V173" s="19" t="str">
        <f aca="false">IF(ISNUMBER(P173),IF(P173&gt;1,1,0),"")</f>
        <v/>
      </c>
    </row>
    <row r="174" customFormat="false" ht="15" hidden="false" customHeight="false" outlineLevel="0" collapsed="false">
      <c r="A174" s="18" t="n">
        <v>169</v>
      </c>
      <c r="B174" s="18"/>
      <c r="C174" s="22"/>
      <c r="D174" s="18"/>
      <c r="E174" s="18"/>
      <c r="F174" s="18"/>
      <c r="G174" s="18"/>
      <c r="H174" s="20" t="str">
        <f aca="false">IF(OR(F174="",G174=""),"",F174*G174/1000)</f>
        <v/>
      </c>
      <c r="I174" s="23"/>
      <c r="J174" s="23"/>
      <c r="K174" s="18"/>
      <c r="L174" s="21" t="str">
        <f aca="false">IF(B174="","",IF(J174&lt;&gt;"",J174,IF(AND(N(I174)&gt;0,N(H174)&gt;0),I174/H174,"")))</f>
        <v/>
      </c>
      <c r="M174" s="19" t="str">
        <f aca="false">IF(B174="","",IFERROR(INDEX(GES!$E$6:$E$25,MATCH(B174,GES!$A$6:$A$25,0)),"GES?"))</f>
        <v/>
      </c>
      <c r="N174" s="21" t="str">
        <f aca="false">IF(AND(ISNUMBER(L174),ISNUMBER(K174),LEFT(M174,3)="CAR"),L174*K174/100,"")</f>
        <v/>
      </c>
      <c r="O174" s="21" t="str">
        <f aca="false">IF(B174="","",IFERROR(INDEX(GES!$U$6:$U$25,MATCH(B174,GES!$A$6:$A$25,0)),""))</f>
        <v/>
      </c>
      <c r="P174" s="24" t="str">
        <f aca="false">IF(AND(ISNUMBER(L174),ISNUMBER(O174)),L174/O174,"")</f>
        <v/>
      </c>
      <c r="Q174" s="25" t="str">
        <f aca="false">IF(NOT(ISNUMBER(L174)),"",IFERROR(IF(INDEX(Estadística!$L$6:$L$25,MATCH(B174,Estadística!$A$6:$A$25,0))&gt;INDEX(Estadística!$T$6:$T$25,MATCH(B174,Estadística!$A$6:$A$25,0)),IF(OR(L174&lt;INDEX(Estadística!$I$6:$I$25,MATCH(B174,Estadística!$A$6:$A$25,0))/2,L174&gt;2*INDEX(Estadística!$I$6:$I$25,MATCH(B174,Estadística!$A$6:$A$25,0))),"Fuera de ½MA–2MA: revisar","Dentro de ½MA–2MA"),"—"),""))</f>
        <v/>
      </c>
      <c r="R174" s="18"/>
      <c r="S174" s="19" t="str">
        <f aca="false">IF(ISNUMBER(L174),IF(L174&gt;0,LN(L174),""),"")</f>
        <v/>
      </c>
      <c r="T174" s="19" t="str">
        <f aca="false">IF(ISNUMBER(S174),IFERROR((S174-LN(INDEX(Estadística!$K$6:$K$25,MATCH(B174,Estadística!$A$6:$A$25,0))))^2,""),"")</f>
        <v/>
      </c>
      <c r="U174" s="19" t="str">
        <f aca="false">IF(ISNUMBER(L174),IFERROR((L174-INDEX(Estadística!$I$6:$I$25,MATCH(B174,Estadística!$A$6:$A$25,0)))^2,""),"")</f>
        <v/>
      </c>
      <c r="V174" s="19" t="str">
        <f aca="false">IF(ISNUMBER(P174),IF(P174&gt;1,1,0),"")</f>
        <v/>
      </c>
    </row>
    <row r="175" customFormat="false" ht="15" hidden="false" customHeight="false" outlineLevel="0" collapsed="false">
      <c r="A175" s="18" t="n">
        <v>170</v>
      </c>
      <c r="B175" s="18"/>
      <c r="C175" s="22"/>
      <c r="D175" s="18"/>
      <c r="E175" s="18"/>
      <c r="F175" s="18"/>
      <c r="G175" s="18"/>
      <c r="H175" s="20" t="str">
        <f aca="false">IF(OR(F175="",G175=""),"",F175*G175/1000)</f>
        <v/>
      </c>
      <c r="I175" s="23"/>
      <c r="J175" s="23"/>
      <c r="K175" s="18"/>
      <c r="L175" s="21" t="str">
        <f aca="false">IF(B175="","",IF(J175&lt;&gt;"",J175,IF(AND(N(I175)&gt;0,N(H175)&gt;0),I175/H175,"")))</f>
        <v/>
      </c>
      <c r="M175" s="19" t="str">
        <f aca="false">IF(B175="","",IFERROR(INDEX(GES!$E$6:$E$25,MATCH(B175,GES!$A$6:$A$25,0)),"GES?"))</f>
        <v/>
      </c>
      <c r="N175" s="21" t="str">
        <f aca="false">IF(AND(ISNUMBER(L175),ISNUMBER(K175),LEFT(M175,3)="CAR"),L175*K175/100,"")</f>
        <v/>
      </c>
      <c r="O175" s="21" t="str">
        <f aca="false">IF(B175="","",IFERROR(INDEX(GES!$U$6:$U$25,MATCH(B175,GES!$A$6:$A$25,0)),""))</f>
        <v/>
      </c>
      <c r="P175" s="24" t="str">
        <f aca="false">IF(AND(ISNUMBER(L175),ISNUMBER(O175)),L175/O175,"")</f>
        <v/>
      </c>
      <c r="Q175" s="25" t="str">
        <f aca="false">IF(NOT(ISNUMBER(L175)),"",IFERROR(IF(INDEX(Estadística!$L$6:$L$25,MATCH(B175,Estadística!$A$6:$A$25,0))&gt;INDEX(Estadística!$T$6:$T$25,MATCH(B175,Estadística!$A$6:$A$25,0)),IF(OR(L175&lt;INDEX(Estadística!$I$6:$I$25,MATCH(B175,Estadística!$A$6:$A$25,0))/2,L175&gt;2*INDEX(Estadística!$I$6:$I$25,MATCH(B175,Estadística!$A$6:$A$25,0))),"Fuera de ½MA–2MA: revisar","Dentro de ½MA–2MA"),"—"),""))</f>
        <v/>
      </c>
      <c r="R175" s="18"/>
      <c r="S175" s="19" t="str">
        <f aca="false">IF(ISNUMBER(L175),IF(L175&gt;0,LN(L175),""),"")</f>
        <v/>
      </c>
      <c r="T175" s="19" t="str">
        <f aca="false">IF(ISNUMBER(S175),IFERROR((S175-LN(INDEX(Estadística!$K$6:$K$25,MATCH(B175,Estadística!$A$6:$A$25,0))))^2,""),"")</f>
        <v/>
      </c>
      <c r="U175" s="19" t="str">
        <f aca="false">IF(ISNUMBER(L175),IFERROR((L175-INDEX(Estadística!$I$6:$I$25,MATCH(B175,Estadística!$A$6:$A$25,0)))^2,""),"")</f>
        <v/>
      </c>
      <c r="V175" s="19" t="str">
        <f aca="false">IF(ISNUMBER(P175),IF(P175&gt;1,1,0),"")</f>
        <v/>
      </c>
    </row>
    <row r="176" customFormat="false" ht="15" hidden="false" customHeight="false" outlineLevel="0" collapsed="false">
      <c r="A176" s="18" t="n">
        <v>171</v>
      </c>
      <c r="B176" s="18"/>
      <c r="C176" s="22"/>
      <c r="D176" s="18"/>
      <c r="E176" s="18"/>
      <c r="F176" s="18"/>
      <c r="G176" s="18"/>
      <c r="H176" s="20" t="str">
        <f aca="false">IF(OR(F176="",G176=""),"",F176*G176/1000)</f>
        <v/>
      </c>
      <c r="I176" s="23"/>
      <c r="J176" s="23"/>
      <c r="K176" s="18"/>
      <c r="L176" s="21" t="str">
        <f aca="false">IF(B176="","",IF(J176&lt;&gt;"",J176,IF(AND(N(I176)&gt;0,N(H176)&gt;0),I176/H176,"")))</f>
        <v/>
      </c>
      <c r="M176" s="19" t="str">
        <f aca="false">IF(B176="","",IFERROR(INDEX(GES!$E$6:$E$25,MATCH(B176,GES!$A$6:$A$25,0)),"GES?"))</f>
        <v/>
      </c>
      <c r="N176" s="21" t="str">
        <f aca="false">IF(AND(ISNUMBER(L176),ISNUMBER(K176),LEFT(M176,3)="CAR"),L176*K176/100,"")</f>
        <v/>
      </c>
      <c r="O176" s="21" t="str">
        <f aca="false">IF(B176="","",IFERROR(INDEX(GES!$U$6:$U$25,MATCH(B176,GES!$A$6:$A$25,0)),""))</f>
        <v/>
      </c>
      <c r="P176" s="24" t="str">
        <f aca="false">IF(AND(ISNUMBER(L176),ISNUMBER(O176)),L176/O176,"")</f>
        <v/>
      </c>
      <c r="Q176" s="25" t="str">
        <f aca="false">IF(NOT(ISNUMBER(L176)),"",IFERROR(IF(INDEX(Estadística!$L$6:$L$25,MATCH(B176,Estadística!$A$6:$A$25,0))&gt;INDEX(Estadística!$T$6:$T$25,MATCH(B176,Estadística!$A$6:$A$25,0)),IF(OR(L176&lt;INDEX(Estadística!$I$6:$I$25,MATCH(B176,Estadística!$A$6:$A$25,0))/2,L176&gt;2*INDEX(Estadística!$I$6:$I$25,MATCH(B176,Estadística!$A$6:$A$25,0))),"Fuera de ½MA–2MA: revisar","Dentro de ½MA–2MA"),"—"),""))</f>
        <v/>
      </c>
      <c r="R176" s="18"/>
      <c r="S176" s="19" t="str">
        <f aca="false">IF(ISNUMBER(L176),IF(L176&gt;0,LN(L176),""),"")</f>
        <v/>
      </c>
      <c r="T176" s="19" t="str">
        <f aca="false">IF(ISNUMBER(S176),IFERROR((S176-LN(INDEX(Estadística!$K$6:$K$25,MATCH(B176,Estadística!$A$6:$A$25,0))))^2,""),"")</f>
        <v/>
      </c>
      <c r="U176" s="19" t="str">
        <f aca="false">IF(ISNUMBER(L176),IFERROR((L176-INDEX(Estadística!$I$6:$I$25,MATCH(B176,Estadística!$A$6:$A$25,0)))^2,""),"")</f>
        <v/>
      </c>
      <c r="V176" s="19" t="str">
        <f aca="false">IF(ISNUMBER(P176),IF(P176&gt;1,1,0),"")</f>
        <v/>
      </c>
    </row>
    <row r="177" customFormat="false" ht="15" hidden="false" customHeight="false" outlineLevel="0" collapsed="false">
      <c r="A177" s="18" t="n">
        <v>172</v>
      </c>
      <c r="B177" s="18"/>
      <c r="C177" s="22"/>
      <c r="D177" s="18"/>
      <c r="E177" s="18"/>
      <c r="F177" s="18"/>
      <c r="G177" s="18"/>
      <c r="H177" s="20" t="str">
        <f aca="false">IF(OR(F177="",G177=""),"",F177*G177/1000)</f>
        <v/>
      </c>
      <c r="I177" s="23"/>
      <c r="J177" s="23"/>
      <c r="K177" s="18"/>
      <c r="L177" s="21" t="str">
        <f aca="false">IF(B177="","",IF(J177&lt;&gt;"",J177,IF(AND(N(I177)&gt;0,N(H177)&gt;0),I177/H177,"")))</f>
        <v/>
      </c>
      <c r="M177" s="19" t="str">
        <f aca="false">IF(B177="","",IFERROR(INDEX(GES!$E$6:$E$25,MATCH(B177,GES!$A$6:$A$25,0)),"GES?"))</f>
        <v/>
      </c>
      <c r="N177" s="21" t="str">
        <f aca="false">IF(AND(ISNUMBER(L177),ISNUMBER(K177),LEFT(M177,3)="CAR"),L177*K177/100,"")</f>
        <v/>
      </c>
      <c r="O177" s="21" t="str">
        <f aca="false">IF(B177="","",IFERROR(INDEX(GES!$U$6:$U$25,MATCH(B177,GES!$A$6:$A$25,0)),""))</f>
        <v/>
      </c>
      <c r="P177" s="24" t="str">
        <f aca="false">IF(AND(ISNUMBER(L177),ISNUMBER(O177)),L177/O177,"")</f>
        <v/>
      </c>
      <c r="Q177" s="25" t="str">
        <f aca="false">IF(NOT(ISNUMBER(L177)),"",IFERROR(IF(INDEX(Estadística!$L$6:$L$25,MATCH(B177,Estadística!$A$6:$A$25,0))&gt;INDEX(Estadística!$T$6:$T$25,MATCH(B177,Estadística!$A$6:$A$25,0)),IF(OR(L177&lt;INDEX(Estadística!$I$6:$I$25,MATCH(B177,Estadística!$A$6:$A$25,0))/2,L177&gt;2*INDEX(Estadística!$I$6:$I$25,MATCH(B177,Estadística!$A$6:$A$25,0))),"Fuera de ½MA–2MA: revisar","Dentro de ½MA–2MA"),"—"),""))</f>
        <v/>
      </c>
      <c r="R177" s="18"/>
      <c r="S177" s="19" t="str">
        <f aca="false">IF(ISNUMBER(L177),IF(L177&gt;0,LN(L177),""),"")</f>
        <v/>
      </c>
      <c r="T177" s="19" t="str">
        <f aca="false">IF(ISNUMBER(S177),IFERROR((S177-LN(INDEX(Estadística!$K$6:$K$25,MATCH(B177,Estadística!$A$6:$A$25,0))))^2,""),"")</f>
        <v/>
      </c>
      <c r="U177" s="19" t="str">
        <f aca="false">IF(ISNUMBER(L177),IFERROR((L177-INDEX(Estadística!$I$6:$I$25,MATCH(B177,Estadística!$A$6:$A$25,0)))^2,""),"")</f>
        <v/>
      </c>
      <c r="V177" s="19" t="str">
        <f aca="false">IF(ISNUMBER(P177),IF(P177&gt;1,1,0),"")</f>
        <v/>
      </c>
    </row>
    <row r="178" customFormat="false" ht="15" hidden="false" customHeight="false" outlineLevel="0" collapsed="false">
      <c r="A178" s="18" t="n">
        <v>173</v>
      </c>
      <c r="B178" s="18"/>
      <c r="C178" s="22"/>
      <c r="D178" s="18"/>
      <c r="E178" s="18"/>
      <c r="F178" s="18"/>
      <c r="G178" s="18"/>
      <c r="H178" s="20" t="str">
        <f aca="false">IF(OR(F178="",G178=""),"",F178*G178/1000)</f>
        <v/>
      </c>
      <c r="I178" s="23"/>
      <c r="J178" s="23"/>
      <c r="K178" s="18"/>
      <c r="L178" s="21" t="str">
        <f aca="false">IF(B178="","",IF(J178&lt;&gt;"",J178,IF(AND(N(I178)&gt;0,N(H178)&gt;0),I178/H178,"")))</f>
        <v/>
      </c>
      <c r="M178" s="19" t="str">
        <f aca="false">IF(B178="","",IFERROR(INDEX(GES!$E$6:$E$25,MATCH(B178,GES!$A$6:$A$25,0)),"GES?"))</f>
        <v/>
      </c>
      <c r="N178" s="21" t="str">
        <f aca="false">IF(AND(ISNUMBER(L178),ISNUMBER(K178),LEFT(M178,3)="CAR"),L178*K178/100,"")</f>
        <v/>
      </c>
      <c r="O178" s="21" t="str">
        <f aca="false">IF(B178="","",IFERROR(INDEX(GES!$U$6:$U$25,MATCH(B178,GES!$A$6:$A$25,0)),""))</f>
        <v/>
      </c>
      <c r="P178" s="24" t="str">
        <f aca="false">IF(AND(ISNUMBER(L178),ISNUMBER(O178)),L178/O178,"")</f>
        <v/>
      </c>
      <c r="Q178" s="25" t="str">
        <f aca="false">IF(NOT(ISNUMBER(L178)),"",IFERROR(IF(INDEX(Estadística!$L$6:$L$25,MATCH(B178,Estadística!$A$6:$A$25,0))&gt;INDEX(Estadística!$T$6:$T$25,MATCH(B178,Estadística!$A$6:$A$25,0)),IF(OR(L178&lt;INDEX(Estadística!$I$6:$I$25,MATCH(B178,Estadística!$A$6:$A$25,0))/2,L178&gt;2*INDEX(Estadística!$I$6:$I$25,MATCH(B178,Estadística!$A$6:$A$25,0))),"Fuera de ½MA–2MA: revisar","Dentro de ½MA–2MA"),"—"),""))</f>
        <v/>
      </c>
      <c r="R178" s="18"/>
      <c r="S178" s="19" t="str">
        <f aca="false">IF(ISNUMBER(L178),IF(L178&gt;0,LN(L178),""),"")</f>
        <v/>
      </c>
      <c r="T178" s="19" t="str">
        <f aca="false">IF(ISNUMBER(S178),IFERROR((S178-LN(INDEX(Estadística!$K$6:$K$25,MATCH(B178,Estadística!$A$6:$A$25,0))))^2,""),"")</f>
        <v/>
      </c>
      <c r="U178" s="19" t="str">
        <f aca="false">IF(ISNUMBER(L178),IFERROR((L178-INDEX(Estadística!$I$6:$I$25,MATCH(B178,Estadística!$A$6:$A$25,0)))^2,""),"")</f>
        <v/>
      </c>
      <c r="V178" s="19" t="str">
        <f aca="false">IF(ISNUMBER(P178),IF(P178&gt;1,1,0),"")</f>
        <v/>
      </c>
    </row>
    <row r="179" customFormat="false" ht="15" hidden="false" customHeight="false" outlineLevel="0" collapsed="false">
      <c r="A179" s="18" t="n">
        <v>174</v>
      </c>
      <c r="B179" s="18"/>
      <c r="C179" s="22"/>
      <c r="D179" s="18"/>
      <c r="E179" s="18"/>
      <c r="F179" s="18"/>
      <c r="G179" s="18"/>
      <c r="H179" s="20" t="str">
        <f aca="false">IF(OR(F179="",G179=""),"",F179*G179/1000)</f>
        <v/>
      </c>
      <c r="I179" s="23"/>
      <c r="J179" s="23"/>
      <c r="K179" s="18"/>
      <c r="L179" s="21" t="str">
        <f aca="false">IF(B179="","",IF(J179&lt;&gt;"",J179,IF(AND(N(I179)&gt;0,N(H179)&gt;0),I179/H179,"")))</f>
        <v/>
      </c>
      <c r="M179" s="19" t="str">
        <f aca="false">IF(B179="","",IFERROR(INDEX(GES!$E$6:$E$25,MATCH(B179,GES!$A$6:$A$25,0)),"GES?"))</f>
        <v/>
      </c>
      <c r="N179" s="21" t="str">
        <f aca="false">IF(AND(ISNUMBER(L179),ISNUMBER(K179),LEFT(M179,3)="CAR"),L179*K179/100,"")</f>
        <v/>
      </c>
      <c r="O179" s="21" t="str">
        <f aca="false">IF(B179="","",IFERROR(INDEX(GES!$U$6:$U$25,MATCH(B179,GES!$A$6:$A$25,0)),""))</f>
        <v/>
      </c>
      <c r="P179" s="24" t="str">
        <f aca="false">IF(AND(ISNUMBER(L179),ISNUMBER(O179)),L179/O179,"")</f>
        <v/>
      </c>
      <c r="Q179" s="25" t="str">
        <f aca="false">IF(NOT(ISNUMBER(L179)),"",IFERROR(IF(INDEX(Estadística!$L$6:$L$25,MATCH(B179,Estadística!$A$6:$A$25,0))&gt;INDEX(Estadística!$T$6:$T$25,MATCH(B179,Estadística!$A$6:$A$25,0)),IF(OR(L179&lt;INDEX(Estadística!$I$6:$I$25,MATCH(B179,Estadística!$A$6:$A$25,0))/2,L179&gt;2*INDEX(Estadística!$I$6:$I$25,MATCH(B179,Estadística!$A$6:$A$25,0))),"Fuera de ½MA–2MA: revisar","Dentro de ½MA–2MA"),"—"),""))</f>
        <v/>
      </c>
      <c r="R179" s="18"/>
      <c r="S179" s="19" t="str">
        <f aca="false">IF(ISNUMBER(L179),IF(L179&gt;0,LN(L179),""),"")</f>
        <v/>
      </c>
      <c r="T179" s="19" t="str">
        <f aca="false">IF(ISNUMBER(S179),IFERROR((S179-LN(INDEX(Estadística!$K$6:$K$25,MATCH(B179,Estadística!$A$6:$A$25,0))))^2,""),"")</f>
        <v/>
      </c>
      <c r="U179" s="19" t="str">
        <f aca="false">IF(ISNUMBER(L179),IFERROR((L179-INDEX(Estadística!$I$6:$I$25,MATCH(B179,Estadística!$A$6:$A$25,0)))^2,""),"")</f>
        <v/>
      </c>
      <c r="V179" s="19" t="str">
        <f aca="false">IF(ISNUMBER(P179),IF(P179&gt;1,1,0),"")</f>
        <v/>
      </c>
    </row>
    <row r="180" customFormat="false" ht="15" hidden="false" customHeight="false" outlineLevel="0" collapsed="false">
      <c r="A180" s="18" t="n">
        <v>175</v>
      </c>
      <c r="B180" s="18"/>
      <c r="C180" s="22"/>
      <c r="D180" s="18"/>
      <c r="E180" s="18"/>
      <c r="F180" s="18"/>
      <c r="G180" s="18"/>
      <c r="H180" s="20" t="str">
        <f aca="false">IF(OR(F180="",G180=""),"",F180*G180/1000)</f>
        <v/>
      </c>
      <c r="I180" s="23"/>
      <c r="J180" s="23"/>
      <c r="K180" s="18"/>
      <c r="L180" s="21" t="str">
        <f aca="false">IF(B180="","",IF(J180&lt;&gt;"",J180,IF(AND(N(I180)&gt;0,N(H180)&gt;0),I180/H180,"")))</f>
        <v/>
      </c>
      <c r="M180" s="19" t="str">
        <f aca="false">IF(B180="","",IFERROR(INDEX(GES!$E$6:$E$25,MATCH(B180,GES!$A$6:$A$25,0)),"GES?"))</f>
        <v/>
      </c>
      <c r="N180" s="21" t="str">
        <f aca="false">IF(AND(ISNUMBER(L180),ISNUMBER(K180),LEFT(M180,3)="CAR"),L180*K180/100,"")</f>
        <v/>
      </c>
      <c r="O180" s="21" t="str">
        <f aca="false">IF(B180="","",IFERROR(INDEX(GES!$U$6:$U$25,MATCH(B180,GES!$A$6:$A$25,0)),""))</f>
        <v/>
      </c>
      <c r="P180" s="24" t="str">
        <f aca="false">IF(AND(ISNUMBER(L180),ISNUMBER(O180)),L180/O180,"")</f>
        <v/>
      </c>
      <c r="Q180" s="25" t="str">
        <f aca="false">IF(NOT(ISNUMBER(L180)),"",IFERROR(IF(INDEX(Estadística!$L$6:$L$25,MATCH(B180,Estadística!$A$6:$A$25,0))&gt;INDEX(Estadística!$T$6:$T$25,MATCH(B180,Estadística!$A$6:$A$25,0)),IF(OR(L180&lt;INDEX(Estadística!$I$6:$I$25,MATCH(B180,Estadística!$A$6:$A$25,0))/2,L180&gt;2*INDEX(Estadística!$I$6:$I$25,MATCH(B180,Estadística!$A$6:$A$25,0))),"Fuera de ½MA–2MA: revisar","Dentro de ½MA–2MA"),"—"),""))</f>
        <v/>
      </c>
      <c r="R180" s="18"/>
      <c r="S180" s="19" t="str">
        <f aca="false">IF(ISNUMBER(L180),IF(L180&gt;0,LN(L180),""),"")</f>
        <v/>
      </c>
      <c r="T180" s="19" t="str">
        <f aca="false">IF(ISNUMBER(S180),IFERROR((S180-LN(INDEX(Estadística!$K$6:$K$25,MATCH(B180,Estadística!$A$6:$A$25,0))))^2,""),"")</f>
        <v/>
      </c>
      <c r="U180" s="19" t="str">
        <f aca="false">IF(ISNUMBER(L180),IFERROR((L180-INDEX(Estadística!$I$6:$I$25,MATCH(B180,Estadística!$A$6:$A$25,0)))^2,""),"")</f>
        <v/>
      </c>
      <c r="V180" s="19" t="str">
        <f aca="false">IF(ISNUMBER(P180),IF(P180&gt;1,1,0),"")</f>
        <v/>
      </c>
    </row>
    <row r="181" customFormat="false" ht="15" hidden="false" customHeight="false" outlineLevel="0" collapsed="false">
      <c r="A181" s="18" t="n">
        <v>176</v>
      </c>
      <c r="B181" s="18"/>
      <c r="C181" s="22"/>
      <c r="D181" s="18"/>
      <c r="E181" s="18"/>
      <c r="F181" s="18"/>
      <c r="G181" s="18"/>
      <c r="H181" s="20" t="str">
        <f aca="false">IF(OR(F181="",G181=""),"",F181*G181/1000)</f>
        <v/>
      </c>
      <c r="I181" s="23"/>
      <c r="J181" s="23"/>
      <c r="K181" s="18"/>
      <c r="L181" s="21" t="str">
        <f aca="false">IF(B181="","",IF(J181&lt;&gt;"",J181,IF(AND(N(I181)&gt;0,N(H181)&gt;0),I181/H181,"")))</f>
        <v/>
      </c>
      <c r="M181" s="19" t="str">
        <f aca="false">IF(B181="","",IFERROR(INDEX(GES!$E$6:$E$25,MATCH(B181,GES!$A$6:$A$25,0)),"GES?"))</f>
        <v/>
      </c>
      <c r="N181" s="21" t="str">
        <f aca="false">IF(AND(ISNUMBER(L181),ISNUMBER(K181),LEFT(M181,3)="CAR"),L181*K181/100,"")</f>
        <v/>
      </c>
      <c r="O181" s="21" t="str">
        <f aca="false">IF(B181="","",IFERROR(INDEX(GES!$U$6:$U$25,MATCH(B181,GES!$A$6:$A$25,0)),""))</f>
        <v/>
      </c>
      <c r="P181" s="24" t="str">
        <f aca="false">IF(AND(ISNUMBER(L181),ISNUMBER(O181)),L181/O181,"")</f>
        <v/>
      </c>
      <c r="Q181" s="25" t="str">
        <f aca="false">IF(NOT(ISNUMBER(L181)),"",IFERROR(IF(INDEX(Estadística!$L$6:$L$25,MATCH(B181,Estadística!$A$6:$A$25,0))&gt;INDEX(Estadística!$T$6:$T$25,MATCH(B181,Estadística!$A$6:$A$25,0)),IF(OR(L181&lt;INDEX(Estadística!$I$6:$I$25,MATCH(B181,Estadística!$A$6:$A$25,0))/2,L181&gt;2*INDEX(Estadística!$I$6:$I$25,MATCH(B181,Estadística!$A$6:$A$25,0))),"Fuera de ½MA–2MA: revisar","Dentro de ½MA–2MA"),"—"),""))</f>
        <v/>
      </c>
      <c r="R181" s="18"/>
      <c r="S181" s="19" t="str">
        <f aca="false">IF(ISNUMBER(L181),IF(L181&gt;0,LN(L181),""),"")</f>
        <v/>
      </c>
      <c r="T181" s="19" t="str">
        <f aca="false">IF(ISNUMBER(S181),IFERROR((S181-LN(INDEX(Estadística!$K$6:$K$25,MATCH(B181,Estadística!$A$6:$A$25,0))))^2,""),"")</f>
        <v/>
      </c>
      <c r="U181" s="19" t="str">
        <f aca="false">IF(ISNUMBER(L181),IFERROR((L181-INDEX(Estadística!$I$6:$I$25,MATCH(B181,Estadística!$A$6:$A$25,0)))^2,""),"")</f>
        <v/>
      </c>
      <c r="V181" s="19" t="str">
        <f aca="false">IF(ISNUMBER(P181),IF(P181&gt;1,1,0),"")</f>
        <v/>
      </c>
    </row>
    <row r="182" customFormat="false" ht="15" hidden="false" customHeight="false" outlineLevel="0" collapsed="false">
      <c r="A182" s="18" t="n">
        <v>177</v>
      </c>
      <c r="B182" s="18"/>
      <c r="C182" s="22"/>
      <c r="D182" s="18"/>
      <c r="E182" s="18"/>
      <c r="F182" s="18"/>
      <c r="G182" s="18"/>
      <c r="H182" s="20" t="str">
        <f aca="false">IF(OR(F182="",G182=""),"",F182*G182/1000)</f>
        <v/>
      </c>
      <c r="I182" s="23"/>
      <c r="J182" s="23"/>
      <c r="K182" s="18"/>
      <c r="L182" s="21" t="str">
        <f aca="false">IF(B182="","",IF(J182&lt;&gt;"",J182,IF(AND(N(I182)&gt;0,N(H182)&gt;0),I182/H182,"")))</f>
        <v/>
      </c>
      <c r="M182" s="19" t="str">
        <f aca="false">IF(B182="","",IFERROR(INDEX(GES!$E$6:$E$25,MATCH(B182,GES!$A$6:$A$25,0)),"GES?"))</f>
        <v/>
      </c>
      <c r="N182" s="21" t="str">
        <f aca="false">IF(AND(ISNUMBER(L182),ISNUMBER(K182),LEFT(M182,3)="CAR"),L182*K182/100,"")</f>
        <v/>
      </c>
      <c r="O182" s="21" t="str">
        <f aca="false">IF(B182="","",IFERROR(INDEX(GES!$U$6:$U$25,MATCH(B182,GES!$A$6:$A$25,0)),""))</f>
        <v/>
      </c>
      <c r="P182" s="24" t="str">
        <f aca="false">IF(AND(ISNUMBER(L182),ISNUMBER(O182)),L182/O182,"")</f>
        <v/>
      </c>
      <c r="Q182" s="25" t="str">
        <f aca="false">IF(NOT(ISNUMBER(L182)),"",IFERROR(IF(INDEX(Estadística!$L$6:$L$25,MATCH(B182,Estadística!$A$6:$A$25,0))&gt;INDEX(Estadística!$T$6:$T$25,MATCH(B182,Estadística!$A$6:$A$25,0)),IF(OR(L182&lt;INDEX(Estadística!$I$6:$I$25,MATCH(B182,Estadística!$A$6:$A$25,0))/2,L182&gt;2*INDEX(Estadística!$I$6:$I$25,MATCH(B182,Estadística!$A$6:$A$25,0))),"Fuera de ½MA–2MA: revisar","Dentro de ½MA–2MA"),"—"),""))</f>
        <v/>
      </c>
      <c r="R182" s="18"/>
      <c r="S182" s="19" t="str">
        <f aca="false">IF(ISNUMBER(L182),IF(L182&gt;0,LN(L182),""),"")</f>
        <v/>
      </c>
      <c r="T182" s="19" t="str">
        <f aca="false">IF(ISNUMBER(S182),IFERROR((S182-LN(INDEX(Estadística!$K$6:$K$25,MATCH(B182,Estadística!$A$6:$A$25,0))))^2,""),"")</f>
        <v/>
      </c>
      <c r="U182" s="19" t="str">
        <f aca="false">IF(ISNUMBER(L182),IFERROR((L182-INDEX(Estadística!$I$6:$I$25,MATCH(B182,Estadística!$A$6:$A$25,0)))^2,""),"")</f>
        <v/>
      </c>
      <c r="V182" s="19" t="str">
        <f aca="false">IF(ISNUMBER(P182),IF(P182&gt;1,1,0),"")</f>
        <v/>
      </c>
    </row>
    <row r="183" customFormat="false" ht="15" hidden="false" customHeight="false" outlineLevel="0" collapsed="false">
      <c r="A183" s="18" t="n">
        <v>178</v>
      </c>
      <c r="B183" s="18"/>
      <c r="C183" s="22"/>
      <c r="D183" s="18"/>
      <c r="E183" s="18"/>
      <c r="F183" s="18"/>
      <c r="G183" s="18"/>
      <c r="H183" s="20" t="str">
        <f aca="false">IF(OR(F183="",G183=""),"",F183*G183/1000)</f>
        <v/>
      </c>
      <c r="I183" s="23"/>
      <c r="J183" s="23"/>
      <c r="K183" s="18"/>
      <c r="L183" s="21" t="str">
        <f aca="false">IF(B183="","",IF(J183&lt;&gt;"",J183,IF(AND(N(I183)&gt;0,N(H183)&gt;0),I183/H183,"")))</f>
        <v/>
      </c>
      <c r="M183" s="19" t="str">
        <f aca="false">IF(B183="","",IFERROR(INDEX(GES!$E$6:$E$25,MATCH(B183,GES!$A$6:$A$25,0)),"GES?"))</f>
        <v/>
      </c>
      <c r="N183" s="21" t="str">
        <f aca="false">IF(AND(ISNUMBER(L183),ISNUMBER(K183),LEFT(M183,3)="CAR"),L183*K183/100,"")</f>
        <v/>
      </c>
      <c r="O183" s="21" t="str">
        <f aca="false">IF(B183="","",IFERROR(INDEX(GES!$U$6:$U$25,MATCH(B183,GES!$A$6:$A$25,0)),""))</f>
        <v/>
      </c>
      <c r="P183" s="24" t="str">
        <f aca="false">IF(AND(ISNUMBER(L183),ISNUMBER(O183)),L183/O183,"")</f>
        <v/>
      </c>
      <c r="Q183" s="25" t="str">
        <f aca="false">IF(NOT(ISNUMBER(L183)),"",IFERROR(IF(INDEX(Estadística!$L$6:$L$25,MATCH(B183,Estadística!$A$6:$A$25,0))&gt;INDEX(Estadística!$T$6:$T$25,MATCH(B183,Estadística!$A$6:$A$25,0)),IF(OR(L183&lt;INDEX(Estadística!$I$6:$I$25,MATCH(B183,Estadística!$A$6:$A$25,0))/2,L183&gt;2*INDEX(Estadística!$I$6:$I$25,MATCH(B183,Estadística!$A$6:$A$25,0))),"Fuera de ½MA–2MA: revisar","Dentro de ½MA–2MA"),"—"),""))</f>
        <v/>
      </c>
      <c r="R183" s="18"/>
      <c r="S183" s="19" t="str">
        <f aca="false">IF(ISNUMBER(L183),IF(L183&gt;0,LN(L183),""),"")</f>
        <v/>
      </c>
      <c r="T183" s="19" t="str">
        <f aca="false">IF(ISNUMBER(S183),IFERROR((S183-LN(INDEX(Estadística!$K$6:$K$25,MATCH(B183,Estadística!$A$6:$A$25,0))))^2,""),"")</f>
        <v/>
      </c>
      <c r="U183" s="19" t="str">
        <f aca="false">IF(ISNUMBER(L183),IFERROR((L183-INDEX(Estadística!$I$6:$I$25,MATCH(B183,Estadística!$A$6:$A$25,0)))^2,""),"")</f>
        <v/>
      </c>
      <c r="V183" s="19" t="str">
        <f aca="false">IF(ISNUMBER(P183),IF(P183&gt;1,1,0),"")</f>
        <v/>
      </c>
    </row>
    <row r="184" customFormat="false" ht="15" hidden="false" customHeight="false" outlineLevel="0" collapsed="false">
      <c r="A184" s="18" t="n">
        <v>179</v>
      </c>
      <c r="B184" s="18"/>
      <c r="C184" s="22"/>
      <c r="D184" s="18"/>
      <c r="E184" s="18"/>
      <c r="F184" s="18"/>
      <c r="G184" s="18"/>
      <c r="H184" s="20" t="str">
        <f aca="false">IF(OR(F184="",G184=""),"",F184*G184/1000)</f>
        <v/>
      </c>
      <c r="I184" s="23"/>
      <c r="J184" s="23"/>
      <c r="K184" s="18"/>
      <c r="L184" s="21" t="str">
        <f aca="false">IF(B184="","",IF(J184&lt;&gt;"",J184,IF(AND(N(I184)&gt;0,N(H184)&gt;0),I184/H184,"")))</f>
        <v/>
      </c>
      <c r="M184" s="19" t="str">
        <f aca="false">IF(B184="","",IFERROR(INDEX(GES!$E$6:$E$25,MATCH(B184,GES!$A$6:$A$25,0)),"GES?"))</f>
        <v/>
      </c>
      <c r="N184" s="21" t="str">
        <f aca="false">IF(AND(ISNUMBER(L184),ISNUMBER(K184),LEFT(M184,3)="CAR"),L184*K184/100,"")</f>
        <v/>
      </c>
      <c r="O184" s="21" t="str">
        <f aca="false">IF(B184="","",IFERROR(INDEX(GES!$U$6:$U$25,MATCH(B184,GES!$A$6:$A$25,0)),""))</f>
        <v/>
      </c>
      <c r="P184" s="24" t="str">
        <f aca="false">IF(AND(ISNUMBER(L184),ISNUMBER(O184)),L184/O184,"")</f>
        <v/>
      </c>
      <c r="Q184" s="25" t="str">
        <f aca="false">IF(NOT(ISNUMBER(L184)),"",IFERROR(IF(INDEX(Estadística!$L$6:$L$25,MATCH(B184,Estadística!$A$6:$A$25,0))&gt;INDEX(Estadística!$T$6:$T$25,MATCH(B184,Estadística!$A$6:$A$25,0)),IF(OR(L184&lt;INDEX(Estadística!$I$6:$I$25,MATCH(B184,Estadística!$A$6:$A$25,0))/2,L184&gt;2*INDEX(Estadística!$I$6:$I$25,MATCH(B184,Estadística!$A$6:$A$25,0))),"Fuera de ½MA–2MA: revisar","Dentro de ½MA–2MA"),"—"),""))</f>
        <v/>
      </c>
      <c r="R184" s="18"/>
      <c r="S184" s="19" t="str">
        <f aca="false">IF(ISNUMBER(L184),IF(L184&gt;0,LN(L184),""),"")</f>
        <v/>
      </c>
      <c r="T184" s="19" t="str">
        <f aca="false">IF(ISNUMBER(S184),IFERROR((S184-LN(INDEX(Estadística!$K$6:$K$25,MATCH(B184,Estadística!$A$6:$A$25,0))))^2,""),"")</f>
        <v/>
      </c>
      <c r="U184" s="19" t="str">
        <f aca="false">IF(ISNUMBER(L184),IFERROR((L184-INDEX(Estadística!$I$6:$I$25,MATCH(B184,Estadística!$A$6:$A$25,0)))^2,""),"")</f>
        <v/>
      </c>
      <c r="V184" s="19" t="str">
        <f aca="false">IF(ISNUMBER(P184),IF(P184&gt;1,1,0),"")</f>
        <v/>
      </c>
    </row>
    <row r="185" customFormat="false" ht="15" hidden="false" customHeight="false" outlineLevel="0" collapsed="false">
      <c r="A185" s="18" t="n">
        <v>180</v>
      </c>
      <c r="B185" s="18"/>
      <c r="C185" s="22"/>
      <c r="D185" s="18"/>
      <c r="E185" s="18"/>
      <c r="F185" s="18"/>
      <c r="G185" s="18"/>
      <c r="H185" s="20" t="str">
        <f aca="false">IF(OR(F185="",G185=""),"",F185*G185/1000)</f>
        <v/>
      </c>
      <c r="I185" s="23"/>
      <c r="J185" s="23"/>
      <c r="K185" s="18"/>
      <c r="L185" s="21" t="str">
        <f aca="false">IF(B185="","",IF(J185&lt;&gt;"",J185,IF(AND(N(I185)&gt;0,N(H185)&gt;0),I185/H185,"")))</f>
        <v/>
      </c>
      <c r="M185" s="19" t="str">
        <f aca="false">IF(B185="","",IFERROR(INDEX(GES!$E$6:$E$25,MATCH(B185,GES!$A$6:$A$25,0)),"GES?"))</f>
        <v/>
      </c>
      <c r="N185" s="21" t="str">
        <f aca="false">IF(AND(ISNUMBER(L185),ISNUMBER(K185),LEFT(M185,3)="CAR"),L185*K185/100,"")</f>
        <v/>
      </c>
      <c r="O185" s="21" t="str">
        <f aca="false">IF(B185="","",IFERROR(INDEX(GES!$U$6:$U$25,MATCH(B185,GES!$A$6:$A$25,0)),""))</f>
        <v/>
      </c>
      <c r="P185" s="24" t="str">
        <f aca="false">IF(AND(ISNUMBER(L185),ISNUMBER(O185)),L185/O185,"")</f>
        <v/>
      </c>
      <c r="Q185" s="25" t="str">
        <f aca="false">IF(NOT(ISNUMBER(L185)),"",IFERROR(IF(INDEX(Estadística!$L$6:$L$25,MATCH(B185,Estadística!$A$6:$A$25,0))&gt;INDEX(Estadística!$T$6:$T$25,MATCH(B185,Estadística!$A$6:$A$25,0)),IF(OR(L185&lt;INDEX(Estadística!$I$6:$I$25,MATCH(B185,Estadística!$A$6:$A$25,0))/2,L185&gt;2*INDEX(Estadística!$I$6:$I$25,MATCH(B185,Estadística!$A$6:$A$25,0))),"Fuera de ½MA–2MA: revisar","Dentro de ½MA–2MA"),"—"),""))</f>
        <v/>
      </c>
      <c r="R185" s="18"/>
      <c r="S185" s="19" t="str">
        <f aca="false">IF(ISNUMBER(L185),IF(L185&gt;0,LN(L185),""),"")</f>
        <v/>
      </c>
      <c r="T185" s="19" t="str">
        <f aca="false">IF(ISNUMBER(S185),IFERROR((S185-LN(INDEX(Estadística!$K$6:$K$25,MATCH(B185,Estadística!$A$6:$A$25,0))))^2,""),"")</f>
        <v/>
      </c>
      <c r="U185" s="19" t="str">
        <f aca="false">IF(ISNUMBER(L185),IFERROR((L185-INDEX(Estadística!$I$6:$I$25,MATCH(B185,Estadística!$A$6:$A$25,0)))^2,""),"")</f>
        <v/>
      </c>
      <c r="V185" s="19" t="str">
        <f aca="false">IF(ISNUMBER(P185),IF(P185&gt;1,1,0),"")</f>
        <v/>
      </c>
    </row>
    <row r="186" customFormat="false" ht="15" hidden="false" customHeight="false" outlineLevel="0" collapsed="false">
      <c r="A186" s="18" t="n">
        <v>181</v>
      </c>
      <c r="B186" s="18"/>
      <c r="C186" s="22"/>
      <c r="D186" s="18"/>
      <c r="E186" s="18"/>
      <c r="F186" s="18"/>
      <c r="G186" s="18"/>
      <c r="H186" s="20" t="str">
        <f aca="false">IF(OR(F186="",G186=""),"",F186*G186/1000)</f>
        <v/>
      </c>
      <c r="I186" s="23"/>
      <c r="J186" s="23"/>
      <c r="K186" s="18"/>
      <c r="L186" s="21" t="str">
        <f aca="false">IF(B186="","",IF(J186&lt;&gt;"",J186,IF(AND(N(I186)&gt;0,N(H186)&gt;0),I186/H186,"")))</f>
        <v/>
      </c>
      <c r="M186" s="19" t="str">
        <f aca="false">IF(B186="","",IFERROR(INDEX(GES!$E$6:$E$25,MATCH(B186,GES!$A$6:$A$25,0)),"GES?"))</f>
        <v/>
      </c>
      <c r="N186" s="21" t="str">
        <f aca="false">IF(AND(ISNUMBER(L186),ISNUMBER(K186),LEFT(M186,3)="CAR"),L186*K186/100,"")</f>
        <v/>
      </c>
      <c r="O186" s="21" t="str">
        <f aca="false">IF(B186="","",IFERROR(INDEX(GES!$U$6:$U$25,MATCH(B186,GES!$A$6:$A$25,0)),""))</f>
        <v/>
      </c>
      <c r="P186" s="24" t="str">
        <f aca="false">IF(AND(ISNUMBER(L186),ISNUMBER(O186)),L186/O186,"")</f>
        <v/>
      </c>
      <c r="Q186" s="25" t="str">
        <f aca="false">IF(NOT(ISNUMBER(L186)),"",IFERROR(IF(INDEX(Estadística!$L$6:$L$25,MATCH(B186,Estadística!$A$6:$A$25,0))&gt;INDEX(Estadística!$T$6:$T$25,MATCH(B186,Estadística!$A$6:$A$25,0)),IF(OR(L186&lt;INDEX(Estadística!$I$6:$I$25,MATCH(B186,Estadística!$A$6:$A$25,0))/2,L186&gt;2*INDEX(Estadística!$I$6:$I$25,MATCH(B186,Estadística!$A$6:$A$25,0))),"Fuera de ½MA–2MA: revisar","Dentro de ½MA–2MA"),"—"),""))</f>
        <v/>
      </c>
      <c r="R186" s="18"/>
      <c r="S186" s="19" t="str">
        <f aca="false">IF(ISNUMBER(L186),IF(L186&gt;0,LN(L186),""),"")</f>
        <v/>
      </c>
      <c r="T186" s="19" t="str">
        <f aca="false">IF(ISNUMBER(S186),IFERROR((S186-LN(INDEX(Estadística!$K$6:$K$25,MATCH(B186,Estadística!$A$6:$A$25,0))))^2,""),"")</f>
        <v/>
      </c>
      <c r="U186" s="19" t="str">
        <f aca="false">IF(ISNUMBER(L186),IFERROR((L186-INDEX(Estadística!$I$6:$I$25,MATCH(B186,Estadística!$A$6:$A$25,0)))^2,""),"")</f>
        <v/>
      </c>
      <c r="V186" s="19" t="str">
        <f aca="false">IF(ISNUMBER(P186),IF(P186&gt;1,1,0),"")</f>
        <v/>
      </c>
    </row>
    <row r="187" customFormat="false" ht="15" hidden="false" customHeight="false" outlineLevel="0" collapsed="false">
      <c r="A187" s="18" t="n">
        <v>182</v>
      </c>
      <c r="B187" s="18"/>
      <c r="C187" s="22"/>
      <c r="D187" s="18"/>
      <c r="E187" s="18"/>
      <c r="F187" s="18"/>
      <c r="G187" s="18"/>
      <c r="H187" s="20" t="str">
        <f aca="false">IF(OR(F187="",G187=""),"",F187*G187/1000)</f>
        <v/>
      </c>
      <c r="I187" s="23"/>
      <c r="J187" s="23"/>
      <c r="K187" s="18"/>
      <c r="L187" s="21" t="str">
        <f aca="false">IF(B187="","",IF(J187&lt;&gt;"",J187,IF(AND(N(I187)&gt;0,N(H187)&gt;0),I187/H187,"")))</f>
        <v/>
      </c>
      <c r="M187" s="19" t="str">
        <f aca="false">IF(B187="","",IFERROR(INDEX(GES!$E$6:$E$25,MATCH(B187,GES!$A$6:$A$25,0)),"GES?"))</f>
        <v/>
      </c>
      <c r="N187" s="21" t="str">
        <f aca="false">IF(AND(ISNUMBER(L187),ISNUMBER(K187),LEFT(M187,3)="CAR"),L187*K187/100,"")</f>
        <v/>
      </c>
      <c r="O187" s="21" t="str">
        <f aca="false">IF(B187="","",IFERROR(INDEX(GES!$U$6:$U$25,MATCH(B187,GES!$A$6:$A$25,0)),""))</f>
        <v/>
      </c>
      <c r="P187" s="24" t="str">
        <f aca="false">IF(AND(ISNUMBER(L187),ISNUMBER(O187)),L187/O187,"")</f>
        <v/>
      </c>
      <c r="Q187" s="25" t="str">
        <f aca="false">IF(NOT(ISNUMBER(L187)),"",IFERROR(IF(INDEX(Estadística!$L$6:$L$25,MATCH(B187,Estadística!$A$6:$A$25,0))&gt;INDEX(Estadística!$T$6:$T$25,MATCH(B187,Estadística!$A$6:$A$25,0)),IF(OR(L187&lt;INDEX(Estadística!$I$6:$I$25,MATCH(B187,Estadística!$A$6:$A$25,0))/2,L187&gt;2*INDEX(Estadística!$I$6:$I$25,MATCH(B187,Estadística!$A$6:$A$25,0))),"Fuera de ½MA–2MA: revisar","Dentro de ½MA–2MA"),"—"),""))</f>
        <v/>
      </c>
      <c r="R187" s="18"/>
      <c r="S187" s="19" t="str">
        <f aca="false">IF(ISNUMBER(L187),IF(L187&gt;0,LN(L187),""),"")</f>
        <v/>
      </c>
      <c r="T187" s="19" t="str">
        <f aca="false">IF(ISNUMBER(S187),IFERROR((S187-LN(INDEX(Estadística!$K$6:$K$25,MATCH(B187,Estadística!$A$6:$A$25,0))))^2,""),"")</f>
        <v/>
      </c>
      <c r="U187" s="19" t="str">
        <f aca="false">IF(ISNUMBER(L187),IFERROR((L187-INDEX(Estadística!$I$6:$I$25,MATCH(B187,Estadística!$A$6:$A$25,0)))^2,""),"")</f>
        <v/>
      </c>
      <c r="V187" s="19" t="str">
        <f aca="false">IF(ISNUMBER(P187),IF(P187&gt;1,1,0),"")</f>
        <v/>
      </c>
    </row>
    <row r="188" customFormat="false" ht="15" hidden="false" customHeight="false" outlineLevel="0" collapsed="false">
      <c r="A188" s="18" t="n">
        <v>183</v>
      </c>
      <c r="B188" s="18"/>
      <c r="C188" s="22"/>
      <c r="D188" s="18"/>
      <c r="E188" s="18"/>
      <c r="F188" s="18"/>
      <c r="G188" s="18"/>
      <c r="H188" s="20" t="str">
        <f aca="false">IF(OR(F188="",G188=""),"",F188*G188/1000)</f>
        <v/>
      </c>
      <c r="I188" s="23"/>
      <c r="J188" s="23"/>
      <c r="K188" s="18"/>
      <c r="L188" s="21" t="str">
        <f aca="false">IF(B188="","",IF(J188&lt;&gt;"",J188,IF(AND(N(I188)&gt;0,N(H188)&gt;0),I188/H188,"")))</f>
        <v/>
      </c>
      <c r="M188" s="19" t="str">
        <f aca="false">IF(B188="","",IFERROR(INDEX(GES!$E$6:$E$25,MATCH(B188,GES!$A$6:$A$25,0)),"GES?"))</f>
        <v/>
      </c>
      <c r="N188" s="21" t="str">
        <f aca="false">IF(AND(ISNUMBER(L188),ISNUMBER(K188),LEFT(M188,3)="CAR"),L188*K188/100,"")</f>
        <v/>
      </c>
      <c r="O188" s="21" t="str">
        <f aca="false">IF(B188="","",IFERROR(INDEX(GES!$U$6:$U$25,MATCH(B188,GES!$A$6:$A$25,0)),""))</f>
        <v/>
      </c>
      <c r="P188" s="24" t="str">
        <f aca="false">IF(AND(ISNUMBER(L188),ISNUMBER(O188)),L188/O188,"")</f>
        <v/>
      </c>
      <c r="Q188" s="25" t="str">
        <f aca="false">IF(NOT(ISNUMBER(L188)),"",IFERROR(IF(INDEX(Estadística!$L$6:$L$25,MATCH(B188,Estadística!$A$6:$A$25,0))&gt;INDEX(Estadística!$T$6:$T$25,MATCH(B188,Estadística!$A$6:$A$25,0)),IF(OR(L188&lt;INDEX(Estadística!$I$6:$I$25,MATCH(B188,Estadística!$A$6:$A$25,0))/2,L188&gt;2*INDEX(Estadística!$I$6:$I$25,MATCH(B188,Estadística!$A$6:$A$25,0))),"Fuera de ½MA–2MA: revisar","Dentro de ½MA–2MA"),"—"),""))</f>
        <v/>
      </c>
      <c r="R188" s="18"/>
      <c r="S188" s="19" t="str">
        <f aca="false">IF(ISNUMBER(L188),IF(L188&gt;0,LN(L188),""),"")</f>
        <v/>
      </c>
      <c r="T188" s="19" t="str">
        <f aca="false">IF(ISNUMBER(S188),IFERROR((S188-LN(INDEX(Estadística!$K$6:$K$25,MATCH(B188,Estadística!$A$6:$A$25,0))))^2,""),"")</f>
        <v/>
      </c>
      <c r="U188" s="19" t="str">
        <f aca="false">IF(ISNUMBER(L188),IFERROR((L188-INDEX(Estadística!$I$6:$I$25,MATCH(B188,Estadística!$A$6:$A$25,0)))^2,""),"")</f>
        <v/>
      </c>
      <c r="V188" s="19" t="str">
        <f aca="false">IF(ISNUMBER(P188),IF(P188&gt;1,1,0),"")</f>
        <v/>
      </c>
    </row>
    <row r="189" customFormat="false" ht="15" hidden="false" customHeight="false" outlineLevel="0" collapsed="false">
      <c r="A189" s="18" t="n">
        <v>184</v>
      </c>
      <c r="B189" s="18"/>
      <c r="C189" s="22"/>
      <c r="D189" s="18"/>
      <c r="E189" s="18"/>
      <c r="F189" s="18"/>
      <c r="G189" s="18"/>
      <c r="H189" s="20" t="str">
        <f aca="false">IF(OR(F189="",G189=""),"",F189*G189/1000)</f>
        <v/>
      </c>
      <c r="I189" s="23"/>
      <c r="J189" s="23"/>
      <c r="K189" s="18"/>
      <c r="L189" s="21" t="str">
        <f aca="false">IF(B189="","",IF(J189&lt;&gt;"",J189,IF(AND(N(I189)&gt;0,N(H189)&gt;0),I189/H189,"")))</f>
        <v/>
      </c>
      <c r="M189" s="19" t="str">
        <f aca="false">IF(B189="","",IFERROR(INDEX(GES!$E$6:$E$25,MATCH(B189,GES!$A$6:$A$25,0)),"GES?"))</f>
        <v/>
      </c>
      <c r="N189" s="21" t="str">
        <f aca="false">IF(AND(ISNUMBER(L189),ISNUMBER(K189),LEFT(M189,3)="CAR"),L189*K189/100,"")</f>
        <v/>
      </c>
      <c r="O189" s="21" t="str">
        <f aca="false">IF(B189="","",IFERROR(INDEX(GES!$U$6:$U$25,MATCH(B189,GES!$A$6:$A$25,0)),""))</f>
        <v/>
      </c>
      <c r="P189" s="24" t="str">
        <f aca="false">IF(AND(ISNUMBER(L189),ISNUMBER(O189)),L189/O189,"")</f>
        <v/>
      </c>
      <c r="Q189" s="25" t="str">
        <f aca="false">IF(NOT(ISNUMBER(L189)),"",IFERROR(IF(INDEX(Estadística!$L$6:$L$25,MATCH(B189,Estadística!$A$6:$A$25,0))&gt;INDEX(Estadística!$T$6:$T$25,MATCH(B189,Estadística!$A$6:$A$25,0)),IF(OR(L189&lt;INDEX(Estadística!$I$6:$I$25,MATCH(B189,Estadística!$A$6:$A$25,0))/2,L189&gt;2*INDEX(Estadística!$I$6:$I$25,MATCH(B189,Estadística!$A$6:$A$25,0))),"Fuera de ½MA–2MA: revisar","Dentro de ½MA–2MA"),"—"),""))</f>
        <v/>
      </c>
      <c r="R189" s="18"/>
      <c r="S189" s="19" t="str">
        <f aca="false">IF(ISNUMBER(L189),IF(L189&gt;0,LN(L189),""),"")</f>
        <v/>
      </c>
      <c r="T189" s="19" t="str">
        <f aca="false">IF(ISNUMBER(S189),IFERROR((S189-LN(INDEX(Estadística!$K$6:$K$25,MATCH(B189,Estadística!$A$6:$A$25,0))))^2,""),"")</f>
        <v/>
      </c>
      <c r="U189" s="19" t="str">
        <f aca="false">IF(ISNUMBER(L189),IFERROR((L189-INDEX(Estadística!$I$6:$I$25,MATCH(B189,Estadística!$A$6:$A$25,0)))^2,""),"")</f>
        <v/>
      </c>
      <c r="V189" s="19" t="str">
        <f aca="false">IF(ISNUMBER(P189),IF(P189&gt;1,1,0),"")</f>
        <v/>
      </c>
    </row>
    <row r="190" customFormat="false" ht="15" hidden="false" customHeight="false" outlineLevel="0" collapsed="false">
      <c r="A190" s="18" t="n">
        <v>185</v>
      </c>
      <c r="B190" s="18"/>
      <c r="C190" s="22"/>
      <c r="D190" s="18"/>
      <c r="E190" s="18"/>
      <c r="F190" s="18"/>
      <c r="G190" s="18"/>
      <c r="H190" s="20" t="str">
        <f aca="false">IF(OR(F190="",G190=""),"",F190*G190/1000)</f>
        <v/>
      </c>
      <c r="I190" s="23"/>
      <c r="J190" s="23"/>
      <c r="K190" s="18"/>
      <c r="L190" s="21" t="str">
        <f aca="false">IF(B190="","",IF(J190&lt;&gt;"",J190,IF(AND(N(I190)&gt;0,N(H190)&gt;0),I190/H190,"")))</f>
        <v/>
      </c>
      <c r="M190" s="19" t="str">
        <f aca="false">IF(B190="","",IFERROR(INDEX(GES!$E$6:$E$25,MATCH(B190,GES!$A$6:$A$25,0)),"GES?"))</f>
        <v/>
      </c>
      <c r="N190" s="21" t="str">
        <f aca="false">IF(AND(ISNUMBER(L190),ISNUMBER(K190),LEFT(M190,3)="CAR"),L190*K190/100,"")</f>
        <v/>
      </c>
      <c r="O190" s="21" t="str">
        <f aca="false">IF(B190="","",IFERROR(INDEX(GES!$U$6:$U$25,MATCH(B190,GES!$A$6:$A$25,0)),""))</f>
        <v/>
      </c>
      <c r="P190" s="24" t="str">
        <f aca="false">IF(AND(ISNUMBER(L190),ISNUMBER(O190)),L190/O190,"")</f>
        <v/>
      </c>
      <c r="Q190" s="25" t="str">
        <f aca="false">IF(NOT(ISNUMBER(L190)),"",IFERROR(IF(INDEX(Estadística!$L$6:$L$25,MATCH(B190,Estadística!$A$6:$A$25,0))&gt;INDEX(Estadística!$T$6:$T$25,MATCH(B190,Estadística!$A$6:$A$25,0)),IF(OR(L190&lt;INDEX(Estadística!$I$6:$I$25,MATCH(B190,Estadística!$A$6:$A$25,0))/2,L190&gt;2*INDEX(Estadística!$I$6:$I$25,MATCH(B190,Estadística!$A$6:$A$25,0))),"Fuera de ½MA–2MA: revisar","Dentro de ½MA–2MA"),"—"),""))</f>
        <v/>
      </c>
      <c r="R190" s="18"/>
      <c r="S190" s="19" t="str">
        <f aca="false">IF(ISNUMBER(L190),IF(L190&gt;0,LN(L190),""),"")</f>
        <v/>
      </c>
      <c r="T190" s="19" t="str">
        <f aca="false">IF(ISNUMBER(S190),IFERROR((S190-LN(INDEX(Estadística!$K$6:$K$25,MATCH(B190,Estadística!$A$6:$A$25,0))))^2,""),"")</f>
        <v/>
      </c>
      <c r="U190" s="19" t="str">
        <f aca="false">IF(ISNUMBER(L190),IFERROR((L190-INDEX(Estadística!$I$6:$I$25,MATCH(B190,Estadística!$A$6:$A$25,0)))^2,""),"")</f>
        <v/>
      </c>
      <c r="V190" s="19" t="str">
        <f aca="false">IF(ISNUMBER(P190),IF(P190&gt;1,1,0),"")</f>
        <v/>
      </c>
    </row>
    <row r="191" customFormat="false" ht="15" hidden="false" customHeight="false" outlineLevel="0" collapsed="false">
      <c r="A191" s="18" t="n">
        <v>186</v>
      </c>
      <c r="B191" s="18"/>
      <c r="C191" s="22"/>
      <c r="D191" s="18"/>
      <c r="E191" s="18"/>
      <c r="F191" s="18"/>
      <c r="G191" s="18"/>
      <c r="H191" s="20" t="str">
        <f aca="false">IF(OR(F191="",G191=""),"",F191*G191/1000)</f>
        <v/>
      </c>
      <c r="I191" s="23"/>
      <c r="J191" s="23"/>
      <c r="K191" s="18"/>
      <c r="L191" s="21" t="str">
        <f aca="false">IF(B191="","",IF(J191&lt;&gt;"",J191,IF(AND(N(I191)&gt;0,N(H191)&gt;0),I191/H191,"")))</f>
        <v/>
      </c>
      <c r="M191" s="19" t="str">
        <f aca="false">IF(B191="","",IFERROR(INDEX(GES!$E$6:$E$25,MATCH(B191,GES!$A$6:$A$25,0)),"GES?"))</f>
        <v/>
      </c>
      <c r="N191" s="21" t="str">
        <f aca="false">IF(AND(ISNUMBER(L191),ISNUMBER(K191),LEFT(M191,3)="CAR"),L191*K191/100,"")</f>
        <v/>
      </c>
      <c r="O191" s="21" t="str">
        <f aca="false">IF(B191="","",IFERROR(INDEX(GES!$U$6:$U$25,MATCH(B191,GES!$A$6:$A$25,0)),""))</f>
        <v/>
      </c>
      <c r="P191" s="24" t="str">
        <f aca="false">IF(AND(ISNUMBER(L191),ISNUMBER(O191)),L191/O191,"")</f>
        <v/>
      </c>
      <c r="Q191" s="25" t="str">
        <f aca="false">IF(NOT(ISNUMBER(L191)),"",IFERROR(IF(INDEX(Estadística!$L$6:$L$25,MATCH(B191,Estadística!$A$6:$A$25,0))&gt;INDEX(Estadística!$T$6:$T$25,MATCH(B191,Estadística!$A$6:$A$25,0)),IF(OR(L191&lt;INDEX(Estadística!$I$6:$I$25,MATCH(B191,Estadística!$A$6:$A$25,0))/2,L191&gt;2*INDEX(Estadística!$I$6:$I$25,MATCH(B191,Estadística!$A$6:$A$25,0))),"Fuera de ½MA–2MA: revisar","Dentro de ½MA–2MA"),"—"),""))</f>
        <v/>
      </c>
      <c r="R191" s="18"/>
      <c r="S191" s="19" t="str">
        <f aca="false">IF(ISNUMBER(L191),IF(L191&gt;0,LN(L191),""),"")</f>
        <v/>
      </c>
      <c r="T191" s="19" t="str">
        <f aca="false">IF(ISNUMBER(S191),IFERROR((S191-LN(INDEX(Estadística!$K$6:$K$25,MATCH(B191,Estadística!$A$6:$A$25,0))))^2,""),"")</f>
        <v/>
      </c>
      <c r="U191" s="19" t="str">
        <f aca="false">IF(ISNUMBER(L191),IFERROR((L191-INDEX(Estadística!$I$6:$I$25,MATCH(B191,Estadística!$A$6:$A$25,0)))^2,""),"")</f>
        <v/>
      </c>
      <c r="V191" s="19" t="str">
        <f aca="false">IF(ISNUMBER(P191),IF(P191&gt;1,1,0),"")</f>
        <v/>
      </c>
    </row>
    <row r="192" customFormat="false" ht="15" hidden="false" customHeight="false" outlineLevel="0" collapsed="false">
      <c r="A192" s="18" t="n">
        <v>187</v>
      </c>
      <c r="B192" s="18"/>
      <c r="C192" s="22"/>
      <c r="D192" s="18"/>
      <c r="E192" s="18"/>
      <c r="F192" s="18"/>
      <c r="G192" s="18"/>
      <c r="H192" s="20" t="str">
        <f aca="false">IF(OR(F192="",G192=""),"",F192*G192/1000)</f>
        <v/>
      </c>
      <c r="I192" s="23"/>
      <c r="J192" s="23"/>
      <c r="K192" s="18"/>
      <c r="L192" s="21" t="str">
        <f aca="false">IF(B192="","",IF(J192&lt;&gt;"",J192,IF(AND(N(I192)&gt;0,N(H192)&gt;0),I192/H192,"")))</f>
        <v/>
      </c>
      <c r="M192" s="19" t="str">
        <f aca="false">IF(B192="","",IFERROR(INDEX(GES!$E$6:$E$25,MATCH(B192,GES!$A$6:$A$25,0)),"GES?"))</f>
        <v/>
      </c>
      <c r="N192" s="21" t="str">
        <f aca="false">IF(AND(ISNUMBER(L192),ISNUMBER(K192),LEFT(M192,3)="CAR"),L192*K192/100,"")</f>
        <v/>
      </c>
      <c r="O192" s="21" t="str">
        <f aca="false">IF(B192="","",IFERROR(INDEX(GES!$U$6:$U$25,MATCH(B192,GES!$A$6:$A$25,0)),""))</f>
        <v/>
      </c>
      <c r="P192" s="24" t="str">
        <f aca="false">IF(AND(ISNUMBER(L192),ISNUMBER(O192)),L192/O192,"")</f>
        <v/>
      </c>
      <c r="Q192" s="25" t="str">
        <f aca="false">IF(NOT(ISNUMBER(L192)),"",IFERROR(IF(INDEX(Estadística!$L$6:$L$25,MATCH(B192,Estadística!$A$6:$A$25,0))&gt;INDEX(Estadística!$T$6:$T$25,MATCH(B192,Estadística!$A$6:$A$25,0)),IF(OR(L192&lt;INDEX(Estadística!$I$6:$I$25,MATCH(B192,Estadística!$A$6:$A$25,0))/2,L192&gt;2*INDEX(Estadística!$I$6:$I$25,MATCH(B192,Estadística!$A$6:$A$25,0))),"Fuera de ½MA–2MA: revisar","Dentro de ½MA–2MA"),"—"),""))</f>
        <v/>
      </c>
      <c r="R192" s="18"/>
      <c r="S192" s="19" t="str">
        <f aca="false">IF(ISNUMBER(L192),IF(L192&gt;0,LN(L192),""),"")</f>
        <v/>
      </c>
      <c r="T192" s="19" t="str">
        <f aca="false">IF(ISNUMBER(S192),IFERROR((S192-LN(INDEX(Estadística!$K$6:$K$25,MATCH(B192,Estadística!$A$6:$A$25,0))))^2,""),"")</f>
        <v/>
      </c>
      <c r="U192" s="19" t="str">
        <f aca="false">IF(ISNUMBER(L192),IFERROR((L192-INDEX(Estadística!$I$6:$I$25,MATCH(B192,Estadística!$A$6:$A$25,0)))^2,""),"")</f>
        <v/>
      </c>
      <c r="V192" s="19" t="str">
        <f aca="false">IF(ISNUMBER(P192),IF(P192&gt;1,1,0),"")</f>
        <v/>
      </c>
    </row>
    <row r="193" customFormat="false" ht="15" hidden="false" customHeight="false" outlineLevel="0" collapsed="false">
      <c r="A193" s="18" t="n">
        <v>188</v>
      </c>
      <c r="B193" s="18"/>
      <c r="C193" s="22"/>
      <c r="D193" s="18"/>
      <c r="E193" s="18"/>
      <c r="F193" s="18"/>
      <c r="G193" s="18"/>
      <c r="H193" s="20" t="str">
        <f aca="false">IF(OR(F193="",G193=""),"",F193*G193/1000)</f>
        <v/>
      </c>
      <c r="I193" s="23"/>
      <c r="J193" s="23"/>
      <c r="K193" s="18"/>
      <c r="L193" s="21" t="str">
        <f aca="false">IF(B193="","",IF(J193&lt;&gt;"",J193,IF(AND(N(I193)&gt;0,N(H193)&gt;0),I193/H193,"")))</f>
        <v/>
      </c>
      <c r="M193" s="19" t="str">
        <f aca="false">IF(B193="","",IFERROR(INDEX(GES!$E$6:$E$25,MATCH(B193,GES!$A$6:$A$25,0)),"GES?"))</f>
        <v/>
      </c>
      <c r="N193" s="21" t="str">
        <f aca="false">IF(AND(ISNUMBER(L193),ISNUMBER(K193),LEFT(M193,3)="CAR"),L193*K193/100,"")</f>
        <v/>
      </c>
      <c r="O193" s="21" t="str">
        <f aca="false">IF(B193="","",IFERROR(INDEX(GES!$U$6:$U$25,MATCH(B193,GES!$A$6:$A$25,0)),""))</f>
        <v/>
      </c>
      <c r="P193" s="24" t="str">
        <f aca="false">IF(AND(ISNUMBER(L193),ISNUMBER(O193)),L193/O193,"")</f>
        <v/>
      </c>
      <c r="Q193" s="25" t="str">
        <f aca="false">IF(NOT(ISNUMBER(L193)),"",IFERROR(IF(INDEX(Estadística!$L$6:$L$25,MATCH(B193,Estadística!$A$6:$A$25,0))&gt;INDEX(Estadística!$T$6:$T$25,MATCH(B193,Estadística!$A$6:$A$25,0)),IF(OR(L193&lt;INDEX(Estadística!$I$6:$I$25,MATCH(B193,Estadística!$A$6:$A$25,0))/2,L193&gt;2*INDEX(Estadística!$I$6:$I$25,MATCH(B193,Estadística!$A$6:$A$25,0))),"Fuera de ½MA–2MA: revisar","Dentro de ½MA–2MA"),"—"),""))</f>
        <v/>
      </c>
      <c r="R193" s="18"/>
      <c r="S193" s="19" t="str">
        <f aca="false">IF(ISNUMBER(L193),IF(L193&gt;0,LN(L193),""),"")</f>
        <v/>
      </c>
      <c r="T193" s="19" t="str">
        <f aca="false">IF(ISNUMBER(S193),IFERROR((S193-LN(INDEX(Estadística!$K$6:$K$25,MATCH(B193,Estadística!$A$6:$A$25,0))))^2,""),"")</f>
        <v/>
      </c>
      <c r="U193" s="19" t="str">
        <f aca="false">IF(ISNUMBER(L193),IFERROR((L193-INDEX(Estadística!$I$6:$I$25,MATCH(B193,Estadística!$A$6:$A$25,0)))^2,""),"")</f>
        <v/>
      </c>
      <c r="V193" s="19" t="str">
        <f aca="false">IF(ISNUMBER(P193),IF(P193&gt;1,1,0),"")</f>
        <v/>
      </c>
    </row>
    <row r="194" customFormat="false" ht="15" hidden="false" customHeight="false" outlineLevel="0" collapsed="false">
      <c r="A194" s="18" t="n">
        <v>189</v>
      </c>
      <c r="B194" s="18"/>
      <c r="C194" s="22"/>
      <c r="D194" s="18"/>
      <c r="E194" s="18"/>
      <c r="F194" s="18"/>
      <c r="G194" s="18"/>
      <c r="H194" s="20" t="str">
        <f aca="false">IF(OR(F194="",G194=""),"",F194*G194/1000)</f>
        <v/>
      </c>
      <c r="I194" s="23"/>
      <c r="J194" s="23"/>
      <c r="K194" s="18"/>
      <c r="L194" s="21" t="str">
        <f aca="false">IF(B194="","",IF(J194&lt;&gt;"",J194,IF(AND(N(I194)&gt;0,N(H194)&gt;0),I194/H194,"")))</f>
        <v/>
      </c>
      <c r="M194" s="19" t="str">
        <f aca="false">IF(B194="","",IFERROR(INDEX(GES!$E$6:$E$25,MATCH(B194,GES!$A$6:$A$25,0)),"GES?"))</f>
        <v/>
      </c>
      <c r="N194" s="21" t="str">
        <f aca="false">IF(AND(ISNUMBER(L194),ISNUMBER(K194),LEFT(M194,3)="CAR"),L194*K194/100,"")</f>
        <v/>
      </c>
      <c r="O194" s="21" t="str">
        <f aca="false">IF(B194="","",IFERROR(INDEX(GES!$U$6:$U$25,MATCH(B194,GES!$A$6:$A$25,0)),""))</f>
        <v/>
      </c>
      <c r="P194" s="24" t="str">
        <f aca="false">IF(AND(ISNUMBER(L194),ISNUMBER(O194)),L194/O194,"")</f>
        <v/>
      </c>
      <c r="Q194" s="25" t="str">
        <f aca="false">IF(NOT(ISNUMBER(L194)),"",IFERROR(IF(INDEX(Estadística!$L$6:$L$25,MATCH(B194,Estadística!$A$6:$A$25,0))&gt;INDEX(Estadística!$T$6:$T$25,MATCH(B194,Estadística!$A$6:$A$25,0)),IF(OR(L194&lt;INDEX(Estadística!$I$6:$I$25,MATCH(B194,Estadística!$A$6:$A$25,0))/2,L194&gt;2*INDEX(Estadística!$I$6:$I$25,MATCH(B194,Estadística!$A$6:$A$25,0))),"Fuera de ½MA–2MA: revisar","Dentro de ½MA–2MA"),"—"),""))</f>
        <v/>
      </c>
      <c r="R194" s="18"/>
      <c r="S194" s="19" t="str">
        <f aca="false">IF(ISNUMBER(L194),IF(L194&gt;0,LN(L194),""),"")</f>
        <v/>
      </c>
      <c r="T194" s="19" t="str">
        <f aca="false">IF(ISNUMBER(S194),IFERROR((S194-LN(INDEX(Estadística!$K$6:$K$25,MATCH(B194,Estadística!$A$6:$A$25,0))))^2,""),"")</f>
        <v/>
      </c>
      <c r="U194" s="19" t="str">
        <f aca="false">IF(ISNUMBER(L194),IFERROR((L194-INDEX(Estadística!$I$6:$I$25,MATCH(B194,Estadística!$A$6:$A$25,0)))^2,""),"")</f>
        <v/>
      </c>
      <c r="V194" s="19" t="str">
        <f aca="false">IF(ISNUMBER(P194),IF(P194&gt;1,1,0),"")</f>
        <v/>
      </c>
    </row>
    <row r="195" customFormat="false" ht="15" hidden="false" customHeight="false" outlineLevel="0" collapsed="false">
      <c r="A195" s="18" t="n">
        <v>190</v>
      </c>
      <c r="B195" s="18"/>
      <c r="C195" s="22"/>
      <c r="D195" s="18"/>
      <c r="E195" s="18"/>
      <c r="F195" s="18"/>
      <c r="G195" s="18"/>
      <c r="H195" s="20" t="str">
        <f aca="false">IF(OR(F195="",G195=""),"",F195*G195/1000)</f>
        <v/>
      </c>
      <c r="I195" s="23"/>
      <c r="J195" s="23"/>
      <c r="K195" s="18"/>
      <c r="L195" s="21" t="str">
        <f aca="false">IF(B195="","",IF(J195&lt;&gt;"",J195,IF(AND(N(I195)&gt;0,N(H195)&gt;0),I195/H195,"")))</f>
        <v/>
      </c>
      <c r="M195" s="19" t="str">
        <f aca="false">IF(B195="","",IFERROR(INDEX(GES!$E$6:$E$25,MATCH(B195,GES!$A$6:$A$25,0)),"GES?"))</f>
        <v/>
      </c>
      <c r="N195" s="21" t="str">
        <f aca="false">IF(AND(ISNUMBER(L195),ISNUMBER(K195),LEFT(M195,3)="CAR"),L195*K195/100,"")</f>
        <v/>
      </c>
      <c r="O195" s="21" t="str">
        <f aca="false">IF(B195="","",IFERROR(INDEX(GES!$U$6:$U$25,MATCH(B195,GES!$A$6:$A$25,0)),""))</f>
        <v/>
      </c>
      <c r="P195" s="24" t="str">
        <f aca="false">IF(AND(ISNUMBER(L195),ISNUMBER(O195)),L195/O195,"")</f>
        <v/>
      </c>
      <c r="Q195" s="25" t="str">
        <f aca="false">IF(NOT(ISNUMBER(L195)),"",IFERROR(IF(INDEX(Estadística!$L$6:$L$25,MATCH(B195,Estadística!$A$6:$A$25,0))&gt;INDEX(Estadística!$T$6:$T$25,MATCH(B195,Estadística!$A$6:$A$25,0)),IF(OR(L195&lt;INDEX(Estadística!$I$6:$I$25,MATCH(B195,Estadística!$A$6:$A$25,0))/2,L195&gt;2*INDEX(Estadística!$I$6:$I$25,MATCH(B195,Estadística!$A$6:$A$25,0))),"Fuera de ½MA–2MA: revisar","Dentro de ½MA–2MA"),"—"),""))</f>
        <v/>
      </c>
      <c r="R195" s="18"/>
      <c r="S195" s="19" t="str">
        <f aca="false">IF(ISNUMBER(L195),IF(L195&gt;0,LN(L195),""),"")</f>
        <v/>
      </c>
      <c r="T195" s="19" t="str">
        <f aca="false">IF(ISNUMBER(S195),IFERROR((S195-LN(INDEX(Estadística!$K$6:$K$25,MATCH(B195,Estadística!$A$6:$A$25,0))))^2,""),"")</f>
        <v/>
      </c>
      <c r="U195" s="19" t="str">
        <f aca="false">IF(ISNUMBER(L195),IFERROR((L195-INDEX(Estadística!$I$6:$I$25,MATCH(B195,Estadística!$A$6:$A$25,0)))^2,""),"")</f>
        <v/>
      </c>
      <c r="V195" s="19" t="str">
        <f aca="false">IF(ISNUMBER(P195),IF(P195&gt;1,1,0),"")</f>
        <v/>
      </c>
    </row>
    <row r="196" customFormat="false" ht="15" hidden="false" customHeight="false" outlineLevel="0" collapsed="false">
      <c r="A196" s="18" t="n">
        <v>191</v>
      </c>
      <c r="B196" s="18"/>
      <c r="C196" s="22"/>
      <c r="D196" s="18"/>
      <c r="E196" s="18"/>
      <c r="F196" s="18"/>
      <c r="G196" s="18"/>
      <c r="H196" s="20" t="str">
        <f aca="false">IF(OR(F196="",G196=""),"",F196*G196/1000)</f>
        <v/>
      </c>
      <c r="I196" s="23"/>
      <c r="J196" s="23"/>
      <c r="K196" s="18"/>
      <c r="L196" s="21" t="str">
        <f aca="false">IF(B196="","",IF(J196&lt;&gt;"",J196,IF(AND(N(I196)&gt;0,N(H196)&gt;0),I196/H196,"")))</f>
        <v/>
      </c>
      <c r="M196" s="19" t="str">
        <f aca="false">IF(B196="","",IFERROR(INDEX(GES!$E$6:$E$25,MATCH(B196,GES!$A$6:$A$25,0)),"GES?"))</f>
        <v/>
      </c>
      <c r="N196" s="21" t="str">
        <f aca="false">IF(AND(ISNUMBER(L196),ISNUMBER(K196),LEFT(M196,3)="CAR"),L196*K196/100,"")</f>
        <v/>
      </c>
      <c r="O196" s="21" t="str">
        <f aca="false">IF(B196="","",IFERROR(INDEX(GES!$U$6:$U$25,MATCH(B196,GES!$A$6:$A$25,0)),""))</f>
        <v/>
      </c>
      <c r="P196" s="24" t="str">
        <f aca="false">IF(AND(ISNUMBER(L196),ISNUMBER(O196)),L196/O196,"")</f>
        <v/>
      </c>
      <c r="Q196" s="25" t="str">
        <f aca="false">IF(NOT(ISNUMBER(L196)),"",IFERROR(IF(INDEX(Estadística!$L$6:$L$25,MATCH(B196,Estadística!$A$6:$A$25,0))&gt;INDEX(Estadística!$T$6:$T$25,MATCH(B196,Estadística!$A$6:$A$25,0)),IF(OR(L196&lt;INDEX(Estadística!$I$6:$I$25,MATCH(B196,Estadística!$A$6:$A$25,0))/2,L196&gt;2*INDEX(Estadística!$I$6:$I$25,MATCH(B196,Estadística!$A$6:$A$25,0))),"Fuera de ½MA–2MA: revisar","Dentro de ½MA–2MA"),"—"),""))</f>
        <v/>
      </c>
      <c r="R196" s="18"/>
      <c r="S196" s="19" t="str">
        <f aca="false">IF(ISNUMBER(L196),IF(L196&gt;0,LN(L196),""),"")</f>
        <v/>
      </c>
      <c r="T196" s="19" t="str">
        <f aca="false">IF(ISNUMBER(S196),IFERROR((S196-LN(INDEX(Estadística!$K$6:$K$25,MATCH(B196,Estadística!$A$6:$A$25,0))))^2,""),"")</f>
        <v/>
      </c>
      <c r="U196" s="19" t="str">
        <f aca="false">IF(ISNUMBER(L196),IFERROR((L196-INDEX(Estadística!$I$6:$I$25,MATCH(B196,Estadística!$A$6:$A$25,0)))^2,""),"")</f>
        <v/>
      </c>
      <c r="V196" s="19" t="str">
        <f aca="false">IF(ISNUMBER(P196),IF(P196&gt;1,1,0),"")</f>
        <v/>
      </c>
    </row>
    <row r="197" customFormat="false" ht="15" hidden="false" customHeight="false" outlineLevel="0" collapsed="false">
      <c r="A197" s="18" t="n">
        <v>192</v>
      </c>
      <c r="B197" s="18"/>
      <c r="C197" s="22"/>
      <c r="D197" s="18"/>
      <c r="E197" s="18"/>
      <c r="F197" s="18"/>
      <c r="G197" s="18"/>
      <c r="H197" s="20" t="str">
        <f aca="false">IF(OR(F197="",G197=""),"",F197*G197/1000)</f>
        <v/>
      </c>
      <c r="I197" s="23"/>
      <c r="J197" s="23"/>
      <c r="K197" s="18"/>
      <c r="L197" s="21" t="str">
        <f aca="false">IF(B197="","",IF(J197&lt;&gt;"",J197,IF(AND(N(I197)&gt;0,N(H197)&gt;0),I197/H197,"")))</f>
        <v/>
      </c>
      <c r="M197" s="19" t="str">
        <f aca="false">IF(B197="","",IFERROR(INDEX(GES!$E$6:$E$25,MATCH(B197,GES!$A$6:$A$25,0)),"GES?"))</f>
        <v/>
      </c>
      <c r="N197" s="21" t="str">
        <f aca="false">IF(AND(ISNUMBER(L197),ISNUMBER(K197),LEFT(M197,3)="CAR"),L197*K197/100,"")</f>
        <v/>
      </c>
      <c r="O197" s="21" t="str">
        <f aca="false">IF(B197="","",IFERROR(INDEX(GES!$U$6:$U$25,MATCH(B197,GES!$A$6:$A$25,0)),""))</f>
        <v/>
      </c>
      <c r="P197" s="24" t="str">
        <f aca="false">IF(AND(ISNUMBER(L197),ISNUMBER(O197)),L197/O197,"")</f>
        <v/>
      </c>
      <c r="Q197" s="25" t="str">
        <f aca="false">IF(NOT(ISNUMBER(L197)),"",IFERROR(IF(INDEX(Estadística!$L$6:$L$25,MATCH(B197,Estadística!$A$6:$A$25,0))&gt;INDEX(Estadística!$T$6:$T$25,MATCH(B197,Estadística!$A$6:$A$25,0)),IF(OR(L197&lt;INDEX(Estadística!$I$6:$I$25,MATCH(B197,Estadística!$A$6:$A$25,0))/2,L197&gt;2*INDEX(Estadística!$I$6:$I$25,MATCH(B197,Estadística!$A$6:$A$25,0))),"Fuera de ½MA–2MA: revisar","Dentro de ½MA–2MA"),"—"),""))</f>
        <v/>
      </c>
      <c r="R197" s="18"/>
      <c r="S197" s="19" t="str">
        <f aca="false">IF(ISNUMBER(L197),IF(L197&gt;0,LN(L197),""),"")</f>
        <v/>
      </c>
      <c r="T197" s="19" t="str">
        <f aca="false">IF(ISNUMBER(S197),IFERROR((S197-LN(INDEX(Estadística!$K$6:$K$25,MATCH(B197,Estadística!$A$6:$A$25,0))))^2,""),"")</f>
        <v/>
      </c>
      <c r="U197" s="19" t="str">
        <f aca="false">IF(ISNUMBER(L197),IFERROR((L197-INDEX(Estadística!$I$6:$I$25,MATCH(B197,Estadística!$A$6:$A$25,0)))^2,""),"")</f>
        <v/>
      </c>
      <c r="V197" s="19" t="str">
        <f aca="false">IF(ISNUMBER(P197),IF(P197&gt;1,1,0),"")</f>
        <v/>
      </c>
    </row>
    <row r="198" customFormat="false" ht="15" hidden="false" customHeight="false" outlineLevel="0" collapsed="false">
      <c r="A198" s="18" t="n">
        <v>193</v>
      </c>
      <c r="B198" s="18"/>
      <c r="C198" s="22"/>
      <c r="D198" s="18"/>
      <c r="E198" s="18"/>
      <c r="F198" s="18"/>
      <c r="G198" s="18"/>
      <c r="H198" s="20" t="str">
        <f aca="false">IF(OR(F198="",G198=""),"",F198*G198/1000)</f>
        <v/>
      </c>
      <c r="I198" s="23"/>
      <c r="J198" s="23"/>
      <c r="K198" s="18"/>
      <c r="L198" s="21" t="str">
        <f aca="false">IF(B198="","",IF(J198&lt;&gt;"",J198,IF(AND(N(I198)&gt;0,N(H198)&gt;0),I198/H198,"")))</f>
        <v/>
      </c>
      <c r="M198" s="19" t="str">
        <f aca="false">IF(B198="","",IFERROR(INDEX(GES!$E$6:$E$25,MATCH(B198,GES!$A$6:$A$25,0)),"GES?"))</f>
        <v/>
      </c>
      <c r="N198" s="21" t="str">
        <f aca="false">IF(AND(ISNUMBER(L198),ISNUMBER(K198),LEFT(M198,3)="CAR"),L198*K198/100,"")</f>
        <v/>
      </c>
      <c r="O198" s="21" t="str">
        <f aca="false">IF(B198="","",IFERROR(INDEX(GES!$U$6:$U$25,MATCH(B198,GES!$A$6:$A$25,0)),""))</f>
        <v/>
      </c>
      <c r="P198" s="24" t="str">
        <f aca="false">IF(AND(ISNUMBER(L198),ISNUMBER(O198)),L198/O198,"")</f>
        <v/>
      </c>
      <c r="Q198" s="25" t="str">
        <f aca="false">IF(NOT(ISNUMBER(L198)),"",IFERROR(IF(INDEX(Estadística!$L$6:$L$25,MATCH(B198,Estadística!$A$6:$A$25,0))&gt;INDEX(Estadística!$T$6:$T$25,MATCH(B198,Estadística!$A$6:$A$25,0)),IF(OR(L198&lt;INDEX(Estadística!$I$6:$I$25,MATCH(B198,Estadística!$A$6:$A$25,0))/2,L198&gt;2*INDEX(Estadística!$I$6:$I$25,MATCH(B198,Estadística!$A$6:$A$25,0))),"Fuera de ½MA–2MA: revisar","Dentro de ½MA–2MA"),"—"),""))</f>
        <v/>
      </c>
      <c r="R198" s="18"/>
      <c r="S198" s="19" t="str">
        <f aca="false">IF(ISNUMBER(L198),IF(L198&gt;0,LN(L198),""),"")</f>
        <v/>
      </c>
      <c r="T198" s="19" t="str">
        <f aca="false">IF(ISNUMBER(S198),IFERROR((S198-LN(INDEX(Estadística!$K$6:$K$25,MATCH(B198,Estadística!$A$6:$A$25,0))))^2,""),"")</f>
        <v/>
      </c>
      <c r="U198" s="19" t="str">
        <f aca="false">IF(ISNUMBER(L198),IFERROR((L198-INDEX(Estadística!$I$6:$I$25,MATCH(B198,Estadística!$A$6:$A$25,0)))^2,""),"")</f>
        <v/>
      </c>
      <c r="V198" s="19" t="str">
        <f aca="false">IF(ISNUMBER(P198),IF(P198&gt;1,1,0),"")</f>
        <v/>
      </c>
    </row>
    <row r="199" customFormat="false" ht="15" hidden="false" customHeight="false" outlineLevel="0" collapsed="false">
      <c r="A199" s="18" t="n">
        <v>194</v>
      </c>
      <c r="B199" s="18"/>
      <c r="C199" s="22"/>
      <c r="D199" s="18"/>
      <c r="E199" s="18"/>
      <c r="F199" s="18"/>
      <c r="G199" s="18"/>
      <c r="H199" s="20" t="str">
        <f aca="false">IF(OR(F199="",G199=""),"",F199*G199/1000)</f>
        <v/>
      </c>
      <c r="I199" s="23"/>
      <c r="J199" s="23"/>
      <c r="K199" s="18"/>
      <c r="L199" s="21" t="str">
        <f aca="false">IF(B199="","",IF(J199&lt;&gt;"",J199,IF(AND(N(I199)&gt;0,N(H199)&gt;0),I199/H199,"")))</f>
        <v/>
      </c>
      <c r="M199" s="19" t="str">
        <f aca="false">IF(B199="","",IFERROR(INDEX(GES!$E$6:$E$25,MATCH(B199,GES!$A$6:$A$25,0)),"GES?"))</f>
        <v/>
      </c>
      <c r="N199" s="21" t="str">
        <f aca="false">IF(AND(ISNUMBER(L199),ISNUMBER(K199),LEFT(M199,3)="CAR"),L199*K199/100,"")</f>
        <v/>
      </c>
      <c r="O199" s="21" t="str">
        <f aca="false">IF(B199="","",IFERROR(INDEX(GES!$U$6:$U$25,MATCH(B199,GES!$A$6:$A$25,0)),""))</f>
        <v/>
      </c>
      <c r="P199" s="24" t="str">
        <f aca="false">IF(AND(ISNUMBER(L199),ISNUMBER(O199)),L199/O199,"")</f>
        <v/>
      </c>
      <c r="Q199" s="25" t="str">
        <f aca="false">IF(NOT(ISNUMBER(L199)),"",IFERROR(IF(INDEX(Estadística!$L$6:$L$25,MATCH(B199,Estadística!$A$6:$A$25,0))&gt;INDEX(Estadística!$T$6:$T$25,MATCH(B199,Estadística!$A$6:$A$25,0)),IF(OR(L199&lt;INDEX(Estadística!$I$6:$I$25,MATCH(B199,Estadística!$A$6:$A$25,0))/2,L199&gt;2*INDEX(Estadística!$I$6:$I$25,MATCH(B199,Estadística!$A$6:$A$25,0))),"Fuera de ½MA–2MA: revisar","Dentro de ½MA–2MA"),"—"),""))</f>
        <v/>
      </c>
      <c r="R199" s="18"/>
      <c r="S199" s="19" t="str">
        <f aca="false">IF(ISNUMBER(L199),IF(L199&gt;0,LN(L199),""),"")</f>
        <v/>
      </c>
      <c r="T199" s="19" t="str">
        <f aca="false">IF(ISNUMBER(S199),IFERROR((S199-LN(INDEX(Estadística!$K$6:$K$25,MATCH(B199,Estadística!$A$6:$A$25,0))))^2,""),"")</f>
        <v/>
      </c>
      <c r="U199" s="19" t="str">
        <f aca="false">IF(ISNUMBER(L199),IFERROR((L199-INDEX(Estadística!$I$6:$I$25,MATCH(B199,Estadística!$A$6:$A$25,0)))^2,""),"")</f>
        <v/>
      </c>
      <c r="V199" s="19" t="str">
        <f aca="false">IF(ISNUMBER(P199),IF(P199&gt;1,1,0),"")</f>
        <v/>
      </c>
    </row>
    <row r="200" customFormat="false" ht="15" hidden="false" customHeight="false" outlineLevel="0" collapsed="false">
      <c r="A200" s="18" t="n">
        <v>195</v>
      </c>
      <c r="B200" s="18"/>
      <c r="C200" s="22"/>
      <c r="D200" s="18"/>
      <c r="E200" s="18"/>
      <c r="F200" s="18"/>
      <c r="G200" s="18"/>
      <c r="H200" s="20" t="str">
        <f aca="false">IF(OR(F200="",G200=""),"",F200*G200/1000)</f>
        <v/>
      </c>
      <c r="I200" s="23"/>
      <c r="J200" s="23"/>
      <c r="K200" s="18"/>
      <c r="L200" s="21" t="str">
        <f aca="false">IF(B200="","",IF(J200&lt;&gt;"",J200,IF(AND(N(I200)&gt;0,N(H200)&gt;0),I200/H200,"")))</f>
        <v/>
      </c>
      <c r="M200" s="19" t="str">
        <f aca="false">IF(B200="","",IFERROR(INDEX(GES!$E$6:$E$25,MATCH(B200,GES!$A$6:$A$25,0)),"GES?"))</f>
        <v/>
      </c>
      <c r="N200" s="21" t="str">
        <f aca="false">IF(AND(ISNUMBER(L200),ISNUMBER(K200),LEFT(M200,3)="CAR"),L200*K200/100,"")</f>
        <v/>
      </c>
      <c r="O200" s="21" t="str">
        <f aca="false">IF(B200="","",IFERROR(INDEX(GES!$U$6:$U$25,MATCH(B200,GES!$A$6:$A$25,0)),""))</f>
        <v/>
      </c>
      <c r="P200" s="24" t="str">
        <f aca="false">IF(AND(ISNUMBER(L200),ISNUMBER(O200)),L200/O200,"")</f>
        <v/>
      </c>
      <c r="Q200" s="25" t="str">
        <f aca="false">IF(NOT(ISNUMBER(L200)),"",IFERROR(IF(INDEX(Estadística!$L$6:$L$25,MATCH(B200,Estadística!$A$6:$A$25,0))&gt;INDEX(Estadística!$T$6:$T$25,MATCH(B200,Estadística!$A$6:$A$25,0)),IF(OR(L200&lt;INDEX(Estadística!$I$6:$I$25,MATCH(B200,Estadística!$A$6:$A$25,0))/2,L200&gt;2*INDEX(Estadística!$I$6:$I$25,MATCH(B200,Estadística!$A$6:$A$25,0))),"Fuera de ½MA–2MA: revisar","Dentro de ½MA–2MA"),"—"),""))</f>
        <v/>
      </c>
      <c r="R200" s="18"/>
      <c r="S200" s="19" t="str">
        <f aca="false">IF(ISNUMBER(L200),IF(L200&gt;0,LN(L200),""),"")</f>
        <v/>
      </c>
      <c r="T200" s="19" t="str">
        <f aca="false">IF(ISNUMBER(S200),IFERROR((S200-LN(INDEX(Estadística!$K$6:$K$25,MATCH(B200,Estadística!$A$6:$A$25,0))))^2,""),"")</f>
        <v/>
      </c>
      <c r="U200" s="19" t="str">
        <f aca="false">IF(ISNUMBER(L200),IFERROR((L200-INDEX(Estadística!$I$6:$I$25,MATCH(B200,Estadística!$A$6:$A$25,0)))^2,""),"")</f>
        <v/>
      </c>
      <c r="V200" s="19" t="str">
        <f aca="false">IF(ISNUMBER(P200),IF(P200&gt;1,1,0),"")</f>
        <v/>
      </c>
    </row>
    <row r="201" customFormat="false" ht="15" hidden="false" customHeight="false" outlineLevel="0" collapsed="false">
      <c r="A201" s="18" t="n">
        <v>196</v>
      </c>
      <c r="B201" s="18"/>
      <c r="C201" s="22"/>
      <c r="D201" s="18"/>
      <c r="E201" s="18"/>
      <c r="F201" s="18"/>
      <c r="G201" s="18"/>
      <c r="H201" s="20" t="str">
        <f aca="false">IF(OR(F201="",G201=""),"",F201*G201/1000)</f>
        <v/>
      </c>
      <c r="I201" s="23"/>
      <c r="J201" s="23"/>
      <c r="K201" s="18"/>
      <c r="L201" s="21" t="str">
        <f aca="false">IF(B201="","",IF(J201&lt;&gt;"",J201,IF(AND(N(I201)&gt;0,N(H201)&gt;0),I201/H201,"")))</f>
        <v/>
      </c>
      <c r="M201" s="19" t="str">
        <f aca="false">IF(B201="","",IFERROR(INDEX(GES!$E$6:$E$25,MATCH(B201,GES!$A$6:$A$25,0)),"GES?"))</f>
        <v/>
      </c>
      <c r="N201" s="21" t="str">
        <f aca="false">IF(AND(ISNUMBER(L201),ISNUMBER(K201),LEFT(M201,3)="CAR"),L201*K201/100,"")</f>
        <v/>
      </c>
      <c r="O201" s="21" t="str">
        <f aca="false">IF(B201="","",IFERROR(INDEX(GES!$U$6:$U$25,MATCH(B201,GES!$A$6:$A$25,0)),""))</f>
        <v/>
      </c>
      <c r="P201" s="24" t="str">
        <f aca="false">IF(AND(ISNUMBER(L201),ISNUMBER(O201)),L201/O201,"")</f>
        <v/>
      </c>
      <c r="Q201" s="25" t="str">
        <f aca="false">IF(NOT(ISNUMBER(L201)),"",IFERROR(IF(INDEX(Estadística!$L$6:$L$25,MATCH(B201,Estadística!$A$6:$A$25,0))&gt;INDEX(Estadística!$T$6:$T$25,MATCH(B201,Estadística!$A$6:$A$25,0)),IF(OR(L201&lt;INDEX(Estadística!$I$6:$I$25,MATCH(B201,Estadística!$A$6:$A$25,0))/2,L201&gt;2*INDEX(Estadística!$I$6:$I$25,MATCH(B201,Estadística!$A$6:$A$25,0))),"Fuera de ½MA–2MA: revisar","Dentro de ½MA–2MA"),"—"),""))</f>
        <v/>
      </c>
      <c r="R201" s="18"/>
      <c r="S201" s="19" t="str">
        <f aca="false">IF(ISNUMBER(L201),IF(L201&gt;0,LN(L201),""),"")</f>
        <v/>
      </c>
      <c r="T201" s="19" t="str">
        <f aca="false">IF(ISNUMBER(S201),IFERROR((S201-LN(INDEX(Estadística!$K$6:$K$25,MATCH(B201,Estadística!$A$6:$A$25,0))))^2,""),"")</f>
        <v/>
      </c>
      <c r="U201" s="19" t="str">
        <f aca="false">IF(ISNUMBER(L201),IFERROR((L201-INDEX(Estadística!$I$6:$I$25,MATCH(B201,Estadística!$A$6:$A$25,0)))^2,""),"")</f>
        <v/>
      </c>
      <c r="V201" s="19" t="str">
        <f aca="false">IF(ISNUMBER(P201),IF(P201&gt;1,1,0),"")</f>
        <v/>
      </c>
    </row>
    <row r="202" customFormat="false" ht="15" hidden="false" customHeight="false" outlineLevel="0" collapsed="false">
      <c r="A202" s="18" t="n">
        <v>197</v>
      </c>
      <c r="B202" s="18"/>
      <c r="C202" s="22"/>
      <c r="D202" s="18"/>
      <c r="E202" s="18"/>
      <c r="F202" s="18"/>
      <c r="G202" s="18"/>
      <c r="H202" s="20" t="str">
        <f aca="false">IF(OR(F202="",G202=""),"",F202*G202/1000)</f>
        <v/>
      </c>
      <c r="I202" s="23"/>
      <c r="J202" s="23"/>
      <c r="K202" s="18"/>
      <c r="L202" s="21" t="str">
        <f aca="false">IF(B202="","",IF(J202&lt;&gt;"",J202,IF(AND(N(I202)&gt;0,N(H202)&gt;0),I202/H202,"")))</f>
        <v/>
      </c>
      <c r="M202" s="19" t="str">
        <f aca="false">IF(B202="","",IFERROR(INDEX(GES!$E$6:$E$25,MATCH(B202,GES!$A$6:$A$25,0)),"GES?"))</f>
        <v/>
      </c>
      <c r="N202" s="21" t="str">
        <f aca="false">IF(AND(ISNUMBER(L202),ISNUMBER(K202),LEFT(M202,3)="CAR"),L202*K202/100,"")</f>
        <v/>
      </c>
      <c r="O202" s="21" t="str">
        <f aca="false">IF(B202="","",IFERROR(INDEX(GES!$U$6:$U$25,MATCH(B202,GES!$A$6:$A$25,0)),""))</f>
        <v/>
      </c>
      <c r="P202" s="24" t="str">
        <f aca="false">IF(AND(ISNUMBER(L202),ISNUMBER(O202)),L202/O202,"")</f>
        <v/>
      </c>
      <c r="Q202" s="25" t="str">
        <f aca="false">IF(NOT(ISNUMBER(L202)),"",IFERROR(IF(INDEX(Estadística!$L$6:$L$25,MATCH(B202,Estadística!$A$6:$A$25,0))&gt;INDEX(Estadística!$T$6:$T$25,MATCH(B202,Estadística!$A$6:$A$25,0)),IF(OR(L202&lt;INDEX(Estadística!$I$6:$I$25,MATCH(B202,Estadística!$A$6:$A$25,0))/2,L202&gt;2*INDEX(Estadística!$I$6:$I$25,MATCH(B202,Estadística!$A$6:$A$25,0))),"Fuera de ½MA–2MA: revisar","Dentro de ½MA–2MA"),"—"),""))</f>
        <v/>
      </c>
      <c r="R202" s="18"/>
      <c r="S202" s="19" t="str">
        <f aca="false">IF(ISNUMBER(L202),IF(L202&gt;0,LN(L202),""),"")</f>
        <v/>
      </c>
      <c r="T202" s="19" t="str">
        <f aca="false">IF(ISNUMBER(S202),IFERROR((S202-LN(INDEX(Estadística!$K$6:$K$25,MATCH(B202,Estadística!$A$6:$A$25,0))))^2,""),"")</f>
        <v/>
      </c>
      <c r="U202" s="19" t="str">
        <f aca="false">IF(ISNUMBER(L202),IFERROR((L202-INDEX(Estadística!$I$6:$I$25,MATCH(B202,Estadística!$A$6:$A$25,0)))^2,""),"")</f>
        <v/>
      </c>
      <c r="V202" s="19" t="str">
        <f aca="false">IF(ISNUMBER(P202),IF(P202&gt;1,1,0),"")</f>
        <v/>
      </c>
    </row>
    <row r="203" customFormat="false" ht="15" hidden="false" customHeight="false" outlineLevel="0" collapsed="false">
      <c r="A203" s="18" t="n">
        <v>198</v>
      </c>
      <c r="B203" s="18"/>
      <c r="C203" s="22"/>
      <c r="D203" s="18"/>
      <c r="E203" s="18"/>
      <c r="F203" s="18"/>
      <c r="G203" s="18"/>
      <c r="H203" s="20" t="str">
        <f aca="false">IF(OR(F203="",G203=""),"",F203*G203/1000)</f>
        <v/>
      </c>
      <c r="I203" s="23"/>
      <c r="J203" s="23"/>
      <c r="K203" s="18"/>
      <c r="L203" s="21" t="str">
        <f aca="false">IF(B203="","",IF(J203&lt;&gt;"",J203,IF(AND(N(I203)&gt;0,N(H203)&gt;0),I203/H203,"")))</f>
        <v/>
      </c>
      <c r="M203" s="19" t="str">
        <f aca="false">IF(B203="","",IFERROR(INDEX(GES!$E$6:$E$25,MATCH(B203,GES!$A$6:$A$25,0)),"GES?"))</f>
        <v/>
      </c>
      <c r="N203" s="21" t="str">
        <f aca="false">IF(AND(ISNUMBER(L203),ISNUMBER(K203),LEFT(M203,3)="CAR"),L203*K203/100,"")</f>
        <v/>
      </c>
      <c r="O203" s="21" t="str">
        <f aca="false">IF(B203="","",IFERROR(INDEX(GES!$U$6:$U$25,MATCH(B203,GES!$A$6:$A$25,0)),""))</f>
        <v/>
      </c>
      <c r="P203" s="24" t="str">
        <f aca="false">IF(AND(ISNUMBER(L203),ISNUMBER(O203)),L203/O203,"")</f>
        <v/>
      </c>
      <c r="Q203" s="25" t="str">
        <f aca="false">IF(NOT(ISNUMBER(L203)),"",IFERROR(IF(INDEX(Estadística!$L$6:$L$25,MATCH(B203,Estadística!$A$6:$A$25,0))&gt;INDEX(Estadística!$T$6:$T$25,MATCH(B203,Estadística!$A$6:$A$25,0)),IF(OR(L203&lt;INDEX(Estadística!$I$6:$I$25,MATCH(B203,Estadística!$A$6:$A$25,0))/2,L203&gt;2*INDEX(Estadística!$I$6:$I$25,MATCH(B203,Estadística!$A$6:$A$25,0))),"Fuera de ½MA–2MA: revisar","Dentro de ½MA–2MA"),"—"),""))</f>
        <v/>
      </c>
      <c r="R203" s="18"/>
      <c r="S203" s="19" t="str">
        <f aca="false">IF(ISNUMBER(L203),IF(L203&gt;0,LN(L203),""),"")</f>
        <v/>
      </c>
      <c r="T203" s="19" t="str">
        <f aca="false">IF(ISNUMBER(S203),IFERROR((S203-LN(INDEX(Estadística!$K$6:$K$25,MATCH(B203,Estadística!$A$6:$A$25,0))))^2,""),"")</f>
        <v/>
      </c>
      <c r="U203" s="19" t="str">
        <f aca="false">IF(ISNUMBER(L203),IFERROR((L203-INDEX(Estadística!$I$6:$I$25,MATCH(B203,Estadística!$A$6:$A$25,0)))^2,""),"")</f>
        <v/>
      </c>
      <c r="V203" s="19" t="str">
        <f aca="false">IF(ISNUMBER(P203),IF(P203&gt;1,1,0),"")</f>
        <v/>
      </c>
    </row>
    <row r="204" customFormat="false" ht="15" hidden="false" customHeight="false" outlineLevel="0" collapsed="false">
      <c r="A204" s="18" t="n">
        <v>199</v>
      </c>
      <c r="B204" s="18"/>
      <c r="C204" s="22"/>
      <c r="D204" s="18"/>
      <c r="E204" s="18"/>
      <c r="F204" s="18"/>
      <c r="G204" s="18"/>
      <c r="H204" s="20" t="str">
        <f aca="false">IF(OR(F204="",G204=""),"",F204*G204/1000)</f>
        <v/>
      </c>
      <c r="I204" s="23"/>
      <c r="J204" s="23"/>
      <c r="K204" s="18"/>
      <c r="L204" s="21" t="str">
        <f aca="false">IF(B204="","",IF(J204&lt;&gt;"",J204,IF(AND(N(I204)&gt;0,N(H204)&gt;0),I204/H204,"")))</f>
        <v/>
      </c>
      <c r="M204" s="19" t="str">
        <f aca="false">IF(B204="","",IFERROR(INDEX(GES!$E$6:$E$25,MATCH(B204,GES!$A$6:$A$25,0)),"GES?"))</f>
        <v/>
      </c>
      <c r="N204" s="21" t="str">
        <f aca="false">IF(AND(ISNUMBER(L204),ISNUMBER(K204),LEFT(M204,3)="CAR"),L204*K204/100,"")</f>
        <v/>
      </c>
      <c r="O204" s="21" t="str">
        <f aca="false">IF(B204="","",IFERROR(INDEX(GES!$U$6:$U$25,MATCH(B204,GES!$A$6:$A$25,0)),""))</f>
        <v/>
      </c>
      <c r="P204" s="24" t="str">
        <f aca="false">IF(AND(ISNUMBER(L204),ISNUMBER(O204)),L204/O204,"")</f>
        <v/>
      </c>
      <c r="Q204" s="25" t="str">
        <f aca="false">IF(NOT(ISNUMBER(L204)),"",IFERROR(IF(INDEX(Estadística!$L$6:$L$25,MATCH(B204,Estadística!$A$6:$A$25,0))&gt;INDEX(Estadística!$T$6:$T$25,MATCH(B204,Estadística!$A$6:$A$25,0)),IF(OR(L204&lt;INDEX(Estadística!$I$6:$I$25,MATCH(B204,Estadística!$A$6:$A$25,0))/2,L204&gt;2*INDEX(Estadística!$I$6:$I$25,MATCH(B204,Estadística!$A$6:$A$25,0))),"Fuera de ½MA–2MA: revisar","Dentro de ½MA–2MA"),"—"),""))</f>
        <v/>
      </c>
      <c r="R204" s="18"/>
      <c r="S204" s="19" t="str">
        <f aca="false">IF(ISNUMBER(L204),IF(L204&gt;0,LN(L204),""),"")</f>
        <v/>
      </c>
      <c r="T204" s="19" t="str">
        <f aca="false">IF(ISNUMBER(S204),IFERROR((S204-LN(INDEX(Estadística!$K$6:$K$25,MATCH(B204,Estadística!$A$6:$A$25,0))))^2,""),"")</f>
        <v/>
      </c>
      <c r="U204" s="19" t="str">
        <f aca="false">IF(ISNUMBER(L204),IFERROR((L204-INDEX(Estadística!$I$6:$I$25,MATCH(B204,Estadística!$A$6:$A$25,0)))^2,""),"")</f>
        <v/>
      </c>
      <c r="V204" s="19" t="str">
        <f aca="false">IF(ISNUMBER(P204),IF(P204&gt;1,1,0),"")</f>
        <v/>
      </c>
    </row>
    <row r="205" customFormat="false" ht="15" hidden="false" customHeight="false" outlineLevel="0" collapsed="false">
      <c r="A205" s="18" t="n">
        <v>200</v>
      </c>
      <c r="B205" s="18"/>
      <c r="C205" s="22"/>
      <c r="D205" s="18"/>
      <c r="E205" s="18"/>
      <c r="F205" s="18"/>
      <c r="G205" s="18"/>
      <c r="H205" s="20" t="str">
        <f aca="false">IF(OR(F205="",G205=""),"",F205*G205/1000)</f>
        <v/>
      </c>
      <c r="I205" s="23"/>
      <c r="J205" s="23"/>
      <c r="K205" s="18"/>
      <c r="L205" s="21" t="str">
        <f aca="false">IF(B205="","",IF(J205&lt;&gt;"",J205,IF(AND(N(I205)&gt;0,N(H205)&gt;0),I205/H205,"")))</f>
        <v/>
      </c>
      <c r="M205" s="19" t="str">
        <f aca="false">IF(B205="","",IFERROR(INDEX(GES!$E$6:$E$25,MATCH(B205,GES!$A$6:$A$25,0)),"GES?"))</f>
        <v/>
      </c>
      <c r="N205" s="21" t="str">
        <f aca="false">IF(AND(ISNUMBER(L205),ISNUMBER(K205),LEFT(M205,3)="CAR"),L205*K205/100,"")</f>
        <v/>
      </c>
      <c r="O205" s="21" t="str">
        <f aca="false">IF(B205="","",IFERROR(INDEX(GES!$U$6:$U$25,MATCH(B205,GES!$A$6:$A$25,0)),""))</f>
        <v/>
      </c>
      <c r="P205" s="24" t="str">
        <f aca="false">IF(AND(ISNUMBER(L205),ISNUMBER(O205)),L205/O205,"")</f>
        <v/>
      </c>
      <c r="Q205" s="25" t="str">
        <f aca="false">IF(NOT(ISNUMBER(L205)),"",IFERROR(IF(INDEX(Estadística!$L$6:$L$25,MATCH(B205,Estadística!$A$6:$A$25,0))&gt;INDEX(Estadística!$T$6:$T$25,MATCH(B205,Estadística!$A$6:$A$25,0)),IF(OR(L205&lt;INDEX(Estadística!$I$6:$I$25,MATCH(B205,Estadística!$A$6:$A$25,0))/2,L205&gt;2*INDEX(Estadística!$I$6:$I$25,MATCH(B205,Estadística!$A$6:$A$25,0))),"Fuera de ½MA–2MA: revisar","Dentro de ½MA–2MA"),"—"),""))</f>
        <v/>
      </c>
      <c r="R205" s="18"/>
      <c r="S205" s="19" t="str">
        <f aca="false">IF(ISNUMBER(L205),IF(L205&gt;0,LN(L205),""),"")</f>
        <v/>
      </c>
      <c r="T205" s="19" t="str">
        <f aca="false">IF(ISNUMBER(S205),IFERROR((S205-LN(INDEX(Estadística!$K$6:$K$25,MATCH(B205,Estadística!$A$6:$A$25,0))))^2,""),"")</f>
        <v/>
      </c>
      <c r="U205" s="19" t="str">
        <f aca="false">IF(ISNUMBER(L205),IFERROR((L205-INDEX(Estadística!$I$6:$I$25,MATCH(B205,Estadística!$A$6:$A$25,0)))^2,""),"")</f>
        <v/>
      </c>
      <c r="V205" s="19" t="str">
        <f aca="false">IF(ISNUMBER(P205),IF(P205&gt;1,1,0),"")</f>
        <v/>
      </c>
    </row>
    <row r="206" customFormat="false" ht="15" hidden="false" customHeight="false" outlineLevel="0" collapsed="false">
      <c r="A206" s="18" t="n">
        <v>201</v>
      </c>
      <c r="B206" s="18"/>
      <c r="C206" s="22"/>
      <c r="D206" s="18"/>
      <c r="E206" s="18"/>
      <c r="F206" s="18"/>
      <c r="G206" s="18"/>
      <c r="H206" s="20" t="str">
        <f aca="false">IF(OR(F206="",G206=""),"",F206*G206/1000)</f>
        <v/>
      </c>
      <c r="I206" s="23"/>
      <c r="J206" s="23"/>
      <c r="K206" s="18"/>
      <c r="L206" s="21" t="str">
        <f aca="false">IF(B206="","",IF(J206&lt;&gt;"",J206,IF(AND(N(I206)&gt;0,N(H206)&gt;0),I206/H206,"")))</f>
        <v/>
      </c>
      <c r="M206" s="19" t="str">
        <f aca="false">IF(B206="","",IFERROR(INDEX(GES!$E$6:$E$25,MATCH(B206,GES!$A$6:$A$25,0)),"GES?"))</f>
        <v/>
      </c>
      <c r="N206" s="21" t="str">
        <f aca="false">IF(AND(ISNUMBER(L206),ISNUMBER(K206),LEFT(M206,3)="CAR"),L206*K206/100,"")</f>
        <v/>
      </c>
      <c r="O206" s="21" t="str">
        <f aca="false">IF(B206="","",IFERROR(INDEX(GES!$U$6:$U$25,MATCH(B206,GES!$A$6:$A$25,0)),""))</f>
        <v/>
      </c>
      <c r="P206" s="24" t="str">
        <f aca="false">IF(AND(ISNUMBER(L206),ISNUMBER(O206)),L206/O206,"")</f>
        <v/>
      </c>
      <c r="Q206" s="25" t="str">
        <f aca="false">IF(NOT(ISNUMBER(L206)),"",IFERROR(IF(INDEX(Estadística!$L$6:$L$25,MATCH(B206,Estadística!$A$6:$A$25,0))&gt;INDEX(Estadística!$T$6:$T$25,MATCH(B206,Estadística!$A$6:$A$25,0)),IF(OR(L206&lt;INDEX(Estadística!$I$6:$I$25,MATCH(B206,Estadística!$A$6:$A$25,0))/2,L206&gt;2*INDEX(Estadística!$I$6:$I$25,MATCH(B206,Estadística!$A$6:$A$25,0))),"Fuera de ½MA–2MA: revisar","Dentro de ½MA–2MA"),"—"),""))</f>
        <v/>
      </c>
      <c r="R206" s="18"/>
      <c r="S206" s="19" t="str">
        <f aca="false">IF(ISNUMBER(L206),IF(L206&gt;0,LN(L206),""),"")</f>
        <v/>
      </c>
      <c r="T206" s="19" t="str">
        <f aca="false">IF(ISNUMBER(S206),IFERROR((S206-LN(INDEX(Estadística!$K$6:$K$25,MATCH(B206,Estadística!$A$6:$A$25,0))))^2,""),"")</f>
        <v/>
      </c>
      <c r="U206" s="19" t="str">
        <f aca="false">IF(ISNUMBER(L206),IFERROR((L206-INDEX(Estadística!$I$6:$I$25,MATCH(B206,Estadística!$A$6:$A$25,0)))^2,""),"")</f>
        <v/>
      </c>
      <c r="V206" s="19" t="str">
        <f aca="false">IF(ISNUMBER(P206),IF(P206&gt;1,1,0),"")</f>
        <v/>
      </c>
    </row>
    <row r="207" customFormat="false" ht="15" hidden="false" customHeight="false" outlineLevel="0" collapsed="false">
      <c r="A207" s="18" t="n">
        <v>202</v>
      </c>
      <c r="B207" s="18"/>
      <c r="C207" s="22"/>
      <c r="D207" s="18"/>
      <c r="E207" s="18"/>
      <c r="F207" s="18"/>
      <c r="G207" s="18"/>
      <c r="H207" s="20" t="str">
        <f aca="false">IF(OR(F207="",G207=""),"",F207*G207/1000)</f>
        <v/>
      </c>
      <c r="I207" s="23"/>
      <c r="J207" s="23"/>
      <c r="K207" s="18"/>
      <c r="L207" s="21" t="str">
        <f aca="false">IF(B207="","",IF(J207&lt;&gt;"",J207,IF(AND(N(I207)&gt;0,N(H207)&gt;0),I207/H207,"")))</f>
        <v/>
      </c>
      <c r="M207" s="19" t="str">
        <f aca="false">IF(B207="","",IFERROR(INDEX(GES!$E$6:$E$25,MATCH(B207,GES!$A$6:$A$25,0)),"GES?"))</f>
        <v/>
      </c>
      <c r="N207" s="21" t="str">
        <f aca="false">IF(AND(ISNUMBER(L207),ISNUMBER(K207),LEFT(M207,3)="CAR"),L207*K207/100,"")</f>
        <v/>
      </c>
      <c r="O207" s="21" t="str">
        <f aca="false">IF(B207="","",IFERROR(INDEX(GES!$U$6:$U$25,MATCH(B207,GES!$A$6:$A$25,0)),""))</f>
        <v/>
      </c>
      <c r="P207" s="24" t="str">
        <f aca="false">IF(AND(ISNUMBER(L207),ISNUMBER(O207)),L207/O207,"")</f>
        <v/>
      </c>
      <c r="Q207" s="25" t="str">
        <f aca="false">IF(NOT(ISNUMBER(L207)),"",IFERROR(IF(INDEX(Estadística!$L$6:$L$25,MATCH(B207,Estadística!$A$6:$A$25,0))&gt;INDEX(Estadística!$T$6:$T$25,MATCH(B207,Estadística!$A$6:$A$25,0)),IF(OR(L207&lt;INDEX(Estadística!$I$6:$I$25,MATCH(B207,Estadística!$A$6:$A$25,0))/2,L207&gt;2*INDEX(Estadística!$I$6:$I$25,MATCH(B207,Estadística!$A$6:$A$25,0))),"Fuera de ½MA–2MA: revisar","Dentro de ½MA–2MA"),"—"),""))</f>
        <v/>
      </c>
      <c r="R207" s="18"/>
      <c r="S207" s="19" t="str">
        <f aca="false">IF(ISNUMBER(L207),IF(L207&gt;0,LN(L207),""),"")</f>
        <v/>
      </c>
      <c r="T207" s="19" t="str">
        <f aca="false">IF(ISNUMBER(S207),IFERROR((S207-LN(INDEX(Estadística!$K$6:$K$25,MATCH(B207,Estadística!$A$6:$A$25,0))))^2,""),"")</f>
        <v/>
      </c>
      <c r="U207" s="19" t="str">
        <f aca="false">IF(ISNUMBER(L207),IFERROR((L207-INDEX(Estadística!$I$6:$I$25,MATCH(B207,Estadística!$A$6:$A$25,0)))^2,""),"")</f>
        <v/>
      </c>
      <c r="V207" s="19" t="str">
        <f aca="false">IF(ISNUMBER(P207),IF(P207&gt;1,1,0),"")</f>
        <v/>
      </c>
    </row>
    <row r="208" customFormat="false" ht="15" hidden="false" customHeight="false" outlineLevel="0" collapsed="false">
      <c r="A208" s="18" t="n">
        <v>203</v>
      </c>
      <c r="B208" s="18"/>
      <c r="C208" s="22"/>
      <c r="D208" s="18"/>
      <c r="E208" s="18"/>
      <c r="F208" s="18"/>
      <c r="G208" s="18"/>
      <c r="H208" s="20" t="str">
        <f aca="false">IF(OR(F208="",G208=""),"",F208*G208/1000)</f>
        <v/>
      </c>
      <c r="I208" s="23"/>
      <c r="J208" s="23"/>
      <c r="K208" s="18"/>
      <c r="L208" s="21" t="str">
        <f aca="false">IF(B208="","",IF(J208&lt;&gt;"",J208,IF(AND(N(I208)&gt;0,N(H208)&gt;0),I208/H208,"")))</f>
        <v/>
      </c>
      <c r="M208" s="19" t="str">
        <f aca="false">IF(B208="","",IFERROR(INDEX(GES!$E$6:$E$25,MATCH(B208,GES!$A$6:$A$25,0)),"GES?"))</f>
        <v/>
      </c>
      <c r="N208" s="21" t="str">
        <f aca="false">IF(AND(ISNUMBER(L208),ISNUMBER(K208),LEFT(M208,3)="CAR"),L208*K208/100,"")</f>
        <v/>
      </c>
      <c r="O208" s="21" t="str">
        <f aca="false">IF(B208="","",IFERROR(INDEX(GES!$U$6:$U$25,MATCH(B208,GES!$A$6:$A$25,0)),""))</f>
        <v/>
      </c>
      <c r="P208" s="24" t="str">
        <f aca="false">IF(AND(ISNUMBER(L208),ISNUMBER(O208)),L208/O208,"")</f>
        <v/>
      </c>
      <c r="Q208" s="25" t="str">
        <f aca="false">IF(NOT(ISNUMBER(L208)),"",IFERROR(IF(INDEX(Estadística!$L$6:$L$25,MATCH(B208,Estadística!$A$6:$A$25,0))&gt;INDEX(Estadística!$T$6:$T$25,MATCH(B208,Estadística!$A$6:$A$25,0)),IF(OR(L208&lt;INDEX(Estadística!$I$6:$I$25,MATCH(B208,Estadística!$A$6:$A$25,0))/2,L208&gt;2*INDEX(Estadística!$I$6:$I$25,MATCH(B208,Estadística!$A$6:$A$25,0))),"Fuera de ½MA–2MA: revisar","Dentro de ½MA–2MA"),"—"),""))</f>
        <v/>
      </c>
      <c r="R208" s="18"/>
      <c r="S208" s="19" t="str">
        <f aca="false">IF(ISNUMBER(L208),IF(L208&gt;0,LN(L208),""),"")</f>
        <v/>
      </c>
      <c r="T208" s="19" t="str">
        <f aca="false">IF(ISNUMBER(S208),IFERROR((S208-LN(INDEX(Estadística!$K$6:$K$25,MATCH(B208,Estadística!$A$6:$A$25,0))))^2,""),"")</f>
        <v/>
      </c>
      <c r="U208" s="19" t="str">
        <f aca="false">IF(ISNUMBER(L208),IFERROR((L208-INDEX(Estadística!$I$6:$I$25,MATCH(B208,Estadística!$A$6:$A$25,0)))^2,""),"")</f>
        <v/>
      </c>
      <c r="V208" s="19" t="str">
        <f aca="false">IF(ISNUMBER(P208),IF(P208&gt;1,1,0),"")</f>
        <v/>
      </c>
    </row>
    <row r="209" customFormat="false" ht="15" hidden="false" customHeight="false" outlineLevel="0" collapsed="false">
      <c r="A209" s="18" t="n">
        <v>204</v>
      </c>
      <c r="B209" s="18"/>
      <c r="C209" s="22"/>
      <c r="D209" s="18"/>
      <c r="E209" s="18"/>
      <c r="F209" s="18"/>
      <c r="G209" s="18"/>
      <c r="H209" s="20" t="str">
        <f aca="false">IF(OR(F209="",G209=""),"",F209*G209/1000)</f>
        <v/>
      </c>
      <c r="I209" s="23"/>
      <c r="J209" s="23"/>
      <c r="K209" s="18"/>
      <c r="L209" s="21" t="str">
        <f aca="false">IF(B209="","",IF(J209&lt;&gt;"",J209,IF(AND(N(I209)&gt;0,N(H209)&gt;0),I209/H209,"")))</f>
        <v/>
      </c>
      <c r="M209" s="19" t="str">
        <f aca="false">IF(B209="","",IFERROR(INDEX(GES!$E$6:$E$25,MATCH(B209,GES!$A$6:$A$25,0)),"GES?"))</f>
        <v/>
      </c>
      <c r="N209" s="21" t="str">
        <f aca="false">IF(AND(ISNUMBER(L209),ISNUMBER(K209),LEFT(M209,3)="CAR"),L209*K209/100,"")</f>
        <v/>
      </c>
      <c r="O209" s="21" t="str">
        <f aca="false">IF(B209="","",IFERROR(INDEX(GES!$U$6:$U$25,MATCH(B209,GES!$A$6:$A$25,0)),""))</f>
        <v/>
      </c>
      <c r="P209" s="24" t="str">
        <f aca="false">IF(AND(ISNUMBER(L209),ISNUMBER(O209)),L209/O209,"")</f>
        <v/>
      </c>
      <c r="Q209" s="25" t="str">
        <f aca="false">IF(NOT(ISNUMBER(L209)),"",IFERROR(IF(INDEX(Estadística!$L$6:$L$25,MATCH(B209,Estadística!$A$6:$A$25,0))&gt;INDEX(Estadística!$T$6:$T$25,MATCH(B209,Estadística!$A$6:$A$25,0)),IF(OR(L209&lt;INDEX(Estadística!$I$6:$I$25,MATCH(B209,Estadística!$A$6:$A$25,0))/2,L209&gt;2*INDEX(Estadística!$I$6:$I$25,MATCH(B209,Estadística!$A$6:$A$25,0))),"Fuera de ½MA–2MA: revisar","Dentro de ½MA–2MA"),"—"),""))</f>
        <v/>
      </c>
      <c r="R209" s="18"/>
      <c r="S209" s="19" t="str">
        <f aca="false">IF(ISNUMBER(L209),IF(L209&gt;0,LN(L209),""),"")</f>
        <v/>
      </c>
      <c r="T209" s="19" t="str">
        <f aca="false">IF(ISNUMBER(S209),IFERROR((S209-LN(INDEX(Estadística!$K$6:$K$25,MATCH(B209,Estadística!$A$6:$A$25,0))))^2,""),"")</f>
        <v/>
      </c>
      <c r="U209" s="19" t="str">
        <f aca="false">IF(ISNUMBER(L209),IFERROR((L209-INDEX(Estadística!$I$6:$I$25,MATCH(B209,Estadística!$A$6:$A$25,0)))^2,""),"")</f>
        <v/>
      </c>
      <c r="V209" s="19" t="str">
        <f aca="false">IF(ISNUMBER(P209),IF(P209&gt;1,1,0),"")</f>
        <v/>
      </c>
    </row>
    <row r="210" customFormat="false" ht="15" hidden="false" customHeight="false" outlineLevel="0" collapsed="false">
      <c r="A210" s="18" t="n">
        <v>205</v>
      </c>
      <c r="B210" s="18"/>
      <c r="C210" s="22"/>
      <c r="D210" s="18"/>
      <c r="E210" s="18"/>
      <c r="F210" s="18"/>
      <c r="G210" s="18"/>
      <c r="H210" s="20" t="str">
        <f aca="false">IF(OR(F210="",G210=""),"",F210*G210/1000)</f>
        <v/>
      </c>
      <c r="I210" s="23"/>
      <c r="J210" s="23"/>
      <c r="K210" s="18"/>
      <c r="L210" s="21" t="str">
        <f aca="false">IF(B210="","",IF(J210&lt;&gt;"",J210,IF(AND(N(I210)&gt;0,N(H210)&gt;0),I210/H210,"")))</f>
        <v/>
      </c>
      <c r="M210" s="19" t="str">
        <f aca="false">IF(B210="","",IFERROR(INDEX(GES!$E$6:$E$25,MATCH(B210,GES!$A$6:$A$25,0)),"GES?"))</f>
        <v/>
      </c>
      <c r="N210" s="21" t="str">
        <f aca="false">IF(AND(ISNUMBER(L210),ISNUMBER(K210),LEFT(M210,3)="CAR"),L210*K210/100,"")</f>
        <v/>
      </c>
      <c r="O210" s="21" t="str">
        <f aca="false">IF(B210="","",IFERROR(INDEX(GES!$U$6:$U$25,MATCH(B210,GES!$A$6:$A$25,0)),""))</f>
        <v/>
      </c>
      <c r="P210" s="24" t="str">
        <f aca="false">IF(AND(ISNUMBER(L210),ISNUMBER(O210)),L210/O210,"")</f>
        <v/>
      </c>
      <c r="Q210" s="25" t="str">
        <f aca="false">IF(NOT(ISNUMBER(L210)),"",IFERROR(IF(INDEX(Estadística!$L$6:$L$25,MATCH(B210,Estadística!$A$6:$A$25,0))&gt;INDEX(Estadística!$T$6:$T$25,MATCH(B210,Estadística!$A$6:$A$25,0)),IF(OR(L210&lt;INDEX(Estadística!$I$6:$I$25,MATCH(B210,Estadística!$A$6:$A$25,0))/2,L210&gt;2*INDEX(Estadística!$I$6:$I$25,MATCH(B210,Estadística!$A$6:$A$25,0))),"Fuera de ½MA–2MA: revisar","Dentro de ½MA–2MA"),"—"),""))</f>
        <v/>
      </c>
      <c r="R210" s="18"/>
      <c r="S210" s="19" t="str">
        <f aca="false">IF(ISNUMBER(L210),IF(L210&gt;0,LN(L210),""),"")</f>
        <v/>
      </c>
      <c r="T210" s="19" t="str">
        <f aca="false">IF(ISNUMBER(S210),IFERROR((S210-LN(INDEX(Estadística!$K$6:$K$25,MATCH(B210,Estadística!$A$6:$A$25,0))))^2,""),"")</f>
        <v/>
      </c>
      <c r="U210" s="19" t="str">
        <f aca="false">IF(ISNUMBER(L210),IFERROR((L210-INDEX(Estadística!$I$6:$I$25,MATCH(B210,Estadística!$A$6:$A$25,0)))^2,""),"")</f>
        <v/>
      </c>
      <c r="V210" s="19" t="str">
        <f aca="false">IF(ISNUMBER(P210),IF(P210&gt;1,1,0),"")</f>
        <v/>
      </c>
    </row>
    <row r="211" customFormat="false" ht="15" hidden="false" customHeight="false" outlineLevel="0" collapsed="false">
      <c r="A211" s="18" t="n">
        <v>206</v>
      </c>
      <c r="B211" s="18"/>
      <c r="C211" s="22"/>
      <c r="D211" s="18"/>
      <c r="E211" s="18"/>
      <c r="F211" s="18"/>
      <c r="G211" s="18"/>
      <c r="H211" s="20" t="str">
        <f aca="false">IF(OR(F211="",G211=""),"",F211*G211/1000)</f>
        <v/>
      </c>
      <c r="I211" s="23"/>
      <c r="J211" s="23"/>
      <c r="K211" s="18"/>
      <c r="L211" s="21" t="str">
        <f aca="false">IF(B211="","",IF(J211&lt;&gt;"",J211,IF(AND(N(I211)&gt;0,N(H211)&gt;0),I211/H211,"")))</f>
        <v/>
      </c>
      <c r="M211" s="19" t="str">
        <f aca="false">IF(B211="","",IFERROR(INDEX(GES!$E$6:$E$25,MATCH(B211,GES!$A$6:$A$25,0)),"GES?"))</f>
        <v/>
      </c>
      <c r="N211" s="21" t="str">
        <f aca="false">IF(AND(ISNUMBER(L211),ISNUMBER(K211),LEFT(M211,3)="CAR"),L211*K211/100,"")</f>
        <v/>
      </c>
      <c r="O211" s="21" t="str">
        <f aca="false">IF(B211="","",IFERROR(INDEX(GES!$U$6:$U$25,MATCH(B211,GES!$A$6:$A$25,0)),""))</f>
        <v/>
      </c>
      <c r="P211" s="24" t="str">
        <f aca="false">IF(AND(ISNUMBER(L211),ISNUMBER(O211)),L211/O211,"")</f>
        <v/>
      </c>
      <c r="Q211" s="25" t="str">
        <f aca="false">IF(NOT(ISNUMBER(L211)),"",IFERROR(IF(INDEX(Estadística!$L$6:$L$25,MATCH(B211,Estadística!$A$6:$A$25,0))&gt;INDEX(Estadística!$T$6:$T$25,MATCH(B211,Estadística!$A$6:$A$25,0)),IF(OR(L211&lt;INDEX(Estadística!$I$6:$I$25,MATCH(B211,Estadística!$A$6:$A$25,0))/2,L211&gt;2*INDEX(Estadística!$I$6:$I$25,MATCH(B211,Estadística!$A$6:$A$25,0))),"Fuera de ½MA–2MA: revisar","Dentro de ½MA–2MA"),"—"),""))</f>
        <v/>
      </c>
      <c r="R211" s="18"/>
      <c r="S211" s="19" t="str">
        <f aca="false">IF(ISNUMBER(L211),IF(L211&gt;0,LN(L211),""),"")</f>
        <v/>
      </c>
      <c r="T211" s="19" t="str">
        <f aca="false">IF(ISNUMBER(S211),IFERROR((S211-LN(INDEX(Estadística!$K$6:$K$25,MATCH(B211,Estadística!$A$6:$A$25,0))))^2,""),"")</f>
        <v/>
      </c>
      <c r="U211" s="19" t="str">
        <f aca="false">IF(ISNUMBER(L211),IFERROR((L211-INDEX(Estadística!$I$6:$I$25,MATCH(B211,Estadística!$A$6:$A$25,0)))^2,""),"")</f>
        <v/>
      </c>
      <c r="V211" s="19" t="str">
        <f aca="false">IF(ISNUMBER(P211),IF(P211&gt;1,1,0),"")</f>
        <v/>
      </c>
    </row>
    <row r="212" customFormat="false" ht="15" hidden="false" customHeight="false" outlineLevel="0" collapsed="false">
      <c r="A212" s="18" t="n">
        <v>207</v>
      </c>
      <c r="B212" s="18"/>
      <c r="C212" s="22"/>
      <c r="D212" s="18"/>
      <c r="E212" s="18"/>
      <c r="F212" s="18"/>
      <c r="G212" s="18"/>
      <c r="H212" s="20" t="str">
        <f aca="false">IF(OR(F212="",G212=""),"",F212*G212/1000)</f>
        <v/>
      </c>
      <c r="I212" s="23"/>
      <c r="J212" s="23"/>
      <c r="K212" s="18"/>
      <c r="L212" s="21" t="str">
        <f aca="false">IF(B212="","",IF(J212&lt;&gt;"",J212,IF(AND(N(I212)&gt;0,N(H212)&gt;0),I212/H212,"")))</f>
        <v/>
      </c>
      <c r="M212" s="19" t="str">
        <f aca="false">IF(B212="","",IFERROR(INDEX(GES!$E$6:$E$25,MATCH(B212,GES!$A$6:$A$25,0)),"GES?"))</f>
        <v/>
      </c>
      <c r="N212" s="21" t="str">
        <f aca="false">IF(AND(ISNUMBER(L212),ISNUMBER(K212),LEFT(M212,3)="CAR"),L212*K212/100,"")</f>
        <v/>
      </c>
      <c r="O212" s="21" t="str">
        <f aca="false">IF(B212="","",IFERROR(INDEX(GES!$U$6:$U$25,MATCH(B212,GES!$A$6:$A$25,0)),""))</f>
        <v/>
      </c>
      <c r="P212" s="24" t="str">
        <f aca="false">IF(AND(ISNUMBER(L212),ISNUMBER(O212)),L212/O212,"")</f>
        <v/>
      </c>
      <c r="Q212" s="25" t="str">
        <f aca="false">IF(NOT(ISNUMBER(L212)),"",IFERROR(IF(INDEX(Estadística!$L$6:$L$25,MATCH(B212,Estadística!$A$6:$A$25,0))&gt;INDEX(Estadística!$T$6:$T$25,MATCH(B212,Estadística!$A$6:$A$25,0)),IF(OR(L212&lt;INDEX(Estadística!$I$6:$I$25,MATCH(B212,Estadística!$A$6:$A$25,0))/2,L212&gt;2*INDEX(Estadística!$I$6:$I$25,MATCH(B212,Estadística!$A$6:$A$25,0))),"Fuera de ½MA–2MA: revisar","Dentro de ½MA–2MA"),"—"),""))</f>
        <v/>
      </c>
      <c r="R212" s="18"/>
      <c r="S212" s="19" t="str">
        <f aca="false">IF(ISNUMBER(L212),IF(L212&gt;0,LN(L212),""),"")</f>
        <v/>
      </c>
      <c r="T212" s="19" t="str">
        <f aca="false">IF(ISNUMBER(S212),IFERROR((S212-LN(INDEX(Estadística!$K$6:$K$25,MATCH(B212,Estadística!$A$6:$A$25,0))))^2,""),"")</f>
        <v/>
      </c>
      <c r="U212" s="19" t="str">
        <f aca="false">IF(ISNUMBER(L212),IFERROR((L212-INDEX(Estadística!$I$6:$I$25,MATCH(B212,Estadística!$A$6:$A$25,0)))^2,""),"")</f>
        <v/>
      </c>
      <c r="V212" s="19" t="str">
        <f aca="false">IF(ISNUMBER(P212),IF(P212&gt;1,1,0),"")</f>
        <v/>
      </c>
    </row>
    <row r="213" customFormat="false" ht="15" hidden="false" customHeight="false" outlineLevel="0" collapsed="false">
      <c r="A213" s="18" t="n">
        <v>208</v>
      </c>
      <c r="B213" s="18"/>
      <c r="C213" s="22"/>
      <c r="D213" s="18"/>
      <c r="E213" s="18"/>
      <c r="F213" s="18"/>
      <c r="G213" s="18"/>
      <c r="H213" s="20" t="str">
        <f aca="false">IF(OR(F213="",G213=""),"",F213*G213/1000)</f>
        <v/>
      </c>
      <c r="I213" s="23"/>
      <c r="J213" s="23"/>
      <c r="K213" s="18"/>
      <c r="L213" s="21" t="str">
        <f aca="false">IF(B213="","",IF(J213&lt;&gt;"",J213,IF(AND(N(I213)&gt;0,N(H213)&gt;0),I213/H213,"")))</f>
        <v/>
      </c>
      <c r="M213" s="19" t="str">
        <f aca="false">IF(B213="","",IFERROR(INDEX(GES!$E$6:$E$25,MATCH(B213,GES!$A$6:$A$25,0)),"GES?"))</f>
        <v/>
      </c>
      <c r="N213" s="21" t="str">
        <f aca="false">IF(AND(ISNUMBER(L213),ISNUMBER(K213),LEFT(M213,3)="CAR"),L213*K213/100,"")</f>
        <v/>
      </c>
      <c r="O213" s="21" t="str">
        <f aca="false">IF(B213="","",IFERROR(INDEX(GES!$U$6:$U$25,MATCH(B213,GES!$A$6:$A$25,0)),""))</f>
        <v/>
      </c>
      <c r="P213" s="24" t="str">
        <f aca="false">IF(AND(ISNUMBER(L213),ISNUMBER(O213)),L213/O213,"")</f>
        <v/>
      </c>
      <c r="Q213" s="25" t="str">
        <f aca="false">IF(NOT(ISNUMBER(L213)),"",IFERROR(IF(INDEX(Estadística!$L$6:$L$25,MATCH(B213,Estadística!$A$6:$A$25,0))&gt;INDEX(Estadística!$T$6:$T$25,MATCH(B213,Estadística!$A$6:$A$25,0)),IF(OR(L213&lt;INDEX(Estadística!$I$6:$I$25,MATCH(B213,Estadística!$A$6:$A$25,0))/2,L213&gt;2*INDEX(Estadística!$I$6:$I$25,MATCH(B213,Estadística!$A$6:$A$25,0))),"Fuera de ½MA–2MA: revisar","Dentro de ½MA–2MA"),"—"),""))</f>
        <v/>
      </c>
      <c r="R213" s="18"/>
      <c r="S213" s="19" t="str">
        <f aca="false">IF(ISNUMBER(L213),IF(L213&gt;0,LN(L213),""),"")</f>
        <v/>
      </c>
      <c r="T213" s="19" t="str">
        <f aca="false">IF(ISNUMBER(S213),IFERROR((S213-LN(INDEX(Estadística!$K$6:$K$25,MATCH(B213,Estadística!$A$6:$A$25,0))))^2,""),"")</f>
        <v/>
      </c>
      <c r="U213" s="19" t="str">
        <f aca="false">IF(ISNUMBER(L213),IFERROR((L213-INDEX(Estadística!$I$6:$I$25,MATCH(B213,Estadística!$A$6:$A$25,0)))^2,""),"")</f>
        <v/>
      </c>
      <c r="V213" s="19" t="str">
        <f aca="false">IF(ISNUMBER(P213),IF(P213&gt;1,1,0),"")</f>
        <v/>
      </c>
    </row>
    <row r="214" customFormat="false" ht="15" hidden="false" customHeight="false" outlineLevel="0" collapsed="false">
      <c r="A214" s="18" t="n">
        <v>209</v>
      </c>
      <c r="B214" s="18"/>
      <c r="C214" s="22"/>
      <c r="D214" s="18"/>
      <c r="E214" s="18"/>
      <c r="F214" s="18"/>
      <c r="G214" s="18"/>
      <c r="H214" s="20" t="str">
        <f aca="false">IF(OR(F214="",G214=""),"",F214*G214/1000)</f>
        <v/>
      </c>
      <c r="I214" s="23"/>
      <c r="J214" s="23"/>
      <c r="K214" s="18"/>
      <c r="L214" s="21" t="str">
        <f aca="false">IF(B214="","",IF(J214&lt;&gt;"",J214,IF(AND(N(I214)&gt;0,N(H214)&gt;0),I214/H214,"")))</f>
        <v/>
      </c>
      <c r="M214" s="19" t="str">
        <f aca="false">IF(B214="","",IFERROR(INDEX(GES!$E$6:$E$25,MATCH(B214,GES!$A$6:$A$25,0)),"GES?"))</f>
        <v/>
      </c>
      <c r="N214" s="21" t="str">
        <f aca="false">IF(AND(ISNUMBER(L214),ISNUMBER(K214),LEFT(M214,3)="CAR"),L214*K214/100,"")</f>
        <v/>
      </c>
      <c r="O214" s="21" t="str">
        <f aca="false">IF(B214="","",IFERROR(INDEX(GES!$U$6:$U$25,MATCH(B214,GES!$A$6:$A$25,0)),""))</f>
        <v/>
      </c>
      <c r="P214" s="24" t="str">
        <f aca="false">IF(AND(ISNUMBER(L214),ISNUMBER(O214)),L214/O214,"")</f>
        <v/>
      </c>
      <c r="Q214" s="25" t="str">
        <f aca="false">IF(NOT(ISNUMBER(L214)),"",IFERROR(IF(INDEX(Estadística!$L$6:$L$25,MATCH(B214,Estadística!$A$6:$A$25,0))&gt;INDEX(Estadística!$T$6:$T$25,MATCH(B214,Estadística!$A$6:$A$25,0)),IF(OR(L214&lt;INDEX(Estadística!$I$6:$I$25,MATCH(B214,Estadística!$A$6:$A$25,0))/2,L214&gt;2*INDEX(Estadística!$I$6:$I$25,MATCH(B214,Estadística!$A$6:$A$25,0))),"Fuera de ½MA–2MA: revisar","Dentro de ½MA–2MA"),"—"),""))</f>
        <v/>
      </c>
      <c r="R214" s="18"/>
      <c r="S214" s="19" t="str">
        <f aca="false">IF(ISNUMBER(L214),IF(L214&gt;0,LN(L214),""),"")</f>
        <v/>
      </c>
      <c r="T214" s="19" t="str">
        <f aca="false">IF(ISNUMBER(S214),IFERROR((S214-LN(INDEX(Estadística!$K$6:$K$25,MATCH(B214,Estadística!$A$6:$A$25,0))))^2,""),"")</f>
        <v/>
      </c>
      <c r="U214" s="19" t="str">
        <f aca="false">IF(ISNUMBER(L214),IFERROR((L214-INDEX(Estadística!$I$6:$I$25,MATCH(B214,Estadística!$A$6:$A$25,0)))^2,""),"")</f>
        <v/>
      </c>
      <c r="V214" s="19" t="str">
        <f aca="false">IF(ISNUMBER(P214),IF(P214&gt;1,1,0),"")</f>
        <v/>
      </c>
    </row>
    <row r="215" customFormat="false" ht="15" hidden="false" customHeight="false" outlineLevel="0" collapsed="false">
      <c r="A215" s="18" t="n">
        <v>210</v>
      </c>
      <c r="B215" s="18"/>
      <c r="C215" s="22"/>
      <c r="D215" s="18"/>
      <c r="E215" s="18"/>
      <c r="F215" s="18"/>
      <c r="G215" s="18"/>
      <c r="H215" s="20" t="str">
        <f aca="false">IF(OR(F215="",G215=""),"",F215*G215/1000)</f>
        <v/>
      </c>
      <c r="I215" s="23"/>
      <c r="J215" s="23"/>
      <c r="K215" s="18"/>
      <c r="L215" s="21" t="str">
        <f aca="false">IF(B215="","",IF(J215&lt;&gt;"",J215,IF(AND(N(I215)&gt;0,N(H215)&gt;0),I215/H215,"")))</f>
        <v/>
      </c>
      <c r="M215" s="19" t="str">
        <f aca="false">IF(B215="","",IFERROR(INDEX(GES!$E$6:$E$25,MATCH(B215,GES!$A$6:$A$25,0)),"GES?"))</f>
        <v/>
      </c>
      <c r="N215" s="21" t="str">
        <f aca="false">IF(AND(ISNUMBER(L215),ISNUMBER(K215),LEFT(M215,3)="CAR"),L215*K215/100,"")</f>
        <v/>
      </c>
      <c r="O215" s="21" t="str">
        <f aca="false">IF(B215="","",IFERROR(INDEX(GES!$U$6:$U$25,MATCH(B215,GES!$A$6:$A$25,0)),""))</f>
        <v/>
      </c>
      <c r="P215" s="24" t="str">
        <f aca="false">IF(AND(ISNUMBER(L215),ISNUMBER(O215)),L215/O215,"")</f>
        <v/>
      </c>
      <c r="Q215" s="25" t="str">
        <f aca="false">IF(NOT(ISNUMBER(L215)),"",IFERROR(IF(INDEX(Estadística!$L$6:$L$25,MATCH(B215,Estadística!$A$6:$A$25,0))&gt;INDEX(Estadística!$T$6:$T$25,MATCH(B215,Estadística!$A$6:$A$25,0)),IF(OR(L215&lt;INDEX(Estadística!$I$6:$I$25,MATCH(B215,Estadística!$A$6:$A$25,0))/2,L215&gt;2*INDEX(Estadística!$I$6:$I$25,MATCH(B215,Estadística!$A$6:$A$25,0))),"Fuera de ½MA–2MA: revisar","Dentro de ½MA–2MA"),"—"),""))</f>
        <v/>
      </c>
      <c r="R215" s="18"/>
      <c r="S215" s="19" t="str">
        <f aca="false">IF(ISNUMBER(L215),IF(L215&gt;0,LN(L215),""),"")</f>
        <v/>
      </c>
      <c r="T215" s="19" t="str">
        <f aca="false">IF(ISNUMBER(S215),IFERROR((S215-LN(INDEX(Estadística!$K$6:$K$25,MATCH(B215,Estadística!$A$6:$A$25,0))))^2,""),"")</f>
        <v/>
      </c>
      <c r="U215" s="19" t="str">
        <f aca="false">IF(ISNUMBER(L215),IFERROR((L215-INDEX(Estadística!$I$6:$I$25,MATCH(B215,Estadística!$A$6:$A$25,0)))^2,""),"")</f>
        <v/>
      </c>
      <c r="V215" s="19" t="str">
        <f aca="false">IF(ISNUMBER(P215),IF(P215&gt;1,1,0),"")</f>
        <v/>
      </c>
    </row>
    <row r="216" customFormat="false" ht="15" hidden="false" customHeight="false" outlineLevel="0" collapsed="false">
      <c r="A216" s="18" t="n">
        <v>211</v>
      </c>
      <c r="B216" s="18"/>
      <c r="C216" s="22"/>
      <c r="D216" s="18"/>
      <c r="E216" s="18"/>
      <c r="F216" s="18"/>
      <c r="G216" s="18"/>
      <c r="H216" s="20" t="str">
        <f aca="false">IF(OR(F216="",G216=""),"",F216*G216/1000)</f>
        <v/>
      </c>
      <c r="I216" s="23"/>
      <c r="J216" s="23"/>
      <c r="K216" s="18"/>
      <c r="L216" s="21" t="str">
        <f aca="false">IF(B216="","",IF(J216&lt;&gt;"",J216,IF(AND(N(I216)&gt;0,N(H216)&gt;0),I216/H216,"")))</f>
        <v/>
      </c>
      <c r="M216" s="19" t="str">
        <f aca="false">IF(B216="","",IFERROR(INDEX(GES!$E$6:$E$25,MATCH(B216,GES!$A$6:$A$25,0)),"GES?"))</f>
        <v/>
      </c>
      <c r="N216" s="21" t="str">
        <f aca="false">IF(AND(ISNUMBER(L216),ISNUMBER(K216),LEFT(M216,3)="CAR"),L216*K216/100,"")</f>
        <v/>
      </c>
      <c r="O216" s="21" t="str">
        <f aca="false">IF(B216="","",IFERROR(INDEX(GES!$U$6:$U$25,MATCH(B216,GES!$A$6:$A$25,0)),""))</f>
        <v/>
      </c>
      <c r="P216" s="24" t="str">
        <f aca="false">IF(AND(ISNUMBER(L216),ISNUMBER(O216)),L216/O216,"")</f>
        <v/>
      </c>
      <c r="Q216" s="25" t="str">
        <f aca="false">IF(NOT(ISNUMBER(L216)),"",IFERROR(IF(INDEX(Estadística!$L$6:$L$25,MATCH(B216,Estadística!$A$6:$A$25,0))&gt;INDEX(Estadística!$T$6:$T$25,MATCH(B216,Estadística!$A$6:$A$25,0)),IF(OR(L216&lt;INDEX(Estadística!$I$6:$I$25,MATCH(B216,Estadística!$A$6:$A$25,0))/2,L216&gt;2*INDEX(Estadística!$I$6:$I$25,MATCH(B216,Estadística!$A$6:$A$25,0))),"Fuera de ½MA–2MA: revisar","Dentro de ½MA–2MA"),"—"),""))</f>
        <v/>
      </c>
      <c r="R216" s="18"/>
      <c r="S216" s="19" t="str">
        <f aca="false">IF(ISNUMBER(L216),IF(L216&gt;0,LN(L216),""),"")</f>
        <v/>
      </c>
      <c r="T216" s="19" t="str">
        <f aca="false">IF(ISNUMBER(S216),IFERROR((S216-LN(INDEX(Estadística!$K$6:$K$25,MATCH(B216,Estadística!$A$6:$A$25,0))))^2,""),"")</f>
        <v/>
      </c>
      <c r="U216" s="19" t="str">
        <f aca="false">IF(ISNUMBER(L216),IFERROR((L216-INDEX(Estadística!$I$6:$I$25,MATCH(B216,Estadística!$A$6:$A$25,0)))^2,""),"")</f>
        <v/>
      </c>
      <c r="V216" s="19" t="str">
        <f aca="false">IF(ISNUMBER(P216),IF(P216&gt;1,1,0),"")</f>
        <v/>
      </c>
    </row>
    <row r="217" customFormat="false" ht="15" hidden="false" customHeight="false" outlineLevel="0" collapsed="false">
      <c r="A217" s="18" t="n">
        <v>212</v>
      </c>
      <c r="B217" s="18"/>
      <c r="C217" s="22"/>
      <c r="D217" s="18"/>
      <c r="E217" s="18"/>
      <c r="F217" s="18"/>
      <c r="G217" s="18"/>
      <c r="H217" s="20" t="str">
        <f aca="false">IF(OR(F217="",G217=""),"",F217*G217/1000)</f>
        <v/>
      </c>
      <c r="I217" s="23"/>
      <c r="J217" s="23"/>
      <c r="K217" s="18"/>
      <c r="L217" s="21" t="str">
        <f aca="false">IF(B217="","",IF(J217&lt;&gt;"",J217,IF(AND(N(I217)&gt;0,N(H217)&gt;0),I217/H217,"")))</f>
        <v/>
      </c>
      <c r="M217" s="19" t="str">
        <f aca="false">IF(B217="","",IFERROR(INDEX(GES!$E$6:$E$25,MATCH(B217,GES!$A$6:$A$25,0)),"GES?"))</f>
        <v/>
      </c>
      <c r="N217" s="21" t="str">
        <f aca="false">IF(AND(ISNUMBER(L217),ISNUMBER(K217),LEFT(M217,3)="CAR"),L217*K217/100,"")</f>
        <v/>
      </c>
      <c r="O217" s="21" t="str">
        <f aca="false">IF(B217="","",IFERROR(INDEX(GES!$U$6:$U$25,MATCH(B217,GES!$A$6:$A$25,0)),""))</f>
        <v/>
      </c>
      <c r="P217" s="24" t="str">
        <f aca="false">IF(AND(ISNUMBER(L217),ISNUMBER(O217)),L217/O217,"")</f>
        <v/>
      </c>
      <c r="Q217" s="25" t="str">
        <f aca="false">IF(NOT(ISNUMBER(L217)),"",IFERROR(IF(INDEX(Estadística!$L$6:$L$25,MATCH(B217,Estadística!$A$6:$A$25,0))&gt;INDEX(Estadística!$T$6:$T$25,MATCH(B217,Estadística!$A$6:$A$25,0)),IF(OR(L217&lt;INDEX(Estadística!$I$6:$I$25,MATCH(B217,Estadística!$A$6:$A$25,0))/2,L217&gt;2*INDEX(Estadística!$I$6:$I$25,MATCH(B217,Estadística!$A$6:$A$25,0))),"Fuera de ½MA–2MA: revisar","Dentro de ½MA–2MA"),"—"),""))</f>
        <v/>
      </c>
      <c r="R217" s="18"/>
      <c r="S217" s="19" t="str">
        <f aca="false">IF(ISNUMBER(L217),IF(L217&gt;0,LN(L217),""),"")</f>
        <v/>
      </c>
      <c r="T217" s="19" t="str">
        <f aca="false">IF(ISNUMBER(S217),IFERROR((S217-LN(INDEX(Estadística!$K$6:$K$25,MATCH(B217,Estadística!$A$6:$A$25,0))))^2,""),"")</f>
        <v/>
      </c>
      <c r="U217" s="19" t="str">
        <f aca="false">IF(ISNUMBER(L217),IFERROR((L217-INDEX(Estadística!$I$6:$I$25,MATCH(B217,Estadística!$A$6:$A$25,0)))^2,""),"")</f>
        <v/>
      </c>
      <c r="V217" s="19" t="str">
        <f aca="false">IF(ISNUMBER(P217),IF(P217&gt;1,1,0),"")</f>
        <v/>
      </c>
    </row>
    <row r="218" customFormat="false" ht="15" hidden="false" customHeight="false" outlineLevel="0" collapsed="false">
      <c r="A218" s="18" t="n">
        <v>213</v>
      </c>
      <c r="B218" s="18"/>
      <c r="C218" s="22"/>
      <c r="D218" s="18"/>
      <c r="E218" s="18"/>
      <c r="F218" s="18"/>
      <c r="G218" s="18"/>
      <c r="H218" s="20" t="str">
        <f aca="false">IF(OR(F218="",G218=""),"",F218*G218/1000)</f>
        <v/>
      </c>
      <c r="I218" s="23"/>
      <c r="J218" s="23"/>
      <c r="K218" s="18"/>
      <c r="L218" s="21" t="str">
        <f aca="false">IF(B218="","",IF(J218&lt;&gt;"",J218,IF(AND(N(I218)&gt;0,N(H218)&gt;0),I218/H218,"")))</f>
        <v/>
      </c>
      <c r="M218" s="19" t="str">
        <f aca="false">IF(B218="","",IFERROR(INDEX(GES!$E$6:$E$25,MATCH(B218,GES!$A$6:$A$25,0)),"GES?"))</f>
        <v/>
      </c>
      <c r="N218" s="21" t="str">
        <f aca="false">IF(AND(ISNUMBER(L218),ISNUMBER(K218),LEFT(M218,3)="CAR"),L218*K218/100,"")</f>
        <v/>
      </c>
      <c r="O218" s="21" t="str">
        <f aca="false">IF(B218="","",IFERROR(INDEX(GES!$U$6:$U$25,MATCH(B218,GES!$A$6:$A$25,0)),""))</f>
        <v/>
      </c>
      <c r="P218" s="24" t="str">
        <f aca="false">IF(AND(ISNUMBER(L218),ISNUMBER(O218)),L218/O218,"")</f>
        <v/>
      </c>
      <c r="Q218" s="25" t="str">
        <f aca="false">IF(NOT(ISNUMBER(L218)),"",IFERROR(IF(INDEX(Estadística!$L$6:$L$25,MATCH(B218,Estadística!$A$6:$A$25,0))&gt;INDEX(Estadística!$T$6:$T$25,MATCH(B218,Estadística!$A$6:$A$25,0)),IF(OR(L218&lt;INDEX(Estadística!$I$6:$I$25,MATCH(B218,Estadística!$A$6:$A$25,0))/2,L218&gt;2*INDEX(Estadística!$I$6:$I$25,MATCH(B218,Estadística!$A$6:$A$25,0))),"Fuera de ½MA–2MA: revisar","Dentro de ½MA–2MA"),"—"),""))</f>
        <v/>
      </c>
      <c r="R218" s="18"/>
      <c r="S218" s="19" t="str">
        <f aca="false">IF(ISNUMBER(L218),IF(L218&gt;0,LN(L218),""),"")</f>
        <v/>
      </c>
      <c r="T218" s="19" t="str">
        <f aca="false">IF(ISNUMBER(S218),IFERROR((S218-LN(INDEX(Estadística!$K$6:$K$25,MATCH(B218,Estadística!$A$6:$A$25,0))))^2,""),"")</f>
        <v/>
      </c>
      <c r="U218" s="19" t="str">
        <f aca="false">IF(ISNUMBER(L218),IFERROR((L218-INDEX(Estadística!$I$6:$I$25,MATCH(B218,Estadística!$A$6:$A$25,0)))^2,""),"")</f>
        <v/>
      </c>
      <c r="V218" s="19" t="str">
        <f aca="false">IF(ISNUMBER(P218),IF(P218&gt;1,1,0),"")</f>
        <v/>
      </c>
    </row>
    <row r="219" customFormat="false" ht="15" hidden="false" customHeight="false" outlineLevel="0" collapsed="false">
      <c r="A219" s="18" t="n">
        <v>214</v>
      </c>
      <c r="B219" s="18"/>
      <c r="C219" s="22"/>
      <c r="D219" s="18"/>
      <c r="E219" s="18"/>
      <c r="F219" s="18"/>
      <c r="G219" s="18"/>
      <c r="H219" s="20" t="str">
        <f aca="false">IF(OR(F219="",G219=""),"",F219*G219/1000)</f>
        <v/>
      </c>
      <c r="I219" s="23"/>
      <c r="J219" s="23"/>
      <c r="K219" s="18"/>
      <c r="L219" s="21" t="str">
        <f aca="false">IF(B219="","",IF(J219&lt;&gt;"",J219,IF(AND(N(I219)&gt;0,N(H219)&gt;0),I219/H219,"")))</f>
        <v/>
      </c>
      <c r="M219" s="19" t="str">
        <f aca="false">IF(B219="","",IFERROR(INDEX(GES!$E$6:$E$25,MATCH(B219,GES!$A$6:$A$25,0)),"GES?"))</f>
        <v/>
      </c>
      <c r="N219" s="21" t="str">
        <f aca="false">IF(AND(ISNUMBER(L219),ISNUMBER(K219),LEFT(M219,3)="CAR"),L219*K219/100,"")</f>
        <v/>
      </c>
      <c r="O219" s="21" t="str">
        <f aca="false">IF(B219="","",IFERROR(INDEX(GES!$U$6:$U$25,MATCH(B219,GES!$A$6:$A$25,0)),""))</f>
        <v/>
      </c>
      <c r="P219" s="24" t="str">
        <f aca="false">IF(AND(ISNUMBER(L219),ISNUMBER(O219)),L219/O219,"")</f>
        <v/>
      </c>
      <c r="Q219" s="25" t="str">
        <f aca="false">IF(NOT(ISNUMBER(L219)),"",IFERROR(IF(INDEX(Estadística!$L$6:$L$25,MATCH(B219,Estadística!$A$6:$A$25,0))&gt;INDEX(Estadística!$T$6:$T$25,MATCH(B219,Estadística!$A$6:$A$25,0)),IF(OR(L219&lt;INDEX(Estadística!$I$6:$I$25,MATCH(B219,Estadística!$A$6:$A$25,0))/2,L219&gt;2*INDEX(Estadística!$I$6:$I$25,MATCH(B219,Estadística!$A$6:$A$25,0))),"Fuera de ½MA–2MA: revisar","Dentro de ½MA–2MA"),"—"),""))</f>
        <v/>
      </c>
      <c r="R219" s="18"/>
      <c r="S219" s="19" t="str">
        <f aca="false">IF(ISNUMBER(L219),IF(L219&gt;0,LN(L219),""),"")</f>
        <v/>
      </c>
      <c r="T219" s="19" t="str">
        <f aca="false">IF(ISNUMBER(S219),IFERROR((S219-LN(INDEX(Estadística!$K$6:$K$25,MATCH(B219,Estadística!$A$6:$A$25,0))))^2,""),"")</f>
        <v/>
      </c>
      <c r="U219" s="19" t="str">
        <f aca="false">IF(ISNUMBER(L219),IFERROR((L219-INDEX(Estadística!$I$6:$I$25,MATCH(B219,Estadística!$A$6:$A$25,0)))^2,""),"")</f>
        <v/>
      </c>
      <c r="V219" s="19" t="str">
        <f aca="false">IF(ISNUMBER(P219),IF(P219&gt;1,1,0),"")</f>
        <v/>
      </c>
    </row>
    <row r="220" customFormat="false" ht="15" hidden="false" customHeight="false" outlineLevel="0" collapsed="false">
      <c r="A220" s="18" t="n">
        <v>215</v>
      </c>
      <c r="B220" s="18"/>
      <c r="C220" s="22"/>
      <c r="D220" s="18"/>
      <c r="E220" s="18"/>
      <c r="F220" s="18"/>
      <c r="G220" s="18"/>
      <c r="H220" s="20" t="str">
        <f aca="false">IF(OR(F220="",G220=""),"",F220*G220/1000)</f>
        <v/>
      </c>
      <c r="I220" s="23"/>
      <c r="J220" s="23"/>
      <c r="K220" s="18"/>
      <c r="L220" s="21" t="str">
        <f aca="false">IF(B220="","",IF(J220&lt;&gt;"",J220,IF(AND(N(I220)&gt;0,N(H220)&gt;0),I220/H220,"")))</f>
        <v/>
      </c>
      <c r="M220" s="19" t="str">
        <f aca="false">IF(B220="","",IFERROR(INDEX(GES!$E$6:$E$25,MATCH(B220,GES!$A$6:$A$25,0)),"GES?"))</f>
        <v/>
      </c>
      <c r="N220" s="21" t="str">
        <f aca="false">IF(AND(ISNUMBER(L220),ISNUMBER(K220),LEFT(M220,3)="CAR"),L220*K220/100,"")</f>
        <v/>
      </c>
      <c r="O220" s="21" t="str">
        <f aca="false">IF(B220="","",IFERROR(INDEX(GES!$U$6:$U$25,MATCH(B220,GES!$A$6:$A$25,0)),""))</f>
        <v/>
      </c>
      <c r="P220" s="24" t="str">
        <f aca="false">IF(AND(ISNUMBER(L220),ISNUMBER(O220)),L220/O220,"")</f>
        <v/>
      </c>
      <c r="Q220" s="25" t="str">
        <f aca="false">IF(NOT(ISNUMBER(L220)),"",IFERROR(IF(INDEX(Estadística!$L$6:$L$25,MATCH(B220,Estadística!$A$6:$A$25,0))&gt;INDEX(Estadística!$T$6:$T$25,MATCH(B220,Estadística!$A$6:$A$25,0)),IF(OR(L220&lt;INDEX(Estadística!$I$6:$I$25,MATCH(B220,Estadística!$A$6:$A$25,0))/2,L220&gt;2*INDEX(Estadística!$I$6:$I$25,MATCH(B220,Estadística!$A$6:$A$25,0))),"Fuera de ½MA–2MA: revisar","Dentro de ½MA–2MA"),"—"),""))</f>
        <v/>
      </c>
      <c r="R220" s="18"/>
      <c r="S220" s="19" t="str">
        <f aca="false">IF(ISNUMBER(L220),IF(L220&gt;0,LN(L220),""),"")</f>
        <v/>
      </c>
      <c r="T220" s="19" t="str">
        <f aca="false">IF(ISNUMBER(S220),IFERROR((S220-LN(INDEX(Estadística!$K$6:$K$25,MATCH(B220,Estadística!$A$6:$A$25,0))))^2,""),"")</f>
        <v/>
      </c>
      <c r="U220" s="19" t="str">
        <f aca="false">IF(ISNUMBER(L220),IFERROR((L220-INDEX(Estadística!$I$6:$I$25,MATCH(B220,Estadística!$A$6:$A$25,0)))^2,""),"")</f>
        <v/>
      </c>
      <c r="V220" s="19" t="str">
        <f aca="false">IF(ISNUMBER(P220),IF(P220&gt;1,1,0),"")</f>
        <v/>
      </c>
    </row>
    <row r="221" customFormat="false" ht="15" hidden="false" customHeight="false" outlineLevel="0" collapsed="false">
      <c r="A221" s="18" t="n">
        <v>216</v>
      </c>
      <c r="B221" s="18"/>
      <c r="C221" s="22"/>
      <c r="D221" s="18"/>
      <c r="E221" s="18"/>
      <c r="F221" s="18"/>
      <c r="G221" s="18"/>
      <c r="H221" s="20" t="str">
        <f aca="false">IF(OR(F221="",G221=""),"",F221*G221/1000)</f>
        <v/>
      </c>
      <c r="I221" s="23"/>
      <c r="J221" s="23"/>
      <c r="K221" s="18"/>
      <c r="L221" s="21" t="str">
        <f aca="false">IF(B221="","",IF(J221&lt;&gt;"",J221,IF(AND(N(I221)&gt;0,N(H221)&gt;0),I221/H221,"")))</f>
        <v/>
      </c>
      <c r="M221" s="19" t="str">
        <f aca="false">IF(B221="","",IFERROR(INDEX(GES!$E$6:$E$25,MATCH(B221,GES!$A$6:$A$25,0)),"GES?"))</f>
        <v/>
      </c>
      <c r="N221" s="21" t="str">
        <f aca="false">IF(AND(ISNUMBER(L221),ISNUMBER(K221),LEFT(M221,3)="CAR"),L221*K221/100,"")</f>
        <v/>
      </c>
      <c r="O221" s="21" t="str">
        <f aca="false">IF(B221="","",IFERROR(INDEX(GES!$U$6:$U$25,MATCH(B221,GES!$A$6:$A$25,0)),""))</f>
        <v/>
      </c>
      <c r="P221" s="24" t="str">
        <f aca="false">IF(AND(ISNUMBER(L221),ISNUMBER(O221)),L221/O221,"")</f>
        <v/>
      </c>
      <c r="Q221" s="25" t="str">
        <f aca="false">IF(NOT(ISNUMBER(L221)),"",IFERROR(IF(INDEX(Estadística!$L$6:$L$25,MATCH(B221,Estadística!$A$6:$A$25,0))&gt;INDEX(Estadística!$T$6:$T$25,MATCH(B221,Estadística!$A$6:$A$25,0)),IF(OR(L221&lt;INDEX(Estadística!$I$6:$I$25,MATCH(B221,Estadística!$A$6:$A$25,0))/2,L221&gt;2*INDEX(Estadística!$I$6:$I$25,MATCH(B221,Estadística!$A$6:$A$25,0))),"Fuera de ½MA–2MA: revisar","Dentro de ½MA–2MA"),"—"),""))</f>
        <v/>
      </c>
      <c r="R221" s="18"/>
      <c r="S221" s="19" t="str">
        <f aca="false">IF(ISNUMBER(L221),IF(L221&gt;0,LN(L221),""),"")</f>
        <v/>
      </c>
      <c r="T221" s="19" t="str">
        <f aca="false">IF(ISNUMBER(S221),IFERROR((S221-LN(INDEX(Estadística!$K$6:$K$25,MATCH(B221,Estadística!$A$6:$A$25,0))))^2,""),"")</f>
        <v/>
      </c>
      <c r="U221" s="19" t="str">
        <f aca="false">IF(ISNUMBER(L221),IFERROR((L221-INDEX(Estadística!$I$6:$I$25,MATCH(B221,Estadística!$A$6:$A$25,0)))^2,""),"")</f>
        <v/>
      </c>
      <c r="V221" s="19" t="str">
        <f aca="false">IF(ISNUMBER(P221),IF(P221&gt;1,1,0),"")</f>
        <v/>
      </c>
    </row>
    <row r="222" customFormat="false" ht="15" hidden="false" customHeight="false" outlineLevel="0" collapsed="false">
      <c r="A222" s="18" t="n">
        <v>217</v>
      </c>
      <c r="B222" s="18"/>
      <c r="C222" s="22"/>
      <c r="D222" s="18"/>
      <c r="E222" s="18"/>
      <c r="F222" s="18"/>
      <c r="G222" s="18"/>
      <c r="H222" s="20" t="str">
        <f aca="false">IF(OR(F222="",G222=""),"",F222*G222/1000)</f>
        <v/>
      </c>
      <c r="I222" s="23"/>
      <c r="J222" s="23"/>
      <c r="K222" s="18"/>
      <c r="L222" s="21" t="str">
        <f aca="false">IF(B222="","",IF(J222&lt;&gt;"",J222,IF(AND(N(I222)&gt;0,N(H222)&gt;0),I222/H222,"")))</f>
        <v/>
      </c>
      <c r="M222" s="19" t="str">
        <f aca="false">IF(B222="","",IFERROR(INDEX(GES!$E$6:$E$25,MATCH(B222,GES!$A$6:$A$25,0)),"GES?"))</f>
        <v/>
      </c>
      <c r="N222" s="21" t="str">
        <f aca="false">IF(AND(ISNUMBER(L222),ISNUMBER(K222),LEFT(M222,3)="CAR"),L222*K222/100,"")</f>
        <v/>
      </c>
      <c r="O222" s="21" t="str">
        <f aca="false">IF(B222="","",IFERROR(INDEX(GES!$U$6:$U$25,MATCH(B222,GES!$A$6:$A$25,0)),""))</f>
        <v/>
      </c>
      <c r="P222" s="24" t="str">
        <f aca="false">IF(AND(ISNUMBER(L222),ISNUMBER(O222)),L222/O222,"")</f>
        <v/>
      </c>
      <c r="Q222" s="25" t="str">
        <f aca="false">IF(NOT(ISNUMBER(L222)),"",IFERROR(IF(INDEX(Estadística!$L$6:$L$25,MATCH(B222,Estadística!$A$6:$A$25,0))&gt;INDEX(Estadística!$T$6:$T$25,MATCH(B222,Estadística!$A$6:$A$25,0)),IF(OR(L222&lt;INDEX(Estadística!$I$6:$I$25,MATCH(B222,Estadística!$A$6:$A$25,0))/2,L222&gt;2*INDEX(Estadística!$I$6:$I$25,MATCH(B222,Estadística!$A$6:$A$25,0))),"Fuera de ½MA–2MA: revisar","Dentro de ½MA–2MA"),"—"),""))</f>
        <v/>
      </c>
      <c r="R222" s="18"/>
      <c r="S222" s="19" t="str">
        <f aca="false">IF(ISNUMBER(L222),IF(L222&gt;0,LN(L222),""),"")</f>
        <v/>
      </c>
      <c r="T222" s="19" t="str">
        <f aca="false">IF(ISNUMBER(S222),IFERROR((S222-LN(INDEX(Estadística!$K$6:$K$25,MATCH(B222,Estadística!$A$6:$A$25,0))))^2,""),"")</f>
        <v/>
      </c>
      <c r="U222" s="19" t="str">
        <f aca="false">IF(ISNUMBER(L222),IFERROR((L222-INDEX(Estadística!$I$6:$I$25,MATCH(B222,Estadística!$A$6:$A$25,0)))^2,""),"")</f>
        <v/>
      </c>
      <c r="V222" s="19" t="str">
        <f aca="false">IF(ISNUMBER(P222),IF(P222&gt;1,1,0),"")</f>
        <v/>
      </c>
    </row>
    <row r="223" customFormat="false" ht="15" hidden="false" customHeight="false" outlineLevel="0" collapsed="false">
      <c r="A223" s="18" t="n">
        <v>218</v>
      </c>
      <c r="B223" s="18"/>
      <c r="C223" s="22"/>
      <c r="D223" s="18"/>
      <c r="E223" s="18"/>
      <c r="F223" s="18"/>
      <c r="G223" s="18"/>
      <c r="H223" s="20" t="str">
        <f aca="false">IF(OR(F223="",G223=""),"",F223*G223/1000)</f>
        <v/>
      </c>
      <c r="I223" s="23"/>
      <c r="J223" s="23"/>
      <c r="K223" s="18"/>
      <c r="L223" s="21" t="str">
        <f aca="false">IF(B223="","",IF(J223&lt;&gt;"",J223,IF(AND(N(I223)&gt;0,N(H223)&gt;0),I223/H223,"")))</f>
        <v/>
      </c>
      <c r="M223" s="19" t="str">
        <f aca="false">IF(B223="","",IFERROR(INDEX(GES!$E$6:$E$25,MATCH(B223,GES!$A$6:$A$25,0)),"GES?"))</f>
        <v/>
      </c>
      <c r="N223" s="21" t="str">
        <f aca="false">IF(AND(ISNUMBER(L223),ISNUMBER(K223),LEFT(M223,3)="CAR"),L223*K223/100,"")</f>
        <v/>
      </c>
      <c r="O223" s="21" t="str">
        <f aca="false">IF(B223="","",IFERROR(INDEX(GES!$U$6:$U$25,MATCH(B223,GES!$A$6:$A$25,0)),""))</f>
        <v/>
      </c>
      <c r="P223" s="24" t="str">
        <f aca="false">IF(AND(ISNUMBER(L223),ISNUMBER(O223)),L223/O223,"")</f>
        <v/>
      </c>
      <c r="Q223" s="25" t="str">
        <f aca="false">IF(NOT(ISNUMBER(L223)),"",IFERROR(IF(INDEX(Estadística!$L$6:$L$25,MATCH(B223,Estadística!$A$6:$A$25,0))&gt;INDEX(Estadística!$T$6:$T$25,MATCH(B223,Estadística!$A$6:$A$25,0)),IF(OR(L223&lt;INDEX(Estadística!$I$6:$I$25,MATCH(B223,Estadística!$A$6:$A$25,0))/2,L223&gt;2*INDEX(Estadística!$I$6:$I$25,MATCH(B223,Estadística!$A$6:$A$25,0))),"Fuera de ½MA–2MA: revisar","Dentro de ½MA–2MA"),"—"),""))</f>
        <v/>
      </c>
      <c r="R223" s="18"/>
      <c r="S223" s="19" t="str">
        <f aca="false">IF(ISNUMBER(L223),IF(L223&gt;0,LN(L223),""),"")</f>
        <v/>
      </c>
      <c r="T223" s="19" t="str">
        <f aca="false">IF(ISNUMBER(S223),IFERROR((S223-LN(INDEX(Estadística!$K$6:$K$25,MATCH(B223,Estadística!$A$6:$A$25,0))))^2,""),"")</f>
        <v/>
      </c>
      <c r="U223" s="19" t="str">
        <f aca="false">IF(ISNUMBER(L223),IFERROR((L223-INDEX(Estadística!$I$6:$I$25,MATCH(B223,Estadística!$A$6:$A$25,0)))^2,""),"")</f>
        <v/>
      </c>
      <c r="V223" s="19" t="str">
        <f aca="false">IF(ISNUMBER(P223),IF(P223&gt;1,1,0),"")</f>
        <v/>
      </c>
    </row>
    <row r="224" customFormat="false" ht="15" hidden="false" customHeight="false" outlineLevel="0" collapsed="false">
      <c r="A224" s="18" t="n">
        <v>219</v>
      </c>
      <c r="B224" s="18"/>
      <c r="C224" s="22"/>
      <c r="D224" s="18"/>
      <c r="E224" s="18"/>
      <c r="F224" s="18"/>
      <c r="G224" s="18"/>
      <c r="H224" s="20" t="str">
        <f aca="false">IF(OR(F224="",G224=""),"",F224*G224/1000)</f>
        <v/>
      </c>
      <c r="I224" s="23"/>
      <c r="J224" s="23"/>
      <c r="K224" s="18"/>
      <c r="L224" s="21" t="str">
        <f aca="false">IF(B224="","",IF(J224&lt;&gt;"",J224,IF(AND(N(I224)&gt;0,N(H224)&gt;0),I224/H224,"")))</f>
        <v/>
      </c>
      <c r="M224" s="19" t="str">
        <f aca="false">IF(B224="","",IFERROR(INDEX(GES!$E$6:$E$25,MATCH(B224,GES!$A$6:$A$25,0)),"GES?"))</f>
        <v/>
      </c>
      <c r="N224" s="21" t="str">
        <f aca="false">IF(AND(ISNUMBER(L224),ISNUMBER(K224),LEFT(M224,3)="CAR"),L224*K224/100,"")</f>
        <v/>
      </c>
      <c r="O224" s="21" t="str">
        <f aca="false">IF(B224="","",IFERROR(INDEX(GES!$U$6:$U$25,MATCH(B224,GES!$A$6:$A$25,0)),""))</f>
        <v/>
      </c>
      <c r="P224" s="24" t="str">
        <f aca="false">IF(AND(ISNUMBER(L224),ISNUMBER(O224)),L224/O224,"")</f>
        <v/>
      </c>
      <c r="Q224" s="25" t="str">
        <f aca="false">IF(NOT(ISNUMBER(L224)),"",IFERROR(IF(INDEX(Estadística!$L$6:$L$25,MATCH(B224,Estadística!$A$6:$A$25,0))&gt;INDEX(Estadística!$T$6:$T$25,MATCH(B224,Estadística!$A$6:$A$25,0)),IF(OR(L224&lt;INDEX(Estadística!$I$6:$I$25,MATCH(B224,Estadística!$A$6:$A$25,0))/2,L224&gt;2*INDEX(Estadística!$I$6:$I$25,MATCH(B224,Estadística!$A$6:$A$25,0))),"Fuera de ½MA–2MA: revisar","Dentro de ½MA–2MA"),"—"),""))</f>
        <v/>
      </c>
      <c r="R224" s="18"/>
      <c r="S224" s="19" t="str">
        <f aca="false">IF(ISNUMBER(L224),IF(L224&gt;0,LN(L224),""),"")</f>
        <v/>
      </c>
      <c r="T224" s="19" t="str">
        <f aca="false">IF(ISNUMBER(S224),IFERROR((S224-LN(INDEX(Estadística!$K$6:$K$25,MATCH(B224,Estadística!$A$6:$A$25,0))))^2,""),"")</f>
        <v/>
      </c>
      <c r="U224" s="19" t="str">
        <f aca="false">IF(ISNUMBER(L224),IFERROR((L224-INDEX(Estadística!$I$6:$I$25,MATCH(B224,Estadística!$A$6:$A$25,0)))^2,""),"")</f>
        <v/>
      </c>
      <c r="V224" s="19" t="str">
        <f aca="false">IF(ISNUMBER(P224),IF(P224&gt;1,1,0),"")</f>
        <v/>
      </c>
    </row>
    <row r="225" customFormat="false" ht="15" hidden="false" customHeight="false" outlineLevel="0" collapsed="false">
      <c r="A225" s="18" t="n">
        <v>220</v>
      </c>
      <c r="B225" s="18"/>
      <c r="C225" s="22"/>
      <c r="D225" s="18"/>
      <c r="E225" s="18"/>
      <c r="F225" s="18"/>
      <c r="G225" s="18"/>
      <c r="H225" s="20" t="str">
        <f aca="false">IF(OR(F225="",G225=""),"",F225*G225/1000)</f>
        <v/>
      </c>
      <c r="I225" s="23"/>
      <c r="J225" s="23"/>
      <c r="K225" s="18"/>
      <c r="L225" s="21" t="str">
        <f aca="false">IF(B225="","",IF(J225&lt;&gt;"",J225,IF(AND(N(I225)&gt;0,N(H225)&gt;0),I225/H225,"")))</f>
        <v/>
      </c>
      <c r="M225" s="19" t="str">
        <f aca="false">IF(B225="","",IFERROR(INDEX(GES!$E$6:$E$25,MATCH(B225,GES!$A$6:$A$25,0)),"GES?"))</f>
        <v/>
      </c>
      <c r="N225" s="21" t="str">
        <f aca="false">IF(AND(ISNUMBER(L225),ISNUMBER(K225),LEFT(M225,3)="CAR"),L225*K225/100,"")</f>
        <v/>
      </c>
      <c r="O225" s="21" t="str">
        <f aca="false">IF(B225="","",IFERROR(INDEX(GES!$U$6:$U$25,MATCH(B225,GES!$A$6:$A$25,0)),""))</f>
        <v/>
      </c>
      <c r="P225" s="24" t="str">
        <f aca="false">IF(AND(ISNUMBER(L225),ISNUMBER(O225)),L225/O225,"")</f>
        <v/>
      </c>
      <c r="Q225" s="25" t="str">
        <f aca="false">IF(NOT(ISNUMBER(L225)),"",IFERROR(IF(INDEX(Estadística!$L$6:$L$25,MATCH(B225,Estadística!$A$6:$A$25,0))&gt;INDEX(Estadística!$T$6:$T$25,MATCH(B225,Estadística!$A$6:$A$25,0)),IF(OR(L225&lt;INDEX(Estadística!$I$6:$I$25,MATCH(B225,Estadística!$A$6:$A$25,0))/2,L225&gt;2*INDEX(Estadística!$I$6:$I$25,MATCH(B225,Estadística!$A$6:$A$25,0))),"Fuera de ½MA–2MA: revisar","Dentro de ½MA–2MA"),"—"),""))</f>
        <v/>
      </c>
      <c r="R225" s="18"/>
      <c r="S225" s="19" t="str">
        <f aca="false">IF(ISNUMBER(L225),IF(L225&gt;0,LN(L225),""),"")</f>
        <v/>
      </c>
      <c r="T225" s="19" t="str">
        <f aca="false">IF(ISNUMBER(S225),IFERROR((S225-LN(INDEX(Estadística!$K$6:$K$25,MATCH(B225,Estadística!$A$6:$A$25,0))))^2,""),"")</f>
        <v/>
      </c>
      <c r="U225" s="19" t="str">
        <f aca="false">IF(ISNUMBER(L225),IFERROR((L225-INDEX(Estadística!$I$6:$I$25,MATCH(B225,Estadística!$A$6:$A$25,0)))^2,""),"")</f>
        <v/>
      </c>
      <c r="V225" s="19" t="str">
        <f aca="false">IF(ISNUMBER(P225),IF(P225&gt;1,1,0),"")</f>
        <v/>
      </c>
    </row>
    <row r="226" customFormat="false" ht="15" hidden="false" customHeight="false" outlineLevel="0" collapsed="false">
      <c r="A226" s="18" t="n">
        <v>221</v>
      </c>
      <c r="B226" s="18"/>
      <c r="C226" s="22"/>
      <c r="D226" s="18"/>
      <c r="E226" s="18"/>
      <c r="F226" s="18"/>
      <c r="G226" s="18"/>
      <c r="H226" s="20" t="str">
        <f aca="false">IF(OR(F226="",G226=""),"",F226*G226/1000)</f>
        <v/>
      </c>
      <c r="I226" s="23"/>
      <c r="J226" s="23"/>
      <c r="K226" s="18"/>
      <c r="L226" s="21" t="str">
        <f aca="false">IF(B226="","",IF(J226&lt;&gt;"",J226,IF(AND(N(I226)&gt;0,N(H226)&gt;0),I226/H226,"")))</f>
        <v/>
      </c>
      <c r="M226" s="19" t="str">
        <f aca="false">IF(B226="","",IFERROR(INDEX(GES!$E$6:$E$25,MATCH(B226,GES!$A$6:$A$25,0)),"GES?"))</f>
        <v/>
      </c>
      <c r="N226" s="21" t="str">
        <f aca="false">IF(AND(ISNUMBER(L226),ISNUMBER(K226),LEFT(M226,3)="CAR"),L226*K226/100,"")</f>
        <v/>
      </c>
      <c r="O226" s="21" t="str">
        <f aca="false">IF(B226="","",IFERROR(INDEX(GES!$U$6:$U$25,MATCH(B226,GES!$A$6:$A$25,0)),""))</f>
        <v/>
      </c>
      <c r="P226" s="24" t="str">
        <f aca="false">IF(AND(ISNUMBER(L226),ISNUMBER(O226)),L226/O226,"")</f>
        <v/>
      </c>
      <c r="Q226" s="25" t="str">
        <f aca="false">IF(NOT(ISNUMBER(L226)),"",IFERROR(IF(INDEX(Estadística!$L$6:$L$25,MATCH(B226,Estadística!$A$6:$A$25,0))&gt;INDEX(Estadística!$T$6:$T$25,MATCH(B226,Estadística!$A$6:$A$25,0)),IF(OR(L226&lt;INDEX(Estadística!$I$6:$I$25,MATCH(B226,Estadística!$A$6:$A$25,0))/2,L226&gt;2*INDEX(Estadística!$I$6:$I$25,MATCH(B226,Estadística!$A$6:$A$25,0))),"Fuera de ½MA–2MA: revisar","Dentro de ½MA–2MA"),"—"),""))</f>
        <v/>
      </c>
      <c r="R226" s="18"/>
      <c r="S226" s="19" t="str">
        <f aca="false">IF(ISNUMBER(L226),IF(L226&gt;0,LN(L226),""),"")</f>
        <v/>
      </c>
      <c r="T226" s="19" t="str">
        <f aca="false">IF(ISNUMBER(S226),IFERROR((S226-LN(INDEX(Estadística!$K$6:$K$25,MATCH(B226,Estadística!$A$6:$A$25,0))))^2,""),"")</f>
        <v/>
      </c>
      <c r="U226" s="19" t="str">
        <f aca="false">IF(ISNUMBER(L226),IFERROR((L226-INDEX(Estadística!$I$6:$I$25,MATCH(B226,Estadística!$A$6:$A$25,0)))^2,""),"")</f>
        <v/>
      </c>
      <c r="V226" s="19" t="str">
        <f aca="false">IF(ISNUMBER(P226),IF(P226&gt;1,1,0),"")</f>
        <v/>
      </c>
    </row>
    <row r="227" customFormat="false" ht="15" hidden="false" customHeight="false" outlineLevel="0" collapsed="false">
      <c r="A227" s="18" t="n">
        <v>222</v>
      </c>
      <c r="B227" s="18"/>
      <c r="C227" s="22"/>
      <c r="D227" s="18"/>
      <c r="E227" s="18"/>
      <c r="F227" s="18"/>
      <c r="G227" s="18"/>
      <c r="H227" s="20" t="str">
        <f aca="false">IF(OR(F227="",G227=""),"",F227*G227/1000)</f>
        <v/>
      </c>
      <c r="I227" s="23"/>
      <c r="J227" s="23"/>
      <c r="K227" s="18"/>
      <c r="L227" s="21" t="str">
        <f aca="false">IF(B227="","",IF(J227&lt;&gt;"",J227,IF(AND(N(I227)&gt;0,N(H227)&gt;0),I227/H227,"")))</f>
        <v/>
      </c>
      <c r="M227" s="19" t="str">
        <f aca="false">IF(B227="","",IFERROR(INDEX(GES!$E$6:$E$25,MATCH(B227,GES!$A$6:$A$25,0)),"GES?"))</f>
        <v/>
      </c>
      <c r="N227" s="21" t="str">
        <f aca="false">IF(AND(ISNUMBER(L227),ISNUMBER(K227),LEFT(M227,3)="CAR"),L227*K227/100,"")</f>
        <v/>
      </c>
      <c r="O227" s="21" t="str">
        <f aca="false">IF(B227="","",IFERROR(INDEX(GES!$U$6:$U$25,MATCH(B227,GES!$A$6:$A$25,0)),""))</f>
        <v/>
      </c>
      <c r="P227" s="24" t="str">
        <f aca="false">IF(AND(ISNUMBER(L227),ISNUMBER(O227)),L227/O227,"")</f>
        <v/>
      </c>
      <c r="Q227" s="25" t="str">
        <f aca="false">IF(NOT(ISNUMBER(L227)),"",IFERROR(IF(INDEX(Estadística!$L$6:$L$25,MATCH(B227,Estadística!$A$6:$A$25,0))&gt;INDEX(Estadística!$T$6:$T$25,MATCH(B227,Estadística!$A$6:$A$25,0)),IF(OR(L227&lt;INDEX(Estadística!$I$6:$I$25,MATCH(B227,Estadística!$A$6:$A$25,0))/2,L227&gt;2*INDEX(Estadística!$I$6:$I$25,MATCH(B227,Estadística!$A$6:$A$25,0))),"Fuera de ½MA–2MA: revisar","Dentro de ½MA–2MA"),"—"),""))</f>
        <v/>
      </c>
      <c r="R227" s="18"/>
      <c r="S227" s="19" t="str">
        <f aca="false">IF(ISNUMBER(L227),IF(L227&gt;0,LN(L227),""),"")</f>
        <v/>
      </c>
      <c r="T227" s="19" t="str">
        <f aca="false">IF(ISNUMBER(S227),IFERROR((S227-LN(INDEX(Estadística!$K$6:$K$25,MATCH(B227,Estadística!$A$6:$A$25,0))))^2,""),"")</f>
        <v/>
      </c>
      <c r="U227" s="19" t="str">
        <f aca="false">IF(ISNUMBER(L227),IFERROR((L227-INDEX(Estadística!$I$6:$I$25,MATCH(B227,Estadística!$A$6:$A$25,0)))^2,""),"")</f>
        <v/>
      </c>
      <c r="V227" s="19" t="str">
        <f aca="false">IF(ISNUMBER(P227),IF(P227&gt;1,1,0),"")</f>
        <v/>
      </c>
    </row>
    <row r="228" customFormat="false" ht="15" hidden="false" customHeight="false" outlineLevel="0" collapsed="false">
      <c r="A228" s="18" t="n">
        <v>223</v>
      </c>
      <c r="B228" s="18"/>
      <c r="C228" s="22"/>
      <c r="D228" s="18"/>
      <c r="E228" s="18"/>
      <c r="F228" s="18"/>
      <c r="G228" s="18"/>
      <c r="H228" s="20" t="str">
        <f aca="false">IF(OR(F228="",G228=""),"",F228*G228/1000)</f>
        <v/>
      </c>
      <c r="I228" s="23"/>
      <c r="J228" s="23"/>
      <c r="K228" s="18"/>
      <c r="L228" s="21" t="str">
        <f aca="false">IF(B228="","",IF(J228&lt;&gt;"",J228,IF(AND(N(I228)&gt;0,N(H228)&gt;0),I228/H228,"")))</f>
        <v/>
      </c>
      <c r="M228" s="19" t="str">
        <f aca="false">IF(B228="","",IFERROR(INDEX(GES!$E$6:$E$25,MATCH(B228,GES!$A$6:$A$25,0)),"GES?"))</f>
        <v/>
      </c>
      <c r="N228" s="21" t="str">
        <f aca="false">IF(AND(ISNUMBER(L228),ISNUMBER(K228),LEFT(M228,3)="CAR"),L228*K228/100,"")</f>
        <v/>
      </c>
      <c r="O228" s="21" t="str">
        <f aca="false">IF(B228="","",IFERROR(INDEX(GES!$U$6:$U$25,MATCH(B228,GES!$A$6:$A$25,0)),""))</f>
        <v/>
      </c>
      <c r="P228" s="24" t="str">
        <f aca="false">IF(AND(ISNUMBER(L228),ISNUMBER(O228)),L228/O228,"")</f>
        <v/>
      </c>
      <c r="Q228" s="25" t="str">
        <f aca="false">IF(NOT(ISNUMBER(L228)),"",IFERROR(IF(INDEX(Estadística!$L$6:$L$25,MATCH(B228,Estadística!$A$6:$A$25,0))&gt;INDEX(Estadística!$T$6:$T$25,MATCH(B228,Estadística!$A$6:$A$25,0)),IF(OR(L228&lt;INDEX(Estadística!$I$6:$I$25,MATCH(B228,Estadística!$A$6:$A$25,0))/2,L228&gt;2*INDEX(Estadística!$I$6:$I$25,MATCH(B228,Estadística!$A$6:$A$25,0))),"Fuera de ½MA–2MA: revisar","Dentro de ½MA–2MA"),"—"),""))</f>
        <v/>
      </c>
      <c r="R228" s="18"/>
      <c r="S228" s="19" t="str">
        <f aca="false">IF(ISNUMBER(L228),IF(L228&gt;0,LN(L228),""),"")</f>
        <v/>
      </c>
      <c r="T228" s="19" t="str">
        <f aca="false">IF(ISNUMBER(S228),IFERROR((S228-LN(INDEX(Estadística!$K$6:$K$25,MATCH(B228,Estadística!$A$6:$A$25,0))))^2,""),"")</f>
        <v/>
      </c>
      <c r="U228" s="19" t="str">
        <f aca="false">IF(ISNUMBER(L228),IFERROR((L228-INDEX(Estadística!$I$6:$I$25,MATCH(B228,Estadística!$A$6:$A$25,0)))^2,""),"")</f>
        <v/>
      </c>
      <c r="V228" s="19" t="str">
        <f aca="false">IF(ISNUMBER(P228),IF(P228&gt;1,1,0),"")</f>
        <v/>
      </c>
    </row>
    <row r="229" customFormat="false" ht="15" hidden="false" customHeight="false" outlineLevel="0" collapsed="false">
      <c r="A229" s="18" t="n">
        <v>224</v>
      </c>
      <c r="B229" s="18"/>
      <c r="C229" s="22"/>
      <c r="D229" s="18"/>
      <c r="E229" s="18"/>
      <c r="F229" s="18"/>
      <c r="G229" s="18"/>
      <c r="H229" s="20" t="str">
        <f aca="false">IF(OR(F229="",G229=""),"",F229*G229/1000)</f>
        <v/>
      </c>
      <c r="I229" s="23"/>
      <c r="J229" s="23"/>
      <c r="K229" s="18"/>
      <c r="L229" s="21" t="str">
        <f aca="false">IF(B229="","",IF(J229&lt;&gt;"",J229,IF(AND(N(I229)&gt;0,N(H229)&gt;0),I229/H229,"")))</f>
        <v/>
      </c>
      <c r="M229" s="19" t="str">
        <f aca="false">IF(B229="","",IFERROR(INDEX(GES!$E$6:$E$25,MATCH(B229,GES!$A$6:$A$25,0)),"GES?"))</f>
        <v/>
      </c>
      <c r="N229" s="21" t="str">
        <f aca="false">IF(AND(ISNUMBER(L229),ISNUMBER(K229),LEFT(M229,3)="CAR"),L229*K229/100,"")</f>
        <v/>
      </c>
      <c r="O229" s="21" t="str">
        <f aca="false">IF(B229="","",IFERROR(INDEX(GES!$U$6:$U$25,MATCH(B229,GES!$A$6:$A$25,0)),""))</f>
        <v/>
      </c>
      <c r="P229" s="24" t="str">
        <f aca="false">IF(AND(ISNUMBER(L229),ISNUMBER(O229)),L229/O229,"")</f>
        <v/>
      </c>
      <c r="Q229" s="25" t="str">
        <f aca="false">IF(NOT(ISNUMBER(L229)),"",IFERROR(IF(INDEX(Estadística!$L$6:$L$25,MATCH(B229,Estadística!$A$6:$A$25,0))&gt;INDEX(Estadística!$T$6:$T$25,MATCH(B229,Estadística!$A$6:$A$25,0)),IF(OR(L229&lt;INDEX(Estadística!$I$6:$I$25,MATCH(B229,Estadística!$A$6:$A$25,0))/2,L229&gt;2*INDEX(Estadística!$I$6:$I$25,MATCH(B229,Estadística!$A$6:$A$25,0))),"Fuera de ½MA–2MA: revisar","Dentro de ½MA–2MA"),"—"),""))</f>
        <v/>
      </c>
      <c r="R229" s="18"/>
      <c r="S229" s="19" t="str">
        <f aca="false">IF(ISNUMBER(L229),IF(L229&gt;0,LN(L229),""),"")</f>
        <v/>
      </c>
      <c r="T229" s="19" t="str">
        <f aca="false">IF(ISNUMBER(S229),IFERROR((S229-LN(INDEX(Estadística!$K$6:$K$25,MATCH(B229,Estadística!$A$6:$A$25,0))))^2,""),"")</f>
        <v/>
      </c>
      <c r="U229" s="19" t="str">
        <f aca="false">IF(ISNUMBER(L229),IFERROR((L229-INDEX(Estadística!$I$6:$I$25,MATCH(B229,Estadística!$A$6:$A$25,0)))^2,""),"")</f>
        <v/>
      </c>
      <c r="V229" s="19" t="str">
        <f aca="false">IF(ISNUMBER(P229),IF(P229&gt;1,1,0),"")</f>
        <v/>
      </c>
    </row>
    <row r="230" customFormat="false" ht="15" hidden="false" customHeight="false" outlineLevel="0" collapsed="false">
      <c r="A230" s="18" t="n">
        <v>225</v>
      </c>
      <c r="B230" s="18"/>
      <c r="C230" s="22"/>
      <c r="D230" s="18"/>
      <c r="E230" s="18"/>
      <c r="F230" s="18"/>
      <c r="G230" s="18"/>
      <c r="H230" s="20" t="str">
        <f aca="false">IF(OR(F230="",G230=""),"",F230*G230/1000)</f>
        <v/>
      </c>
      <c r="I230" s="23"/>
      <c r="J230" s="23"/>
      <c r="K230" s="18"/>
      <c r="L230" s="21" t="str">
        <f aca="false">IF(B230="","",IF(J230&lt;&gt;"",J230,IF(AND(N(I230)&gt;0,N(H230)&gt;0),I230/H230,"")))</f>
        <v/>
      </c>
      <c r="M230" s="19" t="str">
        <f aca="false">IF(B230="","",IFERROR(INDEX(GES!$E$6:$E$25,MATCH(B230,GES!$A$6:$A$25,0)),"GES?"))</f>
        <v/>
      </c>
      <c r="N230" s="21" t="str">
        <f aca="false">IF(AND(ISNUMBER(L230),ISNUMBER(K230),LEFT(M230,3)="CAR"),L230*K230/100,"")</f>
        <v/>
      </c>
      <c r="O230" s="21" t="str">
        <f aca="false">IF(B230="","",IFERROR(INDEX(GES!$U$6:$U$25,MATCH(B230,GES!$A$6:$A$25,0)),""))</f>
        <v/>
      </c>
      <c r="P230" s="24" t="str">
        <f aca="false">IF(AND(ISNUMBER(L230),ISNUMBER(O230)),L230/O230,"")</f>
        <v/>
      </c>
      <c r="Q230" s="25" t="str">
        <f aca="false">IF(NOT(ISNUMBER(L230)),"",IFERROR(IF(INDEX(Estadística!$L$6:$L$25,MATCH(B230,Estadística!$A$6:$A$25,0))&gt;INDEX(Estadística!$T$6:$T$25,MATCH(B230,Estadística!$A$6:$A$25,0)),IF(OR(L230&lt;INDEX(Estadística!$I$6:$I$25,MATCH(B230,Estadística!$A$6:$A$25,0))/2,L230&gt;2*INDEX(Estadística!$I$6:$I$25,MATCH(B230,Estadística!$A$6:$A$25,0))),"Fuera de ½MA–2MA: revisar","Dentro de ½MA–2MA"),"—"),""))</f>
        <v/>
      </c>
      <c r="R230" s="18"/>
      <c r="S230" s="19" t="str">
        <f aca="false">IF(ISNUMBER(L230),IF(L230&gt;0,LN(L230),""),"")</f>
        <v/>
      </c>
      <c r="T230" s="19" t="str">
        <f aca="false">IF(ISNUMBER(S230),IFERROR((S230-LN(INDEX(Estadística!$K$6:$K$25,MATCH(B230,Estadística!$A$6:$A$25,0))))^2,""),"")</f>
        <v/>
      </c>
      <c r="U230" s="19" t="str">
        <f aca="false">IF(ISNUMBER(L230),IFERROR((L230-INDEX(Estadística!$I$6:$I$25,MATCH(B230,Estadística!$A$6:$A$25,0)))^2,""),"")</f>
        <v/>
      </c>
      <c r="V230" s="19" t="str">
        <f aca="false">IF(ISNUMBER(P230),IF(P230&gt;1,1,0),"")</f>
        <v/>
      </c>
    </row>
    <row r="231" customFormat="false" ht="15" hidden="false" customHeight="false" outlineLevel="0" collapsed="false">
      <c r="A231" s="18" t="n">
        <v>226</v>
      </c>
      <c r="B231" s="18"/>
      <c r="C231" s="22"/>
      <c r="D231" s="18"/>
      <c r="E231" s="18"/>
      <c r="F231" s="18"/>
      <c r="G231" s="18"/>
      <c r="H231" s="20" t="str">
        <f aca="false">IF(OR(F231="",G231=""),"",F231*G231/1000)</f>
        <v/>
      </c>
      <c r="I231" s="23"/>
      <c r="J231" s="23"/>
      <c r="K231" s="18"/>
      <c r="L231" s="21" t="str">
        <f aca="false">IF(B231="","",IF(J231&lt;&gt;"",J231,IF(AND(N(I231)&gt;0,N(H231)&gt;0),I231/H231,"")))</f>
        <v/>
      </c>
      <c r="M231" s="19" t="str">
        <f aca="false">IF(B231="","",IFERROR(INDEX(GES!$E$6:$E$25,MATCH(B231,GES!$A$6:$A$25,0)),"GES?"))</f>
        <v/>
      </c>
      <c r="N231" s="21" t="str">
        <f aca="false">IF(AND(ISNUMBER(L231),ISNUMBER(K231),LEFT(M231,3)="CAR"),L231*K231/100,"")</f>
        <v/>
      </c>
      <c r="O231" s="21" t="str">
        <f aca="false">IF(B231="","",IFERROR(INDEX(GES!$U$6:$U$25,MATCH(B231,GES!$A$6:$A$25,0)),""))</f>
        <v/>
      </c>
      <c r="P231" s="24" t="str">
        <f aca="false">IF(AND(ISNUMBER(L231),ISNUMBER(O231)),L231/O231,"")</f>
        <v/>
      </c>
      <c r="Q231" s="25" t="str">
        <f aca="false">IF(NOT(ISNUMBER(L231)),"",IFERROR(IF(INDEX(Estadística!$L$6:$L$25,MATCH(B231,Estadística!$A$6:$A$25,0))&gt;INDEX(Estadística!$T$6:$T$25,MATCH(B231,Estadística!$A$6:$A$25,0)),IF(OR(L231&lt;INDEX(Estadística!$I$6:$I$25,MATCH(B231,Estadística!$A$6:$A$25,0))/2,L231&gt;2*INDEX(Estadística!$I$6:$I$25,MATCH(B231,Estadística!$A$6:$A$25,0))),"Fuera de ½MA–2MA: revisar","Dentro de ½MA–2MA"),"—"),""))</f>
        <v/>
      </c>
      <c r="R231" s="18"/>
      <c r="S231" s="19" t="str">
        <f aca="false">IF(ISNUMBER(L231),IF(L231&gt;0,LN(L231),""),"")</f>
        <v/>
      </c>
      <c r="T231" s="19" t="str">
        <f aca="false">IF(ISNUMBER(S231),IFERROR((S231-LN(INDEX(Estadística!$K$6:$K$25,MATCH(B231,Estadística!$A$6:$A$25,0))))^2,""),"")</f>
        <v/>
      </c>
      <c r="U231" s="19" t="str">
        <f aca="false">IF(ISNUMBER(L231),IFERROR((L231-INDEX(Estadística!$I$6:$I$25,MATCH(B231,Estadística!$A$6:$A$25,0)))^2,""),"")</f>
        <v/>
      </c>
      <c r="V231" s="19" t="str">
        <f aca="false">IF(ISNUMBER(P231),IF(P231&gt;1,1,0),"")</f>
        <v/>
      </c>
    </row>
    <row r="232" customFormat="false" ht="15" hidden="false" customHeight="false" outlineLevel="0" collapsed="false">
      <c r="A232" s="18" t="n">
        <v>227</v>
      </c>
      <c r="B232" s="18"/>
      <c r="C232" s="22"/>
      <c r="D232" s="18"/>
      <c r="E232" s="18"/>
      <c r="F232" s="18"/>
      <c r="G232" s="18"/>
      <c r="H232" s="20" t="str">
        <f aca="false">IF(OR(F232="",G232=""),"",F232*G232/1000)</f>
        <v/>
      </c>
      <c r="I232" s="23"/>
      <c r="J232" s="23"/>
      <c r="K232" s="18"/>
      <c r="L232" s="21" t="str">
        <f aca="false">IF(B232="","",IF(J232&lt;&gt;"",J232,IF(AND(N(I232)&gt;0,N(H232)&gt;0),I232/H232,"")))</f>
        <v/>
      </c>
      <c r="M232" s="19" t="str">
        <f aca="false">IF(B232="","",IFERROR(INDEX(GES!$E$6:$E$25,MATCH(B232,GES!$A$6:$A$25,0)),"GES?"))</f>
        <v/>
      </c>
      <c r="N232" s="21" t="str">
        <f aca="false">IF(AND(ISNUMBER(L232),ISNUMBER(K232),LEFT(M232,3)="CAR"),L232*K232/100,"")</f>
        <v/>
      </c>
      <c r="O232" s="21" t="str">
        <f aca="false">IF(B232="","",IFERROR(INDEX(GES!$U$6:$U$25,MATCH(B232,GES!$A$6:$A$25,0)),""))</f>
        <v/>
      </c>
      <c r="P232" s="24" t="str">
        <f aca="false">IF(AND(ISNUMBER(L232),ISNUMBER(O232)),L232/O232,"")</f>
        <v/>
      </c>
      <c r="Q232" s="25" t="str">
        <f aca="false">IF(NOT(ISNUMBER(L232)),"",IFERROR(IF(INDEX(Estadística!$L$6:$L$25,MATCH(B232,Estadística!$A$6:$A$25,0))&gt;INDEX(Estadística!$T$6:$T$25,MATCH(B232,Estadística!$A$6:$A$25,0)),IF(OR(L232&lt;INDEX(Estadística!$I$6:$I$25,MATCH(B232,Estadística!$A$6:$A$25,0))/2,L232&gt;2*INDEX(Estadística!$I$6:$I$25,MATCH(B232,Estadística!$A$6:$A$25,0))),"Fuera de ½MA–2MA: revisar","Dentro de ½MA–2MA"),"—"),""))</f>
        <v/>
      </c>
      <c r="R232" s="18"/>
      <c r="S232" s="19" t="str">
        <f aca="false">IF(ISNUMBER(L232),IF(L232&gt;0,LN(L232),""),"")</f>
        <v/>
      </c>
      <c r="T232" s="19" t="str">
        <f aca="false">IF(ISNUMBER(S232),IFERROR((S232-LN(INDEX(Estadística!$K$6:$K$25,MATCH(B232,Estadística!$A$6:$A$25,0))))^2,""),"")</f>
        <v/>
      </c>
      <c r="U232" s="19" t="str">
        <f aca="false">IF(ISNUMBER(L232),IFERROR((L232-INDEX(Estadística!$I$6:$I$25,MATCH(B232,Estadística!$A$6:$A$25,0)))^2,""),"")</f>
        <v/>
      </c>
      <c r="V232" s="19" t="str">
        <f aca="false">IF(ISNUMBER(P232),IF(P232&gt;1,1,0),"")</f>
        <v/>
      </c>
    </row>
    <row r="233" customFormat="false" ht="15" hidden="false" customHeight="false" outlineLevel="0" collapsed="false">
      <c r="A233" s="18" t="n">
        <v>228</v>
      </c>
      <c r="B233" s="18"/>
      <c r="C233" s="22"/>
      <c r="D233" s="18"/>
      <c r="E233" s="18"/>
      <c r="F233" s="18"/>
      <c r="G233" s="18"/>
      <c r="H233" s="20" t="str">
        <f aca="false">IF(OR(F233="",G233=""),"",F233*G233/1000)</f>
        <v/>
      </c>
      <c r="I233" s="23"/>
      <c r="J233" s="23"/>
      <c r="K233" s="18"/>
      <c r="L233" s="21" t="str">
        <f aca="false">IF(B233="","",IF(J233&lt;&gt;"",J233,IF(AND(N(I233)&gt;0,N(H233)&gt;0),I233/H233,"")))</f>
        <v/>
      </c>
      <c r="M233" s="19" t="str">
        <f aca="false">IF(B233="","",IFERROR(INDEX(GES!$E$6:$E$25,MATCH(B233,GES!$A$6:$A$25,0)),"GES?"))</f>
        <v/>
      </c>
      <c r="N233" s="21" t="str">
        <f aca="false">IF(AND(ISNUMBER(L233),ISNUMBER(K233),LEFT(M233,3)="CAR"),L233*K233/100,"")</f>
        <v/>
      </c>
      <c r="O233" s="21" t="str">
        <f aca="false">IF(B233="","",IFERROR(INDEX(GES!$U$6:$U$25,MATCH(B233,GES!$A$6:$A$25,0)),""))</f>
        <v/>
      </c>
      <c r="P233" s="24" t="str">
        <f aca="false">IF(AND(ISNUMBER(L233),ISNUMBER(O233)),L233/O233,"")</f>
        <v/>
      </c>
      <c r="Q233" s="25" t="str">
        <f aca="false">IF(NOT(ISNUMBER(L233)),"",IFERROR(IF(INDEX(Estadística!$L$6:$L$25,MATCH(B233,Estadística!$A$6:$A$25,0))&gt;INDEX(Estadística!$T$6:$T$25,MATCH(B233,Estadística!$A$6:$A$25,0)),IF(OR(L233&lt;INDEX(Estadística!$I$6:$I$25,MATCH(B233,Estadística!$A$6:$A$25,0))/2,L233&gt;2*INDEX(Estadística!$I$6:$I$25,MATCH(B233,Estadística!$A$6:$A$25,0))),"Fuera de ½MA–2MA: revisar","Dentro de ½MA–2MA"),"—"),""))</f>
        <v/>
      </c>
      <c r="R233" s="18"/>
      <c r="S233" s="19" t="str">
        <f aca="false">IF(ISNUMBER(L233),IF(L233&gt;0,LN(L233),""),"")</f>
        <v/>
      </c>
      <c r="T233" s="19" t="str">
        <f aca="false">IF(ISNUMBER(S233),IFERROR((S233-LN(INDEX(Estadística!$K$6:$K$25,MATCH(B233,Estadística!$A$6:$A$25,0))))^2,""),"")</f>
        <v/>
      </c>
      <c r="U233" s="19" t="str">
        <f aca="false">IF(ISNUMBER(L233),IFERROR((L233-INDEX(Estadística!$I$6:$I$25,MATCH(B233,Estadística!$A$6:$A$25,0)))^2,""),"")</f>
        <v/>
      </c>
      <c r="V233" s="19" t="str">
        <f aca="false">IF(ISNUMBER(P233),IF(P233&gt;1,1,0),"")</f>
        <v/>
      </c>
    </row>
    <row r="234" customFormat="false" ht="15" hidden="false" customHeight="false" outlineLevel="0" collapsed="false">
      <c r="A234" s="18" t="n">
        <v>229</v>
      </c>
      <c r="B234" s="18"/>
      <c r="C234" s="22"/>
      <c r="D234" s="18"/>
      <c r="E234" s="18"/>
      <c r="F234" s="18"/>
      <c r="G234" s="18"/>
      <c r="H234" s="20" t="str">
        <f aca="false">IF(OR(F234="",G234=""),"",F234*G234/1000)</f>
        <v/>
      </c>
      <c r="I234" s="23"/>
      <c r="J234" s="23"/>
      <c r="K234" s="18"/>
      <c r="L234" s="21" t="str">
        <f aca="false">IF(B234="","",IF(J234&lt;&gt;"",J234,IF(AND(N(I234)&gt;0,N(H234)&gt;0),I234/H234,"")))</f>
        <v/>
      </c>
      <c r="M234" s="19" t="str">
        <f aca="false">IF(B234="","",IFERROR(INDEX(GES!$E$6:$E$25,MATCH(B234,GES!$A$6:$A$25,0)),"GES?"))</f>
        <v/>
      </c>
      <c r="N234" s="21" t="str">
        <f aca="false">IF(AND(ISNUMBER(L234),ISNUMBER(K234),LEFT(M234,3)="CAR"),L234*K234/100,"")</f>
        <v/>
      </c>
      <c r="O234" s="21" t="str">
        <f aca="false">IF(B234="","",IFERROR(INDEX(GES!$U$6:$U$25,MATCH(B234,GES!$A$6:$A$25,0)),""))</f>
        <v/>
      </c>
      <c r="P234" s="24" t="str">
        <f aca="false">IF(AND(ISNUMBER(L234),ISNUMBER(O234)),L234/O234,"")</f>
        <v/>
      </c>
      <c r="Q234" s="25" t="str">
        <f aca="false">IF(NOT(ISNUMBER(L234)),"",IFERROR(IF(INDEX(Estadística!$L$6:$L$25,MATCH(B234,Estadística!$A$6:$A$25,0))&gt;INDEX(Estadística!$T$6:$T$25,MATCH(B234,Estadística!$A$6:$A$25,0)),IF(OR(L234&lt;INDEX(Estadística!$I$6:$I$25,MATCH(B234,Estadística!$A$6:$A$25,0))/2,L234&gt;2*INDEX(Estadística!$I$6:$I$25,MATCH(B234,Estadística!$A$6:$A$25,0))),"Fuera de ½MA–2MA: revisar","Dentro de ½MA–2MA"),"—"),""))</f>
        <v/>
      </c>
      <c r="R234" s="18"/>
      <c r="S234" s="19" t="str">
        <f aca="false">IF(ISNUMBER(L234),IF(L234&gt;0,LN(L234),""),"")</f>
        <v/>
      </c>
      <c r="T234" s="19" t="str">
        <f aca="false">IF(ISNUMBER(S234),IFERROR((S234-LN(INDEX(Estadística!$K$6:$K$25,MATCH(B234,Estadística!$A$6:$A$25,0))))^2,""),"")</f>
        <v/>
      </c>
      <c r="U234" s="19" t="str">
        <f aca="false">IF(ISNUMBER(L234),IFERROR((L234-INDEX(Estadística!$I$6:$I$25,MATCH(B234,Estadística!$A$6:$A$25,0)))^2,""),"")</f>
        <v/>
      </c>
      <c r="V234" s="19" t="str">
        <f aca="false">IF(ISNUMBER(P234),IF(P234&gt;1,1,0),"")</f>
        <v/>
      </c>
    </row>
    <row r="235" customFormat="false" ht="15" hidden="false" customHeight="false" outlineLevel="0" collapsed="false">
      <c r="A235" s="18" t="n">
        <v>230</v>
      </c>
      <c r="B235" s="18"/>
      <c r="C235" s="22"/>
      <c r="D235" s="18"/>
      <c r="E235" s="18"/>
      <c r="F235" s="18"/>
      <c r="G235" s="18"/>
      <c r="H235" s="20" t="str">
        <f aca="false">IF(OR(F235="",G235=""),"",F235*G235/1000)</f>
        <v/>
      </c>
      <c r="I235" s="23"/>
      <c r="J235" s="23"/>
      <c r="K235" s="18"/>
      <c r="L235" s="21" t="str">
        <f aca="false">IF(B235="","",IF(J235&lt;&gt;"",J235,IF(AND(N(I235)&gt;0,N(H235)&gt;0),I235/H235,"")))</f>
        <v/>
      </c>
      <c r="M235" s="19" t="str">
        <f aca="false">IF(B235="","",IFERROR(INDEX(GES!$E$6:$E$25,MATCH(B235,GES!$A$6:$A$25,0)),"GES?"))</f>
        <v/>
      </c>
      <c r="N235" s="21" t="str">
        <f aca="false">IF(AND(ISNUMBER(L235),ISNUMBER(K235),LEFT(M235,3)="CAR"),L235*K235/100,"")</f>
        <v/>
      </c>
      <c r="O235" s="21" t="str">
        <f aca="false">IF(B235="","",IFERROR(INDEX(GES!$U$6:$U$25,MATCH(B235,GES!$A$6:$A$25,0)),""))</f>
        <v/>
      </c>
      <c r="P235" s="24" t="str">
        <f aca="false">IF(AND(ISNUMBER(L235),ISNUMBER(O235)),L235/O235,"")</f>
        <v/>
      </c>
      <c r="Q235" s="25" t="str">
        <f aca="false">IF(NOT(ISNUMBER(L235)),"",IFERROR(IF(INDEX(Estadística!$L$6:$L$25,MATCH(B235,Estadística!$A$6:$A$25,0))&gt;INDEX(Estadística!$T$6:$T$25,MATCH(B235,Estadística!$A$6:$A$25,0)),IF(OR(L235&lt;INDEX(Estadística!$I$6:$I$25,MATCH(B235,Estadística!$A$6:$A$25,0))/2,L235&gt;2*INDEX(Estadística!$I$6:$I$25,MATCH(B235,Estadística!$A$6:$A$25,0))),"Fuera de ½MA–2MA: revisar","Dentro de ½MA–2MA"),"—"),""))</f>
        <v/>
      </c>
      <c r="R235" s="18"/>
      <c r="S235" s="19" t="str">
        <f aca="false">IF(ISNUMBER(L235),IF(L235&gt;0,LN(L235),""),"")</f>
        <v/>
      </c>
      <c r="T235" s="19" t="str">
        <f aca="false">IF(ISNUMBER(S235),IFERROR((S235-LN(INDEX(Estadística!$K$6:$K$25,MATCH(B235,Estadística!$A$6:$A$25,0))))^2,""),"")</f>
        <v/>
      </c>
      <c r="U235" s="19" t="str">
        <f aca="false">IF(ISNUMBER(L235),IFERROR((L235-INDEX(Estadística!$I$6:$I$25,MATCH(B235,Estadística!$A$6:$A$25,0)))^2,""),"")</f>
        <v/>
      </c>
      <c r="V235" s="19" t="str">
        <f aca="false">IF(ISNUMBER(P235),IF(P235&gt;1,1,0),"")</f>
        <v/>
      </c>
    </row>
    <row r="236" customFormat="false" ht="15" hidden="false" customHeight="false" outlineLevel="0" collapsed="false">
      <c r="A236" s="18" t="n">
        <v>231</v>
      </c>
      <c r="B236" s="18"/>
      <c r="C236" s="22"/>
      <c r="D236" s="18"/>
      <c r="E236" s="18"/>
      <c r="F236" s="18"/>
      <c r="G236" s="18"/>
      <c r="H236" s="20" t="str">
        <f aca="false">IF(OR(F236="",G236=""),"",F236*G236/1000)</f>
        <v/>
      </c>
      <c r="I236" s="23"/>
      <c r="J236" s="23"/>
      <c r="K236" s="18"/>
      <c r="L236" s="21" t="str">
        <f aca="false">IF(B236="","",IF(J236&lt;&gt;"",J236,IF(AND(N(I236)&gt;0,N(H236)&gt;0),I236/H236,"")))</f>
        <v/>
      </c>
      <c r="M236" s="19" t="str">
        <f aca="false">IF(B236="","",IFERROR(INDEX(GES!$E$6:$E$25,MATCH(B236,GES!$A$6:$A$25,0)),"GES?"))</f>
        <v/>
      </c>
      <c r="N236" s="21" t="str">
        <f aca="false">IF(AND(ISNUMBER(L236),ISNUMBER(K236),LEFT(M236,3)="CAR"),L236*K236/100,"")</f>
        <v/>
      </c>
      <c r="O236" s="21" t="str">
        <f aca="false">IF(B236="","",IFERROR(INDEX(GES!$U$6:$U$25,MATCH(B236,GES!$A$6:$A$25,0)),""))</f>
        <v/>
      </c>
      <c r="P236" s="24" t="str">
        <f aca="false">IF(AND(ISNUMBER(L236),ISNUMBER(O236)),L236/O236,"")</f>
        <v/>
      </c>
      <c r="Q236" s="25" t="str">
        <f aca="false">IF(NOT(ISNUMBER(L236)),"",IFERROR(IF(INDEX(Estadística!$L$6:$L$25,MATCH(B236,Estadística!$A$6:$A$25,0))&gt;INDEX(Estadística!$T$6:$T$25,MATCH(B236,Estadística!$A$6:$A$25,0)),IF(OR(L236&lt;INDEX(Estadística!$I$6:$I$25,MATCH(B236,Estadística!$A$6:$A$25,0))/2,L236&gt;2*INDEX(Estadística!$I$6:$I$25,MATCH(B236,Estadística!$A$6:$A$25,0))),"Fuera de ½MA–2MA: revisar","Dentro de ½MA–2MA"),"—"),""))</f>
        <v/>
      </c>
      <c r="R236" s="18"/>
      <c r="S236" s="19" t="str">
        <f aca="false">IF(ISNUMBER(L236),IF(L236&gt;0,LN(L236),""),"")</f>
        <v/>
      </c>
      <c r="T236" s="19" t="str">
        <f aca="false">IF(ISNUMBER(S236),IFERROR((S236-LN(INDEX(Estadística!$K$6:$K$25,MATCH(B236,Estadística!$A$6:$A$25,0))))^2,""),"")</f>
        <v/>
      </c>
      <c r="U236" s="19" t="str">
        <f aca="false">IF(ISNUMBER(L236),IFERROR((L236-INDEX(Estadística!$I$6:$I$25,MATCH(B236,Estadística!$A$6:$A$25,0)))^2,""),"")</f>
        <v/>
      </c>
      <c r="V236" s="19" t="str">
        <f aca="false">IF(ISNUMBER(P236),IF(P236&gt;1,1,0),"")</f>
        <v/>
      </c>
    </row>
    <row r="237" customFormat="false" ht="15" hidden="false" customHeight="false" outlineLevel="0" collapsed="false">
      <c r="A237" s="18" t="n">
        <v>232</v>
      </c>
      <c r="B237" s="18"/>
      <c r="C237" s="22"/>
      <c r="D237" s="18"/>
      <c r="E237" s="18"/>
      <c r="F237" s="18"/>
      <c r="G237" s="18"/>
      <c r="H237" s="20" t="str">
        <f aca="false">IF(OR(F237="",G237=""),"",F237*G237/1000)</f>
        <v/>
      </c>
      <c r="I237" s="23"/>
      <c r="J237" s="23"/>
      <c r="K237" s="18"/>
      <c r="L237" s="21" t="str">
        <f aca="false">IF(B237="","",IF(J237&lt;&gt;"",J237,IF(AND(N(I237)&gt;0,N(H237)&gt;0),I237/H237,"")))</f>
        <v/>
      </c>
      <c r="M237" s="19" t="str">
        <f aca="false">IF(B237="","",IFERROR(INDEX(GES!$E$6:$E$25,MATCH(B237,GES!$A$6:$A$25,0)),"GES?"))</f>
        <v/>
      </c>
      <c r="N237" s="21" t="str">
        <f aca="false">IF(AND(ISNUMBER(L237),ISNUMBER(K237),LEFT(M237,3)="CAR"),L237*K237/100,"")</f>
        <v/>
      </c>
      <c r="O237" s="21" t="str">
        <f aca="false">IF(B237="","",IFERROR(INDEX(GES!$U$6:$U$25,MATCH(B237,GES!$A$6:$A$25,0)),""))</f>
        <v/>
      </c>
      <c r="P237" s="24" t="str">
        <f aca="false">IF(AND(ISNUMBER(L237),ISNUMBER(O237)),L237/O237,"")</f>
        <v/>
      </c>
      <c r="Q237" s="25" t="str">
        <f aca="false">IF(NOT(ISNUMBER(L237)),"",IFERROR(IF(INDEX(Estadística!$L$6:$L$25,MATCH(B237,Estadística!$A$6:$A$25,0))&gt;INDEX(Estadística!$T$6:$T$25,MATCH(B237,Estadística!$A$6:$A$25,0)),IF(OR(L237&lt;INDEX(Estadística!$I$6:$I$25,MATCH(B237,Estadística!$A$6:$A$25,0))/2,L237&gt;2*INDEX(Estadística!$I$6:$I$25,MATCH(B237,Estadística!$A$6:$A$25,0))),"Fuera de ½MA–2MA: revisar","Dentro de ½MA–2MA"),"—"),""))</f>
        <v/>
      </c>
      <c r="R237" s="18"/>
      <c r="S237" s="19" t="str">
        <f aca="false">IF(ISNUMBER(L237),IF(L237&gt;0,LN(L237),""),"")</f>
        <v/>
      </c>
      <c r="T237" s="19" t="str">
        <f aca="false">IF(ISNUMBER(S237),IFERROR((S237-LN(INDEX(Estadística!$K$6:$K$25,MATCH(B237,Estadística!$A$6:$A$25,0))))^2,""),"")</f>
        <v/>
      </c>
      <c r="U237" s="19" t="str">
        <f aca="false">IF(ISNUMBER(L237),IFERROR((L237-INDEX(Estadística!$I$6:$I$25,MATCH(B237,Estadística!$A$6:$A$25,0)))^2,""),"")</f>
        <v/>
      </c>
      <c r="V237" s="19" t="str">
        <f aca="false">IF(ISNUMBER(P237),IF(P237&gt;1,1,0),"")</f>
        <v/>
      </c>
    </row>
    <row r="238" customFormat="false" ht="15" hidden="false" customHeight="false" outlineLevel="0" collapsed="false">
      <c r="A238" s="18" t="n">
        <v>233</v>
      </c>
      <c r="B238" s="18"/>
      <c r="C238" s="22"/>
      <c r="D238" s="18"/>
      <c r="E238" s="18"/>
      <c r="F238" s="18"/>
      <c r="G238" s="18"/>
      <c r="H238" s="20" t="str">
        <f aca="false">IF(OR(F238="",G238=""),"",F238*G238/1000)</f>
        <v/>
      </c>
      <c r="I238" s="23"/>
      <c r="J238" s="23"/>
      <c r="K238" s="18"/>
      <c r="L238" s="21" t="str">
        <f aca="false">IF(B238="","",IF(J238&lt;&gt;"",J238,IF(AND(N(I238)&gt;0,N(H238)&gt;0),I238/H238,"")))</f>
        <v/>
      </c>
      <c r="M238" s="19" t="str">
        <f aca="false">IF(B238="","",IFERROR(INDEX(GES!$E$6:$E$25,MATCH(B238,GES!$A$6:$A$25,0)),"GES?"))</f>
        <v/>
      </c>
      <c r="N238" s="21" t="str">
        <f aca="false">IF(AND(ISNUMBER(L238),ISNUMBER(K238),LEFT(M238,3)="CAR"),L238*K238/100,"")</f>
        <v/>
      </c>
      <c r="O238" s="21" t="str">
        <f aca="false">IF(B238="","",IFERROR(INDEX(GES!$U$6:$U$25,MATCH(B238,GES!$A$6:$A$25,0)),""))</f>
        <v/>
      </c>
      <c r="P238" s="24" t="str">
        <f aca="false">IF(AND(ISNUMBER(L238),ISNUMBER(O238)),L238/O238,"")</f>
        <v/>
      </c>
      <c r="Q238" s="25" t="str">
        <f aca="false">IF(NOT(ISNUMBER(L238)),"",IFERROR(IF(INDEX(Estadística!$L$6:$L$25,MATCH(B238,Estadística!$A$6:$A$25,0))&gt;INDEX(Estadística!$T$6:$T$25,MATCH(B238,Estadística!$A$6:$A$25,0)),IF(OR(L238&lt;INDEX(Estadística!$I$6:$I$25,MATCH(B238,Estadística!$A$6:$A$25,0))/2,L238&gt;2*INDEX(Estadística!$I$6:$I$25,MATCH(B238,Estadística!$A$6:$A$25,0))),"Fuera de ½MA–2MA: revisar","Dentro de ½MA–2MA"),"—"),""))</f>
        <v/>
      </c>
      <c r="R238" s="18"/>
      <c r="S238" s="19" t="str">
        <f aca="false">IF(ISNUMBER(L238),IF(L238&gt;0,LN(L238),""),"")</f>
        <v/>
      </c>
      <c r="T238" s="19" t="str">
        <f aca="false">IF(ISNUMBER(S238),IFERROR((S238-LN(INDEX(Estadística!$K$6:$K$25,MATCH(B238,Estadística!$A$6:$A$25,0))))^2,""),"")</f>
        <v/>
      </c>
      <c r="U238" s="19" t="str">
        <f aca="false">IF(ISNUMBER(L238),IFERROR((L238-INDEX(Estadística!$I$6:$I$25,MATCH(B238,Estadística!$A$6:$A$25,0)))^2,""),"")</f>
        <v/>
      </c>
      <c r="V238" s="19" t="str">
        <f aca="false">IF(ISNUMBER(P238),IF(P238&gt;1,1,0),"")</f>
        <v/>
      </c>
    </row>
    <row r="239" customFormat="false" ht="15" hidden="false" customHeight="false" outlineLevel="0" collapsed="false">
      <c r="A239" s="18" t="n">
        <v>234</v>
      </c>
      <c r="B239" s="18"/>
      <c r="C239" s="22"/>
      <c r="D239" s="18"/>
      <c r="E239" s="18"/>
      <c r="F239" s="18"/>
      <c r="G239" s="18"/>
      <c r="H239" s="20" t="str">
        <f aca="false">IF(OR(F239="",G239=""),"",F239*G239/1000)</f>
        <v/>
      </c>
      <c r="I239" s="23"/>
      <c r="J239" s="23"/>
      <c r="K239" s="18"/>
      <c r="L239" s="21" t="str">
        <f aca="false">IF(B239="","",IF(J239&lt;&gt;"",J239,IF(AND(N(I239)&gt;0,N(H239)&gt;0),I239/H239,"")))</f>
        <v/>
      </c>
      <c r="M239" s="19" t="str">
        <f aca="false">IF(B239="","",IFERROR(INDEX(GES!$E$6:$E$25,MATCH(B239,GES!$A$6:$A$25,0)),"GES?"))</f>
        <v/>
      </c>
      <c r="N239" s="21" t="str">
        <f aca="false">IF(AND(ISNUMBER(L239),ISNUMBER(K239),LEFT(M239,3)="CAR"),L239*K239/100,"")</f>
        <v/>
      </c>
      <c r="O239" s="21" t="str">
        <f aca="false">IF(B239="","",IFERROR(INDEX(GES!$U$6:$U$25,MATCH(B239,GES!$A$6:$A$25,0)),""))</f>
        <v/>
      </c>
      <c r="P239" s="24" t="str">
        <f aca="false">IF(AND(ISNUMBER(L239),ISNUMBER(O239)),L239/O239,"")</f>
        <v/>
      </c>
      <c r="Q239" s="25" t="str">
        <f aca="false">IF(NOT(ISNUMBER(L239)),"",IFERROR(IF(INDEX(Estadística!$L$6:$L$25,MATCH(B239,Estadística!$A$6:$A$25,0))&gt;INDEX(Estadística!$T$6:$T$25,MATCH(B239,Estadística!$A$6:$A$25,0)),IF(OR(L239&lt;INDEX(Estadística!$I$6:$I$25,MATCH(B239,Estadística!$A$6:$A$25,0))/2,L239&gt;2*INDEX(Estadística!$I$6:$I$25,MATCH(B239,Estadística!$A$6:$A$25,0))),"Fuera de ½MA–2MA: revisar","Dentro de ½MA–2MA"),"—"),""))</f>
        <v/>
      </c>
      <c r="R239" s="18"/>
      <c r="S239" s="19" t="str">
        <f aca="false">IF(ISNUMBER(L239),IF(L239&gt;0,LN(L239),""),"")</f>
        <v/>
      </c>
      <c r="T239" s="19" t="str">
        <f aca="false">IF(ISNUMBER(S239),IFERROR((S239-LN(INDEX(Estadística!$K$6:$K$25,MATCH(B239,Estadística!$A$6:$A$25,0))))^2,""),"")</f>
        <v/>
      </c>
      <c r="U239" s="19" t="str">
        <f aca="false">IF(ISNUMBER(L239),IFERROR((L239-INDEX(Estadística!$I$6:$I$25,MATCH(B239,Estadística!$A$6:$A$25,0)))^2,""),"")</f>
        <v/>
      </c>
      <c r="V239" s="19" t="str">
        <f aca="false">IF(ISNUMBER(P239),IF(P239&gt;1,1,0),"")</f>
        <v/>
      </c>
    </row>
    <row r="240" customFormat="false" ht="15" hidden="false" customHeight="false" outlineLevel="0" collapsed="false">
      <c r="A240" s="18" t="n">
        <v>235</v>
      </c>
      <c r="B240" s="18"/>
      <c r="C240" s="22"/>
      <c r="D240" s="18"/>
      <c r="E240" s="18"/>
      <c r="F240" s="18"/>
      <c r="G240" s="18"/>
      <c r="H240" s="20" t="str">
        <f aca="false">IF(OR(F240="",G240=""),"",F240*G240/1000)</f>
        <v/>
      </c>
      <c r="I240" s="23"/>
      <c r="J240" s="23"/>
      <c r="K240" s="18"/>
      <c r="L240" s="21" t="str">
        <f aca="false">IF(B240="","",IF(J240&lt;&gt;"",J240,IF(AND(N(I240)&gt;0,N(H240)&gt;0),I240/H240,"")))</f>
        <v/>
      </c>
      <c r="M240" s="19" t="str">
        <f aca="false">IF(B240="","",IFERROR(INDEX(GES!$E$6:$E$25,MATCH(B240,GES!$A$6:$A$25,0)),"GES?"))</f>
        <v/>
      </c>
      <c r="N240" s="21" t="str">
        <f aca="false">IF(AND(ISNUMBER(L240),ISNUMBER(K240),LEFT(M240,3)="CAR"),L240*K240/100,"")</f>
        <v/>
      </c>
      <c r="O240" s="21" t="str">
        <f aca="false">IF(B240="","",IFERROR(INDEX(GES!$U$6:$U$25,MATCH(B240,GES!$A$6:$A$25,0)),""))</f>
        <v/>
      </c>
      <c r="P240" s="24" t="str">
        <f aca="false">IF(AND(ISNUMBER(L240),ISNUMBER(O240)),L240/O240,"")</f>
        <v/>
      </c>
      <c r="Q240" s="25" t="str">
        <f aca="false">IF(NOT(ISNUMBER(L240)),"",IFERROR(IF(INDEX(Estadística!$L$6:$L$25,MATCH(B240,Estadística!$A$6:$A$25,0))&gt;INDEX(Estadística!$T$6:$T$25,MATCH(B240,Estadística!$A$6:$A$25,0)),IF(OR(L240&lt;INDEX(Estadística!$I$6:$I$25,MATCH(B240,Estadística!$A$6:$A$25,0))/2,L240&gt;2*INDEX(Estadística!$I$6:$I$25,MATCH(B240,Estadística!$A$6:$A$25,0))),"Fuera de ½MA–2MA: revisar","Dentro de ½MA–2MA"),"—"),""))</f>
        <v/>
      </c>
      <c r="R240" s="18"/>
      <c r="S240" s="19" t="str">
        <f aca="false">IF(ISNUMBER(L240),IF(L240&gt;0,LN(L240),""),"")</f>
        <v/>
      </c>
      <c r="T240" s="19" t="str">
        <f aca="false">IF(ISNUMBER(S240),IFERROR((S240-LN(INDEX(Estadística!$K$6:$K$25,MATCH(B240,Estadística!$A$6:$A$25,0))))^2,""),"")</f>
        <v/>
      </c>
      <c r="U240" s="19" t="str">
        <f aca="false">IF(ISNUMBER(L240),IFERROR((L240-INDEX(Estadística!$I$6:$I$25,MATCH(B240,Estadística!$A$6:$A$25,0)))^2,""),"")</f>
        <v/>
      </c>
      <c r="V240" s="19" t="str">
        <f aca="false">IF(ISNUMBER(P240),IF(P240&gt;1,1,0),"")</f>
        <v/>
      </c>
    </row>
    <row r="241" customFormat="false" ht="15" hidden="false" customHeight="false" outlineLevel="0" collapsed="false">
      <c r="A241" s="18" t="n">
        <v>236</v>
      </c>
      <c r="B241" s="18"/>
      <c r="C241" s="22"/>
      <c r="D241" s="18"/>
      <c r="E241" s="18"/>
      <c r="F241" s="18"/>
      <c r="G241" s="18"/>
      <c r="H241" s="20" t="str">
        <f aca="false">IF(OR(F241="",G241=""),"",F241*G241/1000)</f>
        <v/>
      </c>
      <c r="I241" s="23"/>
      <c r="J241" s="23"/>
      <c r="K241" s="18"/>
      <c r="L241" s="21" t="str">
        <f aca="false">IF(B241="","",IF(J241&lt;&gt;"",J241,IF(AND(N(I241)&gt;0,N(H241)&gt;0),I241/H241,"")))</f>
        <v/>
      </c>
      <c r="M241" s="19" t="str">
        <f aca="false">IF(B241="","",IFERROR(INDEX(GES!$E$6:$E$25,MATCH(B241,GES!$A$6:$A$25,0)),"GES?"))</f>
        <v/>
      </c>
      <c r="N241" s="21" t="str">
        <f aca="false">IF(AND(ISNUMBER(L241),ISNUMBER(K241),LEFT(M241,3)="CAR"),L241*K241/100,"")</f>
        <v/>
      </c>
      <c r="O241" s="21" t="str">
        <f aca="false">IF(B241="","",IFERROR(INDEX(GES!$U$6:$U$25,MATCH(B241,GES!$A$6:$A$25,0)),""))</f>
        <v/>
      </c>
      <c r="P241" s="24" t="str">
        <f aca="false">IF(AND(ISNUMBER(L241),ISNUMBER(O241)),L241/O241,"")</f>
        <v/>
      </c>
      <c r="Q241" s="25" t="str">
        <f aca="false">IF(NOT(ISNUMBER(L241)),"",IFERROR(IF(INDEX(Estadística!$L$6:$L$25,MATCH(B241,Estadística!$A$6:$A$25,0))&gt;INDEX(Estadística!$T$6:$T$25,MATCH(B241,Estadística!$A$6:$A$25,0)),IF(OR(L241&lt;INDEX(Estadística!$I$6:$I$25,MATCH(B241,Estadística!$A$6:$A$25,0))/2,L241&gt;2*INDEX(Estadística!$I$6:$I$25,MATCH(B241,Estadística!$A$6:$A$25,0))),"Fuera de ½MA–2MA: revisar","Dentro de ½MA–2MA"),"—"),""))</f>
        <v/>
      </c>
      <c r="R241" s="18"/>
      <c r="S241" s="19" t="str">
        <f aca="false">IF(ISNUMBER(L241),IF(L241&gt;0,LN(L241),""),"")</f>
        <v/>
      </c>
      <c r="T241" s="19" t="str">
        <f aca="false">IF(ISNUMBER(S241),IFERROR((S241-LN(INDEX(Estadística!$K$6:$K$25,MATCH(B241,Estadística!$A$6:$A$25,0))))^2,""),"")</f>
        <v/>
      </c>
      <c r="U241" s="19" t="str">
        <f aca="false">IF(ISNUMBER(L241),IFERROR((L241-INDEX(Estadística!$I$6:$I$25,MATCH(B241,Estadística!$A$6:$A$25,0)))^2,""),"")</f>
        <v/>
      </c>
      <c r="V241" s="19" t="str">
        <f aca="false">IF(ISNUMBER(P241),IF(P241&gt;1,1,0),"")</f>
        <v/>
      </c>
    </row>
    <row r="242" customFormat="false" ht="15" hidden="false" customHeight="false" outlineLevel="0" collapsed="false">
      <c r="A242" s="18" t="n">
        <v>237</v>
      </c>
      <c r="B242" s="18"/>
      <c r="C242" s="22"/>
      <c r="D242" s="18"/>
      <c r="E242" s="18"/>
      <c r="F242" s="18"/>
      <c r="G242" s="18"/>
      <c r="H242" s="20" t="str">
        <f aca="false">IF(OR(F242="",G242=""),"",F242*G242/1000)</f>
        <v/>
      </c>
      <c r="I242" s="23"/>
      <c r="J242" s="23"/>
      <c r="K242" s="18"/>
      <c r="L242" s="21" t="str">
        <f aca="false">IF(B242="","",IF(J242&lt;&gt;"",J242,IF(AND(N(I242)&gt;0,N(H242)&gt;0),I242/H242,"")))</f>
        <v/>
      </c>
      <c r="M242" s="19" t="str">
        <f aca="false">IF(B242="","",IFERROR(INDEX(GES!$E$6:$E$25,MATCH(B242,GES!$A$6:$A$25,0)),"GES?"))</f>
        <v/>
      </c>
      <c r="N242" s="21" t="str">
        <f aca="false">IF(AND(ISNUMBER(L242),ISNUMBER(K242),LEFT(M242,3)="CAR"),L242*K242/100,"")</f>
        <v/>
      </c>
      <c r="O242" s="21" t="str">
        <f aca="false">IF(B242="","",IFERROR(INDEX(GES!$U$6:$U$25,MATCH(B242,GES!$A$6:$A$25,0)),""))</f>
        <v/>
      </c>
      <c r="P242" s="24" t="str">
        <f aca="false">IF(AND(ISNUMBER(L242),ISNUMBER(O242)),L242/O242,"")</f>
        <v/>
      </c>
      <c r="Q242" s="25" t="str">
        <f aca="false">IF(NOT(ISNUMBER(L242)),"",IFERROR(IF(INDEX(Estadística!$L$6:$L$25,MATCH(B242,Estadística!$A$6:$A$25,0))&gt;INDEX(Estadística!$T$6:$T$25,MATCH(B242,Estadística!$A$6:$A$25,0)),IF(OR(L242&lt;INDEX(Estadística!$I$6:$I$25,MATCH(B242,Estadística!$A$6:$A$25,0))/2,L242&gt;2*INDEX(Estadística!$I$6:$I$25,MATCH(B242,Estadística!$A$6:$A$25,0))),"Fuera de ½MA–2MA: revisar","Dentro de ½MA–2MA"),"—"),""))</f>
        <v/>
      </c>
      <c r="R242" s="18"/>
      <c r="S242" s="19" t="str">
        <f aca="false">IF(ISNUMBER(L242),IF(L242&gt;0,LN(L242),""),"")</f>
        <v/>
      </c>
      <c r="T242" s="19" t="str">
        <f aca="false">IF(ISNUMBER(S242),IFERROR((S242-LN(INDEX(Estadística!$K$6:$K$25,MATCH(B242,Estadística!$A$6:$A$25,0))))^2,""),"")</f>
        <v/>
      </c>
      <c r="U242" s="19" t="str">
        <f aca="false">IF(ISNUMBER(L242),IFERROR((L242-INDEX(Estadística!$I$6:$I$25,MATCH(B242,Estadística!$A$6:$A$25,0)))^2,""),"")</f>
        <v/>
      </c>
      <c r="V242" s="19" t="str">
        <f aca="false">IF(ISNUMBER(P242),IF(P242&gt;1,1,0),"")</f>
        <v/>
      </c>
    </row>
    <row r="243" customFormat="false" ht="15" hidden="false" customHeight="false" outlineLevel="0" collapsed="false">
      <c r="A243" s="18" t="n">
        <v>238</v>
      </c>
      <c r="B243" s="18"/>
      <c r="C243" s="22"/>
      <c r="D243" s="18"/>
      <c r="E243" s="18"/>
      <c r="F243" s="18"/>
      <c r="G243" s="18"/>
      <c r="H243" s="20" t="str">
        <f aca="false">IF(OR(F243="",G243=""),"",F243*G243/1000)</f>
        <v/>
      </c>
      <c r="I243" s="23"/>
      <c r="J243" s="23"/>
      <c r="K243" s="18"/>
      <c r="L243" s="21" t="str">
        <f aca="false">IF(B243="","",IF(J243&lt;&gt;"",J243,IF(AND(N(I243)&gt;0,N(H243)&gt;0),I243/H243,"")))</f>
        <v/>
      </c>
      <c r="M243" s="19" t="str">
        <f aca="false">IF(B243="","",IFERROR(INDEX(GES!$E$6:$E$25,MATCH(B243,GES!$A$6:$A$25,0)),"GES?"))</f>
        <v/>
      </c>
      <c r="N243" s="21" t="str">
        <f aca="false">IF(AND(ISNUMBER(L243),ISNUMBER(K243),LEFT(M243,3)="CAR"),L243*K243/100,"")</f>
        <v/>
      </c>
      <c r="O243" s="21" t="str">
        <f aca="false">IF(B243="","",IFERROR(INDEX(GES!$U$6:$U$25,MATCH(B243,GES!$A$6:$A$25,0)),""))</f>
        <v/>
      </c>
      <c r="P243" s="24" t="str">
        <f aca="false">IF(AND(ISNUMBER(L243),ISNUMBER(O243)),L243/O243,"")</f>
        <v/>
      </c>
      <c r="Q243" s="25" t="str">
        <f aca="false">IF(NOT(ISNUMBER(L243)),"",IFERROR(IF(INDEX(Estadística!$L$6:$L$25,MATCH(B243,Estadística!$A$6:$A$25,0))&gt;INDEX(Estadística!$T$6:$T$25,MATCH(B243,Estadística!$A$6:$A$25,0)),IF(OR(L243&lt;INDEX(Estadística!$I$6:$I$25,MATCH(B243,Estadística!$A$6:$A$25,0))/2,L243&gt;2*INDEX(Estadística!$I$6:$I$25,MATCH(B243,Estadística!$A$6:$A$25,0))),"Fuera de ½MA–2MA: revisar","Dentro de ½MA–2MA"),"—"),""))</f>
        <v/>
      </c>
      <c r="R243" s="18"/>
      <c r="S243" s="19" t="str">
        <f aca="false">IF(ISNUMBER(L243),IF(L243&gt;0,LN(L243),""),"")</f>
        <v/>
      </c>
      <c r="T243" s="19" t="str">
        <f aca="false">IF(ISNUMBER(S243),IFERROR((S243-LN(INDEX(Estadística!$K$6:$K$25,MATCH(B243,Estadística!$A$6:$A$25,0))))^2,""),"")</f>
        <v/>
      </c>
      <c r="U243" s="19" t="str">
        <f aca="false">IF(ISNUMBER(L243),IFERROR((L243-INDEX(Estadística!$I$6:$I$25,MATCH(B243,Estadística!$A$6:$A$25,0)))^2,""),"")</f>
        <v/>
      </c>
      <c r="V243" s="19" t="str">
        <f aca="false">IF(ISNUMBER(P243),IF(P243&gt;1,1,0),"")</f>
        <v/>
      </c>
    </row>
    <row r="244" customFormat="false" ht="15" hidden="false" customHeight="false" outlineLevel="0" collapsed="false">
      <c r="A244" s="18" t="n">
        <v>239</v>
      </c>
      <c r="B244" s="18"/>
      <c r="C244" s="22"/>
      <c r="D244" s="18"/>
      <c r="E244" s="18"/>
      <c r="F244" s="18"/>
      <c r="G244" s="18"/>
      <c r="H244" s="20" t="str">
        <f aca="false">IF(OR(F244="",G244=""),"",F244*G244/1000)</f>
        <v/>
      </c>
      <c r="I244" s="23"/>
      <c r="J244" s="23"/>
      <c r="K244" s="18"/>
      <c r="L244" s="21" t="str">
        <f aca="false">IF(B244="","",IF(J244&lt;&gt;"",J244,IF(AND(N(I244)&gt;0,N(H244)&gt;0),I244/H244,"")))</f>
        <v/>
      </c>
      <c r="M244" s="19" t="str">
        <f aca="false">IF(B244="","",IFERROR(INDEX(GES!$E$6:$E$25,MATCH(B244,GES!$A$6:$A$25,0)),"GES?"))</f>
        <v/>
      </c>
      <c r="N244" s="21" t="str">
        <f aca="false">IF(AND(ISNUMBER(L244),ISNUMBER(K244),LEFT(M244,3)="CAR"),L244*K244/100,"")</f>
        <v/>
      </c>
      <c r="O244" s="21" t="str">
        <f aca="false">IF(B244="","",IFERROR(INDEX(GES!$U$6:$U$25,MATCH(B244,GES!$A$6:$A$25,0)),""))</f>
        <v/>
      </c>
      <c r="P244" s="24" t="str">
        <f aca="false">IF(AND(ISNUMBER(L244),ISNUMBER(O244)),L244/O244,"")</f>
        <v/>
      </c>
      <c r="Q244" s="25" t="str">
        <f aca="false">IF(NOT(ISNUMBER(L244)),"",IFERROR(IF(INDEX(Estadística!$L$6:$L$25,MATCH(B244,Estadística!$A$6:$A$25,0))&gt;INDEX(Estadística!$T$6:$T$25,MATCH(B244,Estadística!$A$6:$A$25,0)),IF(OR(L244&lt;INDEX(Estadística!$I$6:$I$25,MATCH(B244,Estadística!$A$6:$A$25,0))/2,L244&gt;2*INDEX(Estadística!$I$6:$I$25,MATCH(B244,Estadística!$A$6:$A$25,0))),"Fuera de ½MA–2MA: revisar","Dentro de ½MA–2MA"),"—"),""))</f>
        <v/>
      </c>
      <c r="R244" s="18"/>
      <c r="S244" s="19" t="str">
        <f aca="false">IF(ISNUMBER(L244),IF(L244&gt;0,LN(L244),""),"")</f>
        <v/>
      </c>
      <c r="T244" s="19" t="str">
        <f aca="false">IF(ISNUMBER(S244),IFERROR((S244-LN(INDEX(Estadística!$K$6:$K$25,MATCH(B244,Estadística!$A$6:$A$25,0))))^2,""),"")</f>
        <v/>
      </c>
      <c r="U244" s="19" t="str">
        <f aca="false">IF(ISNUMBER(L244),IFERROR((L244-INDEX(Estadística!$I$6:$I$25,MATCH(B244,Estadística!$A$6:$A$25,0)))^2,""),"")</f>
        <v/>
      </c>
      <c r="V244" s="19" t="str">
        <f aca="false">IF(ISNUMBER(P244),IF(P244&gt;1,1,0),"")</f>
        <v/>
      </c>
    </row>
    <row r="245" customFormat="false" ht="15" hidden="false" customHeight="false" outlineLevel="0" collapsed="false">
      <c r="A245" s="18" t="n">
        <v>240</v>
      </c>
      <c r="B245" s="18"/>
      <c r="C245" s="22"/>
      <c r="D245" s="18"/>
      <c r="E245" s="18"/>
      <c r="F245" s="18"/>
      <c r="G245" s="18"/>
      <c r="H245" s="20" t="str">
        <f aca="false">IF(OR(F245="",G245=""),"",F245*G245/1000)</f>
        <v/>
      </c>
      <c r="I245" s="23"/>
      <c r="J245" s="23"/>
      <c r="K245" s="18"/>
      <c r="L245" s="21" t="str">
        <f aca="false">IF(B245="","",IF(J245&lt;&gt;"",J245,IF(AND(N(I245)&gt;0,N(H245)&gt;0),I245/H245,"")))</f>
        <v/>
      </c>
      <c r="M245" s="19" t="str">
        <f aca="false">IF(B245="","",IFERROR(INDEX(GES!$E$6:$E$25,MATCH(B245,GES!$A$6:$A$25,0)),"GES?"))</f>
        <v/>
      </c>
      <c r="N245" s="21" t="str">
        <f aca="false">IF(AND(ISNUMBER(L245),ISNUMBER(K245),LEFT(M245,3)="CAR"),L245*K245/100,"")</f>
        <v/>
      </c>
      <c r="O245" s="21" t="str">
        <f aca="false">IF(B245="","",IFERROR(INDEX(GES!$U$6:$U$25,MATCH(B245,GES!$A$6:$A$25,0)),""))</f>
        <v/>
      </c>
      <c r="P245" s="24" t="str">
        <f aca="false">IF(AND(ISNUMBER(L245),ISNUMBER(O245)),L245/O245,"")</f>
        <v/>
      </c>
      <c r="Q245" s="25" t="str">
        <f aca="false">IF(NOT(ISNUMBER(L245)),"",IFERROR(IF(INDEX(Estadística!$L$6:$L$25,MATCH(B245,Estadística!$A$6:$A$25,0))&gt;INDEX(Estadística!$T$6:$T$25,MATCH(B245,Estadística!$A$6:$A$25,0)),IF(OR(L245&lt;INDEX(Estadística!$I$6:$I$25,MATCH(B245,Estadística!$A$6:$A$25,0))/2,L245&gt;2*INDEX(Estadística!$I$6:$I$25,MATCH(B245,Estadística!$A$6:$A$25,0))),"Fuera de ½MA–2MA: revisar","Dentro de ½MA–2MA"),"—"),""))</f>
        <v/>
      </c>
      <c r="R245" s="18"/>
      <c r="S245" s="19" t="str">
        <f aca="false">IF(ISNUMBER(L245),IF(L245&gt;0,LN(L245),""),"")</f>
        <v/>
      </c>
      <c r="T245" s="19" t="str">
        <f aca="false">IF(ISNUMBER(S245),IFERROR((S245-LN(INDEX(Estadística!$K$6:$K$25,MATCH(B245,Estadística!$A$6:$A$25,0))))^2,""),"")</f>
        <v/>
      </c>
      <c r="U245" s="19" t="str">
        <f aca="false">IF(ISNUMBER(L245),IFERROR((L245-INDEX(Estadística!$I$6:$I$25,MATCH(B245,Estadística!$A$6:$A$25,0)))^2,""),"")</f>
        <v/>
      </c>
      <c r="V245" s="19" t="str">
        <f aca="false">IF(ISNUMBER(P245),IF(P245&gt;1,1,0),"")</f>
        <v/>
      </c>
    </row>
    <row r="246" customFormat="false" ht="15" hidden="false" customHeight="false" outlineLevel="0" collapsed="false">
      <c r="A246" s="18" t="n">
        <v>241</v>
      </c>
      <c r="B246" s="18"/>
      <c r="C246" s="22"/>
      <c r="D246" s="18"/>
      <c r="E246" s="18"/>
      <c r="F246" s="18"/>
      <c r="G246" s="18"/>
      <c r="H246" s="20" t="str">
        <f aca="false">IF(OR(F246="",G246=""),"",F246*G246/1000)</f>
        <v/>
      </c>
      <c r="I246" s="23"/>
      <c r="J246" s="23"/>
      <c r="K246" s="18"/>
      <c r="L246" s="21" t="str">
        <f aca="false">IF(B246="","",IF(J246&lt;&gt;"",J246,IF(AND(N(I246)&gt;0,N(H246)&gt;0),I246/H246,"")))</f>
        <v/>
      </c>
      <c r="M246" s="19" t="str">
        <f aca="false">IF(B246="","",IFERROR(INDEX(GES!$E$6:$E$25,MATCH(B246,GES!$A$6:$A$25,0)),"GES?"))</f>
        <v/>
      </c>
      <c r="N246" s="21" t="str">
        <f aca="false">IF(AND(ISNUMBER(L246),ISNUMBER(K246),LEFT(M246,3)="CAR"),L246*K246/100,"")</f>
        <v/>
      </c>
      <c r="O246" s="21" t="str">
        <f aca="false">IF(B246="","",IFERROR(INDEX(GES!$U$6:$U$25,MATCH(B246,GES!$A$6:$A$25,0)),""))</f>
        <v/>
      </c>
      <c r="P246" s="24" t="str">
        <f aca="false">IF(AND(ISNUMBER(L246),ISNUMBER(O246)),L246/O246,"")</f>
        <v/>
      </c>
      <c r="Q246" s="25" t="str">
        <f aca="false">IF(NOT(ISNUMBER(L246)),"",IFERROR(IF(INDEX(Estadística!$L$6:$L$25,MATCH(B246,Estadística!$A$6:$A$25,0))&gt;INDEX(Estadística!$T$6:$T$25,MATCH(B246,Estadística!$A$6:$A$25,0)),IF(OR(L246&lt;INDEX(Estadística!$I$6:$I$25,MATCH(B246,Estadística!$A$6:$A$25,0))/2,L246&gt;2*INDEX(Estadística!$I$6:$I$25,MATCH(B246,Estadística!$A$6:$A$25,0))),"Fuera de ½MA–2MA: revisar","Dentro de ½MA–2MA"),"—"),""))</f>
        <v/>
      </c>
      <c r="R246" s="18"/>
      <c r="S246" s="19" t="str">
        <f aca="false">IF(ISNUMBER(L246),IF(L246&gt;0,LN(L246),""),"")</f>
        <v/>
      </c>
      <c r="T246" s="19" t="str">
        <f aca="false">IF(ISNUMBER(S246),IFERROR((S246-LN(INDEX(Estadística!$K$6:$K$25,MATCH(B246,Estadística!$A$6:$A$25,0))))^2,""),"")</f>
        <v/>
      </c>
      <c r="U246" s="19" t="str">
        <f aca="false">IF(ISNUMBER(L246),IFERROR((L246-INDEX(Estadística!$I$6:$I$25,MATCH(B246,Estadística!$A$6:$A$25,0)))^2,""),"")</f>
        <v/>
      </c>
      <c r="V246" s="19" t="str">
        <f aca="false">IF(ISNUMBER(P246),IF(P246&gt;1,1,0),"")</f>
        <v/>
      </c>
    </row>
    <row r="247" customFormat="false" ht="15" hidden="false" customHeight="false" outlineLevel="0" collapsed="false">
      <c r="A247" s="18" t="n">
        <v>242</v>
      </c>
      <c r="B247" s="18"/>
      <c r="C247" s="22"/>
      <c r="D247" s="18"/>
      <c r="E247" s="18"/>
      <c r="F247" s="18"/>
      <c r="G247" s="18"/>
      <c r="H247" s="20" t="str">
        <f aca="false">IF(OR(F247="",G247=""),"",F247*G247/1000)</f>
        <v/>
      </c>
      <c r="I247" s="23"/>
      <c r="J247" s="23"/>
      <c r="K247" s="18"/>
      <c r="L247" s="21" t="str">
        <f aca="false">IF(B247="","",IF(J247&lt;&gt;"",J247,IF(AND(N(I247)&gt;0,N(H247)&gt;0),I247/H247,"")))</f>
        <v/>
      </c>
      <c r="M247" s="19" t="str">
        <f aca="false">IF(B247="","",IFERROR(INDEX(GES!$E$6:$E$25,MATCH(B247,GES!$A$6:$A$25,0)),"GES?"))</f>
        <v/>
      </c>
      <c r="N247" s="21" t="str">
        <f aca="false">IF(AND(ISNUMBER(L247),ISNUMBER(K247),LEFT(M247,3)="CAR"),L247*K247/100,"")</f>
        <v/>
      </c>
      <c r="O247" s="21" t="str">
        <f aca="false">IF(B247="","",IFERROR(INDEX(GES!$U$6:$U$25,MATCH(B247,GES!$A$6:$A$25,0)),""))</f>
        <v/>
      </c>
      <c r="P247" s="24" t="str">
        <f aca="false">IF(AND(ISNUMBER(L247),ISNUMBER(O247)),L247/O247,"")</f>
        <v/>
      </c>
      <c r="Q247" s="25" t="str">
        <f aca="false">IF(NOT(ISNUMBER(L247)),"",IFERROR(IF(INDEX(Estadística!$L$6:$L$25,MATCH(B247,Estadística!$A$6:$A$25,0))&gt;INDEX(Estadística!$T$6:$T$25,MATCH(B247,Estadística!$A$6:$A$25,0)),IF(OR(L247&lt;INDEX(Estadística!$I$6:$I$25,MATCH(B247,Estadística!$A$6:$A$25,0))/2,L247&gt;2*INDEX(Estadística!$I$6:$I$25,MATCH(B247,Estadística!$A$6:$A$25,0))),"Fuera de ½MA–2MA: revisar","Dentro de ½MA–2MA"),"—"),""))</f>
        <v/>
      </c>
      <c r="R247" s="18"/>
      <c r="S247" s="19" t="str">
        <f aca="false">IF(ISNUMBER(L247),IF(L247&gt;0,LN(L247),""),"")</f>
        <v/>
      </c>
      <c r="T247" s="19" t="str">
        <f aca="false">IF(ISNUMBER(S247),IFERROR((S247-LN(INDEX(Estadística!$K$6:$K$25,MATCH(B247,Estadística!$A$6:$A$25,0))))^2,""),"")</f>
        <v/>
      </c>
      <c r="U247" s="19" t="str">
        <f aca="false">IF(ISNUMBER(L247),IFERROR((L247-INDEX(Estadística!$I$6:$I$25,MATCH(B247,Estadística!$A$6:$A$25,0)))^2,""),"")</f>
        <v/>
      </c>
      <c r="V247" s="19" t="str">
        <f aca="false">IF(ISNUMBER(P247),IF(P247&gt;1,1,0),"")</f>
        <v/>
      </c>
    </row>
    <row r="248" customFormat="false" ht="15" hidden="false" customHeight="false" outlineLevel="0" collapsed="false">
      <c r="A248" s="18" t="n">
        <v>243</v>
      </c>
      <c r="B248" s="18"/>
      <c r="C248" s="22"/>
      <c r="D248" s="18"/>
      <c r="E248" s="18"/>
      <c r="F248" s="18"/>
      <c r="G248" s="18"/>
      <c r="H248" s="20" t="str">
        <f aca="false">IF(OR(F248="",G248=""),"",F248*G248/1000)</f>
        <v/>
      </c>
      <c r="I248" s="23"/>
      <c r="J248" s="23"/>
      <c r="K248" s="18"/>
      <c r="L248" s="21" t="str">
        <f aca="false">IF(B248="","",IF(J248&lt;&gt;"",J248,IF(AND(N(I248)&gt;0,N(H248)&gt;0),I248/H248,"")))</f>
        <v/>
      </c>
      <c r="M248" s="19" t="str">
        <f aca="false">IF(B248="","",IFERROR(INDEX(GES!$E$6:$E$25,MATCH(B248,GES!$A$6:$A$25,0)),"GES?"))</f>
        <v/>
      </c>
      <c r="N248" s="21" t="str">
        <f aca="false">IF(AND(ISNUMBER(L248),ISNUMBER(K248),LEFT(M248,3)="CAR"),L248*K248/100,"")</f>
        <v/>
      </c>
      <c r="O248" s="21" t="str">
        <f aca="false">IF(B248="","",IFERROR(INDEX(GES!$U$6:$U$25,MATCH(B248,GES!$A$6:$A$25,0)),""))</f>
        <v/>
      </c>
      <c r="P248" s="24" t="str">
        <f aca="false">IF(AND(ISNUMBER(L248),ISNUMBER(O248)),L248/O248,"")</f>
        <v/>
      </c>
      <c r="Q248" s="25" t="str">
        <f aca="false">IF(NOT(ISNUMBER(L248)),"",IFERROR(IF(INDEX(Estadística!$L$6:$L$25,MATCH(B248,Estadística!$A$6:$A$25,0))&gt;INDEX(Estadística!$T$6:$T$25,MATCH(B248,Estadística!$A$6:$A$25,0)),IF(OR(L248&lt;INDEX(Estadística!$I$6:$I$25,MATCH(B248,Estadística!$A$6:$A$25,0))/2,L248&gt;2*INDEX(Estadística!$I$6:$I$25,MATCH(B248,Estadística!$A$6:$A$25,0))),"Fuera de ½MA–2MA: revisar","Dentro de ½MA–2MA"),"—"),""))</f>
        <v/>
      </c>
      <c r="R248" s="18"/>
      <c r="S248" s="19" t="str">
        <f aca="false">IF(ISNUMBER(L248),IF(L248&gt;0,LN(L248),""),"")</f>
        <v/>
      </c>
      <c r="T248" s="19" t="str">
        <f aca="false">IF(ISNUMBER(S248),IFERROR((S248-LN(INDEX(Estadística!$K$6:$K$25,MATCH(B248,Estadística!$A$6:$A$25,0))))^2,""),"")</f>
        <v/>
      </c>
      <c r="U248" s="19" t="str">
        <f aca="false">IF(ISNUMBER(L248),IFERROR((L248-INDEX(Estadística!$I$6:$I$25,MATCH(B248,Estadística!$A$6:$A$25,0)))^2,""),"")</f>
        <v/>
      </c>
      <c r="V248" s="19" t="str">
        <f aca="false">IF(ISNUMBER(P248),IF(P248&gt;1,1,0),"")</f>
        <v/>
      </c>
    </row>
    <row r="249" customFormat="false" ht="15" hidden="false" customHeight="false" outlineLevel="0" collapsed="false">
      <c r="A249" s="18" t="n">
        <v>244</v>
      </c>
      <c r="B249" s="18"/>
      <c r="C249" s="22"/>
      <c r="D249" s="18"/>
      <c r="E249" s="18"/>
      <c r="F249" s="18"/>
      <c r="G249" s="18"/>
      <c r="H249" s="20" t="str">
        <f aca="false">IF(OR(F249="",G249=""),"",F249*G249/1000)</f>
        <v/>
      </c>
      <c r="I249" s="23"/>
      <c r="J249" s="23"/>
      <c r="K249" s="18"/>
      <c r="L249" s="21" t="str">
        <f aca="false">IF(B249="","",IF(J249&lt;&gt;"",J249,IF(AND(N(I249)&gt;0,N(H249)&gt;0),I249/H249,"")))</f>
        <v/>
      </c>
      <c r="M249" s="19" t="str">
        <f aca="false">IF(B249="","",IFERROR(INDEX(GES!$E$6:$E$25,MATCH(B249,GES!$A$6:$A$25,0)),"GES?"))</f>
        <v/>
      </c>
      <c r="N249" s="21" t="str">
        <f aca="false">IF(AND(ISNUMBER(L249),ISNUMBER(K249),LEFT(M249,3)="CAR"),L249*K249/100,"")</f>
        <v/>
      </c>
      <c r="O249" s="21" t="str">
        <f aca="false">IF(B249="","",IFERROR(INDEX(GES!$U$6:$U$25,MATCH(B249,GES!$A$6:$A$25,0)),""))</f>
        <v/>
      </c>
      <c r="P249" s="24" t="str">
        <f aca="false">IF(AND(ISNUMBER(L249),ISNUMBER(O249)),L249/O249,"")</f>
        <v/>
      </c>
      <c r="Q249" s="25" t="str">
        <f aca="false">IF(NOT(ISNUMBER(L249)),"",IFERROR(IF(INDEX(Estadística!$L$6:$L$25,MATCH(B249,Estadística!$A$6:$A$25,0))&gt;INDEX(Estadística!$T$6:$T$25,MATCH(B249,Estadística!$A$6:$A$25,0)),IF(OR(L249&lt;INDEX(Estadística!$I$6:$I$25,MATCH(B249,Estadística!$A$6:$A$25,0))/2,L249&gt;2*INDEX(Estadística!$I$6:$I$25,MATCH(B249,Estadística!$A$6:$A$25,0))),"Fuera de ½MA–2MA: revisar","Dentro de ½MA–2MA"),"—"),""))</f>
        <v/>
      </c>
      <c r="R249" s="18"/>
      <c r="S249" s="19" t="str">
        <f aca="false">IF(ISNUMBER(L249),IF(L249&gt;0,LN(L249),""),"")</f>
        <v/>
      </c>
      <c r="T249" s="19" t="str">
        <f aca="false">IF(ISNUMBER(S249),IFERROR((S249-LN(INDEX(Estadística!$K$6:$K$25,MATCH(B249,Estadística!$A$6:$A$25,0))))^2,""),"")</f>
        <v/>
      </c>
      <c r="U249" s="19" t="str">
        <f aca="false">IF(ISNUMBER(L249),IFERROR((L249-INDEX(Estadística!$I$6:$I$25,MATCH(B249,Estadística!$A$6:$A$25,0)))^2,""),"")</f>
        <v/>
      </c>
      <c r="V249" s="19" t="str">
        <f aca="false">IF(ISNUMBER(P249),IF(P249&gt;1,1,0),"")</f>
        <v/>
      </c>
    </row>
    <row r="250" customFormat="false" ht="15" hidden="false" customHeight="false" outlineLevel="0" collapsed="false">
      <c r="A250" s="18" t="n">
        <v>245</v>
      </c>
      <c r="B250" s="18"/>
      <c r="C250" s="22"/>
      <c r="D250" s="18"/>
      <c r="E250" s="18"/>
      <c r="F250" s="18"/>
      <c r="G250" s="18"/>
      <c r="H250" s="20" t="str">
        <f aca="false">IF(OR(F250="",G250=""),"",F250*G250/1000)</f>
        <v/>
      </c>
      <c r="I250" s="23"/>
      <c r="J250" s="23"/>
      <c r="K250" s="18"/>
      <c r="L250" s="21" t="str">
        <f aca="false">IF(B250="","",IF(J250&lt;&gt;"",J250,IF(AND(N(I250)&gt;0,N(H250)&gt;0),I250/H250,"")))</f>
        <v/>
      </c>
      <c r="M250" s="19" t="str">
        <f aca="false">IF(B250="","",IFERROR(INDEX(GES!$E$6:$E$25,MATCH(B250,GES!$A$6:$A$25,0)),"GES?"))</f>
        <v/>
      </c>
      <c r="N250" s="21" t="str">
        <f aca="false">IF(AND(ISNUMBER(L250),ISNUMBER(K250),LEFT(M250,3)="CAR"),L250*K250/100,"")</f>
        <v/>
      </c>
      <c r="O250" s="21" t="str">
        <f aca="false">IF(B250="","",IFERROR(INDEX(GES!$U$6:$U$25,MATCH(B250,GES!$A$6:$A$25,0)),""))</f>
        <v/>
      </c>
      <c r="P250" s="24" t="str">
        <f aca="false">IF(AND(ISNUMBER(L250),ISNUMBER(O250)),L250/O250,"")</f>
        <v/>
      </c>
      <c r="Q250" s="25" t="str">
        <f aca="false">IF(NOT(ISNUMBER(L250)),"",IFERROR(IF(INDEX(Estadística!$L$6:$L$25,MATCH(B250,Estadística!$A$6:$A$25,0))&gt;INDEX(Estadística!$T$6:$T$25,MATCH(B250,Estadística!$A$6:$A$25,0)),IF(OR(L250&lt;INDEX(Estadística!$I$6:$I$25,MATCH(B250,Estadística!$A$6:$A$25,0))/2,L250&gt;2*INDEX(Estadística!$I$6:$I$25,MATCH(B250,Estadística!$A$6:$A$25,0))),"Fuera de ½MA–2MA: revisar","Dentro de ½MA–2MA"),"—"),""))</f>
        <v/>
      </c>
      <c r="R250" s="18"/>
      <c r="S250" s="19" t="str">
        <f aca="false">IF(ISNUMBER(L250),IF(L250&gt;0,LN(L250),""),"")</f>
        <v/>
      </c>
      <c r="T250" s="19" t="str">
        <f aca="false">IF(ISNUMBER(S250),IFERROR((S250-LN(INDEX(Estadística!$K$6:$K$25,MATCH(B250,Estadística!$A$6:$A$25,0))))^2,""),"")</f>
        <v/>
      </c>
      <c r="U250" s="19" t="str">
        <f aca="false">IF(ISNUMBER(L250),IFERROR((L250-INDEX(Estadística!$I$6:$I$25,MATCH(B250,Estadística!$A$6:$A$25,0)))^2,""),"")</f>
        <v/>
      </c>
      <c r="V250" s="19" t="str">
        <f aca="false">IF(ISNUMBER(P250),IF(P250&gt;1,1,0),"")</f>
        <v/>
      </c>
    </row>
    <row r="251" customFormat="false" ht="15" hidden="false" customHeight="false" outlineLevel="0" collapsed="false">
      <c r="A251" s="18" t="n">
        <v>246</v>
      </c>
      <c r="B251" s="18"/>
      <c r="C251" s="22"/>
      <c r="D251" s="18"/>
      <c r="E251" s="18"/>
      <c r="F251" s="18"/>
      <c r="G251" s="18"/>
      <c r="H251" s="20" t="str">
        <f aca="false">IF(OR(F251="",G251=""),"",F251*G251/1000)</f>
        <v/>
      </c>
      <c r="I251" s="23"/>
      <c r="J251" s="23"/>
      <c r="K251" s="18"/>
      <c r="L251" s="21" t="str">
        <f aca="false">IF(B251="","",IF(J251&lt;&gt;"",J251,IF(AND(N(I251)&gt;0,N(H251)&gt;0),I251/H251,"")))</f>
        <v/>
      </c>
      <c r="M251" s="19" t="str">
        <f aca="false">IF(B251="","",IFERROR(INDEX(GES!$E$6:$E$25,MATCH(B251,GES!$A$6:$A$25,0)),"GES?"))</f>
        <v/>
      </c>
      <c r="N251" s="21" t="str">
        <f aca="false">IF(AND(ISNUMBER(L251),ISNUMBER(K251),LEFT(M251,3)="CAR"),L251*K251/100,"")</f>
        <v/>
      </c>
      <c r="O251" s="21" t="str">
        <f aca="false">IF(B251="","",IFERROR(INDEX(GES!$U$6:$U$25,MATCH(B251,GES!$A$6:$A$25,0)),""))</f>
        <v/>
      </c>
      <c r="P251" s="24" t="str">
        <f aca="false">IF(AND(ISNUMBER(L251),ISNUMBER(O251)),L251/O251,"")</f>
        <v/>
      </c>
      <c r="Q251" s="25" t="str">
        <f aca="false">IF(NOT(ISNUMBER(L251)),"",IFERROR(IF(INDEX(Estadística!$L$6:$L$25,MATCH(B251,Estadística!$A$6:$A$25,0))&gt;INDEX(Estadística!$T$6:$T$25,MATCH(B251,Estadística!$A$6:$A$25,0)),IF(OR(L251&lt;INDEX(Estadística!$I$6:$I$25,MATCH(B251,Estadística!$A$6:$A$25,0))/2,L251&gt;2*INDEX(Estadística!$I$6:$I$25,MATCH(B251,Estadística!$A$6:$A$25,0))),"Fuera de ½MA–2MA: revisar","Dentro de ½MA–2MA"),"—"),""))</f>
        <v/>
      </c>
      <c r="R251" s="18"/>
      <c r="S251" s="19" t="str">
        <f aca="false">IF(ISNUMBER(L251),IF(L251&gt;0,LN(L251),""),"")</f>
        <v/>
      </c>
      <c r="T251" s="19" t="str">
        <f aca="false">IF(ISNUMBER(S251),IFERROR((S251-LN(INDEX(Estadística!$K$6:$K$25,MATCH(B251,Estadística!$A$6:$A$25,0))))^2,""),"")</f>
        <v/>
      </c>
      <c r="U251" s="19" t="str">
        <f aca="false">IF(ISNUMBER(L251),IFERROR((L251-INDEX(Estadística!$I$6:$I$25,MATCH(B251,Estadística!$A$6:$A$25,0)))^2,""),"")</f>
        <v/>
      </c>
      <c r="V251" s="19" t="str">
        <f aca="false">IF(ISNUMBER(P251),IF(P251&gt;1,1,0),"")</f>
        <v/>
      </c>
    </row>
    <row r="252" customFormat="false" ht="15" hidden="false" customHeight="false" outlineLevel="0" collapsed="false">
      <c r="A252" s="18" t="n">
        <v>247</v>
      </c>
      <c r="B252" s="18"/>
      <c r="C252" s="22"/>
      <c r="D252" s="18"/>
      <c r="E252" s="18"/>
      <c r="F252" s="18"/>
      <c r="G252" s="18"/>
      <c r="H252" s="20" t="str">
        <f aca="false">IF(OR(F252="",G252=""),"",F252*G252/1000)</f>
        <v/>
      </c>
      <c r="I252" s="23"/>
      <c r="J252" s="23"/>
      <c r="K252" s="18"/>
      <c r="L252" s="21" t="str">
        <f aca="false">IF(B252="","",IF(J252&lt;&gt;"",J252,IF(AND(N(I252)&gt;0,N(H252)&gt;0),I252/H252,"")))</f>
        <v/>
      </c>
      <c r="M252" s="19" t="str">
        <f aca="false">IF(B252="","",IFERROR(INDEX(GES!$E$6:$E$25,MATCH(B252,GES!$A$6:$A$25,0)),"GES?"))</f>
        <v/>
      </c>
      <c r="N252" s="21" t="str">
        <f aca="false">IF(AND(ISNUMBER(L252),ISNUMBER(K252),LEFT(M252,3)="CAR"),L252*K252/100,"")</f>
        <v/>
      </c>
      <c r="O252" s="21" t="str">
        <f aca="false">IF(B252="","",IFERROR(INDEX(GES!$U$6:$U$25,MATCH(B252,GES!$A$6:$A$25,0)),""))</f>
        <v/>
      </c>
      <c r="P252" s="24" t="str">
        <f aca="false">IF(AND(ISNUMBER(L252),ISNUMBER(O252)),L252/O252,"")</f>
        <v/>
      </c>
      <c r="Q252" s="25" t="str">
        <f aca="false">IF(NOT(ISNUMBER(L252)),"",IFERROR(IF(INDEX(Estadística!$L$6:$L$25,MATCH(B252,Estadística!$A$6:$A$25,0))&gt;INDEX(Estadística!$T$6:$T$25,MATCH(B252,Estadística!$A$6:$A$25,0)),IF(OR(L252&lt;INDEX(Estadística!$I$6:$I$25,MATCH(B252,Estadística!$A$6:$A$25,0))/2,L252&gt;2*INDEX(Estadística!$I$6:$I$25,MATCH(B252,Estadística!$A$6:$A$25,0))),"Fuera de ½MA–2MA: revisar","Dentro de ½MA–2MA"),"—"),""))</f>
        <v/>
      </c>
      <c r="R252" s="18"/>
      <c r="S252" s="19" t="str">
        <f aca="false">IF(ISNUMBER(L252),IF(L252&gt;0,LN(L252),""),"")</f>
        <v/>
      </c>
      <c r="T252" s="19" t="str">
        <f aca="false">IF(ISNUMBER(S252),IFERROR((S252-LN(INDEX(Estadística!$K$6:$K$25,MATCH(B252,Estadística!$A$6:$A$25,0))))^2,""),"")</f>
        <v/>
      </c>
      <c r="U252" s="19" t="str">
        <f aca="false">IF(ISNUMBER(L252),IFERROR((L252-INDEX(Estadística!$I$6:$I$25,MATCH(B252,Estadística!$A$6:$A$25,0)))^2,""),"")</f>
        <v/>
      </c>
      <c r="V252" s="19" t="str">
        <f aca="false">IF(ISNUMBER(P252),IF(P252&gt;1,1,0),"")</f>
        <v/>
      </c>
    </row>
    <row r="253" customFormat="false" ht="15" hidden="false" customHeight="false" outlineLevel="0" collapsed="false">
      <c r="A253" s="18" t="n">
        <v>248</v>
      </c>
      <c r="B253" s="18"/>
      <c r="C253" s="22"/>
      <c r="D253" s="18"/>
      <c r="E253" s="18"/>
      <c r="F253" s="18"/>
      <c r="G253" s="18"/>
      <c r="H253" s="20" t="str">
        <f aca="false">IF(OR(F253="",G253=""),"",F253*G253/1000)</f>
        <v/>
      </c>
      <c r="I253" s="23"/>
      <c r="J253" s="23"/>
      <c r="K253" s="18"/>
      <c r="L253" s="21" t="str">
        <f aca="false">IF(B253="","",IF(J253&lt;&gt;"",J253,IF(AND(N(I253)&gt;0,N(H253)&gt;0),I253/H253,"")))</f>
        <v/>
      </c>
      <c r="M253" s="19" t="str">
        <f aca="false">IF(B253="","",IFERROR(INDEX(GES!$E$6:$E$25,MATCH(B253,GES!$A$6:$A$25,0)),"GES?"))</f>
        <v/>
      </c>
      <c r="N253" s="21" t="str">
        <f aca="false">IF(AND(ISNUMBER(L253),ISNUMBER(K253),LEFT(M253,3)="CAR"),L253*K253/100,"")</f>
        <v/>
      </c>
      <c r="O253" s="21" t="str">
        <f aca="false">IF(B253="","",IFERROR(INDEX(GES!$U$6:$U$25,MATCH(B253,GES!$A$6:$A$25,0)),""))</f>
        <v/>
      </c>
      <c r="P253" s="24" t="str">
        <f aca="false">IF(AND(ISNUMBER(L253),ISNUMBER(O253)),L253/O253,"")</f>
        <v/>
      </c>
      <c r="Q253" s="25" t="str">
        <f aca="false">IF(NOT(ISNUMBER(L253)),"",IFERROR(IF(INDEX(Estadística!$L$6:$L$25,MATCH(B253,Estadística!$A$6:$A$25,0))&gt;INDEX(Estadística!$T$6:$T$25,MATCH(B253,Estadística!$A$6:$A$25,0)),IF(OR(L253&lt;INDEX(Estadística!$I$6:$I$25,MATCH(B253,Estadística!$A$6:$A$25,0))/2,L253&gt;2*INDEX(Estadística!$I$6:$I$25,MATCH(B253,Estadística!$A$6:$A$25,0))),"Fuera de ½MA–2MA: revisar","Dentro de ½MA–2MA"),"—"),""))</f>
        <v/>
      </c>
      <c r="R253" s="18"/>
      <c r="S253" s="19" t="str">
        <f aca="false">IF(ISNUMBER(L253),IF(L253&gt;0,LN(L253),""),"")</f>
        <v/>
      </c>
      <c r="T253" s="19" t="str">
        <f aca="false">IF(ISNUMBER(S253),IFERROR((S253-LN(INDEX(Estadística!$K$6:$K$25,MATCH(B253,Estadística!$A$6:$A$25,0))))^2,""),"")</f>
        <v/>
      </c>
      <c r="U253" s="19" t="str">
        <f aca="false">IF(ISNUMBER(L253),IFERROR((L253-INDEX(Estadística!$I$6:$I$25,MATCH(B253,Estadística!$A$6:$A$25,0)))^2,""),"")</f>
        <v/>
      </c>
      <c r="V253" s="19" t="str">
        <f aca="false">IF(ISNUMBER(P253),IF(P253&gt;1,1,0),"")</f>
        <v/>
      </c>
    </row>
    <row r="254" customFormat="false" ht="15" hidden="false" customHeight="false" outlineLevel="0" collapsed="false">
      <c r="A254" s="18" t="n">
        <v>249</v>
      </c>
      <c r="B254" s="18"/>
      <c r="C254" s="22"/>
      <c r="D254" s="18"/>
      <c r="E254" s="18"/>
      <c r="F254" s="18"/>
      <c r="G254" s="18"/>
      <c r="H254" s="20" t="str">
        <f aca="false">IF(OR(F254="",G254=""),"",F254*G254/1000)</f>
        <v/>
      </c>
      <c r="I254" s="23"/>
      <c r="J254" s="23"/>
      <c r="K254" s="18"/>
      <c r="L254" s="21" t="str">
        <f aca="false">IF(B254="","",IF(J254&lt;&gt;"",J254,IF(AND(N(I254)&gt;0,N(H254)&gt;0),I254/H254,"")))</f>
        <v/>
      </c>
      <c r="M254" s="19" t="str">
        <f aca="false">IF(B254="","",IFERROR(INDEX(GES!$E$6:$E$25,MATCH(B254,GES!$A$6:$A$25,0)),"GES?"))</f>
        <v/>
      </c>
      <c r="N254" s="21" t="str">
        <f aca="false">IF(AND(ISNUMBER(L254),ISNUMBER(K254),LEFT(M254,3)="CAR"),L254*K254/100,"")</f>
        <v/>
      </c>
      <c r="O254" s="21" t="str">
        <f aca="false">IF(B254="","",IFERROR(INDEX(GES!$U$6:$U$25,MATCH(B254,GES!$A$6:$A$25,0)),""))</f>
        <v/>
      </c>
      <c r="P254" s="24" t="str">
        <f aca="false">IF(AND(ISNUMBER(L254),ISNUMBER(O254)),L254/O254,"")</f>
        <v/>
      </c>
      <c r="Q254" s="25" t="str">
        <f aca="false">IF(NOT(ISNUMBER(L254)),"",IFERROR(IF(INDEX(Estadística!$L$6:$L$25,MATCH(B254,Estadística!$A$6:$A$25,0))&gt;INDEX(Estadística!$T$6:$T$25,MATCH(B254,Estadística!$A$6:$A$25,0)),IF(OR(L254&lt;INDEX(Estadística!$I$6:$I$25,MATCH(B254,Estadística!$A$6:$A$25,0))/2,L254&gt;2*INDEX(Estadística!$I$6:$I$25,MATCH(B254,Estadística!$A$6:$A$25,0))),"Fuera de ½MA–2MA: revisar","Dentro de ½MA–2MA"),"—"),""))</f>
        <v/>
      </c>
      <c r="R254" s="18"/>
      <c r="S254" s="19" t="str">
        <f aca="false">IF(ISNUMBER(L254),IF(L254&gt;0,LN(L254),""),"")</f>
        <v/>
      </c>
      <c r="T254" s="19" t="str">
        <f aca="false">IF(ISNUMBER(S254),IFERROR((S254-LN(INDEX(Estadística!$K$6:$K$25,MATCH(B254,Estadística!$A$6:$A$25,0))))^2,""),"")</f>
        <v/>
      </c>
      <c r="U254" s="19" t="str">
        <f aca="false">IF(ISNUMBER(L254),IFERROR((L254-INDEX(Estadística!$I$6:$I$25,MATCH(B254,Estadística!$A$6:$A$25,0)))^2,""),"")</f>
        <v/>
      </c>
      <c r="V254" s="19" t="str">
        <f aca="false">IF(ISNUMBER(P254),IF(P254&gt;1,1,0),"")</f>
        <v/>
      </c>
    </row>
    <row r="255" customFormat="false" ht="15" hidden="false" customHeight="false" outlineLevel="0" collapsed="false">
      <c r="A255" s="18" t="n">
        <v>250</v>
      </c>
      <c r="B255" s="18"/>
      <c r="C255" s="22"/>
      <c r="D255" s="18"/>
      <c r="E255" s="18"/>
      <c r="F255" s="18"/>
      <c r="G255" s="18"/>
      <c r="H255" s="20" t="str">
        <f aca="false">IF(OR(F255="",G255=""),"",F255*G255/1000)</f>
        <v/>
      </c>
      <c r="I255" s="23"/>
      <c r="J255" s="23"/>
      <c r="K255" s="18"/>
      <c r="L255" s="21" t="str">
        <f aca="false">IF(B255="","",IF(J255&lt;&gt;"",J255,IF(AND(N(I255)&gt;0,N(H255)&gt;0),I255/H255,"")))</f>
        <v/>
      </c>
      <c r="M255" s="19" t="str">
        <f aca="false">IF(B255="","",IFERROR(INDEX(GES!$E$6:$E$25,MATCH(B255,GES!$A$6:$A$25,0)),"GES?"))</f>
        <v/>
      </c>
      <c r="N255" s="21" t="str">
        <f aca="false">IF(AND(ISNUMBER(L255),ISNUMBER(K255),LEFT(M255,3)="CAR"),L255*K255/100,"")</f>
        <v/>
      </c>
      <c r="O255" s="21" t="str">
        <f aca="false">IF(B255="","",IFERROR(INDEX(GES!$U$6:$U$25,MATCH(B255,GES!$A$6:$A$25,0)),""))</f>
        <v/>
      </c>
      <c r="P255" s="24" t="str">
        <f aca="false">IF(AND(ISNUMBER(L255),ISNUMBER(O255)),L255/O255,"")</f>
        <v/>
      </c>
      <c r="Q255" s="25" t="str">
        <f aca="false">IF(NOT(ISNUMBER(L255)),"",IFERROR(IF(INDEX(Estadística!$L$6:$L$25,MATCH(B255,Estadística!$A$6:$A$25,0))&gt;INDEX(Estadística!$T$6:$T$25,MATCH(B255,Estadística!$A$6:$A$25,0)),IF(OR(L255&lt;INDEX(Estadística!$I$6:$I$25,MATCH(B255,Estadística!$A$6:$A$25,0))/2,L255&gt;2*INDEX(Estadística!$I$6:$I$25,MATCH(B255,Estadística!$A$6:$A$25,0))),"Fuera de ½MA–2MA: revisar","Dentro de ½MA–2MA"),"—"),""))</f>
        <v/>
      </c>
      <c r="R255" s="18"/>
      <c r="S255" s="19" t="str">
        <f aca="false">IF(ISNUMBER(L255),IF(L255&gt;0,LN(L255),""),"")</f>
        <v/>
      </c>
      <c r="T255" s="19" t="str">
        <f aca="false">IF(ISNUMBER(S255),IFERROR((S255-LN(INDEX(Estadística!$K$6:$K$25,MATCH(B255,Estadística!$A$6:$A$25,0))))^2,""),"")</f>
        <v/>
      </c>
      <c r="U255" s="19" t="str">
        <f aca="false">IF(ISNUMBER(L255),IFERROR((L255-INDEX(Estadística!$I$6:$I$25,MATCH(B255,Estadística!$A$6:$A$25,0)))^2,""),"")</f>
        <v/>
      </c>
      <c r="V255" s="19" t="str">
        <f aca="false">IF(ISNUMBER(P255),IF(P255&gt;1,1,0),"")</f>
        <v/>
      </c>
    </row>
    <row r="256" customFormat="false" ht="15" hidden="false" customHeight="false" outlineLevel="0" collapsed="false">
      <c r="A256" s="18" t="n">
        <v>251</v>
      </c>
      <c r="B256" s="18"/>
      <c r="C256" s="22"/>
      <c r="D256" s="18"/>
      <c r="E256" s="18"/>
      <c r="F256" s="18"/>
      <c r="G256" s="18"/>
      <c r="H256" s="20" t="str">
        <f aca="false">IF(OR(F256="",G256=""),"",F256*G256/1000)</f>
        <v/>
      </c>
      <c r="I256" s="23"/>
      <c r="J256" s="23"/>
      <c r="K256" s="18"/>
      <c r="L256" s="21" t="str">
        <f aca="false">IF(B256="","",IF(J256&lt;&gt;"",J256,IF(AND(N(I256)&gt;0,N(H256)&gt;0),I256/H256,"")))</f>
        <v/>
      </c>
      <c r="M256" s="19" t="str">
        <f aca="false">IF(B256="","",IFERROR(INDEX(GES!$E$6:$E$25,MATCH(B256,GES!$A$6:$A$25,0)),"GES?"))</f>
        <v/>
      </c>
      <c r="N256" s="21" t="str">
        <f aca="false">IF(AND(ISNUMBER(L256),ISNUMBER(K256),LEFT(M256,3)="CAR"),L256*K256/100,"")</f>
        <v/>
      </c>
      <c r="O256" s="21" t="str">
        <f aca="false">IF(B256="","",IFERROR(INDEX(GES!$U$6:$U$25,MATCH(B256,GES!$A$6:$A$25,0)),""))</f>
        <v/>
      </c>
      <c r="P256" s="24" t="str">
        <f aca="false">IF(AND(ISNUMBER(L256),ISNUMBER(O256)),L256/O256,"")</f>
        <v/>
      </c>
      <c r="Q256" s="25" t="str">
        <f aca="false">IF(NOT(ISNUMBER(L256)),"",IFERROR(IF(INDEX(Estadística!$L$6:$L$25,MATCH(B256,Estadística!$A$6:$A$25,0))&gt;INDEX(Estadística!$T$6:$T$25,MATCH(B256,Estadística!$A$6:$A$25,0)),IF(OR(L256&lt;INDEX(Estadística!$I$6:$I$25,MATCH(B256,Estadística!$A$6:$A$25,0))/2,L256&gt;2*INDEX(Estadística!$I$6:$I$25,MATCH(B256,Estadística!$A$6:$A$25,0))),"Fuera de ½MA–2MA: revisar","Dentro de ½MA–2MA"),"—"),""))</f>
        <v/>
      </c>
      <c r="R256" s="18"/>
      <c r="S256" s="19" t="str">
        <f aca="false">IF(ISNUMBER(L256),IF(L256&gt;0,LN(L256),""),"")</f>
        <v/>
      </c>
      <c r="T256" s="19" t="str">
        <f aca="false">IF(ISNUMBER(S256),IFERROR((S256-LN(INDEX(Estadística!$K$6:$K$25,MATCH(B256,Estadística!$A$6:$A$25,0))))^2,""),"")</f>
        <v/>
      </c>
      <c r="U256" s="19" t="str">
        <f aca="false">IF(ISNUMBER(L256),IFERROR((L256-INDEX(Estadística!$I$6:$I$25,MATCH(B256,Estadística!$A$6:$A$25,0)))^2,""),"")</f>
        <v/>
      </c>
      <c r="V256" s="19" t="str">
        <f aca="false">IF(ISNUMBER(P256),IF(P256&gt;1,1,0),"")</f>
        <v/>
      </c>
    </row>
    <row r="257" customFormat="false" ht="15" hidden="false" customHeight="false" outlineLevel="0" collapsed="false">
      <c r="A257" s="18" t="n">
        <v>252</v>
      </c>
      <c r="B257" s="18"/>
      <c r="C257" s="22"/>
      <c r="D257" s="18"/>
      <c r="E257" s="18"/>
      <c r="F257" s="18"/>
      <c r="G257" s="18"/>
      <c r="H257" s="20" t="str">
        <f aca="false">IF(OR(F257="",G257=""),"",F257*G257/1000)</f>
        <v/>
      </c>
      <c r="I257" s="23"/>
      <c r="J257" s="23"/>
      <c r="K257" s="18"/>
      <c r="L257" s="21" t="str">
        <f aca="false">IF(B257="","",IF(J257&lt;&gt;"",J257,IF(AND(N(I257)&gt;0,N(H257)&gt;0),I257/H257,"")))</f>
        <v/>
      </c>
      <c r="M257" s="19" t="str">
        <f aca="false">IF(B257="","",IFERROR(INDEX(GES!$E$6:$E$25,MATCH(B257,GES!$A$6:$A$25,0)),"GES?"))</f>
        <v/>
      </c>
      <c r="N257" s="21" t="str">
        <f aca="false">IF(AND(ISNUMBER(L257),ISNUMBER(K257),LEFT(M257,3)="CAR"),L257*K257/100,"")</f>
        <v/>
      </c>
      <c r="O257" s="21" t="str">
        <f aca="false">IF(B257="","",IFERROR(INDEX(GES!$U$6:$U$25,MATCH(B257,GES!$A$6:$A$25,0)),""))</f>
        <v/>
      </c>
      <c r="P257" s="24" t="str">
        <f aca="false">IF(AND(ISNUMBER(L257),ISNUMBER(O257)),L257/O257,"")</f>
        <v/>
      </c>
      <c r="Q257" s="25" t="str">
        <f aca="false">IF(NOT(ISNUMBER(L257)),"",IFERROR(IF(INDEX(Estadística!$L$6:$L$25,MATCH(B257,Estadística!$A$6:$A$25,0))&gt;INDEX(Estadística!$T$6:$T$25,MATCH(B257,Estadística!$A$6:$A$25,0)),IF(OR(L257&lt;INDEX(Estadística!$I$6:$I$25,MATCH(B257,Estadística!$A$6:$A$25,0))/2,L257&gt;2*INDEX(Estadística!$I$6:$I$25,MATCH(B257,Estadística!$A$6:$A$25,0))),"Fuera de ½MA–2MA: revisar","Dentro de ½MA–2MA"),"—"),""))</f>
        <v/>
      </c>
      <c r="R257" s="18"/>
      <c r="S257" s="19" t="str">
        <f aca="false">IF(ISNUMBER(L257),IF(L257&gt;0,LN(L257),""),"")</f>
        <v/>
      </c>
      <c r="T257" s="19" t="str">
        <f aca="false">IF(ISNUMBER(S257),IFERROR((S257-LN(INDEX(Estadística!$K$6:$K$25,MATCH(B257,Estadística!$A$6:$A$25,0))))^2,""),"")</f>
        <v/>
      </c>
      <c r="U257" s="19" t="str">
        <f aca="false">IF(ISNUMBER(L257),IFERROR((L257-INDEX(Estadística!$I$6:$I$25,MATCH(B257,Estadística!$A$6:$A$25,0)))^2,""),"")</f>
        <v/>
      </c>
      <c r="V257" s="19" t="str">
        <f aca="false">IF(ISNUMBER(P257),IF(P257&gt;1,1,0),"")</f>
        <v/>
      </c>
    </row>
    <row r="258" customFormat="false" ht="15" hidden="false" customHeight="false" outlineLevel="0" collapsed="false">
      <c r="A258" s="18" t="n">
        <v>253</v>
      </c>
      <c r="B258" s="18"/>
      <c r="C258" s="22"/>
      <c r="D258" s="18"/>
      <c r="E258" s="18"/>
      <c r="F258" s="18"/>
      <c r="G258" s="18"/>
      <c r="H258" s="20" t="str">
        <f aca="false">IF(OR(F258="",G258=""),"",F258*G258/1000)</f>
        <v/>
      </c>
      <c r="I258" s="23"/>
      <c r="J258" s="23"/>
      <c r="K258" s="18"/>
      <c r="L258" s="21" t="str">
        <f aca="false">IF(B258="","",IF(J258&lt;&gt;"",J258,IF(AND(N(I258)&gt;0,N(H258)&gt;0),I258/H258,"")))</f>
        <v/>
      </c>
      <c r="M258" s="19" t="str">
        <f aca="false">IF(B258="","",IFERROR(INDEX(GES!$E$6:$E$25,MATCH(B258,GES!$A$6:$A$25,0)),"GES?"))</f>
        <v/>
      </c>
      <c r="N258" s="21" t="str">
        <f aca="false">IF(AND(ISNUMBER(L258),ISNUMBER(K258),LEFT(M258,3)="CAR"),L258*K258/100,"")</f>
        <v/>
      </c>
      <c r="O258" s="21" t="str">
        <f aca="false">IF(B258="","",IFERROR(INDEX(GES!$U$6:$U$25,MATCH(B258,GES!$A$6:$A$25,0)),""))</f>
        <v/>
      </c>
      <c r="P258" s="24" t="str">
        <f aca="false">IF(AND(ISNUMBER(L258),ISNUMBER(O258)),L258/O258,"")</f>
        <v/>
      </c>
      <c r="Q258" s="25" t="str">
        <f aca="false">IF(NOT(ISNUMBER(L258)),"",IFERROR(IF(INDEX(Estadística!$L$6:$L$25,MATCH(B258,Estadística!$A$6:$A$25,0))&gt;INDEX(Estadística!$T$6:$T$25,MATCH(B258,Estadística!$A$6:$A$25,0)),IF(OR(L258&lt;INDEX(Estadística!$I$6:$I$25,MATCH(B258,Estadística!$A$6:$A$25,0))/2,L258&gt;2*INDEX(Estadística!$I$6:$I$25,MATCH(B258,Estadística!$A$6:$A$25,0))),"Fuera de ½MA–2MA: revisar","Dentro de ½MA–2MA"),"—"),""))</f>
        <v/>
      </c>
      <c r="R258" s="18"/>
      <c r="S258" s="19" t="str">
        <f aca="false">IF(ISNUMBER(L258),IF(L258&gt;0,LN(L258),""),"")</f>
        <v/>
      </c>
      <c r="T258" s="19" t="str">
        <f aca="false">IF(ISNUMBER(S258),IFERROR((S258-LN(INDEX(Estadística!$K$6:$K$25,MATCH(B258,Estadística!$A$6:$A$25,0))))^2,""),"")</f>
        <v/>
      </c>
      <c r="U258" s="19" t="str">
        <f aca="false">IF(ISNUMBER(L258),IFERROR((L258-INDEX(Estadística!$I$6:$I$25,MATCH(B258,Estadística!$A$6:$A$25,0)))^2,""),"")</f>
        <v/>
      </c>
      <c r="V258" s="19" t="str">
        <f aca="false">IF(ISNUMBER(P258),IF(P258&gt;1,1,0),"")</f>
        <v/>
      </c>
    </row>
    <row r="259" customFormat="false" ht="15" hidden="false" customHeight="false" outlineLevel="0" collapsed="false">
      <c r="A259" s="18" t="n">
        <v>254</v>
      </c>
      <c r="B259" s="18"/>
      <c r="C259" s="22"/>
      <c r="D259" s="18"/>
      <c r="E259" s="18"/>
      <c r="F259" s="18"/>
      <c r="G259" s="18"/>
      <c r="H259" s="20" t="str">
        <f aca="false">IF(OR(F259="",G259=""),"",F259*G259/1000)</f>
        <v/>
      </c>
      <c r="I259" s="23"/>
      <c r="J259" s="23"/>
      <c r="K259" s="18"/>
      <c r="L259" s="21" t="str">
        <f aca="false">IF(B259="","",IF(J259&lt;&gt;"",J259,IF(AND(N(I259)&gt;0,N(H259)&gt;0),I259/H259,"")))</f>
        <v/>
      </c>
      <c r="M259" s="19" t="str">
        <f aca="false">IF(B259="","",IFERROR(INDEX(GES!$E$6:$E$25,MATCH(B259,GES!$A$6:$A$25,0)),"GES?"))</f>
        <v/>
      </c>
      <c r="N259" s="21" t="str">
        <f aca="false">IF(AND(ISNUMBER(L259),ISNUMBER(K259),LEFT(M259,3)="CAR"),L259*K259/100,"")</f>
        <v/>
      </c>
      <c r="O259" s="21" t="str">
        <f aca="false">IF(B259="","",IFERROR(INDEX(GES!$U$6:$U$25,MATCH(B259,GES!$A$6:$A$25,0)),""))</f>
        <v/>
      </c>
      <c r="P259" s="24" t="str">
        <f aca="false">IF(AND(ISNUMBER(L259),ISNUMBER(O259)),L259/O259,"")</f>
        <v/>
      </c>
      <c r="Q259" s="25" t="str">
        <f aca="false">IF(NOT(ISNUMBER(L259)),"",IFERROR(IF(INDEX(Estadística!$L$6:$L$25,MATCH(B259,Estadística!$A$6:$A$25,0))&gt;INDEX(Estadística!$T$6:$T$25,MATCH(B259,Estadística!$A$6:$A$25,0)),IF(OR(L259&lt;INDEX(Estadística!$I$6:$I$25,MATCH(B259,Estadística!$A$6:$A$25,0))/2,L259&gt;2*INDEX(Estadística!$I$6:$I$25,MATCH(B259,Estadística!$A$6:$A$25,0))),"Fuera de ½MA–2MA: revisar","Dentro de ½MA–2MA"),"—"),""))</f>
        <v/>
      </c>
      <c r="R259" s="18"/>
      <c r="S259" s="19" t="str">
        <f aca="false">IF(ISNUMBER(L259),IF(L259&gt;0,LN(L259),""),"")</f>
        <v/>
      </c>
      <c r="T259" s="19" t="str">
        <f aca="false">IF(ISNUMBER(S259),IFERROR((S259-LN(INDEX(Estadística!$K$6:$K$25,MATCH(B259,Estadística!$A$6:$A$25,0))))^2,""),"")</f>
        <v/>
      </c>
      <c r="U259" s="19" t="str">
        <f aca="false">IF(ISNUMBER(L259),IFERROR((L259-INDEX(Estadística!$I$6:$I$25,MATCH(B259,Estadística!$A$6:$A$25,0)))^2,""),"")</f>
        <v/>
      </c>
      <c r="V259" s="19" t="str">
        <f aca="false">IF(ISNUMBER(P259),IF(P259&gt;1,1,0),"")</f>
        <v/>
      </c>
    </row>
    <row r="260" customFormat="false" ht="15" hidden="false" customHeight="false" outlineLevel="0" collapsed="false">
      <c r="A260" s="18" t="n">
        <v>255</v>
      </c>
      <c r="B260" s="18"/>
      <c r="C260" s="22"/>
      <c r="D260" s="18"/>
      <c r="E260" s="18"/>
      <c r="F260" s="18"/>
      <c r="G260" s="18"/>
      <c r="H260" s="20" t="str">
        <f aca="false">IF(OR(F260="",G260=""),"",F260*G260/1000)</f>
        <v/>
      </c>
      <c r="I260" s="23"/>
      <c r="J260" s="23"/>
      <c r="K260" s="18"/>
      <c r="L260" s="21" t="str">
        <f aca="false">IF(B260="","",IF(J260&lt;&gt;"",J260,IF(AND(N(I260)&gt;0,N(H260)&gt;0),I260/H260,"")))</f>
        <v/>
      </c>
      <c r="M260" s="19" t="str">
        <f aca="false">IF(B260="","",IFERROR(INDEX(GES!$E$6:$E$25,MATCH(B260,GES!$A$6:$A$25,0)),"GES?"))</f>
        <v/>
      </c>
      <c r="N260" s="21" t="str">
        <f aca="false">IF(AND(ISNUMBER(L260),ISNUMBER(K260),LEFT(M260,3)="CAR"),L260*K260/100,"")</f>
        <v/>
      </c>
      <c r="O260" s="21" t="str">
        <f aca="false">IF(B260="","",IFERROR(INDEX(GES!$U$6:$U$25,MATCH(B260,GES!$A$6:$A$25,0)),""))</f>
        <v/>
      </c>
      <c r="P260" s="24" t="str">
        <f aca="false">IF(AND(ISNUMBER(L260),ISNUMBER(O260)),L260/O260,"")</f>
        <v/>
      </c>
      <c r="Q260" s="25" t="str">
        <f aca="false">IF(NOT(ISNUMBER(L260)),"",IFERROR(IF(INDEX(Estadística!$L$6:$L$25,MATCH(B260,Estadística!$A$6:$A$25,0))&gt;INDEX(Estadística!$T$6:$T$25,MATCH(B260,Estadística!$A$6:$A$25,0)),IF(OR(L260&lt;INDEX(Estadística!$I$6:$I$25,MATCH(B260,Estadística!$A$6:$A$25,0))/2,L260&gt;2*INDEX(Estadística!$I$6:$I$25,MATCH(B260,Estadística!$A$6:$A$25,0))),"Fuera de ½MA–2MA: revisar","Dentro de ½MA–2MA"),"—"),""))</f>
        <v/>
      </c>
      <c r="R260" s="18"/>
      <c r="S260" s="19" t="str">
        <f aca="false">IF(ISNUMBER(L260),IF(L260&gt;0,LN(L260),""),"")</f>
        <v/>
      </c>
      <c r="T260" s="19" t="str">
        <f aca="false">IF(ISNUMBER(S260),IFERROR((S260-LN(INDEX(Estadística!$K$6:$K$25,MATCH(B260,Estadística!$A$6:$A$25,0))))^2,""),"")</f>
        <v/>
      </c>
      <c r="U260" s="19" t="str">
        <f aca="false">IF(ISNUMBER(L260),IFERROR((L260-INDEX(Estadística!$I$6:$I$25,MATCH(B260,Estadística!$A$6:$A$25,0)))^2,""),"")</f>
        <v/>
      </c>
      <c r="V260" s="19" t="str">
        <f aca="false">IF(ISNUMBER(P260),IF(P260&gt;1,1,0),"")</f>
        <v/>
      </c>
    </row>
    <row r="261" customFormat="false" ht="15" hidden="false" customHeight="false" outlineLevel="0" collapsed="false">
      <c r="A261" s="18" t="n">
        <v>256</v>
      </c>
      <c r="B261" s="18"/>
      <c r="C261" s="22"/>
      <c r="D261" s="18"/>
      <c r="E261" s="18"/>
      <c r="F261" s="18"/>
      <c r="G261" s="18"/>
      <c r="H261" s="20" t="str">
        <f aca="false">IF(OR(F261="",G261=""),"",F261*G261/1000)</f>
        <v/>
      </c>
      <c r="I261" s="23"/>
      <c r="J261" s="23"/>
      <c r="K261" s="18"/>
      <c r="L261" s="21" t="str">
        <f aca="false">IF(B261="","",IF(J261&lt;&gt;"",J261,IF(AND(N(I261)&gt;0,N(H261)&gt;0),I261/H261,"")))</f>
        <v/>
      </c>
      <c r="M261" s="19" t="str">
        <f aca="false">IF(B261="","",IFERROR(INDEX(GES!$E$6:$E$25,MATCH(B261,GES!$A$6:$A$25,0)),"GES?"))</f>
        <v/>
      </c>
      <c r="N261" s="21" t="str">
        <f aca="false">IF(AND(ISNUMBER(L261),ISNUMBER(K261),LEFT(M261,3)="CAR"),L261*K261/100,"")</f>
        <v/>
      </c>
      <c r="O261" s="21" t="str">
        <f aca="false">IF(B261="","",IFERROR(INDEX(GES!$U$6:$U$25,MATCH(B261,GES!$A$6:$A$25,0)),""))</f>
        <v/>
      </c>
      <c r="P261" s="24" t="str">
        <f aca="false">IF(AND(ISNUMBER(L261),ISNUMBER(O261)),L261/O261,"")</f>
        <v/>
      </c>
      <c r="Q261" s="25" t="str">
        <f aca="false">IF(NOT(ISNUMBER(L261)),"",IFERROR(IF(INDEX(Estadística!$L$6:$L$25,MATCH(B261,Estadística!$A$6:$A$25,0))&gt;INDEX(Estadística!$T$6:$T$25,MATCH(B261,Estadística!$A$6:$A$25,0)),IF(OR(L261&lt;INDEX(Estadística!$I$6:$I$25,MATCH(B261,Estadística!$A$6:$A$25,0))/2,L261&gt;2*INDEX(Estadística!$I$6:$I$25,MATCH(B261,Estadística!$A$6:$A$25,0))),"Fuera de ½MA–2MA: revisar","Dentro de ½MA–2MA"),"—"),""))</f>
        <v/>
      </c>
      <c r="R261" s="18"/>
      <c r="S261" s="19" t="str">
        <f aca="false">IF(ISNUMBER(L261),IF(L261&gt;0,LN(L261),""),"")</f>
        <v/>
      </c>
      <c r="T261" s="19" t="str">
        <f aca="false">IF(ISNUMBER(S261),IFERROR((S261-LN(INDEX(Estadística!$K$6:$K$25,MATCH(B261,Estadística!$A$6:$A$25,0))))^2,""),"")</f>
        <v/>
      </c>
      <c r="U261" s="19" t="str">
        <f aca="false">IF(ISNUMBER(L261),IFERROR((L261-INDEX(Estadística!$I$6:$I$25,MATCH(B261,Estadística!$A$6:$A$25,0)))^2,""),"")</f>
        <v/>
      </c>
      <c r="V261" s="19" t="str">
        <f aca="false">IF(ISNUMBER(P261),IF(P261&gt;1,1,0),"")</f>
        <v/>
      </c>
    </row>
    <row r="262" customFormat="false" ht="15" hidden="false" customHeight="false" outlineLevel="0" collapsed="false">
      <c r="A262" s="18" t="n">
        <v>257</v>
      </c>
      <c r="B262" s="18"/>
      <c r="C262" s="22"/>
      <c r="D262" s="18"/>
      <c r="E262" s="18"/>
      <c r="F262" s="18"/>
      <c r="G262" s="18"/>
      <c r="H262" s="20" t="str">
        <f aca="false">IF(OR(F262="",G262=""),"",F262*G262/1000)</f>
        <v/>
      </c>
      <c r="I262" s="23"/>
      <c r="J262" s="23"/>
      <c r="K262" s="18"/>
      <c r="L262" s="21" t="str">
        <f aca="false">IF(B262="","",IF(J262&lt;&gt;"",J262,IF(AND(N(I262)&gt;0,N(H262)&gt;0),I262/H262,"")))</f>
        <v/>
      </c>
      <c r="M262" s="19" t="str">
        <f aca="false">IF(B262="","",IFERROR(INDEX(GES!$E$6:$E$25,MATCH(B262,GES!$A$6:$A$25,0)),"GES?"))</f>
        <v/>
      </c>
      <c r="N262" s="21" t="str">
        <f aca="false">IF(AND(ISNUMBER(L262),ISNUMBER(K262),LEFT(M262,3)="CAR"),L262*K262/100,"")</f>
        <v/>
      </c>
      <c r="O262" s="21" t="str">
        <f aca="false">IF(B262="","",IFERROR(INDEX(GES!$U$6:$U$25,MATCH(B262,GES!$A$6:$A$25,0)),""))</f>
        <v/>
      </c>
      <c r="P262" s="24" t="str">
        <f aca="false">IF(AND(ISNUMBER(L262),ISNUMBER(O262)),L262/O262,"")</f>
        <v/>
      </c>
      <c r="Q262" s="25" t="str">
        <f aca="false">IF(NOT(ISNUMBER(L262)),"",IFERROR(IF(INDEX(Estadística!$L$6:$L$25,MATCH(B262,Estadística!$A$6:$A$25,0))&gt;INDEX(Estadística!$T$6:$T$25,MATCH(B262,Estadística!$A$6:$A$25,0)),IF(OR(L262&lt;INDEX(Estadística!$I$6:$I$25,MATCH(B262,Estadística!$A$6:$A$25,0))/2,L262&gt;2*INDEX(Estadística!$I$6:$I$25,MATCH(B262,Estadística!$A$6:$A$25,0))),"Fuera de ½MA–2MA: revisar","Dentro de ½MA–2MA"),"—"),""))</f>
        <v/>
      </c>
      <c r="R262" s="18"/>
      <c r="S262" s="19" t="str">
        <f aca="false">IF(ISNUMBER(L262),IF(L262&gt;0,LN(L262),""),"")</f>
        <v/>
      </c>
      <c r="T262" s="19" t="str">
        <f aca="false">IF(ISNUMBER(S262),IFERROR((S262-LN(INDEX(Estadística!$K$6:$K$25,MATCH(B262,Estadística!$A$6:$A$25,0))))^2,""),"")</f>
        <v/>
      </c>
      <c r="U262" s="19" t="str">
        <f aca="false">IF(ISNUMBER(L262),IFERROR((L262-INDEX(Estadística!$I$6:$I$25,MATCH(B262,Estadística!$A$6:$A$25,0)))^2,""),"")</f>
        <v/>
      </c>
      <c r="V262" s="19" t="str">
        <f aca="false">IF(ISNUMBER(P262),IF(P262&gt;1,1,0),"")</f>
        <v/>
      </c>
    </row>
    <row r="263" customFormat="false" ht="15" hidden="false" customHeight="false" outlineLevel="0" collapsed="false">
      <c r="A263" s="18" t="n">
        <v>258</v>
      </c>
      <c r="B263" s="18"/>
      <c r="C263" s="22"/>
      <c r="D263" s="18"/>
      <c r="E263" s="18"/>
      <c r="F263" s="18"/>
      <c r="G263" s="18"/>
      <c r="H263" s="20" t="str">
        <f aca="false">IF(OR(F263="",G263=""),"",F263*G263/1000)</f>
        <v/>
      </c>
      <c r="I263" s="23"/>
      <c r="J263" s="23"/>
      <c r="K263" s="18"/>
      <c r="L263" s="21" t="str">
        <f aca="false">IF(B263="","",IF(J263&lt;&gt;"",J263,IF(AND(N(I263)&gt;0,N(H263)&gt;0),I263/H263,"")))</f>
        <v/>
      </c>
      <c r="M263" s="19" t="str">
        <f aca="false">IF(B263="","",IFERROR(INDEX(GES!$E$6:$E$25,MATCH(B263,GES!$A$6:$A$25,0)),"GES?"))</f>
        <v/>
      </c>
      <c r="N263" s="21" t="str">
        <f aca="false">IF(AND(ISNUMBER(L263),ISNUMBER(K263),LEFT(M263,3)="CAR"),L263*K263/100,"")</f>
        <v/>
      </c>
      <c r="O263" s="21" t="str">
        <f aca="false">IF(B263="","",IFERROR(INDEX(GES!$U$6:$U$25,MATCH(B263,GES!$A$6:$A$25,0)),""))</f>
        <v/>
      </c>
      <c r="P263" s="24" t="str">
        <f aca="false">IF(AND(ISNUMBER(L263),ISNUMBER(O263)),L263/O263,"")</f>
        <v/>
      </c>
      <c r="Q263" s="25" t="str">
        <f aca="false">IF(NOT(ISNUMBER(L263)),"",IFERROR(IF(INDEX(Estadística!$L$6:$L$25,MATCH(B263,Estadística!$A$6:$A$25,0))&gt;INDEX(Estadística!$T$6:$T$25,MATCH(B263,Estadística!$A$6:$A$25,0)),IF(OR(L263&lt;INDEX(Estadística!$I$6:$I$25,MATCH(B263,Estadística!$A$6:$A$25,0))/2,L263&gt;2*INDEX(Estadística!$I$6:$I$25,MATCH(B263,Estadística!$A$6:$A$25,0))),"Fuera de ½MA–2MA: revisar","Dentro de ½MA–2MA"),"—"),""))</f>
        <v/>
      </c>
      <c r="R263" s="18"/>
      <c r="S263" s="19" t="str">
        <f aca="false">IF(ISNUMBER(L263),IF(L263&gt;0,LN(L263),""),"")</f>
        <v/>
      </c>
      <c r="T263" s="19" t="str">
        <f aca="false">IF(ISNUMBER(S263),IFERROR((S263-LN(INDEX(Estadística!$K$6:$K$25,MATCH(B263,Estadística!$A$6:$A$25,0))))^2,""),"")</f>
        <v/>
      </c>
      <c r="U263" s="19" t="str">
        <f aca="false">IF(ISNUMBER(L263),IFERROR((L263-INDEX(Estadística!$I$6:$I$25,MATCH(B263,Estadística!$A$6:$A$25,0)))^2,""),"")</f>
        <v/>
      </c>
      <c r="V263" s="19" t="str">
        <f aca="false">IF(ISNUMBER(P263),IF(P263&gt;1,1,0),"")</f>
        <v/>
      </c>
    </row>
    <row r="264" customFormat="false" ht="15" hidden="false" customHeight="false" outlineLevel="0" collapsed="false">
      <c r="A264" s="18" t="n">
        <v>259</v>
      </c>
      <c r="B264" s="18"/>
      <c r="C264" s="22"/>
      <c r="D264" s="18"/>
      <c r="E264" s="18"/>
      <c r="F264" s="18"/>
      <c r="G264" s="18"/>
      <c r="H264" s="20" t="str">
        <f aca="false">IF(OR(F264="",G264=""),"",F264*G264/1000)</f>
        <v/>
      </c>
      <c r="I264" s="23"/>
      <c r="J264" s="23"/>
      <c r="K264" s="18"/>
      <c r="L264" s="21" t="str">
        <f aca="false">IF(B264="","",IF(J264&lt;&gt;"",J264,IF(AND(N(I264)&gt;0,N(H264)&gt;0),I264/H264,"")))</f>
        <v/>
      </c>
      <c r="M264" s="19" t="str">
        <f aca="false">IF(B264="","",IFERROR(INDEX(GES!$E$6:$E$25,MATCH(B264,GES!$A$6:$A$25,0)),"GES?"))</f>
        <v/>
      </c>
      <c r="N264" s="21" t="str">
        <f aca="false">IF(AND(ISNUMBER(L264),ISNUMBER(K264),LEFT(M264,3)="CAR"),L264*K264/100,"")</f>
        <v/>
      </c>
      <c r="O264" s="21" t="str">
        <f aca="false">IF(B264="","",IFERROR(INDEX(GES!$U$6:$U$25,MATCH(B264,GES!$A$6:$A$25,0)),""))</f>
        <v/>
      </c>
      <c r="P264" s="24" t="str">
        <f aca="false">IF(AND(ISNUMBER(L264),ISNUMBER(O264)),L264/O264,"")</f>
        <v/>
      </c>
      <c r="Q264" s="25" t="str">
        <f aca="false">IF(NOT(ISNUMBER(L264)),"",IFERROR(IF(INDEX(Estadística!$L$6:$L$25,MATCH(B264,Estadística!$A$6:$A$25,0))&gt;INDEX(Estadística!$T$6:$T$25,MATCH(B264,Estadística!$A$6:$A$25,0)),IF(OR(L264&lt;INDEX(Estadística!$I$6:$I$25,MATCH(B264,Estadística!$A$6:$A$25,0))/2,L264&gt;2*INDEX(Estadística!$I$6:$I$25,MATCH(B264,Estadística!$A$6:$A$25,0))),"Fuera de ½MA–2MA: revisar","Dentro de ½MA–2MA"),"—"),""))</f>
        <v/>
      </c>
      <c r="R264" s="18"/>
      <c r="S264" s="19" t="str">
        <f aca="false">IF(ISNUMBER(L264),IF(L264&gt;0,LN(L264),""),"")</f>
        <v/>
      </c>
      <c r="T264" s="19" t="str">
        <f aca="false">IF(ISNUMBER(S264),IFERROR((S264-LN(INDEX(Estadística!$K$6:$K$25,MATCH(B264,Estadística!$A$6:$A$25,0))))^2,""),"")</f>
        <v/>
      </c>
      <c r="U264" s="19" t="str">
        <f aca="false">IF(ISNUMBER(L264),IFERROR((L264-INDEX(Estadística!$I$6:$I$25,MATCH(B264,Estadística!$A$6:$A$25,0)))^2,""),"")</f>
        <v/>
      </c>
      <c r="V264" s="19" t="str">
        <f aca="false">IF(ISNUMBER(P264),IF(P264&gt;1,1,0),"")</f>
        <v/>
      </c>
    </row>
    <row r="265" customFormat="false" ht="15" hidden="false" customHeight="false" outlineLevel="0" collapsed="false">
      <c r="A265" s="18" t="n">
        <v>260</v>
      </c>
      <c r="B265" s="18"/>
      <c r="C265" s="22"/>
      <c r="D265" s="18"/>
      <c r="E265" s="18"/>
      <c r="F265" s="18"/>
      <c r="G265" s="18"/>
      <c r="H265" s="20" t="str">
        <f aca="false">IF(OR(F265="",G265=""),"",F265*G265/1000)</f>
        <v/>
      </c>
      <c r="I265" s="23"/>
      <c r="J265" s="23"/>
      <c r="K265" s="18"/>
      <c r="L265" s="21" t="str">
        <f aca="false">IF(B265="","",IF(J265&lt;&gt;"",J265,IF(AND(N(I265)&gt;0,N(H265)&gt;0),I265/H265,"")))</f>
        <v/>
      </c>
      <c r="M265" s="19" t="str">
        <f aca="false">IF(B265="","",IFERROR(INDEX(GES!$E$6:$E$25,MATCH(B265,GES!$A$6:$A$25,0)),"GES?"))</f>
        <v/>
      </c>
      <c r="N265" s="21" t="str">
        <f aca="false">IF(AND(ISNUMBER(L265),ISNUMBER(K265),LEFT(M265,3)="CAR"),L265*K265/100,"")</f>
        <v/>
      </c>
      <c r="O265" s="21" t="str">
        <f aca="false">IF(B265="","",IFERROR(INDEX(GES!$U$6:$U$25,MATCH(B265,GES!$A$6:$A$25,0)),""))</f>
        <v/>
      </c>
      <c r="P265" s="24" t="str">
        <f aca="false">IF(AND(ISNUMBER(L265),ISNUMBER(O265)),L265/O265,"")</f>
        <v/>
      </c>
      <c r="Q265" s="25" t="str">
        <f aca="false">IF(NOT(ISNUMBER(L265)),"",IFERROR(IF(INDEX(Estadística!$L$6:$L$25,MATCH(B265,Estadística!$A$6:$A$25,0))&gt;INDEX(Estadística!$T$6:$T$25,MATCH(B265,Estadística!$A$6:$A$25,0)),IF(OR(L265&lt;INDEX(Estadística!$I$6:$I$25,MATCH(B265,Estadística!$A$6:$A$25,0))/2,L265&gt;2*INDEX(Estadística!$I$6:$I$25,MATCH(B265,Estadística!$A$6:$A$25,0))),"Fuera de ½MA–2MA: revisar","Dentro de ½MA–2MA"),"—"),""))</f>
        <v/>
      </c>
      <c r="R265" s="18"/>
      <c r="S265" s="19" t="str">
        <f aca="false">IF(ISNUMBER(L265),IF(L265&gt;0,LN(L265),""),"")</f>
        <v/>
      </c>
      <c r="T265" s="19" t="str">
        <f aca="false">IF(ISNUMBER(S265),IFERROR((S265-LN(INDEX(Estadística!$K$6:$K$25,MATCH(B265,Estadística!$A$6:$A$25,0))))^2,""),"")</f>
        <v/>
      </c>
      <c r="U265" s="19" t="str">
        <f aca="false">IF(ISNUMBER(L265),IFERROR((L265-INDEX(Estadística!$I$6:$I$25,MATCH(B265,Estadística!$A$6:$A$25,0)))^2,""),"")</f>
        <v/>
      </c>
      <c r="V265" s="19" t="str">
        <f aca="false">IF(ISNUMBER(P265),IF(P265&gt;1,1,0),"")</f>
        <v/>
      </c>
    </row>
    <row r="266" customFormat="false" ht="15" hidden="false" customHeight="false" outlineLevel="0" collapsed="false">
      <c r="A266" s="18" t="n">
        <v>261</v>
      </c>
      <c r="B266" s="18"/>
      <c r="C266" s="22"/>
      <c r="D266" s="18"/>
      <c r="E266" s="18"/>
      <c r="F266" s="18"/>
      <c r="G266" s="18"/>
      <c r="H266" s="20" t="str">
        <f aca="false">IF(OR(F266="",G266=""),"",F266*G266/1000)</f>
        <v/>
      </c>
      <c r="I266" s="23"/>
      <c r="J266" s="23"/>
      <c r="K266" s="18"/>
      <c r="L266" s="21" t="str">
        <f aca="false">IF(B266="","",IF(J266&lt;&gt;"",J266,IF(AND(N(I266)&gt;0,N(H266)&gt;0),I266/H266,"")))</f>
        <v/>
      </c>
      <c r="M266" s="19" t="str">
        <f aca="false">IF(B266="","",IFERROR(INDEX(GES!$E$6:$E$25,MATCH(B266,GES!$A$6:$A$25,0)),"GES?"))</f>
        <v/>
      </c>
      <c r="N266" s="21" t="str">
        <f aca="false">IF(AND(ISNUMBER(L266),ISNUMBER(K266),LEFT(M266,3)="CAR"),L266*K266/100,"")</f>
        <v/>
      </c>
      <c r="O266" s="21" t="str">
        <f aca="false">IF(B266="","",IFERROR(INDEX(GES!$U$6:$U$25,MATCH(B266,GES!$A$6:$A$25,0)),""))</f>
        <v/>
      </c>
      <c r="P266" s="24" t="str">
        <f aca="false">IF(AND(ISNUMBER(L266),ISNUMBER(O266)),L266/O266,"")</f>
        <v/>
      </c>
      <c r="Q266" s="25" t="str">
        <f aca="false">IF(NOT(ISNUMBER(L266)),"",IFERROR(IF(INDEX(Estadística!$L$6:$L$25,MATCH(B266,Estadística!$A$6:$A$25,0))&gt;INDEX(Estadística!$T$6:$T$25,MATCH(B266,Estadística!$A$6:$A$25,0)),IF(OR(L266&lt;INDEX(Estadística!$I$6:$I$25,MATCH(B266,Estadística!$A$6:$A$25,0))/2,L266&gt;2*INDEX(Estadística!$I$6:$I$25,MATCH(B266,Estadística!$A$6:$A$25,0))),"Fuera de ½MA–2MA: revisar","Dentro de ½MA–2MA"),"—"),""))</f>
        <v/>
      </c>
      <c r="R266" s="18"/>
      <c r="S266" s="19" t="str">
        <f aca="false">IF(ISNUMBER(L266),IF(L266&gt;0,LN(L266),""),"")</f>
        <v/>
      </c>
      <c r="T266" s="19" t="str">
        <f aca="false">IF(ISNUMBER(S266),IFERROR((S266-LN(INDEX(Estadística!$K$6:$K$25,MATCH(B266,Estadística!$A$6:$A$25,0))))^2,""),"")</f>
        <v/>
      </c>
      <c r="U266" s="19" t="str">
        <f aca="false">IF(ISNUMBER(L266),IFERROR((L266-INDEX(Estadística!$I$6:$I$25,MATCH(B266,Estadística!$A$6:$A$25,0)))^2,""),"")</f>
        <v/>
      </c>
      <c r="V266" s="19" t="str">
        <f aca="false">IF(ISNUMBER(P266),IF(P266&gt;1,1,0),"")</f>
        <v/>
      </c>
    </row>
    <row r="267" customFormat="false" ht="15" hidden="false" customHeight="false" outlineLevel="0" collapsed="false">
      <c r="A267" s="18" t="n">
        <v>262</v>
      </c>
      <c r="B267" s="18"/>
      <c r="C267" s="22"/>
      <c r="D267" s="18"/>
      <c r="E267" s="18"/>
      <c r="F267" s="18"/>
      <c r="G267" s="18"/>
      <c r="H267" s="20" t="str">
        <f aca="false">IF(OR(F267="",G267=""),"",F267*G267/1000)</f>
        <v/>
      </c>
      <c r="I267" s="23"/>
      <c r="J267" s="23"/>
      <c r="K267" s="18"/>
      <c r="L267" s="21" t="str">
        <f aca="false">IF(B267="","",IF(J267&lt;&gt;"",J267,IF(AND(N(I267)&gt;0,N(H267)&gt;0),I267/H267,"")))</f>
        <v/>
      </c>
      <c r="M267" s="19" t="str">
        <f aca="false">IF(B267="","",IFERROR(INDEX(GES!$E$6:$E$25,MATCH(B267,GES!$A$6:$A$25,0)),"GES?"))</f>
        <v/>
      </c>
      <c r="N267" s="21" t="str">
        <f aca="false">IF(AND(ISNUMBER(L267),ISNUMBER(K267),LEFT(M267,3)="CAR"),L267*K267/100,"")</f>
        <v/>
      </c>
      <c r="O267" s="21" t="str">
        <f aca="false">IF(B267="","",IFERROR(INDEX(GES!$U$6:$U$25,MATCH(B267,GES!$A$6:$A$25,0)),""))</f>
        <v/>
      </c>
      <c r="P267" s="24" t="str">
        <f aca="false">IF(AND(ISNUMBER(L267),ISNUMBER(O267)),L267/O267,"")</f>
        <v/>
      </c>
      <c r="Q267" s="25" t="str">
        <f aca="false">IF(NOT(ISNUMBER(L267)),"",IFERROR(IF(INDEX(Estadística!$L$6:$L$25,MATCH(B267,Estadística!$A$6:$A$25,0))&gt;INDEX(Estadística!$T$6:$T$25,MATCH(B267,Estadística!$A$6:$A$25,0)),IF(OR(L267&lt;INDEX(Estadística!$I$6:$I$25,MATCH(B267,Estadística!$A$6:$A$25,0))/2,L267&gt;2*INDEX(Estadística!$I$6:$I$25,MATCH(B267,Estadística!$A$6:$A$25,0))),"Fuera de ½MA–2MA: revisar","Dentro de ½MA–2MA"),"—"),""))</f>
        <v/>
      </c>
      <c r="R267" s="18"/>
      <c r="S267" s="19" t="str">
        <f aca="false">IF(ISNUMBER(L267),IF(L267&gt;0,LN(L267),""),"")</f>
        <v/>
      </c>
      <c r="T267" s="19" t="str">
        <f aca="false">IF(ISNUMBER(S267),IFERROR((S267-LN(INDEX(Estadística!$K$6:$K$25,MATCH(B267,Estadística!$A$6:$A$25,0))))^2,""),"")</f>
        <v/>
      </c>
      <c r="U267" s="19" t="str">
        <f aca="false">IF(ISNUMBER(L267),IFERROR((L267-INDEX(Estadística!$I$6:$I$25,MATCH(B267,Estadística!$A$6:$A$25,0)))^2,""),"")</f>
        <v/>
      </c>
      <c r="V267" s="19" t="str">
        <f aca="false">IF(ISNUMBER(P267),IF(P267&gt;1,1,0),"")</f>
        <v/>
      </c>
    </row>
    <row r="268" customFormat="false" ht="15" hidden="false" customHeight="false" outlineLevel="0" collapsed="false">
      <c r="A268" s="18" t="n">
        <v>263</v>
      </c>
      <c r="B268" s="18"/>
      <c r="C268" s="22"/>
      <c r="D268" s="18"/>
      <c r="E268" s="18"/>
      <c r="F268" s="18"/>
      <c r="G268" s="18"/>
      <c r="H268" s="20" t="str">
        <f aca="false">IF(OR(F268="",G268=""),"",F268*G268/1000)</f>
        <v/>
      </c>
      <c r="I268" s="23"/>
      <c r="J268" s="23"/>
      <c r="K268" s="18"/>
      <c r="L268" s="21" t="str">
        <f aca="false">IF(B268="","",IF(J268&lt;&gt;"",J268,IF(AND(N(I268)&gt;0,N(H268)&gt;0),I268/H268,"")))</f>
        <v/>
      </c>
      <c r="M268" s="19" t="str">
        <f aca="false">IF(B268="","",IFERROR(INDEX(GES!$E$6:$E$25,MATCH(B268,GES!$A$6:$A$25,0)),"GES?"))</f>
        <v/>
      </c>
      <c r="N268" s="21" t="str">
        <f aca="false">IF(AND(ISNUMBER(L268),ISNUMBER(K268),LEFT(M268,3)="CAR"),L268*K268/100,"")</f>
        <v/>
      </c>
      <c r="O268" s="21" t="str">
        <f aca="false">IF(B268="","",IFERROR(INDEX(GES!$U$6:$U$25,MATCH(B268,GES!$A$6:$A$25,0)),""))</f>
        <v/>
      </c>
      <c r="P268" s="24" t="str">
        <f aca="false">IF(AND(ISNUMBER(L268),ISNUMBER(O268)),L268/O268,"")</f>
        <v/>
      </c>
      <c r="Q268" s="25" t="str">
        <f aca="false">IF(NOT(ISNUMBER(L268)),"",IFERROR(IF(INDEX(Estadística!$L$6:$L$25,MATCH(B268,Estadística!$A$6:$A$25,0))&gt;INDEX(Estadística!$T$6:$T$25,MATCH(B268,Estadística!$A$6:$A$25,0)),IF(OR(L268&lt;INDEX(Estadística!$I$6:$I$25,MATCH(B268,Estadística!$A$6:$A$25,0))/2,L268&gt;2*INDEX(Estadística!$I$6:$I$25,MATCH(B268,Estadística!$A$6:$A$25,0))),"Fuera de ½MA–2MA: revisar","Dentro de ½MA–2MA"),"—"),""))</f>
        <v/>
      </c>
      <c r="R268" s="18"/>
      <c r="S268" s="19" t="str">
        <f aca="false">IF(ISNUMBER(L268),IF(L268&gt;0,LN(L268),""),"")</f>
        <v/>
      </c>
      <c r="T268" s="19" t="str">
        <f aca="false">IF(ISNUMBER(S268),IFERROR((S268-LN(INDEX(Estadística!$K$6:$K$25,MATCH(B268,Estadística!$A$6:$A$25,0))))^2,""),"")</f>
        <v/>
      </c>
      <c r="U268" s="19" t="str">
        <f aca="false">IF(ISNUMBER(L268),IFERROR((L268-INDEX(Estadística!$I$6:$I$25,MATCH(B268,Estadística!$A$6:$A$25,0)))^2,""),"")</f>
        <v/>
      </c>
      <c r="V268" s="19" t="str">
        <f aca="false">IF(ISNUMBER(P268),IF(P268&gt;1,1,0),"")</f>
        <v/>
      </c>
    </row>
    <row r="269" customFormat="false" ht="15" hidden="false" customHeight="false" outlineLevel="0" collapsed="false">
      <c r="A269" s="18" t="n">
        <v>264</v>
      </c>
      <c r="B269" s="18"/>
      <c r="C269" s="22"/>
      <c r="D269" s="18"/>
      <c r="E269" s="18"/>
      <c r="F269" s="18"/>
      <c r="G269" s="18"/>
      <c r="H269" s="20" t="str">
        <f aca="false">IF(OR(F269="",G269=""),"",F269*G269/1000)</f>
        <v/>
      </c>
      <c r="I269" s="23"/>
      <c r="J269" s="23"/>
      <c r="K269" s="18"/>
      <c r="L269" s="21" t="str">
        <f aca="false">IF(B269="","",IF(J269&lt;&gt;"",J269,IF(AND(N(I269)&gt;0,N(H269)&gt;0),I269/H269,"")))</f>
        <v/>
      </c>
      <c r="M269" s="19" t="str">
        <f aca="false">IF(B269="","",IFERROR(INDEX(GES!$E$6:$E$25,MATCH(B269,GES!$A$6:$A$25,0)),"GES?"))</f>
        <v/>
      </c>
      <c r="N269" s="21" t="str">
        <f aca="false">IF(AND(ISNUMBER(L269),ISNUMBER(K269),LEFT(M269,3)="CAR"),L269*K269/100,"")</f>
        <v/>
      </c>
      <c r="O269" s="21" t="str">
        <f aca="false">IF(B269="","",IFERROR(INDEX(GES!$U$6:$U$25,MATCH(B269,GES!$A$6:$A$25,0)),""))</f>
        <v/>
      </c>
      <c r="P269" s="24" t="str">
        <f aca="false">IF(AND(ISNUMBER(L269),ISNUMBER(O269)),L269/O269,"")</f>
        <v/>
      </c>
      <c r="Q269" s="25" t="str">
        <f aca="false">IF(NOT(ISNUMBER(L269)),"",IFERROR(IF(INDEX(Estadística!$L$6:$L$25,MATCH(B269,Estadística!$A$6:$A$25,0))&gt;INDEX(Estadística!$T$6:$T$25,MATCH(B269,Estadística!$A$6:$A$25,0)),IF(OR(L269&lt;INDEX(Estadística!$I$6:$I$25,MATCH(B269,Estadística!$A$6:$A$25,0))/2,L269&gt;2*INDEX(Estadística!$I$6:$I$25,MATCH(B269,Estadística!$A$6:$A$25,0))),"Fuera de ½MA–2MA: revisar","Dentro de ½MA–2MA"),"—"),""))</f>
        <v/>
      </c>
      <c r="R269" s="18"/>
      <c r="S269" s="19" t="str">
        <f aca="false">IF(ISNUMBER(L269),IF(L269&gt;0,LN(L269),""),"")</f>
        <v/>
      </c>
      <c r="T269" s="19" t="str">
        <f aca="false">IF(ISNUMBER(S269),IFERROR((S269-LN(INDEX(Estadística!$K$6:$K$25,MATCH(B269,Estadística!$A$6:$A$25,0))))^2,""),"")</f>
        <v/>
      </c>
      <c r="U269" s="19" t="str">
        <f aca="false">IF(ISNUMBER(L269),IFERROR((L269-INDEX(Estadística!$I$6:$I$25,MATCH(B269,Estadística!$A$6:$A$25,0)))^2,""),"")</f>
        <v/>
      </c>
      <c r="V269" s="19" t="str">
        <f aca="false">IF(ISNUMBER(P269),IF(P269&gt;1,1,0),"")</f>
        <v/>
      </c>
    </row>
    <row r="270" customFormat="false" ht="15" hidden="false" customHeight="false" outlineLevel="0" collapsed="false">
      <c r="A270" s="18" t="n">
        <v>265</v>
      </c>
      <c r="B270" s="18"/>
      <c r="C270" s="22"/>
      <c r="D270" s="18"/>
      <c r="E270" s="18"/>
      <c r="F270" s="18"/>
      <c r="G270" s="18"/>
      <c r="H270" s="20" t="str">
        <f aca="false">IF(OR(F270="",G270=""),"",F270*G270/1000)</f>
        <v/>
      </c>
      <c r="I270" s="23"/>
      <c r="J270" s="23"/>
      <c r="K270" s="18"/>
      <c r="L270" s="21" t="str">
        <f aca="false">IF(B270="","",IF(J270&lt;&gt;"",J270,IF(AND(N(I270)&gt;0,N(H270)&gt;0),I270/H270,"")))</f>
        <v/>
      </c>
      <c r="M270" s="19" t="str">
        <f aca="false">IF(B270="","",IFERROR(INDEX(GES!$E$6:$E$25,MATCH(B270,GES!$A$6:$A$25,0)),"GES?"))</f>
        <v/>
      </c>
      <c r="N270" s="21" t="str">
        <f aca="false">IF(AND(ISNUMBER(L270),ISNUMBER(K270),LEFT(M270,3)="CAR"),L270*K270/100,"")</f>
        <v/>
      </c>
      <c r="O270" s="21" t="str">
        <f aca="false">IF(B270="","",IFERROR(INDEX(GES!$U$6:$U$25,MATCH(B270,GES!$A$6:$A$25,0)),""))</f>
        <v/>
      </c>
      <c r="P270" s="24" t="str">
        <f aca="false">IF(AND(ISNUMBER(L270),ISNUMBER(O270)),L270/O270,"")</f>
        <v/>
      </c>
      <c r="Q270" s="25" t="str">
        <f aca="false">IF(NOT(ISNUMBER(L270)),"",IFERROR(IF(INDEX(Estadística!$L$6:$L$25,MATCH(B270,Estadística!$A$6:$A$25,0))&gt;INDEX(Estadística!$T$6:$T$25,MATCH(B270,Estadística!$A$6:$A$25,0)),IF(OR(L270&lt;INDEX(Estadística!$I$6:$I$25,MATCH(B270,Estadística!$A$6:$A$25,0))/2,L270&gt;2*INDEX(Estadística!$I$6:$I$25,MATCH(B270,Estadística!$A$6:$A$25,0))),"Fuera de ½MA–2MA: revisar","Dentro de ½MA–2MA"),"—"),""))</f>
        <v/>
      </c>
      <c r="R270" s="18"/>
      <c r="S270" s="19" t="str">
        <f aca="false">IF(ISNUMBER(L270),IF(L270&gt;0,LN(L270),""),"")</f>
        <v/>
      </c>
      <c r="T270" s="19" t="str">
        <f aca="false">IF(ISNUMBER(S270),IFERROR((S270-LN(INDEX(Estadística!$K$6:$K$25,MATCH(B270,Estadística!$A$6:$A$25,0))))^2,""),"")</f>
        <v/>
      </c>
      <c r="U270" s="19" t="str">
        <f aca="false">IF(ISNUMBER(L270),IFERROR((L270-INDEX(Estadística!$I$6:$I$25,MATCH(B270,Estadística!$A$6:$A$25,0)))^2,""),"")</f>
        <v/>
      </c>
      <c r="V270" s="19" t="str">
        <f aca="false">IF(ISNUMBER(P270),IF(P270&gt;1,1,0),"")</f>
        <v/>
      </c>
    </row>
    <row r="271" customFormat="false" ht="15" hidden="false" customHeight="false" outlineLevel="0" collapsed="false">
      <c r="A271" s="18" t="n">
        <v>266</v>
      </c>
      <c r="B271" s="18"/>
      <c r="C271" s="22"/>
      <c r="D271" s="18"/>
      <c r="E271" s="18"/>
      <c r="F271" s="18"/>
      <c r="G271" s="18"/>
      <c r="H271" s="20" t="str">
        <f aca="false">IF(OR(F271="",G271=""),"",F271*G271/1000)</f>
        <v/>
      </c>
      <c r="I271" s="23"/>
      <c r="J271" s="23"/>
      <c r="K271" s="18"/>
      <c r="L271" s="21" t="str">
        <f aca="false">IF(B271="","",IF(J271&lt;&gt;"",J271,IF(AND(N(I271)&gt;0,N(H271)&gt;0),I271/H271,"")))</f>
        <v/>
      </c>
      <c r="M271" s="19" t="str">
        <f aca="false">IF(B271="","",IFERROR(INDEX(GES!$E$6:$E$25,MATCH(B271,GES!$A$6:$A$25,0)),"GES?"))</f>
        <v/>
      </c>
      <c r="N271" s="21" t="str">
        <f aca="false">IF(AND(ISNUMBER(L271),ISNUMBER(K271),LEFT(M271,3)="CAR"),L271*K271/100,"")</f>
        <v/>
      </c>
      <c r="O271" s="21" t="str">
        <f aca="false">IF(B271="","",IFERROR(INDEX(GES!$U$6:$U$25,MATCH(B271,GES!$A$6:$A$25,0)),""))</f>
        <v/>
      </c>
      <c r="P271" s="24" t="str">
        <f aca="false">IF(AND(ISNUMBER(L271),ISNUMBER(O271)),L271/O271,"")</f>
        <v/>
      </c>
      <c r="Q271" s="25" t="str">
        <f aca="false">IF(NOT(ISNUMBER(L271)),"",IFERROR(IF(INDEX(Estadística!$L$6:$L$25,MATCH(B271,Estadística!$A$6:$A$25,0))&gt;INDEX(Estadística!$T$6:$T$25,MATCH(B271,Estadística!$A$6:$A$25,0)),IF(OR(L271&lt;INDEX(Estadística!$I$6:$I$25,MATCH(B271,Estadística!$A$6:$A$25,0))/2,L271&gt;2*INDEX(Estadística!$I$6:$I$25,MATCH(B271,Estadística!$A$6:$A$25,0))),"Fuera de ½MA–2MA: revisar","Dentro de ½MA–2MA"),"—"),""))</f>
        <v/>
      </c>
      <c r="R271" s="18"/>
      <c r="S271" s="19" t="str">
        <f aca="false">IF(ISNUMBER(L271),IF(L271&gt;0,LN(L271),""),"")</f>
        <v/>
      </c>
      <c r="T271" s="19" t="str">
        <f aca="false">IF(ISNUMBER(S271),IFERROR((S271-LN(INDEX(Estadística!$K$6:$K$25,MATCH(B271,Estadística!$A$6:$A$25,0))))^2,""),"")</f>
        <v/>
      </c>
      <c r="U271" s="19" t="str">
        <f aca="false">IF(ISNUMBER(L271),IFERROR((L271-INDEX(Estadística!$I$6:$I$25,MATCH(B271,Estadística!$A$6:$A$25,0)))^2,""),"")</f>
        <v/>
      </c>
      <c r="V271" s="19" t="str">
        <f aca="false">IF(ISNUMBER(P271),IF(P271&gt;1,1,0),"")</f>
        <v/>
      </c>
    </row>
    <row r="272" customFormat="false" ht="15" hidden="false" customHeight="false" outlineLevel="0" collapsed="false">
      <c r="A272" s="18" t="n">
        <v>267</v>
      </c>
      <c r="B272" s="18"/>
      <c r="C272" s="22"/>
      <c r="D272" s="18"/>
      <c r="E272" s="18"/>
      <c r="F272" s="18"/>
      <c r="G272" s="18"/>
      <c r="H272" s="20" t="str">
        <f aca="false">IF(OR(F272="",G272=""),"",F272*G272/1000)</f>
        <v/>
      </c>
      <c r="I272" s="23"/>
      <c r="J272" s="23"/>
      <c r="K272" s="18"/>
      <c r="L272" s="21" t="str">
        <f aca="false">IF(B272="","",IF(J272&lt;&gt;"",J272,IF(AND(N(I272)&gt;0,N(H272)&gt;0),I272/H272,"")))</f>
        <v/>
      </c>
      <c r="M272" s="19" t="str">
        <f aca="false">IF(B272="","",IFERROR(INDEX(GES!$E$6:$E$25,MATCH(B272,GES!$A$6:$A$25,0)),"GES?"))</f>
        <v/>
      </c>
      <c r="N272" s="21" t="str">
        <f aca="false">IF(AND(ISNUMBER(L272),ISNUMBER(K272),LEFT(M272,3)="CAR"),L272*K272/100,"")</f>
        <v/>
      </c>
      <c r="O272" s="21" t="str">
        <f aca="false">IF(B272="","",IFERROR(INDEX(GES!$U$6:$U$25,MATCH(B272,GES!$A$6:$A$25,0)),""))</f>
        <v/>
      </c>
      <c r="P272" s="24" t="str">
        <f aca="false">IF(AND(ISNUMBER(L272),ISNUMBER(O272)),L272/O272,"")</f>
        <v/>
      </c>
      <c r="Q272" s="25" t="str">
        <f aca="false">IF(NOT(ISNUMBER(L272)),"",IFERROR(IF(INDEX(Estadística!$L$6:$L$25,MATCH(B272,Estadística!$A$6:$A$25,0))&gt;INDEX(Estadística!$T$6:$T$25,MATCH(B272,Estadística!$A$6:$A$25,0)),IF(OR(L272&lt;INDEX(Estadística!$I$6:$I$25,MATCH(B272,Estadística!$A$6:$A$25,0))/2,L272&gt;2*INDEX(Estadística!$I$6:$I$25,MATCH(B272,Estadística!$A$6:$A$25,0))),"Fuera de ½MA–2MA: revisar","Dentro de ½MA–2MA"),"—"),""))</f>
        <v/>
      </c>
      <c r="R272" s="18"/>
      <c r="S272" s="19" t="str">
        <f aca="false">IF(ISNUMBER(L272),IF(L272&gt;0,LN(L272),""),"")</f>
        <v/>
      </c>
      <c r="T272" s="19" t="str">
        <f aca="false">IF(ISNUMBER(S272),IFERROR((S272-LN(INDEX(Estadística!$K$6:$K$25,MATCH(B272,Estadística!$A$6:$A$25,0))))^2,""),"")</f>
        <v/>
      </c>
      <c r="U272" s="19" t="str">
        <f aca="false">IF(ISNUMBER(L272),IFERROR((L272-INDEX(Estadística!$I$6:$I$25,MATCH(B272,Estadística!$A$6:$A$25,0)))^2,""),"")</f>
        <v/>
      </c>
      <c r="V272" s="19" t="str">
        <f aca="false">IF(ISNUMBER(P272),IF(P272&gt;1,1,0),"")</f>
        <v/>
      </c>
    </row>
    <row r="273" customFormat="false" ht="15" hidden="false" customHeight="false" outlineLevel="0" collapsed="false">
      <c r="A273" s="18" t="n">
        <v>268</v>
      </c>
      <c r="B273" s="18"/>
      <c r="C273" s="22"/>
      <c r="D273" s="18"/>
      <c r="E273" s="18"/>
      <c r="F273" s="18"/>
      <c r="G273" s="18"/>
      <c r="H273" s="20" t="str">
        <f aca="false">IF(OR(F273="",G273=""),"",F273*G273/1000)</f>
        <v/>
      </c>
      <c r="I273" s="23"/>
      <c r="J273" s="23"/>
      <c r="K273" s="18"/>
      <c r="L273" s="21" t="str">
        <f aca="false">IF(B273="","",IF(J273&lt;&gt;"",J273,IF(AND(N(I273)&gt;0,N(H273)&gt;0),I273/H273,"")))</f>
        <v/>
      </c>
      <c r="M273" s="19" t="str">
        <f aca="false">IF(B273="","",IFERROR(INDEX(GES!$E$6:$E$25,MATCH(B273,GES!$A$6:$A$25,0)),"GES?"))</f>
        <v/>
      </c>
      <c r="N273" s="21" t="str">
        <f aca="false">IF(AND(ISNUMBER(L273),ISNUMBER(K273),LEFT(M273,3)="CAR"),L273*K273/100,"")</f>
        <v/>
      </c>
      <c r="O273" s="21" t="str">
        <f aca="false">IF(B273="","",IFERROR(INDEX(GES!$U$6:$U$25,MATCH(B273,GES!$A$6:$A$25,0)),""))</f>
        <v/>
      </c>
      <c r="P273" s="24" t="str">
        <f aca="false">IF(AND(ISNUMBER(L273),ISNUMBER(O273)),L273/O273,"")</f>
        <v/>
      </c>
      <c r="Q273" s="25" t="str">
        <f aca="false">IF(NOT(ISNUMBER(L273)),"",IFERROR(IF(INDEX(Estadística!$L$6:$L$25,MATCH(B273,Estadística!$A$6:$A$25,0))&gt;INDEX(Estadística!$T$6:$T$25,MATCH(B273,Estadística!$A$6:$A$25,0)),IF(OR(L273&lt;INDEX(Estadística!$I$6:$I$25,MATCH(B273,Estadística!$A$6:$A$25,0))/2,L273&gt;2*INDEX(Estadística!$I$6:$I$25,MATCH(B273,Estadística!$A$6:$A$25,0))),"Fuera de ½MA–2MA: revisar","Dentro de ½MA–2MA"),"—"),""))</f>
        <v/>
      </c>
      <c r="R273" s="18"/>
      <c r="S273" s="19" t="str">
        <f aca="false">IF(ISNUMBER(L273),IF(L273&gt;0,LN(L273),""),"")</f>
        <v/>
      </c>
      <c r="T273" s="19" t="str">
        <f aca="false">IF(ISNUMBER(S273),IFERROR((S273-LN(INDEX(Estadística!$K$6:$K$25,MATCH(B273,Estadística!$A$6:$A$25,0))))^2,""),"")</f>
        <v/>
      </c>
      <c r="U273" s="19" t="str">
        <f aca="false">IF(ISNUMBER(L273),IFERROR((L273-INDEX(Estadística!$I$6:$I$25,MATCH(B273,Estadística!$A$6:$A$25,0)))^2,""),"")</f>
        <v/>
      </c>
      <c r="V273" s="19" t="str">
        <f aca="false">IF(ISNUMBER(P273),IF(P273&gt;1,1,0),"")</f>
        <v/>
      </c>
    </row>
    <row r="274" customFormat="false" ht="15" hidden="false" customHeight="false" outlineLevel="0" collapsed="false">
      <c r="A274" s="18" t="n">
        <v>269</v>
      </c>
      <c r="B274" s="18"/>
      <c r="C274" s="22"/>
      <c r="D274" s="18"/>
      <c r="E274" s="18"/>
      <c r="F274" s="18"/>
      <c r="G274" s="18"/>
      <c r="H274" s="20" t="str">
        <f aca="false">IF(OR(F274="",G274=""),"",F274*G274/1000)</f>
        <v/>
      </c>
      <c r="I274" s="23"/>
      <c r="J274" s="23"/>
      <c r="K274" s="18"/>
      <c r="L274" s="21" t="str">
        <f aca="false">IF(B274="","",IF(J274&lt;&gt;"",J274,IF(AND(N(I274)&gt;0,N(H274)&gt;0),I274/H274,"")))</f>
        <v/>
      </c>
      <c r="M274" s="19" t="str">
        <f aca="false">IF(B274="","",IFERROR(INDEX(GES!$E$6:$E$25,MATCH(B274,GES!$A$6:$A$25,0)),"GES?"))</f>
        <v/>
      </c>
      <c r="N274" s="21" t="str">
        <f aca="false">IF(AND(ISNUMBER(L274),ISNUMBER(K274),LEFT(M274,3)="CAR"),L274*K274/100,"")</f>
        <v/>
      </c>
      <c r="O274" s="21" t="str">
        <f aca="false">IF(B274="","",IFERROR(INDEX(GES!$U$6:$U$25,MATCH(B274,GES!$A$6:$A$25,0)),""))</f>
        <v/>
      </c>
      <c r="P274" s="24" t="str">
        <f aca="false">IF(AND(ISNUMBER(L274),ISNUMBER(O274)),L274/O274,"")</f>
        <v/>
      </c>
      <c r="Q274" s="25" t="str">
        <f aca="false">IF(NOT(ISNUMBER(L274)),"",IFERROR(IF(INDEX(Estadística!$L$6:$L$25,MATCH(B274,Estadística!$A$6:$A$25,0))&gt;INDEX(Estadística!$T$6:$T$25,MATCH(B274,Estadística!$A$6:$A$25,0)),IF(OR(L274&lt;INDEX(Estadística!$I$6:$I$25,MATCH(B274,Estadística!$A$6:$A$25,0))/2,L274&gt;2*INDEX(Estadística!$I$6:$I$25,MATCH(B274,Estadística!$A$6:$A$25,0))),"Fuera de ½MA–2MA: revisar","Dentro de ½MA–2MA"),"—"),""))</f>
        <v/>
      </c>
      <c r="R274" s="18"/>
      <c r="S274" s="19" t="str">
        <f aca="false">IF(ISNUMBER(L274),IF(L274&gt;0,LN(L274),""),"")</f>
        <v/>
      </c>
      <c r="T274" s="19" t="str">
        <f aca="false">IF(ISNUMBER(S274),IFERROR((S274-LN(INDEX(Estadística!$K$6:$K$25,MATCH(B274,Estadística!$A$6:$A$25,0))))^2,""),"")</f>
        <v/>
      </c>
      <c r="U274" s="19" t="str">
        <f aca="false">IF(ISNUMBER(L274),IFERROR((L274-INDEX(Estadística!$I$6:$I$25,MATCH(B274,Estadística!$A$6:$A$25,0)))^2,""),"")</f>
        <v/>
      </c>
      <c r="V274" s="19" t="str">
        <f aca="false">IF(ISNUMBER(P274),IF(P274&gt;1,1,0),"")</f>
        <v/>
      </c>
    </row>
    <row r="275" customFormat="false" ht="15" hidden="false" customHeight="false" outlineLevel="0" collapsed="false">
      <c r="A275" s="18" t="n">
        <v>270</v>
      </c>
      <c r="B275" s="18"/>
      <c r="C275" s="22"/>
      <c r="D275" s="18"/>
      <c r="E275" s="18"/>
      <c r="F275" s="18"/>
      <c r="G275" s="18"/>
      <c r="H275" s="20" t="str">
        <f aca="false">IF(OR(F275="",G275=""),"",F275*G275/1000)</f>
        <v/>
      </c>
      <c r="I275" s="23"/>
      <c r="J275" s="23"/>
      <c r="K275" s="18"/>
      <c r="L275" s="21" t="str">
        <f aca="false">IF(B275="","",IF(J275&lt;&gt;"",J275,IF(AND(N(I275)&gt;0,N(H275)&gt;0),I275/H275,"")))</f>
        <v/>
      </c>
      <c r="M275" s="19" t="str">
        <f aca="false">IF(B275="","",IFERROR(INDEX(GES!$E$6:$E$25,MATCH(B275,GES!$A$6:$A$25,0)),"GES?"))</f>
        <v/>
      </c>
      <c r="N275" s="21" t="str">
        <f aca="false">IF(AND(ISNUMBER(L275),ISNUMBER(K275),LEFT(M275,3)="CAR"),L275*K275/100,"")</f>
        <v/>
      </c>
      <c r="O275" s="21" t="str">
        <f aca="false">IF(B275="","",IFERROR(INDEX(GES!$U$6:$U$25,MATCH(B275,GES!$A$6:$A$25,0)),""))</f>
        <v/>
      </c>
      <c r="P275" s="24" t="str">
        <f aca="false">IF(AND(ISNUMBER(L275),ISNUMBER(O275)),L275/O275,"")</f>
        <v/>
      </c>
      <c r="Q275" s="25" t="str">
        <f aca="false">IF(NOT(ISNUMBER(L275)),"",IFERROR(IF(INDEX(Estadística!$L$6:$L$25,MATCH(B275,Estadística!$A$6:$A$25,0))&gt;INDEX(Estadística!$T$6:$T$25,MATCH(B275,Estadística!$A$6:$A$25,0)),IF(OR(L275&lt;INDEX(Estadística!$I$6:$I$25,MATCH(B275,Estadística!$A$6:$A$25,0))/2,L275&gt;2*INDEX(Estadística!$I$6:$I$25,MATCH(B275,Estadística!$A$6:$A$25,0))),"Fuera de ½MA–2MA: revisar","Dentro de ½MA–2MA"),"—"),""))</f>
        <v/>
      </c>
      <c r="R275" s="18"/>
      <c r="S275" s="19" t="str">
        <f aca="false">IF(ISNUMBER(L275),IF(L275&gt;0,LN(L275),""),"")</f>
        <v/>
      </c>
      <c r="T275" s="19" t="str">
        <f aca="false">IF(ISNUMBER(S275),IFERROR((S275-LN(INDEX(Estadística!$K$6:$K$25,MATCH(B275,Estadística!$A$6:$A$25,0))))^2,""),"")</f>
        <v/>
      </c>
      <c r="U275" s="19" t="str">
        <f aca="false">IF(ISNUMBER(L275),IFERROR((L275-INDEX(Estadística!$I$6:$I$25,MATCH(B275,Estadística!$A$6:$A$25,0)))^2,""),"")</f>
        <v/>
      </c>
      <c r="V275" s="19" t="str">
        <f aca="false">IF(ISNUMBER(P275),IF(P275&gt;1,1,0),"")</f>
        <v/>
      </c>
    </row>
    <row r="276" customFormat="false" ht="15" hidden="false" customHeight="false" outlineLevel="0" collapsed="false">
      <c r="A276" s="18" t="n">
        <v>271</v>
      </c>
      <c r="B276" s="18"/>
      <c r="C276" s="22"/>
      <c r="D276" s="18"/>
      <c r="E276" s="18"/>
      <c r="F276" s="18"/>
      <c r="G276" s="18"/>
      <c r="H276" s="20" t="str">
        <f aca="false">IF(OR(F276="",G276=""),"",F276*G276/1000)</f>
        <v/>
      </c>
      <c r="I276" s="23"/>
      <c r="J276" s="23"/>
      <c r="K276" s="18"/>
      <c r="L276" s="21" t="str">
        <f aca="false">IF(B276="","",IF(J276&lt;&gt;"",J276,IF(AND(N(I276)&gt;0,N(H276)&gt;0),I276/H276,"")))</f>
        <v/>
      </c>
      <c r="M276" s="19" t="str">
        <f aca="false">IF(B276="","",IFERROR(INDEX(GES!$E$6:$E$25,MATCH(B276,GES!$A$6:$A$25,0)),"GES?"))</f>
        <v/>
      </c>
      <c r="N276" s="21" t="str">
        <f aca="false">IF(AND(ISNUMBER(L276),ISNUMBER(K276),LEFT(M276,3)="CAR"),L276*K276/100,"")</f>
        <v/>
      </c>
      <c r="O276" s="21" t="str">
        <f aca="false">IF(B276="","",IFERROR(INDEX(GES!$U$6:$U$25,MATCH(B276,GES!$A$6:$A$25,0)),""))</f>
        <v/>
      </c>
      <c r="P276" s="24" t="str">
        <f aca="false">IF(AND(ISNUMBER(L276),ISNUMBER(O276)),L276/O276,"")</f>
        <v/>
      </c>
      <c r="Q276" s="25" t="str">
        <f aca="false">IF(NOT(ISNUMBER(L276)),"",IFERROR(IF(INDEX(Estadística!$L$6:$L$25,MATCH(B276,Estadística!$A$6:$A$25,0))&gt;INDEX(Estadística!$T$6:$T$25,MATCH(B276,Estadística!$A$6:$A$25,0)),IF(OR(L276&lt;INDEX(Estadística!$I$6:$I$25,MATCH(B276,Estadística!$A$6:$A$25,0))/2,L276&gt;2*INDEX(Estadística!$I$6:$I$25,MATCH(B276,Estadística!$A$6:$A$25,0))),"Fuera de ½MA–2MA: revisar","Dentro de ½MA–2MA"),"—"),""))</f>
        <v/>
      </c>
      <c r="R276" s="18"/>
      <c r="S276" s="19" t="str">
        <f aca="false">IF(ISNUMBER(L276),IF(L276&gt;0,LN(L276),""),"")</f>
        <v/>
      </c>
      <c r="T276" s="19" t="str">
        <f aca="false">IF(ISNUMBER(S276),IFERROR((S276-LN(INDEX(Estadística!$K$6:$K$25,MATCH(B276,Estadística!$A$6:$A$25,0))))^2,""),"")</f>
        <v/>
      </c>
      <c r="U276" s="19" t="str">
        <f aca="false">IF(ISNUMBER(L276),IFERROR((L276-INDEX(Estadística!$I$6:$I$25,MATCH(B276,Estadística!$A$6:$A$25,0)))^2,""),"")</f>
        <v/>
      </c>
      <c r="V276" s="19" t="str">
        <f aca="false">IF(ISNUMBER(P276),IF(P276&gt;1,1,0),"")</f>
        <v/>
      </c>
    </row>
    <row r="277" customFormat="false" ht="15" hidden="false" customHeight="false" outlineLevel="0" collapsed="false">
      <c r="A277" s="18" t="n">
        <v>272</v>
      </c>
      <c r="B277" s="18"/>
      <c r="C277" s="22"/>
      <c r="D277" s="18"/>
      <c r="E277" s="18"/>
      <c r="F277" s="18"/>
      <c r="G277" s="18"/>
      <c r="H277" s="20" t="str">
        <f aca="false">IF(OR(F277="",G277=""),"",F277*G277/1000)</f>
        <v/>
      </c>
      <c r="I277" s="23"/>
      <c r="J277" s="23"/>
      <c r="K277" s="18"/>
      <c r="L277" s="21" t="str">
        <f aca="false">IF(B277="","",IF(J277&lt;&gt;"",J277,IF(AND(N(I277)&gt;0,N(H277)&gt;0),I277/H277,"")))</f>
        <v/>
      </c>
      <c r="M277" s="19" t="str">
        <f aca="false">IF(B277="","",IFERROR(INDEX(GES!$E$6:$E$25,MATCH(B277,GES!$A$6:$A$25,0)),"GES?"))</f>
        <v/>
      </c>
      <c r="N277" s="21" t="str">
        <f aca="false">IF(AND(ISNUMBER(L277),ISNUMBER(K277),LEFT(M277,3)="CAR"),L277*K277/100,"")</f>
        <v/>
      </c>
      <c r="O277" s="21" t="str">
        <f aca="false">IF(B277="","",IFERROR(INDEX(GES!$U$6:$U$25,MATCH(B277,GES!$A$6:$A$25,0)),""))</f>
        <v/>
      </c>
      <c r="P277" s="24" t="str">
        <f aca="false">IF(AND(ISNUMBER(L277),ISNUMBER(O277)),L277/O277,"")</f>
        <v/>
      </c>
      <c r="Q277" s="25" t="str">
        <f aca="false">IF(NOT(ISNUMBER(L277)),"",IFERROR(IF(INDEX(Estadística!$L$6:$L$25,MATCH(B277,Estadística!$A$6:$A$25,0))&gt;INDEX(Estadística!$T$6:$T$25,MATCH(B277,Estadística!$A$6:$A$25,0)),IF(OR(L277&lt;INDEX(Estadística!$I$6:$I$25,MATCH(B277,Estadística!$A$6:$A$25,0))/2,L277&gt;2*INDEX(Estadística!$I$6:$I$25,MATCH(B277,Estadística!$A$6:$A$25,0))),"Fuera de ½MA–2MA: revisar","Dentro de ½MA–2MA"),"—"),""))</f>
        <v/>
      </c>
      <c r="R277" s="18"/>
      <c r="S277" s="19" t="str">
        <f aca="false">IF(ISNUMBER(L277),IF(L277&gt;0,LN(L277),""),"")</f>
        <v/>
      </c>
      <c r="T277" s="19" t="str">
        <f aca="false">IF(ISNUMBER(S277),IFERROR((S277-LN(INDEX(Estadística!$K$6:$K$25,MATCH(B277,Estadística!$A$6:$A$25,0))))^2,""),"")</f>
        <v/>
      </c>
      <c r="U277" s="19" t="str">
        <f aca="false">IF(ISNUMBER(L277),IFERROR((L277-INDEX(Estadística!$I$6:$I$25,MATCH(B277,Estadística!$A$6:$A$25,0)))^2,""),"")</f>
        <v/>
      </c>
      <c r="V277" s="19" t="str">
        <f aca="false">IF(ISNUMBER(P277),IF(P277&gt;1,1,0),"")</f>
        <v/>
      </c>
    </row>
    <row r="278" customFormat="false" ht="15" hidden="false" customHeight="false" outlineLevel="0" collapsed="false">
      <c r="A278" s="18" t="n">
        <v>273</v>
      </c>
      <c r="B278" s="18"/>
      <c r="C278" s="22"/>
      <c r="D278" s="18"/>
      <c r="E278" s="18"/>
      <c r="F278" s="18"/>
      <c r="G278" s="18"/>
      <c r="H278" s="20" t="str">
        <f aca="false">IF(OR(F278="",G278=""),"",F278*G278/1000)</f>
        <v/>
      </c>
      <c r="I278" s="23"/>
      <c r="J278" s="23"/>
      <c r="K278" s="18"/>
      <c r="L278" s="21" t="str">
        <f aca="false">IF(B278="","",IF(J278&lt;&gt;"",J278,IF(AND(N(I278)&gt;0,N(H278)&gt;0),I278/H278,"")))</f>
        <v/>
      </c>
      <c r="M278" s="19" t="str">
        <f aca="false">IF(B278="","",IFERROR(INDEX(GES!$E$6:$E$25,MATCH(B278,GES!$A$6:$A$25,0)),"GES?"))</f>
        <v/>
      </c>
      <c r="N278" s="21" t="str">
        <f aca="false">IF(AND(ISNUMBER(L278),ISNUMBER(K278),LEFT(M278,3)="CAR"),L278*K278/100,"")</f>
        <v/>
      </c>
      <c r="O278" s="21" t="str">
        <f aca="false">IF(B278="","",IFERROR(INDEX(GES!$U$6:$U$25,MATCH(B278,GES!$A$6:$A$25,0)),""))</f>
        <v/>
      </c>
      <c r="P278" s="24" t="str">
        <f aca="false">IF(AND(ISNUMBER(L278),ISNUMBER(O278)),L278/O278,"")</f>
        <v/>
      </c>
      <c r="Q278" s="25" t="str">
        <f aca="false">IF(NOT(ISNUMBER(L278)),"",IFERROR(IF(INDEX(Estadística!$L$6:$L$25,MATCH(B278,Estadística!$A$6:$A$25,0))&gt;INDEX(Estadística!$T$6:$T$25,MATCH(B278,Estadística!$A$6:$A$25,0)),IF(OR(L278&lt;INDEX(Estadística!$I$6:$I$25,MATCH(B278,Estadística!$A$6:$A$25,0))/2,L278&gt;2*INDEX(Estadística!$I$6:$I$25,MATCH(B278,Estadística!$A$6:$A$25,0))),"Fuera de ½MA–2MA: revisar","Dentro de ½MA–2MA"),"—"),""))</f>
        <v/>
      </c>
      <c r="R278" s="18"/>
      <c r="S278" s="19" t="str">
        <f aca="false">IF(ISNUMBER(L278),IF(L278&gt;0,LN(L278),""),"")</f>
        <v/>
      </c>
      <c r="T278" s="19" t="str">
        <f aca="false">IF(ISNUMBER(S278),IFERROR((S278-LN(INDEX(Estadística!$K$6:$K$25,MATCH(B278,Estadística!$A$6:$A$25,0))))^2,""),"")</f>
        <v/>
      </c>
      <c r="U278" s="19" t="str">
        <f aca="false">IF(ISNUMBER(L278),IFERROR((L278-INDEX(Estadística!$I$6:$I$25,MATCH(B278,Estadística!$A$6:$A$25,0)))^2,""),"")</f>
        <v/>
      </c>
      <c r="V278" s="19" t="str">
        <f aca="false">IF(ISNUMBER(P278),IF(P278&gt;1,1,0),"")</f>
        <v/>
      </c>
    </row>
    <row r="279" customFormat="false" ht="15" hidden="false" customHeight="false" outlineLevel="0" collapsed="false">
      <c r="A279" s="18" t="n">
        <v>274</v>
      </c>
      <c r="B279" s="18"/>
      <c r="C279" s="22"/>
      <c r="D279" s="18"/>
      <c r="E279" s="18"/>
      <c r="F279" s="18"/>
      <c r="G279" s="18"/>
      <c r="H279" s="20" t="str">
        <f aca="false">IF(OR(F279="",G279=""),"",F279*G279/1000)</f>
        <v/>
      </c>
      <c r="I279" s="23"/>
      <c r="J279" s="23"/>
      <c r="K279" s="18"/>
      <c r="L279" s="21" t="str">
        <f aca="false">IF(B279="","",IF(J279&lt;&gt;"",J279,IF(AND(N(I279)&gt;0,N(H279)&gt;0),I279/H279,"")))</f>
        <v/>
      </c>
      <c r="M279" s="19" t="str">
        <f aca="false">IF(B279="","",IFERROR(INDEX(GES!$E$6:$E$25,MATCH(B279,GES!$A$6:$A$25,0)),"GES?"))</f>
        <v/>
      </c>
      <c r="N279" s="21" t="str">
        <f aca="false">IF(AND(ISNUMBER(L279),ISNUMBER(K279),LEFT(M279,3)="CAR"),L279*K279/100,"")</f>
        <v/>
      </c>
      <c r="O279" s="21" t="str">
        <f aca="false">IF(B279="","",IFERROR(INDEX(GES!$U$6:$U$25,MATCH(B279,GES!$A$6:$A$25,0)),""))</f>
        <v/>
      </c>
      <c r="P279" s="24" t="str">
        <f aca="false">IF(AND(ISNUMBER(L279),ISNUMBER(O279)),L279/O279,"")</f>
        <v/>
      </c>
      <c r="Q279" s="25" t="str">
        <f aca="false">IF(NOT(ISNUMBER(L279)),"",IFERROR(IF(INDEX(Estadística!$L$6:$L$25,MATCH(B279,Estadística!$A$6:$A$25,0))&gt;INDEX(Estadística!$T$6:$T$25,MATCH(B279,Estadística!$A$6:$A$25,0)),IF(OR(L279&lt;INDEX(Estadística!$I$6:$I$25,MATCH(B279,Estadística!$A$6:$A$25,0))/2,L279&gt;2*INDEX(Estadística!$I$6:$I$25,MATCH(B279,Estadística!$A$6:$A$25,0))),"Fuera de ½MA–2MA: revisar","Dentro de ½MA–2MA"),"—"),""))</f>
        <v/>
      </c>
      <c r="R279" s="18"/>
      <c r="S279" s="19" t="str">
        <f aca="false">IF(ISNUMBER(L279),IF(L279&gt;0,LN(L279),""),"")</f>
        <v/>
      </c>
      <c r="T279" s="19" t="str">
        <f aca="false">IF(ISNUMBER(S279),IFERROR((S279-LN(INDEX(Estadística!$K$6:$K$25,MATCH(B279,Estadística!$A$6:$A$25,0))))^2,""),"")</f>
        <v/>
      </c>
      <c r="U279" s="19" t="str">
        <f aca="false">IF(ISNUMBER(L279),IFERROR((L279-INDEX(Estadística!$I$6:$I$25,MATCH(B279,Estadística!$A$6:$A$25,0)))^2,""),"")</f>
        <v/>
      </c>
      <c r="V279" s="19" t="str">
        <f aca="false">IF(ISNUMBER(P279),IF(P279&gt;1,1,0),"")</f>
        <v/>
      </c>
    </row>
    <row r="280" customFormat="false" ht="15" hidden="false" customHeight="false" outlineLevel="0" collapsed="false">
      <c r="A280" s="18" t="n">
        <v>275</v>
      </c>
      <c r="B280" s="18"/>
      <c r="C280" s="22"/>
      <c r="D280" s="18"/>
      <c r="E280" s="18"/>
      <c r="F280" s="18"/>
      <c r="G280" s="18"/>
      <c r="H280" s="20" t="str">
        <f aca="false">IF(OR(F280="",G280=""),"",F280*G280/1000)</f>
        <v/>
      </c>
      <c r="I280" s="23"/>
      <c r="J280" s="23"/>
      <c r="K280" s="18"/>
      <c r="L280" s="21" t="str">
        <f aca="false">IF(B280="","",IF(J280&lt;&gt;"",J280,IF(AND(N(I280)&gt;0,N(H280)&gt;0),I280/H280,"")))</f>
        <v/>
      </c>
      <c r="M280" s="19" t="str">
        <f aca="false">IF(B280="","",IFERROR(INDEX(GES!$E$6:$E$25,MATCH(B280,GES!$A$6:$A$25,0)),"GES?"))</f>
        <v/>
      </c>
      <c r="N280" s="21" t="str">
        <f aca="false">IF(AND(ISNUMBER(L280),ISNUMBER(K280),LEFT(M280,3)="CAR"),L280*K280/100,"")</f>
        <v/>
      </c>
      <c r="O280" s="21" t="str">
        <f aca="false">IF(B280="","",IFERROR(INDEX(GES!$U$6:$U$25,MATCH(B280,GES!$A$6:$A$25,0)),""))</f>
        <v/>
      </c>
      <c r="P280" s="24" t="str">
        <f aca="false">IF(AND(ISNUMBER(L280),ISNUMBER(O280)),L280/O280,"")</f>
        <v/>
      </c>
      <c r="Q280" s="25" t="str">
        <f aca="false">IF(NOT(ISNUMBER(L280)),"",IFERROR(IF(INDEX(Estadística!$L$6:$L$25,MATCH(B280,Estadística!$A$6:$A$25,0))&gt;INDEX(Estadística!$T$6:$T$25,MATCH(B280,Estadística!$A$6:$A$25,0)),IF(OR(L280&lt;INDEX(Estadística!$I$6:$I$25,MATCH(B280,Estadística!$A$6:$A$25,0))/2,L280&gt;2*INDEX(Estadística!$I$6:$I$25,MATCH(B280,Estadística!$A$6:$A$25,0))),"Fuera de ½MA–2MA: revisar","Dentro de ½MA–2MA"),"—"),""))</f>
        <v/>
      </c>
      <c r="R280" s="18"/>
      <c r="S280" s="19" t="str">
        <f aca="false">IF(ISNUMBER(L280),IF(L280&gt;0,LN(L280),""),"")</f>
        <v/>
      </c>
      <c r="T280" s="19" t="str">
        <f aca="false">IF(ISNUMBER(S280),IFERROR((S280-LN(INDEX(Estadística!$K$6:$K$25,MATCH(B280,Estadística!$A$6:$A$25,0))))^2,""),"")</f>
        <v/>
      </c>
      <c r="U280" s="19" t="str">
        <f aca="false">IF(ISNUMBER(L280),IFERROR((L280-INDEX(Estadística!$I$6:$I$25,MATCH(B280,Estadística!$A$6:$A$25,0)))^2,""),"")</f>
        <v/>
      </c>
      <c r="V280" s="19" t="str">
        <f aca="false">IF(ISNUMBER(P280),IF(P280&gt;1,1,0),"")</f>
        <v/>
      </c>
    </row>
    <row r="281" customFormat="false" ht="15" hidden="false" customHeight="false" outlineLevel="0" collapsed="false">
      <c r="A281" s="18" t="n">
        <v>276</v>
      </c>
      <c r="B281" s="18"/>
      <c r="C281" s="22"/>
      <c r="D281" s="18"/>
      <c r="E281" s="18"/>
      <c r="F281" s="18"/>
      <c r="G281" s="18"/>
      <c r="H281" s="20" t="str">
        <f aca="false">IF(OR(F281="",G281=""),"",F281*G281/1000)</f>
        <v/>
      </c>
      <c r="I281" s="23"/>
      <c r="J281" s="23"/>
      <c r="K281" s="18"/>
      <c r="L281" s="21" t="str">
        <f aca="false">IF(B281="","",IF(J281&lt;&gt;"",J281,IF(AND(N(I281)&gt;0,N(H281)&gt;0),I281/H281,"")))</f>
        <v/>
      </c>
      <c r="M281" s="19" t="str">
        <f aca="false">IF(B281="","",IFERROR(INDEX(GES!$E$6:$E$25,MATCH(B281,GES!$A$6:$A$25,0)),"GES?"))</f>
        <v/>
      </c>
      <c r="N281" s="21" t="str">
        <f aca="false">IF(AND(ISNUMBER(L281),ISNUMBER(K281),LEFT(M281,3)="CAR"),L281*K281/100,"")</f>
        <v/>
      </c>
      <c r="O281" s="21" t="str">
        <f aca="false">IF(B281="","",IFERROR(INDEX(GES!$U$6:$U$25,MATCH(B281,GES!$A$6:$A$25,0)),""))</f>
        <v/>
      </c>
      <c r="P281" s="24" t="str">
        <f aca="false">IF(AND(ISNUMBER(L281),ISNUMBER(O281)),L281/O281,"")</f>
        <v/>
      </c>
      <c r="Q281" s="25" t="str">
        <f aca="false">IF(NOT(ISNUMBER(L281)),"",IFERROR(IF(INDEX(Estadística!$L$6:$L$25,MATCH(B281,Estadística!$A$6:$A$25,0))&gt;INDEX(Estadística!$T$6:$T$25,MATCH(B281,Estadística!$A$6:$A$25,0)),IF(OR(L281&lt;INDEX(Estadística!$I$6:$I$25,MATCH(B281,Estadística!$A$6:$A$25,0))/2,L281&gt;2*INDEX(Estadística!$I$6:$I$25,MATCH(B281,Estadística!$A$6:$A$25,0))),"Fuera de ½MA–2MA: revisar","Dentro de ½MA–2MA"),"—"),""))</f>
        <v/>
      </c>
      <c r="R281" s="18"/>
      <c r="S281" s="19" t="str">
        <f aca="false">IF(ISNUMBER(L281),IF(L281&gt;0,LN(L281),""),"")</f>
        <v/>
      </c>
      <c r="T281" s="19" t="str">
        <f aca="false">IF(ISNUMBER(S281),IFERROR((S281-LN(INDEX(Estadística!$K$6:$K$25,MATCH(B281,Estadística!$A$6:$A$25,0))))^2,""),"")</f>
        <v/>
      </c>
      <c r="U281" s="19" t="str">
        <f aca="false">IF(ISNUMBER(L281),IFERROR((L281-INDEX(Estadística!$I$6:$I$25,MATCH(B281,Estadística!$A$6:$A$25,0)))^2,""),"")</f>
        <v/>
      </c>
      <c r="V281" s="19" t="str">
        <f aca="false">IF(ISNUMBER(P281),IF(P281&gt;1,1,0),"")</f>
        <v/>
      </c>
    </row>
    <row r="282" customFormat="false" ht="15" hidden="false" customHeight="false" outlineLevel="0" collapsed="false">
      <c r="A282" s="18" t="n">
        <v>277</v>
      </c>
      <c r="B282" s="18"/>
      <c r="C282" s="22"/>
      <c r="D282" s="18"/>
      <c r="E282" s="18"/>
      <c r="F282" s="18"/>
      <c r="G282" s="18"/>
      <c r="H282" s="20" t="str">
        <f aca="false">IF(OR(F282="",G282=""),"",F282*G282/1000)</f>
        <v/>
      </c>
      <c r="I282" s="23"/>
      <c r="J282" s="23"/>
      <c r="K282" s="18"/>
      <c r="L282" s="21" t="str">
        <f aca="false">IF(B282="","",IF(J282&lt;&gt;"",J282,IF(AND(N(I282)&gt;0,N(H282)&gt;0),I282/H282,"")))</f>
        <v/>
      </c>
      <c r="M282" s="19" t="str">
        <f aca="false">IF(B282="","",IFERROR(INDEX(GES!$E$6:$E$25,MATCH(B282,GES!$A$6:$A$25,0)),"GES?"))</f>
        <v/>
      </c>
      <c r="N282" s="21" t="str">
        <f aca="false">IF(AND(ISNUMBER(L282),ISNUMBER(K282),LEFT(M282,3)="CAR"),L282*K282/100,"")</f>
        <v/>
      </c>
      <c r="O282" s="21" t="str">
        <f aca="false">IF(B282="","",IFERROR(INDEX(GES!$U$6:$U$25,MATCH(B282,GES!$A$6:$A$25,0)),""))</f>
        <v/>
      </c>
      <c r="P282" s="24" t="str">
        <f aca="false">IF(AND(ISNUMBER(L282),ISNUMBER(O282)),L282/O282,"")</f>
        <v/>
      </c>
      <c r="Q282" s="25" t="str">
        <f aca="false">IF(NOT(ISNUMBER(L282)),"",IFERROR(IF(INDEX(Estadística!$L$6:$L$25,MATCH(B282,Estadística!$A$6:$A$25,0))&gt;INDEX(Estadística!$T$6:$T$25,MATCH(B282,Estadística!$A$6:$A$25,0)),IF(OR(L282&lt;INDEX(Estadística!$I$6:$I$25,MATCH(B282,Estadística!$A$6:$A$25,0))/2,L282&gt;2*INDEX(Estadística!$I$6:$I$25,MATCH(B282,Estadística!$A$6:$A$25,0))),"Fuera de ½MA–2MA: revisar","Dentro de ½MA–2MA"),"—"),""))</f>
        <v/>
      </c>
      <c r="R282" s="18"/>
      <c r="S282" s="19" t="str">
        <f aca="false">IF(ISNUMBER(L282),IF(L282&gt;0,LN(L282),""),"")</f>
        <v/>
      </c>
      <c r="T282" s="19" t="str">
        <f aca="false">IF(ISNUMBER(S282),IFERROR((S282-LN(INDEX(Estadística!$K$6:$K$25,MATCH(B282,Estadística!$A$6:$A$25,0))))^2,""),"")</f>
        <v/>
      </c>
      <c r="U282" s="19" t="str">
        <f aca="false">IF(ISNUMBER(L282),IFERROR((L282-INDEX(Estadística!$I$6:$I$25,MATCH(B282,Estadística!$A$6:$A$25,0)))^2,""),"")</f>
        <v/>
      </c>
      <c r="V282" s="19" t="str">
        <f aca="false">IF(ISNUMBER(P282),IF(P282&gt;1,1,0),"")</f>
        <v/>
      </c>
    </row>
    <row r="283" customFormat="false" ht="15" hidden="false" customHeight="false" outlineLevel="0" collapsed="false">
      <c r="A283" s="18" t="n">
        <v>278</v>
      </c>
      <c r="B283" s="18"/>
      <c r="C283" s="22"/>
      <c r="D283" s="18"/>
      <c r="E283" s="18"/>
      <c r="F283" s="18"/>
      <c r="G283" s="18"/>
      <c r="H283" s="20" t="str">
        <f aca="false">IF(OR(F283="",G283=""),"",F283*G283/1000)</f>
        <v/>
      </c>
      <c r="I283" s="23"/>
      <c r="J283" s="23"/>
      <c r="K283" s="18"/>
      <c r="L283" s="21" t="str">
        <f aca="false">IF(B283="","",IF(J283&lt;&gt;"",J283,IF(AND(N(I283)&gt;0,N(H283)&gt;0),I283/H283,"")))</f>
        <v/>
      </c>
      <c r="M283" s="19" t="str">
        <f aca="false">IF(B283="","",IFERROR(INDEX(GES!$E$6:$E$25,MATCH(B283,GES!$A$6:$A$25,0)),"GES?"))</f>
        <v/>
      </c>
      <c r="N283" s="21" t="str">
        <f aca="false">IF(AND(ISNUMBER(L283),ISNUMBER(K283),LEFT(M283,3)="CAR"),L283*K283/100,"")</f>
        <v/>
      </c>
      <c r="O283" s="21" t="str">
        <f aca="false">IF(B283="","",IFERROR(INDEX(GES!$U$6:$U$25,MATCH(B283,GES!$A$6:$A$25,0)),""))</f>
        <v/>
      </c>
      <c r="P283" s="24" t="str">
        <f aca="false">IF(AND(ISNUMBER(L283),ISNUMBER(O283)),L283/O283,"")</f>
        <v/>
      </c>
      <c r="Q283" s="25" t="str">
        <f aca="false">IF(NOT(ISNUMBER(L283)),"",IFERROR(IF(INDEX(Estadística!$L$6:$L$25,MATCH(B283,Estadística!$A$6:$A$25,0))&gt;INDEX(Estadística!$T$6:$T$25,MATCH(B283,Estadística!$A$6:$A$25,0)),IF(OR(L283&lt;INDEX(Estadística!$I$6:$I$25,MATCH(B283,Estadística!$A$6:$A$25,0))/2,L283&gt;2*INDEX(Estadística!$I$6:$I$25,MATCH(B283,Estadística!$A$6:$A$25,0))),"Fuera de ½MA–2MA: revisar","Dentro de ½MA–2MA"),"—"),""))</f>
        <v/>
      </c>
      <c r="R283" s="18"/>
      <c r="S283" s="19" t="str">
        <f aca="false">IF(ISNUMBER(L283),IF(L283&gt;0,LN(L283),""),"")</f>
        <v/>
      </c>
      <c r="T283" s="19" t="str">
        <f aca="false">IF(ISNUMBER(S283),IFERROR((S283-LN(INDEX(Estadística!$K$6:$K$25,MATCH(B283,Estadística!$A$6:$A$25,0))))^2,""),"")</f>
        <v/>
      </c>
      <c r="U283" s="19" t="str">
        <f aca="false">IF(ISNUMBER(L283),IFERROR((L283-INDEX(Estadística!$I$6:$I$25,MATCH(B283,Estadística!$A$6:$A$25,0)))^2,""),"")</f>
        <v/>
      </c>
      <c r="V283" s="19" t="str">
        <f aca="false">IF(ISNUMBER(P283),IF(P283&gt;1,1,0),"")</f>
        <v/>
      </c>
    </row>
    <row r="284" customFormat="false" ht="15" hidden="false" customHeight="false" outlineLevel="0" collapsed="false">
      <c r="A284" s="18" t="n">
        <v>279</v>
      </c>
      <c r="B284" s="18"/>
      <c r="C284" s="22"/>
      <c r="D284" s="18"/>
      <c r="E284" s="18"/>
      <c r="F284" s="18"/>
      <c r="G284" s="18"/>
      <c r="H284" s="20" t="str">
        <f aca="false">IF(OR(F284="",G284=""),"",F284*G284/1000)</f>
        <v/>
      </c>
      <c r="I284" s="23"/>
      <c r="J284" s="23"/>
      <c r="K284" s="18"/>
      <c r="L284" s="21" t="str">
        <f aca="false">IF(B284="","",IF(J284&lt;&gt;"",J284,IF(AND(N(I284)&gt;0,N(H284)&gt;0),I284/H284,"")))</f>
        <v/>
      </c>
      <c r="M284" s="19" t="str">
        <f aca="false">IF(B284="","",IFERROR(INDEX(GES!$E$6:$E$25,MATCH(B284,GES!$A$6:$A$25,0)),"GES?"))</f>
        <v/>
      </c>
      <c r="N284" s="21" t="str">
        <f aca="false">IF(AND(ISNUMBER(L284),ISNUMBER(K284),LEFT(M284,3)="CAR"),L284*K284/100,"")</f>
        <v/>
      </c>
      <c r="O284" s="21" t="str">
        <f aca="false">IF(B284="","",IFERROR(INDEX(GES!$U$6:$U$25,MATCH(B284,GES!$A$6:$A$25,0)),""))</f>
        <v/>
      </c>
      <c r="P284" s="24" t="str">
        <f aca="false">IF(AND(ISNUMBER(L284),ISNUMBER(O284)),L284/O284,"")</f>
        <v/>
      </c>
      <c r="Q284" s="25" t="str">
        <f aca="false">IF(NOT(ISNUMBER(L284)),"",IFERROR(IF(INDEX(Estadística!$L$6:$L$25,MATCH(B284,Estadística!$A$6:$A$25,0))&gt;INDEX(Estadística!$T$6:$T$25,MATCH(B284,Estadística!$A$6:$A$25,0)),IF(OR(L284&lt;INDEX(Estadística!$I$6:$I$25,MATCH(B284,Estadística!$A$6:$A$25,0))/2,L284&gt;2*INDEX(Estadística!$I$6:$I$25,MATCH(B284,Estadística!$A$6:$A$25,0))),"Fuera de ½MA–2MA: revisar","Dentro de ½MA–2MA"),"—"),""))</f>
        <v/>
      </c>
      <c r="R284" s="18"/>
      <c r="S284" s="19" t="str">
        <f aca="false">IF(ISNUMBER(L284),IF(L284&gt;0,LN(L284),""),"")</f>
        <v/>
      </c>
      <c r="T284" s="19" t="str">
        <f aca="false">IF(ISNUMBER(S284),IFERROR((S284-LN(INDEX(Estadística!$K$6:$K$25,MATCH(B284,Estadística!$A$6:$A$25,0))))^2,""),"")</f>
        <v/>
      </c>
      <c r="U284" s="19" t="str">
        <f aca="false">IF(ISNUMBER(L284),IFERROR((L284-INDEX(Estadística!$I$6:$I$25,MATCH(B284,Estadística!$A$6:$A$25,0)))^2,""),"")</f>
        <v/>
      </c>
      <c r="V284" s="19" t="str">
        <f aca="false">IF(ISNUMBER(P284),IF(P284&gt;1,1,0),"")</f>
        <v/>
      </c>
    </row>
    <row r="285" customFormat="false" ht="15" hidden="false" customHeight="false" outlineLevel="0" collapsed="false">
      <c r="A285" s="18" t="n">
        <v>280</v>
      </c>
      <c r="B285" s="18"/>
      <c r="C285" s="22"/>
      <c r="D285" s="18"/>
      <c r="E285" s="18"/>
      <c r="F285" s="18"/>
      <c r="G285" s="18"/>
      <c r="H285" s="20" t="str">
        <f aca="false">IF(OR(F285="",G285=""),"",F285*G285/1000)</f>
        <v/>
      </c>
      <c r="I285" s="23"/>
      <c r="J285" s="23"/>
      <c r="K285" s="18"/>
      <c r="L285" s="21" t="str">
        <f aca="false">IF(B285="","",IF(J285&lt;&gt;"",J285,IF(AND(N(I285)&gt;0,N(H285)&gt;0),I285/H285,"")))</f>
        <v/>
      </c>
      <c r="M285" s="19" t="str">
        <f aca="false">IF(B285="","",IFERROR(INDEX(GES!$E$6:$E$25,MATCH(B285,GES!$A$6:$A$25,0)),"GES?"))</f>
        <v/>
      </c>
      <c r="N285" s="21" t="str">
        <f aca="false">IF(AND(ISNUMBER(L285),ISNUMBER(K285),LEFT(M285,3)="CAR"),L285*K285/100,"")</f>
        <v/>
      </c>
      <c r="O285" s="21" t="str">
        <f aca="false">IF(B285="","",IFERROR(INDEX(GES!$U$6:$U$25,MATCH(B285,GES!$A$6:$A$25,0)),""))</f>
        <v/>
      </c>
      <c r="P285" s="24" t="str">
        <f aca="false">IF(AND(ISNUMBER(L285),ISNUMBER(O285)),L285/O285,"")</f>
        <v/>
      </c>
      <c r="Q285" s="25" t="str">
        <f aca="false">IF(NOT(ISNUMBER(L285)),"",IFERROR(IF(INDEX(Estadística!$L$6:$L$25,MATCH(B285,Estadística!$A$6:$A$25,0))&gt;INDEX(Estadística!$T$6:$T$25,MATCH(B285,Estadística!$A$6:$A$25,0)),IF(OR(L285&lt;INDEX(Estadística!$I$6:$I$25,MATCH(B285,Estadística!$A$6:$A$25,0))/2,L285&gt;2*INDEX(Estadística!$I$6:$I$25,MATCH(B285,Estadística!$A$6:$A$25,0))),"Fuera de ½MA–2MA: revisar","Dentro de ½MA–2MA"),"—"),""))</f>
        <v/>
      </c>
      <c r="R285" s="18"/>
      <c r="S285" s="19" t="str">
        <f aca="false">IF(ISNUMBER(L285),IF(L285&gt;0,LN(L285),""),"")</f>
        <v/>
      </c>
      <c r="T285" s="19" t="str">
        <f aca="false">IF(ISNUMBER(S285),IFERROR((S285-LN(INDEX(Estadística!$K$6:$K$25,MATCH(B285,Estadística!$A$6:$A$25,0))))^2,""),"")</f>
        <v/>
      </c>
      <c r="U285" s="19" t="str">
        <f aca="false">IF(ISNUMBER(L285),IFERROR((L285-INDEX(Estadística!$I$6:$I$25,MATCH(B285,Estadística!$A$6:$A$25,0)))^2,""),"")</f>
        <v/>
      </c>
      <c r="V285" s="19" t="str">
        <f aca="false">IF(ISNUMBER(P285),IF(P285&gt;1,1,0),"")</f>
        <v/>
      </c>
    </row>
    <row r="286" customFormat="false" ht="15" hidden="false" customHeight="false" outlineLevel="0" collapsed="false">
      <c r="A286" s="18" t="n">
        <v>281</v>
      </c>
      <c r="B286" s="18"/>
      <c r="C286" s="22"/>
      <c r="D286" s="18"/>
      <c r="E286" s="18"/>
      <c r="F286" s="18"/>
      <c r="G286" s="18"/>
      <c r="H286" s="20" t="str">
        <f aca="false">IF(OR(F286="",G286=""),"",F286*G286/1000)</f>
        <v/>
      </c>
      <c r="I286" s="23"/>
      <c r="J286" s="23"/>
      <c r="K286" s="18"/>
      <c r="L286" s="21" t="str">
        <f aca="false">IF(B286="","",IF(J286&lt;&gt;"",J286,IF(AND(N(I286)&gt;0,N(H286)&gt;0),I286/H286,"")))</f>
        <v/>
      </c>
      <c r="M286" s="19" t="str">
        <f aca="false">IF(B286="","",IFERROR(INDEX(GES!$E$6:$E$25,MATCH(B286,GES!$A$6:$A$25,0)),"GES?"))</f>
        <v/>
      </c>
      <c r="N286" s="21" t="str">
        <f aca="false">IF(AND(ISNUMBER(L286),ISNUMBER(K286),LEFT(M286,3)="CAR"),L286*K286/100,"")</f>
        <v/>
      </c>
      <c r="O286" s="21" t="str">
        <f aca="false">IF(B286="","",IFERROR(INDEX(GES!$U$6:$U$25,MATCH(B286,GES!$A$6:$A$25,0)),""))</f>
        <v/>
      </c>
      <c r="P286" s="24" t="str">
        <f aca="false">IF(AND(ISNUMBER(L286),ISNUMBER(O286)),L286/O286,"")</f>
        <v/>
      </c>
      <c r="Q286" s="25" t="str">
        <f aca="false">IF(NOT(ISNUMBER(L286)),"",IFERROR(IF(INDEX(Estadística!$L$6:$L$25,MATCH(B286,Estadística!$A$6:$A$25,0))&gt;INDEX(Estadística!$T$6:$T$25,MATCH(B286,Estadística!$A$6:$A$25,0)),IF(OR(L286&lt;INDEX(Estadística!$I$6:$I$25,MATCH(B286,Estadística!$A$6:$A$25,0))/2,L286&gt;2*INDEX(Estadística!$I$6:$I$25,MATCH(B286,Estadística!$A$6:$A$25,0))),"Fuera de ½MA–2MA: revisar","Dentro de ½MA–2MA"),"—"),""))</f>
        <v/>
      </c>
      <c r="R286" s="18"/>
      <c r="S286" s="19" t="str">
        <f aca="false">IF(ISNUMBER(L286),IF(L286&gt;0,LN(L286),""),"")</f>
        <v/>
      </c>
      <c r="T286" s="19" t="str">
        <f aca="false">IF(ISNUMBER(S286),IFERROR((S286-LN(INDEX(Estadística!$K$6:$K$25,MATCH(B286,Estadística!$A$6:$A$25,0))))^2,""),"")</f>
        <v/>
      </c>
      <c r="U286" s="19" t="str">
        <f aca="false">IF(ISNUMBER(L286),IFERROR((L286-INDEX(Estadística!$I$6:$I$25,MATCH(B286,Estadística!$A$6:$A$25,0)))^2,""),"")</f>
        <v/>
      </c>
      <c r="V286" s="19" t="str">
        <f aca="false">IF(ISNUMBER(P286),IF(P286&gt;1,1,0),"")</f>
        <v/>
      </c>
    </row>
    <row r="287" customFormat="false" ht="15" hidden="false" customHeight="false" outlineLevel="0" collapsed="false">
      <c r="A287" s="18" t="n">
        <v>282</v>
      </c>
      <c r="B287" s="18"/>
      <c r="C287" s="22"/>
      <c r="D287" s="18"/>
      <c r="E287" s="18"/>
      <c r="F287" s="18"/>
      <c r="G287" s="18"/>
      <c r="H287" s="20" t="str">
        <f aca="false">IF(OR(F287="",G287=""),"",F287*G287/1000)</f>
        <v/>
      </c>
      <c r="I287" s="23"/>
      <c r="J287" s="23"/>
      <c r="K287" s="18"/>
      <c r="L287" s="21" t="str">
        <f aca="false">IF(B287="","",IF(J287&lt;&gt;"",J287,IF(AND(N(I287)&gt;0,N(H287)&gt;0),I287/H287,"")))</f>
        <v/>
      </c>
      <c r="M287" s="19" t="str">
        <f aca="false">IF(B287="","",IFERROR(INDEX(GES!$E$6:$E$25,MATCH(B287,GES!$A$6:$A$25,0)),"GES?"))</f>
        <v/>
      </c>
      <c r="N287" s="21" t="str">
        <f aca="false">IF(AND(ISNUMBER(L287),ISNUMBER(K287),LEFT(M287,3)="CAR"),L287*K287/100,"")</f>
        <v/>
      </c>
      <c r="O287" s="21" t="str">
        <f aca="false">IF(B287="","",IFERROR(INDEX(GES!$U$6:$U$25,MATCH(B287,GES!$A$6:$A$25,0)),""))</f>
        <v/>
      </c>
      <c r="P287" s="24" t="str">
        <f aca="false">IF(AND(ISNUMBER(L287),ISNUMBER(O287)),L287/O287,"")</f>
        <v/>
      </c>
      <c r="Q287" s="25" t="str">
        <f aca="false">IF(NOT(ISNUMBER(L287)),"",IFERROR(IF(INDEX(Estadística!$L$6:$L$25,MATCH(B287,Estadística!$A$6:$A$25,0))&gt;INDEX(Estadística!$T$6:$T$25,MATCH(B287,Estadística!$A$6:$A$25,0)),IF(OR(L287&lt;INDEX(Estadística!$I$6:$I$25,MATCH(B287,Estadística!$A$6:$A$25,0))/2,L287&gt;2*INDEX(Estadística!$I$6:$I$25,MATCH(B287,Estadística!$A$6:$A$25,0))),"Fuera de ½MA–2MA: revisar","Dentro de ½MA–2MA"),"—"),""))</f>
        <v/>
      </c>
      <c r="R287" s="18"/>
      <c r="S287" s="19" t="str">
        <f aca="false">IF(ISNUMBER(L287),IF(L287&gt;0,LN(L287),""),"")</f>
        <v/>
      </c>
      <c r="T287" s="19" t="str">
        <f aca="false">IF(ISNUMBER(S287),IFERROR((S287-LN(INDEX(Estadística!$K$6:$K$25,MATCH(B287,Estadística!$A$6:$A$25,0))))^2,""),"")</f>
        <v/>
      </c>
      <c r="U287" s="19" t="str">
        <f aca="false">IF(ISNUMBER(L287),IFERROR((L287-INDEX(Estadística!$I$6:$I$25,MATCH(B287,Estadística!$A$6:$A$25,0)))^2,""),"")</f>
        <v/>
      </c>
      <c r="V287" s="19" t="str">
        <f aca="false">IF(ISNUMBER(P287),IF(P287&gt;1,1,0),"")</f>
        <v/>
      </c>
    </row>
    <row r="288" customFormat="false" ht="15" hidden="false" customHeight="false" outlineLevel="0" collapsed="false">
      <c r="A288" s="18" t="n">
        <v>283</v>
      </c>
      <c r="B288" s="18"/>
      <c r="C288" s="22"/>
      <c r="D288" s="18"/>
      <c r="E288" s="18"/>
      <c r="F288" s="18"/>
      <c r="G288" s="18"/>
      <c r="H288" s="20" t="str">
        <f aca="false">IF(OR(F288="",G288=""),"",F288*G288/1000)</f>
        <v/>
      </c>
      <c r="I288" s="23"/>
      <c r="J288" s="23"/>
      <c r="K288" s="18"/>
      <c r="L288" s="21" t="str">
        <f aca="false">IF(B288="","",IF(J288&lt;&gt;"",J288,IF(AND(N(I288)&gt;0,N(H288)&gt;0),I288/H288,"")))</f>
        <v/>
      </c>
      <c r="M288" s="19" t="str">
        <f aca="false">IF(B288="","",IFERROR(INDEX(GES!$E$6:$E$25,MATCH(B288,GES!$A$6:$A$25,0)),"GES?"))</f>
        <v/>
      </c>
      <c r="N288" s="21" t="str">
        <f aca="false">IF(AND(ISNUMBER(L288),ISNUMBER(K288),LEFT(M288,3)="CAR"),L288*K288/100,"")</f>
        <v/>
      </c>
      <c r="O288" s="21" t="str">
        <f aca="false">IF(B288="","",IFERROR(INDEX(GES!$U$6:$U$25,MATCH(B288,GES!$A$6:$A$25,0)),""))</f>
        <v/>
      </c>
      <c r="P288" s="24" t="str">
        <f aca="false">IF(AND(ISNUMBER(L288),ISNUMBER(O288)),L288/O288,"")</f>
        <v/>
      </c>
      <c r="Q288" s="25" t="str">
        <f aca="false">IF(NOT(ISNUMBER(L288)),"",IFERROR(IF(INDEX(Estadística!$L$6:$L$25,MATCH(B288,Estadística!$A$6:$A$25,0))&gt;INDEX(Estadística!$T$6:$T$25,MATCH(B288,Estadística!$A$6:$A$25,0)),IF(OR(L288&lt;INDEX(Estadística!$I$6:$I$25,MATCH(B288,Estadística!$A$6:$A$25,0))/2,L288&gt;2*INDEX(Estadística!$I$6:$I$25,MATCH(B288,Estadística!$A$6:$A$25,0))),"Fuera de ½MA–2MA: revisar","Dentro de ½MA–2MA"),"—"),""))</f>
        <v/>
      </c>
      <c r="R288" s="18"/>
      <c r="S288" s="19" t="str">
        <f aca="false">IF(ISNUMBER(L288),IF(L288&gt;0,LN(L288),""),"")</f>
        <v/>
      </c>
      <c r="T288" s="19" t="str">
        <f aca="false">IF(ISNUMBER(S288),IFERROR((S288-LN(INDEX(Estadística!$K$6:$K$25,MATCH(B288,Estadística!$A$6:$A$25,0))))^2,""),"")</f>
        <v/>
      </c>
      <c r="U288" s="19" t="str">
        <f aca="false">IF(ISNUMBER(L288),IFERROR((L288-INDEX(Estadística!$I$6:$I$25,MATCH(B288,Estadística!$A$6:$A$25,0)))^2,""),"")</f>
        <v/>
      </c>
      <c r="V288" s="19" t="str">
        <f aca="false">IF(ISNUMBER(P288),IF(P288&gt;1,1,0),"")</f>
        <v/>
      </c>
    </row>
    <row r="289" customFormat="false" ht="15" hidden="false" customHeight="false" outlineLevel="0" collapsed="false">
      <c r="A289" s="18" t="n">
        <v>284</v>
      </c>
      <c r="B289" s="18"/>
      <c r="C289" s="22"/>
      <c r="D289" s="18"/>
      <c r="E289" s="18"/>
      <c r="F289" s="18"/>
      <c r="G289" s="18"/>
      <c r="H289" s="20" t="str">
        <f aca="false">IF(OR(F289="",G289=""),"",F289*G289/1000)</f>
        <v/>
      </c>
      <c r="I289" s="23"/>
      <c r="J289" s="23"/>
      <c r="K289" s="18"/>
      <c r="L289" s="21" t="str">
        <f aca="false">IF(B289="","",IF(J289&lt;&gt;"",J289,IF(AND(N(I289)&gt;0,N(H289)&gt;0),I289/H289,"")))</f>
        <v/>
      </c>
      <c r="M289" s="19" t="str">
        <f aca="false">IF(B289="","",IFERROR(INDEX(GES!$E$6:$E$25,MATCH(B289,GES!$A$6:$A$25,0)),"GES?"))</f>
        <v/>
      </c>
      <c r="N289" s="21" t="str">
        <f aca="false">IF(AND(ISNUMBER(L289),ISNUMBER(K289),LEFT(M289,3)="CAR"),L289*K289/100,"")</f>
        <v/>
      </c>
      <c r="O289" s="21" t="str">
        <f aca="false">IF(B289="","",IFERROR(INDEX(GES!$U$6:$U$25,MATCH(B289,GES!$A$6:$A$25,0)),""))</f>
        <v/>
      </c>
      <c r="P289" s="24" t="str">
        <f aca="false">IF(AND(ISNUMBER(L289),ISNUMBER(O289)),L289/O289,"")</f>
        <v/>
      </c>
      <c r="Q289" s="25" t="str">
        <f aca="false">IF(NOT(ISNUMBER(L289)),"",IFERROR(IF(INDEX(Estadística!$L$6:$L$25,MATCH(B289,Estadística!$A$6:$A$25,0))&gt;INDEX(Estadística!$T$6:$T$25,MATCH(B289,Estadística!$A$6:$A$25,0)),IF(OR(L289&lt;INDEX(Estadística!$I$6:$I$25,MATCH(B289,Estadística!$A$6:$A$25,0))/2,L289&gt;2*INDEX(Estadística!$I$6:$I$25,MATCH(B289,Estadística!$A$6:$A$25,0))),"Fuera de ½MA–2MA: revisar","Dentro de ½MA–2MA"),"—"),""))</f>
        <v/>
      </c>
      <c r="R289" s="18"/>
      <c r="S289" s="19" t="str">
        <f aca="false">IF(ISNUMBER(L289),IF(L289&gt;0,LN(L289),""),"")</f>
        <v/>
      </c>
      <c r="T289" s="19" t="str">
        <f aca="false">IF(ISNUMBER(S289),IFERROR((S289-LN(INDEX(Estadística!$K$6:$K$25,MATCH(B289,Estadística!$A$6:$A$25,0))))^2,""),"")</f>
        <v/>
      </c>
      <c r="U289" s="19" t="str">
        <f aca="false">IF(ISNUMBER(L289),IFERROR((L289-INDEX(Estadística!$I$6:$I$25,MATCH(B289,Estadística!$A$6:$A$25,0)))^2,""),"")</f>
        <v/>
      </c>
      <c r="V289" s="19" t="str">
        <f aca="false">IF(ISNUMBER(P289),IF(P289&gt;1,1,0),"")</f>
        <v/>
      </c>
    </row>
    <row r="290" customFormat="false" ht="15" hidden="false" customHeight="false" outlineLevel="0" collapsed="false">
      <c r="A290" s="18" t="n">
        <v>285</v>
      </c>
      <c r="B290" s="18"/>
      <c r="C290" s="22"/>
      <c r="D290" s="18"/>
      <c r="E290" s="18"/>
      <c r="F290" s="18"/>
      <c r="G290" s="18"/>
      <c r="H290" s="20" t="str">
        <f aca="false">IF(OR(F290="",G290=""),"",F290*G290/1000)</f>
        <v/>
      </c>
      <c r="I290" s="23"/>
      <c r="J290" s="23"/>
      <c r="K290" s="18"/>
      <c r="L290" s="21" t="str">
        <f aca="false">IF(B290="","",IF(J290&lt;&gt;"",J290,IF(AND(N(I290)&gt;0,N(H290)&gt;0),I290/H290,"")))</f>
        <v/>
      </c>
      <c r="M290" s="19" t="str">
        <f aca="false">IF(B290="","",IFERROR(INDEX(GES!$E$6:$E$25,MATCH(B290,GES!$A$6:$A$25,0)),"GES?"))</f>
        <v/>
      </c>
      <c r="N290" s="21" t="str">
        <f aca="false">IF(AND(ISNUMBER(L290),ISNUMBER(K290),LEFT(M290,3)="CAR"),L290*K290/100,"")</f>
        <v/>
      </c>
      <c r="O290" s="21" t="str">
        <f aca="false">IF(B290="","",IFERROR(INDEX(GES!$U$6:$U$25,MATCH(B290,GES!$A$6:$A$25,0)),""))</f>
        <v/>
      </c>
      <c r="P290" s="24" t="str">
        <f aca="false">IF(AND(ISNUMBER(L290),ISNUMBER(O290)),L290/O290,"")</f>
        <v/>
      </c>
      <c r="Q290" s="25" t="str">
        <f aca="false">IF(NOT(ISNUMBER(L290)),"",IFERROR(IF(INDEX(Estadística!$L$6:$L$25,MATCH(B290,Estadística!$A$6:$A$25,0))&gt;INDEX(Estadística!$T$6:$T$25,MATCH(B290,Estadística!$A$6:$A$25,0)),IF(OR(L290&lt;INDEX(Estadística!$I$6:$I$25,MATCH(B290,Estadística!$A$6:$A$25,0))/2,L290&gt;2*INDEX(Estadística!$I$6:$I$25,MATCH(B290,Estadística!$A$6:$A$25,0))),"Fuera de ½MA–2MA: revisar","Dentro de ½MA–2MA"),"—"),""))</f>
        <v/>
      </c>
      <c r="R290" s="18"/>
      <c r="S290" s="19" t="str">
        <f aca="false">IF(ISNUMBER(L290),IF(L290&gt;0,LN(L290),""),"")</f>
        <v/>
      </c>
      <c r="T290" s="19" t="str">
        <f aca="false">IF(ISNUMBER(S290),IFERROR((S290-LN(INDEX(Estadística!$K$6:$K$25,MATCH(B290,Estadística!$A$6:$A$25,0))))^2,""),"")</f>
        <v/>
      </c>
      <c r="U290" s="19" t="str">
        <f aca="false">IF(ISNUMBER(L290),IFERROR((L290-INDEX(Estadística!$I$6:$I$25,MATCH(B290,Estadística!$A$6:$A$25,0)))^2,""),"")</f>
        <v/>
      </c>
      <c r="V290" s="19" t="str">
        <f aca="false">IF(ISNUMBER(P290),IF(P290&gt;1,1,0),"")</f>
        <v/>
      </c>
    </row>
    <row r="291" customFormat="false" ht="15" hidden="false" customHeight="false" outlineLevel="0" collapsed="false">
      <c r="A291" s="18" t="n">
        <v>286</v>
      </c>
      <c r="B291" s="18"/>
      <c r="C291" s="22"/>
      <c r="D291" s="18"/>
      <c r="E291" s="18"/>
      <c r="F291" s="18"/>
      <c r="G291" s="18"/>
      <c r="H291" s="20" t="str">
        <f aca="false">IF(OR(F291="",G291=""),"",F291*G291/1000)</f>
        <v/>
      </c>
      <c r="I291" s="23"/>
      <c r="J291" s="23"/>
      <c r="K291" s="18"/>
      <c r="L291" s="21" t="str">
        <f aca="false">IF(B291="","",IF(J291&lt;&gt;"",J291,IF(AND(N(I291)&gt;0,N(H291)&gt;0),I291/H291,"")))</f>
        <v/>
      </c>
      <c r="M291" s="19" t="str">
        <f aca="false">IF(B291="","",IFERROR(INDEX(GES!$E$6:$E$25,MATCH(B291,GES!$A$6:$A$25,0)),"GES?"))</f>
        <v/>
      </c>
      <c r="N291" s="21" t="str">
        <f aca="false">IF(AND(ISNUMBER(L291),ISNUMBER(K291),LEFT(M291,3)="CAR"),L291*K291/100,"")</f>
        <v/>
      </c>
      <c r="O291" s="21" t="str">
        <f aca="false">IF(B291="","",IFERROR(INDEX(GES!$U$6:$U$25,MATCH(B291,GES!$A$6:$A$25,0)),""))</f>
        <v/>
      </c>
      <c r="P291" s="24" t="str">
        <f aca="false">IF(AND(ISNUMBER(L291),ISNUMBER(O291)),L291/O291,"")</f>
        <v/>
      </c>
      <c r="Q291" s="25" t="str">
        <f aca="false">IF(NOT(ISNUMBER(L291)),"",IFERROR(IF(INDEX(Estadística!$L$6:$L$25,MATCH(B291,Estadística!$A$6:$A$25,0))&gt;INDEX(Estadística!$T$6:$T$25,MATCH(B291,Estadística!$A$6:$A$25,0)),IF(OR(L291&lt;INDEX(Estadística!$I$6:$I$25,MATCH(B291,Estadística!$A$6:$A$25,0))/2,L291&gt;2*INDEX(Estadística!$I$6:$I$25,MATCH(B291,Estadística!$A$6:$A$25,0))),"Fuera de ½MA–2MA: revisar","Dentro de ½MA–2MA"),"—"),""))</f>
        <v/>
      </c>
      <c r="R291" s="18"/>
      <c r="S291" s="19" t="str">
        <f aca="false">IF(ISNUMBER(L291),IF(L291&gt;0,LN(L291),""),"")</f>
        <v/>
      </c>
      <c r="T291" s="19" t="str">
        <f aca="false">IF(ISNUMBER(S291),IFERROR((S291-LN(INDEX(Estadística!$K$6:$K$25,MATCH(B291,Estadística!$A$6:$A$25,0))))^2,""),"")</f>
        <v/>
      </c>
      <c r="U291" s="19" t="str">
        <f aca="false">IF(ISNUMBER(L291),IFERROR((L291-INDEX(Estadística!$I$6:$I$25,MATCH(B291,Estadística!$A$6:$A$25,0)))^2,""),"")</f>
        <v/>
      </c>
      <c r="V291" s="19" t="str">
        <f aca="false">IF(ISNUMBER(P291),IF(P291&gt;1,1,0),"")</f>
        <v/>
      </c>
    </row>
    <row r="292" customFormat="false" ht="15" hidden="false" customHeight="false" outlineLevel="0" collapsed="false">
      <c r="A292" s="18" t="n">
        <v>287</v>
      </c>
      <c r="B292" s="18"/>
      <c r="C292" s="22"/>
      <c r="D292" s="18"/>
      <c r="E292" s="18"/>
      <c r="F292" s="18"/>
      <c r="G292" s="18"/>
      <c r="H292" s="20" t="str">
        <f aca="false">IF(OR(F292="",G292=""),"",F292*G292/1000)</f>
        <v/>
      </c>
      <c r="I292" s="23"/>
      <c r="J292" s="23"/>
      <c r="K292" s="18"/>
      <c r="L292" s="21" t="str">
        <f aca="false">IF(B292="","",IF(J292&lt;&gt;"",J292,IF(AND(N(I292)&gt;0,N(H292)&gt;0),I292/H292,"")))</f>
        <v/>
      </c>
      <c r="M292" s="19" t="str">
        <f aca="false">IF(B292="","",IFERROR(INDEX(GES!$E$6:$E$25,MATCH(B292,GES!$A$6:$A$25,0)),"GES?"))</f>
        <v/>
      </c>
      <c r="N292" s="21" t="str">
        <f aca="false">IF(AND(ISNUMBER(L292),ISNUMBER(K292),LEFT(M292,3)="CAR"),L292*K292/100,"")</f>
        <v/>
      </c>
      <c r="O292" s="21" t="str">
        <f aca="false">IF(B292="","",IFERROR(INDEX(GES!$U$6:$U$25,MATCH(B292,GES!$A$6:$A$25,0)),""))</f>
        <v/>
      </c>
      <c r="P292" s="24" t="str">
        <f aca="false">IF(AND(ISNUMBER(L292),ISNUMBER(O292)),L292/O292,"")</f>
        <v/>
      </c>
      <c r="Q292" s="25" t="str">
        <f aca="false">IF(NOT(ISNUMBER(L292)),"",IFERROR(IF(INDEX(Estadística!$L$6:$L$25,MATCH(B292,Estadística!$A$6:$A$25,0))&gt;INDEX(Estadística!$T$6:$T$25,MATCH(B292,Estadística!$A$6:$A$25,0)),IF(OR(L292&lt;INDEX(Estadística!$I$6:$I$25,MATCH(B292,Estadística!$A$6:$A$25,0))/2,L292&gt;2*INDEX(Estadística!$I$6:$I$25,MATCH(B292,Estadística!$A$6:$A$25,0))),"Fuera de ½MA–2MA: revisar","Dentro de ½MA–2MA"),"—"),""))</f>
        <v/>
      </c>
      <c r="R292" s="18"/>
      <c r="S292" s="19" t="str">
        <f aca="false">IF(ISNUMBER(L292),IF(L292&gt;0,LN(L292),""),"")</f>
        <v/>
      </c>
      <c r="T292" s="19" t="str">
        <f aca="false">IF(ISNUMBER(S292),IFERROR((S292-LN(INDEX(Estadística!$K$6:$K$25,MATCH(B292,Estadística!$A$6:$A$25,0))))^2,""),"")</f>
        <v/>
      </c>
      <c r="U292" s="19" t="str">
        <f aca="false">IF(ISNUMBER(L292),IFERROR((L292-INDEX(Estadística!$I$6:$I$25,MATCH(B292,Estadística!$A$6:$A$25,0)))^2,""),"")</f>
        <v/>
      </c>
      <c r="V292" s="19" t="str">
        <f aca="false">IF(ISNUMBER(P292),IF(P292&gt;1,1,0),"")</f>
        <v/>
      </c>
    </row>
    <row r="293" customFormat="false" ht="15" hidden="false" customHeight="false" outlineLevel="0" collapsed="false">
      <c r="A293" s="18" t="n">
        <v>288</v>
      </c>
      <c r="B293" s="18"/>
      <c r="C293" s="22"/>
      <c r="D293" s="18"/>
      <c r="E293" s="18"/>
      <c r="F293" s="18"/>
      <c r="G293" s="18"/>
      <c r="H293" s="20" t="str">
        <f aca="false">IF(OR(F293="",G293=""),"",F293*G293/1000)</f>
        <v/>
      </c>
      <c r="I293" s="23"/>
      <c r="J293" s="23"/>
      <c r="K293" s="18"/>
      <c r="L293" s="21" t="str">
        <f aca="false">IF(B293="","",IF(J293&lt;&gt;"",J293,IF(AND(N(I293)&gt;0,N(H293)&gt;0),I293/H293,"")))</f>
        <v/>
      </c>
      <c r="M293" s="19" t="str">
        <f aca="false">IF(B293="","",IFERROR(INDEX(GES!$E$6:$E$25,MATCH(B293,GES!$A$6:$A$25,0)),"GES?"))</f>
        <v/>
      </c>
      <c r="N293" s="21" t="str">
        <f aca="false">IF(AND(ISNUMBER(L293),ISNUMBER(K293),LEFT(M293,3)="CAR"),L293*K293/100,"")</f>
        <v/>
      </c>
      <c r="O293" s="21" t="str">
        <f aca="false">IF(B293="","",IFERROR(INDEX(GES!$U$6:$U$25,MATCH(B293,GES!$A$6:$A$25,0)),""))</f>
        <v/>
      </c>
      <c r="P293" s="24" t="str">
        <f aca="false">IF(AND(ISNUMBER(L293),ISNUMBER(O293)),L293/O293,"")</f>
        <v/>
      </c>
      <c r="Q293" s="25" t="str">
        <f aca="false">IF(NOT(ISNUMBER(L293)),"",IFERROR(IF(INDEX(Estadística!$L$6:$L$25,MATCH(B293,Estadística!$A$6:$A$25,0))&gt;INDEX(Estadística!$T$6:$T$25,MATCH(B293,Estadística!$A$6:$A$25,0)),IF(OR(L293&lt;INDEX(Estadística!$I$6:$I$25,MATCH(B293,Estadística!$A$6:$A$25,0))/2,L293&gt;2*INDEX(Estadística!$I$6:$I$25,MATCH(B293,Estadística!$A$6:$A$25,0))),"Fuera de ½MA–2MA: revisar","Dentro de ½MA–2MA"),"—"),""))</f>
        <v/>
      </c>
      <c r="R293" s="18"/>
      <c r="S293" s="19" t="str">
        <f aca="false">IF(ISNUMBER(L293),IF(L293&gt;0,LN(L293),""),"")</f>
        <v/>
      </c>
      <c r="T293" s="19" t="str">
        <f aca="false">IF(ISNUMBER(S293),IFERROR((S293-LN(INDEX(Estadística!$K$6:$K$25,MATCH(B293,Estadística!$A$6:$A$25,0))))^2,""),"")</f>
        <v/>
      </c>
      <c r="U293" s="19" t="str">
        <f aca="false">IF(ISNUMBER(L293),IFERROR((L293-INDEX(Estadística!$I$6:$I$25,MATCH(B293,Estadística!$A$6:$A$25,0)))^2,""),"")</f>
        <v/>
      </c>
      <c r="V293" s="19" t="str">
        <f aca="false">IF(ISNUMBER(P293),IF(P293&gt;1,1,0),"")</f>
        <v/>
      </c>
    </row>
    <row r="294" customFormat="false" ht="15" hidden="false" customHeight="false" outlineLevel="0" collapsed="false">
      <c r="A294" s="18" t="n">
        <v>289</v>
      </c>
      <c r="B294" s="18"/>
      <c r="C294" s="22"/>
      <c r="D294" s="18"/>
      <c r="E294" s="18"/>
      <c r="F294" s="18"/>
      <c r="G294" s="18"/>
      <c r="H294" s="20" t="str">
        <f aca="false">IF(OR(F294="",G294=""),"",F294*G294/1000)</f>
        <v/>
      </c>
      <c r="I294" s="23"/>
      <c r="J294" s="23"/>
      <c r="K294" s="18"/>
      <c r="L294" s="21" t="str">
        <f aca="false">IF(B294="","",IF(J294&lt;&gt;"",J294,IF(AND(N(I294)&gt;0,N(H294)&gt;0),I294/H294,"")))</f>
        <v/>
      </c>
      <c r="M294" s="19" t="str">
        <f aca="false">IF(B294="","",IFERROR(INDEX(GES!$E$6:$E$25,MATCH(B294,GES!$A$6:$A$25,0)),"GES?"))</f>
        <v/>
      </c>
      <c r="N294" s="21" t="str">
        <f aca="false">IF(AND(ISNUMBER(L294),ISNUMBER(K294),LEFT(M294,3)="CAR"),L294*K294/100,"")</f>
        <v/>
      </c>
      <c r="O294" s="21" t="str">
        <f aca="false">IF(B294="","",IFERROR(INDEX(GES!$U$6:$U$25,MATCH(B294,GES!$A$6:$A$25,0)),""))</f>
        <v/>
      </c>
      <c r="P294" s="24" t="str">
        <f aca="false">IF(AND(ISNUMBER(L294),ISNUMBER(O294)),L294/O294,"")</f>
        <v/>
      </c>
      <c r="Q294" s="25" t="str">
        <f aca="false">IF(NOT(ISNUMBER(L294)),"",IFERROR(IF(INDEX(Estadística!$L$6:$L$25,MATCH(B294,Estadística!$A$6:$A$25,0))&gt;INDEX(Estadística!$T$6:$T$25,MATCH(B294,Estadística!$A$6:$A$25,0)),IF(OR(L294&lt;INDEX(Estadística!$I$6:$I$25,MATCH(B294,Estadística!$A$6:$A$25,0))/2,L294&gt;2*INDEX(Estadística!$I$6:$I$25,MATCH(B294,Estadística!$A$6:$A$25,0))),"Fuera de ½MA–2MA: revisar","Dentro de ½MA–2MA"),"—"),""))</f>
        <v/>
      </c>
      <c r="R294" s="18"/>
      <c r="S294" s="19" t="str">
        <f aca="false">IF(ISNUMBER(L294),IF(L294&gt;0,LN(L294),""),"")</f>
        <v/>
      </c>
      <c r="T294" s="19" t="str">
        <f aca="false">IF(ISNUMBER(S294),IFERROR((S294-LN(INDEX(Estadística!$K$6:$K$25,MATCH(B294,Estadística!$A$6:$A$25,0))))^2,""),"")</f>
        <v/>
      </c>
      <c r="U294" s="19" t="str">
        <f aca="false">IF(ISNUMBER(L294),IFERROR((L294-INDEX(Estadística!$I$6:$I$25,MATCH(B294,Estadística!$A$6:$A$25,0)))^2,""),"")</f>
        <v/>
      </c>
      <c r="V294" s="19" t="str">
        <f aca="false">IF(ISNUMBER(P294),IF(P294&gt;1,1,0),"")</f>
        <v/>
      </c>
    </row>
    <row r="295" customFormat="false" ht="15" hidden="false" customHeight="false" outlineLevel="0" collapsed="false">
      <c r="A295" s="18" t="n">
        <v>290</v>
      </c>
      <c r="B295" s="18"/>
      <c r="C295" s="22"/>
      <c r="D295" s="18"/>
      <c r="E295" s="18"/>
      <c r="F295" s="18"/>
      <c r="G295" s="18"/>
      <c r="H295" s="20" t="str">
        <f aca="false">IF(OR(F295="",G295=""),"",F295*G295/1000)</f>
        <v/>
      </c>
      <c r="I295" s="23"/>
      <c r="J295" s="23"/>
      <c r="K295" s="18"/>
      <c r="L295" s="21" t="str">
        <f aca="false">IF(B295="","",IF(J295&lt;&gt;"",J295,IF(AND(N(I295)&gt;0,N(H295)&gt;0),I295/H295,"")))</f>
        <v/>
      </c>
      <c r="M295" s="19" t="str">
        <f aca="false">IF(B295="","",IFERROR(INDEX(GES!$E$6:$E$25,MATCH(B295,GES!$A$6:$A$25,0)),"GES?"))</f>
        <v/>
      </c>
      <c r="N295" s="21" t="str">
        <f aca="false">IF(AND(ISNUMBER(L295),ISNUMBER(K295),LEFT(M295,3)="CAR"),L295*K295/100,"")</f>
        <v/>
      </c>
      <c r="O295" s="21" t="str">
        <f aca="false">IF(B295="","",IFERROR(INDEX(GES!$U$6:$U$25,MATCH(B295,GES!$A$6:$A$25,0)),""))</f>
        <v/>
      </c>
      <c r="P295" s="24" t="str">
        <f aca="false">IF(AND(ISNUMBER(L295),ISNUMBER(O295)),L295/O295,"")</f>
        <v/>
      </c>
      <c r="Q295" s="25" t="str">
        <f aca="false">IF(NOT(ISNUMBER(L295)),"",IFERROR(IF(INDEX(Estadística!$L$6:$L$25,MATCH(B295,Estadística!$A$6:$A$25,0))&gt;INDEX(Estadística!$T$6:$T$25,MATCH(B295,Estadística!$A$6:$A$25,0)),IF(OR(L295&lt;INDEX(Estadística!$I$6:$I$25,MATCH(B295,Estadística!$A$6:$A$25,0))/2,L295&gt;2*INDEX(Estadística!$I$6:$I$25,MATCH(B295,Estadística!$A$6:$A$25,0))),"Fuera de ½MA–2MA: revisar","Dentro de ½MA–2MA"),"—"),""))</f>
        <v/>
      </c>
      <c r="R295" s="18"/>
      <c r="S295" s="19" t="str">
        <f aca="false">IF(ISNUMBER(L295),IF(L295&gt;0,LN(L295),""),"")</f>
        <v/>
      </c>
      <c r="T295" s="19" t="str">
        <f aca="false">IF(ISNUMBER(S295),IFERROR((S295-LN(INDEX(Estadística!$K$6:$K$25,MATCH(B295,Estadística!$A$6:$A$25,0))))^2,""),"")</f>
        <v/>
      </c>
      <c r="U295" s="19" t="str">
        <f aca="false">IF(ISNUMBER(L295),IFERROR((L295-INDEX(Estadística!$I$6:$I$25,MATCH(B295,Estadística!$A$6:$A$25,0)))^2,""),"")</f>
        <v/>
      </c>
      <c r="V295" s="19" t="str">
        <f aca="false">IF(ISNUMBER(P295),IF(P295&gt;1,1,0),"")</f>
        <v/>
      </c>
    </row>
    <row r="296" customFormat="false" ht="15" hidden="false" customHeight="false" outlineLevel="0" collapsed="false">
      <c r="A296" s="18" t="n">
        <v>291</v>
      </c>
      <c r="B296" s="18"/>
      <c r="C296" s="22"/>
      <c r="D296" s="18"/>
      <c r="E296" s="18"/>
      <c r="F296" s="18"/>
      <c r="G296" s="18"/>
      <c r="H296" s="20" t="str">
        <f aca="false">IF(OR(F296="",G296=""),"",F296*G296/1000)</f>
        <v/>
      </c>
      <c r="I296" s="23"/>
      <c r="J296" s="23"/>
      <c r="K296" s="18"/>
      <c r="L296" s="21" t="str">
        <f aca="false">IF(B296="","",IF(J296&lt;&gt;"",J296,IF(AND(N(I296)&gt;0,N(H296)&gt;0),I296/H296,"")))</f>
        <v/>
      </c>
      <c r="M296" s="19" t="str">
        <f aca="false">IF(B296="","",IFERROR(INDEX(GES!$E$6:$E$25,MATCH(B296,GES!$A$6:$A$25,0)),"GES?"))</f>
        <v/>
      </c>
      <c r="N296" s="21" t="str">
        <f aca="false">IF(AND(ISNUMBER(L296),ISNUMBER(K296),LEFT(M296,3)="CAR"),L296*K296/100,"")</f>
        <v/>
      </c>
      <c r="O296" s="21" t="str">
        <f aca="false">IF(B296="","",IFERROR(INDEX(GES!$U$6:$U$25,MATCH(B296,GES!$A$6:$A$25,0)),""))</f>
        <v/>
      </c>
      <c r="P296" s="24" t="str">
        <f aca="false">IF(AND(ISNUMBER(L296),ISNUMBER(O296)),L296/O296,"")</f>
        <v/>
      </c>
      <c r="Q296" s="25" t="str">
        <f aca="false">IF(NOT(ISNUMBER(L296)),"",IFERROR(IF(INDEX(Estadística!$L$6:$L$25,MATCH(B296,Estadística!$A$6:$A$25,0))&gt;INDEX(Estadística!$T$6:$T$25,MATCH(B296,Estadística!$A$6:$A$25,0)),IF(OR(L296&lt;INDEX(Estadística!$I$6:$I$25,MATCH(B296,Estadística!$A$6:$A$25,0))/2,L296&gt;2*INDEX(Estadística!$I$6:$I$25,MATCH(B296,Estadística!$A$6:$A$25,0))),"Fuera de ½MA–2MA: revisar","Dentro de ½MA–2MA"),"—"),""))</f>
        <v/>
      </c>
      <c r="R296" s="18"/>
      <c r="S296" s="19" t="str">
        <f aca="false">IF(ISNUMBER(L296),IF(L296&gt;0,LN(L296),""),"")</f>
        <v/>
      </c>
      <c r="T296" s="19" t="str">
        <f aca="false">IF(ISNUMBER(S296),IFERROR((S296-LN(INDEX(Estadística!$K$6:$K$25,MATCH(B296,Estadística!$A$6:$A$25,0))))^2,""),"")</f>
        <v/>
      </c>
      <c r="U296" s="19" t="str">
        <f aca="false">IF(ISNUMBER(L296),IFERROR((L296-INDEX(Estadística!$I$6:$I$25,MATCH(B296,Estadística!$A$6:$A$25,0)))^2,""),"")</f>
        <v/>
      </c>
      <c r="V296" s="19" t="str">
        <f aca="false">IF(ISNUMBER(P296),IF(P296&gt;1,1,0),"")</f>
        <v/>
      </c>
    </row>
    <row r="297" customFormat="false" ht="15" hidden="false" customHeight="false" outlineLevel="0" collapsed="false">
      <c r="A297" s="18" t="n">
        <v>292</v>
      </c>
      <c r="B297" s="18"/>
      <c r="C297" s="22"/>
      <c r="D297" s="18"/>
      <c r="E297" s="18"/>
      <c r="F297" s="18"/>
      <c r="G297" s="18"/>
      <c r="H297" s="20" t="str">
        <f aca="false">IF(OR(F297="",G297=""),"",F297*G297/1000)</f>
        <v/>
      </c>
      <c r="I297" s="23"/>
      <c r="J297" s="23"/>
      <c r="K297" s="18"/>
      <c r="L297" s="21" t="str">
        <f aca="false">IF(B297="","",IF(J297&lt;&gt;"",J297,IF(AND(N(I297)&gt;0,N(H297)&gt;0),I297/H297,"")))</f>
        <v/>
      </c>
      <c r="M297" s="19" t="str">
        <f aca="false">IF(B297="","",IFERROR(INDEX(GES!$E$6:$E$25,MATCH(B297,GES!$A$6:$A$25,0)),"GES?"))</f>
        <v/>
      </c>
      <c r="N297" s="21" t="str">
        <f aca="false">IF(AND(ISNUMBER(L297),ISNUMBER(K297),LEFT(M297,3)="CAR"),L297*K297/100,"")</f>
        <v/>
      </c>
      <c r="O297" s="21" t="str">
        <f aca="false">IF(B297="","",IFERROR(INDEX(GES!$U$6:$U$25,MATCH(B297,GES!$A$6:$A$25,0)),""))</f>
        <v/>
      </c>
      <c r="P297" s="24" t="str">
        <f aca="false">IF(AND(ISNUMBER(L297),ISNUMBER(O297)),L297/O297,"")</f>
        <v/>
      </c>
      <c r="Q297" s="25" t="str">
        <f aca="false">IF(NOT(ISNUMBER(L297)),"",IFERROR(IF(INDEX(Estadística!$L$6:$L$25,MATCH(B297,Estadística!$A$6:$A$25,0))&gt;INDEX(Estadística!$T$6:$T$25,MATCH(B297,Estadística!$A$6:$A$25,0)),IF(OR(L297&lt;INDEX(Estadística!$I$6:$I$25,MATCH(B297,Estadística!$A$6:$A$25,0))/2,L297&gt;2*INDEX(Estadística!$I$6:$I$25,MATCH(B297,Estadística!$A$6:$A$25,0))),"Fuera de ½MA–2MA: revisar","Dentro de ½MA–2MA"),"—"),""))</f>
        <v/>
      </c>
      <c r="R297" s="18"/>
      <c r="S297" s="19" t="str">
        <f aca="false">IF(ISNUMBER(L297),IF(L297&gt;0,LN(L297),""),"")</f>
        <v/>
      </c>
      <c r="T297" s="19" t="str">
        <f aca="false">IF(ISNUMBER(S297),IFERROR((S297-LN(INDEX(Estadística!$K$6:$K$25,MATCH(B297,Estadística!$A$6:$A$25,0))))^2,""),"")</f>
        <v/>
      </c>
      <c r="U297" s="19" t="str">
        <f aca="false">IF(ISNUMBER(L297),IFERROR((L297-INDEX(Estadística!$I$6:$I$25,MATCH(B297,Estadística!$A$6:$A$25,0)))^2,""),"")</f>
        <v/>
      </c>
      <c r="V297" s="19" t="str">
        <f aca="false">IF(ISNUMBER(P297),IF(P297&gt;1,1,0),"")</f>
        <v/>
      </c>
    </row>
    <row r="298" customFormat="false" ht="15" hidden="false" customHeight="false" outlineLevel="0" collapsed="false">
      <c r="A298" s="18" t="n">
        <v>293</v>
      </c>
      <c r="B298" s="18"/>
      <c r="C298" s="22"/>
      <c r="D298" s="18"/>
      <c r="E298" s="18"/>
      <c r="F298" s="18"/>
      <c r="G298" s="18"/>
      <c r="H298" s="20" t="str">
        <f aca="false">IF(OR(F298="",G298=""),"",F298*G298/1000)</f>
        <v/>
      </c>
      <c r="I298" s="23"/>
      <c r="J298" s="23"/>
      <c r="K298" s="18"/>
      <c r="L298" s="21" t="str">
        <f aca="false">IF(B298="","",IF(J298&lt;&gt;"",J298,IF(AND(N(I298)&gt;0,N(H298)&gt;0),I298/H298,"")))</f>
        <v/>
      </c>
      <c r="M298" s="19" t="str">
        <f aca="false">IF(B298="","",IFERROR(INDEX(GES!$E$6:$E$25,MATCH(B298,GES!$A$6:$A$25,0)),"GES?"))</f>
        <v/>
      </c>
      <c r="N298" s="21" t="str">
        <f aca="false">IF(AND(ISNUMBER(L298),ISNUMBER(K298),LEFT(M298,3)="CAR"),L298*K298/100,"")</f>
        <v/>
      </c>
      <c r="O298" s="21" t="str">
        <f aca="false">IF(B298="","",IFERROR(INDEX(GES!$U$6:$U$25,MATCH(B298,GES!$A$6:$A$25,0)),""))</f>
        <v/>
      </c>
      <c r="P298" s="24" t="str">
        <f aca="false">IF(AND(ISNUMBER(L298),ISNUMBER(O298)),L298/O298,"")</f>
        <v/>
      </c>
      <c r="Q298" s="25" t="str">
        <f aca="false">IF(NOT(ISNUMBER(L298)),"",IFERROR(IF(INDEX(Estadística!$L$6:$L$25,MATCH(B298,Estadística!$A$6:$A$25,0))&gt;INDEX(Estadística!$T$6:$T$25,MATCH(B298,Estadística!$A$6:$A$25,0)),IF(OR(L298&lt;INDEX(Estadística!$I$6:$I$25,MATCH(B298,Estadística!$A$6:$A$25,0))/2,L298&gt;2*INDEX(Estadística!$I$6:$I$25,MATCH(B298,Estadística!$A$6:$A$25,0))),"Fuera de ½MA–2MA: revisar","Dentro de ½MA–2MA"),"—"),""))</f>
        <v/>
      </c>
      <c r="R298" s="18"/>
      <c r="S298" s="19" t="str">
        <f aca="false">IF(ISNUMBER(L298),IF(L298&gt;0,LN(L298),""),"")</f>
        <v/>
      </c>
      <c r="T298" s="19" t="str">
        <f aca="false">IF(ISNUMBER(S298),IFERROR((S298-LN(INDEX(Estadística!$K$6:$K$25,MATCH(B298,Estadística!$A$6:$A$25,0))))^2,""),"")</f>
        <v/>
      </c>
      <c r="U298" s="19" t="str">
        <f aca="false">IF(ISNUMBER(L298),IFERROR((L298-INDEX(Estadística!$I$6:$I$25,MATCH(B298,Estadística!$A$6:$A$25,0)))^2,""),"")</f>
        <v/>
      </c>
      <c r="V298" s="19" t="str">
        <f aca="false">IF(ISNUMBER(P298),IF(P298&gt;1,1,0),"")</f>
        <v/>
      </c>
    </row>
    <row r="299" customFormat="false" ht="15" hidden="false" customHeight="false" outlineLevel="0" collapsed="false">
      <c r="A299" s="18" t="n">
        <v>294</v>
      </c>
      <c r="B299" s="18"/>
      <c r="C299" s="22"/>
      <c r="D299" s="18"/>
      <c r="E299" s="18"/>
      <c r="F299" s="18"/>
      <c r="G299" s="18"/>
      <c r="H299" s="20" t="str">
        <f aca="false">IF(OR(F299="",G299=""),"",F299*G299/1000)</f>
        <v/>
      </c>
      <c r="I299" s="23"/>
      <c r="J299" s="23"/>
      <c r="K299" s="18"/>
      <c r="L299" s="21" t="str">
        <f aca="false">IF(B299="","",IF(J299&lt;&gt;"",J299,IF(AND(N(I299)&gt;0,N(H299)&gt;0),I299/H299,"")))</f>
        <v/>
      </c>
      <c r="M299" s="19" t="str">
        <f aca="false">IF(B299="","",IFERROR(INDEX(GES!$E$6:$E$25,MATCH(B299,GES!$A$6:$A$25,0)),"GES?"))</f>
        <v/>
      </c>
      <c r="N299" s="21" t="str">
        <f aca="false">IF(AND(ISNUMBER(L299),ISNUMBER(K299),LEFT(M299,3)="CAR"),L299*K299/100,"")</f>
        <v/>
      </c>
      <c r="O299" s="21" t="str">
        <f aca="false">IF(B299="","",IFERROR(INDEX(GES!$U$6:$U$25,MATCH(B299,GES!$A$6:$A$25,0)),""))</f>
        <v/>
      </c>
      <c r="P299" s="24" t="str">
        <f aca="false">IF(AND(ISNUMBER(L299),ISNUMBER(O299)),L299/O299,"")</f>
        <v/>
      </c>
      <c r="Q299" s="25" t="str">
        <f aca="false">IF(NOT(ISNUMBER(L299)),"",IFERROR(IF(INDEX(Estadística!$L$6:$L$25,MATCH(B299,Estadística!$A$6:$A$25,0))&gt;INDEX(Estadística!$T$6:$T$25,MATCH(B299,Estadística!$A$6:$A$25,0)),IF(OR(L299&lt;INDEX(Estadística!$I$6:$I$25,MATCH(B299,Estadística!$A$6:$A$25,0))/2,L299&gt;2*INDEX(Estadística!$I$6:$I$25,MATCH(B299,Estadística!$A$6:$A$25,0))),"Fuera de ½MA–2MA: revisar","Dentro de ½MA–2MA"),"—"),""))</f>
        <v/>
      </c>
      <c r="R299" s="18"/>
      <c r="S299" s="19" t="str">
        <f aca="false">IF(ISNUMBER(L299),IF(L299&gt;0,LN(L299),""),"")</f>
        <v/>
      </c>
      <c r="T299" s="19" t="str">
        <f aca="false">IF(ISNUMBER(S299),IFERROR((S299-LN(INDEX(Estadística!$K$6:$K$25,MATCH(B299,Estadística!$A$6:$A$25,0))))^2,""),"")</f>
        <v/>
      </c>
      <c r="U299" s="19" t="str">
        <f aca="false">IF(ISNUMBER(L299),IFERROR((L299-INDEX(Estadística!$I$6:$I$25,MATCH(B299,Estadística!$A$6:$A$25,0)))^2,""),"")</f>
        <v/>
      </c>
      <c r="V299" s="19" t="str">
        <f aca="false">IF(ISNUMBER(P299),IF(P299&gt;1,1,0),"")</f>
        <v/>
      </c>
    </row>
    <row r="300" customFormat="false" ht="15" hidden="false" customHeight="false" outlineLevel="0" collapsed="false">
      <c r="A300" s="18" t="n">
        <v>295</v>
      </c>
      <c r="B300" s="18"/>
      <c r="C300" s="22"/>
      <c r="D300" s="18"/>
      <c r="E300" s="18"/>
      <c r="F300" s="18"/>
      <c r="G300" s="18"/>
      <c r="H300" s="20" t="str">
        <f aca="false">IF(OR(F300="",G300=""),"",F300*G300/1000)</f>
        <v/>
      </c>
      <c r="I300" s="23"/>
      <c r="J300" s="23"/>
      <c r="K300" s="18"/>
      <c r="L300" s="21" t="str">
        <f aca="false">IF(B300="","",IF(J300&lt;&gt;"",J300,IF(AND(N(I300)&gt;0,N(H300)&gt;0),I300/H300,"")))</f>
        <v/>
      </c>
      <c r="M300" s="19" t="str">
        <f aca="false">IF(B300="","",IFERROR(INDEX(GES!$E$6:$E$25,MATCH(B300,GES!$A$6:$A$25,0)),"GES?"))</f>
        <v/>
      </c>
      <c r="N300" s="21" t="str">
        <f aca="false">IF(AND(ISNUMBER(L300),ISNUMBER(K300),LEFT(M300,3)="CAR"),L300*K300/100,"")</f>
        <v/>
      </c>
      <c r="O300" s="21" t="str">
        <f aca="false">IF(B300="","",IFERROR(INDEX(GES!$U$6:$U$25,MATCH(B300,GES!$A$6:$A$25,0)),""))</f>
        <v/>
      </c>
      <c r="P300" s="24" t="str">
        <f aca="false">IF(AND(ISNUMBER(L300),ISNUMBER(O300)),L300/O300,"")</f>
        <v/>
      </c>
      <c r="Q300" s="25" t="str">
        <f aca="false">IF(NOT(ISNUMBER(L300)),"",IFERROR(IF(INDEX(Estadística!$L$6:$L$25,MATCH(B300,Estadística!$A$6:$A$25,0))&gt;INDEX(Estadística!$T$6:$T$25,MATCH(B300,Estadística!$A$6:$A$25,0)),IF(OR(L300&lt;INDEX(Estadística!$I$6:$I$25,MATCH(B300,Estadística!$A$6:$A$25,0))/2,L300&gt;2*INDEX(Estadística!$I$6:$I$25,MATCH(B300,Estadística!$A$6:$A$25,0))),"Fuera de ½MA–2MA: revisar","Dentro de ½MA–2MA"),"—"),""))</f>
        <v/>
      </c>
      <c r="R300" s="18"/>
      <c r="S300" s="19" t="str">
        <f aca="false">IF(ISNUMBER(L300),IF(L300&gt;0,LN(L300),""),"")</f>
        <v/>
      </c>
      <c r="T300" s="19" t="str">
        <f aca="false">IF(ISNUMBER(S300),IFERROR((S300-LN(INDEX(Estadística!$K$6:$K$25,MATCH(B300,Estadística!$A$6:$A$25,0))))^2,""),"")</f>
        <v/>
      </c>
      <c r="U300" s="19" t="str">
        <f aca="false">IF(ISNUMBER(L300),IFERROR((L300-INDEX(Estadística!$I$6:$I$25,MATCH(B300,Estadística!$A$6:$A$25,0)))^2,""),"")</f>
        <v/>
      </c>
      <c r="V300" s="19" t="str">
        <f aca="false">IF(ISNUMBER(P300),IF(P300&gt;1,1,0),"")</f>
        <v/>
      </c>
    </row>
    <row r="301" customFormat="false" ht="15" hidden="false" customHeight="false" outlineLevel="0" collapsed="false">
      <c r="A301" s="18" t="n">
        <v>296</v>
      </c>
      <c r="B301" s="18"/>
      <c r="C301" s="22"/>
      <c r="D301" s="18"/>
      <c r="E301" s="18"/>
      <c r="F301" s="18"/>
      <c r="G301" s="18"/>
      <c r="H301" s="20" t="str">
        <f aca="false">IF(OR(F301="",G301=""),"",F301*G301/1000)</f>
        <v/>
      </c>
      <c r="I301" s="23"/>
      <c r="J301" s="23"/>
      <c r="K301" s="18"/>
      <c r="L301" s="21" t="str">
        <f aca="false">IF(B301="","",IF(J301&lt;&gt;"",J301,IF(AND(N(I301)&gt;0,N(H301)&gt;0),I301/H301,"")))</f>
        <v/>
      </c>
      <c r="M301" s="19" t="str">
        <f aca="false">IF(B301="","",IFERROR(INDEX(GES!$E$6:$E$25,MATCH(B301,GES!$A$6:$A$25,0)),"GES?"))</f>
        <v/>
      </c>
      <c r="N301" s="21" t="str">
        <f aca="false">IF(AND(ISNUMBER(L301),ISNUMBER(K301),LEFT(M301,3)="CAR"),L301*K301/100,"")</f>
        <v/>
      </c>
      <c r="O301" s="21" t="str">
        <f aca="false">IF(B301="","",IFERROR(INDEX(GES!$U$6:$U$25,MATCH(B301,GES!$A$6:$A$25,0)),""))</f>
        <v/>
      </c>
      <c r="P301" s="24" t="str">
        <f aca="false">IF(AND(ISNUMBER(L301),ISNUMBER(O301)),L301/O301,"")</f>
        <v/>
      </c>
      <c r="Q301" s="25" t="str">
        <f aca="false">IF(NOT(ISNUMBER(L301)),"",IFERROR(IF(INDEX(Estadística!$L$6:$L$25,MATCH(B301,Estadística!$A$6:$A$25,0))&gt;INDEX(Estadística!$T$6:$T$25,MATCH(B301,Estadística!$A$6:$A$25,0)),IF(OR(L301&lt;INDEX(Estadística!$I$6:$I$25,MATCH(B301,Estadística!$A$6:$A$25,0))/2,L301&gt;2*INDEX(Estadística!$I$6:$I$25,MATCH(B301,Estadística!$A$6:$A$25,0))),"Fuera de ½MA–2MA: revisar","Dentro de ½MA–2MA"),"—"),""))</f>
        <v/>
      </c>
      <c r="R301" s="18"/>
      <c r="S301" s="19" t="str">
        <f aca="false">IF(ISNUMBER(L301),IF(L301&gt;0,LN(L301),""),"")</f>
        <v/>
      </c>
      <c r="T301" s="19" t="str">
        <f aca="false">IF(ISNUMBER(S301),IFERROR((S301-LN(INDEX(Estadística!$K$6:$K$25,MATCH(B301,Estadística!$A$6:$A$25,0))))^2,""),"")</f>
        <v/>
      </c>
      <c r="U301" s="19" t="str">
        <f aca="false">IF(ISNUMBER(L301),IFERROR((L301-INDEX(Estadística!$I$6:$I$25,MATCH(B301,Estadística!$A$6:$A$25,0)))^2,""),"")</f>
        <v/>
      </c>
      <c r="V301" s="19" t="str">
        <f aca="false">IF(ISNUMBER(P301),IF(P301&gt;1,1,0),"")</f>
        <v/>
      </c>
    </row>
    <row r="302" customFormat="false" ht="15" hidden="false" customHeight="false" outlineLevel="0" collapsed="false">
      <c r="A302" s="18" t="n">
        <v>297</v>
      </c>
      <c r="B302" s="18"/>
      <c r="C302" s="22"/>
      <c r="D302" s="18"/>
      <c r="E302" s="18"/>
      <c r="F302" s="18"/>
      <c r="G302" s="18"/>
      <c r="H302" s="20" t="str">
        <f aca="false">IF(OR(F302="",G302=""),"",F302*G302/1000)</f>
        <v/>
      </c>
      <c r="I302" s="23"/>
      <c r="J302" s="23"/>
      <c r="K302" s="18"/>
      <c r="L302" s="21" t="str">
        <f aca="false">IF(B302="","",IF(J302&lt;&gt;"",J302,IF(AND(N(I302)&gt;0,N(H302)&gt;0),I302/H302,"")))</f>
        <v/>
      </c>
      <c r="M302" s="19" t="str">
        <f aca="false">IF(B302="","",IFERROR(INDEX(GES!$E$6:$E$25,MATCH(B302,GES!$A$6:$A$25,0)),"GES?"))</f>
        <v/>
      </c>
      <c r="N302" s="21" t="str">
        <f aca="false">IF(AND(ISNUMBER(L302),ISNUMBER(K302),LEFT(M302,3)="CAR"),L302*K302/100,"")</f>
        <v/>
      </c>
      <c r="O302" s="21" t="str">
        <f aca="false">IF(B302="","",IFERROR(INDEX(GES!$U$6:$U$25,MATCH(B302,GES!$A$6:$A$25,0)),""))</f>
        <v/>
      </c>
      <c r="P302" s="24" t="str">
        <f aca="false">IF(AND(ISNUMBER(L302),ISNUMBER(O302)),L302/O302,"")</f>
        <v/>
      </c>
      <c r="Q302" s="25" t="str">
        <f aca="false">IF(NOT(ISNUMBER(L302)),"",IFERROR(IF(INDEX(Estadística!$L$6:$L$25,MATCH(B302,Estadística!$A$6:$A$25,0))&gt;INDEX(Estadística!$T$6:$T$25,MATCH(B302,Estadística!$A$6:$A$25,0)),IF(OR(L302&lt;INDEX(Estadística!$I$6:$I$25,MATCH(B302,Estadística!$A$6:$A$25,0))/2,L302&gt;2*INDEX(Estadística!$I$6:$I$25,MATCH(B302,Estadística!$A$6:$A$25,0))),"Fuera de ½MA–2MA: revisar","Dentro de ½MA–2MA"),"—"),""))</f>
        <v/>
      </c>
      <c r="R302" s="18"/>
      <c r="S302" s="19" t="str">
        <f aca="false">IF(ISNUMBER(L302),IF(L302&gt;0,LN(L302),""),"")</f>
        <v/>
      </c>
      <c r="T302" s="19" t="str">
        <f aca="false">IF(ISNUMBER(S302),IFERROR((S302-LN(INDEX(Estadística!$K$6:$K$25,MATCH(B302,Estadística!$A$6:$A$25,0))))^2,""),"")</f>
        <v/>
      </c>
      <c r="U302" s="19" t="str">
        <f aca="false">IF(ISNUMBER(L302),IFERROR((L302-INDEX(Estadística!$I$6:$I$25,MATCH(B302,Estadística!$A$6:$A$25,0)))^2,""),"")</f>
        <v/>
      </c>
      <c r="V302" s="19" t="str">
        <f aca="false">IF(ISNUMBER(P302),IF(P302&gt;1,1,0),"")</f>
        <v/>
      </c>
    </row>
    <row r="303" customFormat="false" ht="15" hidden="false" customHeight="false" outlineLevel="0" collapsed="false">
      <c r="A303" s="18" t="n">
        <v>298</v>
      </c>
      <c r="B303" s="18"/>
      <c r="C303" s="22"/>
      <c r="D303" s="18"/>
      <c r="E303" s="18"/>
      <c r="F303" s="18"/>
      <c r="G303" s="18"/>
      <c r="H303" s="20" t="str">
        <f aca="false">IF(OR(F303="",G303=""),"",F303*G303/1000)</f>
        <v/>
      </c>
      <c r="I303" s="23"/>
      <c r="J303" s="23"/>
      <c r="K303" s="18"/>
      <c r="L303" s="21" t="str">
        <f aca="false">IF(B303="","",IF(J303&lt;&gt;"",J303,IF(AND(N(I303)&gt;0,N(H303)&gt;0),I303/H303,"")))</f>
        <v/>
      </c>
      <c r="M303" s="19" t="str">
        <f aca="false">IF(B303="","",IFERROR(INDEX(GES!$E$6:$E$25,MATCH(B303,GES!$A$6:$A$25,0)),"GES?"))</f>
        <v/>
      </c>
      <c r="N303" s="21" t="str">
        <f aca="false">IF(AND(ISNUMBER(L303),ISNUMBER(K303),LEFT(M303,3)="CAR"),L303*K303/100,"")</f>
        <v/>
      </c>
      <c r="O303" s="21" t="str">
        <f aca="false">IF(B303="","",IFERROR(INDEX(GES!$U$6:$U$25,MATCH(B303,GES!$A$6:$A$25,0)),""))</f>
        <v/>
      </c>
      <c r="P303" s="24" t="str">
        <f aca="false">IF(AND(ISNUMBER(L303),ISNUMBER(O303)),L303/O303,"")</f>
        <v/>
      </c>
      <c r="Q303" s="25" t="str">
        <f aca="false">IF(NOT(ISNUMBER(L303)),"",IFERROR(IF(INDEX(Estadística!$L$6:$L$25,MATCH(B303,Estadística!$A$6:$A$25,0))&gt;INDEX(Estadística!$T$6:$T$25,MATCH(B303,Estadística!$A$6:$A$25,0)),IF(OR(L303&lt;INDEX(Estadística!$I$6:$I$25,MATCH(B303,Estadística!$A$6:$A$25,0))/2,L303&gt;2*INDEX(Estadística!$I$6:$I$25,MATCH(B303,Estadística!$A$6:$A$25,0))),"Fuera de ½MA–2MA: revisar","Dentro de ½MA–2MA"),"—"),""))</f>
        <v/>
      </c>
      <c r="R303" s="18"/>
      <c r="S303" s="19" t="str">
        <f aca="false">IF(ISNUMBER(L303),IF(L303&gt;0,LN(L303),""),"")</f>
        <v/>
      </c>
      <c r="T303" s="19" t="str">
        <f aca="false">IF(ISNUMBER(S303),IFERROR((S303-LN(INDEX(Estadística!$K$6:$K$25,MATCH(B303,Estadística!$A$6:$A$25,0))))^2,""),"")</f>
        <v/>
      </c>
      <c r="U303" s="19" t="str">
        <f aca="false">IF(ISNUMBER(L303),IFERROR((L303-INDEX(Estadística!$I$6:$I$25,MATCH(B303,Estadística!$A$6:$A$25,0)))^2,""),"")</f>
        <v/>
      </c>
      <c r="V303" s="19" t="str">
        <f aca="false">IF(ISNUMBER(P303),IF(P303&gt;1,1,0),"")</f>
        <v/>
      </c>
    </row>
    <row r="304" customFormat="false" ht="15" hidden="false" customHeight="false" outlineLevel="0" collapsed="false">
      <c r="A304" s="18" t="n">
        <v>299</v>
      </c>
      <c r="B304" s="18"/>
      <c r="C304" s="22"/>
      <c r="D304" s="18"/>
      <c r="E304" s="18"/>
      <c r="F304" s="18"/>
      <c r="G304" s="18"/>
      <c r="H304" s="20" t="str">
        <f aca="false">IF(OR(F304="",G304=""),"",F304*G304/1000)</f>
        <v/>
      </c>
      <c r="I304" s="23"/>
      <c r="J304" s="23"/>
      <c r="K304" s="18"/>
      <c r="L304" s="21" t="str">
        <f aca="false">IF(B304="","",IF(J304&lt;&gt;"",J304,IF(AND(N(I304)&gt;0,N(H304)&gt;0),I304/H304,"")))</f>
        <v/>
      </c>
      <c r="M304" s="19" t="str">
        <f aca="false">IF(B304="","",IFERROR(INDEX(GES!$E$6:$E$25,MATCH(B304,GES!$A$6:$A$25,0)),"GES?"))</f>
        <v/>
      </c>
      <c r="N304" s="21" t="str">
        <f aca="false">IF(AND(ISNUMBER(L304),ISNUMBER(K304),LEFT(M304,3)="CAR"),L304*K304/100,"")</f>
        <v/>
      </c>
      <c r="O304" s="21" t="str">
        <f aca="false">IF(B304="","",IFERROR(INDEX(GES!$U$6:$U$25,MATCH(B304,GES!$A$6:$A$25,0)),""))</f>
        <v/>
      </c>
      <c r="P304" s="24" t="str">
        <f aca="false">IF(AND(ISNUMBER(L304),ISNUMBER(O304)),L304/O304,"")</f>
        <v/>
      </c>
      <c r="Q304" s="25" t="str">
        <f aca="false">IF(NOT(ISNUMBER(L304)),"",IFERROR(IF(INDEX(Estadística!$L$6:$L$25,MATCH(B304,Estadística!$A$6:$A$25,0))&gt;INDEX(Estadística!$T$6:$T$25,MATCH(B304,Estadística!$A$6:$A$25,0)),IF(OR(L304&lt;INDEX(Estadística!$I$6:$I$25,MATCH(B304,Estadística!$A$6:$A$25,0))/2,L304&gt;2*INDEX(Estadística!$I$6:$I$25,MATCH(B304,Estadística!$A$6:$A$25,0))),"Fuera de ½MA–2MA: revisar","Dentro de ½MA–2MA"),"—"),""))</f>
        <v/>
      </c>
      <c r="R304" s="18"/>
      <c r="S304" s="19" t="str">
        <f aca="false">IF(ISNUMBER(L304),IF(L304&gt;0,LN(L304),""),"")</f>
        <v/>
      </c>
      <c r="T304" s="19" t="str">
        <f aca="false">IF(ISNUMBER(S304),IFERROR((S304-LN(INDEX(Estadística!$K$6:$K$25,MATCH(B304,Estadística!$A$6:$A$25,0))))^2,""),"")</f>
        <v/>
      </c>
      <c r="U304" s="19" t="str">
        <f aca="false">IF(ISNUMBER(L304),IFERROR((L304-INDEX(Estadística!$I$6:$I$25,MATCH(B304,Estadística!$A$6:$A$25,0)))^2,""),"")</f>
        <v/>
      </c>
      <c r="V304" s="19" t="str">
        <f aca="false">IF(ISNUMBER(P304),IF(P304&gt;1,1,0),"")</f>
        <v/>
      </c>
    </row>
    <row r="305" customFormat="false" ht="15" hidden="false" customHeight="false" outlineLevel="0" collapsed="false">
      <c r="A305" s="18" t="n">
        <v>300</v>
      </c>
      <c r="B305" s="18"/>
      <c r="C305" s="22"/>
      <c r="D305" s="18"/>
      <c r="E305" s="18"/>
      <c r="F305" s="18"/>
      <c r="G305" s="18"/>
      <c r="H305" s="20" t="str">
        <f aca="false">IF(OR(F305="",G305=""),"",F305*G305/1000)</f>
        <v/>
      </c>
      <c r="I305" s="23"/>
      <c r="J305" s="23"/>
      <c r="K305" s="18"/>
      <c r="L305" s="21" t="str">
        <f aca="false">IF(B305="","",IF(J305&lt;&gt;"",J305,IF(AND(N(I305)&gt;0,N(H305)&gt;0),I305/H305,"")))</f>
        <v/>
      </c>
      <c r="M305" s="19" t="str">
        <f aca="false">IF(B305="","",IFERROR(INDEX(GES!$E$6:$E$25,MATCH(B305,GES!$A$6:$A$25,0)),"GES?"))</f>
        <v/>
      </c>
      <c r="N305" s="21" t="str">
        <f aca="false">IF(AND(ISNUMBER(L305),ISNUMBER(K305),LEFT(M305,3)="CAR"),L305*K305/100,"")</f>
        <v/>
      </c>
      <c r="O305" s="21" t="str">
        <f aca="false">IF(B305="","",IFERROR(INDEX(GES!$U$6:$U$25,MATCH(B305,GES!$A$6:$A$25,0)),""))</f>
        <v/>
      </c>
      <c r="P305" s="24" t="str">
        <f aca="false">IF(AND(ISNUMBER(L305),ISNUMBER(O305)),L305/O305,"")</f>
        <v/>
      </c>
      <c r="Q305" s="25" t="str">
        <f aca="false">IF(NOT(ISNUMBER(L305)),"",IFERROR(IF(INDEX(Estadística!$L$6:$L$25,MATCH(B305,Estadística!$A$6:$A$25,0))&gt;INDEX(Estadística!$T$6:$T$25,MATCH(B305,Estadística!$A$6:$A$25,0)),IF(OR(L305&lt;INDEX(Estadística!$I$6:$I$25,MATCH(B305,Estadística!$A$6:$A$25,0))/2,L305&gt;2*INDEX(Estadística!$I$6:$I$25,MATCH(B305,Estadística!$A$6:$A$25,0))),"Fuera de ½MA–2MA: revisar","Dentro de ½MA–2MA"),"—"),""))</f>
        <v/>
      </c>
      <c r="R305" s="18"/>
      <c r="S305" s="19" t="str">
        <f aca="false">IF(ISNUMBER(L305),IF(L305&gt;0,LN(L305),""),"")</f>
        <v/>
      </c>
      <c r="T305" s="19" t="str">
        <f aca="false">IF(ISNUMBER(S305),IFERROR((S305-LN(INDEX(Estadística!$K$6:$K$25,MATCH(B305,Estadística!$A$6:$A$25,0))))^2,""),"")</f>
        <v/>
      </c>
      <c r="U305" s="19" t="str">
        <f aca="false">IF(ISNUMBER(L305),IFERROR((L305-INDEX(Estadística!$I$6:$I$25,MATCH(B305,Estadística!$A$6:$A$25,0)))^2,""),"")</f>
        <v/>
      </c>
      <c r="V305" s="19" t="str">
        <f aca="false">IF(ISNUMBER(P305),IF(P305&gt;1,1,0),"")</f>
        <v/>
      </c>
    </row>
  </sheetData>
  <conditionalFormatting sqref="P6:P305">
    <cfRule type="expression" priority="2" aboveAverage="0" equalAverage="0" bottom="0" percent="0" rank="0" text="" dxfId="0">
      <formula>AND(ISNUMBER(P6),P6&gt;1)</formula>
    </cfRule>
  </conditionalFormatting>
  <conditionalFormatting sqref="Q6:Q305">
    <cfRule type="expression" priority="3" aboveAverage="0" equalAverage="0" bottom="0" percent="0" rank="0" text="" dxfId="0">
      <formula>LEFT(Q6,5)="Fuera"</formula>
    </cfRule>
  </conditionalFormatting>
  <dataValidations count="2">
    <dataValidation allowBlank="true" errorStyle="stop" operator="between" showDropDown="false" showErrorMessage="false" showInputMessage="false" sqref="B6:B305" type="list">
      <formula1>GES!$A$6:$A$25</formula1>
      <formula2>0</formula2>
    </dataValidation>
    <dataValidation allowBlank="true" errorStyle="stop" operator="between" showDropDown="false" showErrorMessage="false" showInputMessage="false" sqref="E6:E305" type="list">
      <formula1>"Personal,Área"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6" min="13" style="0" width="9"/>
    <col collapsed="false" customWidth="true" hidden="false" outlineLevel="0" max="17" min="17" style="0" width="13"/>
    <col collapsed="false" customWidth="true" hidden="false" outlineLevel="0" max="18" min="18" style="0" width="20"/>
    <col collapsed="false" customWidth="true" hidden="false" outlineLevel="0" max="19" min="19" style="0" width="9"/>
    <col collapsed="false" customWidth="true" hidden="false" outlineLevel="0" max="20" min="20" style="0" width="6"/>
    <col collapsed="false" customWidth="true" hidden="false" outlineLevel="0" max="21" min="21" style="0" width="20"/>
    <col collapsed="false" customWidth="true" hidden="false" outlineLevel="0" max="22" min="22" style="0" width="9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26"/>
    <col collapsed="false" customWidth="true" hidden="false" outlineLevel="0" max="28" min="26" style="0" width="9"/>
    <col collapsed="false" customWidth="true" hidden="false" outlineLevel="0" max="29" min="29" style="0" width="22"/>
  </cols>
  <sheetData>
    <row r="1" customFormat="false" ht="19.7" hidden="false" customHeight="false" outlineLevel="0" collapsed="false">
      <c r="A1" s="9" t="s">
        <v>236</v>
      </c>
    </row>
    <row r="2" customFormat="false" ht="15" hidden="false" customHeight="false" outlineLevel="0" collapsed="false">
      <c r="A2" s="3" t="s">
        <v>237</v>
      </c>
    </row>
    <row r="3" customFormat="false" ht="15" hidden="false" customHeight="false" outlineLevel="0" collapsed="false">
      <c r="A3" s="10" t="s">
        <v>36</v>
      </c>
    </row>
    <row r="5" customFormat="false" ht="66" hidden="false" customHeight="true" outlineLevel="0" collapsed="false">
      <c r="A5" s="11" t="s">
        <v>121</v>
      </c>
      <c r="B5" s="11" t="s">
        <v>38</v>
      </c>
      <c r="C5" s="11" t="s">
        <v>41</v>
      </c>
      <c r="D5" s="11" t="s">
        <v>96</v>
      </c>
      <c r="E5" s="11" t="s">
        <v>135</v>
      </c>
      <c r="F5" s="11" t="s">
        <v>238</v>
      </c>
      <c r="G5" s="11" t="s">
        <v>239</v>
      </c>
      <c r="H5" s="11" t="s">
        <v>240</v>
      </c>
      <c r="I5" s="11" t="s">
        <v>241</v>
      </c>
      <c r="J5" s="11" t="s">
        <v>242</v>
      </c>
      <c r="K5" s="11" t="s">
        <v>243</v>
      </c>
      <c r="L5" s="11" t="s">
        <v>244</v>
      </c>
      <c r="M5" s="11" t="s">
        <v>245</v>
      </c>
      <c r="N5" s="11" t="s">
        <v>188</v>
      </c>
      <c r="O5" s="11" t="s">
        <v>246</v>
      </c>
      <c r="P5" s="11" t="s">
        <v>247</v>
      </c>
      <c r="Q5" s="11" t="s">
        <v>248</v>
      </c>
      <c r="R5" s="11" t="s">
        <v>249</v>
      </c>
      <c r="S5" s="11" t="s">
        <v>250</v>
      </c>
      <c r="T5" s="11" t="s">
        <v>251</v>
      </c>
      <c r="U5" s="11" t="s">
        <v>252</v>
      </c>
      <c r="V5" s="11" t="s">
        <v>253</v>
      </c>
      <c r="W5" s="11" t="s">
        <v>254</v>
      </c>
      <c r="X5" s="11" t="s">
        <v>255</v>
      </c>
      <c r="Y5" s="11" t="s">
        <v>256</v>
      </c>
      <c r="Z5" s="11" t="s">
        <v>257</v>
      </c>
      <c r="AA5" s="11" t="s">
        <v>258</v>
      </c>
      <c r="AB5" s="11" t="s">
        <v>259</v>
      </c>
      <c r="AC5" s="11" t="s">
        <v>260</v>
      </c>
    </row>
    <row r="6" customFormat="false" ht="15" hidden="false" customHeight="false" outlineLevel="0" collapsed="false">
      <c r="A6" s="19" t="str">
        <f aca="false">IF(GES!A6="","",GES!A6)</f>
        <v>G01</v>
      </c>
      <c r="B6" s="19" t="str">
        <f aca="false">IF(A6="","",GES!E6)</f>
        <v>SIL-Q</v>
      </c>
      <c r="C6" s="19" t="str">
        <f aca="false">IF(A6="","",GES!V6)</f>
        <v>mg/m³</v>
      </c>
      <c r="D6" s="19" t="n">
        <f aca="false">IF(A6="","",COUNTIFS(Muestreo!$B$6:$B$305,A6,Muestreo!$L$6:$L$305,"&gt;0"))</f>
        <v>6</v>
      </c>
      <c r="E6" s="19" t="n">
        <f aca="false">IF(A6="","",GES!O6)</f>
        <v>6</v>
      </c>
      <c r="F6" s="25" t="str">
        <f aca="false">IF(A6="","",IF(D6=0,"Sin muestras",IF(D6&gt;=E6,"Suficiente","Insuficiente (&lt;"&amp;E6&amp;")")))</f>
        <v>Suficiente</v>
      </c>
      <c r="G6" s="21" t="n">
        <f aca="false">IF(N(D6)=0,"",_xlfn.MINIFS(Muestreo!$L$6:$L$305,Muestreo!$B$6:$B$305,A6))</f>
        <v>0.0380024509803922</v>
      </c>
      <c r="H6" s="21" t="n">
        <f aca="false">IF(N(D6)=0,"",_xlfn.MAXIFS(Muestreo!$L$6:$L$305,Muestreo!$B$6:$B$305,A6))</f>
        <v>0.0710049019607843</v>
      </c>
      <c r="I6" s="21" t="n">
        <f aca="false">IF(N(D6)=0,"",AVERAGEIFS(Muestreo!$L$6:$L$305,Muestreo!$B$6:$B$305,A6))</f>
        <v>0.0533333333333333</v>
      </c>
      <c r="J6" s="21" t="n">
        <f aca="false">IF(N(D6)&lt;2,"",SQRT(SUMIFS(Muestreo!$U$6:$U$305,Muestreo!$B$6:$B$305,A6)/(D6-1)))</f>
        <v>0.0119451365217989</v>
      </c>
      <c r="K6" s="21" t="n">
        <f aca="false">IF(N(D6)=0,"",EXP(AVERAGEIFS(Muestreo!$S$6:$S$305,Muestreo!$B$6:$B$305,A6)))</f>
        <v>0.0522236291922439</v>
      </c>
      <c r="L6" s="24" t="n">
        <f aca="false">IF(N(D6)&lt;2,"",EXP(SQRT(SUMIFS(Muestreo!$T$6:$T$305,Muestreo!$B$6:$B$305,A6)/IF(Agentes!$C$15="n",D6,D6-1))))</f>
        <v>1.22833839235455</v>
      </c>
      <c r="M6" s="26" t="n">
        <f aca="false">IF(N(D6)=0,"",SUMIFS(Muestreo!$V$6:$V$305,Muestreo!$B$6:$B$305,A6)/D6)</f>
        <v>1</v>
      </c>
      <c r="N6" s="21" t="n">
        <f aca="false">IF(A6="","",GES!U6)</f>
        <v>0.01953125</v>
      </c>
      <c r="O6" s="24" t="n">
        <f aca="false">IF(OR(I6="",N(N6)=0),"",I6/N6)</f>
        <v>2.73066666666667</v>
      </c>
      <c r="P6" s="24" t="n">
        <f aca="false">IF(OR(K6="",N(N6)=0),"",K6/N6)</f>
        <v>2.67384981464289</v>
      </c>
      <c r="Q6" s="19" t="str">
        <f aca="false">IF(B6="","",IFERROR(INDEX(Agentes!$G$6:$G$12,MATCH(B6,Agentes!$A$6:$A$12,0)),""))</f>
        <v>Res. 2467/2022</v>
      </c>
      <c r="R6" s="25" t="str">
        <f aca="false">IF(L6="",IF(N(D6)=1,"n = 1: no se calcula DEG",""),IF(L6&lt;=T6,IF(LEFT(Q6,3)="Res","Mantener GES","GES aceptable"),IF(LEFT(Q6,3)="Res","Revisar conformación del GES (DEG &gt; 2,5)","GES no aceptable (DEG &gt; 2,0): revise oficios")))</f>
        <v>Mantener GES</v>
      </c>
      <c r="S6" s="24" t="n">
        <f aca="false">IF(Q6="","",IF(LEFT(Q6,3)="Res",P6,O6))</f>
        <v>2.67384981464289</v>
      </c>
      <c r="T6" s="19" t="n">
        <f aca="false">IF(Q6="","",IF(LEFT(Q6,3)="Res",2.5,2))</f>
        <v>2.5</v>
      </c>
      <c r="U6" s="25" t="str">
        <f aca="false">IF(OR(A6="",S6=""),IF(A6="","","Sin datos"),IF(S6&gt;1,"Sobreexposición",IF(LEFT(Q6,3)="Res",IF(S6&lt;=0.5,"Controlada","Fuera de control – precaución"),IF(S6&lt;0.5,"Controlada","Fuera de control – precaución"))))</f>
        <v>Sobreexposición</v>
      </c>
      <c r="V6" s="19" t="n">
        <f aca="false">IF(N(S6)=0,"",IF(S6&gt;=1,5,IF(M6&gt;0,4,IF(S6&gt;=0.5,3,IF(S6&gt;=0.1,2,1)))))</f>
        <v>5</v>
      </c>
      <c r="W6" s="19" t="str">
        <f aca="false">IF(V6="","",CHOOSE(V6,"De 3 a 5 años","De 1 a 3 años","De 3 meses a 1 año","De 1 a 3 meses","Evaluación continua"))</f>
        <v>Evaluación continua</v>
      </c>
      <c r="X6" s="19" t="str">
        <f aca="false">IF(OR(P6="",LEFT(B6,3)&lt;&gt;"SIL"),IF(A6="","","N/A"),IF(P6&lt;=0.5,"Cada 3 años","Anual"))</f>
        <v>Anual</v>
      </c>
      <c r="Y6" s="19" t="str">
        <f aca="false">IF(OR(A6="",S6=""),"",IF(LEFT(B6,3)="SIL",IF(S6&gt;=0.5,"SVE específico (≥ nivel de acción)","Seguimiento general de salud"),IF(B6="PNOS","Según criterio médico",IF(S6&gt;=0.5,"SVE – prioritario (CR ≥ 0,5)","SVE – todos los expuestos (GATI 7.3.1)"))))</f>
        <v>SVE específico (≥ nivel de acción)</v>
      </c>
      <c r="Z6" s="21" t="n">
        <f aca="false">IF(L6="","",K6*L6^1.645)</f>
        <v>0.0732479040545585</v>
      </c>
      <c r="AA6" s="21" t="str">
        <f aca="false">IF(LEFT(B6,3)&lt;&gt;"CAR","",IFERROR(AVERAGEIFS(Muestreo!$N$6:$N$305,Muestreo!$B$6:$B$305,A6),""))</f>
        <v/>
      </c>
      <c r="AB6" s="24" t="str">
        <f aca="false">IF(OR(AA6="",GES!T6=""),"",AA6/(INDEX(Agentes!$F$6:$F$12,MATCH("SIL-Q",Agentes!$A$6:$A$12,0))*GES!T6))</f>
        <v/>
      </c>
      <c r="AC6" s="25" t="str">
        <f aca="false">IF(AB6="","",IF(AB6&gt;1,"Cuarzo sobre TLV: gestionar también como sílice",IF(AB6&gt;=0.5,"Cuarzo ≥ nivel de acción","Cuarzo controlado")))</f>
        <v/>
      </c>
    </row>
    <row r="7" customFormat="false" ht="15" hidden="false" customHeight="false" outlineLevel="0" collapsed="false">
      <c r="A7" s="19" t="str">
        <f aca="false">IF(GES!A7="","",GES!A7)</f>
        <v>G02</v>
      </c>
      <c r="B7" s="19" t="str">
        <f aca="false">IF(A7="","",GES!E7)</f>
        <v>SIL-Q</v>
      </c>
      <c r="C7" s="19" t="str">
        <f aca="false">IF(A7="","",GES!V7)</f>
        <v>mg/m³</v>
      </c>
      <c r="D7" s="19" t="n">
        <f aca="false">IF(A7="","",COUNTIFS(Muestreo!$B$6:$B$305,A7,Muestreo!$L$6:$L$305,"&gt;0"))</f>
        <v>6</v>
      </c>
      <c r="E7" s="19" t="n">
        <f aca="false">IF(A7="","",GES!O7)</f>
        <v>6</v>
      </c>
      <c r="F7" s="25" t="str">
        <f aca="false">IF(A7="","",IF(D7=0,"Sin muestras",IF(D7&gt;=E7,"Suficiente","Insuficiente (&lt;"&amp;E7&amp;")")))</f>
        <v>Suficiente</v>
      </c>
      <c r="G7" s="21" t="n">
        <f aca="false">IF(N(D7)=0,"",_xlfn.MINIFS(Muestreo!$L$6:$L$305,Muestreo!$B$6:$B$305,A7))</f>
        <v>0.008</v>
      </c>
      <c r="H7" s="21" t="n">
        <f aca="false">IF(N(D7)=0,"",_xlfn.MAXIFS(Muestreo!$L$6:$L$305,Muestreo!$B$6:$B$305,A7))</f>
        <v>0.013</v>
      </c>
      <c r="I7" s="21" t="n">
        <f aca="false">IF(N(D7)=0,"",AVERAGEIFS(Muestreo!$L$6:$L$305,Muestreo!$B$6:$B$305,A7))</f>
        <v>0.0105</v>
      </c>
      <c r="J7" s="21" t="n">
        <f aca="false">IF(N(D7)&lt;2,"",SQRT(SUMIFS(Muestreo!$U$6:$U$305,Muestreo!$B$6:$B$305,A7)/(D7-1)))</f>
        <v>0.00187082869338697</v>
      </c>
      <c r="K7" s="21" t="n">
        <f aca="false">IF(N(D7)=0,"",EXP(AVERAGEIFS(Muestreo!$S$6:$S$305,Muestreo!$B$6:$B$305,A7)))</f>
        <v>0.0103587725354356</v>
      </c>
      <c r="L7" s="24" t="n">
        <f aca="false">IF(N(D7)&lt;2,"",EXP(SQRT(SUMIFS(Muestreo!$T$6:$T$305,Muestreo!$B$6:$B$305,A7)/IF(Agentes!$C$15="n",D7,D7-1))))</f>
        <v>1.18013606332533</v>
      </c>
      <c r="M7" s="26" t="n">
        <f aca="false">IF(N(D7)=0,"",SUMIFS(Muestreo!$V$6:$V$305,Muestreo!$B$6:$B$305,A7)/D7)</f>
        <v>0</v>
      </c>
      <c r="N7" s="21" t="n">
        <f aca="false">IF(A7="","",GES!U7)</f>
        <v>0.01953125</v>
      </c>
      <c r="O7" s="24" t="n">
        <f aca="false">IF(OR(I7="",N(N7)=0),"",I7/N7)</f>
        <v>0.5376</v>
      </c>
      <c r="P7" s="24" t="n">
        <f aca="false">IF(OR(K7="",N(N7)=0),"",K7/N7)</f>
        <v>0.530369153814304</v>
      </c>
      <c r="Q7" s="19" t="str">
        <f aca="false">IF(B7="","",IFERROR(INDEX(Agentes!$G$6:$G$12,MATCH(B7,Agentes!$A$6:$A$12,0)),""))</f>
        <v>Res. 2467/2022</v>
      </c>
      <c r="R7" s="25" t="str">
        <f aca="false">IF(L7="",IF(N(D7)=1,"n = 1: no se calcula DEG",""),IF(L7&lt;=T7,IF(LEFT(Q7,3)="Res","Mantener GES","GES aceptable"),IF(LEFT(Q7,3)="Res","Revisar conformación del GES (DEG &gt; 2,5)","GES no aceptable (DEG &gt; 2,0): revise oficios")))</f>
        <v>Mantener GES</v>
      </c>
      <c r="S7" s="24" t="n">
        <f aca="false">IF(Q7="","",IF(LEFT(Q7,3)="Res",P7,O7))</f>
        <v>0.530369153814304</v>
      </c>
      <c r="T7" s="19" t="n">
        <f aca="false">IF(Q7="","",IF(LEFT(Q7,3)="Res",2.5,2))</f>
        <v>2.5</v>
      </c>
      <c r="U7" s="25" t="str">
        <f aca="false">IF(OR(A7="",S7=""),IF(A7="","","Sin datos"),IF(S7&gt;1,"Sobreexposición",IF(LEFT(Q7,3)="Res",IF(S7&lt;=0.5,"Controlada","Fuera de control – precaución"),IF(S7&lt;0.5,"Controlada","Fuera de control – precaución"))))</f>
        <v>Fuera de control – precaución</v>
      </c>
      <c r="V7" s="19" t="n">
        <f aca="false">IF(N(S7)=0,"",IF(S7&gt;=1,5,IF(M7&gt;0,4,IF(S7&gt;=0.5,3,IF(S7&gt;=0.1,2,1)))))</f>
        <v>3</v>
      </c>
      <c r="W7" s="19" t="str">
        <f aca="false">IF(V7="","",CHOOSE(V7,"De 3 a 5 años","De 1 a 3 años","De 3 meses a 1 año","De 1 a 3 meses","Evaluación continua"))</f>
        <v>De 3 meses a 1 año</v>
      </c>
      <c r="X7" s="19" t="str">
        <f aca="false">IF(OR(P7="",LEFT(B7,3)&lt;&gt;"SIL"),IF(A7="","","N/A"),IF(P7&lt;=0.5,"Cada 3 años","Anual"))</f>
        <v>Anual</v>
      </c>
      <c r="Y7" s="19" t="str">
        <f aca="false">IF(OR(A7="",S7=""),"",IF(LEFT(B7,3)="SIL",IF(S7&gt;=0.5,"SVE específico (≥ nivel de acción)","Seguimiento general de salud"),IF(B7="PNOS","Según criterio médico",IF(S7&gt;=0.5,"SVE – prioritario (CR ≥ 0,5)","SVE – todos los expuestos (GATI 7.3.1)"))))</f>
        <v>SVE específico (≥ nivel de acción)</v>
      </c>
      <c r="Z7" s="21" t="n">
        <f aca="false">IF(L7="","",K7*L7^1.645)</f>
        <v>0.0136030586819143</v>
      </c>
      <c r="AA7" s="21" t="str">
        <f aca="false">IF(LEFT(B7,3)&lt;&gt;"CAR","",IFERROR(AVERAGEIFS(Muestreo!$N$6:$N$305,Muestreo!$B$6:$B$305,A7),""))</f>
        <v/>
      </c>
      <c r="AB7" s="24" t="str">
        <f aca="false">IF(OR(AA7="",GES!T7=""),"",AA7/(INDEX(Agentes!$F$6:$F$12,MATCH("SIL-Q",Agentes!$A$6:$A$12,0))*GES!T7))</f>
        <v/>
      </c>
      <c r="AC7" s="25" t="str">
        <f aca="false">IF(AB7="","",IF(AB7&gt;1,"Cuarzo sobre TLV: gestionar también como sílice",IF(AB7&gt;=0.5,"Cuarzo ≥ nivel de acción","Cuarzo controlado")))</f>
        <v/>
      </c>
    </row>
    <row r="8" customFormat="false" ht="15" hidden="false" customHeight="false" outlineLevel="0" collapsed="false">
      <c r="A8" s="19" t="str">
        <f aca="false">IF(GES!A8="","",GES!A8)</f>
        <v>G03</v>
      </c>
      <c r="B8" s="19" t="str">
        <f aca="false">IF(A8="","",GES!E8)</f>
        <v>SIL-Q</v>
      </c>
      <c r="C8" s="19" t="str">
        <f aca="false">IF(A8="","",GES!V8)</f>
        <v>mg/m³</v>
      </c>
      <c r="D8" s="19" t="n">
        <f aca="false">IF(A8="","",COUNTIFS(Muestreo!$B$6:$B$305,A8,Muestreo!$L$6:$L$305,"&gt;0"))</f>
        <v>5</v>
      </c>
      <c r="E8" s="19" t="n">
        <f aca="false">IF(A8="","",GES!O8)</f>
        <v>6</v>
      </c>
      <c r="F8" s="25" t="str">
        <f aca="false">IF(A8="","",IF(D8=0,"Sin muestras",IF(D8&gt;=E8,"Suficiente","Insuficiente (&lt;"&amp;E8&amp;")")))</f>
        <v>Insuficiente (&lt;6)</v>
      </c>
      <c r="G8" s="21" t="n">
        <f aca="false">IF(N(D8)=0,"",_xlfn.MINIFS(Muestreo!$L$6:$L$305,Muestreo!$B$6:$B$305,A8))</f>
        <v>0.015</v>
      </c>
      <c r="H8" s="21" t="n">
        <f aca="false">IF(N(D8)=0,"",_xlfn.MAXIFS(Muestreo!$L$6:$L$305,Muestreo!$B$6:$B$305,A8))</f>
        <v>0.023</v>
      </c>
      <c r="I8" s="21" t="n">
        <f aca="false">IF(N(D8)=0,"",AVERAGEIFS(Muestreo!$L$6:$L$305,Muestreo!$B$6:$B$305,A8))</f>
        <v>0.0194</v>
      </c>
      <c r="J8" s="21" t="n">
        <f aca="false">IF(N(D8)&lt;2,"",SQRT(SUMIFS(Muestreo!$U$6:$U$305,Muestreo!$B$6:$B$305,A8)/(D8-1)))</f>
        <v>0.00304959013639538</v>
      </c>
      <c r="K8" s="21" t="n">
        <f aca="false">IF(N(D8)=0,"",EXP(AVERAGEIFS(Muestreo!$S$6:$S$305,Muestreo!$B$6:$B$305,A8)))</f>
        <v>0.0191985389011761</v>
      </c>
      <c r="L8" s="24" t="n">
        <f aca="false">IF(N(D8)&lt;2,"",EXP(SQRT(SUMIFS(Muestreo!$T$6:$T$305,Muestreo!$B$6:$B$305,A8)/IF(Agentes!$C$15="n",D8,D8-1))))</f>
        <v>1.15785487021665</v>
      </c>
      <c r="M8" s="26" t="n">
        <f aca="false">IF(N(D8)=0,"",SUMIFS(Muestreo!$V$6:$V$305,Muestreo!$B$6:$B$305,A8)/D8)</f>
        <v>0.2</v>
      </c>
      <c r="N8" s="21" t="n">
        <f aca="false">IF(A8="","",GES!U8)</f>
        <v>0.0220170454545455</v>
      </c>
      <c r="O8" s="24" t="n">
        <f aca="false">IF(OR(I8="",N(N8)=0),"",I8/N8)</f>
        <v>0.881135483870968</v>
      </c>
      <c r="P8" s="24" t="n">
        <f aca="false">IF(OR(K8="",N(N8)=0),"",K8/N8)</f>
        <v>0.871985250737287</v>
      </c>
      <c r="Q8" s="19" t="str">
        <f aca="false">IF(B8="","",IFERROR(INDEX(Agentes!$G$6:$G$12,MATCH(B8,Agentes!$A$6:$A$12,0)),""))</f>
        <v>Res. 2467/2022</v>
      </c>
      <c r="R8" s="25" t="str">
        <f aca="false">IF(L8="",IF(N(D8)=1,"n = 1: no se calcula DEG",""),IF(L8&lt;=T8,IF(LEFT(Q8,3)="Res","Mantener GES","GES aceptable"),IF(LEFT(Q8,3)="Res","Revisar conformación del GES (DEG &gt; 2,5)","GES no aceptable (DEG &gt; 2,0): revise oficios")))</f>
        <v>Mantener GES</v>
      </c>
      <c r="S8" s="24" t="n">
        <f aca="false">IF(Q8="","",IF(LEFT(Q8,3)="Res",P8,O8))</f>
        <v>0.871985250737287</v>
      </c>
      <c r="T8" s="19" t="n">
        <f aca="false">IF(Q8="","",IF(LEFT(Q8,3)="Res",2.5,2))</f>
        <v>2.5</v>
      </c>
      <c r="U8" s="25" t="str">
        <f aca="false">IF(OR(A8="",S8=""),IF(A8="","","Sin datos"),IF(S8&gt;1,"Sobreexposición",IF(LEFT(Q8,3)="Res",IF(S8&lt;=0.5,"Controlada","Fuera de control – precaución"),IF(S8&lt;0.5,"Controlada","Fuera de control – precaución"))))</f>
        <v>Fuera de control – precaución</v>
      </c>
      <c r="V8" s="19" t="n">
        <f aca="false">IF(N(S8)=0,"",IF(S8&gt;=1,5,IF(M8&gt;0,4,IF(S8&gt;=0.5,3,IF(S8&gt;=0.1,2,1)))))</f>
        <v>4</v>
      </c>
      <c r="W8" s="19" t="str">
        <f aca="false">IF(V8="","",CHOOSE(V8,"De 3 a 5 años","De 1 a 3 años","De 3 meses a 1 año","De 1 a 3 meses","Evaluación continua"))</f>
        <v>De 1 a 3 meses</v>
      </c>
      <c r="X8" s="19" t="str">
        <f aca="false">IF(OR(P8="",LEFT(B8,3)&lt;&gt;"SIL"),IF(A8="","","N/A"),IF(P8&lt;=0.5,"Cada 3 años","Anual"))</f>
        <v>Anual</v>
      </c>
      <c r="Y8" s="19" t="str">
        <f aca="false">IF(OR(A8="",S8=""),"",IF(LEFT(B8,3)="SIL",IF(S8&gt;=0.5,"SVE específico (≥ nivel de acción)","Seguimiento general de salud"),IF(B8="PNOS","Según criterio médico",IF(S8&gt;=0.5,"SVE – prioritario (CR ≥ 0,5)","SVE – todos los expuestos (GATI 7.3.1)"))))</f>
        <v>SVE específico (≥ nivel de acción)</v>
      </c>
      <c r="Z8" s="21" t="n">
        <f aca="false">IF(L8="","",K8*L8^1.645)</f>
        <v>0.0244331362376885</v>
      </c>
      <c r="AA8" s="21" t="str">
        <f aca="false">IF(LEFT(B8,3)&lt;&gt;"CAR","",IFERROR(AVERAGEIFS(Muestreo!$N$6:$N$305,Muestreo!$B$6:$B$305,A8),""))</f>
        <v/>
      </c>
      <c r="AB8" s="24" t="str">
        <f aca="false">IF(OR(AA8="",GES!T8=""),"",AA8/(INDEX(Agentes!$F$6:$F$12,MATCH("SIL-Q",Agentes!$A$6:$A$12,0))*GES!T8))</f>
        <v/>
      </c>
      <c r="AC8" s="25" t="str">
        <f aca="false">IF(AB8="","",IF(AB8&gt;1,"Cuarzo sobre TLV: gestionar también como sílice",IF(AB8&gt;=0.5,"Cuarzo ≥ nivel de acción","Cuarzo controlado")))</f>
        <v/>
      </c>
    </row>
    <row r="9" customFormat="false" ht="15" hidden="false" customHeight="false" outlineLevel="0" collapsed="false">
      <c r="A9" s="19" t="str">
        <f aca="false">IF(GES!A9="","",GES!A9)</f>
        <v>G04</v>
      </c>
      <c r="B9" s="19" t="str">
        <f aca="false">IF(A9="","",GES!E9)</f>
        <v>CAR-B</v>
      </c>
      <c r="C9" s="19" t="str">
        <f aca="false">IF(A9="","",GES!V9)</f>
        <v>mg/m³</v>
      </c>
      <c r="D9" s="19" t="n">
        <f aca="false">IF(A9="","",COUNTIFS(Muestreo!$B$6:$B$305,A9,Muestreo!$L$6:$L$305,"&gt;0"))</f>
        <v>7</v>
      </c>
      <c r="E9" s="19" t="n">
        <f aca="false">IF(A9="","",GES!O9)</f>
        <v>6</v>
      </c>
      <c r="F9" s="25" t="str">
        <f aca="false">IF(A9="","",IF(D9=0,"Sin muestras",IF(D9&gt;=E9,"Suficiente","Insuficiente (&lt;"&amp;E9&amp;")")))</f>
        <v>Suficiente</v>
      </c>
      <c r="G9" s="21" t="n">
        <f aca="false">IF(N(D9)=0,"",_xlfn.MINIFS(Muestreo!$L$6:$L$305,Muestreo!$B$6:$B$305,A9))</f>
        <v>0.7</v>
      </c>
      <c r="H9" s="21" t="n">
        <f aca="false">IF(N(D9)=0,"",_xlfn.MAXIFS(Muestreo!$L$6:$L$305,Muestreo!$B$6:$B$305,A9))</f>
        <v>1.35</v>
      </c>
      <c r="I9" s="21" t="n">
        <f aca="false">IF(N(D9)=0,"",AVERAGEIFS(Muestreo!$L$6:$L$305,Muestreo!$B$6:$B$305,A9))</f>
        <v>1</v>
      </c>
      <c r="J9" s="21" t="n">
        <f aca="false">IF(N(D9)&lt;2,"",SQRT(SUMIFS(Muestreo!$U$6:$U$305,Muestreo!$B$6:$B$305,A9)/(D9-1)))</f>
        <v>0.229128784747792</v>
      </c>
      <c r="K9" s="21" t="n">
        <f aca="false">IF(N(D9)=0,"",EXP(AVERAGEIFS(Muestreo!$S$6:$S$305,Muestreo!$B$6:$B$305,A9)))</f>
        <v>0.977578612818432</v>
      </c>
      <c r="L9" s="24" t="n">
        <f aca="false">IF(N(D9)&lt;2,"",EXP(SQRT(SUMIFS(Muestreo!$T$6:$T$305,Muestreo!$B$6:$B$305,A9)/IF(Agentes!$C$15="n",D9,D9-1))))</f>
        <v>1.23819169754597</v>
      </c>
      <c r="M9" s="26" t="n">
        <f aca="false">IF(N(D9)=0,"",SUMIFS(Muestreo!$V$6:$V$305,Muestreo!$B$6:$B$305,A9)/D9)</f>
        <v>0.857142857142857</v>
      </c>
      <c r="N9" s="21" t="n">
        <f aca="false">IF(A9="","",GES!U9)</f>
        <v>0.703125</v>
      </c>
      <c r="O9" s="24" t="n">
        <f aca="false">IF(OR(I9="",N(N9)=0),"",I9/N9)</f>
        <v>1.42222222222222</v>
      </c>
      <c r="P9" s="24" t="n">
        <f aca="false">IF(OR(K9="",N(N9)=0),"",K9/N9)</f>
        <v>1.39033402711955</v>
      </c>
      <c r="Q9" s="19" t="str">
        <f aca="false">IF(B9="","",IFERROR(INDEX(Agentes!$G$6:$G$12,MATCH(B9,Agentes!$A$6:$A$12,0)),""))</f>
        <v>GATI-NEUMO 2006</v>
      </c>
      <c r="R9" s="25" t="str">
        <f aca="false">IF(L9="",IF(N(D9)=1,"n = 1: no se calcula DEG",""),IF(L9&lt;=T9,IF(LEFT(Q9,3)="Res","Mantener GES","GES aceptable"),IF(LEFT(Q9,3)="Res","Revisar conformación del GES (DEG &gt; 2,5)","GES no aceptable (DEG &gt; 2,0): revise oficios")))</f>
        <v>GES aceptable</v>
      </c>
      <c r="S9" s="24" t="n">
        <f aca="false">IF(Q9="","",IF(LEFT(Q9,3)="Res",P9,O9))</f>
        <v>1.42222222222222</v>
      </c>
      <c r="T9" s="19" t="n">
        <f aca="false">IF(Q9="","",IF(LEFT(Q9,3)="Res",2.5,2))</f>
        <v>2</v>
      </c>
      <c r="U9" s="25" t="str">
        <f aca="false">IF(OR(A9="",S9=""),IF(A9="","","Sin datos"),IF(S9&gt;1,"Sobreexposición",IF(LEFT(Q9,3)="Res",IF(S9&lt;=0.5,"Controlada","Fuera de control – precaución"),IF(S9&lt;0.5,"Controlada","Fuera de control – precaución"))))</f>
        <v>Sobreexposición</v>
      </c>
      <c r="V9" s="19" t="n">
        <f aca="false">IF(N(S9)=0,"",IF(S9&gt;=1,5,IF(M9&gt;0,4,IF(S9&gt;=0.5,3,IF(S9&gt;=0.1,2,1)))))</f>
        <v>5</v>
      </c>
      <c r="W9" s="19" t="str">
        <f aca="false">IF(V9="","",CHOOSE(V9,"De 3 a 5 años","De 1 a 3 años","De 3 meses a 1 año","De 1 a 3 meses","Evaluación continua"))</f>
        <v>Evaluación continua</v>
      </c>
      <c r="X9" s="19" t="str">
        <f aca="false">IF(OR(P9="",LEFT(B9,3)&lt;&gt;"SIL"),IF(A9="","","N/A"),IF(P9&lt;=0.5,"Cada 3 años","Anual"))</f>
        <v>N/A</v>
      </c>
      <c r="Y9" s="19" t="str">
        <f aca="false">IF(OR(A9="",S9=""),"",IF(LEFT(B9,3)="SIL",IF(S9&gt;=0.5,"SVE específico (≥ nivel de acción)","Seguimiento general de salud"),IF(B9="PNOS","Según criterio médico",IF(S9&gt;=0.5,"SVE – prioritario (CR ≥ 0,5)","SVE – todos los expuestos (GATI 7.3.1)"))))</f>
        <v>SVE – prioritario (CR ≥ 0,5)</v>
      </c>
      <c r="Z9" s="21" t="n">
        <f aca="false">IF(L9="","",K9*L9^1.645)</f>
        <v>1.38927354799363</v>
      </c>
      <c r="AA9" s="21" t="n">
        <f aca="false">IF(LEFT(B9,3)&lt;&gt;"CAR","",IFERROR(AVERAGEIFS(Muestreo!$N$6:$N$305,Muestreo!$B$6:$B$305,A9),""))</f>
        <v>0.0447142857142857</v>
      </c>
      <c r="AB9" s="24" t="n">
        <f aca="false">IF(OR(AA9="",GES!T9=""),"",AA9/(INDEX(Agentes!$F$6:$F$12,MATCH("SIL-Q",Agentes!$A$6:$A$12,0))*GES!T9))</f>
        <v>2.28937142857143</v>
      </c>
      <c r="AC9" s="25" t="str">
        <f aca="false">IF(AB9="","",IF(AB9&gt;1,"Cuarzo sobre TLV: gestionar también como sílice",IF(AB9&gt;=0.5,"Cuarzo ≥ nivel de acción","Cuarzo controlado")))</f>
        <v>Cuarzo sobre TLV: gestionar también como sílice</v>
      </c>
    </row>
    <row r="10" customFormat="false" ht="15" hidden="false" customHeight="false" outlineLevel="0" collapsed="false">
      <c r="A10" s="19" t="str">
        <f aca="false">IF(GES!A10="","",GES!A10)</f>
        <v>G05</v>
      </c>
      <c r="B10" s="19" t="str">
        <f aca="false">IF(A10="","",GES!E10)</f>
        <v>CAR-B</v>
      </c>
      <c r="C10" s="19" t="str">
        <f aca="false">IF(A10="","",GES!V10)</f>
        <v>mg/m³</v>
      </c>
      <c r="D10" s="19" t="n">
        <f aca="false">IF(A10="","",COUNTIFS(Muestreo!$B$6:$B$305,A10,Muestreo!$L$6:$L$305,"&gt;0"))</f>
        <v>6</v>
      </c>
      <c r="E10" s="19" t="n">
        <f aca="false">IF(A10="","",GES!O10)</f>
        <v>6</v>
      </c>
      <c r="F10" s="25" t="str">
        <f aca="false">IF(A10="","",IF(D10=0,"Sin muestras",IF(D10&gt;=E10,"Suficiente","Insuficiente (&lt;"&amp;E10&amp;")")))</f>
        <v>Suficiente</v>
      </c>
      <c r="G10" s="21" t="n">
        <f aca="false">IF(N(D10)=0,"",_xlfn.MINIFS(Muestreo!$L$6:$L$305,Muestreo!$B$6:$B$305,A10))</f>
        <v>0.18</v>
      </c>
      <c r="H10" s="21" t="n">
        <f aca="false">IF(N(D10)=0,"",_xlfn.MAXIFS(Muestreo!$L$6:$L$305,Muestreo!$B$6:$B$305,A10))</f>
        <v>0.35</v>
      </c>
      <c r="I10" s="21" t="n">
        <f aca="false">IF(N(D10)=0,"",AVERAGEIFS(Muestreo!$L$6:$L$305,Muestreo!$B$6:$B$305,A10))</f>
        <v>0.263333333333333</v>
      </c>
      <c r="J10" s="21" t="n">
        <f aca="false">IF(N(D10)&lt;2,"",SQRT(SUMIFS(Muestreo!$U$6:$U$305,Muestreo!$B$6:$B$305,A10)/(D10-1)))</f>
        <v>0.0602218122167265</v>
      </c>
      <c r="K10" s="21" t="n">
        <f aca="false">IF(N(D10)=0,"",EXP(AVERAGEIFS(Muestreo!$S$6:$S$305,Muestreo!$B$6:$B$305,A10)))</f>
        <v>0.257432725189466</v>
      </c>
      <c r="L10" s="24" t="n">
        <f aca="false">IF(N(D10)&lt;2,"",EXP(SQRT(SUMIFS(Muestreo!$T$6:$T$305,Muestreo!$B$6:$B$305,A10)/IF(Agentes!$C$15="n",D10,D10-1))))</f>
        <v>1.24036819862841</v>
      </c>
      <c r="M10" s="26" t="n">
        <f aca="false">IF(N(D10)=0,"",SUMIFS(Muestreo!$V$6:$V$305,Muestreo!$B$6:$B$305,A10)/D10)</f>
        <v>0</v>
      </c>
      <c r="N10" s="21" t="n">
        <f aca="false">IF(A10="","",GES!U10)</f>
        <v>0.703125</v>
      </c>
      <c r="O10" s="24" t="n">
        <f aca="false">IF(OR(I10="",N(N10)=0),"",I10/N10)</f>
        <v>0.374518518518519</v>
      </c>
      <c r="P10" s="24" t="n">
        <f aca="false">IF(OR(K10="",N(N10)=0),"",K10/N10)</f>
        <v>0.366126542491685</v>
      </c>
      <c r="Q10" s="19" t="str">
        <f aca="false">IF(B10="","",IFERROR(INDEX(Agentes!$G$6:$G$12,MATCH(B10,Agentes!$A$6:$A$12,0)),""))</f>
        <v>GATI-NEUMO 2006</v>
      </c>
      <c r="R10" s="25" t="str">
        <f aca="false">IF(L10="",IF(N(D10)=1,"n = 1: no se calcula DEG",""),IF(L10&lt;=T10,IF(LEFT(Q10,3)="Res","Mantener GES","GES aceptable"),IF(LEFT(Q10,3)="Res","Revisar conformación del GES (DEG &gt; 2,5)","GES no aceptable (DEG &gt; 2,0): revise oficios")))</f>
        <v>GES aceptable</v>
      </c>
      <c r="S10" s="24" t="n">
        <f aca="false">IF(Q10="","",IF(LEFT(Q10,3)="Res",P10,O10))</f>
        <v>0.374518518518519</v>
      </c>
      <c r="T10" s="19" t="n">
        <f aca="false">IF(Q10="","",IF(LEFT(Q10,3)="Res",2.5,2))</f>
        <v>2</v>
      </c>
      <c r="U10" s="25" t="str">
        <f aca="false">IF(OR(A10="",S10=""),IF(A10="","","Sin datos"),IF(S10&gt;1,"Sobreexposición",IF(LEFT(Q10,3)="Res",IF(S10&lt;=0.5,"Controlada","Fuera de control – precaución"),IF(S10&lt;0.5,"Controlada","Fuera de control – precaución"))))</f>
        <v>Controlada</v>
      </c>
      <c r="V10" s="19" t="n">
        <f aca="false">IF(N(S10)=0,"",IF(S10&gt;=1,5,IF(M10&gt;0,4,IF(S10&gt;=0.5,3,IF(S10&gt;=0.1,2,1)))))</f>
        <v>2</v>
      </c>
      <c r="W10" s="19" t="str">
        <f aca="false">IF(V10="","",CHOOSE(V10,"De 3 a 5 años","De 1 a 3 años","De 3 meses a 1 año","De 1 a 3 meses","Evaluación continua"))</f>
        <v>De 1 a 3 años</v>
      </c>
      <c r="X10" s="19" t="str">
        <f aca="false">IF(OR(P10="",LEFT(B10,3)&lt;&gt;"SIL"),IF(A10="","","N/A"),IF(P10&lt;=0.5,"Cada 3 años","Anual"))</f>
        <v>N/A</v>
      </c>
      <c r="Y10" s="19" t="str">
        <f aca="false">IF(OR(A10="",S10=""),"",IF(LEFT(B10,3)="SIL",IF(S10&gt;=0.5,"SVE específico (≥ nivel de acción)","Seguimiento general de salud"),IF(B10="PNOS","Según criterio médico",IF(S10&gt;=0.5,"SVE – prioritario (CR ≥ 0,5)","SVE – todos los expuestos (GATI 7.3.1)"))))</f>
        <v>SVE – todos los expuestos (GATI 7.3.1)</v>
      </c>
      <c r="Z10" s="21" t="n">
        <f aca="false">IF(L10="","",K10*L10^1.645)</f>
        <v>0.366905759356503</v>
      </c>
      <c r="AA10" s="21" t="n">
        <f aca="false">IF(LEFT(B10,3)&lt;&gt;"CAR","",IFERROR(AVERAGEIFS(Muestreo!$N$6:$N$305,Muestreo!$B$6:$B$305,A10),""))</f>
        <v>0.00603333333333333</v>
      </c>
      <c r="AB10" s="24" t="n">
        <f aca="false">IF(OR(AA10="",GES!T10=""),"",AA10/(INDEX(Agentes!$F$6:$F$12,MATCH("SIL-Q",Agentes!$A$6:$A$12,0))*GES!T10))</f>
        <v>0.308906666666667</v>
      </c>
      <c r="AC10" s="25" t="str">
        <f aca="false">IF(AB10="","",IF(AB10&gt;1,"Cuarzo sobre TLV: gestionar también como sílice",IF(AB10&gt;=0.5,"Cuarzo ≥ nivel de acción","Cuarzo controlado")))</f>
        <v>Cuarzo controlado</v>
      </c>
    </row>
    <row r="11" customFormat="false" ht="15" hidden="false" customHeight="false" outlineLevel="0" collapsed="false">
      <c r="A11" s="19" t="str">
        <f aca="false">IF(GES!A11="","",GES!A11)</f>
        <v>G06</v>
      </c>
      <c r="B11" s="19" t="str">
        <f aca="false">IF(A11="","",GES!E11)</f>
        <v>ASB</v>
      </c>
      <c r="C11" s="19" t="str">
        <f aca="false">IF(A11="","",GES!V11)</f>
        <v>f/cm³</v>
      </c>
      <c r="D11" s="19" t="n">
        <f aca="false">IF(A11="","",COUNTIFS(Muestreo!$B$6:$B$305,A11,Muestreo!$L$6:$L$305,"&gt;0"))</f>
        <v>6</v>
      </c>
      <c r="E11" s="19" t="n">
        <f aca="false">IF(A11="","",GES!O11)</f>
        <v>6</v>
      </c>
      <c r="F11" s="25" t="str">
        <f aca="false">IF(A11="","",IF(D11=0,"Sin muestras",IF(D11&gt;=E11,"Suficiente","Insuficiente (&lt;"&amp;E11&amp;")")))</f>
        <v>Suficiente</v>
      </c>
      <c r="G11" s="21" t="n">
        <f aca="false">IF(N(D11)=0,"",_xlfn.MINIFS(Muestreo!$L$6:$L$305,Muestreo!$B$6:$B$305,A11))</f>
        <v>0.02</v>
      </c>
      <c r="H11" s="21" t="n">
        <f aca="false">IF(N(D11)=0,"",_xlfn.MAXIFS(Muestreo!$L$6:$L$305,Muestreo!$B$6:$B$305,A11))</f>
        <v>0.08</v>
      </c>
      <c r="I11" s="21" t="n">
        <f aca="false">IF(N(D11)=0,"",AVERAGEIFS(Muestreo!$L$6:$L$305,Muestreo!$B$6:$B$305,A11))</f>
        <v>0.0466666666666667</v>
      </c>
      <c r="J11" s="21" t="n">
        <f aca="false">IF(N(D11)&lt;2,"",SQRT(SUMIFS(Muestreo!$U$6:$U$305,Muestreo!$B$6:$B$305,A11)/(D11-1)))</f>
        <v>0.0216024689946929</v>
      </c>
      <c r="K11" s="21" t="n">
        <f aca="false">IF(N(D11)=0,"",EXP(AVERAGEIFS(Muestreo!$S$6:$S$305,Muestreo!$B$6:$B$305,A11)))</f>
        <v>0.0423386572605092</v>
      </c>
      <c r="L11" s="24" t="n">
        <f aca="false">IF(N(D11)&lt;2,"",EXP(SQRT(SUMIFS(Muestreo!$T$6:$T$305,Muestreo!$B$6:$B$305,A11)/IF(Agentes!$C$15="n",D11,D11-1))))</f>
        <v>1.57511645382782</v>
      </c>
      <c r="M11" s="26" t="n">
        <f aca="false">IF(N(D11)=0,"",SUMIFS(Muestreo!$V$6:$V$305,Muestreo!$B$6:$B$305,A11)/D11)</f>
        <v>0.166666666666667</v>
      </c>
      <c r="N11" s="21" t="n">
        <f aca="false">IF(A11="","",GES!U11)</f>
        <v>0.078125</v>
      </c>
      <c r="O11" s="24" t="n">
        <f aca="false">IF(OR(I11="",N(N11)=0),"",I11/N11)</f>
        <v>0.597333333333333</v>
      </c>
      <c r="P11" s="24" t="n">
        <f aca="false">IF(OR(K11="",N(N11)=0),"",K11/N11)</f>
        <v>0.541934812934518</v>
      </c>
      <c r="Q11" s="19" t="str">
        <f aca="false">IF(B11="","",IFERROR(INDEX(Agentes!$G$6:$G$12,MATCH(B11,Agentes!$A$6:$A$12,0)),""))</f>
        <v>GATI-NEUMO 2006</v>
      </c>
      <c r="R11" s="25" t="str">
        <f aca="false">IF(L11="",IF(N(D11)=1,"n = 1: no se calcula DEG",""),IF(L11&lt;=T11,IF(LEFT(Q11,3)="Res","Mantener GES","GES aceptable"),IF(LEFT(Q11,3)="Res","Revisar conformación del GES (DEG &gt; 2,5)","GES no aceptable (DEG &gt; 2,0): revise oficios")))</f>
        <v>GES aceptable</v>
      </c>
      <c r="S11" s="24" t="n">
        <f aca="false">IF(Q11="","",IF(LEFT(Q11,3)="Res",P11,O11))</f>
        <v>0.597333333333333</v>
      </c>
      <c r="T11" s="19" t="n">
        <f aca="false">IF(Q11="","",IF(LEFT(Q11,3)="Res",2.5,2))</f>
        <v>2</v>
      </c>
      <c r="U11" s="25" t="str">
        <f aca="false">IF(OR(A11="",S11=""),IF(A11="","","Sin datos"),IF(S11&gt;1,"Sobreexposición",IF(LEFT(Q11,3)="Res",IF(S11&lt;=0.5,"Controlada","Fuera de control – precaución"),IF(S11&lt;0.5,"Controlada","Fuera de control – precaución"))))</f>
        <v>Fuera de control – precaución</v>
      </c>
      <c r="V11" s="19" t="n">
        <f aca="false">IF(N(S11)=0,"",IF(S11&gt;=1,5,IF(M11&gt;0,4,IF(S11&gt;=0.5,3,IF(S11&gt;=0.1,2,1)))))</f>
        <v>4</v>
      </c>
      <c r="W11" s="19" t="str">
        <f aca="false">IF(V11="","",CHOOSE(V11,"De 3 a 5 años","De 1 a 3 años","De 3 meses a 1 año","De 1 a 3 meses","Evaluación continua"))</f>
        <v>De 1 a 3 meses</v>
      </c>
      <c r="X11" s="19" t="str">
        <f aca="false">IF(OR(P11="",LEFT(B11,3)&lt;&gt;"SIL"),IF(A11="","","N/A"),IF(P11&lt;=0.5,"Cada 3 años","Anual"))</f>
        <v>N/A</v>
      </c>
      <c r="Y11" s="19" t="str">
        <f aca="false">IF(OR(A11="",S11=""),"",IF(LEFT(B11,3)="SIL",IF(S11&gt;=0.5,"SVE específico (≥ nivel de acción)","Seguimiento general de salud"),IF(B11="PNOS","Según criterio médico",IF(S11&gt;=0.5,"SVE – prioritario (CR ≥ 0,5)","SVE – todos los expuestos (GATI 7.3.1)"))))</f>
        <v>SVE – prioritario (CR ≥ 0,5)</v>
      </c>
      <c r="Z11" s="21" t="n">
        <f aca="false">IF(L11="","",K11*L11^1.645)</f>
        <v>0.0893956568493731</v>
      </c>
      <c r="AA11" s="21" t="str">
        <f aca="false">IF(LEFT(B11,3)&lt;&gt;"CAR","",IFERROR(AVERAGEIFS(Muestreo!$N$6:$N$305,Muestreo!$B$6:$B$305,A11),""))</f>
        <v/>
      </c>
      <c r="AB11" s="24" t="str">
        <f aca="false">IF(OR(AA11="",GES!T11=""),"",AA11/(INDEX(Agentes!$F$6:$F$12,MATCH("SIL-Q",Agentes!$A$6:$A$12,0))*GES!T11))</f>
        <v/>
      </c>
      <c r="AC11" s="25" t="str">
        <f aca="false">IF(AB11="","",IF(AB11&gt;1,"Cuarzo sobre TLV: gestionar también como sílice",IF(AB11&gt;=0.5,"Cuarzo ≥ nivel de acción","Cuarzo controlado")))</f>
        <v/>
      </c>
    </row>
    <row r="12" customFormat="false" ht="15" hidden="false" customHeight="false" outlineLevel="0" collapsed="false">
      <c r="A12" s="19" t="str">
        <f aca="false">IF(GES!A12="","",GES!A12)</f>
        <v/>
      </c>
      <c r="B12" s="19" t="str">
        <f aca="false">IF(A12="","",GES!E12)</f>
        <v/>
      </c>
      <c r="C12" s="19" t="str">
        <f aca="false">IF(A12="","",GES!V12)</f>
        <v/>
      </c>
      <c r="D12" s="19" t="str">
        <f aca="false">IF(A12="","",COUNTIFS(Muestreo!$B$6:$B$305,A12,Muestreo!$L$6:$L$305,"&gt;0"))</f>
        <v/>
      </c>
      <c r="E12" s="19" t="str">
        <f aca="false">IF(A12="","",GES!O12)</f>
        <v/>
      </c>
      <c r="F12" s="25" t="str">
        <f aca="false">IF(A12="","",IF(D12=0,"Sin muestras",IF(D12&gt;=E12,"Suficiente","Insuficiente (&lt;"&amp;E12&amp;")")))</f>
        <v/>
      </c>
      <c r="G12" s="21" t="str">
        <f aca="false">IF(N(D12)=0,"",_xlfn.MINIFS(Muestreo!$L$6:$L$305,Muestreo!$B$6:$B$305,A12))</f>
        <v/>
      </c>
      <c r="H12" s="21" t="str">
        <f aca="false">IF(N(D12)=0,"",_xlfn.MAXIFS(Muestreo!$L$6:$L$305,Muestreo!$B$6:$B$305,A12))</f>
        <v/>
      </c>
      <c r="I12" s="21" t="str">
        <f aca="false">IF(N(D12)=0,"",AVERAGEIFS(Muestreo!$L$6:$L$305,Muestreo!$B$6:$B$305,A12))</f>
        <v/>
      </c>
      <c r="J12" s="21" t="str">
        <f aca="false">IF(N(D12)&lt;2,"",SQRT(SUMIFS(Muestreo!$U$6:$U$305,Muestreo!$B$6:$B$305,A12)/(D12-1)))</f>
        <v/>
      </c>
      <c r="K12" s="21" t="str">
        <f aca="false">IF(N(D12)=0,"",EXP(AVERAGEIFS(Muestreo!$S$6:$S$305,Muestreo!$B$6:$B$305,A12)))</f>
        <v/>
      </c>
      <c r="L12" s="24" t="str">
        <f aca="false">IF(N(D12)&lt;2,"",EXP(SQRT(SUMIFS(Muestreo!$T$6:$T$305,Muestreo!$B$6:$B$305,A12)/IF(Agentes!$C$15="n",D12,D12-1))))</f>
        <v/>
      </c>
      <c r="M12" s="26" t="str">
        <f aca="false">IF(N(D12)=0,"",SUMIFS(Muestreo!$V$6:$V$305,Muestreo!$B$6:$B$305,A12)/D12)</f>
        <v/>
      </c>
      <c r="N12" s="21" t="str">
        <f aca="false">IF(A12="","",GES!U12)</f>
        <v/>
      </c>
      <c r="O12" s="24" t="str">
        <f aca="false">IF(OR(I12="",N(N12)=0),"",I12/N12)</f>
        <v/>
      </c>
      <c r="P12" s="24" t="str">
        <f aca="false">IF(OR(K12="",N(N12)=0),"",K12/N12)</f>
        <v/>
      </c>
      <c r="Q12" s="19" t="str">
        <f aca="false">IF(B12="","",IFERROR(INDEX(Agentes!$G$6:$G$12,MATCH(B12,Agentes!$A$6:$A$12,0)),""))</f>
        <v/>
      </c>
      <c r="R12" s="25" t="str">
        <f aca="false">IF(L12="",IF(N(D12)=1,"n = 1: no se calcula DEG",""),IF(L12&lt;=T12,IF(LEFT(Q12,3)="Res","Mantener GES","GES aceptable"),IF(LEFT(Q12,3)="Res","Revisar conformación del GES (DEG &gt; 2,5)","GES no aceptable (DEG &gt; 2,0): revise oficios")))</f>
        <v/>
      </c>
      <c r="S12" s="24" t="str">
        <f aca="false">IF(Q12="","",IF(LEFT(Q12,3)="Res",P12,O12))</f>
        <v/>
      </c>
      <c r="T12" s="19" t="str">
        <f aca="false">IF(Q12="","",IF(LEFT(Q12,3)="Res",2.5,2))</f>
        <v/>
      </c>
      <c r="U12" s="25" t="str">
        <f aca="false">IF(OR(A12="",S12=""),IF(A12="","","Sin datos"),IF(S12&gt;1,"Sobreexposición",IF(LEFT(Q12,3)="Res",IF(S12&lt;=0.5,"Controlada","Fuera de control – precaución"),IF(S12&lt;0.5,"Controlada","Fuera de control – precaución"))))</f>
        <v/>
      </c>
      <c r="V12" s="19" t="str">
        <f aca="false">IF(N(S12)=0,"",IF(S12&gt;=1,5,IF(M12&gt;0,4,IF(S12&gt;=0.5,3,IF(S12&gt;=0.1,2,1)))))</f>
        <v/>
      </c>
      <c r="W12" s="19" t="str">
        <f aca="false">IF(V12="","",CHOOSE(V12,"De 3 a 5 años","De 1 a 3 años","De 3 meses a 1 año","De 1 a 3 meses","Evaluación continua"))</f>
        <v/>
      </c>
      <c r="X12" s="19" t="str">
        <f aca="false">IF(OR(P12="",LEFT(B12,3)&lt;&gt;"SIL"),IF(A12="","","N/A"),IF(P12&lt;=0.5,"Cada 3 años","Anual"))</f>
        <v/>
      </c>
      <c r="Y12" s="19" t="str">
        <f aca="false">IF(OR(A12="",S12=""),"",IF(LEFT(B12,3)="SIL",IF(S12&gt;=0.5,"SVE específico (≥ nivel de acción)","Seguimiento general de salud"),IF(B12="PNOS","Según criterio médico",IF(S12&gt;=0.5,"SVE – prioritario (CR ≥ 0,5)","SVE – todos los expuestos (GATI 7.3.1)"))))</f>
        <v/>
      </c>
      <c r="Z12" s="21" t="str">
        <f aca="false">IF(L12="","",K12*L12^1.645)</f>
        <v/>
      </c>
      <c r="AA12" s="21" t="str">
        <f aca="false">IF(LEFT(B12,3)&lt;&gt;"CAR","",IFERROR(AVERAGEIFS(Muestreo!$N$6:$N$305,Muestreo!$B$6:$B$305,A12),""))</f>
        <v/>
      </c>
      <c r="AB12" s="24" t="str">
        <f aca="false">IF(OR(AA12="",GES!T12=""),"",AA12/(INDEX(Agentes!$F$6:$F$12,MATCH("SIL-Q",Agentes!$A$6:$A$12,0))*GES!T12))</f>
        <v/>
      </c>
      <c r="AC12" s="25" t="str">
        <f aca="false">IF(AB12="","",IF(AB12&gt;1,"Cuarzo sobre TLV: gestionar también como sílice",IF(AB12&gt;=0.5,"Cuarzo ≥ nivel de acción","Cuarzo controlado")))</f>
        <v/>
      </c>
    </row>
    <row r="13" customFormat="false" ht="15" hidden="false" customHeight="false" outlineLevel="0" collapsed="false">
      <c r="A13" s="19" t="str">
        <f aca="false">IF(GES!A13="","",GES!A13)</f>
        <v/>
      </c>
      <c r="B13" s="19" t="str">
        <f aca="false">IF(A13="","",GES!E13)</f>
        <v/>
      </c>
      <c r="C13" s="19" t="str">
        <f aca="false">IF(A13="","",GES!V13)</f>
        <v/>
      </c>
      <c r="D13" s="19" t="str">
        <f aca="false">IF(A13="","",COUNTIFS(Muestreo!$B$6:$B$305,A13,Muestreo!$L$6:$L$305,"&gt;0"))</f>
        <v/>
      </c>
      <c r="E13" s="19" t="str">
        <f aca="false">IF(A13="","",GES!O13)</f>
        <v/>
      </c>
      <c r="F13" s="25" t="str">
        <f aca="false">IF(A13="","",IF(D13=0,"Sin muestras",IF(D13&gt;=E13,"Suficiente","Insuficiente (&lt;"&amp;E13&amp;")")))</f>
        <v/>
      </c>
      <c r="G13" s="21" t="str">
        <f aca="false">IF(N(D13)=0,"",_xlfn.MINIFS(Muestreo!$L$6:$L$305,Muestreo!$B$6:$B$305,A13))</f>
        <v/>
      </c>
      <c r="H13" s="21" t="str">
        <f aca="false">IF(N(D13)=0,"",_xlfn.MAXIFS(Muestreo!$L$6:$L$305,Muestreo!$B$6:$B$305,A13))</f>
        <v/>
      </c>
      <c r="I13" s="21" t="str">
        <f aca="false">IF(N(D13)=0,"",AVERAGEIFS(Muestreo!$L$6:$L$305,Muestreo!$B$6:$B$305,A13))</f>
        <v/>
      </c>
      <c r="J13" s="21" t="str">
        <f aca="false">IF(N(D13)&lt;2,"",SQRT(SUMIFS(Muestreo!$U$6:$U$305,Muestreo!$B$6:$B$305,A13)/(D13-1)))</f>
        <v/>
      </c>
      <c r="K13" s="21" t="str">
        <f aca="false">IF(N(D13)=0,"",EXP(AVERAGEIFS(Muestreo!$S$6:$S$305,Muestreo!$B$6:$B$305,A13)))</f>
        <v/>
      </c>
      <c r="L13" s="24" t="str">
        <f aca="false">IF(N(D13)&lt;2,"",EXP(SQRT(SUMIFS(Muestreo!$T$6:$T$305,Muestreo!$B$6:$B$305,A13)/IF(Agentes!$C$15="n",D13,D13-1))))</f>
        <v/>
      </c>
      <c r="M13" s="26" t="str">
        <f aca="false">IF(N(D13)=0,"",SUMIFS(Muestreo!$V$6:$V$305,Muestreo!$B$6:$B$305,A13)/D13)</f>
        <v/>
      </c>
      <c r="N13" s="21" t="str">
        <f aca="false">IF(A13="","",GES!U13)</f>
        <v/>
      </c>
      <c r="O13" s="24" t="str">
        <f aca="false">IF(OR(I13="",N(N13)=0),"",I13/N13)</f>
        <v/>
      </c>
      <c r="P13" s="24" t="str">
        <f aca="false">IF(OR(K13="",N(N13)=0),"",K13/N13)</f>
        <v/>
      </c>
      <c r="Q13" s="19" t="str">
        <f aca="false">IF(B13="","",IFERROR(INDEX(Agentes!$G$6:$G$12,MATCH(B13,Agentes!$A$6:$A$12,0)),""))</f>
        <v/>
      </c>
      <c r="R13" s="25" t="str">
        <f aca="false">IF(L13="",IF(N(D13)=1,"n = 1: no se calcula DEG",""),IF(L13&lt;=T13,IF(LEFT(Q13,3)="Res","Mantener GES","GES aceptable"),IF(LEFT(Q13,3)="Res","Revisar conformación del GES (DEG &gt; 2,5)","GES no aceptable (DEG &gt; 2,0): revise oficios")))</f>
        <v/>
      </c>
      <c r="S13" s="24" t="str">
        <f aca="false">IF(Q13="","",IF(LEFT(Q13,3)="Res",P13,O13))</f>
        <v/>
      </c>
      <c r="T13" s="19" t="str">
        <f aca="false">IF(Q13="","",IF(LEFT(Q13,3)="Res",2.5,2))</f>
        <v/>
      </c>
      <c r="U13" s="25" t="str">
        <f aca="false">IF(OR(A13="",S13=""),IF(A13="","","Sin datos"),IF(S13&gt;1,"Sobreexposición",IF(LEFT(Q13,3)="Res",IF(S13&lt;=0.5,"Controlada","Fuera de control – precaución"),IF(S13&lt;0.5,"Controlada","Fuera de control – precaución"))))</f>
        <v/>
      </c>
      <c r="V13" s="19" t="str">
        <f aca="false">IF(N(S13)=0,"",IF(S13&gt;=1,5,IF(M13&gt;0,4,IF(S13&gt;=0.5,3,IF(S13&gt;=0.1,2,1)))))</f>
        <v/>
      </c>
      <c r="W13" s="19" t="str">
        <f aca="false">IF(V13="","",CHOOSE(V13,"De 3 a 5 años","De 1 a 3 años","De 3 meses a 1 año","De 1 a 3 meses","Evaluación continua"))</f>
        <v/>
      </c>
      <c r="X13" s="19" t="str">
        <f aca="false">IF(OR(P13="",LEFT(B13,3)&lt;&gt;"SIL"),IF(A13="","","N/A"),IF(P13&lt;=0.5,"Cada 3 años","Anual"))</f>
        <v/>
      </c>
      <c r="Y13" s="19" t="str">
        <f aca="false">IF(OR(A13="",S13=""),"",IF(LEFT(B13,3)="SIL",IF(S13&gt;=0.5,"SVE específico (≥ nivel de acción)","Seguimiento general de salud"),IF(B13="PNOS","Según criterio médico",IF(S13&gt;=0.5,"SVE – prioritario (CR ≥ 0,5)","SVE – todos los expuestos (GATI 7.3.1)"))))</f>
        <v/>
      </c>
      <c r="Z13" s="21" t="str">
        <f aca="false">IF(L13="","",K13*L13^1.645)</f>
        <v/>
      </c>
      <c r="AA13" s="21" t="str">
        <f aca="false">IF(LEFT(B13,3)&lt;&gt;"CAR","",IFERROR(AVERAGEIFS(Muestreo!$N$6:$N$305,Muestreo!$B$6:$B$305,A13),""))</f>
        <v/>
      </c>
      <c r="AB13" s="24" t="str">
        <f aca="false">IF(OR(AA13="",GES!T13=""),"",AA13/(INDEX(Agentes!$F$6:$F$12,MATCH("SIL-Q",Agentes!$A$6:$A$12,0))*GES!T13))</f>
        <v/>
      </c>
      <c r="AC13" s="25" t="str">
        <f aca="false">IF(AB13="","",IF(AB13&gt;1,"Cuarzo sobre TLV: gestionar también como sílice",IF(AB13&gt;=0.5,"Cuarzo ≥ nivel de acción","Cuarzo controlado")))</f>
        <v/>
      </c>
    </row>
    <row r="14" customFormat="false" ht="15" hidden="false" customHeight="false" outlineLevel="0" collapsed="false">
      <c r="A14" s="19" t="str">
        <f aca="false">IF(GES!A14="","",GES!A14)</f>
        <v/>
      </c>
      <c r="B14" s="19" t="str">
        <f aca="false">IF(A14="","",GES!E14)</f>
        <v/>
      </c>
      <c r="C14" s="19" t="str">
        <f aca="false">IF(A14="","",GES!V14)</f>
        <v/>
      </c>
      <c r="D14" s="19" t="str">
        <f aca="false">IF(A14="","",COUNTIFS(Muestreo!$B$6:$B$305,A14,Muestreo!$L$6:$L$305,"&gt;0"))</f>
        <v/>
      </c>
      <c r="E14" s="19" t="str">
        <f aca="false">IF(A14="","",GES!O14)</f>
        <v/>
      </c>
      <c r="F14" s="25" t="str">
        <f aca="false">IF(A14="","",IF(D14=0,"Sin muestras",IF(D14&gt;=E14,"Suficiente","Insuficiente (&lt;"&amp;E14&amp;")")))</f>
        <v/>
      </c>
      <c r="G14" s="21" t="str">
        <f aca="false">IF(N(D14)=0,"",_xlfn.MINIFS(Muestreo!$L$6:$L$305,Muestreo!$B$6:$B$305,A14))</f>
        <v/>
      </c>
      <c r="H14" s="21" t="str">
        <f aca="false">IF(N(D14)=0,"",_xlfn.MAXIFS(Muestreo!$L$6:$L$305,Muestreo!$B$6:$B$305,A14))</f>
        <v/>
      </c>
      <c r="I14" s="21" t="str">
        <f aca="false">IF(N(D14)=0,"",AVERAGEIFS(Muestreo!$L$6:$L$305,Muestreo!$B$6:$B$305,A14))</f>
        <v/>
      </c>
      <c r="J14" s="21" t="str">
        <f aca="false">IF(N(D14)&lt;2,"",SQRT(SUMIFS(Muestreo!$U$6:$U$305,Muestreo!$B$6:$B$305,A14)/(D14-1)))</f>
        <v/>
      </c>
      <c r="K14" s="21" t="str">
        <f aca="false">IF(N(D14)=0,"",EXP(AVERAGEIFS(Muestreo!$S$6:$S$305,Muestreo!$B$6:$B$305,A14)))</f>
        <v/>
      </c>
      <c r="L14" s="24" t="str">
        <f aca="false">IF(N(D14)&lt;2,"",EXP(SQRT(SUMIFS(Muestreo!$T$6:$T$305,Muestreo!$B$6:$B$305,A14)/IF(Agentes!$C$15="n",D14,D14-1))))</f>
        <v/>
      </c>
      <c r="M14" s="26" t="str">
        <f aca="false">IF(N(D14)=0,"",SUMIFS(Muestreo!$V$6:$V$305,Muestreo!$B$6:$B$305,A14)/D14)</f>
        <v/>
      </c>
      <c r="N14" s="21" t="str">
        <f aca="false">IF(A14="","",GES!U14)</f>
        <v/>
      </c>
      <c r="O14" s="24" t="str">
        <f aca="false">IF(OR(I14="",N(N14)=0),"",I14/N14)</f>
        <v/>
      </c>
      <c r="P14" s="24" t="str">
        <f aca="false">IF(OR(K14="",N(N14)=0),"",K14/N14)</f>
        <v/>
      </c>
      <c r="Q14" s="19" t="str">
        <f aca="false">IF(B14="","",IFERROR(INDEX(Agentes!$G$6:$G$12,MATCH(B14,Agentes!$A$6:$A$12,0)),""))</f>
        <v/>
      </c>
      <c r="R14" s="25" t="str">
        <f aca="false">IF(L14="",IF(N(D14)=1,"n = 1: no se calcula DEG",""),IF(L14&lt;=T14,IF(LEFT(Q14,3)="Res","Mantener GES","GES aceptable"),IF(LEFT(Q14,3)="Res","Revisar conformación del GES (DEG &gt; 2,5)","GES no aceptable (DEG &gt; 2,0): revise oficios")))</f>
        <v/>
      </c>
      <c r="S14" s="24" t="str">
        <f aca="false">IF(Q14="","",IF(LEFT(Q14,3)="Res",P14,O14))</f>
        <v/>
      </c>
      <c r="T14" s="19" t="str">
        <f aca="false">IF(Q14="","",IF(LEFT(Q14,3)="Res",2.5,2))</f>
        <v/>
      </c>
      <c r="U14" s="25" t="str">
        <f aca="false">IF(OR(A14="",S14=""),IF(A14="","","Sin datos"),IF(S14&gt;1,"Sobreexposición",IF(LEFT(Q14,3)="Res",IF(S14&lt;=0.5,"Controlada","Fuera de control – precaución"),IF(S14&lt;0.5,"Controlada","Fuera de control – precaución"))))</f>
        <v/>
      </c>
      <c r="V14" s="19" t="str">
        <f aca="false">IF(N(S14)=0,"",IF(S14&gt;=1,5,IF(M14&gt;0,4,IF(S14&gt;=0.5,3,IF(S14&gt;=0.1,2,1)))))</f>
        <v/>
      </c>
      <c r="W14" s="19" t="str">
        <f aca="false">IF(V14="","",CHOOSE(V14,"De 3 a 5 años","De 1 a 3 años","De 3 meses a 1 año","De 1 a 3 meses","Evaluación continua"))</f>
        <v/>
      </c>
      <c r="X14" s="19" t="str">
        <f aca="false">IF(OR(P14="",LEFT(B14,3)&lt;&gt;"SIL"),IF(A14="","","N/A"),IF(P14&lt;=0.5,"Cada 3 años","Anual"))</f>
        <v/>
      </c>
      <c r="Y14" s="19" t="str">
        <f aca="false">IF(OR(A14="",S14=""),"",IF(LEFT(B14,3)="SIL",IF(S14&gt;=0.5,"SVE específico (≥ nivel de acción)","Seguimiento general de salud"),IF(B14="PNOS","Según criterio médico",IF(S14&gt;=0.5,"SVE – prioritario (CR ≥ 0,5)","SVE – todos los expuestos (GATI 7.3.1)"))))</f>
        <v/>
      </c>
      <c r="Z14" s="21" t="str">
        <f aca="false">IF(L14="","",K14*L14^1.645)</f>
        <v/>
      </c>
      <c r="AA14" s="21" t="str">
        <f aca="false">IF(LEFT(B14,3)&lt;&gt;"CAR","",IFERROR(AVERAGEIFS(Muestreo!$N$6:$N$305,Muestreo!$B$6:$B$305,A14),""))</f>
        <v/>
      </c>
      <c r="AB14" s="24" t="str">
        <f aca="false">IF(OR(AA14="",GES!T14=""),"",AA14/(INDEX(Agentes!$F$6:$F$12,MATCH("SIL-Q",Agentes!$A$6:$A$12,0))*GES!T14))</f>
        <v/>
      </c>
      <c r="AC14" s="25" t="str">
        <f aca="false">IF(AB14="","",IF(AB14&gt;1,"Cuarzo sobre TLV: gestionar también como sílice",IF(AB14&gt;=0.5,"Cuarzo ≥ nivel de acción","Cuarzo controlado")))</f>
        <v/>
      </c>
    </row>
    <row r="15" customFormat="false" ht="15" hidden="false" customHeight="false" outlineLevel="0" collapsed="false">
      <c r="A15" s="19" t="str">
        <f aca="false">IF(GES!A15="","",GES!A15)</f>
        <v/>
      </c>
      <c r="B15" s="19" t="str">
        <f aca="false">IF(A15="","",GES!E15)</f>
        <v/>
      </c>
      <c r="C15" s="19" t="str">
        <f aca="false">IF(A15="","",GES!V15)</f>
        <v/>
      </c>
      <c r="D15" s="19" t="str">
        <f aca="false">IF(A15="","",COUNTIFS(Muestreo!$B$6:$B$305,A15,Muestreo!$L$6:$L$305,"&gt;0"))</f>
        <v/>
      </c>
      <c r="E15" s="19" t="str">
        <f aca="false">IF(A15="","",GES!O15)</f>
        <v/>
      </c>
      <c r="F15" s="25" t="str">
        <f aca="false">IF(A15="","",IF(D15=0,"Sin muestras",IF(D15&gt;=E15,"Suficiente","Insuficiente (&lt;"&amp;E15&amp;")")))</f>
        <v/>
      </c>
      <c r="G15" s="21" t="str">
        <f aca="false">IF(N(D15)=0,"",_xlfn.MINIFS(Muestreo!$L$6:$L$305,Muestreo!$B$6:$B$305,A15))</f>
        <v/>
      </c>
      <c r="H15" s="21" t="str">
        <f aca="false">IF(N(D15)=0,"",_xlfn.MAXIFS(Muestreo!$L$6:$L$305,Muestreo!$B$6:$B$305,A15))</f>
        <v/>
      </c>
      <c r="I15" s="21" t="str">
        <f aca="false">IF(N(D15)=0,"",AVERAGEIFS(Muestreo!$L$6:$L$305,Muestreo!$B$6:$B$305,A15))</f>
        <v/>
      </c>
      <c r="J15" s="21" t="str">
        <f aca="false">IF(N(D15)&lt;2,"",SQRT(SUMIFS(Muestreo!$U$6:$U$305,Muestreo!$B$6:$B$305,A15)/(D15-1)))</f>
        <v/>
      </c>
      <c r="K15" s="21" t="str">
        <f aca="false">IF(N(D15)=0,"",EXP(AVERAGEIFS(Muestreo!$S$6:$S$305,Muestreo!$B$6:$B$305,A15)))</f>
        <v/>
      </c>
      <c r="L15" s="24" t="str">
        <f aca="false">IF(N(D15)&lt;2,"",EXP(SQRT(SUMIFS(Muestreo!$T$6:$T$305,Muestreo!$B$6:$B$305,A15)/IF(Agentes!$C$15="n",D15,D15-1))))</f>
        <v/>
      </c>
      <c r="M15" s="26" t="str">
        <f aca="false">IF(N(D15)=0,"",SUMIFS(Muestreo!$V$6:$V$305,Muestreo!$B$6:$B$305,A15)/D15)</f>
        <v/>
      </c>
      <c r="N15" s="21" t="str">
        <f aca="false">IF(A15="","",GES!U15)</f>
        <v/>
      </c>
      <c r="O15" s="24" t="str">
        <f aca="false">IF(OR(I15="",N(N15)=0),"",I15/N15)</f>
        <v/>
      </c>
      <c r="P15" s="24" t="str">
        <f aca="false">IF(OR(K15="",N(N15)=0),"",K15/N15)</f>
        <v/>
      </c>
      <c r="Q15" s="19" t="str">
        <f aca="false">IF(B15="","",IFERROR(INDEX(Agentes!$G$6:$G$12,MATCH(B15,Agentes!$A$6:$A$12,0)),""))</f>
        <v/>
      </c>
      <c r="R15" s="25" t="str">
        <f aca="false">IF(L15="",IF(N(D15)=1,"n = 1: no se calcula DEG",""),IF(L15&lt;=T15,IF(LEFT(Q15,3)="Res","Mantener GES","GES aceptable"),IF(LEFT(Q15,3)="Res","Revisar conformación del GES (DEG &gt; 2,5)","GES no aceptable (DEG &gt; 2,0): revise oficios")))</f>
        <v/>
      </c>
      <c r="S15" s="24" t="str">
        <f aca="false">IF(Q15="","",IF(LEFT(Q15,3)="Res",P15,O15))</f>
        <v/>
      </c>
      <c r="T15" s="19" t="str">
        <f aca="false">IF(Q15="","",IF(LEFT(Q15,3)="Res",2.5,2))</f>
        <v/>
      </c>
      <c r="U15" s="25" t="str">
        <f aca="false">IF(OR(A15="",S15=""),IF(A15="","","Sin datos"),IF(S15&gt;1,"Sobreexposición",IF(LEFT(Q15,3)="Res",IF(S15&lt;=0.5,"Controlada","Fuera de control – precaución"),IF(S15&lt;0.5,"Controlada","Fuera de control – precaución"))))</f>
        <v/>
      </c>
      <c r="V15" s="19" t="str">
        <f aca="false">IF(N(S15)=0,"",IF(S15&gt;=1,5,IF(M15&gt;0,4,IF(S15&gt;=0.5,3,IF(S15&gt;=0.1,2,1)))))</f>
        <v/>
      </c>
      <c r="W15" s="19" t="str">
        <f aca="false">IF(V15="","",CHOOSE(V15,"De 3 a 5 años","De 1 a 3 años","De 3 meses a 1 año","De 1 a 3 meses","Evaluación continua"))</f>
        <v/>
      </c>
      <c r="X15" s="19" t="str">
        <f aca="false">IF(OR(P15="",LEFT(B15,3)&lt;&gt;"SIL"),IF(A15="","","N/A"),IF(P15&lt;=0.5,"Cada 3 años","Anual"))</f>
        <v/>
      </c>
      <c r="Y15" s="19" t="str">
        <f aca="false">IF(OR(A15="",S15=""),"",IF(LEFT(B15,3)="SIL",IF(S15&gt;=0.5,"SVE específico (≥ nivel de acción)","Seguimiento general de salud"),IF(B15="PNOS","Según criterio médico",IF(S15&gt;=0.5,"SVE – prioritario (CR ≥ 0,5)","SVE – todos los expuestos (GATI 7.3.1)"))))</f>
        <v/>
      </c>
      <c r="Z15" s="21" t="str">
        <f aca="false">IF(L15="","",K15*L15^1.645)</f>
        <v/>
      </c>
      <c r="AA15" s="21" t="str">
        <f aca="false">IF(LEFT(B15,3)&lt;&gt;"CAR","",IFERROR(AVERAGEIFS(Muestreo!$N$6:$N$305,Muestreo!$B$6:$B$305,A15),""))</f>
        <v/>
      </c>
      <c r="AB15" s="24" t="str">
        <f aca="false">IF(OR(AA15="",GES!T15=""),"",AA15/(INDEX(Agentes!$F$6:$F$12,MATCH("SIL-Q",Agentes!$A$6:$A$12,0))*GES!T15))</f>
        <v/>
      </c>
      <c r="AC15" s="25" t="str">
        <f aca="false">IF(AB15="","",IF(AB15&gt;1,"Cuarzo sobre TLV: gestionar también como sílice",IF(AB15&gt;=0.5,"Cuarzo ≥ nivel de acción","Cuarzo controlado")))</f>
        <v/>
      </c>
    </row>
    <row r="16" customFormat="false" ht="15" hidden="false" customHeight="false" outlineLevel="0" collapsed="false">
      <c r="A16" s="19" t="str">
        <f aca="false">IF(GES!A16="","",GES!A16)</f>
        <v/>
      </c>
      <c r="B16" s="19" t="str">
        <f aca="false">IF(A16="","",GES!E16)</f>
        <v/>
      </c>
      <c r="C16" s="19" t="str">
        <f aca="false">IF(A16="","",GES!V16)</f>
        <v/>
      </c>
      <c r="D16" s="19" t="str">
        <f aca="false">IF(A16="","",COUNTIFS(Muestreo!$B$6:$B$305,A16,Muestreo!$L$6:$L$305,"&gt;0"))</f>
        <v/>
      </c>
      <c r="E16" s="19" t="str">
        <f aca="false">IF(A16="","",GES!O16)</f>
        <v/>
      </c>
      <c r="F16" s="25" t="str">
        <f aca="false">IF(A16="","",IF(D16=0,"Sin muestras",IF(D16&gt;=E16,"Suficiente","Insuficiente (&lt;"&amp;E16&amp;")")))</f>
        <v/>
      </c>
      <c r="G16" s="21" t="str">
        <f aca="false">IF(N(D16)=0,"",_xlfn.MINIFS(Muestreo!$L$6:$L$305,Muestreo!$B$6:$B$305,A16))</f>
        <v/>
      </c>
      <c r="H16" s="21" t="str">
        <f aca="false">IF(N(D16)=0,"",_xlfn.MAXIFS(Muestreo!$L$6:$L$305,Muestreo!$B$6:$B$305,A16))</f>
        <v/>
      </c>
      <c r="I16" s="21" t="str">
        <f aca="false">IF(N(D16)=0,"",AVERAGEIFS(Muestreo!$L$6:$L$305,Muestreo!$B$6:$B$305,A16))</f>
        <v/>
      </c>
      <c r="J16" s="21" t="str">
        <f aca="false">IF(N(D16)&lt;2,"",SQRT(SUMIFS(Muestreo!$U$6:$U$305,Muestreo!$B$6:$B$305,A16)/(D16-1)))</f>
        <v/>
      </c>
      <c r="K16" s="21" t="str">
        <f aca="false">IF(N(D16)=0,"",EXP(AVERAGEIFS(Muestreo!$S$6:$S$305,Muestreo!$B$6:$B$305,A16)))</f>
        <v/>
      </c>
      <c r="L16" s="24" t="str">
        <f aca="false">IF(N(D16)&lt;2,"",EXP(SQRT(SUMIFS(Muestreo!$T$6:$T$305,Muestreo!$B$6:$B$305,A16)/IF(Agentes!$C$15="n",D16,D16-1))))</f>
        <v/>
      </c>
      <c r="M16" s="26" t="str">
        <f aca="false">IF(N(D16)=0,"",SUMIFS(Muestreo!$V$6:$V$305,Muestreo!$B$6:$B$305,A16)/D16)</f>
        <v/>
      </c>
      <c r="N16" s="21" t="str">
        <f aca="false">IF(A16="","",GES!U16)</f>
        <v/>
      </c>
      <c r="O16" s="24" t="str">
        <f aca="false">IF(OR(I16="",N(N16)=0),"",I16/N16)</f>
        <v/>
      </c>
      <c r="P16" s="24" t="str">
        <f aca="false">IF(OR(K16="",N(N16)=0),"",K16/N16)</f>
        <v/>
      </c>
      <c r="Q16" s="19" t="str">
        <f aca="false">IF(B16="","",IFERROR(INDEX(Agentes!$G$6:$G$12,MATCH(B16,Agentes!$A$6:$A$12,0)),""))</f>
        <v/>
      </c>
      <c r="R16" s="25" t="str">
        <f aca="false">IF(L16="",IF(N(D16)=1,"n = 1: no se calcula DEG",""),IF(L16&lt;=T16,IF(LEFT(Q16,3)="Res","Mantener GES","GES aceptable"),IF(LEFT(Q16,3)="Res","Revisar conformación del GES (DEG &gt; 2,5)","GES no aceptable (DEG &gt; 2,0): revise oficios")))</f>
        <v/>
      </c>
      <c r="S16" s="24" t="str">
        <f aca="false">IF(Q16="","",IF(LEFT(Q16,3)="Res",P16,O16))</f>
        <v/>
      </c>
      <c r="T16" s="19" t="str">
        <f aca="false">IF(Q16="","",IF(LEFT(Q16,3)="Res",2.5,2))</f>
        <v/>
      </c>
      <c r="U16" s="25" t="str">
        <f aca="false">IF(OR(A16="",S16=""),IF(A16="","","Sin datos"),IF(S16&gt;1,"Sobreexposición",IF(LEFT(Q16,3)="Res",IF(S16&lt;=0.5,"Controlada","Fuera de control – precaución"),IF(S16&lt;0.5,"Controlada","Fuera de control – precaución"))))</f>
        <v/>
      </c>
      <c r="V16" s="19" t="str">
        <f aca="false">IF(N(S16)=0,"",IF(S16&gt;=1,5,IF(M16&gt;0,4,IF(S16&gt;=0.5,3,IF(S16&gt;=0.1,2,1)))))</f>
        <v/>
      </c>
      <c r="W16" s="19" t="str">
        <f aca="false">IF(V16="","",CHOOSE(V16,"De 3 a 5 años","De 1 a 3 años","De 3 meses a 1 año","De 1 a 3 meses","Evaluación continua"))</f>
        <v/>
      </c>
      <c r="X16" s="19" t="str">
        <f aca="false">IF(OR(P16="",LEFT(B16,3)&lt;&gt;"SIL"),IF(A16="","","N/A"),IF(P16&lt;=0.5,"Cada 3 años","Anual"))</f>
        <v/>
      </c>
      <c r="Y16" s="19" t="str">
        <f aca="false">IF(OR(A16="",S16=""),"",IF(LEFT(B16,3)="SIL",IF(S16&gt;=0.5,"SVE específico (≥ nivel de acción)","Seguimiento general de salud"),IF(B16="PNOS","Según criterio médico",IF(S16&gt;=0.5,"SVE – prioritario (CR ≥ 0,5)","SVE – todos los expuestos (GATI 7.3.1)"))))</f>
        <v/>
      </c>
      <c r="Z16" s="21" t="str">
        <f aca="false">IF(L16="","",K16*L16^1.645)</f>
        <v/>
      </c>
      <c r="AA16" s="21" t="str">
        <f aca="false">IF(LEFT(B16,3)&lt;&gt;"CAR","",IFERROR(AVERAGEIFS(Muestreo!$N$6:$N$305,Muestreo!$B$6:$B$305,A16),""))</f>
        <v/>
      </c>
      <c r="AB16" s="24" t="str">
        <f aca="false">IF(OR(AA16="",GES!T16=""),"",AA16/(INDEX(Agentes!$F$6:$F$12,MATCH("SIL-Q",Agentes!$A$6:$A$12,0))*GES!T16))</f>
        <v/>
      </c>
      <c r="AC16" s="25" t="str">
        <f aca="false">IF(AB16="","",IF(AB16&gt;1,"Cuarzo sobre TLV: gestionar también como sílice",IF(AB16&gt;=0.5,"Cuarzo ≥ nivel de acción","Cuarzo controlado")))</f>
        <v/>
      </c>
    </row>
    <row r="17" customFormat="false" ht="15" hidden="false" customHeight="false" outlineLevel="0" collapsed="false">
      <c r="A17" s="19" t="str">
        <f aca="false">IF(GES!A17="","",GES!A17)</f>
        <v/>
      </c>
      <c r="B17" s="19" t="str">
        <f aca="false">IF(A17="","",GES!E17)</f>
        <v/>
      </c>
      <c r="C17" s="19" t="str">
        <f aca="false">IF(A17="","",GES!V17)</f>
        <v/>
      </c>
      <c r="D17" s="19" t="str">
        <f aca="false">IF(A17="","",COUNTIFS(Muestreo!$B$6:$B$305,A17,Muestreo!$L$6:$L$305,"&gt;0"))</f>
        <v/>
      </c>
      <c r="E17" s="19" t="str">
        <f aca="false">IF(A17="","",GES!O17)</f>
        <v/>
      </c>
      <c r="F17" s="25" t="str">
        <f aca="false">IF(A17="","",IF(D17=0,"Sin muestras",IF(D17&gt;=E17,"Suficiente","Insuficiente (&lt;"&amp;E17&amp;")")))</f>
        <v/>
      </c>
      <c r="G17" s="21" t="str">
        <f aca="false">IF(N(D17)=0,"",_xlfn.MINIFS(Muestreo!$L$6:$L$305,Muestreo!$B$6:$B$305,A17))</f>
        <v/>
      </c>
      <c r="H17" s="21" t="str">
        <f aca="false">IF(N(D17)=0,"",_xlfn.MAXIFS(Muestreo!$L$6:$L$305,Muestreo!$B$6:$B$305,A17))</f>
        <v/>
      </c>
      <c r="I17" s="21" t="str">
        <f aca="false">IF(N(D17)=0,"",AVERAGEIFS(Muestreo!$L$6:$L$305,Muestreo!$B$6:$B$305,A17))</f>
        <v/>
      </c>
      <c r="J17" s="21" t="str">
        <f aca="false">IF(N(D17)&lt;2,"",SQRT(SUMIFS(Muestreo!$U$6:$U$305,Muestreo!$B$6:$B$305,A17)/(D17-1)))</f>
        <v/>
      </c>
      <c r="K17" s="21" t="str">
        <f aca="false">IF(N(D17)=0,"",EXP(AVERAGEIFS(Muestreo!$S$6:$S$305,Muestreo!$B$6:$B$305,A17)))</f>
        <v/>
      </c>
      <c r="L17" s="24" t="str">
        <f aca="false">IF(N(D17)&lt;2,"",EXP(SQRT(SUMIFS(Muestreo!$T$6:$T$305,Muestreo!$B$6:$B$305,A17)/IF(Agentes!$C$15="n",D17,D17-1))))</f>
        <v/>
      </c>
      <c r="M17" s="26" t="str">
        <f aca="false">IF(N(D17)=0,"",SUMIFS(Muestreo!$V$6:$V$305,Muestreo!$B$6:$B$305,A17)/D17)</f>
        <v/>
      </c>
      <c r="N17" s="21" t="str">
        <f aca="false">IF(A17="","",GES!U17)</f>
        <v/>
      </c>
      <c r="O17" s="24" t="str">
        <f aca="false">IF(OR(I17="",N(N17)=0),"",I17/N17)</f>
        <v/>
      </c>
      <c r="P17" s="24" t="str">
        <f aca="false">IF(OR(K17="",N(N17)=0),"",K17/N17)</f>
        <v/>
      </c>
      <c r="Q17" s="19" t="str">
        <f aca="false">IF(B17="","",IFERROR(INDEX(Agentes!$G$6:$G$12,MATCH(B17,Agentes!$A$6:$A$12,0)),""))</f>
        <v/>
      </c>
      <c r="R17" s="25" t="str">
        <f aca="false">IF(L17="",IF(N(D17)=1,"n = 1: no se calcula DEG",""),IF(L17&lt;=T17,IF(LEFT(Q17,3)="Res","Mantener GES","GES aceptable"),IF(LEFT(Q17,3)="Res","Revisar conformación del GES (DEG &gt; 2,5)","GES no aceptable (DEG &gt; 2,0): revise oficios")))</f>
        <v/>
      </c>
      <c r="S17" s="24" t="str">
        <f aca="false">IF(Q17="","",IF(LEFT(Q17,3)="Res",P17,O17))</f>
        <v/>
      </c>
      <c r="T17" s="19" t="str">
        <f aca="false">IF(Q17="","",IF(LEFT(Q17,3)="Res",2.5,2))</f>
        <v/>
      </c>
      <c r="U17" s="25" t="str">
        <f aca="false">IF(OR(A17="",S17=""),IF(A17="","","Sin datos"),IF(S17&gt;1,"Sobreexposición",IF(LEFT(Q17,3)="Res",IF(S17&lt;=0.5,"Controlada","Fuera de control – precaución"),IF(S17&lt;0.5,"Controlada","Fuera de control – precaución"))))</f>
        <v/>
      </c>
      <c r="V17" s="19" t="str">
        <f aca="false">IF(N(S17)=0,"",IF(S17&gt;=1,5,IF(M17&gt;0,4,IF(S17&gt;=0.5,3,IF(S17&gt;=0.1,2,1)))))</f>
        <v/>
      </c>
      <c r="W17" s="19" t="str">
        <f aca="false">IF(V17="","",CHOOSE(V17,"De 3 a 5 años","De 1 a 3 años","De 3 meses a 1 año","De 1 a 3 meses","Evaluación continua"))</f>
        <v/>
      </c>
      <c r="X17" s="19" t="str">
        <f aca="false">IF(OR(P17="",LEFT(B17,3)&lt;&gt;"SIL"),IF(A17="","","N/A"),IF(P17&lt;=0.5,"Cada 3 años","Anual"))</f>
        <v/>
      </c>
      <c r="Y17" s="19" t="str">
        <f aca="false">IF(OR(A17="",S17=""),"",IF(LEFT(B17,3)="SIL",IF(S17&gt;=0.5,"SVE específico (≥ nivel de acción)","Seguimiento general de salud"),IF(B17="PNOS","Según criterio médico",IF(S17&gt;=0.5,"SVE – prioritario (CR ≥ 0,5)","SVE – todos los expuestos (GATI 7.3.1)"))))</f>
        <v/>
      </c>
      <c r="Z17" s="21" t="str">
        <f aca="false">IF(L17="","",K17*L17^1.645)</f>
        <v/>
      </c>
      <c r="AA17" s="21" t="str">
        <f aca="false">IF(LEFT(B17,3)&lt;&gt;"CAR","",IFERROR(AVERAGEIFS(Muestreo!$N$6:$N$305,Muestreo!$B$6:$B$305,A17),""))</f>
        <v/>
      </c>
      <c r="AB17" s="24" t="str">
        <f aca="false">IF(OR(AA17="",GES!T17=""),"",AA17/(INDEX(Agentes!$F$6:$F$12,MATCH("SIL-Q",Agentes!$A$6:$A$12,0))*GES!T17))</f>
        <v/>
      </c>
      <c r="AC17" s="25" t="str">
        <f aca="false">IF(AB17="","",IF(AB17&gt;1,"Cuarzo sobre TLV: gestionar también como sílice",IF(AB17&gt;=0.5,"Cuarzo ≥ nivel de acción","Cuarzo controlado")))</f>
        <v/>
      </c>
    </row>
    <row r="18" customFormat="false" ht="15" hidden="false" customHeight="false" outlineLevel="0" collapsed="false">
      <c r="A18" s="19" t="str">
        <f aca="false">IF(GES!A18="","",GES!A18)</f>
        <v/>
      </c>
      <c r="B18" s="19" t="str">
        <f aca="false">IF(A18="","",GES!E18)</f>
        <v/>
      </c>
      <c r="C18" s="19" t="str">
        <f aca="false">IF(A18="","",GES!V18)</f>
        <v/>
      </c>
      <c r="D18" s="19" t="str">
        <f aca="false">IF(A18="","",COUNTIFS(Muestreo!$B$6:$B$305,A18,Muestreo!$L$6:$L$305,"&gt;0"))</f>
        <v/>
      </c>
      <c r="E18" s="19" t="str">
        <f aca="false">IF(A18="","",GES!O18)</f>
        <v/>
      </c>
      <c r="F18" s="25" t="str">
        <f aca="false">IF(A18="","",IF(D18=0,"Sin muestras",IF(D18&gt;=E18,"Suficiente","Insuficiente (&lt;"&amp;E18&amp;")")))</f>
        <v/>
      </c>
      <c r="G18" s="21" t="str">
        <f aca="false">IF(N(D18)=0,"",_xlfn.MINIFS(Muestreo!$L$6:$L$305,Muestreo!$B$6:$B$305,A18))</f>
        <v/>
      </c>
      <c r="H18" s="21" t="str">
        <f aca="false">IF(N(D18)=0,"",_xlfn.MAXIFS(Muestreo!$L$6:$L$305,Muestreo!$B$6:$B$305,A18))</f>
        <v/>
      </c>
      <c r="I18" s="21" t="str">
        <f aca="false">IF(N(D18)=0,"",AVERAGEIFS(Muestreo!$L$6:$L$305,Muestreo!$B$6:$B$305,A18))</f>
        <v/>
      </c>
      <c r="J18" s="21" t="str">
        <f aca="false">IF(N(D18)&lt;2,"",SQRT(SUMIFS(Muestreo!$U$6:$U$305,Muestreo!$B$6:$B$305,A18)/(D18-1)))</f>
        <v/>
      </c>
      <c r="K18" s="21" t="str">
        <f aca="false">IF(N(D18)=0,"",EXP(AVERAGEIFS(Muestreo!$S$6:$S$305,Muestreo!$B$6:$B$305,A18)))</f>
        <v/>
      </c>
      <c r="L18" s="24" t="str">
        <f aca="false">IF(N(D18)&lt;2,"",EXP(SQRT(SUMIFS(Muestreo!$T$6:$T$305,Muestreo!$B$6:$B$305,A18)/IF(Agentes!$C$15="n",D18,D18-1))))</f>
        <v/>
      </c>
      <c r="M18" s="26" t="str">
        <f aca="false">IF(N(D18)=0,"",SUMIFS(Muestreo!$V$6:$V$305,Muestreo!$B$6:$B$305,A18)/D18)</f>
        <v/>
      </c>
      <c r="N18" s="21" t="str">
        <f aca="false">IF(A18="","",GES!U18)</f>
        <v/>
      </c>
      <c r="O18" s="24" t="str">
        <f aca="false">IF(OR(I18="",N(N18)=0),"",I18/N18)</f>
        <v/>
      </c>
      <c r="P18" s="24" t="str">
        <f aca="false">IF(OR(K18="",N(N18)=0),"",K18/N18)</f>
        <v/>
      </c>
      <c r="Q18" s="19" t="str">
        <f aca="false">IF(B18="","",IFERROR(INDEX(Agentes!$G$6:$G$12,MATCH(B18,Agentes!$A$6:$A$12,0)),""))</f>
        <v/>
      </c>
      <c r="R18" s="25" t="str">
        <f aca="false">IF(L18="",IF(N(D18)=1,"n = 1: no se calcula DEG",""),IF(L18&lt;=T18,IF(LEFT(Q18,3)="Res","Mantener GES","GES aceptable"),IF(LEFT(Q18,3)="Res","Revisar conformación del GES (DEG &gt; 2,5)","GES no aceptable (DEG &gt; 2,0): revise oficios")))</f>
        <v/>
      </c>
      <c r="S18" s="24" t="str">
        <f aca="false">IF(Q18="","",IF(LEFT(Q18,3)="Res",P18,O18))</f>
        <v/>
      </c>
      <c r="T18" s="19" t="str">
        <f aca="false">IF(Q18="","",IF(LEFT(Q18,3)="Res",2.5,2))</f>
        <v/>
      </c>
      <c r="U18" s="25" t="str">
        <f aca="false">IF(OR(A18="",S18=""),IF(A18="","","Sin datos"),IF(S18&gt;1,"Sobreexposición",IF(LEFT(Q18,3)="Res",IF(S18&lt;=0.5,"Controlada","Fuera de control – precaución"),IF(S18&lt;0.5,"Controlada","Fuera de control – precaución"))))</f>
        <v/>
      </c>
      <c r="V18" s="19" t="str">
        <f aca="false">IF(N(S18)=0,"",IF(S18&gt;=1,5,IF(M18&gt;0,4,IF(S18&gt;=0.5,3,IF(S18&gt;=0.1,2,1)))))</f>
        <v/>
      </c>
      <c r="W18" s="19" t="str">
        <f aca="false">IF(V18="","",CHOOSE(V18,"De 3 a 5 años","De 1 a 3 años","De 3 meses a 1 año","De 1 a 3 meses","Evaluación continua"))</f>
        <v/>
      </c>
      <c r="X18" s="19" t="str">
        <f aca="false">IF(OR(P18="",LEFT(B18,3)&lt;&gt;"SIL"),IF(A18="","","N/A"),IF(P18&lt;=0.5,"Cada 3 años","Anual"))</f>
        <v/>
      </c>
      <c r="Y18" s="19" t="str">
        <f aca="false">IF(OR(A18="",S18=""),"",IF(LEFT(B18,3)="SIL",IF(S18&gt;=0.5,"SVE específico (≥ nivel de acción)","Seguimiento general de salud"),IF(B18="PNOS","Según criterio médico",IF(S18&gt;=0.5,"SVE – prioritario (CR ≥ 0,5)","SVE – todos los expuestos (GATI 7.3.1)"))))</f>
        <v/>
      </c>
      <c r="Z18" s="21" t="str">
        <f aca="false">IF(L18="","",K18*L18^1.645)</f>
        <v/>
      </c>
      <c r="AA18" s="21" t="str">
        <f aca="false">IF(LEFT(B18,3)&lt;&gt;"CAR","",IFERROR(AVERAGEIFS(Muestreo!$N$6:$N$305,Muestreo!$B$6:$B$305,A18),""))</f>
        <v/>
      </c>
      <c r="AB18" s="24" t="str">
        <f aca="false">IF(OR(AA18="",GES!T18=""),"",AA18/(INDEX(Agentes!$F$6:$F$12,MATCH("SIL-Q",Agentes!$A$6:$A$12,0))*GES!T18))</f>
        <v/>
      </c>
      <c r="AC18" s="25" t="str">
        <f aca="false">IF(AB18="","",IF(AB18&gt;1,"Cuarzo sobre TLV: gestionar también como sílice",IF(AB18&gt;=0.5,"Cuarzo ≥ nivel de acción","Cuarzo controlado")))</f>
        <v/>
      </c>
    </row>
    <row r="19" customFormat="false" ht="15" hidden="false" customHeight="false" outlineLevel="0" collapsed="false">
      <c r="A19" s="19" t="str">
        <f aca="false">IF(GES!A19="","",GES!A19)</f>
        <v/>
      </c>
      <c r="B19" s="19" t="str">
        <f aca="false">IF(A19="","",GES!E19)</f>
        <v/>
      </c>
      <c r="C19" s="19" t="str">
        <f aca="false">IF(A19="","",GES!V19)</f>
        <v/>
      </c>
      <c r="D19" s="19" t="str">
        <f aca="false">IF(A19="","",COUNTIFS(Muestreo!$B$6:$B$305,A19,Muestreo!$L$6:$L$305,"&gt;0"))</f>
        <v/>
      </c>
      <c r="E19" s="19" t="str">
        <f aca="false">IF(A19="","",GES!O19)</f>
        <v/>
      </c>
      <c r="F19" s="25" t="str">
        <f aca="false">IF(A19="","",IF(D19=0,"Sin muestras",IF(D19&gt;=E19,"Suficiente","Insuficiente (&lt;"&amp;E19&amp;")")))</f>
        <v/>
      </c>
      <c r="G19" s="21" t="str">
        <f aca="false">IF(N(D19)=0,"",_xlfn.MINIFS(Muestreo!$L$6:$L$305,Muestreo!$B$6:$B$305,A19))</f>
        <v/>
      </c>
      <c r="H19" s="21" t="str">
        <f aca="false">IF(N(D19)=0,"",_xlfn.MAXIFS(Muestreo!$L$6:$L$305,Muestreo!$B$6:$B$305,A19))</f>
        <v/>
      </c>
      <c r="I19" s="21" t="str">
        <f aca="false">IF(N(D19)=0,"",AVERAGEIFS(Muestreo!$L$6:$L$305,Muestreo!$B$6:$B$305,A19))</f>
        <v/>
      </c>
      <c r="J19" s="21" t="str">
        <f aca="false">IF(N(D19)&lt;2,"",SQRT(SUMIFS(Muestreo!$U$6:$U$305,Muestreo!$B$6:$B$305,A19)/(D19-1)))</f>
        <v/>
      </c>
      <c r="K19" s="21" t="str">
        <f aca="false">IF(N(D19)=0,"",EXP(AVERAGEIFS(Muestreo!$S$6:$S$305,Muestreo!$B$6:$B$305,A19)))</f>
        <v/>
      </c>
      <c r="L19" s="24" t="str">
        <f aca="false">IF(N(D19)&lt;2,"",EXP(SQRT(SUMIFS(Muestreo!$T$6:$T$305,Muestreo!$B$6:$B$305,A19)/IF(Agentes!$C$15="n",D19,D19-1))))</f>
        <v/>
      </c>
      <c r="M19" s="26" t="str">
        <f aca="false">IF(N(D19)=0,"",SUMIFS(Muestreo!$V$6:$V$305,Muestreo!$B$6:$B$305,A19)/D19)</f>
        <v/>
      </c>
      <c r="N19" s="21" t="str">
        <f aca="false">IF(A19="","",GES!U19)</f>
        <v/>
      </c>
      <c r="O19" s="24" t="str">
        <f aca="false">IF(OR(I19="",N(N19)=0),"",I19/N19)</f>
        <v/>
      </c>
      <c r="P19" s="24" t="str">
        <f aca="false">IF(OR(K19="",N(N19)=0),"",K19/N19)</f>
        <v/>
      </c>
      <c r="Q19" s="19" t="str">
        <f aca="false">IF(B19="","",IFERROR(INDEX(Agentes!$G$6:$G$12,MATCH(B19,Agentes!$A$6:$A$12,0)),""))</f>
        <v/>
      </c>
      <c r="R19" s="25" t="str">
        <f aca="false">IF(L19="",IF(N(D19)=1,"n = 1: no se calcula DEG",""),IF(L19&lt;=T19,IF(LEFT(Q19,3)="Res","Mantener GES","GES aceptable"),IF(LEFT(Q19,3)="Res","Revisar conformación del GES (DEG &gt; 2,5)","GES no aceptable (DEG &gt; 2,0): revise oficios")))</f>
        <v/>
      </c>
      <c r="S19" s="24" t="str">
        <f aca="false">IF(Q19="","",IF(LEFT(Q19,3)="Res",P19,O19))</f>
        <v/>
      </c>
      <c r="T19" s="19" t="str">
        <f aca="false">IF(Q19="","",IF(LEFT(Q19,3)="Res",2.5,2))</f>
        <v/>
      </c>
      <c r="U19" s="25" t="str">
        <f aca="false">IF(OR(A19="",S19=""),IF(A19="","","Sin datos"),IF(S19&gt;1,"Sobreexposición",IF(LEFT(Q19,3)="Res",IF(S19&lt;=0.5,"Controlada","Fuera de control – precaución"),IF(S19&lt;0.5,"Controlada","Fuera de control – precaución"))))</f>
        <v/>
      </c>
      <c r="V19" s="19" t="str">
        <f aca="false">IF(N(S19)=0,"",IF(S19&gt;=1,5,IF(M19&gt;0,4,IF(S19&gt;=0.5,3,IF(S19&gt;=0.1,2,1)))))</f>
        <v/>
      </c>
      <c r="W19" s="19" t="str">
        <f aca="false">IF(V19="","",CHOOSE(V19,"De 3 a 5 años","De 1 a 3 años","De 3 meses a 1 año","De 1 a 3 meses","Evaluación continua"))</f>
        <v/>
      </c>
      <c r="X19" s="19" t="str">
        <f aca="false">IF(OR(P19="",LEFT(B19,3)&lt;&gt;"SIL"),IF(A19="","","N/A"),IF(P19&lt;=0.5,"Cada 3 años","Anual"))</f>
        <v/>
      </c>
      <c r="Y19" s="19" t="str">
        <f aca="false">IF(OR(A19="",S19=""),"",IF(LEFT(B19,3)="SIL",IF(S19&gt;=0.5,"SVE específico (≥ nivel de acción)","Seguimiento general de salud"),IF(B19="PNOS","Según criterio médico",IF(S19&gt;=0.5,"SVE – prioritario (CR ≥ 0,5)","SVE – todos los expuestos (GATI 7.3.1)"))))</f>
        <v/>
      </c>
      <c r="Z19" s="21" t="str">
        <f aca="false">IF(L19="","",K19*L19^1.645)</f>
        <v/>
      </c>
      <c r="AA19" s="21" t="str">
        <f aca="false">IF(LEFT(B19,3)&lt;&gt;"CAR","",IFERROR(AVERAGEIFS(Muestreo!$N$6:$N$305,Muestreo!$B$6:$B$305,A19),""))</f>
        <v/>
      </c>
      <c r="AB19" s="24" t="str">
        <f aca="false">IF(OR(AA19="",GES!T19=""),"",AA19/(INDEX(Agentes!$F$6:$F$12,MATCH("SIL-Q",Agentes!$A$6:$A$12,0))*GES!T19))</f>
        <v/>
      </c>
      <c r="AC19" s="25" t="str">
        <f aca="false">IF(AB19="","",IF(AB19&gt;1,"Cuarzo sobre TLV: gestionar también como sílice",IF(AB19&gt;=0.5,"Cuarzo ≥ nivel de acción","Cuarzo controlado")))</f>
        <v/>
      </c>
    </row>
    <row r="20" customFormat="false" ht="15" hidden="false" customHeight="false" outlineLevel="0" collapsed="false">
      <c r="A20" s="19" t="str">
        <f aca="false">IF(GES!A20="","",GES!A20)</f>
        <v/>
      </c>
      <c r="B20" s="19" t="str">
        <f aca="false">IF(A20="","",GES!E20)</f>
        <v/>
      </c>
      <c r="C20" s="19" t="str">
        <f aca="false">IF(A20="","",GES!V20)</f>
        <v/>
      </c>
      <c r="D20" s="19" t="str">
        <f aca="false">IF(A20="","",COUNTIFS(Muestreo!$B$6:$B$305,A20,Muestreo!$L$6:$L$305,"&gt;0"))</f>
        <v/>
      </c>
      <c r="E20" s="19" t="str">
        <f aca="false">IF(A20="","",GES!O20)</f>
        <v/>
      </c>
      <c r="F20" s="25" t="str">
        <f aca="false">IF(A20="","",IF(D20=0,"Sin muestras",IF(D20&gt;=E20,"Suficiente","Insuficiente (&lt;"&amp;E20&amp;")")))</f>
        <v/>
      </c>
      <c r="G20" s="21" t="str">
        <f aca="false">IF(N(D20)=0,"",_xlfn.MINIFS(Muestreo!$L$6:$L$305,Muestreo!$B$6:$B$305,A20))</f>
        <v/>
      </c>
      <c r="H20" s="21" t="str">
        <f aca="false">IF(N(D20)=0,"",_xlfn.MAXIFS(Muestreo!$L$6:$L$305,Muestreo!$B$6:$B$305,A20))</f>
        <v/>
      </c>
      <c r="I20" s="21" t="str">
        <f aca="false">IF(N(D20)=0,"",AVERAGEIFS(Muestreo!$L$6:$L$305,Muestreo!$B$6:$B$305,A20))</f>
        <v/>
      </c>
      <c r="J20" s="21" t="str">
        <f aca="false">IF(N(D20)&lt;2,"",SQRT(SUMIFS(Muestreo!$U$6:$U$305,Muestreo!$B$6:$B$305,A20)/(D20-1)))</f>
        <v/>
      </c>
      <c r="K20" s="21" t="str">
        <f aca="false">IF(N(D20)=0,"",EXP(AVERAGEIFS(Muestreo!$S$6:$S$305,Muestreo!$B$6:$B$305,A20)))</f>
        <v/>
      </c>
      <c r="L20" s="24" t="str">
        <f aca="false">IF(N(D20)&lt;2,"",EXP(SQRT(SUMIFS(Muestreo!$T$6:$T$305,Muestreo!$B$6:$B$305,A20)/IF(Agentes!$C$15="n",D20,D20-1))))</f>
        <v/>
      </c>
      <c r="M20" s="26" t="str">
        <f aca="false">IF(N(D20)=0,"",SUMIFS(Muestreo!$V$6:$V$305,Muestreo!$B$6:$B$305,A20)/D20)</f>
        <v/>
      </c>
      <c r="N20" s="21" t="str">
        <f aca="false">IF(A20="","",GES!U20)</f>
        <v/>
      </c>
      <c r="O20" s="24" t="str">
        <f aca="false">IF(OR(I20="",N(N20)=0),"",I20/N20)</f>
        <v/>
      </c>
      <c r="P20" s="24" t="str">
        <f aca="false">IF(OR(K20="",N(N20)=0),"",K20/N20)</f>
        <v/>
      </c>
      <c r="Q20" s="19" t="str">
        <f aca="false">IF(B20="","",IFERROR(INDEX(Agentes!$G$6:$G$12,MATCH(B20,Agentes!$A$6:$A$12,0)),""))</f>
        <v/>
      </c>
      <c r="R20" s="25" t="str">
        <f aca="false">IF(L20="",IF(N(D20)=1,"n = 1: no se calcula DEG",""),IF(L20&lt;=T20,IF(LEFT(Q20,3)="Res","Mantener GES","GES aceptable"),IF(LEFT(Q20,3)="Res","Revisar conformación del GES (DEG &gt; 2,5)","GES no aceptable (DEG &gt; 2,0): revise oficios")))</f>
        <v/>
      </c>
      <c r="S20" s="24" t="str">
        <f aca="false">IF(Q20="","",IF(LEFT(Q20,3)="Res",P20,O20))</f>
        <v/>
      </c>
      <c r="T20" s="19" t="str">
        <f aca="false">IF(Q20="","",IF(LEFT(Q20,3)="Res",2.5,2))</f>
        <v/>
      </c>
      <c r="U20" s="25" t="str">
        <f aca="false">IF(OR(A20="",S20=""),IF(A20="","","Sin datos"),IF(S20&gt;1,"Sobreexposición",IF(LEFT(Q20,3)="Res",IF(S20&lt;=0.5,"Controlada","Fuera de control – precaución"),IF(S20&lt;0.5,"Controlada","Fuera de control – precaución"))))</f>
        <v/>
      </c>
      <c r="V20" s="19" t="str">
        <f aca="false">IF(N(S20)=0,"",IF(S20&gt;=1,5,IF(M20&gt;0,4,IF(S20&gt;=0.5,3,IF(S20&gt;=0.1,2,1)))))</f>
        <v/>
      </c>
      <c r="W20" s="19" t="str">
        <f aca="false">IF(V20="","",CHOOSE(V20,"De 3 a 5 años","De 1 a 3 años","De 3 meses a 1 año","De 1 a 3 meses","Evaluación continua"))</f>
        <v/>
      </c>
      <c r="X20" s="19" t="str">
        <f aca="false">IF(OR(P20="",LEFT(B20,3)&lt;&gt;"SIL"),IF(A20="","","N/A"),IF(P20&lt;=0.5,"Cada 3 años","Anual"))</f>
        <v/>
      </c>
      <c r="Y20" s="19" t="str">
        <f aca="false">IF(OR(A20="",S20=""),"",IF(LEFT(B20,3)="SIL",IF(S20&gt;=0.5,"SVE específico (≥ nivel de acción)","Seguimiento general de salud"),IF(B20="PNOS","Según criterio médico",IF(S20&gt;=0.5,"SVE – prioritario (CR ≥ 0,5)","SVE – todos los expuestos (GATI 7.3.1)"))))</f>
        <v/>
      </c>
      <c r="Z20" s="21" t="str">
        <f aca="false">IF(L20="","",K20*L20^1.645)</f>
        <v/>
      </c>
      <c r="AA20" s="21" t="str">
        <f aca="false">IF(LEFT(B20,3)&lt;&gt;"CAR","",IFERROR(AVERAGEIFS(Muestreo!$N$6:$N$305,Muestreo!$B$6:$B$305,A20),""))</f>
        <v/>
      </c>
      <c r="AB20" s="24" t="str">
        <f aca="false">IF(OR(AA20="",GES!T20=""),"",AA20/(INDEX(Agentes!$F$6:$F$12,MATCH("SIL-Q",Agentes!$A$6:$A$12,0))*GES!T20))</f>
        <v/>
      </c>
      <c r="AC20" s="25" t="str">
        <f aca="false">IF(AB20="","",IF(AB20&gt;1,"Cuarzo sobre TLV: gestionar también como sílice",IF(AB20&gt;=0.5,"Cuarzo ≥ nivel de acción","Cuarzo controlado")))</f>
        <v/>
      </c>
    </row>
    <row r="21" customFormat="false" ht="15" hidden="false" customHeight="false" outlineLevel="0" collapsed="false">
      <c r="A21" s="19" t="str">
        <f aca="false">IF(GES!A21="","",GES!A21)</f>
        <v/>
      </c>
      <c r="B21" s="19" t="str">
        <f aca="false">IF(A21="","",GES!E21)</f>
        <v/>
      </c>
      <c r="C21" s="19" t="str">
        <f aca="false">IF(A21="","",GES!V21)</f>
        <v/>
      </c>
      <c r="D21" s="19" t="str">
        <f aca="false">IF(A21="","",COUNTIFS(Muestreo!$B$6:$B$305,A21,Muestreo!$L$6:$L$305,"&gt;0"))</f>
        <v/>
      </c>
      <c r="E21" s="19" t="str">
        <f aca="false">IF(A21="","",GES!O21)</f>
        <v/>
      </c>
      <c r="F21" s="25" t="str">
        <f aca="false">IF(A21="","",IF(D21=0,"Sin muestras",IF(D21&gt;=E21,"Suficiente","Insuficiente (&lt;"&amp;E21&amp;")")))</f>
        <v/>
      </c>
      <c r="G21" s="21" t="str">
        <f aca="false">IF(N(D21)=0,"",_xlfn.MINIFS(Muestreo!$L$6:$L$305,Muestreo!$B$6:$B$305,A21))</f>
        <v/>
      </c>
      <c r="H21" s="21" t="str">
        <f aca="false">IF(N(D21)=0,"",_xlfn.MAXIFS(Muestreo!$L$6:$L$305,Muestreo!$B$6:$B$305,A21))</f>
        <v/>
      </c>
      <c r="I21" s="21" t="str">
        <f aca="false">IF(N(D21)=0,"",AVERAGEIFS(Muestreo!$L$6:$L$305,Muestreo!$B$6:$B$305,A21))</f>
        <v/>
      </c>
      <c r="J21" s="21" t="str">
        <f aca="false">IF(N(D21)&lt;2,"",SQRT(SUMIFS(Muestreo!$U$6:$U$305,Muestreo!$B$6:$B$305,A21)/(D21-1)))</f>
        <v/>
      </c>
      <c r="K21" s="21" t="str">
        <f aca="false">IF(N(D21)=0,"",EXP(AVERAGEIFS(Muestreo!$S$6:$S$305,Muestreo!$B$6:$B$305,A21)))</f>
        <v/>
      </c>
      <c r="L21" s="24" t="str">
        <f aca="false">IF(N(D21)&lt;2,"",EXP(SQRT(SUMIFS(Muestreo!$T$6:$T$305,Muestreo!$B$6:$B$305,A21)/IF(Agentes!$C$15="n",D21,D21-1))))</f>
        <v/>
      </c>
      <c r="M21" s="26" t="str">
        <f aca="false">IF(N(D21)=0,"",SUMIFS(Muestreo!$V$6:$V$305,Muestreo!$B$6:$B$305,A21)/D21)</f>
        <v/>
      </c>
      <c r="N21" s="21" t="str">
        <f aca="false">IF(A21="","",GES!U21)</f>
        <v/>
      </c>
      <c r="O21" s="24" t="str">
        <f aca="false">IF(OR(I21="",N(N21)=0),"",I21/N21)</f>
        <v/>
      </c>
      <c r="P21" s="24" t="str">
        <f aca="false">IF(OR(K21="",N(N21)=0),"",K21/N21)</f>
        <v/>
      </c>
      <c r="Q21" s="19" t="str">
        <f aca="false">IF(B21="","",IFERROR(INDEX(Agentes!$G$6:$G$12,MATCH(B21,Agentes!$A$6:$A$12,0)),""))</f>
        <v/>
      </c>
      <c r="R21" s="25" t="str">
        <f aca="false">IF(L21="",IF(N(D21)=1,"n = 1: no se calcula DEG",""),IF(L21&lt;=T21,IF(LEFT(Q21,3)="Res","Mantener GES","GES aceptable"),IF(LEFT(Q21,3)="Res","Revisar conformación del GES (DEG &gt; 2,5)","GES no aceptable (DEG &gt; 2,0): revise oficios")))</f>
        <v/>
      </c>
      <c r="S21" s="24" t="str">
        <f aca="false">IF(Q21="","",IF(LEFT(Q21,3)="Res",P21,O21))</f>
        <v/>
      </c>
      <c r="T21" s="19" t="str">
        <f aca="false">IF(Q21="","",IF(LEFT(Q21,3)="Res",2.5,2))</f>
        <v/>
      </c>
      <c r="U21" s="25" t="str">
        <f aca="false">IF(OR(A21="",S21=""),IF(A21="","","Sin datos"),IF(S21&gt;1,"Sobreexposición",IF(LEFT(Q21,3)="Res",IF(S21&lt;=0.5,"Controlada","Fuera de control – precaución"),IF(S21&lt;0.5,"Controlada","Fuera de control – precaución"))))</f>
        <v/>
      </c>
      <c r="V21" s="19" t="str">
        <f aca="false">IF(N(S21)=0,"",IF(S21&gt;=1,5,IF(M21&gt;0,4,IF(S21&gt;=0.5,3,IF(S21&gt;=0.1,2,1)))))</f>
        <v/>
      </c>
      <c r="W21" s="19" t="str">
        <f aca="false">IF(V21="","",CHOOSE(V21,"De 3 a 5 años","De 1 a 3 años","De 3 meses a 1 año","De 1 a 3 meses","Evaluación continua"))</f>
        <v/>
      </c>
      <c r="X21" s="19" t="str">
        <f aca="false">IF(OR(P21="",LEFT(B21,3)&lt;&gt;"SIL"),IF(A21="","","N/A"),IF(P21&lt;=0.5,"Cada 3 años","Anual"))</f>
        <v/>
      </c>
      <c r="Y21" s="19" t="str">
        <f aca="false">IF(OR(A21="",S21=""),"",IF(LEFT(B21,3)="SIL",IF(S21&gt;=0.5,"SVE específico (≥ nivel de acción)","Seguimiento general de salud"),IF(B21="PNOS","Según criterio médico",IF(S21&gt;=0.5,"SVE – prioritario (CR ≥ 0,5)","SVE – todos los expuestos (GATI 7.3.1)"))))</f>
        <v/>
      </c>
      <c r="Z21" s="21" t="str">
        <f aca="false">IF(L21="","",K21*L21^1.645)</f>
        <v/>
      </c>
      <c r="AA21" s="21" t="str">
        <f aca="false">IF(LEFT(B21,3)&lt;&gt;"CAR","",IFERROR(AVERAGEIFS(Muestreo!$N$6:$N$305,Muestreo!$B$6:$B$305,A21),""))</f>
        <v/>
      </c>
      <c r="AB21" s="24" t="str">
        <f aca="false">IF(OR(AA21="",GES!T21=""),"",AA21/(INDEX(Agentes!$F$6:$F$12,MATCH("SIL-Q",Agentes!$A$6:$A$12,0))*GES!T21))</f>
        <v/>
      </c>
      <c r="AC21" s="25" t="str">
        <f aca="false">IF(AB21="","",IF(AB21&gt;1,"Cuarzo sobre TLV: gestionar también como sílice",IF(AB21&gt;=0.5,"Cuarzo ≥ nivel de acción","Cuarzo controlado")))</f>
        <v/>
      </c>
    </row>
    <row r="22" customFormat="false" ht="15" hidden="false" customHeight="false" outlineLevel="0" collapsed="false">
      <c r="A22" s="19" t="str">
        <f aca="false">IF(GES!A22="","",GES!A22)</f>
        <v/>
      </c>
      <c r="B22" s="19" t="str">
        <f aca="false">IF(A22="","",GES!E22)</f>
        <v/>
      </c>
      <c r="C22" s="19" t="str">
        <f aca="false">IF(A22="","",GES!V22)</f>
        <v/>
      </c>
      <c r="D22" s="19" t="str">
        <f aca="false">IF(A22="","",COUNTIFS(Muestreo!$B$6:$B$305,A22,Muestreo!$L$6:$L$305,"&gt;0"))</f>
        <v/>
      </c>
      <c r="E22" s="19" t="str">
        <f aca="false">IF(A22="","",GES!O22)</f>
        <v/>
      </c>
      <c r="F22" s="25" t="str">
        <f aca="false">IF(A22="","",IF(D22=0,"Sin muestras",IF(D22&gt;=E22,"Suficiente","Insuficiente (&lt;"&amp;E22&amp;")")))</f>
        <v/>
      </c>
      <c r="G22" s="21" t="str">
        <f aca="false">IF(N(D22)=0,"",_xlfn.MINIFS(Muestreo!$L$6:$L$305,Muestreo!$B$6:$B$305,A22))</f>
        <v/>
      </c>
      <c r="H22" s="21" t="str">
        <f aca="false">IF(N(D22)=0,"",_xlfn.MAXIFS(Muestreo!$L$6:$L$305,Muestreo!$B$6:$B$305,A22))</f>
        <v/>
      </c>
      <c r="I22" s="21" t="str">
        <f aca="false">IF(N(D22)=0,"",AVERAGEIFS(Muestreo!$L$6:$L$305,Muestreo!$B$6:$B$305,A22))</f>
        <v/>
      </c>
      <c r="J22" s="21" t="str">
        <f aca="false">IF(N(D22)&lt;2,"",SQRT(SUMIFS(Muestreo!$U$6:$U$305,Muestreo!$B$6:$B$305,A22)/(D22-1)))</f>
        <v/>
      </c>
      <c r="K22" s="21" t="str">
        <f aca="false">IF(N(D22)=0,"",EXP(AVERAGEIFS(Muestreo!$S$6:$S$305,Muestreo!$B$6:$B$305,A22)))</f>
        <v/>
      </c>
      <c r="L22" s="24" t="str">
        <f aca="false">IF(N(D22)&lt;2,"",EXP(SQRT(SUMIFS(Muestreo!$T$6:$T$305,Muestreo!$B$6:$B$305,A22)/IF(Agentes!$C$15="n",D22,D22-1))))</f>
        <v/>
      </c>
      <c r="M22" s="26" t="str">
        <f aca="false">IF(N(D22)=0,"",SUMIFS(Muestreo!$V$6:$V$305,Muestreo!$B$6:$B$305,A22)/D22)</f>
        <v/>
      </c>
      <c r="N22" s="21" t="str">
        <f aca="false">IF(A22="","",GES!U22)</f>
        <v/>
      </c>
      <c r="O22" s="24" t="str">
        <f aca="false">IF(OR(I22="",N(N22)=0),"",I22/N22)</f>
        <v/>
      </c>
      <c r="P22" s="24" t="str">
        <f aca="false">IF(OR(K22="",N(N22)=0),"",K22/N22)</f>
        <v/>
      </c>
      <c r="Q22" s="19" t="str">
        <f aca="false">IF(B22="","",IFERROR(INDEX(Agentes!$G$6:$G$12,MATCH(B22,Agentes!$A$6:$A$12,0)),""))</f>
        <v/>
      </c>
      <c r="R22" s="25" t="str">
        <f aca="false">IF(L22="",IF(N(D22)=1,"n = 1: no se calcula DEG",""),IF(L22&lt;=T22,IF(LEFT(Q22,3)="Res","Mantener GES","GES aceptable"),IF(LEFT(Q22,3)="Res","Revisar conformación del GES (DEG &gt; 2,5)","GES no aceptable (DEG &gt; 2,0): revise oficios")))</f>
        <v/>
      </c>
      <c r="S22" s="24" t="str">
        <f aca="false">IF(Q22="","",IF(LEFT(Q22,3)="Res",P22,O22))</f>
        <v/>
      </c>
      <c r="T22" s="19" t="str">
        <f aca="false">IF(Q22="","",IF(LEFT(Q22,3)="Res",2.5,2))</f>
        <v/>
      </c>
      <c r="U22" s="25" t="str">
        <f aca="false">IF(OR(A22="",S22=""),IF(A22="","","Sin datos"),IF(S22&gt;1,"Sobreexposición",IF(LEFT(Q22,3)="Res",IF(S22&lt;=0.5,"Controlada","Fuera de control – precaución"),IF(S22&lt;0.5,"Controlada","Fuera de control – precaución"))))</f>
        <v/>
      </c>
      <c r="V22" s="19" t="str">
        <f aca="false">IF(N(S22)=0,"",IF(S22&gt;=1,5,IF(M22&gt;0,4,IF(S22&gt;=0.5,3,IF(S22&gt;=0.1,2,1)))))</f>
        <v/>
      </c>
      <c r="W22" s="19" t="str">
        <f aca="false">IF(V22="","",CHOOSE(V22,"De 3 a 5 años","De 1 a 3 años","De 3 meses a 1 año","De 1 a 3 meses","Evaluación continua"))</f>
        <v/>
      </c>
      <c r="X22" s="19" t="str">
        <f aca="false">IF(OR(P22="",LEFT(B22,3)&lt;&gt;"SIL"),IF(A22="","","N/A"),IF(P22&lt;=0.5,"Cada 3 años","Anual"))</f>
        <v/>
      </c>
      <c r="Y22" s="19" t="str">
        <f aca="false">IF(OR(A22="",S22=""),"",IF(LEFT(B22,3)="SIL",IF(S22&gt;=0.5,"SVE específico (≥ nivel de acción)","Seguimiento general de salud"),IF(B22="PNOS","Según criterio médico",IF(S22&gt;=0.5,"SVE – prioritario (CR ≥ 0,5)","SVE – todos los expuestos (GATI 7.3.1)"))))</f>
        <v/>
      </c>
      <c r="Z22" s="21" t="str">
        <f aca="false">IF(L22="","",K22*L22^1.645)</f>
        <v/>
      </c>
      <c r="AA22" s="21" t="str">
        <f aca="false">IF(LEFT(B22,3)&lt;&gt;"CAR","",IFERROR(AVERAGEIFS(Muestreo!$N$6:$N$305,Muestreo!$B$6:$B$305,A22),""))</f>
        <v/>
      </c>
      <c r="AB22" s="24" t="str">
        <f aca="false">IF(OR(AA22="",GES!T22=""),"",AA22/(INDEX(Agentes!$F$6:$F$12,MATCH("SIL-Q",Agentes!$A$6:$A$12,0))*GES!T22))</f>
        <v/>
      </c>
      <c r="AC22" s="25" t="str">
        <f aca="false">IF(AB22="","",IF(AB22&gt;1,"Cuarzo sobre TLV: gestionar también como sílice",IF(AB22&gt;=0.5,"Cuarzo ≥ nivel de acción","Cuarzo controlado")))</f>
        <v/>
      </c>
    </row>
    <row r="23" customFormat="false" ht="15" hidden="false" customHeight="false" outlineLevel="0" collapsed="false">
      <c r="A23" s="19" t="str">
        <f aca="false">IF(GES!A23="","",GES!A23)</f>
        <v/>
      </c>
      <c r="B23" s="19" t="str">
        <f aca="false">IF(A23="","",GES!E23)</f>
        <v/>
      </c>
      <c r="C23" s="19" t="str">
        <f aca="false">IF(A23="","",GES!V23)</f>
        <v/>
      </c>
      <c r="D23" s="19" t="str">
        <f aca="false">IF(A23="","",COUNTIFS(Muestreo!$B$6:$B$305,A23,Muestreo!$L$6:$L$305,"&gt;0"))</f>
        <v/>
      </c>
      <c r="E23" s="19" t="str">
        <f aca="false">IF(A23="","",GES!O23)</f>
        <v/>
      </c>
      <c r="F23" s="25" t="str">
        <f aca="false">IF(A23="","",IF(D23=0,"Sin muestras",IF(D23&gt;=E23,"Suficiente","Insuficiente (&lt;"&amp;E23&amp;")")))</f>
        <v/>
      </c>
      <c r="G23" s="21" t="str">
        <f aca="false">IF(N(D23)=0,"",_xlfn.MINIFS(Muestreo!$L$6:$L$305,Muestreo!$B$6:$B$305,A23))</f>
        <v/>
      </c>
      <c r="H23" s="21" t="str">
        <f aca="false">IF(N(D23)=0,"",_xlfn.MAXIFS(Muestreo!$L$6:$L$305,Muestreo!$B$6:$B$305,A23))</f>
        <v/>
      </c>
      <c r="I23" s="21" t="str">
        <f aca="false">IF(N(D23)=0,"",AVERAGEIFS(Muestreo!$L$6:$L$305,Muestreo!$B$6:$B$305,A23))</f>
        <v/>
      </c>
      <c r="J23" s="21" t="str">
        <f aca="false">IF(N(D23)&lt;2,"",SQRT(SUMIFS(Muestreo!$U$6:$U$305,Muestreo!$B$6:$B$305,A23)/(D23-1)))</f>
        <v/>
      </c>
      <c r="K23" s="21" t="str">
        <f aca="false">IF(N(D23)=0,"",EXP(AVERAGEIFS(Muestreo!$S$6:$S$305,Muestreo!$B$6:$B$305,A23)))</f>
        <v/>
      </c>
      <c r="L23" s="24" t="str">
        <f aca="false">IF(N(D23)&lt;2,"",EXP(SQRT(SUMIFS(Muestreo!$T$6:$T$305,Muestreo!$B$6:$B$305,A23)/IF(Agentes!$C$15="n",D23,D23-1))))</f>
        <v/>
      </c>
      <c r="M23" s="26" t="str">
        <f aca="false">IF(N(D23)=0,"",SUMIFS(Muestreo!$V$6:$V$305,Muestreo!$B$6:$B$305,A23)/D23)</f>
        <v/>
      </c>
      <c r="N23" s="21" t="str">
        <f aca="false">IF(A23="","",GES!U23)</f>
        <v/>
      </c>
      <c r="O23" s="24" t="str">
        <f aca="false">IF(OR(I23="",N(N23)=0),"",I23/N23)</f>
        <v/>
      </c>
      <c r="P23" s="24" t="str">
        <f aca="false">IF(OR(K23="",N(N23)=0),"",K23/N23)</f>
        <v/>
      </c>
      <c r="Q23" s="19" t="str">
        <f aca="false">IF(B23="","",IFERROR(INDEX(Agentes!$G$6:$G$12,MATCH(B23,Agentes!$A$6:$A$12,0)),""))</f>
        <v/>
      </c>
      <c r="R23" s="25" t="str">
        <f aca="false">IF(L23="",IF(N(D23)=1,"n = 1: no se calcula DEG",""),IF(L23&lt;=T23,IF(LEFT(Q23,3)="Res","Mantener GES","GES aceptable"),IF(LEFT(Q23,3)="Res","Revisar conformación del GES (DEG &gt; 2,5)","GES no aceptable (DEG &gt; 2,0): revise oficios")))</f>
        <v/>
      </c>
      <c r="S23" s="24" t="str">
        <f aca="false">IF(Q23="","",IF(LEFT(Q23,3)="Res",P23,O23))</f>
        <v/>
      </c>
      <c r="T23" s="19" t="str">
        <f aca="false">IF(Q23="","",IF(LEFT(Q23,3)="Res",2.5,2))</f>
        <v/>
      </c>
      <c r="U23" s="25" t="str">
        <f aca="false">IF(OR(A23="",S23=""),IF(A23="","","Sin datos"),IF(S23&gt;1,"Sobreexposición",IF(LEFT(Q23,3)="Res",IF(S23&lt;=0.5,"Controlada","Fuera de control – precaución"),IF(S23&lt;0.5,"Controlada","Fuera de control – precaución"))))</f>
        <v/>
      </c>
      <c r="V23" s="19" t="str">
        <f aca="false">IF(N(S23)=0,"",IF(S23&gt;=1,5,IF(M23&gt;0,4,IF(S23&gt;=0.5,3,IF(S23&gt;=0.1,2,1)))))</f>
        <v/>
      </c>
      <c r="W23" s="19" t="str">
        <f aca="false">IF(V23="","",CHOOSE(V23,"De 3 a 5 años","De 1 a 3 años","De 3 meses a 1 año","De 1 a 3 meses","Evaluación continua"))</f>
        <v/>
      </c>
      <c r="X23" s="19" t="str">
        <f aca="false">IF(OR(P23="",LEFT(B23,3)&lt;&gt;"SIL"),IF(A23="","","N/A"),IF(P23&lt;=0.5,"Cada 3 años","Anual"))</f>
        <v/>
      </c>
      <c r="Y23" s="19" t="str">
        <f aca="false">IF(OR(A23="",S23=""),"",IF(LEFT(B23,3)="SIL",IF(S23&gt;=0.5,"SVE específico (≥ nivel de acción)","Seguimiento general de salud"),IF(B23="PNOS","Según criterio médico",IF(S23&gt;=0.5,"SVE – prioritario (CR ≥ 0,5)","SVE – todos los expuestos (GATI 7.3.1)"))))</f>
        <v/>
      </c>
      <c r="Z23" s="21" t="str">
        <f aca="false">IF(L23="","",K23*L23^1.645)</f>
        <v/>
      </c>
      <c r="AA23" s="21" t="str">
        <f aca="false">IF(LEFT(B23,3)&lt;&gt;"CAR","",IFERROR(AVERAGEIFS(Muestreo!$N$6:$N$305,Muestreo!$B$6:$B$305,A23),""))</f>
        <v/>
      </c>
      <c r="AB23" s="24" t="str">
        <f aca="false">IF(OR(AA23="",GES!T23=""),"",AA23/(INDEX(Agentes!$F$6:$F$12,MATCH("SIL-Q",Agentes!$A$6:$A$12,0))*GES!T23))</f>
        <v/>
      </c>
      <c r="AC23" s="25" t="str">
        <f aca="false">IF(AB23="","",IF(AB23&gt;1,"Cuarzo sobre TLV: gestionar también como sílice",IF(AB23&gt;=0.5,"Cuarzo ≥ nivel de acción","Cuarzo controlado")))</f>
        <v/>
      </c>
    </row>
    <row r="24" customFormat="false" ht="15" hidden="false" customHeight="false" outlineLevel="0" collapsed="false">
      <c r="A24" s="19" t="str">
        <f aca="false">IF(GES!A24="","",GES!A24)</f>
        <v/>
      </c>
      <c r="B24" s="19" t="str">
        <f aca="false">IF(A24="","",GES!E24)</f>
        <v/>
      </c>
      <c r="C24" s="19" t="str">
        <f aca="false">IF(A24="","",GES!V24)</f>
        <v/>
      </c>
      <c r="D24" s="19" t="str">
        <f aca="false">IF(A24="","",COUNTIFS(Muestreo!$B$6:$B$305,A24,Muestreo!$L$6:$L$305,"&gt;0"))</f>
        <v/>
      </c>
      <c r="E24" s="19" t="str">
        <f aca="false">IF(A24="","",GES!O24)</f>
        <v/>
      </c>
      <c r="F24" s="25" t="str">
        <f aca="false">IF(A24="","",IF(D24=0,"Sin muestras",IF(D24&gt;=E24,"Suficiente","Insuficiente (&lt;"&amp;E24&amp;")")))</f>
        <v/>
      </c>
      <c r="G24" s="21" t="str">
        <f aca="false">IF(N(D24)=0,"",_xlfn.MINIFS(Muestreo!$L$6:$L$305,Muestreo!$B$6:$B$305,A24))</f>
        <v/>
      </c>
      <c r="H24" s="21" t="str">
        <f aca="false">IF(N(D24)=0,"",_xlfn.MAXIFS(Muestreo!$L$6:$L$305,Muestreo!$B$6:$B$305,A24))</f>
        <v/>
      </c>
      <c r="I24" s="21" t="str">
        <f aca="false">IF(N(D24)=0,"",AVERAGEIFS(Muestreo!$L$6:$L$305,Muestreo!$B$6:$B$305,A24))</f>
        <v/>
      </c>
      <c r="J24" s="21" t="str">
        <f aca="false">IF(N(D24)&lt;2,"",SQRT(SUMIFS(Muestreo!$U$6:$U$305,Muestreo!$B$6:$B$305,A24)/(D24-1)))</f>
        <v/>
      </c>
      <c r="K24" s="21" t="str">
        <f aca="false">IF(N(D24)=0,"",EXP(AVERAGEIFS(Muestreo!$S$6:$S$305,Muestreo!$B$6:$B$305,A24)))</f>
        <v/>
      </c>
      <c r="L24" s="24" t="str">
        <f aca="false">IF(N(D24)&lt;2,"",EXP(SQRT(SUMIFS(Muestreo!$T$6:$T$305,Muestreo!$B$6:$B$305,A24)/IF(Agentes!$C$15="n",D24,D24-1))))</f>
        <v/>
      </c>
      <c r="M24" s="26" t="str">
        <f aca="false">IF(N(D24)=0,"",SUMIFS(Muestreo!$V$6:$V$305,Muestreo!$B$6:$B$305,A24)/D24)</f>
        <v/>
      </c>
      <c r="N24" s="21" t="str">
        <f aca="false">IF(A24="","",GES!U24)</f>
        <v/>
      </c>
      <c r="O24" s="24" t="str">
        <f aca="false">IF(OR(I24="",N(N24)=0),"",I24/N24)</f>
        <v/>
      </c>
      <c r="P24" s="24" t="str">
        <f aca="false">IF(OR(K24="",N(N24)=0),"",K24/N24)</f>
        <v/>
      </c>
      <c r="Q24" s="19" t="str">
        <f aca="false">IF(B24="","",IFERROR(INDEX(Agentes!$G$6:$G$12,MATCH(B24,Agentes!$A$6:$A$12,0)),""))</f>
        <v/>
      </c>
      <c r="R24" s="25" t="str">
        <f aca="false">IF(L24="",IF(N(D24)=1,"n = 1: no se calcula DEG",""),IF(L24&lt;=T24,IF(LEFT(Q24,3)="Res","Mantener GES","GES aceptable"),IF(LEFT(Q24,3)="Res","Revisar conformación del GES (DEG &gt; 2,5)","GES no aceptable (DEG &gt; 2,0): revise oficios")))</f>
        <v/>
      </c>
      <c r="S24" s="24" t="str">
        <f aca="false">IF(Q24="","",IF(LEFT(Q24,3)="Res",P24,O24))</f>
        <v/>
      </c>
      <c r="T24" s="19" t="str">
        <f aca="false">IF(Q24="","",IF(LEFT(Q24,3)="Res",2.5,2))</f>
        <v/>
      </c>
      <c r="U24" s="25" t="str">
        <f aca="false">IF(OR(A24="",S24=""),IF(A24="","","Sin datos"),IF(S24&gt;1,"Sobreexposición",IF(LEFT(Q24,3)="Res",IF(S24&lt;=0.5,"Controlada","Fuera de control – precaución"),IF(S24&lt;0.5,"Controlada","Fuera de control – precaución"))))</f>
        <v/>
      </c>
      <c r="V24" s="19" t="str">
        <f aca="false">IF(N(S24)=0,"",IF(S24&gt;=1,5,IF(M24&gt;0,4,IF(S24&gt;=0.5,3,IF(S24&gt;=0.1,2,1)))))</f>
        <v/>
      </c>
      <c r="W24" s="19" t="str">
        <f aca="false">IF(V24="","",CHOOSE(V24,"De 3 a 5 años","De 1 a 3 años","De 3 meses a 1 año","De 1 a 3 meses","Evaluación continua"))</f>
        <v/>
      </c>
      <c r="X24" s="19" t="str">
        <f aca="false">IF(OR(P24="",LEFT(B24,3)&lt;&gt;"SIL"),IF(A24="","","N/A"),IF(P24&lt;=0.5,"Cada 3 años","Anual"))</f>
        <v/>
      </c>
      <c r="Y24" s="19" t="str">
        <f aca="false">IF(OR(A24="",S24=""),"",IF(LEFT(B24,3)="SIL",IF(S24&gt;=0.5,"SVE específico (≥ nivel de acción)","Seguimiento general de salud"),IF(B24="PNOS","Según criterio médico",IF(S24&gt;=0.5,"SVE – prioritario (CR ≥ 0,5)","SVE – todos los expuestos (GATI 7.3.1)"))))</f>
        <v/>
      </c>
      <c r="Z24" s="21" t="str">
        <f aca="false">IF(L24="","",K24*L24^1.645)</f>
        <v/>
      </c>
      <c r="AA24" s="21" t="str">
        <f aca="false">IF(LEFT(B24,3)&lt;&gt;"CAR","",IFERROR(AVERAGEIFS(Muestreo!$N$6:$N$305,Muestreo!$B$6:$B$305,A24),""))</f>
        <v/>
      </c>
      <c r="AB24" s="24" t="str">
        <f aca="false">IF(OR(AA24="",GES!T24=""),"",AA24/(INDEX(Agentes!$F$6:$F$12,MATCH("SIL-Q",Agentes!$A$6:$A$12,0))*GES!T24))</f>
        <v/>
      </c>
      <c r="AC24" s="25" t="str">
        <f aca="false">IF(AB24="","",IF(AB24&gt;1,"Cuarzo sobre TLV: gestionar también como sílice",IF(AB24&gt;=0.5,"Cuarzo ≥ nivel de acción","Cuarzo controlado")))</f>
        <v/>
      </c>
    </row>
    <row r="25" customFormat="false" ht="15" hidden="false" customHeight="false" outlineLevel="0" collapsed="false">
      <c r="A25" s="19" t="str">
        <f aca="false">IF(GES!A25="","",GES!A25)</f>
        <v/>
      </c>
      <c r="B25" s="19" t="str">
        <f aca="false">IF(A25="","",GES!E25)</f>
        <v/>
      </c>
      <c r="C25" s="19" t="str">
        <f aca="false">IF(A25="","",GES!V25)</f>
        <v/>
      </c>
      <c r="D25" s="19" t="str">
        <f aca="false">IF(A25="","",COUNTIFS(Muestreo!$B$6:$B$305,A25,Muestreo!$L$6:$L$305,"&gt;0"))</f>
        <v/>
      </c>
      <c r="E25" s="19" t="str">
        <f aca="false">IF(A25="","",GES!O25)</f>
        <v/>
      </c>
      <c r="F25" s="25" t="str">
        <f aca="false">IF(A25="","",IF(D25=0,"Sin muestras",IF(D25&gt;=E25,"Suficiente","Insuficiente (&lt;"&amp;E25&amp;")")))</f>
        <v/>
      </c>
      <c r="G25" s="21" t="str">
        <f aca="false">IF(N(D25)=0,"",_xlfn.MINIFS(Muestreo!$L$6:$L$305,Muestreo!$B$6:$B$305,A25))</f>
        <v/>
      </c>
      <c r="H25" s="21" t="str">
        <f aca="false">IF(N(D25)=0,"",_xlfn.MAXIFS(Muestreo!$L$6:$L$305,Muestreo!$B$6:$B$305,A25))</f>
        <v/>
      </c>
      <c r="I25" s="21" t="str">
        <f aca="false">IF(N(D25)=0,"",AVERAGEIFS(Muestreo!$L$6:$L$305,Muestreo!$B$6:$B$305,A25))</f>
        <v/>
      </c>
      <c r="J25" s="21" t="str">
        <f aca="false">IF(N(D25)&lt;2,"",SQRT(SUMIFS(Muestreo!$U$6:$U$305,Muestreo!$B$6:$B$305,A25)/(D25-1)))</f>
        <v/>
      </c>
      <c r="K25" s="21" t="str">
        <f aca="false">IF(N(D25)=0,"",EXP(AVERAGEIFS(Muestreo!$S$6:$S$305,Muestreo!$B$6:$B$305,A25)))</f>
        <v/>
      </c>
      <c r="L25" s="24" t="str">
        <f aca="false">IF(N(D25)&lt;2,"",EXP(SQRT(SUMIFS(Muestreo!$T$6:$T$305,Muestreo!$B$6:$B$305,A25)/IF(Agentes!$C$15="n",D25,D25-1))))</f>
        <v/>
      </c>
      <c r="M25" s="26" t="str">
        <f aca="false">IF(N(D25)=0,"",SUMIFS(Muestreo!$V$6:$V$305,Muestreo!$B$6:$B$305,A25)/D25)</f>
        <v/>
      </c>
      <c r="N25" s="21" t="str">
        <f aca="false">IF(A25="","",GES!U25)</f>
        <v/>
      </c>
      <c r="O25" s="24" t="str">
        <f aca="false">IF(OR(I25="",N(N25)=0),"",I25/N25)</f>
        <v/>
      </c>
      <c r="P25" s="24" t="str">
        <f aca="false">IF(OR(K25="",N(N25)=0),"",K25/N25)</f>
        <v/>
      </c>
      <c r="Q25" s="19" t="str">
        <f aca="false">IF(B25="","",IFERROR(INDEX(Agentes!$G$6:$G$12,MATCH(B25,Agentes!$A$6:$A$12,0)),""))</f>
        <v/>
      </c>
      <c r="R25" s="25" t="str">
        <f aca="false">IF(L25="",IF(N(D25)=1,"n = 1: no se calcula DEG",""),IF(L25&lt;=T25,IF(LEFT(Q25,3)="Res","Mantener GES","GES aceptable"),IF(LEFT(Q25,3)="Res","Revisar conformación del GES (DEG &gt; 2,5)","GES no aceptable (DEG &gt; 2,0): revise oficios")))</f>
        <v/>
      </c>
      <c r="S25" s="24" t="str">
        <f aca="false">IF(Q25="","",IF(LEFT(Q25,3)="Res",P25,O25))</f>
        <v/>
      </c>
      <c r="T25" s="19" t="str">
        <f aca="false">IF(Q25="","",IF(LEFT(Q25,3)="Res",2.5,2))</f>
        <v/>
      </c>
      <c r="U25" s="25" t="str">
        <f aca="false">IF(OR(A25="",S25=""),IF(A25="","","Sin datos"),IF(S25&gt;1,"Sobreexposición",IF(LEFT(Q25,3)="Res",IF(S25&lt;=0.5,"Controlada","Fuera de control – precaución"),IF(S25&lt;0.5,"Controlada","Fuera de control – precaución"))))</f>
        <v/>
      </c>
      <c r="V25" s="19" t="str">
        <f aca="false">IF(N(S25)=0,"",IF(S25&gt;=1,5,IF(M25&gt;0,4,IF(S25&gt;=0.5,3,IF(S25&gt;=0.1,2,1)))))</f>
        <v/>
      </c>
      <c r="W25" s="19" t="str">
        <f aca="false">IF(V25="","",CHOOSE(V25,"De 3 a 5 años","De 1 a 3 años","De 3 meses a 1 año","De 1 a 3 meses","Evaluación continua"))</f>
        <v/>
      </c>
      <c r="X25" s="19" t="str">
        <f aca="false">IF(OR(P25="",LEFT(B25,3)&lt;&gt;"SIL"),IF(A25="","","N/A"),IF(P25&lt;=0.5,"Cada 3 años","Anual"))</f>
        <v/>
      </c>
      <c r="Y25" s="19" t="str">
        <f aca="false">IF(OR(A25="",S25=""),"",IF(LEFT(B25,3)="SIL",IF(S25&gt;=0.5,"SVE específico (≥ nivel de acción)","Seguimiento general de salud"),IF(B25="PNOS","Según criterio médico",IF(S25&gt;=0.5,"SVE – prioritario (CR ≥ 0,5)","SVE – todos los expuestos (GATI 7.3.1)"))))</f>
        <v/>
      </c>
      <c r="Z25" s="21" t="str">
        <f aca="false">IF(L25="","",K25*L25^1.645)</f>
        <v/>
      </c>
      <c r="AA25" s="21" t="str">
        <f aca="false">IF(LEFT(B25,3)&lt;&gt;"CAR","",IFERROR(AVERAGEIFS(Muestreo!$N$6:$N$305,Muestreo!$B$6:$B$305,A25),""))</f>
        <v/>
      </c>
      <c r="AB25" s="24" t="str">
        <f aca="false">IF(OR(AA25="",GES!T25=""),"",AA25/(INDEX(Agentes!$F$6:$F$12,MATCH("SIL-Q",Agentes!$A$6:$A$12,0))*GES!T25))</f>
        <v/>
      </c>
      <c r="AC25" s="25" t="str">
        <f aca="false">IF(AB25="","",IF(AB25&gt;1,"Cuarzo sobre TLV: gestionar también como sílice",IF(AB25&gt;=0.5,"Cuarzo ≥ nivel de acción","Cuarzo controlado")))</f>
        <v/>
      </c>
    </row>
  </sheetData>
  <conditionalFormatting sqref="U6:U25">
    <cfRule type="expression" priority="2" aboveAverage="0" equalAverage="0" bottom="0" percent="0" rank="0" text="" dxfId="0">
      <formula>U6="Sobreexposición"</formula>
    </cfRule>
    <cfRule type="expression" priority="3" aboveAverage="0" equalAverage="0" bottom="0" percent="0" rank="0" text="" dxfId="1">
      <formula>LEFT(U6,5)="Fuera"</formula>
    </cfRule>
    <cfRule type="expression" priority="4" aboveAverage="0" equalAverage="0" bottom="0" percent="0" rank="0" text="" dxfId="2">
      <formula>U6="Controlada"</formula>
    </cfRule>
  </conditionalFormatting>
  <conditionalFormatting sqref="R6:R25">
    <cfRule type="expression" priority="5" aboveAverage="0" equalAverage="0" bottom="0" percent="0" rank="0" text="" dxfId="0">
      <formula>OR(LEFT(R6,3)="Rev",LEFT(R6,6)="GES no")</formula>
    </cfRule>
  </conditionalFormatting>
  <conditionalFormatting sqref="F6:F25">
    <cfRule type="expression" priority="6" aboveAverage="0" equalAverage="0" bottom="0" percent="0" rank="0" text="" dxfId="1">
      <formula>LEFT(F6,4)="Insu"</formula>
    </cfRule>
  </conditionalFormatting>
  <conditionalFormatting sqref="AC6:AC25">
    <cfRule type="expression" priority="7" aboveAverage="0" equalAverage="0" bottom="0" percent="0" rank="0" text="" dxfId="1">
      <formula>LEFT(AC6,6)="Cuarzo"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34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22"/>
  </cols>
  <sheetData>
    <row r="1" customFormat="false" ht="19.7" hidden="false" customHeight="false" outlineLevel="0" collapsed="false">
      <c r="A1" s="9" t="s">
        <v>261</v>
      </c>
    </row>
    <row r="2" customFormat="false" ht="15" hidden="false" customHeight="false" outlineLevel="0" collapsed="false">
      <c r="A2" s="3" t="s">
        <v>262</v>
      </c>
    </row>
    <row r="3" customFormat="false" ht="15" hidden="false" customHeight="false" outlineLevel="0" collapsed="false">
      <c r="A3" s="10" t="s">
        <v>36</v>
      </c>
    </row>
    <row r="5" customFormat="false" ht="39.75" hidden="false" customHeight="true" outlineLevel="0" collapsed="false">
      <c r="A5" s="11" t="s">
        <v>121</v>
      </c>
      <c r="B5" s="11" t="s">
        <v>38</v>
      </c>
      <c r="C5" s="11" t="s">
        <v>263</v>
      </c>
      <c r="D5" s="11" t="s">
        <v>264</v>
      </c>
      <c r="E5" s="11" t="s">
        <v>265</v>
      </c>
      <c r="F5" s="11" t="s">
        <v>266</v>
      </c>
      <c r="G5" s="11" t="s">
        <v>267</v>
      </c>
      <c r="H5" s="11" t="s">
        <v>268</v>
      </c>
      <c r="I5" s="11" t="s">
        <v>269</v>
      </c>
      <c r="J5" s="11" t="s">
        <v>270</v>
      </c>
      <c r="K5" s="11" t="s">
        <v>271</v>
      </c>
      <c r="L5" s="11" t="s">
        <v>272</v>
      </c>
      <c r="M5" s="11" t="s">
        <v>191</v>
      </c>
    </row>
    <row r="6" customFormat="false" ht="48" hidden="false" customHeight="true" outlineLevel="0" collapsed="false">
      <c r="A6" s="27" t="str">
        <f aca="false">Estadística!A6</f>
        <v>G01</v>
      </c>
      <c r="B6" s="19" t="str">
        <f aca="false">Estadística!B6</f>
        <v>SIL-Q</v>
      </c>
      <c r="C6" s="27" t="str">
        <f aca="false">Estadística!U6</f>
        <v>Sobreexposición</v>
      </c>
      <c r="D6" s="19" t="n">
        <f aca="false">Estadística!V6</f>
        <v>5</v>
      </c>
      <c r="E6" s="27" t="str">
        <f aca="false">IF(A6="","",IF(D6="","Evaluar",CHOOSE(D6,"Mantener","Mantener y reevaluar","Media (≤ 3–12 meses)","Alta (≤ 1–3 meses)","Inmediata")))</f>
        <v>Inmediata</v>
      </c>
      <c r="F6" s="27" t="str">
        <f aca="false">IF(A6="","",IF(C6="Sin datos","Realizar evaluación cuantitativa con 6 a 10 muestras personales (GATI 7.2.1).",IFERROR(INDEX(Biblioteca!$J$6:$J$17,MATCH(LEFT(B6,3)&amp;"|"&amp;C6,Biblioteca!$I$6:$I$17,0)),"")))</f>
        <v>Control inmediato: evaluar sustitución (B01–B02), encerramiento y LEV (B03–B04), humectación o herramientas con agua/aspiración (B05–B06), cabinas (B07). Mientras tanto reducir tiempos (B17), demarcar (B18) y protección respiratoria según factor requerido (hoja Protección Respiratoria). Ingreso prioritario al SVE.</v>
      </c>
      <c r="G6" s="18" t="s">
        <v>273</v>
      </c>
      <c r="H6" s="18" t="s">
        <v>274</v>
      </c>
      <c r="I6" s="18" t="s">
        <v>275</v>
      </c>
      <c r="J6" s="22" t="n">
        <v>46371</v>
      </c>
      <c r="K6" s="18" t="s">
        <v>276</v>
      </c>
      <c r="L6" s="18" t="s">
        <v>277</v>
      </c>
      <c r="M6" s="18"/>
    </row>
    <row r="7" customFormat="false" ht="48" hidden="false" customHeight="true" outlineLevel="0" collapsed="false">
      <c r="A7" s="27" t="str">
        <f aca="false">Estadística!A7</f>
        <v>G02</v>
      </c>
      <c r="B7" s="19" t="str">
        <f aca="false">Estadística!B7</f>
        <v>SIL-Q</v>
      </c>
      <c r="C7" s="27" t="str">
        <f aca="false">Estadística!U7</f>
        <v>Fuera de control – precaución</v>
      </c>
      <c r="D7" s="19" t="n">
        <f aca="false">Estadística!V7</f>
        <v>3</v>
      </c>
      <c r="E7" s="27" t="str">
        <f aca="false">IF(A7="","",IF(D7="","Evaluar",CHOOSE(D7,"Mantener","Mantener y reevaluar","Media (≤ 3–12 meses)","Alta (≤ 1–3 meses)","Inmediata")))</f>
        <v>Media (≤ 3–12 meses)</v>
      </c>
      <c r="F7" s="27" t="str">
        <f aca="false">IF(A7="","",IF(C7="Sin datos","Realizar evaluación cuantitativa con 6 a 10 muestras personales (GATI 7.2.1).",IFERROR(INDEX(Biblioteca!$J$6:$J$17,MATCH(LEFT(B7,3)&amp;"|"&amp;C7,Biblioteca!$I$6:$I$17,0)),"")))</f>
        <v>Nivel de acción alcanzado: ingresar al SVE específico. Priorizar humectación y LEV en la fuente (B04–B06); verificar desempeño de la ventilación (B23); orden y aseo sin barrido en seco (B14); protección respiratoria P100/FFP3 complementaria (B24–B25).</v>
      </c>
      <c r="G7" s="18"/>
      <c r="H7" s="18"/>
      <c r="I7" s="18"/>
      <c r="J7" s="22"/>
      <c r="K7" s="18"/>
      <c r="L7" s="18"/>
      <c r="M7" s="18"/>
    </row>
    <row r="8" customFormat="false" ht="48" hidden="false" customHeight="true" outlineLevel="0" collapsed="false">
      <c r="A8" s="27" t="str">
        <f aca="false">Estadística!A8</f>
        <v>G03</v>
      </c>
      <c r="B8" s="19" t="str">
        <f aca="false">Estadística!B8</f>
        <v>SIL-Q</v>
      </c>
      <c r="C8" s="27" t="str">
        <f aca="false">Estadística!U8</f>
        <v>Fuera de control – precaución</v>
      </c>
      <c r="D8" s="19" t="n">
        <f aca="false">Estadística!V8</f>
        <v>4</v>
      </c>
      <c r="E8" s="27" t="str">
        <f aca="false">IF(A8="","",IF(D8="","Evaluar",CHOOSE(D8,"Mantener","Mantener y reevaluar","Media (≤ 3–12 meses)","Alta (≤ 1–3 meses)","Inmediata")))</f>
        <v>Alta (≤ 1–3 meses)</v>
      </c>
      <c r="F8" s="27" t="str">
        <f aca="false">IF(A8="","",IF(C8="Sin datos","Realizar evaluación cuantitativa con 6 a 10 muestras personales (GATI 7.2.1).",IFERROR(INDEX(Biblioteca!$J$6:$J$17,MATCH(LEFT(B8,3)&amp;"|"&amp;C8,Biblioteca!$I$6:$I$17,0)),"")))</f>
        <v>Nivel de acción alcanzado: ingresar al SVE específico. Priorizar humectación y LEV en la fuente (B04–B06); verificar desempeño de la ventilación (B23); orden y aseo sin barrido en seco (B14); protección respiratoria P100/FFP3 complementaria (B24–B25).</v>
      </c>
      <c r="G8" s="18"/>
      <c r="H8" s="18"/>
      <c r="I8" s="18"/>
      <c r="J8" s="22"/>
      <c r="K8" s="18"/>
      <c r="L8" s="18"/>
      <c r="M8" s="18"/>
    </row>
    <row r="9" customFormat="false" ht="48" hidden="false" customHeight="true" outlineLevel="0" collapsed="false">
      <c r="A9" s="27" t="str">
        <f aca="false">Estadística!A9</f>
        <v>G04</v>
      </c>
      <c r="B9" s="19" t="str">
        <f aca="false">Estadística!B9</f>
        <v>CAR-B</v>
      </c>
      <c r="C9" s="27" t="str">
        <f aca="false">Estadística!U9</f>
        <v>Sobreexposición</v>
      </c>
      <c r="D9" s="19" t="n">
        <f aca="false">Estadística!V9</f>
        <v>5</v>
      </c>
      <c r="E9" s="27" t="str">
        <f aca="false">IF(A9="","",IF(D9="","Evaluar",CHOOSE(D9,"Mantener","Mantener y reevaluar","Media (≤ 3–12 meses)","Alta (≤ 1–3 meses)","Inmediata")))</f>
        <v>Inmediata</v>
      </c>
      <c r="F9" s="27" t="str">
        <f aca="false">IF(A9="","",IF(C9="Sin datos","Realizar evaluación cuantitativa con 6 a 10 muestras personales (GATI 7.2.1).",IFERROR(INDEX(Biblioteca!$J$6:$J$17,MATCH(LEFT(B9,3)&amp;"|"&amp;C9,Biblioteca!$I$6:$I$17,0)),"")))</f>
        <v>Control inmediato: rediseño de ventilación (B08), sistemas de supresión en minadores y bandas (B09), humectación (B05), cabinas presurizadas (B07). Reducir exposición (B17). Protección respiratoria según factor requerido. Evaluar cuarzo como agente adicional.</v>
      </c>
      <c r="G9" s="18" t="s">
        <v>278</v>
      </c>
      <c r="H9" s="18" t="s">
        <v>279</v>
      </c>
      <c r="I9" s="18" t="s">
        <v>280</v>
      </c>
      <c r="J9" s="22" t="n">
        <v>46356</v>
      </c>
      <c r="K9" s="18" t="s">
        <v>281</v>
      </c>
      <c r="L9" s="18" t="s">
        <v>282</v>
      </c>
      <c r="M9" s="18"/>
    </row>
    <row r="10" customFormat="false" ht="48" hidden="false" customHeight="true" outlineLevel="0" collapsed="false">
      <c r="A10" s="27" t="str">
        <f aca="false">Estadística!A10</f>
        <v>G05</v>
      </c>
      <c r="B10" s="19" t="str">
        <f aca="false">Estadística!B10</f>
        <v>CAR-B</v>
      </c>
      <c r="C10" s="27" t="str">
        <f aca="false">Estadística!U10</f>
        <v>Controlada</v>
      </c>
      <c r="D10" s="19" t="n">
        <f aca="false">Estadística!V10</f>
        <v>2</v>
      </c>
      <c r="E10" s="27" t="str">
        <f aca="false">IF(A10="","",IF(D10="","Evaluar",CHOOSE(D10,"Mantener","Mantener y reevaluar","Media (≤ 3–12 meses)","Alta (≤ 1–3 meses)","Inmediata")))</f>
        <v>Mantener y reevaluar</v>
      </c>
      <c r="F10" s="27" t="str">
        <f aca="false">IF(A10="","",IF(C10="Sin datos","Realizar evaluación cuantitativa con 6 a 10 muestras personales (GATI 7.2.1).",IFERROR(INDEX(Biblioteca!$J$6:$J$17,MATCH(LEFT(B10,3)&amp;"|"&amp;C10,Biblioteca!$I$6:$I$17,0)),"")))</f>
        <v>Mantener ventilación principal y humectación. Verificar contenido de cuarzo en las muestras (NIOSH 7500). Capacitación y programa antitabaco (B20–B21).</v>
      </c>
      <c r="G10" s="18"/>
      <c r="H10" s="18"/>
      <c r="I10" s="18"/>
      <c r="J10" s="22"/>
      <c r="K10" s="18"/>
      <c r="L10" s="18"/>
      <c r="M10" s="18"/>
    </row>
    <row r="11" customFormat="false" ht="48" hidden="false" customHeight="true" outlineLevel="0" collapsed="false">
      <c r="A11" s="27" t="str">
        <f aca="false">Estadística!A11</f>
        <v>G06</v>
      </c>
      <c r="B11" s="19" t="str">
        <f aca="false">Estadística!B11</f>
        <v>ASB</v>
      </c>
      <c r="C11" s="27" t="str">
        <f aca="false">Estadística!U11</f>
        <v>Fuera de control – precaución</v>
      </c>
      <c r="D11" s="19" t="n">
        <f aca="false">Estadística!V11</f>
        <v>4</v>
      </c>
      <c r="E11" s="27" t="str">
        <f aca="false">IF(A11="","",IF(D11="","Evaluar",CHOOSE(D11,"Mantener","Mantener y reevaluar","Media (≤ 3–12 meses)","Alta (≤ 1–3 meses)","Inmediata")))</f>
        <v>Alta (≤ 1–3 meses)</v>
      </c>
      <c r="F11" s="27" t="str">
        <f aca="false">IF(A11="","",IF(C11="Sin datos","Realizar evaluación cuantitativa con 6 a 10 muestras personales (GATI 7.2.1).",IFERROR(INDEX(Biblioteca!$J$6:$J$17,MATCH(LEFT(B11,3)&amp;"|"&amp;C11,Biblioteca!$I$6:$I$17,0)),"")))</f>
        <v>Confinar la zona y extraer con HEPA (B11, B13); trabajo húmedo (B12); prohibir barrido en seco y aire comprimido (B14); ropa exclusiva y ducha (B19); respirador elastomérico P100 como mínimo (B26).</v>
      </c>
      <c r="G11" s="18" t="s">
        <v>283</v>
      </c>
      <c r="H11" s="18" t="s">
        <v>279</v>
      </c>
      <c r="I11" s="18" t="s">
        <v>284</v>
      </c>
      <c r="J11" s="22" t="n">
        <v>46325</v>
      </c>
      <c r="K11" s="18" t="s">
        <v>276</v>
      </c>
      <c r="L11" s="18" t="s">
        <v>285</v>
      </c>
      <c r="M11" s="18"/>
    </row>
    <row r="12" customFormat="false" ht="48" hidden="false" customHeight="true" outlineLevel="0" collapsed="false">
      <c r="A12" s="27" t="str">
        <f aca="false">Estadística!A12</f>
        <v/>
      </c>
      <c r="B12" s="19" t="str">
        <f aca="false">Estadística!B12</f>
        <v/>
      </c>
      <c r="C12" s="27" t="str">
        <f aca="false">Estadística!U12</f>
        <v/>
      </c>
      <c r="D12" s="19" t="str">
        <f aca="false">Estadística!V12</f>
        <v/>
      </c>
      <c r="E12" s="27" t="str">
        <f aca="false">IF(A12="","",IF(D12="","Evaluar",CHOOSE(D12,"Mantener","Mantener y reevaluar","Media (≤ 3–12 meses)","Alta (≤ 1–3 meses)","Inmediata")))</f>
        <v/>
      </c>
      <c r="F12" s="27" t="str">
        <f aca="false">IF(A12="","",IF(C12="Sin datos","Realizar evaluación cuantitativa con 6 a 10 muestras personales (GATI 7.2.1).",IFERROR(INDEX(Biblioteca!$J$6:$J$17,MATCH(LEFT(B12,3)&amp;"|"&amp;C12,Biblioteca!$I$6:$I$17,0)),"")))</f>
        <v/>
      </c>
      <c r="G12" s="18"/>
      <c r="H12" s="18"/>
      <c r="I12" s="18"/>
      <c r="J12" s="22"/>
      <c r="K12" s="18"/>
      <c r="L12" s="18"/>
      <c r="M12" s="18"/>
    </row>
    <row r="13" customFormat="false" ht="48" hidden="false" customHeight="true" outlineLevel="0" collapsed="false">
      <c r="A13" s="27" t="str">
        <f aca="false">Estadística!A13</f>
        <v/>
      </c>
      <c r="B13" s="19" t="str">
        <f aca="false">Estadística!B13</f>
        <v/>
      </c>
      <c r="C13" s="27" t="str">
        <f aca="false">Estadística!U13</f>
        <v/>
      </c>
      <c r="D13" s="19" t="str">
        <f aca="false">Estadística!V13</f>
        <v/>
      </c>
      <c r="E13" s="27" t="str">
        <f aca="false">IF(A13="","",IF(D13="","Evaluar",CHOOSE(D13,"Mantener","Mantener y reevaluar","Media (≤ 3–12 meses)","Alta (≤ 1–3 meses)","Inmediata")))</f>
        <v/>
      </c>
      <c r="F13" s="27" t="str">
        <f aca="false">IF(A13="","",IF(C13="Sin datos","Realizar evaluación cuantitativa con 6 a 10 muestras personales (GATI 7.2.1).",IFERROR(INDEX(Biblioteca!$J$6:$J$17,MATCH(LEFT(B13,3)&amp;"|"&amp;C13,Biblioteca!$I$6:$I$17,0)),"")))</f>
        <v/>
      </c>
      <c r="G13" s="18"/>
      <c r="H13" s="18"/>
      <c r="I13" s="18"/>
      <c r="J13" s="22"/>
      <c r="K13" s="18"/>
      <c r="L13" s="18"/>
      <c r="M13" s="18"/>
    </row>
    <row r="14" customFormat="false" ht="48" hidden="false" customHeight="true" outlineLevel="0" collapsed="false">
      <c r="A14" s="27" t="str">
        <f aca="false">Estadística!A14</f>
        <v/>
      </c>
      <c r="B14" s="19" t="str">
        <f aca="false">Estadística!B14</f>
        <v/>
      </c>
      <c r="C14" s="27" t="str">
        <f aca="false">Estadística!U14</f>
        <v/>
      </c>
      <c r="D14" s="19" t="str">
        <f aca="false">Estadística!V14</f>
        <v/>
      </c>
      <c r="E14" s="27" t="str">
        <f aca="false">IF(A14="","",IF(D14="","Evaluar",CHOOSE(D14,"Mantener","Mantener y reevaluar","Media (≤ 3–12 meses)","Alta (≤ 1–3 meses)","Inmediata")))</f>
        <v/>
      </c>
      <c r="F14" s="27" t="str">
        <f aca="false">IF(A14="","",IF(C14="Sin datos","Realizar evaluación cuantitativa con 6 a 10 muestras personales (GATI 7.2.1).",IFERROR(INDEX(Biblioteca!$J$6:$J$17,MATCH(LEFT(B14,3)&amp;"|"&amp;C14,Biblioteca!$I$6:$I$17,0)),"")))</f>
        <v/>
      </c>
      <c r="G14" s="18"/>
      <c r="H14" s="18"/>
      <c r="I14" s="18"/>
      <c r="J14" s="22"/>
      <c r="K14" s="18"/>
      <c r="L14" s="18"/>
      <c r="M14" s="18"/>
    </row>
    <row r="15" customFormat="false" ht="48" hidden="false" customHeight="true" outlineLevel="0" collapsed="false">
      <c r="A15" s="27" t="str">
        <f aca="false">Estadística!A15</f>
        <v/>
      </c>
      <c r="B15" s="19" t="str">
        <f aca="false">Estadística!B15</f>
        <v/>
      </c>
      <c r="C15" s="27" t="str">
        <f aca="false">Estadística!U15</f>
        <v/>
      </c>
      <c r="D15" s="19" t="str">
        <f aca="false">Estadística!V15</f>
        <v/>
      </c>
      <c r="E15" s="27" t="str">
        <f aca="false">IF(A15="","",IF(D15="","Evaluar",CHOOSE(D15,"Mantener","Mantener y reevaluar","Media (≤ 3–12 meses)","Alta (≤ 1–3 meses)","Inmediata")))</f>
        <v/>
      </c>
      <c r="F15" s="27" t="str">
        <f aca="false">IF(A15="","",IF(C15="Sin datos","Realizar evaluación cuantitativa con 6 a 10 muestras personales (GATI 7.2.1).",IFERROR(INDEX(Biblioteca!$J$6:$J$17,MATCH(LEFT(B15,3)&amp;"|"&amp;C15,Biblioteca!$I$6:$I$17,0)),"")))</f>
        <v/>
      </c>
      <c r="G15" s="18"/>
      <c r="H15" s="18"/>
      <c r="I15" s="18"/>
      <c r="J15" s="22"/>
      <c r="K15" s="18"/>
      <c r="L15" s="18"/>
      <c r="M15" s="18"/>
    </row>
    <row r="16" customFormat="false" ht="48" hidden="false" customHeight="true" outlineLevel="0" collapsed="false">
      <c r="A16" s="27" t="str">
        <f aca="false">Estadística!A16</f>
        <v/>
      </c>
      <c r="B16" s="19" t="str">
        <f aca="false">Estadística!B16</f>
        <v/>
      </c>
      <c r="C16" s="27" t="str">
        <f aca="false">Estadística!U16</f>
        <v/>
      </c>
      <c r="D16" s="19" t="str">
        <f aca="false">Estadística!V16</f>
        <v/>
      </c>
      <c r="E16" s="27" t="str">
        <f aca="false">IF(A16="","",IF(D16="","Evaluar",CHOOSE(D16,"Mantener","Mantener y reevaluar","Media (≤ 3–12 meses)","Alta (≤ 1–3 meses)","Inmediata")))</f>
        <v/>
      </c>
      <c r="F16" s="27" t="str">
        <f aca="false">IF(A16="","",IF(C16="Sin datos","Realizar evaluación cuantitativa con 6 a 10 muestras personales (GATI 7.2.1).",IFERROR(INDEX(Biblioteca!$J$6:$J$17,MATCH(LEFT(B16,3)&amp;"|"&amp;C16,Biblioteca!$I$6:$I$17,0)),"")))</f>
        <v/>
      </c>
      <c r="G16" s="18"/>
      <c r="H16" s="18"/>
      <c r="I16" s="18"/>
      <c r="J16" s="22"/>
      <c r="K16" s="18"/>
      <c r="L16" s="18"/>
      <c r="M16" s="18"/>
    </row>
    <row r="17" customFormat="false" ht="48" hidden="false" customHeight="true" outlineLevel="0" collapsed="false">
      <c r="A17" s="27" t="str">
        <f aca="false">Estadística!A17</f>
        <v/>
      </c>
      <c r="B17" s="19" t="str">
        <f aca="false">Estadística!B17</f>
        <v/>
      </c>
      <c r="C17" s="27" t="str">
        <f aca="false">Estadística!U17</f>
        <v/>
      </c>
      <c r="D17" s="19" t="str">
        <f aca="false">Estadística!V17</f>
        <v/>
      </c>
      <c r="E17" s="27" t="str">
        <f aca="false">IF(A17="","",IF(D17="","Evaluar",CHOOSE(D17,"Mantener","Mantener y reevaluar","Media (≤ 3–12 meses)","Alta (≤ 1–3 meses)","Inmediata")))</f>
        <v/>
      </c>
      <c r="F17" s="27" t="str">
        <f aca="false">IF(A17="","",IF(C17="Sin datos","Realizar evaluación cuantitativa con 6 a 10 muestras personales (GATI 7.2.1).",IFERROR(INDEX(Biblioteca!$J$6:$J$17,MATCH(LEFT(B17,3)&amp;"|"&amp;C17,Biblioteca!$I$6:$I$17,0)),"")))</f>
        <v/>
      </c>
      <c r="G17" s="18"/>
      <c r="H17" s="18"/>
      <c r="I17" s="18"/>
      <c r="J17" s="22"/>
      <c r="K17" s="18"/>
      <c r="L17" s="18"/>
      <c r="M17" s="18"/>
    </row>
    <row r="18" customFormat="false" ht="48" hidden="false" customHeight="true" outlineLevel="0" collapsed="false">
      <c r="A18" s="27" t="str">
        <f aca="false">Estadística!A18</f>
        <v/>
      </c>
      <c r="B18" s="19" t="str">
        <f aca="false">Estadística!B18</f>
        <v/>
      </c>
      <c r="C18" s="27" t="str">
        <f aca="false">Estadística!U18</f>
        <v/>
      </c>
      <c r="D18" s="19" t="str">
        <f aca="false">Estadística!V18</f>
        <v/>
      </c>
      <c r="E18" s="27" t="str">
        <f aca="false">IF(A18="","",IF(D18="","Evaluar",CHOOSE(D18,"Mantener","Mantener y reevaluar","Media (≤ 3–12 meses)","Alta (≤ 1–3 meses)","Inmediata")))</f>
        <v/>
      </c>
      <c r="F18" s="27" t="str">
        <f aca="false">IF(A18="","",IF(C18="Sin datos","Realizar evaluación cuantitativa con 6 a 10 muestras personales (GATI 7.2.1).",IFERROR(INDEX(Biblioteca!$J$6:$J$17,MATCH(LEFT(B18,3)&amp;"|"&amp;C18,Biblioteca!$I$6:$I$17,0)),"")))</f>
        <v/>
      </c>
      <c r="G18" s="18"/>
      <c r="H18" s="18"/>
      <c r="I18" s="18"/>
      <c r="J18" s="22"/>
      <c r="K18" s="18"/>
      <c r="L18" s="18"/>
      <c r="M18" s="18"/>
    </row>
    <row r="19" customFormat="false" ht="48" hidden="false" customHeight="true" outlineLevel="0" collapsed="false">
      <c r="A19" s="27" t="str">
        <f aca="false">Estadística!A19</f>
        <v/>
      </c>
      <c r="B19" s="19" t="str">
        <f aca="false">Estadística!B19</f>
        <v/>
      </c>
      <c r="C19" s="27" t="str">
        <f aca="false">Estadística!U19</f>
        <v/>
      </c>
      <c r="D19" s="19" t="str">
        <f aca="false">Estadística!V19</f>
        <v/>
      </c>
      <c r="E19" s="27" t="str">
        <f aca="false">IF(A19="","",IF(D19="","Evaluar",CHOOSE(D19,"Mantener","Mantener y reevaluar","Media (≤ 3–12 meses)","Alta (≤ 1–3 meses)","Inmediata")))</f>
        <v/>
      </c>
      <c r="F19" s="27" t="str">
        <f aca="false">IF(A19="","",IF(C19="Sin datos","Realizar evaluación cuantitativa con 6 a 10 muestras personales (GATI 7.2.1).",IFERROR(INDEX(Biblioteca!$J$6:$J$17,MATCH(LEFT(B19,3)&amp;"|"&amp;C19,Biblioteca!$I$6:$I$17,0)),"")))</f>
        <v/>
      </c>
      <c r="G19" s="18"/>
      <c r="H19" s="18"/>
      <c r="I19" s="18"/>
      <c r="J19" s="22"/>
      <c r="K19" s="18"/>
      <c r="L19" s="18"/>
      <c r="M19" s="18"/>
    </row>
    <row r="20" customFormat="false" ht="48" hidden="false" customHeight="true" outlineLevel="0" collapsed="false">
      <c r="A20" s="27" t="str">
        <f aca="false">Estadística!A20</f>
        <v/>
      </c>
      <c r="B20" s="19" t="str">
        <f aca="false">Estadística!B20</f>
        <v/>
      </c>
      <c r="C20" s="27" t="str">
        <f aca="false">Estadística!U20</f>
        <v/>
      </c>
      <c r="D20" s="19" t="str">
        <f aca="false">Estadística!V20</f>
        <v/>
      </c>
      <c r="E20" s="27" t="str">
        <f aca="false">IF(A20="","",IF(D20="","Evaluar",CHOOSE(D20,"Mantener","Mantener y reevaluar","Media (≤ 3–12 meses)","Alta (≤ 1–3 meses)","Inmediata")))</f>
        <v/>
      </c>
      <c r="F20" s="27" t="str">
        <f aca="false">IF(A20="","",IF(C20="Sin datos","Realizar evaluación cuantitativa con 6 a 10 muestras personales (GATI 7.2.1).",IFERROR(INDEX(Biblioteca!$J$6:$J$17,MATCH(LEFT(B20,3)&amp;"|"&amp;C20,Biblioteca!$I$6:$I$17,0)),"")))</f>
        <v/>
      </c>
      <c r="G20" s="18"/>
      <c r="H20" s="18"/>
      <c r="I20" s="18"/>
      <c r="J20" s="22"/>
      <c r="K20" s="18"/>
      <c r="L20" s="18"/>
      <c r="M20" s="18"/>
    </row>
    <row r="21" customFormat="false" ht="48" hidden="false" customHeight="true" outlineLevel="0" collapsed="false">
      <c r="A21" s="27" t="str">
        <f aca="false">Estadística!A21</f>
        <v/>
      </c>
      <c r="B21" s="19" t="str">
        <f aca="false">Estadística!B21</f>
        <v/>
      </c>
      <c r="C21" s="27" t="str">
        <f aca="false">Estadística!U21</f>
        <v/>
      </c>
      <c r="D21" s="19" t="str">
        <f aca="false">Estadística!V21</f>
        <v/>
      </c>
      <c r="E21" s="27" t="str">
        <f aca="false">IF(A21="","",IF(D21="","Evaluar",CHOOSE(D21,"Mantener","Mantener y reevaluar","Media (≤ 3–12 meses)","Alta (≤ 1–3 meses)","Inmediata")))</f>
        <v/>
      </c>
      <c r="F21" s="27" t="str">
        <f aca="false">IF(A21="","",IF(C21="Sin datos","Realizar evaluación cuantitativa con 6 a 10 muestras personales (GATI 7.2.1).",IFERROR(INDEX(Biblioteca!$J$6:$J$17,MATCH(LEFT(B21,3)&amp;"|"&amp;C21,Biblioteca!$I$6:$I$17,0)),"")))</f>
        <v/>
      </c>
      <c r="G21" s="18"/>
      <c r="H21" s="18"/>
      <c r="I21" s="18"/>
      <c r="J21" s="22"/>
      <c r="K21" s="18"/>
      <c r="L21" s="18"/>
      <c r="M21" s="18"/>
    </row>
    <row r="22" customFormat="false" ht="48" hidden="false" customHeight="true" outlineLevel="0" collapsed="false">
      <c r="A22" s="27" t="str">
        <f aca="false">Estadística!A22</f>
        <v/>
      </c>
      <c r="B22" s="19" t="str">
        <f aca="false">Estadística!B22</f>
        <v/>
      </c>
      <c r="C22" s="27" t="str">
        <f aca="false">Estadística!U22</f>
        <v/>
      </c>
      <c r="D22" s="19" t="str">
        <f aca="false">Estadística!V22</f>
        <v/>
      </c>
      <c r="E22" s="27" t="str">
        <f aca="false">IF(A22="","",IF(D22="","Evaluar",CHOOSE(D22,"Mantener","Mantener y reevaluar","Media (≤ 3–12 meses)","Alta (≤ 1–3 meses)","Inmediata")))</f>
        <v/>
      </c>
      <c r="F22" s="27" t="str">
        <f aca="false">IF(A22="","",IF(C22="Sin datos","Realizar evaluación cuantitativa con 6 a 10 muestras personales (GATI 7.2.1).",IFERROR(INDEX(Biblioteca!$J$6:$J$17,MATCH(LEFT(B22,3)&amp;"|"&amp;C22,Biblioteca!$I$6:$I$17,0)),"")))</f>
        <v/>
      </c>
      <c r="G22" s="18"/>
      <c r="H22" s="18"/>
      <c r="I22" s="18"/>
      <c r="J22" s="22"/>
      <c r="K22" s="18"/>
      <c r="L22" s="18"/>
      <c r="M22" s="18"/>
    </row>
    <row r="23" customFormat="false" ht="48" hidden="false" customHeight="true" outlineLevel="0" collapsed="false">
      <c r="A23" s="27" t="str">
        <f aca="false">Estadística!A23</f>
        <v/>
      </c>
      <c r="B23" s="19" t="str">
        <f aca="false">Estadística!B23</f>
        <v/>
      </c>
      <c r="C23" s="27" t="str">
        <f aca="false">Estadística!U23</f>
        <v/>
      </c>
      <c r="D23" s="19" t="str">
        <f aca="false">Estadística!V23</f>
        <v/>
      </c>
      <c r="E23" s="27" t="str">
        <f aca="false">IF(A23="","",IF(D23="","Evaluar",CHOOSE(D23,"Mantener","Mantener y reevaluar","Media (≤ 3–12 meses)","Alta (≤ 1–3 meses)","Inmediata")))</f>
        <v/>
      </c>
      <c r="F23" s="27" t="str">
        <f aca="false">IF(A23="","",IF(C23="Sin datos","Realizar evaluación cuantitativa con 6 a 10 muestras personales (GATI 7.2.1).",IFERROR(INDEX(Biblioteca!$J$6:$J$17,MATCH(LEFT(B23,3)&amp;"|"&amp;C23,Biblioteca!$I$6:$I$17,0)),"")))</f>
        <v/>
      </c>
      <c r="G23" s="18"/>
      <c r="H23" s="18"/>
      <c r="I23" s="18"/>
      <c r="J23" s="22"/>
      <c r="K23" s="18"/>
      <c r="L23" s="18"/>
      <c r="M23" s="18"/>
    </row>
    <row r="24" customFormat="false" ht="48" hidden="false" customHeight="true" outlineLevel="0" collapsed="false">
      <c r="A24" s="27" t="str">
        <f aca="false">Estadística!A24</f>
        <v/>
      </c>
      <c r="B24" s="19" t="str">
        <f aca="false">Estadística!B24</f>
        <v/>
      </c>
      <c r="C24" s="27" t="str">
        <f aca="false">Estadística!U24</f>
        <v/>
      </c>
      <c r="D24" s="19" t="str">
        <f aca="false">Estadística!V24</f>
        <v/>
      </c>
      <c r="E24" s="27" t="str">
        <f aca="false">IF(A24="","",IF(D24="","Evaluar",CHOOSE(D24,"Mantener","Mantener y reevaluar","Media (≤ 3–12 meses)","Alta (≤ 1–3 meses)","Inmediata")))</f>
        <v/>
      </c>
      <c r="F24" s="27" t="str">
        <f aca="false">IF(A24="","",IF(C24="Sin datos","Realizar evaluación cuantitativa con 6 a 10 muestras personales (GATI 7.2.1).",IFERROR(INDEX(Biblioteca!$J$6:$J$17,MATCH(LEFT(B24,3)&amp;"|"&amp;C24,Biblioteca!$I$6:$I$17,0)),"")))</f>
        <v/>
      </c>
      <c r="G24" s="18"/>
      <c r="H24" s="18"/>
      <c r="I24" s="18"/>
      <c r="J24" s="22"/>
      <c r="K24" s="18"/>
      <c r="L24" s="18"/>
      <c r="M24" s="18"/>
    </row>
    <row r="25" customFormat="false" ht="48" hidden="false" customHeight="true" outlineLevel="0" collapsed="false">
      <c r="A25" s="27" t="str">
        <f aca="false">Estadística!A25</f>
        <v/>
      </c>
      <c r="B25" s="19" t="str">
        <f aca="false">Estadística!B25</f>
        <v/>
      </c>
      <c r="C25" s="27" t="str">
        <f aca="false">Estadística!U25</f>
        <v/>
      </c>
      <c r="D25" s="19" t="str">
        <f aca="false">Estadística!V25</f>
        <v/>
      </c>
      <c r="E25" s="27" t="str">
        <f aca="false">IF(A25="","",IF(D25="","Evaluar",CHOOSE(D25,"Mantener","Mantener y reevaluar","Media (≤ 3–12 meses)","Alta (≤ 1–3 meses)","Inmediata")))</f>
        <v/>
      </c>
      <c r="F25" s="27" t="str">
        <f aca="false">IF(A25="","",IF(C25="Sin datos","Realizar evaluación cuantitativa con 6 a 10 muestras personales (GATI 7.2.1).",IFERROR(INDEX(Biblioteca!$J$6:$J$17,MATCH(LEFT(B25,3)&amp;"|"&amp;C25,Biblioteca!$I$6:$I$17,0)),"")))</f>
        <v/>
      </c>
      <c r="G25" s="18"/>
      <c r="H25" s="18"/>
      <c r="I25" s="18"/>
      <c r="J25" s="22"/>
      <c r="K25" s="18"/>
      <c r="L25" s="18"/>
      <c r="M25" s="18"/>
    </row>
  </sheetData>
  <conditionalFormatting sqref="E6:E25">
    <cfRule type="expression" priority="2" aboveAverage="0" equalAverage="0" bottom="0" percent="0" rank="0" text="" dxfId="0">
      <formula>E6="Inmediata"</formula>
    </cfRule>
    <cfRule type="expression" priority="3" aboveAverage="0" equalAverage="0" bottom="0" percent="0" rank="0" text="" dxfId="1">
      <formula>LEFT(E6,4)="Alta"</formula>
    </cfRule>
  </conditionalFormatting>
  <dataValidations count="2">
    <dataValidation allowBlank="true" errorStyle="stop" operator="between" showDropDown="false" showErrorMessage="false" showInputMessage="false" sqref="H6:H25" type="list">
      <formula1>"Eliminación,Sustitución,Ingeniería – fuente,Ingeniería – medio,Administrativo,EPP"</formula1>
      <formula2>0</formula2>
    </dataValidation>
    <dataValidation allowBlank="true" errorStyle="stop" operator="between" showDropDown="false" showErrorMessage="false" showInputMessage="false" sqref="K6:K25" type="list">
      <formula1>"Pendiente,En curso,Implementado,Verificado eficaz"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2"/>
    <col collapsed="false" customWidth="true" hidden="false" outlineLevel="0" max="9" min="9" style="0" width="26"/>
    <col collapsed="false" customWidth="true" hidden="false" outlineLevel="0" max="10" min="10" style="0" width="80"/>
  </cols>
  <sheetData>
    <row r="1" customFormat="false" ht="19.7" hidden="false" customHeight="false" outlineLevel="0" collapsed="false">
      <c r="A1" s="9" t="s">
        <v>286</v>
      </c>
    </row>
    <row r="2" customFormat="false" ht="15" hidden="false" customHeight="false" outlineLevel="0" collapsed="false">
      <c r="A2" s="3" t="s">
        <v>287</v>
      </c>
    </row>
    <row r="3" customFormat="false" ht="15" hidden="false" customHeight="false" outlineLevel="0" collapsed="false">
      <c r="A3" s="10" t="s">
        <v>36</v>
      </c>
    </row>
    <row r="5" customFormat="false" ht="42" hidden="false" customHeight="true" outlineLevel="0" collapsed="false">
      <c r="A5" s="11" t="s">
        <v>37</v>
      </c>
      <c r="B5" s="11" t="s">
        <v>38</v>
      </c>
      <c r="C5" s="11" t="s">
        <v>268</v>
      </c>
      <c r="D5" s="11" t="s">
        <v>288</v>
      </c>
      <c r="E5" s="11" t="s">
        <v>289</v>
      </c>
      <c r="F5" s="11" t="s">
        <v>290</v>
      </c>
      <c r="I5" s="11" t="s">
        <v>291</v>
      </c>
      <c r="J5" s="11" t="s">
        <v>292</v>
      </c>
    </row>
    <row r="6" customFormat="false" ht="39.75" hidden="false" customHeight="true" outlineLevel="0" collapsed="false">
      <c r="A6" s="12" t="s">
        <v>293</v>
      </c>
      <c r="B6" s="12" t="s">
        <v>294</v>
      </c>
      <c r="C6" s="12" t="s">
        <v>295</v>
      </c>
      <c r="D6" s="12" t="s">
        <v>296</v>
      </c>
      <c r="E6" s="12" t="s">
        <v>297</v>
      </c>
      <c r="F6" s="12" t="s">
        <v>298</v>
      </c>
      <c r="I6" s="12" t="s">
        <v>299</v>
      </c>
      <c r="J6" s="12" t="s">
        <v>300</v>
      </c>
    </row>
    <row r="7" customFormat="false" ht="39.75" hidden="false" customHeight="true" outlineLevel="0" collapsed="false">
      <c r="A7" s="12" t="s">
        <v>301</v>
      </c>
      <c r="B7" s="12" t="s">
        <v>294</v>
      </c>
      <c r="C7" s="12" t="s">
        <v>295</v>
      </c>
      <c r="D7" s="12" t="s">
        <v>302</v>
      </c>
      <c r="E7" s="12" t="s">
        <v>303</v>
      </c>
      <c r="F7" s="12" t="s">
        <v>304</v>
      </c>
      <c r="I7" s="12" t="s">
        <v>305</v>
      </c>
      <c r="J7" s="12" t="s">
        <v>306</v>
      </c>
    </row>
    <row r="8" customFormat="false" ht="39.75" hidden="false" customHeight="true" outlineLevel="0" collapsed="false">
      <c r="A8" s="12" t="s">
        <v>307</v>
      </c>
      <c r="B8" s="12" t="s">
        <v>308</v>
      </c>
      <c r="C8" s="12" t="s">
        <v>274</v>
      </c>
      <c r="D8" s="12" t="s">
        <v>309</v>
      </c>
      <c r="E8" s="12" t="s">
        <v>310</v>
      </c>
      <c r="F8" s="12" t="s">
        <v>298</v>
      </c>
      <c r="I8" s="12" t="s">
        <v>311</v>
      </c>
      <c r="J8" s="12" t="s">
        <v>312</v>
      </c>
    </row>
    <row r="9" customFormat="false" ht="39.75" hidden="false" customHeight="true" outlineLevel="0" collapsed="false">
      <c r="A9" s="12" t="s">
        <v>313</v>
      </c>
      <c r="B9" s="12" t="s">
        <v>308</v>
      </c>
      <c r="C9" s="12" t="s">
        <v>274</v>
      </c>
      <c r="D9" s="12" t="s">
        <v>314</v>
      </c>
      <c r="E9" s="12" t="s">
        <v>315</v>
      </c>
      <c r="F9" s="12" t="s">
        <v>316</v>
      </c>
      <c r="I9" s="12" t="s">
        <v>317</v>
      </c>
      <c r="J9" s="12" t="s">
        <v>318</v>
      </c>
    </row>
    <row r="10" customFormat="false" ht="39.75" hidden="false" customHeight="true" outlineLevel="0" collapsed="false">
      <c r="A10" s="12" t="s">
        <v>319</v>
      </c>
      <c r="B10" s="12" t="s">
        <v>308</v>
      </c>
      <c r="C10" s="12" t="s">
        <v>274</v>
      </c>
      <c r="D10" s="12" t="s">
        <v>320</v>
      </c>
      <c r="E10" s="12" t="s">
        <v>321</v>
      </c>
      <c r="F10" s="12" t="s">
        <v>322</v>
      </c>
      <c r="I10" s="12" t="s">
        <v>323</v>
      </c>
      <c r="J10" s="12" t="s">
        <v>324</v>
      </c>
    </row>
    <row r="11" customFormat="false" ht="39.75" hidden="false" customHeight="true" outlineLevel="0" collapsed="false">
      <c r="A11" s="12" t="s">
        <v>325</v>
      </c>
      <c r="B11" s="12" t="s">
        <v>294</v>
      </c>
      <c r="C11" s="12" t="s">
        <v>274</v>
      </c>
      <c r="D11" s="12" t="s">
        <v>326</v>
      </c>
      <c r="E11" s="12" t="s">
        <v>327</v>
      </c>
      <c r="F11" s="12" t="s">
        <v>328</v>
      </c>
      <c r="I11" s="12" t="s">
        <v>329</v>
      </c>
      <c r="J11" s="12" t="s">
        <v>330</v>
      </c>
    </row>
    <row r="12" customFormat="false" ht="39.75" hidden="false" customHeight="true" outlineLevel="0" collapsed="false">
      <c r="A12" s="12" t="s">
        <v>331</v>
      </c>
      <c r="B12" s="12" t="s">
        <v>308</v>
      </c>
      <c r="C12" s="12" t="s">
        <v>279</v>
      </c>
      <c r="D12" s="12" t="s">
        <v>332</v>
      </c>
      <c r="E12" s="12" t="s">
        <v>333</v>
      </c>
      <c r="F12" s="12" t="s">
        <v>334</v>
      </c>
      <c r="I12" s="12" t="s">
        <v>335</v>
      </c>
      <c r="J12" s="12" t="s">
        <v>336</v>
      </c>
    </row>
    <row r="13" customFormat="false" ht="39.75" hidden="false" customHeight="true" outlineLevel="0" collapsed="false">
      <c r="A13" s="12" t="s">
        <v>337</v>
      </c>
      <c r="B13" s="12" t="s">
        <v>308</v>
      </c>
      <c r="C13" s="12" t="s">
        <v>279</v>
      </c>
      <c r="D13" s="12" t="s">
        <v>338</v>
      </c>
      <c r="E13" s="12" t="s">
        <v>339</v>
      </c>
      <c r="F13" s="12" t="s">
        <v>340</v>
      </c>
      <c r="I13" s="12" t="s">
        <v>341</v>
      </c>
      <c r="J13" s="12" t="s">
        <v>342</v>
      </c>
    </row>
    <row r="14" customFormat="false" ht="39.75" hidden="false" customHeight="true" outlineLevel="0" collapsed="false">
      <c r="A14" s="12" t="s">
        <v>343</v>
      </c>
      <c r="B14" s="12" t="s">
        <v>344</v>
      </c>
      <c r="C14" s="12" t="s">
        <v>274</v>
      </c>
      <c r="D14" s="12" t="s">
        <v>345</v>
      </c>
      <c r="E14" s="12" t="s">
        <v>346</v>
      </c>
      <c r="F14" s="12" t="s">
        <v>347</v>
      </c>
      <c r="I14" s="12" t="s">
        <v>348</v>
      </c>
      <c r="J14" s="12" t="s">
        <v>349</v>
      </c>
    </row>
    <row r="15" customFormat="false" ht="39.75" hidden="false" customHeight="true" outlineLevel="0" collapsed="false">
      <c r="A15" s="12" t="s">
        <v>350</v>
      </c>
      <c r="B15" s="12" t="s">
        <v>351</v>
      </c>
      <c r="C15" s="12" t="s">
        <v>352</v>
      </c>
      <c r="D15" s="12" t="s">
        <v>353</v>
      </c>
      <c r="E15" s="12" t="s">
        <v>354</v>
      </c>
      <c r="F15" s="12" t="s">
        <v>355</v>
      </c>
      <c r="I15" s="12" t="s">
        <v>356</v>
      </c>
      <c r="J15" s="12" t="s">
        <v>357</v>
      </c>
    </row>
    <row r="16" customFormat="false" ht="39.75" hidden="false" customHeight="true" outlineLevel="0" collapsed="false">
      <c r="A16" s="12" t="s">
        <v>358</v>
      </c>
      <c r="B16" s="12" t="s">
        <v>351</v>
      </c>
      <c r="C16" s="12" t="s">
        <v>274</v>
      </c>
      <c r="D16" s="12" t="s">
        <v>359</v>
      </c>
      <c r="E16" s="12" t="s">
        <v>360</v>
      </c>
      <c r="F16" s="12" t="s">
        <v>298</v>
      </c>
      <c r="I16" s="12" t="s">
        <v>361</v>
      </c>
      <c r="J16" s="12" t="s">
        <v>362</v>
      </c>
    </row>
    <row r="17" customFormat="false" ht="39.75" hidden="false" customHeight="true" outlineLevel="0" collapsed="false">
      <c r="A17" s="12" t="s">
        <v>363</v>
      </c>
      <c r="B17" s="12" t="s">
        <v>351</v>
      </c>
      <c r="C17" s="12" t="s">
        <v>274</v>
      </c>
      <c r="D17" s="12" t="s">
        <v>364</v>
      </c>
      <c r="E17" s="12" t="s">
        <v>365</v>
      </c>
      <c r="F17" s="12" t="s">
        <v>298</v>
      </c>
      <c r="I17" s="12" t="s">
        <v>366</v>
      </c>
      <c r="J17" s="12" t="s">
        <v>367</v>
      </c>
    </row>
    <row r="18" customFormat="false" ht="39.75" hidden="false" customHeight="true" outlineLevel="0" collapsed="false">
      <c r="A18" s="12" t="s">
        <v>368</v>
      </c>
      <c r="B18" s="12" t="s">
        <v>351</v>
      </c>
      <c r="C18" s="12" t="s">
        <v>279</v>
      </c>
      <c r="D18" s="12" t="s">
        <v>369</v>
      </c>
      <c r="E18" s="12" t="s">
        <v>370</v>
      </c>
      <c r="F18" s="12" t="s">
        <v>371</v>
      </c>
    </row>
    <row r="19" customFormat="false" ht="39.75" hidden="false" customHeight="true" outlineLevel="0" collapsed="false">
      <c r="A19" s="12" t="s">
        <v>372</v>
      </c>
      <c r="B19" s="12" t="s">
        <v>373</v>
      </c>
      <c r="C19" s="12" t="s">
        <v>374</v>
      </c>
      <c r="D19" s="12" t="s">
        <v>375</v>
      </c>
      <c r="E19" s="12" t="s">
        <v>376</v>
      </c>
      <c r="F19" s="12" t="s">
        <v>377</v>
      </c>
    </row>
    <row r="20" customFormat="false" ht="39.75" hidden="false" customHeight="true" outlineLevel="0" collapsed="false">
      <c r="A20" s="12" t="s">
        <v>378</v>
      </c>
      <c r="B20" s="12" t="s">
        <v>373</v>
      </c>
      <c r="C20" s="12" t="s">
        <v>374</v>
      </c>
      <c r="D20" s="12" t="s">
        <v>379</v>
      </c>
      <c r="E20" s="12" t="s">
        <v>380</v>
      </c>
      <c r="F20" s="12" t="s">
        <v>298</v>
      </c>
    </row>
    <row r="21" customFormat="false" ht="39.75" hidden="false" customHeight="true" outlineLevel="0" collapsed="false">
      <c r="A21" s="12" t="s">
        <v>381</v>
      </c>
      <c r="B21" s="12" t="s">
        <v>373</v>
      </c>
      <c r="C21" s="12" t="s">
        <v>374</v>
      </c>
      <c r="D21" s="12" t="s">
        <v>382</v>
      </c>
      <c r="E21" s="12" t="s">
        <v>383</v>
      </c>
      <c r="F21" s="12" t="s">
        <v>298</v>
      </c>
    </row>
    <row r="22" customFormat="false" ht="39.75" hidden="false" customHeight="true" outlineLevel="0" collapsed="false">
      <c r="A22" s="12" t="s">
        <v>384</v>
      </c>
      <c r="B22" s="12" t="s">
        <v>373</v>
      </c>
      <c r="C22" s="12" t="s">
        <v>374</v>
      </c>
      <c r="D22" s="12" t="s">
        <v>385</v>
      </c>
      <c r="E22" s="12" t="s">
        <v>386</v>
      </c>
      <c r="F22" s="12" t="s">
        <v>387</v>
      </c>
    </row>
    <row r="23" customFormat="false" ht="39.75" hidden="false" customHeight="true" outlineLevel="0" collapsed="false">
      <c r="A23" s="12" t="s">
        <v>388</v>
      </c>
      <c r="B23" s="12" t="s">
        <v>373</v>
      </c>
      <c r="C23" s="12" t="s">
        <v>374</v>
      </c>
      <c r="D23" s="12" t="s">
        <v>389</v>
      </c>
      <c r="E23" s="12" t="s">
        <v>390</v>
      </c>
      <c r="F23" s="12" t="s">
        <v>387</v>
      </c>
    </row>
    <row r="24" customFormat="false" ht="39.75" hidden="false" customHeight="true" outlineLevel="0" collapsed="false">
      <c r="A24" s="12" t="s">
        <v>391</v>
      </c>
      <c r="B24" s="12" t="s">
        <v>351</v>
      </c>
      <c r="C24" s="12" t="s">
        <v>374</v>
      </c>
      <c r="D24" s="12" t="s">
        <v>392</v>
      </c>
      <c r="E24" s="12" t="s">
        <v>393</v>
      </c>
      <c r="F24" s="12" t="s">
        <v>298</v>
      </c>
    </row>
    <row r="25" customFormat="false" ht="39.75" hidden="false" customHeight="true" outlineLevel="0" collapsed="false">
      <c r="A25" s="12" t="s">
        <v>394</v>
      </c>
      <c r="B25" s="12" t="s">
        <v>373</v>
      </c>
      <c r="C25" s="12" t="s">
        <v>374</v>
      </c>
      <c r="D25" s="12" t="s">
        <v>395</v>
      </c>
      <c r="E25" s="12" t="s">
        <v>396</v>
      </c>
      <c r="F25" s="12" t="s">
        <v>397</v>
      </c>
    </row>
    <row r="26" customFormat="false" ht="39.75" hidden="false" customHeight="true" outlineLevel="0" collapsed="false">
      <c r="A26" s="12" t="s">
        <v>398</v>
      </c>
      <c r="B26" s="12" t="s">
        <v>373</v>
      </c>
      <c r="C26" s="12" t="s">
        <v>374</v>
      </c>
      <c r="D26" s="12" t="s">
        <v>399</v>
      </c>
      <c r="E26" s="12" t="s">
        <v>396</v>
      </c>
      <c r="F26" s="12" t="s">
        <v>400</v>
      </c>
    </row>
    <row r="27" customFormat="false" ht="39.75" hidden="false" customHeight="true" outlineLevel="0" collapsed="false">
      <c r="A27" s="12" t="s">
        <v>401</v>
      </c>
      <c r="B27" s="12" t="s">
        <v>373</v>
      </c>
      <c r="C27" s="12" t="s">
        <v>374</v>
      </c>
      <c r="D27" s="12" t="s">
        <v>402</v>
      </c>
      <c r="E27" s="12" t="s">
        <v>403</v>
      </c>
      <c r="F27" s="12" t="s">
        <v>404</v>
      </c>
    </row>
    <row r="28" customFormat="false" ht="39.75" hidden="false" customHeight="true" outlineLevel="0" collapsed="false">
      <c r="A28" s="12" t="s">
        <v>405</v>
      </c>
      <c r="B28" s="12" t="s">
        <v>373</v>
      </c>
      <c r="C28" s="12" t="s">
        <v>374</v>
      </c>
      <c r="D28" s="12" t="s">
        <v>406</v>
      </c>
      <c r="E28" s="12" t="s">
        <v>407</v>
      </c>
      <c r="F28" s="12" t="s">
        <v>408</v>
      </c>
    </row>
    <row r="29" customFormat="false" ht="39.75" hidden="false" customHeight="true" outlineLevel="0" collapsed="false">
      <c r="A29" s="12" t="s">
        <v>409</v>
      </c>
      <c r="B29" s="12" t="s">
        <v>373</v>
      </c>
      <c r="C29" s="12" t="s">
        <v>410</v>
      </c>
      <c r="D29" s="12" t="s">
        <v>411</v>
      </c>
      <c r="E29" s="12" t="s">
        <v>412</v>
      </c>
      <c r="F29" s="12" t="s">
        <v>413</v>
      </c>
    </row>
    <row r="30" customFormat="false" ht="39.75" hidden="false" customHeight="true" outlineLevel="0" collapsed="false">
      <c r="A30" s="12" t="s">
        <v>414</v>
      </c>
      <c r="B30" s="12" t="s">
        <v>308</v>
      </c>
      <c r="C30" s="12" t="s">
        <v>410</v>
      </c>
      <c r="D30" s="12" t="s">
        <v>415</v>
      </c>
      <c r="E30" s="12" t="s">
        <v>416</v>
      </c>
      <c r="F30" s="12" t="s">
        <v>417</v>
      </c>
    </row>
    <row r="31" customFormat="false" ht="39.75" hidden="false" customHeight="true" outlineLevel="0" collapsed="false">
      <c r="A31" s="12" t="s">
        <v>418</v>
      </c>
      <c r="B31" s="12" t="s">
        <v>351</v>
      </c>
      <c r="C31" s="12" t="s">
        <v>410</v>
      </c>
      <c r="D31" s="12" t="s">
        <v>419</v>
      </c>
      <c r="E31" s="12" t="s">
        <v>420</v>
      </c>
      <c r="F31" s="12" t="s">
        <v>421</v>
      </c>
    </row>
    <row r="32" customFormat="false" ht="39.75" hidden="false" customHeight="true" outlineLevel="0" collapsed="false">
      <c r="A32" s="12" t="s">
        <v>422</v>
      </c>
      <c r="B32" s="12" t="s">
        <v>373</v>
      </c>
      <c r="C32" s="12" t="s">
        <v>410</v>
      </c>
      <c r="D32" s="12" t="s">
        <v>423</v>
      </c>
      <c r="E32" s="12" t="s">
        <v>424</v>
      </c>
      <c r="F32" s="12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7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2"/>
  </cols>
  <sheetData>
    <row r="1" customFormat="false" ht="19.7" hidden="false" customHeight="false" outlineLevel="0" collapsed="false">
      <c r="A1" s="9" t="s">
        <v>426</v>
      </c>
    </row>
    <row r="2" customFormat="false" ht="15" hidden="false" customHeight="false" outlineLevel="0" collapsed="false">
      <c r="A2" s="3" t="s">
        <v>427</v>
      </c>
    </row>
    <row r="3" customFormat="false" ht="15" hidden="false" customHeight="false" outlineLevel="0" collapsed="false">
      <c r="A3" s="10" t="s">
        <v>36</v>
      </c>
    </row>
    <row r="5" customFormat="false" ht="54" hidden="false" customHeight="true" outlineLevel="0" collapsed="false">
      <c r="A5" s="11" t="s">
        <v>121</v>
      </c>
      <c r="B5" s="11" t="s">
        <v>38</v>
      </c>
      <c r="C5" s="11" t="s">
        <v>428</v>
      </c>
      <c r="D5" s="11" t="s">
        <v>188</v>
      </c>
      <c r="E5" s="11" t="s">
        <v>429</v>
      </c>
      <c r="F5" s="11" t="s">
        <v>430</v>
      </c>
      <c r="G5" s="11" t="s">
        <v>110</v>
      </c>
      <c r="H5" s="11" t="s">
        <v>431</v>
      </c>
      <c r="I5" s="11" t="s">
        <v>432</v>
      </c>
      <c r="J5" s="11" t="s">
        <v>433</v>
      </c>
      <c r="K5" s="11" t="s">
        <v>434</v>
      </c>
      <c r="L5" s="11" t="s">
        <v>435</v>
      </c>
      <c r="M5" s="11" t="s">
        <v>436</v>
      </c>
      <c r="N5" s="11" t="s">
        <v>191</v>
      </c>
    </row>
    <row r="6" customFormat="false" ht="30" hidden="false" customHeight="true" outlineLevel="0" collapsed="false">
      <c r="A6" s="19" t="str">
        <f aca="false">Estadística!A6</f>
        <v>G01</v>
      </c>
      <c r="B6" s="19" t="str">
        <f aca="false">Estadística!B6</f>
        <v>SIL-Q</v>
      </c>
      <c r="C6" s="21" t="n">
        <f aca="false">IF(A6="","",IF(Estadística!Z6&lt;&gt;"",Estadística!Z6,Estadística!H6))</f>
        <v>0.0732479040545585</v>
      </c>
      <c r="D6" s="21" t="n">
        <f aca="false">IF(A6="","",Estadística!N6)</f>
        <v>0.01953125</v>
      </c>
      <c r="E6" s="28" t="n">
        <f aca="false">IF(OR(N(C6)=0,N(D6)=0),"",MAX(C6/D6,IF(AND(LEFT(B6,3)="CAR",N(Estadística!AB6)&gt;0,N(Estadística!I6)&gt;0),Estadística!AB6*C6/Estadística!I6,0)))</f>
        <v>3.75029268759339</v>
      </c>
      <c r="F6" s="27" t="str">
        <f aca="false">IF(E6="","",IF(E6&lt;=1,"No requerido por concentración; usar si hay picos o tareas no rutinarias",IF(E6&lt;=10,IF(B6="ASB","Media cara elastomérica con filtros P100 (no desechable)","Pieza facial filtrante o media cara elastomérica"),IF(E6&lt;=25,IF(B6="ASB","Cara completa elastomérica P100 o PAPR holgado","PAPR con capucha o careta holgada"),IF(E6&lt;=50,"Cara completa elastomérica P100 o PAPR con media cara",IF(E6&lt;=1000,"PAPR cara completa o línea de aire flujo continuo",IF(E6&lt;=10000,"SCBA a presión positiva","Excede APF disponibles: suspender y controlar en la fuente")))))))</f>
        <v>Pieza facial filtrante o media cara elastomérica</v>
      </c>
      <c r="G6" s="19" t="n">
        <f aca="false">IF(E6="","",IF(E6&lt;=1,"—",IF(E6&lt;=10,10,IF(E6&lt;=25,IF(B6="ASB",50,25),IF(E6&lt;=50,50,IF(E6&lt;=1000,1000,IF(E6&lt;=10000,10000,"—")))))))</f>
        <v>10</v>
      </c>
      <c r="H6" s="27" t="str">
        <f aca="false">IF(A6="","",IF(B6="ASB","P100 (HEPA) – desechar como residuo de asbesto",IF(OR(LEFT(B6,3)="SIL",N(Estadística!AB6)&gt;=0.5),"N100/R100/P100 o FFP3 (≥ N95 mínimo)","N95 o superior; P si hay aceites")))</f>
        <v>N100/R100/P100 o FFP3 (≥ N95 mínimo)</v>
      </c>
      <c r="I6" s="18" t="n">
        <v>0.85</v>
      </c>
      <c r="J6" s="18" t="n">
        <v>8</v>
      </c>
      <c r="K6" s="18" t="n">
        <v>2</v>
      </c>
      <c r="L6" s="28" t="n">
        <f aca="false">IF(OR(N(I6)=0,N(J6)=0,N(K6)=0),"",I6*Agentes!$C$16*60*J6/1000/K6)</f>
        <v>4.284</v>
      </c>
      <c r="M6" s="19" t="n">
        <f aca="false">IF(L6="","",IF(B6="ASB","Cambiar al final de cada tarea",ROUNDDOWN(Agentes!$C$17/L6,0)))</f>
        <v>46</v>
      </c>
      <c r="N6" s="18" t="s">
        <v>437</v>
      </c>
    </row>
    <row r="7" customFormat="false" ht="30" hidden="false" customHeight="true" outlineLevel="0" collapsed="false">
      <c r="A7" s="19" t="str">
        <f aca="false">Estadística!A7</f>
        <v>G02</v>
      </c>
      <c r="B7" s="19" t="str">
        <f aca="false">Estadística!B7</f>
        <v>SIL-Q</v>
      </c>
      <c r="C7" s="21" t="n">
        <f aca="false">IF(A7="","",IF(Estadística!Z7&lt;&gt;"",Estadística!Z7,Estadística!H7))</f>
        <v>0.0136030586819143</v>
      </c>
      <c r="D7" s="21" t="n">
        <f aca="false">IF(A7="","",Estadística!N7)</f>
        <v>0.01953125</v>
      </c>
      <c r="E7" s="28" t="n">
        <f aca="false">IF(OR(N(C7)=0,N(D7)=0),"",MAX(C7/D7,IF(AND(LEFT(B7,3)="CAR",N(Estadística!AB7)&gt;0,N(Estadística!I7)&gt;0),Estadística!AB7*C7/Estadística!I7,0)))</f>
        <v>0.69647660451401</v>
      </c>
      <c r="F7" s="27" t="str">
        <f aca="false">IF(E7="","",IF(E7&lt;=1,"No requerido por concentración; usar si hay picos o tareas no rutinarias",IF(E7&lt;=10,IF(B7="ASB","Media cara elastomérica con filtros P100 (no desechable)","Pieza facial filtrante o media cara elastomérica"),IF(E7&lt;=25,IF(B7="ASB","Cara completa elastomérica P100 o PAPR holgado","PAPR con capucha o careta holgada"),IF(E7&lt;=50,"Cara completa elastomérica P100 o PAPR con media cara",IF(E7&lt;=1000,"PAPR cara completa o línea de aire flujo continuo",IF(E7&lt;=10000,"SCBA a presión positiva","Excede APF disponibles: suspender y controlar en la fuente")))))))</f>
        <v>No requerido por concentración; usar si hay picos o tareas no rutinarias</v>
      </c>
      <c r="G7" s="19" t="str">
        <f aca="false">IF(E7="","",IF(E7&lt;=1,"—",IF(E7&lt;=10,10,IF(E7&lt;=25,IF(B7="ASB",50,25),IF(E7&lt;=50,50,IF(E7&lt;=1000,1000,IF(E7&lt;=10000,10000,"—")))))))</f>
        <v>—</v>
      </c>
      <c r="H7" s="27" t="str">
        <f aca="false">IF(A7="","",IF(B7="ASB","P100 (HEPA) – desechar como residuo de asbesto",IF(OR(LEFT(B7,3)="SIL",N(Estadística!AB7)&gt;=0.5),"N100/R100/P100 o FFP3 (≥ N95 mínimo)","N95 o superior; P si hay aceites")))</f>
        <v>N100/R100/P100 o FFP3 (≥ N95 mínimo)</v>
      </c>
      <c r="I7" s="18" t="n">
        <v>0.4</v>
      </c>
      <c r="J7" s="18" t="n">
        <v>8</v>
      </c>
      <c r="K7" s="18" t="n">
        <v>2</v>
      </c>
      <c r="L7" s="28" t="n">
        <f aca="false">IF(OR(N(I7)=0,N(J7)=0,N(K7)=0),"",I7*Agentes!$C$16*60*J7/1000/K7)</f>
        <v>2.016</v>
      </c>
      <c r="M7" s="19" t="n">
        <f aca="false">IF(L7="","",IF(B7="ASB","Cambiar al final de cada tarea",ROUNDDOWN(Agentes!$C$17/L7,0)))</f>
        <v>99</v>
      </c>
      <c r="N7" s="18"/>
    </row>
    <row r="8" customFormat="false" ht="30" hidden="false" customHeight="true" outlineLevel="0" collapsed="false">
      <c r="A8" s="19" t="str">
        <f aca="false">Estadística!A8</f>
        <v>G03</v>
      </c>
      <c r="B8" s="19" t="str">
        <f aca="false">Estadística!B8</f>
        <v>SIL-Q</v>
      </c>
      <c r="C8" s="21" t="n">
        <f aca="false">IF(A8="","",IF(Estadística!Z8&lt;&gt;"",Estadística!Z8,Estadística!H8))</f>
        <v>0.0244331362376885</v>
      </c>
      <c r="D8" s="21" t="n">
        <f aca="false">IF(A8="","",Estadística!N8)</f>
        <v>0.0220170454545455</v>
      </c>
      <c r="E8" s="28" t="n">
        <f aca="false">IF(OR(N(C8)=0,N(D8)=0),"",MAX(C8/D8,IF(AND(LEFT(B8,3)="CAR",N(Estadística!AB8)&gt;0,N(Estadística!I8)&gt;0),Estadística!AB8*C8/Estadística!I8,0)))</f>
        <v>1.10973728460211</v>
      </c>
      <c r="F8" s="27" t="str">
        <f aca="false">IF(E8="","",IF(E8&lt;=1,"No requerido por concentración; usar si hay picos o tareas no rutinarias",IF(E8&lt;=10,IF(B8="ASB","Media cara elastomérica con filtros P100 (no desechable)","Pieza facial filtrante o media cara elastomérica"),IF(E8&lt;=25,IF(B8="ASB","Cara completa elastomérica P100 o PAPR holgado","PAPR con capucha o careta holgada"),IF(E8&lt;=50,"Cara completa elastomérica P100 o PAPR con media cara",IF(E8&lt;=1000,"PAPR cara completa o línea de aire flujo continuo",IF(E8&lt;=10000,"SCBA a presión positiva","Excede APF disponibles: suspender y controlar en la fuente")))))))</f>
        <v>Pieza facial filtrante o media cara elastomérica</v>
      </c>
      <c r="G8" s="19" t="n">
        <f aca="false">IF(E8="","",IF(E8&lt;=1,"—",IF(E8&lt;=10,10,IF(E8&lt;=25,IF(B8="ASB",50,25),IF(E8&lt;=50,50,IF(E8&lt;=1000,1000,IF(E8&lt;=10000,10000,"—")))))))</f>
        <v>10</v>
      </c>
      <c r="H8" s="27" t="str">
        <f aca="false">IF(A8="","",IF(B8="ASB","P100 (HEPA) – desechar como residuo de asbesto",IF(OR(LEFT(B8,3)="SIL",N(Estadística!AB8)&gt;=0.5),"N100/R100/P100 o FFP3 (≥ N95 mínimo)","N95 o superior; P si hay aceites")))</f>
        <v>N100/R100/P100 o FFP3 (≥ N95 mínimo)</v>
      </c>
      <c r="I8" s="18" t="n">
        <v>0.3</v>
      </c>
      <c r="J8" s="18" t="n">
        <v>9</v>
      </c>
      <c r="K8" s="18" t="n">
        <v>2</v>
      </c>
      <c r="L8" s="28" t="n">
        <f aca="false">IF(OR(N(I8)=0,N(J8)=0,N(K8)=0),"",I8*Agentes!$C$16*60*J8/1000/K8)</f>
        <v>1.701</v>
      </c>
      <c r="M8" s="19" t="n">
        <f aca="false">IF(L8="","",IF(B8="ASB","Cambiar al final de cada tarea",ROUNDDOWN(Agentes!$C$17/L8,0)))</f>
        <v>117</v>
      </c>
      <c r="N8" s="18"/>
    </row>
    <row r="9" customFormat="false" ht="30" hidden="false" customHeight="true" outlineLevel="0" collapsed="false">
      <c r="A9" s="19" t="str">
        <f aca="false">Estadística!A9</f>
        <v>G04</v>
      </c>
      <c r="B9" s="19" t="str">
        <f aca="false">Estadística!B9</f>
        <v>CAR-B</v>
      </c>
      <c r="C9" s="21" t="n">
        <f aca="false">IF(A9="","",IF(Estadística!Z9&lt;&gt;"",Estadística!Z9,Estadística!H9))</f>
        <v>1.38927354799363</v>
      </c>
      <c r="D9" s="21" t="n">
        <f aca="false">IF(A9="","",Estadística!N9)</f>
        <v>0.703125</v>
      </c>
      <c r="E9" s="28" t="n">
        <f aca="false">IF(OR(N(C9)=0,N(D9)=0),"",MAX(C9/D9,IF(AND(LEFT(B9,3)="CAR",N(Estadística!AB9)&gt;0,N(Estadística!I9)&gt;0),Estadística!AB9*C9/Estadística!I9,0)))</f>
        <v>3.18056316724667</v>
      </c>
      <c r="F9" s="27" t="str">
        <f aca="false">IF(E9="","",IF(E9&lt;=1,"No requerido por concentración; usar si hay picos o tareas no rutinarias",IF(E9&lt;=10,IF(B9="ASB","Media cara elastomérica con filtros P100 (no desechable)","Pieza facial filtrante o media cara elastomérica"),IF(E9&lt;=25,IF(B9="ASB","Cara completa elastomérica P100 o PAPR holgado","PAPR con capucha o careta holgada"),IF(E9&lt;=50,"Cara completa elastomérica P100 o PAPR con media cara",IF(E9&lt;=1000,"PAPR cara completa o línea de aire flujo continuo",IF(E9&lt;=10000,"SCBA a presión positiva","Excede APF disponibles: suspender y controlar en la fuente")))))))</f>
        <v>Pieza facial filtrante o media cara elastomérica</v>
      </c>
      <c r="G9" s="19" t="n">
        <f aca="false">IF(E9="","",IF(E9&lt;=1,"—",IF(E9&lt;=10,10,IF(E9&lt;=25,IF(B9="ASB",50,25),IF(E9&lt;=50,50,IF(E9&lt;=1000,1000,IF(E9&lt;=10000,10000,"—")))))))</f>
        <v>10</v>
      </c>
      <c r="H9" s="27" t="str">
        <f aca="false">IF(A9="","",IF(B9="ASB","P100 (HEPA) – desechar como residuo de asbesto",IF(OR(LEFT(B9,3)="SIL",N(Estadística!AB9)&gt;=0.5),"N100/R100/P100 o FFP3 (≥ N95 mínimo)","N95 o superior; P si hay aceites")))</f>
        <v>N100/R100/P100 o FFP3 (≥ N95 mínimo)</v>
      </c>
      <c r="I9" s="18" t="n">
        <v>1.05</v>
      </c>
      <c r="J9" s="18" t="n">
        <v>8</v>
      </c>
      <c r="K9" s="18" t="n">
        <v>2</v>
      </c>
      <c r="L9" s="28" t="n">
        <f aca="false">IF(OR(N(I9)=0,N(J9)=0,N(K9)=0),"",I9*Agentes!$C$16*60*J9/1000/K9)</f>
        <v>5.292</v>
      </c>
      <c r="M9" s="19" t="n">
        <f aca="false">IF(L9="","",IF(B9="ASB","Cambiar al final de cada tarea",ROUNDDOWN(Agentes!$C$17/L9,0)))</f>
        <v>37</v>
      </c>
      <c r="N9" s="18"/>
    </row>
    <row r="10" customFormat="false" ht="30" hidden="false" customHeight="true" outlineLevel="0" collapsed="false">
      <c r="A10" s="19" t="str">
        <f aca="false">Estadística!A10</f>
        <v>G05</v>
      </c>
      <c r="B10" s="19" t="str">
        <f aca="false">Estadística!B10</f>
        <v>CAR-B</v>
      </c>
      <c r="C10" s="21" t="n">
        <f aca="false">IF(A10="","",IF(Estadística!Z10&lt;&gt;"",Estadística!Z10,Estadística!H10))</f>
        <v>0.366905759356503</v>
      </c>
      <c r="D10" s="21" t="n">
        <f aca="false">IF(A10="","",Estadística!N10)</f>
        <v>0.703125</v>
      </c>
      <c r="E10" s="28" t="n">
        <f aca="false">IF(OR(N(C10)=0,N(D10)=0),"",MAX(C10/D10,IF(AND(LEFT(B10,3)="CAR",N(Estadística!AB10)&gt;0,N(Estadística!I10)&gt;0),Estadística!AB10*C10/Estadística!I10,0)))</f>
        <v>0.521821524418137</v>
      </c>
      <c r="F10" s="27" t="str">
        <f aca="false">IF(E10="","",IF(E10&lt;=1,"No requerido por concentración; usar si hay picos o tareas no rutinarias",IF(E10&lt;=10,IF(B10="ASB","Media cara elastomérica con filtros P100 (no desechable)","Pieza facial filtrante o media cara elastomérica"),IF(E10&lt;=25,IF(B10="ASB","Cara completa elastomérica P100 o PAPR holgado","PAPR con capucha o careta holgada"),IF(E10&lt;=50,"Cara completa elastomérica P100 o PAPR con media cara",IF(E10&lt;=1000,"PAPR cara completa o línea de aire flujo continuo",IF(E10&lt;=10000,"SCBA a presión positiva","Excede APF disponibles: suspender y controlar en la fuente")))))))</f>
        <v>No requerido por concentración; usar si hay picos o tareas no rutinarias</v>
      </c>
      <c r="G10" s="19" t="str">
        <f aca="false">IF(E10="","",IF(E10&lt;=1,"—",IF(E10&lt;=10,10,IF(E10&lt;=25,IF(B10="ASB",50,25),IF(E10&lt;=50,50,IF(E10&lt;=1000,1000,IF(E10&lt;=10000,10000,"—")))))))</f>
        <v>—</v>
      </c>
      <c r="H10" s="27" t="str">
        <f aca="false">IF(A10="","",IF(B10="ASB","P100 (HEPA) – desechar como residuo de asbesto",IF(OR(LEFT(B10,3)="SIL",N(Estadística!AB10)&gt;=0.5),"N100/R100/P100 o FFP3 (≥ N95 mínimo)","N95 o superior; P si hay aceites")))</f>
        <v>N95 o superior; P si hay aceites</v>
      </c>
      <c r="I10" s="18" t="n">
        <v>0.27</v>
      </c>
      <c r="J10" s="18" t="n">
        <v>8</v>
      </c>
      <c r="K10" s="18" t="n">
        <v>1</v>
      </c>
      <c r="L10" s="28" t="n">
        <f aca="false">IF(OR(N(I10)=0,N(J10)=0,N(K10)=0),"",I10*Agentes!$C$16*60*J10/1000/K10)</f>
        <v>2.7216</v>
      </c>
      <c r="M10" s="19" t="n">
        <f aca="false">IF(L10="","",IF(B10="ASB","Cambiar al final de cada tarea",ROUNDDOWN(Agentes!$C$17/L10,0)))</f>
        <v>73</v>
      </c>
      <c r="N10" s="18"/>
    </row>
    <row r="11" customFormat="false" ht="30" hidden="false" customHeight="true" outlineLevel="0" collapsed="false">
      <c r="A11" s="19" t="str">
        <f aca="false">Estadística!A11</f>
        <v>G06</v>
      </c>
      <c r="B11" s="19" t="str">
        <f aca="false">Estadística!B11</f>
        <v>ASB</v>
      </c>
      <c r="C11" s="21" t="n">
        <f aca="false">IF(A11="","",IF(Estadística!Z11&lt;&gt;"",Estadística!Z11,Estadística!H11))</f>
        <v>0.0893956568493731</v>
      </c>
      <c r="D11" s="21" t="n">
        <f aca="false">IF(A11="","",Estadística!N11)</f>
        <v>0.078125</v>
      </c>
      <c r="E11" s="28" t="n">
        <f aca="false">IF(OR(N(C11)=0,N(D11)=0),"",MAX(C11/D11,IF(AND(LEFT(B11,3)="CAR",N(Estadística!AB11)&gt;0,N(Estadística!I11)&gt;0),Estadística!AB11*C11/Estadística!I11,0)))</f>
        <v>1.14426440767198</v>
      </c>
      <c r="F11" s="27" t="str">
        <f aca="false">IF(E11="","",IF(E11&lt;=1,"No requerido por concentración; usar si hay picos o tareas no rutinarias",IF(E11&lt;=10,IF(B11="ASB","Media cara elastomérica con filtros P100 (no desechable)","Pieza facial filtrante o media cara elastomérica"),IF(E11&lt;=25,IF(B11="ASB","Cara completa elastomérica P100 o PAPR holgado","PAPR con capucha o careta holgada"),IF(E11&lt;=50,"Cara completa elastomérica P100 o PAPR con media cara",IF(E11&lt;=1000,"PAPR cara completa o línea de aire flujo continuo",IF(E11&lt;=10000,"SCBA a presión positiva","Excede APF disponibles: suspender y controlar en la fuente")))))))</f>
        <v>Media cara elastomérica con filtros P100 (no desechable)</v>
      </c>
      <c r="G11" s="19" t="n">
        <f aca="false">IF(E11="","",IF(E11&lt;=1,"—",IF(E11&lt;=10,10,IF(E11&lt;=25,IF(B11="ASB",50,25),IF(E11&lt;=50,50,IF(E11&lt;=1000,1000,IF(E11&lt;=10000,10000,"—")))))))</f>
        <v>10</v>
      </c>
      <c r="H11" s="27" t="str">
        <f aca="false">IF(A11="","",IF(B11="ASB","P100 (HEPA) – desechar como residuo de asbesto",IF(OR(LEFT(B11,3)="SIL",N(Estadística!AB11)&gt;=0.5),"N100/R100/P100 o FFP3 (≥ N95 mínimo)","N95 o superior; P si hay aceites")))</f>
        <v>P100 (HEPA) – desechar como residuo de asbesto</v>
      </c>
      <c r="I11" s="18"/>
      <c r="J11" s="18" t="n">
        <v>8</v>
      </c>
      <c r="K11" s="18" t="n">
        <v>2</v>
      </c>
      <c r="L11" s="28" t="str">
        <f aca="false">IF(OR(N(I11)=0,N(J11)=0,N(K11)=0),"",I11*Agentes!$C$16*60*J11/1000/K11)</f>
        <v/>
      </c>
      <c r="M11" s="19" t="str">
        <f aca="false">IF(L11="","",IF(B11="ASB","Cambiar al final de cada tarea",ROUNDDOWN(Agentes!$C$17/L11,0)))</f>
        <v/>
      </c>
      <c r="N11" s="18"/>
    </row>
    <row r="12" customFormat="false" ht="30" hidden="false" customHeight="true" outlineLevel="0" collapsed="false">
      <c r="A12" s="19" t="str">
        <f aca="false">Estadística!A12</f>
        <v/>
      </c>
      <c r="B12" s="19" t="str">
        <f aca="false">Estadística!B12</f>
        <v/>
      </c>
      <c r="C12" s="21" t="str">
        <f aca="false">IF(A12="","",IF(Estadística!Z12&lt;&gt;"",Estadística!Z12,Estadística!H12))</f>
        <v/>
      </c>
      <c r="D12" s="21" t="str">
        <f aca="false">IF(A12="","",Estadística!N12)</f>
        <v/>
      </c>
      <c r="E12" s="28" t="str">
        <f aca="false">IF(OR(N(C12)=0,N(D12)=0),"",MAX(C12/D12,IF(AND(LEFT(B12,3)="CAR",N(Estadística!AB12)&gt;0,N(Estadística!I12)&gt;0),Estadística!AB12*C12/Estadística!I12,0)))</f>
        <v/>
      </c>
      <c r="F12" s="27" t="str">
        <f aca="false">IF(E12="","",IF(E12&lt;=1,"No requerido por concentración; usar si hay picos o tareas no rutinarias",IF(E12&lt;=10,IF(B12="ASB","Media cara elastomérica con filtros P100 (no desechable)","Pieza facial filtrante o media cara elastomérica"),IF(E12&lt;=25,IF(B12="ASB","Cara completa elastomérica P100 o PAPR holgado","PAPR con capucha o careta holgada"),IF(E12&lt;=50,"Cara completa elastomérica P100 o PAPR con media cara",IF(E12&lt;=1000,"PAPR cara completa o línea de aire flujo continuo",IF(E12&lt;=10000,"SCBA a presión positiva","Excede APF disponibles: suspender y controlar en la fuente")))))))</f>
        <v/>
      </c>
      <c r="G12" s="19" t="str">
        <f aca="false">IF(E12="","",IF(E12&lt;=1,"—",IF(E12&lt;=10,10,IF(E12&lt;=25,IF(B12="ASB",50,25),IF(E12&lt;=50,50,IF(E12&lt;=1000,1000,IF(E12&lt;=10000,10000,"—")))))))</f>
        <v/>
      </c>
      <c r="H12" s="27" t="str">
        <f aca="false">IF(A12="","",IF(B12="ASB","P100 (HEPA) – desechar como residuo de asbesto",IF(OR(LEFT(B12,3)="SIL",N(Estadística!AB12)&gt;=0.5),"N100/R100/P100 o FFP3 (≥ N95 mínimo)","N95 o superior; P si hay aceites")))</f>
        <v/>
      </c>
      <c r="I12" s="18"/>
      <c r="J12" s="18"/>
      <c r="K12" s="18"/>
      <c r="L12" s="28" t="str">
        <f aca="false">IF(OR(N(I12)=0,N(J12)=0,N(K12)=0),"",I12*Agentes!$C$16*60*J12/1000/K12)</f>
        <v/>
      </c>
      <c r="M12" s="19" t="str">
        <f aca="false">IF(L12="","",IF(B12="ASB","Cambiar al final de cada tarea",ROUNDDOWN(Agentes!$C$17/L12,0)))</f>
        <v/>
      </c>
      <c r="N12" s="18"/>
    </row>
    <row r="13" customFormat="false" ht="30" hidden="false" customHeight="true" outlineLevel="0" collapsed="false">
      <c r="A13" s="19" t="str">
        <f aca="false">Estadística!A13</f>
        <v/>
      </c>
      <c r="B13" s="19" t="str">
        <f aca="false">Estadística!B13</f>
        <v/>
      </c>
      <c r="C13" s="21" t="str">
        <f aca="false">IF(A13="","",IF(Estadística!Z13&lt;&gt;"",Estadística!Z13,Estadística!H13))</f>
        <v/>
      </c>
      <c r="D13" s="21" t="str">
        <f aca="false">IF(A13="","",Estadística!N13)</f>
        <v/>
      </c>
      <c r="E13" s="28" t="str">
        <f aca="false">IF(OR(N(C13)=0,N(D13)=0),"",MAX(C13/D13,IF(AND(LEFT(B13,3)="CAR",N(Estadística!AB13)&gt;0,N(Estadística!I13)&gt;0),Estadística!AB13*C13/Estadística!I13,0)))</f>
        <v/>
      </c>
      <c r="F13" s="27" t="str">
        <f aca="false">IF(E13="","",IF(E13&lt;=1,"No requerido por concentración; usar si hay picos o tareas no rutinarias",IF(E13&lt;=10,IF(B13="ASB","Media cara elastomérica con filtros P100 (no desechable)","Pieza facial filtrante o media cara elastomérica"),IF(E13&lt;=25,IF(B13="ASB","Cara completa elastomérica P100 o PAPR holgado","PAPR con capucha o careta holgada"),IF(E13&lt;=50,"Cara completa elastomérica P100 o PAPR con media cara",IF(E13&lt;=1000,"PAPR cara completa o línea de aire flujo continuo",IF(E13&lt;=10000,"SCBA a presión positiva","Excede APF disponibles: suspender y controlar en la fuente")))))))</f>
        <v/>
      </c>
      <c r="G13" s="19" t="str">
        <f aca="false">IF(E13="","",IF(E13&lt;=1,"—",IF(E13&lt;=10,10,IF(E13&lt;=25,IF(B13="ASB",50,25),IF(E13&lt;=50,50,IF(E13&lt;=1000,1000,IF(E13&lt;=10000,10000,"—")))))))</f>
        <v/>
      </c>
      <c r="H13" s="27" t="str">
        <f aca="false">IF(A13="","",IF(B13="ASB","P100 (HEPA) – desechar como residuo de asbesto",IF(OR(LEFT(B13,3)="SIL",N(Estadística!AB13)&gt;=0.5),"N100/R100/P100 o FFP3 (≥ N95 mínimo)","N95 o superior; P si hay aceites")))</f>
        <v/>
      </c>
      <c r="I13" s="18"/>
      <c r="J13" s="18"/>
      <c r="K13" s="18"/>
      <c r="L13" s="28" t="str">
        <f aca="false">IF(OR(N(I13)=0,N(J13)=0,N(K13)=0),"",I13*Agentes!$C$16*60*J13/1000/K13)</f>
        <v/>
      </c>
      <c r="M13" s="19" t="str">
        <f aca="false">IF(L13="","",IF(B13="ASB","Cambiar al final de cada tarea",ROUNDDOWN(Agentes!$C$17/L13,0)))</f>
        <v/>
      </c>
      <c r="N13" s="18"/>
    </row>
    <row r="14" customFormat="false" ht="30" hidden="false" customHeight="true" outlineLevel="0" collapsed="false">
      <c r="A14" s="19" t="str">
        <f aca="false">Estadística!A14</f>
        <v/>
      </c>
      <c r="B14" s="19" t="str">
        <f aca="false">Estadística!B14</f>
        <v/>
      </c>
      <c r="C14" s="21" t="str">
        <f aca="false">IF(A14="","",IF(Estadística!Z14&lt;&gt;"",Estadística!Z14,Estadística!H14))</f>
        <v/>
      </c>
      <c r="D14" s="21" t="str">
        <f aca="false">IF(A14="","",Estadística!N14)</f>
        <v/>
      </c>
      <c r="E14" s="28" t="str">
        <f aca="false">IF(OR(N(C14)=0,N(D14)=0),"",MAX(C14/D14,IF(AND(LEFT(B14,3)="CAR",N(Estadística!AB14)&gt;0,N(Estadística!I14)&gt;0),Estadística!AB14*C14/Estadística!I14,0)))</f>
        <v/>
      </c>
      <c r="F14" s="27" t="str">
        <f aca="false">IF(E14="","",IF(E14&lt;=1,"No requerido por concentración; usar si hay picos o tareas no rutinarias",IF(E14&lt;=10,IF(B14="ASB","Media cara elastomérica con filtros P100 (no desechable)","Pieza facial filtrante o media cara elastomérica"),IF(E14&lt;=25,IF(B14="ASB","Cara completa elastomérica P100 o PAPR holgado","PAPR con capucha o careta holgada"),IF(E14&lt;=50,"Cara completa elastomérica P100 o PAPR con media cara",IF(E14&lt;=1000,"PAPR cara completa o línea de aire flujo continuo",IF(E14&lt;=10000,"SCBA a presión positiva","Excede APF disponibles: suspender y controlar en la fuente")))))))</f>
        <v/>
      </c>
      <c r="G14" s="19" t="str">
        <f aca="false">IF(E14="","",IF(E14&lt;=1,"—",IF(E14&lt;=10,10,IF(E14&lt;=25,IF(B14="ASB",50,25),IF(E14&lt;=50,50,IF(E14&lt;=1000,1000,IF(E14&lt;=10000,10000,"—")))))))</f>
        <v/>
      </c>
      <c r="H14" s="27" t="str">
        <f aca="false">IF(A14="","",IF(B14="ASB","P100 (HEPA) – desechar como residuo de asbesto",IF(OR(LEFT(B14,3)="SIL",N(Estadística!AB14)&gt;=0.5),"N100/R100/P100 o FFP3 (≥ N95 mínimo)","N95 o superior; P si hay aceites")))</f>
        <v/>
      </c>
      <c r="I14" s="18"/>
      <c r="J14" s="18"/>
      <c r="K14" s="18"/>
      <c r="L14" s="28" t="str">
        <f aca="false">IF(OR(N(I14)=0,N(J14)=0,N(K14)=0),"",I14*Agentes!$C$16*60*J14/1000/K14)</f>
        <v/>
      </c>
      <c r="M14" s="19" t="str">
        <f aca="false">IF(L14="","",IF(B14="ASB","Cambiar al final de cada tarea",ROUNDDOWN(Agentes!$C$17/L14,0)))</f>
        <v/>
      </c>
      <c r="N14" s="18"/>
    </row>
    <row r="15" customFormat="false" ht="30" hidden="false" customHeight="true" outlineLevel="0" collapsed="false">
      <c r="A15" s="19" t="str">
        <f aca="false">Estadística!A15</f>
        <v/>
      </c>
      <c r="B15" s="19" t="str">
        <f aca="false">Estadística!B15</f>
        <v/>
      </c>
      <c r="C15" s="21" t="str">
        <f aca="false">IF(A15="","",IF(Estadística!Z15&lt;&gt;"",Estadística!Z15,Estadística!H15))</f>
        <v/>
      </c>
      <c r="D15" s="21" t="str">
        <f aca="false">IF(A15="","",Estadística!N15)</f>
        <v/>
      </c>
      <c r="E15" s="28" t="str">
        <f aca="false">IF(OR(N(C15)=0,N(D15)=0),"",MAX(C15/D15,IF(AND(LEFT(B15,3)="CAR",N(Estadística!AB15)&gt;0,N(Estadística!I15)&gt;0),Estadística!AB15*C15/Estadística!I15,0)))</f>
        <v/>
      </c>
      <c r="F15" s="27" t="str">
        <f aca="false">IF(E15="","",IF(E15&lt;=1,"No requerido por concentración; usar si hay picos o tareas no rutinarias",IF(E15&lt;=10,IF(B15="ASB","Media cara elastomérica con filtros P100 (no desechable)","Pieza facial filtrante o media cara elastomérica"),IF(E15&lt;=25,IF(B15="ASB","Cara completa elastomérica P100 o PAPR holgado","PAPR con capucha o careta holgada"),IF(E15&lt;=50,"Cara completa elastomérica P100 o PAPR con media cara",IF(E15&lt;=1000,"PAPR cara completa o línea de aire flujo continuo",IF(E15&lt;=10000,"SCBA a presión positiva","Excede APF disponibles: suspender y controlar en la fuente")))))))</f>
        <v/>
      </c>
      <c r="G15" s="19" t="str">
        <f aca="false">IF(E15="","",IF(E15&lt;=1,"—",IF(E15&lt;=10,10,IF(E15&lt;=25,IF(B15="ASB",50,25),IF(E15&lt;=50,50,IF(E15&lt;=1000,1000,IF(E15&lt;=10000,10000,"—")))))))</f>
        <v/>
      </c>
      <c r="H15" s="27" t="str">
        <f aca="false">IF(A15="","",IF(B15="ASB","P100 (HEPA) – desechar como residuo de asbesto",IF(OR(LEFT(B15,3)="SIL",N(Estadística!AB15)&gt;=0.5),"N100/R100/P100 o FFP3 (≥ N95 mínimo)","N95 o superior; P si hay aceites")))</f>
        <v/>
      </c>
      <c r="I15" s="18"/>
      <c r="J15" s="18"/>
      <c r="K15" s="18"/>
      <c r="L15" s="28" t="str">
        <f aca="false">IF(OR(N(I15)=0,N(J15)=0,N(K15)=0),"",I15*Agentes!$C$16*60*J15/1000/K15)</f>
        <v/>
      </c>
      <c r="M15" s="19" t="str">
        <f aca="false">IF(L15="","",IF(B15="ASB","Cambiar al final de cada tarea",ROUNDDOWN(Agentes!$C$17/L15,0)))</f>
        <v/>
      </c>
      <c r="N15" s="18"/>
    </row>
    <row r="16" customFormat="false" ht="30" hidden="false" customHeight="true" outlineLevel="0" collapsed="false">
      <c r="A16" s="19" t="str">
        <f aca="false">Estadística!A16</f>
        <v/>
      </c>
      <c r="B16" s="19" t="str">
        <f aca="false">Estadística!B16</f>
        <v/>
      </c>
      <c r="C16" s="21" t="str">
        <f aca="false">IF(A16="","",IF(Estadística!Z16&lt;&gt;"",Estadística!Z16,Estadística!H16))</f>
        <v/>
      </c>
      <c r="D16" s="21" t="str">
        <f aca="false">IF(A16="","",Estadística!N16)</f>
        <v/>
      </c>
      <c r="E16" s="28" t="str">
        <f aca="false">IF(OR(N(C16)=0,N(D16)=0),"",MAX(C16/D16,IF(AND(LEFT(B16,3)="CAR",N(Estadística!AB16)&gt;0,N(Estadística!I16)&gt;0),Estadística!AB16*C16/Estadística!I16,0)))</f>
        <v/>
      </c>
      <c r="F16" s="27" t="str">
        <f aca="false">IF(E16="","",IF(E16&lt;=1,"No requerido por concentración; usar si hay picos o tareas no rutinarias",IF(E16&lt;=10,IF(B16="ASB","Media cara elastomérica con filtros P100 (no desechable)","Pieza facial filtrante o media cara elastomérica"),IF(E16&lt;=25,IF(B16="ASB","Cara completa elastomérica P100 o PAPR holgado","PAPR con capucha o careta holgada"),IF(E16&lt;=50,"Cara completa elastomérica P100 o PAPR con media cara",IF(E16&lt;=1000,"PAPR cara completa o línea de aire flujo continuo",IF(E16&lt;=10000,"SCBA a presión positiva","Excede APF disponibles: suspender y controlar en la fuente")))))))</f>
        <v/>
      </c>
      <c r="G16" s="19" t="str">
        <f aca="false">IF(E16="","",IF(E16&lt;=1,"—",IF(E16&lt;=10,10,IF(E16&lt;=25,IF(B16="ASB",50,25),IF(E16&lt;=50,50,IF(E16&lt;=1000,1000,IF(E16&lt;=10000,10000,"—")))))))</f>
        <v/>
      </c>
      <c r="H16" s="27" t="str">
        <f aca="false">IF(A16="","",IF(B16="ASB","P100 (HEPA) – desechar como residuo de asbesto",IF(OR(LEFT(B16,3)="SIL",N(Estadística!AB16)&gt;=0.5),"N100/R100/P100 o FFP3 (≥ N95 mínimo)","N95 o superior; P si hay aceites")))</f>
        <v/>
      </c>
      <c r="I16" s="18"/>
      <c r="J16" s="18"/>
      <c r="K16" s="18"/>
      <c r="L16" s="28" t="str">
        <f aca="false">IF(OR(N(I16)=0,N(J16)=0,N(K16)=0),"",I16*Agentes!$C$16*60*J16/1000/K16)</f>
        <v/>
      </c>
      <c r="M16" s="19" t="str">
        <f aca="false">IF(L16="","",IF(B16="ASB","Cambiar al final de cada tarea",ROUNDDOWN(Agentes!$C$17/L16,0)))</f>
        <v/>
      </c>
      <c r="N16" s="18"/>
    </row>
    <row r="17" customFormat="false" ht="30" hidden="false" customHeight="true" outlineLevel="0" collapsed="false">
      <c r="A17" s="19" t="str">
        <f aca="false">Estadística!A17</f>
        <v/>
      </c>
      <c r="B17" s="19" t="str">
        <f aca="false">Estadística!B17</f>
        <v/>
      </c>
      <c r="C17" s="21" t="str">
        <f aca="false">IF(A17="","",IF(Estadística!Z17&lt;&gt;"",Estadística!Z17,Estadística!H17))</f>
        <v/>
      </c>
      <c r="D17" s="21" t="str">
        <f aca="false">IF(A17="","",Estadística!N17)</f>
        <v/>
      </c>
      <c r="E17" s="28" t="str">
        <f aca="false">IF(OR(N(C17)=0,N(D17)=0),"",MAX(C17/D17,IF(AND(LEFT(B17,3)="CAR",N(Estadística!AB17)&gt;0,N(Estadística!I17)&gt;0),Estadística!AB17*C17/Estadística!I17,0)))</f>
        <v/>
      </c>
      <c r="F17" s="27" t="str">
        <f aca="false">IF(E17="","",IF(E17&lt;=1,"No requerido por concentración; usar si hay picos o tareas no rutinarias",IF(E17&lt;=10,IF(B17="ASB","Media cara elastomérica con filtros P100 (no desechable)","Pieza facial filtrante o media cara elastomérica"),IF(E17&lt;=25,IF(B17="ASB","Cara completa elastomérica P100 o PAPR holgado","PAPR con capucha o careta holgada"),IF(E17&lt;=50,"Cara completa elastomérica P100 o PAPR con media cara",IF(E17&lt;=1000,"PAPR cara completa o línea de aire flujo continuo",IF(E17&lt;=10000,"SCBA a presión positiva","Excede APF disponibles: suspender y controlar en la fuente")))))))</f>
        <v/>
      </c>
      <c r="G17" s="19" t="str">
        <f aca="false">IF(E17="","",IF(E17&lt;=1,"—",IF(E17&lt;=10,10,IF(E17&lt;=25,IF(B17="ASB",50,25),IF(E17&lt;=50,50,IF(E17&lt;=1000,1000,IF(E17&lt;=10000,10000,"—")))))))</f>
        <v/>
      </c>
      <c r="H17" s="27" t="str">
        <f aca="false">IF(A17="","",IF(B17="ASB","P100 (HEPA) – desechar como residuo de asbesto",IF(OR(LEFT(B17,3)="SIL",N(Estadística!AB17)&gt;=0.5),"N100/R100/P100 o FFP3 (≥ N95 mínimo)","N95 o superior; P si hay aceites")))</f>
        <v/>
      </c>
      <c r="I17" s="18"/>
      <c r="J17" s="18"/>
      <c r="K17" s="18"/>
      <c r="L17" s="28" t="str">
        <f aca="false">IF(OR(N(I17)=0,N(J17)=0,N(K17)=0),"",I17*Agentes!$C$16*60*J17/1000/K17)</f>
        <v/>
      </c>
      <c r="M17" s="19" t="str">
        <f aca="false">IF(L17="","",IF(B17="ASB","Cambiar al final de cada tarea",ROUNDDOWN(Agentes!$C$17/L17,0)))</f>
        <v/>
      </c>
      <c r="N17" s="18"/>
    </row>
    <row r="18" customFormat="false" ht="30" hidden="false" customHeight="true" outlineLevel="0" collapsed="false">
      <c r="A18" s="19" t="str">
        <f aca="false">Estadística!A18</f>
        <v/>
      </c>
      <c r="B18" s="19" t="str">
        <f aca="false">Estadística!B18</f>
        <v/>
      </c>
      <c r="C18" s="21" t="str">
        <f aca="false">IF(A18="","",IF(Estadística!Z18&lt;&gt;"",Estadística!Z18,Estadística!H18))</f>
        <v/>
      </c>
      <c r="D18" s="21" t="str">
        <f aca="false">IF(A18="","",Estadística!N18)</f>
        <v/>
      </c>
      <c r="E18" s="28" t="str">
        <f aca="false">IF(OR(N(C18)=0,N(D18)=0),"",MAX(C18/D18,IF(AND(LEFT(B18,3)="CAR",N(Estadística!AB18)&gt;0,N(Estadística!I18)&gt;0),Estadística!AB18*C18/Estadística!I18,0)))</f>
        <v/>
      </c>
      <c r="F18" s="27" t="str">
        <f aca="false">IF(E18="","",IF(E18&lt;=1,"No requerido por concentración; usar si hay picos o tareas no rutinarias",IF(E18&lt;=10,IF(B18="ASB","Media cara elastomérica con filtros P100 (no desechable)","Pieza facial filtrante o media cara elastomérica"),IF(E18&lt;=25,IF(B18="ASB","Cara completa elastomérica P100 o PAPR holgado","PAPR con capucha o careta holgada"),IF(E18&lt;=50,"Cara completa elastomérica P100 o PAPR con media cara",IF(E18&lt;=1000,"PAPR cara completa o línea de aire flujo continuo",IF(E18&lt;=10000,"SCBA a presión positiva","Excede APF disponibles: suspender y controlar en la fuente")))))))</f>
        <v/>
      </c>
      <c r="G18" s="19" t="str">
        <f aca="false">IF(E18="","",IF(E18&lt;=1,"—",IF(E18&lt;=10,10,IF(E18&lt;=25,IF(B18="ASB",50,25),IF(E18&lt;=50,50,IF(E18&lt;=1000,1000,IF(E18&lt;=10000,10000,"—")))))))</f>
        <v/>
      </c>
      <c r="H18" s="27" t="str">
        <f aca="false">IF(A18="","",IF(B18="ASB","P100 (HEPA) – desechar como residuo de asbesto",IF(OR(LEFT(B18,3)="SIL",N(Estadística!AB18)&gt;=0.5),"N100/R100/P100 o FFP3 (≥ N95 mínimo)","N95 o superior; P si hay aceites")))</f>
        <v/>
      </c>
      <c r="I18" s="18"/>
      <c r="J18" s="18"/>
      <c r="K18" s="18"/>
      <c r="L18" s="28" t="str">
        <f aca="false">IF(OR(N(I18)=0,N(J18)=0,N(K18)=0),"",I18*Agentes!$C$16*60*J18/1000/K18)</f>
        <v/>
      </c>
      <c r="M18" s="19" t="str">
        <f aca="false">IF(L18="","",IF(B18="ASB","Cambiar al final de cada tarea",ROUNDDOWN(Agentes!$C$17/L18,0)))</f>
        <v/>
      </c>
      <c r="N18" s="18"/>
    </row>
    <row r="19" customFormat="false" ht="30" hidden="false" customHeight="true" outlineLevel="0" collapsed="false">
      <c r="A19" s="19" t="str">
        <f aca="false">Estadística!A19</f>
        <v/>
      </c>
      <c r="B19" s="19" t="str">
        <f aca="false">Estadística!B19</f>
        <v/>
      </c>
      <c r="C19" s="21" t="str">
        <f aca="false">IF(A19="","",IF(Estadística!Z19&lt;&gt;"",Estadística!Z19,Estadística!H19))</f>
        <v/>
      </c>
      <c r="D19" s="21" t="str">
        <f aca="false">IF(A19="","",Estadística!N19)</f>
        <v/>
      </c>
      <c r="E19" s="28" t="str">
        <f aca="false">IF(OR(N(C19)=0,N(D19)=0),"",MAX(C19/D19,IF(AND(LEFT(B19,3)="CAR",N(Estadística!AB19)&gt;0,N(Estadística!I19)&gt;0),Estadística!AB19*C19/Estadística!I19,0)))</f>
        <v/>
      </c>
      <c r="F19" s="27" t="str">
        <f aca="false">IF(E19="","",IF(E19&lt;=1,"No requerido por concentración; usar si hay picos o tareas no rutinarias",IF(E19&lt;=10,IF(B19="ASB","Media cara elastomérica con filtros P100 (no desechable)","Pieza facial filtrante o media cara elastomérica"),IF(E19&lt;=25,IF(B19="ASB","Cara completa elastomérica P100 o PAPR holgado","PAPR con capucha o careta holgada"),IF(E19&lt;=50,"Cara completa elastomérica P100 o PAPR con media cara",IF(E19&lt;=1000,"PAPR cara completa o línea de aire flujo continuo",IF(E19&lt;=10000,"SCBA a presión positiva","Excede APF disponibles: suspender y controlar en la fuente")))))))</f>
        <v/>
      </c>
      <c r="G19" s="19" t="str">
        <f aca="false">IF(E19="","",IF(E19&lt;=1,"—",IF(E19&lt;=10,10,IF(E19&lt;=25,IF(B19="ASB",50,25),IF(E19&lt;=50,50,IF(E19&lt;=1000,1000,IF(E19&lt;=10000,10000,"—")))))))</f>
        <v/>
      </c>
      <c r="H19" s="27" t="str">
        <f aca="false">IF(A19="","",IF(B19="ASB","P100 (HEPA) – desechar como residuo de asbesto",IF(OR(LEFT(B19,3)="SIL",N(Estadística!AB19)&gt;=0.5),"N100/R100/P100 o FFP3 (≥ N95 mínimo)","N95 o superior; P si hay aceites")))</f>
        <v/>
      </c>
      <c r="I19" s="18"/>
      <c r="J19" s="18"/>
      <c r="K19" s="18"/>
      <c r="L19" s="28" t="str">
        <f aca="false">IF(OR(N(I19)=0,N(J19)=0,N(K19)=0),"",I19*Agentes!$C$16*60*J19/1000/K19)</f>
        <v/>
      </c>
      <c r="M19" s="19" t="str">
        <f aca="false">IF(L19="","",IF(B19="ASB","Cambiar al final de cada tarea",ROUNDDOWN(Agentes!$C$17/L19,0)))</f>
        <v/>
      </c>
      <c r="N19" s="18"/>
    </row>
    <row r="20" customFormat="false" ht="30" hidden="false" customHeight="true" outlineLevel="0" collapsed="false">
      <c r="A20" s="19" t="str">
        <f aca="false">Estadística!A20</f>
        <v/>
      </c>
      <c r="B20" s="19" t="str">
        <f aca="false">Estadística!B20</f>
        <v/>
      </c>
      <c r="C20" s="21" t="str">
        <f aca="false">IF(A20="","",IF(Estadística!Z20&lt;&gt;"",Estadística!Z20,Estadística!H20))</f>
        <v/>
      </c>
      <c r="D20" s="21" t="str">
        <f aca="false">IF(A20="","",Estadística!N20)</f>
        <v/>
      </c>
      <c r="E20" s="28" t="str">
        <f aca="false">IF(OR(N(C20)=0,N(D20)=0),"",MAX(C20/D20,IF(AND(LEFT(B20,3)="CAR",N(Estadística!AB20)&gt;0,N(Estadística!I20)&gt;0),Estadística!AB20*C20/Estadística!I20,0)))</f>
        <v/>
      </c>
      <c r="F20" s="27" t="str">
        <f aca="false">IF(E20="","",IF(E20&lt;=1,"No requerido por concentración; usar si hay picos o tareas no rutinarias",IF(E20&lt;=10,IF(B20="ASB","Media cara elastomérica con filtros P100 (no desechable)","Pieza facial filtrante o media cara elastomérica"),IF(E20&lt;=25,IF(B20="ASB","Cara completa elastomérica P100 o PAPR holgado","PAPR con capucha o careta holgada"),IF(E20&lt;=50,"Cara completa elastomérica P100 o PAPR con media cara",IF(E20&lt;=1000,"PAPR cara completa o línea de aire flujo continuo",IF(E20&lt;=10000,"SCBA a presión positiva","Excede APF disponibles: suspender y controlar en la fuente")))))))</f>
        <v/>
      </c>
      <c r="G20" s="19" t="str">
        <f aca="false">IF(E20="","",IF(E20&lt;=1,"—",IF(E20&lt;=10,10,IF(E20&lt;=25,IF(B20="ASB",50,25),IF(E20&lt;=50,50,IF(E20&lt;=1000,1000,IF(E20&lt;=10000,10000,"—")))))))</f>
        <v/>
      </c>
      <c r="H20" s="27" t="str">
        <f aca="false">IF(A20="","",IF(B20="ASB","P100 (HEPA) – desechar como residuo de asbesto",IF(OR(LEFT(B20,3)="SIL",N(Estadística!AB20)&gt;=0.5),"N100/R100/P100 o FFP3 (≥ N95 mínimo)","N95 o superior; P si hay aceites")))</f>
        <v/>
      </c>
      <c r="I20" s="18"/>
      <c r="J20" s="18"/>
      <c r="K20" s="18"/>
      <c r="L20" s="28" t="str">
        <f aca="false">IF(OR(N(I20)=0,N(J20)=0,N(K20)=0),"",I20*Agentes!$C$16*60*J20/1000/K20)</f>
        <v/>
      </c>
      <c r="M20" s="19" t="str">
        <f aca="false">IF(L20="","",IF(B20="ASB","Cambiar al final de cada tarea",ROUNDDOWN(Agentes!$C$17/L20,0)))</f>
        <v/>
      </c>
      <c r="N20" s="18"/>
    </row>
    <row r="21" customFormat="false" ht="30" hidden="false" customHeight="true" outlineLevel="0" collapsed="false">
      <c r="A21" s="19" t="str">
        <f aca="false">Estadística!A21</f>
        <v/>
      </c>
      <c r="B21" s="19" t="str">
        <f aca="false">Estadística!B21</f>
        <v/>
      </c>
      <c r="C21" s="21" t="str">
        <f aca="false">IF(A21="","",IF(Estadística!Z21&lt;&gt;"",Estadística!Z21,Estadística!H21))</f>
        <v/>
      </c>
      <c r="D21" s="21" t="str">
        <f aca="false">IF(A21="","",Estadística!N21)</f>
        <v/>
      </c>
      <c r="E21" s="28" t="str">
        <f aca="false">IF(OR(N(C21)=0,N(D21)=0),"",MAX(C21/D21,IF(AND(LEFT(B21,3)="CAR",N(Estadística!AB21)&gt;0,N(Estadística!I21)&gt;0),Estadística!AB21*C21/Estadística!I21,0)))</f>
        <v/>
      </c>
      <c r="F21" s="27" t="str">
        <f aca="false">IF(E21="","",IF(E21&lt;=1,"No requerido por concentración; usar si hay picos o tareas no rutinarias",IF(E21&lt;=10,IF(B21="ASB","Media cara elastomérica con filtros P100 (no desechable)","Pieza facial filtrante o media cara elastomérica"),IF(E21&lt;=25,IF(B21="ASB","Cara completa elastomérica P100 o PAPR holgado","PAPR con capucha o careta holgada"),IF(E21&lt;=50,"Cara completa elastomérica P100 o PAPR con media cara",IF(E21&lt;=1000,"PAPR cara completa o línea de aire flujo continuo",IF(E21&lt;=10000,"SCBA a presión positiva","Excede APF disponibles: suspender y controlar en la fuente")))))))</f>
        <v/>
      </c>
      <c r="G21" s="19" t="str">
        <f aca="false">IF(E21="","",IF(E21&lt;=1,"—",IF(E21&lt;=10,10,IF(E21&lt;=25,IF(B21="ASB",50,25),IF(E21&lt;=50,50,IF(E21&lt;=1000,1000,IF(E21&lt;=10000,10000,"—")))))))</f>
        <v/>
      </c>
      <c r="H21" s="27" t="str">
        <f aca="false">IF(A21="","",IF(B21="ASB","P100 (HEPA) – desechar como residuo de asbesto",IF(OR(LEFT(B21,3)="SIL",N(Estadística!AB21)&gt;=0.5),"N100/R100/P100 o FFP3 (≥ N95 mínimo)","N95 o superior; P si hay aceites")))</f>
        <v/>
      </c>
      <c r="I21" s="18"/>
      <c r="J21" s="18"/>
      <c r="K21" s="18"/>
      <c r="L21" s="28" t="str">
        <f aca="false">IF(OR(N(I21)=0,N(J21)=0,N(K21)=0),"",I21*Agentes!$C$16*60*J21/1000/K21)</f>
        <v/>
      </c>
      <c r="M21" s="19" t="str">
        <f aca="false">IF(L21="","",IF(B21="ASB","Cambiar al final de cada tarea",ROUNDDOWN(Agentes!$C$17/L21,0)))</f>
        <v/>
      </c>
      <c r="N21" s="18"/>
    </row>
    <row r="22" customFormat="false" ht="30" hidden="false" customHeight="true" outlineLevel="0" collapsed="false">
      <c r="A22" s="19" t="str">
        <f aca="false">Estadística!A22</f>
        <v/>
      </c>
      <c r="B22" s="19" t="str">
        <f aca="false">Estadística!B22</f>
        <v/>
      </c>
      <c r="C22" s="21" t="str">
        <f aca="false">IF(A22="","",IF(Estadística!Z22&lt;&gt;"",Estadística!Z22,Estadística!H22))</f>
        <v/>
      </c>
      <c r="D22" s="21" t="str">
        <f aca="false">IF(A22="","",Estadística!N22)</f>
        <v/>
      </c>
      <c r="E22" s="28" t="str">
        <f aca="false">IF(OR(N(C22)=0,N(D22)=0),"",MAX(C22/D22,IF(AND(LEFT(B22,3)="CAR",N(Estadística!AB22)&gt;0,N(Estadística!I22)&gt;0),Estadística!AB22*C22/Estadística!I22,0)))</f>
        <v/>
      </c>
      <c r="F22" s="27" t="str">
        <f aca="false">IF(E22="","",IF(E22&lt;=1,"No requerido por concentración; usar si hay picos o tareas no rutinarias",IF(E22&lt;=10,IF(B22="ASB","Media cara elastomérica con filtros P100 (no desechable)","Pieza facial filtrante o media cara elastomérica"),IF(E22&lt;=25,IF(B22="ASB","Cara completa elastomérica P100 o PAPR holgado","PAPR con capucha o careta holgada"),IF(E22&lt;=50,"Cara completa elastomérica P100 o PAPR con media cara",IF(E22&lt;=1000,"PAPR cara completa o línea de aire flujo continuo",IF(E22&lt;=10000,"SCBA a presión positiva","Excede APF disponibles: suspender y controlar en la fuente")))))))</f>
        <v/>
      </c>
      <c r="G22" s="19" t="str">
        <f aca="false">IF(E22="","",IF(E22&lt;=1,"—",IF(E22&lt;=10,10,IF(E22&lt;=25,IF(B22="ASB",50,25),IF(E22&lt;=50,50,IF(E22&lt;=1000,1000,IF(E22&lt;=10000,10000,"—")))))))</f>
        <v/>
      </c>
      <c r="H22" s="27" t="str">
        <f aca="false">IF(A22="","",IF(B22="ASB","P100 (HEPA) – desechar como residuo de asbesto",IF(OR(LEFT(B22,3)="SIL",N(Estadística!AB22)&gt;=0.5),"N100/R100/P100 o FFP3 (≥ N95 mínimo)","N95 o superior; P si hay aceites")))</f>
        <v/>
      </c>
      <c r="I22" s="18"/>
      <c r="J22" s="18"/>
      <c r="K22" s="18"/>
      <c r="L22" s="28" t="str">
        <f aca="false">IF(OR(N(I22)=0,N(J22)=0,N(K22)=0),"",I22*Agentes!$C$16*60*J22/1000/K22)</f>
        <v/>
      </c>
      <c r="M22" s="19" t="str">
        <f aca="false">IF(L22="","",IF(B22="ASB","Cambiar al final de cada tarea",ROUNDDOWN(Agentes!$C$17/L22,0)))</f>
        <v/>
      </c>
      <c r="N22" s="18"/>
    </row>
    <row r="23" customFormat="false" ht="30" hidden="false" customHeight="true" outlineLevel="0" collapsed="false">
      <c r="A23" s="19" t="str">
        <f aca="false">Estadística!A23</f>
        <v/>
      </c>
      <c r="B23" s="19" t="str">
        <f aca="false">Estadística!B23</f>
        <v/>
      </c>
      <c r="C23" s="21" t="str">
        <f aca="false">IF(A23="","",IF(Estadística!Z23&lt;&gt;"",Estadística!Z23,Estadística!H23))</f>
        <v/>
      </c>
      <c r="D23" s="21" t="str">
        <f aca="false">IF(A23="","",Estadística!N23)</f>
        <v/>
      </c>
      <c r="E23" s="28" t="str">
        <f aca="false">IF(OR(N(C23)=0,N(D23)=0),"",MAX(C23/D23,IF(AND(LEFT(B23,3)="CAR",N(Estadística!AB23)&gt;0,N(Estadística!I23)&gt;0),Estadística!AB23*C23/Estadística!I23,0)))</f>
        <v/>
      </c>
      <c r="F23" s="27" t="str">
        <f aca="false">IF(E23="","",IF(E23&lt;=1,"No requerido por concentración; usar si hay picos o tareas no rutinarias",IF(E23&lt;=10,IF(B23="ASB","Media cara elastomérica con filtros P100 (no desechable)","Pieza facial filtrante o media cara elastomérica"),IF(E23&lt;=25,IF(B23="ASB","Cara completa elastomérica P100 o PAPR holgado","PAPR con capucha o careta holgada"),IF(E23&lt;=50,"Cara completa elastomérica P100 o PAPR con media cara",IF(E23&lt;=1000,"PAPR cara completa o línea de aire flujo continuo",IF(E23&lt;=10000,"SCBA a presión positiva","Excede APF disponibles: suspender y controlar en la fuente")))))))</f>
        <v/>
      </c>
      <c r="G23" s="19" t="str">
        <f aca="false">IF(E23="","",IF(E23&lt;=1,"—",IF(E23&lt;=10,10,IF(E23&lt;=25,IF(B23="ASB",50,25),IF(E23&lt;=50,50,IF(E23&lt;=1000,1000,IF(E23&lt;=10000,10000,"—")))))))</f>
        <v/>
      </c>
      <c r="H23" s="27" t="str">
        <f aca="false">IF(A23="","",IF(B23="ASB","P100 (HEPA) – desechar como residuo de asbesto",IF(OR(LEFT(B23,3)="SIL",N(Estadística!AB23)&gt;=0.5),"N100/R100/P100 o FFP3 (≥ N95 mínimo)","N95 o superior; P si hay aceites")))</f>
        <v/>
      </c>
      <c r="I23" s="18"/>
      <c r="J23" s="18"/>
      <c r="K23" s="18"/>
      <c r="L23" s="28" t="str">
        <f aca="false">IF(OR(N(I23)=0,N(J23)=0,N(K23)=0),"",I23*Agentes!$C$16*60*J23/1000/K23)</f>
        <v/>
      </c>
      <c r="M23" s="19" t="str">
        <f aca="false">IF(L23="","",IF(B23="ASB","Cambiar al final de cada tarea",ROUNDDOWN(Agentes!$C$17/L23,0)))</f>
        <v/>
      </c>
      <c r="N23" s="18"/>
    </row>
    <row r="24" customFormat="false" ht="30" hidden="false" customHeight="true" outlineLevel="0" collapsed="false">
      <c r="A24" s="19" t="str">
        <f aca="false">Estadística!A24</f>
        <v/>
      </c>
      <c r="B24" s="19" t="str">
        <f aca="false">Estadística!B24</f>
        <v/>
      </c>
      <c r="C24" s="21" t="str">
        <f aca="false">IF(A24="","",IF(Estadística!Z24&lt;&gt;"",Estadística!Z24,Estadística!H24))</f>
        <v/>
      </c>
      <c r="D24" s="21" t="str">
        <f aca="false">IF(A24="","",Estadística!N24)</f>
        <v/>
      </c>
      <c r="E24" s="28" t="str">
        <f aca="false">IF(OR(N(C24)=0,N(D24)=0),"",MAX(C24/D24,IF(AND(LEFT(B24,3)="CAR",N(Estadística!AB24)&gt;0,N(Estadística!I24)&gt;0),Estadística!AB24*C24/Estadística!I24,0)))</f>
        <v/>
      </c>
      <c r="F24" s="27" t="str">
        <f aca="false">IF(E24="","",IF(E24&lt;=1,"No requerido por concentración; usar si hay picos o tareas no rutinarias",IF(E24&lt;=10,IF(B24="ASB","Media cara elastomérica con filtros P100 (no desechable)","Pieza facial filtrante o media cara elastomérica"),IF(E24&lt;=25,IF(B24="ASB","Cara completa elastomérica P100 o PAPR holgado","PAPR con capucha o careta holgada"),IF(E24&lt;=50,"Cara completa elastomérica P100 o PAPR con media cara",IF(E24&lt;=1000,"PAPR cara completa o línea de aire flujo continuo",IF(E24&lt;=10000,"SCBA a presión positiva","Excede APF disponibles: suspender y controlar en la fuente")))))))</f>
        <v/>
      </c>
      <c r="G24" s="19" t="str">
        <f aca="false">IF(E24="","",IF(E24&lt;=1,"—",IF(E24&lt;=10,10,IF(E24&lt;=25,IF(B24="ASB",50,25),IF(E24&lt;=50,50,IF(E24&lt;=1000,1000,IF(E24&lt;=10000,10000,"—")))))))</f>
        <v/>
      </c>
      <c r="H24" s="27" t="str">
        <f aca="false">IF(A24="","",IF(B24="ASB","P100 (HEPA) – desechar como residuo de asbesto",IF(OR(LEFT(B24,3)="SIL",N(Estadística!AB24)&gt;=0.5),"N100/R100/P100 o FFP3 (≥ N95 mínimo)","N95 o superior; P si hay aceites")))</f>
        <v/>
      </c>
      <c r="I24" s="18"/>
      <c r="J24" s="18"/>
      <c r="K24" s="18"/>
      <c r="L24" s="28" t="str">
        <f aca="false">IF(OR(N(I24)=0,N(J24)=0,N(K24)=0),"",I24*Agentes!$C$16*60*J24/1000/K24)</f>
        <v/>
      </c>
      <c r="M24" s="19" t="str">
        <f aca="false">IF(L24="","",IF(B24="ASB","Cambiar al final de cada tarea",ROUNDDOWN(Agentes!$C$17/L24,0)))</f>
        <v/>
      </c>
      <c r="N24" s="18"/>
    </row>
    <row r="25" customFormat="false" ht="30" hidden="false" customHeight="true" outlineLevel="0" collapsed="false">
      <c r="A25" s="19" t="str">
        <f aca="false">Estadística!A25</f>
        <v/>
      </c>
      <c r="B25" s="19" t="str">
        <f aca="false">Estadística!B25</f>
        <v/>
      </c>
      <c r="C25" s="21" t="str">
        <f aca="false">IF(A25="","",IF(Estadística!Z25&lt;&gt;"",Estadística!Z25,Estadística!H25))</f>
        <v/>
      </c>
      <c r="D25" s="21" t="str">
        <f aca="false">IF(A25="","",Estadística!N25)</f>
        <v/>
      </c>
      <c r="E25" s="28" t="str">
        <f aca="false">IF(OR(N(C25)=0,N(D25)=0),"",MAX(C25/D25,IF(AND(LEFT(B25,3)="CAR",N(Estadística!AB25)&gt;0,N(Estadística!I25)&gt;0),Estadística!AB25*C25/Estadística!I25,0)))</f>
        <v/>
      </c>
      <c r="F25" s="27" t="str">
        <f aca="false">IF(E25="","",IF(E25&lt;=1,"No requerido por concentración; usar si hay picos o tareas no rutinarias",IF(E25&lt;=10,IF(B25="ASB","Media cara elastomérica con filtros P100 (no desechable)","Pieza facial filtrante o media cara elastomérica"),IF(E25&lt;=25,IF(B25="ASB","Cara completa elastomérica P100 o PAPR holgado","PAPR con capucha o careta holgada"),IF(E25&lt;=50,"Cara completa elastomérica P100 o PAPR con media cara",IF(E25&lt;=1000,"PAPR cara completa o línea de aire flujo continuo",IF(E25&lt;=10000,"SCBA a presión positiva","Excede APF disponibles: suspender y controlar en la fuente")))))))</f>
        <v/>
      </c>
      <c r="G25" s="19" t="str">
        <f aca="false">IF(E25="","",IF(E25&lt;=1,"—",IF(E25&lt;=10,10,IF(E25&lt;=25,IF(B25="ASB",50,25),IF(E25&lt;=50,50,IF(E25&lt;=1000,1000,IF(E25&lt;=10000,10000,"—")))))))</f>
        <v/>
      </c>
      <c r="H25" s="27" t="str">
        <f aca="false">IF(A25="","",IF(B25="ASB","P100 (HEPA) – desechar como residuo de asbesto",IF(OR(LEFT(B25,3)="SIL",N(Estadística!AB25)&gt;=0.5),"N100/R100/P100 o FFP3 (≥ N95 mínimo)","N95 o superior; P si hay aceites")))</f>
        <v/>
      </c>
      <c r="I25" s="18"/>
      <c r="J25" s="18"/>
      <c r="K25" s="18"/>
      <c r="L25" s="28" t="str">
        <f aca="false">IF(OR(N(I25)=0,N(J25)=0,N(K25)=0),"",I25*Agentes!$C$16*60*J25/1000/K25)</f>
        <v/>
      </c>
      <c r="M25" s="19" t="str">
        <f aca="false">IF(L25="","",IF(B25="ASB","Cambiar al final de cada tarea",ROUNDDOWN(Agentes!$C$17/L25,0)))</f>
        <v/>
      </c>
      <c r="N2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Y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7"/>
    <col collapsed="false" customWidth="true" hidden="false" outlineLevel="0" max="8" min="8" style="0" width="14"/>
    <col collapsed="false" customWidth="true" hidden="false" outlineLevel="0" max="10" min="9" style="0" width="7"/>
    <col collapsed="false" customWidth="true" hidden="false" outlineLevel="0" max="11" min="11" style="0" width="14"/>
    <col collapsed="false" customWidth="true" hidden="false" outlineLevel="0" max="13" min="12" style="0" width="7"/>
    <col collapsed="false" customWidth="true" hidden="false" outlineLevel="0" max="14" min="14" style="0" width="14"/>
    <col collapsed="false" customWidth="true" hidden="false" outlineLevel="0" max="16" min="15" style="0" width="7"/>
    <col collapsed="false" customWidth="true" hidden="false" outlineLevel="0" max="18" min="17" style="0" width="11"/>
    <col collapsed="false" customWidth="true" hidden="false" outlineLevel="0" max="19" min="19" style="0" width="24"/>
    <col collapsed="false" customWidth="true" hidden="false" outlineLevel="0" max="20" min="20" style="0" width="40"/>
    <col collapsed="false" customWidth="true" hidden="false" outlineLevel="0" max="21" min="21" style="0" width="2"/>
    <col collapsed="false" customWidth="true" hidden="false" outlineLevel="0" max="22" min="22" style="0" width="12"/>
    <col collapsed="false" customWidth="true" hidden="false" outlineLevel="0" max="25" min="23" style="0" width="9"/>
  </cols>
  <sheetData>
    <row r="1" customFormat="false" ht="19.7" hidden="false" customHeight="false" outlineLevel="0" collapsed="false">
      <c r="A1" s="9" t="s">
        <v>438</v>
      </c>
    </row>
    <row r="2" customFormat="false" ht="15" hidden="false" customHeight="false" outlineLevel="0" collapsed="false">
      <c r="A2" s="3" t="s">
        <v>439</v>
      </c>
    </row>
    <row r="3" customFormat="false" ht="15" hidden="false" customHeight="false" outlineLevel="0" collapsed="false">
      <c r="A3" s="10" t="s">
        <v>36</v>
      </c>
    </row>
    <row r="5" customFormat="false" ht="54" hidden="false" customHeight="true" outlineLevel="0" collapsed="false">
      <c r="A5" s="11" t="s">
        <v>440</v>
      </c>
      <c r="B5" s="11" t="s">
        <v>441</v>
      </c>
      <c r="C5" s="11" t="s">
        <v>442</v>
      </c>
      <c r="D5" s="11" t="s">
        <v>38</v>
      </c>
      <c r="E5" s="11" t="s">
        <v>443</v>
      </c>
      <c r="F5" s="11" t="s">
        <v>444</v>
      </c>
      <c r="G5" s="11" t="s">
        <v>445</v>
      </c>
      <c r="H5" s="11" t="s">
        <v>446</v>
      </c>
      <c r="I5" s="11" t="s">
        <v>447</v>
      </c>
      <c r="J5" s="11" t="s">
        <v>448</v>
      </c>
      <c r="K5" s="11" t="s">
        <v>449</v>
      </c>
      <c r="L5" s="11" t="s">
        <v>450</v>
      </c>
      <c r="M5" s="11" t="s">
        <v>451</v>
      </c>
      <c r="N5" s="11" t="s">
        <v>452</v>
      </c>
      <c r="O5" s="11" t="s">
        <v>453</v>
      </c>
      <c r="P5" s="11" t="s">
        <v>454</v>
      </c>
      <c r="Q5" s="11" t="s">
        <v>455</v>
      </c>
      <c r="R5" s="11" t="s">
        <v>41</v>
      </c>
      <c r="S5" s="11" t="s">
        <v>456</v>
      </c>
      <c r="T5" s="11" t="s">
        <v>134</v>
      </c>
      <c r="V5" s="11" t="s">
        <v>457</v>
      </c>
      <c r="W5" s="11" t="s">
        <v>458</v>
      </c>
      <c r="X5" s="11" t="s">
        <v>459</v>
      </c>
      <c r="Y5" s="11" t="s">
        <v>460</v>
      </c>
    </row>
    <row r="6" customFormat="false" ht="22.35" hidden="false" customHeight="false" outlineLevel="0" collapsed="false">
      <c r="A6" s="18" t="s">
        <v>461</v>
      </c>
      <c r="B6" s="18" t="s">
        <v>462</v>
      </c>
      <c r="C6" s="18" t="s">
        <v>142</v>
      </c>
      <c r="D6" s="19" t="str">
        <f aca="false">IF(C6="","",IFERROR(INDEX(GES!$E$6:$E$25,MATCH(C6,GES!$A$6:$A$25,0)),"GES?"))</f>
        <v>SIL-Q</v>
      </c>
      <c r="E6" s="18" t="s">
        <v>463</v>
      </c>
      <c r="F6" s="18" t="n">
        <v>1.2</v>
      </c>
      <c r="G6" s="18" t="n">
        <v>8</v>
      </c>
      <c r="H6" s="18" t="s">
        <v>464</v>
      </c>
      <c r="I6" s="18" t="n">
        <v>4</v>
      </c>
      <c r="J6" s="18" t="n">
        <v>10</v>
      </c>
      <c r="K6" s="18"/>
      <c r="L6" s="18"/>
      <c r="M6" s="18"/>
      <c r="N6" s="18"/>
      <c r="O6" s="18"/>
      <c r="P6" s="18"/>
      <c r="Q6" s="24" t="n">
        <f aca="false">IF(COUNT(F6,I6,L6,O6)=0,"",N(F6)*N(G6)+N(I6)*N(J6)+N(L6)*N(M6)+N(O6)*N(P6))</f>
        <v>49.6</v>
      </c>
      <c r="R6" s="19" t="str">
        <f aca="false">IF(Q6="","",IF(D6="ASB","f/cm³·año","mg/m³·año"))</f>
        <v>mg/m³·año</v>
      </c>
      <c r="S6" s="19" t="str">
        <f aca="false">IF(OR(Q6="",LEFT(D6,3)&lt;&gt;"SIL"),"",TEXT(INDEX($W$6:$W$19,MATCH(Q6,$V$6:$V$19,1)),"0.0%")&amp;" / "&amp;TEXT(INDEX($X$6:$X$19,MATCH(Q6,$V$6:$V$19,1)),"0.0%")&amp;" / "&amp;TEXT(INDEX($Y$6:$Y$19,MATCH(Q6,$V$6:$V$19,1)),"0.0%"))</f>
        <v>0.1% / 1.1% / 0.5%</v>
      </c>
      <c r="T6" s="27" t="str">
        <f aca="false">IF(Q6="","",IF(D6="ASB",IF(Q6&gt;=25,"En o sobre el rango umbral reportado para asbestosis (25–100 f/ml·año)","Bajo el umbral reportado (25 f/ml·año)"),IF(LEFT(D6,3)="SIL","Referencial: el riesgo depende además de la toxicidad específica del cuarzo (R = f(c, t, S))","Registrar para seguimiento epidemiológico")))</f>
        <v>Referencial: el riesgo depende además de la toxicidad específica del cuarzo (R = f(c, t, S))</v>
      </c>
      <c r="V6" s="29" t="n">
        <v>0</v>
      </c>
      <c r="W6" s="30" t="n">
        <v>0</v>
      </c>
      <c r="X6" s="30" t="n">
        <v>0</v>
      </c>
      <c r="Y6" s="30" t="n">
        <v>0</v>
      </c>
    </row>
    <row r="7" customFormat="false" ht="22.35" hidden="false" customHeight="false" outlineLevel="0" collapsed="false">
      <c r="A7" s="18" t="s">
        <v>465</v>
      </c>
      <c r="B7" s="18" t="s">
        <v>466</v>
      </c>
      <c r="C7" s="18" t="s">
        <v>148</v>
      </c>
      <c r="D7" s="19" t="str">
        <f aca="false">IF(C7="","",IFERROR(INDEX(GES!$E$6:$E$25,MATCH(C7,GES!$A$6:$A$25,0)),"GES?"))</f>
        <v>SIL-Q</v>
      </c>
      <c r="E7" s="18" t="s">
        <v>467</v>
      </c>
      <c r="F7" s="18" t="n">
        <v>0.6</v>
      </c>
      <c r="G7" s="18" t="n">
        <v>15</v>
      </c>
      <c r="H7" s="18"/>
      <c r="I7" s="18"/>
      <c r="J7" s="18"/>
      <c r="K7" s="18"/>
      <c r="L7" s="18"/>
      <c r="M7" s="18"/>
      <c r="N7" s="18"/>
      <c r="O7" s="18"/>
      <c r="P7" s="18"/>
      <c r="Q7" s="24" t="n">
        <f aca="false">IF(COUNT(F7,I7,L7,O7)=0,"",N(F7)*N(G7)+N(I7)*N(J7)+N(L7)*N(M7)+N(O7)*N(P7))</f>
        <v>9</v>
      </c>
      <c r="R7" s="19" t="str">
        <f aca="false">IF(Q7="","",IF(D7="ASB","f/cm³·año","mg/m³·año"))</f>
        <v>mg/m³·año</v>
      </c>
      <c r="S7" s="19" t="str">
        <f aca="false">IF(OR(Q7="",LEFT(D7,3)&lt;&gt;"SIL"),"",TEXT(INDEX($W$6:$W$19,MATCH(Q7,$V$6:$V$19,1)),"0.0%")&amp;" / "&amp;TEXT(INDEX($X$6:$X$19,MATCH(Q7,$V$6:$V$19,1)),"0.0%")&amp;" / "&amp;TEXT(INDEX($Y$6:$Y$19,MATCH(Q7,$V$6:$V$19,1)),"0.0%"))</f>
        <v>0.0% / 0.0% / 0.0%</v>
      </c>
      <c r="T7" s="27" t="str">
        <f aca="false">IF(Q7="","",IF(D7="ASB",IF(Q7&gt;=25,"En o sobre el rango umbral reportado para asbestosis (25–100 f/ml·año)","Bajo el umbral reportado (25 f/ml·año)"),IF(LEFT(D7,3)="SIL","Referencial: el riesgo depende además de la toxicidad específica del cuarzo (R = f(c, t, S))","Registrar para seguimiento epidemiológico")))</f>
        <v>Referencial: el riesgo depende además de la toxicidad específica del cuarzo (R = f(c, t, S))</v>
      </c>
      <c r="V7" s="29" t="n">
        <v>25</v>
      </c>
      <c r="W7" s="30" t="n">
        <v>0.001</v>
      </c>
      <c r="X7" s="30" t="n">
        <v>0.011</v>
      </c>
      <c r="Y7" s="30" t="n">
        <v>0.005</v>
      </c>
    </row>
    <row r="8" customFormat="false" ht="15" hidden="false" customHeight="false" outlineLevel="0" collapsed="false">
      <c r="A8" s="18" t="s">
        <v>468</v>
      </c>
      <c r="B8" s="18" t="s">
        <v>469</v>
      </c>
      <c r="C8" s="18" t="s">
        <v>159</v>
      </c>
      <c r="D8" s="19" t="str">
        <f aca="false">IF(C8="","",IFERROR(INDEX(GES!$E$6:$E$25,MATCH(C8,GES!$A$6:$A$25,0)),"GES?"))</f>
        <v>CAR-B</v>
      </c>
      <c r="E8" s="18" t="s">
        <v>470</v>
      </c>
      <c r="F8" s="18" t="n">
        <v>1</v>
      </c>
      <c r="G8" s="18" t="n">
        <v>12</v>
      </c>
      <c r="H8" s="18" t="s">
        <v>471</v>
      </c>
      <c r="I8" s="18" t="n">
        <v>0.6</v>
      </c>
      <c r="J8" s="18" t="n">
        <v>5</v>
      </c>
      <c r="K8" s="18"/>
      <c r="L8" s="18"/>
      <c r="M8" s="18"/>
      <c r="N8" s="18"/>
      <c r="O8" s="18"/>
      <c r="P8" s="18"/>
      <c r="Q8" s="24" t="n">
        <f aca="false">IF(COUNT(F8,I8,L8,O8)=0,"",N(F8)*N(G8)+N(I8)*N(J8)+N(L8)*N(M8)+N(O8)*N(P8))</f>
        <v>15</v>
      </c>
      <c r="R8" s="19" t="str">
        <f aca="false">IF(Q8="","",IF(D8="ASB","f/cm³·año","mg/m³·año"))</f>
        <v>mg/m³·año</v>
      </c>
      <c r="S8" s="19" t="str">
        <f aca="false">IF(OR(Q8="",LEFT(D8,3)&lt;&gt;"SIL"),"",TEXT(INDEX($W$6:$W$19,MATCH(Q8,$V$6:$V$19,1)),"0.0%")&amp;" / "&amp;TEXT(INDEX($X$6:$X$19,MATCH(Q8,$V$6:$V$19,1)),"0.0%")&amp;" / "&amp;TEXT(INDEX($Y$6:$Y$19,MATCH(Q8,$V$6:$V$19,1)),"0.0%"))</f>
        <v/>
      </c>
      <c r="T8" s="27" t="str">
        <f aca="false">IF(Q8="","",IF(D8="ASB",IF(Q8&gt;=25,"En o sobre el rango umbral reportado para asbestosis (25–100 f/ml·año)","Bajo el umbral reportado (25 f/ml·año)"),IF(LEFT(D8,3)="SIL","Referencial: el riesgo depende además de la toxicidad específica del cuarzo (R = f(c, t, S))","Registrar para seguimiento epidemiológico")))</f>
        <v>Registrar para seguimiento epidemiológico</v>
      </c>
      <c r="V8" s="29" t="n">
        <v>50</v>
      </c>
      <c r="W8" s="30" t="n">
        <v>0.005</v>
      </c>
      <c r="X8" s="30" t="n">
        <v>0.055</v>
      </c>
      <c r="Y8" s="30" t="n">
        <v>0.029</v>
      </c>
    </row>
    <row r="9" customFormat="false" ht="15" hidden="false" customHeight="false" outlineLevel="0" collapsed="false">
      <c r="A9" s="18" t="s">
        <v>472</v>
      </c>
      <c r="B9" s="18" t="s">
        <v>473</v>
      </c>
      <c r="C9" s="18" t="s">
        <v>170</v>
      </c>
      <c r="D9" s="19" t="str">
        <f aca="false">IF(C9="","",IFERROR(INDEX(GES!$E$6:$E$25,MATCH(C9,GES!$A$6:$A$25,0)),"GES?"))</f>
        <v>ASB</v>
      </c>
      <c r="E9" s="18" t="s">
        <v>474</v>
      </c>
      <c r="F9" s="18" t="n">
        <v>0.05</v>
      </c>
      <c r="G9" s="18" t="n">
        <v>4</v>
      </c>
      <c r="H9" s="18" t="s">
        <v>475</v>
      </c>
      <c r="I9" s="18" t="n">
        <v>0.5</v>
      </c>
      <c r="J9" s="18" t="n">
        <v>10</v>
      </c>
      <c r="K9" s="18"/>
      <c r="L9" s="18"/>
      <c r="M9" s="18"/>
      <c r="N9" s="18"/>
      <c r="O9" s="18"/>
      <c r="P9" s="18"/>
      <c r="Q9" s="24" t="n">
        <f aca="false">IF(COUNT(F9,I9,L9,O9)=0,"",N(F9)*N(G9)+N(I9)*N(J9)+N(L9)*N(M9)+N(O9)*N(P9))</f>
        <v>5.2</v>
      </c>
      <c r="R9" s="19" t="str">
        <f aca="false">IF(Q9="","",IF(D9="ASB","f/cm³·año","mg/m³·año"))</f>
        <v>f/cm³·año</v>
      </c>
      <c r="S9" s="19" t="str">
        <f aca="false">IF(OR(Q9="",LEFT(D9,3)&lt;&gt;"SIL"),"",TEXT(INDEX($W$6:$W$19,MATCH(Q9,$V$6:$V$19,1)),"0.0%")&amp;" / "&amp;TEXT(INDEX($X$6:$X$19,MATCH(Q9,$V$6:$V$19,1)),"0.0%")&amp;" / "&amp;TEXT(INDEX($Y$6:$Y$19,MATCH(Q9,$V$6:$V$19,1)),"0.0%"))</f>
        <v/>
      </c>
      <c r="T9" s="27" t="str">
        <f aca="false">IF(Q9="","",IF(D9="ASB",IF(Q9&gt;=25,"En o sobre el rango umbral reportado para asbestosis (25–100 f/ml·año)","Bajo el umbral reportado (25 f/ml·año)"),IF(LEFT(D9,3)="SIL","Referencial: el riesgo depende además de la toxicidad específica del cuarzo (R = f(c, t, S))","Registrar para seguimiento epidemiológico")))</f>
        <v>Bajo el umbral reportado (25 f/ml·año)</v>
      </c>
      <c r="V9" s="29" t="n">
        <v>75</v>
      </c>
      <c r="W9" s="30" t="n">
        <v>0.016</v>
      </c>
      <c r="X9" s="30" t="n">
        <v>0.112</v>
      </c>
      <c r="Y9" s="30" t="n">
        <v>0.071</v>
      </c>
    </row>
    <row r="10" customFormat="false" ht="15" hidden="false" customHeight="false" outlineLevel="0" collapsed="false">
      <c r="A10" s="18"/>
      <c r="B10" s="18"/>
      <c r="C10" s="18"/>
      <c r="D10" s="19" t="str">
        <f aca="false">IF(C10="","",IFERROR(INDEX(GES!$E$6:$E$25,MATCH(C10,GES!$A$6:$A$25,0)),"GES?"))</f>
        <v/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24" t="str">
        <f aca="false">IF(COUNT(F10,I10,L10,O10)=0,"",N(F10)*N(G10)+N(I10)*N(J10)+N(L10)*N(M10)+N(O10)*N(P10))</f>
        <v/>
      </c>
      <c r="R10" s="19" t="str">
        <f aca="false">IF(Q10="","",IF(D10="ASB","f/cm³·año","mg/m³·año"))</f>
        <v/>
      </c>
      <c r="S10" s="19" t="str">
        <f aca="false">IF(OR(Q10="",LEFT(D10,3)&lt;&gt;"SIL"),"",TEXT(INDEX($W$6:$W$19,MATCH(Q10,$V$6:$V$19,1)),"0.0%")&amp;" / "&amp;TEXT(INDEX($X$6:$X$19,MATCH(Q10,$V$6:$V$19,1)),"0.0%")&amp;" / "&amp;TEXT(INDEX($Y$6:$Y$19,MATCH(Q10,$V$6:$V$19,1)),"0.0%"))</f>
        <v/>
      </c>
      <c r="T10" s="27" t="str">
        <f aca="false">IF(Q10="","",IF(D10="ASB",IF(Q10&gt;=25,"En o sobre el rango umbral reportado para asbestosis (25–100 f/ml·año)","Bajo el umbral reportado (25 f/ml·año)"),IF(LEFT(D10,3)="SIL","Referencial: el riesgo depende además de la toxicidad específica del cuarzo (R = f(c, t, S))","Registrar para seguimiento epidemiológico")))</f>
        <v/>
      </c>
      <c r="V10" s="29" t="n">
        <v>100</v>
      </c>
      <c r="W10" s="30" t="n">
        <v>0.029</v>
      </c>
      <c r="X10" s="30" t="n">
        <v>0.189</v>
      </c>
      <c r="Y10" s="30" t="n">
        <v>0.14</v>
      </c>
    </row>
    <row r="11" customFormat="false" ht="15" hidden="false" customHeight="false" outlineLevel="0" collapsed="false">
      <c r="A11" s="18"/>
      <c r="B11" s="18"/>
      <c r="C11" s="18"/>
      <c r="D11" s="19" t="str">
        <f aca="false">IF(C11="","",IFERROR(INDEX(GES!$E$6:$E$25,MATCH(C11,GES!$A$6:$A$25,0)),"GES?"))</f>
        <v/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24" t="str">
        <f aca="false">IF(COUNT(F11,I11,L11,O11)=0,"",N(F11)*N(G11)+N(I11)*N(J11)+N(L11)*N(M11)+N(O11)*N(P11))</f>
        <v/>
      </c>
      <c r="R11" s="19" t="str">
        <f aca="false">IF(Q11="","",IF(D11="ASB","f/cm³·año","mg/m³·año"))</f>
        <v/>
      </c>
      <c r="S11" s="19" t="str">
        <f aca="false">IF(OR(Q11="",LEFT(D11,3)&lt;&gt;"SIL"),"",TEXT(INDEX($W$6:$W$19,MATCH(Q11,$V$6:$V$19,1)),"0.0%")&amp;" / "&amp;TEXT(INDEX($X$6:$X$19,MATCH(Q11,$V$6:$V$19,1)),"0.0%")&amp;" / "&amp;TEXT(INDEX($Y$6:$Y$19,MATCH(Q11,$V$6:$V$19,1)),"0.0%"))</f>
        <v/>
      </c>
      <c r="T11" s="27" t="str">
        <f aca="false">IF(Q11="","",IF(D11="ASB",IF(Q11&gt;=25,"En o sobre el rango umbral reportado para asbestosis (25–100 f/ml·año)","Bajo el umbral reportado (25 f/ml·año)"),IF(LEFT(D11,3)="SIL","Referencial: el riesgo depende además de la toxicidad específica del cuarzo (R = f(c, t, S))","Registrar para seguimiento epidemiológico")))</f>
        <v/>
      </c>
      <c r="V11" s="29" t="n">
        <v>150</v>
      </c>
      <c r="W11" s="30" t="n">
        <v>0.072</v>
      </c>
      <c r="X11" s="30" t="n">
        <v>0.503</v>
      </c>
      <c r="Y11" s="30" t="n">
        <v>0.332</v>
      </c>
    </row>
    <row r="12" customFormat="false" ht="15" hidden="false" customHeight="false" outlineLevel="0" collapsed="false">
      <c r="A12" s="18"/>
      <c r="B12" s="18"/>
      <c r="C12" s="18"/>
      <c r="D12" s="19" t="str">
        <f aca="false">IF(C12="","",IFERROR(INDEX(GES!$E$6:$E$25,MATCH(C12,GES!$A$6:$A$25,0)),"GES?"))</f>
        <v/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4" t="str">
        <f aca="false">IF(COUNT(F12,I12,L12,O12)=0,"",N(F12)*N(G12)+N(I12)*N(J12)+N(L12)*N(M12)+N(O12)*N(P12))</f>
        <v/>
      </c>
      <c r="R12" s="19" t="str">
        <f aca="false">IF(Q12="","",IF(D12="ASB","f/cm³·año","mg/m³·año"))</f>
        <v/>
      </c>
      <c r="S12" s="19" t="str">
        <f aca="false">IF(OR(Q12="",LEFT(D12,3)&lt;&gt;"SIL"),"",TEXT(INDEX($W$6:$W$19,MATCH(Q12,$V$6:$V$19,1)),"0.0%")&amp;" / "&amp;TEXT(INDEX($X$6:$X$19,MATCH(Q12,$V$6:$V$19,1)),"0.0%")&amp;" / "&amp;TEXT(INDEX($Y$6:$Y$19,MATCH(Q12,$V$6:$V$19,1)),"0.0%"))</f>
        <v/>
      </c>
      <c r="T12" s="27" t="str">
        <f aca="false">IF(Q12="","",IF(D12="ASB",IF(Q12&gt;=25,"En o sobre el rango umbral reportado para asbestosis (25–100 f/ml·año)","Bajo el umbral reportado (25 f/ml·año)"),IF(LEFT(D12,3)="SIL","Referencial: el riesgo depende además de la toxicidad específica del cuarzo (R = f(c, t, S))","Registrar para seguimiento epidemiológico")))</f>
        <v/>
      </c>
      <c r="V12" s="29" t="n">
        <v>200</v>
      </c>
      <c r="W12" s="30" t="n">
        <v>0.127</v>
      </c>
      <c r="X12" s="30" t="n">
        <v>0.743</v>
      </c>
      <c r="Y12" s="30" t="n">
        <v>0.62</v>
      </c>
    </row>
    <row r="13" customFormat="false" ht="15" hidden="false" customHeight="false" outlineLevel="0" collapsed="false">
      <c r="A13" s="18"/>
      <c r="B13" s="18"/>
      <c r="C13" s="18"/>
      <c r="D13" s="19" t="str">
        <f aca="false">IF(C13="","",IFERROR(INDEX(GES!$E$6:$E$25,MATCH(C13,GES!$A$6:$A$25,0)),"GES?"))</f>
        <v/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4" t="str">
        <f aca="false">IF(COUNT(F13,I13,L13,O13)=0,"",N(F13)*N(G13)+N(I13)*N(J13)+N(L13)*N(M13)+N(O13)*N(P13))</f>
        <v/>
      </c>
      <c r="R13" s="19" t="str">
        <f aca="false">IF(Q13="","",IF(D13="ASB","f/cm³·año","mg/m³·año"))</f>
        <v/>
      </c>
      <c r="S13" s="19" t="str">
        <f aca="false">IF(OR(Q13="",LEFT(D13,3)&lt;&gt;"SIL"),"",TEXT(INDEX($W$6:$W$19,MATCH(Q13,$V$6:$V$19,1)),"0.0%")&amp;" / "&amp;TEXT(INDEX($X$6:$X$19,MATCH(Q13,$V$6:$V$19,1)),"0.0%")&amp;" / "&amp;TEXT(INDEX($Y$6:$Y$19,MATCH(Q13,$V$6:$V$19,1)),"0.0%"))</f>
        <v/>
      </c>
      <c r="T13" s="27" t="str">
        <f aca="false">IF(Q13="","",IF(D13="ASB",IF(Q13&gt;=25,"En o sobre el rango umbral reportado para asbestosis (25–100 f/ml·año)","Bajo el umbral reportado (25 f/ml·año)"),IF(LEFT(D13,3)="SIL","Referencial: el riesgo depende además de la toxicidad específica del cuarzo (R = f(c, t, S))","Registrar para seguimiento epidemiológico")))</f>
        <v/>
      </c>
      <c r="V13" s="29" t="n">
        <v>250</v>
      </c>
      <c r="W13" s="30" t="n">
        <v>0.172</v>
      </c>
      <c r="X13" s="30" t="n">
        <v>0.825</v>
      </c>
      <c r="Y13" s="30" t="n">
        <v>0.848</v>
      </c>
    </row>
    <row r="14" customFormat="false" ht="15" hidden="false" customHeight="false" outlineLevel="0" collapsed="false">
      <c r="A14" s="18"/>
      <c r="B14" s="18"/>
      <c r="C14" s="18"/>
      <c r="D14" s="19" t="str">
        <f aca="false">IF(C14="","",IFERROR(INDEX(GES!$E$6:$E$25,MATCH(C14,GES!$A$6:$A$25,0)),"GES?"))</f>
        <v/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24" t="str">
        <f aca="false">IF(COUNT(F14,I14,L14,O14)=0,"",N(F14)*N(G14)+N(I14)*N(J14)+N(L14)*N(M14)+N(O14)*N(P14))</f>
        <v/>
      </c>
      <c r="R14" s="19" t="str">
        <f aca="false">IF(Q14="","",IF(D14="ASB","f/cm³·año","mg/m³·año"))</f>
        <v/>
      </c>
      <c r="S14" s="19" t="str">
        <f aca="false">IF(OR(Q14="",LEFT(D14,3)&lt;&gt;"SIL"),"",TEXT(INDEX($W$6:$W$19,MATCH(Q14,$V$6:$V$19,1)),"0.0%")&amp;" / "&amp;TEXT(INDEX($X$6:$X$19,MATCH(Q14,$V$6:$V$19,1)),"0.0%")&amp;" / "&amp;TEXT(INDEX($Y$6:$Y$19,MATCH(Q14,$V$6:$V$19,1)),"0.0%"))</f>
        <v/>
      </c>
      <c r="T14" s="27" t="str">
        <f aca="false">IF(Q14="","",IF(D14="ASB",IF(Q14&gt;=25,"En o sobre el rango umbral reportado para asbestosis (25–100 f/ml·año)","Bajo el umbral reportado (25 f/ml·año)"),IF(LEFT(D14,3)="SIL","Referencial: el riesgo depende además de la toxicidad específica del cuarzo (R = f(c, t, S))","Registrar para seguimiento epidemiológico")))</f>
        <v/>
      </c>
      <c r="V14" s="29" t="n">
        <v>300</v>
      </c>
      <c r="W14" s="30" t="n">
        <v>0.225</v>
      </c>
      <c r="X14" s="30" t="n">
        <v>0.901</v>
      </c>
      <c r="Y14" s="30" t="n">
        <v>0.964</v>
      </c>
    </row>
    <row r="15" customFormat="false" ht="15" hidden="false" customHeight="false" outlineLevel="0" collapsed="false">
      <c r="A15" s="18"/>
      <c r="B15" s="18"/>
      <c r="C15" s="18"/>
      <c r="D15" s="19" t="str">
        <f aca="false">IF(C15="","",IFERROR(INDEX(GES!$E$6:$E$25,MATCH(C15,GES!$A$6:$A$25,0)),"GES?"))</f>
        <v/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24" t="str">
        <f aca="false">IF(COUNT(F15,I15,L15,O15)=0,"",N(F15)*N(G15)+N(I15)*N(J15)+N(L15)*N(M15)+N(O15)*N(P15))</f>
        <v/>
      </c>
      <c r="R15" s="19" t="str">
        <f aca="false">IF(Q15="","",IF(D15="ASB","f/cm³·año","mg/m³·año"))</f>
        <v/>
      </c>
      <c r="S15" s="19" t="str">
        <f aca="false">IF(OR(Q15="",LEFT(D15,3)&lt;&gt;"SIL"),"",TEXT(INDEX($W$6:$W$19,MATCH(Q15,$V$6:$V$19,1)),"0.0%")&amp;" / "&amp;TEXT(INDEX($X$6:$X$19,MATCH(Q15,$V$6:$V$19,1)),"0.0%")&amp;" / "&amp;TEXT(INDEX($Y$6:$Y$19,MATCH(Q15,$V$6:$V$19,1)),"0.0%"))</f>
        <v/>
      </c>
      <c r="T15" s="27" t="str">
        <f aca="false">IF(Q15="","",IF(D15="ASB",IF(Q15&gt;=25,"En o sobre el rango umbral reportado para asbestosis (25–100 f/ml·año)","Bajo el umbral reportado (25 f/ml·año)"),IF(LEFT(D15,3)="SIL","Referencial: el riesgo depende además de la toxicidad específica del cuarzo (R = f(c, t, S))","Registrar para seguimiento epidemiológico")))</f>
        <v/>
      </c>
      <c r="V15" s="29" t="n">
        <v>350</v>
      </c>
      <c r="W15" s="30" t="n">
        <v>0.285</v>
      </c>
      <c r="X15" s="30" t="n">
        <v>0.945</v>
      </c>
      <c r="Y15" s="30" t="n">
        <v>0.964</v>
      </c>
    </row>
    <row r="16" customFormat="false" ht="15" hidden="false" customHeight="false" outlineLevel="0" collapsed="false">
      <c r="A16" s="18"/>
      <c r="B16" s="18"/>
      <c r="C16" s="18"/>
      <c r="D16" s="19" t="str">
        <f aca="false">IF(C16="","",IFERROR(INDEX(GES!$E$6:$E$25,MATCH(C16,GES!$A$6:$A$25,0)),"GES?"))</f>
        <v/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24" t="str">
        <f aca="false">IF(COUNT(F16,I16,L16,O16)=0,"",N(F16)*N(G16)+N(I16)*N(J16)+N(L16)*N(M16)+N(O16)*N(P16))</f>
        <v/>
      </c>
      <c r="R16" s="19" t="str">
        <f aca="false">IF(Q16="","",IF(D16="ASB","f/cm³·año","mg/m³·año"))</f>
        <v/>
      </c>
      <c r="S16" s="19" t="str">
        <f aca="false">IF(OR(Q16="",LEFT(D16,3)&lt;&gt;"SIL"),"",TEXT(INDEX($W$6:$W$19,MATCH(Q16,$V$6:$V$19,1)),"0.0%")&amp;" / "&amp;TEXT(INDEX($X$6:$X$19,MATCH(Q16,$V$6:$V$19,1)),"0.0%")&amp;" / "&amp;TEXT(INDEX($Y$6:$Y$19,MATCH(Q16,$V$6:$V$19,1)),"0.0%"))</f>
        <v/>
      </c>
      <c r="T16" s="27" t="str">
        <f aca="false">IF(Q16="","",IF(D16="ASB",IF(Q16&gt;=25,"En o sobre el rango umbral reportado para asbestosis (25–100 f/ml·año)","Bajo el umbral reportado (25 f/ml·año)"),IF(LEFT(D16,3)="SIL","Referencial: el riesgo depende además de la toxicidad específica del cuarzo (R = f(c, t, S))","Registrar para seguimiento epidemiológico")))</f>
        <v/>
      </c>
      <c r="V16" s="29" t="n">
        <v>400</v>
      </c>
      <c r="W16" s="30" t="n">
        <v>0.367</v>
      </c>
      <c r="X16" s="30" t="n">
        <v>0.969</v>
      </c>
      <c r="Y16" s="30" t="n">
        <v>0.964</v>
      </c>
    </row>
    <row r="17" customFormat="false" ht="15" hidden="false" customHeight="false" outlineLevel="0" collapsed="false">
      <c r="A17" s="18"/>
      <c r="B17" s="18"/>
      <c r="C17" s="18"/>
      <c r="D17" s="19" t="str">
        <f aca="false">IF(C17="","",IFERROR(INDEX(GES!$E$6:$E$25,MATCH(C17,GES!$A$6:$A$25,0)),"GES?"))</f>
        <v/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24" t="str">
        <f aca="false">IF(COUNT(F17,I17,L17,O17)=0,"",N(F17)*N(G17)+N(I17)*N(J17)+N(L17)*N(M17)+N(O17)*N(P17))</f>
        <v/>
      </c>
      <c r="R17" s="19" t="str">
        <f aca="false">IF(Q17="","",IF(D17="ASB","f/cm³·año","mg/m³·año"))</f>
        <v/>
      </c>
      <c r="S17" s="19" t="str">
        <f aca="false">IF(OR(Q17="",LEFT(D17,3)&lt;&gt;"SIL"),"",TEXT(INDEX($W$6:$W$19,MATCH(Q17,$V$6:$V$19,1)),"0.0%")&amp;" / "&amp;TEXT(INDEX($X$6:$X$19,MATCH(Q17,$V$6:$V$19,1)),"0.0%")&amp;" / "&amp;TEXT(INDEX($Y$6:$Y$19,MATCH(Q17,$V$6:$V$19,1)),"0.0%"))</f>
        <v/>
      </c>
      <c r="T17" s="27" t="str">
        <f aca="false">IF(Q17="","",IF(D17="ASB",IF(Q17&gt;=25,"En o sobre el rango umbral reportado para asbestosis (25–100 f/ml·año)","Bajo el umbral reportado (25 f/ml·año)"),IF(LEFT(D17,3)="SIL","Referencial: el riesgo depende además de la toxicidad específica del cuarzo (R = f(c, t, S))","Registrar para seguimiento epidemiológico")))</f>
        <v/>
      </c>
      <c r="V17" s="29" t="n">
        <v>450</v>
      </c>
      <c r="W17" s="30" t="n">
        <v>0.413</v>
      </c>
      <c r="X17" s="30" t="n">
        <v>0.969</v>
      </c>
      <c r="Y17" s="30" t="n">
        <v>0.964</v>
      </c>
    </row>
    <row r="18" customFormat="false" ht="15" hidden="false" customHeight="false" outlineLevel="0" collapsed="false">
      <c r="A18" s="18"/>
      <c r="B18" s="18"/>
      <c r="C18" s="18"/>
      <c r="D18" s="19" t="str">
        <f aca="false">IF(C18="","",IFERROR(INDEX(GES!$E$6:$E$25,MATCH(C18,GES!$A$6:$A$25,0)),"GES?"))</f>
        <v/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4" t="str">
        <f aca="false">IF(COUNT(F18,I18,L18,O18)=0,"",N(F18)*N(G18)+N(I18)*N(J18)+N(L18)*N(M18)+N(O18)*N(P18))</f>
        <v/>
      </c>
      <c r="R18" s="19" t="str">
        <f aca="false">IF(Q18="","",IF(D18="ASB","f/cm³·año","mg/m³·año"))</f>
        <v/>
      </c>
      <c r="S18" s="19" t="str">
        <f aca="false">IF(OR(Q18="",LEFT(D18,3)&lt;&gt;"SIL"),"",TEXT(INDEX($W$6:$W$19,MATCH(Q18,$V$6:$V$19,1)),"0.0%")&amp;" / "&amp;TEXT(INDEX($X$6:$X$19,MATCH(Q18,$V$6:$V$19,1)),"0.0%")&amp;" / "&amp;TEXT(INDEX($Y$6:$Y$19,MATCH(Q18,$V$6:$V$19,1)),"0.0%"))</f>
        <v/>
      </c>
      <c r="T18" s="27" t="str">
        <f aca="false">IF(Q18="","",IF(D18="ASB",IF(Q18&gt;=25,"En o sobre el rango umbral reportado para asbestosis (25–100 f/ml·año)","Bajo el umbral reportado (25 f/ml·año)"),IF(LEFT(D18,3)="SIL","Referencial: el riesgo depende además de la toxicidad específica del cuarzo (R = f(c, t, S))","Registrar para seguimiento epidemiológico")))</f>
        <v/>
      </c>
      <c r="V18" s="29" t="n">
        <v>500</v>
      </c>
      <c r="W18" s="30" t="n">
        <v>0.443</v>
      </c>
      <c r="X18" s="30" t="n">
        <v>0.969</v>
      </c>
      <c r="Y18" s="30" t="n">
        <v>0.964</v>
      </c>
    </row>
    <row r="19" customFormat="false" ht="15" hidden="false" customHeight="false" outlineLevel="0" collapsed="false">
      <c r="A19" s="18"/>
      <c r="B19" s="18"/>
      <c r="C19" s="18"/>
      <c r="D19" s="19" t="str">
        <f aca="false">IF(C19="","",IFERROR(INDEX(GES!$E$6:$E$25,MATCH(C19,GES!$A$6:$A$25,0)),"GES?"))</f>
        <v/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24" t="str">
        <f aca="false">IF(COUNT(F19,I19,L19,O19)=0,"",N(F19)*N(G19)+N(I19)*N(J19)+N(L19)*N(M19)+N(O19)*N(P19))</f>
        <v/>
      </c>
      <c r="R19" s="19" t="str">
        <f aca="false">IF(Q19="","",IF(D19="ASB","f/cm³·año","mg/m³·año"))</f>
        <v/>
      </c>
      <c r="S19" s="19" t="str">
        <f aca="false">IF(OR(Q19="",LEFT(D19,3)&lt;&gt;"SIL"),"",TEXT(INDEX($W$6:$W$19,MATCH(Q19,$V$6:$V$19,1)),"0.0%")&amp;" / "&amp;TEXT(INDEX($X$6:$X$19,MATCH(Q19,$V$6:$V$19,1)),"0.0%")&amp;" / "&amp;TEXT(INDEX($Y$6:$Y$19,MATCH(Q19,$V$6:$V$19,1)),"0.0%"))</f>
        <v/>
      </c>
      <c r="T19" s="27" t="str">
        <f aca="false">IF(Q19="","",IF(D19="ASB",IF(Q19&gt;=25,"En o sobre el rango umbral reportado para asbestosis (25–100 f/ml·año)","Bajo el umbral reportado (25 f/ml·año)"),IF(LEFT(D19,3)="SIL","Referencial: el riesgo depende además de la toxicidad específica del cuarzo (R = f(c, t, S))","Registrar para seguimiento epidemiológico")))</f>
        <v/>
      </c>
      <c r="V19" s="29" t="n">
        <v>600</v>
      </c>
      <c r="W19" s="30" t="n">
        <v>0.537</v>
      </c>
      <c r="X19" s="30" t="n">
        <v>0.969</v>
      </c>
      <c r="Y19" s="30" t="n">
        <v>0.964</v>
      </c>
    </row>
    <row r="20" customFormat="false" ht="15" hidden="false" customHeight="false" outlineLevel="0" collapsed="false">
      <c r="A20" s="18"/>
      <c r="B20" s="18"/>
      <c r="C20" s="18"/>
      <c r="D20" s="19" t="str">
        <f aca="false">IF(C20="","",IFERROR(INDEX(GES!$E$6:$E$25,MATCH(C20,GES!$A$6:$A$25,0)),"GES?"))</f>
        <v/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4" t="str">
        <f aca="false">IF(COUNT(F20,I20,L20,O20)=0,"",N(F20)*N(G20)+N(I20)*N(J20)+N(L20)*N(M20)+N(O20)*N(P20))</f>
        <v/>
      </c>
      <c r="R20" s="19" t="str">
        <f aca="false">IF(Q20="","",IF(D20="ASB","f/cm³·año","mg/m³·año"))</f>
        <v/>
      </c>
      <c r="S20" s="19" t="str">
        <f aca="false">IF(OR(Q20="",LEFT(D20,3)&lt;&gt;"SIL"),"",TEXT(INDEX($W$6:$W$19,MATCH(Q20,$V$6:$V$19,1)),"0.0%")&amp;" / "&amp;TEXT(INDEX($X$6:$X$19,MATCH(Q20,$V$6:$V$19,1)),"0.0%")&amp;" / "&amp;TEXT(INDEX($Y$6:$Y$19,MATCH(Q20,$V$6:$V$19,1)),"0.0%"))</f>
        <v/>
      </c>
      <c r="T20" s="27" t="str">
        <f aca="false">IF(Q20="","",IF(D20="ASB",IF(Q20&gt;=25,"En o sobre el rango umbral reportado para asbestosis (25–100 f/ml·año)","Bajo el umbral reportado (25 f/ml·año)"),IF(LEFT(D20,3)="SIL","Referencial: el riesgo depende además de la toxicidad específica del cuarzo (R = f(c, t, S))","Registrar para seguimiento epidemiológico")))</f>
        <v/>
      </c>
    </row>
    <row r="21" customFormat="false" ht="15" hidden="false" customHeight="false" outlineLevel="0" collapsed="false">
      <c r="A21" s="18"/>
      <c r="B21" s="18"/>
      <c r="C21" s="18"/>
      <c r="D21" s="19" t="str">
        <f aca="false">IF(C21="","",IFERROR(INDEX(GES!$E$6:$E$25,MATCH(C21,GES!$A$6:$A$25,0)),"GES?"))</f>
        <v/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4" t="str">
        <f aca="false">IF(COUNT(F21,I21,L21,O21)=0,"",N(F21)*N(G21)+N(I21)*N(J21)+N(L21)*N(M21)+N(O21)*N(P21))</f>
        <v/>
      </c>
      <c r="R21" s="19" t="str">
        <f aca="false">IF(Q21="","",IF(D21="ASB","f/cm³·año","mg/m³·año"))</f>
        <v/>
      </c>
      <c r="S21" s="19" t="str">
        <f aca="false">IF(OR(Q21="",LEFT(D21,3)&lt;&gt;"SIL"),"",TEXT(INDEX($W$6:$W$19,MATCH(Q21,$V$6:$V$19,1)),"0.0%")&amp;" / "&amp;TEXT(INDEX($X$6:$X$19,MATCH(Q21,$V$6:$V$19,1)),"0.0%")&amp;" / "&amp;TEXT(INDEX($Y$6:$Y$19,MATCH(Q21,$V$6:$V$19,1)),"0.0%"))</f>
        <v/>
      </c>
      <c r="T21" s="27" t="str">
        <f aca="false">IF(Q21="","",IF(D21="ASB",IF(Q21&gt;=25,"En o sobre el rango umbral reportado para asbestosis (25–100 f/ml·año)","Bajo el umbral reportado (25 f/ml·año)"),IF(LEFT(D21,3)="SIL","Referencial: el riesgo depende además de la toxicidad específica del cuarzo (R = f(c, t, S))","Registrar para seguimiento epidemiológico")))</f>
        <v/>
      </c>
      <c r="V21" s="31" t="s">
        <v>476</v>
      </c>
    </row>
    <row r="22" customFormat="false" ht="15" hidden="false" customHeight="false" outlineLevel="0" collapsed="false">
      <c r="A22" s="18"/>
      <c r="B22" s="18"/>
      <c r="C22" s="18"/>
      <c r="D22" s="19" t="str">
        <f aca="false">IF(C22="","",IFERROR(INDEX(GES!$E$6:$E$25,MATCH(C22,GES!$A$6:$A$25,0)),"GES?"))</f>
        <v/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4" t="str">
        <f aca="false">IF(COUNT(F22,I22,L22,O22)=0,"",N(F22)*N(G22)+N(I22)*N(J22)+N(L22)*N(M22)+N(O22)*N(P22))</f>
        <v/>
      </c>
      <c r="R22" s="19" t="str">
        <f aca="false">IF(Q22="","",IF(D22="ASB","f/cm³·año","mg/m³·año"))</f>
        <v/>
      </c>
      <c r="S22" s="19" t="str">
        <f aca="false">IF(OR(Q22="",LEFT(D22,3)&lt;&gt;"SIL"),"",TEXT(INDEX($W$6:$W$19,MATCH(Q22,$V$6:$V$19,1)),"0.0%")&amp;" / "&amp;TEXT(INDEX($X$6:$X$19,MATCH(Q22,$V$6:$V$19,1)),"0.0%")&amp;" / "&amp;TEXT(INDEX($Y$6:$Y$19,MATCH(Q22,$V$6:$V$19,1)),"0.0%"))</f>
        <v/>
      </c>
      <c r="T22" s="27" t="str">
        <f aca="false">IF(Q22="","",IF(D22="ASB",IF(Q22&gt;=25,"En o sobre el rango umbral reportado para asbestosis (25–100 f/ml·año)","Bajo el umbral reportado (25 f/ml·año)"),IF(LEFT(D22,3)="SIL","Referencial: el riesgo depende además de la toxicidad específica del cuarzo (R = f(c, t, S))","Registrar para seguimiento epidemiológico")))</f>
        <v/>
      </c>
    </row>
    <row r="23" customFormat="false" ht="15" hidden="false" customHeight="false" outlineLevel="0" collapsed="false">
      <c r="A23" s="18"/>
      <c r="B23" s="18"/>
      <c r="C23" s="18"/>
      <c r="D23" s="19" t="str">
        <f aca="false">IF(C23="","",IFERROR(INDEX(GES!$E$6:$E$25,MATCH(C23,GES!$A$6:$A$25,0)),"GES?"))</f>
        <v/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24" t="str">
        <f aca="false">IF(COUNT(F23,I23,L23,O23)=0,"",N(F23)*N(G23)+N(I23)*N(J23)+N(L23)*N(M23)+N(O23)*N(P23))</f>
        <v/>
      </c>
      <c r="R23" s="19" t="str">
        <f aca="false">IF(Q23="","",IF(D23="ASB","f/cm³·año","mg/m³·año"))</f>
        <v/>
      </c>
      <c r="S23" s="19" t="str">
        <f aca="false">IF(OR(Q23="",LEFT(D23,3)&lt;&gt;"SIL"),"",TEXT(INDEX($W$6:$W$19,MATCH(Q23,$V$6:$V$19,1)),"0.0%")&amp;" / "&amp;TEXT(INDEX($X$6:$X$19,MATCH(Q23,$V$6:$V$19,1)),"0.0%")&amp;" / "&amp;TEXT(INDEX($Y$6:$Y$19,MATCH(Q23,$V$6:$V$19,1)),"0.0%"))</f>
        <v/>
      </c>
      <c r="T23" s="27" t="str">
        <f aca="false">IF(Q23="","",IF(D23="ASB",IF(Q23&gt;=25,"En o sobre el rango umbral reportado para asbestosis (25–100 f/ml·año)","Bajo el umbral reportado (25 f/ml·año)"),IF(LEFT(D23,3)="SIL","Referencial: el riesgo depende además de la toxicidad específica del cuarzo (R = f(c, t, S))","Registrar para seguimiento epidemiológico")))</f>
        <v/>
      </c>
    </row>
    <row r="24" customFormat="false" ht="15" hidden="false" customHeight="false" outlineLevel="0" collapsed="false">
      <c r="A24" s="18"/>
      <c r="B24" s="18"/>
      <c r="C24" s="18"/>
      <c r="D24" s="19" t="str">
        <f aca="false">IF(C24="","",IFERROR(INDEX(GES!$E$6:$E$25,MATCH(C24,GES!$A$6:$A$25,0)),"GES?"))</f>
        <v/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24" t="str">
        <f aca="false">IF(COUNT(F24,I24,L24,O24)=0,"",N(F24)*N(G24)+N(I24)*N(J24)+N(L24)*N(M24)+N(O24)*N(P24))</f>
        <v/>
      </c>
      <c r="R24" s="19" t="str">
        <f aca="false">IF(Q24="","",IF(D24="ASB","f/cm³·año","mg/m³·año"))</f>
        <v/>
      </c>
      <c r="S24" s="19" t="str">
        <f aca="false">IF(OR(Q24="",LEFT(D24,3)&lt;&gt;"SIL"),"",TEXT(INDEX($W$6:$W$19,MATCH(Q24,$V$6:$V$19,1)),"0.0%")&amp;" / "&amp;TEXT(INDEX($X$6:$X$19,MATCH(Q24,$V$6:$V$19,1)),"0.0%")&amp;" / "&amp;TEXT(INDEX($Y$6:$Y$19,MATCH(Q24,$V$6:$V$19,1)),"0.0%"))</f>
        <v/>
      </c>
      <c r="T24" s="27" t="str">
        <f aca="false">IF(Q24="","",IF(D24="ASB",IF(Q24&gt;=25,"En o sobre el rango umbral reportado para asbestosis (25–100 f/ml·año)","Bajo el umbral reportado (25 f/ml·año)"),IF(LEFT(D24,3)="SIL","Referencial: el riesgo depende además de la toxicidad específica del cuarzo (R = f(c, t, S))","Registrar para seguimiento epidemiológico")))</f>
        <v/>
      </c>
    </row>
    <row r="25" customFormat="false" ht="15" hidden="false" customHeight="false" outlineLevel="0" collapsed="false">
      <c r="A25" s="18"/>
      <c r="B25" s="18"/>
      <c r="C25" s="18"/>
      <c r="D25" s="19" t="str">
        <f aca="false">IF(C25="","",IFERROR(INDEX(GES!$E$6:$E$25,MATCH(C25,GES!$A$6:$A$25,0)),"GES?"))</f>
        <v/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4" t="str">
        <f aca="false">IF(COUNT(F25,I25,L25,O25)=0,"",N(F25)*N(G25)+N(I25)*N(J25)+N(L25)*N(M25)+N(O25)*N(P25))</f>
        <v/>
      </c>
      <c r="R25" s="19" t="str">
        <f aca="false">IF(Q25="","",IF(D25="ASB","f/cm³·año","mg/m³·año"))</f>
        <v/>
      </c>
      <c r="S25" s="19" t="str">
        <f aca="false">IF(OR(Q25="",LEFT(D25,3)&lt;&gt;"SIL"),"",TEXT(INDEX($W$6:$W$19,MATCH(Q25,$V$6:$V$19,1)),"0.0%")&amp;" / "&amp;TEXT(INDEX($X$6:$X$19,MATCH(Q25,$V$6:$V$19,1)),"0.0%")&amp;" / "&amp;TEXT(INDEX($Y$6:$Y$19,MATCH(Q25,$V$6:$V$19,1)),"0.0%"))</f>
        <v/>
      </c>
      <c r="T25" s="27" t="str">
        <f aca="false">IF(Q25="","",IF(D25="ASB",IF(Q25&gt;=25,"En o sobre el rango umbral reportado para asbestosis (25–100 f/ml·año)","Bajo el umbral reportado (25 f/ml·año)"),IF(LEFT(D25,3)="SIL","Referencial: el riesgo depende además de la toxicidad específica del cuarzo (R = f(c, t, S))","Registrar para seguimiento epidemiológico")))</f>
        <v/>
      </c>
    </row>
    <row r="26" customFormat="false" ht="15" hidden="false" customHeight="false" outlineLevel="0" collapsed="false">
      <c r="A26" s="18"/>
      <c r="B26" s="18"/>
      <c r="C26" s="18"/>
      <c r="D26" s="19" t="str">
        <f aca="false">IF(C26="","",IFERROR(INDEX(GES!$E$6:$E$25,MATCH(C26,GES!$A$6:$A$25,0)),"GES?"))</f>
        <v/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24" t="str">
        <f aca="false">IF(COUNT(F26,I26,L26,O26)=0,"",N(F26)*N(G26)+N(I26)*N(J26)+N(L26)*N(M26)+N(O26)*N(P26))</f>
        <v/>
      </c>
      <c r="R26" s="19" t="str">
        <f aca="false">IF(Q26="","",IF(D26="ASB","f/cm³·año","mg/m³·año"))</f>
        <v/>
      </c>
      <c r="S26" s="19" t="str">
        <f aca="false">IF(OR(Q26="",LEFT(D26,3)&lt;&gt;"SIL"),"",TEXT(INDEX($W$6:$W$19,MATCH(Q26,$V$6:$V$19,1)),"0.0%")&amp;" / "&amp;TEXT(INDEX($X$6:$X$19,MATCH(Q26,$V$6:$V$19,1)),"0.0%")&amp;" / "&amp;TEXT(INDEX($Y$6:$Y$19,MATCH(Q26,$V$6:$V$19,1)),"0.0%"))</f>
        <v/>
      </c>
      <c r="T26" s="27" t="str">
        <f aca="false">IF(Q26="","",IF(D26="ASB",IF(Q26&gt;=25,"En o sobre el rango umbral reportado para asbestosis (25–100 f/ml·año)","Bajo el umbral reportado (25 f/ml·año)"),IF(LEFT(D26,3)="SIL","Referencial: el riesgo depende además de la toxicidad específica del cuarzo (R = f(c, t, S))","Registrar para seguimiento epidemiológico")))</f>
        <v/>
      </c>
    </row>
    <row r="27" customFormat="false" ht="15" hidden="false" customHeight="false" outlineLevel="0" collapsed="false">
      <c r="A27" s="18"/>
      <c r="B27" s="18"/>
      <c r="C27" s="18"/>
      <c r="D27" s="19" t="str">
        <f aca="false">IF(C27="","",IFERROR(INDEX(GES!$E$6:$E$25,MATCH(C27,GES!$A$6:$A$25,0)),"GES?"))</f>
        <v/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24" t="str">
        <f aca="false">IF(COUNT(F27,I27,L27,O27)=0,"",N(F27)*N(G27)+N(I27)*N(J27)+N(L27)*N(M27)+N(O27)*N(P27))</f>
        <v/>
      </c>
      <c r="R27" s="19" t="str">
        <f aca="false">IF(Q27="","",IF(D27="ASB","f/cm³·año","mg/m³·año"))</f>
        <v/>
      </c>
      <c r="S27" s="19" t="str">
        <f aca="false">IF(OR(Q27="",LEFT(D27,3)&lt;&gt;"SIL"),"",TEXT(INDEX($W$6:$W$19,MATCH(Q27,$V$6:$V$19,1)),"0.0%")&amp;" / "&amp;TEXT(INDEX($X$6:$X$19,MATCH(Q27,$V$6:$V$19,1)),"0.0%")&amp;" / "&amp;TEXT(INDEX($Y$6:$Y$19,MATCH(Q27,$V$6:$V$19,1)),"0.0%"))</f>
        <v/>
      </c>
      <c r="T27" s="27" t="str">
        <f aca="false">IF(Q27="","",IF(D27="ASB",IF(Q27&gt;=25,"En o sobre el rango umbral reportado para asbestosis (25–100 f/ml·año)","Bajo el umbral reportado (25 f/ml·año)"),IF(LEFT(D27,3)="SIL","Referencial: el riesgo depende además de la toxicidad específica del cuarzo (R = f(c, t, S))","Registrar para seguimiento epidemiológico")))</f>
        <v/>
      </c>
    </row>
    <row r="28" customFormat="false" ht="15" hidden="false" customHeight="false" outlineLevel="0" collapsed="false">
      <c r="A28" s="18"/>
      <c r="B28" s="18"/>
      <c r="C28" s="18"/>
      <c r="D28" s="19" t="str">
        <f aca="false">IF(C28="","",IFERROR(INDEX(GES!$E$6:$E$25,MATCH(C28,GES!$A$6:$A$25,0)),"GES?"))</f>
        <v/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4" t="str">
        <f aca="false">IF(COUNT(F28,I28,L28,O28)=0,"",N(F28)*N(G28)+N(I28)*N(J28)+N(L28)*N(M28)+N(O28)*N(P28))</f>
        <v/>
      </c>
      <c r="R28" s="19" t="str">
        <f aca="false">IF(Q28="","",IF(D28="ASB","f/cm³·año","mg/m³·año"))</f>
        <v/>
      </c>
      <c r="S28" s="19" t="str">
        <f aca="false">IF(OR(Q28="",LEFT(D28,3)&lt;&gt;"SIL"),"",TEXT(INDEX($W$6:$W$19,MATCH(Q28,$V$6:$V$19,1)),"0.0%")&amp;" / "&amp;TEXT(INDEX($X$6:$X$19,MATCH(Q28,$V$6:$V$19,1)),"0.0%")&amp;" / "&amp;TEXT(INDEX($Y$6:$Y$19,MATCH(Q28,$V$6:$V$19,1)),"0.0%"))</f>
        <v/>
      </c>
      <c r="T28" s="27" t="str">
        <f aca="false">IF(Q28="","",IF(D28="ASB",IF(Q28&gt;=25,"En o sobre el rango umbral reportado para asbestosis (25–100 f/ml·año)","Bajo el umbral reportado (25 f/ml·año)"),IF(LEFT(D28,3)="SIL","Referencial: el riesgo depende además de la toxicidad específica del cuarzo (R = f(c, t, S))","Registrar para seguimiento epidemiológico")))</f>
        <v/>
      </c>
    </row>
    <row r="29" customFormat="false" ht="15" hidden="false" customHeight="false" outlineLevel="0" collapsed="false">
      <c r="A29" s="18"/>
      <c r="B29" s="18"/>
      <c r="C29" s="18"/>
      <c r="D29" s="19" t="str">
        <f aca="false">IF(C29="","",IFERROR(INDEX(GES!$E$6:$E$25,MATCH(C29,GES!$A$6:$A$25,0)),"GES?"))</f>
        <v/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4" t="str">
        <f aca="false">IF(COUNT(F29,I29,L29,O29)=0,"",N(F29)*N(G29)+N(I29)*N(J29)+N(L29)*N(M29)+N(O29)*N(P29))</f>
        <v/>
      </c>
      <c r="R29" s="19" t="str">
        <f aca="false">IF(Q29="","",IF(D29="ASB","f/cm³·año","mg/m³·año"))</f>
        <v/>
      </c>
      <c r="S29" s="19" t="str">
        <f aca="false">IF(OR(Q29="",LEFT(D29,3)&lt;&gt;"SIL"),"",TEXT(INDEX($W$6:$W$19,MATCH(Q29,$V$6:$V$19,1)),"0.0%")&amp;" / "&amp;TEXT(INDEX($X$6:$X$19,MATCH(Q29,$V$6:$V$19,1)),"0.0%")&amp;" / "&amp;TEXT(INDEX($Y$6:$Y$19,MATCH(Q29,$V$6:$V$19,1)),"0.0%"))</f>
        <v/>
      </c>
      <c r="T29" s="27" t="str">
        <f aca="false">IF(Q29="","",IF(D29="ASB",IF(Q29&gt;=25,"En o sobre el rango umbral reportado para asbestosis (25–100 f/ml·año)","Bajo el umbral reportado (25 f/ml·año)"),IF(LEFT(D29,3)="SIL","Referencial: el riesgo depende además de la toxicidad específica del cuarzo (R = f(c, t, S))","Registrar para seguimiento epidemiológico")))</f>
        <v/>
      </c>
    </row>
    <row r="30" customFormat="false" ht="15" hidden="false" customHeight="false" outlineLevel="0" collapsed="false">
      <c r="A30" s="18"/>
      <c r="B30" s="18"/>
      <c r="C30" s="18"/>
      <c r="D30" s="19" t="str">
        <f aca="false">IF(C30="","",IFERROR(INDEX(GES!$E$6:$E$25,MATCH(C30,GES!$A$6:$A$25,0)),"GES?"))</f>
        <v/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24" t="str">
        <f aca="false">IF(COUNT(F30,I30,L30,O30)=0,"",N(F30)*N(G30)+N(I30)*N(J30)+N(L30)*N(M30)+N(O30)*N(P30))</f>
        <v/>
      </c>
      <c r="R30" s="19" t="str">
        <f aca="false">IF(Q30="","",IF(D30="ASB","f/cm³·año","mg/m³·año"))</f>
        <v/>
      </c>
      <c r="S30" s="19" t="str">
        <f aca="false">IF(OR(Q30="",LEFT(D30,3)&lt;&gt;"SIL"),"",TEXT(INDEX($W$6:$W$19,MATCH(Q30,$V$6:$V$19,1)),"0.0%")&amp;" / "&amp;TEXT(INDEX($X$6:$X$19,MATCH(Q30,$V$6:$V$19,1)),"0.0%")&amp;" / "&amp;TEXT(INDEX($Y$6:$Y$19,MATCH(Q30,$V$6:$V$19,1)),"0.0%"))</f>
        <v/>
      </c>
      <c r="T30" s="27" t="str">
        <f aca="false">IF(Q30="","",IF(D30="ASB",IF(Q30&gt;=25,"En o sobre el rango umbral reportado para asbestosis (25–100 f/ml·año)","Bajo el umbral reportado (25 f/ml·año)"),IF(LEFT(D30,3)="SIL","Referencial: el riesgo depende además de la toxicidad específica del cuarzo (R = f(c, t, S))","Registrar para seguimiento epidemiológico")))</f>
        <v/>
      </c>
    </row>
    <row r="31" customFormat="false" ht="15" hidden="false" customHeight="false" outlineLevel="0" collapsed="false">
      <c r="A31" s="18"/>
      <c r="B31" s="18"/>
      <c r="C31" s="18"/>
      <c r="D31" s="19" t="str">
        <f aca="false">IF(C31="","",IFERROR(INDEX(GES!$E$6:$E$25,MATCH(C31,GES!$A$6:$A$25,0)),"GES?"))</f>
        <v/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24" t="str">
        <f aca="false">IF(COUNT(F31,I31,L31,O31)=0,"",N(F31)*N(G31)+N(I31)*N(J31)+N(L31)*N(M31)+N(O31)*N(P31))</f>
        <v/>
      </c>
      <c r="R31" s="19" t="str">
        <f aca="false">IF(Q31="","",IF(D31="ASB","f/cm³·año","mg/m³·año"))</f>
        <v/>
      </c>
      <c r="S31" s="19" t="str">
        <f aca="false">IF(OR(Q31="",LEFT(D31,3)&lt;&gt;"SIL"),"",TEXT(INDEX($W$6:$W$19,MATCH(Q31,$V$6:$V$19,1)),"0.0%")&amp;" / "&amp;TEXT(INDEX($X$6:$X$19,MATCH(Q31,$V$6:$V$19,1)),"0.0%")&amp;" / "&amp;TEXT(INDEX($Y$6:$Y$19,MATCH(Q31,$V$6:$V$19,1)),"0.0%"))</f>
        <v/>
      </c>
      <c r="T31" s="27" t="str">
        <f aca="false">IF(Q31="","",IF(D31="ASB",IF(Q31&gt;=25,"En o sobre el rango umbral reportado para asbestosis (25–100 f/ml·año)","Bajo el umbral reportado (25 f/ml·año)"),IF(LEFT(D31,3)="SIL","Referencial: el riesgo depende además de la toxicidad específica del cuarzo (R = f(c, t, S))","Registrar para seguimiento epidemiológico")))</f>
        <v/>
      </c>
    </row>
    <row r="32" customFormat="false" ht="15" hidden="false" customHeight="false" outlineLevel="0" collapsed="false">
      <c r="A32" s="18"/>
      <c r="B32" s="18"/>
      <c r="C32" s="18"/>
      <c r="D32" s="19" t="str">
        <f aca="false">IF(C32="","",IFERROR(INDEX(GES!$E$6:$E$25,MATCH(C32,GES!$A$6:$A$25,0)),"GES?"))</f>
        <v/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24" t="str">
        <f aca="false">IF(COUNT(F32,I32,L32,O32)=0,"",N(F32)*N(G32)+N(I32)*N(J32)+N(L32)*N(M32)+N(O32)*N(P32))</f>
        <v/>
      </c>
      <c r="R32" s="19" t="str">
        <f aca="false">IF(Q32="","",IF(D32="ASB","f/cm³·año","mg/m³·año"))</f>
        <v/>
      </c>
      <c r="S32" s="19" t="str">
        <f aca="false">IF(OR(Q32="",LEFT(D32,3)&lt;&gt;"SIL"),"",TEXT(INDEX($W$6:$W$19,MATCH(Q32,$V$6:$V$19,1)),"0.0%")&amp;" / "&amp;TEXT(INDEX($X$6:$X$19,MATCH(Q32,$V$6:$V$19,1)),"0.0%")&amp;" / "&amp;TEXT(INDEX($Y$6:$Y$19,MATCH(Q32,$V$6:$V$19,1)),"0.0%"))</f>
        <v/>
      </c>
      <c r="T32" s="27" t="str">
        <f aca="false">IF(Q32="","",IF(D32="ASB",IF(Q32&gt;=25,"En o sobre el rango umbral reportado para asbestosis (25–100 f/ml·año)","Bajo el umbral reportado (25 f/ml·año)"),IF(LEFT(D32,3)="SIL","Referencial: el riesgo depende además de la toxicidad específica del cuarzo (R = f(c, t, S))","Registrar para seguimiento epidemiológico")))</f>
        <v/>
      </c>
    </row>
    <row r="33" customFormat="false" ht="15" hidden="false" customHeight="false" outlineLevel="0" collapsed="false">
      <c r="A33" s="18"/>
      <c r="B33" s="18"/>
      <c r="C33" s="18"/>
      <c r="D33" s="19" t="str">
        <f aca="false">IF(C33="","",IFERROR(INDEX(GES!$E$6:$E$25,MATCH(C33,GES!$A$6:$A$25,0)),"GES?"))</f>
        <v/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4" t="str">
        <f aca="false">IF(COUNT(F33,I33,L33,O33)=0,"",N(F33)*N(G33)+N(I33)*N(J33)+N(L33)*N(M33)+N(O33)*N(P33))</f>
        <v/>
      </c>
      <c r="R33" s="19" t="str">
        <f aca="false">IF(Q33="","",IF(D33="ASB","f/cm³·año","mg/m³·año"))</f>
        <v/>
      </c>
      <c r="S33" s="19" t="str">
        <f aca="false">IF(OR(Q33="",LEFT(D33,3)&lt;&gt;"SIL"),"",TEXT(INDEX($W$6:$W$19,MATCH(Q33,$V$6:$V$19,1)),"0.0%")&amp;" / "&amp;TEXT(INDEX($X$6:$X$19,MATCH(Q33,$V$6:$V$19,1)),"0.0%")&amp;" / "&amp;TEXT(INDEX($Y$6:$Y$19,MATCH(Q33,$V$6:$V$19,1)),"0.0%"))</f>
        <v/>
      </c>
      <c r="T33" s="27" t="str">
        <f aca="false">IF(Q33="","",IF(D33="ASB",IF(Q33&gt;=25,"En o sobre el rango umbral reportado para asbestosis (25–100 f/ml·año)","Bajo el umbral reportado (25 f/ml·año)"),IF(LEFT(D33,3)="SIL","Referencial: el riesgo depende además de la toxicidad específica del cuarzo (R = f(c, t, S))","Registrar para seguimiento epidemiológico")))</f>
        <v/>
      </c>
    </row>
    <row r="34" customFormat="false" ht="15" hidden="false" customHeight="false" outlineLevel="0" collapsed="false">
      <c r="A34" s="18"/>
      <c r="B34" s="18"/>
      <c r="C34" s="18"/>
      <c r="D34" s="19" t="str">
        <f aca="false">IF(C34="","",IFERROR(INDEX(GES!$E$6:$E$25,MATCH(C34,GES!$A$6:$A$25,0)),"GES?"))</f>
        <v/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4" t="str">
        <f aca="false">IF(COUNT(F34,I34,L34,O34)=0,"",N(F34)*N(G34)+N(I34)*N(J34)+N(L34)*N(M34)+N(O34)*N(P34))</f>
        <v/>
      </c>
      <c r="R34" s="19" t="str">
        <f aca="false">IF(Q34="","",IF(D34="ASB","f/cm³·año","mg/m³·año"))</f>
        <v/>
      </c>
      <c r="S34" s="19" t="str">
        <f aca="false">IF(OR(Q34="",LEFT(D34,3)&lt;&gt;"SIL"),"",TEXT(INDEX($W$6:$W$19,MATCH(Q34,$V$6:$V$19,1)),"0.0%")&amp;" / "&amp;TEXT(INDEX($X$6:$X$19,MATCH(Q34,$V$6:$V$19,1)),"0.0%")&amp;" / "&amp;TEXT(INDEX($Y$6:$Y$19,MATCH(Q34,$V$6:$V$19,1)),"0.0%"))</f>
        <v/>
      </c>
      <c r="T34" s="27" t="str">
        <f aca="false">IF(Q34="","",IF(D34="ASB",IF(Q34&gt;=25,"En o sobre el rango umbral reportado para asbestosis (25–100 f/ml·año)","Bajo el umbral reportado (25 f/ml·año)"),IF(LEFT(D34,3)="SIL","Referencial: el riesgo depende además de la toxicidad específica del cuarzo (R = f(c, t, S))","Registrar para seguimiento epidemiológico")))</f>
        <v/>
      </c>
    </row>
    <row r="35" customFormat="false" ht="15" hidden="false" customHeight="false" outlineLevel="0" collapsed="false">
      <c r="A35" s="18"/>
      <c r="B35" s="18"/>
      <c r="C35" s="18"/>
      <c r="D35" s="19" t="str">
        <f aca="false">IF(C35="","",IFERROR(INDEX(GES!$E$6:$E$25,MATCH(C35,GES!$A$6:$A$25,0)),"GES?"))</f>
        <v/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4" t="str">
        <f aca="false">IF(COUNT(F35,I35,L35,O35)=0,"",N(F35)*N(G35)+N(I35)*N(J35)+N(L35)*N(M35)+N(O35)*N(P35))</f>
        <v/>
      </c>
      <c r="R35" s="19" t="str">
        <f aca="false">IF(Q35="","",IF(D35="ASB","f/cm³·año","mg/m³·año"))</f>
        <v/>
      </c>
      <c r="S35" s="19" t="str">
        <f aca="false">IF(OR(Q35="",LEFT(D35,3)&lt;&gt;"SIL"),"",TEXT(INDEX($W$6:$W$19,MATCH(Q35,$V$6:$V$19,1)),"0.0%")&amp;" / "&amp;TEXT(INDEX($X$6:$X$19,MATCH(Q35,$V$6:$V$19,1)),"0.0%")&amp;" / "&amp;TEXT(INDEX($Y$6:$Y$19,MATCH(Q35,$V$6:$V$19,1)),"0.0%"))</f>
        <v/>
      </c>
      <c r="T35" s="27" t="str">
        <f aca="false">IF(Q35="","",IF(D35="ASB",IF(Q35&gt;=25,"En o sobre el rango umbral reportado para asbestosis (25–100 f/ml·año)","Bajo el umbral reportado (25 f/ml·año)"),IF(LEFT(D35,3)="SIL","Referencial: el riesgo depende además de la toxicidad específica del cuarzo (R = f(c, t, S))","Registrar para seguimiento epidemiológico")))</f>
        <v/>
      </c>
    </row>
    <row r="36" customFormat="false" ht="15" hidden="false" customHeight="false" outlineLevel="0" collapsed="false">
      <c r="A36" s="18"/>
      <c r="B36" s="18"/>
      <c r="C36" s="18"/>
      <c r="D36" s="19" t="str">
        <f aca="false">IF(C36="","",IFERROR(INDEX(GES!$E$6:$E$25,MATCH(C36,GES!$A$6:$A$25,0)),"GES?"))</f>
        <v/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4" t="str">
        <f aca="false">IF(COUNT(F36,I36,L36,O36)=0,"",N(F36)*N(G36)+N(I36)*N(J36)+N(L36)*N(M36)+N(O36)*N(P36))</f>
        <v/>
      </c>
      <c r="R36" s="19" t="str">
        <f aca="false">IF(Q36="","",IF(D36="ASB","f/cm³·año","mg/m³·año"))</f>
        <v/>
      </c>
      <c r="S36" s="19" t="str">
        <f aca="false">IF(OR(Q36="",LEFT(D36,3)&lt;&gt;"SIL"),"",TEXT(INDEX($W$6:$W$19,MATCH(Q36,$V$6:$V$19,1)),"0.0%")&amp;" / "&amp;TEXT(INDEX($X$6:$X$19,MATCH(Q36,$V$6:$V$19,1)),"0.0%")&amp;" / "&amp;TEXT(INDEX($Y$6:$Y$19,MATCH(Q36,$V$6:$V$19,1)),"0.0%"))</f>
        <v/>
      </c>
      <c r="T36" s="27" t="str">
        <f aca="false">IF(Q36="","",IF(D36="ASB",IF(Q36&gt;=25,"En o sobre el rango umbral reportado para asbestosis (25–100 f/ml·año)","Bajo el umbral reportado (25 f/ml·año)"),IF(LEFT(D36,3)="SIL","Referencial: el riesgo depende además de la toxicidad específica del cuarzo (R = f(c, t, S))","Registrar para seguimiento epidemiológico")))</f>
        <v/>
      </c>
    </row>
    <row r="37" customFormat="false" ht="15" hidden="false" customHeight="false" outlineLevel="0" collapsed="false">
      <c r="A37" s="18"/>
      <c r="B37" s="18"/>
      <c r="C37" s="18"/>
      <c r="D37" s="19" t="str">
        <f aca="false">IF(C37="","",IFERROR(INDEX(GES!$E$6:$E$25,MATCH(C37,GES!$A$6:$A$25,0)),"GES?"))</f>
        <v/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24" t="str">
        <f aca="false">IF(COUNT(F37,I37,L37,O37)=0,"",N(F37)*N(G37)+N(I37)*N(J37)+N(L37)*N(M37)+N(O37)*N(P37))</f>
        <v/>
      </c>
      <c r="R37" s="19" t="str">
        <f aca="false">IF(Q37="","",IF(D37="ASB","f/cm³·año","mg/m³·año"))</f>
        <v/>
      </c>
      <c r="S37" s="19" t="str">
        <f aca="false">IF(OR(Q37="",LEFT(D37,3)&lt;&gt;"SIL"),"",TEXT(INDEX($W$6:$W$19,MATCH(Q37,$V$6:$V$19,1)),"0.0%")&amp;" / "&amp;TEXT(INDEX($X$6:$X$19,MATCH(Q37,$V$6:$V$19,1)),"0.0%")&amp;" / "&amp;TEXT(INDEX($Y$6:$Y$19,MATCH(Q37,$V$6:$V$19,1)),"0.0%"))</f>
        <v/>
      </c>
      <c r="T37" s="27" t="str">
        <f aca="false">IF(Q37="","",IF(D37="ASB",IF(Q37&gt;=25,"En o sobre el rango umbral reportado para asbestosis (25–100 f/ml·año)","Bajo el umbral reportado (25 f/ml·año)"),IF(LEFT(D37,3)="SIL","Referencial: el riesgo depende además de la toxicidad específica del cuarzo (R = f(c, t, S))","Registrar para seguimiento epidemiológico")))</f>
        <v/>
      </c>
    </row>
    <row r="38" customFormat="false" ht="15" hidden="false" customHeight="false" outlineLevel="0" collapsed="false">
      <c r="A38" s="18"/>
      <c r="B38" s="18"/>
      <c r="C38" s="18"/>
      <c r="D38" s="19" t="str">
        <f aca="false">IF(C38="","",IFERROR(INDEX(GES!$E$6:$E$25,MATCH(C38,GES!$A$6:$A$25,0)),"GES?"))</f>
        <v/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4" t="str">
        <f aca="false">IF(COUNT(F38,I38,L38,O38)=0,"",N(F38)*N(G38)+N(I38)*N(J38)+N(L38)*N(M38)+N(O38)*N(P38))</f>
        <v/>
      </c>
      <c r="R38" s="19" t="str">
        <f aca="false">IF(Q38="","",IF(D38="ASB","f/cm³·año","mg/m³·año"))</f>
        <v/>
      </c>
      <c r="S38" s="19" t="str">
        <f aca="false">IF(OR(Q38="",LEFT(D38,3)&lt;&gt;"SIL"),"",TEXT(INDEX($W$6:$W$19,MATCH(Q38,$V$6:$V$19,1)),"0.0%")&amp;" / "&amp;TEXT(INDEX($X$6:$X$19,MATCH(Q38,$V$6:$V$19,1)),"0.0%")&amp;" / "&amp;TEXT(INDEX($Y$6:$Y$19,MATCH(Q38,$V$6:$V$19,1)),"0.0%"))</f>
        <v/>
      </c>
      <c r="T38" s="27" t="str">
        <f aca="false">IF(Q38="","",IF(D38="ASB",IF(Q38&gt;=25,"En o sobre el rango umbral reportado para asbestosis (25–100 f/ml·año)","Bajo el umbral reportado (25 f/ml·año)"),IF(LEFT(D38,3)="SIL","Referencial: el riesgo depende además de la toxicidad específica del cuarzo (R = f(c, t, S))","Registrar para seguimiento epidemiológico")))</f>
        <v/>
      </c>
    </row>
    <row r="39" customFormat="false" ht="15" hidden="false" customHeight="false" outlineLevel="0" collapsed="false">
      <c r="A39" s="18"/>
      <c r="B39" s="18"/>
      <c r="C39" s="18"/>
      <c r="D39" s="19" t="str">
        <f aca="false">IF(C39="","",IFERROR(INDEX(GES!$E$6:$E$25,MATCH(C39,GES!$A$6:$A$25,0)),"GES?"))</f>
        <v/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4" t="str">
        <f aca="false">IF(COUNT(F39,I39,L39,O39)=0,"",N(F39)*N(G39)+N(I39)*N(J39)+N(L39)*N(M39)+N(O39)*N(P39))</f>
        <v/>
      </c>
      <c r="R39" s="19" t="str">
        <f aca="false">IF(Q39="","",IF(D39="ASB","f/cm³·año","mg/m³·año"))</f>
        <v/>
      </c>
      <c r="S39" s="19" t="str">
        <f aca="false">IF(OR(Q39="",LEFT(D39,3)&lt;&gt;"SIL"),"",TEXT(INDEX($W$6:$W$19,MATCH(Q39,$V$6:$V$19,1)),"0.0%")&amp;" / "&amp;TEXT(INDEX($X$6:$X$19,MATCH(Q39,$V$6:$V$19,1)),"0.0%")&amp;" / "&amp;TEXT(INDEX($Y$6:$Y$19,MATCH(Q39,$V$6:$V$19,1)),"0.0%"))</f>
        <v/>
      </c>
      <c r="T39" s="27" t="str">
        <f aca="false">IF(Q39="","",IF(D39="ASB",IF(Q39&gt;=25,"En o sobre el rango umbral reportado para asbestosis (25–100 f/ml·año)","Bajo el umbral reportado (25 f/ml·año)"),IF(LEFT(D39,3)="SIL","Referencial: el riesgo depende además de la toxicidad específica del cuarzo (R = f(c, t, S))","Registrar para seguimiento epidemiológico")))</f>
        <v/>
      </c>
    </row>
    <row r="40" customFormat="false" ht="15" hidden="false" customHeight="false" outlineLevel="0" collapsed="false">
      <c r="A40" s="18"/>
      <c r="B40" s="18"/>
      <c r="C40" s="18"/>
      <c r="D40" s="19" t="str">
        <f aca="false">IF(C40="","",IFERROR(INDEX(GES!$E$6:$E$25,MATCH(C40,GES!$A$6:$A$25,0)),"GES?"))</f>
        <v/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4" t="str">
        <f aca="false">IF(COUNT(F40,I40,L40,O40)=0,"",N(F40)*N(G40)+N(I40)*N(J40)+N(L40)*N(M40)+N(O40)*N(P40))</f>
        <v/>
      </c>
      <c r="R40" s="19" t="str">
        <f aca="false">IF(Q40="","",IF(D40="ASB","f/cm³·año","mg/m³·año"))</f>
        <v/>
      </c>
      <c r="S40" s="19" t="str">
        <f aca="false">IF(OR(Q40="",LEFT(D40,3)&lt;&gt;"SIL"),"",TEXT(INDEX($W$6:$W$19,MATCH(Q40,$V$6:$V$19,1)),"0.0%")&amp;" / "&amp;TEXT(INDEX($X$6:$X$19,MATCH(Q40,$V$6:$V$19,1)),"0.0%")&amp;" / "&amp;TEXT(INDEX($Y$6:$Y$19,MATCH(Q40,$V$6:$V$19,1)),"0.0%"))</f>
        <v/>
      </c>
      <c r="T40" s="27" t="str">
        <f aca="false">IF(Q40="","",IF(D40="ASB",IF(Q40&gt;=25,"En o sobre el rango umbral reportado para asbestosis (25–100 f/ml·año)","Bajo el umbral reportado (25 f/ml·año)"),IF(LEFT(D40,3)="SIL","Referencial: el riesgo depende además de la toxicidad específica del cuarzo (R = f(c, t, S))","Registrar para seguimiento epidemiológico")))</f>
        <v/>
      </c>
    </row>
    <row r="41" customFormat="false" ht="15" hidden="false" customHeight="false" outlineLevel="0" collapsed="false">
      <c r="A41" s="18"/>
      <c r="B41" s="18"/>
      <c r="C41" s="18"/>
      <c r="D41" s="19" t="str">
        <f aca="false">IF(C41="","",IFERROR(INDEX(GES!$E$6:$E$25,MATCH(C41,GES!$A$6:$A$25,0)),"GES?"))</f>
        <v/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4" t="str">
        <f aca="false">IF(COUNT(F41,I41,L41,O41)=0,"",N(F41)*N(G41)+N(I41)*N(J41)+N(L41)*N(M41)+N(O41)*N(P41))</f>
        <v/>
      </c>
      <c r="R41" s="19" t="str">
        <f aca="false">IF(Q41="","",IF(D41="ASB","f/cm³·año","mg/m³·año"))</f>
        <v/>
      </c>
      <c r="S41" s="19" t="str">
        <f aca="false">IF(OR(Q41="",LEFT(D41,3)&lt;&gt;"SIL"),"",TEXT(INDEX($W$6:$W$19,MATCH(Q41,$V$6:$V$19,1)),"0.0%")&amp;" / "&amp;TEXT(INDEX($X$6:$X$19,MATCH(Q41,$V$6:$V$19,1)),"0.0%")&amp;" / "&amp;TEXT(INDEX($Y$6:$Y$19,MATCH(Q41,$V$6:$V$19,1)),"0.0%"))</f>
        <v/>
      </c>
      <c r="T41" s="27" t="str">
        <f aca="false">IF(Q41="","",IF(D41="ASB",IF(Q41&gt;=25,"En o sobre el rango umbral reportado para asbestosis (25–100 f/ml·año)","Bajo el umbral reportado (25 f/ml·año)"),IF(LEFT(D41,3)="SIL","Referencial: el riesgo depende además de la toxicidad específica del cuarzo (R = f(c, t, S))","Registrar para seguimiento epidemiológico")))</f>
        <v/>
      </c>
    </row>
    <row r="42" customFormat="false" ht="15" hidden="false" customHeight="false" outlineLevel="0" collapsed="false">
      <c r="A42" s="18"/>
      <c r="B42" s="18"/>
      <c r="C42" s="18"/>
      <c r="D42" s="19" t="str">
        <f aca="false">IF(C42="","",IFERROR(INDEX(GES!$E$6:$E$25,MATCH(C42,GES!$A$6:$A$25,0)),"GES?"))</f>
        <v/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4" t="str">
        <f aca="false">IF(COUNT(F42,I42,L42,O42)=0,"",N(F42)*N(G42)+N(I42)*N(J42)+N(L42)*N(M42)+N(O42)*N(P42))</f>
        <v/>
      </c>
      <c r="R42" s="19" t="str">
        <f aca="false">IF(Q42="","",IF(D42="ASB","f/cm³·año","mg/m³·año"))</f>
        <v/>
      </c>
      <c r="S42" s="19" t="str">
        <f aca="false">IF(OR(Q42="",LEFT(D42,3)&lt;&gt;"SIL"),"",TEXT(INDEX($W$6:$W$19,MATCH(Q42,$V$6:$V$19,1)),"0.0%")&amp;" / "&amp;TEXT(INDEX($X$6:$X$19,MATCH(Q42,$V$6:$V$19,1)),"0.0%")&amp;" / "&amp;TEXT(INDEX($Y$6:$Y$19,MATCH(Q42,$V$6:$V$19,1)),"0.0%"))</f>
        <v/>
      </c>
      <c r="T42" s="27" t="str">
        <f aca="false">IF(Q42="","",IF(D42="ASB",IF(Q42&gt;=25,"En o sobre el rango umbral reportado para asbestosis (25–100 f/ml·año)","Bajo el umbral reportado (25 f/ml·año)"),IF(LEFT(D42,3)="SIL","Referencial: el riesgo depende además de la toxicidad específica del cuarzo (R = f(c, t, S))","Registrar para seguimiento epidemiológico")))</f>
        <v/>
      </c>
    </row>
    <row r="43" customFormat="false" ht="15" hidden="false" customHeight="false" outlineLevel="0" collapsed="false">
      <c r="A43" s="18"/>
      <c r="B43" s="18"/>
      <c r="C43" s="18"/>
      <c r="D43" s="19" t="str">
        <f aca="false">IF(C43="","",IFERROR(INDEX(GES!$E$6:$E$25,MATCH(C43,GES!$A$6:$A$25,0)),"GES?"))</f>
        <v/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4" t="str">
        <f aca="false">IF(COUNT(F43,I43,L43,O43)=0,"",N(F43)*N(G43)+N(I43)*N(J43)+N(L43)*N(M43)+N(O43)*N(P43))</f>
        <v/>
      </c>
      <c r="R43" s="19" t="str">
        <f aca="false">IF(Q43="","",IF(D43="ASB","f/cm³·año","mg/m³·año"))</f>
        <v/>
      </c>
      <c r="S43" s="19" t="str">
        <f aca="false">IF(OR(Q43="",LEFT(D43,3)&lt;&gt;"SIL"),"",TEXT(INDEX($W$6:$W$19,MATCH(Q43,$V$6:$V$19,1)),"0.0%")&amp;" / "&amp;TEXT(INDEX($X$6:$X$19,MATCH(Q43,$V$6:$V$19,1)),"0.0%")&amp;" / "&amp;TEXT(INDEX($Y$6:$Y$19,MATCH(Q43,$V$6:$V$19,1)),"0.0%"))</f>
        <v/>
      </c>
      <c r="T43" s="27" t="str">
        <f aca="false">IF(Q43="","",IF(D43="ASB",IF(Q43&gt;=25,"En o sobre el rango umbral reportado para asbestosis (25–100 f/ml·año)","Bajo el umbral reportado (25 f/ml·año)"),IF(LEFT(D43,3)="SIL","Referencial: el riesgo depende además de la toxicidad específica del cuarzo (R = f(c, t, S))","Registrar para seguimiento epidemiológico")))</f>
        <v/>
      </c>
    </row>
    <row r="44" customFormat="false" ht="15" hidden="false" customHeight="false" outlineLevel="0" collapsed="false">
      <c r="A44" s="18"/>
      <c r="B44" s="18"/>
      <c r="C44" s="18"/>
      <c r="D44" s="19" t="str">
        <f aca="false">IF(C44="","",IFERROR(INDEX(GES!$E$6:$E$25,MATCH(C44,GES!$A$6:$A$25,0)),"GES?"))</f>
        <v/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4" t="str">
        <f aca="false">IF(COUNT(F44,I44,L44,O44)=0,"",N(F44)*N(G44)+N(I44)*N(J44)+N(L44)*N(M44)+N(O44)*N(P44))</f>
        <v/>
      </c>
      <c r="R44" s="19" t="str">
        <f aca="false">IF(Q44="","",IF(D44="ASB","f/cm³·año","mg/m³·año"))</f>
        <v/>
      </c>
      <c r="S44" s="19" t="str">
        <f aca="false">IF(OR(Q44="",LEFT(D44,3)&lt;&gt;"SIL"),"",TEXT(INDEX($W$6:$W$19,MATCH(Q44,$V$6:$V$19,1)),"0.0%")&amp;" / "&amp;TEXT(INDEX($X$6:$X$19,MATCH(Q44,$V$6:$V$19,1)),"0.0%")&amp;" / "&amp;TEXT(INDEX($Y$6:$Y$19,MATCH(Q44,$V$6:$V$19,1)),"0.0%"))</f>
        <v/>
      </c>
      <c r="T44" s="27" t="str">
        <f aca="false">IF(Q44="","",IF(D44="ASB",IF(Q44&gt;=25,"En o sobre el rango umbral reportado para asbestosis (25–100 f/ml·año)","Bajo el umbral reportado (25 f/ml·año)"),IF(LEFT(D44,3)="SIL","Referencial: el riesgo depende además de la toxicidad específica del cuarzo (R = f(c, t, S))","Registrar para seguimiento epidemiológico")))</f>
        <v/>
      </c>
    </row>
    <row r="45" customFormat="false" ht="15" hidden="false" customHeight="false" outlineLevel="0" collapsed="false">
      <c r="A45" s="18"/>
      <c r="B45" s="18"/>
      <c r="C45" s="18"/>
      <c r="D45" s="19" t="str">
        <f aca="false">IF(C45="","",IFERROR(INDEX(GES!$E$6:$E$25,MATCH(C45,GES!$A$6:$A$25,0)),"GES?"))</f>
        <v/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4" t="str">
        <f aca="false">IF(COUNT(F45,I45,L45,O45)=0,"",N(F45)*N(G45)+N(I45)*N(J45)+N(L45)*N(M45)+N(O45)*N(P45))</f>
        <v/>
      </c>
      <c r="R45" s="19" t="str">
        <f aca="false">IF(Q45="","",IF(D45="ASB","f/cm³·año","mg/m³·año"))</f>
        <v/>
      </c>
      <c r="S45" s="19" t="str">
        <f aca="false">IF(OR(Q45="",LEFT(D45,3)&lt;&gt;"SIL"),"",TEXT(INDEX($W$6:$W$19,MATCH(Q45,$V$6:$V$19,1)),"0.0%")&amp;" / "&amp;TEXT(INDEX($X$6:$X$19,MATCH(Q45,$V$6:$V$19,1)),"0.0%")&amp;" / "&amp;TEXT(INDEX($Y$6:$Y$19,MATCH(Q45,$V$6:$V$19,1)),"0.0%"))</f>
        <v/>
      </c>
      <c r="T45" s="27" t="str">
        <f aca="false">IF(Q45="","",IF(D45="ASB",IF(Q45&gt;=25,"En o sobre el rango umbral reportado para asbestosis (25–100 f/ml·año)","Bajo el umbral reportado (25 f/ml·año)"),IF(LEFT(D45,3)="SIL","Referencial: el riesgo depende además de la toxicidad específica del cuarzo (R = f(c, t, S))","Registrar para seguimiento epidemiológico")))</f>
        <v/>
      </c>
    </row>
    <row r="46" customFormat="false" ht="15" hidden="false" customHeight="false" outlineLevel="0" collapsed="false">
      <c r="A46" s="18"/>
      <c r="B46" s="18"/>
      <c r="C46" s="18"/>
      <c r="D46" s="19" t="str">
        <f aca="false">IF(C46="","",IFERROR(INDEX(GES!$E$6:$E$25,MATCH(C46,GES!$A$6:$A$25,0)),"GES?"))</f>
        <v/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4" t="str">
        <f aca="false">IF(COUNT(F46,I46,L46,O46)=0,"",N(F46)*N(G46)+N(I46)*N(J46)+N(L46)*N(M46)+N(O46)*N(P46))</f>
        <v/>
      </c>
      <c r="R46" s="19" t="str">
        <f aca="false">IF(Q46="","",IF(D46="ASB","f/cm³·año","mg/m³·año"))</f>
        <v/>
      </c>
      <c r="S46" s="19" t="str">
        <f aca="false">IF(OR(Q46="",LEFT(D46,3)&lt;&gt;"SIL"),"",TEXT(INDEX($W$6:$W$19,MATCH(Q46,$V$6:$V$19,1)),"0.0%")&amp;" / "&amp;TEXT(INDEX($X$6:$X$19,MATCH(Q46,$V$6:$V$19,1)),"0.0%")&amp;" / "&amp;TEXT(INDEX($Y$6:$Y$19,MATCH(Q46,$V$6:$V$19,1)),"0.0%"))</f>
        <v/>
      </c>
      <c r="T46" s="27" t="str">
        <f aca="false">IF(Q46="","",IF(D46="ASB",IF(Q46&gt;=25,"En o sobre el rango umbral reportado para asbestosis (25–100 f/ml·año)","Bajo el umbral reportado (25 f/ml·año)"),IF(LEFT(D46,3)="SIL","Referencial: el riesgo depende además de la toxicidad específica del cuarzo (R = f(c, t, S))","Registrar para seguimiento epidemiológico")))</f>
        <v/>
      </c>
    </row>
    <row r="47" customFormat="false" ht="15" hidden="false" customHeight="false" outlineLevel="0" collapsed="false">
      <c r="A47" s="18"/>
      <c r="B47" s="18"/>
      <c r="C47" s="18"/>
      <c r="D47" s="19" t="str">
        <f aca="false">IF(C47="","",IFERROR(INDEX(GES!$E$6:$E$25,MATCH(C47,GES!$A$6:$A$25,0)),"GES?"))</f>
        <v/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4" t="str">
        <f aca="false">IF(COUNT(F47,I47,L47,O47)=0,"",N(F47)*N(G47)+N(I47)*N(J47)+N(L47)*N(M47)+N(O47)*N(P47))</f>
        <v/>
      </c>
      <c r="R47" s="19" t="str">
        <f aca="false">IF(Q47="","",IF(D47="ASB","f/cm³·año","mg/m³·año"))</f>
        <v/>
      </c>
      <c r="S47" s="19" t="str">
        <f aca="false">IF(OR(Q47="",LEFT(D47,3)&lt;&gt;"SIL"),"",TEXT(INDEX($W$6:$W$19,MATCH(Q47,$V$6:$V$19,1)),"0.0%")&amp;" / "&amp;TEXT(INDEX($X$6:$X$19,MATCH(Q47,$V$6:$V$19,1)),"0.0%")&amp;" / "&amp;TEXT(INDEX($Y$6:$Y$19,MATCH(Q47,$V$6:$V$19,1)),"0.0%"))</f>
        <v/>
      </c>
      <c r="T47" s="27" t="str">
        <f aca="false">IF(Q47="","",IF(D47="ASB",IF(Q47&gt;=25,"En o sobre el rango umbral reportado para asbestosis (25–100 f/ml·año)","Bajo el umbral reportado (25 f/ml·año)"),IF(LEFT(D47,3)="SIL","Referencial: el riesgo depende además de la toxicidad específica del cuarzo (R = f(c, t, S))","Registrar para seguimiento epidemiológico")))</f>
        <v/>
      </c>
    </row>
    <row r="48" customFormat="false" ht="15" hidden="false" customHeight="false" outlineLevel="0" collapsed="false">
      <c r="A48" s="18"/>
      <c r="B48" s="18"/>
      <c r="C48" s="18"/>
      <c r="D48" s="19" t="str">
        <f aca="false">IF(C48="","",IFERROR(INDEX(GES!$E$6:$E$25,MATCH(C48,GES!$A$6:$A$25,0)),"GES?"))</f>
        <v/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24" t="str">
        <f aca="false">IF(COUNT(F48,I48,L48,O48)=0,"",N(F48)*N(G48)+N(I48)*N(J48)+N(L48)*N(M48)+N(O48)*N(P48))</f>
        <v/>
      </c>
      <c r="R48" s="19" t="str">
        <f aca="false">IF(Q48="","",IF(D48="ASB","f/cm³·año","mg/m³·año"))</f>
        <v/>
      </c>
      <c r="S48" s="19" t="str">
        <f aca="false">IF(OR(Q48="",LEFT(D48,3)&lt;&gt;"SIL"),"",TEXT(INDEX($W$6:$W$19,MATCH(Q48,$V$6:$V$19,1)),"0.0%")&amp;" / "&amp;TEXT(INDEX($X$6:$X$19,MATCH(Q48,$V$6:$V$19,1)),"0.0%")&amp;" / "&amp;TEXT(INDEX($Y$6:$Y$19,MATCH(Q48,$V$6:$V$19,1)),"0.0%"))</f>
        <v/>
      </c>
      <c r="T48" s="27" t="str">
        <f aca="false">IF(Q48="","",IF(D48="ASB",IF(Q48&gt;=25,"En o sobre el rango umbral reportado para asbestosis (25–100 f/ml·año)","Bajo el umbral reportado (25 f/ml·año)"),IF(LEFT(D48,3)="SIL","Referencial: el riesgo depende además de la toxicidad específica del cuarzo (R = f(c, t, S))","Registrar para seguimiento epidemiológico")))</f>
        <v/>
      </c>
    </row>
    <row r="49" customFormat="false" ht="15" hidden="false" customHeight="false" outlineLevel="0" collapsed="false">
      <c r="A49" s="18"/>
      <c r="B49" s="18"/>
      <c r="C49" s="18"/>
      <c r="D49" s="19" t="str">
        <f aca="false">IF(C49="","",IFERROR(INDEX(GES!$E$6:$E$25,MATCH(C49,GES!$A$6:$A$25,0)),"GES?"))</f>
        <v/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4" t="str">
        <f aca="false">IF(COUNT(F49,I49,L49,O49)=0,"",N(F49)*N(G49)+N(I49)*N(J49)+N(L49)*N(M49)+N(O49)*N(P49))</f>
        <v/>
      </c>
      <c r="R49" s="19" t="str">
        <f aca="false">IF(Q49="","",IF(D49="ASB","f/cm³·año","mg/m³·año"))</f>
        <v/>
      </c>
      <c r="S49" s="19" t="str">
        <f aca="false">IF(OR(Q49="",LEFT(D49,3)&lt;&gt;"SIL"),"",TEXT(INDEX($W$6:$W$19,MATCH(Q49,$V$6:$V$19,1)),"0.0%")&amp;" / "&amp;TEXT(INDEX($X$6:$X$19,MATCH(Q49,$V$6:$V$19,1)),"0.0%")&amp;" / "&amp;TEXT(INDEX($Y$6:$Y$19,MATCH(Q49,$V$6:$V$19,1)),"0.0%"))</f>
        <v/>
      </c>
      <c r="T49" s="27" t="str">
        <f aca="false">IF(Q49="","",IF(D49="ASB",IF(Q49&gt;=25,"En o sobre el rango umbral reportado para asbestosis (25–100 f/ml·año)","Bajo el umbral reportado (25 f/ml·año)"),IF(LEFT(D49,3)="SIL","Referencial: el riesgo depende además de la toxicidad específica del cuarzo (R = f(c, t, S))","Registrar para seguimiento epidemiológico")))</f>
        <v/>
      </c>
    </row>
    <row r="50" customFormat="false" ht="15" hidden="false" customHeight="false" outlineLevel="0" collapsed="false">
      <c r="A50" s="18"/>
      <c r="B50" s="18"/>
      <c r="C50" s="18"/>
      <c r="D50" s="19" t="str">
        <f aca="false">IF(C50="","",IFERROR(INDEX(GES!$E$6:$E$25,MATCH(C50,GES!$A$6:$A$25,0)),"GES?"))</f>
        <v/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24" t="str">
        <f aca="false">IF(COUNT(F50,I50,L50,O50)=0,"",N(F50)*N(G50)+N(I50)*N(J50)+N(L50)*N(M50)+N(O50)*N(P50))</f>
        <v/>
      </c>
      <c r="R50" s="19" t="str">
        <f aca="false">IF(Q50="","",IF(D50="ASB","f/cm³·año","mg/m³·año"))</f>
        <v/>
      </c>
      <c r="S50" s="19" t="str">
        <f aca="false">IF(OR(Q50="",LEFT(D50,3)&lt;&gt;"SIL"),"",TEXT(INDEX($W$6:$W$19,MATCH(Q50,$V$6:$V$19,1)),"0.0%")&amp;" / "&amp;TEXT(INDEX($X$6:$X$19,MATCH(Q50,$V$6:$V$19,1)),"0.0%")&amp;" / "&amp;TEXT(INDEX($Y$6:$Y$19,MATCH(Q50,$V$6:$V$19,1)),"0.0%"))</f>
        <v/>
      </c>
      <c r="T50" s="27" t="str">
        <f aca="false">IF(Q50="","",IF(D50="ASB",IF(Q50&gt;=25,"En o sobre el rango umbral reportado para asbestosis (25–100 f/ml·año)","Bajo el umbral reportado (25 f/ml·año)"),IF(LEFT(D50,3)="SIL","Referencial: el riesgo depende además de la toxicidad específica del cuarzo (R = f(c, t, S))","Registrar para seguimiento epidemiológico")))</f>
        <v/>
      </c>
    </row>
    <row r="51" customFormat="false" ht="15" hidden="false" customHeight="false" outlineLevel="0" collapsed="false">
      <c r="A51" s="18"/>
      <c r="B51" s="18"/>
      <c r="C51" s="18"/>
      <c r="D51" s="19" t="str">
        <f aca="false">IF(C51="","",IFERROR(INDEX(GES!$E$6:$E$25,MATCH(C51,GES!$A$6:$A$25,0)),"GES?"))</f>
        <v/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4" t="str">
        <f aca="false">IF(COUNT(F51,I51,L51,O51)=0,"",N(F51)*N(G51)+N(I51)*N(J51)+N(L51)*N(M51)+N(O51)*N(P51))</f>
        <v/>
      </c>
      <c r="R51" s="19" t="str">
        <f aca="false">IF(Q51="","",IF(D51="ASB","f/cm³·año","mg/m³·año"))</f>
        <v/>
      </c>
      <c r="S51" s="19" t="str">
        <f aca="false">IF(OR(Q51="",LEFT(D51,3)&lt;&gt;"SIL"),"",TEXT(INDEX($W$6:$W$19,MATCH(Q51,$V$6:$V$19,1)),"0.0%")&amp;" / "&amp;TEXT(INDEX($X$6:$X$19,MATCH(Q51,$V$6:$V$19,1)),"0.0%")&amp;" / "&amp;TEXT(INDEX($Y$6:$Y$19,MATCH(Q51,$V$6:$V$19,1)),"0.0%"))</f>
        <v/>
      </c>
      <c r="T51" s="27" t="str">
        <f aca="false">IF(Q51="","",IF(D51="ASB",IF(Q51&gt;=25,"En o sobre el rango umbral reportado para asbestosis (25–100 f/ml·año)","Bajo el umbral reportado (25 f/ml·año)"),IF(LEFT(D51,3)="SIL","Referencial: el riesgo depende además de la toxicidad específica del cuarzo (R = f(c, t, S))","Registrar para seguimiento epidemiológico")))</f>
        <v/>
      </c>
    </row>
    <row r="52" customFormat="false" ht="15" hidden="false" customHeight="false" outlineLevel="0" collapsed="false">
      <c r="A52" s="18"/>
      <c r="B52" s="18"/>
      <c r="C52" s="18"/>
      <c r="D52" s="19" t="str">
        <f aca="false">IF(C52="","",IFERROR(INDEX(GES!$E$6:$E$25,MATCH(C52,GES!$A$6:$A$25,0)),"GES?"))</f>
        <v/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4" t="str">
        <f aca="false">IF(COUNT(F52,I52,L52,O52)=0,"",N(F52)*N(G52)+N(I52)*N(J52)+N(L52)*N(M52)+N(O52)*N(P52))</f>
        <v/>
      </c>
      <c r="R52" s="19" t="str">
        <f aca="false">IF(Q52="","",IF(D52="ASB","f/cm³·año","mg/m³·año"))</f>
        <v/>
      </c>
      <c r="S52" s="19" t="str">
        <f aca="false">IF(OR(Q52="",LEFT(D52,3)&lt;&gt;"SIL"),"",TEXT(INDEX($W$6:$W$19,MATCH(Q52,$V$6:$V$19,1)),"0.0%")&amp;" / "&amp;TEXT(INDEX($X$6:$X$19,MATCH(Q52,$V$6:$V$19,1)),"0.0%")&amp;" / "&amp;TEXT(INDEX($Y$6:$Y$19,MATCH(Q52,$V$6:$V$19,1)),"0.0%"))</f>
        <v/>
      </c>
      <c r="T52" s="27" t="str">
        <f aca="false">IF(Q52="","",IF(D52="ASB",IF(Q52&gt;=25,"En o sobre el rango umbral reportado para asbestosis (25–100 f/ml·año)","Bajo el umbral reportado (25 f/ml·año)"),IF(LEFT(D52,3)="SIL","Referencial: el riesgo depende además de la toxicidad específica del cuarzo (R = f(c, t, S))","Registrar para seguimiento epidemiológico")))</f>
        <v/>
      </c>
    </row>
    <row r="53" customFormat="false" ht="15" hidden="false" customHeight="false" outlineLevel="0" collapsed="false">
      <c r="A53" s="18"/>
      <c r="B53" s="18"/>
      <c r="C53" s="18"/>
      <c r="D53" s="19" t="str">
        <f aca="false">IF(C53="","",IFERROR(INDEX(GES!$E$6:$E$25,MATCH(C53,GES!$A$6:$A$25,0)),"GES?"))</f>
        <v/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24" t="str">
        <f aca="false">IF(COUNT(F53,I53,L53,O53)=0,"",N(F53)*N(G53)+N(I53)*N(J53)+N(L53)*N(M53)+N(O53)*N(P53))</f>
        <v/>
      </c>
      <c r="R53" s="19" t="str">
        <f aca="false">IF(Q53="","",IF(D53="ASB","f/cm³·año","mg/m³·año"))</f>
        <v/>
      </c>
      <c r="S53" s="19" t="str">
        <f aca="false">IF(OR(Q53="",LEFT(D53,3)&lt;&gt;"SIL"),"",TEXT(INDEX($W$6:$W$19,MATCH(Q53,$V$6:$V$19,1)),"0.0%")&amp;" / "&amp;TEXT(INDEX($X$6:$X$19,MATCH(Q53,$V$6:$V$19,1)),"0.0%")&amp;" / "&amp;TEXT(INDEX($Y$6:$Y$19,MATCH(Q53,$V$6:$V$19,1)),"0.0%"))</f>
        <v/>
      </c>
      <c r="T53" s="27" t="str">
        <f aca="false">IF(Q53="","",IF(D53="ASB",IF(Q53&gt;=25,"En o sobre el rango umbral reportado para asbestosis (25–100 f/ml·año)","Bajo el umbral reportado (25 f/ml·año)"),IF(LEFT(D53,3)="SIL","Referencial: el riesgo depende además de la toxicidad específica del cuarzo (R = f(c, t, S))","Registrar para seguimiento epidemiológico")))</f>
        <v/>
      </c>
    </row>
    <row r="54" customFormat="false" ht="15" hidden="false" customHeight="false" outlineLevel="0" collapsed="false">
      <c r="A54" s="18"/>
      <c r="B54" s="18"/>
      <c r="C54" s="18"/>
      <c r="D54" s="19" t="str">
        <f aca="false">IF(C54="","",IFERROR(INDEX(GES!$E$6:$E$25,MATCH(C54,GES!$A$6:$A$25,0)),"GES?"))</f>
        <v/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24" t="str">
        <f aca="false">IF(COUNT(F54,I54,L54,O54)=0,"",N(F54)*N(G54)+N(I54)*N(J54)+N(L54)*N(M54)+N(O54)*N(P54))</f>
        <v/>
      </c>
      <c r="R54" s="19" t="str">
        <f aca="false">IF(Q54="","",IF(D54="ASB","f/cm³·año","mg/m³·año"))</f>
        <v/>
      </c>
      <c r="S54" s="19" t="str">
        <f aca="false">IF(OR(Q54="",LEFT(D54,3)&lt;&gt;"SIL"),"",TEXT(INDEX($W$6:$W$19,MATCH(Q54,$V$6:$V$19,1)),"0.0%")&amp;" / "&amp;TEXT(INDEX($X$6:$X$19,MATCH(Q54,$V$6:$V$19,1)),"0.0%")&amp;" / "&amp;TEXT(INDEX($Y$6:$Y$19,MATCH(Q54,$V$6:$V$19,1)),"0.0%"))</f>
        <v/>
      </c>
      <c r="T54" s="27" t="str">
        <f aca="false">IF(Q54="","",IF(D54="ASB",IF(Q54&gt;=25,"En o sobre el rango umbral reportado para asbestosis (25–100 f/ml·año)","Bajo el umbral reportado (25 f/ml·año)"),IF(LEFT(D54,3)="SIL","Referencial: el riesgo depende además de la toxicidad específica del cuarzo (R = f(c, t, S))","Registrar para seguimiento epidemiológico")))</f>
        <v/>
      </c>
    </row>
    <row r="55" customFormat="false" ht="15" hidden="false" customHeight="false" outlineLevel="0" collapsed="false">
      <c r="A55" s="18"/>
      <c r="B55" s="18"/>
      <c r="C55" s="18"/>
      <c r="D55" s="19" t="str">
        <f aca="false">IF(C55="","",IFERROR(INDEX(GES!$E$6:$E$25,MATCH(C55,GES!$A$6:$A$25,0)),"GES?"))</f>
        <v/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24" t="str">
        <f aca="false">IF(COUNT(F55,I55,L55,O55)=0,"",N(F55)*N(G55)+N(I55)*N(J55)+N(L55)*N(M55)+N(O55)*N(P55))</f>
        <v/>
      </c>
      <c r="R55" s="19" t="str">
        <f aca="false">IF(Q55="","",IF(D55="ASB","f/cm³·año","mg/m³·año"))</f>
        <v/>
      </c>
      <c r="S55" s="19" t="str">
        <f aca="false">IF(OR(Q55="",LEFT(D55,3)&lt;&gt;"SIL"),"",TEXT(INDEX($W$6:$W$19,MATCH(Q55,$V$6:$V$19,1)),"0.0%")&amp;" / "&amp;TEXT(INDEX($X$6:$X$19,MATCH(Q55,$V$6:$V$19,1)),"0.0%")&amp;" / "&amp;TEXT(INDEX($Y$6:$Y$19,MATCH(Q55,$V$6:$V$19,1)),"0.0%"))</f>
        <v/>
      </c>
      <c r="T55" s="27" t="str">
        <f aca="false">IF(Q55="","",IF(D55="ASB",IF(Q55&gt;=25,"En o sobre el rango umbral reportado para asbestosis (25–100 f/ml·año)","Bajo el umbral reportado (25 f/ml·año)"),IF(LEFT(D55,3)="SIL","Referencial: el riesgo depende además de la toxicidad específica del cuarzo (R = f(c, t, S))","Registrar para seguimiento epidemiológico")))</f>
        <v/>
      </c>
    </row>
    <row r="56" customFormat="false" ht="15" hidden="false" customHeight="false" outlineLevel="0" collapsed="false">
      <c r="A56" s="18"/>
      <c r="B56" s="18"/>
      <c r="C56" s="18"/>
      <c r="D56" s="19" t="str">
        <f aca="false">IF(C56="","",IFERROR(INDEX(GES!$E$6:$E$25,MATCH(C56,GES!$A$6:$A$25,0)),"GES?"))</f>
        <v/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24" t="str">
        <f aca="false">IF(COUNT(F56,I56,L56,O56)=0,"",N(F56)*N(G56)+N(I56)*N(J56)+N(L56)*N(M56)+N(O56)*N(P56))</f>
        <v/>
      </c>
      <c r="R56" s="19" t="str">
        <f aca="false">IF(Q56="","",IF(D56="ASB","f/cm³·año","mg/m³·año"))</f>
        <v/>
      </c>
      <c r="S56" s="19" t="str">
        <f aca="false">IF(OR(Q56="",LEFT(D56,3)&lt;&gt;"SIL"),"",TEXT(INDEX($W$6:$W$19,MATCH(Q56,$V$6:$V$19,1)),"0.0%")&amp;" / "&amp;TEXT(INDEX($X$6:$X$19,MATCH(Q56,$V$6:$V$19,1)),"0.0%")&amp;" / "&amp;TEXT(INDEX($Y$6:$Y$19,MATCH(Q56,$V$6:$V$19,1)),"0.0%"))</f>
        <v/>
      </c>
      <c r="T56" s="27" t="str">
        <f aca="false">IF(Q56="","",IF(D56="ASB",IF(Q56&gt;=25,"En o sobre el rango umbral reportado para asbestosis (25–100 f/ml·año)","Bajo el umbral reportado (25 f/ml·año)"),IF(LEFT(D56,3)="SIL","Referencial: el riesgo depende además de la toxicidad específica del cuarzo (R = f(c, t, S))","Registrar para seguimiento epidemiológico")))</f>
        <v/>
      </c>
    </row>
    <row r="57" customFormat="false" ht="15" hidden="false" customHeight="false" outlineLevel="0" collapsed="false">
      <c r="A57" s="18"/>
      <c r="B57" s="18"/>
      <c r="C57" s="18"/>
      <c r="D57" s="19" t="str">
        <f aca="false">IF(C57="","",IFERROR(INDEX(GES!$E$6:$E$25,MATCH(C57,GES!$A$6:$A$25,0)),"GES?"))</f>
        <v/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24" t="str">
        <f aca="false">IF(COUNT(F57,I57,L57,O57)=0,"",N(F57)*N(G57)+N(I57)*N(J57)+N(L57)*N(M57)+N(O57)*N(P57))</f>
        <v/>
      </c>
      <c r="R57" s="19" t="str">
        <f aca="false">IF(Q57="","",IF(D57="ASB","f/cm³·año","mg/m³·año"))</f>
        <v/>
      </c>
      <c r="S57" s="19" t="str">
        <f aca="false">IF(OR(Q57="",LEFT(D57,3)&lt;&gt;"SIL"),"",TEXT(INDEX($W$6:$W$19,MATCH(Q57,$V$6:$V$19,1)),"0.0%")&amp;" / "&amp;TEXT(INDEX($X$6:$X$19,MATCH(Q57,$V$6:$V$19,1)),"0.0%")&amp;" / "&amp;TEXT(INDEX($Y$6:$Y$19,MATCH(Q57,$V$6:$V$19,1)),"0.0%"))</f>
        <v/>
      </c>
      <c r="T57" s="27" t="str">
        <f aca="false">IF(Q57="","",IF(D57="ASB",IF(Q57&gt;=25,"En o sobre el rango umbral reportado para asbestosis (25–100 f/ml·año)","Bajo el umbral reportado (25 f/ml·año)"),IF(LEFT(D57,3)="SIL","Referencial: el riesgo depende además de la toxicidad específica del cuarzo (R = f(c, t, S))","Registrar para seguimiento epidemiológico")))</f>
        <v/>
      </c>
    </row>
    <row r="58" customFormat="false" ht="15" hidden="false" customHeight="false" outlineLevel="0" collapsed="false">
      <c r="A58" s="18"/>
      <c r="B58" s="18"/>
      <c r="C58" s="18"/>
      <c r="D58" s="19" t="str">
        <f aca="false">IF(C58="","",IFERROR(INDEX(GES!$E$6:$E$25,MATCH(C58,GES!$A$6:$A$25,0)),"GES?"))</f>
        <v/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24" t="str">
        <f aca="false">IF(COUNT(F58,I58,L58,O58)=0,"",N(F58)*N(G58)+N(I58)*N(J58)+N(L58)*N(M58)+N(O58)*N(P58))</f>
        <v/>
      </c>
      <c r="R58" s="19" t="str">
        <f aca="false">IF(Q58="","",IF(D58="ASB","f/cm³·año","mg/m³·año"))</f>
        <v/>
      </c>
      <c r="S58" s="19" t="str">
        <f aca="false">IF(OR(Q58="",LEFT(D58,3)&lt;&gt;"SIL"),"",TEXT(INDEX($W$6:$W$19,MATCH(Q58,$V$6:$V$19,1)),"0.0%")&amp;" / "&amp;TEXT(INDEX($X$6:$X$19,MATCH(Q58,$V$6:$V$19,1)),"0.0%")&amp;" / "&amp;TEXT(INDEX($Y$6:$Y$19,MATCH(Q58,$V$6:$V$19,1)),"0.0%"))</f>
        <v/>
      </c>
      <c r="T58" s="27" t="str">
        <f aca="false">IF(Q58="","",IF(D58="ASB",IF(Q58&gt;=25,"En o sobre el rango umbral reportado para asbestosis (25–100 f/ml·año)","Bajo el umbral reportado (25 f/ml·año)"),IF(LEFT(D58,3)="SIL","Referencial: el riesgo depende además de la toxicidad específica del cuarzo (R = f(c, t, S))","Registrar para seguimiento epidemiológico")))</f>
        <v/>
      </c>
    </row>
    <row r="59" customFormat="false" ht="15" hidden="false" customHeight="false" outlineLevel="0" collapsed="false">
      <c r="A59" s="18"/>
      <c r="B59" s="18"/>
      <c r="C59" s="18"/>
      <c r="D59" s="19" t="str">
        <f aca="false">IF(C59="","",IFERROR(INDEX(GES!$E$6:$E$25,MATCH(C59,GES!$A$6:$A$25,0)),"GES?"))</f>
        <v/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24" t="str">
        <f aca="false">IF(COUNT(F59,I59,L59,O59)=0,"",N(F59)*N(G59)+N(I59)*N(J59)+N(L59)*N(M59)+N(O59)*N(P59))</f>
        <v/>
      </c>
      <c r="R59" s="19" t="str">
        <f aca="false">IF(Q59="","",IF(D59="ASB","f/cm³·año","mg/m³·año"))</f>
        <v/>
      </c>
      <c r="S59" s="19" t="str">
        <f aca="false">IF(OR(Q59="",LEFT(D59,3)&lt;&gt;"SIL"),"",TEXT(INDEX($W$6:$W$19,MATCH(Q59,$V$6:$V$19,1)),"0.0%")&amp;" / "&amp;TEXT(INDEX($X$6:$X$19,MATCH(Q59,$V$6:$V$19,1)),"0.0%")&amp;" / "&amp;TEXT(INDEX($Y$6:$Y$19,MATCH(Q59,$V$6:$V$19,1)),"0.0%"))</f>
        <v/>
      </c>
      <c r="T59" s="27" t="str">
        <f aca="false">IF(Q59="","",IF(D59="ASB",IF(Q59&gt;=25,"En o sobre el rango umbral reportado para asbestosis (25–100 f/ml·año)","Bajo el umbral reportado (25 f/ml·año)"),IF(LEFT(D59,3)="SIL","Referencial: el riesgo depende además de la toxicidad específica del cuarzo (R = f(c, t, S))","Registrar para seguimiento epidemiológico")))</f>
        <v/>
      </c>
    </row>
    <row r="60" customFormat="false" ht="15" hidden="false" customHeight="false" outlineLevel="0" collapsed="false">
      <c r="A60" s="18"/>
      <c r="B60" s="18"/>
      <c r="C60" s="18"/>
      <c r="D60" s="19" t="str">
        <f aca="false">IF(C60="","",IFERROR(INDEX(GES!$E$6:$E$25,MATCH(C60,GES!$A$6:$A$25,0)),"GES?"))</f>
        <v/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24" t="str">
        <f aca="false">IF(COUNT(F60,I60,L60,O60)=0,"",N(F60)*N(G60)+N(I60)*N(J60)+N(L60)*N(M60)+N(O60)*N(P60))</f>
        <v/>
      </c>
      <c r="R60" s="19" t="str">
        <f aca="false">IF(Q60="","",IF(D60="ASB","f/cm³·año","mg/m³·año"))</f>
        <v/>
      </c>
      <c r="S60" s="19" t="str">
        <f aca="false">IF(OR(Q60="",LEFT(D60,3)&lt;&gt;"SIL"),"",TEXT(INDEX($W$6:$W$19,MATCH(Q60,$V$6:$V$19,1)),"0.0%")&amp;" / "&amp;TEXT(INDEX($X$6:$X$19,MATCH(Q60,$V$6:$V$19,1)),"0.0%")&amp;" / "&amp;TEXT(INDEX($Y$6:$Y$19,MATCH(Q60,$V$6:$V$19,1)),"0.0%"))</f>
        <v/>
      </c>
      <c r="T60" s="27" t="str">
        <f aca="false">IF(Q60="","",IF(D60="ASB",IF(Q60&gt;=25,"En o sobre el rango umbral reportado para asbestosis (25–100 f/ml·año)","Bajo el umbral reportado (25 f/ml·año)"),IF(LEFT(D60,3)="SIL","Referencial: el riesgo depende además de la toxicidad específica del cuarzo (R = f(c, t, S))","Registrar para seguimiento epidemiológico")))</f>
        <v/>
      </c>
    </row>
    <row r="61" customFormat="false" ht="15" hidden="false" customHeight="false" outlineLevel="0" collapsed="false">
      <c r="A61" s="18"/>
      <c r="B61" s="18"/>
      <c r="C61" s="18"/>
      <c r="D61" s="19" t="str">
        <f aca="false">IF(C61="","",IFERROR(INDEX(GES!$E$6:$E$25,MATCH(C61,GES!$A$6:$A$25,0)),"GES?"))</f>
        <v/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24" t="str">
        <f aca="false">IF(COUNT(F61,I61,L61,O61)=0,"",N(F61)*N(G61)+N(I61)*N(J61)+N(L61)*N(M61)+N(O61)*N(P61))</f>
        <v/>
      </c>
      <c r="R61" s="19" t="str">
        <f aca="false">IF(Q61="","",IF(D61="ASB","f/cm³·año","mg/m³·año"))</f>
        <v/>
      </c>
      <c r="S61" s="19" t="str">
        <f aca="false">IF(OR(Q61="",LEFT(D61,3)&lt;&gt;"SIL"),"",TEXT(INDEX($W$6:$W$19,MATCH(Q61,$V$6:$V$19,1)),"0.0%")&amp;" / "&amp;TEXT(INDEX($X$6:$X$19,MATCH(Q61,$V$6:$V$19,1)),"0.0%")&amp;" / "&amp;TEXT(INDEX($Y$6:$Y$19,MATCH(Q61,$V$6:$V$19,1)),"0.0%"))</f>
        <v/>
      </c>
      <c r="T61" s="27" t="str">
        <f aca="false">IF(Q61="","",IF(D61="ASB",IF(Q61&gt;=25,"En o sobre el rango umbral reportado para asbestosis (25–100 f/ml·año)","Bajo el umbral reportado (25 f/ml·año)"),IF(LEFT(D61,3)="SIL","Referencial: el riesgo depende además de la toxicidad específica del cuarzo (R = f(c, t, S))","Registrar para seguimiento epidemiológico")))</f>
        <v/>
      </c>
    </row>
    <row r="62" customFormat="false" ht="15" hidden="false" customHeight="false" outlineLevel="0" collapsed="false">
      <c r="A62" s="18"/>
      <c r="B62" s="18"/>
      <c r="C62" s="18"/>
      <c r="D62" s="19" t="str">
        <f aca="false">IF(C62="","",IFERROR(INDEX(GES!$E$6:$E$25,MATCH(C62,GES!$A$6:$A$25,0)),"GES?"))</f>
        <v/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4" t="str">
        <f aca="false">IF(COUNT(F62,I62,L62,O62)=0,"",N(F62)*N(G62)+N(I62)*N(J62)+N(L62)*N(M62)+N(O62)*N(P62))</f>
        <v/>
      </c>
      <c r="R62" s="19" t="str">
        <f aca="false">IF(Q62="","",IF(D62="ASB","f/cm³·año","mg/m³·año"))</f>
        <v/>
      </c>
      <c r="S62" s="19" t="str">
        <f aca="false">IF(OR(Q62="",LEFT(D62,3)&lt;&gt;"SIL"),"",TEXT(INDEX($W$6:$W$19,MATCH(Q62,$V$6:$V$19,1)),"0.0%")&amp;" / "&amp;TEXT(INDEX($X$6:$X$19,MATCH(Q62,$V$6:$V$19,1)),"0.0%")&amp;" / "&amp;TEXT(INDEX($Y$6:$Y$19,MATCH(Q62,$V$6:$V$19,1)),"0.0%"))</f>
        <v/>
      </c>
      <c r="T62" s="27" t="str">
        <f aca="false">IF(Q62="","",IF(D62="ASB",IF(Q62&gt;=25,"En o sobre el rango umbral reportado para asbestosis (25–100 f/ml·año)","Bajo el umbral reportado (25 f/ml·año)"),IF(LEFT(D62,3)="SIL","Referencial: el riesgo depende además de la toxicidad específica del cuarzo (R = f(c, t, S))","Registrar para seguimiento epidemiológico")))</f>
        <v/>
      </c>
    </row>
    <row r="63" customFormat="false" ht="15" hidden="false" customHeight="false" outlineLevel="0" collapsed="false">
      <c r="A63" s="18"/>
      <c r="B63" s="18"/>
      <c r="C63" s="18"/>
      <c r="D63" s="19" t="str">
        <f aca="false">IF(C63="","",IFERROR(INDEX(GES!$E$6:$E$25,MATCH(C63,GES!$A$6:$A$25,0)),"GES?"))</f>
        <v/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24" t="str">
        <f aca="false">IF(COUNT(F63,I63,L63,O63)=0,"",N(F63)*N(G63)+N(I63)*N(J63)+N(L63)*N(M63)+N(O63)*N(P63))</f>
        <v/>
      </c>
      <c r="R63" s="19" t="str">
        <f aca="false">IF(Q63="","",IF(D63="ASB","f/cm³·año","mg/m³·año"))</f>
        <v/>
      </c>
      <c r="S63" s="19" t="str">
        <f aca="false">IF(OR(Q63="",LEFT(D63,3)&lt;&gt;"SIL"),"",TEXT(INDEX($W$6:$W$19,MATCH(Q63,$V$6:$V$19,1)),"0.0%")&amp;" / "&amp;TEXT(INDEX($X$6:$X$19,MATCH(Q63,$V$6:$V$19,1)),"0.0%")&amp;" / "&amp;TEXT(INDEX($Y$6:$Y$19,MATCH(Q63,$V$6:$V$19,1)),"0.0%"))</f>
        <v/>
      </c>
      <c r="T63" s="27" t="str">
        <f aca="false">IF(Q63="","",IF(D63="ASB",IF(Q63&gt;=25,"En o sobre el rango umbral reportado para asbestosis (25–100 f/ml·año)","Bajo el umbral reportado (25 f/ml·año)"),IF(LEFT(D63,3)="SIL","Referencial: el riesgo depende además de la toxicidad específica del cuarzo (R = f(c, t, S))","Registrar para seguimiento epidemiológico")))</f>
        <v/>
      </c>
    </row>
    <row r="64" customFormat="false" ht="15" hidden="false" customHeight="false" outlineLevel="0" collapsed="false">
      <c r="A64" s="18"/>
      <c r="B64" s="18"/>
      <c r="C64" s="18"/>
      <c r="D64" s="19" t="str">
        <f aca="false">IF(C64="","",IFERROR(INDEX(GES!$E$6:$E$25,MATCH(C64,GES!$A$6:$A$25,0)),"GES?"))</f>
        <v/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24" t="str">
        <f aca="false">IF(COUNT(F64,I64,L64,O64)=0,"",N(F64)*N(G64)+N(I64)*N(J64)+N(L64)*N(M64)+N(O64)*N(P64))</f>
        <v/>
      </c>
      <c r="R64" s="19" t="str">
        <f aca="false">IF(Q64="","",IF(D64="ASB","f/cm³·año","mg/m³·año"))</f>
        <v/>
      </c>
      <c r="S64" s="19" t="str">
        <f aca="false">IF(OR(Q64="",LEFT(D64,3)&lt;&gt;"SIL"),"",TEXT(INDEX($W$6:$W$19,MATCH(Q64,$V$6:$V$19,1)),"0.0%")&amp;" / "&amp;TEXT(INDEX($X$6:$X$19,MATCH(Q64,$V$6:$V$19,1)),"0.0%")&amp;" / "&amp;TEXT(INDEX($Y$6:$Y$19,MATCH(Q64,$V$6:$V$19,1)),"0.0%"))</f>
        <v/>
      </c>
      <c r="T64" s="27" t="str">
        <f aca="false">IF(Q64="","",IF(D64="ASB",IF(Q64&gt;=25,"En o sobre el rango umbral reportado para asbestosis (25–100 f/ml·año)","Bajo el umbral reportado (25 f/ml·año)"),IF(LEFT(D64,3)="SIL","Referencial: el riesgo depende además de la toxicidad específica del cuarzo (R = f(c, t, S))","Registrar para seguimiento epidemiológico")))</f>
        <v/>
      </c>
    </row>
    <row r="65" customFormat="false" ht="15" hidden="false" customHeight="false" outlineLevel="0" collapsed="false">
      <c r="A65" s="18"/>
      <c r="B65" s="18"/>
      <c r="C65" s="18"/>
      <c r="D65" s="19" t="str">
        <f aca="false">IF(C65="","",IFERROR(INDEX(GES!$E$6:$E$25,MATCH(C65,GES!$A$6:$A$25,0)),"GES?"))</f>
        <v/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4" t="str">
        <f aca="false">IF(COUNT(F65,I65,L65,O65)=0,"",N(F65)*N(G65)+N(I65)*N(J65)+N(L65)*N(M65)+N(O65)*N(P65))</f>
        <v/>
      </c>
      <c r="R65" s="19" t="str">
        <f aca="false">IF(Q65="","",IF(D65="ASB","f/cm³·año","mg/m³·año"))</f>
        <v/>
      </c>
      <c r="S65" s="19" t="str">
        <f aca="false">IF(OR(Q65="",LEFT(D65,3)&lt;&gt;"SIL"),"",TEXT(INDEX($W$6:$W$19,MATCH(Q65,$V$6:$V$19,1)),"0.0%")&amp;" / "&amp;TEXT(INDEX($X$6:$X$19,MATCH(Q65,$V$6:$V$19,1)),"0.0%")&amp;" / "&amp;TEXT(INDEX($Y$6:$Y$19,MATCH(Q65,$V$6:$V$19,1)),"0.0%"))</f>
        <v/>
      </c>
      <c r="T65" s="27" t="str">
        <f aca="false">IF(Q65="","",IF(D65="ASB",IF(Q65&gt;=25,"En o sobre el rango umbral reportado para asbestosis (25–100 f/ml·año)","Bajo el umbral reportado (25 f/ml·año)"),IF(LEFT(D65,3)="SIL","Referencial: el riesgo depende además de la toxicidad específica del cuarzo (R = f(c, t, S))","Registrar para seguimiento epidemiológico")))</f>
        <v/>
      </c>
    </row>
    <row r="66" customFormat="false" ht="15" hidden="false" customHeight="false" outlineLevel="0" collapsed="false">
      <c r="A66" s="18"/>
      <c r="B66" s="18"/>
      <c r="C66" s="18"/>
      <c r="D66" s="19" t="str">
        <f aca="false">IF(C66="","",IFERROR(INDEX(GES!$E$6:$E$25,MATCH(C66,GES!$A$6:$A$25,0)),"GES?"))</f>
        <v/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24" t="str">
        <f aca="false">IF(COUNT(F66,I66,L66,O66)=0,"",N(F66)*N(G66)+N(I66)*N(J66)+N(L66)*N(M66)+N(O66)*N(P66))</f>
        <v/>
      </c>
      <c r="R66" s="19" t="str">
        <f aca="false">IF(Q66="","",IF(D66="ASB","f/cm³·año","mg/m³·año"))</f>
        <v/>
      </c>
      <c r="S66" s="19" t="str">
        <f aca="false">IF(OR(Q66="",LEFT(D66,3)&lt;&gt;"SIL"),"",TEXT(INDEX($W$6:$W$19,MATCH(Q66,$V$6:$V$19,1)),"0.0%")&amp;" / "&amp;TEXT(INDEX($X$6:$X$19,MATCH(Q66,$V$6:$V$19,1)),"0.0%")&amp;" / "&amp;TEXT(INDEX($Y$6:$Y$19,MATCH(Q66,$V$6:$V$19,1)),"0.0%"))</f>
        <v/>
      </c>
      <c r="T66" s="27" t="str">
        <f aca="false">IF(Q66="","",IF(D66="ASB",IF(Q66&gt;=25,"En o sobre el rango umbral reportado para asbestosis (25–100 f/ml·año)","Bajo el umbral reportado (25 f/ml·año)"),IF(LEFT(D66,3)="SIL","Referencial: el riesgo depende además de la toxicidad específica del cuarzo (R = f(c, t, S))","Registrar para seguimiento epidemiológico")))</f>
        <v/>
      </c>
    </row>
    <row r="67" customFormat="false" ht="15" hidden="false" customHeight="false" outlineLevel="0" collapsed="false">
      <c r="A67" s="18"/>
      <c r="B67" s="18"/>
      <c r="C67" s="18"/>
      <c r="D67" s="19" t="str">
        <f aca="false">IF(C67="","",IFERROR(INDEX(GES!$E$6:$E$25,MATCH(C67,GES!$A$6:$A$25,0)),"GES?"))</f>
        <v/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24" t="str">
        <f aca="false">IF(COUNT(F67,I67,L67,O67)=0,"",N(F67)*N(G67)+N(I67)*N(J67)+N(L67)*N(M67)+N(O67)*N(P67))</f>
        <v/>
      </c>
      <c r="R67" s="19" t="str">
        <f aca="false">IF(Q67="","",IF(D67="ASB","f/cm³·año","mg/m³·año"))</f>
        <v/>
      </c>
      <c r="S67" s="19" t="str">
        <f aca="false">IF(OR(Q67="",LEFT(D67,3)&lt;&gt;"SIL"),"",TEXT(INDEX($W$6:$W$19,MATCH(Q67,$V$6:$V$19,1)),"0.0%")&amp;" / "&amp;TEXT(INDEX($X$6:$X$19,MATCH(Q67,$V$6:$V$19,1)),"0.0%")&amp;" / "&amp;TEXT(INDEX($Y$6:$Y$19,MATCH(Q67,$V$6:$V$19,1)),"0.0%"))</f>
        <v/>
      </c>
      <c r="T67" s="27" t="str">
        <f aca="false">IF(Q67="","",IF(D67="ASB",IF(Q67&gt;=25,"En o sobre el rango umbral reportado para asbestosis (25–100 f/ml·año)","Bajo el umbral reportado (25 f/ml·año)"),IF(LEFT(D67,3)="SIL","Referencial: el riesgo depende además de la toxicidad específica del cuarzo (R = f(c, t, S))","Registrar para seguimiento epidemiológico")))</f>
        <v/>
      </c>
    </row>
    <row r="68" customFormat="false" ht="15" hidden="false" customHeight="false" outlineLevel="0" collapsed="false">
      <c r="A68" s="18"/>
      <c r="B68" s="18"/>
      <c r="C68" s="18"/>
      <c r="D68" s="19" t="str">
        <f aca="false">IF(C68="","",IFERROR(INDEX(GES!$E$6:$E$25,MATCH(C68,GES!$A$6:$A$25,0)),"GES?"))</f>
        <v/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24" t="str">
        <f aca="false">IF(COUNT(F68,I68,L68,O68)=0,"",N(F68)*N(G68)+N(I68)*N(J68)+N(L68)*N(M68)+N(O68)*N(P68))</f>
        <v/>
      </c>
      <c r="R68" s="19" t="str">
        <f aca="false">IF(Q68="","",IF(D68="ASB","f/cm³·año","mg/m³·año"))</f>
        <v/>
      </c>
      <c r="S68" s="19" t="str">
        <f aca="false">IF(OR(Q68="",LEFT(D68,3)&lt;&gt;"SIL"),"",TEXT(INDEX($W$6:$W$19,MATCH(Q68,$V$6:$V$19,1)),"0.0%")&amp;" / "&amp;TEXT(INDEX($X$6:$X$19,MATCH(Q68,$V$6:$V$19,1)),"0.0%")&amp;" / "&amp;TEXT(INDEX($Y$6:$Y$19,MATCH(Q68,$V$6:$V$19,1)),"0.0%"))</f>
        <v/>
      </c>
      <c r="T68" s="27" t="str">
        <f aca="false">IF(Q68="","",IF(D68="ASB",IF(Q68&gt;=25,"En o sobre el rango umbral reportado para asbestosis (25–100 f/ml·año)","Bajo el umbral reportado (25 f/ml·año)"),IF(LEFT(D68,3)="SIL","Referencial: el riesgo depende además de la toxicidad específica del cuarzo (R = f(c, t, S))","Registrar para seguimiento epidemiológico")))</f>
        <v/>
      </c>
    </row>
    <row r="69" customFormat="false" ht="15" hidden="false" customHeight="false" outlineLevel="0" collapsed="false">
      <c r="A69" s="18"/>
      <c r="B69" s="18"/>
      <c r="C69" s="18"/>
      <c r="D69" s="19" t="str">
        <f aca="false">IF(C69="","",IFERROR(INDEX(GES!$E$6:$E$25,MATCH(C69,GES!$A$6:$A$25,0)),"GES?"))</f>
        <v/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4" t="str">
        <f aca="false">IF(COUNT(F69,I69,L69,O69)=0,"",N(F69)*N(G69)+N(I69)*N(J69)+N(L69)*N(M69)+N(O69)*N(P69))</f>
        <v/>
      </c>
      <c r="R69" s="19" t="str">
        <f aca="false">IF(Q69="","",IF(D69="ASB","f/cm³·año","mg/m³·año"))</f>
        <v/>
      </c>
      <c r="S69" s="19" t="str">
        <f aca="false">IF(OR(Q69="",LEFT(D69,3)&lt;&gt;"SIL"),"",TEXT(INDEX($W$6:$W$19,MATCH(Q69,$V$6:$V$19,1)),"0.0%")&amp;" / "&amp;TEXT(INDEX($X$6:$X$19,MATCH(Q69,$V$6:$V$19,1)),"0.0%")&amp;" / "&amp;TEXT(INDEX($Y$6:$Y$19,MATCH(Q69,$V$6:$V$19,1)),"0.0%"))</f>
        <v/>
      </c>
      <c r="T69" s="27" t="str">
        <f aca="false">IF(Q69="","",IF(D69="ASB",IF(Q69&gt;=25,"En o sobre el rango umbral reportado para asbestosis (25–100 f/ml·año)","Bajo el umbral reportado (25 f/ml·año)"),IF(LEFT(D69,3)="SIL","Referencial: el riesgo depende además de la toxicidad específica del cuarzo (R = f(c, t, S))","Registrar para seguimiento epidemiológico")))</f>
        <v/>
      </c>
    </row>
    <row r="70" customFormat="false" ht="15" hidden="false" customHeight="false" outlineLevel="0" collapsed="false">
      <c r="A70" s="18"/>
      <c r="B70" s="18"/>
      <c r="C70" s="18"/>
      <c r="D70" s="19" t="str">
        <f aca="false">IF(C70="","",IFERROR(INDEX(GES!$E$6:$E$25,MATCH(C70,GES!$A$6:$A$25,0)),"GES?"))</f>
        <v/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4" t="str">
        <f aca="false">IF(COUNT(F70,I70,L70,O70)=0,"",N(F70)*N(G70)+N(I70)*N(J70)+N(L70)*N(M70)+N(O70)*N(P70))</f>
        <v/>
      </c>
      <c r="R70" s="19" t="str">
        <f aca="false">IF(Q70="","",IF(D70="ASB","f/cm³·año","mg/m³·año"))</f>
        <v/>
      </c>
      <c r="S70" s="19" t="str">
        <f aca="false">IF(OR(Q70="",LEFT(D70,3)&lt;&gt;"SIL"),"",TEXT(INDEX($W$6:$W$19,MATCH(Q70,$V$6:$V$19,1)),"0.0%")&amp;" / "&amp;TEXT(INDEX($X$6:$X$19,MATCH(Q70,$V$6:$V$19,1)),"0.0%")&amp;" / "&amp;TEXT(INDEX($Y$6:$Y$19,MATCH(Q70,$V$6:$V$19,1)),"0.0%"))</f>
        <v/>
      </c>
      <c r="T70" s="27" t="str">
        <f aca="false">IF(Q70="","",IF(D70="ASB",IF(Q70&gt;=25,"En o sobre el rango umbral reportado para asbestosis (25–100 f/ml·año)","Bajo el umbral reportado (25 f/ml·año)"),IF(LEFT(D70,3)="SIL","Referencial: el riesgo depende además de la toxicidad específica del cuarzo (R = f(c, t, S))","Registrar para seguimiento epidemiológico")))</f>
        <v/>
      </c>
    </row>
    <row r="71" customFormat="false" ht="15" hidden="false" customHeight="false" outlineLevel="0" collapsed="false">
      <c r="A71" s="18"/>
      <c r="B71" s="18"/>
      <c r="C71" s="18"/>
      <c r="D71" s="19" t="str">
        <f aca="false">IF(C71="","",IFERROR(INDEX(GES!$E$6:$E$25,MATCH(C71,GES!$A$6:$A$25,0)),"GES?"))</f>
        <v/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4" t="str">
        <f aca="false">IF(COUNT(F71,I71,L71,O71)=0,"",N(F71)*N(G71)+N(I71)*N(J71)+N(L71)*N(M71)+N(O71)*N(P71))</f>
        <v/>
      </c>
      <c r="R71" s="19" t="str">
        <f aca="false">IF(Q71="","",IF(D71="ASB","f/cm³·año","mg/m³·año"))</f>
        <v/>
      </c>
      <c r="S71" s="19" t="str">
        <f aca="false">IF(OR(Q71="",LEFT(D71,3)&lt;&gt;"SIL"),"",TEXT(INDEX($W$6:$W$19,MATCH(Q71,$V$6:$V$19,1)),"0.0%")&amp;" / "&amp;TEXT(INDEX($X$6:$X$19,MATCH(Q71,$V$6:$V$19,1)),"0.0%")&amp;" / "&amp;TEXT(INDEX($Y$6:$Y$19,MATCH(Q71,$V$6:$V$19,1)),"0.0%"))</f>
        <v/>
      </c>
      <c r="T71" s="27" t="str">
        <f aca="false">IF(Q71="","",IF(D71="ASB",IF(Q71&gt;=25,"En o sobre el rango umbral reportado para asbestosis (25–100 f/ml·año)","Bajo el umbral reportado (25 f/ml·año)"),IF(LEFT(D71,3)="SIL","Referencial: el riesgo depende además de la toxicidad específica del cuarzo (R = f(c, t, S))","Registrar para seguimiento epidemiológico")))</f>
        <v/>
      </c>
    </row>
    <row r="72" customFormat="false" ht="15" hidden="false" customHeight="false" outlineLevel="0" collapsed="false">
      <c r="A72" s="18"/>
      <c r="B72" s="18"/>
      <c r="C72" s="18"/>
      <c r="D72" s="19" t="str">
        <f aca="false">IF(C72="","",IFERROR(INDEX(GES!$E$6:$E$25,MATCH(C72,GES!$A$6:$A$25,0)),"GES?"))</f>
        <v/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4" t="str">
        <f aca="false">IF(COUNT(F72,I72,L72,O72)=0,"",N(F72)*N(G72)+N(I72)*N(J72)+N(L72)*N(M72)+N(O72)*N(P72))</f>
        <v/>
      </c>
      <c r="R72" s="19" t="str">
        <f aca="false">IF(Q72="","",IF(D72="ASB","f/cm³·año","mg/m³·año"))</f>
        <v/>
      </c>
      <c r="S72" s="19" t="str">
        <f aca="false">IF(OR(Q72="",LEFT(D72,3)&lt;&gt;"SIL"),"",TEXT(INDEX($W$6:$W$19,MATCH(Q72,$V$6:$V$19,1)),"0.0%")&amp;" / "&amp;TEXT(INDEX($X$6:$X$19,MATCH(Q72,$V$6:$V$19,1)),"0.0%")&amp;" / "&amp;TEXT(INDEX($Y$6:$Y$19,MATCH(Q72,$V$6:$V$19,1)),"0.0%"))</f>
        <v/>
      </c>
      <c r="T72" s="27" t="str">
        <f aca="false">IF(Q72="","",IF(D72="ASB",IF(Q72&gt;=25,"En o sobre el rango umbral reportado para asbestosis (25–100 f/ml·año)","Bajo el umbral reportado (25 f/ml·año)"),IF(LEFT(D72,3)="SIL","Referencial: el riesgo depende además de la toxicidad específica del cuarzo (R = f(c, t, S))","Registrar para seguimiento epidemiológico")))</f>
        <v/>
      </c>
    </row>
    <row r="73" customFormat="false" ht="15" hidden="false" customHeight="false" outlineLevel="0" collapsed="false">
      <c r="A73" s="18"/>
      <c r="B73" s="18"/>
      <c r="C73" s="18"/>
      <c r="D73" s="19" t="str">
        <f aca="false">IF(C73="","",IFERROR(INDEX(GES!$E$6:$E$25,MATCH(C73,GES!$A$6:$A$25,0)),"GES?"))</f>
        <v/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24" t="str">
        <f aca="false">IF(COUNT(F73,I73,L73,O73)=0,"",N(F73)*N(G73)+N(I73)*N(J73)+N(L73)*N(M73)+N(O73)*N(P73))</f>
        <v/>
      </c>
      <c r="R73" s="19" t="str">
        <f aca="false">IF(Q73="","",IF(D73="ASB","f/cm³·año","mg/m³·año"))</f>
        <v/>
      </c>
      <c r="S73" s="19" t="str">
        <f aca="false">IF(OR(Q73="",LEFT(D73,3)&lt;&gt;"SIL"),"",TEXT(INDEX($W$6:$W$19,MATCH(Q73,$V$6:$V$19,1)),"0.0%")&amp;" / "&amp;TEXT(INDEX($X$6:$X$19,MATCH(Q73,$V$6:$V$19,1)),"0.0%")&amp;" / "&amp;TEXT(INDEX($Y$6:$Y$19,MATCH(Q73,$V$6:$V$19,1)),"0.0%"))</f>
        <v/>
      </c>
      <c r="T73" s="27" t="str">
        <f aca="false">IF(Q73="","",IF(D73="ASB",IF(Q73&gt;=25,"En o sobre el rango umbral reportado para asbestosis (25–100 f/ml·año)","Bajo el umbral reportado (25 f/ml·año)"),IF(LEFT(D73,3)="SIL","Referencial: el riesgo depende además de la toxicidad específica del cuarzo (R = f(c, t, S))","Registrar para seguimiento epidemiológico")))</f>
        <v/>
      </c>
    </row>
    <row r="74" customFormat="false" ht="15" hidden="false" customHeight="false" outlineLevel="0" collapsed="false">
      <c r="A74" s="18"/>
      <c r="B74" s="18"/>
      <c r="C74" s="18"/>
      <c r="D74" s="19" t="str">
        <f aca="false">IF(C74="","",IFERROR(INDEX(GES!$E$6:$E$25,MATCH(C74,GES!$A$6:$A$25,0)),"GES?"))</f>
        <v/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24" t="str">
        <f aca="false">IF(COUNT(F74,I74,L74,O74)=0,"",N(F74)*N(G74)+N(I74)*N(J74)+N(L74)*N(M74)+N(O74)*N(P74))</f>
        <v/>
      </c>
      <c r="R74" s="19" t="str">
        <f aca="false">IF(Q74="","",IF(D74="ASB","f/cm³·año","mg/m³·año"))</f>
        <v/>
      </c>
      <c r="S74" s="19" t="str">
        <f aca="false">IF(OR(Q74="",LEFT(D74,3)&lt;&gt;"SIL"),"",TEXT(INDEX($W$6:$W$19,MATCH(Q74,$V$6:$V$19,1)),"0.0%")&amp;" / "&amp;TEXT(INDEX($X$6:$X$19,MATCH(Q74,$V$6:$V$19,1)),"0.0%")&amp;" / "&amp;TEXT(INDEX($Y$6:$Y$19,MATCH(Q74,$V$6:$V$19,1)),"0.0%"))</f>
        <v/>
      </c>
      <c r="T74" s="27" t="str">
        <f aca="false">IF(Q74="","",IF(D74="ASB",IF(Q74&gt;=25,"En o sobre el rango umbral reportado para asbestosis (25–100 f/ml·año)","Bajo el umbral reportado (25 f/ml·año)"),IF(LEFT(D74,3)="SIL","Referencial: el riesgo depende además de la toxicidad específica del cuarzo (R = f(c, t, S))","Registrar para seguimiento epidemiológico")))</f>
        <v/>
      </c>
    </row>
    <row r="75" customFormat="false" ht="15" hidden="false" customHeight="false" outlineLevel="0" collapsed="false">
      <c r="A75" s="18"/>
      <c r="B75" s="18"/>
      <c r="C75" s="18"/>
      <c r="D75" s="19" t="str">
        <f aca="false">IF(C75="","",IFERROR(INDEX(GES!$E$6:$E$25,MATCH(C75,GES!$A$6:$A$25,0)),"GES?"))</f>
        <v/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24" t="str">
        <f aca="false">IF(COUNT(F75,I75,L75,O75)=0,"",N(F75)*N(G75)+N(I75)*N(J75)+N(L75)*N(M75)+N(O75)*N(P75))</f>
        <v/>
      </c>
      <c r="R75" s="19" t="str">
        <f aca="false">IF(Q75="","",IF(D75="ASB","f/cm³·año","mg/m³·año"))</f>
        <v/>
      </c>
      <c r="S75" s="19" t="str">
        <f aca="false">IF(OR(Q75="",LEFT(D75,3)&lt;&gt;"SIL"),"",TEXT(INDEX($W$6:$W$19,MATCH(Q75,$V$6:$V$19,1)),"0.0%")&amp;" / "&amp;TEXT(INDEX($X$6:$X$19,MATCH(Q75,$V$6:$V$19,1)),"0.0%")&amp;" / "&amp;TEXT(INDEX($Y$6:$Y$19,MATCH(Q75,$V$6:$V$19,1)),"0.0%"))</f>
        <v/>
      </c>
      <c r="T75" s="27" t="str">
        <f aca="false">IF(Q75="","",IF(D75="ASB",IF(Q75&gt;=25,"En o sobre el rango umbral reportado para asbestosis (25–100 f/ml·año)","Bajo el umbral reportado (25 f/ml·año)"),IF(LEFT(D75,3)="SIL","Referencial: el riesgo depende además de la toxicidad específica del cuarzo (R = f(c, t, S))","Registrar para seguimiento epidemiológico")))</f>
        <v/>
      </c>
    </row>
    <row r="76" customFormat="false" ht="15" hidden="false" customHeight="false" outlineLevel="0" collapsed="false">
      <c r="A76" s="18"/>
      <c r="B76" s="18"/>
      <c r="C76" s="18"/>
      <c r="D76" s="19" t="str">
        <f aca="false">IF(C76="","",IFERROR(INDEX(GES!$E$6:$E$25,MATCH(C76,GES!$A$6:$A$25,0)),"GES?"))</f>
        <v/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4" t="str">
        <f aca="false">IF(COUNT(F76,I76,L76,O76)=0,"",N(F76)*N(G76)+N(I76)*N(J76)+N(L76)*N(M76)+N(O76)*N(P76))</f>
        <v/>
      </c>
      <c r="R76" s="19" t="str">
        <f aca="false">IF(Q76="","",IF(D76="ASB","f/cm³·año","mg/m³·año"))</f>
        <v/>
      </c>
      <c r="S76" s="19" t="str">
        <f aca="false">IF(OR(Q76="",LEFT(D76,3)&lt;&gt;"SIL"),"",TEXT(INDEX($W$6:$W$19,MATCH(Q76,$V$6:$V$19,1)),"0.0%")&amp;" / "&amp;TEXT(INDEX($X$6:$X$19,MATCH(Q76,$V$6:$V$19,1)),"0.0%")&amp;" / "&amp;TEXT(INDEX($Y$6:$Y$19,MATCH(Q76,$V$6:$V$19,1)),"0.0%"))</f>
        <v/>
      </c>
      <c r="T76" s="27" t="str">
        <f aca="false">IF(Q76="","",IF(D76="ASB",IF(Q76&gt;=25,"En o sobre el rango umbral reportado para asbestosis (25–100 f/ml·año)","Bajo el umbral reportado (25 f/ml·año)"),IF(LEFT(D76,3)="SIL","Referencial: el riesgo depende además de la toxicidad específica del cuarzo (R = f(c, t, S))","Registrar para seguimiento epidemiológico")))</f>
        <v/>
      </c>
    </row>
    <row r="77" customFormat="false" ht="15" hidden="false" customHeight="false" outlineLevel="0" collapsed="false">
      <c r="A77" s="18"/>
      <c r="B77" s="18"/>
      <c r="C77" s="18"/>
      <c r="D77" s="19" t="str">
        <f aca="false">IF(C77="","",IFERROR(INDEX(GES!$E$6:$E$25,MATCH(C77,GES!$A$6:$A$25,0)),"GES?"))</f>
        <v/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24" t="str">
        <f aca="false">IF(COUNT(F77,I77,L77,O77)=0,"",N(F77)*N(G77)+N(I77)*N(J77)+N(L77)*N(M77)+N(O77)*N(P77))</f>
        <v/>
      </c>
      <c r="R77" s="19" t="str">
        <f aca="false">IF(Q77="","",IF(D77="ASB","f/cm³·año","mg/m³·año"))</f>
        <v/>
      </c>
      <c r="S77" s="19" t="str">
        <f aca="false">IF(OR(Q77="",LEFT(D77,3)&lt;&gt;"SIL"),"",TEXT(INDEX($W$6:$W$19,MATCH(Q77,$V$6:$V$19,1)),"0.0%")&amp;" / "&amp;TEXT(INDEX($X$6:$X$19,MATCH(Q77,$V$6:$V$19,1)),"0.0%")&amp;" / "&amp;TEXT(INDEX($Y$6:$Y$19,MATCH(Q77,$V$6:$V$19,1)),"0.0%"))</f>
        <v/>
      </c>
      <c r="T77" s="27" t="str">
        <f aca="false">IF(Q77="","",IF(D77="ASB",IF(Q77&gt;=25,"En o sobre el rango umbral reportado para asbestosis (25–100 f/ml·año)","Bajo el umbral reportado (25 f/ml·año)"),IF(LEFT(D77,3)="SIL","Referencial: el riesgo depende además de la toxicidad específica del cuarzo (R = f(c, t, S))","Registrar para seguimiento epidemiológico")))</f>
        <v/>
      </c>
    </row>
    <row r="78" customFormat="false" ht="15" hidden="false" customHeight="false" outlineLevel="0" collapsed="false">
      <c r="A78" s="18"/>
      <c r="B78" s="18"/>
      <c r="C78" s="18"/>
      <c r="D78" s="19" t="str">
        <f aca="false">IF(C78="","",IFERROR(INDEX(GES!$E$6:$E$25,MATCH(C78,GES!$A$6:$A$25,0)),"GES?"))</f>
        <v/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24" t="str">
        <f aca="false">IF(COUNT(F78,I78,L78,O78)=0,"",N(F78)*N(G78)+N(I78)*N(J78)+N(L78)*N(M78)+N(O78)*N(P78))</f>
        <v/>
      </c>
      <c r="R78" s="19" t="str">
        <f aca="false">IF(Q78="","",IF(D78="ASB","f/cm³·año","mg/m³·año"))</f>
        <v/>
      </c>
      <c r="S78" s="19" t="str">
        <f aca="false">IF(OR(Q78="",LEFT(D78,3)&lt;&gt;"SIL"),"",TEXT(INDEX($W$6:$W$19,MATCH(Q78,$V$6:$V$19,1)),"0.0%")&amp;" / "&amp;TEXT(INDEX($X$6:$X$19,MATCH(Q78,$V$6:$V$19,1)),"0.0%")&amp;" / "&amp;TEXT(INDEX($Y$6:$Y$19,MATCH(Q78,$V$6:$V$19,1)),"0.0%"))</f>
        <v/>
      </c>
      <c r="T78" s="27" t="str">
        <f aca="false">IF(Q78="","",IF(D78="ASB",IF(Q78&gt;=25,"En o sobre el rango umbral reportado para asbestosis (25–100 f/ml·año)","Bajo el umbral reportado (25 f/ml·año)"),IF(LEFT(D78,3)="SIL","Referencial: el riesgo depende además de la toxicidad específica del cuarzo (R = f(c, t, S))","Registrar para seguimiento epidemiológico")))</f>
        <v/>
      </c>
    </row>
    <row r="79" customFormat="false" ht="15" hidden="false" customHeight="false" outlineLevel="0" collapsed="false">
      <c r="A79" s="18"/>
      <c r="B79" s="18"/>
      <c r="C79" s="18"/>
      <c r="D79" s="19" t="str">
        <f aca="false">IF(C79="","",IFERROR(INDEX(GES!$E$6:$E$25,MATCH(C79,GES!$A$6:$A$25,0)),"GES?"))</f>
        <v/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4" t="str">
        <f aca="false">IF(COUNT(F79,I79,L79,O79)=0,"",N(F79)*N(G79)+N(I79)*N(J79)+N(L79)*N(M79)+N(O79)*N(P79))</f>
        <v/>
      </c>
      <c r="R79" s="19" t="str">
        <f aca="false">IF(Q79="","",IF(D79="ASB","f/cm³·año","mg/m³·año"))</f>
        <v/>
      </c>
      <c r="S79" s="19" t="str">
        <f aca="false">IF(OR(Q79="",LEFT(D79,3)&lt;&gt;"SIL"),"",TEXT(INDEX($W$6:$W$19,MATCH(Q79,$V$6:$V$19,1)),"0.0%")&amp;" / "&amp;TEXT(INDEX($X$6:$X$19,MATCH(Q79,$V$6:$V$19,1)),"0.0%")&amp;" / "&amp;TEXT(INDEX($Y$6:$Y$19,MATCH(Q79,$V$6:$V$19,1)),"0.0%"))</f>
        <v/>
      </c>
      <c r="T79" s="27" t="str">
        <f aca="false">IF(Q79="","",IF(D79="ASB",IF(Q79&gt;=25,"En o sobre el rango umbral reportado para asbestosis (25–100 f/ml·año)","Bajo el umbral reportado (25 f/ml·año)"),IF(LEFT(D79,3)="SIL","Referencial: el riesgo depende además de la toxicidad específica del cuarzo (R = f(c, t, S))","Registrar para seguimiento epidemiológico")))</f>
        <v/>
      </c>
    </row>
    <row r="80" customFormat="false" ht="15" hidden="false" customHeight="false" outlineLevel="0" collapsed="false">
      <c r="A80" s="18"/>
      <c r="B80" s="18"/>
      <c r="C80" s="18"/>
      <c r="D80" s="19" t="str">
        <f aca="false">IF(C80="","",IFERROR(INDEX(GES!$E$6:$E$25,MATCH(C80,GES!$A$6:$A$25,0)),"GES?"))</f>
        <v/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4" t="str">
        <f aca="false">IF(COUNT(F80,I80,L80,O80)=0,"",N(F80)*N(G80)+N(I80)*N(J80)+N(L80)*N(M80)+N(O80)*N(P80))</f>
        <v/>
      </c>
      <c r="R80" s="19" t="str">
        <f aca="false">IF(Q80="","",IF(D80="ASB","f/cm³·año","mg/m³·año"))</f>
        <v/>
      </c>
      <c r="S80" s="19" t="str">
        <f aca="false">IF(OR(Q80="",LEFT(D80,3)&lt;&gt;"SIL"),"",TEXT(INDEX($W$6:$W$19,MATCH(Q80,$V$6:$V$19,1)),"0.0%")&amp;" / "&amp;TEXT(INDEX($X$6:$X$19,MATCH(Q80,$V$6:$V$19,1)),"0.0%")&amp;" / "&amp;TEXT(INDEX($Y$6:$Y$19,MATCH(Q80,$V$6:$V$19,1)),"0.0%"))</f>
        <v/>
      </c>
      <c r="T80" s="27" t="str">
        <f aca="false">IF(Q80="","",IF(D80="ASB",IF(Q80&gt;=25,"En o sobre el rango umbral reportado para asbestosis (25–100 f/ml·año)","Bajo el umbral reportado (25 f/ml·año)"),IF(LEFT(D80,3)="SIL","Referencial: el riesgo depende además de la toxicidad específica del cuarzo (R = f(c, t, S))","Registrar para seguimiento epidemiológico")))</f>
        <v/>
      </c>
    </row>
    <row r="81" customFormat="false" ht="15" hidden="false" customHeight="false" outlineLevel="0" collapsed="false">
      <c r="A81" s="18"/>
      <c r="B81" s="18"/>
      <c r="C81" s="18"/>
      <c r="D81" s="19" t="str">
        <f aca="false">IF(C81="","",IFERROR(INDEX(GES!$E$6:$E$25,MATCH(C81,GES!$A$6:$A$25,0)),"GES?"))</f>
        <v/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24" t="str">
        <f aca="false">IF(COUNT(F81,I81,L81,O81)=0,"",N(F81)*N(G81)+N(I81)*N(J81)+N(L81)*N(M81)+N(O81)*N(P81))</f>
        <v/>
      </c>
      <c r="R81" s="19" t="str">
        <f aca="false">IF(Q81="","",IF(D81="ASB","f/cm³·año","mg/m³·año"))</f>
        <v/>
      </c>
      <c r="S81" s="19" t="str">
        <f aca="false">IF(OR(Q81="",LEFT(D81,3)&lt;&gt;"SIL"),"",TEXT(INDEX($W$6:$W$19,MATCH(Q81,$V$6:$V$19,1)),"0.0%")&amp;" / "&amp;TEXT(INDEX($X$6:$X$19,MATCH(Q81,$V$6:$V$19,1)),"0.0%")&amp;" / "&amp;TEXT(INDEX($Y$6:$Y$19,MATCH(Q81,$V$6:$V$19,1)),"0.0%"))</f>
        <v/>
      </c>
      <c r="T81" s="27" t="str">
        <f aca="false">IF(Q81="","",IF(D81="ASB",IF(Q81&gt;=25,"En o sobre el rango umbral reportado para asbestosis (25–100 f/ml·año)","Bajo el umbral reportado (25 f/ml·año)"),IF(LEFT(D81,3)="SIL","Referencial: el riesgo depende además de la toxicidad específica del cuarzo (R = f(c, t, S))","Registrar para seguimiento epidemiológico")))</f>
        <v/>
      </c>
    </row>
    <row r="82" customFormat="false" ht="15" hidden="false" customHeight="false" outlineLevel="0" collapsed="false">
      <c r="A82" s="18"/>
      <c r="B82" s="18"/>
      <c r="C82" s="18"/>
      <c r="D82" s="19" t="str">
        <f aca="false">IF(C82="","",IFERROR(INDEX(GES!$E$6:$E$25,MATCH(C82,GES!$A$6:$A$25,0)),"GES?"))</f>
        <v/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4" t="str">
        <f aca="false">IF(COUNT(F82,I82,L82,O82)=0,"",N(F82)*N(G82)+N(I82)*N(J82)+N(L82)*N(M82)+N(O82)*N(P82))</f>
        <v/>
      </c>
      <c r="R82" s="19" t="str">
        <f aca="false">IF(Q82="","",IF(D82="ASB","f/cm³·año","mg/m³·año"))</f>
        <v/>
      </c>
      <c r="S82" s="19" t="str">
        <f aca="false">IF(OR(Q82="",LEFT(D82,3)&lt;&gt;"SIL"),"",TEXT(INDEX($W$6:$W$19,MATCH(Q82,$V$6:$V$19,1)),"0.0%")&amp;" / "&amp;TEXT(INDEX($X$6:$X$19,MATCH(Q82,$V$6:$V$19,1)),"0.0%")&amp;" / "&amp;TEXT(INDEX($Y$6:$Y$19,MATCH(Q82,$V$6:$V$19,1)),"0.0%"))</f>
        <v/>
      </c>
      <c r="T82" s="27" t="str">
        <f aca="false">IF(Q82="","",IF(D82="ASB",IF(Q82&gt;=25,"En o sobre el rango umbral reportado para asbestosis (25–100 f/ml·año)","Bajo el umbral reportado (25 f/ml·año)"),IF(LEFT(D82,3)="SIL","Referencial: el riesgo depende además de la toxicidad específica del cuarzo (R = f(c, t, S))","Registrar para seguimiento epidemiológico")))</f>
        <v/>
      </c>
    </row>
    <row r="83" customFormat="false" ht="15" hidden="false" customHeight="false" outlineLevel="0" collapsed="false">
      <c r="A83" s="18"/>
      <c r="B83" s="18"/>
      <c r="C83" s="18"/>
      <c r="D83" s="19" t="str">
        <f aca="false">IF(C83="","",IFERROR(INDEX(GES!$E$6:$E$25,MATCH(C83,GES!$A$6:$A$25,0)),"GES?"))</f>
        <v/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4" t="str">
        <f aca="false">IF(COUNT(F83,I83,L83,O83)=0,"",N(F83)*N(G83)+N(I83)*N(J83)+N(L83)*N(M83)+N(O83)*N(P83))</f>
        <v/>
      </c>
      <c r="R83" s="19" t="str">
        <f aca="false">IF(Q83="","",IF(D83="ASB","f/cm³·año","mg/m³·año"))</f>
        <v/>
      </c>
      <c r="S83" s="19" t="str">
        <f aca="false">IF(OR(Q83="",LEFT(D83,3)&lt;&gt;"SIL"),"",TEXT(INDEX($W$6:$W$19,MATCH(Q83,$V$6:$V$19,1)),"0.0%")&amp;" / "&amp;TEXT(INDEX($X$6:$X$19,MATCH(Q83,$V$6:$V$19,1)),"0.0%")&amp;" / "&amp;TEXT(INDEX($Y$6:$Y$19,MATCH(Q83,$V$6:$V$19,1)),"0.0%"))</f>
        <v/>
      </c>
      <c r="T83" s="27" t="str">
        <f aca="false">IF(Q83="","",IF(D83="ASB",IF(Q83&gt;=25,"En o sobre el rango umbral reportado para asbestosis (25–100 f/ml·año)","Bajo el umbral reportado (25 f/ml·año)"),IF(LEFT(D83,3)="SIL","Referencial: el riesgo depende además de la toxicidad específica del cuarzo (R = f(c, t, S))","Registrar para seguimiento epidemiológico")))</f>
        <v/>
      </c>
    </row>
    <row r="84" customFormat="false" ht="15" hidden="false" customHeight="false" outlineLevel="0" collapsed="false">
      <c r="A84" s="18"/>
      <c r="B84" s="18"/>
      <c r="C84" s="18"/>
      <c r="D84" s="19" t="str">
        <f aca="false">IF(C84="","",IFERROR(INDEX(GES!$E$6:$E$25,MATCH(C84,GES!$A$6:$A$25,0)),"GES?"))</f>
        <v/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4" t="str">
        <f aca="false">IF(COUNT(F84,I84,L84,O84)=0,"",N(F84)*N(G84)+N(I84)*N(J84)+N(L84)*N(M84)+N(O84)*N(P84))</f>
        <v/>
      </c>
      <c r="R84" s="19" t="str">
        <f aca="false">IF(Q84="","",IF(D84="ASB","f/cm³·año","mg/m³·año"))</f>
        <v/>
      </c>
      <c r="S84" s="19" t="str">
        <f aca="false">IF(OR(Q84="",LEFT(D84,3)&lt;&gt;"SIL"),"",TEXT(INDEX($W$6:$W$19,MATCH(Q84,$V$6:$V$19,1)),"0.0%")&amp;" / "&amp;TEXT(INDEX($X$6:$X$19,MATCH(Q84,$V$6:$V$19,1)),"0.0%")&amp;" / "&amp;TEXT(INDEX($Y$6:$Y$19,MATCH(Q84,$V$6:$V$19,1)),"0.0%"))</f>
        <v/>
      </c>
      <c r="T84" s="27" t="str">
        <f aca="false">IF(Q84="","",IF(D84="ASB",IF(Q84&gt;=25,"En o sobre el rango umbral reportado para asbestosis (25–100 f/ml·año)","Bajo el umbral reportado (25 f/ml·año)"),IF(LEFT(D84,3)="SIL","Referencial: el riesgo depende además de la toxicidad específica del cuarzo (R = f(c, t, S))","Registrar para seguimiento epidemiológico")))</f>
        <v/>
      </c>
    </row>
    <row r="85" customFormat="false" ht="15" hidden="false" customHeight="false" outlineLevel="0" collapsed="false">
      <c r="A85" s="18"/>
      <c r="B85" s="18"/>
      <c r="C85" s="18"/>
      <c r="D85" s="19" t="str">
        <f aca="false">IF(C85="","",IFERROR(INDEX(GES!$E$6:$E$25,MATCH(C85,GES!$A$6:$A$25,0)),"GES?"))</f>
        <v/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24" t="str">
        <f aca="false">IF(COUNT(F85,I85,L85,O85)=0,"",N(F85)*N(G85)+N(I85)*N(J85)+N(L85)*N(M85)+N(O85)*N(P85))</f>
        <v/>
      </c>
      <c r="R85" s="19" t="str">
        <f aca="false">IF(Q85="","",IF(D85="ASB","f/cm³·año","mg/m³·año"))</f>
        <v/>
      </c>
      <c r="S85" s="19" t="str">
        <f aca="false">IF(OR(Q85="",LEFT(D85,3)&lt;&gt;"SIL"),"",TEXT(INDEX($W$6:$W$19,MATCH(Q85,$V$6:$V$19,1)),"0.0%")&amp;" / "&amp;TEXT(INDEX($X$6:$X$19,MATCH(Q85,$V$6:$V$19,1)),"0.0%")&amp;" / "&amp;TEXT(INDEX($Y$6:$Y$19,MATCH(Q85,$V$6:$V$19,1)),"0.0%"))</f>
        <v/>
      </c>
      <c r="T85" s="27" t="str">
        <f aca="false">IF(Q85="","",IF(D85="ASB",IF(Q85&gt;=25,"En o sobre el rango umbral reportado para asbestosis (25–100 f/ml·año)","Bajo el umbral reportado (25 f/ml·año)"),IF(LEFT(D85,3)="SIL","Referencial: el riesgo depende además de la toxicidad específica del cuarzo (R = f(c, t, S))","Registrar para seguimiento epidemiológico")))</f>
        <v/>
      </c>
    </row>
    <row r="86" customFormat="false" ht="15" hidden="false" customHeight="false" outlineLevel="0" collapsed="false">
      <c r="A86" s="18"/>
      <c r="B86" s="18"/>
      <c r="C86" s="18"/>
      <c r="D86" s="19" t="str">
        <f aca="false">IF(C86="","",IFERROR(INDEX(GES!$E$6:$E$25,MATCH(C86,GES!$A$6:$A$25,0)),"GES?"))</f>
        <v/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4" t="str">
        <f aca="false">IF(COUNT(F86,I86,L86,O86)=0,"",N(F86)*N(G86)+N(I86)*N(J86)+N(L86)*N(M86)+N(O86)*N(P86))</f>
        <v/>
      </c>
      <c r="R86" s="19" t="str">
        <f aca="false">IF(Q86="","",IF(D86="ASB","f/cm³·año","mg/m³·año"))</f>
        <v/>
      </c>
      <c r="S86" s="19" t="str">
        <f aca="false">IF(OR(Q86="",LEFT(D86,3)&lt;&gt;"SIL"),"",TEXT(INDEX($W$6:$W$19,MATCH(Q86,$V$6:$V$19,1)),"0.0%")&amp;" / "&amp;TEXT(INDEX($X$6:$X$19,MATCH(Q86,$V$6:$V$19,1)),"0.0%")&amp;" / "&amp;TEXT(INDEX($Y$6:$Y$19,MATCH(Q86,$V$6:$V$19,1)),"0.0%"))</f>
        <v/>
      </c>
      <c r="T86" s="27" t="str">
        <f aca="false">IF(Q86="","",IF(D86="ASB",IF(Q86&gt;=25,"En o sobre el rango umbral reportado para asbestosis (25–100 f/ml·año)","Bajo el umbral reportado (25 f/ml·año)"),IF(LEFT(D86,3)="SIL","Referencial: el riesgo depende además de la toxicidad específica del cuarzo (R = f(c, t, S))","Registrar para seguimiento epidemiológico")))</f>
        <v/>
      </c>
    </row>
    <row r="87" customFormat="false" ht="15" hidden="false" customHeight="false" outlineLevel="0" collapsed="false">
      <c r="A87" s="18"/>
      <c r="B87" s="18"/>
      <c r="C87" s="18"/>
      <c r="D87" s="19" t="str">
        <f aca="false">IF(C87="","",IFERROR(INDEX(GES!$E$6:$E$25,MATCH(C87,GES!$A$6:$A$25,0)),"GES?"))</f>
        <v/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24" t="str">
        <f aca="false">IF(COUNT(F87,I87,L87,O87)=0,"",N(F87)*N(G87)+N(I87)*N(J87)+N(L87)*N(M87)+N(O87)*N(P87))</f>
        <v/>
      </c>
      <c r="R87" s="19" t="str">
        <f aca="false">IF(Q87="","",IF(D87="ASB","f/cm³·año","mg/m³·año"))</f>
        <v/>
      </c>
      <c r="S87" s="19" t="str">
        <f aca="false">IF(OR(Q87="",LEFT(D87,3)&lt;&gt;"SIL"),"",TEXT(INDEX($W$6:$W$19,MATCH(Q87,$V$6:$V$19,1)),"0.0%")&amp;" / "&amp;TEXT(INDEX($X$6:$X$19,MATCH(Q87,$V$6:$V$19,1)),"0.0%")&amp;" / "&amp;TEXT(INDEX($Y$6:$Y$19,MATCH(Q87,$V$6:$V$19,1)),"0.0%"))</f>
        <v/>
      </c>
      <c r="T87" s="27" t="str">
        <f aca="false">IF(Q87="","",IF(D87="ASB",IF(Q87&gt;=25,"En o sobre el rango umbral reportado para asbestosis (25–100 f/ml·año)","Bajo el umbral reportado (25 f/ml·año)"),IF(LEFT(D87,3)="SIL","Referencial: el riesgo depende además de la toxicidad específica del cuarzo (R = f(c, t, S))","Registrar para seguimiento epidemiológico")))</f>
        <v/>
      </c>
    </row>
    <row r="88" customFormat="false" ht="15" hidden="false" customHeight="false" outlineLevel="0" collapsed="false">
      <c r="A88" s="18"/>
      <c r="B88" s="18"/>
      <c r="C88" s="18"/>
      <c r="D88" s="19" t="str">
        <f aca="false">IF(C88="","",IFERROR(INDEX(GES!$E$6:$E$25,MATCH(C88,GES!$A$6:$A$25,0)),"GES?"))</f>
        <v/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24" t="str">
        <f aca="false">IF(COUNT(F88,I88,L88,O88)=0,"",N(F88)*N(G88)+N(I88)*N(J88)+N(L88)*N(M88)+N(O88)*N(P88))</f>
        <v/>
      </c>
      <c r="R88" s="19" t="str">
        <f aca="false">IF(Q88="","",IF(D88="ASB","f/cm³·año","mg/m³·año"))</f>
        <v/>
      </c>
      <c r="S88" s="19" t="str">
        <f aca="false">IF(OR(Q88="",LEFT(D88,3)&lt;&gt;"SIL"),"",TEXT(INDEX($W$6:$W$19,MATCH(Q88,$V$6:$V$19,1)),"0.0%")&amp;" / "&amp;TEXT(INDEX($X$6:$X$19,MATCH(Q88,$V$6:$V$19,1)),"0.0%")&amp;" / "&amp;TEXT(INDEX($Y$6:$Y$19,MATCH(Q88,$V$6:$V$19,1)),"0.0%"))</f>
        <v/>
      </c>
      <c r="T88" s="27" t="str">
        <f aca="false">IF(Q88="","",IF(D88="ASB",IF(Q88&gt;=25,"En o sobre el rango umbral reportado para asbestosis (25–100 f/ml·año)","Bajo el umbral reportado (25 f/ml·año)"),IF(LEFT(D88,3)="SIL","Referencial: el riesgo depende además de la toxicidad específica del cuarzo (R = f(c, t, S))","Registrar para seguimiento epidemiológico")))</f>
        <v/>
      </c>
    </row>
    <row r="89" customFormat="false" ht="15" hidden="false" customHeight="false" outlineLevel="0" collapsed="false">
      <c r="A89" s="18"/>
      <c r="B89" s="18"/>
      <c r="C89" s="18"/>
      <c r="D89" s="19" t="str">
        <f aca="false">IF(C89="","",IFERROR(INDEX(GES!$E$6:$E$25,MATCH(C89,GES!$A$6:$A$25,0)),"GES?"))</f>
        <v/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4" t="str">
        <f aca="false">IF(COUNT(F89,I89,L89,O89)=0,"",N(F89)*N(G89)+N(I89)*N(J89)+N(L89)*N(M89)+N(O89)*N(P89))</f>
        <v/>
      </c>
      <c r="R89" s="19" t="str">
        <f aca="false">IF(Q89="","",IF(D89="ASB","f/cm³·año","mg/m³·año"))</f>
        <v/>
      </c>
      <c r="S89" s="19" t="str">
        <f aca="false">IF(OR(Q89="",LEFT(D89,3)&lt;&gt;"SIL"),"",TEXT(INDEX($W$6:$W$19,MATCH(Q89,$V$6:$V$19,1)),"0.0%")&amp;" / "&amp;TEXT(INDEX($X$6:$X$19,MATCH(Q89,$V$6:$V$19,1)),"0.0%")&amp;" / "&amp;TEXT(INDEX($Y$6:$Y$19,MATCH(Q89,$V$6:$V$19,1)),"0.0%"))</f>
        <v/>
      </c>
      <c r="T89" s="27" t="str">
        <f aca="false">IF(Q89="","",IF(D89="ASB",IF(Q89&gt;=25,"En o sobre el rango umbral reportado para asbestosis (25–100 f/ml·año)","Bajo el umbral reportado (25 f/ml·año)"),IF(LEFT(D89,3)="SIL","Referencial: el riesgo depende además de la toxicidad específica del cuarzo (R = f(c, t, S))","Registrar para seguimiento epidemiológico")))</f>
        <v/>
      </c>
    </row>
    <row r="90" customFormat="false" ht="15" hidden="false" customHeight="false" outlineLevel="0" collapsed="false">
      <c r="A90" s="18"/>
      <c r="B90" s="18"/>
      <c r="C90" s="18"/>
      <c r="D90" s="19" t="str">
        <f aca="false">IF(C90="","",IFERROR(INDEX(GES!$E$6:$E$25,MATCH(C90,GES!$A$6:$A$25,0)),"GES?"))</f>
        <v/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24" t="str">
        <f aca="false">IF(COUNT(F90,I90,L90,O90)=0,"",N(F90)*N(G90)+N(I90)*N(J90)+N(L90)*N(M90)+N(O90)*N(P90))</f>
        <v/>
      </c>
      <c r="R90" s="19" t="str">
        <f aca="false">IF(Q90="","",IF(D90="ASB","f/cm³·año","mg/m³·año"))</f>
        <v/>
      </c>
      <c r="S90" s="19" t="str">
        <f aca="false">IF(OR(Q90="",LEFT(D90,3)&lt;&gt;"SIL"),"",TEXT(INDEX($W$6:$W$19,MATCH(Q90,$V$6:$V$19,1)),"0.0%")&amp;" / "&amp;TEXT(INDEX($X$6:$X$19,MATCH(Q90,$V$6:$V$19,1)),"0.0%")&amp;" / "&amp;TEXT(INDEX($Y$6:$Y$19,MATCH(Q90,$V$6:$V$19,1)),"0.0%"))</f>
        <v/>
      </c>
      <c r="T90" s="27" t="str">
        <f aca="false">IF(Q90="","",IF(D90="ASB",IF(Q90&gt;=25,"En o sobre el rango umbral reportado para asbestosis (25–100 f/ml·año)","Bajo el umbral reportado (25 f/ml·año)"),IF(LEFT(D90,3)="SIL","Referencial: el riesgo depende además de la toxicidad específica del cuarzo (R = f(c, t, S))","Registrar para seguimiento epidemiológico")))</f>
        <v/>
      </c>
    </row>
    <row r="91" customFormat="false" ht="15" hidden="false" customHeight="false" outlineLevel="0" collapsed="false">
      <c r="A91" s="18"/>
      <c r="B91" s="18"/>
      <c r="C91" s="18"/>
      <c r="D91" s="19" t="str">
        <f aca="false">IF(C91="","",IFERROR(INDEX(GES!$E$6:$E$25,MATCH(C91,GES!$A$6:$A$25,0)),"GES?"))</f>
        <v/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24" t="str">
        <f aca="false">IF(COUNT(F91,I91,L91,O91)=0,"",N(F91)*N(G91)+N(I91)*N(J91)+N(L91)*N(M91)+N(O91)*N(P91))</f>
        <v/>
      </c>
      <c r="R91" s="19" t="str">
        <f aca="false">IF(Q91="","",IF(D91="ASB","f/cm³·año","mg/m³·año"))</f>
        <v/>
      </c>
      <c r="S91" s="19" t="str">
        <f aca="false">IF(OR(Q91="",LEFT(D91,3)&lt;&gt;"SIL"),"",TEXT(INDEX($W$6:$W$19,MATCH(Q91,$V$6:$V$19,1)),"0.0%")&amp;" / "&amp;TEXT(INDEX($X$6:$X$19,MATCH(Q91,$V$6:$V$19,1)),"0.0%")&amp;" / "&amp;TEXT(INDEX($Y$6:$Y$19,MATCH(Q91,$V$6:$V$19,1)),"0.0%"))</f>
        <v/>
      </c>
      <c r="T91" s="27" t="str">
        <f aca="false">IF(Q91="","",IF(D91="ASB",IF(Q91&gt;=25,"En o sobre el rango umbral reportado para asbestosis (25–100 f/ml·año)","Bajo el umbral reportado (25 f/ml·año)"),IF(LEFT(D91,3)="SIL","Referencial: el riesgo depende además de la toxicidad específica del cuarzo (R = f(c, t, S))","Registrar para seguimiento epidemiológico")))</f>
        <v/>
      </c>
    </row>
    <row r="92" customFormat="false" ht="15" hidden="false" customHeight="false" outlineLevel="0" collapsed="false">
      <c r="A92" s="18"/>
      <c r="B92" s="18"/>
      <c r="C92" s="18"/>
      <c r="D92" s="19" t="str">
        <f aca="false">IF(C92="","",IFERROR(INDEX(GES!$E$6:$E$25,MATCH(C92,GES!$A$6:$A$25,0)),"GES?"))</f>
        <v/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4" t="str">
        <f aca="false">IF(COUNT(F92,I92,L92,O92)=0,"",N(F92)*N(G92)+N(I92)*N(J92)+N(L92)*N(M92)+N(O92)*N(P92))</f>
        <v/>
      </c>
      <c r="R92" s="19" t="str">
        <f aca="false">IF(Q92="","",IF(D92="ASB","f/cm³·año","mg/m³·año"))</f>
        <v/>
      </c>
      <c r="S92" s="19" t="str">
        <f aca="false">IF(OR(Q92="",LEFT(D92,3)&lt;&gt;"SIL"),"",TEXT(INDEX($W$6:$W$19,MATCH(Q92,$V$6:$V$19,1)),"0.0%")&amp;" / "&amp;TEXT(INDEX($X$6:$X$19,MATCH(Q92,$V$6:$V$19,1)),"0.0%")&amp;" / "&amp;TEXT(INDEX($Y$6:$Y$19,MATCH(Q92,$V$6:$V$19,1)),"0.0%"))</f>
        <v/>
      </c>
      <c r="T92" s="27" t="str">
        <f aca="false">IF(Q92="","",IF(D92="ASB",IF(Q92&gt;=25,"En o sobre el rango umbral reportado para asbestosis (25–100 f/ml·año)","Bajo el umbral reportado (25 f/ml·año)"),IF(LEFT(D92,3)="SIL","Referencial: el riesgo depende además de la toxicidad específica del cuarzo (R = f(c, t, S))","Registrar para seguimiento epidemiológico")))</f>
        <v/>
      </c>
    </row>
    <row r="93" customFormat="false" ht="15" hidden="false" customHeight="false" outlineLevel="0" collapsed="false">
      <c r="A93" s="18"/>
      <c r="B93" s="18"/>
      <c r="C93" s="18"/>
      <c r="D93" s="19" t="str">
        <f aca="false">IF(C93="","",IFERROR(INDEX(GES!$E$6:$E$25,MATCH(C93,GES!$A$6:$A$25,0)),"GES?"))</f>
        <v/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24" t="str">
        <f aca="false">IF(COUNT(F93,I93,L93,O93)=0,"",N(F93)*N(G93)+N(I93)*N(J93)+N(L93)*N(M93)+N(O93)*N(P93))</f>
        <v/>
      </c>
      <c r="R93" s="19" t="str">
        <f aca="false">IF(Q93="","",IF(D93="ASB","f/cm³·año","mg/m³·año"))</f>
        <v/>
      </c>
      <c r="S93" s="19" t="str">
        <f aca="false">IF(OR(Q93="",LEFT(D93,3)&lt;&gt;"SIL"),"",TEXT(INDEX($W$6:$W$19,MATCH(Q93,$V$6:$V$19,1)),"0.0%")&amp;" / "&amp;TEXT(INDEX($X$6:$X$19,MATCH(Q93,$V$6:$V$19,1)),"0.0%")&amp;" / "&amp;TEXT(INDEX($Y$6:$Y$19,MATCH(Q93,$V$6:$V$19,1)),"0.0%"))</f>
        <v/>
      </c>
      <c r="T93" s="27" t="str">
        <f aca="false">IF(Q93="","",IF(D93="ASB",IF(Q93&gt;=25,"En o sobre el rango umbral reportado para asbestosis (25–100 f/ml·año)","Bajo el umbral reportado (25 f/ml·año)"),IF(LEFT(D93,3)="SIL","Referencial: el riesgo depende además de la toxicidad específica del cuarzo (R = f(c, t, S))","Registrar para seguimiento epidemiológico")))</f>
        <v/>
      </c>
    </row>
    <row r="94" customFormat="false" ht="15" hidden="false" customHeight="false" outlineLevel="0" collapsed="false">
      <c r="A94" s="18"/>
      <c r="B94" s="18"/>
      <c r="C94" s="18"/>
      <c r="D94" s="19" t="str">
        <f aca="false">IF(C94="","",IFERROR(INDEX(GES!$E$6:$E$25,MATCH(C94,GES!$A$6:$A$25,0)),"GES?"))</f>
        <v/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24" t="str">
        <f aca="false">IF(COUNT(F94,I94,L94,O94)=0,"",N(F94)*N(G94)+N(I94)*N(J94)+N(L94)*N(M94)+N(O94)*N(P94))</f>
        <v/>
      </c>
      <c r="R94" s="19" t="str">
        <f aca="false">IF(Q94="","",IF(D94="ASB","f/cm³·año","mg/m³·año"))</f>
        <v/>
      </c>
      <c r="S94" s="19" t="str">
        <f aca="false">IF(OR(Q94="",LEFT(D94,3)&lt;&gt;"SIL"),"",TEXT(INDEX($W$6:$W$19,MATCH(Q94,$V$6:$V$19,1)),"0.0%")&amp;" / "&amp;TEXT(INDEX($X$6:$X$19,MATCH(Q94,$V$6:$V$19,1)),"0.0%")&amp;" / "&amp;TEXT(INDEX($Y$6:$Y$19,MATCH(Q94,$V$6:$V$19,1)),"0.0%"))</f>
        <v/>
      </c>
      <c r="T94" s="27" t="str">
        <f aca="false">IF(Q94="","",IF(D94="ASB",IF(Q94&gt;=25,"En o sobre el rango umbral reportado para asbestosis (25–100 f/ml·año)","Bajo el umbral reportado (25 f/ml·año)"),IF(LEFT(D94,3)="SIL","Referencial: el riesgo depende además de la toxicidad específica del cuarzo (R = f(c, t, S))","Registrar para seguimiento epidemiológico")))</f>
        <v/>
      </c>
    </row>
    <row r="95" customFormat="false" ht="15" hidden="false" customHeight="false" outlineLevel="0" collapsed="false">
      <c r="A95" s="18"/>
      <c r="B95" s="18"/>
      <c r="C95" s="18"/>
      <c r="D95" s="19" t="str">
        <f aca="false">IF(C95="","",IFERROR(INDEX(GES!$E$6:$E$25,MATCH(C95,GES!$A$6:$A$25,0)),"GES?"))</f>
        <v/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24" t="str">
        <f aca="false">IF(COUNT(F95,I95,L95,O95)=0,"",N(F95)*N(G95)+N(I95)*N(J95)+N(L95)*N(M95)+N(O95)*N(P95))</f>
        <v/>
      </c>
      <c r="R95" s="19" t="str">
        <f aca="false">IF(Q95="","",IF(D95="ASB","f/cm³·año","mg/m³·año"))</f>
        <v/>
      </c>
      <c r="S95" s="19" t="str">
        <f aca="false">IF(OR(Q95="",LEFT(D95,3)&lt;&gt;"SIL"),"",TEXT(INDEX($W$6:$W$19,MATCH(Q95,$V$6:$V$19,1)),"0.0%")&amp;" / "&amp;TEXT(INDEX($X$6:$X$19,MATCH(Q95,$V$6:$V$19,1)),"0.0%")&amp;" / "&amp;TEXT(INDEX($Y$6:$Y$19,MATCH(Q95,$V$6:$V$19,1)),"0.0%"))</f>
        <v/>
      </c>
      <c r="T95" s="27" t="str">
        <f aca="false">IF(Q95="","",IF(D95="ASB",IF(Q95&gt;=25,"En o sobre el rango umbral reportado para asbestosis (25–100 f/ml·año)","Bajo el umbral reportado (25 f/ml·año)"),IF(LEFT(D95,3)="SIL","Referencial: el riesgo depende además de la toxicidad específica del cuarzo (R = f(c, t, S))","Registrar para seguimiento epidemiológico")))</f>
        <v/>
      </c>
    </row>
    <row r="96" customFormat="false" ht="15" hidden="false" customHeight="false" outlineLevel="0" collapsed="false">
      <c r="A96" s="18"/>
      <c r="B96" s="18"/>
      <c r="C96" s="18"/>
      <c r="D96" s="19" t="str">
        <f aca="false">IF(C96="","",IFERROR(INDEX(GES!$E$6:$E$25,MATCH(C96,GES!$A$6:$A$25,0)),"GES?"))</f>
        <v/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4" t="str">
        <f aca="false">IF(COUNT(F96,I96,L96,O96)=0,"",N(F96)*N(G96)+N(I96)*N(J96)+N(L96)*N(M96)+N(O96)*N(P96))</f>
        <v/>
      </c>
      <c r="R96" s="19" t="str">
        <f aca="false">IF(Q96="","",IF(D96="ASB","f/cm³·año","mg/m³·año"))</f>
        <v/>
      </c>
      <c r="S96" s="19" t="str">
        <f aca="false">IF(OR(Q96="",LEFT(D96,3)&lt;&gt;"SIL"),"",TEXT(INDEX($W$6:$W$19,MATCH(Q96,$V$6:$V$19,1)),"0.0%")&amp;" / "&amp;TEXT(INDEX($X$6:$X$19,MATCH(Q96,$V$6:$V$19,1)),"0.0%")&amp;" / "&amp;TEXT(INDEX($Y$6:$Y$19,MATCH(Q96,$V$6:$V$19,1)),"0.0%"))</f>
        <v/>
      </c>
      <c r="T96" s="27" t="str">
        <f aca="false">IF(Q96="","",IF(D96="ASB",IF(Q96&gt;=25,"En o sobre el rango umbral reportado para asbestosis (25–100 f/ml·año)","Bajo el umbral reportado (25 f/ml·año)"),IF(LEFT(D96,3)="SIL","Referencial: el riesgo depende además de la toxicidad específica del cuarzo (R = f(c, t, S))","Registrar para seguimiento epidemiológico")))</f>
        <v/>
      </c>
    </row>
    <row r="97" customFormat="false" ht="15" hidden="false" customHeight="false" outlineLevel="0" collapsed="false">
      <c r="A97" s="18"/>
      <c r="B97" s="18"/>
      <c r="C97" s="18"/>
      <c r="D97" s="19" t="str">
        <f aca="false">IF(C97="","",IFERROR(INDEX(GES!$E$6:$E$25,MATCH(C97,GES!$A$6:$A$25,0)),"GES?"))</f>
        <v/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4" t="str">
        <f aca="false">IF(COUNT(F97,I97,L97,O97)=0,"",N(F97)*N(G97)+N(I97)*N(J97)+N(L97)*N(M97)+N(O97)*N(P97))</f>
        <v/>
      </c>
      <c r="R97" s="19" t="str">
        <f aca="false">IF(Q97="","",IF(D97="ASB","f/cm³·año","mg/m³·año"))</f>
        <v/>
      </c>
      <c r="S97" s="19" t="str">
        <f aca="false">IF(OR(Q97="",LEFT(D97,3)&lt;&gt;"SIL"),"",TEXT(INDEX($W$6:$W$19,MATCH(Q97,$V$6:$V$19,1)),"0.0%")&amp;" / "&amp;TEXT(INDEX($X$6:$X$19,MATCH(Q97,$V$6:$V$19,1)),"0.0%")&amp;" / "&amp;TEXT(INDEX($Y$6:$Y$19,MATCH(Q97,$V$6:$V$19,1)),"0.0%"))</f>
        <v/>
      </c>
      <c r="T97" s="27" t="str">
        <f aca="false">IF(Q97="","",IF(D97="ASB",IF(Q97&gt;=25,"En o sobre el rango umbral reportado para asbestosis (25–100 f/ml·año)","Bajo el umbral reportado (25 f/ml·año)"),IF(LEFT(D97,3)="SIL","Referencial: el riesgo depende además de la toxicidad específica del cuarzo (R = f(c, t, S))","Registrar para seguimiento epidemiológico")))</f>
        <v/>
      </c>
    </row>
    <row r="98" customFormat="false" ht="15" hidden="false" customHeight="false" outlineLevel="0" collapsed="false">
      <c r="A98" s="18"/>
      <c r="B98" s="18"/>
      <c r="C98" s="18"/>
      <c r="D98" s="19" t="str">
        <f aca="false">IF(C98="","",IFERROR(INDEX(GES!$E$6:$E$25,MATCH(C98,GES!$A$6:$A$25,0)),"GES?"))</f>
        <v/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24" t="str">
        <f aca="false">IF(COUNT(F98,I98,L98,O98)=0,"",N(F98)*N(G98)+N(I98)*N(J98)+N(L98)*N(M98)+N(O98)*N(P98))</f>
        <v/>
      </c>
      <c r="R98" s="19" t="str">
        <f aca="false">IF(Q98="","",IF(D98="ASB","f/cm³·año","mg/m³·año"))</f>
        <v/>
      </c>
      <c r="S98" s="19" t="str">
        <f aca="false">IF(OR(Q98="",LEFT(D98,3)&lt;&gt;"SIL"),"",TEXT(INDEX($W$6:$W$19,MATCH(Q98,$V$6:$V$19,1)),"0.0%")&amp;" / "&amp;TEXT(INDEX($X$6:$X$19,MATCH(Q98,$V$6:$V$19,1)),"0.0%")&amp;" / "&amp;TEXT(INDEX($Y$6:$Y$19,MATCH(Q98,$V$6:$V$19,1)),"0.0%"))</f>
        <v/>
      </c>
      <c r="T98" s="27" t="str">
        <f aca="false">IF(Q98="","",IF(D98="ASB",IF(Q98&gt;=25,"En o sobre el rango umbral reportado para asbestosis (25–100 f/ml·año)","Bajo el umbral reportado (25 f/ml·año)"),IF(LEFT(D98,3)="SIL","Referencial: el riesgo depende además de la toxicidad específica del cuarzo (R = f(c, t, S))","Registrar para seguimiento epidemiológico")))</f>
        <v/>
      </c>
    </row>
    <row r="99" customFormat="false" ht="15" hidden="false" customHeight="false" outlineLevel="0" collapsed="false">
      <c r="A99" s="18"/>
      <c r="B99" s="18"/>
      <c r="C99" s="18"/>
      <c r="D99" s="19" t="str">
        <f aca="false">IF(C99="","",IFERROR(INDEX(GES!$E$6:$E$25,MATCH(C99,GES!$A$6:$A$25,0)),"GES?"))</f>
        <v/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24" t="str">
        <f aca="false">IF(COUNT(F99,I99,L99,O99)=0,"",N(F99)*N(G99)+N(I99)*N(J99)+N(L99)*N(M99)+N(O99)*N(P99))</f>
        <v/>
      </c>
      <c r="R99" s="19" t="str">
        <f aca="false">IF(Q99="","",IF(D99="ASB","f/cm³·año","mg/m³·año"))</f>
        <v/>
      </c>
      <c r="S99" s="19" t="str">
        <f aca="false">IF(OR(Q99="",LEFT(D99,3)&lt;&gt;"SIL"),"",TEXT(INDEX($W$6:$W$19,MATCH(Q99,$V$6:$V$19,1)),"0.0%")&amp;" / "&amp;TEXT(INDEX($X$6:$X$19,MATCH(Q99,$V$6:$V$19,1)),"0.0%")&amp;" / "&amp;TEXT(INDEX($Y$6:$Y$19,MATCH(Q99,$V$6:$V$19,1)),"0.0%"))</f>
        <v/>
      </c>
      <c r="T99" s="27" t="str">
        <f aca="false">IF(Q99="","",IF(D99="ASB",IF(Q99&gt;=25,"En o sobre el rango umbral reportado para asbestosis (25–100 f/ml·año)","Bajo el umbral reportado (25 f/ml·año)"),IF(LEFT(D99,3)="SIL","Referencial: el riesgo depende además de la toxicidad específica del cuarzo (R = f(c, t, S))","Registrar para seguimiento epidemiológico")))</f>
        <v/>
      </c>
    </row>
    <row r="100" customFormat="false" ht="15" hidden="false" customHeight="false" outlineLevel="0" collapsed="false">
      <c r="A100" s="18"/>
      <c r="B100" s="18"/>
      <c r="C100" s="18"/>
      <c r="D100" s="19" t="str">
        <f aca="false">IF(C100="","",IFERROR(INDEX(GES!$E$6:$E$25,MATCH(C100,GES!$A$6:$A$25,0)),"GES?"))</f>
        <v/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4" t="str">
        <f aca="false">IF(COUNT(F100,I100,L100,O100)=0,"",N(F100)*N(G100)+N(I100)*N(J100)+N(L100)*N(M100)+N(O100)*N(P100))</f>
        <v/>
      </c>
      <c r="R100" s="19" t="str">
        <f aca="false">IF(Q100="","",IF(D100="ASB","f/cm³·año","mg/m³·año"))</f>
        <v/>
      </c>
      <c r="S100" s="19" t="str">
        <f aca="false">IF(OR(Q100="",LEFT(D100,3)&lt;&gt;"SIL"),"",TEXT(INDEX($W$6:$W$19,MATCH(Q100,$V$6:$V$19,1)),"0.0%")&amp;" / "&amp;TEXT(INDEX($X$6:$X$19,MATCH(Q100,$V$6:$V$19,1)),"0.0%")&amp;" / "&amp;TEXT(INDEX($Y$6:$Y$19,MATCH(Q100,$V$6:$V$19,1)),"0.0%"))</f>
        <v/>
      </c>
      <c r="T100" s="27" t="str">
        <f aca="false">IF(Q100="","",IF(D100="ASB",IF(Q100&gt;=25,"En o sobre el rango umbral reportado para asbestosis (25–100 f/ml·año)","Bajo el umbral reportado (25 f/ml·año)"),IF(LEFT(D100,3)="SIL","Referencial: el riesgo depende además de la toxicidad específica del cuarzo (R = f(c, t, S))","Registrar para seguimiento epidemiológico")))</f>
        <v/>
      </c>
    </row>
    <row r="101" customFormat="false" ht="15" hidden="false" customHeight="false" outlineLevel="0" collapsed="false">
      <c r="A101" s="18"/>
      <c r="B101" s="18"/>
      <c r="C101" s="18"/>
      <c r="D101" s="19" t="str">
        <f aca="false">IF(C101="","",IFERROR(INDEX(GES!$E$6:$E$25,MATCH(C101,GES!$A$6:$A$25,0)),"GES?"))</f>
        <v/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4" t="str">
        <f aca="false">IF(COUNT(F101,I101,L101,O101)=0,"",N(F101)*N(G101)+N(I101)*N(J101)+N(L101)*N(M101)+N(O101)*N(P101))</f>
        <v/>
      </c>
      <c r="R101" s="19" t="str">
        <f aca="false">IF(Q101="","",IF(D101="ASB","f/cm³·año","mg/m³·año"))</f>
        <v/>
      </c>
      <c r="S101" s="19" t="str">
        <f aca="false">IF(OR(Q101="",LEFT(D101,3)&lt;&gt;"SIL"),"",TEXT(INDEX($W$6:$W$19,MATCH(Q101,$V$6:$V$19,1)),"0.0%")&amp;" / "&amp;TEXT(INDEX($X$6:$X$19,MATCH(Q101,$V$6:$V$19,1)),"0.0%")&amp;" / "&amp;TEXT(INDEX($Y$6:$Y$19,MATCH(Q101,$V$6:$V$19,1)),"0.0%"))</f>
        <v/>
      </c>
      <c r="T101" s="27" t="str">
        <f aca="false">IF(Q101="","",IF(D101="ASB",IF(Q101&gt;=25,"En o sobre el rango umbral reportado para asbestosis (25–100 f/ml·año)","Bajo el umbral reportado (25 f/ml·año)"),IF(LEFT(D101,3)="SIL","Referencial: el riesgo depende además de la toxicidad específica del cuarzo (R = f(c, t, S))","Registrar para seguimiento epidemiológico")))</f>
        <v/>
      </c>
    </row>
    <row r="102" customFormat="false" ht="15" hidden="false" customHeight="false" outlineLevel="0" collapsed="false">
      <c r="A102" s="18"/>
      <c r="B102" s="18"/>
      <c r="C102" s="18"/>
      <c r="D102" s="19" t="str">
        <f aca="false">IF(C102="","",IFERROR(INDEX(GES!$E$6:$E$25,MATCH(C102,GES!$A$6:$A$25,0)),"GES?"))</f>
        <v/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24" t="str">
        <f aca="false">IF(COUNT(F102,I102,L102,O102)=0,"",N(F102)*N(G102)+N(I102)*N(J102)+N(L102)*N(M102)+N(O102)*N(P102))</f>
        <v/>
      </c>
      <c r="R102" s="19" t="str">
        <f aca="false">IF(Q102="","",IF(D102="ASB","f/cm³·año","mg/m³·año"))</f>
        <v/>
      </c>
      <c r="S102" s="19" t="str">
        <f aca="false">IF(OR(Q102="",LEFT(D102,3)&lt;&gt;"SIL"),"",TEXT(INDEX($W$6:$W$19,MATCH(Q102,$V$6:$V$19,1)),"0.0%")&amp;" / "&amp;TEXT(INDEX($X$6:$X$19,MATCH(Q102,$V$6:$V$19,1)),"0.0%")&amp;" / "&amp;TEXT(INDEX($Y$6:$Y$19,MATCH(Q102,$V$6:$V$19,1)),"0.0%"))</f>
        <v/>
      </c>
      <c r="T102" s="27" t="str">
        <f aca="false">IF(Q102="","",IF(D102="ASB",IF(Q102&gt;=25,"En o sobre el rango umbral reportado para asbestosis (25–100 f/ml·año)","Bajo el umbral reportado (25 f/ml·año)"),IF(LEFT(D102,3)="SIL","Referencial: el riesgo depende además de la toxicidad específica del cuarzo (R = f(c, t, S))","Registrar para seguimiento epidemiológico")))</f>
        <v/>
      </c>
    </row>
    <row r="103" customFormat="false" ht="15" hidden="false" customHeight="false" outlineLevel="0" collapsed="false">
      <c r="A103" s="18"/>
      <c r="B103" s="18"/>
      <c r="C103" s="18"/>
      <c r="D103" s="19" t="str">
        <f aca="false">IF(C103="","",IFERROR(INDEX(GES!$E$6:$E$25,MATCH(C103,GES!$A$6:$A$25,0)),"GES?"))</f>
        <v/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24" t="str">
        <f aca="false">IF(COUNT(F103,I103,L103,O103)=0,"",N(F103)*N(G103)+N(I103)*N(J103)+N(L103)*N(M103)+N(O103)*N(P103))</f>
        <v/>
      </c>
      <c r="R103" s="19" t="str">
        <f aca="false">IF(Q103="","",IF(D103="ASB","f/cm³·año","mg/m³·año"))</f>
        <v/>
      </c>
      <c r="S103" s="19" t="str">
        <f aca="false">IF(OR(Q103="",LEFT(D103,3)&lt;&gt;"SIL"),"",TEXT(INDEX($W$6:$W$19,MATCH(Q103,$V$6:$V$19,1)),"0.0%")&amp;" / "&amp;TEXT(INDEX($X$6:$X$19,MATCH(Q103,$V$6:$V$19,1)),"0.0%")&amp;" / "&amp;TEXT(INDEX($Y$6:$Y$19,MATCH(Q103,$V$6:$V$19,1)),"0.0%"))</f>
        <v/>
      </c>
      <c r="T103" s="27" t="str">
        <f aca="false">IF(Q103="","",IF(D103="ASB",IF(Q103&gt;=25,"En o sobre el rango umbral reportado para asbestosis (25–100 f/ml·año)","Bajo el umbral reportado (25 f/ml·año)"),IF(LEFT(D103,3)="SIL","Referencial: el riesgo depende además de la toxicidad específica del cuarzo (R = f(c, t, S))","Registrar para seguimiento epidemiológico")))</f>
        <v/>
      </c>
    </row>
    <row r="104" customFormat="false" ht="15" hidden="false" customHeight="false" outlineLevel="0" collapsed="false">
      <c r="A104" s="18"/>
      <c r="B104" s="18"/>
      <c r="C104" s="18"/>
      <c r="D104" s="19" t="str">
        <f aca="false">IF(C104="","",IFERROR(INDEX(GES!$E$6:$E$25,MATCH(C104,GES!$A$6:$A$25,0)),"GES?"))</f>
        <v/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24" t="str">
        <f aca="false">IF(COUNT(F104,I104,L104,O104)=0,"",N(F104)*N(G104)+N(I104)*N(J104)+N(L104)*N(M104)+N(O104)*N(P104))</f>
        <v/>
      </c>
      <c r="R104" s="19" t="str">
        <f aca="false">IF(Q104="","",IF(D104="ASB","f/cm³·año","mg/m³·año"))</f>
        <v/>
      </c>
      <c r="S104" s="19" t="str">
        <f aca="false">IF(OR(Q104="",LEFT(D104,3)&lt;&gt;"SIL"),"",TEXT(INDEX($W$6:$W$19,MATCH(Q104,$V$6:$V$19,1)),"0.0%")&amp;" / "&amp;TEXT(INDEX($X$6:$X$19,MATCH(Q104,$V$6:$V$19,1)),"0.0%")&amp;" / "&amp;TEXT(INDEX($Y$6:$Y$19,MATCH(Q104,$V$6:$V$19,1)),"0.0%"))</f>
        <v/>
      </c>
      <c r="T104" s="27" t="str">
        <f aca="false">IF(Q104="","",IF(D104="ASB",IF(Q104&gt;=25,"En o sobre el rango umbral reportado para asbestosis (25–100 f/ml·año)","Bajo el umbral reportado (25 f/ml·año)"),IF(LEFT(D104,3)="SIL","Referencial: el riesgo depende además de la toxicidad específica del cuarzo (R = f(c, t, S))","Registrar para seguimiento epidemiológico")))</f>
        <v/>
      </c>
    </row>
    <row r="105" customFormat="false" ht="15" hidden="false" customHeight="false" outlineLevel="0" collapsed="false">
      <c r="A105" s="18"/>
      <c r="B105" s="18"/>
      <c r="C105" s="18"/>
      <c r="D105" s="19" t="str">
        <f aca="false">IF(C105="","",IFERROR(INDEX(GES!$E$6:$E$25,MATCH(C105,GES!$A$6:$A$25,0)),"GES?"))</f>
        <v/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24" t="str">
        <f aca="false">IF(COUNT(F105,I105,L105,O105)=0,"",N(F105)*N(G105)+N(I105)*N(J105)+N(L105)*N(M105)+N(O105)*N(P105))</f>
        <v/>
      </c>
      <c r="R105" s="19" t="str">
        <f aca="false">IF(Q105="","",IF(D105="ASB","f/cm³·año","mg/m³·año"))</f>
        <v/>
      </c>
      <c r="S105" s="19" t="str">
        <f aca="false">IF(OR(Q105="",LEFT(D105,3)&lt;&gt;"SIL"),"",TEXT(INDEX($W$6:$W$19,MATCH(Q105,$V$6:$V$19,1)),"0.0%")&amp;" / "&amp;TEXT(INDEX($X$6:$X$19,MATCH(Q105,$V$6:$V$19,1)),"0.0%")&amp;" / "&amp;TEXT(INDEX($Y$6:$Y$19,MATCH(Q105,$V$6:$V$19,1)),"0.0%"))</f>
        <v/>
      </c>
      <c r="T105" s="27" t="str">
        <f aca="false">IF(Q105="","",IF(D105="ASB",IF(Q105&gt;=25,"En o sobre el rango umbral reportado para asbestosis (25–100 f/ml·año)","Bajo el umbral reportado (25 f/ml·año)"),IF(LEFT(D105,3)="SIL","Referencial: el riesgo depende además de la toxicidad específica del cuarzo (R = f(c, t, S))","Registrar para seguimiento epidemiológico")))</f>
        <v/>
      </c>
    </row>
  </sheetData>
  <dataValidations count="1">
    <dataValidation allowBlank="true" errorStyle="stop" operator="between" showDropDown="false" showErrorMessage="false" showInputMessage="false" sqref="C6:C105" type="list">
      <formula1>GES!$A$6:$A$25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48"/>
    <col collapsed="false" customWidth="true" hidden="false" outlineLevel="0" max="14" min="14" style="0" width="18"/>
    <col collapsed="false" customWidth="true" hidden="false" outlineLevel="0" max="15" min="15" style="0" width="22"/>
  </cols>
  <sheetData>
    <row r="1" customFormat="false" ht="19.7" hidden="false" customHeight="false" outlineLevel="0" collapsed="false">
      <c r="A1" s="9" t="s">
        <v>477</v>
      </c>
    </row>
    <row r="2" customFormat="false" ht="15" hidden="false" customHeight="false" outlineLevel="0" collapsed="false">
      <c r="A2" s="3" t="s">
        <v>478</v>
      </c>
    </row>
    <row r="3" customFormat="false" ht="15" hidden="false" customHeight="false" outlineLevel="0" collapsed="false">
      <c r="A3" s="10" t="s">
        <v>36</v>
      </c>
    </row>
    <row r="5" customFormat="false" ht="54" hidden="false" customHeight="true" outlineLevel="0" collapsed="false">
      <c r="A5" s="11" t="s">
        <v>440</v>
      </c>
      <c r="B5" s="11" t="s">
        <v>441</v>
      </c>
      <c r="C5" s="11" t="s">
        <v>479</v>
      </c>
      <c r="D5" s="11" t="s">
        <v>38</v>
      </c>
      <c r="E5" s="11" t="s">
        <v>480</v>
      </c>
      <c r="F5" s="11" t="s">
        <v>481</v>
      </c>
      <c r="G5" s="11" t="s">
        <v>482</v>
      </c>
      <c r="H5" s="11" t="s">
        <v>483</v>
      </c>
      <c r="I5" s="11" t="s">
        <v>484</v>
      </c>
      <c r="J5" s="11" t="s">
        <v>485</v>
      </c>
      <c r="K5" s="11" t="s">
        <v>486</v>
      </c>
      <c r="L5" s="11" t="s">
        <v>271</v>
      </c>
      <c r="M5" s="11" t="s">
        <v>487</v>
      </c>
      <c r="N5" s="11" t="s">
        <v>488</v>
      </c>
      <c r="O5" s="11" t="s">
        <v>191</v>
      </c>
    </row>
    <row r="6" customFormat="false" ht="43.25" hidden="false" customHeight="false" outlineLevel="0" collapsed="false">
      <c r="A6" s="18" t="s">
        <v>461</v>
      </c>
      <c r="B6" s="18" t="s">
        <v>462</v>
      </c>
      <c r="C6" s="18" t="s">
        <v>142</v>
      </c>
      <c r="D6" s="19" t="str">
        <f aca="false">IF(C6="","",IFERROR(INDEX(GES!$E$6:$E$25,MATCH(C6,GES!$A$6:$A$25,0)),"GES?"))</f>
        <v>SIL-Q</v>
      </c>
      <c r="E6" s="22" t="n">
        <v>40969</v>
      </c>
      <c r="F6" s="22" t="n">
        <v>45422</v>
      </c>
      <c r="G6" s="28" t="n">
        <f aca="true">IF(E6="","",(TODAY()-E6)/365.25)</f>
        <v>14.6255989048597</v>
      </c>
      <c r="H6" s="19" t="n">
        <f aca="false">IF(OR(D6="",G6=""),"",IF(LEFT(D6,3)="SIL",IF(G6&lt;1,1,IF(G6&lt;10,3,2)),IF(LEFT(D6,3)="ASB",IF(G6&lt;10,3,2),IF(LEFT(D6,3)="CAR",IF(G6&lt;15,4,3),"Criterio médico"))))</f>
        <v>2</v>
      </c>
      <c r="I6" s="19" t="n">
        <f aca="false">IF(OR(D6="",G6=""),"",IF(LEFT(D6,3)="CAR",IF(G6&lt;3,1,2),H6))</f>
        <v>2</v>
      </c>
      <c r="J6" s="32" t="n">
        <f aca="false">IF(OR(E6="",NOT(ISNUMBER(H6))),"",IF(F6="",E6,F6)+H6*365.25)</f>
        <v>46152.5</v>
      </c>
      <c r="K6" s="32" t="n">
        <f aca="false">IF(OR(E6="",NOT(ISNUMBER(I6))),"",IF(F6="",E6,F6)+I6*365.25)</f>
        <v>46152.5</v>
      </c>
      <c r="L6" s="25" t="str">
        <f aca="true">IF(OR(J6="",K6=""),"",IF(F6="","Falta examen de ingreso",IF(MIN(J6,K6)&lt;TODAY(),"Vencido",IF(MIN(J6,K6)-TODAY()&lt;=60,"Próximo (≤ 60 días)","Al día"))))</f>
        <v>Vencido</v>
      </c>
      <c r="M6" s="27" t="str">
        <f aca="false">IF(D6="","",IF(LEFT(D6,3)="PNOS","Según criterio médico","Historia médica y ocupacional, examen físico respiratorio, cuestionario de síntomas, Rx tórax OIT (lector certificado), espirometría ATS/ERS"&amp;IF(LEFT(D6,3)="SIL",", prueba de tuberculina","")&amp;", consejería antitabaco"))</f>
        <v>Historia médica y ocupacional, examen físico respiratorio, cuestionario de síntomas, Rx tórax OIT (lector certificado), espirometría ATS/ERS, prueba de tuberculina, consejería antitabaco</v>
      </c>
      <c r="N6" s="19" t="str">
        <f aca="false">IF(D6="","",IF(OR(LEFT(D6,3)="SIL",LEFT(D6,3)="ASB"),"Sí – periodicidad por criterio médico","No requerido"))</f>
        <v>Sí – periodicidad por criterio médico</v>
      </c>
      <c r="O6" s="18"/>
    </row>
    <row r="7" customFormat="false" ht="43.25" hidden="false" customHeight="false" outlineLevel="0" collapsed="false">
      <c r="A7" s="18" t="s">
        <v>465</v>
      </c>
      <c r="B7" s="18" t="s">
        <v>466</v>
      </c>
      <c r="C7" s="18" t="s">
        <v>148</v>
      </c>
      <c r="D7" s="19" t="str">
        <f aca="false">IF(C7="","",IFERROR(INDEX(GES!$E$6:$E$25,MATCH(C7,GES!$A$6:$A$25,0)),"GES?"))</f>
        <v>SIL-Q</v>
      </c>
      <c r="E7" s="22" t="n">
        <v>40575</v>
      </c>
      <c r="F7" s="22" t="n">
        <v>45889</v>
      </c>
      <c r="G7" s="28" t="n">
        <f aca="true">IF(E7="","",(TODAY()-E7)/365.25)</f>
        <v>15.7043121149897</v>
      </c>
      <c r="H7" s="19" t="n">
        <f aca="false">IF(OR(D7="",G7=""),"",IF(LEFT(D7,3)="SIL",IF(G7&lt;1,1,IF(G7&lt;10,3,2)),IF(LEFT(D7,3)="ASB",IF(G7&lt;10,3,2),IF(LEFT(D7,3)="CAR",IF(G7&lt;15,4,3),"Criterio médico"))))</f>
        <v>2</v>
      </c>
      <c r="I7" s="19" t="n">
        <f aca="false">IF(OR(D7="",G7=""),"",IF(LEFT(D7,3)="CAR",IF(G7&lt;3,1,2),H7))</f>
        <v>2</v>
      </c>
      <c r="J7" s="32" t="n">
        <f aca="false">IF(OR(E7="",NOT(ISNUMBER(H7))),"",IF(F7="",E7,F7)+H7*365.25)</f>
        <v>46619.5</v>
      </c>
      <c r="K7" s="32" t="n">
        <f aca="false">IF(OR(E7="",NOT(ISNUMBER(I7))),"",IF(F7="",E7,F7)+I7*365.25)</f>
        <v>46619.5</v>
      </c>
      <c r="L7" s="25" t="str">
        <f aca="true">IF(OR(J7="",K7=""),"",IF(F7="","Falta examen de ingreso",IF(MIN(J7,K7)&lt;TODAY(),"Vencido",IF(MIN(J7,K7)-TODAY()&lt;=60,"Próximo (≤ 60 días)","Al día"))))</f>
        <v>Al día</v>
      </c>
      <c r="M7" s="27" t="str">
        <f aca="false">IF(D7="","",IF(LEFT(D7,3)="PNOS","Según criterio médico","Historia médica y ocupacional, examen físico respiratorio, cuestionario de síntomas, Rx tórax OIT (lector certificado), espirometría ATS/ERS"&amp;IF(LEFT(D7,3)="SIL",", prueba de tuberculina","")&amp;", consejería antitabaco"))</f>
        <v>Historia médica y ocupacional, examen físico respiratorio, cuestionario de síntomas, Rx tórax OIT (lector certificado), espirometría ATS/ERS, prueba de tuberculina, consejería antitabaco</v>
      </c>
      <c r="N7" s="19" t="str">
        <f aca="false">IF(D7="","",IF(OR(LEFT(D7,3)="SIL",LEFT(D7,3)="ASB"),"Sí – periodicidad por criterio médico","No requerido"))</f>
        <v>Sí – periodicidad por criterio médico</v>
      </c>
      <c r="O7" s="18"/>
    </row>
    <row r="8" customFormat="false" ht="43.25" hidden="false" customHeight="false" outlineLevel="0" collapsed="false">
      <c r="A8" s="18" t="s">
        <v>489</v>
      </c>
      <c r="B8" s="18" t="s">
        <v>490</v>
      </c>
      <c r="C8" s="18" t="s">
        <v>154</v>
      </c>
      <c r="D8" s="19" t="str">
        <f aca="false">IF(C8="","",IFERROR(INDEX(GES!$E$6:$E$25,MATCH(C8,GES!$A$6:$A$25,0)),"GES?"))</f>
        <v>SIL-Q</v>
      </c>
      <c r="E8" s="22" t="n">
        <v>46054</v>
      </c>
      <c r="F8" s="22" t="n">
        <v>46047</v>
      </c>
      <c r="G8" s="28" t="n">
        <f aca="true">IF(E8="","",(TODAY()-E8)/365.25)</f>
        <v>0.70362765229295</v>
      </c>
      <c r="H8" s="19" t="n">
        <f aca="false">IF(OR(D8="",G8=""),"",IF(LEFT(D8,3)="SIL",IF(G8&lt;1,1,IF(G8&lt;10,3,2)),IF(LEFT(D8,3)="ASB",IF(G8&lt;10,3,2),IF(LEFT(D8,3)="CAR",IF(G8&lt;15,4,3),"Criterio médico"))))</f>
        <v>1</v>
      </c>
      <c r="I8" s="19" t="n">
        <f aca="false">IF(OR(D8="",G8=""),"",IF(LEFT(D8,3)="CAR",IF(G8&lt;3,1,2),H8))</f>
        <v>1</v>
      </c>
      <c r="J8" s="32" t="n">
        <f aca="false">IF(OR(E8="",NOT(ISNUMBER(H8))),"",IF(F8="",E8,F8)+H8*365.25)</f>
        <v>46412.25</v>
      </c>
      <c r="K8" s="32" t="n">
        <f aca="false">IF(OR(E8="",NOT(ISNUMBER(I8))),"",IF(F8="",E8,F8)+I8*365.25)</f>
        <v>46412.25</v>
      </c>
      <c r="L8" s="25" t="str">
        <f aca="true">IF(OR(J8="",K8=""),"",IF(F8="","Falta examen de ingreso",IF(MIN(J8,K8)&lt;TODAY(),"Vencido",IF(MIN(J8,K8)-TODAY()&lt;=60,"Próximo (≤ 60 días)","Al día"))))</f>
        <v>Al día</v>
      </c>
      <c r="M8" s="27" t="str">
        <f aca="false">IF(D8="","",IF(LEFT(D8,3)="PNOS","Según criterio médico","Historia médica y ocupacional, examen físico respiratorio, cuestionario de síntomas, Rx tórax OIT (lector certificado), espirometría ATS/ERS"&amp;IF(LEFT(D8,3)="SIL",", prueba de tuberculina","")&amp;", consejería antitabaco"))</f>
        <v>Historia médica y ocupacional, examen físico respiratorio, cuestionario de síntomas, Rx tórax OIT (lector certificado), espirometría ATS/ERS, prueba de tuberculina, consejería antitabaco</v>
      </c>
      <c r="N8" s="19" t="str">
        <f aca="false">IF(D8="","",IF(OR(LEFT(D8,3)="SIL",LEFT(D8,3)="ASB"),"Sí – periodicidad por criterio médico","No requerido"))</f>
        <v>Sí – periodicidad por criterio médico</v>
      </c>
      <c r="O8" s="18"/>
    </row>
    <row r="9" customFormat="false" ht="32.8" hidden="false" customHeight="false" outlineLevel="0" collapsed="false">
      <c r="A9" s="18" t="s">
        <v>468</v>
      </c>
      <c r="B9" s="18" t="s">
        <v>469</v>
      </c>
      <c r="C9" s="18" t="s">
        <v>159</v>
      </c>
      <c r="D9" s="19" t="str">
        <f aca="false">IF(C9="","",IFERROR(INDEX(GES!$E$6:$E$25,MATCH(C9,GES!$A$6:$A$25,0)),"GES?"))</f>
        <v>CAR-B</v>
      </c>
      <c r="E9" s="22" t="n">
        <v>39965</v>
      </c>
      <c r="F9" s="22" t="n">
        <v>45731</v>
      </c>
      <c r="G9" s="28" t="n">
        <f aca="true">IF(E9="","",(TODAY()-E9)/365.25)</f>
        <v>17.3744010951403</v>
      </c>
      <c r="H9" s="19" t="n">
        <f aca="false">IF(OR(D9="",G9=""),"",IF(LEFT(D9,3)="SIL",IF(G9&lt;1,1,IF(G9&lt;10,3,2)),IF(LEFT(D9,3)="ASB",IF(G9&lt;10,3,2),IF(LEFT(D9,3)="CAR",IF(G9&lt;15,4,3),"Criterio médico"))))</f>
        <v>3</v>
      </c>
      <c r="I9" s="19" t="n">
        <f aca="false">IF(OR(D9="",G9=""),"",IF(LEFT(D9,3)="CAR",IF(G9&lt;3,1,2),H9))</f>
        <v>2</v>
      </c>
      <c r="J9" s="32" t="n">
        <f aca="false">IF(OR(E9="",NOT(ISNUMBER(H9))),"",IF(F9="",E9,F9)+H9*365.25)</f>
        <v>46826.75</v>
      </c>
      <c r="K9" s="32" t="n">
        <f aca="false">IF(OR(E9="",NOT(ISNUMBER(I9))),"",IF(F9="",E9,F9)+I9*365.25)</f>
        <v>46461.5</v>
      </c>
      <c r="L9" s="25" t="str">
        <f aca="true">IF(OR(J9="",K9=""),"",IF(F9="","Falta examen de ingreso",IF(MIN(J9,K9)&lt;TODAY(),"Vencido",IF(MIN(J9,K9)-TODAY()&lt;=60,"Próximo (≤ 60 días)","Al día"))))</f>
        <v>Al día</v>
      </c>
      <c r="M9" s="27" t="str">
        <f aca="false">IF(D9="","",IF(LEFT(D9,3)="PNOS","Según criterio médico","Historia médica y ocupacional, examen físico respiratorio, cuestionario de síntomas, Rx tórax OIT (lector certificado), espirometría ATS/ERS"&amp;IF(LEFT(D9,3)="SIL",", prueba de tuberculina","")&amp;", consejería antitabaco"))</f>
        <v>Historia médica y ocupacional, examen físico respiratorio, cuestionario de síntomas, Rx tórax OIT (lector certificado), espirometría ATS/ERS, consejería antitabaco</v>
      </c>
      <c r="N9" s="19" t="str">
        <f aca="false">IF(D9="","",IF(OR(LEFT(D9,3)="SIL",LEFT(D9,3)="ASB"),"Sí – periodicidad por criterio médico","No requerido"))</f>
        <v>No requerido</v>
      </c>
      <c r="O9" s="18"/>
    </row>
    <row r="10" customFormat="false" ht="32.8" hidden="false" customHeight="false" outlineLevel="0" collapsed="false">
      <c r="A10" s="18" t="s">
        <v>491</v>
      </c>
      <c r="B10" s="18" t="s">
        <v>492</v>
      </c>
      <c r="C10" s="18" t="s">
        <v>159</v>
      </c>
      <c r="D10" s="19" t="str">
        <f aca="false">IF(C10="","",IFERROR(INDEX(GES!$E$6:$E$25,MATCH(C10,GES!$A$6:$A$25,0)),"GES?"))</f>
        <v>CAR-B</v>
      </c>
      <c r="E10" s="22" t="n">
        <v>45474</v>
      </c>
      <c r="F10" s="22" t="n">
        <v>45843</v>
      </c>
      <c r="G10" s="28" t="n">
        <f aca="true">IF(E10="","",(TODAY()-E10)/365.25)</f>
        <v>2.29158110882957</v>
      </c>
      <c r="H10" s="19" t="n">
        <f aca="false">IF(OR(D10="",G10=""),"",IF(LEFT(D10,3)="SIL",IF(G10&lt;1,1,IF(G10&lt;10,3,2)),IF(LEFT(D10,3)="ASB",IF(G10&lt;10,3,2),IF(LEFT(D10,3)="CAR",IF(G10&lt;15,4,3),"Criterio médico"))))</f>
        <v>4</v>
      </c>
      <c r="I10" s="19" t="n">
        <f aca="false">IF(OR(D10="",G10=""),"",IF(LEFT(D10,3)="CAR",IF(G10&lt;3,1,2),H10))</f>
        <v>1</v>
      </c>
      <c r="J10" s="32" t="n">
        <f aca="false">IF(OR(E10="",NOT(ISNUMBER(H10))),"",IF(F10="",E10,F10)+H10*365.25)</f>
        <v>47304</v>
      </c>
      <c r="K10" s="32" t="n">
        <f aca="false">IF(OR(E10="",NOT(ISNUMBER(I10))),"",IF(F10="",E10,F10)+I10*365.25)</f>
        <v>46208.25</v>
      </c>
      <c r="L10" s="25" t="str">
        <f aca="true">IF(OR(J10="",K10=""),"",IF(F10="","Falta examen de ingreso",IF(MIN(J10,K10)&lt;TODAY(),"Vencido",IF(MIN(J10,K10)-TODAY()&lt;=60,"Próximo (≤ 60 días)","Al día"))))</f>
        <v>Vencido</v>
      </c>
      <c r="M10" s="27" t="str">
        <f aca="false">IF(D10="","",IF(LEFT(D10,3)="PNOS","Según criterio médico","Historia médica y ocupacional, examen físico respiratorio, cuestionario de síntomas, Rx tórax OIT (lector certificado), espirometría ATS/ERS"&amp;IF(LEFT(D10,3)="SIL",", prueba de tuberculina","")&amp;", consejería antitabaco"))</f>
        <v>Historia médica y ocupacional, examen físico respiratorio, cuestionario de síntomas, Rx tórax OIT (lector certificado), espirometría ATS/ERS, consejería antitabaco</v>
      </c>
      <c r="N10" s="19" t="str">
        <f aca="false">IF(D10="","",IF(OR(LEFT(D10,3)="SIL",LEFT(D10,3)="ASB"),"Sí – periodicidad por criterio médico","No requerido"))</f>
        <v>No requerido</v>
      </c>
      <c r="O10" s="18"/>
    </row>
    <row r="11" customFormat="false" ht="32.8" hidden="false" customHeight="false" outlineLevel="0" collapsed="false">
      <c r="A11" s="18" t="s">
        <v>493</v>
      </c>
      <c r="B11" s="18" t="s">
        <v>494</v>
      </c>
      <c r="C11" s="18" t="s">
        <v>165</v>
      </c>
      <c r="D11" s="19" t="str">
        <f aca="false">IF(C11="","",IFERROR(INDEX(GES!$E$6:$E$25,MATCH(C11,GES!$A$6:$A$25,0)),"GES?"))</f>
        <v>CAR-B</v>
      </c>
      <c r="E11" s="22" t="n">
        <v>43115</v>
      </c>
      <c r="F11" s="22" t="n">
        <v>45598</v>
      </c>
      <c r="G11" s="28" t="n">
        <f aca="true">IF(E11="","",(TODAY()-E11)/365.25)</f>
        <v>8.7501711156742</v>
      </c>
      <c r="H11" s="19" t="n">
        <f aca="false">IF(OR(D11="",G11=""),"",IF(LEFT(D11,3)="SIL",IF(G11&lt;1,1,IF(G11&lt;10,3,2)),IF(LEFT(D11,3)="ASB",IF(G11&lt;10,3,2),IF(LEFT(D11,3)="CAR",IF(G11&lt;15,4,3),"Criterio médico"))))</f>
        <v>4</v>
      </c>
      <c r="I11" s="19" t="n">
        <f aca="false">IF(OR(D11="",G11=""),"",IF(LEFT(D11,3)="CAR",IF(G11&lt;3,1,2),H11))</f>
        <v>2</v>
      </c>
      <c r="J11" s="32" t="n">
        <f aca="false">IF(OR(E11="",NOT(ISNUMBER(H11))),"",IF(F11="",E11,F11)+H11*365.25)</f>
        <v>47059</v>
      </c>
      <c r="K11" s="32" t="n">
        <f aca="false">IF(OR(E11="",NOT(ISNUMBER(I11))),"",IF(F11="",E11,F11)+I11*365.25)</f>
        <v>46328.5</v>
      </c>
      <c r="L11" s="25" t="str">
        <f aca="true">IF(OR(J11="",K11=""),"",IF(F11="","Falta examen de ingreso",IF(MIN(J11,K11)&lt;TODAY(),"Vencido",IF(MIN(J11,K11)-TODAY()&lt;=60,"Próximo (≤ 60 días)","Al día"))))</f>
        <v>Próximo (≤ 60 días)</v>
      </c>
      <c r="M11" s="27" t="str">
        <f aca="false">IF(D11="","",IF(LEFT(D11,3)="PNOS","Según criterio médico","Historia médica y ocupacional, examen físico respiratorio, cuestionario de síntomas, Rx tórax OIT (lector certificado), espirometría ATS/ERS"&amp;IF(LEFT(D11,3)="SIL",", prueba de tuberculina","")&amp;", consejería antitabaco"))</f>
        <v>Historia médica y ocupacional, examen físico respiratorio, cuestionario de síntomas, Rx tórax OIT (lector certificado), espirometría ATS/ERS, consejería antitabaco</v>
      </c>
      <c r="N11" s="19" t="str">
        <f aca="false">IF(D11="","",IF(OR(LEFT(D11,3)="SIL",LEFT(D11,3)="ASB"),"Sí – periodicidad por criterio médico","No requerido"))</f>
        <v>No requerido</v>
      </c>
      <c r="O11" s="18"/>
    </row>
    <row r="12" customFormat="false" ht="32.8" hidden="false" customHeight="false" outlineLevel="0" collapsed="false">
      <c r="A12" s="18" t="s">
        <v>472</v>
      </c>
      <c r="B12" s="18" t="s">
        <v>473</v>
      </c>
      <c r="C12" s="18" t="s">
        <v>170</v>
      </c>
      <c r="D12" s="19" t="str">
        <f aca="false">IF(C12="","",IFERROR(INDEX(GES!$E$6:$E$25,MATCH(C12,GES!$A$6:$A$25,0)),"GES?"))</f>
        <v>ASB</v>
      </c>
      <c r="E12" s="22" t="n">
        <v>41883</v>
      </c>
      <c r="F12" s="22" t="n">
        <v>45199</v>
      </c>
      <c r="G12" s="28" t="n">
        <f aca="true">IF(E12="","",(TODAY()-E12)/365.25)</f>
        <v>12.1232032854209</v>
      </c>
      <c r="H12" s="19" t="n">
        <f aca="false">IF(OR(D12="",G12=""),"",IF(LEFT(D12,3)="SIL",IF(G12&lt;1,1,IF(G12&lt;10,3,2)),IF(LEFT(D12,3)="ASB",IF(G12&lt;10,3,2),IF(LEFT(D12,3)="CAR",IF(G12&lt;15,4,3),"Criterio médico"))))</f>
        <v>2</v>
      </c>
      <c r="I12" s="19" t="n">
        <f aca="false">IF(OR(D12="",G12=""),"",IF(LEFT(D12,3)="CAR",IF(G12&lt;3,1,2),H12))</f>
        <v>2</v>
      </c>
      <c r="J12" s="32" t="n">
        <f aca="false">IF(OR(E12="",NOT(ISNUMBER(H12))),"",IF(F12="",E12,F12)+H12*365.25)</f>
        <v>45929.5</v>
      </c>
      <c r="K12" s="32" t="n">
        <f aca="false">IF(OR(E12="",NOT(ISNUMBER(I12))),"",IF(F12="",E12,F12)+I12*365.25)</f>
        <v>45929.5</v>
      </c>
      <c r="L12" s="25" t="str">
        <f aca="true">IF(OR(J12="",K12=""),"",IF(F12="","Falta examen de ingreso",IF(MIN(J12,K12)&lt;TODAY(),"Vencido",IF(MIN(J12,K12)-TODAY()&lt;=60,"Próximo (≤ 60 días)","Al día"))))</f>
        <v>Vencido</v>
      </c>
      <c r="M12" s="27" t="str">
        <f aca="false">IF(D12="","",IF(LEFT(D12,3)="PNOS","Según criterio médico","Historia médica y ocupacional, examen físico respiratorio, cuestionario de síntomas, Rx tórax OIT (lector certificado), espirometría ATS/ERS"&amp;IF(LEFT(D12,3)="SIL",", prueba de tuberculina","")&amp;", consejería antitabaco"))</f>
        <v>Historia médica y ocupacional, examen físico respiratorio, cuestionario de síntomas, Rx tórax OIT (lector certificado), espirometría ATS/ERS, consejería antitabaco</v>
      </c>
      <c r="N12" s="19" t="str">
        <f aca="false">IF(D12="","",IF(OR(LEFT(D12,3)="SIL",LEFT(D12,3)="ASB"),"Sí – periodicidad por criterio médico","No requerido"))</f>
        <v>Sí – periodicidad por criterio médico</v>
      </c>
      <c r="O12" s="18"/>
    </row>
    <row r="13" customFormat="false" ht="32.8" hidden="false" customHeight="false" outlineLevel="0" collapsed="false">
      <c r="A13" s="18" t="s">
        <v>495</v>
      </c>
      <c r="B13" s="18" t="s">
        <v>496</v>
      </c>
      <c r="C13" s="18" t="s">
        <v>170</v>
      </c>
      <c r="D13" s="19" t="str">
        <f aca="false">IF(C13="","",IFERROR(INDEX(GES!$E$6:$E$25,MATCH(C13,GES!$A$6:$A$25,0)),"GES?"))</f>
        <v>ASB</v>
      </c>
      <c r="E13" s="22" t="n">
        <v>46235</v>
      </c>
      <c r="F13" s="22"/>
      <c r="G13" s="28" t="n">
        <f aca="true">IF(E13="","",(TODAY()-E13)/365.25)</f>
        <v>0.20807665982204</v>
      </c>
      <c r="H13" s="19" t="n">
        <f aca="false">IF(OR(D13="",G13=""),"",IF(LEFT(D13,3)="SIL",IF(G13&lt;1,1,IF(G13&lt;10,3,2)),IF(LEFT(D13,3)="ASB",IF(G13&lt;10,3,2),IF(LEFT(D13,3)="CAR",IF(G13&lt;15,4,3),"Criterio médico"))))</f>
        <v>3</v>
      </c>
      <c r="I13" s="19" t="n">
        <f aca="false">IF(OR(D13="",G13=""),"",IF(LEFT(D13,3)="CAR",IF(G13&lt;3,1,2),H13))</f>
        <v>3</v>
      </c>
      <c r="J13" s="32" t="n">
        <f aca="false">IF(OR(E13="",NOT(ISNUMBER(H13))),"",IF(F13="",E13,F13)+H13*365.25)</f>
        <v>47330.75</v>
      </c>
      <c r="K13" s="32" t="n">
        <f aca="false">IF(OR(E13="",NOT(ISNUMBER(I13))),"",IF(F13="",E13,F13)+I13*365.25)</f>
        <v>47330.75</v>
      </c>
      <c r="L13" s="25" t="str">
        <f aca="true">IF(OR(J13="",K13=""),"",IF(F13="","Falta examen de ingreso",IF(MIN(J13,K13)&lt;TODAY(),"Vencido",IF(MIN(J13,K13)-TODAY()&lt;=60,"Próximo (≤ 60 días)","Al día"))))</f>
        <v>Falta examen de ingreso</v>
      </c>
      <c r="M13" s="27" t="str">
        <f aca="false">IF(D13="","",IF(LEFT(D13,3)="PNOS","Según criterio médico","Historia médica y ocupacional, examen físico respiratorio, cuestionario de síntomas, Rx tórax OIT (lector certificado), espirometría ATS/ERS"&amp;IF(LEFT(D13,3)="SIL",", prueba de tuberculina","")&amp;", consejería antitabaco"))</f>
        <v>Historia médica y ocupacional, examen físico respiratorio, cuestionario de síntomas, Rx tórax OIT (lector certificado), espirometría ATS/ERS, consejería antitabaco</v>
      </c>
      <c r="N13" s="19" t="str">
        <f aca="false">IF(D13="","",IF(OR(LEFT(D13,3)="SIL",LEFT(D13,3)="ASB"),"Sí – periodicidad por criterio médico","No requerido"))</f>
        <v>Sí – periodicidad por criterio médico</v>
      </c>
      <c r="O13" s="18"/>
    </row>
    <row r="14" customFormat="false" ht="15" hidden="false" customHeight="false" outlineLevel="0" collapsed="false">
      <c r="A14" s="18"/>
      <c r="B14" s="18"/>
      <c r="C14" s="18"/>
      <c r="D14" s="19" t="str">
        <f aca="false">IF(C14="","",IFERROR(INDEX(GES!$E$6:$E$25,MATCH(C14,GES!$A$6:$A$25,0)),"GES?"))</f>
        <v/>
      </c>
      <c r="E14" s="22"/>
      <c r="F14" s="22"/>
      <c r="G14" s="28" t="str">
        <f aca="true">IF(E14="","",(TODAY()-E14)/365.25)</f>
        <v/>
      </c>
      <c r="H14" s="19" t="str">
        <f aca="false">IF(OR(D14="",G14=""),"",IF(LEFT(D14,3)="SIL",IF(G14&lt;1,1,IF(G14&lt;10,3,2)),IF(LEFT(D14,3)="ASB",IF(G14&lt;10,3,2),IF(LEFT(D14,3)="CAR",IF(G14&lt;15,4,3),"Criterio médico"))))</f>
        <v/>
      </c>
      <c r="I14" s="19" t="str">
        <f aca="false">IF(OR(D14="",G14=""),"",IF(LEFT(D14,3)="CAR",IF(G14&lt;3,1,2),H14))</f>
        <v/>
      </c>
      <c r="J14" s="32" t="str">
        <f aca="false">IF(OR(E14="",NOT(ISNUMBER(H14))),"",IF(F14="",E14,F14)+H14*365.25)</f>
        <v/>
      </c>
      <c r="K14" s="32" t="str">
        <f aca="false">IF(OR(E14="",NOT(ISNUMBER(I14))),"",IF(F14="",E14,F14)+I14*365.25)</f>
        <v/>
      </c>
      <c r="L14" s="25" t="str">
        <f aca="true">IF(OR(J14="",K14=""),"",IF(F14="","Falta examen de ingreso",IF(MIN(J14,K14)&lt;TODAY(),"Vencido",IF(MIN(J14,K14)-TODAY()&lt;=60,"Próximo (≤ 60 días)","Al día"))))</f>
        <v/>
      </c>
      <c r="M14" s="27" t="str">
        <f aca="false">IF(D14="","",IF(LEFT(D14,3)="PNOS","Según criterio médico","Historia médica y ocupacional, examen físico respiratorio, cuestionario de síntomas, Rx tórax OIT (lector certificado), espirometría ATS/ERS"&amp;IF(LEFT(D14,3)="SIL",", prueba de tuberculina","")&amp;", consejería antitabaco"))</f>
        <v/>
      </c>
      <c r="N14" s="19" t="str">
        <f aca="false">IF(D14="","",IF(OR(LEFT(D14,3)="SIL",LEFT(D14,3)="ASB"),"Sí – periodicidad por criterio médico","No requerido"))</f>
        <v/>
      </c>
      <c r="O14" s="18"/>
    </row>
    <row r="15" customFormat="false" ht="15" hidden="false" customHeight="false" outlineLevel="0" collapsed="false">
      <c r="A15" s="18"/>
      <c r="B15" s="18"/>
      <c r="C15" s="18"/>
      <c r="D15" s="19" t="str">
        <f aca="false">IF(C15="","",IFERROR(INDEX(GES!$E$6:$E$25,MATCH(C15,GES!$A$6:$A$25,0)),"GES?"))</f>
        <v/>
      </c>
      <c r="E15" s="22"/>
      <c r="F15" s="22"/>
      <c r="G15" s="28" t="str">
        <f aca="true">IF(E15="","",(TODAY()-E15)/365.25)</f>
        <v/>
      </c>
      <c r="H15" s="19" t="str">
        <f aca="false">IF(OR(D15="",G15=""),"",IF(LEFT(D15,3)="SIL",IF(G15&lt;1,1,IF(G15&lt;10,3,2)),IF(LEFT(D15,3)="ASB",IF(G15&lt;10,3,2),IF(LEFT(D15,3)="CAR",IF(G15&lt;15,4,3),"Criterio médico"))))</f>
        <v/>
      </c>
      <c r="I15" s="19" t="str">
        <f aca="false">IF(OR(D15="",G15=""),"",IF(LEFT(D15,3)="CAR",IF(G15&lt;3,1,2),H15))</f>
        <v/>
      </c>
      <c r="J15" s="32" t="str">
        <f aca="false">IF(OR(E15="",NOT(ISNUMBER(H15))),"",IF(F15="",E15,F15)+H15*365.25)</f>
        <v/>
      </c>
      <c r="K15" s="32" t="str">
        <f aca="false">IF(OR(E15="",NOT(ISNUMBER(I15))),"",IF(F15="",E15,F15)+I15*365.25)</f>
        <v/>
      </c>
      <c r="L15" s="25" t="str">
        <f aca="true">IF(OR(J15="",K15=""),"",IF(F15="","Falta examen de ingreso",IF(MIN(J15,K15)&lt;TODAY(),"Vencido",IF(MIN(J15,K15)-TODAY()&lt;=60,"Próximo (≤ 60 días)","Al día"))))</f>
        <v/>
      </c>
      <c r="M15" s="27" t="str">
        <f aca="false">IF(D15="","",IF(LEFT(D15,3)="PNOS","Según criterio médico","Historia médica y ocupacional, examen físico respiratorio, cuestionario de síntomas, Rx tórax OIT (lector certificado), espirometría ATS/ERS"&amp;IF(LEFT(D15,3)="SIL",", prueba de tuberculina","")&amp;", consejería antitabaco"))</f>
        <v/>
      </c>
      <c r="N15" s="19" t="str">
        <f aca="false">IF(D15="","",IF(OR(LEFT(D15,3)="SIL",LEFT(D15,3)="ASB"),"Sí – periodicidad por criterio médico","No requerido"))</f>
        <v/>
      </c>
      <c r="O15" s="18"/>
    </row>
    <row r="16" customFormat="false" ht="15" hidden="false" customHeight="false" outlineLevel="0" collapsed="false">
      <c r="A16" s="18"/>
      <c r="B16" s="18"/>
      <c r="C16" s="18"/>
      <c r="D16" s="19" t="str">
        <f aca="false">IF(C16="","",IFERROR(INDEX(GES!$E$6:$E$25,MATCH(C16,GES!$A$6:$A$25,0)),"GES?"))</f>
        <v/>
      </c>
      <c r="E16" s="22"/>
      <c r="F16" s="22"/>
      <c r="G16" s="28" t="str">
        <f aca="true">IF(E16="","",(TODAY()-E16)/365.25)</f>
        <v/>
      </c>
      <c r="H16" s="19" t="str">
        <f aca="false">IF(OR(D16="",G16=""),"",IF(LEFT(D16,3)="SIL",IF(G16&lt;1,1,IF(G16&lt;10,3,2)),IF(LEFT(D16,3)="ASB",IF(G16&lt;10,3,2),IF(LEFT(D16,3)="CAR",IF(G16&lt;15,4,3),"Criterio médico"))))</f>
        <v/>
      </c>
      <c r="I16" s="19" t="str">
        <f aca="false">IF(OR(D16="",G16=""),"",IF(LEFT(D16,3)="CAR",IF(G16&lt;3,1,2),H16))</f>
        <v/>
      </c>
      <c r="J16" s="32" t="str">
        <f aca="false">IF(OR(E16="",NOT(ISNUMBER(H16))),"",IF(F16="",E16,F16)+H16*365.25)</f>
        <v/>
      </c>
      <c r="K16" s="32" t="str">
        <f aca="false">IF(OR(E16="",NOT(ISNUMBER(I16))),"",IF(F16="",E16,F16)+I16*365.25)</f>
        <v/>
      </c>
      <c r="L16" s="25" t="str">
        <f aca="true">IF(OR(J16="",K16=""),"",IF(F16="","Falta examen de ingreso",IF(MIN(J16,K16)&lt;TODAY(),"Vencido",IF(MIN(J16,K16)-TODAY()&lt;=60,"Próximo (≤ 60 días)","Al día"))))</f>
        <v/>
      </c>
      <c r="M16" s="27" t="str">
        <f aca="false">IF(D16="","",IF(LEFT(D16,3)="PNOS","Según criterio médico","Historia médica y ocupacional, examen físico respiratorio, cuestionario de síntomas, Rx tórax OIT (lector certificado), espirometría ATS/ERS"&amp;IF(LEFT(D16,3)="SIL",", prueba de tuberculina","")&amp;", consejería antitabaco"))</f>
        <v/>
      </c>
      <c r="N16" s="19" t="str">
        <f aca="false">IF(D16="","",IF(OR(LEFT(D16,3)="SIL",LEFT(D16,3)="ASB"),"Sí – periodicidad por criterio médico","No requerido"))</f>
        <v/>
      </c>
      <c r="O16" s="18"/>
    </row>
    <row r="17" customFormat="false" ht="15" hidden="false" customHeight="false" outlineLevel="0" collapsed="false">
      <c r="A17" s="18"/>
      <c r="B17" s="18"/>
      <c r="C17" s="18"/>
      <c r="D17" s="19" t="str">
        <f aca="false">IF(C17="","",IFERROR(INDEX(GES!$E$6:$E$25,MATCH(C17,GES!$A$6:$A$25,0)),"GES?"))</f>
        <v/>
      </c>
      <c r="E17" s="22"/>
      <c r="F17" s="22"/>
      <c r="G17" s="28" t="str">
        <f aca="true">IF(E17="","",(TODAY()-E17)/365.25)</f>
        <v/>
      </c>
      <c r="H17" s="19" t="str">
        <f aca="false">IF(OR(D17="",G17=""),"",IF(LEFT(D17,3)="SIL",IF(G17&lt;1,1,IF(G17&lt;10,3,2)),IF(LEFT(D17,3)="ASB",IF(G17&lt;10,3,2),IF(LEFT(D17,3)="CAR",IF(G17&lt;15,4,3),"Criterio médico"))))</f>
        <v/>
      </c>
      <c r="I17" s="19" t="str">
        <f aca="false">IF(OR(D17="",G17=""),"",IF(LEFT(D17,3)="CAR",IF(G17&lt;3,1,2),H17))</f>
        <v/>
      </c>
      <c r="J17" s="32" t="str">
        <f aca="false">IF(OR(E17="",NOT(ISNUMBER(H17))),"",IF(F17="",E17,F17)+H17*365.25)</f>
        <v/>
      </c>
      <c r="K17" s="32" t="str">
        <f aca="false">IF(OR(E17="",NOT(ISNUMBER(I17))),"",IF(F17="",E17,F17)+I17*365.25)</f>
        <v/>
      </c>
      <c r="L17" s="25" t="str">
        <f aca="true">IF(OR(J17="",K17=""),"",IF(F17="","Falta examen de ingreso",IF(MIN(J17,K17)&lt;TODAY(),"Vencido",IF(MIN(J17,K17)-TODAY()&lt;=60,"Próximo (≤ 60 días)","Al día"))))</f>
        <v/>
      </c>
      <c r="M17" s="27" t="str">
        <f aca="false">IF(D17="","",IF(LEFT(D17,3)="PNOS","Según criterio médico","Historia médica y ocupacional, examen físico respiratorio, cuestionario de síntomas, Rx tórax OIT (lector certificado), espirometría ATS/ERS"&amp;IF(LEFT(D17,3)="SIL",", prueba de tuberculina","")&amp;", consejería antitabaco"))</f>
        <v/>
      </c>
      <c r="N17" s="19" t="str">
        <f aca="false">IF(D17="","",IF(OR(LEFT(D17,3)="SIL",LEFT(D17,3)="ASB"),"Sí – periodicidad por criterio médico","No requerido"))</f>
        <v/>
      </c>
      <c r="O17" s="18"/>
    </row>
    <row r="18" customFormat="false" ht="15" hidden="false" customHeight="false" outlineLevel="0" collapsed="false">
      <c r="A18" s="18"/>
      <c r="B18" s="18"/>
      <c r="C18" s="18"/>
      <c r="D18" s="19" t="str">
        <f aca="false">IF(C18="","",IFERROR(INDEX(GES!$E$6:$E$25,MATCH(C18,GES!$A$6:$A$25,0)),"GES?"))</f>
        <v/>
      </c>
      <c r="E18" s="22"/>
      <c r="F18" s="22"/>
      <c r="G18" s="28" t="str">
        <f aca="true">IF(E18="","",(TODAY()-E18)/365.25)</f>
        <v/>
      </c>
      <c r="H18" s="19" t="str">
        <f aca="false">IF(OR(D18="",G18=""),"",IF(LEFT(D18,3)="SIL",IF(G18&lt;1,1,IF(G18&lt;10,3,2)),IF(LEFT(D18,3)="ASB",IF(G18&lt;10,3,2),IF(LEFT(D18,3)="CAR",IF(G18&lt;15,4,3),"Criterio médico"))))</f>
        <v/>
      </c>
      <c r="I18" s="19" t="str">
        <f aca="false">IF(OR(D18="",G18=""),"",IF(LEFT(D18,3)="CAR",IF(G18&lt;3,1,2),H18))</f>
        <v/>
      </c>
      <c r="J18" s="32" t="str">
        <f aca="false">IF(OR(E18="",NOT(ISNUMBER(H18))),"",IF(F18="",E18,F18)+H18*365.25)</f>
        <v/>
      </c>
      <c r="K18" s="32" t="str">
        <f aca="false">IF(OR(E18="",NOT(ISNUMBER(I18))),"",IF(F18="",E18,F18)+I18*365.25)</f>
        <v/>
      </c>
      <c r="L18" s="25" t="str">
        <f aca="true">IF(OR(J18="",K18=""),"",IF(F18="","Falta examen de ingreso",IF(MIN(J18,K18)&lt;TODAY(),"Vencido",IF(MIN(J18,K18)-TODAY()&lt;=60,"Próximo (≤ 60 días)","Al día"))))</f>
        <v/>
      </c>
      <c r="M18" s="27" t="str">
        <f aca="false">IF(D18="","",IF(LEFT(D18,3)="PNOS","Según criterio médico","Historia médica y ocupacional, examen físico respiratorio, cuestionario de síntomas, Rx tórax OIT (lector certificado), espirometría ATS/ERS"&amp;IF(LEFT(D18,3)="SIL",", prueba de tuberculina","")&amp;", consejería antitabaco"))</f>
        <v/>
      </c>
      <c r="N18" s="19" t="str">
        <f aca="false">IF(D18="","",IF(OR(LEFT(D18,3)="SIL",LEFT(D18,3)="ASB"),"Sí – periodicidad por criterio médico","No requerido"))</f>
        <v/>
      </c>
      <c r="O18" s="18"/>
    </row>
    <row r="19" customFormat="false" ht="15" hidden="false" customHeight="false" outlineLevel="0" collapsed="false">
      <c r="A19" s="18"/>
      <c r="B19" s="18"/>
      <c r="C19" s="18"/>
      <c r="D19" s="19" t="str">
        <f aca="false">IF(C19="","",IFERROR(INDEX(GES!$E$6:$E$25,MATCH(C19,GES!$A$6:$A$25,0)),"GES?"))</f>
        <v/>
      </c>
      <c r="E19" s="22"/>
      <c r="F19" s="22"/>
      <c r="G19" s="28" t="str">
        <f aca="true">IF(E19="","",(TODAY()-E19)/365.25)</f>
        <v/>
      </c>
      <c r="H19" s="19" t="str">
        <f aca="false">IF(OR(D19="",G19=""),"",IF(LEFT(D19,3)="SIL",IF(G19&lt;1,1,IF(G19&lt;10,3,2)),IF(LEFT(D19,3)="ASB",IF(G19&lt;10,3,2),IF(LEFT(D19,3)="CAR",IF(G19&lt;15,4,3),"Criterio médico"))))</f>
        <v/>
      </c>
      <c r="I19" s="19" t="str">
        <f aca="false">IF(OR(D19="",G19=""),"",IF(LEFT(D19,3)="CAR",IF(G19&lt;3,1,2),H19))</f>
        <v/>
      </c>
      <c r="J19" s="32" t="str">
        <f aca="false">IF(OR(E19="",NOT(ISNUMBER(H19))),"",IF(F19="",E19,F19)+H19*365.25)</f>
        <v/>
      </c>
      <c r="K19" s="32" t="str">
        <f aca="false">IF(OR(E19="",NOT(ISNUMBER(I19))),"",IF(F19="",E19,F19)+I19*365.25)</f>
        <v/>
      </c>
      <c r="L19" s="25" t="str">
        <f aca="true">IF(OR(J19="",K19=""),"",IF(F19="","Falta examen de ingreso",IF(MIN(J19,K19)&lt;TODAY(),"Vencido",IF(MIN(J19,K19)-TODAY()&lt;=60,"Próximo (≤ 60 días)","Al día"))))</f>
        <v/>
      </c>
      <c r="M19" s="27" t="str">
        <f aca="false">IF(D19="","",IF(LEFT(D19,3)="PNOS","Según criterio médico","Historia médica y ocupacional, examen físico respiratorio, cuestionario de síntomas, Rx tórax OIT (lector certificado), espirometría ATS/ERS"&amp;IF(LEFT(D19,3)="SIL",", prueba de tuberculina","")&amp;", consejería antitabaco"))</f>
        <v/>
      </c>
      <c r="N19" s="19" t="str">
        <f aca="false">IF(D19="","",IF(OR(LEFT(D19,3)="SIL",LEFT(D19,3)="ASB"),"Sí – periodicidad por criterio médico","No requerido"))</f>
        <v/>
      </c>
      <c r="O19" s="18"/>
    </row>
    <row r="20" customFormat="false" ht="15" hidden="false" customHeight="false" outlineLevel="0" collapsed="false">
      <c r="A20" s="18"/>
      <c r="B20" s="18"/>
      <c r="C20" s="18"/>
      <c r="D20" s="19" t="str">
        <f aca="false">IF(C20="","",IFERROR(INDEX(GES!$E$6:$E$25,MATCH(C20,GES!$A$6:$A$25,0)),"GES?"))</f>
        <v/>
      </c>
      <c r="E20" s="22"/>
      <c r="F20" s="22"/>
      <c r="G20" s="28" t="str">
        <f aca="true">IF(E20="","",(TODAY()-E20)/365.25)</f>
        <v/>
      </c>
      <c r="H20" s="19" t="str">
        <f aca="false">IF(OR(D20="",G20=""),"",IF(LEFT(D20,3)="SIL",IF(G20&lt;1,1,IF(G20&lt;10,3,2)),IF(LEFT(D20,3)="ASB",IF(G20&lt;10,3,2),IF(LEFT(D20,3)="CAR",IF(G20&lt;15,4,3),"Criterio médico"))))</f>
        <v/>
      </c>
      <c r="I20" s="19" t="str">
        <f aca="false">IF(OR(D20="",G20=""),"",IF(LEFT(D20,3)="CAR",IF(G20&lt;3,1,2),H20))</f>
        <v/>
      </c>
      <c r="J20" s="32" t="str">
        <f aca="false">IF(OR(E20="",NOT(ISNUMBER(H20))),"",IF(F20="",E20,F20)+H20*365.25)</f>
        <v/>
      </c>
      <c r="K20" s="32" t="str">
        <f aca="false">IF(OR(E20="",NOT(ISNUMBER(I20))),"",IF(F20="",E20,F20)+I20*365.25)</f>
        <v/>
      </c>
      <c r="L20" s="25" t="str">
        <f aca="true">IF(OR(J20="",K20=""),"",IF(F20="","Falta examen de ingreso",IF(MIN(J20,K20)&lt;TODAY(),"Vencido",IF(MIN(J20,K20)-TODAY()&lt;=60,"Próximo (≤ 60 días)","Al día"))))</f>
        <v/>
      </c>
      <c r="M20" s="27" t="str">
        <f aca="false">IF(D20="","",IF(LEFT(D20,3)="PNOS","Según criterio médico","Historia médica y ocupacional, examen físico respiratorio, cuestionario de síntomas, Rx tórax OIT (lector certificado), espirometría ATS/ERS"&amp;IF(LEFT(D20,3)="SIL",", prueba de tuberculina","")&amp;", consejería antitabaco"))</f>
        <v/>
      </c>
      <c r="N20" s="19" t="str">
        <f aca="false">IF(D20="","",IF(OR(LEFT(D20,3)="SIL",LEFT(D20,3)="ASB"),"Sí – periodicidad por criterio médico","No requerido"))</f>
        <v/>
      </c>
      <c r="O20" s="18"/>
    </row>
    <row r="21" customFormat="false" ht="15" hidden="false" customHeight="false" outlineLevel="0" collapsed="false">
      <c r="A21" s="18"/>
      <c r="B21" s="18"/>
      <c r="C21" s="18"/>
      <c r="D21" s="19" t="str">
        <f aca="false">IF(C21="","",IFERROR(INDEX(GES!$E$6:$E$25,MATCH(C21,GES!$A$6:$A$25,0)),"GES?"))</f>
        <v/>
      </c>
      <c r="E21" s="22"/>
      <c r="F21" s="22"/>
      <c r="G21" s="28" t="str">
        <f aca="true">IF(E21="","",(TODAY()-E21)/365.25)</f>
        <v/>
      </c>
      <c r="H21" s="19" t="str">
        <f aca="false">IF(OR(D21="",G21=""),"",IF(LEFT(D21,3)="SIL",IF(G21&lt;1,1,IF(G21&lt;10,3,2)),IF(LEFT(D21,3)="ASB",IF(G21&lt;10,3,2),IF(LEFT(D21,3)="CAR",IF(G21&lt;15,4,3),"Criterio médico"))))</f>
        <v/>
      </c>
      <c r="I21" s="19" t="str">
        <f aca="false">IF(OR(D21="",G21=""),"",IF(LEFT(D21,3)="CAR",IF(G21&lt;3,1,2),H21))</f>
        <v/>
      </c>
      <c r="J21" s="32" t="str">
        <f aca="false">IF(OR(E21="",NOT(ISNUMBER(H21))),"",IF(F21="",E21,F21)+H21*365.25)</f>
        <v/>
      </c>
      <c r="K21" s="32" t="str">
        <f aca="false">IF(OR(E21="",NOT(ISNUMBER(I21))),"",IF(F21="",E21,F21)+I21*365.25)</f>
        <v/>
      </c>
      <c r="L21" s="25" t="str">
        <f aca="true">IF(OR(J21="",K21=""),"",IF(F21="","Falta examen de ingreso",IF(MIN(J21,K21)&lt;TODAY(),"Vencido",IF(MIN(J21,K21)-TODAY()&lt;=60,"Próximo (≤ 60 días)","Al día"))))</f>
        <v/>
      </c>
      <c r="M21" s="27" t="str">
        <f aca="false">IF(D21="","",IF(LEFT(D21,3)="PNOS","Según criterio médico","Historia médica y ocupacional, examen físico respiratorio, cuestionario de síntomas, Rx tórax OIT (lector certificado), espirometría ATS/ERS"&amp;IF(LEFT(D21,3)="SIL",", prueba de tuberculina","")&amp;", consejería antitabaco"))</f>
        <v/>
      </c>
      <c r="N21" s="19" t="str">
        <f aca="false">IF(D21="","",IF(OR(LEFT(D21,3)="SIL",LEFT(D21,3)="ASB"),"Sí – periodicidad por criterio médico","No requerido"))</f>
        <v/>
      </c>
      <c r="O21" s="18"/>
    </row>
    <row r="22" customFormat="false" ht="15" hidden="false" customHeight="false" outlineLevel="0" collapsed="false">
      <c r="A22" s="18"/>
      <c r="B22" s="18"/>
      <c r="C22" s="18"/>
      <c r="D22" s="19" t="str">
        <f aca="false">IF(C22="","",IFERROR(INDEX(GES!$E$6:$E$25,MATCH(C22,GES!$A$6:$A$25,0)),"GES?"))</f>
        <v/>
      </c>
      <c r="E22" s="22"/>
      <c r="F22" s="22"/>
      <c r="G22" s="28" t="str">
        <f aca="true">IF(E22="","",(TODAY()-E22)/365.25)</f>
        <v/>
      </c>
      <c r="H22" s="19" t="str">
        <f aca="false">IF(OR(D22="",G22=""),"",IF(LEFT(D22,3)="SIL",IF(G22&lt;1,1,IF(G22&lt;10,3,2)),IF(LEFT(D22,3)="ASB",IF(G22&lt;10,3,2),IF(LEFT(D22,3)="CAR",IF(G22&lt;15,4,3),"Criterio médico"))))</f>
        <v/>
      </c>
      <c r="I22" s="19" t="str">
        <f aca="false">IF(OR(D22="",G22=""),"",IF(LEFT(D22,3)="CAR",IF(G22&lt;3,1,2),H22))</f>
        <v/>
      </c>
      <c r="J22" s="32" t="str">
        <f aca="false">IF(OR(E22="",NOT(ISNUMBER(H22))),"",IF(F22="",E22,F22)+H22*365.25)</f>
        <v/>
      </c>
      <c r="K22" s="32" t="str">
        <f aca="false">IF(OR(E22="",NOT(ISNUMBER(I22))),"",IF(F22="",E22,F22)+I22*365.25)</f>
        <v/>
      </c>
      <c r="L22" s="25" t="str">
        <f aca="true">IF(OR(J22="",K22=""),"",IF(F22="","Falta examen de ingreso",IF(MIN(J22,K22)&lt;TODAY(),"Vencido",IF(MIN(J22,K22)-TODAY()&lt;=60,"Próximo (≤ 60 días)","Al día"))))</f>
        <v/>
      </c>
      <c r="M22" s="27" t="str">
        <f aca="false">IF(D22="","",IF(LEFT(D22,3)="PNOS","Según criterio médico","Historia médica y ocupacional, examen físico respiratorio, cuestionario de síntomas, Rx tórax OIT (lector certificado), espirometría ATS/ERS"&amp;IF(LEFT(D22,3)="SIL",", prueba de tuberculina","")&amp;", consejería antitabaco"))</f>
        <v/>
      </c>
      <c r="N22" s="19" t="str">
        <f aca="false">IF(D22="","",IF(OR(LEFT(D22,3)="SIL",LEFT(D22,3)="ASB"),"Sí – periodicidad por criterio médico","No requerido"))</f>
        <v/>
      </c>
      <c r="O22" s="18"/>
    </row>
    <row r="23" customFormat="false" ht="15" hidden="false" customHeight="false" outlineLevel="0" collapsed="false">
      <c r="A23" s="18"/>
      <c r="B23" s="18"/>
      <c r="C23" s="18"/>
      <c r="D23" s="19" t="str">
        <f aca="false">IF(C23="","",IFERROR(INDEX(GES!$E$6:$E$25,MATCH(C23,GES!$A$6:$A$25,0)),"GES?"))</f>
        <v/>
      </c>
      <c r="E23" s="22"/>
      <c r="F23" s="22"/>
      <c r="G23" s="28" t="str">
        <f aca="true">IF(E23="","",(TODAY()-E23)/365.25)</f>
        <v/>
      </c>
      <c r="H23" s="19" t="str">
        <f aca="false">IF(OR(D23="",G23=""),"",IF(LEFT(D23,3)="SIL",IF(G23&lt;1,1,IF(G23&lt;10,3,2)),IF(LEFT(D23,3)="ASB",IF(G23&lt;10,3,2),IF(LEFT(D23,3)="CAR",IF(G23&lt;15,4,3),"Criterio médico"))))</f>
        <v/>
      </c>
      <c r="I23" s="19" t="str">
        <f aca="false">IF(OR(D23="",G23=""),"",IF(LEFT(D23,3)="CAR",IF(G23&lt;3,1,2),H23))</f>
        <v/>
      </c>
      <c r="J23" s="32" t="str">
        <f aca="false">IF(OR(E23="",NOT(ISNUMBER(H23))),"",IF(F23="",E23,F23)+H23*365.25)</f>
        <v/>
      </c>
      <c r="K23" s="32" t="str">
        <f aca="false">IF(OR(E23="",NOT(ISNUMBER(I23))),"",IF(F23="",E23,F23)+I23*365.25)</f>
        <v/>
      </c>
      <c r="L23" s="25" t="str">
        <f aca="true">IF(OR(J23="",K23=""),"",IF(F23="","Falta examen de ingreso",IF(MIN(J23,K23)&lt;TODAY(),"Vencido",IF(MIN(J23,K23)-TODAY()&lt;=60,"Próximo (≤ 60 días)","Al día"))))</f>
        <v/>
      </c>
      <c r="M23" s="27" t="str">
        <f aca="false">IF(D23="","",IF(LEFT(D23,3)="PNOS","Según criterio médico","Historia médica y ocupacional, examen físico respiratorio, cuestionario de síntomas, Rx tórax OIT (lector certificado), espirometría ATS/ERS"&amp;IF(LEFT(D23,3)="SIL",", prueba de tuberculina","")&amp;", consejería antitabaco"))</f>
        <v/>
      </c>
      <c r="N23" s="19" t="str">
        <f aca="false">IF(D23="","",IF(OR(LEFT(D23,3)="SIL",LEFT(D23,3)="ASB"),"Sí – periodicidad por criterio médico","No requerido"))</f>
        <v/>
      </c>
      <c r="O23" s="18"/>
    </row>
    <row r="24" customFormat="false" ht="15" hidden="false" customHeight="false" outlineLevel="0" collapsed="false">
      <c r="A24" s="18"/>
      <c r="B24" s="18"/>
      <c r="C24" s="18"/>
      <c r="D24" s="19" t="str">
        <f aca="false">IF(C24="","",IFERROR(INDEX(GES!$E$6:$E$25,MATCH(C24,GES!$A$6:$A$25,0)),"GES?"))</f>
        <v/>
      </c>
      <c r="E24" s="22"/>
      <c r="F24" s="22"/>
      <c r="G24" s="28" t="str">
        <f aca="true">IF(E24="","",(TODAY()-E24)/365.25)</f>
        <v/>
      </c>
      <c r="H24" s="19" t="str">
        <f aca="false">IF(OR(D24="",G24=""),"",IF(LEFT(D24,3)="SIL",IF(G24&lt;1,1,IF(G24&lt;10,3,2)),IF(LEFT(D24,3)="ASB",IF(G24&lt;10,3,2),IF(LEFT(D24,3)="CAR",IF(G24&lt;15,4,3),"Criterio médico"))))</f>
        <v/>
      </c>
      <c r="I24" s="19" t="str">
        <f aca="false">IF(OR(D24="",G24=""),"",IF(LEFT(D24,3)="CAR",IF(G24&lt;3,1,2),H24))</f>
        <v/>
      </c>
      <c r="J24" s="32" t="str">
        <f aca="false">IF(OR(E24="",NOT(ISNUMBER(H24))),"",IF(F24="",E24,F24)+H24*365.25)</f>
        <v/>
      </c>
      <c r="K24" s="32" t="str">
        <f aca="false">IF(OR(E24="",NOT(ISNUMBER(I24))),"",IF(F24="",E24,F24)+I24*365.25)</f>
        <v/>
      </c>
      <c r="L24" s="25" t="str">
        <f aca="true">IF(OR(J24="",K24=""),"",IF(F24="","Falta examen de ingreso",IF(MIN(J24,K24)&lt;TODAY(),"Vencido",IF(MIN(J24,K24)-TODAY()&lt;=60,"Próximo (≤ 60 días)","Al día"))))</f>
        <v/>
      </c>
      <c r="M24" s="27" t="str">
        <f aca="false">IF(D24="","",IF(LEFT(D24,3)="PNOS","Según criterio médico","Historia médica y ocupacional, examen físico respiratorio, cuestionario de síntomas, Rx tórax OIT (lector certificado), espirometría ATS/ERS"&amp;IF(LEFT(D24,3)="SIL",", prueba de tuberculina","")&amp;", consejería antitabaco"))</f>
        <v/>
      </c>
      <c r="N24" s="19" t="str">
        <f aca="false">IF(D24="","",IF(OR(LEFT(D24,3)="SIL",LEFT(D24,3)="ASB"),"Sí – periodicidad por criterio médico","No requerido"))</f>
        <v/>
      </c>
      <c r="O24" s="18"/>
    </row>
    <row r="25" customFormat="false" ht="15" hidden="false" customHeight="false" outlineLevel="0" collapsed="false">
      <c r="A25" s="18"/>
      <c r="B25" s="18"/>
      <c r="C25" s="18"/>
      <c r="D25" s="19" t="str">
        <f aca="false">IF(C25="","",IFERROR(INDEX(GES!$E$6:$E$25,MATCH(C25,GES!$A$6:$A$25,0)),"GES?"))</f>
        <v/>
      </c>
      <c r="E25" s="22"/>
      <c r="F25" s="22"/>
      <c r="G25" s="28" t="str">
        <f aca="true">IF(E25="","",(TODAY()-E25)/365.25)</f>
        <v/>
      </c>
      <c r="H25" s="19" t="str">
        <f aca="false">IF(OR(D25="",G25=""),"",IF(LEFT(D25,3)="SIL",IF(G25&lt;1,1,IF(G25&lt;10,3,2)),IF(LEFT(D25,3)="ASB",IF(G25&lt;10,3,2),IF(LEFT(D25,3)="CAR",IF(G25&lt;15,4,3),"Criterio médico"))))</f>
        <v/>
      </c>
      <c r="I25" s="19" t="str">
        <f aca="false">IF(OR(D25="",G25=""),"",IF(LEFT(D25,3)="CAR",IF(G25&lt;3,1,2),H25))</f>
        <v/>
      </c>
      <c r="J25" s="32" t="str">
        <f aca="false">IF(OR(E25="",NOT(ISNUMBER(H25))),"",IF(F25="",E25,F25)+H25*365.25)</f>
        <v/>
      </c>
      <c r="K25" s="32" t="str">
        <f aca="false">IF(OR(E25="",NOT(ISNUMBER(I25))),"",IF(F25="",E25,F25)+I25*365.25)</f>
        <v/>
      </c>
      <c r="L25" s="25" t="str">
        <f aca="true">IF(OR(J25="",K25=""),"",IF(F25="","Falta examen de ingreso",IF(MIN(J25,K25)&lt;TODAY(),"Vencido",IF(MIN(J25,K25)-TODAY()&lt;=60,"Próximo (≤ 60 días)","Al día"))))</f>
        <v/>
      </c>
      <c r="M25" s="27" t="str">
        <f aca="false">IF(D25="","",IF(LEFT(D25,3)="PNOS","Según criterio médico","Historia médica y ocupacional, examen físico respiratorio, cuestionario de síntomas, Rx tórax OIT (lector certificado), espirometría ATS/ERS"&amp;IF(LEFT(D25,3)="SIL",", prueba de tuberculina","")&amp;", consejería antitabaco"))</f>
        <v/>
      </c>
      <c r="N25" s="19" t="str">
        <f aca="false">IF(D25="","",IF(OR(LEFT(D25,3)="SIL",LEFT(D25,3)="ASB"),"Sí – periodicidad por criterio médico","No requerido"))</f>
        <v/>
      </c>
      <c r="O25" s="18"/>
    </row>
    <row r="26" customFormat="false" ht="15" hidden="false" customHeight="false" outlineLevel="0" collapsed="false">
      <c r="A26" s="18"/>
      <c r="B26" s="18"/>
      <c r="C26" s="18"/>
      <c r="D26" s="19" t="str">
        <f aca="false">IF(C26="","",IFERROR(INDEX(GES!$E$6:$E$25,MATCH(C26,GES!$A$6:$A$25,0)),"GES?"))</f>
        <v/>
      </c>
      <c r="E26" s="22"/>
      <c r="F26" s="22"/>
      <c r="G26" s="28" t="str">
        <f aca="true">IF(E26="","",(TODAY()-E26)/365.25)</f>
        <v/>
      </c>
      <c r="H26" s="19" t="str">
        <f aca="false">IF(OR(D26="",G26=""),"",IF(LEFT(D26,3)="SIL",IF(G26&lt;1,1,IF(G26&lt;10,3,2)),IF(LEFT(D26,3)="ASB",IF(G26&lt;10,3,2),IF(LEFT(D26,3)="CAR",IF(G26&lt;15,4,3),"Criterio médico"))))</f>
        <v/>
      </c>
      <c r="I26" s="19" t="str">
        <f aca="false">IF(OR(D26="",G26=""),"",IF(LEFT(D26,3)="CAR",IF(G26&lt;3,1,2),H26))</f>
        <v/>
      </c>
      <c r="J26" s="32" t="str">
        <f aca="false">IF(OR(E26="",NOT(ISNUMBER(H26))),"",IF(F26="",E26,F26)+H26*365.25)</f>
        <v/>
      </c>
      <c r="K26" s="32" t="str">
        <f aca="false">IF(OR(E26="",NOT(ISNUMBER(I26))),"",IF(F26="",E26,F26)+I26*365.25)</f>
        <v/>
      </c>
      <c r="L26" s="25" t="str">
        <f aca="true">IF(OR(J26="",K26=""),"",IF(F26="","Falta examen de ingreso",IF(MIN(J26,K26)&lt;TODAY(),"Vencido",IF(MIN(J26,K26)-TODAY()&lt;=60,"Próximo (≤ 60 días)","Al día"))))</f>
        <v/>
      </c>
      <c r="M26" s="27" t="str">
        <f aca="false">IF(D26="","",IF(LEFT(D26,3)="PNOS","Según criterio médico","Historia médica y ocupacional, examen físico respiratorio, cuestionario de síntomas, Rx tórax OIT (lector certificado), espirometría ATS/ERS"&amp;IF(LEFT(D26,3)="SIL",", prueba de tuberculina","")&amp;", consejería antitabaco"))</f>
        <v/>
      </c>
      <c r="N26" s="19" t="str">
        <f aca="false">IF(D26="","",IF(OR(LEFT(D26,3)="SIL",LEFT(D26,3)="ASB"),"Sí – periodicidad por criterio médico","No requerido"))</f>
        <v/>
      </c>
      <c r="O26" s="18"/>
    </row>
    <row r="27" customFormat="false" ht="15" hidden="false" customHeight="false" outlineLevel="0" collapsed="false">
      <c r="A27" s="18"/>
      <c r="B27" s="18"/>
      <c r="C27" s="18"/>
      <c r="D27" s="19" t="str">
        <f aca="false">IF(C27="","",IFERROR(INDEX(GES!$E$6:$E$25,MATCH(C27,GES!$A$6:$A$25,0)),"GES?"))</f>
        <v/>
      </c>
      <c r="E27" s="22"/>
      <c r="F27" s="22"/>
      <c r="G27" s="28" t="str">
        <f aca="true">IF(E27="","",(TODAY()-E27)/365.25)</f>
        <v/>
      </c>
      <c r="H27" s="19" t="str">
        <f aca="false">IF(OR(D27="",G27=""),"",IF(LEFT(D27,3)="SIL",IF(G27&lt;1,1,IF(G27&lt;10,3,2)),IF(LEFT(D27,3)="ASB",IF(G27&lt;10,3,2),IF(LEFT(D27,3)="CAR",IF(G27&lt;15,4,3),"Criterio médico"))))</f>
        <v/>
      </c>
      <c r="I27" s="19" t="str">
        <f aca="false">IF(OR(D27="",G27=""),"",IF(LEFT(D27,3)="CAR",IF(G27&lt;3,1,2),H27))</f>
        <v/>
      </c>
      <c r="J27" s="32" t="str">
        <f aca="false">IF(OR(E27="",NOT(ISNUMBER(H27))),"",IF(F27="",E27,F27)+H27*365.25)</f>
        <v/>
      </c>
      <c r="K27" s="32" t="str">
        <f aca="false">IF(OR(E27="",NOT(ISNUMBER(I27))),"",IF(F27="",E27,F27)+I27*365.25)</f>
        <v/>
      </c>
      <c r="L27" s="25" t="str">
        <f aca="true">IF(OR(J27="",K27=""),"",IF(F27="","Falta examen de ingreso",IF(MIN(J27,K27)&lt;TODAY(),"Vencido",IF(MIN(J27,K27)-TODAY()&lt;=60,"Próximo (≤ 60 días)","Al día"))))</f>
        <v/>
      </c>
      <c r="M27" s="27" t="str">
        <f aca="false">IF(D27="","",IF(LEFT(D27,3)="PNOS","Según criterio médico","Historia médica y ocupacional, examen físico respiratorio, cuestionario de síntomas, Rx tórax OIT (lector certificado), espirometría ATS/ERS"&amp;IF(LEFT(D27,3)="SIL",", prueba de tuberculina","")&amp;", consejería antitabaco"))</f>
        <v/>
      </c>
      <c r="N27" s="19" t="str">
        <f aca="false">IF(D27="","",IF(OR(LEFT(D27,3)="SIL",LEFT(D27,3)="ASB"),"Sí – periodicidad por criterio médico","No requerido"))</f>
        <v/>
      </c>
      <c r="O27" s="18"/>
    </row>
    <row r="28" customFormat="false" ht="15" hidden="false" customHeight="false" outlineLevel="0" collapsed="false">
      <c r="A28" s="18"/>
      <c r="B28" s="18"/>
      <c r="C28" s="18"/>
      <c r="D28" s="19" t="str">
        <f aca="false">IF(C28="","",IFERROR(INDEX(GES!$E$6:$E$25,MATCH(C28,GES!$A$6:$A$25,0)),"GES?"))</f>
        <v/>
      </c>
      <c r="E28" s="22"/>
      <c r="F28" s="22"/>
      <c r="G28" s="28" t="str">
        <f aca="true">IF(E28="","",(TODAY()-E28)/365.25)</f>
        <v/>
      </c>
      <c r="H28" s="19" t="str">
        <f aca="false">IF(OR(D28="",G28=""),"",IF(LEFT(D28,3)="SIL",IF(G28&lt;1,1,IF(G28&lt;10,3,2)),IF(LEFT(D28,3)="ASB",IF(G28&lt;10,3,2),IF(LEFT(D28,3)="CAR",IF(G28&lt;15,4,3),"Criterio médico"))))</f>
        <v/>
      </c>
      <c r="I28" s="19" t="str">
        <f aca="false">IF(OR(D28="",G28=""),"",IF(LEFT(D28,3)="CAR",IF(G28&lt;3,1,2),H28))</f>
        <v/>
      </c>
      <c r="J28" s="32" t="str">
        <f aca="false">IF(OR(E28="",NOT(ISNUMBER(H28))),"",IF(F28="",E28,F28)+H28*365.25)</f>
        <v/>
      </c>
      <c r="K28" s="32" t="str">
        <f aca="false">IF(OR(E28="",NOT(ISNUMBER(I28))),"",IF(F28="",E28,F28)+I28*365.25)</f>
        <v/>
      </c>
      <c r="L28" s="25" t="str">
        <f aca="true">IF(OR(J28="",K28=""),"",IF(F28="","Falta examen de ingreso",IF(MIN(J28,K28)&lt;TODAY(),"Vencido",IF(MIN(J28,K28)-TODAY()&lt;=60,"Próximo (≤ 60 días)","Al día"))))</f>
        <v/>
      </c>
      <c r="M28" s="27" t="str">
        <f aca="false">IF(D28="","",IF(LEFT(D28,3)="PNOS","Según criterio médico","Historia médica y ocupacional, examen físico respiratorio, cuestionario de síntomas, Rx tórax OIT (lector certificado), espirometría ATS/ERS"&amp;IF(LEFT(D28,3)="SIL",", prueba de tuberculina","")&amp;", consejería antitabaco"))</f>
        <v/>
      </c>
      <c r="N28" s="19" t="str">
        <f aca="false">IF(D28="","",IF(OR(LEFT(D28,3)="SIL",LEFT(D28,3)="ASB"),"Sí – periodicidad por criterio médico","No requerido"))</f>
        <v/>
      </c>
      <c r="O28" s="18"/>
    </row>
    <row r="29" customFormat="false" ht="15" hidden="false" customHeight="false" outlineLevel="0" collapsed="false">
      <c r="A29" s="18"/>
      <c r="B29" s="18"/>
      <c r="C29" s="18"/>
      <c r="D29" s="19" t="str">
        <f aca="false">IF(C29="","",IFERROR(INDEX(GES!$E$6:$E$25,MATCH(C29,GES!$A$6:$A$25,0)),"GES?"))</f>
        <v/>
      </c>
      <c r="E29" s="22"/>
      <c r="F29" s="22"/>
      <c r="G29" s="28" t="str">
        <f aca="true">IF(E29="","",(TODAY()-E29)/365.25)</f>
        <v/>
      </c>
      <c r="H29" s="19" t="str">
        <f aca="false">IF(OR(D29="",G29=""),"",IF(LEFT(D29,3)="SIL",IF(G29&lt;1,1,IF(G29&lt;10,3,2)),IF(LEFT(D29,3)="ASB",IF(G29&lt;10,3,2),IF(LEFT(D29,3)="CAR",IF(G29&lt;15,4,3),"Criterio médico"))))</f>
        <v/>
      </c>
      <c r="I29" s="19" t="str">
        <f aca="false">IF(OR(D29="",G29=""),"",IF(LEFT(D29,3)="CAR",IF(G29&lt;3,1,2),H29))</f>
        <v/>
      </c>
      <c r="J29" s="32" t="str">
        <f aca="false">IF(OR(E29="",NOT(ISNUMBER(H29))),"",IF(F29="",E29,F29)+H29*365.25)</f>
        <v/>
      </c>
      <c r="K29" s="32" t="str">
        <f aca="false">IF(OR(E29="",NOT(ISNUMBER(I29))),"",IF(F29="",E29,F29)+I29*365.25)</f>
        <v/>
      </c>
      <c r="L29" s="25" t="str">
        <f aca="true">IF(OR(J29="",K29=""),"",IF(F29="","Falta examen de ingreso",IF(MIN(J29,K29)&lt;TODAY(),"Vencido",IF(MIN(J29,K29)-TODAY()&lt;=60,"Próximo (≤ 60 días)","Al día"))))</f>
        <v/>
      </c>
      <c r="M29" s="27" t="str">
        <f aca="false">IF(D29="","",IF(LEFT(D29,3)="PNOS","Según criterio médico","Historia médica y ocupacional, examen físico respiratorio, cuestionario de síntomas, Rx tórax OIT (lector certificado), espirometría ATS/ERS"&amp;IF(LEFT(D29,3)="SIL",", prueba de tuberculina","")&amp;", consejería antitabaco"))</f>
        <v/>
      </c>
      <c r="N29" s="19" t="str">
        <f aca="false">IF(D29="","",IF(OR(LEFT(D29,3)="SIL",LEFT(D29,3)="ASB"),"Sí – periodicidad por criterio médico","No requerido"))</f>
        <v/>
      </c>
      <c r="O29" s="18"/>
    </row>
    <row r="30" customFormat="false" ht="15" hidden="false" customHeight="false" outlineLevel="0" collapsed="false">
      <c r="A30" s="18"/>
      <c r="B30" s="18"/>
      <c r="C30" s="18"/>
      <c r="D30" s="19" t="str">
        <f aca="false">IF(C30="","",IFERROR(INDEX(GES!$E$6:$E$25,MATCH(C30,GES!$A$6:$A$25,0)),"GES?"))</f>
        <v/>
      </c>
      <c r="E30" s="22"/>
      <c r="F30" s="22"/>
      <c r="G30" s="28" t="str">
        <f aca="true">IF(E30="","",(TODAY()-E30)/365.25)</f>
        <v/>
      </c>
      <c r="H30" s="19" t="str">
        <f aca="false">IF(OR(D30="",G30=""),"",IF(LEFT(D30,3)="SIL",IF(G30&lt;1,1,IF(G30&lt;10,3,2)),IF(LEFT(D30,3)="ASB",IF(G30&lt;10,3,2),IF(LEFT(D30,3)="CAR",IF(G30&lt;15,4,3),"Criterio médico"))))</f>
        <v/>
      </c>
      <c r="I30" s="19" t="str">
        <f aca="false">IF(OR(D30="",G30=""),"",IF(LEFT(D30,3)="CAR",IF(G30&lt;3,1,2),H30))</f>
        <v/>
      </c>
      <c r="J30" s="32" t="str">
        <f aca="false">IF(OR(E30="",NOT(ISNUMBER(H30))),"",IF(F30="",E30,F30)+H30*365.25)</f>
        <v/>
      </c>
      <c r="K30" s="32" t="str">
        <f aca="false">IF(OR(E30="",NOT(ISNUMBER(I30))),"",IF(F30="",E30,F30)+I30*365.25)</f>
        <v/>
      </c>
      <c r="L30" s="25" t="str">
        <f aca="true">IF(OR(J30="",K30=""),"",IF(F30="","Falta examen de ingreso",IF(MIN(J30,K30)&lt;TODAY(),"Vencido",IF(MIN(J30,K30)-TODAY()&lt;=60,"Próximo (≤ 60 días)","Al día"))))</f>
        <v/>
      </c>
      <c r="M30" s="27" t="str">
        <f aca="false">IF(D30="","",IF(LEFT(D30,3)="PNOS","Según criterio médico","Historia médica y ocupacional, examen físico respiratorio, cuestionario de síntomas, Rx tórax OIT (lector certificado), espirometría ATS/ERS"&amp;IF(LEFT(D30,3)="SIL",", prueba de tuberculina","")&amp;", consejería antitabaco"))</f>
        <v/>
      </c>
      <c r="N30" s="19" t="str">
        <f aca="false">IF(D30="","",IF(OR(LEFT(D30,3)="SIL",LEFT(D30,3)="ASB"),"Sí – periodicidad por criterio médico","No requerido"))</f>
        <v/>
      </c>
      <c r="O30" s="18"/>
    </row>
    <row r="31" customFormat="false" ht="15" hidden="false" customHeight="false" outlineLevel="0" collapsed="false">
      <c r="A31" s="18"/>
      <c r="B31" s="18"/>
      <c r="C31" s="18"/>
      <c r="D31" s="19" t="str">
        <f aca="false">IF(C31="","",IFERROR(INDEX(GES!$E$6:$E$25,MATCH(C31,GES!$A$6:$A$25,0)),"GES?"))</f>
        <v/>
      </c>
      <c r="E31" s="22"/>
      <c r="F31" s="22"/>
      <c r="G31" s="28" t="str">
        <f aca="true">IF(E31="","",(TODAY()-E31)/365.25)</f>
        <v/>
      </c>
      <c r="H31" s="19" t="str">
        <f aca="false">IF(OR(D31="",G31=""),"",IF(LEFT(D31,3)="SIL",IF(G31&lt;1,1,IF(G31&lt;10,3,2)),IF(LEFT(D31,3)="ASB",IF(G31&lt;10,3,2),IF(LEFT(D31,3)="CAR",IF(G31&lt;15,4,3),"Criterio médico"))))</f>
        <v/>
      </c>
      <c r="I31" s="19" t="str">
        <f aca="false">IF(OR(D31="",G31=""),"",IF(LEFT(D31,3)="CAR",IF(G31&lt;3,1,2),H31))</f>
        <v/>
      </c>
      <c r="J31" s="32" t="str">
        <f aca="false">IF(OR(E31="",NOT(ISNUMBER(H31))),"",IF(F31="",E31,F31)+H31*365.25)</f>
        <v/>
      </c>
      <c r="K31" s="32" t="str">
        <f aca="false">IF(OR(E31="",NOT(ISNUMBER(I31))),"",IF(F31="",E31,F31)+I31*365.25)</f>
        <v/>
      </c>
      <c r="L31" s="25" t="str">
        <f aca="true">IF(OR(J31="",K31=""),"",IF(F31="","Falta examen de ingreso",IF(MIN(J31,K31)&lt;TODAY(),"Vencido",IF(MIN(J31,K31)-TODAY()&lt;=60,"Próximo (≤ 60 días)","Al día"))))</f>
        <v/>
      </c>
      <c r="M31" s="27" t="str">
        <f aca="false">IF(D31="","",IF(LEFT(D31,3)="PNOS","Según criterio médico","Historia médica y ocupacional, examen físico respiratorio, cuestionario de síntomas, Rx tórax OIT (lector certificado), espirometría ATS/ERS"&amp;IF(LEFT(D31,3)="SIL",", prueba de tuberculina","")&amp;", consejería antitabaco"))</f>
        <v/>
      </c>
      <c r="N31" s="19" t="str">
        <f aca="false">IF(D31="","",IF(OR(LEFT(D31,3)="SIL",LEFT(D31,3)="ASB"),"Sí – periodicidad por criterio médico","No requerido"))</f>
        <v/>
      </c>
      <c r="O31" s="18"/>
    </row>
    <row r="32" customFormat="false" ht="15" hidden="false" customHeight="false" outlineLevel="0" collapsed="false">
      <c r="A32" s="18"/>
      <c r="B32" s="18"/>
      <c r="C32" s="18"/>
      <c r="D32" s="19" t="str">
        <f aca="false">IF(C32="","",IFERROR(INDEX(GES!$E$6:$E$25,MATCH(C32,GES!$A$6:$A$25,0)),"GES?"))</f>
        <v/>
      </c>
      <c r="E32" s="22"/>
      <c r="F32" s="22"/>
      <c r="G32" s="28" t="str">
        <f aca="true">IF(E32="","",(TODAY()-E32)/365.25)</f>
        <v/>
      </c>
      <c r="H32" s="19" t="str">
        <f aca="false">IF(OR(D32="",G32=""),"",IF(LEFT(D32,3)="SIL",IF(G32&lt;1,1,IF(G32&lt;10,3,2)),IF(LEFT(D32,3)="ASB",IF(G32&lt;10,3,2),IF(LEFT(D32,3)="CAR",IF(G32&lt;15,4,3),"Criterio médico"))))</f>
        <v/>
      </c>
      <c r="I32" s="19" t="str">
        <f aca="false">IF(OR(D32="",G32=""),"",IF(LEFT(D32,3)="CAR",IF(G32&lt;3,1,2),H32))</f>
        <v/>
      </c>
      <c r="J32" s="32" t="str">
        <f aca="false">IF(OR(E32="",NOT(ISNUMBER(H32))),"",IF(F32="",E32,F32)+H32*365.25)</f>
        <v/>
      </c>
      <c r="K32" s="32" t="str">
        <f aca="false">IF(OR(E32="",NOT(ISNUMBER(I32))),"",IF(F32="",E32,F32)+I32*365.25)</f>
        <v/>
      </c>
      <c r="L32" s="25" t="str">
        <f aca="true">IF(OR(J32="",K32=""),"",IF(F32="","Falta examen de ingreso",IF(MIN(J32,K32)&lt;TODAY(),"Vencido",IF(MIN(J32,K32)-TODAY()&lt;=60,"Próximo (≤ 60 días)","Al día"))))</f>
        <v/>
      </c>
      <c r="M32" s="27" t="str">
        <f aca="false">IF(D32="","",IF(LEFT(D32,3)="PNOS","Según criterio médico","Historia médica y ocupacional, examen físico respiratorio, cuestionario de síntomas, Rx tórax OIT (lector certificado), espirometría ATS/ERS"&amp;IF(LEFT(D32,3)="SIL",", prueba de tuberculina","")&amp;", consejería antitabaco"))</f>
        <v/>
      </c>
      <c r="N32" s="19" t="str">
        <f aca="false">IF(D32="","",IF(OR(LEFT(D32,3)="SIL",LEFT(D32,3)="ASB"),"Sí – periodicidad por criterio médico","No requerido"))</f>
        <v/>
      </c>
      <c r="O32" s="18"/>
    </row>
    <row r="33" customFormat="false" ht="15" hidden="false" customHeight="false" outlineLevel="0" collapsed="false">
      <c r="A33" s="18"/>
      <c r="B33" s="18"/>
      <c r="C33" s="18"/>
      <c r="D33" s="19" t="str">
        <f aca="false">IF(C33="","",IFERROR(INDEX(GES!$E$6:$E$25,MATCH(C33,GES!$A$6:$A$25,0)),"GES?"))</f>
        <v/>
      </c>
      <c r="E33" s="22"/>
      <c r="F33" s="22"/>
      <c r="G33" s="28" t="str">
        <f aca="true">IF(E33="","",(TODAY()-E33)/365.25)</f>
        <v/>
      </c>
      <c r="H33" s="19" t="str">
        <f aca="false">IF(OR(D33="",G33=""),"",IF(LEFT(D33,3)="SIL",IF(G33&lt;1,1,IF(G33&lt;10,3,2)),IF(LEFT(D33,3)="ASB",IF(G33&lt;10,3,2),IF(LEFT(D33,3)="CAR",IF(G33&lt;15,4,3),"Criterio médico"))))</f>
        <v/>
      </c>
      <c r="I33" s="19" t="str">
        <f aca="false">IF(OR(D33="",G33=""),"",IF(LEFT(D33,3)="CAR",IF(G33&lt;3,1,2),H33))</f>
        <v/>
      </c>
      <c r="J33" s="32" t="str">
        <f aca="false">IF(OR(E33="",NOT(ISNUMBER(H33))),"",IF(F33="",E33,F33)+H33*365.25)</f>
        <v/>
      </c>
      <c r="K33" s="32" t="str">
        <f aca="false">IF(OR(E33="",NOT(ISNUMBER(I33))),"",IF(F33="",E33,F33)+I33*365.25)</f>
        <v/>
      </c>
      <c r="L33" s="25" t="str">
        <f aca="true">IF(OR(J33="",K33=""),"",IF(F33="","Falta examen de ingreso",IF(MIN(J33,K33)&lt;TODAY(),"Vencido",IF(MIN(J33,K33)-TODAY()&lt;=60,"Próximo (≤ 60 días)","Al día"))))</f>
        <v/>
      </c>
      <c r="M33" s="27" t="str">
        <f aca="false">IF(D33="","",IF(LEFT(D33,3)="PNOS","Según criterio médico","Historia médica y ocupacional, examen físico respiratorio, cuestionario de síntomas, Rx tórax OIT (lector certificado), espirometría ATS/ERS"&amp;IF(LEFT(D33,3)="SIL",", prueba de tuberculina","")&amp;", consejería antitabaco"))</f>
        <v/>
      </c>
      <c r="N33" s="19" t="str">
        <f aca="false">IF(D33="","",IF(OR(LEFT(D33,3)="SIL",LEFT(D33,3)="ASB"),"Sí – periodicidad por criterio médico","No requerido"))</f>
        <v/>
      </c>
      <c r="O33" s="18"/>
    </row>
    <row r="34" customFormat="false" ht="15" hidden="false" customHeight="false" outlineLevel="0" collapsed="false">
      <c r="A34" s="18"/>
      <c r="B34" s="18"/>
      <c r="C34" s="18"/>
      <c r="D34" s="19" t="str">
        <f aca="false">IF(C34="","",IFERROR(INDEX(GES!$E$6:$E$25,MATCH(C34,GES!$A$6:$A$25,0)),"GES?"))</f>
        <v/>
      </c>
      <c r="E34" s="22"/>
      <c r="F34" s="22"/>
      <c r="G34" s="28" t="str">
        <f aca="true">IF(E34="","",(TODAY()-E34)/365.25)</f>
        <v/>
      </c>
      <c r="H34" s="19" t="str">
        <f aca="false">IF(OR(D34="",G34=""),"",IF(LEFT(D34,3)="SIL",IF(G34&lt;1,1,IF(G34&lt;10,3,2)),IF(LEFT(D34,3)="ASB",IF(G34&lt;10,3,2),IF(LEFT(D34,3)="CAR",IF(G34&lt;15,4,3),"Criterio médico"))))</f>
        <v/>
      </c>
      <c r="I34" s="19" t="str">
        <f aca="false">IF(OR(D34="",G34=""),"",IF(LEFT(D34,3)="CAR",IF(G34&lt;3,1,2),H34))</f>
        <v/>
      </c>
      <c r="J34" s="32" t="str">
        <f aca="false">IF(OR(E34="",NOT(ISNUMBER(H34))),"",IF(F34="",E34,F34)+H34*365.25)</f>
        <v/>
      </c>
      <c r="K34" s="32" t="str">
        <f aca="false">IF(OR(E34="",NOT(ISNUMBER(I34))),"",IF(F34="",E34,F34)+I34*365.25)</f>
        <v/>
      </c>
      <c r="L34" s="25" t="str">
        <f aca="true">IF(OR(J34="",K34=""),"",IF(F34="","Falta examen de ingreso",IF(MIN(J34,K34)&lt;TODAY(),"Vencido",IF(MIN(J34,K34)-TODAY()&lt;=60,"Próximo (≤ 60 días)","Al día"))))</f>
        <v/>
      </c>
      <c r="M34" s="27" t="str">
        <f aca="false">IF(D34="","",IF(LEFT(D34,3)="PNOS","Según criterio médico","Historia médica y ocupacional, examen físico respiratorio, cuestionario de síntomas, Rx tórax OIT (lector certificado), espirometría ATS/ERS"&amp;IF(LEFT(D34,3)="SIL",", prueba de tuberculina","")&amp;", consejería antitabaco"))</f>
        <v/>
      </c>
      <c r="N34" s="19" t="str">
        <f aca="false">IF(D34="","",IF(OR(LEFT(D34,3)="SIL",LEFT(D34,3)="ASB"),"Sí – periodicidad por criterio médico","No requerido"))</f>
        <v/>
      </c>
      <c r="O34" s="18"/>
    </row>
    <row r="35" customFormat="false" ht="15" hidden="false" customHeight="false" outlineLevel="0" collapsed="false">
      <c r="A35" s="18"/>
      <c r="B35" s="18"/>
      <c r="C35" s="18"/>
      <c r="D35" s="19" t="str">
        <f aca="false">IF(C35="","",IFERROR(INDEX(GES!$E$6:$E$25,MATCH(C35,GES!$A$6:$A$25,0)),"GES?"))</f>
        <v/>
      </c>
      <c r="E35" s="22"/>
      <c r="F35" s="22"/>
      <c r="G35" s="28" t="str">
        <f aca="true">IF(E35="","",(TODAY()-E35)/365.25)</f>
        <v/>
      </c>
      <c r="H35" s="19" t="str">
        <f aca="false">IF(OR(D35="",G35=""),"",IF(LEFT(D35,3)="SIL",IF(G35&lt;1,1,IF(G35&lt;10,3,2)),IF(LEFT(D35,3)="ASB",IF(G35&lt;10,3,2),IF(LEFT(D35,3)="CAR",IF(G35&lt;15,4,3),"Criterio médico"))))</f>
        <v/>
      </c>
      <c r="I35" s="19" t="str">
        <f aca="false">IF(OR(D35="",G35=""),"",IF(LEFT(D35,3)="CAR",IF(G35&lt;3,1,2),H35))</f>
        <v/>
      </c>
      <c r="J35" s="32" t="str">
        <f aca="false">IF(OR(E35="",NOT(ISNUMBER(H35))),"",IF(F35="",E35,F35)+H35*365.25)</f>
        <v/>
      </c>
      <c r="K35" s="32" t="str">
        <f aca="false">IF(OR(E35="",NOT(ISNUMBER(I35))),"",IF(F35="",E35,F35)+I35*365.25)</f>
        <v/>
      </c>
      <c r="L35" s="25" t="str">
        <f aca="true">IF(OR(J35="",K35=""),"",IF(F35="","Falta examen de ingreso",IF(MIN(J35,K35)&lt;TODAY(),"Vencido",IF(MIN(J35,K35)-TODAY()&lt;=60,"Próximo (≤ 60 días)","Al día"))))</f>
        <v/>
      </c>
      <c r="M35" s="27" t="str">
        <f aca="false">IF(D35="","",IF(LEFT(D35,3)="PNOS","Según criterio médico","Historia médica y ocupacional, examen físico respiratorio, cuestionario de síntomas, Rx tórax OIT (lector certificado), espirometría ATS/ERS"&amp;IF(LEFT(D35,3)="SIL",", prueba de tuberculina","")&amp;", consejería antitabaco"))</f>
        <v/>
      </c>
      <c r="N35" s="19" t="str">
        <f aca="false">IF(D35="","",IF(OR(LEFT(D35,3)="SIL",LEFT(D35,3)="ASB"),"Sí – periodicidad por criterio médico","No requerido"))</f>
        <v/>
      </c>
      <c r="O35" s="18"/>
    </row>
    <row r="36" customFormat="false" ht="15" hidden="false" customHeight="false" outlineLevel="0" collapsed="false">
      <c r="A36" s="18"/>
      <c r="B36" s="18"/>
      <c r="C36" s="18"/>
      <c r="D36" s="19" t="str">
        <f aca="false">IF(C36="","",IFERROR(INDEX(GES!$E$6:$E$25,MATCH(C36,GES!$A$6:$A$25,0)),"GES?"))</f>
        <v/>
      </c>
      <c r="E36" s="22"/>
      <c r="F36" s="22"/>
      <c r="G36" s="28" t="str">
        <f aca="true">IF(E36="","",(TODAY()-E36)/365.25)</f>
        <v/>
      </c>
      <c r="H36" s="19" t="str">
        <f aca="false">IF(OR(D36="",G36=""),"",IF(LEFT(D36,3)="SIL",IF(G36&lt;1,1,IF(G36&lt;10,3,2)),IF(LEFT(D36,3)="ASB",IF(G36&lt;10,3,2),IF(LEFT(D36,3)="CAR",IF(G36&lt;15,4,3),"Criterio médico"))))</f>
        <v/>
      </c>
      <c r="I36" s="19" t="str">
        <f aca="false">IF(OR(D36="",G36=""),"",IF(LEFT(D36,3)="CAR",IF(G36&lt;3,1,2),H36))</f>
        <v/>
      </c>
      <c r="J36" s="32" t="str">
        <f aca="false">IF(OR(E36="",NOT(ISNUMBER(H36))),"",IF(F36="",E36,F36)+H36*365.25)</f>
        <v/>
      </c>
      <c r="K36" s="32" t="str">
        <f aca="false">IF(OR(E36="",NOT(ISNUMBER(I36))),"",IF(F36="",E36,F36)+I36*365.25)</f>
        <v/>
      </c>
      <c r="L36" s="25" t="str">
        <f aca="true">IF(OR(J36="",K36=""),"",IF(F36="","Falta examen de ingreso",IF(MIN(J36,K36)&lt;TODAY(),"Vencido",IF(MIN(J36,K36)-TODAY()&lt;=60,"Próximo (≤ 60 días)","Al día"))))</f>
        <v/>
      </c>
      <c r="M36" s="27" t="str">
        <f aca="false">IF(D36="","",IF(LEFT(D36,3)="PNOS","Según criterio médico","Historia médica y ocupacional, examen físico respiratorio, cuestionario de síntomas, Rx tórax OIT (lector certificado), espirometría ATS/ERS"&amp;IF(LEFT(D36,3)="SIL",", prueba de tuberculina","")&amp;", consejería antitabaco"))</f>
        <v/>
      </c>
      <c r="N36" s="19" t="str">
        <f aca="false">IF(D36="","",IF(OR(LEFT(D36,3)="SIL",LEFT(D36,3)="ASB"),"Sí – periodicidad por criterio médico","No requerido"))</f>
        <v/>
      </c>
      <c r="O36" s="18"/>
    </row>
    <row r="37" customFormat="false" ht="15" hidden="false" customHeight="false" outlineLevel="0" collapsed="false">
      <c r="A37" s="18"/>
      <c r="B37" s="18"/>
      <c r="C37" s="18"/>
      <c r="D37" s="19" t="str">
        <f aca="false">IF(C37="","",IFERROR(INDEX(GES!$E$6:$E$25,MATCH(C37,GES!$A$6:$A$25,0)),"GES?"))</f>
        <v/>
      </c>
      <c r="E37" s="22"/>
      <c r="F37" s="22"/>
      <c r="G37" s="28" t="str">
        <f aca="true">IF(E37="","",(TODAY()-E37)/365.25)</f>
        <v/>
      </c>
      <c r="H37" s="19" t="str">
        <f aca="false">IF(OR(D37="",G37=""),"",IF(LEFT(D37,3)="SIL",IF(G37&lt;1,1,IF(G37&lt;10,3,2)),IF(LEFT(D37,3)="ASB",IF(G37&lt;10,3,2),IF(LEFT(D37,3)="CAR",IF(G37&lt;15,4,3),"Criterio médico"))))</f>
        <v/>
      </c>
      <c r="I37" s="19" t="str">
        <f aca="false">IF(OR(D37="",G37=""),"",IF(LEFT(D37,3)="CAR",IF(G37&lt;3,1,2),H37))</f>
        <v/>
      </c>
      <c r="J37" s="32" t="str">
        <f aca="false">IF(OR(E37="",NOT(ISNUMBER(H37))),"",IF(F37="",E37,F37)+H37*365.25)</f>
        <v/>
      </c>
      <c r="K37" s="32" t="str">
        <f aca="false">IF(OR(E37="",NOT(ISNUMBER(I37))),"",IF(F37="",E37,F37)+I37*365.25)</f>
        <v/>
      </c>
      <c r="L37" s="25" t="str">
        <f aca="true">IF(OR(J37="",K37=""),"",IF(F37="","Falta examen de ingreso",IF(MIN(J37,K37)&lt;TODAY(),"Vencido",IF(MIN(J37,K37)-TODAY()&lt;=60,"Próximo (≤ 60 días)","Al día"))))</f>
        <v/>
      </c>
      <c r="M37" s="27" t="str">
        <f aca="false">IF(D37="","",IF(LEFT(D37,3)="PNOS","Según criterio médico","Historia médica y ocupacional, examen físico respiratorio, cuestionario de síntomas, Rx tórax OIT (lector certificado), espirometría ATS/ERS"&amp;IF(LEFT(D37,3)="SIL",", prueba de tuberculina","")&amp;", consejería antitabaco"))</f>
        <v/>
      </c>
      <c r="N37" s="19" t="str">
        <f aca="false">IF(D37="","",IF(OR(LEFT(D37,3)="SIL",LEFT(D37,3)="ASB"),"Sí – periodicidad por criterio médico","No requerido"))</f>
        <v/>
      </c>
      <c r="O37" s="18"/>
    </row>
    <row r="38" customFormat="false" ht="15" hidden="false" customHeight="false" outlineLevel="0" collapsed="false">
      <c r="A38" s="18"/>
      <c r="B38" s="18"/>
      <c r="C38" s="18"/>
      <c r="D38" s="19" t="str">
        <f aca="false">IF(C38="","",IFERROR(INDEX(GES!$E$6:$E$25,MATCH(C38,GES!$A$6:$A$25,0)),"GES?"))</f>
        <v/>
      </c>
      <c r="E38" s="22"/>
      <c r="F38" s="22"/>
      <c r="G38" s="28" t="str">
        <f aca="true">IF(E38="","",(TODAY()-E38)/365.25)</f>
        <v/>
      </c>
      <c r="H38" s="19" t="str">
        <f aca="false">IF(OR(D38="",G38=""),"",IF(LEFT(D38,3)="SIL",IF(G38&lt;1,1,IF(G38&lt;10,3,2)),IF(LEFT(D38,3)="ASB",IF(G38&lt;10,3,2),IF(LEFT(D38,3)="CAR",IF(G38&lt;15,4,3),"Criterio médico"))))</f>
        <v/>
      </c>
      <c r="I38" s="19" t="str">
        <f aca="false">IF(OR(D38="",G38=""),"",IF(LEFT(D38,3)="CAR",IF(G38&lt;3,1,2),H38))</f>
        <v/>
      </c>
      <c r="J38" s="32" t="str">
        <f aca="false">IF(OR(E38="",NOT(ISNUMBER(H38))),"",IF(F38="",E38,F38)+H38*365.25)</f>
        <v/>
      </c>
      <c r="K38" s="32" t="str">
        <f aca="false">IF(OR(E38="",NOT(ISNUMBER(I38))),"",IF(F38="",E38,F38)+I38*365.25)</f>
        <v/>
      </c>
      <c r="L38" s="25" t="str">
        <f aca="true">IF(OR(J38="",K38=""),"",IF(F38="","Falta examen de ingreso",IF(MIN(J38,K38)&lt;TODAY(),"Vencido",IF(MIN(J38,K38)-TODAY()&lt;=60,"Próximo (≤ 60 días)","Al día"))))</f>
        <v/>
      </c>
      <c r="M38" s="27" t="str">
        <f aca="false">IF(D38="","",IF(LEFT(D38,3)="PNOS","Según criterio médico","Historia médica y ocupacional, examen físico respiratorio, cuestionario de síntomas, Rx tórax OIT (lector certificado), espirometría ATS/ERS"&amp;IF(LEFT(D38,3)="SIL",", prueba de tuberculina","")&amp;", consejería antitabaco"))</f>
        <v/>
      </c>
      <c r="N38" s="19" t="str">
        <f aca="false">IF(D38="","",IF(OR(LEFT(D38,3)="SIL",LEFT(D38,3)="ASB"),"Sí – periodicidad por criterio médico","No requerido"))</f>
        <v/>
      </c>
      <c r="O38" s="18"/>
    </row>
    <row r="39" customFormat="false" ht="15" hidden="false" customHeight="false" outlineLevel="0" collapsed="false">
      <c r="A39" s="18"/>
      <c r="B39" s="18"/>
      <c r="C39" s="18"/>
      <c r="D39" s="19" t="str">
        <f aca="false">IF(C39="","",IFERROR(INDEX(GES!$E$6:$E$25,MATCH(C39,GES!$A$6:$A$25,0)),"GES?"))</f>
        <v/>
      </c>
      <c r="E39" s="22"/>
      <c r="F39" s="22"/>
      <c r="G39" s="28" t="str">
        <f aca="true">IF(E39="","",(TODAY()-E39)/365.25)</f>
        <v/>
      </c>
      <c r="H39" s="19" t="str">
        <f aca="false">IF(OR(D39="",G39=""),"",IF(LEFT(D39,3)="SIL",IF(G39&lt;1,1,IF(G39&lt;10,3,2)),IF(LEFT(D39,3)="ASB",IF(G39&lt;10,3,2),IF(LEFT(D39,3)="CAR",IF(G39&lt;15,4,3),"Criterio médico"))))</f>
        <v/>
      </c>
      <c r="I39" s="19" t="str">
        <f aca="false">IF(OR(D39="",G39=""),"",IF(LEFT(D39,3)="CAR",IF(G39&lt;3,1,2),H39))</f>
        <v/>
      </c>
      <c r="J39" s="32" t="str">
        <f aca="false">IF(OR(E39="",NOT(ISNUMBER(H39))),"",IF(F39="",E39,F39)+H39*365.25)</f>
        <v/>
      </c>
      <c r="K39" s="32" t="str">
        <f aca="false">IF(OR(E39="",NOT(ISNUMBER(I39))),"",IF(F39="",E39,F39)+I39*365.25)</f>
        <v/>
      </c>
      <c r="L39" s="25" t="str">
        <f aca="true">IF(OR(J39="",K39=""),"",IF(F39="","Falta examen de ingreso",IF(MIN(J39,K39)&lt;TODAY(),"Vencido",IF(MIN(J39,K39)-TODAY()&lt;=60,"Próximo (≤ 60 días)","Al día"))))</f>
        <v/>
      </c>
      <c r="M39" s="27" t="str">
        <f aca="false">IF(D39="","",IF(LEFT(D39,3)="PNOS","Según criterio médico","Historia médica y ocupacional, examen físico respiratorio, cuestionario de síntomas, Rx tórax OIT (lector certificado), espirometría ATS/ERS"&amp;IF(LEFT(D39,3)="SIL",", prueba de tuberculina","")&amp;", consejería antitabaco"))</f>
        <v/>
      </c>
      <c r="N39" s="19" t="str">
        <f aca="false">IF(D39="","",IF(OR(LEFT(D39,3)="SIL",LEFT(D39,3)="ASB"),"Sí – periodicidad por criterio médico","No requerido"))</f>
        <v/>
      </c>
      <c r="O39" s="18"/>
    </row>
    <row r="40" customFormat="false" ht="15" hidden="false" customHeight="false" outlineLevel="0" collapsed="false">
      <c r="A40" s="18"/>
      <c r="B40" s="18"/>
      <c r="C40" s="18"/>
      <c r="D40" s="19" t="str">
        <f aca="false">IF(C40="","",IFERROR(INDEX(GES!$E$6:$E$25,MATCH(C40,GES!$A$6:$A$25,0)),"GES?"))</f>
        <v/>
      </c>
      <c r="E40" s="22"/>
      <c r="F40" s="22"/>
      <c r="G40" s="28" t="str">
        <f aca="true">IF(E40="","",(TODAY()-E40)/365.25)</f>
        <v/>
      </c>
      <c r="H40" s="19" t="str">
        <f aca="false">IF(OR(D40="",G40=""),"",IF(LEFT(D40,3)="SIL",IF(G40&lt;1,1,IF(G40&lt;10,3,2)),IF(LEFT(D40,3)="ASB",IF(G40&lt;10,3,2),IF(LEFT(D40,3)="CAR",IF(G40&lt;15,4,3),"Criterio médico"))))</f>
        <v/>
      </c>
      <c r="I40" s="19" t="str">
        <f aca="false">IF(OR(D40="",G40=""),"",IF(LEFT(D40,3)="CAR",IF(G40&lt;3,1,2),H40))</f>
        <v/>
      </c>
      <c r="J40" s="32" t="str">
        <f aca="false">IF(OR(E40="",NOT(ISNUMBER(H40))),"",IF(F40="",E40,F40)+H40*365.25)</f>
        <v/>
      </c>
      <c r="K40" s="32" t="str">
        <f aca="false">IF(OR(E40="",NOT(ISNUMBER(I40))),"",IF(F40="",E40,F40)+I40*365.25)</f>
        <v/>
      </c>
      <c r="L40" s="25" t="str">
        <f aca="true">IF(OR(J40="",K40=""),"",IF(F40="","Falta examen de ingreso",IF(MIN(J40,K40)&lt;TODAY(),"Vencido",IF(MIN(J40,K40)-TODAY()&lt;=60,"Próximo (≤ 60 días)","Al día"))))</f>
        <v/>
      </c>
      <c r="M40" s="27" t="str">
        <f aca="false">IF(D40="","",IF(LEFT(D40,3)="PNOS","Según criterio médico","Historia médica y ocupacional, examen físico respiratorio, cuestionario de síntomas, Rx tórax OIT (lector certificado), espirometría ATS/ERS"&amp;IF(LEFT(D40,3)="SIL",", prueba de tuberculina","")&amp;", consejería antitabaco"))</f>
        <v/>
      </c>
      <c r="N40" s="19" t="str">
        <f aca="false">IF(D40="","",IF(OR(LEFT(D40,3)="SIL",LEFT(D40,3)="ASB"),"Sí – periodicidad por criterio médico","No requerido"))</f>
        <v/>
      </c>
      <c r="O40" s="18"/>
    </row>
    <row r="41" customFormat="false" ht="15" hidden="false" customHeight="false" outlineLevel="0" collapsed="false">
      <c r="A41" s="18"/>
      <c r="B41" s="18"/>
      <c r="C41" s="18"/>
      <c r="D41" s="19" t="str">
        <f aca="false">IF(C41="","",IFERROR(INDEX(GES!$E$6:$E$25,MATCH(C41,GES!$A$6:$A$25,0)),"GES?"))</f>
        <v/>
      </c>
      <c r="E41" s="22"/>
      <c r="F41" s="22"/>
      <c r="G41" s="28" t="str">
        <f aca="true">IF(E41="","",(TODAY()-E41)/365.25)</f>
        <v/>
      </c>
      <c r="H41" s="19" t="str">
        <f aca="false">IF(OR(D41="",G41=""),"",IF(LEFT(D41,3)="SIL",IF(G41&lt;1,1,IF(G41&lt;10,3,2)),IF(LEFT(D41,3)="ASB",IF(G41&lt;10,3,2),IF(LEFT(D41,3)="CAR",IF(G41&lt;15,4,3),"Criterio médico"))))</f>
        <v/>
      </c>
      <c r="I41" s="19" t="str">
        <f aca="false">IF(OR(D41="",G41=""),"",IF(LEFT(D41,3)="CAR",IF(G41&lt;3,1,2),H41))</f>
        <v/>
      </c>
      <c r="J41" s="32" t="str">
        <f aca="false">IF(OR(E41="",NOT(ISNUMBER(H41))),"",IF(F41="",E41,F41)+H41*365.25)</f>
        <v/>
      </c>
      <c r="K41" s="32" t="str">
        <f aca="false">IF(OR(E41="",NOT(ISNUMBER(I41))),"",IF(F41="",E41,F41)+I41*365.25)</f>
        <v/>
      </c>
      <c r="L41" s="25" t="str">
        <f aca="true">IF(OR(J41="",K41=""),"",IF(F41="","Falta examen de ingreso",IF(MIN(J41,K41)&lt;TODAY(),"Vencido",IF(MIN(J41,K41)-TODAY()&lt;=60,"Próximo (≤ 60 días)","Al día"))))</f>
        <v/>
      </c>
      <c r="M41" s="27" t="str">
        <f aca="false">IF(D41="","",IF(LEFT(D41,3)="PNOS","Según criterio médico","Historia médica y ocupacional, examen físico respiratorio, cuestionario de síntomas, Rx tórax OIT (lector certificado), espirometría ATS/ERS"&amp;IF(LEFT(D41,3)="SIL",", prueba de tuberculina","")&amp;", consejería antitabaco"))</f>
        <v/>
      </c>
      <c r="N41" s="19" t="str">
        <f aca="false">IF(D41="","",IF(OR(LEFT(D41,3)="SIL",LEFT(D41,3)="ASB"),"Sí – periodicidad por criterio médico","No requerido"))</f>
        <v/>
      </c>
      <c r="O41" s="18"/>
    </row>
    <row r="42" customFormat="false" ht="15" hidden="false" customHeight="false" outlineLevel="0" collapsed="false">
      <c r="A42" s="18"/>
      <c r="B42" s="18"/>
      <c r="C42" s="18"/>
      <c r="D42" s="19" t="str">
        <f aca="false">IF(C42="","",IFERROR(INDEX(GES!$E$6:$E$25,MATCH(C42,GES!$A$6:$A$25,0)),"GES?"))</f>
        <v/>
      </c>
      <c r="E42" s="22"/>
      <c r="F42" s="22"/>
      <c r="G42" s="28" t="str">
        <f aca="true">IF(E42="","",(TODAY()-E42)/365.25)</f>
        <v/>
      </c>
      <c r="H42" s="19" t="str">
        <f aca="false">IF(OR(D42="",G42=""),"",IF(LEFT(D42,3)="SIL",IF(G42&lt;1,1,IF(G42&lt;10,3,2)),IF(LEFT(D42,3)="ASB",IF(G42&lt;10,3,2),IF(LEFT(D42,3)="CAR",IF(G42&lt;15,4,3),"Criterio médico"))))</f>
        <v/>
      </c>
      <c r="I42" s="19" t="str">
        <f aca="false">IF(OR(D42="",G42=""),"",IF(LEFT(D42,3)="CAR",IF(G42&lt;3,1,2),H42))</f>
        <v/>
      </c>
      <c r="J42" s="32" t="str">
        <f aca="false">IF(OR(E42="",NOT(ISNUMBER(H42))),"",IF(F42="",E42,F42)+H42*365.25)</f>
        <v/>
      </c>
      <c r="K42" s="32" t="str">
        <f aca="false">IF(OR(E42="",NOT(ISNUMBER(I42))),"",IF(F42="",E42,F42)+I42*365.25)</f>
        <v/>
      </c>
      <c r="L42" s="25" t="str">
        <f aca="true">IF(OR(J42="",K42=""),"",IF(F42="","Falta examen de ingreso",IF(MIN(J42,K42)&lt;TODAY(),"Vencido",IF(MIN(J42,K42)-TODAY()&lt;=60,"Próximo (≤ 60 días)","Al día"))))</f>
        <v/>
      </c>
      <c r="M42" s="27" t="str">
        <f aca="false">IF(D42="","",IF(LEFT(D42,3)="PNOS","Según criterio médico","Historia médica y ocupacional, examen físico respiratorio, cuestionario de síntomas, Rx tórax OIT (lector certificado), espirometría ATS/ERS"&amp;IF(LEFT(D42,3)="SIL",", prueba de tuberculina","")&amp;", consejería antitabaco"))</f>
        <v/>
      </c>
      <c r="N42" s="19" t="str">
        <f aca="false">IF(D42="","",IF(OR(LEFT(D42,3)="SIL",LEFT(D42,3)="ASB"),"Sí – periodicidad por criterio médico","No requerido"))</f>
        <v/>
      </c>
      <c r="O42" s="18"/>
    </row>
    <row r="43" customFormat="false" ht="15" hidden="false" customHeight="false" outlineLevel="0" collapsed="false">
      <c r="A43" s="18"/>
      <c r="B43" s="18"/>
      <c r="C43" s="18"/>
      <c r="D43" s="19" t="str">
        <f aca="false">IF(C43="","",IFERROR(INDEX(GES!$E$6:$E$25,MATCH(C43,GES!$A$6:$A$25,0)),"GES?"))</f>
        <v/>
      </c>
      <c r="E43" s="22"/>
      <c r="F43" s="22"/>
      <c r="G43" s="28" t="str">
        <f aca="true">IF(E43="","",(TODAY()-E43)/365.25)</f>
        <v/>
      </c>
      <c r="H43" s="19" t="str">
        <f aca="false">IF(OR(D43="",G43=""),"",IF(LEFT(D43,3)="SIL",IF(G43&lt;1,1,IF(G43&lt;10,3,2)),IF(LEFT(D43,3)="ASB",IF(G43&lt;10,3,2),IF(LEFT(D43,3)="CAR",IF(G43&lt;15,4,3),"Criterio médico"))))</f>
        <v/>
      </c>
      <c r="I43" s="19" t="str">
        <f aca="false">IF(OR(D43="",G43=""),"",IF(LEFT(D43,3)="CAR",IF(G43&lt;3,1,2),H43))</f>
        <v/>
      </c>
      <c r="J43" s="32" t="str">
        <f aca="false">IF(OR(E43="",NOT(ISNUMBER(H43))),"",IF(F43="",E43,F43)+H43*365.25)</f>
        <v/>
      </c>
      <c r="K43" s="32" t="str">
        <f aca="false">IF(OR(E43="",NOT(ISNUMBER(I43))),"",IF(F43="",E43,F43)+I43*365.25)</f>
        <v/>
      </c>
      <c r="L43" s="25" t="str">
        <f aca="true">IF(OR(J43="",K43=""),"",IF(F43="","Falta examen de ingreso",IF(MIN(J43,K43)&lt;TODAY(),"Vencido",IF(MIN(J43,K43)-TODAY()&lt;=60,"Próximo (≤ 60 días)","Al día"))))</f>
        <v/>
      </c>
      <c r="M43" s="27" t="str">
        <f aca="false">IF(D43="","",IF(LEFT(D43,3)="PNOS","Según criterio médico","Historia médica y ocupacional, examen físico respiratorio, cuestionario de síntomas, Rx tórax OIT (lector certificado), espirometría ATS/ERS"&amp;IF(LEFT(D43,3)="SIL",", prueba de tuberculina","")&amp;", consejería antitabaco"))</f>
        <v/>
      </c>
      <c r="N43" s="19" t="str">
        <f aca="false">IF(D43="","",IF(OR(LEFT(D43,3)="SIL",LEFT(D43,3)="ASB"),"Sí – periodicidad por criterio médico","No requerido"))</f>
        <v/>
      </c>
      <c r="O43" s="18"/>
    </row>
    <row r="44" customFormat="false" ht="15" hidden="false" customHeight="false" outlineLevel="0" collapsed="false">
      <c r="A44" s="18"/>
      <c r="B44" s="18"/>
      <c r="C44" s="18"/>
      <c r="D44" s="19" t="str">
        <f aca="false">IF(C44="","",IFERROR(INDEX(GES!$E$6:$E$25,MATCH(C44,GES!$A$6:$A$25,0)),"GES?"))</f>
        <v/>
      </c>
      <c r="E44" s="22"/>
      <c r="F44" s="22"/>
      <c r="G44" s="28" t="str">
        <f aca="true">IF(E44="","",(TODAY()-E44)/365.25)</f>
        <v/>
      </c>
      <c r="H44" s="19" t="str">
        <f aca="false">IF(OR(D44="",G44=""),"",IF(LEFT(D44,3)="SIL",IF(G44&lt;1,1,IF(G44&lt;10,3,2)),IF(LEFT(D44,3)="ASB",IF(G44&lt;10,3,2),IF(LEFT(D44,3)="CAR",IF(G44&lt;15,4,3),"Criterio médico"))))</f>
        <v/>
      </c>
      <c r="I44" s="19" t="str">
        <f aca="false">IF(OR(D44="",G44=""),"",IF(LEFT(D44,3)="CAR",IF(G44&lt;3,1,2),H44))</f>
        <v/>
      </c>
      <c r="J44" s="32" t="str">
        <f aca="false">IF(OR(E44="",NOT(ISNUMBER(H44))),"",IF(F44="",E44,F44)+H44*365.25)</f>
        <v/>
      </c>
      <c r="K44" s="32" t="str">
        <f aca="false">IF(OR(E44="",NOT(ISNUMBER(I44))),"",IF(F44="",E44,F44)+I44*365.25)</f>
        <v/>
      </c>
      <c r="L44" s="25" t="str">
        <f aca="true">IF(OR(J44="",K44=""),"",IF(F44="","Falta examen de ingreso",IF(MIN(J44,K44)&lt;TODAY(),"Vencido",IF(MIN(J44,K44)-TODAY()&lt;=60,"Próximo (≤ 60 días)","Al día"))))</f>
        <v/>
      </c>
      <c r="M44" s="27" t="str">
        <f aca="false">IF(D44="","",IF(LEFT(D44,3)="PNOS","Según criterio médico","Historia médica y ocupacional, examen físico respiratorio, cuestionario de síntomas, Rx tórax OIT (lector certificado), espirometría ATS/ERS"&amp;IF(LEFT(D44,3)="SIL",", prueba de tuberculina","")&amp;", consejería antitabaco"))</f>
        <v/>
      </c>
      <c r="N44" s="19" t="str">
        <f aca="false">IF(D44="","",IF(OR(LEFT(D44,3)="SIL",LEFT(D44,3)="ASB"),"Sí – periodicidad por criterio médico","No requerido"))</f>
        <v/>
      </c>
      <c r="O44" s="18"/>
    </row>
    <row r="45" customFormat="false" ht="15" hidden="false" customHeight="false" outlineLevel="0" collapsed="false">
      <c r="A45" s="18"/>
      <c r="B45" s="18"/>
      <c r="C45" s="18"/>
      <c r="D45" s="19" t="str">
        <f aca="false">IF(C45="","",IFERROR(INDEX(GES!$E$6:$E$25,MATCH(C45,GES!$A$6:$A$25,0)),"GES?"))</f>
        <v/>
      </c>
      <c r="E45" s="22"/>
      <c r="F45" s="22"/>
      <c r="G45" s="28" t="str">
        <f aca="true">IF(E45="","",(TODAY()-E45)/365.25)</f>
        <v/>
      </c>
      <c r="H45" s="19" t="str">
        <f aca="false">IF(OR(D45="",G45=""),"",IF(LEFT(D45,3)="SIL",IF(G45&lt;1,1,IF(G45&lt;10,3,2)),IF(LEFT(D45,3)="ASB",IF(G45&lt;10,3,2),IF(LEFT(D45,3)="CAR",IF(G45&lt;15,4,3),"Criterio médico"))))</f>
        <v/>
      </c>
      <c r="I45" s="19" t="str">
        <f aca="false">IF(OR(D45="",G45=""),"",IF(LEFT(D45,3)="CAR",IF(G45&lt;3,1,2),H45))</f>
        <v/>
      </c>
      <c r="J45" s="32" t="str">
        <f aca="false">IF(OR(E45="",NOT(ISNUMBER(H45))),"",IF(F45="",E45,F45)+H45*365.25)</f>
        <v/>
      </c>
      <c r="K45" s="32" t="str">
        <f aca="false">IF(OR(E45="",NOT(ISNUMBER(I45))),"",IF(F45="",E45,F45)+I45*365.25)</f>
        <v/>
      </c>
      <c r="L45" s="25" t="str">
        <f aca="true">IF(OR(J45="",K45=""),"",IF(F45="","Falta examen de ingreso",IF(MIN(J45,K45)&lt;TODAY(),"Vencido",IF(MIN(J45,K45)-TODAY()&lt;=60,"Próximo (≤ 60 días)","Al día"))))</f>
        <v/>
      </c>
      <c r="M45" s="27" t="str">
        <f aca="false">IF(D45="","",IF(LEFT(D45,3)="PNOS","Según criterio médico","Historia médica y ocupacional, examen físico respiratorio, cuestionario de síntomas, Rx tórax OIT (lector certificado), espirometría ATS/ERS"&amp;IF(LEFT(D45,3)="SIL",", prueba de tuberculina","")&amp;", consejería antitabaco"))</f>
        <v/>
      </c>
      <c r="N45" s="19" t="str">
        <f aca="false">IF(D45="","",IF(OR(LEFT(D45,3)="SIL",LEFT(D45,3)="ASB"),"Sí – periodicidad por criterio médico","No requerido"))</f>
        <v/>
      </c>
      <c r="O45" s="18"/>
    </row>
    <row r="46" customFormat="false" ht="15" hidden="false" customHeight="false" outlineLevel="0" collapsed="false">
      <c r="A46" s="18"/>
      <c r="B46" s="18"/>
      <c r="C46" s="18"/>
      <c r="D46" s="19" t="str">
        <f aca="false">IF(C46="","",IFERROR(INDEX(GES!$E$6:$E$25,MATCH(C46,GES!$A$6:$A$25,0)),"GES?"))</f>
        <v/>
      </c>
      <c r="E46" s="22"/>
      <c r="F46" s="22"/>
      <c r="G46" s="28" t="str">
        <f aca="true">IF(E46="","",(TODAY()-E46)/365.25)</f>
        <v/>
      </c>
      <c r="H46" s="19" t="str">
        <f aca="false">IF(OR(D46="",G46=""),"",IF(LEFT(D46,3)="SIL",IF(G46&lt;1,1,IF(G46&lt;10,3,2)),IF(LEFT(D46,3)="ASB",IF(G46&lt;10,3,2),IF(LEFT(D46,3)="CAR",IF(G46&lt;15,4,3),"Criterio médico"))))</f>
        <v/>
      </c>
      <c r="I46" s="19" t="str">
        <f aca="false">IF(OR(D46="",G46=""),"",IF(LEFT(D46,3)="CAR",IF(G46&lt;3,1,2),H46))</f>
        <v/>
      </c>
      <c r="J46" s="32" t="str">
        <f aca="false">IF(OR(E46="",NOT(ISNUMBER(H46))),"",IF(F46="",E46,F46)+H46*365.25)</f>
        <v/>
      </c>
      <c r="K46" s="32" t="str">
        <f aca="false">IF(OR(E46="",NOT(ISNUMBER(I46))),"",IF(F46="",E46,F46)+I46*365.25)</f>
        <v/>
      </c>
      <c r="L46" s="25" t="str">
        <f aca="true">IF(OR(J46="",K46=""),"",IF(F46="","Falta examen de ingreso",IF(MIN(J46,K46)&lt;TODAY(),"Vencido",IF(MIN(J46,K46)-TODAY()&lt;=60,"Próximo (≤ 60 días)","Al día"))))</f>
        <v/>
      </c>
      <c r="M46" s="27" t="str">
        <f aca="false">IF(D46="","",IF(LEFT(D46,3)="PNOS","Según criterio médico","Historia médica y ocupacional, examen físico respiratorio, cuestionario de síntomas, Rx tórax OIT (lector certificado), espirometría ATS/ERS"&amp;IF(LEFT(D46,3)="SIL",", prueba de tuberculina","")&amp;", consejería antitabaco"))</f>
        <v/>
      </c>
      <c r="N46" s="19" t="str">
        <f aca="false">IF(D46="","",IF(OR(LEFT(D46,3)="SIL",LEFT(D46,3)="ASB"),"Sí – periodicidad por criterio médico","No requerido"))</f>
        <v/>
      </c>
      <c r="O46" s="18"/>
    </row>
    <row r="47" customFormat="false" ht="15" hidden="false" customHeight="false" outlineLevel="0" collapsed="false">
      <c r="A47" s="18"/>
      <c r="B47" s="18"/>
      <c r="C47" s="18"/>
      <c r="D47" s="19" t="str">
        <f aca="false">IF(C47="","",IFERROR(INDEX(GES!$E$6:$E$25,MATCH(C47,GES!$A$6:$A$25,0)),"GES?"))</f>
        <v/>
      </c>
      <c r="E47" s="22"/>
      <c r="F47" s="22"/>
      <c r="G47" s="28" t="str">
        <f aca="true">IF(E47="","",(TODAY()-E47)/365.25)</f>
        <v/>
      </c>
      <c r="H47" s="19" t="str">
        <f aca="false">IF(OR(D47="",G47=""),"",IF(LEFT(D47,3)="SIL",IF(G47&lt;1,1,IF(G47&lt;10,3,2)),IF(LEFT(D47,3)="ASB",IF(G47&lt;10,3,2),IF(LEFT(D47,3)="CAR",IF(G47&lt;15,4,3),"Criterio médico"))))</f>
        <v/>
      </c>
      <c r="I47" s="19" t="str">
        <f aca="false">IF(OR(D47="",G47=""),"",IF(LEFT(D47,3)="CAR",IF(G47&lt;3,1,2),H47))</f>
        <v/>
      </c>
      <c r="J47" s="32" t="str">
        <f aca="false">IF(OR(E47="",NOT(ISNUMBER(H47))),"",IF(F47="",E47,F47)+H47*365.25)</f>
        <v/>
      </c>
      <c r="K47" s="32" t="str">
        <f aca="false">IF(OR(E47="",NOT(ISNUMBER(I47))),"",IF(F47="",E47,F47)+I47*365.25)</f>
        <v/>
      </c>
      <c r="L47" s="25" t="str">
        <f aca="true">IF(OR(J47="",K47=""),"",IF(F47="","Falta examen de ingreso",IF(MIN(J47,K47)&lt;TODAY(),"Vencido",IF(MIN(J47,K47)-TODAY()&lt;=60,"Próximo (≤ 60 días)","Al día"))))</f>
        <v/>
      </c>
      <c r="M47" s="27" t="str">
        <f aca="false">IF(D47="","",IF(LEFT(D47,3)="PNOS","Según criterio médico","Historia médica y ocupacional, examen físico respiratorio, cuestionario de síntomas, Rx tórax OIT (lector certificado), espirometría ATS/ERS"&amp;IF(LEFT(D47,3)="SIL",", prueba de tuberculina","")&amp;", consejería antitabaco"))</f>
        <v/>
      </c>
      <c r="N47" s="19" t="str">
        <f aca="false">IF(D47="","",IF(OR(LEFT(D47,3)="SIL",LEFT(D47,3)="ASB"),"Sí – periodicidad por criterio médico","No requerido"))</f>
        <v/>
      </c>
      <c r="O47" s="18"/>
    </row>
    <row r="48" customFormat="false" ht="15" hidden="false" customHeight="false" outlineLevel="0" collapsed="false">
      <c r="A48" s="18"/>
      <c r="B48" s="18"/>
      <c r="C48" s="18"/>
      <c r="D48" s="19" t="str">
        <f aca="false">IF(C48="","",IFERROR(INDEX(GES!$E$6:$E$25,MATCH(C48,GES!$A$6:$A$25,0)),"GES?"))</f>
        <v/>
      </c>
      <c r="E48" s="22"/>
      <c r="F48" s="22"/>
      <c r="G48" s="28" t="str">
        <f aca="true">IF(E48="","",(TODAY()-E48)/365.25)</f>
        <v/>
      </c>
      <c r="H48" s="19" t="str">
        <f aca="false">IF(OR(D48="",G48=""),"",IF(LEFT(D48,3)="SIL",IF(G48&lt;1,1,IF(G48&lt;10,3,2)),IF(LEFT(D48,3)="ASB",IF(G48&lt;10,3,2),IF(LEFT(D48,3)="CAR",IF(G48&lt;15,4,3),"Criterio médico"))))</f>
        <v/>
      </c>
      <c r="I48" s="19" t="str">
        <f aca="false">IF(OR(D48="",G48=""),"",IF(LEFT(D48,3)="CAR",IF(G48&lt;3,1,2),H48))</f>
        <v/>
      </c>
      <c r="J48" s="32" t="str">
        <f aca="false">IF(OR(E48="",NOT(ISNUMBER(H48))),"",IF(F48="",E48,F48)+H48*365.25)</f>
        <v/>
      </c>
      <c r="K48" s="32" t="str">
        <f aca="false">IF(OR(E48="",NOT(ISNUMBER(I48))),"",IF(F48="",E48,F48)+I48*365.25)</f>
        <v/>
      </c>
      <c r="L48" s="25" t="str">
        <f aca="true">IF(OR(J48="",K48=""),"",IF(F48="","Falta examen de ingreso",IF(MIN(J48,K48)&lt;TODAY(),"Vencido",IF(MIN(J48,K48)-TODAY()&lt;=60,"Próximo (≤ 60 días)","Al día"))))</f>
        <v/>
      </c>
      <c r="M48" s="27" t="str">
        <f aca="false">IF(D48="","",IF(LEFT(D48,3)="PNOS","Según criterio médico","Historia médica y ocupacional, examen físico respiratorio, cuestionario de síntomas, Rx tórax OIT (lector certificado), espirometría ATS/ERS"&amp;IF(LEFT(D48,3)="SIL",", prueba de tuberculina","")&amp;", consejería antitabaco"))</f>
        <v/>
      </c>
      <c r="N48" s="19" t="str">
        <f aca="false">IF(D48="","",IF(OR(LEFT(D48,3)="SIL",LEFT(D48,3)="ASB"),"Sí – periodicidad por criterio médico","No requerido"))</f>
        <v/>
      </c>
      <c r="O48" s="18"/>
    </row>
    <row r="49" customFormat="false" ht="15" hidden="false" customHeight="false" outlineLevel="0" collapsed="false">
      <c r="A49" s="18"/>
      <c r="B49" s="18"/>
      <c r="C49" s="18"/>
      <c r="D49" s="19" t="str">
        <f aca="false">IF(C49="","",IFERROR(INDEX(GES!$E$6:$E$25,MATCH(C49,GES!$A$6:$A$25,0)),"GES?"))</f>
        <v/>
      </c>
      <c r="E49" s="22"/>
      <c r="F49" s="22"/>
      <c r="G49" s="28" t="str">
        <f aca="true">IF(E49="","",(TODAY()-E49)/365.25)</f>
        <v/>
      </c>
      <c r="H49" s="19" t="str">
        <f aca="false">IF(OR(D49="",G49=""),"",IF(LEFT(D49,3)="SIL",IF(G49&lt;1,1,IF(G49&lt;10,3,2)),IF(LEFT(D49,3)="ASB",IF(G49&lt;10,3,2),IF(LEFT(D49,3)="CAR",IF(G49&lt;15,4,3),"Criterio médico"))))</f>
        <v/>
      </c>
      <c r="I49" s="19" t="str">
        <f aca="false">IF(OR(D49="",G49=""),"",IF(LEFT(D49,3)="CAR",IF(G49&lt;3,1,2),H49))</f>
        <v/>
      </c>
      <c r="J49" s="32" t="str">
        <f aca="false">IF(OR(E49="",NOT(ISNUMBER(H49))),"",IF(F49="",E49,F49)+H49*365.25)</f>
        <v/>
      </c>
      <c r="K49" s="32" t="str">
        <f aca="false">IF(OR(E49="",NOT(ISNUMBER(I49))),"",IF(F49="",E49,F49)+I49*365.25)</f>
        <v/>
      </c>
      <c r="L49" s="25" t="str">
        <f aca="true">IF(OR(J49="",K49=""),"",IF(F49="","Falta examen de ingreso",IF(MIN(J49,K49)&lt;TODAY(),"Vencido",IF(MIN(J49,K49)-TODAY()&lt;=60,"Próximo (≤ 60 días)","Al día"))))</f>
        <v/>
      </c>
      <c r="M49" s="27" t="str">
        <f aca="false">IF(D49="","",IF(LEFT(D49,3)="PNOS","Según criterio médico","Historia médica y ocupacional, examen físico respiratorio, cuestionario de síntomas, Rx tórax OIT (lector certificado), espirometría ATS/ERS"&amp;IF(LEFT(D49,3)="SIL",", prueba de tuberculina","")&amp;", consejería antitabaco"))</f>
        <v/>
      </c>
      <c r="N49" s="19" t="str">
        <f aca="false">IF(D49="","",IF(OR(LEFT(D49,3)="SIL",LEFT(D49,3)="ASB"),"Sí – periodicidad por criterio médico","No requerido"))</f>
        <v/>
      </c>
      <c r="O49" s="18"/>
    </row>
    <row r="50" customFormat="false" ht="15" hidden="false" customHeight="false" outlineLevel="0" collapsed="false">
      <c r="A50" s="18"/>
      <c r="B50" s="18"/>
      <c r="C50" s="18"/>
      <c r="D50" s="19" t="str">
        <f aca="false">IF(C50="","",IFERROR(INDEX(GES!$E$6:$E$25,MATCH(C50,GES!$A$6:$A$25,0)),"GES?"))</f>
        <v/>
      </c>
      <c r="E50" s="22"/>
      <c r="F50" s="22"/>
      <c r="G50" s="28" t="str">
        <f aca="true">IF(E50="","",(TODAY()-E50)/365.25)</f>
        <v/>
      </c>
      <c r="H50" s="19" t="str">
        <f aca="false">IF(OR(D50="",G50=""),"",IF(LEFT(D50,3)="SIL",IF(G50&lt;1,1,IF(G50&lt;10,3,2)),IF(LEFT(D50,3)="ASB",IF(G50&lt;10,3,2),IF(LEFT(D50,3)="CAR",IF(G50&lt;15,4,3),"Criterio médico"))))</f>
        <v/>
      </c>
      <c r="I50" s="19" t="str">
        <f aca="false">IF(OR(D50="",G50=""),"",IF(LEFT(D50,3)="CAR",IF(G50&lt;3,1,2),H50))</f>
        <v/>
      </c>
      <c r="J50" s="32" t="str">
        <f aca="false">IF(OR(E50="",NOT(ISNUMBER(H50))),"",IF(F50="",E50,F50)+H50*365.25)</f>
        <v/>
      </c>
      <c r="K50" s="32" t="str">
        <f aca="false">IF(OR(E50="",NOT(ISNUMBER(I50))),"",IF(F50="",E50,F50)+I50*365.25)</f>
        <v/>
      </c>
      <c r="L50" s="25" t="str">
        <f aca="true">IF(OR(J50="",K50=""),"",IF(F50="","Falta examen de ingreso",IF(MIN(J50,K50)&lt;TODAY(),"Vencido",IF(MIN(J50,K50)-TODAY()&lt;=60,"Próximo (≤ 60 días)","Al día"))))</f>
        <v/>
      </c>
      <c r="M50" s="27" t="str">
        <f aca="false">IF(D50="","",IF(LEFT(D50,3)="PNOS","Según criterio médico","Historia médica y ocupacional, examen físico respiratorio, cuestionario de síntomas, Rx tórax OIT (lector certificado), espirometría ATS/ERS"&amp;IF(LEFT(D50,3)="SIL",", prueba de tuberculina","")&amp;", consejería antitabaco"))</f>
        <v/>
      </c>
      <c r="N50" s="19" t="str">
        <f aca="false">IF(D50="","",IF(OR(LEFT(D50,3)="SIL",LEFT(D50,3)="ASB"),"Sí – periodicidad por criterio médico","No requerido"))</f>
        <v/>
      </c>
      <c r="O50" s="18"/>
    </row>
    <row r="51" customFormat="false" ht="15" hidden="false" customHeight="false" outlineLevel="0" collapsed="false">
      <c r="A51" s="18"/>
      <c r="B51" s="18"/>
      <c r="C51" s="18"/>
      <c r="D51" s="19" t="str">
        <f aca="false">IF(C51="","",IFERROR(INDEX(GES!$E$6:$E$25,MATCH(C51,GES!$A$6:$A$25,0)),"GES?"))</f>
        <v/>
      </c>
      <c r="E51" s="22"/>
      <c r="F51" s="22"/>
      <c r="G51" s="28" t="str">
        <f aca="true">IF(E51="","",(TODAY()-E51)/365.25)</f>
        <v/>
      </c>
      <c r="H51" s="19" t="str">
        <f aca="false">IF(OR(D51="",G51=""),"",IF(LEFT(D51,3)="SIL",IF(G51&lt;1,1,IF(G51&lt;10,3,2)),IF(LEFT(D51,3)="ASB",IF(G51&lt;10,3,2),IF(LEFT(D51,3)="CAR",IF(G51&lt;15,4,3),"Criterio médico"))))</f>
        <v/>
      </c>
      <c r="I51" s="19" t="str">
        <f aca="false">IF(OR(D51="",G51=""),"",IF(LEFT(D51,3)="CAR",IF(G51&lt;3,1,2),H51))</f>
        <v/>
      </c>
      <c r="J51" s="32" t="str">
        <f aca="false">IF(OR(E51="",NOT(ISNUMBER(H51))),"",IF(F51="",E51,F51)+H51*365.25)</f>
        <v/>
      </c>
      <c r="K51" s="32" t="str">
        <f aca="false">IF(OR(E51="",NOT(ISNUMBER(I51))),"",IF(F51="",E51,F51)+I51*365.25)</f>
        <v/>
      </c>
      <c r="L51" s="25" t="str">
        <f aca="true">IF(OR(J51="",K51=""),"",IF(F51="","Falta examen de ingreso",IF(MIN(J51,K51)&lt;TODAY(),"Vencido",IF(MIN(J51,K51)-TODAY()&lt;=60,"Próximo (≤ 60 días)","Al día"))))</f>
        <v/>
      </c>
      <c r="M51" s="27" t="str">
        <f aca="false">IF(D51="","",IF(LEFT(D51,3)="PNOS","Según criterio médico","Historia médica y ocupacional, examen físico respiratorio, cuestionario de síntomas, Rx tórax OIT (lector certificado), espirometría ATS/ERS"&amp;IF(LEFT(D51,3)="SIL",", prueba de tuberculina","")&amp;", consejería antitabaco"))</f>
        <v/>
      </c>
      <c r="N51" s="19" t="str">
        <f aca="false">IF(D51="","",IF(OR(LEFT(D51,3)="SIL",LEFT(D51,3)="ASB"),"Sí – periodicidad por criterio médico","No requerido"))</f>
        <v/>
      </c>
      <c r="O51" s="18"/>
    </row>
    <row r="52" customFormat="false" ht="15" hidden="false" customHeight="false" outlineLevel="0" collapsed="false">
      <c r="A52" s="18"/>
      <c r="B52" s="18"/>
      <c r="C52" s="18"/>
      <c r="D52" s="19" t="str">
        <f aca="false">IF(C52="","",IFERROR(INDEX(GES!$E$6:$E$25,MATCH(C52,GES!$A$6:$A$25,0)),"GES?"))</f>
        <v/>
      </c>
      <c r="E52" s="22"/>
      <c r="F52" s="22"/>
      <c r="G52" s="28" t="str">
        <f aca="true">IF(E52="","",(TODAY()-E52)/365.25)</f>
        <v/>
      </c>
      <c r="H52" s="19" t="str">
        <f aca="false">IF(OR(D52="",G52=""),"",IF(LEFT(D52,3)="SIL",IF(G52&lt;1,1,IF(G52&lt;10,3,2)),IF(LEFT(D52,3)="ASB",IF(G52&lt;10,3,2),IF(LEFT(D52,3)="CAR",IF(G52&lt;15,4,3),"Criterio médico"))))</f>
        <v/>
      </c>
      <c r="I52" s="19" t="str">
        <f aca="false">IF(OR(D52="",G52=""),"",IF(LEFT(D52,3)="CAR",IF(G52&lt;3,1,2),H52))</f>
        <v/>
      </c>
      <c r="J52" s="32" t="str">
        <f aca="false">IF(OR(E52="",NOT(ISNUMBER(H52))),"",IF(F52="",E52,F52)+H52*365.25)</f>
        <v/>
      </c>
      <c r="K52" s="32" t="str">
        <f aca="false">IF(OR(E52="",NOT(ISNUMBER(I52))),"",IF(F52="",E52,F52)+I52*365.25)</f>
        <v/>
      </c>
      <c r="L52" s="25" t="str">
        <f aca="true">IF(OR(J52="",K52=""),"",IF(F52="","Falta examen de ingreso",IF(MIN(J52,K52)&lt;TODAY(),"Vencido",IF(MIN(J52,K52)-TODAY()&lt;=60,"Próximo (≤ 60 días)","Al día"))))</f>
        <v/>
      </c>
      <c r="M52" s="27" t="str">
        <f aca="false">IF(D52="","",IF(LEFT(D52,3)="PNOS","Según criterio médico","Historia médica y ocupacional, examen físico respiratorio, cuestionario de síntomas, Rx tórax OIT (lector certificado), espirometría ATS/ERS"&amp;IF(LEFT(D52,3)="SIL",", prueba de tuberculina","")&amp;", consejería antitabaco"))</f>
        <v/>
      </c>
      <c r="N52" s="19" t="str">
        <f aca="false">IF(D52="","",IF(OR(LEFT(D52,3)="SIL",LEFT(D52,3)="ASB"),"Sí – periodicidad por criterio médico","No requerido"))</f>
        <v/>
      </c>
      <c r="O52" s="18"/>
    </row>
    <row r="53" customFormat="false" ht="15" hidden="false" customHeight="false" outlineLevel="0" collapsed="false">
      <c r="A53" s="18"/>
      <c r="B53" s="18"/>
      <c r="C53" s="18"/>
      <c r="D53" s="19" t="str">
        <f aca="false">IF(C53="","",IFERROR(INDEX(GES!$E$6:$E$25,MATCH(C53,GES!$A$6:$A$25,0)),"GES?"))</f>
        <v/>
      </c>
      <c r="E53" s="22"/>
      <c r="F53" s="22"/>
      <c r="G53" s="28" t="str">
        <f aca="true">IF(E53="","",(TODAY()-E53)/365.25)</f>
        <v/>
      </c>
      <c r="H53" s="19" t="str">
        <f aca="false">IF(OR(D53="",G53=""),"",IF(LEFT(D53,3)="SIL",IF(G53&lt;1,1,IF(G53&lt;10,3,2)),IF(LEFT(D53,3)="ASB",IF(G53&lt;10,3,2),IF(LEFT(D53,3)="CAR",IF(G53&lt;15,4,3),"Criterio médico"))))</f>
        <v/>
      </c>
      <c r="I53" s="19" t="str">
        <f aca="false">IF(OR(D53="",G53=""),"",IF(LEFT(D53,3)="CAR",IF(G53&lt;3,1,2),H53))</f>
        <v/>
      </c>
      <c r="J53" s="32" t="str">
        <f aca="false">IF(OR(E53="",NOT(ISNUMBER(H53))),"",IF(F53="",E53,F53)+H53*365.25)</f>
        <v/>
      </c>
      <c r="K53" s="32" t="str">
        <f aca="false">IF(OR(E53="",NOT(ISNUMBER(I53))),"",IF(F53="",E53,F53)+I53*365.25)</f>
        <v/>
      </c>
      <c r="L53" s="25" t="str">
        <f aca="true">IF(OR(J53="",K53=""),"",IF(F53="","Falta examen de ingreso",IF(MIN(J53,K53)&lt;TODAY(),"Vencido",IF(MIN(J53,K53)-TODAY()&lt;=60,"Próximo (≤ 60 días)","Al día"))))</f>
        <v/>
      </c>
      <c r="M53" s="27" t="str">
        <f aca="false">IF(D53="","",IF(LEFT(D53,3)="PNOS","Según criterio médico","Historia médica y ocupacional, examen físico respiratorio, cuestionario de síntomas, Rx tórax OIT (lector certificado), espirometría ATS/ERS"&amp;IF(LEFT(D53,3)="SIL",", prueba de tuberculina","")&amp;", consejería antitabaco"))</f>
        <v/>
      </c>
      <c r="N53" s="19" t="str">
        <f aca="false">IF(D53="","",IF(OR(LEFT(D53,3)="SIL",LEFT(D53,3)="ASB"),"Sí – periodicidad por criterio médico","No requerido"))</f>
        <v/>
      </c>
      <c r="O53" s="18"/>
    </row>
    <row r="54" customFormat="false" ht="15" hidden="false" customHeight="false" outlineLevel="0" collapsed="false">
      <c r="A54" s="18"/>
      <c r="B54" s="18"/>
      <c r="C54" s="18"/>
      <c r="D54" s="19" t="str">
        <f aca="false">IF(C54="","",IFERROR(INDEX(GES!$E$6:$E$25,MATCH(C54,GES!$A$6:$A$25,0)),"GES?"))</f>
        <v/>
      </c>
      <c r="E54" s="22"/>
      <c r="F54" s="22"/>
      <c r="G54" s="28" t="str">
        <f aca="true">IF(E54="","",(TODAY()-E54)/365.25)</f>
        <v/>
      </c>
      <c r="H54" s="19" t="str">
        <f aca="false">IF(OR(D54="",G54=""),"",IF(LEFT(D54,3)="SIL",IF(G54&lt;1,1,IF(G54&lt;10,3,2)),IF(LEFT(D54,3)="ASB",IF(G54&lt;10,3,2),IF(LEFT(D54,3)="CAR",IF(G54&lt;15,4,3),"Criterio médico"))))</f>
        <v/>
      </c>
      <c r="I54" s="19" t="str">
        <f aca="false">IF(OR(D54="",G54=""),"",IF(LEFT(D54,3)="CAR",IF(G54&lt;3,1,2),H54))</f>
        <v/>
      </c>
      <c r="J54" s="32" t="str">
        <f aca="false">IF(OR(E54="",NOT(ISNUMBER(H54))),"",IF(F54="",E54,F54)+H54*365.25)</f>
        <v/>
      </c>
      <c r="K54" s="32" t="str">
        <f aca="false">IF(OR(E54="",NOT(ISNUMBER(I54))),"",IF(F54="",E54,F54)+I54*365.25)</f>
        <v/>
      </c>
      <c r="L54" s="25" t="str">
        <f aca="true">IF(OR(J54="",K54=""),"",IF(F54="","Falta examen de ingreso",IF(MIN(J54,K54)&lt;TODAY(),"Vencido",IF(MIN(J54,K54)-TODAY()&lt;=60,"Próximo (≤ 60 días)","Al día"))))</f>
        <v/>
      </c>
      <c r="M54" s="27" t="str">
        <f aca="false">IF(D54="","",IF(LEFT(D54,3)="PNOS","Según criterio médico","Historia médica y ocupacional, examen físico respiratorio, cuestionario de síntomas, Rx tórax OIT (lector certificado), espirometría ATS/ERS"&amp;IF(LEFT(D54,3)="SIL",", prueba de tuberculina","")&amp;", consejería antitabaco"))</f>
        <v/>
      </c>
      <c r="N54" s="19" t="str">
        <f aca="false">IF(D54="","",IF(OR(LEFT(D54,3)="SIL",LEFT(D54,3)="ASB"),"Sí – periodicidad por criterio médico","No requerido"))</f>
        <v/>
      </c>
      <c r="O54" s="18"/>
    </row>
    <row r="55" customFormat="false" ht="15" hidden="false" customHeight="false" outlineLevel="0" collapsed="false">
      <c r="A55" s="18"/>
      <c r="B55" s="18"/>
      <c r="C55" s="18"/>
      <c r="D55" s="19" t="str">
        <f aca="false">IF(C55="","",IFERROR(INDEX(GES!$E$6:$E$25,MATCH(C55,GES!$A$6:$A$25,0)),"GES?"))</f>
        <v/>
      </c>
      <c r="E55" s="22"/>
      <c r="F55" s="22"/>
      <c r="G55" s="28" t="str">
        <f aca="true">IF(E55="","",(TODAY()-E55)/365.25)</f>
        <v/>
      </c>
      <c r="H55" s="19" t="str">
        <f aca="false">IF(OR(D55="",G55=""),"",IF(LEFT(D55,3)="SIL",IF(G55&lt;1,1,IF(G55&lt;10,3,2)),IF(LEFT(D55,3)="ASB",IF(G55&lt;10,3,2),IF(LEFT(D55,3)="CAR",IF(G55&lt;15,4,3),"Criterio médico"))))</f>
        <v/>
      </c>
      <c r="I55" s="19" t="str">
        <f aca="false">IF(OR(D55="",G55=""),"",IF(LEFT(D55,3)="CAR",IF(G55&lt;3,1,2),H55))</f>
        <v/>
      </c>
      <c r="J55" s="32" t="str">
        <f aca="false">IF(OR(E55="",NOT(ISNUMBER(H55))),"",IF(F55="",E55,F55)+H55*365.25)</f>
        <v/>
      </c>
      <c r="K55" s="32" t="str">
        <f aca="false">IF(OR(E55="",NOT(ISNUMBER(I55))),"",IF(F55="",E55,F55)+I55*365.25)</f>
        <v/>
      </c>
      <c r="L55" s="25" t="str">
        <f aca="true">IF(OR(J55="",K55=""),"",IF(F55="","Falta examen de ingreso",IF(MIN(J55,K55)&lt;TODAY(),"Vencido",IF(MIN(J55,K55)-TODAY()&lt;=60,"Próximo (≤ 60 días)","Al día"))))</f>
        <v/>
      </c>
      <c r="M55" s="27" t="str">
        <f aca="false">IF(D55="","",IF(LEFT(D55,3)="PNOS","Según criterio médico","Historia médica y ocupacional, examen físico respiratorio, cuestionario de síntomas, Rx tórax OIT (lector certificado), espirometría ATS/ERS"&amp;IF(LEFT(D55,3)="SIL",", prueba de tuberculina","")&amp;", consejería antitabaco"))</f>
        <v/>
      </c>
      <c r="N55" s="19" t="str">
        <f aca="false">IF(D55="","",IF(OR(LEFT(D55,3)="SIL",LEFT(D55,3)="ASB"),"Sí – periodicidad por criterio médico","No requerido"))</f>
        <v/>
      </c>
      <c r="O55" s="18"/>
    </row>
    <row r="56" customFormat="false" ht="15" hidden="false" customHeight="false" outlineLevel="0" collapsed="false">
      <c r="A56" s="18"/>
      <c r="B56" s="18"/>
      <c r="C56" s="18"/>
      <c r="D56" s="19" t="str">
        <f aca="false">IF(C56="","",IFERROR(INDEX(GES!$E$6:$E$25,MATCH(C56,GES!$A$6:$A$25,0)),"GES?"))</f>
        <v/>
      </c>
      <c r="E56" s="22"/>
      <c r="F56" s="22"/>
      <c r="G56" s="28" t="str">
        <f aca="true">IF(E56="","",(TODAY()-E56)/365.25)</f>
        <v/>
      </c>
      <c r="H56" s="19" t="str">
        <f aca="false">IF(OR(D56="",G56=""),"",IF(LEFT(D56,3)="SIL",IF(G56&lt;1,1,IF(G56&lt;10,3,2)),IF(LEFT(D56,3)="ASB",IF(G56&lt;10,3,2),IF(LEFT(D56,3)="CAR",IF(G56&lt;15,4,3),"Criterio médico"))))</f>
        <v/>
      </c>
      <c r="I56" s="19" t="str">
        <f aca="false">IF(OR(D56="",G56=""),"",IF(LEFT(D56,3)="CAR",IF(G56&lt;3,1,2),H56))</f>
        <v/>
      </c>
      <c r="J56" s="32" t="str">
        <f aca="false">IF(OR(E56="",NOT(ISNUMBER(H56))),"",IF(F56="",E56,F56)+H56*365.25)</f>
        <v/>
      </c>
      <c r="K56" s="32" t="str">
        <f aca="false">IF(OR(E56="",NOT(ISNUMBER(I56))),"",IF(F56="",E56,F56)+I56*365.25)</f>
        <v/>
      </c>
      <c r="L56" s="25" t="str">
        <f aca="true">IF(OR(J56="",K56=""),"",IF(F56="","Falta examen de ingreso",IF(MIN(J56,K56)&lt;TODAY(),"Vencido",IF(MIN(J56,K56)-TODAY()&lt;=60,"Próximo (≤ 60 días)","Al día"))))</f>
        <v/>
      </c>
      <c r="M56" s="27" t="str">
        <f aca="false">IF(D56="","",IF(LEFT(D56,3)="PNOS","Según criterio médico","Historia médica y ocupacional, examen físico respiratorio, cuestionario de síntomas, Rx tórax OIT (lector certificado), espirometría ATS/ERS"&amp;IF(LEFT(D56,3)="SIL",", prueba de tuberculina","")&amp;", consejería antitabaco"))</f>
        <v/>
      </c>
      <c r="N56" s="19" t="str">
        <f aca="false">IF(D56="","",IF(OR(LEFT(D56,3)="SIL",LEFT(D56,3)="ASB"),"Sí – periodicidad por criterio médico","No requerido"))</f>
        <v/>
      </c>
      <c r="O56" s="18"/>
    </row>
    <row r="57" customFormat="false" ht="15" hidden="false" customHeight="false" outlineLevel="0" collapsed="false">
      <c r="A57" s="18"/>
      <c r="B57" s="18"/>
      <c r="C57" s="18"/>
      <c r="D57" s="19" t="str">
        <f aca="false">IF(C57="","",IFERROR(INDEX(GES!$E$6:$E$25,MATCH(C57,GES!$A$6:$A$25,0)),"GES?"))</f>
        <v/>
      </c>
      <c r="E57" s="22"/>
      <c r="F57" s="22"/>
      <c r="G57" s="28" t="str">
        <f aca="true">IF(E57="","",(TODAY()-E57)/365.25)</f>
        <v/>
      </c>
      <c r="H57" s="19" t="str">
        <f aca="false">IF(OR(D57="",G57=""),"",IF(LEFT(D57,3)="SIL",IF(G57&lt;1,1,IF(G57&lt;10,3,2)),IF(LEFT(D57,3)="ASB",IF(G57&lt;10,3,2),IF(LEFT(D57,3)="CAR",IF(G57&lt;15,4,3),"Criterio médico"))))</f>
        <v/>
      </c>
      <c r="I57" s="19" t="str">
        <f aca="false">IF(OR(D57="",G57=""),"",IF(LEFT(D57,3)="CAR",IF(G57&lt;3,1,2),H57))</f>
        <v/>
      </c>
      <c r="J57" s="32" t="str">
        <f aca="false">IF(OR(E57="",NOT(ISNUMBER(H57))),"",IF(F57="",E57,F57)+H57*365.25)</f>
        <v/>
      </c>
      <c r="K57" s="32" t="str">
        <f aca="false">IF(OR(E57="",NOT(ISNUMBER(I57))),"",IF(F57="",E57,F57)+I57*365.25)</f>
        <v/>
      </c>
      <c r="L57" s="25" t="str">
        <f aca="true">IF(OR(J57="",K57=""),"",IF(F57="","Falta examen de ingreso",IF(MIN(J57,K57)&lt;TODAY(),"Vencido",IF(MIN(J57,K57)-TODAY()&lt;=60,"Próximo (≤ 60 días)","Al día"))))</f>
        <v/>
      </c>
      <c r="M57" s="27" t="str">
        <f aca="false">IF(D57="","",IF(LEFT(D57,3)="PNOS","Según criterio médico","Historia médica y ocupacional, examen físico respiratorio, cuestionario de síntomas, Rx tórax OIT (lector certificado), espirometría ATS/ERS"&amp;IF(LEFT(D57,3)="SIL",", prueba de tuberculina","")&amp;", consejería antitabaco"))</f>
        <v/>
      </c>
      <c r="N57" s="19" t="str">
        <f aca="false">IF(D57="","",IF(OR(LEFT(D57,3)="SIL",LEFT(D57,3)="ASB"),"Sí – periodicidad por criterio médico","No requerido"))</f>
        <v/>
      </c>
      <c r="O57" s="18"/>
    </row>
    <row r="58" customFormat="false" ht="15" hidden="false" customHeight="false" outlineLevel="0" collapsed="false">
      <c r="A58" s="18"/>
      <c r="B58" s="18"/>
      <c r="C58" s="18"/>
      <c r="D58" s="19" t="str">
        <f aca="false">IF(C58="","",IFERROR(INDEX(GES!$E$6:$E$25,MATCH(C58,GES!$A$6:$A$25,0)),"GES?"))</f>
        <v/>
      </c>
      <c r="E58" s="22"/>
      <c r="F58" s="22"/>
      <c r="G58" s="28" t="str">
        <f aca="true">IF(E58="","",(TODAY()-E58)/365.25)</f>
        <v/>
      </c>
      <c r="H58" s="19" t="str">
        <f aca="false">IF(OR(D58="",G58=""),"",IF(LEFT(D58,3)="SIL",IF(G58&lt;1,1,IF(G58&lt;10,3,2)),IF(LEFT(D58,3)="ASB",IF(G58&lt;10,3,2),IF(LEFT(D58,3)="CAR",IF(G58&lt;15,4,3),"Criterio médico"))))</f>
        <v/>
      </c>
      <c r="I58" s="19" t="str">
        <f aca="false">IF(OR(D58="",G58=""),"",IF(LEFT(D58,3)="CAR",IF(G58&lt;3,1,2),H58))</f>
        <v/>
      </c>
      <c r="J58" s="32" t="str">
        <f aca="false">IF(OR(E58="",NOT(ISNUMBER(H58))),"",IF(F58="",E58,F58)+H58*365.25)</f>
        <v/>
      </c>
      <c r="K58" s="32" t="str">
        <f aca="false">IF(OR(E58="",NOT(ISNUMBER(I58))),"",IF(F58="",E58,F58)+I58*365.25)</f>
        <v/>
      </c>
      <c r="L58" s="25" t="str">
        <f aca="true">IF(OR(J58="",K58=""),"",IF(F58="","Falta examen de ingreso",IF(MIN(J58,K58)&lt;TODAY(),"Vencido",IF(MIN(J58,K58)-TODAY()&lt;=60,"Próximo (≤ 60 días)","Al día"))))</f>
        <v/>
      </c>
      <c r="M58" s="27" t="str">
        <f aca="false">IF(D58="","",IF(LEFT(D58,3)="PNOS","Según criterio médico","Historia médica y ocupacional, examen físico respiratorio, cuestionario de síntomas, Rx tórax OIT (lector certificado), espirometría ATS/ERS"&amp;IF(LEFT(D58,3)="SIL",", prueba de tuberculina","")&amp;", consejería antitabaco"))</f>
        <v/>
      </c>
      <c r="N58" s="19" t="str">
        <f aca="false">IF(D58="","",IF(OR(LEFT(D58,3)="SIL",LEFT(D58,3)="ASB"),"Sí – periodicidad por criterio médico","No requerido"))</f>
        <v/>
      </c>
      <c r="O58" s="18"/>
    </row>
    <row r="59" customFormat="false" ht="15" hidden="false" customHeight="false" outlineLevel="0" collapsed="false">
      <c r="A59" s="18"/>
      <c r="B59" s="18"/>
      <c r="C59" s="18"/>
      <c r="D59" s="19" t="str">
        <f aca="false">IF(C59="","",IFERROR(INDEX(GES!$E$6:$E$25,MATCH(C59,GES!$A$6:$A$25,0)),"GES?"))</f>
        <v/>
      </c>
      <c r="E59" s="22"/>
      <c r="F59" s="22"/>
      <c r="G59" s="28" t="str">
        <f aca="true">IF(E59="","",(TODAY()-E59)/365.25)</f>
        <v/>
      </c>
      <c r="H59" s="19" t="str">
        <f aca="false">IF(OR(D59="",G59=""),"",IF(LEFT(D59,3)="SIL",IF(G59&lt;1,1,IF(G59&lt;10,3,2)),IF(LEFT(D59,3)="ASB",IF(G59&lt;10,3,2),IF(LEFT(D59,3)="CAR",IF(G59&lt;15,4,3),"Criterio médico"))))</f>
        <v/>
      </c>
      <c r="I59" s="19" t="str">
        <f aca="false">IF(OR(D59="",G59=""),"",IF(LEFT(D59,3)="CAR",IF(G59&lt;3,1,2),H59))</f>
        <v/>
      </c>
      <c r="J59" s="32" t="str">
        <f aca="false">IF(OR(E59="",NOT(ISNUMBER(H59))),"",IF(F59="",E59,F59)+H59*365.25)</f>
        <v/>
      </c>
      <c r="K59" s="32" t="str">
        <f aca="false">IF(OR(E59="",NOT(ISNUMBER(I59))),"",IF(F59="",E59,F59)+I59*365.25)</f>
        <v/>
      </c>
      <c r="L59" s="25" t="str">
        <f aca="true">IF(OR(J59="",K59=""),"",IF(F59="","Falta examen de ingreso",IF(MIN(J59,K59)&lt;TODAY(),"Vencido",IF(MIN(J59,K59)-TODAY()&lt;=60,"Próximo (≤ 60 días)","Al día"))))</f>
        <v/>
      </c>
      <c r="M59" s="27" t="str">
        <f aca="false">IF(D59="","",IF(LEFT(D59,3)="PNOS","Según criterio médico","Historia médica y ocupacional, examen físico respiratorio, cuestionario de síntomas, Rx tórax OIT (lector certificado), espirometría ATS/ERS"&amp;IF(LEFT(D59,3)="SIL",", prueba de tuberculina","")&amp;", consejería antitabaco"))</f>
        <v/>
      </c>
      <c r="N59" s="19" t="str">
        <f aca="false">IF(D59="","",IF(OR(LEFT(D59,3)="SIL",LEFT(D59,3)="ASB"),"Sí – periodicidad por criterio médico","No requerido"))</f>
        <v/>
      </c>
      <c r="O59" s="18"/>
    </row>
    <row r="60" customFormat="false" ht="15" hidden="false" customHeight="false" outlineLevel="0" collapsed="false">
      <c r="A60" s="18"/>
      <c r="B60" s="18"/>
      <c r="C60" s="18"/>
      <c r="D60" s="19" t="str">
        <f aca="false">IF(C60="","",IFERROR(INDEX(GES!$E$6:$E$25,MATCH(C60,GES!$A$6:$A$25,0)),"GES?"))</f>
        <v/>
      </c>
      <c r="E60" s="22"/>
      <c r="F60" s="22"/>
      <c r="G60" s="28" t="str">
        <f aca="true">IF(E60="","",(TODAY()-E60)/365.25)</f>
        <v/>
      </c>
      <c r="H60" s="19" t="str">
        <f aca="false">IF(OR(D60="",G60=""),"",IF(LEFT(D60,3)="SIL",IF(G60&lt;1,1,IF(G60&lt;10,3,2)),IF(LEFT(D60,3)="ASB",IF(G60&lt;10,3,2),IF(LEFT(D60,3)="CAR",IF(G60&lt;15,4,3),"Criterio médico"))))</f>
        <v/>
      </c>
      <c r="I60" s="19" t="str">
        <f aca="false">IF(OR(D60="",G60=""),"",IF(LEFT(D60,3)="CAR",IF(G60&lt;3,1,2),H60))</f>
        <v/>
      </c>
      <c r="J60" s="32" t="str">
        <f aca="false">IF(OR(E60="",NOT(ISNUMBER(H60))),"",IF(F60="",E60,F60)+H60*365.25)</f>
        <v/>
      </c>
      <c r="K60" s="32" t="str">
        <f aca="false">IF(OR(E60="",NOT(ISNUMBER(I60))),"",IF(F60="",E60,F60)+I60*365.25)</f>
        <v/>
      </c>
      <c r="L60" s="25" t="str">
        <f aca="true">IF(OR(J60="",K60=""),"",IF(F60="","Falta examen de ingreso",IF(MIN(J60,K60)&lt;TODAY(),"Vencido",IF(MIN(J60,K60)-TODAY()&lt;=60,"Próximo (≤ 60 días)","Al día"))))</f>
        <v/>
      </c>
      <c r="M60" s="27" t="str">
        <f aca="false">IF(D60="","",IF(LEFT(D60,3)="PNOS","Según criterio médico","Historia médica y ocupacional, examen físico respiratorio, cuestionario de síntomas, Rx tórax OIT (lector certificado), espirometría ATS/ERS"&amp;IF(LEFT(D60,3)="SIL",", prueba de tuberculina","")&amp;", consejería antitabaco"))</f>
        <v/>
      </c>
      <c r="N60" s="19" t="str">
        <f aca="false">IF(D60="","",IF(OR(LEFT(D60,3)="SIL",LEFT(D60,3)="ASB"),"Sí – periodicidad por criterio médico","No requerido"))</f>
        <v/>
      </c>
      <c r="O60" s="18"/>
    </row>
    <row r="61" customFormat="false" ht="15" hidden="false" customHeight="false" outlineLevel="0" collapsed="false">
      <c r="A61" s="18"/>
      <c r="B61" s="18"/>
      <c r="C61" s="18"/>
      <c r="D61" s="19" t="str">
        <f aca="false">IF(C61="","",IFERROR(INDEX(GES!$E$6:$E$25,MATCH(C61,GES!$A$6:$A$25,0)),"GES?"))</f>
        <v/>
      </c>
      <c r="E61" s="22"/>
      <c r="F61" s="22"/>
      <c r="G61" s="28" t="str">
        <f aca="true">IF(E61="","",(TODAY()-E61)/365.25)</f>
        <v/>
      </c>
      <c r="H61" s="19" t="str">
        <f aca="false">IF(OR(D61="",G61=""),"",IF(LEFT(D61,3)="SIL",IF(G61&lt;1,1,IF(G61&lt;10,3,2)),IF(LEFT(D61,3)="ASB",IF(G61&lt;10,3,2),IF(LEFT(D61,3)="CAR",IF(G61&lt;15,4,3),"Criterio médico"))))</f>
        <v/>
      </c>
      <c r="I61" s="19" t="str">
        <f aca="false">IF(OR(D61="",G61=""),"",IF(LEFT(D61,3)="CAR",IF(G61&lt;3,1,2),H61))</f>
        <v/>
      </c>
      <c r="J61" s="32" t="str">
        <f aca="false">IF(OR(E61="",NOT(ISNUMBER(H61))),"",IF(F61="",E61,F61)+H61*365.25)</f>
        <v/>
      </c>
      <c r="K61" s="32" t="str">
        <f aca="false">IF(OR(E61="",NOT(ISNUMBER(I61))),"",IF(F61="",E61,F61)+I61*365.25)</f>
        <v/>
      </c>
      <c r="L61" s="25" t="str">
        <f aca="true">IF(OR(J61="",K61=""),"",IF(F61="","Falta examen de ingreso",IF(MIN(J61,K61)&lt;TODAY(),"Vencido",IF(MIN(J61,K61)-TODAY()&lt;=60,"Próximo (≤ 60 días)","Al día"))))</f>
        <v/>
      </c>
      <c r="M61" s="27" t="str">
        <f aca="false">IF(D61="","",IF(LEFT(D61,3)="PNOS","Según criterio médico","Historia médica y ocupacional, examen físico respiratorio, cuestionario de síntomas, Rx tórax OIT (lector certificado), espirometría ATS/ERS"&amp;IF(LEFT(D61,3)="SIL",", prueba de tuberculina","")&amp;", consejería antitabaco"))</f>
        <v/>
      </c>
      <c r="N61" s="19" t="str">
        <f aca="false">IF(D61="","",IF(OR(LEFT(D61,3)="SIL",LEFT(D61,3)="ASB"),"Sí – periodicidad por criterio médico","No requerido"))</f>
        <v/>
      </c>
      <c r="O61" s="18"/>
    </row>
    <row r="62" customFormat="false" ht="15" hidden="false" customHeight="false" outlineLevel="0" collapsed="false">
      <c r="A62" s="18"/>
      <c r="B62" s="18"/>
      <c r="C62" s="18"/>
      <c r="D62" s="19" t="str">
        <f aca="false">IF(C62="","",IFERROR(INDEX(GES!$E$6:$E$25,MATCH(C62,GES!$A$6:$A$25,0)),"GES?"))</f>
        <v/>
      </c>
      <c r="E62" s="22"/>
      <c r="F62" s="22"/>
      <c r="G62" s="28" t="str">
        <f aca="true">IF(E62="","",(TODAY()-E62)/365.25)</f>
        <v/>
      </c>
      <c r="H62" s="19" t="str">
        <f aca="false">IF(OR(D62="",G62=""),"",IF(LEFT(D62,3)="SIL",IF(G62&lt;1,1,IF(G62&lt;10,3,2)),IF(LEFT(D62,3)="ASB",IF(G62&lt;10,3,2),IF(LEFT(D62,3)="CAR",IF(G62&lt;15,4,3),"Criterio médico"))))</f>
        <v/>
      </c>
      <c r="I62" s="19" t="str">
        <f aca="false">IF(OR(D62="",G62=""),"",IF(LEFT(D62,3)="CAR",IF(G62&lt;3,1,2),H62))</f>
        <v/>
      </c>
      <c r="J62" s="32" t="str">
        <f aca="false">IF(OR(E62="",NOT(ISNUMBER(H62))),"",IF(F62="",E62,F62)+H62*365.25)</f>
        <v/>
      </c>
      <c r="K62" s="32" t="str">
        <f aca="false">IF(OR(E62="",NOT(ISNUMBER(I62))),"",IF(F62="",E62,F62)+I62*365.25)</f>
        <v/>
      </c>
      <c r="L62" s="25" t="str">
        <f aca="true">IF(OR(J62="",K62=""),"",IF(F62="","Falta examen de ingreso",IF(MIN(J62,K62)&lt;TODAY(),"Vencido",IF(MIN(J62,K62)-TODAY()&lt;=60,"Próximo (≤ 60 días)","Al día"))))</f>
        <v/>
      </c>
      <c r="M62" s="27" t="str">
        <f aca="false">IF(D62="","",IF(LEFT(D62,3)="PNOS","Según criterio médico","Historia médica y ocupacional, examen físico respiratorio, cuestionario de síntomas, Rx tórax OIT (lector certificado), espirometría ATS/ERS"&amp;IF(LEFT(D62,3)="SIL",", prueba de tuberculina","")&amp;", consejería antitabaco"))</f>
        <v/>
      </c>
      <c r="N62" s="19" t="str">
        <f aca="false">IF(D62="","",IF(OR(LEFT(D62,3)="SIL",LEFT(D62,3)="ASB"),"Sí – periodicidad por criterio médico","No requerido"))</f>
        <v/>
      </c>
      <c r="O62" s="18"/>
    </row>
    <row r="63" customFormat="false" ht="15" hidden="false" customHeight="false" outlineLevel="0" collapsed="false">
      <c r="A63" s="18"/>
      <c r="B63" s="18"/>
      <c r="C63" s="18"/>
      <c r="D63" s="19" t="str">
        <f aca="false">IF(C63="","",IFERROR(INDEX(GES!$E$6:$E$25,MATCH(C63,GES!$A$6:$A$25,0)),"GES?"))</f>
        <v/>
      </c>
      <c r="E63" s="22"/>
      <c r="F63" s="22"/>
      <c r="G63" s="28" t="str">
        <f aca="true">IF(E63="","",(TODAY()-E63)/365.25)</f>
        <v/>
      </c>
      <c r="H63" s="19" t="str">
        <f aca="false">IF(OR(D63="",G63=""),"",IF(LEFT(D63,3)="SIL",IF(G63&lt;1,1,IF(G63&lt;10,3,2)),IF(LEFT(D63,3)="ASB",IF(G63&lt;10,3,2),IF(LEFT(D63,3)="CAR",IF(G63&lt;15,4,3),"Criterio médico"))))</f>
        <v/>
      </c>
      <c r="I63" s="19" t="str">
        <f aca="false">IF(OR(D63="",G63=""),"",IF(LEFT(D63,3)="CAR",IF(G63&lt;3,1,2),H63))</f>
        <v/>
      </c>
      <c r="J63" s="32" t="str">
        <f aca="false">IF(OR(E63="",NOT(ISNUMBER(H63))),"",IF(F63="",E63,F63)+H63*365.25)</f>
        <v/>
      </c>
      <c r="K63" s="32" t="str">
        <f aca="false">IF(OR(E63="",NOT(ISNUMBER(I63))),"",IF(F63="",E63,F63)+I63*365.25)</f>
        <v/>
      </c>
      <c r="L63" s="25" t="str">
        <f aca="true">IF(OR(J63="",K63=""),"",IF(F63="","Falta examen de ingreso",IF(MIN(J63,K63)&lt;TODAY(),"Vencido",IF(MIN(J63,K63)-TODAY()&lt;=60,"Próximo (≤ 60 días)","Al día"))))</f>
        <v/>
      </c>
      <c r="M63" s="27" t="str">
        <f aca="false">IF(D63="","",IF(LEFT(D63,3)="PNOS","Según criterio médico","Historia médica y ocupacional, examen físico respiratorio, cuestionario de síntomas, Rx tórax OIT (lector certificado), espirometría ATS/ERS"&amp;IF(LEFT(D63,3)="SIL",", prueba de tuberculina","")&amp;", consejería antitabaco"))</f>
        <v/>
      </c>
      <c r="N63" s="19" t="str">
        <f aca="false">IF(D63="","",IF(OR(LEFT(D63,3)="SIL",LEFT(D63,3)="ASB"),"Sí – periodicidad por criterio médico","No requerido"))</f>
        <v/>
      </c>
      <c r="O63" s="18"/>
    </row>
    <row r="64" customFormat="false" ht="15" hidden="false" customHeight="false" outlineLevel="0" collapsed="false">
      <c r="A64" s="18"/>
      <c r="B64" s="18"/>
      <c r="C64" s="18"/>
      <c r="D64" s="19" t="str">
        <f aca="false">IF(C64="","",IFERROR(INDEX(GES!$E$6:$E$25,MATCH(C64,GES!$A$6:$A$25,0)),"GES?"))</f>
        <v/>
      </c>
      <c r="E64" s="22"/>
      <c r="F64" s="22"/>
      <c r="G64" s="28" t="str">
        <f aca="true">IF(E64="","",(TODAY()-E64)/365.25)</f>
        <v/>
      </c>
      <c r="H64" s="19" t="str">
        <f aca="false">IF(OR(D64="",G64=""),"",IF(LEFT(D64,3)="SIL",IF(G64&lt;1,1,IF(G64&lt;10,3,2)),IF(LEFT(D64,3)="ASB",IF(G64&lt;10,3,2),IF(LEFT(D64,3)="CAR",IF(G64&lt;15,4,3),"Criterio médico"))))</f>
        <v/>
      </c>
      <c r="I64" s="19" t="str">
        <f aca="false">IF(OR(D64="",G64=""),"",IF(LEFT(D64,3)="CAR",IF(G64&lt;3,1,2),H64))</f>
        <v/>
      </c>
      <c r="J64" s="32" t="str">
        <f aca="false">IF(OR(E64="",NOT(ISNUMBER(H64))),"",IF(F64="",E64,F64)+H64*365.25)</f>
        <v/>
      </c>
      <c r="K64" s="32" t="str">
        <f aca="false">IF(OR(E64="",NOT(ISNUMBER(I64))),"",IF(F64="",E64,F64)+I64*365.25)</f>
        <v/>
      </c>
      <c r="L64" s="25" t="str">
        <f aca="true">IF(OR(J64="",K64=""),"",IF(F64="","Falta examen de ingreso",IF(MIN(J64,K64)&lt;TODAY(),"Vencido",IF(MIN(J64,K64)-TODAY()&lt;=60,"Próximo (≤ 60 días)","Al día"))))</f>
        <v/>
      </c>
      <c r="M64" s="27" t="str">
        <f aca="false">IF(D64="","",IF(LEFT(D64,3)="PNOS","Según criterio médico","Historia médica y ocupacional, examen físico respiratorio, cuestionario de síntomas, Rx tórax OIT (lector certificado), espirometría ATS/ERS"&amp;IF(LEFT(D64,3)="SIL",", prueba de tuberculina","")&amp;", consejería antitabaco"))</f>
        <v/>
      </c>
      <c r="N64" s="19" t="str">
        <f aca="false">IF(D64="","",IF(OR(LEFT(D64,3)="SIL",LEFT(D64,3)="ASB"),"Sí – periodicidad por criterio médico","No requerido"))</f>
        <v/>
      </c>
      <c r="O64" s="18"/>
    </row>
    <row r="65" customFormat="false" ht="15" hidden="false" customHeight="false" outlineLevel="0" collapsed="false">
      <c r="A65" s="18"/>
      <c r="B65" s="18"/>
      <c r="C65" s="18"/>
      <c r="D65" s="19" t="str">
        <f aca="false">IF(C65="","",IFERROR(INDEX(GES!$E$6:$E$25,MATCH(C65,GES!$A$6:$A$25,0)),"GES?"))</f>
        <v/>
      </c>
      <c r="E65" s="22"/>
      <c r="F65" s="22"/>
      <c r="G65" s="28" t="str">
        <f aca="true">IF(E65="","",(TODAY()-E65)/365.25)</f>
        <v/>
      </c>
      <c r="H65" s="19" t="str">
        <f aca="false">IF(OR(D65="",G65=""),"",IF(LEFT(D65,3)="SIL",IF(G65&lt;1,1,IF(G65&lt;10,3,2)),IF(LEFT(D65,3)="ASB",IF(G65&lt;10,3,2),IF(LEFT(D65,3)="CAR",IF(G65&lt;15,4,3),"Criterio médico"))))</f>
        <v/>
      </c>
      <c r="I65" s="19" t="str">
        <f aca="false">IF(OR(D65="",G65=""),"",IF(LEFT(D65,3)="CAR",IF(G65&lt;3,1,2),H65))</f>
        <v/>
      </c>
      <c r="J65" s="32" t="str">
        <f aca="false">IF(OR(E65="",NOT(ISNUMBER(H65))),"",IF(F65="",E65,F65)+H65*365.25)</f>
        <v/>
      </c>
      <c r="K65" s="32" t="str">
        <f aca="false">IF(OR(E65="",NOT(ISNUMBER(I65))),"",IF(F65="",E65,F65)+I65*365.25)</f>
        <v/>
      </c>
      <c r="L65" s="25" t="str">
        <f aca="true">IF(OR(J65="",K65=""),"",IF(F65="","Falta examen de ingreso",IF(MIN(J65,K65)&lt;TODAY(),"Vencido",IF(MIN(J65,K65)-TODAY()&lt;=60,"Próximo (≤ 60 días)","Al día"))))</f>
        <v/>
      </c>
      <c r="M65" s="27" t="str">
        <f aca="false">IF(D65="","",IF(LEFT(D65,3)="PNOS","Según criterio médico","Historia médica y ocupacional, examen físico respiratorio, cuestionario de síntomas, Rx tórax OIT (lector certificado), espirometría ATS/ERS"&amp;IF(LEFT(D65,3)="SIL",", prueba de tuberculina","")&amp;", consejería antitabaco"))</f>
        <v/>
      </c>
      <c r="N65" s="19" t="str">
        <f aca="false">IF(D65="","",IF(OR(LEFT(D65,3)="SIL",LEFT(D65,3)="ASB"),"Sí – periodicidad por criterio médico","No requerido"))</f>
        <v/>
      </c>
      <c r="O65" s="18"/>
    </row>
    <row r="66" customFormat="false" ht="15" hidden="false" customHeight="false" outlineLevel="0" collapsed="false">
      <c r="A66" s="18"/>
      <c r="B66" s="18"/>
      <c r="C66" s="18"/>
      <c r="D66" s="19" t="str">
        <f aca="false">IF(C66="","",IFERROR(INDEX(GES!$E$6:$E$25,MATCH(C66,GES!$A$6:$A$25,0)),"GES?"))</f>
        <v/>
      </c>
      <c r="E66" s="22"/>
      <c r="F66" s="22"/>
      <c r="G66" s="28" t="str">
        <f aca="true">IF(E66="","",(TODAY()-E66)/365.25)</f>
        <v/>
      </c>
      <c r="H66" s="19" t="str">
        <f aca="false">IF(OR(D66="",G66=""),"",IF(LEFT(D66,3)="SIL",IF(G66&lt;1,1,IF(G66&lt;10,3,2)),IF(LEFT(D66,3)="ASB",IF(G66&lt;10,3,2),IF(LEFT(D66,3)="CAR",IF(G66&lt;15,4,3),"Criterio médico"))))</f>
        <v/>
      </c>
      <c r="I66" s="19" t="str">
        <f aca="false">IF(OR(D66="",G66=""),"",IF(LEFT(D66,3)="CAR",IF(G66&lt;3,1,2),H66))</f>
        <v/>
      </c>
      <c r="J66" s="32" t="str">
        <f aca="false">IF(OR(E66="",NOT(ISNUMBER(H66))),"",IF(F66="",E66,F66)+H66*365.25)</f>
        <v/>
      </c>
      <c r="K66" s="32" t="str">
        <f aca="false">IF(OR(E66="",NOT(ISNUMBER(I66))),"",IF(F66="",E66,F66)+I66*365.25)</f>
        <v/>
      </c>
      <c r="L66" s="25" t="str">
        <f aca="true">IF(OR(J66="",K66=""),"",IF(F66="","Falta examen de ingreso",IF(MIN(J66,K66)&lt;TODAY(),"Vencido",IF(MIN(J66,K66)-TODAY()&lt;=60,"Próximo (≤ 60 días)","Al día"))))</f>
        <v/>
      </c>
      <c r="M66" s="27" t="str">
        <f aca="false">IF(D66="","",IF(LEFT(D66,3)="PNOS","Según criterio médico","Historia médica y ocupacional, examen físico respiratorio, cuestionario de síntomas, Rx tórax OIT (lector certificado), espirometría ATS/ERS"&amp;IF(LEFT(D66,3)="SIL",", prueba de tuberculina","")&amp;", consejería antitabaco"))</f>
        <v/>
      </c>
      <c r="N66" s="19" t="str">
        <f aca="false">IF(D66="","",IF(OR(LEFT(D66,3)="SIL",LEFT(D66,3)="ASB"),"Sí – periodicidad por criterio médico","No requerido"))</f>
        <v/>
      </c>
      <c r="O66" s="18"/>
    </row>
    <row r="67" customFormat="false" ht="15" hidden="false" customHeight="false" outlineLevel="0" collapsed="false">
      <c r="A67" s="18"/>
      <c r="B67" s="18"/>
      <c r="C67" s="18"/>
      <c r="D67" s="19" t="str">
        <f aca="false">IF(C67="","",IFERROR(INDEX(GES!$E$6:$E$25,MATCH(C67,GES!$A$6:$A$25,0)),"GES?"))</f>
        <v/>
      </c>
      <c r="E67" s="22"/>
      <c r="F67" s="22"/>
      <c r="G67" s="28" t="str">
        <f aca="true">IF(E67="","",(TODAY()-E67)/365.25)</f>
        <v/>
      </c>
      <c r="H67" s="19" t="str">
        <f aca="false">IF(OR(D67="",G67=""),"",IF(LEFT(D67,3)="SIL",IF(G67&lt;1,1,IF(G67&lt;10,3,2)),IF(LEFT(D67,3)="ASB",IF(G67&lt;10,3,2),IF(LEFT(D67,3)="CAR",IF(G67&lt;15,4,3),"Criterio médico"))))</f>
        <v/>
      </c>
      <c r="I67" s="19" t="str">
        <f aca="false">IF(OR(D67="",G67=""),"",IF(LEFT(D67,3)="CAR",IF(G67&lt;3,1,2),H67))</f>
        <v/>
      </c>
      <c r="J67" s="32" t="str">
        <f aca="false">IF(OR(E67="",NOT(ISNUMBER(H67))),"",IF(F67="",E67,F67)+H67*365.25)</f>
        <v/>
      </c>
      <c r="K67" s="32" t="str">
        <f aca="false">IF(OR(E67="",NOT(ISNUMBER(I67))),"",IF(F67="",E67,F67)+I67*365.25)</f>
        <v/>
      </c>
      <c r="L67" s="25" t="str">
        <f aca="true">IF(OR(J67="",K67=""),"",IF(F67="","Falta examen de ingreso",IF(MIN(J67,K67)&lt;TODAY(),"Vencido",IF(MIN(J67,K67)-TODAY()&lt;=60,"Próximo (≤ 60 días)","Al día"))))</f>
        <v/>
      </c>
      <c r="M67" s="27" t="str">
        <f aca="false">IF(D67="","",IF(LEFT(D67,3)="PNOS","Según criterio médico","Historia médica y ocupacional, examen físico respiratorio, cuestionario de síntomas, Rx tórax OIT (lector certificado), espirometría ATS/ERS"&amp;IF(LEFT(D67,3)="SIL",", prueba de tuberculina","")&amp;", consejería antitabaco"))</f>
        <v/>
      </c>
      <c r="N67" s="19" t="str">
        <f aca="false">IF(D67="","",IF(OR(LEFT(D67,3)="SIL",LEFT(D67,3)="ASB"),"Sí – periodicidad por criterio médico","No requerido"))</f>
        <v/>
      </c>
      <c r="O67" s="18"/>
    </row>
    <row r="68" customFormat="false" ht="15" hidden="false" customHeight="false" outlineLevel="0" collapsed="false">
      <c r="A68" s="18"/>
      <c r="B68" s="18"/>
      <c r="C68" s="18"/>
      <c r="D68" s="19" t="str">
        <f aca="false">IF(C68="","",IFERROR(INDEX(GES!$E$6:$E$25,MATCH(C68,GES!$A$6:$A$25,0)),"GES?"))</f>
        <v/>
      </c>
      <c r="E68" s="22"/>
      <c r="F68" s="22"/>
      <c r="G68" s="28" t="str">
        <f aca="true">IF(E68="","",(TODAY()-E68)/365.25)</f>
        <v/>
      </c>
      <c r="H68" s="19" t="str">
        <f aca="false">IF(OR(D68="",G68=""),"",IF(LEFT(D68,3)="SIL",IF(G68&lt;1,1,IF(G68&lt;10,3,2)),IF(LEFT(D68,3)="ASB",IF(G68&lt;10,3,2),IF(LEFT(D68,3)="CAR",IF(G68&lt;15,4,3),"Criterio médico"))))</f>
        <v/>
      </c>
      <c r="I68" s="19" t="str">
        <f aca="false">IF(OR(D68="",G68=""),"",IF(LEFT(D68,3)="CAR",IF(G68&lt;3,1,2),H68))</f>
        <v/>
      </c>
      <c r="J68" s="32" t="str">
        <f aca="false">IF(OR(E68="",NOT(ISNUMBER(H68))),"",IF(F68="",E68,F68)+H68*365.25)</f>
        <v/>
      </c>
      <c r="K68" s="32" t="str">
        <f aca="false">IF(OR(E68="",NOT(ISNUMBER(I68))),"",IF(F68="",E68,F68)+I68*365.25)</f>
        <v/>
      </c>
      <c r="L68" s="25" t="str">
        <f aca="true">IF(OR(J68="",K68=""),"",IF(F68="","Falta examen de ingreso",IF(MIN(J68,K68)&lt;TODAY(),"Vencido",IF(MIN(J68,K68)-TODAY()&lt;=60,"Próximo (≤ 60 días)","Al día"))))</f>
        <v/>
      </c>
      <c r="M68" s="27" t="str">
        <f aca="false">IF(D68="","",IF(LEFT(D68,3)="PNOS","Según criterio médico","Historia médica y ocupacional, examen físico respiratorio, cuestionario de síntomas, Rx tórax OIT (lector certificado), espirometría ATS/ERS"&amp;IF(LEFT(D68,3)="SIL",", prueba de tuberculina","")&amp;", consejería antitabaco"))</f>
        <v/>
      </c>
      <c r="N68" s="19" t="str">
        <f aca="false">IF(D68="","",IF(OR(LEFT(D68,3)="SIL",LEFT(D68,3)="ASB"),"Sí – periodicidad por criterio médico","No requerido"))</f>
        <v/>
      </c>
      <c r="O68" s="18"/>
    </row>
    <row r="69" customFormat="false" ht="15" hidden="false" customHeight="false" outlineLevel="0" collapsed="false">
      <c r="A69" s="18"/>
      <c r="B69" s="18"/>
      <c r="C69" s="18"/>
      <c r="D69" s="19" t="str">
        <f aca="false">IF(C69="","",IFERROR(INDEX(GES!$E$6:$E$25,MATCH(C69,GES!$A$6:$A$25,0)),"GES?"))</f>
        <v/>
      </c>
      <c r="E69" s="22"/>
      <c r="F69" s="22"/>
      <c r="G69" s="28" t="str">
        <f aca="true">IF(E69="","",(TODAY()-E69)/365.25)</f>
        <v/>
      </c>
      <c r="H69" s="19" t="str">
        <f aca="false">IF(OR(D69="",G69=""),"",IF(LEFT(D69,3)="SIL",IF(G69&lt;1,1,IF(G69&lt;10,3,2)),IF(LEFT(D69,3)="ASB",IF(G69&lt;10,3,2),IF(LEFT(D69,3)="CAR",IF(G69&lt;15,4,3),"Criterio médico"))))</f>
        <v/>
      </c>
      <c r="I69" s="19" t="str">
        <f aca="false">IF(OR(D69="",G69=""),"",IF(LEFT(D69,3)="CAR",IF(G69&lt;3,1,2),H69))</f>
        <v/>
      </c>
      <c r="J69" s="32" t="str">
        <f aca="false">IF(OR(E69="",NOT(ISNUMBER(H69))),"",IF(F69="",E69,F69)+H69*365.25)</f>
        <v/>
      </c>
      <c r="K69" s="32" t="str">
        <f aca="false">IF(OR(E69="",NOT(ISNUMBER(I69))),"",IF(F69="",E69,F69)+I69*365.25)</f>
        <v/>
      </c>
      <c r="L69" s="25" t="str">
        <f aca="true">IF(OR(J69="",K69=""),"",IF(F69="","Falta examen de ingreso",IF(MIN(J69,K69)&lt;TODAY(),"Vencido",IF(MIN(J69,K69)-TODAY()&lt;=60,"Próximo (≤ 60 días)","Al día"))))</f>
        <v/>
      </c>
      <c r="M69" s="27" t="str">
        <f aca="false">IF(D69="","",IF(LEFT(D69,3)="PNOS","Según criterio médico","Historia médica y ocupacional, examen físico respiratorio, cuestionario de síntomas, Rx tórax OIT (lector certificado), espirometría ATS/ERS"&amp;IF(LEFT(D69,3)="SIL",", prueba de tuberculina","")&amp;", consejería antitabaco"))</f>
        <v/>
      </c>
      <c r="N69" s="19" t="str">
        <f aca="false">IF(D69="","",IF(OR(LEFT(D69,3)="SIL",LEFT(D69,3)="ASB"),"Sí – periodicidad por criterio médico","No requerido"))</f>
        <v/>
      </c>
      <c r="O69" s="18"/>
    </row>
    <row r="70" customFormat="false" ht="15" hidden="false" customHeight="false" outlineLevel="0" collapsed="false">
      <c r="A70" s="18"/>
      <c r="B70" s="18"/>
      <c r="C70" s="18"/>
      <c r="D70" s="19" t="str">
        <f aca="false">IF(C70="","",IFERROR(INDEX(GES!$E$6:$E$25,MATCH(C70,GES!$A$6:$A$25,0)),"GES?"))</f>
        <v/>
      </c>
      <c r="E70" s="22"/>
      <c r="F70" s="22"/>
      <c r="G70" s="28" t="str">
        <f aca="true">IF(E70="","",(TODAY()-E70)/365.25)</f>
        <v/>
      </c>
      <c r="H70" s="19" t="str">
        <f aca="false">IF(OR(D70="",G70=""),"",IF(LEFT(D70,3)="SIL",IF(G70&lt;1,1,IF(G70&lt;10,3,2)),IF(LEFT(D70,3)="ASB",IF(G70&lt;10,3,2),IF(LEFT(D70,3)="CAR",IF(G70&lt;15,4,3),"Criterio médico"))))</f>
        <v/>
      </c>
      <c r="I70" s="19" t="str">
        <f aca="false">IF(OR(D70="",G70=""),"",IF(LEFT(D70,3)="CAR",IF(G70&lt;3,1,2),H70))</f>
        <v/>
      </c>
      <c r="J70" s="32" t="str">
        <f aca="false">IF(OR(E70="",NOT(ISNUMBER(H70))),"",IF(F70="",E70,F70)+H70*365.25)</f>
        <v/>
      </c>
      <c r="K70" s="32" t="str">
        <f aca="false">IF(OR(E70="",NOT(ISNUMBER(I70))),"",IF(F70="",E70,F70)+I70*365.25)</f>
        <v/>
      </c>
      <c r="L70" s="25" t="str">
        <f aca="true">IF(OR(J70="",K70=""),"",IF(F70="","Falta examen de ingreso",IF(MIN(J70,K70)&lt;TODAY(),"Vencido",IF(MIN(J70,K70)-TODAY()&lt;=60,"Próximo (≤ 60 días)","Al día"))))</f>
        <v/>
      </c>
      <c r="M70" s="27" t="str">
        <f aca="false">IF(D70="","",IF(LEFT(D70,3)="PNOS","Según criterio médico","Historia médica y ocupacional, examen físico respiratorio, cuestionario de síntomas, Rx tórax OIT (lector certificado), espirometría ATS/ERS"&amp;IF(LEFT(D70,3)="SIL",", prueba de tuberculina","")&amp;", consejería antitabaco"))</f>
        <v/>
      </c>
      <c r="N70" s="19" t="str">
        <f aca="false">IF(D70="","",IF(OR(LEFT(D70,3)="SIL",LEFT(D70,3)="ASB"),"Sí – periodicidad por criterio médico","No requerido"))</f>
        <v/>
      </c>
      <c r="O70" s="18"/>
    </row>
    <row r="71" customFormat="false" ht="15" hidden="false" customHeight="false" outlineLevel="0" collapsed="false">
      <c r="A71" s="18"/>
      <c r="B71" s="18"/>
      <c r="C71" s="18"/>
      <c r="D71" s="19" t="str">
        <f aca="false">IF(C71="","",IFERROR(INDEX(GES!$E$6:$E$25,MATCH(C71,GES!$A$6:$A$25,0)),"GES?"))</f>
        <v/>
      </c>
      <c r="E71" s="22"/>
      <c r="F71" s="22"/>
      <c r="G71" s="28" t="str">
        <f aca="true">IF(E71="","",(TODAY()-E71)/365.25)</f>
        <v/>
      </c>
      <c r="H71" s="19" t="str">
        <f aca="false">IF(OR(D71="",G71=""),"",IF(LEFT(D71,3)="SIL",IF(G71&lt;1,1,IF(G71&lt;10,3,2)),IF(LEFT(D71,3)="ASB",IF(G71&lt;10,3,2),IF(LEFT(D71,3)="CAR",IF(G71&lt;15,4,3),"Criterio médico"))))</f>
        <v/>
      </c>
      <c r="I71" s="19" t="str">
        <f aca="false">IF(OR(D71="",G71=""),"",IF(LEFT(D71,3)="CAR",IF(G71&lt;3,1,2),H71))</f>
        <v/>
      </c>
      <c r="J71" s="32" t="str">
        <f aca="false">IF(OR(E71="",NOT(ISNUMBER(H71))),"",IF(F71="",E71,F71)+H71*365.25)</f>
        <v/>
      </c>
      <c r="K71" s="32" t="str">
        <f aca="false">IF(OR(E71="",NOT(ISNUMBER(I71))),"",IF(F71="",E71,F71)+I71*365.25)</f>
        <v/>
      </c>
      <c r="L71" s="25" t="str">
        <f aca="true">IF(OR(J71="",K71=""),"",IF(F71="","Falta examen de ingreso",IF(MIN(J71,K71)&lt;TODAY(),"Vencido",IF(MIN(J71,K71)-TODAY()&lt;=60,"Próximo (≤ 60 días)","Al día"))))</f>
        <v/>
      </c>
      <c r="M71" s="27" t="str">
        <f aca="false">IF(D71="","",IF(LEFT(D71,3)="PNOS","Según criterio médico","Historia médica y ocupacional, examen físico respiratorio, cuestionario de síntomas, Rx tórax OIT (lector certificado), espirometría ATS/ERS"&amp;IF(LEFT(D71,3)="SIL",", prueba de tuberculina","")&amp;", consejería antitabaco"))</f>
        <v/>
      </c>
      <c r="N71" s="19" t="str">
        <f aca="false">IF(D71="","",IF(OR(LEFT(D71,3)="SIL",LEFT(D71,3)="ASB"),"Sí – periodicidad por criterio médico","No requerido"))</f>
        <v/>
      </c>
      <c r="O71" s="18"/>
    </row>
    <row r="72" customFormat="false" ht="15" hidden="false" customHeight="false" outlineLevel="0" collapsed="false">
      <c r="A72" s="18"/>
      <c r="B72" s="18"/>
      <c r="C72" s="18"/>
      <c r="D72" s="19" t="str">
        <f aca="false">IF(C72="","",IFERROR(INDEX(GES!$E$6:$E$25,MATCH(C72,GES!$A$6:$A$25,0)),"GES?"))</f>
        <v/>
      </c>
      <c r="E72" s="22"/>
      <c r="F72" s="22"/>
      <c r="G72" s="28" t="str">
        <f aca="true">IF(E72="","",(TODAY()-E72)/365.25)</f>
        <v/>
      </c>
      <c r="H72" s="19" t="str">
        <f aca="false">IF(OR(D72="",G72=""),"",IF(LEFT(D72,3)="SIL",IF(G72&lt;1,1,IF(G72&lt;10,3,2)),IF(LEFT(D72,3)="ASB",IF(G72&lt;10,3,2),IF(LEFT(D72,3)="CAR",IF(G72&lt;15,4,3),"Criterio médico"))))</f>
        <v/>
      </c>
      <c r="I72" s="19" t="str">
        <f aca="false">IF(OR(D72="",G72=""),"",IF(LEFT(D72,3)="CAR",IF(G72&lt;3,1,2),H72))</f>
        <v/>
      </c>
      <c r="J72" s="32" t="str">
        <f aca="false">IF(OR(E72="",NOT(ISNUMBER(H72))),"",IF(F72="",E72,F72)+H72*365.25)</f>
        <v/>
      </c>
      <c r="K72" s="32" t="str">
        <f aca="false">IF(OR(E72="",NOT(ISNUMBER(I72))),"",IF(F72="",E72,F72)+I72*365.25)</f>
        <v/>
      </c>
      <c r="L72" s="25" t="str">
        <f aca="true">IF(OR(J72="",K72=""),"",IF(F72="","Falta examen de ingreso",IF(MIN(J72,K72)&lt;TODAY(),"Vencido",IF(MIN(J72,K72)-TODAY()&lt;=60,"Próximo (≤ 60 días)","Al día"))))</f>
        <v/>
      </c>
      <c r="M72" s="27" t="str">
        <f aca="false">IF(D72="","",IF(LEFT(D72,3)="PNOS","Según criterio médico","Historia médica y ocupacional, examen físico respiratorio, cuestionario de síntomas, Rx tórax OIT (lector certificado), espirometría ATS/ERS"&amp;IF(LEFT(D72,3)="SIL",", prueba de tuberculina","")&amp;", consejería antitabaco"))</f>
        <v/>
      </c>
      <c r="N72" s="19" t="str">
        <f aca="false">IF(D72="","",IF(OR(LEFT(D72,3)="SIL",LEFT(D72,3)="ASB"),"Sí – periodicidad por criterio médico","No requerido"))</f>
        <v/>
      </c>
      <c r="O72" s="18"/>
    </row>
    <row r="73" customFormat="false" ht="15" hidden="false" customHeight="false" outlineLevel="0" collapsed="false">
      <c r="A73" s="18"/>
      <c r="B73" s="18"/>
      <c r="C73" s="18"/>
      <c r="D73" s="19" t="str">
        <f aca="false">IF(C73="","",IFERROR(INDEX(GES!$E$6:$E$25,MATCH(C73,GES!$A$6:$A$25,0)),"GES?"))</f>
        <v/>
      </c>
      <c r="E73" s="22"/>
      <c r="F73" s="22"/>
      <c r="G73" s="28" t="str">
        <f aca="true">IF(E73="","",(TODAY()-E73)/365.25)</f>
        <v/>
      </c>
      <c r="H73" s="19" t="str">
        <f aca="false">IF(OR(D73="",G73=""),"",IF(LEFT(D73,3)="SIL",IF(G73&lt;1,1,IF(G73&lt;10,3,2)),IF(LEFT(D73,3)="ASB",IF(G73&lt;10,3,2),IF(LEFT(D73,3)="CAR",IF(G73&lt;15,4,3),"Criterio médico"))))</f>
        <v/>
      </c>
      <c r="I73" s="19" t="str">
        <f aca="false">IF(OR(D73="",G73=""),"",IF(LEFT(D73,3)="CAR",IF(G73&lt;3,1,2),H73))</f>
        <v/>
      </c>
      <c r="J73" s="32" t="str">
        <f aca="false">IF(OR(E73="",NOT(ISNUMBER(H73))),"",IF(F73="",E73,F73)+H73*365.25)</f>
        <v/>
      </c>
      <c r="K73" s="32" t="str">
        <f aca="false">IF(OR(E73="",NOT(ISNUMBER(I73))),"",IF(F73="",E73,F73)+I73*365.25)</f>
        <v/>
      </c>
      <c r="L73" s="25" t="str">
        <f aca="true">IF(OR(J73="",K73=""),"",IF(F73="","Falta examen de ingreso",IF(MIN(J73,K73)&lt;TODAY(),"Vencido",IF(MIN(J73,K73)-TODAY()&lt;=60,"Próximo (≤ 60 días)","Al día"))))</f>
        <v/>
      </c>
      <c r="M73" s="27" t="str">
        <f aca="false">IF(D73="","",IF(LEFT(D73,3)="PNOS","Según criterio médico","Historia médica y ocupacional, examen físico respiratorio, cuestionario de síntomas, Rx tórax OIT (lector certificado), espirometría ATS/ERS"&amp;IF(LEFT(D73,3)="SIL",", prueba de tuberculina","")&amp;", consejería antitabaco"))</f>
        <v/>
      </c>
      <c r="N73" s="19" t="str">
        <f aca="false">IF(D73="","",IF(OR(LEFT(D73,3)="SIL",LEFT(D73,3)="ASB"),"Sí – periodicidad por criterio médico","No requerido"))</f>
        <v/>
      </c>
      <c r="O73" s="18"/>
    </row>
    <row r="74" customFormat="false" ht="15" hidden="false" customHeight="false" outlineLevel="0" collapsed="false">
      <c r="A74" s="18"/>
      <c r="B74" s="18"/>
      <c r="C74" s="18"/>
      <c r="D74" s="19" t="str">
        <f aca="false">IF(C74="","",IFERROR(INDEX(GES!$E$6:$E$25,MATCH(C74,GES!$A$6:$A$25,0)),"GES?"))</f>
        <v/>
      </c>
      <c r="E74" s="22"/>
      <c r="F74" s="22"/>
      <c r="G74" s="28" t="str">
        <f aca="true">IF(E74="","",(TODAY()-E74)/365.25)</f>
        <v/>
      </c>
      <c r="H74" s="19" t="str">
        <f aca="false">IF(OR(D74="",G74=""),"",IF(LEFT(D74,3)="SIL",IF(G74&lt;1,1,IF(G74&lt;10,3,2)),IF(LEFT(D74,3)="ASB",IF(G74&lt;10,3,2),IF(LEFT(D74,3)="CAR",IF(G74&lt;15,4,3),"Criterio médico"))))</f>
        <v/>
      </c>
      <c r="I74" s="19" t="str">
        <f aca="false">IF(OR(D74="",G74=""),"",IF(LEFT(D74,3)="CAR",IF(G74&lt;3,1,2),H74))</f>
        <v/>
      </c>
      <c r="J74" s="32" t="str">
        <f aca="false">IF(OR(E74="",NOT(ISNUMBER(H74))),"",IF(F74="",E74,F74)+H74*365.25)</f>
        <v/>
      </c>
      <c r="K74" s="32" t="str">
        <f aca="false">IF(OR(E74="",NOT(ISNUMBER(I74))),"",IF(F74="",E74,F74)+I74*365.25)</f>
        <v/>
      </c>
      <c r="L74" s="25" t="str">
        <f aca="true">IF(OR(J74="",K74=""),"",IF(F74="","Falta examen de ingreso",IF(MIN(J74,K74)&lt;TODAY(),"Vencido",IF(MIN(J74,K74)-TODAY()&lt;=60,"Próximo (≤ 60 días)","Al día"))))</f>
        <v/>
      </c>
      <c r="M74" s="27" t="str">
        <f aca="false">IF(D74="","",IF(LEFT(D74,3)="PNOS","Según criterio médico","Historia médica y ocupacional, examen físico respiratorio, cuestionario de síntomas, Rx tórax OIT (lector certificado), espirometría ATS/ERS"&amp;IF(LEFT(D74,3)="SIL",", prueba de tuberculina","")&amp;", consejería antitabaco"))</f>
        <v/>
      </c>
      <c r="N74" s="19" t="str">
        <f aca="false">IF(D74="","",IF(OR(LEFT(D74,3)="SIL",LEFT(D74,3)="ASB"),"Sí – periodicidad por criterio médico","No requerido"))</f>
        <v/>
      </c>
      <c r="O74" s="18"/>
    </row>
    <row r="75" customFormat="false" ht="15" hidden="false" customHeight="false" outlineLevel="0" collapsed="false">
      <c r="A75" s="18"/>
      <c r="B75" s="18"/>
      <c r="C75" s="18"/>
      <c r="D75" s="19" t="str">
        <f aca="false">IF(C75="","",IFERROR(INDEX(GES!$E$6:$E$25,MATCH(C75,GES!$A$6:$A$25,0)),"GES?"))</f>
        <v/>
      </c>
      <c r="E75" s="22"/>
      <c r="F75" s="22"/>
      <c r="G75" s="28" t="str">
        <f aca="true">IF(E75="","",(TODAY()-E75)/365.25)</f>
        <v/>
      </c>
      <c r="H75" s="19" t="str">
        <f aca="false">IF(OR(D75="",G75=""),"",IF(LEFT(D75,3)="SIL",IF(G75&lt;1,1,IF(G75&lt;10,3,2)),IF(LEFT(D75,3)="ASB",IF(G75&lt;10,3,2),IF(LEFT(D75,3)="CAR",IF(G75&lt;15,4,3),"Criterio médico"))))</f>
        <v/>
      </c>
      <c r="I75" s="19" t="str">
        <f aca="false">IF(OR(D75="",G75=""),"",IF(LEFT(D75,3)="CAR",IF(G75&lt;3,1,2),H75))</f>
        <v/>
      </c>
      <c r="J75" s="32" t="str">
        <f aca="false">IF(OR(E75="",NOT(ISNUMBER(H75))),"",IF(F75="",E75,F75)+H75*365.25)</f>
        <v/>
      </c>
      <c r="K75" s="32" t="str">
        <f aca="false">IF(OR(E75="",NOT(ISNUMBER(I75))),"",IF(F75="",E75,F75)+I75*365.25)</f>
        <v/>
      </c>
      <c r="L75" s="25" t="str">
        <f aca="true">IF(OR(J75="",K75=""),"",IF(F75="","Falta examen de ingreso",IF(MIN(J75,K75)&lt;TODAY(),"Vencido",IF(MIN(J75,K75)-TODAY()&lt;=60,"Próximo (≤ 60 días)","Al día"))))</f>
        <v/>
      </c>
      <c r="M75" s="27" t="str">
        <f aca="false">IF(D75="","",IF(LEFT(D75,3)="PNOS","Según criterio médico","Historia médica y ocupacional, examen físico respiratorio, cuestionario de síntomas, Rx tórax OIT (lector certificado), espirometría ATS/ERS"&amp;IF(LEFT(D75,3)="SIL",", prueba de tuberculina","")&amp;", consejería antitabaco"))</f>
        <v/>
      </c>
      <c r="N75" s="19" t="str">
        <f aca="false">IF(D75="","",IF(OR(LEFT(D75,3)="SIL",LEFT(D75,3)="ASB"),"Sí – periodicidad por criterio médico","No requerido"))</f>
        <v/>
      </c>
      <c r="O75" s="18"/>
    </row>
    <row r="76" customFormat="false" ht="15" hidden="false" customHeight="false" outlineLevel="0" collapsed="false">
      <c r="A76" s="18"/>
      <c r="B76" s="18"/>
      <c r="C76" s="18"/>
      <c r="D76" s="19" t="str">
        <f aca="false">IF(C76="","",IFERROR(INDEX(GES!$E$6:$E$25,MATCH(C76,GES!$A$6:$A$25,0)),"GES?"))</f>
        <v/>
      </c>
      <c r="E76" s="22"/>
      <c r="F76" s="22"/>
      <c r="G76" s="28" t="str">
        <f aca="true">IF(E76="","",(TODAY()-E76)/365.25)</f>
        <v/>
      </c>
      <c r="H76" s="19" t="str">
        <f aca="false">IF(OR(D76="",G76=""),"",IF(LEFT(D76,3)="SIL",IF(G76&lt;1,1,IF(G76&lt;10,3,2)),IF(LEFT(D76,3)="ASB",IF(G76&lt;10,3,2),IF(LEFT(D76,3)="CAR",IF(G76&lt;15,4,3),"Criterio médico"))))</f>
        <v/>
      </c>
      <c r="I76" s="19" t="str">
        <f aca="false">IF(OR(D76="",G76=""),"",IF(LEFT(D76,3)="CAR",IF(G76&lt;3,1,2),H76))</f>
        <v/>
      </c>
      <c r="J76" s="32" t="str">
        <f aca="false">IF(OR(E76="",NOT(ISNUMBER(H76))),"",IF(F76="",E76,F76)+H76*365.25)</f>
        <v/>
      </c>
      <c r="K76" s="32" t="str">
        <f aca="false">IF(OR(E76="",NOT(ISNUMBER(I76))),"",IF(F76="",E76,F76)+I76*365.25)</f>
        <v/>
      </c>
      <c r="L76" s="25" t="str">
        <f aca="true">IF(OR(J76="",K76=""),"",IF(F76="","Falta examen de ingreso",IF(MIN(J76,K76)&lt;TODAY(),"Vencido",IF(MIN(J76,K76)-TODAY()&lt;=60,"Próximo (≤ 60 días)","Al día"))))</f>
        <v/>
      </c>
      <c r="M76" s="27" t="str">
        <f aca="false">IF(D76="","",IF(LEFT(D76,3)="PNOS","Según criterio médico","Historia médica y ocupacional, examen físico respiratorio, cuestionario de síntomas, Rx tórax OIT (lector certificado), espirometría ATS/ERS"&amp;IF(LEFT(D76,3)="SIL",", prueba de tuberculina","")&amp;", consejería antitabaco"))</f>
        <v/>
      </c>
      <c r="N76" s="19" t="str">
        <f aca="false">IF(D76="","",IF(OR(LEFT(D76,3)="SIL",LEFT(D76,3)="ASB"),"Sí – periodicidad por criterio médico","No requerido"))</f>
        <v/>
      </c>
      <c r="O76" s="18"/>
    </row>
    <row r="77" customFormat="false" ht="15" hidden="false" customHeight="false" outlineLevel="0" collapsed="false">
      <c r="A77" s="18"/>
      <c r="B77" s="18"/>
      <c r="C77" s="18"/>
      <c r="D77" s="19" t="str">
        <f aca="false">IF(C77="","",IFERROR(INDEX(GES!$E$6:$E$25,MATCH(C77,GES!$A$6:$A$25,0)),"GES?"))</f>
        <v/>
      </c>
      <c r="E77" s="22"/>
      <c r="F77" s="22"/>
      <c r="G77" s="28" t="str">
        <f aca="true">IF(E77="","",(TODAY()-E77)/365.25)</f>
        <v/>
      </c>
      <c r="H77" s="19" t="str">
        <f aca="false">IF(OR(D77="",G77=""),"",IF(LEFT(D77,3)="SIL",IF(G77&lt;1,1,IF(G77&lt;10,3,2)),IF(LEFT(D77,3)="ASB",IF(G77&lt;10,3,2),IF(LEFT(D77,3)="CAR",IF(G77&lt;15,4,3),"Criterio médico"))))</f>
        <v/>
      </c>
      <c r="I77" s="19" t="str">
        <f aca="false">IF(OR(D77="",G77=""),"",IF(LEFT(D77,3)="CAR",IF(G77&lt;3,1,2),H77))</f>
        <v/>
      </c>
      <c r="J77" s="32" t="str">
        <f aca="false">IF(OR(E77="",NOT(ISNUMBER(H77))),"",IF(F77="",E77,F77)+H77*365.25)</f>
        <v/>
      </c>
      <c r="K77" s="32" t="str">
        <f aca="false">IF(OR(E77="",NOT(ISNUMBER(I77))),"",IF(F77="",E77,F77)+I77*365.25)</f>
        <v/>
      </c>
      <c r="L77" s="25" t="str">
        <f aca="true">IF(OR(J77="",K77=""),"",IF(F77="","Falta examen de ingreso",IF(MIN(J77,K77)&lt;TODAY(),"Vencido",IF(MIN(J77,K77)-TODAY()&lt;=60,"Próximo (≤ 60 días)","Al día"))))</f>
        <v/>
      </c>
      <c r="M77" s="27" t="str">
        <f aca="false">IF(D77="","",IF(LEFT(D77,3)="PNOS","Según criterio médico","Historia médica y ocupacional, examen físico respiratorio, cuestionario de síntomas, Rx tórax OIT (lector certificado), espirometría ATS/ERS"&amp;IF(LEFT(D77,3)="SIL",", prueba de tuberculina","")&amp;", consejería antitabaco"))</f>
        <v/>
      </c>
      <c r="N77" s="19" t="str">
        <f aca="false">IF(D77="","",IF(OR(LEFT(D77,3)="SIL",LEFT(D77,3)="ASB"),"Sí – periodicidad por criterio médico","No requerido"))</f>
        <v/>
      </c>
      <c r="O77" s="18"/>
    </row>
    <row r="78" customFormat="false" ht="15" hidden="false" customHeight="false" outlineLevel="0" collapsed="false">
      <c r="A78" s="18"/>
      <c r="B78" s="18"/>
      <c r="C78" s="18"/>
      <c r="D78" s="19" t="str">
        <f aca="false">IF(C78="","",IFERROR(INDEX(GES!$E$6:$E$25,MATCH(C78,GES!$A$6:$A$25,0)),"GES?"))</f>
        <v/>
      </c>
      <c r="E78" s="22"/>
      <c r="F78" s="22"/>
      <c r="G78" s="28" t="str">
        <f aca="true">IF(E78="","",(TODAY()-E78)/365.25)</f>
        <v/>
      </c>
      <c r="H78" s="19" t="str">
        <f aca="false">IF(OR(D78="",G78=""),"",IF(LEFT(D78,3)="SIL",IF(G78&lt;1,1,IF(G78&lt;10,3,2)),IF(LEFT(D78,3)="ASB",IF(G78&lt;10,3,2),IF(LEFT(D78,3)="CAR",IF(G78&lt;15,4,3),"Criterio médico"))))</f>
        <v/>
      </c>
      <c r="I78" s="19" t="str">
        <f aca="false">IF(OR(D78="",G78=""),"",IF(LEFT(D78,3)="CAR",IF(G78&lt;3,1,2),H78))</f>
        <v/>
      </c>
      <c r="J78" s="32" t="str">
        <f aca="false">IF(OR(E78="",NOT(ISNUMBER(H78))),"",IF(F78="",E78,F78)+H78*365.25)</f>
        <v/>
      </c>
      <c r="K78" s="32" t="str">
        <f aca="false">IF(OR(E78="",NOT(ISNUMBER(I78))),"",IF(F78="",E78,F78)+I78*365.25)</f>
        <v/>
      </c>
      <c r="L78" s="25" t="str">
        <f aca="true">IF(OR(J78="",K78=""),"",IF(F78="","Falta examen de ingreso",IF(MIN(J78,K78)&lt;TODAY(),"Vencido",IF(MIN(J78,K78)-TODAY()&lt;=60,"Próximo (≤ 60 días)","Al día"))))</f>
        <v/>
      </c>
      <c r="M78" s="27" t="str">
        <f aca="false">IF(D78="","",IF(LEFT(D78,3)="PNOS","Según criterio médico","Historia médica y ocupacional, examen físico respiratorio, cuestionario de síntomas, Rx tórax OIT (lector certificado), espirometría ATS/ERS"&amp;IF(LEFT(D78,3)="SIL",", prueba de tuberculina","")&amp;", consejería antitabaco"))</f>
        <v/>
      </c>
      <c r="N78" s="19" t="str">
        <f aca="false">IF(D78="","",IF(OR(LEFT(D78,3)="SIL",LEFT(D78,3)="ASB"),"Sí – periodicidad por criterio médico","No requerido"))</f>
        <v/>
      </c>
      <c r="O78" s="18"/>
    </row>
    <row r="79" customFormat="false" ht="15" hidden="false" customHeight="false" outlineLevel="0" collapsed="false">
      <c r="A79" s="18"/>
      <c r="B79" s="18"/>
      <c r="C79" s="18"/>
      <c r="D79" s="19" t="str">
        <f aca="false">IF(C79="","",IFERROR(INDEX(GES!$E$6:$E$25,MATCH(C79,GES!$A$6:$A$25,0)),"GES?"))</f>
        <v/>
      </c>
      <c r="E79" s="22"/>
      <c r="F79" s="22"/>
      <c r="G79" s="28" t="str">
        <f aca="true">IF(E79="","",(TODAY()-E79)/365.25)</f>
        <v/>
      </c>
      <c r="H79" s="19" t="str">
        <f aca="false">IF(OR(D79="",G79=""),"",IF(LEFT(D79,3)="SIL",IF(G79&lt;1,1,IF(G79&lt;10,3,2)),IF(LEFT(D79,3)="ASB",IF(G79&lt;10,3,2),IF(LEFT(D79,3)="CAR",IF(G79&lt;15,4,3),"Criterio médico"))))</f>
        <v/>
      </c>
      <c r="I79" s="19" t="str">
        <f aca="false">IF(OR(D79="",G79=""),"",IF(LEFT(D79,3)="CAR",IF(G79&lt;3,1,2),H79))</f>
        <v/>
      </c>
      <c r="J79" s="32" t="str">
        <f aca="false">IF(OR(E79="",NOT(ISNUMBER(H79))),"",IF(F79="",E79,F79)+H79*365.25)</f>
        <v/>
      </c>
      <c r="K79" s="32" t="str">
        <f aca="false">IF(OR(E79="",NOT(ISNUMBER(I79))),"",IF(F79="",E79,F79)+I79*365.25)</f>
        <v/>
      </c>
      <c r="L79" s="25" t="str">
        <f aca="true">IF(OR(J79="",K79=""),"",IF(F79="","Falta examen de ingreso",IF(MIN(J79,K79)&lt;TODAY(),"Vencido",IF(MIN(J79,K79)-TODAY()&lt;=60,"Próximo (≤ 60 días)","Al día"))))</f>
        <v/>
      </c>
      <c r="M79" s="27" t="str">
        <f aca="false">IF(D79="","",IF(LEFT(D79,3)="PNOS","Según criterio médico","Historia médica y ocupacional, examen físico respiratorio, cuestionario de síntomas, Rx tórax OIT (lector certificado), espirometría ATS/ERS"&amp;IF(LEFT(D79,3)="SIL",", prueba de tuberculina","")&amp;", consejería antitabaco"))</f>
        <v/>
      </c>
      <c r="N79" s="19" t="str">
        <f aca="false">IF(D79="","",IF(OR(LEFT(D79,3)="SIL",LEFT(D79,3)="ASB"),"Sí – periodicidad por criterio médico","No requerido"))</f>
        <v/>
      </c>
      <c r="O79" s="18"/>
    </row>
    <row r="80" customFormat="false" ht="15" hidden="false" customHeight="false" outlineLevel="0" collapsed="false">
      <c r="A80" s="18"/>
      <c r="B80" s="18"/>
      <c r="C80" s="18"/>
      <c r="D80" s="19" t="str">
        <f aca="false">IF(C80="","",IFERROR(INDEX(GES!$E$6:$E$25,MATCH(C80,GES!$A$6:$A$25,0)),"GES?"))</f>
        <v/>
      </c>
      <c r="E80" s="22"/>
      <c r="F80" s="22"/>
      <c r="G80" s="28" t="str">
        <f aca="true">IF(E80="","",(TODAY()-E80)/365.25)</f>
        <v/>
      </c>
      <c r="H80" s="19" t="str">
        <f aca="false">IF(OR(D80="",G80=""),"",IF(LEFT(D80,3)="SIL",IF(G80&lt;1,1,IF(G80&lt;10,3,2)),IF(LEFT(D80,3)="ASB",IF(G80&lt;10,3,2),IF(LEFT(D80,3)="CAR",IF(G80&lt;15,4,3),"Criterio médico"))))</f>
        <v/>
      </c>
      <c r="I80" s="19" t="str">
        <f aca="false">IF(OR(D80="",G80=""),"",IF(LEFT(D80,3)="CAR",IF(G80&lt;3,1,2),H80))</f>
        <v/>
      </c>
      <c r="J80" s="32" t="str">
        <f aca="false">IF(OR(E80="",NOT(ISNUMBER(H80))),"",IF(F80="",E80,F80)+H80*365.25)</f>
        <v/>
      </c>
      <c r="K80" s="32" t="str">
        <f aca="false">IF(OR(E80="",NOT(ISNUMBER(I80))),"",IF(F80="",E80,F80)+I80*365.25)</f>
        <v/>
      </c>
      <c r="L80" s="25" t="str">
        <f aca="true">IF(OR(J80="",K80=""),"",IF(F80="","Falta examen de ingreso",IF(MIN(J80,K80)&lt;TODAY(),"Vencido",IF(MIN(J80,K80)-TODAY()&lt;=60,"Próximo (≤ 60 días)","Al día"))))</f>
        <v/>
      </c>
      <c r="M80" s="27" t="str">
        <f aca="false">IF(D80="","",IF(LEFT(D80,3)="PNOS","Según criterio médico","Historia médica y ocupacional, examen físico respiratorio, cuestionario de síntomas, Rx tórax OIT (lector certificado), espirometría ATS/ERS"&amp;IF(LEFT(D80,3)="SIL",", prueba de tuberculina","")&amp;", consejería antitabaco"))</f>
        <v/>
      </c>
      <c r="N80" s="19" t="str">
        <f aca="false">IF(D80="","",IF(OR(LEFT(D80,3)="SIL",LEFT(D80,3)="ASB"),"Sí – periodicidad por criterio médico","No requerido"))</f>
        <v/>
      </c>
      <c r="O80" s="18"/>
    </row>
    <row r="81" customFormat="false" ht="15" hidden="false" customHeight="false" outlineLevel="0" collapsed="false">
      <c r="A81" s="18"/>
      <c r="B81" s="18"/>
      <c r="C81" s="18"/>
      <c r="D81" s="19" t="str">
        <f aca="false">IF(C81="","",IFERROR(INDEX(GES!$E$6:$E$25,MATCH(C81,GES!$A$6:$A$25,0)),"GES?"))</f>
        <v/>
      </c>
      <c r="E81" s="22"/>
      <c r="F81" s="22"/>
      <c r="G81" s="28" t="str">
        <f aca="true">IF(E81="","",(TODAY()-E81)/365.25)</f>
        <v/>
      </c>
      <c r="H81" s="19" t="str">
        <f aca="false">IF(OR(D81="",G81=""),"",IF(LEFT(D81,3)="SIL",IF(G81&lt;1,1,IF(G81&lt;10,3,2)),IF(LEFT(D81,3)="ASB",IF(G81&lt;10,3,2),IF(LEFT(D81,3)="CAR",IF(G81&lt;15,4,3),"Criterio médico"))))</f>
        <v/>
      </c>
      <c r="I81" s="19" t="str">
        <f aca="false">IF(OR(D81="",G81=""),"",IF(LEFT(D81,3)="CAR",IF(G81&lt;3,1,2),H81))</f>
        <v/>
      </c>
      <c r="J81" s="32" t="str">
        <f aca="false">IF(OR(E81="",NOT(ISNUMBER(H81))),"",IF(F81="",E81,F81)+H81*365.25)</f>
        <v/>
      </c>
      <c r="K81" s="32" t="str">
        <f aca="false">IF(OR(E81="",NOT(ISNUMBER(I81))),"",IF(F81="",E81,F81)+I81*365.25)</f>
        <v/>
      </c>
      <c r="L81" s="25" t="str">
        <f aca="true">IF(OR(J81="",K81=""),"",IF(F81="","Falta examen de ingreso",IF(MIN(J81,K81)&lt;TODAY(),"Vencido",IF(MIN(J81,K81)-TODAY()&lt;=60,"Próximo (≤ 60 días)","Al día"))))</f>
        <v/>
      </c>
      <c r="M81" s="27" t="str">
        <f aca="false">IF(D81="","",IF(LEFT(D81,3)="PNOS","Según criterio médico","Historia médica y ocupacional, examen físico respiratorio, cuestionario de síntomas, Rx tórax OIT (lector certificado), espirometría ATS/ERS"&amp;IF(LEFT(D81,3)="SIL",", prueba de tuberculina","")&amp;", consejería antitabaco"))</f>
        <v/>
      </c>
      <c r="N81" s="19" t="str">
        <f aca="false">IF(D81="","",IF(OR(LEFT(D81,3)="SIL",LEFT(D81,3)="ASB"),"Sí – periodicidad por criterio médico","No requerido"))</f>
        <v/>
      </c>
      <c r="O81" s="18"/>
    </row>
    <row r="82" customFormat="false" ht="15" hidden="false" customHeight="false" outlineLevel="0" collapsed="false">
      <c r="A82" s="18"/>
      <c r="B82" s="18"/>
      <c r="C82" s="18"/>
      <c r="D82" s="19" t="str">
        <f aca="false">IF(C82="","",IFERROR(INDEX(GES!$E$6:$E$25,MATCH(C82,GES!$A$6:$A$25,0)),"GES?"))</f>
        <v/>
      </c>
      <c r="E82" s="22"/>
      <c r="F82" s="22"/>
      <c r="G82" s="28" t="str">
        <f aca="true">IF(E82="","",(TODAY()-E82)/365.25)</f>
        <v/>
      </c>
      <c r="H82" s="19" t="str">
        <f aca="false">IF(OR(D82="",G82=""),"",IF(LEFT(D82,3)="SIL",IF(G82&lt;1,1,IF(G82&lt;10,3,2)),IF(LEFT(D82,3)="ASB",IF(G82&lt;10,3,2),IF(LEFT(D82,3)="CAR",IF(G82&lt;15,4,3),"Criterio médico"))))</f>
        <v/>
      </c>
      <c r="I82" s="19" t="str">
        <f aca="false">IF(OR(D82="",G82=""),"",IF(LEFT(D82,3)="CAR",IF(G82&lt;3,1,2),H82))</f>
        <v/>
      </c>
      <c r="J82" s="32" t="str">
        <f aca="false">IF(OR(E82="",NOT(ISNUMBER(H82))),"",IF(F82="",E82,F82)+H82*365.25)</f>
        <v/>
      </c>
      <c r="K82" s="32" t="str">
        <f aca="false">IF(OR(E82="",NOT(ISNUMBER(I82))),"",IF(F82="",E82,F82)+I82*365.25)</f>
        <v/>
      </c>
      <c r="L82" s="25" t="str">
        <f aca="true">IF(OR(J82="",K82=""),"",IF(F82="","Falta examen de ingreso",IF(MIN(J82,K82)&lt;TODAY(),"Vencido",IF(MIN(J82,K82)-TODAY()&lt;=60,"Próximo (≤ 60 días)","Al día"))))</f>
        <v/>
      </c>
      <c r="M82" s="27" t="str">
        <f aca="false">IF(D82="","",IF(LEFT(D82,3)="PNOS","Según criterio médico","Historia médica y ocupacional, examen físico respiratorio, cuestionario de síntomas, Rx tórax OIT (lector certificado), espirometría ATS/ERS"&amp;IF(LEFT(D82,3)="SIL",", prueba de tuberculina","")&amp;", consejería antitabaco"))</f>
        <v/>
      </c>
      <c r="N82" s="19" t="str">
        <f aca="false">IF(D82="","",IF(OR(LEFT(D82,3)="SIL",LEFT(D82,3)="ASB"),"Sí – periodicidad por criterio médico","No requerido"))</f>
        <v/>
      </c>
      <c r="O82" s="18"/>
    </row>
    <row r="83" customFormat="false" ht="15" hidden="false" customHeight="false" outlineLevel="0" collapsed="false">
      <c r="A83" s="18"/>
      <c r="B83" s="18"/>
      <c r="C83" s="18"/>
      <c r="D83" s="19" t="str">
        <f aca="false">IF(C83="","",IFERROR(INDEX(GES!$E$6:$E$25,MATCH(C83,GES!$A$6:$A$25,0)),"GES?"))</f>
        <v/>
      </c>
      <c r="E83" s="22"/>
      <c r="F83" s="22"/>
      <c r="G83" s="28" t="str">
        <f aca="true">IF(E83="","",(TODAY()-E83)/365.25)</f>
        <v/>
      </c>
      <c r="H83" s="19" t="str">
        <f aca="false">IF(OR(D83="",G83=""),"",IF(LEFT(D83,3)="SIL",IF(G83&lt;1,1,IF(G83&lt;10,3,2)),IF(LEFT(D83,3)="ASB",IF(G83&lt;10,3,2),IF(LEFT(D83,3)="CAR",IF(G83&lt;15,4,3),"Criterio médico"))))</f>
        <v/>
      </c>
      <c r="I83" s="19" t="str">
        <f aca="false">IF(OR(D83="",G83=""),"",IF(LEFT(D83,3)="CAR",IF(G83&lt;3,1,2),H83))</f>
        <v/>
      </c>
      <c r="J83" s="32" t="str">
        <f aca="false">IF(OR(E83="",NOT(ISNUMBER(H83))),"",IF(F83="",E83,F83)+H83*365.25)</f>
        <v/>
      </c>
      <c r="K83" s="32" t="str">
        <f aca="false">IF(OR(E83="",NOT(ISNUMBER(I83))),"",IF(F83="",E83,F83)+I83*365.25)</f>
        <v/>
      </c>
      <c r="L83" s="25" t="str">
        <f aca="true">IF(OR(J83="",K83=""),"",IF(F83="","Falta examen de ingreso",IF(MIN(J83,K83)&lt;TODAY(),"Vencido",IF(MIN(J83,K83)-TODAY()&lt;=60,"Próximo (≤ 60 días)","Al día"))))</f>
        <v/>
      </c>
      <c r="M83" s="27" t="str">
        <f aca="false">IF(D83="","",IF(LEFT(D83,3)="PNOS","Según criterio médico","Historia médica y ocupacional, examen físico respiratorio, cuestionario de síntomas, Rx tórax OIT (lector certificado), espirometría ATS/ERS"&amp;IF(LEFT(D83,3)="SIL",", prueba de tuberculina","")&amp;", consejería antitabaco"))</f>
        <v/>
      </c>
      <c r="N83" s="19" t="str">
        <f aca="false">IF(D83="","",IF(OR(LEFT(D83,3)="SIL",LEFT(D83,3)="ASB"),"Sí – periodicidad por criterio médico","No requerido"))</f>
        <v/>
      </c>
      <c r="O83" s="18"/>
    </row>
    <row r="84" customFormat="false" ht="15" hidden="false" customHeight="false" outlineLevel="0" collapsed="false">
      <c r="A84" s="18"/>
      <c r="B84" s="18"/>
      <c r="C84" s="18"/>
      <c r="D84" s="19" t="str">
        <f aca="false">IF(C84="","",IFERROR(INDEX(GES!$E$6:$E$25,MATCH(C84,GES!$A$6:$A$25,0)),"GES?"))</f>
        <v/>
      </c>
      <c r="E84" s="22"/>
      <c r="F84" s="22"/>
      <c r="G84" s="28" t="str">
        <f aca="true">IF(E84="","",(TODAY()-E84)/365.25)</f>
        <v/>
      </c>
      <c r="H84" s="19" t="str">
        <f aca="false">IF(OR(D84="",G84=""),"",IF(LEFT(D84,3)="SIL",IF(G84&lt;1,1,IF(G84&lt;10,3,2)),IF(LEFT(D84,3)="ASB",IF(G84&lt;10,3,2),IF(LEFT(D84,3)="CAR",IF(G84&lt;15,4,3),"Criterio médico"))))</f>
        <v/>
      </c>
      <c r="I84" s="19" t="str">
        <f aca="false">IF(OR(D84="",G84=""),"",IF(LEFT(D84,3)="CAR",IF(G84&lt;3,1,2),H84))</f>
        <v/>
      </c>
      <c r="J84" s="32" t="str">
        <f aca="false">IF(OR(E84="",NOT(ISNUMBER(H84))),"",IF(F84="",E84,F84)+H84*365.25)</f>
        <v/>
      </c>
      <c r="K84" s="32" t="str">
        <f aca="false">IF(OR(E84="",NOT(ISNUMBER(I84))),"",IF(F84="",E84,F84)+I84*365.25)</f>
        <v/>
      </c>
      <c r="L84" s="25" t="str">
        <f aca="true">IF(OR(J84="",K84=""),"",IF(F84="","Falta examen de ingreso",IF(MIN(J84,K84)&lt;TODAY(),"Vencido",IF(MIN(J84,K84)-TODAY()&lt;=60,"Próximo (≤ 60 días)","Al día"))))</f>
        <v/>
      </c>
      <c r="M84" s="27" t="str">
        <f aca="false">IF(D84="","",IF(LEFT(D84,3)="PNOS","Según criterio médico","Historia médica y ocupacional, examen físico respiratorio, cuestionario de síntomas, Rx tórax OIT (lector certificado), espirometría ATS/ERS"&amp;IF(LEFT(D84,3)="SIL",", prueba de tuberculina","")&amp;", consejería antitabaco"))</f>
        <v/>
      </c>
      <c r="N84" s="19" t="str">
        <f aca="false">IF(D84="","",IF(OR(LEFT(D84,3)="SIL",LEFT(D84,3)="ASB"),"Sí – periodicidad por criterio médico","No requerido"))</f>
        <v/>
      </c>
      <c r="O84" s="18"/>
    </row>
    <row r="85" customFormat="false" ht="15" hidden="false" customHeight="false" outlineLevel="0" collapsed="false">
      <c r="A85" s="18"/>
      <c r="B85" s="18"/>
      <c r="C85" s="18"/>
      <c r="D85" s="19" t="str">
        <f aca="false">IF(C85="","",IFERROR(INDEX(GES!$E$6:$E$25,MATCH(C85,GES!$A$6:$A$25,0)),"GES?"))</f>
        <v/>
      </c>
      <c r="E85" s="22"/>
      <c r="F85" s="22"/>
      <c r="G85" s="28" t="str">
        <f aca="true">IF(E85="","",(TODAY()-E85)/365.25)</f>
        <v/>
      </c>
      <c r="H85" s="19" t="str">
        <f aca="false">IF(OR(D85="",G85=""),"",IF(LEFT(D85,3)="SIL",IF(G85&lt;1,1,IF(G85&lt;10,3,2)),IF(LEFT(D85,3)="ASB",IF(G85&lt;10,3,2),IF(LEFT(D85,3)="CAR",IF(G85&lt;15,4,3),"Criterio médico"))))</f>
        <v/>
      </c>
      <c r="I85" s="19" t="str">
        <f aca="false">IF(OR(D85="",G85=""),"",IF(LEFT(D85,3)="CAR",IF(G85&lt;3,1,2),H85))</f>
        <v/>
      </c>
      <c r="J85" s="32" t="str">
        <f aca="false">IF(OR(E85="",NOT(ISNUMBER(H85))),"",IF(F85="",E85,F85)+H85*365.25)</f>
        <v/>
      </c>
      <c r="K85" s="32" t="str">
        <f aca="false">IF(OR(E85="",NOT(ISNUMBER(I85))),"",IF(F85="",E85,F85)+I85*365.25)</f>
        <v/>
      </c>
      <c r="L85" s="25" t="str">
        <f aca="true">IF(OR(J85="",K85=""),"",IF(F85="","Falta examen de ingreso",IF(MIN(J85,K85)&lt;TODAY(),"Vencido",IF(MIN(J85,K85)-TODAY()&lt;=60,"Próximo (≤ 60 días)","Al día"))))</f>
        <v/>
      </c>
      <c r="M85" s="27" t="str">
        <f aca="false">IF(D85="","",IF(LEFT(D85,3)="PNOS","Según criterio médico","Historia médica y ocupacional, examen físico respiratorio, cuestionario de síntomas, Rx tórax OIT (lector certificado), espirometría ATS/ERS"&amp;IF(LEFT(D85,3)="SIL",", prueba de tuberculina","")&amp;", consejería antitabaco"))</f>
        <v/>
      </c>
      <c r="N85" s="19" t="str">
        <f aca="false">IF(D85="","",IF(OR(LEFT(D85,3)="SIL",LEFT(D85,3)="ASB"),"Sí – periodicidad por criterio médico","No requerido"))</f>
        <v/>
      </c>
      <c r="O85" s="18"/>
    </row>
    <row r="86" customFormat="false" ht="15" hidden="false" customHeight="false" outlineLevel="0" collapsed="false">
      <c r="A86" s="18"/>
      <c r="B86" s="18"/>
      <c r="C86" s="18"/>
      <c r="D86" s="19" t="str">
        <f aca="false">IF(C86="","",IFERROR(INDEX(GES!$E$6:$E$25,MATCH(C86,GES!$A$6:$A$25,0)),"GES?"))</f>
        <v/>
      </c>
      <c r="E86" s="22"/>
      <c r="F86" s="22"/>
      <c r="G86" s="28" t="str">
        <f aca="true">IF(E86="","",(TODAY()-E86)/365.25)</f>
        <v/>
      </c>
      <c r="H86" s="19" t="str">
        <f aca="false">IF(OR(D86="",G86=""),"",IF(LEFT(D86,3)="SIL",IF(G86&lt;1,1,IF(G86&lt;10,3,2)),IF(LEFT(D86,3)="ASB",IF(G86&lt;10,3,2),IF(LEFT(D86,3)="CAR",IF(G86&lt;15,4,3),"Criterio médico"))))</f>
        <v/>
      </c>
      <c r="I86" s="19" t="str">
        <f aca="false">IF(OR(D86="",G86=""),"",IF(LEFT(D86,3)="CAR",IF(G86&lt;3,1,2),H86))</f>
        <v/>
      </c>
      <c r="J86" s="32" t="str">
        <f aca="false">IF(OR(E86="",NOT(ISNUMBER(H86))),"",IF(F86="",E86,F86)+H86*365.25)</f>
        <v/>
      </c>
      <c r="K86" s="32" t="str">
        <f aca="false">IF(OR(E86="",NOT(ISNUMBER(I86))),"",IF(F86="",E86,F86)+I86*365.25)</f>
        <v/>
      </c>
      <c r="L86" s="25" t="str">
        <f aca="true">IF(OR(J86="",K86=""),"",IF(F86="","Falta examen de ingreso",IF(MIN(J86,K86)&lt;TODAY(),"Vencido",IF(MIN(J86,K86)-TODAY()&lt;=60,"Próximo (≤ 60 días)","Al día"))))</f>
        <v/>
      </c>
      <c r="M86" s="27" t="str">
        <f aca="false">IF(D86="","",IF(LEFT(D86,3)="PNOS","Según criterio médico","Historia médica y ocupacional, examen físico respiratorio, cuestionario de síntomas, Rx tórax OIT (lector certificado), espirometría ATS/ERS"&amp;IF(LEFT(D86,3)="SIL",", prueba de tuberculina","")&amp;", consejería antitabaco"))</f>
        <v/>
      </c>
      <c r="N86" s="19" t="str">
        <f aca="false">IF(D86="","",IF(OR(LEFT(D86,3)="SIL",LEFT(D86,3)="ASB"),"Sí – periodicidad por criterio médico","No requerido"))</f>
        <v/>
      </c>
      <c r="O86" s="18"/>
    </row>
    <row r="87" customFormat="false" ht="15" hidden="false" customHeight="false" outlineLevel="0" collapsed="false">
      <c r="A87" s="18"/>
      <c r="B87" s="18"/>
      <c r="C87" s="18"/>
      <c r="D87" s="19" t="str">
        <f aca="false">IF(C87="","",IFERROR(INDEX(GES!$E$6:$E$25,MATCH(C87,GES!$A$6:$A$25,0)),"GES?"))</f>
        <v/>
      </c>
      <c r="E87" s="22"/>
      <c r="F87" s="22"/>
      <c r="G87" s="28" t="str">
        <f aca="true">IF(E87="","",(TODAY()-E87)/365.25)</f>
        <v/>
      </c>
      <c r="H87" s="19" t="str">
        <f aca="false">IF(OR(D87="",G87=""),"",IF(LEFT(D87,3)="SIL",IF(G87&lt;1,1,IF(G87&lt;10,3,2)),IF(LEFT(D87,3)="ASB",IF(G87&lt;10,3,2),IF(LEFT(D87,3)="CAR",IF(G87&lt;15,4,3),"Criterio médico"))))</f>
        <v/>
      </c>
      <c r="I87" s="19" t="str">
        <f aca="false">IF(OR(D87="",G87=""),"",IF(LEFT(D87,3)="CAR",IF(G87&lt;3,1,2),H87))</f>
        <v/>
      </c>
      <c r="J87" s="32" t="str">
        <f aca="false">IF(OR(E87="",NOT(ISNUMBER(H87))),"",IF(F87="",E87,F87)+H87*365.25)</f>
        <v/>
      </c>
      <c r="K87" s="32" t="str">
        <f aca="false">IF(OR(E87="",NOT(ISNUMBER(I87))),"",IF(F87="",E87,F87)+I87*365.25)</f>
        <v/>
      </c>
      <c r="L87" s="25" t="str">
        <f aca="true">IF(OR(J87="",K87=""),"",IF(F87="","Falta examen de ingreso",IF(MIN(J87,K87)&lt;TODAY(),"Vencido",IF(MIN(J87,K87)-TODAY()&lt;=60,"Próximo (≤ 60 días)","Al día"))))</f>
        <v/>
      </c>
      <c r="M87" s="27" t="str">
        <f aca="false">IF(D87="","",IF(LEFT(D87,3)="PNOS","Según criterio médico","Historia médica y ocupacional, examen físico respiratorio, cuestionario de síntomas, Rx tórax OIT (lector certificado), espirometría ATS/ERS"&amp;IF(LEFT(D87,3)="SIL",", prueba de tuberculina","")&amp;", consejería antitabaco"))</f>
        <v/>
      </c>
      <c r="N87" s="19" t="str">
        <f aca="false">IF(D87="","",IF(OR(LEFT(D87,3)="SIL",LEFT(D87,3)="ASB"),"Sí – periodicidad por criterio médico","No requerido"))</f>
        <v/>
      </c>
      <c r="O87" s="18"/>
    </row>
    <row r="88" customFormat="false" ht="15" hidden="false" customHeight="false" outlineLevel="0" collapsed="false">
      <c r="A88" s="18"/>
      <c r="B88" s="18"/>
      <c r="C88" s="18"/>
      <c r="D88" s="19" t="str">
        <f aca="false">IF(C88="","",IFERROR(INDEX(GES!$E$6:$E$25,MATCH(C88,GES!$A$6:$A$25,0)),"GES?"))</f>
        <v/>
      </c>
      <c r="E88" s="22"/>
      <c r="F88" s="22"/>
      <c r="G88" s="28" t="str">
        <f aca="true">IF(E88="","",(TODAY()-E88)/365.25)</f>
        <v/>
      </c>
      <c r="H88" s="19" t="str">
        <f aca="false">IF(OR(D88="",G88=""),"",IF(LEFT(D88,3)="SIL",IF(G88&lt;1,1,IF(G88&lt;10,3,2)),IF(LEFT(D88,3)="ASB",IF(G88&lt;10,3,2),IF(LEFT(D88,3)="CAR",IF(G88&lt;15,4,3),"Criterio médico"))))</f>
        <v/>
      </c>
      <c r="I88" s="19" t="str">
        <f aca="false">IF(OR(D88="",G88=""),"",IF(LEFT(D88,3)="CAR",IF(G88&lt;3,1,2),H88))</f>
        <v/>
      </c>
      <c r="J88" s="32" t="str">
        <f aca="false">IF(OR(E88="",NOT(ISNUMBER(H88))),"",IF(F88="",E88,F88)+H88*365.25)</f>
        <v/>
      </c>
      <c r="K88" s="32" t="str">
        <f aca="false">IF(OR(E88="",NOT(ISNUMBER(I88))),"",IF(F88="",E88,F88)+I88*365.25)</f>
        <v/>
      </c>
      <c r="L88" s="25" t="str">
        <f aca="true">IF(OR(J88="",K88=""),"",IF(F88="","Falta examen de ingreso",IF(MIN(J88,K88)&lt;TODAY(),"Vencido",IF(MIN(J88,K88)-TODAY()&lt;=60,"Próximo (≤ 60 días)","Al día"))))</f>
        <v/>
      </c>
      <c r="M88" s="27" t="str">
        <f aca="false">IF(D88="","",IF(LEFT(D88,3)="PNOS","Según criterio médico","Historia médica y ocupacional, examen físico respiratorio, cuestionario de síntomas, Rx tórax OIT (lector certificado), espirometría ATS/ERS"&amp;IF(LEFT(D88,3)="SIL",", prueba de tuberculina","")&amp;", consejería antitabaco"))</f>
        <v/>
      </c>
      <c r="N88" s="19" t="str">
        <f aca="false">IF(D88="","",IF(OR(LEFT(D88,3)="SIL",LEFT(D88,3)="ASB"),"Sí – periodicidad por criterio médico","No requerido"))</f>
        <v/>
      </c>
      <c r="O88" s="18"/>
    </row>
    <row r="89" customFormat="false" ht="15" hidden="false" customHeight="false" outlineLevel="0" collapsed="false">
      <c r="A89" s="18"/>
      <c r="B89" s="18"/>
      <c r="C89" s="18"/>
      <c r="D89" s="19" t="str">
        <f aca="false">IF(C89="","",IFERROR(INDEX(GES!$E$6:$E$25,MATCH(C89,GES!$A$6:$A$25,0)),"GES?"))</f>
        <v/>
      </c>
      <c r="E89" s="22"/>
      <c r="F89" s="22"/>
      <c r="G89" s="28" t="str">
        <f aca="true">IF(E89="","",(TODAY()-E89)/365.25)</f>
        <v/>
      </c>
      <c r="H89" s="19" t="str">
        <f aca="false">IF(OR(D89="",G89=""),"",IF(LEFT(D89,3)="SIL",IF(G89&lt;1,1,IF(G89&lt;10,3,2)),IF(LEFT(D89,3)="ASB",IF(G89&lt;10,3,2),IF(LEFT(D89,3)="CAR",IF(G89&lt;15,4,3),"Criterio médico"))))</f>
        <v/>
      </c>
      <c r="I89" s="19" t="str">
        <f aca="false">IF(OR(D89="",G89=""),"",IF(LEFT(D89,3)="CAR",IF(G89&lt;3,1,2),H89))</f>
        <v/>
      </c>
      <c r="J89" s="32" t="str">
        <f aca="false">IF(OR(E89="",NOT(ISNUMBER(H89))),"",IF(F89="",E89,F89)+H89*365.25)</f>
        <v/>
      </c>
      <c r="K89" s="32" t="str">
        <f aca="false">IF(OR(E89="",NOT(ISNUMBER(I89))),"",IF(F89="",E89,F89)+I89*365.25)</f>
        <v/>
      </c>
      <c r="L89" s="25" t="str">
        <f aca="true">IF(OR(J89="",K89=""),"",IF(F89="","Falta examen de ingreso",IF(MIN(J89,K89)&lt;TODAY(),"Vencido",IF(MIN(J89,K89)-TODAY()&lt;=60,"Próximo (≤ 60 días)","Al día"))))</f>
        <v/>
      </c>
      <c r="M89" s="27" t="str">
        <f aca="false">IF(D89="","",IF(LEFT(D89,3)="PNOS","Según criterio médico","Historia médica y ocupacional, examen físico respiratorio, cuestionario de síntomas, Rx tórax OIT (lector certificado), espirometría ATS/ERS"&amp;IF(LEFT(D89,3)="SIL",", prueba de tuberculina","")&amp;", consejería antitabaco"))</f>
        <v/>
      </c>
      <c r="N89" s="19" t="str">
        <f aca="false">IF(D89="","",IF(OR(LEFT(D89,3)="SIL",LEFT(D89,3)="ASB"),"Sí – periodicidad por criterio médico","No requerido"))</f>
        <v/>
      </c>
      <c r="O89" s="18"/>
    </row>
    <row r="90" customFormat="false" ht="15" hidden="false" customHeight="false" outlineLevel="0" collapsed="false">
      <c r="A90" s="18"/>
      <c r="B90" s="18"/>
      <c r="C90" s="18"/>
      <c r="D90" s="19" t="str">
        <f aca="false">IF(C90="","",IFERROR(INDEX(GES!$E$6:$E$25,MATCH(C90,GES!$A$6:$A$25,0)),"GES?"))</f>
        <v/>
      </c>
      <c r="E90" s="22"/>
      <c r="F90" s="22"/>
      <c r="G90" s="28" t="str">
        <f aca="true">IF(E90="","",(TODAY()-E90)/365.25)</f>
        <v/>
      </c>
      <c r="H90" s="19" t="str">
        <f aca="false">IF(OR(D90="",G90=""),"",IF(LEFT(D90,3)="SIL",IF(G90&lt;1,1,IF(G90&lt;10,3,2)),IF(LEFT(D90,3)="ASB",IF(G90&lt;10,3,2),IF(LEFT(D90,3)="CAR",IF(G90&lt;15,4,3),"Criterio médico"))))</f>
        <v/>
      </c>
      <c r="I90" s="19" t="str">
        <f aca="false">IF(OR(D90="",G90=""),"",IF(LEFT(D90,3)="CAR",IF(G90&lt;3,1,2),H90))</f>
        <v/>
      </c>
      <c r="J90" s="32" t="str">
        <f aca="false">IF(OR(E90="",NOT(ISNUMBER(H90))),"",IF(F90="",E90,F90)+H90*365.25)</f>
        <v/>
      </c>
      <c r="K90" s="32" t="str">
        <f aca="false">IF(OR(E90="",NOT(ISNUMBER(I90))),"",IF(F90="",E90,F90)+I90*365.25)</f>
        <v/>
      </c>
      <c r="L90" s="25" t="str">
        <f aca="true">IF(OR(J90="",K90=""),"",IF(F90="","Falta examen de ingreso",IF(MIN(J90,K90)&lt;TODAY(),"Vencido",IF(MIN(J90,K90)-TODAY()&lt;=60,"Próximo (≤ 60 días)","Al día"))))</f>
        <v/>
      </c>
      <c r="M90" s="27" t="str">
        <f aca="false">IF(D90="","",IF(LEFT(D90,3)="PNOS","Según criterio médico","Historia médica y ocupacional, examen físico respiratorio, cuestionario de síntomas, Rx tórax OIT (lector certificado), espirometría ATS/ERS"&amp;IF(LEFT(D90,3)="SIL",", prueba de tuberculina","")&amp;", consejería antitabaco"))</f>
        <v/>
      </c>
      <c r="N90" s="19" t="str">
        <f aca="false">IF(D90="","",IF(OR(LEFT(D90,3)="SIL",LEFT(D90,3)="ASB"),"Sí – periodicidad por criterio médico","No requerido"))</f>
        <v/>
      </c>
      <c r="O90" s="18"/>
    </row>
    <row r="91" customFormat="false" ht="15" hidden="false" customHeight="false" outlineLevel="0" collapsed="false">
      <c r="A91" s="18"/>
      <c r="B91" s="18"/>
      <c r="C91" s="18"/>
      <c r="D91" s="19" t="str">
        <f aca="false">IF(C91="","",IFERROR(INDEX(GES!$E$6:$E$25,MATCH(C91,GES!$A$6:$A$25,0)),"GES?"))</f>
        <v/>
      </c>
      <c r="E91" s="22"/>
      <c r="F91" s="22"/>
      <c r="G91" s="28" t="str">
        <f aca="true">IF(E91="","",(TODAY()-E91)/365.25)</f>
        <v/>
      </c>
      <c r="H91" s="19" t="str">
        <f aca="false">IF(OR(D91="",G91=""),"",IF(LEFT(D91,3)="SIL",IF(G91&lt;1,1,IF(G91&lt;10,3,2)),IF(LEFT(D91,3)="ASB",IF(G91&lt;10,3,2),IF(LEFT(D91,3)="CAR",IF(G91&lt;15,4,3),"Criterio médico"))))</f>
        <v/>
      </c>
      <c r="I91" s="19" t="str">
        <f aca="false">IF(OR(D91="",G91=""),"",IF(LEFT(D91,3)="CAR",IF(G91&lt;3,1,2),H91))</f>
        <v/>
      </c>
      <c r="J91" s="32" t="str">
        <f aca="false">IF(OR(E91="",NOT(ISNUMBER(H91))),"",IF(F91="",E91,F91)+H91*365.25)</f>
        <v/>
      </c>
      <c r="K91" s="32" t="str">
        <f aca="false">IF(OR(E91="",NOT(ISNUMBER(I91))),"",IF(F91="",E91,F91)+I91*365.25)</f>
        <v/>
      </c>
      <c r="L91" s="25" t="str">
        <f aca="true">IF(OR(J91="",K91=""),"",IF(F91="","Falta examen de ingreso",IF(MIN(J91,K91)&lt;TODAY(),"Vencido",IF(MIN(J91,K91)-TODAY()&lt;=60,"Próximo (≤ 60 días)","Al día"))))</f>
        <v/>
      </c>
      <c r="M91" s="27" t="str">
        <f aca="false">IF(D91="","",IF(LEFT(D91,3)="PNOS","Según criterio médico","Historia médica y ocupacional, examen físico respiratorio, cuestionario de síntomas, Rx tórax OIT (lector certificado), espirometría ATS/ERS"&amp;IF(LEFT(D91,3)="SIL",", prueba de tuberculina","")&amp;", consejería antitabaco"))</f>
        <v/>
      </c>
      <c r="N91" s="19" t="str">
        <f aca="false">IF(D91="","",IF(OR(LEFT(D91,3)="SIL",LEFT(D91,3)="ASB"),"Sí – periodicidad por criterio médico","No requerido"))</f>
        <v/>
      </c>
      <c r="O91" s="18"/>
    </row>
    <row r="92" customFormat="false" ht="15" hidden="false" customHeight="false" outlineLevel="0" collapsed="false">
      <c r="A92" s="18"/>
      <c r="B92" s="18"/>
      <c r="C92" s="18"/>
      <c r="D92" s="19" t="str">
        <f aca="false">IF(C92="","",IFERROR(INDEX(GES!$E$6:$E$25,MATCH(C92,GES!$A$6:$A$25,0)),"GES?"))</f>
        <v/>
      </c>
      <c r="E92" s="22"/>
      <c r="F92" s="22"/>
      <c r="G92" s="28" t="str">
        <f aca="true">IF(E92="","",(TODAY()-E92)/365.25)</f>
        <v/>
      </c>
      <c r="H92" s="19" t="str">
        <f aca="false">IF(OR(D92="",G92=""),"",IF(LEFT(D92,3)="SIL",IF(G92&lt;1,1,IF(G92&lt;10,3,2)),IF(LEFT(D92,3)="ASB",IF(G92&lt;10,3,2),IF(LEFT(D92,3)="CAR",IF(G92&lt;15,4,3),"Criterio médico"))))</f>
        <v/>
      </c>
      <c r="I92" s="19" t="str">
        <f aca="false">IF(OR(D92="",G92=""),"",IF(LEFT(D92,3)="CAR",IF(G92&lt;3,1,2),H92))</f>
        <v/>
      </c>
      <c r="J92" s="32" t="str">
        <f aca="false">IF(OR(E92="",NOT(ISNUMBER(H92))),"",IF(F92="",E92,F92)+H92*365.25)</f>
        <v/>
      </c>
      <c r="K92" s="32" t="str">
        <f aca="false">IF(OR(E92="",NOT(ISNUMBER(I92))),"",IF(F92="",E92,F92)+I92*365.25)</f>
        <v/>
      </c>
      <c r="L92" s="25" t="str">
        <f aca="true">IF(OR(J92="",K92=""),"",IF(F92="","Falta examen de ingreso",IF(MIN(J92,K92)&lt;TODAY(),"Vencido",IF(MIN(J92,K92)-TODAY()&lt;=60,"Próximo (≤ 60 días)","Al día"))))</f>
        <v/>
      </c>
      <c r="M92" s="27" t="str">
        <f aca="false">IF(D92="","",IF(LEFT(D92,3)="PNOS","Según criterio médico","Historia médica y ocupacional, examen físico respiratorio, cuestionario de síntomas, Rx tórax OIT (lector certificado), espirometría ATS/ERS"&amp;IF(LEFT(D92,3)="SIL",", prueba de tuberculina","")&amp;", consejería antitabaco"))</f>
        <v/>
      </c>
      <c r="N92" s="19" t="str">
        <f aca="false">IF(D92="","",IF(OR(LEFT(D92,3)="SIL",LEFT(D92,3)="ASB"),"Sí – periodicidad por criterio médico","No requerido"))</f>
        <v/>
      </c>
      <c r="O92" s="18"/>
    </row>
    <row r="93" customFormat="false" ht="15" hidden="false" customHeight="false" outlineLevel="0" collapsed="false">
      <c r="A93" s="18"/>
      <c r="B93" s="18"/>
      <c r="C93" s="18"/>
      <c r="D93" s="19" t="str">
        <f aca="false">IF(C93="","",IFERROR(INDEX(GES!$E$6:$E$25,MATCH(C93,GES!$A$6:$A$25,0)),"GES?"))</f>
        <v/>
      </c>
      <c r="E93" s="22"/>
      <c r="F93" s="22"/>
      <c r="G93" s="28" t="str">
        <f aca="true">IF(E93="","",(TODAY()-E93)/365.25)</f>
        <v/>
      </c>
      <c r="H93" s="19" t="str">
        <f aca="false">IF(OR(D93="",G93=""),"",IF(LEFT(D93,3)="SIL",IF(G93&lt;1,1,IF(G93&lt;10,3,2)),IF(LEFT(D93,3)="ASB",IF(G93&lt;10,3,2),IF(LEFT(D93,3)="CAR",IF(G93&lt;15,4,3),"Criterio médico"))))</f>
        <v/>
      </c>
      <c r="I93" s="19" t="str">
        <f aca="false">IF(OR(D93="",G93=""),"",IF(LEFT(D93,3)="CAR",IF(G93&lt;3,1,2),H93))</f>
        <v/>
      </c>
      <c r="J93" s="32" t="str">
        <f aca="false">IF(OR(E93="",NOT(ISNUMBER(H93))),"",IF(F93="",E93,F93)+H93*365.25)</f>
        <v/>
      </c>
      <c r="K93" s="32" t="str">
        <f aca="false">IF(OR(E93="",NOT(ISNUMBER(I93))),"",IF(F93="",E93,F93)+I93*365.25)</f>
        <v/>
      </c>
      <c r="L93" s="25" t="str">
        <f aca="true">IF(OR(J93="",K93=""),"",IF(F93="","Falta examen de ingreso",IF(MIN(J93,K93)&lt;TODAY(),"Vencido",IF(MIN(J93,K93)-TODAY()&lt;=60,"Próximo (≤ 60 días)","Al día"))))</f>
        <v/>
      </c>
      <c r="M93" s="27" t="str">
        <f aca="false">IF(D93="","",IF(LEFT(D93,3)="PNOS","Según criterio médico","Historia médica y ocupacional, examen físico respiratorio, cuestionario de síntomas, Rx tórax OIT (lector certificado), espirometría ATS/ERS"&amp;IF(LEFT(D93,3)="SIL",", prueba de tuberculina","")&amp;", consejería antitabaco"))</f>
        <v/>
      </c>
      <c r="N93" s="19" t="str">
        <f aca="false">IF(D93="","",IF(OR(LEFT(D93,3)="SIL",LEFT(D93,3)="ASB"),"Sí – periodicidad por criterio médico","No requerido"))</f>
        <v/>
      </c>
      <c r="O93" s="18"/>
    </row>
    <row r="94" customFormat="false" ht="15" hidden="false" customHeight="false" outlineLevel="0" collapsed="false">
      <c r="A94" s="18"/>
      <c r="B94" s="18"/>
      <c r="C94" s="18"/>
      <c r="D94" s="19" t="str">
        <f aca="false">IF(C94="","",IFERROR(INDEX(GES!$E$6:$E$25,MATCH(C94,GES!$A$6:$A$25,0)),"GES?"))</f>
        <v/>
      </c>
      <c r="E94" s="22"/>
      <c r="F94" s="22"/>
      <c r="G94" s="28" t="str">
        <f aca="true">IF(E94="","",(TODAY()-E94)/365.25)</f>
        <v/>
      </c>
      <c r="H94" s="19" t="str">
        <f aca="false">IF(OR(D94="",G94=""),"",IF(LEFT(D94,3)="SIL",IF(G94&lt;1,1,IF(G94&lt;10,3,2)),IF(LEFT(D94,3)="ASB",IF(G94&lt;10,3,2),IF(LEFT(D94,3)="CAR",IF(G94&lt;15,4,3),"Criterio médico"))))</f>
        <v/>
      </c>
      <c r="I94" s="19" t="str">
        <f aca="false">IF(OR(D94="",G94=""),"",IF(LEFT(D94,3)="CAR",IF(G94&lt;3,1,2),H94))</f>
        <v/>
      </c>
      <c r="J94" s="32" t="str">
        <f aca="false">IF(OR(E94="",NOT(ISNUMBER(H94))),"",IF(F94="",E94,F94)+H94*365.25)</f>
        <v/>
      </c>
      <c r="K94" s="32" t="str">
        <f aca="false">IF(OR(E94="",NOT(ISNUMBER(I94))),"",IF(F94="",E94,F94)+I94*365.25)</f>
        <v/>
      </c>
      <c r="L94" s="25" t="str">
        <f aca="true">IF(OR(J94="",K94=""),"",IF(F94="","Falta examen de ingreso",IF(MIN(J94,K94)&lt;TODAY(),"Vencido",IF(MIN(J94,K94)-TODAY()&lt;=60,"Próximo (≤ 60 días)","Al día"))))</f>
        <v/>
      </c>
      <c r="M94" s="27" t="str">
        <f aca="false">IF(D94="","",IF(LEFT(D94,3)="PNOS","Según criterio médico","Historia médica y ocupacional, examen físico respiratorio, cuestionario de síntomas, Rx tórax OIT (lector certificado), espirometría ATS/ERS"&amp;IF(LEFT(D94,3)="SIL",", prueba de tuberculina","")&amp;", consejería antitabaco"))</f>
        <v/>
      </c>
      <c r="N94" s="19" t="str">
        <f aca="false">IF(D94="","",IF(OR(LEFT(D94,3)="SIL",LEFT(D94,3)="ASB"),"Sí – periodicidad por criterio médico","No requerido"))</f>
        <v/>
      </c>
      <c r="O94" s="18"/>
    </row>
    <row r="95" customFormat="false" ht="15" hidden="false" customHeight="false" outlineLevel="0" collapsed="false">
      <c r="A95" s="18"/>
      <c r="B95" s="18"/>
      <c r="C95" s="18"/>
      <c r="D95" s="19" t="str">
        <f aca="false">IF(C95="","",IFERROR(INDEX(GES!$E$6:$E$25,MATCH(C95,GES!$A$6:$A$25,0)),"GES?"))</f>
        <v/>
      </c>
      <c r="E95" s="22"/>
      <c r="F95" s="22"/>
      <c r="G95" s="28" t="str">
        <f aca="true">IF(E95="","",(TODAY()-E95)/365.25)</f>
        <v/>
      </c>
      <c r="H95" s="19" t="str">
        <f aca="false">IF(OR(D95="",G95=""),"",IF(LEFT(D95,3)="SIL",IF(G95&lt;1,1,IF(G95&lt;10,3,2)),IF(LEFT(D95,3)="ASB",IF(G95&lt;10,3,2),IF(LEFT(D95,3)="CAR",IF(G95&lt;15,4,3),"Criterio médico"))))</f>
        <v/>
      </c>
      <c r="I95" s="19" t="str">
        <f aca="false">IF(OR(D95="",G95=""),"",IF(LEFT(D95,3)="CAR",IF(G95&lt;3,1,2),H95))</f>
        <v/>
      </c>
      <c r="J95" s="32" t="str">
        <f aca="false">IF(OR(E95="",NOT(ISNUMBER(H95))),"",IF(F95="",E95,F95)+H95*365.25)</f>
        <v/>
      </c>
      <c r="K95" s="32" t="str">
        <f aca="false">IF(OR(E95="",NOT(ISNUMBER(I95))),"",IF(F95="",E95,F95)+I95*365.25)</f>
        <v/>
      </c>
      <c r="L95" s="25" t="str">
        <f aca="true">IF(OR(J95="",K95=""),"",IF(F95="","Falta examen de ingreso",IF(MIN(J95,K95)&lt;TODAY(),"Vencido",IF(MIN(J95,K95)-TODAY()&lt;=60,"Próximo (≤ 60 días)","Al día"))))</f>
        <v/>
      </c>
      <c r="M95" s="27" t="str">
        <f aca="false">IF(D95="","",IF(LEFT(D95,3)="PNOS","Según criterio médico","Historia médica y ocupacional, examen físico respiratorio, cuestionario de síntomas, Rx tórax OIT (lector certificado), espirometría ATS/ERS"&amp;IF(LEFT(D95,3)="SIL",", prueba de tuberculina","")&amp;", consejería antitabaco"))</f>
        <v/>
      </c>
      <c r="N95" s="19" t="str">
        <f aca="false">IF(D95="","",IF(OR(LEFT(D95,3)="SIL",LEFT(D95,3)="ASB"),"Sí – periodicidad por criterio médico","No requerido"))</f>
        <v/>
      </c>
      <c r="O95" s="18"/>
    </row>
    <row r="96" customFormat="false" ht="15" hidden="false" customHeight="false" outlineLevel="0" collapsed="false">
      <c r="A96" s="18"/>
      <c r="B96" s="18"/>
      <c r="C96" s="18"/>
      <c r="D96" s="19" t="str">
        <f aca="false">IF(C96="","",IFERROR(INDEX(GES!$E$6:$E$25,MATCH(C96,GES!$A$6:$A$25,0)),"GES?"))</f>
        <v/>
      </c>
      <c r="E96" s="22"/>
      <c r="F96" s="22"/>
      <c r="G96" s="28" t="str">
        <f aca="true">IF(E96="","",(TODAY()-E96)/365.25)</f>
        <v/>
      </c>
      <c r="H96" s="19" t="str">
        <f aca="false">IF(OR(D96="",G96=""),"",IF(LEFT(D96,3)="SIL",IF(G96&lt;1,1,IF(G96&lt;10,3,2)),IF(LEFT(D96,3)="ASB",IF(G96&lt;10,3,2),IF(LEFT(D96,3)="CAR",IF(G96&lt;15,4,3),"Criterio médico"))))</f>
        <v/>
      </c>
      <c r="I96" s="19" t="str">
        <f aca="false">IF(OR(D96="",G96=""),"",IF(LEFT(D96,3)="CAR",IF(G96&lt;3,1,2),H96))</f>
        <v/>
      </c>
      <c r="J96" s="32" t="str">
        <f aca="false">IF(OR(E96="",NOT(ISNUMBER(H96))),"",IF(F96="",E96,F96)+H96*365.25)</f>
        <v/>
      </c>
      <c r="K96" s="32" t="str">
        <f aca="false">IF(OR(E96="",NOT(ISNUMBER(I96))),"",IF(F96="",E96,F96)+I96*365.25)</f>
        <v/>
      </c>
      <c r="L96" s="25" t="str">
        <f aca="true">IF(OR(J96="",K96=""),"",IF(F96="","Falta examen de ingreso",IF(MIN(J96,K96)&lt;TODAY(),"Vencido",IF(MIN(J96,K96)-TODAY()&lt;=60,"Próximo (≤ 60 días)","Al día"))))</f>
        <v/>
      </c>
      <c r="M96" s="27" t="str">
        <f aca="false">IF(D96="","",IF(LEFT(D96,3)="PNOS","Según criterio médico","Historia médica y ocupacional, examen físico respiratorio, cuestionario de síntomas, Rx tórax OIT (lector certificado), espirometría ATS/ERS"&amp;IF(LEFT(D96,3)="SIL",", prueba de tuberculina","")&amp;", consejería antitabaco"))</f>
        <v/>
      </c>
      <c r="N96" s="19" t="str">
        <f aca="false">IF(D96="","",IF(OR(LEFT(D96,3)="SIL",LEFT(D96,3)="ASB"),"Sí – periodicidad por criterio médico","No requerido"))</f>
        <v/>
      </c>
      <c r="O96" s="18"/>
    </row>
    <row r="97" customFormat="false" ht="15" hidden="false" customHeight="false" outlineLevel="0" collapsed="false">
      <c r="A97" s="18"/>
      <c r="B97" s="18"/>
      <c r="C97" s="18"/>
      <c r="D97" s="19" t="str">
        <f aca="false">IF(C97="","",IFERROR(INDEX(GES!$E$6:$E$25,MATCH(C97,GES!$A$6:$A$25,0)),"GES?"))</f>
        <v/>
      </c>
      <c r="E97" s="22"/>
      <c r="F97" s="22"/>
      <c r="G97" s="28" t="str">
        <f aca="true">IF(E97="","",(TODAY()-E97)/365.25)</f>
        <v/>
      </c>
      <c r="H97" s="19" t="str">
        <f aca="false">IF(OR(D97="",G97=""),"",IF(LEFT(D97,3)="SIL",IF(G97&lt;1,1,IF(G97&lt;10,3,2)),IF(LEFT(D97,3)="ASB",IF(G97&lt;10,3,2),IF(LEFT(D97,3)="CAR",IF(G97&lt;15,4,3),"Criterio médico"))))</f>
        <v/>
      </c>
      <c r="I97" s="19" t="str">
        <f aca="false">IF(OR(D97="",G97=""),"",IF(LEFT(D97,3)="CAR",IF(G97&lt;3,1,2),H97))</f>
        <v/>
      </c>
      <c r="J97" s="32" t="str">
        <f aca="false">IF(OR(E97="",NOT(ISNUMBER(H97))),"",IF(F97="",E97,F97)+H97*365.25)</f>
        <v/>
      </c>
      <c r="K97" s="32" t="str">
        <f aca="false">IF(OR(E97="",NOT(ISNUMBER(I97))),"",IF(F97="",E97,F97)+I97*365.25)</f>
        <v/>
      </c>
      <c r="L97" s="25" t="str">
        <f aca="true">IF(OR(J97="",K97=""),"",IF(F97="","Falta examen de ingreso",IF(MIN(J97,K97)&lt;TODAY(),"Vencido",IF(MIN(J97,K97)-TODAY()&lt;=60,"Próximo (≤ 60 días)","Al día"))))</f>
        <v/>
      </c>
      <c r="M97" s="27" t="str">
        <f aca="false">IF(D97="","",IF(LEFT(D97,3)="PNOS","Según criterio médico","Historia médica y ocupacional, examen físico respiratorio, cuestionario de síntomas, Rx tórax OIT (lector certificado), espirometría ATS/ERS"&amp;IF(LEFT(D97,3)="SIL",", prueba de tuberculina","")&amp;", consejería antitabaco"))</f>
        <v/>
      </c>
      <c r="N97" s="19" t="str">
        <f aca="false">IF(D97="","",IF(OR(LEFT(D97,3)="SIL",LEFT(D97,3)="ASB"),"Sí – periodicidad por criterio médico","No requerido"))</f>
        <v/>
      </c>
      <c r="O97" s="18"/>
    </row>
    <row r="98" customFormat="false" ht="15" hidden="false" customHeight="false" outlineLevel="0" collapsed="false">
      <c r="A98" s="18"/>
      <c r="B98" s="18"/>
      <c r="C98" s="18"/>
      <c r="D98" s="19" t="str">
        <f aca="false">IF(C98="","",IFERROR(INDEX(GES!$E$6:$E$25,MATCH(C98,GES!$A$6:$A$25,0)),"GES?"))</f>
        <v/>
      </c>
      <c r="E98" s="22"/>
      <c r="F98" s="22"/>
      <c r="G98" s="28" t="str">
        <f aca="true">IF(E98="","",(TODAY()-E98)/365.25)</f>
        <v/>
      </c>
      <c r="H98" s="19" t="str">
        <f aca="false">IF(OR(D98="",G98=""),"",IF(LEFT(D98,3)="SIL",IF(G98&lt;1,1,IF(G98&lt;10,3,2)),IF(LEFT(D98,3)="ASB",IF(G98&lt;10,3,2),IF(LEFT(D98,3)="CAR",IF(G98&lt;15,4,3),"Criterio médico"))))</f>
        <v/>
      </c>
      <c r="I98" s="19" t="str">
        <f aca="false">IF(OR(D98="",G98=""),"",IF(LEFT(D98,3)="CAR",IF(G98&lt;3,1,2),H98))</f>
        <v/>
      </c>
      <c r="J98" s="32" t="str">
        <f aca="false">IF(OR(E98="",NOT(ISNUMBER(H98))),"",IF(F98="",E98,F98)+H98*365.25)</f>
        <v/>
      </c>
      <c r="K98" s="32" t="str">
        <f aca="false">IF(OR(E98="",NOT(ISNUMBER(I98))),"",IF(F98="",E98,F98)+I98*365.25)</f>
        <v/>
      </c>
      <c r="L98" s="25" t="str">
        <f aca="true">IF(OR(J98="",K98=""),"",IF(F98="","Falta examen de ingreso",IF(MIN(J98,K98)&lt;TODAY(),"Vencido",IF(MIN(J98,K98)-TODAY()&lt;=60,"Próximo (≤ 60 días)","Al día"))))</f>
        <v/>
      </c>
      <c r="M98" s="27" t="str">
        <f aca="false">IF(D98="","",IF(LEFT(D98,3)="PNOS","Según criterio médico","Historia médica y ocupacional, examen físico respiratorio, cuestionario de síntomas, Rx tórax OIT (lector certificado), espirometría ATS/ERS"&amp;IF(LEFT(D98,3)="SIL",", prueba de tuberculina","")&amp;", consejería antitabaco"))</f>
        <v/>
      </c>
      <c r="N98" s="19" t="str">
        <f aca="false">IF(D98="","",IF(OR(LEFT(D98,3)="SIL",LEFT(D98,3)="ASB"),"Sí – periodicidad por criterio médico","No requerido"))</f>
        <v/>
      </c>
      <c r="O98" s="18"/>
    </row>
    <row r="99" customFormat="false" ht="15" hidden="false" customHeight="false" outlineLevel="0" collapsed="false">
      <c r="A99" s="18"/>
      <c r="B99" s="18"/>
      <c r="C99" s="18"/>
      <c r="D99" s="19" t="str">
        <f aca="false">IF(C99="","",IFERROR(INDEX(GES!$E$6:$E$25,MATCH(C99,GES!$A$6:$A$25,0)),"GES?"))</f>
        <v/>
      </c>
      <c r="E99" s="22"/>
      <c r="F99" s="22"/>
      <c r="G99" s="28" t="str">
        <f aca="true">IF(E99="","",(TODAY()-E99)/365.25)</f>
        <v/>
      </c>
      <c r="H99" s="19" t="str">
        <f aca="false">IF(OR(D99="",G99=""),"",IF(LEFT(D99,3)="SIL",IF(G99&lt;1,1,IF(G99&lt;10,3,2)),IF(LEFT(D99,3)="ASB",IF(G99&lt;10,3,2),IF(LEFT(D99,3)="CAR",IF(G99&lt;15,4,3),"Criterio médico"))))</f>
        <v/>
      </c>
      <c r="I99" s="19" t="str">
        <f aca="false">IF(OR(D99="",G99=""),"",IF(LEFT(D99,3)="CAR",IF(G99&lt;3,1,2),H99))</f>
        <v/>
      </c>
      <c r="J99" s="32" t="str">
        <f aca="false">IF(OR(E99="",NOT(ISNUMBER(H99))),"",IF(F99="",E99,F99)+H99*365.25)</f>
        <v/>
      </c>
      <c r="K99" s="32" t="str">
        <f aca="false">IF(OR(E99="",NOT(ISNUMBER(I99))),"",IF(F99="",E99,F99)+I99*365.25)</f>
        <v/>
      </c>
      <c r="L99" s="25" t="str">
        <f aca="true">IF(OR(J99="",K99=""),"",IF(F99="","Falta examen de ingreso",IF(MIN(J99,K99)&lt;TODAY(),"Vencido",IF(MIN(J99,K99)-TODAY()&lt;=60,"Próximo (≤ 60 días)","Al día"))))</f>
        <v/>
      </c>
      <c r="M99" s="27" t="str">
        <f aca="false">IF(D99="","",IF(LEFT(D99,3)="PNOS","Según criterio médico","Historia médica y ocupacional, examen físico respiratorio, cuestionario de síntomas, Rx tórax OIT (lector certificado), espirometría ATS/ERS"&amp;IF(LEFT(D99,3)="SIL",", prueba de tuberculina","")&amp;", consejería antitabaco"))</f>
        <v/>
      </c>
      <c r="N99" s="19" t="str">
        <f aca="false">IF(D99="","",IF(OR(LEFT(D99,3)="SIL",LEFT(D99,3)="ASB"),"Sí – periodicidad por criterio médico","No requerido"))</f>
        <v/>
      </c>
      <c r="O99" s="18"/>
    </row>
    <row r="100" customFormat="false" ht="15" hidden="false" customHeight="false" outlineLevel="0" collapsed="false">
      <c r="A100" s="18"/>
      <c r="B100" s="18"/>
      <c r="C100" s="18"/>
      <c r="D100" s="19" t="str">
        <f aca="false">IF(C100="","",IFERROR(INDEX(GES!$E$6:$E$25,MATCH(C100,GES!$A$6:$A$25,0)),"GES?"))</f>
        <v/>
      </c>
      <c r="E100" s="22"/>
      <c r="F100" s="22"/>
      <c r="G100" s="28" t="str">
        <f aca="true">IF(E100="","",(TODAY()-E100)/365.25)</f>
        <v/>
      </c>
      <c r="H100" s="19" t="str">
        <f aca="false">IF(OR(D100="",G100=""),"",IF(LEFT(D100,3)="SIL",IF(G100&lt;1,1,IF(G100&lt;10,3,2)),IF(LEFT(D100,3)="ASB",IF(G100&lt;10,3,2),IF(LEFT(D100,3)="CAR",IF(G100&lt;15,4,3),"Criterio médico"))))</f>
        <v/>
      </c>
      <c r="I100" s="19" t="str">
        <f aca="false">IF(OR(D100="",G100=""),"",IF(LEFT(D100,3)="CAR",IF(G100&lt;3,1,2),H100))</f>
        <v/>
      </c>
      <c r="J100" s="32" t="str">
        <f aca="false">IF(OR(E100="",NOT(ISNUMBER(H100))),"",IF(F100="",E100,F100)+H100*365.25)</f>
        <v/>
      </c>
      <c r="K100" s="32" t="str">
        <f aca="false">IF(OR(E100="",NOT(ISNUMBER(I100))),"",IF(F100="",E100,F100)+I100*365.25)</f>
        <v/>
      </c>
      <c r="L100" s="25" t="str">
        <f aca="true">IF(OR(J100="",K100=""),"",IF(F100="","Falta examen de ingreso",IF(MIN(J100,K100)&lt;TODAY(),"Vencido",IF(MIN(J100,K100)-TODAY()&lt;=60,"Próximo (≤ 60 días)","Al día"))))</f>
        <v/>
      </c>
      <c r="M100" s="27" t="str">
        <f aca="false">IF(D100="","",IF(LEFT(D100,3)="PNOS","Según criterio médico","Historia médica y ocupacional, examen físico respiratorio, cuestionario de síntomas, Rx tórax OIT (lector certificado), espirometría ATS/ERS"&amp;IF(LEFT(D100,3)="SIL",", prueba de tuberculina","")&amp;", consejería antitabaco"))</f>
        <v/>
      </c>
      <c r="N100" s="19" t="str">
        <f aca="false">IF(D100="","",IF(OR(LEFT(D100,3)="SIL",LEFT(D100,3)="ASB"),"Sí – periodicidad por criterio médico","No requerido"))</f>
        <v/>
      </c>
      <c r="O100" s="18"/>
    </row>
    <row r="101" customFormat="false" ht="15" hidden="false" customHeight="false" outlineLevel="0" collapsed="false">
      <c r="A101" s="18"/>
      <c r="B101" s="18"/>
      <c r="C101" s="18"/>
      <c r="D101" s="19" t="str">
        <f aca="false">IF(C101="","",IFERROR(INDEX(GES!$E$6:$E$25,MATCH(C101,GES!$A$6:$A$25,0)),"GES?"))</f>
        <v/>
      </c>
      <c r="E101" s="22"/>
      <c r="F101" s="22"/>
      <c r="G101" s="28" t="str">
        <f aca="true">IF(E101="","",(TODAY()-E101)/365.25)</f>
        <v/>
      </c>
      <c r="H101" s="19" t="str">
        <f aca="false">IF(OR(D101="",G101=""),"",IF(LEFT(D101,3)="SIL",IF(G101&lt;1,1,IF(G101&lt;10,3,2)),IF(LEFT(D101,3)="ASB",IF(G101&lt;10,3,2),IF(LEFT(D101,3)="CAR",IF(G101&lt;15,4,3),"Criterio médico"))))</f>
        <v/>
      </c>
      <c r="I101" s="19" t="str">
        <f aca="false">IF(OR(D101="",G101=""),"",IF(LEFT(D101,3)="CAR",IF(G101&lt;3,1,2),H101))</f>
        <v/>
      </c>
      <c r="J101" s="32" t="str">
        <f aca="false">IF(OR(E101="",NOT(ISNUMBER(H101))),"",IF(F101="",E101,F101)+H101*365.25)</f>
        <v/>
      </c>
      <c r="K101" s="32" t="str">
        <f aca="false">IF(OR(E101="",NOT(ISNUMBER(I101))),"",IF(F101="",E101,F101)+I101*365.25)</f>
        <v/>
      </c>
      <c r="L101" s="25" t="str">
        <f aca="true">IF(OR(J101="",K101=""),"",IF(F101="","Falta examen de ingreso",IF(MIN(J101,K101)&lt;TODAY(),"Vencido",IF(MIN(J101,K101)-TODAY()&lt;=60,"Próximo (≤ 60 días)","Al día"))))</f>
        <v/>
      </c>
      <c r="M101" s="27" t="str">
        <f aca="false">IF(D101="","",IF(LEFT(D101,3)="PNOS","Según criterio médico","Historia médica y ocupacional, examen físico respiratorio, cuestionario de síntomas, Rx tórax OIT (lector certificado), espirometría ATS/ERS"&amp;IF(LEFT(D101,3)="SIL",", prueba de tuberculina","")&amp;", consejería antitabaco"))</f>
        <v/>
      </c>
      <c r="N101" s="19" t="str">
        <f aca="false">IF(D101="","",IF(OR(LEFT(D101,3)="SIL",LEFT(D101,3)="ASB"),"Sí – periodicidad por criterio médico","No requerido"))</f>
        <v/>
      </c>
      <c r="O101" s="18"/>
    </row>
    <row r="102" customFormat="false" ht="15" hidden="false" customHeight="false" outlineLevel="0" collapsed="false">
      <c r="A102" s="18"/>
      <c r="B102" s="18"/>
      <c r="C102" s="18"/>
      <c r="D102" s="19" t="str">
        <f aca="false">IF(C102="","",IFERROR(INDEX(GES!$E$6:$E$25,MATCH(C102,GES!$A$6:$A$25,0)),"GES?"))</f>
        <v/>
      </c>
      <c r="E102" s="22"/>
      <c r="F102" s="22"/>
      <c r="G102" s="28" t="str">
        <f aca="true">IF(E102="","",(TODAY()-E102)/365.25)</f>
        <v/>
      </c>
      <c r="H102" s="19" t="str">
        <f aca="false">IF(OR(D102="",G102=""),"",IF(LEFT(D102,3)="SIL",IF(G102&lt;1,1,IF(G102&lt;10,3,2)),IF(LEFT(D102,3)="ASB",IF(G102&lt;10,3,2),IF(LEFT(D102,3)="CAR",IF(G102&lt;15,4,3),"Criterio médico"))))</f>
        <v/>
      </c>
      <c r="I102" s="19" t="str">
        <f aca="false">IF(OR(D102="",G102=""),"",IF(LEFT(D102,3)="CAR",IF(G102&lt;3,1,2),H102))</f>
        <v/>
      </c>
      <c r="J102" s="32" t="str">
        <f aca="false">IF(OR(E102="",NOT(ISNUMBER(H102))),"",IF(F102="",E102,F102)+H102*365.25)</f>
        <v/>
      </c>
      <c r="K102" s="32" t="str">
        <f aca="false">IF(OR(E102="",NOT(ISNUMBER(I102))),"",IF(F102="",E102,F102)+I102*365.25)</f>
        <v/>
      </c>
      <c r="L102" s="25" t="str">
        <f aca="true">IF(OR(J102="",K102=""),"",IF(F102="","Falta examen de ingreso",IF(MIN(J102,K102)&lt;TODAY(),"Vencido",IF(MIN(J102,K102)-TODAY()&lt;=60,"Próximo (≤ 60 días)","Al día"))))</f>
        <v/>
      </c>
      <c r="M102" s="27" t="str">
        <f aca="false">IF(D102="","",IF(LEFT(D102,3)="PNOS","Según criterio médico","Historia médica y ocupacional, examen físico respiratorio, cuestionario de síntomas, Rx tórax OIT (lector certificado), espirometría ATS/ERS"&amp;IF(LEFT(D102,3)="SIL",", prueba de tuberculina","")&amp;", consejería antitabaco"))</f>
        <v/>
      </c>
      <c r="N102" s="19" t="str">
        <f aca="false">IF(D102="","",IF(OR(LEFT(D102,3)="SIL",LEFT(D102,3)="ASB"),"Sí – periodicidad por criterio médico","No requerido"))</f>
        <v/>
      </c>
      <c r="O102" s="18"/>
    </row>
    <row r="103" customFormat="false" ht="15" hidden="false" customHeight="false" outlineLevel="0" collapsed="false">
      <c r="A103" s="18"/>
      <c r="B103" s="18"/>
      <c r="C103" s="18"/>
      <c r="D103" s="19" t="str">
        <f aca="false">IF(C103="","",IFERROR(INDEX(GES!$E$6:$E$25,MATCH(C103,GES!$A$6:$A$25,0)),"GES?"))</f>
        <v/>
      </c>
      <c r="E103" s="22"/>
      <c r="F103" s="22"/>
      <c r="G103" s="28" t="str">
        <f aca="true">IF(E103="","",(TODAY()-E103)/365.25)</f>
        <v/>
      </c>
      <c r="H103" s="19" t="str">
        <f aca="false">IF(OR(D103="",G103=""),"",IF(LEFT(D103,3)="SIL",IF(G103&lt;1,1,IF(G103&lt;10,3,2)),IF(LEFT(D103,3)="ASB",IF(G103&lt;10,3,2),IF(LEFT(D103,3)="CAR",IF(G103&lt;15,4,3),"Criterio médico"))))</f>
        <v/>
      </c>
      <c r="I103" s="19" t="str">
        <f aca="false">IF(OR(D103="",G103=""),"",IF(LEFT(D103,3)="CAR",IF(G103&lt;3,1,2),H103))</f>
        <v/>
      </c>
      <c r="J103" s="32" t="str">
        <f aca="false">IF(OR(E103="",NOT(ISNUMBER(H103))),"",IF(F103="",E103,F103)+H103*365.25)</f>
        <v/>
      </c>
      <c r="K103" s="32" t="str">
        <f aca="false">IF(OR(E103="",NOT(ISNUMBER(I103))),"",IF(F103="",E103,F103)+I103*365.25)</f>
        <v/>
      </c>
      <c r="L103" s="25" t="str">
        <f aca="true">IF(OR(J103="",K103=""),"",IF(F103="","Falta examen de ingreso",IF(MIN(J103,K103)&lt;TODAY(),"Vencido",IF(MIN(J103,K103)-TODAY()&lt;=60,"Próximo (≤ 60 días)","Al día"))))</f>
        <v/>
      </c>
      <c r="M103" s="27" t="str">
        <f aca="false">IF(D103="","",IF(LEFT(D103,3)="PNOS","Según criterio médico","Historia médica y ocupacional, examen físico respiratorio, cuestionario de síntomas, Rx tórax OIT (lector certificado), espirometría ATS/ERS"&amp;IF(LEFT(D103,3)="SIL",", prueba de tuberculina","")&amp;", consejería antitabaco"))</f>
        <v/>
      </c>
      <c r="N103" s="19" t="str">
        <f aca="false">IF(D103="","",IF(OR(LEFT(D103,3)="SIL",LEFT(D103,3)="ASB"),"Sí – periodicidad por criterio médico","No requerido"))</f>
        <v/>
      </c>
      <c r="O103" s="18"/>
    </row>
    <row r="104" customFormat="false" ht="15" hidden="false" customHeight="false" outlineLevel="0" collapsed="false">
      <c r="A104" s="18"/>
      <c r="B104" s="18"/>
      <c r="C104" s="18"/>
      <c r="D104" s="19" t="str">
        <f aca="false">IF(C104="","",IFERROR(INDEX(GES!$E$6:$E$25,MATCH(C104,GES!$A$6:$A$25,0)),"GES?"))</f>
        <v/>
      </c>
      <c r="E104" s="22"/>
      <c r="F104" s="22"/>
      <c r="G104" s="28" t="str">
        <f aca="true">IF(E104="","",(TODAY()-E104)/365.25)</f>
        <v/>
      </c>
      <c r="H104" s="19" t="str">
        <f aca="false">IF(OR(D104="",G104=""),"",IF(LEFT(D104,3)="SIL",IF(G104&lt;1,1,IF(G104&lt;10,3,2)),IF(LEFT(D104,3)="ASB",IF(G104&lt;10,3,2),IF(LEFT(D104,3)="CAR",IF(G104&lt;15,4,3),"Criterio médico"))))</f>
        <v/>
      </c>
      <c r="I104" s="19" t="str">
        <f aca="false">IF(OR(D104="",G104=""),"",IF(LEFT(D104,3)="CAR",IF(G104&lt;3,1,2),H104))</f>
        <v/>
      </c>
      <c r="J104" s="32" t="str">
        <f aca="false">IF(OR(E104="",NOT(ISNUMBER(H104))),"",IF(F104="",E104,F104)+H104*365.25)</f>
        <v/>
      </c>
      <c r="K104" s="32" t="str">
        <f aca="false">IF(OR(E104="",NOT(ISNUMBER(I104))),"",IF(F104="",E104,F104)+I104*365.25)</f>
        <v/>
      </c>
      <c r="L104" s="25" t="str">
        <f aca="true">IF(OR(J104="",K104=""),"",IF(F104="","Falta examen de ingreso",IF(MIN(J104,K104)&lt;TODAY(),"Vencido",IF(MIN(J104,K104)-TODAY()&lt;=60,"Próximo (≤ 60 días)","Al día"))))</f>
        <v/>
      </c>
      <c r="M104" s="27" t="str">
        <f aca="false">IF(D104="","",IF(LEFT(D104,3)="PNOS","Según criterio médico","Historia médica y ocupacional, examen físico respiratorio, cuestionario de síntomas, Rx tórax OIT (lector certificado), espirometría ATS/ERS"&amp;IF(LEFT(D104,3)="SIL",", prueba de tuberculina","")&amp;", consejería antitabaco"))</f>
        <v/>
      </c>
      <c r="N104" s="19" t="str">
        <f aca="false">IF(D104="","",IF(OR(LEFT(D104,3)="SIL",LEFT(D104,3)="ASB"),"Sí – periodicidad por criterio médico","No requerido"))</f>
        <v/>
      </c>
      <c r="O104" s="18"/>
    </row>
    <row r="105" customFormat="false" ht="15" hidden="false" customHeight="false" outlineLevel="0" collapsed="false">
      <c r="A105" s="18"/>
      <c r="B105" s="18"/>
      <c r="C105" s="18"/>
      <c r="D105" s="19" t="str">
        <f aca="false">IF(C105="","",IFERROR(INDEX(GES!$E$6:$E$25,MATCH(C105,GES!$A$6:$A$25,0)),"GES?"))</f>
        <v/>
      </c>
      <c r="E105" s="22"/>
      <c r="F105" s="22"/>
      <c r="G105" s="28" t="str">
        <f aca="true">IF(E105="","",(TODAY()-E105)/365.25)</f>
        <v/>
      </c>
      <c r="H105" s="19" t="str">
        <f aca="false">IF(OR(D105="",G105=""),"",IF(LEFT(D105,3)="SIL",IF(G105&lt;1,1,IF(G105&lt;10,3,2)),IF(LEFT(D105,3)="ASB",IF(G105&lt;10,3,2),IF(LEFT(D105,3)="CAR",IF(G105&lt;15,4,3),"Criterio médico"))))</f>
        <v/>
      </c>
      <c r="I105" s="19" t="str">
        <f aca="false">IF(OR(D105="",G105=""),"",IF(LEFT(D105,3)="CAR",IF(G105&lt;3,1,2),H105))</f>
        <v/>
      </c>
      <c r="J105" s="32" t="str">
        <f aca="false">IF(OR(E105="",NOT(ISNUMBER(H105))),"",IF(F105="",E105,F105)+H105*365.25)</f>
        <v/>
      </c>
      <c r="K105" s="32" t="str">
        <f aca="false">IF(OR(E105="",NOT(ISNUMBER(I105))),"",IF(F105="",E105,F105)+I105*365.25)</f>
        <v/>
      </c>
      <c r="L105" s="25" t="str">
        <f aca="true">IF(OR(J105="",K105=""),"",IF(F105="","Falta examen de ingreso",IF(MIN(J105,K105)&lt;TODAY(),"Vencido",IF(MIN(J105,K105)-TODAY()&lt;=60,"Próximo (≤ 60 días)","Al día"))))</f>
        <v/>
      </c>
      <c r="M105" s="27" t="str">
        <f aca="false">IF(D105="","",IF(LEFT(D105,3)="PNOS","Según criterio médico","Historia médica y ocupacional, examen físico respiratorio, cuestionario de síntomas, Rx tórax OIT (lector certificado), espirometría ATS/ERS"&amp;IF(LEFT(D105,3)="SIL",", prueba de tuberculina","")&amp;", consejería antitabaco"))</f>
        <v/>
      </c>
      <c r="N105" s="19" t="str">
        <f aca="false">IF(D105="","",IF(OR(LEFT(D105,3)="SIL",LEFT(D105,3)="ASB"),"Sí – periodicidad por criterio médico","No requerido"))</f>
        <v/>
      </c>
      <c r="O105" s="18"/>
    </row>
  </sheetData>
  <conditionalFormatting sqref="L6:L105">
    <cfRule type="expression" priority="2" aboveAverage="0" equalAverage="0" bottom="0" percent="0" rank="0" text="" dxfId="0">
      <formula>OR(L6="Vencido",LEFT(L6,5)="Falta")</formula>
    </cfRule>
    <cfRule type="expression" priority="3" aboveAverage="0" equalAverage="0" bottom="0" percent="0" rank="0" text="" dxfId="1">
      <formula>LEFT(L6,7)="Próximo"</formula>
    </cfRule>
  </conditionalFormatting>
  <dataValidations count="1">
    <dataValidation allowBlank="true" errorStyle="stop" operator="between" showDropDown="false" showErrorMessage="false" showInputMessage="false" sqref="C6:C105" type="list">
      <formula1>GES!$A$6:$A$25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2026-10-16T15:51:01Z</dcterms:created>
  <dc:creator>openpyxl</dc:creator>
  <dc:description/>
  <dc:language>en-US</dc:language>
  <cp:lastModifiedBy/>
  <dcterms:modified xsi:type="dcterms:W3CDTF">2026-10-16T15:51:02Z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