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icio" sheetId="2" state="visible" r:id="rId2"/>
    <sheet xmlns:r="http://schemas.openxmlformats.org/officeDocument/2006/relationships" name="Agentes" sheetId="3" state="visible" r:id="rId3"/>
    <sheet xmlns:r="http://schemas.openxmlformats.org/officeDocument/2006/relationships" name="GES" sheetId="4" state="visible" r:id="rId4"/>
    <sheet xmlns:r="http://schemas.openxmlformats.org/officeDocument/2006/relationships" name="Muestreo" sheetId="5" state="visible" r:id="rId5"/>
    <sheet xmlns:r="http://schemas.openxmlformats.org/officeDocument/2006/relationships" name="Estadística" sheetId="6" state="visible" r:id="rId6"/>
    <sheet xmlns:r="http://schemas.openxmlformats.org/officeDocument/2006/relationships" name="Mezclas" sheetId="7" state="visible" r:id="rId7"/>
    <sheet xmlns:r="http://schemas.openxmlformats.org/officeDocument/2006/relationships" name="Plan de Control" sheetId="8" state="visible" r:id="rId8"/>
    <sheet xmlns:r="http://schemas.openxmlformats.org/officeDocument/2006/relationships" name="Biblioteca" sheetId="9" state="visible" r:id="rId9"/>
    <sheet xmlns:r="http://schemas.openxmlformats.org/officeDocument/2006/relationships" name="Protección Respiratoria" sheetId="10" state="visible" r:id="rId10"/>
    <sheet xmlns:r="http://schemas.openxmlformats.org/officeDocument/2006/relationships" name="Vigilancia Méd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#####"/>
    <numFmt numFmtId="165" formatCode="0.####"/>
    <numFmt numFmtId="166" formatCode="0.000"/>
    <numFmt numFmtId="167" formatCode="yyyy-mm-dd"/>
    <numFmt numFmtId="168" formatCode="0.00000"/>
    <numFmt numFmtId="169" formatCode="0.0000"/>
    <numFmt numFmtId="170" formatCode="0.0"/>
    <numFmt numFmtId="171" formatCode="0.###"/>
    <numFmt numFmtId="172" formatCode="yyyy-mm-dd h:mm:ss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24"/>
    </font>
    <font>
      <name val="Arial"/>
      <color rgb="00404040"/>
      <sz val="12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1"/>
    </font>
    <font>
      <name val="Arial"/>
      <color rgb="000000FF"/>
      <sz val="9"/>
    </font>
    <font>
      <name val="Arial"/>
      <b val="1"/>
      <color rgb="001F3864"/>
      <sz val="16"/>
    </font>
    <font>
      <name val="Arial"/>
      <color rgb="007F7F7F"/>
      <sz val="8"/>
    </font>
    <font>
      <name val="Arial"/>
      <b val="1"/>
      <color rgb="00FFFFFF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vertical="top"/>
    </xf>
    <xf numFmtId="167" fontId="7" fillId="3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0" borderId="1" pivotButton="0" quotePrefix="0" xfId="0"/>
    <xf numFmtId="0" fontId="0" fillId="0" borderId="4" pivotButton="0" quotePrefix="0" xfId="0"/>
    <xf numFmtId="0" fontId="11" fillId="0" borderId="0" pivotButton="0" quotePrefix="0" xfId="0"/>
    <xf numFmtId="0" fontId="7" fillId="3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164" fontId="5" fillId="5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2" fontId="7" fillId="3" borderId="1" applyAlignment="1" pivotButton="0" quotePrefix="0" xfId="0">
      <alignment vertical="top"/>
    </xf>
    <xf numFmtId="169" fontId="5" fillId="5" borderId="1" applyAlignment="1" pivotButton="0" quotePrefix="0" xfId="0">
      <alignment vertical="top"/>
    </xf>
    <xf numFmtId="168" fontId="7" fillId="3" borderId="1" applyAlignment="1" pivotButton="0" quotePrefix="0" xfId="0">
      <alignment vertical="top"/>
    </xf>
    <xf numFmtId="168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2" fontId="5" fillId="5" borderId="1" applyAlignment="1" pivotButton="0" quotePrefix="0" xfId="0">
      <alignment vertical="top"/>
    </xf>
    <xf numFmtId="9" fontId="5" fillId="5" borderId="1" applyAlignment="1" pivotButton="0" quotePrefix="0" xfId="0">
      <alignment vertical="top"/>
    </xf>
    <xf numFmtId="170" fontId="5" fillId="5" borderId="1" applyAlignment="1" pivotButton="0" quotePrefix="0" xfId="0">
      <alignment vertical="top"/>
    </xf>
    <xf numFmtId="171" fontId="5" fillId="5" borderId="1" applyAlignment="1" pivotButton="0" quotePrefix="0" xfId="0">
      <alignment vertical="top"/>
    </xf>
    <xf numFmtId="171" fontId="7" fillId="3" borderId="1" applyAlignment="1" pivotButton="0" quotePrefix="0" xfId="0">
      <alignment vertical="top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8CBAD"/>
          <bgColor rgb="00F8CBAD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7C80"/>
          <bgColor rgb="00FF7C80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915400" cy="569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7199"/>
    <outlinePr summaryBelow="1" summaryRight="1"/>
    <pageSetUpPr/>
  </sheetPr>
  <dimension ref="A1:A1"/>
  <sheetViews>
    <sheetView showGridLines="0" zoomScale="90" workbookViewId="0">
      <selection activeCell="A1" sqref="A1"/>
    </sheetView>
  </sheetViews>
  <sheetFormatPr baseColWidth="8" defaultRowHeight="15"/>
  <cols>
    <col width="11.6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C25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>
      <c r="B2" s="1" t="inlineStr">
        <is>
          <t>DustRisk V1</t>
        </is>
      </c>
    </row>
    <row r="3">
      <c r="B3" s="2" t="inlineStr">
        <is>
          <t>Evaluación y control del riesgo por polvos minerales, metales y humos metálicos</t>
        </is>
      </c>
    </row>
    <row r="4">
      <c r="B4" s="3" t="inlineStr">
        <is>
          <t>Herramienta gratuita · Sociedad Colombiana de Higienistas Ocupacionales (SCHO) · Autor: Álvaro Araque García (Comité Académico) · Versión 1.0 · 2026</t>
        </is>
      </c>
    </row>
    <row r="6" ht="52" customHeight="1">
      <c r="B6" s="4" t="inlineStr">
        <is>
          <t>Propósito</t>
        </is>
      </c>
      <c r="C6" s="5" t="inlineStr">
        <is>
          <t>Evaluar y controlar la exposición por inhalación a polvos minerales no fibrogénicos, partículas no especificadas (PNOS), metales y humos metálicos: identificación, valoración cualitativa, muestreo por GES y agente, estadística, decisión, mezclas con efecto aditivo, controles, protección respiratoria y vigilancia médica con indicadores biológicos (BEI). Complementa a NeumoRisk (sílice cristalina, carbón y asbesto).</t>
        </is>
      </c>
    </row>
    <row r="7" ht="39" customHeight="1">
      <c r="B7" s="4" t="inlineStr">
        <is>
          <t>Flujo de trabajo</t>
        </is>
      </c>
      <c r="C7" s="5" t="inlineStr">
        <is>
          <t>1) Agentes y TLV → 2) GES × agente (valoración cualitativa y ajuste del TLV) → 3) Muestreo → 4) Estadística (decisión) → 5) Mezclas (efecto aditivo) → 6) Plan de Control (con Biblioteca) → 7) Protección Respiratoria → 8) Vigilancia Médica y BEI.</t>
        </is>
      </c>
    </row>
    <row r="8" ht="52" customHeight="1">
      <c r="B8" s="4" t="inlineStr">
        <is>
          <t>Fracciones por tamaño</t>
        </is>
      </c>
      <c r="C8" s="5" t="inlineStr">
        <is>
          <t>Cada TLV se expresa en una fracción: inhalable (I, deposición en todo el tracto respiratorio), torácica (T) o respirable (R, región de intercambio gaseoso), según el Apéndice C de la ACGIH e ISO 7708. El muestreador debe corresponder a la fracción del TLV: la hoja Muestreo advierte si no coincide (por ejemplo, el casete cerrado de 37 mm subestima la fracción inhalable).</t>
        </is>
      </c>
    </row>
    <row r="9" ht="39" customHeight="1">
      <c r="B9" s="4" t="inlineStr">
        <is>
          <t>Criterio de decisión</t>
        </is>
      </c>
      <c r="C9" s="5" t="inlineStr">
        <is>
          <t>Estrategia AIHA de evaluación de la exposición: índice de riesgo IR = P95 / TLV ajustado y categoría de control de exposición AIHA: 0 (≤ 1 %), 1 (≤ 10 %), 2 (≤ 50 %), 3 (50–100 %) y 4 (&gt; 100 % del TLV). Con una sola muestra se usa el valor máximo. Validez del GES con DEG ≤ 3,0 (parámetro editable).</t>
        </is>
      </c>
    </row>
    <row r="10" ht="26" customHeight="1">
      <c r="B10" s="4" t="inlineStr">
        <is>
          <t>Ajuste de jornada</t>
        </is>
      </c>
      <c r="C10" s="5" t="inlineStr">
        <is>
          <t>Brief &amp; Scala: factor diario 8/hd·(24−hd)/16 y semanal 40/hs·(168−hs)/128; se aplica el más restrictivo. Nunca se incrementa el TLV para jornadas cortas. No se ajustan los valores techo (C).</t>
        </is>
      </c>
    </row>
    <row r="11" ht="26" customHeight="1">
      <c r="B11" s="4" t="inlineStr">
        <is>
          <t>Mezclas</t>
        </is>
      </c>
      <c r="C11" s="5" t="inlineStr">
        <is>
          <t>Para agentes con el mismo efecto u órgano blanco, medidos en la misma muestra o jornada, se aplica la regla de efectos aditivos de la ACGIH: Σ Cᵢ / TLVᵢ ajustado ≤ 1.</t>
        </is>
      </c>
    </row>
    <row r="12" ht="39" customHeight="1">
      <c r="B12" s="4" t="inlineStr">
        <is>
          <t>Humos de soldadura</t>
        </is>
      </c>
      <c r="C12" s="5" t="inlineStr">
        <is>
          <t>La ACGIH no tiene un TLV único para humos de soldadura: se evalúa cada componente (óxido de hierro, manganeso, cromo hexavalente, níquel, zinc, cobre) con su propio TLV y se aplica la regla de mezclas cuando comparten efecto. La IARC clasifica los humos de soldadura como cancerígenos (Grupo 1): mantener la exposición tan baja como sea posible.</t>
        </is>
      </c>
    </row>
    <row r="13" ht="26" customHeight="1">
      <c r="B13" s="4" t="inlineStr">
        <is>
          <t>Leyenda de celdas</t>
        </is>
      </c>
      <c r="C13" s="5" t="inlineStr">
        <is>
          <t>Amarillo con texto azul: datos que usted diligencia. Gris: cálculo automático (no editar). Las listas desplegables evitan errores de digitación.</t>
        </is>
      </c>
    </row>
    <row r="14" ht="26" customHeight="1">
      <c r="B14" s="4" t="inlineStr">
        <is>
          <t>Valores límite</t>
        </is>
      </c>
      <c r="C14" s="5" t="inlineStr">
        <is>
          <t>TLV y BEI de la ACGIH, edición 2026, editables en la hoja Agentes. Verifíquelos cada año contra la publicación vigente. En Colombia se aplican los valores ACGIH a falta de valores nacionales (Resolución 2400 de 1979).</t>
        </is>
      </c>
    </row>
    <row r="15" ht="26" customHeight="1">
      <c r="B15" s="4" t="inlineStr">
        <is>
          <t>Advertencia</t>
        </is>
      </c>
      <c r="C15" s="5" t="inlineStr">
        <is>
          <t>La herramienta apoya, pero no reemplaza, el criterio del higienista ocupacional con licencia en SST. Las mediciones deben hacerse con métodos validados (NIOSH, OSHA) y laboratorios acreditados ISO/IEC 17025.</t>
        </is>
      </c>
    </row>
    <row r="16" ht="39" customHeight="1">
      <c r="B16" s="4" t="inlineStr">
        <is>
          <t>Referencias</t>
        </is>
      </c>
      <c r="C16" s="5" t="inlineStr">
        <is>
          <t>ACGIH TLVs and BEIs 2026 · AIHA, A Strategy for Assessing and Managing Occupational Exposures · NIOSH Manual of Analytical Methods (0500, 0600, 7300, 7303, 7605) · OSHA 29 CFR 1910.134 · HSE COSHH essentials · Decreto 1072 de 2015 · Res. 2400 de 1979 · Araque G.A., Aerosoles: evaluación y control de la exposición (SCHO).</t>
        </is>
      </c>
    </row>
    <row r="18">
      <c r="B18" s="6" t="inlineStr">
        <is>
          <t>Datos de la evaluación (ejemplo)</t>
        </is>
      </c>
    </row>
    <row r="19">
      <c r="B19" s="7" t="inlineStr">
        <is>
          <t>Empresa</t>
        </is>
      </c>
      <c r="C19" s="8" t="inlineStr">
        <is>
          <t>Metalmecánica y Materiales del Ejemplo S.A.S.</t>
        </is>
      </c>
    </row>
    <row r="20">
      <c r="B20" s="7" t="inlineStr">
        <is>
          <t>NIT</t>
        </is>
      </c>
      <c r="C20" s="8" t="inlineStr">
        <is>
          <t>900.111.222-3</t>
        </is>
      </c>
    </row>
    <row r="21">
      <c r="B21" s="7" t="inlineStr">
        <is>
          <t>Centro de trabajo / ciudad</t>
        </is>
      </c>
      <c r="C21" s="8" t="inlineStr">
        <is>
          <t>Planta industrial – Bogotá</t>
        </is>
      </c>
    </row>
    <row r="22">
      <c r="B22" s="7" t="inlineStr">
        <is>
          <t>Actividad económica</t>
        </is>
      </c>
      <c r="C22" s="8" t="inlineStr">
        <is>
          <t>Fabricación de estructuras metálicas, ensacado de cemento y molienda de caolín</t>
        </is>
      </c>
    </row>
    <row r="23">
      <c r="B23" s="7" t="inlineStr">
        <is>
          <t>Higienista responsable (licencia SST)</t>
        </is>
      </c>
      <c r="C23" s="8" t="inlineStr">
        <is>
          <t>Higienista Ocupacional (Lic. SST 0000)</t>
        </is>
      </c>
    </row>
    <row r="24">
      <c r="B24" s="7" t="inlineStr">
        <is>
          <t>Fecha del estudio</t>
        </is>
      </c>
      <c r="C24" s="9" t="n">
        <v>46287</v>
      </c>
    </row>
    <row r="25">
      <c r="B25" s="7" t="inlineStr">
        <is>
          <t>Laboratorio (acreditación)</t>
        </is>
      </c>
      <c r="C25" s="8" t="inlineStr">
        <is>
          <t>Laboratorio acreditado ISO/IEC 17025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R98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8" customWidth="1" min="5" max="5"/>
    <col width="10" customWidth="1" min="6" max="6"/>
    <col width="10" customWidth="1" min="7" max="7"/>
    <col width="13" customWidth="1" min="8" max="8"/>
    <col width="22" customWidth="1" min="9" max="9"/>
    <col width="28" customWidth="1" min="10" max="10"/>
    <col width="18" customWidth="1" min="11" max="11"/>
    <col width="34" customWidth="1" min="12" max="12"/>
    <col width="30" customWidth="1" min="13" max="13"/>
    <col width="22" customWidth="1" min="14" max="14"/>
    <col width="10" customWidth="1" min="15" max="15"/>
    <col width="9" customWidth="1" min="16" max="16"/>
    <col width="36" customWidth="1" min="17" max="17"/>
    <col width="40" customWidth="1" min="18" max="18"/>
  </cols>
  <sheetData>
    <row r="1">
      <c r="A1" s="10" t="inlineStr">
        <is>
          <t>1. Polvos minerales, metales y valores límite permisibles</t>
        </is>
      </c>
    </row>
    <row r="2">
      <c r="A2" s="3" t="inlineStr">
        <is>
          <t>TLV ACGIH 2026 (8 h/día – 40 h/semana). Columnas F, G y N editables: actualícelas con la publicación ACGIH vigente. Filas amarillas al final para agregar agentes.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2" t="inlineStr">
        <is>
          <t>Código</t>
        </is>
      </c>
      <c r="B5" s="12" t="inlineStr">
        <is>
          <t>Agente</t>
        </is>
      </c>
      <c r="C5" s="12" t="inlineStr">
        <is>
          <t>CAS</t>
        </is>
      </c>
      <c r="D5" s="12" t="inlineStr">
        <is>
          <t>Fracción</t>
        </is>
      </c>
      <c r="E5" s="12" t="inlineStr">
        <is>
          <t>Unidad</t>
        </is>
      </c>
      <c r="F5" s="12" t="inlineStr">
        <is>
          <t>TLV-TWA ACGIH</t>
        </is>
      </c>
      <c r="G5" s="12" t="inlineStr">
        <is>
          <t>TLV-STEL / C</t>
        </is>
      </c>
      <c r="H5" s="12" t="inlineStr">
        <is>
          <t>Familia</t>
        </is>
      </c>
      <c r="I5" s="12" t="inlineStr">
        <is>
          <t>Grupo de efecto (mezclas)</t>
        </is>
      </c>
      <c r="J5" s="12" t="inlineStr">
        <is>
          <t>Efecto crítico (base del TLV)</t>
        </is>
      </c>
      <c r="K5" s="12" t="inlineStr">
        <is>
          <t>Notaciones</t>
        </is>
      </c>
      <c r="L5" s="12" t="inlineStr">
        <is>
          <t>Método de muestreo y análisis</t>
        </is>
      </c>
      <c r="M5" s="12" t="inlineStr">
        <is>
          <t>Muestreador y caudal</t>
        </is>
      </c>
      <c r="N5" s="12" t="inlineStr">
        <is>
          <t>Indicador biológico (BEI)</t>
        </is>
      </c>
      <c r="O5" s="12" t="inlineStr">
        <is>
          <t>Valor BEI</t>
        </is>
      </c>
      <c r="P5" s="12" t="inlineStr">
        <is>
          <t>Banda de peligro (VE)</t>
        </is>
      </c>
      <c r="Q5" s="12" t="inlineStr">
        <is>
          <t>Vigilancia médica sugerida</t>
        </is>
      </c>
      <c r="R5" s="12" t="inlineStr">
        <is>
          <t>Nota</t>
        </is>
      </c>
    </row>
    <row r="6">
      <c r="A6" s="13" t="inlineStr">
        <is>
          <t>PNOS-I</t>
        </is>
      </c>
      <c r="B6" s="13" t="inlineStr">
        <is>
          <t>Partículas insolubles o poco solubles no especificadas (PNOS) – inhalable</t>
        </is>
      </c>
      <c r="C6" s="13" t="inlineStr">
        <is>
          <t>—</t>
        </is>
      </c>
      <c r="D6" s="13" t="inlineStr">
        <is>
          <t>Inhalable</t>
        </is>
      </c>
      <c r="E6" s="13" t="inlineStr">
        <is>
          <t>mg/m³</t>
        </is>
      </c>
      <c r="F6" s="14" t="n">
        <v>10</v>
      </c>
      <c r="G6" s="14" t="n"/>
      <c r="H6" s="13" t="inlineStr">
        <is>
          <t>PNOS</t>
        </is>
      </c>
      <c r="I6" s="13" t="inlineStr">
        <is>
          <t>Respiratorio – irritación y función pulmonar</t>
        </is>
      </c>
      <c r="J6" s="13" t="inlineStr">
        <is>
          <t>Efectos respiratorios inespecíficos (sobrecarga pulmonar)</t>
        </is>
      </c>
      <c r="K6" s="13" t="inlineStr">
        <is>
          <t>Apéndice B</t>
        </is>
      </c>
      <c r="L6" s="13" t="inlineStr">
        <is>
          <t>NIOSH 0500 (gravimétrico) o MDHS 14/4 (HSE)</t>
        </is>
      </c>
      <c r="M6" s="13" t="inlineStr">
        <is>
          <t>IOM inhalable, 2,0 L/min; filtro PVC 25 mm</t>
        </is>
      </c>
      <c r="N6" s="13" t="n"/>
      <c r="O6" s="14" t="n"/>
      <c r="P6" s="15">
        <f>IF(F6="","",IF(OR(ISNUMBER(SEARCH("A1",K6)),ISNUMBER(SEARCH("A2",K6)),N(F6)&lt;0.05),4,IF(N(F6)&lt;0.5,3,IF(N(F6)&lt;3,2,1))))</f>
        <v/>
      </c>
      <c r="Q6" s="13" t="inlineStr">
        <is>
          <t>Examen periódico; cuestionario de síntomas respiratorios y espirometría si hay exposición sobre el nivel de acción</t>
        </is>
      </c>
      <c r="R6" s="13" t="inlineStr">
        <is>
          <t>Apéndice B ACGIH: solo si el polvo no tiene TLV propio, sílice cristalina &lt; 1 % y sin asbesto. Si la sílice es ≥ 1 %, use NeumoRisk.</t>
        </is>
      </c>
    </row>
    <row r="7">
      <c r="A7" s="13" t="inlineStr">
        <is>
          <t>PNOS-R</t>
        </is>
      </c>
      <c r="B7" s="13" t="inlineStr">
        <is>
          <t>Partículas insolubles o poco solubles no especificadas (PNOS) – respirable</t>
        </is>
      </c>
      <c r="C7" s="13" t="inlineStr">
        <is>
          <t>—</t>
        </is>
      </c>
      <c r="D7" s="13" t="inlineStr">
        <is>
          <t>Respirable</t>
        </is>
      </c>
      <c r="E7" s="13" t="inlineStr">
        <is>
          <t>mg/m³</t>
        </is>
      </c>
      <c r="F7" s="14" t="n">
        <v>3</v>
      </c>
      <c r="G7" s="14" t="n"/>
      <c r="H7" s="13" t="inlineStr">
        <is>
          <t>PNOS</t>
        </is>
      </c>
      <c r="I7" s="13" t="inlineStr">
        <is>
          <t>Respiratorio – neumoconiosis no fibrogénica</t>
        </is>
      </c>
      <c r="J7" s="13" t="inlineStr">
        <is>
          <t>Sobrecarga pulmonar e inflamación crónica</t>
        </is>
      </c>
      <c r="K7" s="13" t="inlineStr">
        <is>
          <t>Apéndice B</t>
        </is>
      </c>
      <c r="L7" s="13" t="inlineStr">
        <is>
          <t>NIOSH 0600 (gravimétrico, fracción respirable)</t>
        </is>
      </c>
      <c r="M7" s="13" t="inlineStr">
        <is>
          <t>Ciclón nylon 10 mm, 1,7 L/min; filtro PVC 37 mm 5 µm</t>
        </is>
      </c>
      <c r="N7" s="13" t="n"/>
      <c r="O7" s="14" t="n"/>
      <c r="P7" s="15">
        <f>IF(F7="","",IF(OR(ISNUMBER(SEARCH("A1",K7)),ISNUMBER(SEARCH("A2",K7)),N(F7)&lt;0.05),4,IF(N(F7)&lt;0.5,3,IF(N(F7)&lt;3,2,1))))</f>
        <v/>
      </c>
      <c r="Q7" s="13" t="inlineStr">
        <is>
          <t>Examen periódico; cuestionario de síntomas respiratorios y espirometría si hay exposición sobre el nivel de acción</t>
        </is>
      </c>
      <c r="R7" s="13" t="inlineStr">
        <is>
          <t>Apéndice B ACGIH (valor recomendado).</t>
        </is>
      </c>
    </row>
    <row r="8">
      <c r="A8" s="13" t="inlineStr">
        <is>
          <t>BASO4</t>
        </is>
      </c>
      <c r="B8" s="13" t="inlineStr">
        <is>
          <t>Sulfato de bario</t>
        </is>
      </c>
      <c r="C8" s="13" t="inlineStr">
        <is>
          <t>7727-43-7</t>
        </is>
      </c>
      <c r="D8" s="13" t="inlineStr">
        <is>
          <t>Inhalable</t>
        </is>
      </c>
      <c r="E8" s="13" t="inlineStr">
        <is>
          <t>mg/m³</t>
        </is>
      </c>
      <c r="F8" s="14" t="n">
        <v>5</v>
      </c>
      <c r="G8" s="14" t="n"/>
      <c r="H8" s="13" t="inlineStr">
        <is>
          <t>Mineral</t>
        </is>
      </c>
      <c r="I8" s="13" t="inlineStr">
        <is>
          <t>Respiratorio – neumoconiosis no fibrogénica</t>
        </is>
      </c>
      <c r="J8" s="13" t="inlineStr">
        <is>
          <t>Neumoconiosis (baritosis)</t>
        </is>
      </c>
      <c r="K8" s="13" t="inlineStr">
        <is>
          <t>(E)</t>
        </is>
      </c>
      <c r="L8" s="13" t="inlineStr">
        <is>
          <t>NIOSH 0500 (gravimétrico) o MDHS 14/4 (HSE)</t>
        </is>
      </c>
      <c r="M8" s="13" t="inlineStr">
        <is>
          <t>IOM inhalable, 2,0 L/min; filtro PVC 25 mm</t>
        </is>
      </c>
      <c r="N8" s="13" t="n"/>
      <c r="O8" s="14" t="n"/>
      <c r="P8" s="15">
        <f>IF(F8="","",IF(OR(ISNUMBER(SEARCH("A1",K8)),ISNUMBER(SEARCH("A2",K8)),N(F8)&lt;0.05),4,IF(N(F8)&lt;0.5,3,IF(N(F8)&lt;3,2,1))))</f>
        <v/>
      </c>
      <c r="Q8" s="13" t="inlineStr">
        <is>
          <t>Examen periódico con énfasis respiratorio y espirometría; Rx de tórax según criterio médico</t>
        </is>
      </c>
      <c r="R8" s="13" t="inlineStr">
        <is>
          <t>(E): material sin asbesto y con sílice cristalina &lt; 1 %.</t>
        </is>
      </c>
    </row>
    <row r="9">
      <c r="A9" s="13" t="inlineStr">
        <is>
          <t>CAO</t>
        </is>
      </c>
      <c r="B9" s="13" t="inlineStr">
        <is>
          <t>Óxido de calcio (cal viva)</t>
        </is>
      </c>
      <c r="C9" s="13" t="inlineStr">
        <is>
          <t>1305-78-8</t>
        </is>
      </c>
      <c r="D9" s="13" t="inlineStr">
        <is>
          <t>Total</t>
        </is>
      </c>
      <c r="E9" s="13" t="inlineStr">
        <is>
          <t>mg/m³</t>
        </is>
      </c>
      <c r="F9" s="14" t="n">
        <v>2</v>
      </c>
      <c r="G9" s="14" t="n"/>
      <c r="H9" s="13" t="inlineStr">
        <is>
          <t>Mineral</t>
        </is>
      </c>
      <c r="I9" s="13" t="inlineStr">
        <is>
          <t>Respiratorio – irritación y función pulmonar</t>
        </is>
      </c>
      <c r="J9" s="13" t="inlineStr">
        <is>
          <t>Irritación de vías respiratorias superiores (VRS)</t>
        </is>
      </c>
      <c r="K9" s="13" t="inlineStr">
        <is>
          <t>—</t>
        </is>
      </c>
      <c r="L9" s="13" t="inlineStr">
        <is>
          <t>NIOSH 0500 (gravimétrico, polvo total)</t>
        </is>
      </c>
      <c r="M9" s="13" t="inlineStr">
        <is>
          <t>Casete 37 mm cerrado, 1,5–2 L/min; filtro PVC</t>
        </is>
      </c>
      <c r="N9" s="13" t="n"/>
      <c r="O9" s="14" t="n"/>
      <c r="P9" s="15">
        <f>IF(F9="","",IF(OR(ISNUMBER(SEARCH("A1",K9)),ISNUMBER(SEARCH("A2",K9)),N(F9)&lt;0.05),4,IF(N(F9)&lt;0.5,3,IF(N(F9)&lt;3,2,1))))</f>
        <v/>
      </c>
      <c r="Q9" s="13" t="inlineStr">
        <is>
          <t>Examen periódico; cuestionario de síntomas respiratorios y espirometría si hay exposición sobre el nivel de acción</t>
        </is>
      </c>
      <c r="R9" s="13" t="inlineStr"/>
    </row>
    <row r="10">
      <c r="A10" s="13" t="inlineStr">
        <is>
          <t>CAOH2</t>
        </is>
      </c>
      <c r="B10" s="13" t="inlineStr">
        <is>
          <t>Hidróxido de calcio (cal apagada)</t>
        </is>
      </c>
      <c r="C10" s="13" t="inlineStr">
        <is>
          <t>1305-62-0</t>
        </is>
      </c>
      <c r="D10" s="13" t="inlineStr">
        <is>
          <t>Total</t>
        </is>
      </c>
      <c r="E10" s="13" t="inlineStr">
        <is>
          <t>mg/m³</t>
        </is>
      </c>
      <c r="F10" s="14" t="n">
        <v>5</v>
      </c>
      <c r="G10" s="14" t="n"/>
      <c r="H10" s="13" t="inlineStr">
        <is>
          <t>Mineral</t>
        </is>
      </c>
      <c r="I10" s="13" t="inlineStr">
        <is>
          <t>Respiratorio – irritación y función pulmonar</t>
        </is>
      </c>
      <c r="J10" s="13" t="inlineStr">
        <is>
          <t>Irritación de ojos, VRS y piel</t>
        </is>
      </c>
      <c r="K10" s="13" t="inlineStr">
        <is>
          <t>—</t>
        </is>
      </c>
      <c r="L10" s="13" t="inlineStr">
        <is>
          <t>NIOSH 0500 (gravimétrico, polvo total)</t>
        </is>
      </c>
      <c r="M10" s="13" t="inlineStr">
        <is>
          <t>Casete 37 mm cerrado, 1,5–2 L/min; filtro PVC</t>
        </is>
      </c>
      <c r="N10" s="13" t="n"/>
      <c r="O10" s="14" t="n"/>
      <c r="P10" s="15">
        <f>IF(F10="","",IF(OR(ISNUMBER(SEARCH("A1",K10)),ISNUMBER(SEARCH("A2",K10)),N(F10)&lt;0.05),4,IF(N(F10)&lt;0.5,3,IF(N(F10)&lt;3,2,1))))</f>
        <v/>
      </c>
      <c r="Q10" s="13" t="inlineStr">
        <is>
          <t>Examen periódico; cuestionario de síntomas respiratorios y espirometría si hay exposición sobre el nivel de acción</t>
        </is>
      </c>
      <c r="R10" s="13" t="inlineStr"/>
    </row>
    <row r="11">
      <c r="A11" s="13" t="inlineStr">
        <is>
          <t>CASO4</t>
        </is>
      </c>
      <c r="B11" s="13" t="inlineStr">
        <is>
          <t>Sulfato de calcio (yeso)</t>
        </is>
      </c>
      <c r="C11" s="13" t="inlineStr">
        <is>
          <t>7778-18-9</t>
        </is>
      </c>
      <c r="D11" s="13" t="inlineStr">
        <is>
          <t>Inhalable</t>
        </is>
      </c>
      <c r="E11" s="13" t="inlineStr">
        <is>
          <t>mg/m³</t>
        </is>
      </c>
      <c r="F11" s="14" t="n">
        <v>10</v>
      </c>
      <c r="G11" s="14" t="n"/>
      <c r="H11" s="13" t="inlineStr">
        <is>
          <t>Mineral</t>
        </is>
      </c>
      <c r="I11" s="13" t="inlineStr">
        <is>
          <t>Respiratorio – irritación y función pulmonar</t>
        </is>
      </c>
      <c r="J11" s="13" t="inlineStr">
        <is>
          <t>Síntomas nasales</t>
        </is>
      </c>
      <c r="K11" s="13" t="inlineStr">
        <is>
          <t>—</t>
        </is>
      </c>
      <c r="L11" s="13" t="inlineStr">
        <is>
          <t>NIOSH 0500 (gravimétrico) o MDHS 14/4 (HSE)</t>
        </is>
      </c>
      <c r="M11" s="13" t="inlineStr">
        <is>
          <t>IOM inhalable, 2,0 L/min; filtro PVC 25 mm</t>
        </is>
      </c>
      <c r="N11" s="13" t="n"/>
      <c r="O11" s="14" t="n"/>
      <c r="P11" s="15">
        <f>IF(F11="","",IF(OR(ISNUMBER(SEARCH("A1",K11)),ISNUMBER(SEARCH("A2",K11)),N(F11)&lt;0.05),4,IF(N(F11)&lt;0.5,3,IF(N(F11)&lt;3,2,1))))</f>
        <v/>
      </c>
      <c r="Q11" s="13" t="inlineStr">
        <is>
          <t>Examen periódico; cuestionario de síntomas respiratorios y espirometría si hay exposición sobre el nivel de acción</t>
        </is>
      </c>
      <c r="R11" s="13" t="inlineStr"/>
    </row>
    <row r="12">
      <c r="A12" s="13" t="inlineStr">
        <is>
          <t>WOL</t>
        </is>
      </c>
      <c r="B12" s="13" t="inlineStr">
        <is>
          <t>Silicato de calcio – wollastonita</t>
        </is>
      </c>
      <c r="C12" s="13" t="inlineStr">
        <is>
          <t>13983-17-0</t>
        </is>
      </c>
      <c r="D12" s="13" t="inlineStr">
        <is>
          <t>Inhalable</t>
        </is>
      </c>
      <c r="E12" s="13" t="inlineStr">
        <is>
          <t>mg/m³</t>
        </is>
      </c>
      <c r="F12" s="14" t="n">
        <v>1</v>
      </c>
      <c r="G12" s="14" t="n"/>
      <c r="H12" s="13" t="inlineStr">
        <is>
          <t>Mineral</t>
        </is>
      </c>
      <c r="I12" s="13" t="inlineStr">
        <is>
          <t>Respiratorio – neumoconiosis no fibrogénica</t>
        </is>
      </c>
      <c r="J12" s="13" t="inlineStr">
        <is>
          <t>Neumoconiosis; función pulmonar</t>
        </is>
      </c>
      <c r="K12" s="13" t="inlineStr">
        <is>
          <t>A4 (E)</t>
        </is>
      </c>
      <c r="L12" s="13" t="inlineStr">
        <is>
          <t>NIOSH 0500 (gravimétrico) o MDHS 14/4 (HSE)</t>
        </is>
      </c>
      <c r="M12" s="13" t="inlineStr">
        <is>
          <t>IOM inhalable, 2,0 L/min; filtro PVC 25 mm</t>
        </is>
      </c>
      <c r="N12" s="13" t="n"/>
      <c r="O12" s="14" t="n"/>
      <c r="P12" s="15">
        <f>IF(F12="","",IF(OR(ISNUMBER(SEARCH("A1",K12)),ISNUMBER(SEARCH("A2",K12)),N(F12)&lt;0.05),4,IF(N(F12)&lt;0.5,3,IF(N(F12)&lt;3,2,1))))</f>
        <v/>
      </c>
      <c r="Q12" s="13" t="inlineStr">
        <is>
          <t>Examen periódico con énfasis respiratorio y espirometría; Rx de tórax según criterio médico</t>
        </is>
      </c>
      <c r="R12" s="13" t="inlineStr"/>
    </row>
    <row r="13">
      <c r="A13" s="13" t="inlineStr">
        <is>
          <t>CEM</t>
        </is>
      </c>
      <c r="B13" s="13" t="inlineStr">
        <is>
          <t>Cemento Portland</t>
        </is>
      </c>
      <c r="C13" s="13" t="inlineStr">
        <is>
          <t>65997-15-1</t>
        </is>
      </c>
      <c r="D13" s="13" t="inlineStr">
        <is>
          <t>Respirable</t>
        </is>
      </c>
      <c r="E13" s="13" t="inlineStr">
        <is>
          <t>mg/m³</t>
        </is>
      </c>
      <c r="F13" s="14" t="n">
        <v>1</v>
      </c>
      <c r="G13" s="14" t="n"/>
      <c r="H13" s="13" t="inlineStr">
        <is>
          <t>Mineral</t>
        </is>
      </c>
      <c r="I13" s="13" t="inlineStr">
        <is>
          <t>Respiratorio – irritación y función pulmonar</t>
        </is>
      </c>
      <c r="J13" s="13" t="inlineStr">
        <is>
          <t>Función pulmonar; síntomas respiratorios; asma</t>
        </is>
      </c>
      <c r="K13" s="13" t="inlineStr">
        <is>
          <t>A4 (E)</t>
        </is>
      </c>
      <c r="L13" s="13" t="inlineStr">
        <is>
          <t>NIOSH 0600 (gravimétrico, fracción respirable)</t>
        </is>
      </c>
      <c r="M13" s="13" t="inlineStr">
        <is>
          <t>Ciclón nylon 10 mm, 1,7 L/min; filtro PVC 37 mm 5 µm</t>
        </is>
      </c>
      <c r="N13" s="13" t="n"/>
      <c r="O13" s="14" t="n"/>
      <c r="P13" s="15">
        <f>IF(F13="","",IF(OR(ISNUMBER(SEARCH("A1",K13)),ISNUMBER(SEARCH("A2",K13)),N(F13)&lt;0.05),4,IF(N(F13)&lt;0.5,3,IF(N(F13)&lt;3,2,1))))</f>
        <v/>
      </c>
      <c r="Q13" s="13" t="inlineStr">
        <is>
          <t>Examen periódico con énfasis respiratorio y espirometría; Rx de tórax según criterio médico; valorar dermatitis por cromo</t>
        </is>
      </c>
      <c r="R13" s="13" t="inlineStr"/>
    </row>
    <row r="14">
      <c r="A14" s="13" t="inlineStr">
        <is>
          <t>GRAF</t>
        </is>
      </c>
      <c r="B14" s="13" t="inlineStr">
        <is>
          <t>Grafito (todas las formas excepto fibras)</t>
        </is>
      </c>
      <c r="C14" s="13" t="inlineStr">
        <is>
          <t>7782-42-5</t>
        </is>
      </c>
      <c r="D14" s="13" t="inlineStr">
        <is>
          <t>Respirable</t>
        </is>
      </c>
      <c r="E14" s="13" t="inlineStr">
        <is>
          <t>mg/m³</t>
        </is>
      </c>
      <c r="F14" s="14" t="n">
        <v>2</v>
      </c>
      <c r="G14" s="14" t="n"/>
      <c r="H14" s="13" t="inlineStr">
        <is>
          <t>Mineral</t>
        </is>
      </c>
      <c r="I14" s="13" t="inlineStr">
        <is>
          <t>Respiratorio – neumoconiosis no fibrogénica</t>
        </is>
      </c>
      <c r="J14" s="13" t="inlineStr">
        <is>
          <t>Neumoconiosis</t>
        </is>
      </c>
      <c r="K14" s="13" t="inlineStr">
        <is>
          <t>—</t>
        </is>
      </c>
      <c r="L14" s="13" t="inlineStr">
        <is>
          <t>NIOSH 0600 (gravimétrico, fracción respirable)</t>
        </is>
      </c>
      <c r="M14" s="13" t="inlineStr">
        <is>
          <t>Ciclón nylon 10 mm, 1,7 L/min; filtro PVC 37 mm 5 µm</t>
        </is>
      </c>
      <c r="N14" s="13" t="n"/>
      <c r="O14" s="14" t="n"/>
      <c r="P14" s="15">
        <f>IF(F14="","",IF(OR(ISNUMBER(SEARCH("A1",K14)),ISNUMBER(SEARCH("A2",K14)),N(F14)&lt;0.05),4,IF(N(F14)&lt;0.5,3,IF(N(F14)&lt;3,2,1))))</f>
        <v/>
      </c>
      <c r="Q14" s="13" t="inlineStr">
        <is>
          <t>Examen periódico con énfasis respiratorio y espirometría; Rx de tórax según criterio médico</t>
        </is>
      </c>
      <c r="R14" s="13" t="inlineStr"/>
    </row>
    <row r="15">
      <c r="A15" s="13" t="inlineStr">
        <is>
          <t>KAO</t>
        </is>
      </c>
      <c r="B15" s="13" t="inlineStr">
        <is>
          <t>Caolín</t>
        </is>
      </c>
      <c r="C15" s="13" t="inlineStr">
        <is>
          <t>1332-58-7</t>
        </is>
      </c>
      <c r="D15" s="13" t="inlineStr">
        <is>
          <t>Respirable</t>
        </is>
      </c>
      <c r="E15" s="13" t="inlineStr">
        <is>
          <t>mg/m³</t>
        </is>
      </c>
      <c r="F15" s="14" t="n">
        <v>2</v>
      </c>
      <c r="G15" s="14" t="n"/>
      <c r="H15" s="13" t="inlineStr">
        <is>
          <t>Mineral</t>
        </is>
      </c>
      <c r="I15" s="13" t="inlineStr">
        <is>
          <t>Respiratorio – neumoconiosis no fibrogénica</t>
        </is>
      </c>
      <c r="J15" s="13" t="inlineStr">
        <is>
          <t>Neumoconiosis</t>
        </is>
      </c>
      <c r="K15" s="13" t="inlineStr">
        <is>
          <t>A4 (E)</t>
        </is>
      </c>
      <c r="L15" s="13" t="inlineStr">
        <is>
          <t>NIOSH 0600 (gravimétrico, fracción respirable)</t>
        </is>
      </c>
      <c r="M15" s="13" t="inlineStr">
        <is>
          <t>Ciclón nylon 10 mm, 1,7 L/min; filtro PVC 37 mm 5 µm</t>
        </is>
      </c>
      <c r="N15" s="13" t="n"/>
      <c r="O15" s="14" t="n"/>
      <c r="P15" s="15">
        <f>IF(F15="","",IF(OR(ISNUMBER(SEARCH("A1",K15)),ISNUMBER(SEARCH("A2",K15)),N(F15)&lt;0.05),4,IF(N(F15)&lt;0.5,3,IF(N(F15)&lt;3,2,1))))</f>
        <v/>
      </c>
      <c r="Q15" s="13" t="inlineStr">
        <is>
          <t>Examen periódico con énfasis respiratorio y espirometría; Rx de tórax según criterio médico</t>
        </is>
      </c>
      <c r="R15" s="13" t="inlineStr"/>
    </row>
    <row r="16">
      <c r="A16" s="13" t="inlineStr">
        <is>
          <t>MICA</t>
        </is>
      </c>
      <c r="B16" s="13" t="inlineStr">
        <is>
          <t>Mica</t>
        </is>
      </c>
      <c r="C16" s="13" t="inlineStr">
        <is>
          <t>12001-26-2</t>
        </is>
      </c>
      <c r="D16" s="13" t="inlineStr">
        <is>
          <t>Respirable</t>
        </is>
      </c>
      <c r="E16" s="13" t="inlineStr">
        <is>
          <t>mg/m³</t>
        </is>
      </c>
      <c r="F16" s="14" t="n">
        <v>0.1</v>
      </c>
      <c r="G16" s="14" t="n"/>
      <c r="H16" s="13" t="inlineStr">
        <is>
          <t>Mineral</t>
        </is>
      </c>
      <c r="I16" s="13" t="inlineStr">
        <is>
          <t>Respiratorio – neumoconiosis no fibrogénica</t>
        </is>
      </c>
      <c r="J16" s="13" t="inlineStr">
        <is>
          <t>Neumoconiosis</t>
        </is>
      </c>
      <c r="K16" s="13" t="inlineStr">
        <is>
          <t>—</t>
        </is>
      </c>
      <c r="L16" s="13" t="inlineStr">
        <is>
          <t>NIOSH 0600 (gravimétrico, fracción respirable)</t>
        </is>
      </c>
      <c r="M16" s="13" t="inlineStr">
        <is>
          <t>Ciclón nylon 10 mm, 1,7 L/min; filtro PVC 37 mm 5 µm</t>
        </is>
      </c>
      <c r="N16" s="13" t="n"/>
      <c r="O16" s="14" t="n"/>
      <c r="P16" s="15">
        <f>IF(F16="","",IF(OR(ISNUMBER(SEARCH("A1",K16)),ISNUMBER(SEARCH("A2",K16)),N(F16)&lt;0.05),4,IF(N(F16)&lt;0.5,3,IF(N(F16)&lt;3,2,1))))</f>
        <v/>
      </c>
      <c r="Q16" s="13" t="inlineStr">
        <is>
          <t>Examen periódico con énfasis respiratorio y espirometría; Rx de tórax según criterio médico</t>
        </is>
      </c>
      <c r="R16" s="13" t="inlineStr"/>
    </row>
    <row r="17">
      <c r="A17" s="13" t="inlineStr">
        <is>
          <t>TALCO</t>
        </is>
      </c>
      <c r="B17" s="13" t="inlineStr">
        <is>
          <t>Talco sin fibras de asbesto</t>
        </is>
      </c>
      <c r="C17" s="13" t="inlineStr">
        <is>
          <t>14807-96-6</t>
        </is>
      </c>
      <c r="D17" s="13" t="inlineStr">
        <is>
          <t>Respirable</t>
        </is>
      </c>
      <c r="E17" s="13" t="inlineStr">
        <is>
          <t>mg/m³</t>
        </is>
      </c>
      <c r="F17" s="14" t="n">
        <v>2</v>
      </c>
      <c r="G17" s="14" t="n"/>
      <c r="H17" s="13" t="inlineStr">
        <is>
          <t>Mineral</t>
        </is>
      </c>
      <c r="I17" s="13" t="inlineStr">
        <is>
          <t>Respiratorio – neumoconiosis no fibrogénica</t>
        </is>
      </c>
      <c r="J17" s="13" t="inlineStr">
        <is>
          <t>Fibrosis pulmonar; función pulmonar</t>
        </is>
      </c>
      <c r="K17" s="13" t="inlineStr">
        <is>
          <t>A4 (E)</t>
        </is>
      </c>
      <c r="L17" s="13" t="inlineStr">
        <is>
          <t>NIOSH 0600 (gravimétrico, fracción respirable)</t>
        </is>
      </c>
      <c r="M17" s="13" t="inlineStr">
        <is>
          <t>Ciclón nylon 10 mm, 1,7 L/min; filtro PVC 37 mm 5 µm</t>
        </is>
      </c>
      <c r="N17" s="13" t="n"/>
      <c r="O17" s="14" t="n"/>
      <c r="P17" s="15">
        <f>IF(F17="","",IF(OR(ISNUMBER(SEARCH("A1",K17)),ISNUMBER(SEARCH("A2",K17)),N(F17)&lt;0.05),4,IF(N(F17)&lt;0.5,3,IF(N(F17)&lt;3,2,1))))</f>
        <v/>
      </c>
      <c r="Q17" s="13" t="inlineStr">
        <is>
          <t>Examen periódico con énfasis respiratorio y espirometría; Rx de tórax según criterio médico</t>
        </is>
      </c>
      <c r="R17" s="13" t="inlineStr">
        <is>
          <t>Si contiene fibras de asbesto, use el TLV de asbesto (NeumoRisk).</t>
        </is>
      </c>
    </row>
    <row r="18">
      <c r="A18" s="13" t="inlineStr">
        <is>
          <t>SIC-I</t>
        </is>
      </c>
      <c r="B18" s="13" t="inlineStr">
        <is>
          <t>Carburo de silicio no fibroso – inhalable</t>
        </is>
      </c>
      <c r="C18" s="13" t="inlineStr">
        <is>
          <t>409-21-2</t>
        </is>
      </c>
      <c r="D18" s="13" t="inlineStr">
        <is>
          <t>Inhalable</t>
        </is>
      </c>
      <c r="E18" s="13" t="inlineStr">
        <is>
          <t>mg/m³</t>
        </is>
      </c>
      <c r="F18" s="14" t="n">
        <v>10</v>
      </c>
      <c r="G18" s="14" t="n"/>
      <c r="H18" s="13" t="inlineStr">
        <is>
          <t>Mineral</t>
        </is>
      </c>
      <c r="I18" s="13" t="inlineStr">
        <is>
          <t>Respiratorio – neumoconiosis no fibrogénica</t>
        </is>
      </c>
      <c r="J18" s="13" t="inlineStr">
        <is>
          <t>Daño pulmonar</t>
        </is>
      </c>
      <c r="K18" s="13" t="inlineStr">
        <is>
          <t>—</t>
        </is>
      </c>
      <c r="L18" s="13" t="inlineStr">
        <is>
          <t>NIOSH 0500 (gravimétrico) o MDHS 14/4 (HSE)</t>
        </is>
      </c>
      <c r="M18" s="13" t="inlineStr">
        <is>
          <t>IOM inhalable, 2,0 L/min; filtro PVC 25 mm</t>
        </is>
      </c>
      <c r="N18" s="13" t="n"/>
      <c r="O18" s="14" t="n"/>
      <c r="P18" s="15">
        <f>IF(F18="","",IF(OR(ISNUMBER(SEARCH("A1",K18)),ISNUMBER(SEARCH("A2",K18)),N(F18)&lt;0.05),4,IF(N(F18)&lt;0.5,3,IF(N(F18)&lt;3,2,1))))</f>
        <v/>
      </c>
      <c r="Q18" s="13" t="inlineStr">
        <is>
          <t>Examen periódico con énfasis respiratorio y espirometría; Rx de tórax según criterio médico</t>
        </is>
      </c>
      <c r="R18" s="13" t="inlineStr">
        <is>
          <t>La forma fibrosa (whiskers) tiene TLV de 0,1 f/cc y es A2.</t>
        </is>
      </c>
    </row>
    <row r="19">
      <c r="A19" s="13" t="inlineStr">
        <is>
          <t>SIC-R</t>
        </is>
      </c>
      <c r="B19" s="13" t="inlineStr">
        <is>
          <t>Carburo de silicio no fibroso – respirable</t>
        </is>
      </c>
      <c r="C19" s="13" t="inlineStr">
        <is>
          <t>409-21-2</t>
        </is>
      </c>
      <c r="D19" s="13" t="inlineStr">
        <is>
          <t>Respirable</t>
        </is>
      </c>
      <c r="E19" s="13" t="inlineStr">
        <is>
          <t>mg/m³</t>
        </is>
      </c>
      <c r="F19" s="14" t="n">
        <v>3</v>
      </c>
      <c r="G19" s="14" t="n"/>
      <c r="H19" s="13" t="inlineStr">
        <is>
          <t>Mineral</t>
        </is>
      </c>
      <c r="I19" s="13" t="inlineStr">
        <is>
          <t>Respiratorio – neumoconiosis no fibrogénica</t>
        </is>
      </c>
      <c r="J19" s="13" t="inlineStr">
        <is>
          <t>Daño pulmonar</t>
        </is>
      </c>
      <c r="K19" s="13" t="inlineStr">
        <is>
          <t>—</t>
        </is>
      </c>
      <c r="L19" s="13" t="inlineStr">
        <is>
          <t>NIOSH 0600 (gravimétrico, fracción respirable)</t>
        </is>
      </c>
      <c r="M19" s="13" t="inlineStr">
        <is>
          <t>Ciclón nylon 10 mm, 1,7 L/min; filtro PVC 37 mm 5 µm</t>
        </is>
      </c>
      <c r="N19" s="13" t="n"/>
      <c r="O19" s="14" t="n"/>
      <c r="P19" s="15">
        <f>IF(F19="","",IF(OR(ISNUMBER(SEARCH("A1",K19)),ISNUMBER(SEARCH("A2",K19)),N(F19)&lt;0.05),4,IF(N(F19)&lt;0.5,3,IF(N(F19)&lt;3,2,1))))</f>
        <v/>
      </c>
      <c r="Q19" s="13" t="inlineStr">
        <is>
          <t>Examen periódico con énfasis respiratorio y espirometría; Rx de tórax según criterio médico</t>
        </is>
      </c>
      <c r="R19" s="13" t="inlineStr"/>
    </row>
    <row r="20">
      <c r="A20" s="13" t="inlineStr">
        <is>
          <t>TIO2</t>
        </is>
      </c>
      <c r="B20" s="13" t="inlineStr">
        <is>
          <t>Dióxido de titanio – partículas de escala fina</t>
        </is>
      </c>
      <c r="C20" s="13" t="inlineStr">
        <is>
          <t>13463-67-7</t>
        </is>
      </c>
      <c r="D20" s="13" t="inlineStr">
        <is>
          <t>Respirable</t>
        </is>
      </c>
      <c r="E20" s="13" t="inlineStr">
        <is>
          <t>mg/m³</t>
        </is>
      </c>
      <c r="F20" s="14" t="n">
        <v>2.5</v>
      </c>
      <c r="G20" s="14" t="n"/>
      <c r="H20" s="13" t="inlineStr">
        <is>
          <t>Mineral</t>
        </is>
      </c>
      <c r="I20" s="13" t="inlineStr">
        <is>
          <t>Respiratorio – neumoconiosis no fibrogénica</t>
        </is>
      </c>
      <c r="J20" s="13" t="inlineStr">
        <is>
          <t>Irritación de vías respiratorias inferiores; neumoconiosis</t>
        </is>
      </c>
      <c r="K20" s="13" t="inlineStr">
        <is>
          <t>A3</t>
        </is>
      </c>
      <c r="L20" s="13" t="inlineStr">
        <is>
          <t>NIOSH 0600 (gravimétrico, fracción respirable)</t>
        </is>
      </c>
      <c r="M20" s="13" t="inlineStr">
        <is>
          <t>Ciclón nylon 10 mm, 1,7 L/min; filtro PVC 37 mm 5 µm</t>
        </is>
      </c>
      <c r="N20" s="13" t="n"/>
      <c r="O20" s="14" t="n"/>
      <c r="P20" s="15">
        <f>IF(F20="","",IF(OR(ISNUMBER(SEARCH("A1",K20)),ISNUMBER(SEARCH("A2",K20)),N(F20)&lt;0.05),4,IF(N(F20)&lt;0.5,3,IF(N(F20)&lt;3,2,1))))</f>
        <v/>
      </c>
      <c r="Q20" s="13" t="inlineStr">
        <is>
          <t>Examen periódico con énfasis respiratorio y espirometría; Rx de tórax según criterio médico</t>
        </is>
      </c>
      <c r="R20" s="13" t="inlineStr">
        <is>
          <t>Partículas de escala nanométrica: 0,2 mg/m³ (R).</t>
        </is>
      </c>
    </row>
    <row r="21">
      <c r="A21" s="13" t="inlineStr">
        <is>
          <t>AL</t>
        </is>
      </c>
      <c r="B21" s="13" t="inlineStr">
        <is>
          <t>Aluminio metálico y compuestos insolubles</t>
        </is>
      </c>
      <c r="C21" s="13" t="inlineStr">
        <is>
          <t>7429-90-5</t>
        </is>
      </c>
      <c r="D21" s="13" t="inlineStr">
        <is>
          <t>Respirable</t>
        </is>
      </c>
      <c r="E21" s="13" t="inlineStr">
        <is>
          <t>mg/m³</t>
        </is>
      </c>
      <c r="F21" s="14" t="n">
        <v>1</v>
      </c>
      <c r="G21" s="14" t="n"/>
      <c r="H21" s="13" t="inlineStr">
        <is>
          <t>Metal</t>
        </is>
      </c>
      <c r="I21" s="13" t="inlineStr">
        <is>
          <t>Respiratorio – neumoconiosis no fibrogénica</t>
        </is>
      </c>
      <c r="J21" s="13" t="inlineStr">
        <is>
          <t>Neumoconiosis; irritación de VRI; neurotoxicidad</t>
        </is>
      </c>
      <c r="K21" s="13" t="inlineStr">
        <is>
          <t>A4</t>
        </is>
      </c>
      <c r="L21" s="13" t="inlineStr">
        <is>
          <t>NIOSH 7303 / 7300 (ICP-AES) sobre muestra respirable</t>
        </is>
      </c>
      <c r="M21" s="13" t="inlineStr">
        <is>
          <t>Ciclón nylon 10 mm, 1,7 L/min; filtro MCE 0,8 µm</t>
        </is>
      </c>
      <c r="N21" s="13" t="n"/>
      <c r="O21" s="14" t="n"/>
      <c r="P21" s="15">
        <f>IF(F21="","",IF(OR(ISNUMBER(SEARCH("A1",K21)),ISNUMBER(SEARCH("A2",K21)),N(F21)&lt;0.05),4,IF(N(F21)&lt;0.5,3,IF(N(F21)&lt;3,2,1))))</f>
        <v/>
      </c>
      <c r="Q21" s="13" t="inlineStr">
        <is>
          <t>Examen periódico con énfasis respiratorio y espirometría; Rx de tórax según criterio médico</t>
        </is>
      </c>
      <c r="R21" s="13" t="inlineStr"/>
    </row>
    <row r="22">
      <c r="A22" s="13" t="inlineStr">
        <is>
          <t>FE2O3</t>
        </is>
      </c>
      <c r="B22" s="13" t="inlineStr">
        <is>
          <t>Óxido de hierro (Fe₂O₃)</t>
        </is>
      </c>
      <c r="C22" s="13" t="inlineStr">
        <is>
          <t>1309-37-1</t>
        </is>
      </c>
      <c r="D22" s="13" t="inlineStr">
        <is>
          <t>Respirable</t>
        </is>
      </c>
      <c r="E22" s="13" t="inlineStr">
        <is>
          <t>mg/m³</t>
        </is>
      </c>
      <c r="F22" s="14" t="n">
        <v>5</v>
      </c>
      <c r="G22" s="14" t="n"/>
      <c r="H22" s="13" t="inlineStr">
        <is>
          <t>Metal</t>
        </is>
      </c>
      <c r="I22" s="13" t="inlineStr">
        <is>
          <t>Respiratorio – neumoconiosis no fibrogénica</t>
        </is>
      </c>
      <c r="J22" s="13" t="inlineStr">
        <is>
          <t>Neumoconiosis (siderosis)</t>
        </is>
      </c>
      <c r="K22" s="13" t="inlineStr">
        <is>
          <t>A4</t>
        </is>
      </c>
      <c r="L22" s="13" t="inlineStr">
        <is>
          <t>NIOSH 7303 / 7300 (ICP-AES) sobre muestra respirable</t>
        </is>
      </c>
      <c r="M22" s="13" t="inlineStr">
        <is>
          <t>Ciclón nylon 10 mm, 1,7 L/min; filtro MCE 0,8 µm</t>
        </is>
      </c>
      <c r="N22" s="13" t="n"/>
      <c r="O22" s="14" t="n"/>
      <c r="P22" s="15">
        <f>IF(F22="","",IF(OR(ISNUMBER(SEARCH("A1",K22)),ISNUMBER(SEARCH("A2",K22)),N(F22)&lt;0.05),4,IF(N(F22)&lt;0.5,3,IF(N(F22)&lt;3,2,1))))</f>
        <v/>
      </c>
      <c r="Q22" s="13" t="inlineStr">
        <is>
          <t>Examen periódico con énfasis respiratorio y espirometría; Rx de tórax según criterio médico</t>
        </is>
      </c>
      <c r="R22" s="13" t="inlineStr">
        <is>
          <t>Componente principal de los humos de soldadura de acero al carbono.</t>
        </is>
      </c>
    </row>
    <row r="23">
      <c r="A23" s="13" t="inlineStr">
        <is>
          <t>MN-R</t>
        </is>
      </c>
      <c r="B23" s="13" t="inlineStr">
        <is>
          <t>Manganeso, elemental y compuestos inorgánicos – respirable</t>
        </is>
      </c>
      <c r="C23" s="13" t="inlineStr">
        <is>
          <t>7439-96-5</t>
        </is>
      </c>
      <c r="D23" s="13" t="inlineStr">
        <is>
          <t>Respirable</t>
        </is>
      </c>
      <c r="E23" s="13" t="inlineStr">
        <is>
          <t>mg/m³</t>
        </is>
      </c>
      <c r="F23" s="14" t="n">
        <v>0.02</v>
      </c>
      <c r="G23" s="14" t="n"/>
      <c r="H23" s="13" t="inlineStr">
        <is>
          <t>Metal</t>
        </is>
      </c>
      <c r="I23" s="13" t="inlineStr">
        <is>
          <t>Sistema nervioso central</t>
        </is>
      </c>
      <c r="J23" s="13" t="inlineStr">
        <is>
          <t>Alteración del sistema nervioso central</t>
        </is>
      </c>
      <c r="K23" s="13" t="inlineStr">
        <is>
          <t>A4</t>
        </is>
      </c>
      <c r="L23" s="13" t="inlineStr">
        <is>
          <t>NIOSH 7303 / 7300 (ICP-AES) sobre muestra respirable</t>
        </is>
      </c>
      <c r="M23" s="13" t="inlineStr">
        <is>
          <t>Ciclón nylon 10 mm, 1,7 L/min; filtro MCE 0,8 µm</t>
        </is>
      </c>
      <c r="N23" s="13" t="n"/>
      <c r="O23" s="14" t="n"/>
      <c r="P23" s="15">
        <f>IF(F23="","",IF(OR(ISNUMBER(SEARCH("A1",K23)),ISNUMBER(SEARCH("A2",K23)),N(F23)&lt;0.05),4,IF(N(F23)&lt;0.5,3,IF(N(F23)&lt;3,2,1))))</f>
        <v/>
      </c>
      <c r="Q23" s="13" t="inlineStr">
        <is>
          <t>Examen neurológico periódico (temblor, alteraciones de la marcha, cuestionario neuroconductual)</t>
        </is>
      </c>
      <c r="R23" s="13" t="inlineStr">
        <is>
          <t>Soldadura, aceros al manganeso, ferroaleaciones. Evaluar en el mismo filtro que el óxido de hierro.</t>
        </is>
      </c>
    </row>
    <row r="24">
      <c r="A24" s="13" t="inlineStr">
        <is>
          <t>MN-I</t>
        </is>
      </c>
      <c r="B24" s="13" t="inlineStr">
        <is>
          <t>Manganeso, elemental y compuestos inorgánicos – inhalable</t>
        </is>
      </c>
      <c r="C24" s="13" t="inlineStr">
        <is>
          <t>7439-96-5</t>
        </is>
      </c>
      <c r="D24" s="13" t="inlineStr">
        <is>
          <t>Inhalable</t>
        </is>
      </c>
      <c r="E24" s="13" t="inlineStr">
        <is>
          <t>mg/m³</t>
        </is>
      </c>
      <c r="F24" s="14" t="n">
        <v>0.1</v>
      </c>
      <c r="G24" s="14" t="n"/>
      <c r="H24" s="13" t="inlineStr">
        <is>
          <t>Metal</t>
        </is>
      </c>
      <c r="I24" s="13" t="inlineStr">
        <is>
          <t>Sistema nervioso central</t>
        </is>
      </c>
      <c r="J24" s="13" t="inlineStr">
        <is>
          <t>Alteración del sistema nervioso central</t>
        </is>
      </c>
      <c r="K24" s="13" t="inlineStr">
        <is>
          <t>A4</t>
        </is>
      </c>
      <c r="L24" s="13" t="inlineStr">
        <is>
          <t>NIOSH 7303 / 7300 (ICP-AES) u OSHA ID-125G; laboratorio acreditado</t>
        </is>
      </c>
      <c r="M24" s="13" t="inlineStr">
        <is>
          <t>IOM inhalable, 2,0 L/min; filtro MCE 0,8 µm (humos: casete abierto bajo la careta)</t>
        </is>
      </c>
      <c r="N24" s="13" t="n"/>
      <c r="O24" s="14" t="n"/>
      <c r="P24" s="15">
        <f>IF(F24="","",IF(OR(ISNUMBER(SEARCH("A1",K24)),ISNUMBER(SEARCH("A2",K24)),N(F24)&lt;0.05),4,IF(N(F24)&lt;0.5,3,IF(N(F24)&lt;3,2,1))))</f>
        <v/>
      </c>
      <c r="Q24" s="13" t="inlineStr">
        <is>
          <t>Examen neurológico periódico (temblor, alteraciones de la marcha, cuestionario neuroconductual)</t>
        </is>
      </c>
      <c r="R24" s="13" t="inlineStr"/>
    </row>
    <row r="25">
      <c r="A25" s="13" t="inlineStr">
        <is>
          <t>PB</t>
        </is>
      </c>
      <c r="B25" s="13" t="inlineStr">
        <is>
          <t>Plomo y compuestos inorgánicos, como Pb</t>
        </is>
      </c>
      <c r="C25" s="13" t="inlineStr">
        <is>
          <t>7439-92-1</t>
        </is>
      </c>
      <c r="D25" s="13" t="inlineStr">
        <is>
          <t>Total</t>
        </is>
      </c>
      <c r="E25" s="13" t="inlineStr">
        <is>
          <t>mg/m³</t>
        </is>
      </c>
      <c r="F25" s="14" t="n">
        <v>0.05</v>
      </c>
      <c r="G25" s="14" t="n"/>
      <c r="H25" s="13" t="inlineStr">
        <is>
          <t>Metal</t>
        </is>
      </c>
      <c r="I25" s="13" t="inlineStr">
        <is>
          <t>Hematológico y renal</t>
        </is>
      </c>
      <c r="J25" s="13" t="inlineStr">
        <is>
          <t>Alteración del SNC y SNP; efectos hematológicos</t>
        </is>
      </c>
      <c r="K25" s="13" t="inlineStr">
        <is>
          <t>A3; BEI</t>
        </is>
      </c>
      <c r="L25" s="13" t="inlineStr">
        <is>
          <t>NIOSH 7303 / 7300 (ICP-AES)</t>
        </is>
      </c>
      <c r="M25" s="13" t="inlineStr">
        <is>
          <t>Casete 37 mm, 2 L/min; filtro MCE 0,8 µm</t>
        </is>
      </c>
      <c r="N25" s="13" t="inlineStr">
        <is>
          <t>Plomo en sangre (µg/L)</t>
        </is>
      </c>
      <c r="O25" s="14" t="n">
        <v>200</v>
      </c>
      <c r="P25" s="15">
        <f>IF(F25="","",IF(OR(ISNUMBER(SEARCH("A1",K25)),ISNUMBER(SEARCH("A2",K25)),N(F25)&lt;0.05),4,IF(N(F25)&lt;0.5,3,IF(N(F25)&lt;3,2,1))))</f>
        <v/>
      </c>
      <c r="Q25" s="13" t="inlineStr">
        <is>
          <t>Plombemia periódica; hemograma; función renal; examen neurológico. Asesorar a trabajadoras en edad fértil.</t>
        </is>
      </c>
      <c r="R25" s="13" t="inlineStr"/>
    </row>
    <row r="26">
      <c r="A26" s="13" t="inlineStr">
        <is>
          <t>CD</t>
        </is>
      </c>
      <c r="B26" s="13" t="inlineStr">
        <is>
          <t>Cadmio y compuestos, como Cd</t>
        </is>
      </c>
      <c r="C26" s="13" t="inlineStr">
        <is>
          <t>7440-43-9</t>
        </is>
      </c>
      <c r="D26" s="13" t="inlineStr">
        <is>
          <t>Total</t>
        </is>
      </c>
      <c r="E26" s="13" t="inlineStr">
        <is>
          <t>mg/m³</t>
        </is>
      </c>
      <c r="F26" s="14" t="n">
        <v>0.01</v>
      </c>
      <c r="G26" s="14" t="n"/>
      <c r="H26" s="13" t="inlineStr">
        <is>
          <t>Metal carcinógeno</t>
        </is>
      </c>
      <c r="I26" s="13" t="inlineStr">
        <is>
          <t>Hematológico y renal</t>
        </is>
      </c>
      <c r="J26" s="13" t="inlineStr">
        <is>
          <t>Daño renal</t>
        </is>
      </c>
      <c r="K26" s="13" t="inlineStr">
        <is>
          <t>A2; BEI</t>
        </is>
      </c>
      <c r="L26" s="13" t="inlineStr">
        <is>
          <t>NIOSH 7303 / 7300 (ICP-AES)</t>
        </is>
      </c>
      <c r="M26" s="13" t="inlineStr">
        <is>
          <t>Casete 37 mm, 2 L/min; filtro MCE 0,8 µm</t>
        </is>
      </c>
      <c r="N26" s="13" t="inlineStr">
        <is>
          <t>Cadmio en orina (µg/g creatinina)</t>
        </is>
      </c>
      <c r="O26" s="14" t="n">
        <v>5</v>
      </c>
      <c r="P26" s="15">
        <f>IF(F26="","",IF(OR(ISNUMBER(SEARCH("A1",K26)),ISNUMBER(SEARCH("A2",K26)),N(F26)&lt;0.05),4,IF(N(F26)&lt;0.5,3,IF(N(F26)&lt;3,2,1))))</f>
        <v/>
      </c>
      <c r="Q26" s="13" t="inlineStr">
        <is>
          <t>Cadmio en orina o sangre; función renal (β2-microglobulina); espirometría</t>
        </is>
      </c>
      <c r="R26" s="13" t="inlineStr">
        <is>
          <t>Fracción respirable: 0,002 mg/m³ (R).</t>
        </is>
      </c>
    </row>
    <row r="27">
      <c r="A27" s="13" t="inlineStr">
        <is>
          <t>CD-R</t>
        </is>
      </c>
      <c r="B27" s="13" t="inlineStr">
        <is>
          <t>Cadmio y compuestos, como Cd – respirable</t>
        </is>
      </c>
      <c r="C27" s="13" t="inlineStr">
        <is>
          <t>7440-43-9</t>
        </is>
      </c>
      <c r="D27" s="13" t="inlineStr">
        <is>
          <t>Respirable</t>
        </is>
      </c>
      <c r="E27" s="13" t="inlineStr">
        <is>
          <t>mg/m³</t>
        </is>
      </c>
      <c r="F27" s="14" t="n">
        <v>0.002</v>
      </c>
      <c r="G27" s="14" t="n"/>
      <c r="H27" s="13" t="inlineStr">
        <is>
          <t>Metal carcinógeno</t>
        </is>
      </c>
      <c r="I27" s="13" t="inlineStr">
        <is>
          <t>Hematológico y renal</t>
        </is>
      </c>
      <c r="J27" s="13" t="inlineStr">
        <is>
          <t>Daño renal</t>
        </is>
      </c>
      <c r="K27" s="13" t="inlineStr">
        <is>
          <t>A2; BEI</t>
        </is>
      </c>
      <c r="L27" s="13" t="inlineStr">
        <is>
          <t>NIOSH 7303 / 7300 (ICP-AES) sobre muestra respirable</t>
        </is>
      </c>
      <c r="M27" s="13" t="inlineStr">
        <is>
          <t>Ciclón nylon 10 mm, 1,7 L/min; filtro MCE 0,8 µm</t>
        </is>
      </c>
      <c r="N27" s="13" t="inlineStr">
        <is>
          <t>Cadmio en orina (µg/g creatinina)</t>
        </is>
      </c>
      <c r="O27" s="14" t="n">
        <v>5</v>
      </c>
      <c r="P27" s="15">
        <f>IF(F27="","",IF(OR(ISNUMBER(SEARCH("A1",K27)),ISNUMBER(SEARCH("A2",K27)),N(F27)&lt;0.05),4,IF(N(F27)&lt;0.5,3,IF(N(F27)&lt;3,2,1))))</f>
        <v/>
      </c>
      <c r="Q27" s="13" t="inlineStr">
        <is>
          <t>Cadmio en orina o sangre; función renal (β2-microglobulina); espirometría</t>
        </is>
      </c>
      <c r="R27" s="13" t="inlineStr"/>
    </row>
    <row r="28">
      <c r="A28" s="13" t="inlineStr">
        <is>
          <t>CR0</t>
        </is>
      </c>
      <c r="B28" s="13" t="inlineStr">
        <is>
          <t>Cromo metálico, como Cr(0)</t>
        </is>
      </c>
      <c r="C28" s="13" t="inlineStr">
        <is>
          <t>7440-47-3</t>
        </is>
      </c>
      <c r="D28" s="13" t="inlineStr">
        <is>
          <t>Inhalable</t>
        </is>
      </c>
      <c r="E28" s="13" t="inlineStr">
        <is>
          <t>mg/m³</t>
        </is>
      </c>
      <c r="F28" s="14" t="n">
        <v>0.5</v>
      </c>
      <c r="G28" s="14" t="n"/>
      <c r="H28" s="13" t="inlineStr">
        <is>
          <t>Metal</t>
        </is>
      </c>
      <c r="I28" s="13" t="inlineStr">
        <is>
          <t>Respiratorio – irritación y función pulmonar</t>
        </is>
      </c>
      <c r="J28" s="13" t="inlineStr">
        <is>
          <t>Irritación del tracto respiratorio</t>
        </is>
      </c>
      <c r="K28" s="13" t="inlineStr">
        <is>
          <t>—</t>
        </is>
      </c>
      <c r="L28" s="13" t="inlineStr">
        <is>
          <t>NIOSH 7303 / 7300 (ICP-AES) u OSHA ID-125G; laboratorio acreditado</t>
        </is>
      </c>
      <c r="M28" s="13" t="inlineStr">
        <is>
          <t>IOM inhalable, 2,0 L/min; filtro MCE 0,8 µm (humos: casete abierto bajo la careta)</t>
        </is>
      </c>
      <c r="N28" s="13" t="n"/>
      <c r="O28" s="14" t="n"/>
      <c r="P28" s="15">
        <f>IF(F28="","",IF(OR(ISNUMBER(SEARCH("A1",K28)),ISNUMBER(SEARCH("A2",K28)),N(F28)&lt;0.05),4,IF(N(F28)&lt;0.5,3,IF(N(F28)&lt;3,2,1))))</f>
        <v/>
      </c>
      <c r="Q28" s="13" t="inlineStr">
        <is>
          <t>Examen periódico; cuestionario de síntomas respiratorios y espirometría si hay exposición sobre el nivel de acción</t>
        </is>
      </c>
      <c r="R28" s="13" t="inlineStr"/>
    </row>
    <row r="29">
      <c r="A29" s="13" t="inlineStr">
        <is>
          <t>CR3</t>
        </is>
      </c>
      <c r="B29" s="13" t="inlineStr">
        <is>
          <t>Compuestos de cromo trivalente, como Cr(III)</t>
        </is>
      </c>
      <c r="C29" s="13" t="inlineStr">
        <is>
          <t>7440-47-3</t>
        </is>
      </c>
      <c r="D29" s="13" t="inlineStr">
        <is>
          <t>Inhalable</t>
        </is>
      </c>
      <c r="E29" s="13" t="inlineStr">
        <is>
          <t>mg/m³</t>
        </is>
      </c>
      <c r="F29" s="14" t="n">
        <v>0.003</v>
      </c>
      <c r="G29" s="14" t="n"/>
      <c r="H29" s="13" t="inlineStr">
        <is>
          <t>Metal</t>
        </is>
      </c>
      <c r="I29" s="13" t="inlineStr">
        <is>
          <t>Sensibilización (piel o respiratoria)</t>
        </is>
      </c>
      <c r="J29" s="13" t="inlineStr">
        <is>
          <t>Irritación respiratoria; asma</t>
        </is>
      </c>
      <c r="K29" s="13" t="inlineStr">
        <is>
          <t>A4; DSEN y RSEN (solubles)</t>
        </is>
      </c>
      <c r="L29" s="13" t="inlineStr">
        <is>
          <t>NIOSH 7303 / 7300 (ICP-AES) u OSHA ID-125G; laboratorio acreditado</t>
        </is>
      </c>
      <c r="M29" s="13" t="inlineStr">
        <is>
          <t>IOM inhalable, 2,0 L/min; filtro MCE 0,8 µm (humos: casete abierto bajo la careta)</t>
        </is>
      </c>
      <c r="N29" s="13" t="n"/>
      <c r="O29" s="14" t="n"/>
      <c r="P29" s="15">
        <f>IF(F29="","",IF(OR(ISNUMBER(SEARCH("A1",K29)),ISNUMBER(SEARCH("A2",K29)),N(F29)&lt;0.05),4,IF(N(F29)&lt;0.5,3,IF(N(F29)&lt;3,2,1))))</f>
        <v/>
      </c>
      <c r="Q29" s="13" t="inlineStr">
        <is>
          <t>Cuestionario de asma; espirometría; examen de piel</t>
        </is>
      </c>
      <c r="R29" s="13" t="inlineStr"/>
    </row>
    <row r="30">
      <c r="A30" s="13" t="inlineStr">
        <is>
          <t>CR6</t>
        </is>
      </c>
      <c r="B30" s="13" t="inlineStr">
        <is>
          <t>Compuestos de cromo hexavalente, como Cr(VI)</t>
        </is>
      </c>
      <c r="C30" s="13" t="inlineStr">
        <is>
          <t>18540-29-9</t>
        </is>
      </c>
      <c r="D30" s="13" t="inlineStr">
        <is>
          <t>Inhalable</t>
        </is>
      </c>
      <c r="E30" s="13" t="inlineStr">
        <is>
          <t>mg/m³</t>
        </is>
      </c>
      <c r="F30" s="14" t="n">
        <v>0.0002</v>
      </c>
      <c r="G30" s="14" t="n">
        <v>0.0005</v>
      </c>
      <c r="H30" s="13" t="inlineStr">
        <is>
          <t>Metal carcinógeno</t>
        </is>
      </c>
      <c r="I30" s="13" t="inlineStr">
        <is>
          <t>Cáncer de pulmón</t>
        </is>
      </c>
      <c r="J30" s="13" t="inlineStr">
        <is>
          <t>Cáncer de pulmón y senonasal; irritación respiratoria; asma</t>
        </is>
      </c>
      <c r="K30" s="13" t="inlineStr">
        <is>
          <t>A1; DSEN; RSEN; BEI</t>
        </is>
      </c>
      <c r="L30" s="13" t="inlineStr">
        <is>
          <t>NIOSH 7605 u OSHA ID-215 (cromatografía iónica)</t>
        </is>
      </c>
      <c r="M30" s="13" t="inlineStr">
        <is>
          <t>IOM inhalable, 2,0 L/min; filtro PVC 5 µm</t>
        </is>
      </c>
      <c r="N30" s="13" t="inlineStr">
        <is>
          <t>Cromo total en orina (µg/L) – valor poblacional (Pop)</t>
        </is>
      </c>
      <c r="O30" s="14" t="n">
        <v>0.7</v>
      </c>
      <c r="P30" s="15">
        <f>IF(F30="","",IF(OR(ISNUMBER(SEARCH("A1",K30)),ISNUMBER(SEARCH("A2",K30)),N(F30)&lt;0.05),4,IF(N(F30)&lt;0.5,3,IF(N(F30)&lt;3,2,1))))</f>
        <v/>
      </c>
      <c r="Q30" s="13" t="inlineStr">
        <is>
          <t>Examen de tabique nasal y piel; espirometría; cromo en orina (valor poblacional)</t>
        </is>
      </c>
      <c r="R30" s="13" t="inlineStr">
        <is>
          <t>Soldadura y corte de acero inoxidable, cromado, pigmentos. Carcinógeno: mantener la exposición tan baja como sea posible.</t>
        </is>
      </c>
    </row>
    <row r="31">
      <c r="A31" s="13" t="inlineStr">
        <is>
          <t>NI-E</t>
        </is>
      </c>
      <c r="B31" s="13" t="inlineStr">
        <is>
          <t>Níquel elemental</t>
        </is>
      </c>
      <c r="C31" s="13" t="inlineStr">
        <is>
          <t>7440-02-0</t>
        </is>
      </c>
      <c r="D31" s="13" t="inlineStr">
        <is>
          <t>Inhalable</t>
        </is>
      </c>
      <c r="E31" s="13" t="inlineStr">
        <is>
          <t>mg/m³</t>
        </is>
      </c>
      <c r="F31" s="14" t="n">
        <v>1.5</v>
      </c>
      <c r="G31" s="14" t="n"/>
      <c r="H31" s="13" t="inlineStr">
        <is>
          <t>Metal</t>
        </is>
      </c>
      <c r="I31" s="13" t="inlineStr">
        <is>
          <t>Respiratorio – neumoconiosis no fibrogénica</t>
        </is>
      </c>
      <c r="J31" s="13" t="inlineStr">
        <is>
          <t>Dermatitis; neumoconiosis</t>
        </is>
      </c>
      <c r="K31" s="13" t="inlineStr">
        <is>
          <t>A5; BEI</t>
        </is>
      </c>
      <c r="L31" s="13" t="inlineStr">
        <is>
          <t>NIOSH 7303 / 7300 (ICP-AES) u OSHA ID-125G; laboratorio acreditado</t>
        </is>
      </c>
      <c r="M31" s="13" t="inlineStr">
        <is>
          <t>IOM inhalable, 2,0 L/min; filtro MCE 0,8 µm (humos: casete abierto bajo la careta)</t>
        </is>
      </c>
      <c r="N31" s="13" t="inlineStr">
        <is>
          <t>Níquel en orina (µg/L)</t>
        </is>
      </c>
      <c r="O31" s="14" t="n">
        <v>5</v>
      </c>
      <c r="P31" s="15">
        <f>IF(F31="","",IF(OR(ISNUMBER(SEARCH("A1",K31)),ISNUMBER(SEARCH("A2",K31)),N(F31)&lt;0.05),4,IF(N(F31)&lt;0.5,3,IF(N(F31)&lt;3,2,1))))</f>
        <v/>
      </c>
      <c r="Q31" s="13" t="inlineStr">
        <is>
          <t>Níquel en orina; examen de piel; espirometría</t>
        </is>
      </c>
      <c r="R31" s="13" t="inlineStr"/>
    </row>
    <row r="32">
      <c r="A32" s="13" t="inlineStr">
        <is>
          <t>NI-S</t>
        </is>
      </c>
      <c r="B32" s="13" t="inlineStr">
        <is>
          <t>Níquel, compuestos inorgánicos solubles, como Ni</t>
        </is>
      </c>
      <c r="C32" s="13" t="inlineStr">
        <is>
          <t>7440-02-0</t>
        </is>
      </c>
      <c r="D32" s="13" t="inlineStr">
        <is>
          <t>Inhalable</t>
        </is>
      </c>
      <c r="E32" s="13" t="inlineStr">
        <is>
          <t>mg/m³</t>
        </is>
      </c>
      <c r="F32" s="14" t="n">
        <v>0.1</v>
      </c>
      <c r="G32" s="14" t="n"/>
      <c r="H32" s="13" t="inlineStr">
        <is>
          <t>Metal</t>
        </is>
      </c>
      <c r="I32" s="13" t="inlineStr">
        <is>
          <t>Respiratorio – irritación y función pulmonar</t>
        </is>
      </c>
      <c r="J32" s="13" t="inlineStr">
        <is>
          <t>Daño pulmonar; cáncer nasal</t>
        </is>
      </c>
      <c r="K32" s="13" t="inlineStr">
        <is>
          <t>A4; BEI</t>
        </is>
      </c>
      <c r="L32" s="13" t="inlineStr">
        <is>
          <t>NIOSH 7303 / 7300 (ICP-AES) u OSHA ID-125G; laboratorio acreditado</t>
        </is>
      </c>
      <c r="M32" s="13" t="inlineStr">
        <is>
          <t>IOM inhalable, 2,0 L/min; filtro MCE 0,8 µm (humos: casete abierto bajo la careta)</t>
        </is>
      </c>
      <c r="N32" s="13" t="inlineStr">
        <is>
          <t>Níquel en orina (µg/L)</t>
        </is>
      </c>
      <c r="O32" s="14" t="n">
        <v>30</v>
      </c>
      <c r="P32" s="15">
        <f>IF(F32="","",IF(OR(ISNUMBER(SEARCH("A1",K32)),ISNUMBER(SEARCH("A2",K32)),N(F32)&lt;0.05),4,IF(N(F32)&lt;0.5,3,IF(N(F32)&lt;3,2,1))))</f>
        <v/>
      </c>
      <c r="Q32" s="13" t="inlineStr">
        <is>
          <t>Níquel en orina; examen nasal y de piel; espirometría</t>
        </is>
      </c>
      <c r="R32" s="13" t="inlineStr"/>
    </row>
    <row r="33">
      <c r="A33" s="13" t="inlineStr">
        <is>
          <t>NI-I</t>
        </is>
      </c>
      <c r="B33" s="13" t="inlineStr">
        <is>
          <t>Níquel, compuestos inorgánicos insolubles, como Ni</t>
        </is>
      </c>
      <c r="C33" s="13" t="inlineStr">
        <is>
          <t>7440-02-0</t>
        </is>
      </c>
      <c r="D33" s="13" t="inlineStr">
        <is>
          <t>Inhalable</t>
        </is>
      </c>
      <c r="E33" s="13" t="inlineStr">
        <is>
          <t>mg/m³</t>
        </is>
      </c>
      <c r="F33" s="14" t="n">
        <v>0.2</v>
      </c>
      <c r="G33" s="14" t="n"/>
      <c r="H33" s="13" t="inlineStr">
        <is>
          <t>Metal carcinógeno</t>
        </is>
      </c>
      <c r="I33" s="13" t="inlineStr">
        <is>
          <t>Cáncer de pulmón</t>
        </is>
      </c>
      <c r="J33" s="13" t="inlineStr">
        <is>
          <t>Cáncer de pulmón</t>
        </is>
      </c>
      <c r="K33" s="13" t="inlineStr">
        <is>
          <t>A1; BEI</t>
        </is>
      </c>
      <c r="L33" s="13" t="inlineStr">
        <is>
          <t>NIOSH 7303 / 7300 (ICP-AES) u OSHA ID-125G; laboratorio acreditado</t>
        </is>
      </c>
      <c r="M33" s="13" t="inlineStr">
        <is>
          <t>IOM inhalable, 2,0 L/min; filtro MCE 0,8 µm (humos: casete abierto bajo la careta)</t>
        </is>
      </c>
      <c r="N33" s="13" t="inlineStr">
        <is>
          <t>Níquel en orina (µg/L)</t>
        </is>
      </c>
      <c r="O33" s="14" t="n">
        <v>5</v>
      </c>
      <c r="P33" s="15">
        <f>IF(F33="","",IF(OR(ISNUMBER(SEARCH("A1",K33)),ISNUMBER(SEARCH("A2",K33)),N(F33)&lt;0.05),4,IF(N(F33)&lt;0.5,3,IF(N(F33)&lt;3,2,1))))</f>
        <v/>
      </c>
      <c r="Q33" s="13" t="inlineStr">
        <is>
          <t>Níquel en orina; examen de piel; espirometría y vigilancia respiratoria</t>
        </is>
      </c>
      <c r="R33" s="13" t="inlineStr"/>
    </row>
    <row r="34">
      <c r="A34" s="13" t="inlineStr">
        <is>
          <t>CO</t>
        </is>
      </c>
      <c r="B34" s="13" t="inlineStr">
        <is>
          <t>Cobalto y compuestos inorgánicos, como Co</t>
        </is>
      </c>
      <c r="C34" s="13" t="inlineStr">
        <is>
          <t>7440-48-4</t>
        </is>
      </c>
      <c r="D34" s="13" t="inlineStr">
        <is>
          <t>Inhalable</t>
        </is>
      </c>
      <c r="E34" s="13" t="inlineStr">
        <is>
          <t>mg/m³</t>
        </is>
      </c>
      <c r="F34" s="14" t="n">
        <v>0.02</v>
      </c>
      <c r="G34" s="14" t="n"/>
      <c r="H34" s="13" t="inlineStr">
        <is>
          <t>Metal</t>
        </is>
      </c>
      <c r="I34" s="13" t="inlineStr">
        <is>
          <t>Sensibilización (piel o respiratoria)</t>
        </is>
      </c>
      <c r="J34" s="13" t="inlineStr">
        <is>
          <t>Cambios en la función pulmonar</t>
        </is>
      </c>
      <c r="K34" s="13" t="inlineStr">
        <is>
          <t>A3; DSEN; RSEN; BEI</t>
        </is>
      </c>
      <c r="L34" s="13" t="inlineStr">
        <is>
          <t>NIOSH 7303 / 7300 (ICP-AES) u OSHA ID-125G; laboratorio acreditado</t>
        </is>
      </c>
      <c r="M34" s="13" t="inlineStr">
        <is>
          <t>IOM inhalable, 2,0 L/min; filtro MCE 0,8 µm (humos: casete abierto bajo la careta)</t>
        </is>
      </c>
      <c r="N34" s="13" t="inlineStr">
        <is>
          <t>Cobalto en orina (µg/L)</t>
        </is>
      </c>
      <c r="O34" s="14" t="n">
        <v>15</v>
      </c>
      <c r="P34" s="15">
        <f>IF(F34="","",IF(OR(ISNUMBER(SEARCH("A1",K34)),ISNUMBER(SEARCH("A2",K34)),N(F34)&lt;0.05),4,IF(N(F34)&lt;0.5,3,IF(N(F34)&lt;3,2,1))))</f>
        <v/>
      </c>
      <c r="Q34" s="13" t="inlineStr">
        <is>
          <t>Cobalto en orina; cuestionario de asma; espirometría</t>
        </is>
      </c>
      <c r="R34" s="13" t="inlineStr"/>
    </row>
    <row r="35">
      <c r="A35" s="13" t="inlineStr">
        <is>
          <t>METDUR</t>
        </is>
      </c>
      <c r="B35" s="13" t="inlineStr">
        <is>
          <t>Metales duros con cobalto y carburo de tungsteno, como Co</t>
        </is>
      </c>
      <c r="C35" s="13" t="inlineStr">
        <is>
          <t>12070-12-1</t>
        </is>
      </c>
      <c r="D35" s="13" t="inlineStr">
        <is>
          <t>Torácica</t>
        </is>
      </c>
      <c r="E35" s="13" t="inlineStr">
        <is>
          <t>mg/m³</t>
        </is>
      </c>
      <c r="F35" s="14" t="n">
        <v>0.005</v>
      </c>
      <c r="G35" s="14" t="n"/>
      <c r="H35" s="13" t="inlineStr">
        <is>
          <t>Metal carcinógeno</t>
        </is>
      </c>
      <c r="I35" s="13" t="inlineStr">
        <is>
          <t>Sensibilización (piel o respiratoria)</t>
        </is>
      </c>
      <c r="J35" s="13" t="inlineStr">
        <is>
          <t>Neumonitis (enfermedad por metales duros)</t>
        </is>
      </c>
      <c r="K35" s="13" t="inlineStr">
        <is>
          <t>A2; RSEN</t>
        </is>
      </c>
      <c r="L35" s="13" t="inlineStr">
        <is>
          <t>NIOSH 7303 (ICP-AES) sobre muestra torácica</t>
        </is>
      </c>
      <c r="M35" s="13" t="inlineStr">
        <is>
          <t>Selector torácico, según fabricante; filtro MCE</t>
        </is>
      </c>
      <c r="N35" s="13" t="n"/>
      <c r="O35" s="14" t="n"/>
      <c r="P35" s="15">
        <f>IF(F35="","",IF(OR(ISNUMBER(SEARCH("A1",K35)),ISNUMBER(SEARCH("A2",K35)),N(F35)&lt;0.05),4,IF(N(F35)&lt;0.5,3,IF(N(F35)&lt;3,2,1))))</f>
        <v/>
      </c>
      <c r="Q35" s="13" t="inlineStr">
        <is>
          <t>Cuestionario de asma; espirometría; Rx de tórax según criterio médico</t>
        </is>
      </c>
      <c r="R35" s="13" t="inlineStr"/>
    </row>
    <row r="36">
      <c r="A36" s="13" t="inlineStr">
        <is>
          <t>CU-H</t>
        </is>
      </c>
      <c r="B36" s="13" t="inlineStr">
        <is>
          <t>Cobre – humo, como Cu</t>
        </is>
      </c>
      <c r="C36" s="13" t="inlineStr">
        <is>
          <t>7440-50-8</t>
        </is>
      </c>
      <c r="D36" s="13" t="inlineStr">
        <is>
          <t>Humo</t>
        </is>
      </c>
      <c r="E36" s="13" t="inlineStr">
        <is>
          <t>mg/m³</t>
        </is>
      </c>
      <c r="F36" s="14" t="n">
        <v>0.2</v>
      </c>
      <c r="G36" s="14" t="n"/>
      <c r="H36" s="13" t="inlineStr">
        <is>
          <t>Metal</t>
        </is>
      </c>
      <c r="I36" s="13" t="inlineStr">
        <is>
          <t>Fiebre de humos metálicos</t>
        </is>
      </c>
      <c r="J36" s="13" t="inlineStr">
        <is>
          <t>Irritación; efectos gastrointestinales; fiebre de humos metálicos</t>
        </is>
      </c>
      <c r="K36" s="13" t="inlineStr">
        <is>
          <t>—</t>
        </is>
      </c>
      <c r="L36" s="13" t="inlineStr">
        <is>
          <t>NIOSH 7303 / 7300 (ICP-AES)</t>
        </is>
      </c>
      <c r="M36" s="13" t="inlineStr">
        <is>
          <t>Casete 37 mm, 2 L/min; filtro MCE 0,8 µm</t>
        </is>
      </c>
      <c r="N36" s="13" t="n"/>
      <c r="O36" s="14" t="n"/>
      <c r="P36" s="15">
        <f>IF(F36="","",IF(OR(ISNUMBER(SEARCH("A1",K36)),ISNUMBER(SEARCH("A2",K36)),N(F36)&lt;0.05),4,IF(N(F36)&lt;0.5,3,IF(N(F36)&lt;3,2,1))))</f>
        <v/>
      </c>
      <c r="Q36" s="13" t="inlineStr">
        <is>
          <t>Examen periódico; cuestionario de síntomas respiratorios y espirometría si hay exposición sobre el nivel de acción</t>
        </is>
      </c>
      <c r="R36" s="13" t="inlineStr"/>
    </row>
    <row r="37">
      <c r="A37" s="13" t="inlineStr">
        <is>
          <t>CU-P</t>
        </is>
      </c>
      <c r="B37" s="13" t="inlineStr">
        <is>
          <t>Cobre – polvos y nieblas, como Cu</t>
        </is>
      </c>
      <c r="C37" s="13" t="inlineStr">
        <is>
          <t>7440-50-8</t>
        </is>
      </c>
      <c r="D37" s="13" t="inlineStr">
        <is>
          <t>Total</t>
        </is>
      </c>
      <c r="E37" s="13" t="inlineStr">
        <is>
          <t>mg/m³</t>
        </is>
      </c>
      <c r="F37" s="14" t="n">
        <v>1</v>
      </c>
      <c r="G37" s="14" t="n"/>
      <c r="H37" s="13" t="inlineStr">
        <is>
          <t>Metal</t>
        </is>
      </c>
      <c r="I37" s="13" t="inlineStr">
        <is>
          <t>Respiratorio – irritación y función pulmonar</t>
        </is>
      </c>
      <c r="J37" s="13" t="inlineStr">
        <is>
          <t>Irritación; efectos gastrointestinales</t>
        </is>
      </c>
      <c r="K37" s="13" t="inlineStr">
        <is>
          <t>—</t>
        </is>
      </c>
      <c r="L37" s="13" t="inlineStr">
        <is>
          <t>NIOSH 7303 / 7300 (ICP-AES)</t>
        </is>
      </c>
      <c r="M37" s="13" t="inlineStr">
        <is>
          <t>Casete 37 mm, 2 L/min; filtro MCE 0,8 µm</t>
        </is>
      </c>
      <c r="N37" s="13" t="n"/>
      <c r="O37" s="14" t="n"/>
      <c r="P37" s="15">
        <f>IF(F37="","",IF(OR(ISNUMBER(SEARCH("A1",K37)),ISNUMBER(SEARCH("A2",K37)),N(F37)&lt;0.05),4,IF(N(F37)&lt;0.5,3,IF(N(F37)&lt;3,2,1))))</f>
        <v/>
      </c>
      <c r="Q37" s="13" t="inlineStr">
        <is>
          <t>Examen periódico; cuestionario de síntomas respiratorios y espirometría si hay exposición sobre el nivel de acción</t>
        </is>
      </c>
      <c r="R37" s="13" t="inlineStr"/>
    </row>
    <row r="38">
      <c r="A38" s="13" t="inlineStr">
        <is>
          <t>ZNO</t>
        </is>
      </c>
      <c r="B38" s="13" t="inlineStr">
        <is>
          <t>Óxido de zinc</t>
        </is>
      </c>
      <c r="C38" s="13" t="inlineStr">
        <is>
          <t>1314-13-2</t>
        </is>
      </c>
      <c r="D38" s="13" t="inlineStr">
        <is>
          <t>Respirable</t>
        </is>
      </c>
      <c r="E38" s="13" t="inlineStr">
        <is>
          <t>mg/m³</t>
        </is>
      </c>
      <c r="F38" s="14" t="n">
        <v>2</v>
      </c>
      <c r="G38" s="14" t="n">
        <v>10</v>
      </c>
      <c r="H38" s="13" t="inlineStr">
        <is>
          <t>Metal</t>
        </is>
      </c>
      <c r="I38" s="13" t="inlineStr">
        <is>
          <t>Fiebre de humos metálicos</t>
        </is>
      </c>
      <c r="J38" s="13" t="inlineStr">
        <is>
          <t>Fiebre de humos metálicos</t>
        </is>
      </c>
      <c r="K38" s="13" t="inlineStr">
        <is>
          <t>—</t>
        </is>
      </c>
      <c r="L38" s="13" t="inlineStr">
        <is>
          <t>NIOSH 7303 / 7300 (ICP-AES) sobre muestra respirable</t>
        </is>
      </c>
      <c r="M38" s="13" t="inlineStr">
        <is>
          <t>Ciclón nylon 10 mm, 1,7 L/min; filtro MCE 0,8 µm</t>
        </is>
      </c>
      <c r="N38" s="13" t="n"/>
      <c r="O38" s="14" t="n"/>
      <c r="P38" s="15">
        <f>IF(F38="","",IF(OR(ISNUMBER(SEARCH("A1",K38)),ISNUMBER(SEARCH("A2",K38)),N(F38)&lt;0.05),4,IF(N(F38)&lt;0.5,3,IF(N(F38)&lt;3,2,1))))</f>
        <v/>
      </c>
      <c r="Q38" s="13" t="inlineStr">
        <is>
          <t>Examen periódico; cuestionario de síntomas respiratorios y espirometría si hay exposición sobre el nivel de acción</t>
        </is>
      </c>
      <c r="R38" s="13" t="inlineStr">
        <is>
          <t>Galvanizado, soldadura de acero galvanizado, fundición de latón.</t>
        </is>
      </c>
    </row>
    <row r="39">
      <c r="A39" s="13" t="inlineStr">
        <is>
          <t>MGO</t>
        </is>
      </c>
      <c r="B39" s="13" t="inlineStr">
        <is>
          <t>Óxido de magnesio</t>
        </is>
      </c>
      <c r="C39" s="13" t="inlineStr">
        <is>
          <t>1309-48-4</t>
        </is>
      </c>
      <c r="D39" s="13" t="inlineStr">
        <is>
          <t>Inhalable</t>
        </is>
      </c>
      <c r="E39" s="13" t="inlineStr">
        <is>
          <t>mg/m³</t>
        </is>
      </c>
      <c r="F39" s="14" t="n">
        <v>10</v>
      </c>
      <c r="G39" s="14" t="n"/>
      <c r="H39" s="13" t="inlineStr">
        <is>
          <t>Metal</t>
        </is>
      </c>
      <c r="I39" s="13" t="inlineStr">
        <is>
          <t>Fiebre de humos metálicos</t>
        </is>
      </c>
      <c r="J39" s="13" t="inlineStr">
        <is>
          <t>Irritación de VRS; fiebre de humos metálicos</t>
        </is>
      </c>
      <c r="K39" s="13" t="inlineStr">
        <is>
          <t>A4</t>
        </is>
      </c>
      <c r="L39" s="13" t="inlineStr">
        <is>
          <t>NIOSH 7303 / 7300 (ICP-AES) u OSHA ID-125G; laboratorio acreditado</t>
        </is>
      </c>
      <c r="M39" s="13" t="inlineStr">
        <is>
          <t>IOM inhalable, 2,0 L/min; filtro MCE 0,8 µm (humos: casete abierto bajo la careta)</t>
        </is>
      </c>
      <c r="N39" s="13" t="n"/>
      <c r="O39" s="14" t="n"/>
      <c r="P39" s="15">
        <f>IF(F39="","",IF(OR(ISNUMBER(SEARCH("A1",K39)),ISNUMBER(SEARCH("A2",K39)),N(F39)&lt;0.05),4,IF(N(F39)&lt;0.5,3,IF(N(F39)&lt;3,2,1))))</f>
        <v/>
      </c>
      <c r="Q39" s="13" t="inlineStr">
        <is>
          <t>Examen periódico; cuestionario de síntomas respiratorios y espirometría si hay exposición sobre el nivel de acción</t>
        </is>
      </c>
      <c r="R39" s="13" t="inlineStr"/>
    </row>
    <row r="40">
      <c r="A40" s="13" t="inlineStr">
        <is>
          <t>SN</t>
        </is>
      </c>
      <c r="B40" s="13" t="inlineStr">
        <is>
          <t>Estaño y compuestos inorgánicos, como Sn</t>
        </is>
      </c>
      <c r="C40" s="13" t="inlineStr">
        <is>
          <t>7440-31-5</t>
        </is>
      </c>
      <c r="D40" s="13" t="inlineStr">
        <is>
          <t>Inhalable</t>
        </is>
      </c>
      <c r="E40" s="13" t="inlineStr">
        <is>
          <t>mg/m³</t>
        </is>
      </c>
      <c r="F40" s="14" t="n">
        <v>2</v>
      </c>
      <c r="G40" s="14" t="n"/>
      <c r="H40" s="13" t="inlineStr">
        <is>
          <t>Metal</t>
        </is>
      </c>
      <c r="I40" s="13" t="inlineStr">
        <is>
          <t>Respiratorio – neumoconiosis no fibrogénica</t>
        </is>
      </c>
      <c r="J40" s="13" t="inlineStr">
        <is>
          <t>Neumoconiosis (estannosis)</t>
        </is>
      </c>
      <c r="K40" s="13" t="inlineStr">
        <is>
          <t>—</t>
        </is>
      </c>
      <c r="L40" s="13" t="inlineStr">
        <is>
          <t>NIOSH 7303 / 7300 (ICP-AES) u OSHA ID-125G; laboratorio acreditado</t>
        </is>
      </c>
      <c r="M40" s="13" t="inlineStr">
        <is>
          <t>IOM inhalable, 2,0 L/min; filtro MCE 0,8 µm (humos: casete abierto bajo la careta)</t>
        </is>
      </c>
      <c r="N40" s="13" t="n"/>
      <c r="O40" s="14" t="n"/>
      <c r="P40" s="15">
        <f>IF(F40="","",IF(OR(ISNUMBER(SEARCH("A1",K40)),ISNUMBER(SEARCH("A2",K40)),N(F40)&lt;0.05),4,IF(N(F40)&lt;0.5,3,IF(N(F40)&lt;3,2,1))))</f>
        <v/>
      </c>
      <c r="Q40" s="13" t="inlineStr">
        <is>
          <t>Examen periódico con énfasis respiratorio y espirometría; Rx de tórax según criterio médico</t>
        </is>
      </c>
      <c r="R40" s="13" t="inlineStr"/>
    </row>
    <row r="41">
      <c r="A41" s="13" t="inlineStr">
        <is>
          <t>W</t>
        </is>
      </c>
      <c r="B41" s="13" t="inlineStr">
        <is>
          <t>Tungsteno y compuestos (sin cobalto), como W</t>
        </is>
      </c>
      <c r="C41" s="13" t="inlineStr">
        <is>
          <t>7440-33-7</t>
        </is>
      </c>
      <c r="D41" s="13" t="inlineStr">
        <is>
          <t>Respirable</t>
        </is>
      </c>
      <c r="E41" s="13" t="inlineStr">
        <is>
          <t>mg/m³</t>
        </is>
      </c>
      <c r="F41" s="14" t="n">
        <v>3</v>
      </c>
      <c r="G41" s="14" t="n"/>
      <c r="H41" s="13" t="inlineStr">
        <is>
          <t>Metal</t>
        </is>
      </c>
      <c r="I41" s="13" t="inlineStr">
        <is>
          <t>Respiratorio – neumoconiosis no fibrogénica</t>
        </is>
      </c>
      <c r="J41" s="13" t="inlineStr">
        <is>
          <t>Daño pulmonar</t>
        </is>
      </c>
      <c r="K41" s="13" t="inlineStr">
        <is>
          <t>—</t>
        </is>
      </c>
      <c r="L41" s="13" t="inlineStr">
        <is>
          <t>NIOSH 7303 / 7300 (ICP-AES) sobre muestra respirable</t>
        </is>
      </c>
      <c r="M41" s="13" t="inlineStr">
        <is>
          <t>Ciclón nylon 10 mm, 1,7 L/min; filtro MCE 0,8 µm</t>
        </is>
      </c>
      <c r="N41" s="13" t="n"/>
      <c r="O41" s="14" t="n"/>
      <c r="P41" s="15">
        <f>IF(F41="","",IF(OR(ISNUMBER(SEARCH("A1",K41)),ISNUMBER(SEARCH("A2",K41)),N(F41)&lt;0.05),4,IF(N(F41)&lt;0.5,3,IF(N(F41)&lt;3,2,1))))</f>
        <v/>
      </c>
      <c r="Q41" s="13" t="inlineStr">
        <is>
          <t>Examen periódico con énfasis respiratorio y espirometría; Rx de tórax según criterio médico</t>
        </is>
      </c>
      <c r="R41" s="13" t="inlineStr"/>
    </row>
    <row r="42">
      <c r="A42" s="13" t="inlineStr">
        <is>
          <t>V2O5</t>
        </is>
      </c>
      <c r="B42" s="13" t="inlineStr">
        <is>
          <t>Pentóxido de vanadio, como V</t>
        </is>
      </c>
      <c r="C42" s="13" t="inlineStr">
        <is>
          <t>1314-62-1</t>
        </is>
      </c>
      <c r="D42" s="13" t="inlineStr">
        <is>
          <t>Inhalable</t>
        </is>
      </c>
      <c r="E42" s="13" t="inlineStr">
        <is>
          <t>mg/m³</t>
        </is>
      </c>
      <c r="F42" s="14" t="n">
        <v>0.05</v>
      </c>
      <c r="G42" s="14" t="n"/>
      <c r="H42" s="13" t="inlineStr">
        <is>
          <t>Metal</t>
        </is>
      </c>
      <c r="I42" s="13" t="inlineStr">
        <is>
          <t>Respiratorio – irritación y función pulmonar</t>
        </is>
      </c>
      <c r="J42" s="13" t="inlineStr">
        <is>
          <t>Irritación de VRS y VRI</t>
        </is>
      </c>
      <c r="K42" s="13" t="inlineStr">
        <is>
          <t>A3</t>
        </is>
      </c>
      <c r="L42" s="13" t="inlineStr">
        <is>
          <t>NIOSH 7303 / 7300 (ICP-AES) u OSHA ID-125G; laboratorio acreditado</t>
        </is>
      </c>
      <c r="M42" s="13" t="inlineStr">
        <is>
          <t>IOM inhalable, 2,0 L/min; filtro MCE 0,8 µm (humos: casete abierto bajo la careta)</t>
        </is>
      </c>
      <c r="N42" s="13" t="n"/>
      <c r="O42" s="14" t="n"/>
      <c r="P42" s="15">
        <f>IF(F42="","",IF(OR(ISNUMBER(SEARCH("A1",K42)),ISNUMBER(SEARCH("A2",K42)),N(F42)&lt;0.05),4,IF(N(F42)&lt;0.5,3,IF(N(F42)&lt;3,2,1))))</f>
        <v/>
      </c>
      <c r="Q42" s="13" t="inlineStr">
        <is>
          <t>Examen periódico; cuestionario de síntomas respiratorios y espirometría si hay exposición sobre el nivel de acción</t>
        </is>
      </c>
      <c r="R42" s="13" t="inlineStr"/>
    </row>
    <row r="43">
      <c r="A43" s="13" t="inlineStr">
        <is>
          <t>ZR</t>
        </is>
      </c>
      <c r="B43" s="13" t="inlineStr">
        <is>
          <t>Zirconio y compuestos, como Zr</t>
        </is>
      </c>
      <c r="C43" s="13" t="inlineStr">
        <is>
          <t>7440-67-7</t>
        </is>
      </c>
      <c r="D43" s="13" t="inlineStr">
        <is>
          <t>Total</t>
        </is>
      </c>
      <c r="E43" s="13" t="inlineStr">
        <is>
          <t>mg/m³</t>
        </is>
      </c>
      <c r="F43" s="14" t="n">
        <v>5</v>
      </c>
      <c r="G43" s="14" t="n">
        <v>10</v>
      </c>
      <c r="H43" s="13" t="inlineStr">
        <is>
          <t>Metal</t>
        </is>
      </c>
      <c r="I43" s="13" t="inlineStr">
        <is>
          <t>Respiratorio – irritación y función pulmonar</t>
        </is>
      </c>
      <c r="J43" s="13" t="inlineStr">
        <is>
          <t>Irritación respiratoria</t>
        </is>
      </c>
      <c r="K43" s="13" t="inlineStr">
        <is>
          <t>A4</t>
        </is>
      </c>
      <c r="L43" s="13" t="inlineStr">
        <is>
          <t>NIOSH 7303 / 7300 (ICP-AES)</t>
        </is>
      </c>
      <c r="M43" s="13" t="inlineStr">
        <is>
          <t>Casete 37 mm, 2 L/min; filtro MCE 0,8 µm</t>
        </is>
      </c>
      <c r="N43" s="13" t="n"/>
      <c r="O43" s="14" t="n"/>
      <c r="P43" s="15">
        <f>IF(F43="","",IF(OR(ISNUMBER(SEARCH("A1",K43)),ISNUMBER(SEARCH("A2",K43)),N(F43)&lt;0.05),4,IF(N(F43)&lt;0.5,3,IF(N(F43)&lt;3,2,1))))</f>
        <v/>
      </c>
      <c r="Q43" s="13" t="inlineStr">
        <is>
          <t>Examen periódico; cuestionario de síntomas respiratorios y espirometría si hay exposición sobre el nivel de acción</t>
        </is>
      </c>
      <c r="R43" s="13" t="inlineStr"/>
    </row>
    <row r="44">
      <c r="A44" s="13" t="inlineStr">
        <is>
          <t>AG</t>
        </is>
      </c>
      <c r="B44" s="13" t="inlineStr">
        <is>
          <t>Plata – metal, polvo y humo</t>
        </is>
      </c>
      <c r="C44" s="13" t="inlineStr">
        <is>
          <t>7440-22-4</t>
        </is>
      </c>
      <c r="D44" s="13" t="inlineStr">
        <is>
          <t>Total</t>
        </is>
      </c>
      <c r="E44" s="13" t="inlineStr">
        <is>
          <t>mg/m³</t>
        </is>
      </c>
      <c r="F44" s="14" t="n">
        <v>0.1</v>
      </c>
      <c r="G44" s="14" t="n"/>
      <c r="H44" s="13" t="inlineStr">
        <is>
          <t>Metal</t>
        </is>
      </c>
      <c r="I44" s="13" t="inlineStr">
        <is>
          <t>Respiratorio – irritación y función pulmonar</t>
        </is>
      </c>
      <c r="J44" s="13" t="inlineStr">
        <is>
          <t>Argiria</t>
        </is>
      </c>
      <c r="K44" s="13" t="inlineStr">
        <is>
          <t>—</t>
        </is>
      </c>
      <c r="L44" s="13" t="inlineStr">
        <is>
          <t>NIOSH 7303 / 7300 (ICP-AES)</t>
        </is>
      </c>
      <c r="M44" s="13" t="inlineStr">
        <is>
          <t>Casete 37 mm, 2 L/min; filtro MCE 0,8 µm</t>
        </is>
      </c>
      <c r="N44" s="13" t="n"/>
      <c r="O44" s="14" t="n"/>
      <c r="P44" s="15">
        <f>IF(F44="","",IF(OR(ISNUMBER(SEARCH("A1",K44)),ISNUMBER(SEARCH("A2",K44)),N(F44)&lt;0.05),4,IF(N(F44)&lt;0.5,3,IF(N(F44)&lt;3,2,1))))</f>
        <v/>
      </c>
      <c r="Q44" s="13" t="inlineStr">
        <is>
          <t>Examen de piel y mucosas (argiria)</t>
        </is>
      </c>
      <c r="R44" s="13" t="inlineStr"/>
    </row>
    <row r="45">
      <c r="A45" s="13" t="inlineStr">
        <is>
          <t>MO</t>
        </is>
      </c>
      <c r="B45" s="13" t="inlineStr">
        <is>
          <t>Molibdeno, compuestos solubles, como Mo</t>
        </is>
      </c>
      <c r="C45" s="13" t="inlineStr">
        <is>
          <t>7439-98-7</t>
        </is>
      </c>
      <c r="D45" s="13" t="inlineStr">
        <is>
          <t>Respirable</t>
        </is>
      </c>
      <c r="E45" s="13" t="inlineStr">
        <is>
          <t>mg/m³</t>
        </is>
      </c>
      <c r="F45" s="14" t="n">
        <v>0.2</v>
      </c>
      <c r="G45" s="14" t="n"/>
      <c r="H45" s="13" t="inlineStr">
        <is>
          <t>Metal</t>
        </is>
      </c>
      <c r="I45" s="13" t="inlineStr">
        <is>
          <t>Respiratorio – neumoconiosis no fibrogénica</t>
        </is>
      </c>
      <c r="J45" s="13" t="inlineStr">
        <is>
          <t>Daño pulmonar; neumoconiosis</t>
        </is>
      </c>
      <c r="K45" s="13" t="inlineStr">
        <is>
          <t>A3</t>
        </is>
      </c>
      <c r="L45" s="13" t="inlineStr">
        <is>
          <t>NIOSH 7303 / 7300 (ICP-AES) sobre muestra respirable</t>
        </is>
      </c>
      <c r="M45" s="13" t="inlineStr">
        <is>
          <t>Ciclón nylon 10 mm, 1,7 L/min; filtro MCE 0,8 µm</t>
        </is>
      </c>
      <c r="N45" s="13" t="n"/>
      <c r="O45" s="14" t="n"/>
      <c r="P45" s="15">
        <f>IF(F45="","",IF(OR(ISNUMBER(SEARCH("A1",K45)),ISNUMBER(SEARCH("A2",K45)),N(F45)&lt;0.05),4,IF(N(F45)&lt;0.5,3,IF(N(F45)&lt;3,2,1))))</f>
        <v/>
      </c>
      <c r="Q45" s="13" t="inlineStr">
        <is>
          <t>Examen periódico con énfasis respiratorio y espirometría; Rx de tórax según criterio médico</t>
        </is>
      </c>
      <c r="R45" s="13" t="inlineStr">
        <is>
          <t>Adoptado en 2025.</t>
        </is>
      </c>
    </row>
    <row r="46">
      <c r="A46" s="13" t="inlineStr">
        <is>
          <t>IN</t>
        </is>
      </c>
      <c r="B46" s="13" t="inlineStr">
        <is>
          <t>Indio y compuestos, como In</t>
        </is>
      </c>
      <c r="C46" s="13" t="inlineStr">
        <is>
          <t>7440-74-6</t>
        </is>
      </c>
      <c r="D46" s="13" t="inlineStr">
        <is>
          <t>Total</t>
        </is>
      </c>
      <c r="E46" s="13" t="inlineStr">
        <is>
          <t>mg/m³</t>
        </is>
      </c>
      <c r="F46" s="14" t="n">
        <v>0.1</v>
      </c>
      <c r="G46" s="14" t="n"/>
      <c r="H46" s="13" t="inlineStr">
        <is>
          <t>Metal</t>
        </is>
      </c>
      <c r="I46" s="13" t="inlineStr">
        <is>
          <t>Respiratorio – irritación y función pulmonar</t>
        </is>
      </c>
      <c r="J46" s="13" t="inlineStr">
        <is>
          <t>Edema pulmonar; neumonitis; erosión dental</t>
        </is>
      </c>
      <c r="K46" s="13" t="inlineStr">
        <is>
          <t>BEI</t>
        </is>
      </c>
      <c r="L46" s="13" t="inlineStr">
        <is>
          <t>NIOSH 7303 / 7300 (ICP-AES)</t>
        </is>
      </c>
      <c r="M46" s="13" t="inlineStr">
        <is>
          <t>Casete 37 mm, 2 L/min; filtro MCE 0,8 µm</t>
        </is>
      </c>
      <c r="N46" s="13" t="inlineStr">
        <is>
          <t>Indio en suero o plasma (µg/L)</t>
        </is>
      </c>
      <c r="O46" s="14" t="n">
        <v>1</v>
      </c>
      <c r="P46" s="15">
        <f>IF(F46="","",IF(OR(ISNUMBER(SEARCH("A1",K46)),ISNUMBER(SEARCH("A2",K46)),N(F46)&lt;0.05),4,IF(N(F46)&lt;0.5,3,IF(N(F46)&lt;3,2,1))))</f>
        <v/>
      </c>
      <c r="Q46" s="13" t="inlineStr">
        <is>
          <t>Examen periódico con énfasis respiratorio y espirometría; Rx de tórax según criterio médico</t>
        </is>
      </c>
      <c r="R46" s="13" t="inlineStr"/>
    </row>
    <row r="47">
      <c r="A47" s="13" t="inlineStr">
        <is>
          <t>ITO</t>
        </is>
      </c>
      <c r="B47" s="13" t="inlineStr">
        <is>
          <t>Óxido de indio y estaño, como In</t>
        </is>
      </c>
      <c r="C47" s="13" t="inlineStr">
        <is>
          <t>50926-11-9</t>
        </is>
      </c>
      <c r="D47" s="13" t="inlineStr">
        <is>
          <t>Respirable</t>
        </is>
      </c>
      <c r="E47" s="13" t="inlineStr">
        <is>
          <t>mg/m³</t>
        </is>
      </c>
      <c r="F47" s="14" t="n">
        <v>0.0001</v>
      </c>
      <c r="G47" s="14" t="n"/>
      <c r="H47" s="13" t="inlineStr">
        <is>
          <t>Metal</t>
        </is>
      </c>
      <c r="I47" s="13" t="inlineStr">
        <is>
          <t>Respiratorio – neumoconiosis no fibrogénica</t>
        </is>
      </c>
      <c r="J47" s="13" t="inlineStr">
        <is>
          <t>Función pulmonar; fibrosis pulmonar</t>
        </is>
      </c>
      <c r="K47" s="13" t="inlineStr">
        <is>
          <t>A3; DSEN; BEI</t>
        </is>
      </c>
      <c r="L47" s="13" t="inlineStr">
        <is>
          <t>NIOSH 7303 / 7300 (ICP-AES) sobre muestra respirable</t>
        </is>
      </c>
      <c r="M47" s="13" t="inlineStr">
        <is>
          <t>Ciclón nylon 10 mm, 1,7 L/min; filtro MCE 0,8 µm</t>
        </is>
      </c>
      <c r="N47" s="13" t="inlineStr">
        <is>
          <t>Indio en suero o plasma (µg/L)</t>
        </is>
      </c>
      <c r="O47" s="14" t="n">
        <v>1</v>
      </c>
      <c r="P47" s="15">
        <f>IF(F47="","",IF(OR(ISNUMBER(SEARCH("A1",K47)),ISNUMBER(SEARCH("A2",K47)),N(F47)&lt;0.05),4,IF(N(F47)&lt;0.5,3,IF(N(F47)&lt;3,2,1))))</f>
        <v/>
      </c>
      <c r="Q47" s="13" t="inlineStr">
        <is>
          <t>Examen periódico con énfasis respiratorio y espirometría; Rx de tórax según criterio médico</t>
        </is>
      </c>
      <c r="R47" s="13" t="inlineStr"/>
    </row>
    <row r="48">
      <c r="A48" s="13" t="inlineStr">
        <is>
          <t>SB2O3</t>
        </is>
      </c>
      <c r="B48" s="13" t="inlineStr">
        <is>
          <t>Trióxido de antimonio</t>
        </is>
      </c>
      <c r="C48" s="13" t="inlineStr">
        <is>
          <t>1309-64-4</t>
        </is>
      </c>
      <c r="D48" s="13" t="inlineStr">
        <is>
          <t>Inhalable</t>
        </is>
      </c>
      <c r="E48" s="13" t="inlineStr">
        <is>
          <t>mg/m³</t>
        </is>
      </c>
      <c r="F48" s="14" t="n">
        <v>0.02</v>
      </c>
      <c r="G48" s="14" t="n"/>
      <c r="H48" s="13" t="inlineStr">
        <is>
          <t>Metal carcinógeno</t>
        </is>
      </c>
      <c r="I48" s="13" t="inlineStr">
        <is>
          <t>Respiratorio – irritación y función pulmonar</t>
        </is>
      </c>
      <c r="J48" s="13" t="inlineStr">
        <is>
          <t>Neumonitis</t>
        </is>
      </c>
      <c r="K48" s="13" t="inlineStr">
        <is>
          <t>A2</t>
        </is>
      </c>
      <c r="L48" s="13" t="inlineStr">
        <is>
          <t>NIOSH 7303 / 7300 (ICP-AES) u OSHA ID-125G; laboratorio acreditado</t>
        </is>
      </c>
      <c r="M48" s="13" t="inlineStr">
        <is>
          <t>IOM inhalable, 2,0 L/min; filtro MCE 0,8 µm (humos: casete abierto bajo la careta)</t>
        </is>
      </c>
      <c r="N48" s="13" t="n"/>
      <c r="O48" s="14" t="n"/>
      <c r="P48" s="15">
        <f>IF(F48="","",IF(OR(ISNUMBER(SEARCH("A1",K48)),ISNUMBER(SEARCH("A2",K48)),N(F48)&lt;0.05),4,IF(N(F48)&lt;0.5,3,IF(N(F48)&lt;3,2,1))))</f>
        <v/>
      </c>
      <c r="Q48" s="13" t="inlineStr">
        <is>
          <t>Examen periódico con énfasis respiratorio y espirometría; Rx de tórax según criterio médico</t>
        </is>
      </c>
      <c r="R48" s="13" t="inlineStr"/>
    </row>
    <row r="49">
      <c r="A49" s="13" t="inlineStr">
        <is>
          <t>AS</t>
        </is>
      </c>
      <c r="B49" s="13" t="inlineStr">
        <is>
          <t>Arsénico y compuestos inorgánicos, como As</t>
        </is>
      </c>
      <c r="C49" s="13" t="inlineStr">
        <is>
          <t>7440-38-2</t>
        </is>
      </c>
      <c r="D49" s="13" t="inlineStr">
        <is>
          <t>Total</t>
        </is>
      </c>
      <c r="E49" s="13" t="inlineStr">
        <is>
          <t>mg/m³</t>
        </is>
      </c>
      <c r="F49" s="14" t="n">
        <v>0.01</v>
      </c>
      <c r="G49" s="14" t="n"/>
      <c r="H49" s="13" t="inlineStr">
        <is>
          <t>Metal carcinógeno</t>
        </is>
      </c>
      <c r="I49" s="13" t="inlineStr">
        <is>
          <t>Cáncer de pulmón</t>
        </is>
      </c>
      <c r="J49" s="13" t="inlineStr">
        <is>
          <t>Cáncer de pulmón</t>
        </is>
      </c>
      <c r="K49" s="13" t="inlineStr">
        <is>
          <t>A1; BEI</t>
        </is>
      </c>
      <c r="L49" s="13" t="inlineStr">
        <is>
          <t>NIOSH 7900 / 7303 (ICP o absorción atómica)</t>
        </is>
      </c>
      <c r="M49" s="13" t="inlineStr">
        <is>
          <t>Casete 37 mm, 2 L/min; filtro MCE 0,8 µm</t>
        </is>
      </c>
      <c r="N49" s="13" t="inlineStr">
        <is>
          <t>Arsénico inorgánico + metabolitos metilados en orina (µg/g creatinina) – Pop</t>
        </is>
      </c>
      <c r="O49" s="14" t="n">
        <v>15</v>
      </c>
      <c r="P49" s="15">
        <f>IF(F49="","",IF(OR(ISNUMBER(SEARCH("A1",K49)),ISNUMBER(SEARCH("A2",K49)),N(F49)&lt;0.05),4,IF(N(F49)&lt;0.5,3,IF(N(F49)&lt;3,2,1))))</f>
        <v/>
      </c>
      <c r="Q49" s="13" t="inlineStr">
        <is>
          <t>Arsénico en orina; examen de piel; vigilancia respiratoria</t>
        </is>
      </c>
      <c r="R49" s="13" t="inlineStr"/>
    </row>
    <row r="50">
      <c r="A50" s="13" t="inlineStr">
        <is>
          <t>BE</t>
        </is>
      </c>
      <c r="B50" s="13" t="inlineStr">
        <is>
          <t>Berilio y compuestos, como Be</t>
        </is>
      </c>
      <c r="C50" s="13" t="inlineStr">
        <is>
          <t>7440-41-7</t>
        </is>
      </c>
      <c r="D50" s="13" t="inlineStr">
        <is>
          <t>Inhalable</t>
        </is>
      </c>
      <c r="E50" s="13" t="inlineStr">
        <is>
          <t>mg/m³</t>
        </is>
      </c>
      <c r="F50" s="14" t="n">
        <v>5e-05</v>
      </c>
      <c r="G50" s="14" t="n"/>
      <c r="H50" s="13" t="inlineStr">
        <is>
          <t>Metal carcinógeno</t>
        </is>
      </c>
      <c r="I50" s="13" t="inlineStr">
        <is>
          <t>Sensibilización (piel o respiratoria)</t>
        </is>
      </c>
      <c r="J50" s="13" t="inlineStr">
        <is>
          <t>Sensibilización al berilio; enfermedad crónica por berilio</t>
        </is>
      </c>
      <c r="K50" s="13" t="inlineStr">
        <is>
          <t>A1; DSEN; RSEN</t>
        </is>
      </c>
      <c r="L50" s="13" t="inlineStr">
        <is>
          <t>NIOSH 7704 (fluorescencia) o 7303</t>
        </is>
      </c>
      <c r="M50" s="13" t="inlineStr">
        <is>
          <t>IOM inhalable, 2,0 L/min; filtro MCE</t>
        </is>
      </c>
      <c r="N50" s="13" t="n"/>
      <c r="O50" s="14" t="n"/>
      <c r="P50" s="15">
        <f>IF(F50="","",IF(OR(ISNUMBER(SEARCH("A1",K50)),ISNUMBER(SEARCH("A2",K50)),N(F50)&lt;0.05),4,IF(N(F50)&lt;0.5,3,IF(N(F50)&lt;3,2,1))))</f>
        <v/>
      </c>
      <c r="Q50" s="13" t="inlineStr">
        <is>
          <t>Prueba de proliferación de linfocitos (BeLPT); espirometría; Rx de tórax</t>
        </is>
      </c>
      <c r="R50" s="13" t="inlineStr"/>
    </row>
    <row r="51">
      <c r="A51" s="8" t="n"/>
      <c r="B51" s="8" t="n"/>
      <c r="C51" s="8" t="n"/>
      <c r="D51" s="8" t="n"/>
      <c r="E51" s="8" t="n"/>
      <c r="F51" s="14" t="n"/>
      <c r="G51" s="14" t="n"/>
      <c r="H51" s="8" t="n"/>
      <c r="I51" s="8" t="n"/>
      <c r="J51" s="8" t="n"/>
      <c r="K51" s="8" t="n"/>
      <c r="L51" s="8" t="n"/>
      <c r="M51" s="8" t="n"/>
      <c r="N51" s="8" t="n"/>
      <c r="O51" s="14" t="n"/>
      <c r="P51" s="15">
        <f>IF(F51="","",IF(OR(ISNUMBER(SEARCH("A1",K51)),ISNUMBER(SEARCH("A2",K51)),N(F51)&lt;0.05),4,IF(N(F51)&lt;0.5,3,IF(N(F51)&lt;3,2,1))))</f>
        <v/>
      </c>
      <c r="Q51" s="8" t="n"/>
      <c r="R51" s="8" t="n"/>
    </row>
    <row r="52">
      <c r="A52" s="8" t="n"/>
      <c r="B52" s="8" t="n"/>
      <c r="C52" s="8" t="n"/>
      <c r="D52" s="8" t="n"/>
      <c r="E52" s="8" t="n"/>
      <c r="F52" s="14" t="n"/>
      <c r="G52" s="14" t="n"/>
      <c r="H52" s="8" t="n"/>
      <c r="I52" s="8" t="n"/>
      <c r="J52" s="8" t="n"/>
      <c r="K52" s="8" t="n"/>
      <c r="L52" s="8" t="n"/>
      <c r="M52" s="8" t="n"/>
      <c r="N52" s="8" t="n"/>
      <c r="O52" s="14" t="n"/>
      <c r="P52" s="15">
        <f>IF(F52="","",IF(OR(ISNUMBER(SEARCH("A1",K52)),ISNUMBER(SEARCH("A2",K52)),N(F52)&lt;0.05),4,IF(N(F52)&lt;0.5,3,IF(N(F52)&lt;3,2,1))))</f>
        <v/>
      </c>
      <c r="Q52" s="8" t="n"/>
      <c r="R52" s="8" t="n"/>
    </row>
    <row r="53">
      <c r="A53" s="8" t="n"/>
      <c r="B53" s="8" t="n"/>
      <c r="C53" s="8" t="n"/>
      <c r="D53" s="8" t="n"/>
      <c r="E53" s="8" t="n"/>
      <c r="F53" s="14" t="n"/>
      <c r="G53" s="14" t="n"/>
      <c r="H53" s="8" t="n"/>
      <c r="I53" s="8" t="n"/>
      <c r="J53" s="8" t="n"/>
      <c r="K53" s="8" t="n"/>
      <c r="L53" s="8" t="n"/>
      <c r="M53" s="8" t="n"/>
      <c r="N53" s="8" t="n"/>
      <c r="O53" s="14" t="n"/>
      <c r="P53" s="15">
        <f>IF(F53="","",IF(OR(ISNUMBER(SEARCH("A1",K53)),ISNUMBER(SEARCH("A2",K53)),N(F53)&lt;0.05),4,IF(N(F53)&lt;0.5,3,IF(N(F53)&lt;3,2,1))))</f>
        <v/>
      </c>
      <c r="Q53" s="8" t="n"/>
      <c r="R53" s="8" t="n"/>
    </row>
    <row r="54">
      <c r="A54" s="8" t="n"/>
      <c r="B54" s="8" t="n"/>
      <c r="C54" s="8" t="n"/>
      <c r="D54" s="8" t="n"/>
      <c r="E54" s="8" t="n"/>
      <c r="F54" s="14" t="n"/>
      <c r="G54" s="14" t="n"/>
      <c r="H54" s="8" t="n"/>
      <c r="I54" s="8" t="n"/>
      <c r="J54" s="8" t="n"/>
      <c r="K54" s="8" t="n"/>
      <c r="L54" s="8" t="n"/>
      <c r="M54" s="8" t="n"/>
      <c r="N54" s="8" t="n"/>
      <c r="O54" s="14" t="n"/>
      <c r="P54" s="15">
        <f>IF(F54="","",IF(OR(ISNUMBER(SEARCH("A1",K54)),ISNUMBER(SEARCH("A2",K54)),N(F54)&lt;0.05),4,IF(N(F54)&lt;0.5,3,IF(N(F54)&lt;3,2,1))))</f>
        <v/>
      </c>
      <c r="Q54" s="8" t="n"/>
      <c r="R54" s="8" t="n"/>
    </row>
    <row r="55">
      <c r="A55" s="8" t="n"/>
      <c r="B55" s="8" t="n"/>
      <c r="C55" s="8" t="n"/>
      <c r="D55" s="8" t="n"/>
      <c r="E55" s="8" t="n"/>
      <c r="F55" s="14" t="n"/>
      <c r="G55" s="14" t="n"/>
      <c r="H55" s="8" t="n"/>
      <c r="I55" s="8" t="n"/>
      <c r="J55" s="8" t="n"/>
      <c r="K55" s="8" t="n"/>
      <c r="L55" s="8" t="n"/>
      <c r="M55" s="8" t="n"/>
      <c r="N55" s="8" t="n"/>
      <c r="O55" s="14" t="n"/>
      <c r="P55" s="15">
        <f>IF(F55="","",IF(OR(ISNUMBER(SEARCH("A1",K55)),ISNUMBER(SEARCH("A2",K55)),N(F55)&lt;0.05),4,IF(N(F55)&lt;0.5,3,IF(N(F55)&lt;3,2,1))))</f>
        <v/>
      </c>
      <c r="Q55" s="8" t="n"/>
      <c r="R55" s="8" t="n"/>
    </row>
    <row r="56">
      <c r="A56" s="8" t="n"/>
      <c r="B56" s="8" t="n"/>
      <c r="C56" s="8" t="n"/>
      <c r="D56" s="8" t="n"/>
      <c r="E56" s="8" t="n"/>
      <c r="F56" s="14" t="n"/>
      <c r="G56" s="14" t="n"/>
      <c r="H56" s="8" t="n"/>
      <c r="I56" s="8" t="n"/>
      <c r="J56" s="8" t="n"/>
      <c r="K56" s="8" t="n"/>
      <c r="L56" s="8" t="n"/>
      <c r="M56" s="8" t="n"/>
      <c r="N56" s="8" t="n"/>
      <c r="O56" s="14" t="n"/>
      <c r="P56" s="15">
        <f>IF(F56="","",IF(OR(ISNUMBER(SEARCH("A1",K56)),ISNUMBER(SEARCH("A2",K56)),N(F56)&lt;0.05),4,IF(N(F56)&lt;0.5,3,IF(N(F56)&lt;3,2,1))))</f>
        <v/>
      </c>
      <c r="Q56" s="8" t="n"/>
      <c r="R56" s="8" t="n"/>
    </row>
    <row r="57">
      <c r="A57" s="8" t="n"/>
      <c r="B57" s="8" t="n"/>
      <c r="C57" s="8" t="n"/>
      <c r="D57" s="8" t="n"/>
      <c r="E57" s="8" t="n"/>
      <c r="F57" s="14" t="n"/>
      <c r="G57" s="14" t="n"/>
      <c r="H57" s="8" t="n"/>
      <c r="I57" s="8" t="n"/>
      <c r="J57" s="8" t="n"/>
      <c r="K57" s="8" t="n"/>
      <c r="L57" s="8" t="n"/>
      <c r="M57" s="8" t="n"/>
      <c r="N57" s="8" t="n"/>
      <c r="O57" s="14" t="n"/>
      <c r="P57" s="15">
        <f>IF(F57="","",IF(OR(ISNUMBER(SEARCH("A1",K57)),ISNUMBER(SEARCH("A2",K57)),N(F57)&lt;0.05),4,IF(N(F57)&lt;0.5,3,IF(N(F57)&lt;3,2,1))))</f>
        <v/>
      </c>
      <c r="Q57" s="8" t="n"/>
      <c r="R57" s="8" t="n"/>
    </row>
    <row r="58">
      <c r="A58" s="8" t="n"/>
      <c r="B58" s="8" t="n"/>
      <c r="C58" s="8" t="n"/>
      <c r="D58" s="8" t="n"/>
      <c r="E58" s="8" t="n"/>
      <c r="F58" s="14" t="n"/>
      <c r="G58" s="14" t="n"/>
      <c r="H58" s="8" t="n"/>
      <c r="I58" s="8" t="n"/>
      <c r="J58" s="8" t="n"/>
      <c r="K58" s="8" t="n"/>
      <c r="L58" s="8" t="n"/>
      <c r="M58" s="8" t="n"/>
      <c r="N58" s="8" t="n"/>
      <c r="O58" s="14" t="n"/>
      <c r="P58" s="15">
        <f>IF(F58="","",IF(OR(ISNUMBER(SEARCH("A1",K58)),ISNUMBER(SEARCH("A2",K58)),N(F58)&lt;0.05),4,IF(N(F58)&lt;0.5,3,IF(N(F58)&lt;3,2,1))))</f>
        <v/>
      </c>
      <c r="Q58" s="8" t="n"/>
      <c r="R58" s="8" t="n"/>
    </row>
    <row r="59">
      <c r="A59" s="8" t="n"/>
      <c r="B59" s="8" t="n"/>
      <c r="C59" s="8" t="n"/>
      <c r="D59" s="8" t="n"/>
      <c r="E59" s="8" t="n"/>
      <c r="F59" s="14" t="n"/>
      <c r="G59" s="14" t="n"/>
      <c r="H59" s="8" t="n"/>
      <c r="I59" s="8" t="n"/>
      <c r="J59" s="8" t="n"/>
      <c r="K59" s="8" t="n"/>
      <c r="L59" s="8" t="n"/>
      <c r="M59" s="8" t="n"/>
      <c r="N59" s="8" t="n"/>
      <c r="O59" s="14" t="n"/>
      <c r="P59" s="15">
        <f>IF(F59="","",IF(OR(ISNUMBER(SEARCH("A1",K59)),ISNUMBER(SEARCH("A2",K59)),N(F59)&lt;0.05),4,IF(N(F59)&lt;0.5,3,IF(N(F59)&lt;3,2,1))))</f>
        <v/>
      </c>
      <c r="Q59" s="8" t="n"/>
      <c r="R59" s="8" t="n"/>
    </row>
    <row r="60">
      <c r="A60" s="8" t="n"/>
      <c r="B60" s="8" t="n"/>
      <c r="C60" s="8" t="n"/>
      <c r="D60" s="8" t="n"/>
      <c r="E60" s="8" t="n"/>
      <c r="F60" s="14" t="n"/>
      <c r="G60" s="14" t="n"/>
      <c r="H60" s="8" t="n"/>
      <c r="I60" s="8" t="n"/>
      <c r="J60" s="8" t="n"/>
      <c r="K60" s="8" t="n"/>
      <c r="L60" s="8" t="n"/>
      <c r="M60" s="8" t="n"/>
      <c r="N60" s="8" t="n"/>
      <c r="O60" s="14" t="n"/>
      <c r="P60" s="15">
        <f>IF(F60="","",IF(OR(ISNUMBER(SEARCH("A1",K60)),ISNUMBER(SEARCH("A2",K60)),N(F60)&lt;0.05),4,IF(N(F60)&lt;0.5,3,IF(N(F60)&lt;3,2,1))))</f>
        <v/>
      </c>
      <c r="Q60" s="8" t="n"/>
      <c r="R60" s="8" t="n"/>
    </row>
    <row r="62">
      <c r="A62" s="6" t="inlineStr">
        <is>
          <t>Parámetros</t>
        </is>
      </c>
    </row>
    <row r="63">
      <c r="A63" s="16" t="inlineStr">
        <is>
          <t>Denominador DEG</t>
        </is>
      </c>
      <c r="B63" s="17" t="n"/>
      <c r="C63" s="8" t="inlineStr">
        <is>
          <t>n-1</t>
        </is>
      </c>
      <c r="D63" s="18" t="inlineStr">
        <is>
          <t>AIHA / IHSTAT: desviación estándar muestral (n−1). Use «n» para la convención de la Res. 2467/2022.</t>
        </is>
      </c>
    </row>
    <row r="64">
      <c r="A64" s="16" t="inlineStr">
        <is>
          <t>Límite de DEG para validar el GES</t>
        </is>
      </c>
      <c r="B64" s="17" t="n"/>
      <c r="C64" s="8" t="n">
        <v>3</v>
      </c>
      <c r="D64" s="18" t="inlineStr">
        <is>
          <t>AIHA: DEG &gt; 3 sugiere un GES heterogéneo o tareas distintas; revise la conformación.</t>
        </is>
      </c>
    </row>
    <row r="65">
      <c r="A65" s="16" t="inlineStr">
        <is>
          <t>Volumen minuto respiratorio (L/min)</t>
        </is>
      </c>
      <c r="B65" s="17" t="n"/>
      <c r="C65" s="8" t="n">
        <v>25</v>
      </c>
      <c r="D65" s="18" t="inlineStr">
        <is>
          <t>Carga moderada: 25 L/min (liviana 15; pesada 35). Usado para la vida útil de filtros.</t>
        </is>
      </c>
    </row>
    <row r="66">
      <c r="A66" s="16" t="inlineStr">
        <is>
          <t>Carga de saturación del filtro (mg)</t>
        </is>
      </c>
      <c r="B66" s="17" t="n"/>
      <c r="C66" s="8" t="n">
        <v>200</v>
      </c>
      <c r="D66" s="18" t="inlineStr">
        <is>
          <t>200 mg: carga máxima del ensayo NIOSH 42 CFR 84 para filtros serie N.</t>
        </is>
      </c>
    </row>
    <row r="69">
      <c r="A69" s="6" t="inlineStr">
        <is>
          <t>Grupos de efecto para la regla de mezclas (ACGIH)</t>
        </is>
      </c>
    </row>
    <row r="70">
      <c r="B70" s="13" t="inlineStr">
        <is>
          <t>Respiratorio – irritación y función pulmonar</t>
        </is>
      </c>
    </row>
    <row r="71">
      <c r="B71" s="13" t="inlineStr">
        <is>
          <t>Respiratorio – neumoconiosis no fibrogénica</t>
        </is>
      </c>
    </row>
    <row r="72">
      <c r="B72" s="13" t="inlineStr">
        <is>
          <t>Sistema nervioso central</t>
        </is>
      </c>
    </row>
    <row r="73">
      <c r="B73" s="13" t="inlineStr">
        <is>
          <t>Hematológico y renal</t>
        </is>
      </c>
    </row>
    <row r="74">
      <c r="B74" s="13" t="inlineStr">
        <is>
          <t>Cáncer de pulmón</t>
        </is>
      </c>
    </row>
    <row r="75">
      <c r="B75" s="13" t="inlineStr">
        <is>
          <t>Sensibilización (piel o respiratoria)</t>
        </is>
      </c>
    </row>
    <row r="76">
      <c r="B76" s="13" t="inlineStr">
        <is>
          <t>Fiebre de humos metálicos</t>
        </is>
      </c>
    </row>
    <row r="78">
      <c r="A78" s="6" t="inlineStr">
        <is>
          <t>Muestreadores según la fracción del TLV</t>
        </is>
      </c>
    </row>
    <row r="79" ht="30" customHeight="1">
      <c r="A79" s="12" t="inlineStr">
        <is>
          <t>Nº</t>
        </is>
      </c>
      <c r="B79" s="12" t="inlineStr">
        <is>
          <t>Muestreador</t>
        </is>
      </c>
      <c r="C79" s="12" t="inlineStr">
        <is>
          <t>Fracción que colecta</t>
        </is>
      </c>
      <c r="D79" s="12" t="inlineStr">
        <is>
          <t>Caudal típico</t>
        </is>
      </c>
      <c r="E79" s="12" t="inlineStr">
        <is>
          <t>Referencia</t>
        </is>
      </c>
    </row>
    <row r="80">
      <c r="A80" s="13" t="n">
        <v>1</v>
      </c>
      <c r="B80" s="13" t="inlineStr">
        <is>
          <t>IOM inhalable (25 mm)</t>
        </is>
      </c>
      <c r="C80" s="13" t="inlineStr">
        <is>
          <t>Inhalable</t>
        </is>
      </c>
      <c r="D80" s="13" t="inlineStr">
        <is>
          <t>2,0 L/min</t>
        </is>
      </c>
      <c r="E80" s="13" t="inlineStr">
        <is>
          <t>MDHS 14/4 (HSE); ISO 7708</t>
        </is>
      </c>
    </row>
    <row r="81">
      <c r="A81" s="13" t="n">
        <v>2</v>
      </c>
      <c r="B81" s="13" t="inlineStr">
        <is>
          <t>Button sampler</t>
        </is>
      </c>
      <c r="C81" s="13" t="inlineStr">
        <is>
          <t>Inhalable</t>
        </is>
      </c>
      <c r="D81" s="13" t="inlineStr">
        <is>
          <t>4,0 L/min</t>
        </is>
      </c>
      <c r="E81" s="13" t="inlineStr">
        <is>
          <t>Fabricante; ISO 7708</t>
        </is>
      </c>
    </row>
    <row r="82">
      <c r="A82" s="13" t="n">
        <v>3</v>
      </c>
      <c r="B82" s="13" t="inlineStr">
        <is>
          <t>Ciclón nylon 10 mm</t>
        </is>
      </c>
      <c r="C82" s="13" t="inlineStr">
        <is>
          <t>Respirable</t>
        </is>
      </c>
      <c r="D82" s="13" t="inlineStr">
        <is>
          <t>1,7 L/min</t>
        </is>
      </c>
      <c r="E82" s="13" t="inlineStr">
        <is>
          <t>NIOSH 0600</t>
        </is>
      </c>
    </row>
    <row r="83">
      <c r="A83" s="13" t="n">
        <v>4</v>
      </c>
      <c r="B83" s="13" t="inlineStr">
        <is>
          <t>Ciclón aluminio</t>
        </is>
      </c>
      <c r="C83" s="13" t="inlineStr">
        <is>
          <t>Respirable</t>
        </is>
      </c>
      <c r="D83" s="13" t="inlineStr">
        <is>
          <t>2,5 L/min</t>
        </is>
      </c>
      <c r="E83" s="13" t="inlineStr">
        <is>
          <t>NIOSH 0600</t>
        </is>
      </c>
    </row>
    <row r="84">
      <c r="A84" s="13" t="n">
        <v>5</v>
      </c>
      <c r="B84" s="13" t="inlineStr">
        <is>
          <t>Ciclón GS-3</t>
        </is>
      </c>
      <c r="C84" s="13" t="inlineStr">
        <is>
          <t>Respirable</t>
        </is>
      </c>
      <c r="D84" s="13" t="inlineStr">
        <is>
          <t>2,75 L/min</t>
        </is>
      </c>
      <c r="E84" s="13" t="inlineStr">
        <is>
          <t>NIOSH 0600</t>
        </is>
      </c>
    </row>
    <row r="85">
      <c r="A85" s="13" t="n">
        <v>6</v>
      </c>
      <c r="B85" s="13" t="inlineStr">
        <is>
          <t>Selector torácico</t>
        </is>
      </c>
      <c r="C85" s="13" t="inlineStr">
        <is>
          <t>Torácica</t>
        </is>
      </c>
      <c r="D85" s="13" t="inlineStr">
        <is>
          <t>Según fabricante</t>
        </is>
      </c>
      <c r="E85" s="13" t="inlineStr">
        <is>
          <t>ISO 7708</t>
        </is>
      </c>
    </row>
    <row r="86">
      <c r="A86" s="13" t="n">
        <v>7</v>
      </c>
      <c r="B86" s="13" t="inlineStr">
        <is>
          <t>Casete 37 mm cerrado (total)</t>
        </is>
      </c>
      <c r="C86" s="13" t="inlineStr">
        <is>
          <t>Total (OSHA)</t>
        </is>
      </c>
      <c r="D86" s="13" t="inlineStr">
        <is>
          <t>1–2 L/min</t>
        </is>
      </c>
      <c r="E86" s="13" t="inlineStr">
        <is>
          <t>NIOSH 0500, 7300; subestima la fracción inhalable</t>
        </is>
      </c>
    </row>
    <row r="87">
      <c r="A87" s="13" t="n">
        <v>8</v>
      </c>
      <c r="B87" s="13" t="inlineStr">
        <is>
          <t>Casete 37 mm abierto (humos)</t>
        </is>
      </c>
      <c r="C87" s="13" t="inlineStr">
        <is>
          <t>Humo</t>
        </is>
      </c>
      <c r="D87" s="13" t="inlineStr">
        <is>
          <t>1–4 L/min</t>
        </is>
      </c>
      <c r="E87" s="13" t="inlineStr">
        <is>
          <t>NIOSH 7300 / 7303; humos de soldadura bajo la careta</t>
        </is>
      </c>
    </row>
    <row r="89">
      <c r="A89" s="6" t="inlineStr">
        <is>
          <t>Factores de protección asignados – APF (OSHA 29 CFR 1910.134)</t>
        </is>
      </c>
    </row>
    <row r="90" ht="20" customHeight="1">
      <c r="A90" s="12" t="inlineStr">
        <is>
          <t>Nº</t>
        </is>
      </c>
      <c r="B90" s="12" t="inlineStr">
        <is>
          <t>Tipo de respirador</t>
        </is>
      </c>
      <c r="C90" s="12" t="inlineStr">
        <is>
          <t>APF</t>
        </is>
      </c>
    </row>
    <row r="91">
      <c r="A91" s="13" t="n">
        <v>1</v>
      </c>
      <c r="B91" s="13" t="inlineStr">
        <is>
          <t>Pieza facial filtrante (desechable) N/R/P</t>
        </is>
      </c>
      <c r="C91" s="13" t="n">
        <v>10</v>
      </c>
    </row>
    <row r="92">
      <c r="A92" s="13" t="n">
        <v>2</v>
      </c>
      <c r="B92" s="13" t="inlineStr">
        <is>
          <t>Media cara elastomérica con filtros</t>
        </is>
      </c>
      <c r="C92" s="13" t="n">
        <v>10</v>
      </c>
    </row>
    <row r="93">
      <c r="A93" s="13" t="n">
        <v>3</v>
      </c>
      <c r="B93" s="13" t="inlineStr">
        <is>
          <t>PAPR con capucha o careta holgada</t>
        </is>
      </c>
      <c r="C93" s="13" t="n">
        <v>25</v>
      </c>
    </row>
    <row r="94">
      <c r="A94" s="13" t="n">
        <v>4</v>
      </c>
      <c r="B94" s="13" t="inlineStr">
        <is>
          <t>Cara completa elastomérica con filtros P100</t>
        </is>
      </c>
      <c r="C94" s="13" t="n">
        <v>50</v>
      </c>
    </row>
    <row r="95">
      <c r="A95" s="13" t="n">
        <v>5</v>
      </c>
      <c r="B95" s="13" t="inlineStr">
        <is>
          <t>PAPR con media cara</t>
        </is>
      </c>
      <c r="C95" s="13" t="n">
        <v>50</v>
      </c>
    </row>
    <row r="96">
      <c r="A96" s="13" t="n">
        <v>6</v>
      </c>
      <c r="B96" s="13" t="inlineStr">
        <is>
          <t>PAPR con cara completa / casco certificado</t>
        </is>
      </c>
      <c r="C96" s="13" t="n">
        <v>1000</v>
      </c>
    </row>
    <row r="97">
      <c r="A97" s="13" t="n">
        <v>7</v>
      </c>
      <c r="B97" s="13" t="inlineStr">
        <is>
          <t>Línea de aire flujo continuo, cara completa</t>
        </is>
      </c>
      <c r="C97" s="13" t="n">
        <v>1000</v>
      </c>
    </row>
    <row r="98">
      <c r="A98" s="13" t="n">
        <v>8</v>
      </c>
      <c r="B98" s="13" t="inlineStr">
        <is>
          <t>Equipo autocontenido (SCBA) a presión positiva</t>
        </is>
      </c>
      <c r="C98" s="13" t="n">
        <v>10000</v>
      </c>
    </row>
  </sheetData>
  <mergeCells count="4">
    <mergeCell ref="A65:B65"/>
    <mergeCell ref="A66:B66"/>
    <mergeCell ref="A63:B63"/>
    <mergeCell ref="A64:B64"/>
  </mergeCells>
  <dataValidations count="4">
    <dataValidation sqref="H6:H60" showDropDown="0" showInputMessage="0" showErrorMessage="0" allowBlank="1" type="list">
      <formula1>"PNOS,Mineral,Metal,Metal carcinógeno"</formula1>
    </dataValidation>
    <dataValidation sqref="D6:D60" showDropDown="0" showInputMessage="0" showErrorMessage="0" allowBlank="1" type="list">
      <formula1>"Inhalable,Torácica,Respirable,Humo,Total"</formula1>
    </dataValidation>
    <dataValidation sqref="C63" showDropDown="0" showInputMessage="0" showErrorMessage="0" allowBlank="1" type="list">
      <formula1>"n,n-1"</formula1>
    </dataValidation>
    <dataValidation sqref="I6:I60" showDropDown="0" showInputMessage="0" showErrorMessage="0" allowBlank="1" type="list">
      <formula1>Agentes!$B$70:$B$76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Y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28" customWidth="1" min="4" max="4"/>
    <col width="11" customWidth="1" min="5" max="5"/>
    <col width="9" customWidth="1" min="6" max="6"/>
    <col width="24" customWidth="1" min="7" max="7"/>
    <col width="7" customWidth="1" min="8" max="8"/>
    <col width="8" customWidth="1" min="9" max="9"/>
    <col width="10" customWidth="1" min="10" max="10"/>
    <col width="11" customWidth="1" min="11" max="11"/>
    <col width="8" customWidth="1" min="12" max="12"/>
    <col width="7" customWidth="1" min="13" max="13"/>
    <col width="9" customWidth="1" min="14" max="14"/>
    <col width="12" customWidth="1" min="15" max="15"/>
    <col width="9" customWidth="1" min="16" max="16"/>
    <col width="14" customWidth="1" min="17" max="17"/>
    <col width="12" customWidth="1" min="18" max="18"/>
    <col width="9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width="11" customWidth="1" min="25" max="25"/>
  </cols>
  <sheetData>
    <row r="1">
      <c r="A1" s="10" t="inlineStr">
        <is>
          <t>2. GES × agente – identificación, valoración cualitativa y ajuste del TLV</t>
        </is>
      </c>
    </row>
    <row r="2">
      <c r="A2" s="3" t="inlineStr">
        <is>
          <t>Una fila por cada combinación GES–agente (un mismo GES puede repetirse con varios agentes). Matriz VE × VC (AIHA); VE según la banda de peligro del agente; VC según el tiempo de exposición y la pulverulencia.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2" t="inlineStr">
        <is>
          <t>Código GES</t>
        </is>
      </c>
      <c r="B5" s="12" t="inlineStr">
        <is>
          <t>Cargos / oficios del GES</t>
        </is>
      </c>
      <c r="C5" s="12" t="inlineStr">
        <is>
          <t>Área / proceso</t>
        </is>
      </c>
      <c r="D5" s="12" t="inlineStr">
        <is>
          <t>Fuentes y actividades generadoras</t>
        </is>
      </c>
      <c r="E5" s="12" t="inlineStr">
        <is>
          <t>Agente (código)</t>
        </is>
      </c>
      <c r="F5" s="12" t="inlineStr">
        <is>
          <t>Nº trabajadores</t>
        </is>
      </c>
      <c r="G5" s="12" t="inlineStr">
        <is>
          <t>Controles existentes</t>
        </is>
      </c>
      <c r="H5" s="12" t="inlineStr">
        <is>
          <t>Horas / día</t>
        </is>
      </c>
      <c r="I5" s="12" t="inlineStr">
        <is>
          <t>Horas / semana</t>
        </is>
      </c>
      <c r="J5" s="12" t="inlineStr">
        <is>
          <t>Minutos de exposición por jornada</t>
        </is>
      </c>
      <c r="K5" s="12" t="inlineStr">
        <is>
          <t>Pulverulencia del proceso</t>
        </is>
      </c>
      <c r="L5" s="12" t="inlineStr">
        <is>
          <t>VC (circunstancia)</t>
        </is>
      </c>
      <c r="M5" s="12" t="inlineStr">
        <is>
          <t>VE (efecto)</t>
        </is>
      </c>
      <c r="N5" s="12" t="inlineStr">
        <is>
          <t>Riesgo potencial VE×VC</t>
        </is>
      </c>
      <c r="O5" s="12" t="inlineStr">
        <is>
          <t>Interpretación</t>
        </is>
      </c>
      <c r="P5" s="12" t="inlineStr">
        <is>
          <t>Muestras mínimas</t>
        </is>
      </c>
      <c r="Q5" s="12" t="inlineStr">
        <is>
          <t>Categoría cualitativa (juicio del higienista)</t>
        </is>
      </c>
      <c r="R5" s="12" t="inlineStr">
        <is>
          <t>Clave GES|agente</t>
        </is>
      </c>
      <c r="S5" s="12" t="inlineStr">
        <is>
          <t>TLV base</t>
        </is>
      </c>
      <c r="T5" s="12" t="inlineStr">
        <is>
          <t>Factor diario</t>
        </is>
      </c>
      <c r="U5" s="12" t="inlineStr">
        <is>
          <t>Factor semanal</t>
        </is>
      </c>
      <c r="V5" s="12" t="inlineStr">
        <is>
          <t>Factor aplicado</t>
        </is>
      </c>
      <c r="W5" s="12" t="inlineStr">
        <is>
          <t>TLV ajustado (B&amp;S)</t>
        </is>
      </c>
      <c r="X5" s="12" t="inlineStr">
        <is>
          <t>Unidad</t>
        </is>
      </c>
      <c r="Y5" s="12" t="inlineStr">
        <is>
          <t>Fracción</t>
        </is>
      </c>
    </row>
    <row r="6">
      <c r="A6" s="8" t="inlineStr">
        <is>
          <t>G01</t>
        </is>
      </c>
      <c r="B6" s="19" t="inlineStr">
        <is>
          <t>Soldadores de acero al carbono</t>
        </is>
      </c>
      <c r="C6" s="8" t="inlineStr">
        <is>
          <t>Taller de estructuras</t>
        </is>
      </c>
      <c r="D6" s="19" t="inlineStr">
        <is>
          <t>Soldadura SMAW y MIG de perfiles; esmerilado de cordones</t>
        </is>
      </c>
      <c r="E6" s="8" t="inlineStr">
        <is>
          <t>MN-R</t>
        </is>
      </c>
      <c r="F6" s="8" t="n">
        <v>10</v>
      </c>
      <c r="G6" s="19" t="inlineStr">
        <is>
          <t>Ventilación general; sin extracción localizada</t>
        </is>
      </c>
      <c r="H6" s="8" t="n">
        <v>8</v>
      </c>
      <c r="I6" s="8" t="n">
        <v>48</v>
      </c>
      <c r="J6" s="8" t="n">
        <v>360</v>
      </c>
      <c r="K6" s="8" t="inlineStr">
        <is>
          <t>Alta</t>
        </is>
      </c>
      <c r="L6" s="15">
        <f>IF(J6="","",MAX(IF(N(J6)=0,0,1),MIN(4,IF(J6&gt;=360,4,IF(J6&gt;=120,3,IF(J6&gt;=30,2,IF(J6&gt;0,1,0))))+IF(K6="Alta",1,IF(AND(K6="Baja",J6&gt;0),-1,0)))))</f>
        <v/>
      </c>
      <c r="M6" s="15">
        <f>IF(E6="","",IFERROR(INDEX(Agentes!$P$6:$P$60,MATCH(E6,Agentes!$A$6:$A$60,0)),""))</f>
        <v/>
      </c>
      <c r="N6" s="15">
        <f>IF(OR(L6="",M6=""),"",L6*M6)</f>
        <v/>
      </c>
      <c r="O6" s="15">
        <f>IF(N6="","",IF(N6=0,"Incipiente",IF(N6&lt;=4,"Bajo",IF(N6&lt;=8,"Moderado",IF(N6&lt;=12,"Alto","Muy alto")))))</f>
        <v/>
      </c>
      <c r="P6" s="15">
        <f>IF(A6="","",IF(N(F6)&gt;50,ROUNDUP(SQRT(F6),0),6))</f>
        <v/>
      </c>
      <c r="Q6" s="8" t="inlineStr">
        <is>
          <t>Alto</t>
        </is>
      </c>
      <c r="R6" s="15">
        <f>IF(OR(A6="",E6=""),"",A6&amp;"|"&amp;E6)</f>
        <v/>
      </c>
      <c r="S6" s="20">
        <f>IF(E6="","",IFERROR(INDEX(Agentes!$F$6:$F$60,MATCH(E6,Agentes!$A$6:$A$60,0)),"Agente?"))</f>
        <v/>
      </c>
      <c r="T6" s="21">
        <f>IF(N(H6)=0,"",8/H6*(24-H6)/16)</f>
        <v/>
      </c>
      <c r="U6" s="21">
        <f>IF(N(I6)=0,"",40/I6*(168-I6)/128)</f>
        <v/>
      </c>
      <c r="V6" s="21">
        <f>IF(E6="","",MIN(1,IF(T6="",1,T6),IF(U6="",1,U6)))</f>
        <v/>
      </c>
      <c r="W6" s="22">
        <f>IF(OR(NOT(ISNUMBER(S6)),V6=""),"",S6*V6)</f>
        <v/>
      </c>
      <c r="X6" s="15">
        <f>IF(E6="","",IFERROR(INDEX(Agentes!$E$6:$E$60,MATCH(E6,Agentes!$A$6:$A$60,0)),""))</f>
        <v/>
      </c>
      <c r="Y6" s="15">
        <f>IF(E6="","",IFERROR(INDEX(Agentes!$D$6:$D$60,MATCH(E6,Agentes!$A$6:$A$60,0)),""))</f>
        <v/>
      </c>
    </row>
    <row r="7">
      <c r="A7" s="8" t="inlineStr">
        <is>
          <t>G01</t>
        </is>
      </c>
      <c r="B7" s="19" t="inlineStr">
        <is>
          <t>Soldadores de acero al carbono</t>
        </is>
      </c>
      <c r="C7" s="8" t="inlineStr">
        <is>
          <t>Taller de estructuras</t>
        </is>
      </c>
      <c r="D7" s="19" t="inlineStr">
        <is>
          <t>Soldadura SMAW y MIG de perfiles; esmerilado de cordones</t>
        </is>
      </c>
      <c r="E7" s="8" t="inlineStr">
        <is>
          <t>FE2O3</t>
        </is>
      </c>
      <c r="F7" s="8" t="n">
        <v>10</v>
      </c>
      <c r="G7" s="19" t="inlineStr">
        <is>
          <t>Ventilación general; sin extracción localizada</t>
        </is>
      </c>
      <c r="H7" s="8" t="n">
        <v>8</v>
      </c>
      <c r="I7" s="8" t="n">
        <v>48</v>
      </c>
      <c r="J7" s="8" t="n">
        <v>360</v>
      </c>
      <c r="K7" s="8" t="inlineStr">
        <is>
          <t>Alta</t>
        </is>
      </c>
      <c r="L7" s="15">
        <f>IF(J7="","",MAX(IF(N(J7)=0,0,1),MIN(4,IF(J7&gt;=360,4,IF(J7&gt;=120,3,IF(J7&gt;=30,2,IF(J7&gt;0,1,0))))+IF(K7="Alta",1,IF(AND(K7="Baja",J7&gt;0),-1,0)))))</f>
        <v/>
      </c>
      <c r="M7" s="15">
        <f>IF(E7="","",IFERROR(INDEX(Agentes!$P$6:$P$60,MATCH(E7,Agentes!$A$6:$A$60,0)),""))</f>
        <v/>
      </c>
      <c r="N7" s="15">
        <f>IF(OR(L7="",M7=""),"",L7*M7)</f>
        <v/>
      </c>
      <c r="O7" s="15">
        <f>IF(N7="","",IF(N7=0,"Incipiente",IF(N7&lt;=4,"Bajo",IF(N7&lt;=8,"Moderado",IF(N7&lt;=12,"Alto","Muy alto")))))</f>
        <v/>
      </c>
      <c r="P7" s="15">
        <f>IF(A7="","",IF(N(F7)&gt;50,ROUNDUP(SQRT(F7),0),6))</f>
        <v/>
      </c>
      <c r="Q7" s="8" t="inlineStr">
        <is>
          <t>Moderado</t>
        </is>
      </c>
      <c r="R7" s="15">
        <f>IF(OR(A7="",E7=""),"",A7&amp;"|"&amp;E7)</f>
        <v/>
      </c>
      <c r="S7" s="20">
        <f>IF(E7="","",IFERROR(INDEX(Agentes!$F$6:$F$60,MATCH(E7,Agentes!$A$6:$A$60,0)),"Agente?"))</f>
        <v/>
      </c>
      <c r="T7" s="21">
        <f>IF(N(H7)=0,"",8/H7*(24-H7)/16)</f>
        <v/>
      </c>
      <c r="U7" s="21">
        <f>IF(N(I7)=0,"",40/I7*(168-I7)/128)</f>
        <v/>
      </c>
      <c r="V7" s="21">
        <f>IF(E7="","",MIN(1,IF(T7="",1,T7),IF(U7="",1,U7)))</f>
        <v/>
      </c>
      <c r="W7" s="22">
        <f>IF(OR(NOT(ISNUMBER(S7)),V7=""),"",S7*V7)</f>
        <v/>
      </c>
      <c r="X7" s="15">
        <f>IF(E7="","",IFERROR(INDEX(Agentes!$E$6:$E$60,MATCH(E7,Agentes!$A$6:$A$60,0)),""))</f>
        <v/>
      </c>
      <c r="Y7" s="15">
        <f>IF(E7="","",IFERROR(INDEX(Agentes!$D$6:$D$60,MATCH(E7,Agentes!$A$6:$A$60,0)),""))</f>
        <v/>
      </c>
    </row>
    <row r="8">
      <c r="A8" s="8" t="inlineStr">
        <is>
          <t>G02</t>
        </is>
      </c>
      <c r="B8" s="19" t="inlineStr">
        <is>
          <t>Soldadores de acero inoxidable</t>
        </is>
      </c>
      <c r="C8" s="8" t="inlineStr">
        <is>
          <t>Línea de tanques</t>
        </is>
      </c>
      <c r="D8" s="19" t="inlineStr">
        <is>
          <t>Soldadura TIG y MIG de inoxidable 304/316; corte con plasma</t>
        </is>
      </c>
      <c r="E8" s="8" t="inlineStr">
        <is>
          <t>CR6</t>
        </is>
      </c>
      <c r="F8" s="8" t="n">
        <v>6</v>
      </c>
      <c r="G8" s="19" t="inlineStr">
        <is>
          <t>Brazo de extracción en 2 de 4 puestos</t>
        </is>
      </c>
      <c r="H8" s="8" t="n">
        <v>8</v>
      </c>
      <c r="I8" s="8" t="n">
        <v>48</v>
      </c>
      <c r="J8" s="8" t="n">
        <v>300</v>
      </c>
      <c r="K8" s="8" t="inlineStr">
        <is>
          <t>Media</t>
        </is>
      </c>
      <c r="L8" s="15">
        <f>IF(J8="","",MAX(IF(N(J8)=0,0,1),MIN(4,IF(J8&gt;=360,4,IF(J8&gt;=120,3,IF(J8&gt;=30,2,IF(J8&gt;0,1,0))))+IF(K8="Alta",1,IF(AND(K8="Baja",J8&gt;0),-1,0)))))</f>
        <v/>
      </c>
      <c r="M8" s="15">
        <f>IF(E8="","",IFERROR(INDEX(Agentes!$P$6:$P$60,MATCH(E8,Agentes!$A$6:$A$60,0)),""))</f>
        <v/>
      </c>
      <c r="N8" s="15">
        <f>IF(OR(L8="",M8=""),"",L8*M8)</f>
        <v/>
      </c>
      <c r="O8" s="15">
        <f>IF(N8="","",IF(N8=0,"Incipiente",IF(N8&lt;=4,"Bajo",IF(N8&lt;=8,"Moderado",IF(N8&lt;=12,"Alto","Muy alto")))))</f>
        <v/>
      </c>
      <c r="P8" s="15">
        <f>IF(A8="","",IF(N(F8)&gt;50,ROUNDUP(SQRT(F8),0),6))</f>
        <v/>
      </c>
      <c r="Q8" s="8" t="inlineStr">
        <is>
          <t>Crítico</t>
        </is>
      </c>
      <c r="R8" s="15">
        <f>IF(OR(A8="",E8=""),"",A8&amp;"|"&amp;E8)</f>
        <v/>
      </c>
      <c r="S8" s="20">
        <f>IF(E8="","",IFERROR(INDEX(Agentes!$F$6:$F$60,MATCH(E8,Agentes!$A$6:$A$60,0)),"Agente?"))</f>
        <v/>
      </c>
      <c r="T8" s="21">
        <f>IF(N(H8)=0,"",8/H8*(24-H8)/16)</f>
        <v/>
      </c>
      <c r="U8" s="21">
        <f>IF(N(I8)=0,"",40/I8*(168-I8)/128)</f>
        <v/>
      </c>
      <c r="V8" s="21">
        <f>IF(E8="","",MIN(1,IF(T8="",1,T8),IF(U8="",1,U8)))</f>
        <v/>
      </c>
      <c r="W8" s="22">
        <f>IF(OR(NOT(ISNUMBER(S8)),V8=""),"",S8*V8)</f>
        <v/>
      </c>
      <c r="X8" s="15">
        <f>IF(E8="","",IFERROR(INDEX(Agentes!$E$6:$E$60,MATCH(E8,Agentes!$A$6:$A$60,0)),""))</f>
        <v/>
      </c>
      <c r="Y8" s="15">
        <f>IF(E8="","",IFERROR(INDEX(Agentes!$D$6:$D$60,MATCH(E8,Agentes!$A$6:$A$60,0)),""))</f>
        <v/>
      </c>
    </row>
    <row r="9">
      <c r="A9" s="8" t="inlineStr">
        <is>
          <t>G02</t>
        </is>
      </c>
      <c r="B9" s="19" t="inlineStr">
        <is>
          <t>Soldadores de acero inoxidable</t>
        </is>
      </c>
      <c r="C9" s="8" t="inlineStr">
        <is>
          <t>Línea de tanques</t>
        </is>
      </c>
      <c r="D9" s="19" t="inlineStr">
        <is>
          <t>Soldadura TIG y MIG de inoxidable 304/316; corte con plasma</t>
        </is>
      </c>
      <c r="E9" s="8" t="inlineStr">
        <is>
          <t>NI-I</t>
        </is>
      </c>
      <c r="F9" s="8" t="n">
        <v>6</v>
      </c>
      <c r="G9" s="19" t="inlineStr">
        <is>
          <t>Brazo de extracción en 2 de 4 puestos</t>
        </is>
      </c>
      <c r="H9" s="8" t="n">
        <v>8</v>
      </c>
      <c r="I9" s="8" t="n">
        <v>48</v>
      </c>
      <c r="J9" s="8" t="n">
        <v>300</v>
      </c>
      <c r="K9" s="8" t="inlineStr">
        <is>
          <t>Media</t>
        </is>
      </c>
      <c r="L9" s="15">
        <f>IF(J9="","",MAX(IF(N(J9)=0,0,1),MIN(4,IF(J9&gt;=360,4,IF(J9&gt;=120,3,IF(J9&gt;=30,2,IF(J9&gt;0,1,0))))+IF(K9="Alta",1,IF(AND(K9="Baja",J9&gt;0),-1,0)))))</f>
        <v/>
      </c>
      <c r="M9" s="15">
        <f>IF(E9="","",IFERROR(INDEX(Agentes!$P$6:$P$60,MATCH(E9,Agentes!$A$6:$A$60,0)),""))</f>
        <v/>
      </c>
      <c r="N9" s="15">
        <f>IF(OR(L9="",M9=""),"",L9*M9)</f>
        <v/>
      </c>
      <c r="O9" s="15">
        <f>IF(N9="","",IF(N9=0,"Incipiente",IF(N9&lt;=4,"Bajo",IF(N9&lt;=8,"Moderado",IF(N9&lt;=12,"Alto","Muy alto")))))</f>
        <v/>
      </c>
      <c r="P9" s="15">
        <f>IF(A9="","",IF(N(F9)&gt;50,ROUNDUP(SQRT(F9),0),6))</f>
        <v/>
      </c>
      <c r="Q9" s="8" t="inlineStr">
        <is>
          <t>Alto</t>
        </is>
      </c>
      <c r="R9" s="15">
        <f>IF(OR(A9="",E9=""),"",A9&amp;"|"&amp;E9)</f>
        <v/>
      </c>
      <c r="S9" s="20">
        <f>IF(E9="","",IFERROR(INDEX(Agentes!$F$6:$F$60,MATCH(E9,Agentes!$A$6:$A$60,0)),"Agente?"))</f>
        <v/>
      </c>
      <c r="T9" s="21">
        <f>IF(N(H9)=0,"",8/H9*(24-H9)/16)</f>
        <v/>
      </c>
      <c r="U9" s="21">
        <f>IF(N(I9)=0,"",40/I9*(168-I9)/128)</f>
        <v/>
      </c>
      <c r="V9" s="21">
        <f>IF(E9="","",MIN(1,IF(T9="",1,T9),IF(U9="",1,U9)))</f>
        <v/>
      </c>
      <c r="W9" s="22">
        <f>IF(OR(NOT(ISNUMBER(S9)),V9=""),"",S9*V9)</f>
        <v/>
      </c>
      <c r="X9" s="15">
        <f>IF(E9="","",IFERROR(INDEX(Agentes!$E$6:$E$60,MATCH(E9,Agentes!$A$6:$A$60,0)),""))</f>
        <v/>
      </c>
      <c r="Y9" s="15">
        <f>IF(E9="","",IFERROR(INDEX(Agentes!$D$6:$D$60,MATCH(E9,Agentes!$A$6:$A$60,0)),""))</f>
        <v/>
      </c>
    </row>
    <row r="10">
      <c r="A10" s="8" t="inlineStr">
        <is>
          <t>G03</t>
        </is>
      </c>
      <c r="B10" s="19" t="inlineStr">
        <is>
          <t>Operarios de ensacado de cemento</t>
        </is>
      </c>
      <c r="C10" s="8" t="inlineStr">
        <is>
          <t>Planta de cemento</t>
        </is>
      </c>
      <c r="D10" s="19" t="inlineStr">
        <is>
          <t>Llenado de sacos de 50 kg, paletizado y limpieza</t>
        </is>
      </c>
      <c r="E10" s="8" t="inlineStr">
        <is>
          <t>CEM</t>
        </is>
      </c>
      <c r="F10" s="8" t="n">
        <v>8</v>
      </c>
      <c r="G10" s="19" t="inlineStr">
        <is>
          <t>Campana en la ensacadora</t>
        </is>
      </c>
      <c r="H10" s="8" t="n">
        <v>8</v>
      </c>
      <c r="I10" s="8" t="n">
        <v>44</v>
      </c>
      <c r="J10" s="8" t="n">
        <v>420</v>
      </c>
      <c r="K10" s="8" t="inlineStr">
        <is>
          <t>Alta</t>
        </is>
      </c>
      <c r="L10" s="15">
        <f>IF(J10="","",MAX(IF(N(J10)=0,0,1),MIN(4,IF(J10&gt;=360,4,IF(J10&gt;=120,3,IF(J10&gt;=30,2,IF(J10&gt;0,1,0))))+IF(K10="Alta",1,IF(AND(K10="Baja",J10&gt;0),-1,0)))))</f>
        <v/>
      </c>
      <c r="M10" s="15">
        <f>IF(E10="","",IFERROR(INDEX(Agentes!$P$6:$P$60,MATCH(E10,Agentes!$A$6:$A$60,0)),""))</f>
        <v/>
      </c>
      <c r="N10" s="15">
        <f>IF(OR(L10="",M10=""),"",L10*M10)</f>
        <v/>
      </c>
      <c r="O10" s="15">
        <f>IF(N10="","",IF(N10=0,"Incipiente",IF(N10&lt;=4,"Bajo",IF(N10&lt;=8,"Moderado",IF(N10&lt;=12,"Alto","Muy alto")))))</f>
        <v/>
      </c>
      <c r="P10" s="15">
        <f>IF(A10="","",IF(N(F10)&gt;50,ROUNDUP(SQRT(F10),0),6))</f>
        <v/>
      </c>
      <c r="Q10" s="8" t="inlineStr">
        <is>
          <t>Alto</t>
        </is>
      </c>
      <c r="R10" s="15">
        <f>IF(OR(A10="",E10=""),"",A10&amp;"|"&amp;E10)</f>
        <v/>
      </c>
      <c r="S10" s="20">
        <f>IF(E10="","",IFERROR(INDEX(Agentes!$F$6:$F$60,MATCH(E10,Agentes!$A$6:$A$60,0)),"Agente?"))</f>
        <v/>
      </c>
      <c r="T10" s="21">
        <f>IF(N(H10)=0,"",8/H10*(24-H10)/16)</f>
        <v/>
      </c>
      <c r="U10" s="21">
        <f>IF(N(I10)=0,"",40/I10*(168-I10)/128)</f>
        <v/>
      </c>
      <c r="V10" s="21">
        <f>IF(E10="","",MIN(1,IF(T10="",1,T10),IF(U10="",1,U10)))</f>
        <v/>
      </c>
      <c r="W10" s="22">
        <f>IF(OR(NOT(ISNUMBER(S10)),V10=""),"",S10*V10)</f>
        <v/>
      </c>
      <c r="X10" s="15">
        <f>IF(E10="","",IFERROR(INDEX(Agentes!$E$6:$E$60,MATCH(E10,Agentes!$A$6:$A$60,0)),""))</f>
        <v/>
      </c>
      <c r="Y10" s="15">
        <f>IF(E10="","",IFERROR(INDEX(Agentes!$D$6:$D$60,MATCH(E10,Agentes!$A$6:$A$60,0)),""))</f>
        <v/>
      </c>
    </row>
    <row r="11">
      <c r="A11" s="8" t="inlineStr">
        <is>
          <t>G04</t>
        </is>
      </c>
      <c r="B11" s="19" t="inlineStr">
        <is>
          <t>Operadores de molino de caolín</t>
        </is>
      </c>
      <c r="C11" s="8" t="inlineStr">
        <is>
          <t>Planta de minerales</t>
        </is>
      </c>
      <c r="D11" s="19" t="inlineStr">
        <is>
          <t>Molienda, clasificación y transporte neumático de caolín</t>
        </is>
      </c>
      <c r="E11" s="8" t="inlineStr">
        <is>
          <t>KAO</t>
        </is>
      </c>
      <c r="F11" s="8" t="n">
        <v>5</v>
      </c>
      <c r="G11" s="19" t="inlineStr">
        <is>
          <t>Molino encerrado; colector de mangas</t>
        </is>
      </c>
      <c r="H11" s="8" t="n">
        <v>8</v>
      </c>
      <c r="I11" s="8" t="n">
        <v>44</v>
      </c>
      <c r="J11" s="8" t="n">
        <v>240</v>
      </c>
      <c r="K11" s="8" t="inlineStr">
        <is>
          <t>Media</t>
        </is>
      </c>
      <c r="L11" s="15">
        <f>IF(J11="","",MAX(IF(N(J11)=0,0,1),MIN(4,IF(J11&gt;=360,4,IF(J11&gt;=120,3,IF(J11&gt;=30,2,IF(J11&gt;0,1,0))))+IF(K11="Alta",1,IF(AND(K11="Baja",J11&gt;0),-1,0)))))</f>
        <v/>
      </c>
      <c r="M11" s="15">
        <f>IF(E11="","",IFERROR(INDEX(Agentes!$P$6:$P$60,MATCH(E11,Agentes!$A$6:$A$60,0)),""))</f>
        <v/>
      </c>
      <c r="N11" s="15">
        <f>IF(OR(L11="",M11=""),"",L11*M11)</f>
        <v/>
      </c>
      <c r="O11" s="15">
        <f>IF(N11="","",IF(N11=0,"Incipiente",IF(N11&lt;=4,"Bajo",IF(N11&lt;=8,"Moderado",IF(N11&lt;=12,"Alto","Muy alto")))))</f>
        <v/>
      </c>
      <c r="P11" s="15">
        <f>IF(A11="","",IF(N(F11)&gt;50,ROUNDUP(SQRT(F11),0),6))</f>
        <v/>
      </c>
      <c r="Q11" s="8" t="inlineStr">
        <is>
          <t>Moderado</t>
        </is>
      </c>
      <c r="R11" s="15">
        <f>IF(OR(A11="",E11=""),"",A11&amp;"|"&amp;E11)</f>
        <v/>
      </c>
      <c r="S11" s="20">
        <f>IF(E11="","",IFERROR(INDEX(Agentes!$F$6:$F$60,MATCH(E11,Agentes!$A$6:$A$60,0)),"Agente?"))</f>
        <v/>
      </c>
      <c r="T11" s="21">
        <f>IF(N(H11)=0,"",8/H11*(24-H11)/16)</f>
        <v/>
      </c>
      <c r="U11" s="21">
        <f>IF(N(I11)=0,"",40/I11*(168-I11)/128)</f>
        <v/>
      </c>
      <c r="V11" s="21">
        <f>IF(E11="","",MIN(1,IF(T11="",1,T11),IF(U11="",1,U11)))</f>
        <v/>
      </c>
      <c r="W11" s="22">
        <f>IF(OR(NOT(ISNUMBER(S11)),V11=""),"",S11*V11)</f>
        <v/>
      </c>
      <c r="X11" s="15">
        <f>IF(E11="","",IFERROR(INDEX(Agentes!$E$6:$E$60,MATCH(E11,Agentes!$A$6:$A$60,0)),""))</f>
        <v/>
      </c>
      <c r="Y11" s="15">
        <f>IF(E11="","",IFERROR(INDEX(Agentes!$D$6:$D$60,MATCH(E11,Agentes!$A$6:$A$60,0)),""))</f>
        <v/>
      </c>
    </row>
    <row r="12">
      <c r="A12" s="8" t="inlineStr">
        <is>
          <t>G05</t>
        </is>
      </c>
      <c r="B12" s="19" t="inlineStr">
        <is>
          <t>Operarios de fundición de plomo</t>
        </is>
      </c>
      <c r="C12" s="8" t="inlineStr">
        <is>
          <t>Recuperación de baterías</t>
        </is>
      </c>
      <c r="D12" s="19" t="inlineStr">
        <is>
          <t>Fusión de plomo y vaciado de lingotes</t>
        </is>
      </c>
      <c r="E12" s="8" t="inlineStr">
        <is>
          <t>PB</t>
        </is>
      </c>
      <c r="F12" s="8" t="n">
        <v>6</v>
      </c>
      <c r="G12" s="19" t="inlineStr">
        <is>
          <t>Campana sobre el horno</t>
        </is>
      </c>
      <c r="H12" s="8" t="n">
        <v>8</v>
      </c>
      <c r="I12" s="8" t="n">
        <v>40</v>
      </c>
      <c r="J12" s="8" t="n">
        <v>300</v>
      </c>
      <c r="K12" s="8" t="inlineStr">
        <is>
          <t>Media</t>
        </is>
      </c>
      <c r="L12" s="15">
        <f>IF(J12="","",MAX(IF(N(J12)=0,0,1),MIN(4,IF(J12&gt;=360,4,IF(J12&gt;=120,3,IF(J12&gt;=30,2,IF(J12&gt;0,1,0))))+IF(K12="Alta",1,IF(AND(K12="Baja",J12&gt;0),-1,0)))))</f>
        <v/>
      </c>
      <c r="M12" s="15">
        <f>IF(E12="","",IFERROR(INDEX(Agentes!$P$6:$P$60,MATCH(E12,Agentes!$A$6:$A$60,0)),""))</f>
        <v/>
      </c>
      <c r="N12" s="15">
        <f>IF(OR(L12="",M12=""),"",L12*M12)</f>
        <v/>
      </c>
      <c r="O12" s="15">
        <f>IF(N12="","",IF(N12=0,"Incipiente",IF(N12&lt;=4,"Bajo",IF(N12&lt;=8,"Moderado",IF(N12&lt;=12,"Alto","Muy alto")))))</f>
        <v/>
      </c>
      <c r="P12" s="15">
        <f>IF(A12="","",IF(N(F12)&gt;50,ROUNDUP(SQRT(F12),0),6))</f>
        <v/>
      </c>
      <c r="Q12" s="8" t="inlineStr">
        <is>
          <t>Alto</t>
        </is>
      </c>
      <c r="R12" s="15">
        <f>IF(OR(A12="",E12=""),"",A12&amp;"|"&amp;E12)</f>
        <v/>
      </c>
      <c r="S12" s="20">
        <f>IF(E12="","",IFERROR(INDEX(Agentes!$F$6:$F$60,MATCH(E12,Agentes!$A$6:$A$60,0)),"Agente?"))</f>
        <v/>
      </c>
      <c r="T12" s="21">
        <f>IF(N(H12)=0,"",8/H12*(24-H12)/16)</f>
        <v/>
      </c>
      <c r="U12" s="21">
        <f>IF(N(I12)=0,"",40/I12*(168-I12)/128)</f>
        <v/>
      </c>
      <c r="V12" s="21">
        <f>IF(E12="","",MIN(1,IF(T12="",1,T12),IF(U12="",1,U12)))</f>
        <v/>
      </c>
      <c r="W12" s="22">
        <f>IF(OR(NOT(ISNUMBER(S12)),V12=""),"",S12*V12)</f>
        <v/>
      </c>
      <c r="X12" s="15">
        <f>IF(E12="","",IFERROR(INDEX(Agentes!$E$6:$E$60,MATCH(E12,Agentes!$A$6:$A$60,0)),""))</f>
        <v/>
      </c>
      <c r="Y12" s="15">
        <f>IF(E12="","",IFERROR(INDEX(Agentes!$D$6:$D$60,MATCH(E12,Agentes!$A$6:$A$60,0)),""))</f>
        <v/>
      </c>
    </row>
    <row r="13">
      <c r="A13" s="8" t="inlineStr">
        <is>
          <t>G06</t>
        </is>
      </c>
      <c r="B13" s="19" t="inlineStr">
        <is>
          <t>Pulidores y lijadores</t>
        </is>
      </c>
      <c r="C13" s="8" t="inlineStr">
        <is>
          <t>Acabados</t>
        </is>
      </c>
      <c r="D13" s="19" t="inlineStr">
        <is>
          <t>Lijado y pulido de piezas pintadas (sin sílice)</t>
        </is>
      </c>
      <c r="E13" s="8" t="inlineStr">
        <is>
          <t>PNOS-I</t>
        </is>
      </c>
      <c r="F13" s="8" t="n">
        <v>7</v>
      </c>
      <c r="G13" s="19" t="inlineStr">
        <is>
          <t>Ninguno</t>
        </is>
      </c>
      <c r="H13" s="8" t="n">
        <v>8</v>
      </c>
      <c r="I13" s="8" t="n">
        <v>44</v>
      </c>
      <c r="J13" s="8" t="n">
        <v>240</v>
      </c>
      <c r="K13" s="8" t="inlineStr">
        <is>
          <t>Media</t>
        </is>
      </c>
      <c r="L13" s="15">
        <f>IF(J13="","",MAX(IF(N(J13)=0,0,1),MIN(4,IF(J13&gt;=360,4,IF(J13&gt;=120,3,IF(J13&gt;=30,2,IF(J13&gt;0,1,0))))+IF(K13="Alta",1,IF(AND(K13="Baja",J13&gt;0),-1,0)))))</f>
        <v/>
      </c>
      <c r="M13" s="15">
        <f>IF(E13="","",IFERROR(INDEX(Agentes!$P$6:$P$60,MATCH(E13,Agentes!$A$6:$A$60,0)),""))</f>
        <v/>
      </c>
      <c r="N13" s="15">
        <f>IF(OR(L13="",M13=""),"",L13*M13)</f>
        <v/>
      </c>
      <c r="O13" s="15">
        <f>IF(N13="","",IF(N13=0,"Incipiente",IF(N13&lt;=4,"Bajo",IF(N13&lt;=8,"Moderado",IF(N13&lt;=12,"Alto","Muy alto")))))</f>
        <v/>
      </c>
      <c r="P13" s="15">
        <f>IF(A13="","",IF(N(F13)&gt;50,ROUNDUP(SQRT(F13),0),6))</f>
        <v/>
      </c>
      <c r="Q13" s="8" t="inlineStr">
        <is>
          <t>Moderado</t>
        </is>
      </c>
      <c r="R13" s="15">
        <f>IF(OR(A13="",E13=""),"",A13&amp;"|"&amp;E13)</f>
        <v/>
      </c>
      <c r="S13" s="20">
        <f>IF(E13="","",IFERROR(INDEX(Agentes!$F$6:$F$60,MATCH(E13,Agentes!$A$6:$A$60,0)),"Agente?"))</f>
        <v/>
      </c>
      <c r="T13" s="21">
        <f>IF(N(H13)=0,"",8/H13*(24-H13)/16)</f>
        <v/>
      </c>
      <c r="U13" s="21">
        <f>IF(N(I13)=0,"",40/I13*(168-I13)/128)</f>
        <v/>
      </c>
      <c r="V13" s="21">
        <f>IF(E13="","",MIN(1,IF(T13="",1,T13),IF(U13="",1,U13)))</f>
        <v/>
      </c>
      <c r="W13" s="22">
        <f>IF(OR(NOT(ISNUMBER(S13)),V13=""),"",S13*V13)</f>
        <v/>
      </c>
      <c r="X13" s="15">
        <f>IF(E13="","",IFERROR(INDEX(Agentes!$E$6:$E$60,MATCH(E13,Agentes!$A$6:$A$60,0)),""))</f>
        <v/>
      </c>
      <c r="Y13" s="15">
        <f>IF(E13="","",IFERROR(INDEX(Agentes!$D$6:$D$60,MATCH(E13,Agentes!$A$6:$A$60,0)),""))</f>
        <v/>
      </c>
    </row>
    <row r="14">
      <c r="A14" s="8" t="n"/>
      <c r="B14" s="19" t="n"/>
      <c r="C14" s="8" t="n"/>
      <c r="D14" s="19" t="n"/>
      <c r="E14" s="8" t="n"/>
      <c r="F14" s="8" t="n"/>
      <c r="G14" s="19" t="n"/>
      <c r="H14" s="8" t="n"/>
      <c r="I14" s="8" t="n"/>
      <c r="J14" s="8" t="n"/>
      <c r="K14" s="8" t="n"/>
      <c r="L14" s="15">
        <f>IF(J14="","",MAX(IF(N(J14)=0,0,1),MIN(4,IF(J14&gt;=360,4,IF(J14&gt;=120,3,IF(J14&gt;=30,2,IF(J14&gt;0,1,0))))+IF(K14="Alta",1,IF(AND(K14="Baja",J14&gt;0),-1,0)))))</f>
        <v/>
      </c>
      <c r="M14" s="15">
        <f>IF(E14="","",IFERROR(INDEX(Agentes!$P$6:$P$60,MATCH(E14,Agentes!$A$6:$A$60,0)),""))</f>
        <v/>
      </c>
      <c r="N14" s="15">
        <f>IF(OR(L14="",M14=""),"",L14*M14)</f>
        <v/>
      </c>
      <c r="O14" s="15">
        <f>IF(N14="","",IF(N14=0,"Incipiente",IF(N14&lt;=4,"Bajo",IF(N14&lt;=8,"Moderado",IF(N14&lt;=12,"Alto","Muy alto")))))</f>
        <v/>
      </c>
      <c r="P14" s="15">
        <f>IF(A14="","",IF(N(F14)&gt;50,ROUNDUP(SQRT(F14),0),6))</f>
        <v/>
      </c>
      <c r="Q14" s="8" t="n"/>
      <c r="R14" s="15">
        <f>IF(OR(A14="",E14=""),"",A14&amp;"|"&amp;E14)</f>
        <v/>
      </c>
      <c r="S14" s="20">
        <f>IF(E14="","",IFERROR(INDEX(Agentes!$F$6:$F$60,MATCH(E14,Agentes!$A$6:$A$60,0)),"Agente?"))</f>
        <v/>
      </c>
      <c r="T14" s="21">
        <f>IF(N(H14)=0,"",8/H14*(24-H14)/16)</f>
        <v/>
      </c>
      <c r="U14" s="21">
        <f>IF(N(I14)=0,"",40/I14*(168-I14)/128)</f>
        <v/>
      </c>
      <c r="V14" s="21">
        <f>IF(E14="","",MIN(1,IF(T14="",1,T14),IF(U14="",1,U14)))</f>
        <v/>
      </c>
      <c r="W14" s="22">
        <f>IF(OR(NOT(ISNUMBER(S14)),V14=""),"",S14*V14)</f>
        <v/>
      </c>
      <c r="X14" s="15">
        <f>IF(E14="","",IFERROR(INDEX(Agentes!$E$6:$E$60,MATCH(E14,Agentes!$A$6:$A$60,0)),""))</f>
        <v/>
      </c>
      <c r="Y14" s="15">
        <f>IF(E14="","",IFERROR(INDEX(Agentes!$D$6:$D$60,MATCH(E14,Agentes!$A$6:$A$60,0)),""))</f>
        <v/>
      </c>
    </row>
    <row r="15">
      <c r="A15" s="8" t="n"/>
      <c r="B15" s="19" t="n"/>
      <c r="C15" s="8" t="n"/>
      <c r="D15" s="19" t="n"/>
      <c r="E15" s="8" t="n"/>
      <c r="F15" s="8" t="n"/>
      <c r="G15" s="19" t="n"/>
      <c r="H15" s="8" t="n"/>
      <c r="I15" s="8" t="n"/>
      <c r="J15" s="8" t="n"/>
      <c r="K15" s="8" t="n"/>
      <c r="L15" s="15">
        <f>IF(J15="","",MAX(IF(N(J15)=0,0,1),MIN(4,IF(J15&gt;=360,4,IF(J15&gt;=120,3,IF(J15&gt;=30,2,IF(J15&gt;0,1,0))))+IF(K15="Alta",1,IF(AND(K15="Baja",J15&gt;0),-1,0)))))</f>
        <v/>
      </c>
      <c r="M15" s="15">
        <f>IF(E15="","",IFERROR(INDEX(Agentes!$P$6:$P$60,MATCH(E15,Agentes!$A$6:$A$60,0)),""))</f>
        <v/>
      </c>
      <c r="N15" s="15">
        <f>IF(OR(L15="",M15=""),"",L15*M15)</f>
        <v/>
      </c>
      <c r="O15" s="15">
        <f>IF(N15="","",IF(N15=0,"Incipiente",IF(N15&lt;=4,"Bajo",IF(N15&lt;=8,"Moderado",IF(N15&lt;=12,"Alto","Muy alto")))))</f>
        <v/>
      </c>
      <c r="P15" s="15">
        <f>IF(A15="","",IF(N(F15)&gt;50,ROUNDUP(SQRT(F15),0),6))</f>
        <v/>
      </c>
      <c r="Q15" s="8" t="n"/>
      <c r="R15" s="15">
        <f>IF(OR(A15="",E15=""),"",A15&amp;"|"&amp;E15)</f>
        <v/>
      </c>
      <c r="S15" s="20">
        <f>IF(E15="","",IFERROR(INDEX(Agentes!$F$6:$F$60,MATCH(E15,Agentes!$A$6:$A$60,0)),"Agente?"))</f>
        <v/>
      </c>
      <c r="T15" s="21">
        <f>IF(N(H15)=0,"",8/H15*(24-H15)/16)</f>
        <v/>
      </c>
      <c r="U15" s="21">
        <f>IF(N(I15)=0,"",40/I15*(168-I15)/128)</f>
        <v/>
      </c>
      <c r="V15" s="21">
        <f>IF(E15="","",MIN(1,IF(T15="",1,T15),IF(U15="",1,U15)))</f>
        <v/>
      </c>
      <c r="W15" s="22">
        <f>IF(OR(NOT(ISNUMBER(S15)),V15=""),"",S15*V15)</f>
        <v/>
      </c>
      <c r="X15" s="15">
        <f>IF(E15="","",IFERROR(INDEX(Agentes!$E$6:$E$60,MATCH(E15,Agentes!$A$6:$A$60,0)),""))</f>
        <v/>
      </c>
      <c r="Y15" s="15">
        <f>IF(E15="","",IFERROR(INDEX(Agentes!$D$6:$D$60,MATCH(E15,Agentes!$A$6:$A$60,0)),""))</f>
        <v/>
      </c>
    </row>
    <row r="16">
      <c r="A16" s="8" t="n"/>
      <c r="B16" s="19" t="n"/>
      <c r="C16" s="8" t="n"/>
      <c r="D16" s="19" t="n"/>
      <c r="E16" s="8" t="n"/>
      <c r="F16" s="8" t="n"/>
      <c r="G16" s="19" t="n"/>
      <c r="H16" s="8" t="n"/>
      <c r="I16" s="8" t="n"/>
      <c r="J16" s="8" t="n"/>
      <c r="K16" s="8" t="n"/>
      <c r="L16" s="15">
        <f>IF(J16="","",MAX(IF(N(J16)=0,0,1),MIN(4,IF(J16&gt;=360,4,IF(J16&gt;=120,3,IF(J16&gt;=30,2,IF(J16&gt;0,1,0))))+IF(K16="Alta",1,IF(AND(K16="Baja",J16&gt;0),-1,0)))))</f>
        <v/>
      </c>
      <c r="M16" s="15">
        <f>IF(E16="","",IFERROR(INDEX(Agentes!$P$6:$P$60,MATCH(E16,Agentes!$A$6:$A$60,0)),""))</f>
        <v/>
      </c>
      <c r="N16" s="15">
        <f>IF(OR(L16="",M16=""),"",L16*M16)</f>
        <v/>
      </c>
      <c r="O16" s="15">
        <f>IF(N16="","",IF(N16=0,"Incipiente",IF(N16&lt;=4,"Bajo",IF(N16&lt;=8,"Moderado",IF(N16&lt;=12,"Alto","Muy alto")))))</f>
        <v/>
      </c>
      <c r="P16" s="15">
        <f>IF(A16="","",IF(N(F16)&gt;50,ROUNDUP(SQRT(F16),0),6))</f>
        <v/>
      </c>
      <c r="Q16" s="8" t="n"/>
      <c r="R16" s="15">
        <f>IF(OR(A16="",E16=""),"",A16&amp;"|"&amp;E16)</f>
        <v/>
      </c>
      <c r="S16" s="20">
        <f>IF(E16="","",IFERROR(INDEX(Agentes!$F$6:$F$60,MATCH(E16,Agentes!$A$6:$A$60,0)),"Agente?"))</f>
        <v/>
      </c>
      <c r="T16" s="21">
        <f>IF(N(H16)=0,"",8/H16*(24-H16)/16)</f>
        <v/>
      </c>
      <c r="U16" s="21">
        <f>IF(N(I16)=0,"",40/I16*(168-I16)/128)</f>
        <v/>
      </c>
      <c r="V16" s="21">
        <f>IF(E16="","",MIN(1,IF(T16="",1,T16),IF(U16="",1,U16)))</f>
        <v/>
      </c>
      <c r="W16" s="22">
        <f>IF(OR(NOT(ISNUMBER(S16)),V16=""),"",S16*V16)</f>
        <v/>
      </c>
      <c r="X16" s="15">
        <f>IF(E16="","",IFERROR(INDEX(Agentes!$E$6:$E$60,MATCH(E16,Agentes!$A$6:$A$60,0)),""))</f>
        <v/>
      </c>
      <c r="Y16" s="15">
        <f>IF(E16="","",IFERROR(INDEX(Agentes!$D$6:$D$60,MATCH(E16,Agentes!$A$6:$A$60,0)),""))</f>
        <v/>
      </c>
    </row>
    <row r="17">
      <c r="A17" s="8" t="n"/>
      <c r="B17" s="19" t="n"/>
      <c r="C17" s="8" t="n"/>
      <c r="D17" s="19" t="n"/>
      <c r="E17" s="8" t="n"/>
      <c r="F17" s="8" t="n"/>
      <c r="G17" s="19" t="n"/>
      <c r="H17" s="8" t="n"/>
      <c r="I17" s="8" t="n"/>
      <c r="J17" s="8" t="n"/>
      <c r="K17" s="8" t="n"/>
      <c r="L17" s="15">
        <f>IF(J17="","",MAX(IF(N(J17)=0,0,1),MIN(4,IF(J17&gt;=360,4,IF(J17&gt;=120,3,IF(J17&gt;=30,2,IF(J17&gt;0,1,0))))+IF(K17="Alta",1,IF(AND(K17="Baja",J17&gt;0),-1,0)))))</f>
        <v/>
      </c>
      <c r="M17" s="15">
        <f>IF(E17="","",IFERROR(INDEX(Agentes!$P$6:$P$60,MATCH(E17,Agentes!$A$6:$A$60,0)),""))</f>
        <v/>
      </c>
      <c r="N17" s="15">
        <f>IF(OR(L17="",M17=""),"",L17*M17)</f>
        <v/>
      </c>
      <c r="O17" s="15">
        <f>IF(N17="","",IF(N17=0,"Incipiente",IF(N17&lt;=4,"Bajo",IF(N17&lt;=8,"Moderado",IF(N17&lt;=12,"Alto","Muy alto")))))</f>
        <v/>
      </c>
      <c r="P17" s="15">
        <f>IF(A17="","",IF(N(F17)&gt;50,ROUNDUP(SQRT(F17),0),6))</f>
        <v/>
      </c>
      <c r="Q17" s="8" t="n"/>
      <c r="R17" s="15">
        <f>IF(OR(A17="",E17=""),"",A17&amp;"|"&amp;E17)</f>
        <v/>
      </c>
      <c r="S17" s="20">
        <f>IF(E17="","",IFERROR(INDEX(Agentes!$F$6:$F$60,MATCH(E17,Agentes!$A$6:$A$60,0)),"Agente?"))</f>
        <v/>
      </c>
      <c r="T17" s="21">
        <f>IF(N(H17)=0,"",8/H17*(24-H17)/16)</f>
        <v/>
      </c>
      <c r="U17" s="21">
        <f>IF(N(I17)=0,"",40/I17*(168-I17)/128)</f>
        <v/>
      </c>
      <c r="V17" s="21">
        <f>IF(E17="","",MIN(1,IF(T17="",1,T17),IF(U17="",1,U17)))</f>
        <v/>
      </c>
      <c r="W17" s="22">
        <f>IF(OR(NOT(ISNUMBER(S17)),V17=""),"",S17*V17)</f>
        <v/>
      </c>
      <c r="X17" s="15">
        <f>IF(E17="","",IFERROR(INDEX(Agentes!$E$6:$E$60,MATCH(E17,Agentes!$A$6:$A$60,0)),""))</f>
        <v/>
      </c>
      <c r="Y17" s="15">
        <f>IF(E17="","",IFERROR(INDEX(Agentes!$D$6:$D$60,MATCH(E17,Agentes!$A$6:$A$60,0)),""))</f>
        <v/>
      </c>
    </row>
    <row r="18">
      <c r="A18" s="8" t="n"/>
      <c r="B18" s="19" t="n"/>
      <c r="C18" s="8" t="n"/>
      <c r="D18" s="19" t="n"/>
      <c r="E18" s="8" t="n"/>
      <c r="F18" s="8" t="n"/>
      <c r="G18" s="19" t="n"/>
      <c r="H18" s="8" t="n"/>
      <c r="I18" s="8" t="n"/>
      <c r="J18" s="8" t="n"/>
      <c r="K18" s="8" t="n"/>
      <c r="L18" s="15">
        <f>IF(J18="","",MAX(IF(N(J18)=0,0,1),MIN(4,IF(J18&gt;=360,4,IF(J18&gt;=120,3,IF(J18&gt;=30,2,IF(J18&gt;0,1,0))))+IF(K18="Alta",1,IF(AND(K18="Baja",J18&gt;0),-1,0)))))</f>
        <v/>
      </c>
      <c r="M18" s="15">
        <f>IF(E18="","",IFERROR(INDEX(Agentes!$P$6:$P$60,MATCH(E18,Agentes!$A$6:$A$60,0)),""))</f>
        <v/>
      </c>
      <c r="N18" s="15">
        <f>IF(OR(L18="",M18=""),"",L18*M18)</f>
        <v/>
      </c>
      <c r="O18" s="15">
        <f>IF(N18="","",IF(N18=0,"Incipiente",IF(N18&lt;=4,"Bajo",IF(N18&lt;=8,"Moderado",IF(N18&lt;=12,"Alto","Muy alto")))))</f>
        <v/>
      </c>
      <c r="P18" s="15">
        <f>IF(A18="","",IF(N(F18)&gt;50,ROUNDUP(SQRT(F18),0),6))</f>
        <v/>
      </c>
      <c r="Q18" s="8" t="n"/>
      <c r="R18" s="15">
        <f>IF(OR(A18="",E18=""),"",A18&amp;"|"&amp;E18)</f>
        <v/>
      </c>
      <c r="S18" s="20">
        <f>IF(E18="","",IFERROR(INDEX(Agentes!$F$6:$F$60,MATCH(E18,Agentes!$A$6:$A$60,0)),"Agente?"))</f>
        <v/>
      </c>
      <c r="T18" s="21">
        <f>IF(N(H18)=0,"",8/H18*(24-H18)/16)</f>
        <v/>
      </c>
      <c r="U18" s="21">
        <f>IF(N(I18)=0,"",40/I18*(168-I18)/128)</f>
        <v/>
      </c>
      <c r="V18" s="21">
        <f>IF(E18="","",MIN(1,IF(T18="",1,T18),IF(U18="",1,U18)))</f>
        <v/>
      </c>
      <c r="W18" s="22">
        <f>IF(OR(NOT(ISNUMBER(S18)),V18=""),"",S18*V18)</f>
        <v/>
      </c>
      <c r="X18" s="15">
        <f>IF(E18="","",IFERROR(INDEX(Agentes!$E$6:$E$60,MATCH(E18,Agentes!$A$6:$A$60,0)),""))</f>
        <v/>
      </c>
      <c r="Y18" s="15">
        <f>IF(E18="","",IFERROR(INDEX(Agentes!$D$6:$D$60,MATCH(E18,Agentes!$A$6:$A$60,0)),""))</f>
        <v/>
      </c>
    </row>
    <row r="19">
      <c r="A19" s="8" t="n"/>
      <c r="B19" s="19" t="n"/>
      <c r="C19" s="8" t="n"/>
      <c r="D19" s="19" t="n"/>
      <c r="E19" s="8" t="n"/>
      <c r="F19" s="8" t="n"/>
      <c r="G19" s="19" t="n"/>
      <c r="H19" s="8" t="n"/>
      <c r="I19" s="8" t="n"/>
      <c r="J19" s="8" t="n"/>
      <c r="K19" s="8" t="n"/>
      <c r="L19" s="15">
        <f>IF(J19="","",MAX(IF(N(J19)=0,0,1),MIN(4,IF(J19&gt;=360,4,IF(J19&gt;=120,3,IF(J19&gt;=30,2,IF(J19&gt;0,1,0))))+IF(K19="Alta",1,IF(AND(K19="Baja",J19&gt;0),-1,0)))))</f>
        <v/>
      </c>
      <c r="M19" s="15">
        <f>IF(E19="","",IFERROR(INDEX(Agentes!$P$6:$P$60,MATCH(E19,Agentes!$A$6:$A$60,0)),""))</f>
        <v/>
      </c>
      <c r="N19" s="15">
        <f>IF(OR(L19="",M19=""),"",L19*M19)</f>
        <v/>
      </c>
      <c r="O19" s="15">
        <f>IF(N19="","",IF(N19=0,"Incipiente",IF(N19&lt;=4,"Bajo",IF(N19&lt;=8,"Moderado",IF(N19&lt;=12,"Alto","Muy alto")))))</f>
        <v/>
      </c>
      <c r="P19" s="15">
        <f>IF(A19="","",IF(N(F19)&gt;50,ROUNDUP(SQRT(F19),0),6))</f>
        <v/>
      </c>
      <c r="Q19" s="8" t="n"/>
      <c r="R19" s="15">
        <f>IF(OR(A19="",E19=""),"",A19&amp;"|"&amp;E19)</f>
        <v/>
      </c>
      <c r="S19" s="20">
        <f>IF(E19="","",IFERROR(INDEX(Agentes!$F$6:$F$60,MATCH(E19,Agentes!$A$6:$A$60,0)),"Agente?"))</f>
        <v/>
      </c>
      <c r="T19" s="21">
        <f>IF(N(H19)=0,"",8/H19*(24-H19)/16)</f>
        <v/>
      </c>
      <c r="U19" s="21">
        <f>IF(N(I19)=0,"",40/I19*(168-I19)/128)</f>
        <v/>
      </c>
      <c r="V19" s="21">
        <f>IF(E19="","",MIN(1,IF(T19="",1,T19),IF(U19="",1,U19)))</f>
        <v/>
      </c>
      <c r="W19" s="22">
        <f>IF(OR(NOT(ISNUMBER(S19)),V19=""),"",S19*V19)</f>
        <v/>
      </c>
      <c r="X19" s="15">
        <f>IF(E19="","",IFERROR(INDEX(Agentes!$E$6:$E$60,MATCH(E19,Agentes!$A$6:$A$60,0)),""))</f>
        <v/>
      </c>
      <c r="Y19" s="15">
        <f>IF(E19="","",IFERROR(INDEX(Agentes!$D$6:$D$60,MATCH(E19,Agentes!$A$6:$A$60,0)),""))</f>
        <v/>
      </c>
    </row>
    <row r="20">
      <c r="A20" s="8" t="n"/>
      <c r="B20" s="19" t="n"/>
      <c r="C20" s="8" t="n"/>
      <c r="D20" s="19" t="n"/>
      <c r="E20" s="8" t="n"/>
      <c r="F20" s="8" t="n"/>
      <c r="G20" s="19" t="n"/>
      <c r="H20" s="8" t="n"/>
      <c r="I20" s="8" t="n"/>
      <c r="J20" s="8" t="n"/>
      <c r="K20" s="8" t="n"/>
      <c r="L20" s="15">
        <f>IF(J20="","",MAX(IF(N(J20)=0,0,1),MIN(4,IF(J20&gt;=360,4,IF(J20&gt;=120,3,IF(J20&gt;=30,2,IF(J20&gt;0,1,0))))+IF(K20="Alta",1,IF(AND(K20="Baja",J20&gt;0),-1,0)))))</f>
        <v/>
      </c>
      <c r="M20" s="15">
        <f>IF(E20="","",IFERROR(INDEX(Agentes!$P$6:$P$60,MATCH(E20,Agentes!$A$6:$A$60,0)),""))</f>
        <v/>
      </c>
      <c r="N20" s="15">
        <f>IF(OR(L20="",M20=""),"",L20*M20)</f>
        <v/>
      </c>
      <c r="O20" s="15">
        <f>IF(N20="","",IF(N20=0,"Incipiente",IF(N20&lt;=4,"Bajo",IF(N20&lt;=8,"Moderado",IF(N20&lt;=12,"Alto","Muy alto")))))</f>
        <v/>
      </c>
      <c r="P20" s="15">
        <f>IF(A20="","",IF(N(F20)&gt;50,ROUNDUP(SQRT(F20),0),6))</f>
        <v/>
      </c>
      <c r="Q20" s="8" t="n"/>
      <c r="R20" s="15">
        <f>IF(OR(A20="",E20=""),"",A20&amp;"|"&amp;E20)</f>
        <v/>
      </c>
      <c r="S20" s="20">
        <f>IF(E20="","",IFERROR(INDEX(Agentes!$F$6:$F$60,MATCH(E20,Agentes!$A$6:$A$60,0)),"Agente?"))</f>
        <v/>
      </c>
      <c r="T20" s="21">
        <f>IF(N(H20)=0,"",8/H20*(24-H20)/16)</f>
        <v/>
      </c>
      <c r="U20" s="21">
        <f>IF(N(I20)=0,"",40/I20*(168-I20)/128)</f>
        <v/>
      </c>
      <c r="V20" s="21">
        <f>IF(E20="","",MIN(1,IF(T20="",1,T20),IF(U20="",1,U20)))</f>
        <v/>
      </c>
      <c r="W20" s="22">
        <f>IF(OR(NOT(ISNUMBER(S20)),V20=""),"",S20*V20)</f>
        <v/>
      </c>
      <c r="X20" s="15">
        <f>IF(E20="","",IFERROR(INDEX(Agentes!$E$6:$E$60,MATCH(E20,Agentes!$A$6:$A$60,0)),""))</f>
        <v/>
      </c>
      <c r="Y20" s="15">
        <f>IF(E20="","",IFERROR(INDEX(Agentes!$D$6:$D$60,MATCH(E20,Agentes!$A$6:$A$60,0)),""))</f>
        <v/>
      </c>
    </row>
    <row r="21">
      <c r="A21" s="8" t="n"/>
      <c r="B21" s="19" t="n"/>
      <c r="C21" s="8" t="n"/>
      <c r="D21" s="19" t="n"/>
      <c r="E21" s="8" t="n"/>
      <c r="F21" s="8" t="n"/>
      <c r="G21" s="19" t="n"/>
      <c r="H21" s="8" t="n"/>
      <c r="I21" s="8" t="n"/>
      <c r="J21" s="8" t="n"/>
      <c r="K21" s="8" t="n"/>
      <c r="L21" s="15">
        <f>IF(J21="","",MAX(IF(N(J21)=0,0,1),MIN(4,IF(J21&gt;=360,4,IF(J21&gt;=120,3,IF(J21&gt;=30,2,IF(J21&gt;0,1,0))))+IF(K21="Alta",1,IF(AND(K21="Baja",J21&gt;0),-1,0)))))</f>
        <v/>
      </c>
      <c r="M21" s="15">
        <f>IF(E21="","",IFERROR(INDEX(Agentes!$P$6:$P$60,MATCH(E21,Agentes!$A$6:$A$60,0)),""))</f>
        <v/>
      </c>
      <c r="N21" s="15">
        <f>IF(OR(L21="",M21=""),"",L21*M21)</f>
        <v/>
      </c>
      <c r="O21" s="15">
        <f>IF(N21="","",IF(N21=0,"Incipiente",IF(N21&lt;=4,"Bajo",IF(N21&lt;=8,"Moderado",IF(N21&lt;=12,"Alto","Muy alto")))))</f>
        <v/>
      </c>
      <c r="P21" s="15">
        <f>IF(A21="","",IF(N(F21)&gt;50,ROUNDUP(SQRT(F21),0),6))</f>
        <v/>
      </c>
      <c r="Q21" s="8" t="n"/>
      <c r="R21" s="15">
        <f>IF(OR(A21="",E21=""),"",A21&amp;"|"&amp;E21)</f>
        <v/>
      </c>
      <c r="S21" s="20">
        <f>IF(E21="","",IFERROR(INDEX(Agentes!$F$6:$F$60,MATCH(E21,Agentes!$A$6:$A$60,0)),"Agente?"))</f>
        <v/>
      </c>
      <c r="T21" s="21">
        <f>IF(N(H21)=0,"",8/H21*(24-H21)/16)</f>
        <v/>
      </c>
      <c r="U21" s="21">
        <f>IF(N(I21)=0,"",40/I21*(168-I21)/128)</f>
        <v/>
      </c>
      <c r="V21" s="21">
        <f>IF(E21="","",MIN(1,IF(T21="",1,T21),IF(U21="",1,U21)))</f>
        <v/>
      </c>
      <c r="W21" s="22">
        <f>IF(OR(NOT(ISNUMBER(S21)),V21=""),"",S21*V21)</f>
        <v/>
      </c>
      <c r="X21" s="15">
        <f>IF(E21="","",IFERROR(INDEX(Agentes!$E$6:$E$60,MATCH(E21,Agentes!$A$6:$A$60,0)),""))</f>
        <v/>
      </c>
      <c r="Y21" s="15">
        <f>IF(E21="","",IFERROR(INDEX(Agentes!$D$6:$D$60,MATCH(E21,Agentes!$A$6:$A$60,0)),""))</f>
        <v/>
      </c>
    </row>
    <row r="22">
      <c r="A22" s="8" t="n"/>
      <c r="B22" s="19" t="n"/>
      <c r="C22" s="8" t="n"/>
      <c r="D22" s="19" t="n"/>
      <c r="E22" s="8" t="n"/>
      <c r="F22" s="8" t="n"/>
      <c r="G22" s="19" t="n"/>
      <c r="H22" s="8" t="n"/>
      <c r="I22" s="8" t="n"/>
      <c r="J22" s="8" t="n"/>
      <c r="K22" s="8" t="n"/>
      <c r="L22" s="15">
        <f>IF(J22="","",MAX(IF(N(J22)=0,0,1),MIN(4,IF(J22&gt;=360,4,IF(J22&gt;=120,3,IF(J22&gt;=30,2,IF(J22&gt;0,1,0))))+IF(K22="Alta",1,IF(AND(K22="Baja",J22&gt;0),-1,0)))))</f>
        <v/>
      </c>
      <c r="M22" s="15">
        <f>IF(E22="","",IFERROR(INDEX(Agentes!$P$6:$P$60,MATCH(E22,Agentes!$A$6:$A$60,0)),""))</f>
        <v/>
      </c>
      <c r="N22" s="15">
        <f>IF(OR(L22="",M22=""),"",L22*M22)</f>
        <v/>
      </c>
      <c r="O22" s="15">
        <f>IF(N22="","",IF(N22=0,"Incipiente",IF(N22&lt;=4,"Bajo",IF(N22&lt;=8,"Moderado",IF(N22&lt;=12,"Alto","Muy alto")))))</f>
        <v/>
      </c>
      <c r="P22" s="15">
        <f>IF(A22="","",IF(N(F22)&gt;50,ROUNDUP(SQRT(F22),0),6))</f>
        <v/>
      </c>
      <c r="Q22" s="8" t="n"/>
      <c r="R22" s="15">
        <f>IF(OR(A22="",E22=""),"",A22&amp;"|"&amp;E22)</f>
        <v/>
      </c>
      <c r="S22" s="20">
        <f>IF(E22="","",IFERROR(INDEX(Agentes!$F$6:$F$60,MATCH(E22,Agentes!$A$6:$A$60,0)),"Agente?"))</f>
        <v/>
      </c>
      <c r="T22" s="21">
        <f>IF(N(H22)=0,"",8/H22*(24-H22)/16)</f>
        <v/>
      </c>
      <c r="U22" s="21">
        <f>IF(N(I22)=0,"",40/I22*(168-I22)/128)</f>
        <v/>
      </c>
      <c r="V22" s="21">
        <f>IF(E22="","",MIN(1,IF(T22="",1,T22),IF(U22="",1,U22)))</f>
        <v/>
      </c>
      <c r="W22" s="22">
        <f>IF(OR(NOT(ISNUMBER(S22)),V22=""),"",S22*V22)</f>
        <v/>
      </c>
      <c r="X22" s="15">
        <f>IF(E22="","",IFERROR(INDEX(Agentes!$E$6:$E$60,MATCH(E22,Agentes!$A$6:$A$60,0)),""))</f>
        <v/>
      </c>
      <c r="Y22" s="15">
        <f>IF(E22="","",IFERROR(INDEX(Agentes!$D$6:$D$60,MATCH(E22,Agentes!$A$6:$A$60,0)),""))</f>
        <v/>
      </c>
    </row>
    <row r="23">
      <c r="A23" s="8" t="n"/>
      <c r="B23" s="19" t="n"/>
      <c r="C23" s="8" t="n"/>
      <c r="D23" s="19" t="n"/>
      <c r="E23" s="8" t="n"/>
      <c r="F23" s="8" t="n"/>
      <c r="G23" s="19" t="n"/>
      <c r="H23" s="8" t="n"/>
      <c r="I23" s="8" t="n"/>
      <c r="J23" s="8" t="n"/>
      <c r="K23" s="8" t="n"/>
      <c r="L23" s="15">
        <f>IF(J23="","",MAX(IF(N(J23)=0,0,1),MIN(4,IF(J23&gt;=360,4,IF(J23&gt;=120,3,IF(J23&gt;=30,2,IF(J23&gt;0,1,0))))+IF(K23="Alta",1,IF(AND(K23="Baja",J23&gt;0),-1,0)))))</f>
        <v/>
      </c>
      <c r="M23" s="15">
        <f>IF(E23="","",IFERROR(INDEX(Agentes!$P$6:$P$60,MATCH(E23,Agentes!$A$6:$A$60,0)),""))</f>
        <v/>
      </c>
      <c r="N23" s="15">
        <f>IF(OR(L23="",M23=""),"",L23*M23)</f>
        <v/>
      </c>
      <c r="O23" s="15">
        <f>IF(N23="","",IF(N23=0,"Incipiente",IF(N23&lt;=4,"Bajo",IF(N23&lt;=8,"Moderado",IF(N23&lt;=12,"Alto","Muy alto")))))</f>
        <v/>
      </c>
      <c r="P23" s="15">
        <f>IF(A23="","",IF(N(F23)&gt;50,ROUNDUP(SQRT(F23),0),6))</f>
        <v/>
      </c>
      <c r="Q23" s="8" t="n"/>
      <c r="R23" s="15">
        <f>IF(OR(A23="",E23=""),"",A23&amp;"|"&amp;E23)</f>
        <v/>
      </c>
      <c r="S23" s="20">
        <f>IF(E23="","",IFERROR(INDEX(Agentes!$F$6:$F$60,MATCH(E23,Agentes!$A$6:$A$60,0)),"Agente?"))</f>
        <v/>
      </c>
      <c r="T23" s="21">
        <f>IF(N(H23)=0,"",8/H23*(24-H23)/16)</f>
        <v/>
      </c>
      <c r="U23" s="21">
        <f>IF(N(I23)=0,"",40/I23*(168-I23)/128)</f>
        <v/>
      </c>
      <c r="V23" s="21">
        <f>IF(E23="","",MIN(1,IF(T23="",1,T23),IF(U23="",1,U23)))</f>
        <v/>
      </c>
      <c r="W23" s="22">
        <f>IF(OR(NOT(ISNUMBER(S23)),V23=""),"",S23*V23)</f>
        <v/>
      </c>
      <c r="X23" s="15">
        <f>IF(E23="","",IFERROR(INDEX(Agentes!$E$6:$E$60,MATCH(E23,Agentes!$A$6:$A$60,0)),""))</f>
        <v/>
      </c>
      <c r="Y23" s="15">
        <f>IF(E23="","",IFERROR(INDEX(Agentes!$D$6:$D$60,MATCH(E23,Agentes!$A$6:$A$60,0)),""))</f>
        <v/>
      </c>
    </row>
    <row r="24">
      <c r="A24" s="8" t="n"/>
      <c r="B24" s="19" t="n"/>
      <c r="C24" s="8" t="n"/>
      <c r="D24" s="19" t="n"/>
      <c r="E24" s="8" t="n"/>
      <c r="F24" s="8" t="n"/>
      <c r="G24" s="19" t="n"/>
      <c r="H24" s="8" t="n"/>
      <c r="I24" s="8" t="n"/>
      <c r="J24" s="8" t="n"/>
      <c r="K24" s="8" t="n"/>
      <c r="L24" s="15">
        <f>IF(J24="","",MAX(IF(N(J24)=0,0,1),MIN(4,IF(J24&gt;=360,4,IF(J24&gt;=120,3,IF(J24&gt;=30,2,IF(J24&gt;0,1,0))))+IF(K24="Alta",1,IF(AND(K24="Baja",J24&gt;0),-1,0)))))</f>
        <v/>
      </c>
      <c r="M24" s="15">
        <f>IF(E24="","",IFERROR(INDEX(Agentes!$P$6:$P$60,MATCH(E24,Agentes!$A$6:$A$60,0)),""))</f>
        <v/>
      </c>
      <c r="N24" s="15">
        <f>IF(OR(L24="",M24=""),"",L24*M24)</f>
        <v/>
      </c>
      <c r="O24" s="15">
        <f>IF(N24="","",IF(N24=0,"Incipiente",IF(N24&lt;=4,"Bajo",IF(N24&lt;=8,"Moderado",IF(N24&lt;=12,"Alto","Muy alto")))))</f>
        <v/>
      </c>
      <c r="P24" s="15">
        <f>IF(A24="","",IF(N(F24)&gt;50,ROUNDUP(SQRT(F24),0),6))</f>
        <v/>
      </c>
      <c r="Q24" s="8" t="n"/>
      <c r="R24" s="15">
        <f>IF(OR(A24="",E24=""),"",A24&amp;"|"&amp;E24)</f>
        <v/>
      </c>
      <c r="S24" s="20">
        <f>IF(E24="","",IFERROR(INDEX(Agentes!$F$6:$F$60,MATCH(E24,Agentes!$A$6:$A$60,0)),"Agente?"))</f>
        <v/>
      </c>
      <c r="T24" s="21">
        <f>IF(N(H24)=0,"",8/H24*(24-H24)/16)</f>
        <v/>
      </c>
      <c r="U24" s="21">
        <f>IF(N(I24)=0,"",40/I24*(168-I24)/128)</f>
        <v/>
      </c>
      <c r="V24" s="21">
        <f>IF(E24="","",MIN(1,IF(T24="",1,T24),IF(U24="",1,U24)))</f>
        <v/>
      </c>
      <c r="W24" s="22">
        <f>IF(OR(NOT(ISNUMBER(S24)),V24=""),"",S24*V24)</f>
        <v/>
      </c>
      <c r="X24" s="15">
        <f>IF(E24="","",IFERROR(INDEX(Agentes!$E$6:$E$60,MATCH(E24,Agentes!$A$6:$A$60,0)),""))</f>
        <v/>
      </c>
      <c r="Y24" s="15">
        <f>IF(E24="","",IFERROR(INDEX(Agentes!$D$6:$D$60,MATCH(E24,Agentes!$A$6:$A$60,0)),""))</f>
        <v/>
      </c>
    </row>
    <row r="25">
      <c r="A25" s="8" t="n"/>
      <c r="B25" s="19" t="n"/>
      <c r="C25" s="8" t="n"/>
      <c r="D25" s="19" t="n"/>
      <c r="E25" s="8" t="n"/>
      <c r="F25" s="8" t="n"/>
      <c r="G25" s="19" t="n"/>
      <c r="H25" s="8" t="n"/>
      <c r="I25" s="8" t="n"/>
      <c r="J25" s="8" t="n"/>
      <c r="K25" s="8" t="n"/>
      <c r="L25" s="15">
        <f>IF(J25="","",MAX(IF(N(J25)=0,0,1),MIN(4,IF(J25&gt;=360,4,IF(J25&gt;=120,3,IF(J25&gt;=30,2,IF(J25&gt;0,1,0))))+IF(K25="Alta",1,IF(AND(K25="Baja",J25&gt;0),-1,0)))))</f>
        <v/>
      </c>
      <c r="M25" s="15">
        <f>IF(E25="","",IFERROR(INDEX(Agentes!$P$6:$P$60,MATCH(E25,Agentes!$A$6:$A$60,0)),""))</f>
        <v/>
      </c>
      <c r="N25" s="15">
        <f>IF(OR(L25="",M25=""),"",L25*M25)</f>
        <v/>
      </c>
      <c r="O25" s="15">
        <f>IF(N25="","",IF(N25=0,"Incipiente",IF(N25&lt;=4,"Bajo",IF(N25&lt;=8,"Moderado",IF(N25&lt;=12,"Alto","Muy alto")))))</f>
        <v/>
      </c>
      <c r="P25" s="15">
        <f>IF(A25="","",IF(N(F25)&gt;50,ROUNDUP(SQRT(F25),0),6))</f>
        <v/>
      </c>
      <c r="Q25" s="8" t="n"/>
      <c r="R25" s="15">
        <f>IF(OR(A25="",E25=""),"",A25&amp;"|"&amp;E25)</f>
        <v/>
      </c>
      <c r="S25" s="20">
        <f>IF(E25="","",IFERROR(INDEX(Agentes!$F$6:$F$60,MATCH(E25,Agentes!$A$6:$A$60,0)),"Agente?"))</f>
        <v/>
      </c>
      <c r="T25" s="21">
        <f>IF(N(H25)=0,"",8/H25*(24-H25)/16)</f>
        <v/>
      </c>
      <c r="U25" s="21">
        <f>IF(N(I25)=0,"",40/I25*(168-I25)/128)</f>
        <v/>
      </c>
      <c r="V25" s="21">
        <f>IF(E25="","",MIN(1,IF(T25="",1,T25),IF(U25="",1,U25)))</f>
        <v/>
      </c>
      <c r="W25" s="22">
        <f>IF(OR(NOT(ISNUMBER(S25)),V25=""),"",S25*V25)</f>
        <v/>
      </c>
      <c r="X25" s="15">
        <f>IF(E25="","",IFERROR(INDEX(Agentes!$E$6:$E$60,MATCH(E25,Agentes!$A$6:$A$60,0)),""))</f>
        <v/>
      </c>
      <c r="Y25" s="15">
        <f>IF(E25="","",IFERROR(INDEX(Agentes!$D$6:$D$60,MATCH(E25,Agentes!$A$6:$A$60,0)),""))</f>
        <v/>
      </c>
    </row>
    <row r="26">
      <c r="A26" s="8" t="n"/>
      <c r="B26" s="19" t="n"/>
      <c r="C26" s="8" t="n"/>
      <c r="D26" s="19" t="n"/>
      <c r="E26" s="8" t="n"/>
      <c r="F26" s="8" t="n"/>
      <c r="G26" s="19" t="n"/>
      <c r="H26" s="8" t="n"/>
      <c r="I26" s="8" t="n"/>
      <c r="J26" s="8" t="n"/>
      <c r="K26" s="8" t="n"/>
      <c r="L26" s="15">
        <f>IF(J26="","",MAX(IF(N(J26)=0,0,1),MIN(4,IF(J26&gt;=360,4,IF(J26&gt;=120,3,IF(J26&gt;=30,2,IF(J26&gt;0,1,0))))+IF(K26="Alta",1,IF(AND(K26="Baja",J26&gt;0),-1,0)))))</f>
        <v/>
      </c>
      <c r="M26" s="15">
        <f>IF(E26="","",IFERROR(INDEX(Agentes!$P$6:$P$60,MATCH(E26,Agentes!$A$6:$A$60,0)),""))</f>
        <v/>
      </c>
      <c r="N26" s="15">
        <f>IF(OR(L26="",M26=""),"",L26*M26)</f>
        <v/>
      </c>
      <c r="O26" s="15">
        <f>IF(N26="","",IF(N26=0,"Incipiente",IF(N26&lt;=4,"Bajo",IF(N26&lt;=8,"Moderado",IF(N26&lt;=12,"Alto","Muy alto")))))</f>
        <v/>
      </c>
      <c r="P26" s="15">
        <f>IF(A26="","",IF(N(F26)&gt;50,ROUNDUP(SQRT(F26),0),6))</f>
        <v/>
      </c>
      <c r="Q26" s="8" t="n"/>
      <c r="R26" s="15">
        <f>IF(OR(A26="",E26=""),"",A26&amp;"|"&amp;E26)</f>
        <v/>
      </c>
      <c r="S26" s="20">
        <f>IF(E26="","",IFERROR(INDEX(Agentes!$F$6:$F$60,MATCH(E26,Agentes!$A$6:$A$60,0)),"Agente?"))</f>
        <v/>
      </c>
      <c r="T26" s="21">
        <f>IF(N(H26)=0,"",8/H26*(24-H26)/16)</f>
        <v/>
      </c>
      <c r="U26" s="21">
        <f>IF(N(I26)=0,"",40/I26*(168-I26)/128)</f>
        <v/>
      </c>
      <c r="V26" s="21">
        <f>IF(E26="","",MIN(1,IF(T26="",1,T26),IF(U26="",1,U26)))</f>
        <v/>
      </c>
      <c r="W26" s="22">
        <f>IF(OR(NOT(ISNUMBER(S26)),V26=""),"",S26*V26)</f>
        <v/>
      </c>
      <c r="X26" s="15">
        <f>IF(E26="","",IFERROR(INDEX(Agentes!$E$6:$E$60,MATCH(E26,Agentes!$A$6:$A$60,0)),""))</f>
        <v/>
      </c>
      <c r="Y26" s="15">
        <f>IF(E26="","",IFERROR(INDEX(Agentes!$D$6:$D$60,MATCH(E26,Agentes!$A$6:$A$60,0)),""))</f>
        <v/>
      </c>
    </row>
    <row r="27">
      <c r="A27" s="8" t="n"/>
      <c r="B27" s="19" t="n"/>
      <c r="C27" s="8" t="n"/>
      <c r="D27" s="19" t="n"/>
      <c r="E27" s="8" t="n"/>
      <c r="F27" s="8" t="n"/>
      <c r="G27" s="19" t="n"/>
      <c r="H27" s="8" t="n"/>
      <c r="I27" s="8" t="n"/>
      <c r="J27" s="8" t="n"/>
      <c r="K27" s="8" t="n"/>
      <c r="L27" s="15">
        <f>IF(J27="","",MAX(IF(N(J27)=0,0,1),MIN(4,IF(J27&gt;=360,4,IF(J27&gt;=120,3,IF(J27&gt;=30,2,IF(J27&gt;0,1,0))))+IF(K27="Alta",1,IF(AND(K27="Baja",J27&gt;0),-1,0)))))</f>
        <v/>
      </c>
      <c r="M27" s="15">
        <f>IF(E27="","",IFERROR(INDEX(Agentes!$P$6:$P$60,MATCH(E27,Agentes!$A$6:$A$60,0)),""))</f>
        <v/>
      </c>
      <c r="N27" s="15">
        <f>IF(OR(L27="",M27=""),"",L27*M27)</f>
        <v/>
      </c>
      <c r="O27" s="15">
        <f>IF(N27="","",IF(N27=0,"Incipiente",IF(N27&lt;=4,"Bajo",IF(N27&lt;=8,"Moderado",IF(N27&lt;=12,"Alto","Muy alto")))))</f>
        <v/>
      </c>
      <c r="P27" s="15">
        <f>IF(A27="","",IF(N(F27)&gt;50,ROUNDUP(SQRT(F27),0),6))</f>
        <v/>
      </c>
      <c r="Q27" s="8" t="n"/>
      <c r="R27" s="15">
        <f>IF(OR(A27="",E27=""),"",A27&amp;"|"&amp;E27)</f>
        <v/>
      </c>
      <c r="S27" s="20">
        <f>IF(E27="","",IFERROR(INDEX(Agentes!$F$6:$F$60,MATCH(E27,Agentes!$A$6:$A$60,0)),"Agente?"))</f>
        <v/>
      </c>
      <c r="T27" s="21">
        <f>IF(N(H27)=0,"",8/H27*(24-H27)/16)</f>
        <v/>
      </c>
      <c r="U27" s="21">
        <f>IF(N(I27)=0,"",40/I27*(168-I27)/128)</f>
        <v/>
      </c>
      <c r="V27" s="21">
        <f>IF(E27="","",MIN(1,IF(T27="",1,T27),IF(U27="",1,U27)))</f>
        <v/>
      </c>
      <c r="W27" s="22">
        <f>IF(OR(NOT(ISNUMBER(S27)),V27=""),"",S27*V27)</f>
        <v/>
      </c>
      <c r="X27" s="15">
        <f>IF(E27="","",IFERROR(INDEX(Agentes!$E$6:$E$60,MATCH(E27,Agentes!$A$6:$A$60,0)),""))</f>
        <v/>
      </c>
      <c r="Y27" s="15">
        <f>IF(E27="","",IFERROR(INDEX(Agentes!$D$6:$D$60,MATCH(E27,Agentes!$A$6:$A$60,0)),""))</f>
        <v/>
      </c>
    </row>
    <row r="28">
      <c r="A28" s="8" t="n"/>
      <c r="B28" s="19" t="n"/>
      <c r="C28" s="8" t="n"/>
      <c r="D28" s="19" t="n"/>
      <c r="E28" s="8" t="n"/>
      <c r="F28" s="8" t="n"/>
      <c r="G28" s="19" t="n"/>
      <c r="H28" s="8" t="n"/>
      <c r="I28" s="8" t="n"/>
      <c r="J28" s="8" t="n"/>
      <c r="K28" s="8" t="n"/>
      <c r="L28" s="15">
        <f>IF(J28="","",MAX(IF(N(J28)=0,0,1),MIN(4,IF(J28&gt;=360,4,IF(J28&gt;=120,3,IF(J28&gt;=30,2,IF(J28&gt;0,1,0))))+IF(K28="Alta",1,IF(AND(K28="Baja",J28&gt;0),-1,0)))))</f>
        <v/>
      </c>
      <c r="M28" s="15">
        <f>IF(E28="","",IFERROR(INDEX(Agentes!$P$6:$P$60,MATCH(E28,Agentes!$A$6:$A$60,0)),""))</f>
        <v/>
      </c>
      <c r="N28" s="15">
        <f>IF(OR(L28="",M28=""),"",L28*M28)</f>
        <v/>
      </c>
      <c r="O28" s="15">
        <f>IF(N28="","",IF(N28=0,"Incipiente",IF(N28&lt;=4,"Bajo",IF(N28&lt;=8,"Moderado",IF(N28&lt;=12,"Alto","Muy alto")))))</f>
        <v/>
      </c>
      <c r="P28" s="15">
        <f>IF(A28="","",IF(N(F28)&gt;50,ROUNDUP(SQRT(F28),0),6))</f>
        <v/>
      </c>
      <c r="Q28" s="8" t="n"/>
      <c r="R28" s="15">
        <f>IF(OR(A28="",E28=""),"",A28&amp;"|"&amp;E28)</f>
        <v/>
      </c>
      <c r="S28" s="20">
        <f>IF(E28="","",IFERROR(INDEX(Agentes!$F$6:$F$60,MATCH(E28,Agentes!$A$6:$A$60,0)),"Agente?"))</f>
        <v/>
      </c>
      <c r="T28" s="21">
        <f>IF(N(H28)=0,"",8/H28*(24-H28)/16)</f>
        <v/>
      </c>
      <c r="U28" s="21">
        <f>IF(N(I28)=0,"",40/I28*(168-I28)/128)</f>
        <v/>
      </c>
      <c r="V28" s="21">
        <f>IF(E28="","",MIN(1,IF(T28="",1,T28),IF(U28="",1,U28)))</f>
        <v/>
      </c>
      <c r="W28" s="22">
        <f>IF(OR(NOT(ISNUMBER(S28)),V28=""),"",S28*V28)</f>
        <v/>
      </c>
      <c r="X28" s="15">
        <f>IF(E28="","",IFERROR(INDEX(Agentes!$E$6:$E$60,MATCH(E28,Agentes!$A$6:$A$60,0)),""))</f>
        <v/>
      </c>
      <c r="Y28" s="15">
        <f>IF(E28="","",IFERROR(INDEX(Agentes!$D$6:$D$60,MATCH(E28,Agentes!$A$6:$A$60,0)),""))</f>
        <v/>
      </c>
    </row>
    <row r="29">
      <c r="A29" s="8" t="n"/>
      <c r="B29" s="19" t="n"/>
      <c r="C29" s="8" t="n"/>
      <c r="D29" s="19" t="n"/>
      <c r="E29" s="8" t="n"/>
      <c r="F29" s="8" t="n"/>
      <c r="G29" s="19" t="n"/>
      <c r="H29" s="8" t="n"/>
      <c r="I29" s="8" t="n"/>
      <c r="J29" s="8" t="n"/>
      <c r="K29" s="8" t="n"/>
      <c r="L29" s="15">
        <f>IF(J29="","",MAX(IF(N(J29)=0,0,1),MIN(4,IF(J29&gt;=360,4,IF(J29&gt;=120,3,IF(J29&gt;=30,2,IF(J29&gt;0,1,0))))+IF(K29="Alta",1,IF(AND(K29="Baja",J29&gt;0),-1,0)))))</f>
        <v/>
      </c>
      <c r="M29" s="15">
        <f>IF(E29="","",IFERROR(INDEX(Agentes!$P$6:$P$60,MATCH(E29,Agentes!$A$6:$A$60,0)),""))</f>
        <v/>
      </c>
      <c r="N29" s="15">
        <f>IF(OR(L29="",M29=""),"",L29*M29)</f>
        <v/>
      </c>
      <c r="O29" s="15">
        <f>IF(N29="","",IF(N29=0,"Incipiente",IF(N29&lt;=4,"Bajo",IF(N29&lt;=8,"Moderado",IF(N29&lt;=12,"Alto","Muy alto")))))</f>
        <v/>
      </c>
      <c r="P29" s="15">
        <f>IF(A29="","",IF(N(F29)&gt;50,ROUNDUP(SQRT(F29),0),6))</f>
        <v/>
      </c>
      <c r="Q29" s="8" t="n"/>
      <c r="R29" s="15">
        <f>IF(OR(A29="",E29=""),"",A29&amp;"|"&amp;E29)</f>
        <v/>
      </c>
      <c r="S29" s="20">
        <f>IF(E29="","",IFERROR(INDEX(Agentes!$F$6:$F$60,MATCH(E29,Agentes!$A$6:$A$60,0)),"Agente?"))</f>
        <v/>
      </c>
      <c r="T29" s="21">
        <f>IF(N(H29)=0,"",8/H29*(24-H29)/16)</f>
        <v/>
      </c>
      <c r="U29" s="21">
        <f>IF(N(I29)=0,"",40/I29*(168-I29)/128)</f>
        <v/>
      </c>
      <c r="V29" s="21">
        <f>IF(E29="","",MIN(1,IF(T29="",1,T29),IF(U29="",1,U29)))</f>
        <v/>
      </c>
      <c r="W29" s="22">
        <f>IF(OR(NOT(ISNUMBER(S29)),V29=""),"",S29*V29)</f>
        <v/>
      </c>
      <c r="X29" s="15">
        <f>IF(E29="","",IFERROR(INDEX(Agentes!$E$6:$E$60,MATCH(E29,Agentes!$A$6:$A$60,0)),""))</f>
        <v/>
      </c>
      <c r="Y29" s="15">
        <f>IF(E29="","",IFERROR(INDEX(Agentes!$D$6:$D$60,MATCH(E29,Agentes!$A$6:$A$60,0)),""))</f>
        <v/>
      </c>
    </row>
    <row r="30">
      <c r="A30" s="8" t="n"/>
      <c r="B30" s="19" t="n"/>
      <c r="C30" s="8" t="n"/>
      <c r="D30" s="19" t="n"/>
      <c r="E30" s="8" t="n"/>
      <c r="F30" s="8" t="n"/>
      <c r="G30" s="19" t="n"/>
      <c r="H30" s="8" t="n"/>
      <c r="I30" s="8" t="n"/>
      <c r="J30" s="8" t="n"/>
      <c r="K30" s="8" t="n"/>
      <c r="L30" s="15">
        <f>IF(J30="","",MAX(IF(N(J30)=0,0,1),MIN(4,IF(J30&gt;=360,4,IF(J30&gt;=120,3,IF(J30&gt;=30,2,IF(J30&gt;0,1,0))))+IF(K30="Alta",1,IF(AND(K30="Baja",J30&gt;0),-1,0)))))</f>
        <v/>
      </c>
      <c r="M30" s="15">
        <f>IF(E30="","",IFERROR(INDEX(Agentes!$P$6:$P$60,MATCH(E30,Agentes!$A$6:$A$60,0)),""))</f>
        <v/>
      </c>
      <c r="N30" s="15">
        <f>IF(OR(L30="",M30=""),"",L30*M30)</f>
        <v/>
      </c>
      <c r="O30" s="15">
        <f>IF(N30="","",IF(N30=0,"Incipiente",IF(N30&lt;=4,"Bajo",IF(N30&lt;=8,"Moderado",IF(N30&lt;=12,"Alto","Muy alto")))))</f>
        <v/>
      </c>
      <c r="P30" s="15">
        <f>IF(A30="","",IF(N(F30)&gt;50,ROUNDUP(SQRT(F30),0),6))</f>
        <v/>
      </c>
      <c r="Q30" s="8" t="n"/>
      <c r="R30" s="15">
        <f>IF(OR(A30="",E30=""),"",A30&amp;"|"&amp;E30)</f>
        <v/>
      </c>
      <c r="S30" s="20">
        <f>IF(E30="","",IFERROR(INDEX(Agentes!$F$6:$F$60,MATCH(E30,Agentes!$A$6:$A$60,0)),"Agente?"))</f>
        <v/>
      </c>
      <c r="T30" s="21">
        <f>IF(N(H30)=0,"",8/H30*(24-H30)/16)</f>
        <v/>
      </c>
      <c r="U30" s="21">
        <f>IF(N(I30)=0,"",40/I30*(168-I30)/128)</f>
        <v/>
      </c>
      <c r="V30" s="21">
        <f>IF(E30="","",MIN(1,IF(T30="",1,T30),IF(U30="",1,U30)))</f>
        <v/>
      </c>
      <c r="W30" s="22">
        <f>IF(OR(NOT(ISNUMBER(S30)),V30=""),"",S30*V30)</f>
        <v/>
      </c>
      <c r="X30" s="15">
        <f>IF(E30="","",IFERROR(INDEX(Agentes!$E$6:$E$60,MATCH(E30,Agentes!$A$6:$A$60,0)),""))</f>
        <v/>
      </c>
      <c r="Y30" s="15">
        <f>IF(E30="","",IFERROR(INDEX(Agentes!$D$6:$D$60,MATCH(E30,Agentes!$A$6:$A$60,0)),""))</f>
        <v/>
      </c>
    </row>
    <row r="31">
      <c r="A31" s="8" t="n"/>
      <c r="B31" s="19" t="n"/>
      <c r="C31" s="8" t="n"/>
      <c r="D31" s="19" t="n"/>
      <c r="E31" s="8" t="n"/>
      <c r="F31" s="8" t="n"/>
      <c r="G31" s="19" t="n"/>
      <c r="H31" s="8" t="n"/>
      <c r="I31" s="8" t="n"/>
      <c r="J31" s="8" t="n"/>
      <c r="K31" s="8" t="n"/>
      <c r="L31" s="15">
        <f>IF(J31="","",MAX(IF(N(J31)=0,0,1),MIN(4,IF(J31&gt;=360,4,IF(J31&gt;=120,3,IF(J31&gt;=30,2,IF(J31&gt;0,1,0))))+IF(K31="Alta",1,IF(AND(K31="Baja",J31&gt;0),-1,0)))))</f>
        <v/>
      </c>
      <c r="M31" s="15">
        <f>IF(E31="","",IFERROR(INDEX(Agentes!$P$6:$P$60,MATCH(E31,Agentes!$A$6:$A$60,0)),""))</f>
        <v/>
      </c>
      <c r="N31" s="15">
        <f>IF(OR(L31="",M31=""),"",L31*M31)</f>
        <v/>
      </c>
      <c r="O31" s="15">
        <f>IF(N31="","",IF(N31=0,"Incipiente",IF(N31&lt;=4,"Bajo",IF(N31&lt;=8,"Moderado",IF(N31&lt;=12,"Alto","Muy alto")))))</f>
        <v/>
      </c>
      <c r="P31" s="15">
        <f>IF(A31="","",IF(N(F31)&gt;50,ROUNDUP(SQRT(F31),0),6))</f>
        <v/>
      </c>
      <c r="Q31" s="8" t="n"/>
      <c r="R31" s="15">
        <f>IF(OR(A31="",E31=""),"",A31&amp;"|"&amp;E31)</f>
        <v/>
      </c>
      <c r="S31" s="20">
        <f>IF(E31="","",IFERROR(INDEX(Agentes!$F$6:$F$60,MATCH(E31,Agentes!$A$6:$A$60,0)),"Agente?"))</f>
        <v/>
      </c>
      <c r="T31" s="21">
        <f>IF(N(H31)=0,"",8/H31*(24-H31)/16)</f>
        <v/>
      </c>
      <c r="U31" s="21">
        <f>IF(N(I31)=0,"",40/I31*(168-I31)/128)</f>
        <v/>
      </c>
      <c r="V31" s="21">
        <f>IF(E31="","",MIN(1,IF(T31="",1,T31),IF(U31="",1,U31)))</f>
        <v/>
      </c>
      <c r="W31" s="22">
        <f>IF(OR(NOT(ISNUMBER(S31)),V31=""),"",S31*V31)</f>
        <v/>
      </c>
      <c r="X31" s="15">
        <f>IF(E31="","",IFERROR(INDEX(Agentes!$E$6:$E$60,MATCH(E31,Agentes!$A$6:$A$60,0)),""))</f>
        <v/>
      </c>
      <c r="Y31" s="15">
        <f>IF(E31="","",IFERROR(INDEX(Agentes!$D$6:$D$60,MATCH(E31,Agentes!$A$6:$A$60,0)),""))</f>
        <v/>
      </c>
    </row>
    <row r="32">
      <c r="A32" s="8" t="n"/>
      <c r="B32" s="19" t="n"/>
      <c r="C32" s="8" t="n"/>
      <c r="D32" s="19" t="n"/>
      <c r="E32" s="8" t="n"/>
      <c r="F32" s="8" t="n"/>
      <c r="G32" s="19" t="n"/>
      <c r="H32" s="8" t="n"/>
      <c r="I32" s="8" t="n"/>
      <c r="J32" s="8" t="n"/>
      <c r="K32" s="8" t="n"/>
      <c r="L32" s="15">
        <f>IF(J32="","",MAX(IF(N(J32)=0,0,1),MIN(4,IF(J32&gt;=360,4,IF(J32&gt;=120,3,IF(J32&gt;=30,2,IF(J32&gt;0,1,0))))+IF(K32="Alta",1,IF(AND(K32="Baja",J32&gt;0),-1,0)))))</f>
        <v/>
      </c>
      <c r="M32" s="15">
        <f>IF(E32="","",IFERROR(INDEX(Agentes!$P$6:$P$60,MATCH(E32,Agentes!$A$6:$A$60,0)),""))</f>
        <v/>
      </c>
      <c r="N32" s="15">
        <f>IF(OR(L32="",M32=""),"",L32*M32)</f>
        <v/>
      </c>
      <c r="O32" s="15">
        <f>IF(N32="","",IF(N32=0,"Incipiente",IF(N32&lt;=4,"Bajo",IF(N32&lt;=8,"Moderado",IF(N32&lt;=12,"Alto","Muy alto")))))</f>
        <v/>
      </c>
      <c r="P32" s="15">
        <f>IF(A32="","",IF(N(F32)&gt;50,ROUNDUP(SQRT(F32),0),6))</f>
        <v/>
      </c>
      <c r="Q32" s="8" t="n"/>
      <c r="R32" s="15">
        <f>IF(OR(A32="",E32=""),"",A32&amp;"|"&amp;E32)</f>
        <v/>
      </c>
      <c r="S32" s="20">
        <f>IF(E32="","",IFERROR(INDEX(Agentes!$F$6:$F$60,MATCH(E32,Agentes!$A$6:$A$60,0)),"Agente?"))</f>
        <v/>
      </c>
      <c r="T32" s="21">
        <f>IF(N(H32)=0,"",8/H32*(24-H32)/16)</f>
        <v/>
      </c>
      <c r="U32" s="21">
        <f>IF(N(I32)=0,"",40/I32*(168-I32)/128)</f>
        <v/>
      </c>
      <c r="V32" s="21">
        <f>IF(E32="","",MIN(1,IF(T32="",1,T32),IF(U32="",1,U32)))</f>
        <v/>
      </c>
      <c r="W32" s="22">
        <f>IF(OR(NOT(ISNUMBER(S32)),V32=""),"",S32*V32)</f>
        <v/>
      </c>
      <c r="X32" s="15">
        <f>IF(E32="","",IFERROR(INDEX(Agentes!$E$6:$E$60,MATCH(E32,Agentes!$A$6:$A$60,0)),""))</f>
        <v/>
      </c>
      <c r="Y32" s="15">
        <f>IF(E32="","",IFERROR(INDEX(Agentes!$D$6:$D$60,MATCH(E32,Agentes!$A$6:$A$60,0)),""))</f>
        <v/>
      </c>
    </row>
    <row r="33">
      <c r="A33" s="8" t="n"/>
      <c r="B33" s="19" t="n"/>
      <c r="C33" s="8" t="n"/>
      <c r="D33" s="19" t="n"/>
      <c r="E33" s="8" t="n"/>
      <c r="F33" s="8" t="n"/>
      <c r="G33" s="19" t="n"/>
      <c r="H33" s="8" t="n"/>
      <c r="I33" s="8" t="n"/>
      <c r="J33" s="8" t="n"/>
      <c r="K33" s="8" t="n"/>
      <c r="L33" s="15">
        <f>IF(J33="","",MAX(IF(N(J33)=0,0,1),MIN(4,IF(J33&gt;=360,4,IF(J33&gt;=120,3,IF(J33&gt;=30,2,IF(J33&gt;0,1,0))))+IF(K33="Alta",1,IF(AND(K33="Baja",J33&gt;0),-1,0)))))</f>
        <v/>
      </c>
      <c r="M33" s="15">
        <f>IF(E33="","",IFERROR(INDEX(Agentes!$P$6:$P$60,MATCH(E33,Agentes!$A$6:$A$60,0)),""))</f>
        <v/>
      </c>
      <c r="N33" s="15">
        <f>IF(OR(L33="",M33=""),"",L33*M33)</f>
        <v/>
      </c>
      <c r="O33" s="15">
        <f>IF(N33="","",IF(N33=0,"Incipiente",IF(N33&lt;=4,"Bajo",IF(N33&lt;=8,"Moderado",IF(N33&lt;=12,"Alto","Muy alto")))))</f>
        <v/>
      </c>
      <c r="P33" s="15">
        <f>IF(A33="","",IF(N(F33)&gt;50,ROUNDUP(SQRT(F33),0),6))</f>
        <v/>
      </c>
      <c r="Q33" s="8" t="n"/>
      <c r="R33" s="15">
        <f>IF(OR(A33="",E33=""),"",A33&amp;"|"&amp;E33)</f>
        <v/>
      </c>
      <c r="S33" s="20">
        <f>IF(E33="","",IFERROR(INDEX(Agentes!$F$6:$F$60,MATCH(E33,Agentes!$A$6:$A$60,0)),"Agente?"))</f>
        <v/>
      </c>
      <c r="T33" s="21">
        <f>IF(N(H33)=0,"",8/H33*(24-H33)/16)</f>
        <v/>
      </c>
      <c r="U33" s="21">
        <f>IF(N(I33)=0,"",40/I33*(168-I33)/128)</f>
        <v/>
      </c>
      <c r="V33" s="21">
        <f>IF(E33="","",MIN(1,IF(T33="",1,T33),IF(U33="",1,U33)))</f>
        <v/>
      </c>
      <c r="W33" s="22">
        <f>IF(OR(NOT(ISNUMBER(S33)),V33=""),"",S33*V33)</f>
        <v/>
      </c>
      <c r="X33" s="15">
        <f>IF(E33="","",IFERROR(INDEX(Agentes!$E$6:$E$60,MATCH(E33,Agentes!$A$6:$A$60,0)),""))</f>
        <v/>
      </c>
      <c r="Y33" s="15">
        <f>IF(E33="","",IFERROR(INDEX(Agentes!$D$6:$D$60,MATCH(E33,Agentes!$A$6:$A$60,0)),""))</f>
        <v/>
      </c>
    </row>
    <row r="34">
      <c r="A34" s="8" t="n"/>
      <c r="B34" s="19" t="n"/>
      <c r="C34" s="8" t="n"/>
      <c r="D34" s="19" t="n"/>
      <c r="E34" s="8" t="n"/>
      <c r="F34" s="8" t="n"/>
      <c r="G34" s="19" t="n"/>
      <c r="H34" s="8" t="n"/>
      <c r="I34" s="8" t="n"/>
      <c r="J34" s="8" t="n"/>
      <c r="K34" s="8" t="n"/>
      <c r="L34" s="15">
        <f>IF(J34="","",MAX(IF(N(J34)=0,0,1),MIN(4,IF(J34&gt;=360,4,IF(J34&gt;=120,3,IF(J34&gt;=30,2,IF(J34&gt;0,1,0))))+IF(K34="Alta",1,IF(AND(K34="Baja",J34&gt;0),-1,0)))))</f>
        <v/>
      </c>
      <c r="M34" s="15">
        <f>IF(E34="","",IFERROR(INDEX(Agentes!$P$6:$P$60,MATCH(E34,Agentes!$A$6:$A$60,0)),""))</f>
        <v/>
      </c>
      <c r="N34" s="15">
        <f>IF(OR(L34="",M34=""),"",L34*M34)</f>
        <v/>
      </c>
      <c r="O34" s="15">
        <f>IF(N34="","",IF(N34=0,"Incipiente",IF(N34&lt;=4,"Bajo",IF(N34&lt;=8,"Moderado",IF(N34&lt;=12,"Alto","Muy alto")))))</f>
        <v/>
      </c>
      <c r="P34" s="15">
        <f>IF(A34="","",IF(N(F34)&gt;50,ROUNDUP(SQRT(F34),0),6))</f>
        <v/>
      </c>
      <c r="Q34" s="8" t="n"/>
      <c r="R34" s="15">
        <f>IF(OR(A34="",E34=""),"",A34&amp;"|"&amp;E34)</f>
        <v/>
      </c>
      <c r="S34" s="20">
        <f>IF(E34="","",IFERROR(INDEX(Agentes!$F$6:$F$60,MATCH(E34,Agentes!$A$6:$A$60,0)),"Agente?"))</f>
        <v/>
      </c>
      <c r="T34" s="21">
        <f>IF(N(H34)=0,"",8/H34*(24-H34)/16)</f>
        <v/>
      </c>
      <c r="U34" s="21">
        <f>IF(N(I34)=0,"",40/I34*(168-I34)/128)</f>
        <v/>
      </c>
      <c r="V34" s="21">
        <f>IF(E34="","",MIN(1,IF(T34="",1,T34),IF(U34="",1,U34)))</f>
        <v/>
      </c>
      <c r="W34" s="22">
        <f>IF(OR(NOT(ISNUMBER(S34)),V34=""),"",S34*V34)</f>
        <v/>
      </c>
      <c r="X34" s="15">
        <f>IF(E34="","",IFERROR(INDEX(Agentes!$E$6:$E$60,MATCH(E34,Agentes!$A$6:$A$60,0)),""))</f>
        <v/>
      </c>
      <c r="Y34" s="15">
        <f>IF(E34="","",IFERROR(INDEX(Agentes!$D$6:$D$60,MATCH(E34,Agentes!$A$6:$A$60,0)),""))</f>
        <v/>
      </c>
    </row>
    <row r="35">
      <c r="A35" s="8" t="n"/>
      <c r="B35" s="19" t="n"/>
      <c r="C35" s="8" t="n"/>
      <c r="D35" s="19" t="n"/>
      <c r="E35" s="8" t="n"/>
      <c r="F35" s="8" t="n"/>
      <c r="G35" s="19" t="n"/>
      <c r="H35" s="8" t="n"/>
      <c r="I35" s="8" t="n"/>
      <c r="J35" s="8" t="n"/>
      <c r="K35" s="8" t="n"/>
      <c r="L35" s="15">
        <f>IF(J35="","",MAX(IF(N(J35)=0,0,1),MIN(4,IF(J35&gt;=360,4,IF(J35&gt;=120,3,IF(J35&gt;=30,2,IF(J35&gt;0,1,0))))+IF(K35="Alta",1,IF(AND(K35="Baja",J35&gt;0),-1,0)))))</f>
        <v/>
      </c>
      <c r="M35" s="15">
        <f>IF(E35="","",IFERROR(INDEX(Agentes!$P$6:$P$60,MATCH(E35,Agentes!$A$6:$A$60,0)),""))</f>
        <v/>
      </c>
      <c r="N35" s="15">
        <f>IF(OR(L35="",M35=""),"",L35*M35)</f>
        <v/>
      </c>
      <c r="O35" s="15">
        <f>IF(N35="","",IF(N35=0,"Incipiente",IF(N35&lt;=4,"Bajo",IF(N35&lt;=8,"Moderado",IF(N35&lt;=12,"Alto","Muy alto")))))</f>
        <v/>
      </c>
      <c r="P35" s="15">
        <f>IF(A35="","",IF(N(F35)&gt;50,ROUNDUP(SQRT(F35),0),6))</f>
        <v/>
      </c>
      <c r="Q35" s="8" t="n"/>
      <c r="R35" s="15">
        <f>IF(OR(A35="",E35=""),"",A35&amp;"|"&amp;E35)</f>
        <v/>
      </c>
      <c r="S35" s="20">
        <f>IF(E35="","",IFERROR(INDEX(Agentes!$F$6:$F$60,MATCH(E35,Agentes!$A$6:$A$60,0)),"Agente?"))</f>
        <v/>
      </c>
      <c r="T35" s="21">
        <f>IF(N(H35)=0,"",8/H35*(24-H35)/16)</f>
        <v/>
      </c>
      <c r="U35" s="21">
        <f>IF(N(I35)=0,"",40/I35*(168-I35)/128)</f>
        <v/>
      </c>
      <c r="V35" s="21">
        <f>IF(E35="","",MIN(1,IF(T35="",1,T35),IF(U35="",1,U35)))</f>
        <v/>
      </c>
      <c r="W35" s="22">
        <f>IF(OR(NOT(ISNUMBER(S35)),V35=""),"",S35*V35)</f>
        <v/>
      </c>
      <c r="X35" s="15">
        <f>IF(E35="","",IFERROR(INDEX(Agentes!$E$6:$E$60,MATCH(E35,Agentes!$A$6:$A$60,0)),""))</f>
        <v/>
      </c>
      <c r="Y35" s="15">
        <f>IF(E35="","",IFERROR(INDEX(Agentes!$D$6:$D$60,MATCH(E35,Agentes!$A$6:$A$60,0)),""))</f>
        <v/>
      </c>
    </row>
  </sheetData>
  <dataValidations count="3">
    <dataValidation sqref="E6:E35" showDropDown="0" showInputMessage="0" showErrorMessage="0" allowBlank="1" type="list">
      <formula1>Agentes!$A$6:$A$60</formula1>
    </dataValidation>
    <dataValidation sqref="K6:K35" showDropDown="0" showInputMessage="0" showErrorMessage="0" allowBlank="1" type="list">
      <formula1>"Baja,Media,Alta"</formula1>
    </dataValidation>
    <dataValidation sqref="Q6:Q35" showDropDown="0" showInputMessage="0" showErrorMessage="0" allowBlank="1" type="list">
      <formula1>"Crítico,Alto,Moderado,Bajo"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Y305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20" customWidth="1" min="5" max="5"/>
    <col width="10" customWidth="1" min="6" max="6"/>
    <col width="9" customWidth="1" min="7" max="7"/>
    <col width="20" customWidth="1" min="8" max="8"/>
    <col width="8" customWidth="1" min="9" max="9"/>
    <col width="9" customWidth="1" min="10" max="10"/>
    <col width="8" customWidth="1" min="11" max="11"/>
    <col width="10" customWidth="1" min="12" max="12"/>
    <col width="11" customWidth="1" min="13" max="13"/>
    <col width="11" customWidth="1" min="14" max="14"/>
    <col width="10" customWidth="1" min="15" max="15"/>
    <col width="26" customWidth="1" min="16" max="16"/>
    <col width="10" customWidth="1" min="17" max="17"/>
    <col width="9" customWidth="1" min="18" max="18"/>
    <col width="18" customWidth="1" min="19" max="19"/>
    <col width="24" customWidth="1" min="20" max="20"/>
    <col width="6" customWidth="1" min="21" max="21"/>
    <col width="6" customWidth="1" min="22" max="22"/>
    <col width="6" customWidth="1" min="23" max="23"/>
    <col width="6" customWidth="1" min="24" max="24"/>
    <col width="10" customWidth="1" min="25" max="25"/>
  </cols>
  <sheetData>
    <row r="1">
      <c r="A1" s="10" t="inlineStr">
        <is>
          <t>3. Registro de muestras personales</t>
        </is>
      </c>
    </row>
    <row r="2">
      <c r="A2" s="3" t="inlineStr">
        <is>
          <t>Una fila por agente y muestra. Ingrese masa + caudal + tiempo, o la concentración reportada por el laboratorio (columna M). Valores &lt; LD: registre LD/2. Para evaluar mezclas, use el mismo ID en los agentes medidos al mismo trabajador en la misma jornada.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2" t="inlineStr">
        <is>
          <t>Nº</t>
        </is>
      </c>
      <c r="B5" s="12" t="inlineStr">
        <is>
          <t>Código GES</t>
        </is>
      </c>
      <c r="C5" s="12" t="inlineStr">
        <is>
          <t>Agente</t>
        </is>
      </c>
      <c r="D5" s="12" t="inlineStr">
        <is>
          <t>Fecha</t>
        </is>
      </c>
      <c r="E5" s="12" t="inlineStr">
        <is>
          <t>Trabajador / cargo</t>
        </is>
      </c>
      <c r="F5" s="12" t="inlineStr">
        <is>
          <t>ID muestra / jornada</t>
        </is>
      </c>
      <c r="G5" s="12" t="inlineStr">
        <is>
          <t>Tipo de muestra</t>
        </is>
      </c>
      <c r="H5" s="12" t="inlineStr">
        <is>
          <t>Muestreador</t>
        </is>
      </c>
      <c r="I5" s="12" t="inlineStr">
        <is>
          <t>Caudal (L/min)</t>
        </is>
      </c>
      <c r="J5" s="12" t="inlineStr">
        <is>
          <t>Tiempo de muestreo (min)</t>
        </is>
      </c>
      <c r="K5" s="12" t="inlineStr">
        <is>
          <t>Volumen (m³)</t>
        </is>
      </c>
      <c r="L5" s="12" t="inlineStr">
        <is>
          <t>Masa del analito (mg)</t>
        </is>
      </c>
      <c r="M5" s="12" t="inlineStr">
        <is>
          <t>Concentración reportada por laboratorio (mg/m³)</t>
        </is>
      </c>
      <c r="N5" s="12" t="inlineStr">
        <is>
          <t>Concentración (mg/m³)</t>
        </is>
      </c>
      <c r="O5" s="12" t="inlineStr">
        <is>
          <t>Fracción del TLV</t>
        </is>
      </c>
      <c r="P5" s="12" t="inlineStr">
        <is>
          <t>Coherencia muestreador / fracción</t>
        </is>
      </c>
      <c r="Q5" s="12" t="inlineStr">
        <is>
          <t>TLV ajustado</t>
        </is>
      </c>
      <c r="R5" s="12" t="inlineStr">
        <is>
          <t>Índice C / TLV aj.</t>
        </is>
      </c>
      <c r="S5" s="12" t="inlineStr">
        <is>
          <t>Grupo de efecto (aux)</t>
        </is>
      </c>
      <c r="T5" s="12" t="inlineStr">
        <is>
          <t>Observaciones</t>
        </is>
      </c>
      <c r="U5" s="12" t="inlineStr">
        <is>
          <t>ln C (aux)</t>
        </is>
      </c>
      <c r="V5" s="12" t="inlineStr">
        <is>
          <t>(ln C − ln MG)² (aux)</t>
        </is>
      </c>
      <c r="W5" s="12" t="inlineStr">
        <is>
          <t>(C − MA)² (aux)</t>
        </is>
      </c>
      <c r="X5" s="12" t="inlineStr">
        <is>
          <t>&gt; TLV (aux)</t>
        </is>
      </c>
      <c r="Y5" s="12" t="inlineStr">
        <is>
          <t>Clave (aux)</t>
        </is>
      </c>
    </row>
    <row r="6">
      <c r="A6" s="23" t="n">
        <v>1</v>
      </c>
      <c r="B6" s="8" t="inlineStr">
        <is>
          <t>G01</t>
        </is>
      </c>
      <c r="C6" s="8" t="inlineStr">
        <is>
          <t>MN-R</t>
        </is>
      </c>
      <c r="D6" s="9" t="n">
        <v>46279</v>
      </c>
      <c r="E6" s="8" t="inlineStr">
        <is>
          <t>Soldador 1</t>
        </is>
      </c>
      <c r="F6" s="8" t="inlineStr">
        <is>
          <t>G01-D1</t>
        </is>
      </c>
      <c r="G6" s="8" t="inlineStr">
        <is>
          <t>Personal</t>
        </is>
      </c>
      <c r="H6" s="8" t="inlineStr">
        <is>
          <t>Ciclón nylon 10 mm</t>
        </is>
      </c>
      <c r="I6" s="24" t="n">
        <v>1.7</v>
      </c>
      <c r="J6" s="8" t="n">
        <v>420</v>
      </c>
      <c r="K6" s="25">
        <f>IF(OR(I6="",J6=""),"",I6*J6/1000)</f>
        <v/>
      </c>
      <c r="L6" s="26" t="n">
        <v>0.01248</v>
      </c>
      <c r="M6" s="26" t="n"/>
      <c r="N6" s="27">
        <f>IF(OR(B6="",C6=""),"",IF(M6&lt;&gt;"",M6,IF(AND(N(L6)&gt;0,N(K6)&gt;0),L6/K6,"")))</f>
        <v/>
      </c>
      <c r="O6" s="15">
        <f>IF(C6="","",IFERROR(INDEX(Agentes!$D$6:$D$60,MATCH(C6,Agentes!$A$6:$A$60,0)),""))</f>
        <v/>
      </c>
      <c r="P6" s="28">
        <f>IF(OR(H6="",O6=""),"",IF(AND(O6="Inhalable",LEFT(H6,6)="Casete"),"Subestima: el casete cerrado no colecta toda la fracción inhalable",IF(AND(O6="Respirable",LEFT(H6,6)&lt;&gt;"Ciclón"),"Requiere ciclón (fracción respirable)",IF(AND(O6="Inhalable",ISNUMBER(SEARCH("Respirable",IFERROR(INDEX(Agentes!$C$80:$C$87,MATCH(H6,Agentes!$B$80:$B$87,0)),"")))),"El ciclón no colecta la fracción inhalable","Coherente"))))</f>
        <v/>
      </c>
      <c r="Q6" s="22">
        <f>IF(Y6="","",IFERROR(INDEX(GES!$W$6:$W$35,MATCH(Y6,GES!$R$6:$R$35,0)),""))</f>
        <v/>
      </c>
      <c r="R6" s="29">
        <f>IF(AND(ISNUMBER(N6),ISNUMBER(Q6)),N6/Q6,"")</f>
        <v/>
      </c>
      <c r="S6" s="15">
        <f>IF(C6="","",IFERROR(INDEX(Agentes!$I$6:$I$60,MATCH(C6,Agentes!$A$6:$A$60,0)),""))</f>
        <v/>
      </c>
      <c r="T6" s="8" t="n"/>
      <c r="U6" s="15">
        <f>IF(ISNUMBER(N6),IF(N6&gt;0,LN(N6),""),"")</f>
        <v/>
      </c>
      <c r="V6" s="15">
        <f>IF(ISNUMBER(U6),IFERROR((U6-LN(IFERROR(INDEX(Estadística!$K$6:$K$35,MATCH(Y6,Estadística!$Y$6:$Y$35,0)),0)))^2,""),"")</f>
        <v/>
      </c>
      <c r="W6" s="15">
        <f>IF(ISNUMBER(N6),IFERROR((N6-IFERROR(INDEX(Estadística!$I$6:$I$35,MATCH(Y6,Estadística!$Y$6:$Y$35,0)),0))^2,""),"")</f>
        <v/>
      </c>
      <c r="X6" s="15">
        <f>IF(ISNUMBER(R6),IF(R6&gt;1,1,0),"")</f>
        <v/>
      </c>
      <c r="Y6" s="15">
        <f>IF(OR(B6="",C6=""),"",B6&amp;"|"&amp;C6)</f>
        <v/>
      </c>
    </row>
    <row r="7">
      <c r="A7" s="23" t="n">
        <v>2</v>
      </c>
      <c r="B7" s="8" t="inlineStr">
        <is>
          <t>G01</t>
        </is>
      </c>
      <c r="C7" s="8" t="inlineStr">
        <is>
          <t>MN-R</t>
        </is>
      </c>
      <c r="D7" s="9" t="n">
        <v>46280</v>
      </c>
      <c r="E7" s="8" t="inlineStr">
        <is>
          <t>Soldador 2</t>
        </is>
      </c>
      <c r="F7" s="8" t="inlineStr">
        <is>
          <t>G01-D2</t>
        </is>
      </c>
      <c r="G7" s="8" t="inlineStr">
        <is>
          <t>Personal</t>
        </is>
      </c>
      <c r="H7" s="8" t="inlineStr">
        <is>
          <t>Ciclón nylon 10 mm</t>
        </is>
      </c>
      <c r="I7" s="24" t="n">
        <v>1.7</v>
      </c>
      <c r="J7" s="8" t="n">
        <v>470</v>
      </c>
      <c r="K7" s="25">
        <f>IF(OR(I7="",J7=""),"",I7*J7/1000)</f>
        <v/>
      </c>
      <c r="L7" s="26" t="n">
        <v>0.00426</v>
      </c>
      <c r="M7" s="26" t="n"/>
      <c r="N7" s="27">
        <f>IF(OR(B7="",C7=""),"",IF(M7&lt;&gt;"",M7,IF(AND(N(L7)&gt;0,N(K7)&gt;0),L7/K7,"")))</f>
        <v/>
      </c>
      <c r="O7" s="15">
        <f>IF(C7="","",IFERROR(INDEX(Agentes!$D$6:$D$60,MATCH(C7,Agentes!$A$6:$A$60,0)),""))</f>
        <v/>
      </c>
      <c r="P7" s="28">
        <f>IF(OR(H7="",O7=""),"",IF(AND(O7="Inhalable",LEFT(H7,6)="Casete"),"Subestima: el casete cerrado no colecta toda la fracción inhalable",IF(AND(O7="Respirable",LEFT(H7,6)&lt;&gt;"Ciclón"),"Requiere ciclón (fracción respirable)",IF(AND(O7="Inhalable",ISNUMBER(SEARCH("Respirable",IFERROR(INDEX(Agentes!$C$80:$C$87,MATCH(H7,Agentes!$B$80:$B$87,0)),"")))),"El ciclón no colecta la fracción inhalable","Coherente"))))</f>
        <v/>
      </c>
      <c r="Q7" s="22">
        <f>IF(Y7="","",IFERROR(INDEX(GES!$W$6:$W$35,MATCH(Y7,GES!$R$6:$R$35,0)),""))</f>
        <v/>
      </c>
      <c r="R7" s="29">
        <f>IF(AND(ISNUMBER(N7),ISNUMBER(Q7)),N7/Q7,"")</f>
        <v/>
      </c>
      <c r="S7" s="15">
        <f>IF(C7="","",IFERROR(INDEX(Agentes!$I$6:$I$60,MATCH(C7,Agentes!$A$6:$A$60,0)),""))</f>
        <v/>
      </c>
      <c r="T7" s="8" t="n"/>
      <c r="U7" s="15">
        <f>IF(ISNUMBER(N7),IF(N7&gt;0,LN(N7),""),"")</f>
        <v/>
      </c>
      <c r="V7" s="15">
        <f>IF(ISNUMBER(U7),IFERROR((U7-LN(IFERROR(INDEX(Estadística!$K$6:$K$35,MATCH(Y7,Estadística!$Y$6:$Y$35,0)),0)))^2,""),"")</f>
        <v/>
      </c>
      <c r="W7" s="15">
        <f>IF(ISNUMBER(N7),IFERROR((N7-IFERROR(INDEX(Estadística!$I$6:$I$35,MATCH(Y7,Estadística!$Y$6:$Y$35,0)),0))^2,""),"")</f>
        <v/>
      </c>
      <c r="X7" s="15">
        <f>IF(ISNUMBER(R7),IF(R7&gt;1,1,0),"")</f>
        <v/>
      </c>
      <c r="Y7" s="15">
        <f>IF(OR(B7="",C7=""),"",B7&amp;"|"&amp;C7)</f>
        <v/>
      </c>
    </row>
    <row r="8">
      <c r="A8" s="23" t="n">
        <v>3</v>
      </c>
      <c r="B8" s="8" t="inlineStr">
        <is>
          <t>G01</t>
        </is>
      </c>
      <c r="C8" s="8" t="inlineStr">
        <is>
          <t>MN-R</t>
        </is>
      </c>
      <c r="D8" s="9" t="n">
        <v>46281</v>
      </c>
      <c r="E8" s="8" t="inlineStr">
        <is>
          <t>Soldador 3</t>
        </is>
      </c>
      <c r="F8" s="8" t="inlineStr">
        <is>
          <t>G01-D3</t>
        </is>
      </c>
      <c r="G8" s="8" t="inlineStr">
        <is>
          <t>Personal</t>
        </is>
      </c>
      <c r="H8" s="8" t="inlineStr">
        <is>
          <t>Ciclón nylon 10 mm</t>
        </is>
      </c>
      <c r="I8" s="24" t="n">
        <v>1.7</v>
      </c>
      <c r="J8" s="8" t="n">
        <v>420</v>
      </c>
      <c r="K8" s="25">
        <f>IF(OR(I8="",J8=""),"",I8*J8/1000)</f>
        <v/>
      </c>
      <c r="L8" s="26" t="n">
        <v>0.01928</v>
      </c>
      <c r="M8" s="26" t="n"/>
      <c r="N8" s="27">
        <f>IF(OR(B8="",C8=""),"",IF(M8&lt;&gt;"",M8,IF(AND(N(L8)&gt;0,N(K8)&gt;0),L8/K8,"")))</f>
        <v/>
      </c>
      <c r="O8" s="15">
        <f>IF(C8="","",IFERROR(INDEX(Agentes!$D$6:$D$60,MATCH(C8,Agentes!$A$6:$A$60,0)),""))</f>
        <v/>
      </c>
      <c r="P8" s="28">
        <f>IF(OR(H8="",O8=""),"",IF(AND(O8="Inhalable",LEFT(H8,6)="Casete"),"Subestima: el casete cerrado no colecta toda la fracción inhalable",IF(AND(O8="Respirable",LEFT(H8,6)&lt;&gt;"Ciclón"),"Requiere ciclón (fracción respirable)",IF(AND(O8="Inhalable",ISNUMBER(SEARCH("Respirable",IFERROR(INDEX(Agentes!$C$80:$C$87,MATCH(H8,Agentes!$B$80:$B$87,0)),"")))),"El ciclón no colecta la fracción inhalable","Coherente"))))</f>
        <v/>
      </c>
      <c r="Q8" s="22">
        <f>IF(Y8="","",IFERROR(INDEX(GES!$W$6:$W$35,MATCH(Y8,GES!$R$6:$R$35,0)),""))</f>
        <v/>
      </c>
      <c r="R8" s="29">
        <f>IF(AND(ISNUMBER(N8),ISNUMBER(Q8)),N8/Q8,"")</f>
        <v/>
      </c>
      <c r="S8" s="15">
        <f>IF(C8="","",IFERROR(INDEX(Agentes!$I$6:$I$60,MATCH(C8,Agentes!$A$6:$A$60,0)),""))</f>
        <v/>
      </c>
      <c r="T8" s="8" t="n"/>
      <c r="U8" s="15">
        <f>IF(ISNUMBER(N8),IF(N8&gt;0,LN(N8),""),"")</f>
        <v/>
      </c>
      <c r="V8" s="15">
        <f>IF(ISNUMBER(U8),IFERROR((U8-LN(IFERROR(INDEX(Estadística!$K$6:$K$35,MATCH(Y8,Estadística!$Y$6:$Y$35,0)),0)))^2,""),"")</f>
        <v/>
      </c>
      <c r="W8" s="15">
        <f>IF(ISNUMBER(N8),IFERROR((N8-IFERROR(INDEX(Estadística!$I$6:$I$35,MATCH(Y8,Estadística!$Y$6:$Y$35,0)),0))^2,""),"")</f>
        <v/>
      </c>
      <c r="X8" s="15">
        <f>IF(ISNUMBER(R8),IF(R8&gt;1,1,0),"")</f>
        <v/>
      </c>
      <c r="Y8" s="15">
        <f>IF(OR(B8="",C8=""),"",B8&amp;"|"&amp;C8)</f>
        <v/>
      </c>
    </row>
    <row r="9">
      <c r="A9" s="23" t="n">
        <v>4</v>
      </c>
      <c r="B9" s="8" t="inlineStr">
        <is>
          <t>G01</t>
        </is>
      </c>
      <c r="C9" s="8" t="inlineStr">
        <is>
          <t>MN-R</t>
        </is>
      </c>
      <c r="D9" s="9" t="n">
        <v>46282</v>
      </c>
      <c r="E9" s="8" t="inlineStr">
        <is>
          <t>Soldador 4</t>
        </is>
      </c>
      <c r="F9" s="8" t="inlineStr">
        <is>
          <t>G01-D4</t>
        </is>
      </c>
      <c r="G9" s="8" t="inlineStr">
        <is>
          <t>Personal</t>
        </is>
      </c>
      <c r="H9" s="8" t="inlineStr">
        <is>
          <t>Ciclón nylon 10 mm</t>
        </is>
      </c>
      <c r="I9" s="24" t="n">
        <v>1.7</v>
      </c>
      <c r="J9" s="8" t="n">
        <v>450</v>
      </c>
      <c r="K9" s="25">
        <f>IF(OR(I9="",J9=""),"",I9*J9/1000)</f>
        <v/>
      </c>
      <c r="L9" s="26" t="n">
        <v>0.01033</v>
      </c>
      <c r="M9" s="26" t="n"/>
      <c r="N9" s="27">
        <f>IF(OR(B9="",C9=""),"",IF(M9&lt;&gt;"",M9,IF(AND(N(L9)&gt;0,N(K9)&gt;0),L9/K9,"")))</f>
        <v/>
      </c>
      <c r="O9" s="15">
        <f>IF(C9="","",IFERROR(INDEX(Agentes!$D$6:$D$60,MATCH(C9,Agentes!$A$6:$A$60,0)),""))</f>
        <v/>
      </c>
      <c r="P9" s="28">
        <f>IF(OR(H9="",O9=""),"",IF(AND(O9="Inhalable",LEFT(H9,6)="Casete"),"Subestima: el casete cerrado no colecta toda la fracción inhalable",IF(AND(O9="Respirable",LEFT(H9,6)&lt;&gt;"Ciclón"),"Requiere ciclón (fracción respirable)",IF(AND(O9="Inhalable",ISNUMBER(SEARCH("Respirable",IFERROR(INDEX(Agentes!$C$80:$C$87,MATCH(H9,Agentes!$B$80:$B$87,0)),"")))),"El ciclón no colecta la fracción inhalable","Coherente"))))</f>
        <v/>
      </c>
      <c r="Q9" s="22">
        <f>IF(Y9="","",IFERROR(INDEX(GES!$W$6:$W$35,MATCH(Y9,GES!$R$6:$R$35,0)),""))</f>
        <v/>
      </c>
      <c r="R9" s="29">
        <f>IF(AND(ISNUMBER(N9),ISNUMBER(Q9)),N9/Q9,"")</f>
        <v/>
      </c>
      <c r="S9" s="15">
        <f>IF(C9="","",IFERROR(INDEX(Agentes!$I$6:$I$60,MATCH(C9,Agentes!$A$6:$A$60,0)),""))</f>
        <v/>
      </c>
      <c r="T9" s="8" t="n"/>
      <c r="U9" s="15">
        <f>IF(ISNUMBER(N9),IF(N9&gt;0,LN(N9),""),"")</f>
        <v/>
      </c>
      <c r="V9" s="15">
        <f>IF(ISNUMBER(U9),IFERROR((U9-LN(IFERROR(INDEX(Estadística!$K$6:$K$35,MATCH(Y9,Estadística!$Y$6:$Y$35,0)),0)))^2,""),"")</f>
        <v/>
      </c>
      <c r="W9" s="15">
        <f>IF(ISNUMBER(N9),IFERROR((N9-IFERROR(INDEX(Estadística!$I$6:$I$35,MATCH(Y9,Estadística!$Y$6:$Y$35,0)),0))^2,""),"")</f>
        <v/>
      </c>
      <c r="X9" s="15">
        <f>IF(ISNUMBER(R9),IF(R9&gt;1,1,0),"")</f>
        <v/>
      </c>
      <c r="Y9" s="15">
        <f>IF(OR(B9="",C9=""),"",B9&amp;"|"&amp;C9)</f>
        <v/>
      </c>
    </row>
    <row r="10">
      <c r="A10" s="23" t="n">
        <v>5</v>
      </c>
      <c r="B10" s="8" t="inlineStr">
        <is>
          <t>G01</t>
        </is>
      </c>
      <c r="C10" s="8" t="inlineStr">
        <is>
          <t>MN-R</t>
        </is>
      </c>
      <c r="D10" s="9" t="n">
        <v>46283</v>
      </c>
      <c r="E10" s="8" t="inlineStr">
        <is>
          <t>Soldador 5</t>
        </is>
      </c>
      <c r="F10" s="8" t="inlineStr">
        <is>
          <t>G01-D5</t>
        </is>
      </c>
      <c r="G10" s="8" t="inlineStr">
        <is>
          <t>Personal</t>
        </is>
      </c>
      <c r="H10" s="8" t="inlineStr">
        <is>
          <t>Ciclón nylon 10 mm</t>
        </is>
      </c>
      <c r="I10" s="24" t="n">
        <v>1.7</v>
      </c>
      <c r="J10" s="8" t="n">
        <v>470</v>
      </c>
      <c r="K10" s="25">
        <f>IF(OR(I10="",J10=""),"",I10*J10/1000)</f>
        <v/>
      </c>
      <c r="L10" s="26" t="n">
        <v>0.006582</v>
      </c>
      <c r="M10" s="26" t="n"/>
      <c r="N10" s="27">
        <f>IF(OR(B10="",C10=""),"",IF(M10&lt;&gt;"",M10,IF(AND(N(L10)&gt;0,N(K10)&gt;0),L10/K10,"")))</f>
        <v/>
      </c>
      <c r="O10" s="15">
        <f>IF(C10="","",IFERROR(INDEX(Agentes!$D$6:$D$60,MATCH(C10,Agentes!$A$6:$A$60,0)),""))</f>
        <v/>
      </c>
      <c r="P10" s="28">
        <f>IF(OR(H10="",O10=""),"",IF(AND(O10="Inhalable",LEFT(H10,6)="Casete"),"Subestima: el casete cerrado no colecta toda la fracción inhalable",IF(AND(O10="Respirable",LEFT(H10,6)&lt;&gt;"Ciclón"),"Requiere ciclón (fracción respirable)",IF(AND(O10="Inhalable",ISNUMBER(SEARCH("Respirable",IFERROR(INDEX(Agentes!$C$80:$C$87,MATCH(H10,Agentes!$B$80:$B$87,0)),"")))),"El ciclón no colecta la fracción inhalable","Coherente"))))</f>
        <v/>
      </c>
      <c r="Q10" s="22">
        <f>IF(Y10="","",IFERROR(INDEX(GES!$W$6:$W$35,MATCH(Y10,GES!$R$6:$R$35,0)),""))</f>
        <v/>
      </c>
      <c r="R10" s="29">
        <f>IF(AND(ISNUMBER(N10),ISNUMBER(Q10)),N10/Q10,"")</f>
        <v/>
      </c>
      <c r="S10" s="15">
        <f>IF(C10="","",IFERROR(INDEX(Agentes!$I$6:$I$60,MATCH(C10,Agentes!$A$6:$A$60,0)),""))</f>
        <v/>
      </c>
      <c r="T10" s="8" t="n"/>
      <c r="U10" s="15">
        <f>IF(ISNUMBER(N10),IF(N10&gt;0,LN(N10),""),"")</f>
        <v/>
      </c>
      <c r="V10" s="15">
        <f>IF(ISNUMBER(U10),IFERROR((U10-LN(IFERROR(INDEX(Estadística!$K$6:$K$35,MATCH(Y10,Estadística!$Y$6:$Y$35,0)),0)))^2,""),"")</f>
        <v/>
      </c>
      <c r="W10" s="15">
        <f>IF(ISNUMBER(N10),IFERROR((N10-IFERROR(INDEX(Estadística!$I$6:$I$35,MATCH(Y10,Estadística!$Y$6:$Y$35,0)),0))^2,""),"")</f>
        <v/>
      </c>
      <c r="X10" s="15">
        <f>IF(ISNUMBER(R10),IF(R10&gt;1,1,0),"")</f>
        <v/>
      </c>
      <c r="Y10" s="15">
        <f>IF(OR(B10="",C10=""),"",B10&amp;"|"&amp;C10)</f>
        <v/>
      </c>
    </row>
    <row r="11">
      <c r="A11" s="23" t="n">
        <v>6</v>
      </c>
      <c r="B11" s="8" t="inlineStr">
        <is>
          <t>G01</t>
        </is>
      </c>
      <c r="C11" s="8" t="inlineStr">
        <is>
          <t>MN-R</t>
        </is>
      </c>
      <c r="D11" s="9" t="n">
        <v>46284</v>
      </c>
      <c r="E11" s="8" t="inlineStr">
        <is>
          <t>Soldador 6</t>
        </is>
      </c>
      <c r="F11" s="8" t="inlineStr">
        <is>
          <t>G01-D6</t>
        </is>
      </c>
      <c r="G11" s="8" t="inlineStr">
        <is>
          <t>Personal</t>
        </is>
      </c>
      <c r="H11" s="8" t="inlineStr">
        <is>
          <t>Ciclón nylon 10 mm</t>
        </is>
      </c>
      <c r="I11" s="24" t="n">
        <v>1.7</v>
      </c>
      <c r="J11" s="8" t="n">
        <v>420</v>
      </c>
      <c r="K11" s="25">
        <f>IF(OR(I11="",J11=""),"",I11*J11/1000)</f>
        <v/>
      </c>
      <c r="L11" s="26" t="n">
        <v>0.00762</v>
      </c>
      <c r="M11" s="26" t="n"/>
      <c r="N11" s="27">
        <f>IF(OR(B11="",C11=""),"",IF(M11&lt;&gt;"",M11,IF(AND(N(L11)&gt;0,N(K11)&gt;0),L11/K11,"")))</f>
        <v/>
      </c>
      <c r="O11" s="15">
        <f>IF(C11="","",IFERROR(INDEX(Agentes!$D$6:$D$60,MATCH(C11,Agentes!$A$6:$A$60,0)),""))</f>
        <v/>
      </c>
      <c r="P11" s="28">
        <f>IF(OR(H11="",O11=""),"",IF(AND(O11="Inhalable",LEFT(H11,6)="Casete"),"Subestima: el casete cerrado no colecta toda la fracción inhalable",IF(AND(O11="Respirable",LEFT(H11,6)&lt;&gt;"Ciclón"),"Requiere ciclón (fracción respirable)",IF(AND(O11="Inhalable",ISNUMBER(SEARCH("Respirable",IFERROR(INDEX(Agentes!$C$80:$C$87,MATCH(H11,Agentes!$B$80:$B$87,0)),"")))),"El ciclón no colecta la fracción inhalable","Coherente"))))</f>
        <v/>
      </c>
      <c r="Q11" s="22">
        <f>IF(Y11="","",IFERROR(INDEX(GES!$W$6:$W$35,MATCH(Y11,GES!$R$6:$R$35,0)),""))</f>
        <v/>
      </c>
      <c r="R11" s="29">
        <f>IF(AND(ISNUMBER(N11),ISNUMBER(Q11)),N11/Q11,"")</f>
        <v/>
      </c>
      <c r="S11" s="15">
        <f>IF(C11="","",IFERROR(INDEX(Agentes!$I$6:$I$60,MATCH(C11,Agentes!$A$6:$A$60,0)),""))</f>
        <v/>
      </c>
      <c r="T11" s="8" t="n"/>
      <c r="U11" s="15">
        <f>IF(ISNUMBER(N11),IF(N11&gt;0,LN(N11),""),"")</f>
        <v/>
      </c>
      <c r="V11" s="15">
        <f>IF(ISNUMBER(U11),IFERROR((U11-LN(IFERROR(INDEX(Estadística!$K$6:$K$35,MATCH(Y11,Estadística!$Y$6:$Y$35,0)),0)))^2,""),"")</f>
        <v/>
      </c>
      <c r="W11" s="15">
        <f>IF(ISNUMBER(N11),IFERROR((N11-IFERROR(INDEX(Estadística!$I$6:$I$35,MATCH(Y11,Estadística!$Y$6:$Y$35,0)),0))^2,""),"")</f>
        <v/>
      </c>
      <c r="X11" s="15">
        <f>IF(ISNUMBER(R11),IF(R11&gt;1,1,0),"")</f>
        <v/>
      </c>
      <c r="Y11" s="15">
        <f>IF(OR(B11="",C11=""),"",B11&amp;"|"&amp;C11)</f>
        <v/>
      </c>
    </row>
    <row r="12">
      <c r="A12" s="23" t="n">
        <v>7</v>
      </c>
      <c r="B12" s="8" t="inlineStr">
        <is>
          <t>G01</t>
        </is>
      </c>
      <c r="C12" s="8" t="inlineStr">
        <is>
          <t>FE2O3</t>
        </is>
      </c>
      <c r="D12" s="9" t="n">
        <v>46279</v>
      </c>
      <c r="E12" s="8" t="inlineStr">
        <is>
          <t>Soldador 1</t>
        </is>
      </c>
      <c r="F12" s="8" t="inlineStr">
        <is>
          <t>G01-D1</t>
        </is>
      </c>
      <c r="G12" s="8" t="inlineStr">
        <is>
          <t>Personal</t>
        </is>
      </c>
      <c r="H12" s="8" t="inlineStr">
        <is>
          <t>Ciclón nylon 10 mm</t>
        </is>
      </c>
      <c r="I12" s="24" t="n">
        <v>1.7</v>
      </c>
      <c r="J12" s="8" t="n">
        <v>460</v>
      </c>
      <c r="K12" s="25">
        <f>IF(OR(I12="",J12=""),"",I12*J12/1000)</f>
        <v/>
      </c>
      <c r="L12" s="26" t="n">
        <v>0.9845699999999999</v>
      </c>
      <c r="M12" s="26" t="n"/>
      <c r="N12" s="27">
        <f>IF(OR(B12="",C12=""),"",IF(M12&lt;&gt;"",M12,IF(AND(N(L12)&gt;0,N(K12)&gt;0),L12/K12,"")))</f>
        <v/>
      </c>
      <c r="O12" s="15">
        <f>IF(C12="","",IFERROR(INDEX(Agentes!$D$6:$D$60,MATCH(C12,Agentes!$A$6:$A$60,0)),""))</f>
        <v/>
      </c>
      <c r="P12" s="28">
        <f>IF(OR(H12="",O12=""),"",IF(AND(O12="Inhalable",LEFT(H12,6)="Casete"),"Subestima: el casete cerrado no colecta toda la fracción inhalable",IF(AND(O12="Respirable",LEFT(H12,6)&lt;&gt;"Ciclón"),"Requiere ciclón (fracción respirable)",IF(AND(O12="Inhalable",ISNUMBER(SEARCH("Respirable",IFERROR(INDEX(Agentes!$C$80:$C$87,MATCH(H12,Agentes!$B$80:$B$87,0)),"")))),"El ciclón no colecta la fracción inhalable","Coherente"))))</f>
        <v/>
      </c>
      <c r="Q12" s="22">
        <f>IF(Y12="","",IFERROR(INDEX(GES!$W$6:$W$35,MATCH(Y12,GES!$R$6:$R$35,0)),""))</f>
        <v/>
      </c>
      <c r="R12" s="29">
        <f>IF(AND(ISNUMBER(N12),ISNUMBER(Q12)),N12/Q12,"")</f>
        <v/>
      </c>
      <c r="S12" s="15">
        <f>IF(C12="","",IFERROR(INDEX(Agentes!$I$6:$I$60,MATCH(C12,Agentes!$A$6:$A$60,0)),""))</f>
        <v/>
      </c>
      <c r="T12" s="8" t="n"/>
      <c r="U12" s="15">
        <f>IF(ISNUMBER(N12),IF(N12&gt;0,LN(N12),""),"")</f>
        <v/>
      </c>
      <c r="V12" s="15">
        <f>IF(ISNUMBER(U12),IFERROR((U12-LN(IFERROR(INDEX(Estadística!$K$6:$K$35,MATCH(Y12,Estadística!$Y$6:$Y$35,0)),0)))^2,""),"")</f>
        <v/>
      </c>
      <c r="W12" s="15">
        <f>IF(ISNUMBER(N12),IFERROR((N12-IFERROR(INDEX(Estadística!$I$6:$I$35,MATCH(Y12,Estadística!$Y$6:$Y$35,0)),0))^2,""),"")</f>
        <v/>
      </c>
      <c r="X12" s="15">
        <f>IF(ISNUMBER(R12),IF(R12&gt;1,1,0),"")</f>
        <v/>
      </c>
      <c r="Y12" s="15">
        <f>IF(OR(B12="",C12=""),"",B12&amp;"|"&amp;C12)</f>
        <v/>
      </c>
    </row>
    <row r="13">
      <c r="A13" s="23" t="n">
        <v>8</v>
      </c>
      <c r="B13" s="8" t="inlineStr">
        <is>
          <t>G01</t>
        </is>
      </c>
      <c r="C13" s="8" t="inlineStr">
        <is>
          <t>FE2O3</t>
        </is>
      </c>
      <c r="D13" s="9" t="n">
        <v>46280</v>
      </c>
      <c r="E13" s="8" t="inlineStr">
        <is>
          <t>Soldador 2</t>
        </is>
      </c>
      <c r="F13" s="8" t="inlineStr">
        <is>
          <t>G01-D2</t>
        </is>
      </c>
      <c r="G13" s="8" t="inlineStr">
        <is>
          <t>Personal</t>
        </is>
      </c>
      <c r="H13" s="8" t="inlineStr">
        <is>
          <t>Ciclón nylon 10 mm</t>
        </is>
      </c>
      <c r="I13" s="24" t="n">
        <v>1.7</v>
      </c>
      <c r="J13" s="8" t="n">
        <v>420</v>
      </c>
      <c r="K13" s="25">
        <f>IF(OR(I13="",J13=""),"",I13*J13/1000)</f>
        <v/>
      </c>
      <c r="L13" s="26" t="n">
        <v>2.07896</v>
      </c>
      <c r="M13" s="26" t="n"/>
      <c r="N13" s="27">
        <f>IF(OR(B13="",C13=""),"",IF(M13&lt;&gt;"",M13,IF(AND(N(L13)&gt;0,N(K13)&gt;0),L13/K13,"")))</f>
        <v/>
      </c>
      <c r="O13" s="15">
        <f>IF(C13="","",IFERROR(INDEX(Agentes!$D$6:$D$60,MATCH(C13,Agentes!$A$6:$A$60,0)),""))</f>
        <v/>
      </c>
      <c r="P13" s="28">
        <f>IF(OR(H13="",O13=""),"",IF(AND(O13="Inhalable",LEFT(H13,6)="Casete"),"Subestima: el casete cerrado no colecta toda la fracción inhalable",IF(AND(O13="Respirable",LEFT(H13,6)&lt;&gt;"Ciclón"),"Requiere ciclón (fracción respirable)",IF(AND(O13="Inhalable",ISNUMBER(SEARCH("Respirable",IFERROR(INDEX(Agentes!$C$80:$C$87,MATCH(H13,Agentes!$B$80:$B$87,0)),"")))),"El ciclón no colecta la fracción inhalable","Coherente"))))</f>
        <v/>
      </c>
      <c r="Q13" s="22">
        <f>IF(Y13="","",IFERROR(INDEX(GES!$W$6:$W$35,MATCH(Y13,GES!$R$6:$R$35,0)),""))</f>
        <v/>
      </c>
      <c r="R13" s="29">
        <f>IF(AND(ISNUMBER(N13),ISNUMBER(Q13)),N13/Q13,"")</f>
        <v/>
      </c>
      <c r="S13" s="15">
        <f>IF(C13="","",IFERROR(INDEX(Agentes!$I$6:$I$60,MATCH(C13,Agentes!$A$6:$A$60,0)),""))</f>
        <v/>
      </c>
      <c r="T13" s="8" t="n"/>
      <c r="U13" s="15">
        <f>IF(ISNUMBER(N13),IF(N13&gt;0,LN(N13),""),"")</f>
        <v/>
      </c>
      <c r="V13" s="15">
        <f>IF(ISNUMBER(U13),IFERROR((U13-LN(IFERROR(INDEX(Estadística!$K$6:$K$35,MATCH(Y13,Estadística!$Y$6:$Y$35,0)),0)))^2,""),"")</f>
        <v/>
      </c>
      <c r="W13" s="15">
        <f>IF(ISNUMBER(N13),IFERROR((N13-IFERROR(INDEX(Estadística!$I$6:$I$35,MATCH(Y13,Estadística!$Y$6:$Y$35,0)),0))^2,""),"")</f>
        <v/>
      </c>
      <c r="X13" s="15">
        <f>IF(ISNUMBER(R13),IF(R13&gt;1,1,0),"")</f>
        <v/>
      </c>
      <c r="Y13" s="15">
        <f>IF(OR(B13="",C13=""),"",B13&amp;"|"&amp;C13)</f>
        <v/>
      </c>
    </row>
    <row r="14">
      <c r="A14" s="23" t="n">
        <v>9</v>
      </c>
      <c r="B14" s="8" t="inlineStr">
        <is>
          <t>G01</t>
        </is>
      </c>
      <c r="C14" s="8" t="inlineStr">
        <is>
          <t>FE2O3</t>
        </is>
      </c>
      <c r="D14" s="9" t="n">
        <v>46281</v>
      </c>
      <c r="E14" s="8" t="inlineStr">
        <is>
          <t>Soldador 3</t>
        </is>
      </c>
      <c r="F14" s="8" t="inlineStr">
        <is>
          <t>G01-D3</t>
        </is>
      </c>
      <c r="G14" s="8" t="inlineStr">
        <is>
          <t>Personal</t>
        </is>
      </c>
      <c r="H14" s="8" t="inlineStr">
        <is>
          <t>Ciclón nylon 10 mm</t>
        </is>
      </c>
      <c r="I14" s="24" t="n">
        <v>1.7</v>
      </c>
      <c r="J14" s="8" t="n">
        <v>440</v>
      </c>
      <c r="K14" s="25">
        <f>IF(OR(I14="",J14=""),"",I14*J14/1000)</f>
        <v/>
      </c>
      <c r="L14" s="26" t="n">
        <v>1.16445</v>
      </c>
      <c r="M14" s="26" t="n"/>
      <c r="N14" s="27">
        <f>IF(OR(B14="",C14=""),"",IF(M14&lt;&gt;"",M14,IF(AND(N(L14)&gt;0,N(K14)&gt;0),L14/K14,"")))</f>
        <v/>
      </c>
      <c r="O14" s="15">
        <f>IF(C14="","",IFERROR(INDEX(Agentes!$D$6:$D$60,MATCH(C14,Agentes!$A$6:$A$60,0)),""))</f>
        <v/>
      </c>
      <c r="P14" s="28">
        <f>IF(OR(H14="",O14=""),"",IF(AND(O14="Inhalable",LEFT(H14,6)="Casete"),"Subestima: el casete cerrado no colecta toda la fracción inhalable",IF(AND(O14="Respirable",LEFT(H14,6)&lt;&gt;"Ciclón"),"Requiere ciclón (fracción respirable)",IF(AND(O14="Inhalable",ISNUMBER(SEARCH("Respirable",IFERROR(INDEX(Agentes!$C$80:$C$87,MATCH(H14,Agentes!$B$80:$B$87,0)),"")))),"El ciclón no colecta la fracción inhalable","Coherente"))))</f>
        <v/>
      </c>
      <c r="Q14" s="22">
        <f>IF(Y14="","",IFERROR(INDEX(GES!$W$6:$W$35,MATCH(Y14,GES!$R$6:$R$35,0)),""))</f>
        <v/>
      </c>
      <c r="R14" s="29">
        <f>IF(AND(ISNUMBER(N14),ISNUMBER(Q14)),N14/Q14,"")</f>
        <v/>
      </c>
      <c r="S14" s="15">
        <f>IF(C14="","",IFERROR(INDEX(Agentes!$I$6:$I$60,MATCH(C14,Agentes!$A$6:$A$60,0)),""))</f>
        <v/>
      </c>
      <c r="T14" s="8" t="n"/>
      <c r="U14" s="15">
        <f>IF(ISNUMBER(N14),IF(N14&gt;0,LN(N14),""),"")</f>
        <v/>
      </c>
      <c r="V14" s="15">
        <f>IF(ISNUMBER(U14),IFERROR((U14-LN(IFERROR(INDEX(Estadística!$K$6:$K$35,MATCH(Y14,Estadística!$Y$6:$Y$35,0)),0)))^2,""),"")</f>
        <v/>
      </c>
      <c r="W14" s="15">
        <f>IF(ISNUMBER(N14),IFERROR((N14-IFERROR(INDEX(Estadística!$I$6:$I$35,MATCH(Y14,Estadística!$Y$6:$Y$35,0)),0))^2,""),"")</f>
        <v/>
      </c>
      <c r="X14" s="15">
        <f>IF(ISNUMBER(R14),IF(R14&gt;1,1,0),"")</f>
        <v/>
      </c>
      <c r="Y14" s="15">
        <f>IF(OR(B14="",C14=""),"",B14&amp;"|"&amp;C14)</f>
        <v/>
      </c>
    </row>
    <row r="15">
      <c r="A15" s="23" t="n">
        <v>10</v>
      </c>
      <c r="B15" s="8" t="inlineStr">
        <is>
          <t>G01</t>
        </is>
      </c>
      <c r="C15" s="8" t="inlineStr">
        <is>
          <t>FE2O3</t>
        </is>
      </c>
      <c r="D15" s="9" t="n">
        <v>46282</v>
      </c>
      <c r="E15" s="8" t="inlineStr">
        <is>
          <t>Soldador 4</t>
        </is>
      </c>
      <c r="F15" s="8" t="inlineStr">
        <is>
          <t>G01-D4</t>
        </is>
      </c>
      <c r="G15" s="8" t="inlineStr">
        <is>
          <t>Personal</t>
        </is>
      </c>
      <c r="H15" s="8" t="inlineStr">
        <is>
          <t>Ciclón nylon 10 mm</t>
        </is>
      </c>
      <c r="I15" s="24" t="n">
        <v>1.7</v>
      </c>
      <c r="J15" s="8" t="n">
        <v>420</v>
      </c>
      <c r="K15" s="25">
        <f>IF(OR(I15="",J15=""),"",I15*J15/1000)</f>
        <v/>
      </c>
      <c r="L15" s="26" t="n">
        <v>0.48063</v>
      </c>
      <c r="M15" s="26" t="n"/>
      <c r="N15" s="27">
        <f>IF(OR(B15="",C15=""),"",IF(M15&lt;&gt;"",M15,IF(AND(N(L15)&gt;0,N(K15)&gt;0),L15/K15,"")))</f>
        <v/>
      </c>
      <c r="O15" s="15">
        <f>IF(C15="","",IFERROR(INDEX(Agentes!$D$6:$D$60,MATCH(C15,Agentes!$A$6:$A$60,0)),""))</f>
        <v/>
      </c>
      <c r="P15" s="28">
        <f>IF(OR(H15="",O15=""),"",IF(AND(O15="Inhalable",LEFT(H15,6)="Casete"),"Subestima: el casete cerrado no colecta toda la fracción inhalable",IF(AND(O15="Respirable",LEFT(H15,6)&lt;&gt;"Ciclón"),"Requiere ciclón (fracción respirable)",IF(AND(O15="Inhalable",ISNUMBER(SEARCH("Respirable",IFERROR(INDEX(Agentes!$C$80:$C$87,MATCH(H15,Agentes!$B$80:$B$87,0)),"")))),"El ciclón no colecta la fracción inhalable","Coherente"))))</f>
        <v/>
      </c>
      <c r="Q15" s="22">
        <f>IF(Y15="","",IFERROR(INDEX(GES!$W$6:$W$35,MATCH(Y15,GES!$R$6:$R$35,0)),""))</f>
        <v/>
      </c>
      <c r="R15" s="29">
        <f>IF(AND(ISNUMBER(N15),ISNUMBER(Q15)),N15/Q15,"")</f>
        <v/>
      </c>
      <c r="S15" s="15">
        <f>IF(C15="","",IFERROR(INDEX(Agentes!$I$6:$I$60,MATCH(C15,Agentes!$A$6:$A$60,0)),""))</f>
        <v/>
      </c>
      <c r="T15" s="8" t="n"/>
      <c r="U15" s="15">
        <f>IF(ISNUMBER(N15),IF(N15&gt;0,LN(N15),""),"")</f>
        <v/>
      </c>
      <c r="V15" s="15">
        <f>IF(ISNUMBER(U15),IFERROR((U15-LN(IFERROR(INDEX(Estadística!$K$6:$K$35,MATCH(Y15,Estadística!$Y$6:$Y$35,0)),0)))^2,""),"")</f>
        <v/>
      </c>
      <c r="W15" s="15">
        <f>IF(ISNUMBER(N15),IFERROR((N15-IFERROR(INDEX(Estadística!$I$6:$I$35,MATCH(Y15,Estadística!$Y$6:$Y$35,0)),0))^2,""),"")</f>
        <v/>
      </c>
      <c r="X15" s="15">
        <f>IF(ISNUMBER(R15),IF(R15&gt;1,1,0),"")</f>
        <v/>
      </c>
      <c r="Y15" s="15">
        <f>IF(OR(B15="",C15=""),"",B15&amp;"|"&amp;C15)</f>
        <v/>
      </c>
    </row>
    <row r="16">
      <c r="A16" s="23" t="n">
        <v>11</v>
      </c>
      <c r="B16" s="8" t="inlineStr">
        <is>
          <t>G01</t>
        </is>
      </c>
      <c r="C16" s="8" t="inlineStr">
        <is>
          <t>FE2O3</t>
        </is>
      </c>
      <c r="D16" s="9" t="n">
        <v>46283</v>
      </c>
      <c r="E16" s="8" t="inlineStr">
        <is>
          <t>Soldador 5</t>
        </is>
      </c>
      <c r="F16" s="8" t="inlineStr">
        <is>
          <t>G01-D5</t>
        </is>
      </c>
      <c r="G16" s="8" t="inlineStr">
        <is>
          <t>Personal</t>
        </is>
      </c>
      <c r="H16" s="8" t="inlineStr">
        <is>
          <t>Ciclón nylon 10 mm</t>
        </is>
      </c>
      <c r="I16" s="24" t="n">
        <v>1.7</v>
      </c>
      <c r="J16" s="8" t="n">
        <v>470</v>
      </c>
      <c r="K16" s="25">
        <f>IF(OR(I16="",J16=""),"",I16*J16/1000)</f>
        <v/>
      </c>
      <c r="L16" s="26" t="n">
        <v>0.7965</v>
      </c>
      <c r="M16" s="26" t="n"/>
      <c r="N16" s="27">
        <f>IF(OR(B16="",C16=""),"",IF(M16&lt;&gt;"",M16,IF(AND(N(L16)&gt;0,N(K16)&gt;0),L16/K16,"")))</f>
        <v/>
      </c>
      <c r="O16" s="15">
        <f>IF(C16="","",IFERROR(INDEX(Agentes!$D$6:$D$60,MATCH(C16,Agentes!$A$6:$A$60,0)),""))</f>
        <v/>
      </c>
      <c r="P16" s="28">
        <f>IF(OR(H16="",O16=""),"",IF(AND(O16="Inhalable",LEFT(H16,6)="Casete"),"Subestima: el casete cerrado no colecta toda la fracción inhalable",IF(AND(O16="Respirable",LEFT(H16,6)&lt;&gt;"Ciclón"),"Requiere ciclón (fracción respirable)",IF(AND(O16="Inhalable",ISNUMBER(SEARCH("Respirable",IFERROR(INDEX(Agentes!$C$80:$C$87,MATCH(H16,Agentes!$B$80:$B$87,0)),"")))),"El ciclón no colecta la fracción inhalable","Coherente"))))</f>
        <v/>
      </c>
      <c r="Q16" s="22">
        <f>IF(Y16="","",IFERROR(INDEX(GES!$W$6:$W$35,MATCH(Y16,GES!$R$6:$R$35,0)),""))</f>
        <v/>
      </c>
      <c r="R16" s="29">
        <f>IF(AND(ISNUMBER(N16),ISNUMBER(Q16)),N16/Q16,"")</f>
        <v/>
      </c>
      <c r="S16" s="15">
        <f>IF(C16="","",IFERROR(INDEX(Agentes!$I$6:$I$60,MATCH(C16,Agentes!$A$6:$A$60,0)),""))</f>
        <v/>
      </c>
      <c r="T16" s="8" t="n"/>
      <c r="U16" s="15">
        <f>IF(ISNUMBER(N16),IF(N16&gt;0,LN(N16),""),"")</f>
        <v/>
      </c>
      <c r="V16" s="15">
        <f>IF(ISNUMBER(U16),IFERROR((U16-LN(IFERROR(INDEX(Estadística!$K$6:$K$35,MATCH(Y16,Estadística!$Y$6:$Y$35,0)),0)))^2,""),"")</f>
        <v/>
      </c>
      <c r="W16" s="15">
        <f>IF(ISNUMBER(N16),IFERROR((N16-IFERROR(INDEX(Estadística!$I$6:$I$35,MATCH(Y16,Estadística!$Y$6:$Y$35,0)),0))^2,""),"")</f>
        <v/>
      </c>
      <c r="X16" s="15">
        <f>IF(ISNUMBER(R16),IF(R16&gt;1,1,0),"")</f>
        <v/>
      </c>
      <c r="Y16" s="15">
        <f>IF(OR(B16="",C16=""),"",B16&amp;"|"&amp;C16)</f>
        <v/>
      </c>
    </row>
    <row r="17">
      <c r="A17" s="23" t="n">
        <v>12</v>
      </c>
      <c r="B17" s="8" t="inlineStr">
        <is>
          <t>G01</t>
        </is>
      </c>
      <c r="C17" s="8" t="inlineStr">
        <is>
          <t>FE2O3</t>
        </is>
      </c>
      <c r="D17" s="9" t="n">
        <v>46284</v>
      </c>
      <c r="E17" s="8" t="inlineStr">
        <is>
          <t>Soldador 6</t>
        </is>
      </c>
      <c r="F17" s="8" t="inlineStr">
        <is>
          <t>G01-D6</t>
        </is>
      </c>
      <c r="G17" s="8" t="inlineStr">
        <is>
          <t>Personal</t>
        </is>
      </c>
      <c r="H17" s="8" t="inlineStr">
        <is>
          <t>Ciclón nylon 10 mm</t>
        </is>
      </c>
      <c r="I17" s="24" t="n">
        <v>1.7</v>
      </c>
      <c r="J17" s="8" t="n">
        <v>460</v>
      </c>
      <c r="K17" s="25">
        <f>IF(OR(I17="",J17=""),"",I17*J17/1000)</f>
        <v/>
      </c>
      <c r="L17" s="26" t="n">
        <v>1.53752</v>
      </c>
      <c r="M17" s="26" t="n"/>
      <c r="N17" s="27">
        <f>IF(OR(B17="",C17=""),"",IF(M17&lt;&gt;"",M17,IF(AND(N(L17)&gt;0,N(K17)&gt;0),L17/K17,"")))</f>
        <v/>
      </c>
      <c r="O17" s="15">
        <f>IF(C17="","",IFERROR(INDEX(Agentes!$D$6:$D$60,MATCH(C17,Agentes!$A$6:$A$60,0)),""))</f>
        <v/>
      </c>
      <c r="P17" s="28">
        <f>IF(OR(H17="",O17=""),"",IF(AND(O17="Inhalable",LEFT(H17,6)="Casete"),"Subestima: el casete cerrado no colecta toda la fracción inhalable",IF(AND(O17="Respirable",LEFT(H17,6)&lt;&gt;"Ciclón"),"Requiere ciclón (fracción respirable)",IF(AND(O17="Inhalable",ISNUMBER(SEARCH("Respirable",IFERROR(INDEX(Agentes!$C$80:$C$87,MATCH(H17,Agentes!$B$80:$B$87,0)),"")))),"El ciclón no colecta la fracción inhalable","Coherente"))))</f>
        <v/>
      </c>
      <c r="Q17" s="22">
        <f>IF(Y17="","",IFERROR(INDEX(GES!$W$6:$W$35,MATCH(Y17,GES!$R$6:$R$35,0)),""))</f>
        <v/>
      </c>
      <c r="R17" s="29">
        <f>IF(AND(ISNUMBER(N17),ISNUMBER(Q17)),N17/Q17,"")</f>
        <v/>
      </c>
      <c r="S17" s="15">
        <f>IF(C17="","",IFERROR(INDEX(Agentes!$I$6:$I$60,MATCH(C17,Agentes!$A$6:$A$60,0)),""))</f>
        <v/>
      </c>
      <c r="T17" s="8" t="n"/>
      <c r="U17" s="15">
        <f>IF(ISNUMBER(N17),IF(N17&gt;0,LN(N17),""),"")</f>
        <v/>
      </c>
      <c r="V17" s="15">
        <f>IF(ISNUMBER(U17),IFERROR((U17-LN(IFERROR(INDEX(Estadística!$K$6:$K$35,MATCH(Y17,Estadística!$Y$6:$Y$35,0)),0)))^2,""),"")</f>
        <v/>
      </c>
      <c r="W17" s="15">
        <f>IF(ISNUMBER(N17),IFERROR((N17-IFERROR(INDEX(Estadística!$I$6:$I$35,MATCH(Y17,Estadística!$Y$6:$Y$35,0)),0))^2,""),"")</f>
        <v/>
      </c>
      <c r="X17" s="15">
        <f>IF(ISNUMBER(R17),IF(R17&gt;1,1,0),"")</f>
        <v/>
      </c>
      <c r="Y17" s="15">
        <f>IF(OR(B17="",C17=""),"",B17&amp;"|"&amp;C17)</f>
        <v/>
      </c>
    </row>
    <row r="18">
      <c r="A18" s="23" t="n">
        <v>13</v>
      </c>
      <c r="B18" s="8" t="inlineStr">
        <is>
          <t>G02</t>
        </is>
      </c>
      <c r="C18" s="8" t="inlineStr">
        <is>
          <t>CR6</t>
        </is>
      </c>
      <c r="D18" s="9" t="n">
        <v>46279</v>
      </c>
      <c r="E18" s="8" t="inlineStr">
        <is>
          <t>Soldador inox. 1</t>
        </is>
      </c>
      <c r="F18" s="8" t="inlineStr">
        <is>
          <t>G02-D1</t>
        </is>
      </c>
      <c r="G18" s="8" t="inlineStr">
        <is>
          <t>Personal</t>
        </is>
      </c>
      <c r="H18" s="8" t="inlineStr">
        <is>
          <t>IOM inhalable (25 mm)</t>
        </is>
      </c>
      <c r="I18" s="24" t="n">
        <v>2</v>
      </c>
      <c r="J18" s="8" t="n">
        <v>470</v>
      </c>
      <c r="K18" s="25">
        <f>IF(OR(I18="",J18=""),"",I18*J18/1000)</f>
        <v/>
      </c>
      <c r="L18" s="26" t="n">
        <v>3.7e-05</v>
      </c>
      <c r="M18" s="26" t="n"/>
      <c r="N18" s="27">
        <f>IF(OR(B18="",C18=""),"",IF(M18&lt;&gt;"",M18,IF(AND(N(L18)&gt;0,N(K18)&gt;0),L18/K18,"")))</f>
        <v/>
      </c>
      <c r="O18" s="15">
        <f>IF(C18="","",IFERROR(INDEX(Agentes!$D$6:$D$60,MATCH(C18,Agentes!$A$6:$A$60,0)),""))</f>
        <v/>
      </c>
      <c r="P18" s="28">
        <f>IF(OR(H18="",O18=""),"",IF(AND(O18="Inhalable",LEFT(H18,6)="Casete"),"Subestima: el casete cerrado no colecta toda la fracción inhalable",IF(AND(O18="Respirable",LEFT(H18,6)&lt;&gt;"Ciclón"),"Requiere ciclón (fracción respirable)",IF(AND(O18="Inhalable",ISNUMBER(SEARCH("Respirable",IFERROR(INDEX(Agentes!$C$80:$C$87,MATCH(H18,Agentes!$B$80:$B$87,0)),"")))),"El ciclón no colecta la fracción inhalable","Coherente"))))</f>
        <v/>
      </c>
      <c r="Q18" s="22">
        <f>IF(Y18="","",IFERROR(INDEX(GES!$W$6:$W$35,MATCH(Y18,GES!$R$6:$R$35,0)),""))</f>
        <v/>
      </c>
      <c r="R18" s="29">
        <f>IF(AND(ISNUMBER(N18),ISNUMBER(Q18)),N18/Q18,"")</f>
        <v/>
      </c>
      <c r="S18" s="15">
        <f>IF(C18="","",IFERROR(INDEX(Agentes!$I$6:$I$60,MATCH(C18,Agentes!$A$6:$A$60,0)),""))</f>
        <v/>
      </c>
      <c r="T18" s="8" t="inlineStr">
        <is>
          <t>Cr(VI) por NIOSH 7605 en filtro PVC paralelo al de níquel</t>
        </is>
      </c>
      <c r="U18" s="15">
        <f>IF(ISNUMBER(N18),IF(N18&gt;0,LN(N18),""),"")</f>
        <v/>
      </c>
      <c r="V18" s="15">
        <f>IF(ISNUMBER(U18),IFERROR((U18-LN(IFERROR(INDEX(Estadística!$K$6:$K$35,MATCH(Y18,Estadística!$Y$6:$Y$35,0)),0)))^2,""),"")</f>
        <v/>
      </c>
      <c r="W18" s="15">
        <f>IF(ISNUMBER(N18),IFERROR((N18-IFERROR(INDEX(Estadística!$I$6:$I$35,MATCH(Y18,Estadística!$Y$6:$Y$35,0)),0))^2,""),"")</f>
        <v/>
      </c>
      <c r="X18" s="15">
        <f>IF(ISNUMBER(R18),IF(R18&gt;1,1,0),"")</f>
        <v/>
      </c>
      <c r="Y18" s="15">
        <f>IF(OR(B18="",C18=""),"",B18&amp;"|"&amp;C18)</f>
        <v/>
      </c>
    </row>
    <row r="19">
      <c r="A19" s="23" t="n">
        <v>14</v>
      </c>
      <c r="B19" s="8" t="inlineStr">
        <is>
          <t>G02</t>
        </is>
      </c>
      <c r="C19" s="8" t="inlineStr">
        <is>
          <t>CR6</t>
        </is>
      </c>
      <c r="D19" s="9" t="n">
        <v>46280</v>
      </c>
      <c r="E19" s="8" t="inlineStr">
        <is>
          <t>Soldador inox. 2</t>
        </is>
      </c>
      <c r="F19" s="8" t="inlineStr">
        <is>
          <t>G02-D2</t>
        </is>
      </c>
      <c r="G19" s="8" t="inlineStr">
        <is>
          <t>Personal</t>
        </is>
      </c>
      <c r="H19" s="8" t="inlineStr">
        <is>
          <t>IOM inhalable (25 mm)</t>
        </is>
      </c>
      <c r="I19" s="24" t="n">
        <v>2</v>
      </c>
      <c r="J19" s="8" t="n">
        <v>470</v>
      </c>
      <c r="K19" s="25">
        <f>IF(OR(I19="",J19=""),"",I19*J19/1000)</f>
        <v/>
      </c>
      <c r="L19" s="26" t="n">
        <v>5e-05</v>
      </c>
      <c r="M19" s="26" t="n"/>
      <c r="N19" s="27">
        <f>IF(OR(B19="",C19=""),"",IF(M19&lt;&gt;"",M19,IF(AND(N(L19)&gt;0,N(K19)&gt;0),L19/K19,"")))</f>
        <v/>
      </c>
      <c r="O19" s="15">
        <f>IF(C19="","",IFERROR(INDEX(Agentes!$D$6:$D$60,MATCH(C19,Agentes!$A$6:$A$60,0)),""))</f>
        <v/>
      </c>
      <c r="P19" s="28">
        <f>IF(OR(H19="",O19=""),"",IF(AND(O19="Inhalable",LEFT(H19,6)="Casete"),"Subestima: el casete cerrado no colecta toda la fracción inhalable",IF(AND(O19="Respirable",LEFT(H19,6)&lt;&gt;"Ciclón"),"Requiere ciclón (fracción respirable)",IF(AND(O19="Inhalable",ISNUMBER(SEARCH("Respirable",IFERROR(INDEX(Agentes!$C$80:$C$87,MATCH(H19,Agentes!$B$80:$B$87,0)),"")))),"El ciclón no colecta la fracción inhalable","Coherente"))))</f>
        <v/>
      </c>
      <c r="Q19" s="22">
        <f>IF(Y19="","",IFERROR(INDEX(GES!$W$6:$W$35,MATCH(Y19,GES!$R$6:$R$35,0)),""))</f>
        <v/>
      </c>
      <c r="R19" s="29">
        <f>IF(AND(ISNUMBER(N19),ISNUMBER(Q19)),N19/Q19,"")</f>
        <v/>
      </c>
      <c r="S19" s="15">
        <f>IF(C19="","",IFERROR(INDEX(Agentes!$I$6:$I$60,MATCH(C19,Agentes!$A$6:$A$60,0)),""))</f>
        <v/>
      </c>
      <c r="T19" s="8" t="n"/>
      <c r="U19" s="15">
        <f>IF(ISNUMBER(N19),IF(N19&gt;0,LN(N19),""),"")</f>
        <v/>
      </c>
      <c r="V19" s="15">
        <f>IF(ISNUMBER(U19),IFERROR((U19-LN(IFERROR(INDEX(Estadística!$K$6:$K$35,MATCH(Y19,Estadística!$Y$6:$Y$35,0)),0)))^2,""),"")</f>
        <v/>
      </c>
      <c r="W19" s="15">
        <f>IF(ISNUMBER(N19),IFERROR((N19-IFERROR(INDEX(Estadística!$I$6:$I$35,MATCH(Y19,Estadística!$Y$6:$Y$35,0)),0))^2,""),"")</f>
        <v/>
      </c>
      <c r="X19" s="15">
        <f>IF(ISNUMBER(R19),IF(R19&gt;1,1,0),"")</f>
        <v/>
      </c>
      <c r="Y19" s="15">
        <f>IF(OR(B19="",C19=""),"",B19&amp;"|"&amp;C19)</f>
        <v/>
      </c>
    </row>
    <row r="20">
      <c r="A20" s="23" t="n">
        <v>15</v>
      </c>
      <c r="B20" s="8" t="inlineStr">
        <is>
          <t>G02</t>
        </is>
      </c>
      <c r="C20" s="8" t="inlineStr">
        <is>
          <t>CR6</t>
        </is>
      </c>
      <c r="D20" s="9" t="n">
        <v>46281</v>
      </c>
      <c r="E20" s="8" t="inlineStr">
        <is>
          <t>Soldador inox. 3</t>
        </is>
      </c>
      <c r="F20" s="8" t="inlineStr">
        <is>
          <t>G02-D3</t>
        </is>
      </c>
      <c r="G20" s="8" t="inlineStr">
        <is>
          <t>Personal</t>
        </is>
      </c>
      <c r="H20" s="8" t="inlineStr">
        <is>
          <t>IOM inhalable (25 mm)</t>
        </is>
      </c>
      <c r="I20" s="24" t="n">
        <v>2</v>
      </c>
      <c r="J20" s="8" t="n">
        <v>460</v>
      </c>
      <c r="K20" s="25">
        <f>IF(OR(I20="",J20=""),"",I20*J20/1000)</f>
        <v/>
      </c>
      <c r="L20" s="26" t="n">
        <v>6.3e-05</v>
      </c>
      <c r="M20" s="26" t="n"/>
      <c r="N20" s="27">
        <f>IF(OR(B20="",C20=""),"",IF(M20&lt;&gt;"",M20,IF(AND(N(L20)&gt;0,N(K20)&gt;0),L20/K20,"")))</f>
        <v/>
      </c>
      <c r="O20" s="15">
        <f>IF(C20="","",IFERROR(INDEX(Agentes!$D$6:$D$60,MATCH(C20,Agentes!$A$6:$A$60,0)),""))</f>
        <v/>
      </c>
      <c r="P20" s="28">
        <f>IF(OR(H20="",O20=""),"",IF(AND(O20="Inhalable",LEFT(H20,6)="Casete"),"Subestima: el casete cerrado no colecta toda la fracción inhalable",IF(AND(O20="Respirable",LEFT(H20,6)&lt;&gt;"Ciclón"),"Requiere ciclón (fracción respirable)",IF(AND(O20="Inhalable",ISNUMBER(SEARCH("Respirable",IFERROR(INDEX(Agentes!$C$80:$C$87,MATCH(H20,Agentes!$B$80:$B$87,0)),"")))),"El ciclón no colecta la fracción inhalable","Coherente"))))</f>
        <v/>
      </c>
      <c r="Q20" s="22">
        <f>IF(Y20="","",IFERROR(INDEX(GES!$W$6:$W$35,MATCH(Y20,GES!$R$6:$R$35,0)),""))</f>
        <v/>
      </c>
      <c r="R20" s="29">
        <f>IF(AND(ISNUMBER(N20),ISNUMBER(Q20)),N20/Q20,"")</f>
        <v/>
      </c>
      <c r="S20" s="15">
        <f>IF(C20="","",IFERROR(INDEX(Agentes!$I$6:$I$60,MATCH(C20,Agentes!$A$6:$A$60,0)),""))</f>
        <v/>
      </c>
      <c r="T20" s="8" t="n"/>
      <c r="U20" s="15">
        <f>IF(ISNUMBER(N20),IF(N20&gt;0,LN(N20),""),"")</f>
        <v/>
      </c>
      <c r="V20" s="15">
        <f>IF(ISNUMBER(U20),IFERROR((U20-LN(IFERROR(INDEX(Estadística!$K$6:$K$35,MATCH(Y20,Estadística!$Y$6:$Y$35,0)),0)))^2,""),"")</f>
        <v/>
      </c>
      <c r="W20" s="15">
        <f>IF(ISNUMBER(N20),IFERROR((N20-IFERROR(INDEX(Estadística!$I$6:$I$35,MATCH(Y20,Estadística!$Y$6:$Y$35,0)),0))^2,""),"")</f>
        <v/>
      </c>
      <c r="X20" s="15">
        <f>IF(ISNUMBER(R20),IF(R20&gt;1,1,0),"")</f>
        <v/>
      </c>
      <c r="Y20" s="15">
        <f>IF(OR(B20="",C20=""),"",B20&amp;"|"&amp;C20)</f>
        <v/>
      </c>
    </row>
    <row r="21">
      <c r="A21" s="23" t="n">
        <v>16</v>
      </c>
      <c r="B21" s="8" t="inlineStr">
        <is>
          <t>G02</t>
        </is>
      </c>
      <c r="C21" s="8" t="inlineStr">
        <is>
          <t>CR6</t>
        </is>
      </c>
      <c r="D21" s="9" t="n">
        <v>46282</v>
      </c>
      <c r="E21" s="8" t="inlineStr">
        <is>
          <t>Soldador inox. 4</t>
        </is>
      </c>
      <c r="F21" s="8" t="inlineStr">
        <is>
          <t>G02-D4</t>
        </is>
      </c>
      <c r="G21" s="8" t="inlineStr">
        <is>
          <t>Personal</t>
        </is>
      </c>
      <c r="H21" s="8" t="inlineStr">
        <is>
          <t>IOM inhalable (25 mm)</t>
        </is>
      </c>
      <c r="I21" s="24" t="n">
        <v>2</v>
      </c>
      <c r="J21" s="8" t="n">
        <v>420</v>
      </c>
      <c r="K21" s="25">
        <f>IF(OR(I21="",J21=""),"",I21*J21/1000)</f>
        <v/>
      </c>
      <c r="L21" s="26" t="n">
        <v>0.000122</v>
      </c>
      <c r="M21" s="26" t="n"/>
      <c r="N21" s="27">
        <f>IF(OR(B21="",C21=""),"",IF(M21&lt;&gt;"",M21,IF(AND(N(L21)&gt;0,N(K21)&gt;0),L21/K21,"")))</f>
        <v/>
      </c>
      <c r="O21" s="15">
        <f>IF(C21="","",IFERROR(INDEX(Agentes!$D$6:$D$60,MATCH(C21,Agentes!$A$6:$A$60,0)),""))</f>
        <v/>
      </c>
      <c r="P21" s="28">
        <f>IF(OR(H21="",O21=""),"",IF(AND(O21="Inhalable",LEFT(H21,6)="Casete"),"Subestima: el casete cerrado no colecta toda la fracción inhalable",IF(AND(O21="Respirable",LEFT(H21,6)&lt;&gt;"Ciclón"),"Requiere ciclón (fracción respirable)",IF(AND(O21="Inhalable",ISNUMBER(SEARCH("Respirable",IFERROR(INDEX(Agentes!$C$80:$C$87,MATCH(H21,Agentes!$B$80:$B$87,0)),"")))),"El ciclón no colecta la fracción inhalable","Coherente"))))</f>
        <v/>
      </c>
      <c r="Q21" s="22">
        <f>IF(Y21="","",IFERROR(INDEX(GES!$W$6:$W$35,MATCH(Y21,GES!$R$6:$R$35,0)),""))</f>
        <v/>
      </c>
      <c r="R21" s="29">
        <f>IF(AND(ISNUMBER(N21),ISNUMBER(Q21)),N21/Q21,"")</f>
        <v/>
      </c>
      <c r="S21" s="15">
        <f>IF(C21="","",IFERROR(INDEX(Agentes!$I$6:$I$60,MATCH(C21,Agentes!$A$6:$A$60,0)),""))</f>
        <v/>
      </c>
      <c r="T21" s="8" t="n"/>
      <c r="U21" s="15">
        <f>IF(ISNUMBER(N21),IF(N21&gt;0,LN(N21),""),"")</f>
        <v/>
      </c>
      <c r="V21" s="15">
        <f>IF(ISNUMBER(U21),IFERROR((U21-LN(IFERROR(INDEX(Estadística!$K$6:$K$35,MATCH(Y21,Estadística!$Y$6:$Y$35,0)),0)))^2,""),"")</f>
        <v/>
      </c>
      <c r="W21" s="15">
        <f>IF(ISNUMBER(N21),IFERROR((N21-IFERROR(INDEX(Estadística!$I$6:$I$35,MATCH(Y21,Estadística!$Y$6:$Y$35,0)),0))^2,""),"")</f>
        <v/>
      </c>
      <c r="X21" s="15">
        <f>IF(ISNUMBER(R21),IF(R21&gt;1,1,0),"")</f>
        <v/>
      </c>
      <c r="Y21" s="15">
        <f>IF(OR(B21="",C21=""),"",B21&amp;"|"&amp;C21)</f>
        <v/>
      </c>
    </row>
    <row r="22">
      <c r="A22" s="23" t="n">
        <v>17</v>
      </c>
      <c r="B22" s="8" t="inlineStr">
        <is>
          <t>G02</t>
        </is>
      </c>
      <c r="C22" s="8" t="inlineStr">
        <is>
          <t>CR6</t>
        </is>
      </c>
      <c r="D22" s="9" t="n">
        <v>46283</v>
      </c>
      <c r="E22" s="8" t="inlineStr">
        <is>
          <t>Soldador inox. 5</t>
        </is>
      </c>
      <c r="F22" s="8" t="inlineStr">
        <is>
          <t>G02-D5</t>
        </is>
      </c>
      <c r="G22" s="8" t="inlineStr">
        <is>
          <t>Personal</t>
        </is>
      </c>
      <c r="H22" s="8" t="inlineStr">
        <is>
          <t>IOM inhalable (25 mm)</t>
        </is>
      </c>
      <c r="I22" s="24" t="n">
        <v>2</v>
      </c>
      <c r="J22" s="8" t="n">
        <v>440</v>
      </c>
      <c r="K22" s="25">
        <f>IF(OR(I22="",J22=""),"",I22*J22/1000)</f>
        <v/>
      </c>
      <c r="L22" s="26" t="n">
        <v>8.000000000000001e-05</v>
      </c>
      <c r="M22" s="26" t="n"/>
      <c r="N22" s="27">
        <f>IF(OR(B22="",C22=""),"",IF(M22&lt;&gt;"",M22,IF(AND(N(L22)&gt;0,N(K22)&gt;0),L22/K22,"")))</f>
        <v/>
      </c>
      <c r="O22" s="15">
        <f>IF(C22="","",IFERROR(INDEX(Agentes!$D$6:$D$60,MATCH(C22,Agentes!$A$6:$A$60,0)),""))</f>
        <v/>
      </c>
      <c r="P22" s="28">
        <f>IF(OR(H22="",O22=""),"",IF(AND(O22="Inhalable",LEFT(H22,6)="Casete"),"Subestima: el casete cerrado no colecta toda la fracción inhalable",IF(AND(O22="Respirable",LEFT(H22,6)&lt;&gt;"Ciclón"),"Requiere ciclón (fracción respirable)",IF(AND(O22="Inhalable",ISNUMBER(SEARCH("Respirable",IFERROR(INDEX(Agentes!$C$80:$C$87,MATCH(H22,Agentes!$B$80:$B$87,0)),"")))),"El ciclón no colecta la fracción inhalable","Coherente"))))</f>
        <v/>
      </c>
      <c r="Q22" s="22">
        <f>IF(Y22="","",IFERROR(INDEX(GES!$W$6:$W$35,MATCH(Y22,GES!$R$6:$R$35,0)),""))</f>
        <v/>
      </c>
      <c r="R22" s="29">
        <f>IF(AND(ISNUMBER(N22),ISNUMBER(Q22)),N22/Q22,"")</f>
        <v/>
      </c>
      <c r="S22" s="15">
        <f>IF(C22="","",IFERROR(INDEX(Agentes!$I$6:$I$60,MATCH(C22,Agentes!$A$6:$A$60,0)),""))</f>
        <v/>
      </c>
      <c r="T22" s="8" t="n"/>
      <c r="U22" s="15">
        <f>IF(ISNUMBER(N22),IF(N22&gt;0,LN(N22),""),"")</f>
        <v/>
      </c>
      <c r="V22" s="15">
        <f>IF(ISNUMBER(U22),IFERROR((U22-LN(IFERROR(INDEX(Estadística!$K$6:$K$35,MATCH(Y22,Estadística!$Y$6:$Y$35,0)),0)))^2,""),"")</f>
        <v/>
      </c>
      <c r="W22" s="15">
        <f>IF(ISNUMBER(N22),IFERROR((N22-IFERROR(INDEX(Estadística!$I$6:$I$35,MATCH(Y22,Estadística!$Y$6:$Y$35,0)),0))^2,""),"")</f>
        <v/>
      </c>
      <c r="X22" s="15">
        <f>IF(ISNUMBER(R22),IF(R22&gt;1,1,0),"")</f>
        <v/>
      </c>
      <c r="Y22" s="15">
        <f>IF(OR(B22="",C22=""),"",B22&amp;"|"&amp;C22)</f>
        <v/>
      </c>
    </row>
    <row r="23">
      <c r="A23" s="23" t="n">
        <v>18</v>
      </c>
      <c r="B23" s="8" t="inlineStr">
        <is>
          <t>G02</t>
        </is>
      </c>
      <c r="C23" s="8" t="inlineStr">
        <is>
          <t>CR6</t>
        </is>
      </c>
      <c r="D23" s="9" t="n">
        <v>46284</v>
      </c>
      <c r="E23" s="8" t="inlineStr">
        <is>
          <t>Soldador inox. 6</t>
        </is>
      </c>
      <c r="F23" s="8" t="inlineStr">
        <is>
          <t>G02-D6</t>
        </is>
      </c>
      <c r="G23" s="8" t="inlineStr">
        <is>
          <t>Personal</t>
        </is>
      </c>
      <c r="H23" s="8" t="inlineStr">
        <is>
          <t>IOM inhalable (25 mm)</t>
        </is>
      </c>
      <c r="I23" s="24" t="n">
        <v>2</v>
      </c>
      <c r="J23" s="8" t="n">
        <v>420</v>
      </c>
      <c r="K23" s="25">
        <f>IF(OR(I23="",J23=""),"",I23*J23/1000)</f>
        <v/>
      </c>
      <c r="L23" s="26" t="n">
        <v>2.1e-05</v>
      </c>
      <c r="M23" s="26" t="n"/>
      <c r="N23" s="27">
        <f>IF(OR(B23="",C23=""),"",IF(M23&lt;&gt;"",M23,IF(AND(N(L23)&gt;0,N(K23)&gt;0),L23/K23,"")))</f>
        <v/>
      </c>
      <c r="O23" s="15">
        <f>IF(C23="","",IFERROR(INDEX(Agentes!$D$6:$D$60,MATCH(C23,Agentes!$A$6:$A$60,0)),""))</f>
        <v/>
      </c>
      <c r="P23" s="28">
        <f>IF(OR(H23="",O23=""),"",IF(AND(O23="Inhalable",LEFT(H23,6)="Casete"),"Subestima: el casete cerrado no colecta toda la fracción inhalable",IF(AND(O23="Respirable",LEFT(H23,6)&lt;&gt;"Ciclón"),"Requiere ciclón (fracción respirable)",IF(AND(O23="Inhalable",ISNUMBER(SEARCH("Respirable",IFERROR(INDEX(Agentes!$C$80:$C$87,MATCH(H23,Agentes!$B$80:$B$87,0)),"")))),"El ciclón no colecta la fracción inhalable","Coherente"))))</f>
        <v/>
      </c>
      <c r="Q23" s="22">
        <f>IF(Y23="","",IFERROR(INDEX(GES!$W$6:$W$35,MATCH(Y23,GES!$R$6:$R$35,0)),""))</f>
        <v/>
      </c>
      <c r="R23" s="29">
        <f>IF(AND(ISNUMBER(N23),ISNUMBER(Q23)),N23/Q23,"")</f>
        <v/>
      </c>
      <c r="S23" s="15">
        <f>IF(C23="","",IFERROR(INDEX(Agentes!$I$6:$I$60,MATCH(C23,Agentes!$A$6:$A$60,0)),""))</f>
        <v/>
      </c>
      <c r="T23" s="8" t="n"/>
      <c r="U23" s="15">
        <f>IF(ISNUMBER(N23),IF(N23&gt;0,LN(N23),""),"")</f>
        <v/>
      </c>
      <c r="V23" s="15">
        <f>IF(ISNUMBER(U23),IFERROR((U23-LN(IFERROR(INDEX(Estadística!$K$6:$K$35,MATCH(Y23,Estadística!$Y$6:$Y$35,0)),0)))^2,""),"")</f>
        <v/>
      </c>
      <c r="W23" s="15">
        <f>IF(ISNUMBER(N23),IFERROR((N23-IFERROR(INDEX(Estadística!$I$6:$I$35,MATCH(Y23,Estadística!$Y$6:$Y$35,0)),0))^2,""),"")</f>
        <v/>
      </c>
      <c r="X23" s="15">
        <f>IF(ISNUMBER(R23),IF(R23&gt;1,1,0),"")</f>
        <v/>
      </c>
      <c r="Y23" s="15">
        <f>IF(OR(B23="",C23=""),"",B23&amp;"|"&amp;C23)</f>
        <v/>
      </c>
    </row>
    <row r="24">
      <c r="A24" s="23" t="n">
        <v>19</v>
      </c>
      <c r="B24" s="8" t="inlineStr">
        <is>
          <t>G02</t>
        </is>
      </c>
      <c r="C24" s="8" t="inlineStr">
        <is>
          <t>NI-I</t>
        </is>
      </c>
      <c r="D24" s="9" t="n">
        <v>46279</v>
      </c>
      <c r="E24" s="8" t="inlineStr">
        <is>
          <t>Soldador inox. 1</t>
        </is>
      </c>
      <c r="F24" s="8" t="inlineStr">
        <is>
          <t>G02-D1</t>
        </is>
      </c>
      <c r="G24" s="8" t="inlineStr">
        <is>
          <t>Personal</t>
        </is>
      </c>
      <c r="H24" s="8" t="inlineStr">
        <is>
          <t>IOM inhalable (25 mm)</t>
        </is>
      </c>
      <c r="I24" s="24" t="n">
        <v>2</v>
      </c>
      <c r="J24" s="8" t="n">
        <v>470</v>
      </c>
      <c r="K24" s="25">
        <f>IF(OR(I24="",J24=""),"",I24*J24/1000)</f>
        <v/>
      </c>
      <c r="L24" s="26" t="n">
        <v>0.03172</v>
      </c>
      <c r="M24" s="26" t="n"/>
      <c r="N24" s="27">
        <f>IF(OR(B24="",C24=""),"",IF(M24&lt;&gt;"",M24,IF(AND(N(L24)&gt;0,N(K24)&gt;0),L24/K24,"")))</f>
        <v/>
      </c>
      <c r="O24" s="15">
        <f>IF(C24="","",IFERROR(INDEX(Agentes!$D$6:$D$60,MATCH(C24,Agentes!$A$6:$A$60,0)),""))</f>
        <v/>
      </c>
      <c r="P24" s="28">
        <f>IF(OR(H24="",O24=""),"",IF(AND(O24="Inhalable",LEFT(H24,6)="Casete"),"Subestima: el casete cerrado no colecta toda la fracción inhalable",IF(AND(O24="Respirable",LEFT(H24,6)&lt;&gt;"Ciclón"),"Requiere ciclón (fracción respirable)",IF(AND(O24="Inhalable",ISNUMBER(SEARCH("Respirable",IFERROR(INDEX(Agentes!$C$80:$C$87,MATCH(H24,Agentes!$B$80:$B$87,0)),"")))),"El ciclón no colecta la fracción inhalable","Coherente"))))</f>
        <v/>
      </c>
      <c r="Q24" s="22">
        <f>IF(Y24="","",IFERROR(INDEX(GES!$W$6:$W$35,MATCH(Y24,GES!$R$6:$R$35,0)),""))</f>
        <v/>
      </c>
      <c r="R24" s="29">
        <f>IF(AND(ISNUMBER(N24),ISNUMBER(Q24)),N24/Q24,"")</f>
        <v/>
      </c>
      <c r="S24" s="15">
        <f>IF(C24="","",IFERROR(INDEX(Agentes!$I$6:$I$60,MATCH(C24,Agentes!$A$6:$A$60,0)),""))</f>
        <v/>
      </c>
      <c r="T24" s="8" t="n"/>
      <c r="U24" s="15">
        <f>IF(ISNUMBER(N24),IF(N24&gt;0,LN(N24),""),"")</f>
        <v/>
      </c>
      <c r="V24" s="15">
        <f>IF(ISNUMBER(U24),IFERROR((U24-LN(IFERROR(INDEX(Estadística!$K$6:$K$35,MATCH(Y24,Estadística!$Y$6:$Y$35,0)),0)))^2,""),"")</f>
        <v/>
      </c>
      <c r="W24" s="15">
        <f>IF(ISNUMBER(N24),IFERROR((N24-IFERROR(INDEX(Estadística!$I$6:$I$35,MATCH(Y24,Estadística!$Y$6:$Y$35,0)),0))^2,""),"")</f>
        <v/>
      </c>
      <c r="X24" s="15">
        <f>IF(ISNUMBER(R24),IF(R24&gt;1,1,0),"")</f>
        <v/>
      </c>
      <c r="Y24" s="15">
        <f>IF(OR(B24="",C24=""),"",B24&amp;"|"&amp;C24)</f>
        <v/>
      </c>
    </row>
    <row r="25">
      <c r="A25" s="23" t="n">
        <v>20</v>
      </c>
      <c r="B25" s="8" t="inlineStr">
        <is>
          <t>G02</t>
        </is>
      </c>
      <c r="C25" s="8" t="inlineStr">
        <is>
          <t>NI-I</t>
        </is>
      </c>
      <c r="D25" s="9" t="n">
        <v>46280</v>
      </c>
      <c r="E25" s="8" t="inlineStr">
        <is>
          <t>Soldador inox. 2</t>
        </is>
      </c>
      <c r="F25" s="8" t="inlineStr">
        <is>
          <t>G02-D2</t>
        </is>
      </c>
      <c r="G25" s="8" t="inlineStr">
        <is>
          <t>Personal</t>
        </is>
      </c>
      <c r="H25" s="8" t="inlineStr">
        <is>
          <t>IOM inhalable (25 mm)</t>
        </is>
      </c>
      <c r="I25" s="24" t="n">
        <v>2</v>
      </c>
      <c r="J25" s="8" t="n">
        <v>420</v>
      </c>
      <c r="K25" s="25">
        <f>IF(OR(I25="",J25=""),"",I25*J25/1000)</f>
        <v/>
      </c>
      <c r="L25" s="26" t="n">
        <v>0.0112</v>
      </c>
      <c r="M25" s="26" t="n"/>
      <c r="N25" s="27">
        <f>IF(OR(B25="",C25=""),"",IF(M25&lt;&gt;"",M25,IF(AND(N(L25)&gt;0,N(K25)&gt;0),L25/K25,"")))</f>
        <v/>
      </c>
      <c r="O25" s="15">
        <f>IF(C25="","",IFERROR(INDEX(Agentes!$D$6:$D$60,MATCH(C25,Agentes!$A$6:$A$60,0)),""))</f>
        <v/>
      </c>
      <c r="P25" s="28">
        <f>IF(OR(H25="",O25=""),"",IF(AND(O25="Inhalable",LEFT(H25,6)="Casete"),"Subestima: el casete cerrado no colecta toda la fracción inhalable",IF(AND(O25="Respirable",LEFT(H25,6)&lt;&gt;"Ciclón"),"Requiere ciclón (fracción respirable)",IF(AND(O25="Inhalable",ISNUMBER(SEARCH("Respirable",IFERROR(INDEX(Agentes!$C$80:$C$87,MATCH(H25,Agentes!$B$80:$B$87,0)),"")))),"El ciclón no colecta la fracción inhalable","Coherente"))))</f>
        <v/>
      </c>
      <c r="Q25" s="22">
        <f>IF(Y25="","",IFERROR(INDEX(GES!$W$6:$W$35,MATCH(Y25,GES!$R$6:$R$35,0)),""))</f>
        <v/>
      </c>
      <c r="R25" s="29">
        <f>IF(AND(ISNUMBER(N25),ISNUMBER(Q25)),N25/Q25,"")</f>
        <v/>
      </c>
      <c r="S25" s="15">
        <f>IF(C25="","",IFERROR(INDEX(Agentes!$I$6:$I$60,MATCH(C25,Agentes!$A$6:$A$60,0)),""))</f>
        <v/>
      </c>
      <c r="T25" s="8" t="n"/>
      <c r="U25" s="15">
        <f>IF(ISNUMBER(N25),IF(N25&gt;0,LN(N25),""),"")</f>
        <v/>
      </c>
      <c r="V25" s="15">
        <f>IF(ISNUMBER(U25),IFERROR((U25-LN(IFERROR(INDEX(Estadística!$K$6:$K$35,MATCH(Y25,Estadística!$Y$6:$Y$35,0)),0)))^2,""),"")</f>
        <v/>
      </c>
      <c r="W25" s="15">
        <f>IF(ISNUMBER(N25),IFERROR((N25-IFERROR(INDEX(Estadística!$I$6:$I$35,MATCH(Y25,Estadística!$Y$6:$Y$35,0)),0))^2,""),"")</f>
        <v/>
      </c>
      <c r="X25" s="15">
        <f>IF(ISNUMBER(R25),IF(R25&gt;1,1,0),"")</f>
        <v/>
      </c>
      <c r="Y25" s="15">
        <f>IF(OR(B25="",C25=""),"",B25&amp;"|"&amp;C25)</f>
        <v/>
      </c>
    </row>
    <row r="26">
      <c r="A26" s="23" t="n">
        <v>21</v>
      </c>
      <c r="B26" s="8" t="inlineStr">
        <is>
          <t>G02</t>
        </is>
      </c>
      <c r="C26" s="8" t="inlineStr">
        <is>
          <t>NI-I</t>
        </is>
      </c>
      <c r="D26" s="9" t="n">
        <v>46281</v>
      </c>
      <c r="E26" s="8" t="inlineStr">
        <is>
          <t>Soldador inox. 3</t>
        </is>
      </c>
      <c r="F26" s="8" t="inlineStr">
        <is>
          <t>G02-D3</t>
        </is>
      </c>
      <c r="G26" s="8" t="inlineStr">
        <is>
          <t>Personal</t>
        </is>
      </c>
      <c r="H26" s="8" t="inlineStr">
        <is>
          <t>IOM inhalable (25 mm)</t>
        </is>
      </c>
      <c r="I26" s="24" t="n">
        <v>2</v>
      </c>
      <c r="J26" s="8" t="n">
        <v>470</v>
      </c>
      <c r="K26" s="25">
        <f>IF(OR(I26="",J26=""),"",I26*J26/1000)</f>
        <v/>
      </c>
      <c r="L26" s="26" t="n">
        <v>0.06346</v>
      </c>
      <c r="M26" s="26" t="n"/>
      <c r="N26" s="27">
        <f>IF(OR(B26="",C26=""),"",IF(M26&lt;&gt;"",M26,IF(AND(N(L26)&gt;0,N(K26)&gt;0),L26/K26,"")))</f>
        <v/>
      </c>
      <c r="O26" s="15">
        <f>IF(C26="","",IFERROR(INDEX(Agentes!$D$6:$D$60,MATCH(C26,Agentes!$A$6:$A$60,0)),""))</f>
        <v/>
      </c>
      <c r="P26" s="28">
        <f>IF(OR(H26="",O26=""),"",IF(AND(O26="Inhalable",LEFT(H26,6)="Casete"),"Subestima: el casete cerrado no colecta toda la fracción inhalable",IF(AND(O26="Respirable",LEFT(H26,6)&lt;&gt;"Ciclón"),"Requiere ciclón (fracción respirable)",IF(AND(O26="Inhalable",ISNUMBER(SEARCH("Respirable",IFERROR(INDEX(Agentes!$C$80:$C$87,MATCH(H26,Agentes!$B$80:$B$87,0)),"")))),"El ciclón no colecta la fracción inhalable","Coherente"))))</f>
        <v/>
      </c>
      <c r="Q26" s="22">
        <f>IF(Y26="","",IFERROR(INDEX(GES!$W$6:$W$35,MATCH(Y26,GES!$R$6:$R$35,0)),""))</f>
        <v/>
      </c>
      <c r="R26" s="29">
        <f>IF(AND(ISNUMBER(N26),ISNUMBER(Q26)),N26/Q26,"")</f>
        <v/>
      </c>
      <c r="S26" s="15">
        <f>IF(C26="","",IFERROR(INDEX(Agentes!$I$6:$I$60,MATCH(C26,Agentes!$A$6:$A$60,0)),""))</f>
        <v/>
      </c>
      <c r="T26" s="8" t="n"/>
      <c r="U26" s="15">
        <f>IF(ISNUMBER(N26),IF(N26&gt;0,LN(N26),""),"")</f>
        <v/>
      </c>
      <c r="V26" s="15">
        <f>IF(ISNUMBER(U26),IFERROR((U26-LN(IFERROR(INDEX(Estadística!$K$6:$K$35,MATCH(Y26,Estadística!$Y$6:$Y$35,0)),0)))^2,""),"")</f>
        <v/>
      </c>
      <c r="W26" s="15">
        <f>IF(ISNUMBER(N26),IFERROR((N26-IFERROR(INDEX(Estadística!$I$6:$I$35,MATCH(Y26,Estadística!$Y$6:$Y$35,0)),0))^2,""),"")</f>
        <v/>
      </c>
      <c r="X26" s="15">
        <f>IF(ISNUMBER(R26),IF(R26&gt;1,1,0),"")</f>
        <v/>
      </c>
      <c r="Y26" s="15">
        <f>IF(OR(B26="",C26=""),"",B26&amp;"|"&amp;C26)</f>
        <v/>
      </c>
    </row>
    <row r="27">
      <c r="A27" s="23" t="n">
        <v>22</v>
      </c>
      <c r="B27" s="8" t="inlineStr">
        <is>
          <t>G02</t>
        </is>
      </c>
      <c r="C27" s="8" t="inlineStr">
        <is>
          <t>NI-I</t>
        </is>
      </c>
      <c r="D27" s="9" t="n">
        <v>46282</v>
      </c>
      <c r="E27" s="8" t="inlineStr">
        <is>
          <t>Soldador inox. 4</t>
        </is>
      </c>
      <c r="F27" s="8" t="inlineStr">
        <is>
          <t>G02-D4</t>
        </is>
      </c>
      <c r="G27" s="8" t="inlineStr">
        <is>
          <t>Personal</t>
        </is>
      </c>
      <c r="H27" s="8" t="inlineStr">
        <is>
          <t>IOM inhalable (25 mm)</t>
        </is>
      </c>
      <c r="I27" s="24" t="n">
        <v>2</v>
      </c>
      <c r="J27" s="8" t="n">
        <v>450</v>
      </c>
      <c r="K27" s="25">
        <f>IF(OR(I27="",J27=""),"",I27*J27/1000)</f>
        <v/>
      </c>
      <c r="L27" s="26" t="n">
        <v>0.02401</v>
      </c>
      <c r="M27" s="26" t="n"/>
      <c r="N27" s="27">
        <f>IF(OR(B27="",C27=""),"",IF(M27&lt;&gt;"",M27,IF(AND(N(L27)&gt;0,N(K27)&gt;0),L27/K27,"")))</f>
        <v/>
      </c>
      <c r="O27" s="15">
        <f>IF(C27="","",IFERROR(INDEX(Agentes!$D$6:$D$60,MATCH(C27,Agentes!$A$6:$A$60,0)),""))</f>
        <v/>
      </c>
      <c r="P27" s="28">
        <f>IF(OR(H27="",O27=""),"",IF(AND(O27="Inhalable",LEFT(H27,6)="Casete"),"Subestima: el casete cerrado no colecta toda la fracción inhalable",IF(AND(O27="Respirable",LEFT(H27,6)&lt;&gt;"Ciclón"),"Requiere ciclón (fracción respirable)",IF(AND(O27="Inhalable",ISNUMBER(SEARCH("Respirable",IFERROR(INDEX(Agentes!$C$80:$C$87,MATCH(H27,Agentes!$B$80:$B$87,0)),"")))),"El ciclón no colecta la fracción inhalable","Coherente"))))</f>
        <v/>
      </c>
      <c r="Q27" s="22">
        <f>IF(Y27="","",IFERROR(INDEX(GES!$W$6:$W$35,MATCH(Y27,GES!$R$6:$R$35,0)),""))</f>
        <v/>
      </c>
      <c r="R27" s="29">
        <f>IF(AND(ISNUMBER(N27),ISNUMBER(Q27)),N27/Q27,"")</f>
        <v/>
      </c>
      <c r="S27" s="15">
        <f>IF(C27="","",IFERROR(INDEX(Agentes!$I$6:$I$60,MATCH(C27,Agentes!$A$6:$A$60,0)),""))</f>
        <v/>
      </c>
      <c r="T27" s="8" t="n"/>
      <c r="U27" s="15">
        <f>IF(ISNUMBER(N27),IF(N27&gt;0,LN(N27),""),"")</f>
        <v/>
      </c>
      <c r="V27" s="15">
        <f>IF(ISNUMBER(U27),IFERROR((U27-LN(IFERROR(INDEX(Estadística!$K$6:$K$35,MATCH(Y27,Estadística!$Y$6:$Y$35,0)),0)))^2,""),"")</f>
        <v/>
      </c>
      <c r="W27" s="15">
        <f>IF(ISNUMBER(N27),IFERROR((N27-IFERROR(INDEX(Estadística!$I$6:$I$35,MATCH(Y27,Estadística!$Y$6:$Y$35,0)),0))^2,""),"")</f>
        <v/>
      </c>
      <c r="X27" s="15">
        <f>IF(ISNUMBER(R27),IF(R27&gt;1,1,0),"")</f>
        <v/>
      </c>
      <c r="Y27" s="15">
        <f>IF(OR(B27="",C27=""),"",B27&amp;"|"&amp;C27)</f>
        <v/>
      </c>
    </row>
    <row r="28">
      <c r="A28" s="23" t="n">
        <v>23</v>
      </c>
      <c r="B28" s="8" t="inlineStr">
        <is>
          <t>G02</t>
        </is>
      </c>
      <c r="C28" s="8" t="inlineStr">
        <is>
          <t>NI-I</t>
        </is>
      </c>
      <c r="D28" s="9" t="n">
        <v>46283</v>
      </c>
      <c r="E28" s="8" t="inlineStr">
        <is>
          <t>Soldador inox. 5</t>
        </is>
      </c>
      <c r="F28" s="8" t="inlineStr">
        <is>
          <t>G02-D5</t>
        </is>
      </c>
      <c r="G28" s="8" t="inlineStr">
        <is>
          <t>Personal</t>
        </is>
      </c>
      <c r="H28" s="8" t="inlineStr">
        <is>
          <t>IOM inhalable (25 mm)</t>
        </is>
      </c>
      <c r="I28" s="24" t="n">
        <v>2</v>
      </c>
      <c r="J28" s="8" t="n">
        <v>470</v>
      </c>
      <c r="K28" s="25">
        <f>IF(OR(I28="",J28=""),"",I28*J28/1000)</f>
        <v/>
      </c>
      <c r="L28" s="26" t="n">
        <v>0.01936</v>
      </c>
      <c r="M28" s="26" t="n"/>
      <c r="N28" s="27">
        <f>IF(OR(B28="",C28=""),"",IF(M28&lt;&gt;"",M28,IF(AND(N(L28)&gt;0,N(K28)&gt;0),L28/K28,"")))</f>
        <v/>
      </c>
      <c r="O28" s="15">
        <f>IF(C28="","",IFERROR(INDEX(Agentes!$D$6:$D$60,MATCH(C28,Agentes!$A$6:$A$60,0)),""))</f>
        <v/>
      </c>
      <c r="P28" s="28">
        <f>IF(OR(H28="",O28=""),"",IF(AND(O28="Inhalable",LEFT(H28,6)="Casete"),"Subestima: el casete cerrado no colecta toda la fracción inhalable",IF(AND(O28="Respirable",LEFT(H28,6)&lt;&gt;"Ciclón"),"Requiere ciclón (fracción respirable)",IF(AND(O28="Inhalable",ISNUMBER(SEARCH("Respirable",IFERROR(INDEX(Agentes!$C$80:$C$87,MATCH(H28,Agentes!$B$80:$B$87,0)),"")))),"El ciclón no colecta la fracción inhalable","Coherente"))))</f>
        <v/>
      </c>
      <c r="Q28" s="22">
        <f>IF(Y28="","",IFERROR(INDEX(GES!$W$6:$W$35,MATCH(Y28,GES!$R$6:$R$35,0)),""))</f>
        <v/>
      </c>
      <c r="R28" s="29">
        <f>IF(AND(ISNUMBER(N28),ISNUMBER(Q28)),N28/Q28,"")</f>
        <v/>
      </c>
      <c r="S28" s="15">
        <f>IF(C28="","",IFERROR(INDEX(Agentes!$I$6:$I$60,MATCH(C28,Agentes!$A$6:$A$60,0)),""))</f>
        <v/>
      </c>
      <c r="T28" s="8" t="n"/>
      <c r="U28" s="15">
        <f>IF(ISNUMBER(N28),IF(N28&gt;0,LN(N28),""),"")</f>
        <v/>
      </c>
      <c r="V28" s="15">
        <f>IF(ISNUMBER(U28),IFERROR((U28-LN(IFERROR(INDEX(Estadística!$K$6:$K$35,MATCH(Y28,Estadística!$Y$6:$Y$35,0)),0)))^2,""),"")</f>
        <v/>
      </c>
      <c r="W28" s="15">
        <f>IF(ISNUMBER(N28),IFERROR((N28-IFERROR(INDEX(Estadística!$I$6:$I$35,MATCH(Y28,Estadística!$Y$6:$Y$35,0)),0))^2,""),"")</f>
        <v/>
      </c>
      <c r="X28" s="15">
        <f>IF(ISNUMBER(R28),IF(R28&gt;1,1,0),"")</f>
        <v/>
      </c>
      <c r="Y28" s="15">
        <f>IF(OR(B28="",C28=""),"",B28&amp;"|"&amp;C28)</f>
        <v/>
      </c>
    </row>
    <row r="29">
      <c r="A29" s="23" t="n">
        <v>24</v>
      </c>
      <c r="B29" s="8" t="inlineStr">
        <is>
          <t>G02</t>
        </is>
      </c>
      <c r="C29" s="8" t="inlineStr">
        <is>
          <t>NI-I</t>
        </is>
      </c>
      <c r="D29" s="9" t="n">
        <v>46284</v>
      </c>
      <c r="E29" s="8" t="inlineStr">
        <is>
          <t>Soldador inox. 6</t>
        </is>
      </c>
      <c r="F29" s="8" t="inlineStr">
        <is>
          <t>G02-D6</t>
        </is>
      </c>
      <c r="G29" s="8" t="inlineStr">
        <is>
          <t>Personal</t>
        </is>
      </c>
      <c r="H29" s="8" t="inlineStr">
        <is>
          <t>IOM inhalable (25 mm)</t>
        </is>
      </c>
      <c r="I29" s="24" t="n">
        <v>2</v>
      </c>
      <c r="J29" s="8" t="n">
        <v>440</v>
      </c>
      <c r="K29" s="25">
        <f>IF(OR(I29="",J29=""),"",I29*J29/1000)</f>
        <v/>
      </c>
      <c r="L29" s="26" t="n">
        <v>0.03846</v>
      </c>
      <c r="M29" s="26" t="n"/>
      <c r="N29" s="27">
        <f>IF(OR(B29="",C29=""),"",IF(M29&lt;&gt;"",M29,IF(AND(N(L29)&gt;0,N(K29)&gt;0),L29/K29,"")))</f>
        <v/>
      </c>
      <c r="O29" s="15">
        <f>IF(C29="","",IFERROR(INDEX(Agentes!$D$6:$D$60,MATCH(C29,Agentes!$A$6:$A$60,0)),""))</f>
        <v/>
      </c>
      <c r="P29" s="28">
        <f>IF(OR(H29="",O29=""),"",IF(AND(O29="Inhalable",LEFT(H29,6)="Casete"),"Subestima: el casete cerrado no colecta toda la fracción inhalable",IF(AND(O29="Respirable",LEFT(H29,6)&lt;&gt;"Ciclón"),"Requiere ciclón (fracción respirable)",IF(AND(O29="Inhalable",ISNUMBER(SEARCH("Respirable",IFERROR(INDEX(Agentes!$C$80:$C$87,MATCH(H29,Agentes!$B$80:$B$87,0)),"")))),"El ciclón no colecta la fracción inhalable","Coherente"))))</f>
        <v/>
      </c>
      <c r="Q29" s="22">
        <f>IF(Y29="","",IFERROR(INDEX(GES!$W$6:$W$35,MATCH(Y29,GES!$R$6:$R$35,0)),""))</f>
        <v/>
      </c>
      <c r="R29" s="29">
        <f>IF(AND(ISNUMBER(N29),ISNUMBER(Q29)),N29/Q29,"")</f>
        <v/>
      </c>
      <c r="S29" s="15">
        <f>IF(C29="","",IFERROR(INDEX(Agentes!$I$6:$I$60,MATCH(C29,Agentes!$A$6:$A$60,0)),""))</f>
        <v/>
      </c>
      <c r="T29" s="8" t="n"/>
      <c r="U29" s="15">
        <f>IF(ISNUMBER(N29),IF(N29&gt;0,LN(N29),""),"")</f>
        <v/>
      </c>
      <c r="V29" s="15">
        <f>IF(ISNUMBER(U29),IFERROR((U29-LN(IFERROR(INDEX(Estadística!$K$6:$K$35,MATCH(Y29,Estadística!$Y$6:$Y$35,0)),0)))^2,""),"")</f>
        <v/>
      </c>
      <c r="W29" s="15">
        <f>IF(ISNUMBER(N29),IFERROR((N29-IFERROR(INDEX(Estadística!$I$6:$I$35,MATCH(Y29,Estadística!$Y$6:$Y$35,0)),0))^2,""),"")</f>
        <v/>
      </c>
      <c r="X29" s="15">
        <f>IF(ISNUMBER(R29),IF(R29&gt;1,1,0),"")</f>
        <v/>
      </c>
      <c r="Y29" s="15">
        <f>IF(OR(B29="",C29=""),"",B29&amp;"|"&amp;C29)</f>
        <v/>
      </c>
    </row>
    <row r="30">
      <c r="A30" s="23" t="n">
        <v>25</v>
      </c>
      <c r="B30" s="8" t="inlineStr">
        <is>
          <t>G03</t>
        </is>
      </c>
      <c r="C30" s="8" t="inlineStr">
        <is>
          <t>CEM</t>
        </is>
      </c>
      <c r="D30" s="9" t="n">
        <v>46279</v>
      </c>
      <c r="E30" s="8" t="inlineStr">
        <is>
          <t>Ensacador 1</t>
        </is>
      </c>
      <c r="F30" s="8" t="inlineStr">
        <is>
          <t>G03-D1</t>
        </is>
      </c>
      <c r="G30" s="8" t="inlineStr">
        <is>
          <t>Personal</t>
        </is>
      </c>
      <c r="H30" s="8" t="inlineStr">
        <is>
          <t>Ciclón nylon 10 mm</t>
        </is>
      </c>
      <c r="I30" s="24" t="n">
        <v>1.7</v>
      </c>
      <c r="J30" s="8" t="n">
        <v>470</v>
      </c>
      <c r="K30" s="25">
        <f>IF(OR(I30="",J30=""),"",I30*J30/1000)</f>
        <v/>
      </c>
      <c r="L30" s="26" t="n">
        <v>0.26183</v>
      </c>
      <c r="M30" s="26" t="n"/>
      <c r="N30" s="27">
        <f>IF(OR(B30="",C30=""),"",IF(M30&lt;&gt;"",M30,IF(AND(N(L30)&gt;0,N(K30)&gt;0),L30/K30,"")))</f>
        <v/>
      </c>
      <c r="O30" s="15">
        <f>IF(C30="","",IFERROR(INDEX(Agentes!$D$6:$D$60,MATCH(C30,Agentes!$A$6:$A$60,0)),""))</f>
        <v/>
      </c>
      <c r="P30" s="28">
        <f>IF(OR(H30="",O30=""),"",IF(AND(O30="Inhalable",LEFT(H30,6)="Casete"),"Subestima: el casete cerrado no colecta toda la fracción inhalable",IF(AND(O30="Respirable",LEFT(H30,6)&lt;&gt;"Ciclón"),"Requiere ciclón (fracción respirable)",IF(AND(O30="Inhalable",ISNUMBER(SEARCH("Respirable",IFERROR(INDEX(Agentes!$C$80:$C$87,MATCH(H30,Agentes!$B$80:$B$87,0)),"")))),"El ciclón no colecta la fracción inhalable","Coherente"))))</f>
        <v/>
      </c>
      <c r="Q30" s="22">
        <f>IF(Y30="","",IFERROR(INDEX(GES!$W$6:$W$35,MATCH(Y30,GES!$R$6:$R$35,0)),""))</f>
        <v/>
      </c>
      <c r="R30" s="29">
        <f>IF(AND(ISNUMBER(N30),ISNUMBER(Q30)),N30/Q30,"")</f>
        <v/>
      </c>
      <c r="S30" s="15">
        <f>IF(C30="","",IFERROR(INDEX(Agentes!$I$6:$I$60,MATCH(C30,Agentes!$A$6:$A$60,0)),""))</f>
        <v/>
      </c>
      <c r="T30" s="8" t="n"/>
      <c r="U30" s="15">
        <f>IF(ISNUMBER(N30),IF(N30&gt;0,LN(N30),""),"")</f>
        <v/>
      </c>
      <c r="V30" s="15">
        <f>IF(ISNUMBER(U30),IFERROR((U30-LN(IFERROR(INDEX(Estadística!$K$6:$K$35,MATCH(Y30,Estadística!$Y$6:$Y$35,0)),0)))^2,""),"")</f>
        <v/>
      </c>
      <c r="W30" s="15">
        <f>IF(ISNUMBER(N30),IFERROR((N30-IFERROR(INDEX(Estadística!$I$6:$I$35,MATCH(Y30,Estadística!$Y$6:$Y$35,0)),0))^2,""),"")</f>
        <v/>
      </c>
      <c r="X30" s="15">
        <f>IF(ISNUMBER(R30),IF(R30&gt;1,1,0),"")</f>
        <v/>
      </c>
      <c r="Y30" s="15">
        <f>IF(OR(B30="",C30=""),"",B30&amp;"|"&amp;C30)</f>
        <v/>
      </c>
    </row>
    <row r="31">
      <c r="A31" s="23" t="n">
        <v>26</v>
      </c>
      <c r="B31" s="8" t="inlineStr">
        <is>
          <t>G03</t>
        </is>
      </c>
      <c r="C31" s="8" t="inlineStr">
        <is>
          <t>CEM</t>
        </is>
      </c>
      <c r="D31" s="9" t="n">
        <v>46280</v>
      </c>
      <c r="E31" s="8" t="inlineStr">
        <is>
          <t>Ensacador 2</t>
        </is>
      </c>
      <c r="F31" s="8" t="inlineStr">
        <is>
          <t>G03-D2</t>
        </is>
      </c>
      <c r="G31" s="8" t="inlineStr">
        <is>
          <t>Personal</t>
        </is>
      </c>
      <c r="H31" s="8" t="inlineStr">
        <is>
          <t>Ciclón nylon 10 mm</t>
        </is>
      </c>
      <c r="I31" s="24" t="n">
        <v>1.7</v>
      </c>
      <c r="J31" s="8" t="n">
        <v>420</v>
      </c>
      <c r="K31" s="25">
        <f>IF(OR(I31="",J31=""),"",I31*J31/1000)</f>
        <v/>
      </c>
      <c r="L31" s="26" t="n">
        <v>0.49168</v>
      </c>
      <c r="M31" s="26" t="n"/>
      <c r="N31" s="27">
        <f>IF(OR(B31="",C31=""),"",IF(M31&lt;&gt;"",M31,IF(AND(N(L31)&gt;0,N(K31)&gt;0),L31/K31,"")))</f>
        <v/>
      </c>
      <c r="O31" s="15">
        <f>IF(C31="","",IFERROR(INDEX(Agentes!$D$6:$D$60,MATCH(C31,Agentes!$A$6:$A$60,0)),""))</f>
        <v/>
      </c>
      <c r="P31" s="28">
        <f>IF(OR(H31="",O31=""),"",IF(AND(O31="Inhalable",LEFT(H31,6)="Casete"),"Subestima: el casete cerrado no colecta toda la fracción inhalable",IF(AND(O31="Respirable",LEFT(H31,6)&lt;&gt;"Ciclón"),"Requiere ciclón (fracción respirable)",IF(AND(O31="Inhalable",ISNUMBER(SEARCH("Respirable",IFERROR(INDEX(Agentes!$C$80:$C$87,MATCH(H31,Agentes!$B$80:$B$87,0)),"")))),"El ciclón no colecta la fracción inhalable","Coherente"))))</f>
        <v/>
      </c>
      <c r="Q31" s="22">
        <f>IF(Y31="","",IFERROR(INDEX(GES!$W$6:$W$35,MATCH(Y31,GES!$R$6:$R$35,0)),""))</f>
        <v/>
      </c>
      <c r="R31" s="29">
        <f>IF(AND(ISNUMBER(N31),ISNUMBER(Q31)),N31/Q31,"")</f>
        <v/>
      </c>
      <c r="S31" s="15">
        <f>IF(C31="","",IFERROR(INDEX(Agentes!$I$6:$I$60,MATCH(C31,Agentes!$A$6:$A$60,0)),""))</f>
        <v/>
      </c>
      <c r="T31" s="8" t="n"/>
      <c r="U31" s="15">
        <f>IF(ISNUMBER(N31),IF(N31&gt;0,LN(N31),""),"")</f>
        <v/>
      </c>
      <c r="V31" s="15">
        <f>IF(ISNUMBER(U31),IFERROR((U31-LN(IFERROR(INDEX(Estadística!$K$6:$K$35,MATCH(Y31,Estadística!$Y$6:$Y$35,0)),0)))^2,""),"")</f>
        <v/>
      </c>
      <c r="W31" s="15">
        <f>IF(ISNUMBER(N31),IFERROR((N31-IFERROR(INDEX(Estadística!$I$6:$I$35,MATCH(Y31,Estadística!$Y$6:$Y$35,0)),0))^2,""),"")</f>
        <v/>
      </c>
      <c r="X31" s="15">
        <f>IF(ISNUMBER(R31),IF(R31&gt;1,1,0),"")</f>
        <v/>
      </c>
      <c r="Y31" s="15">
        <f>IF(OR(B31="",C31=""),"",B31&amp;"|"&amp;C31)</f>
        <v/>
      </c>
    </row>
    <row r="32">
      <c r="A32" s="23" t="n">
        <v>27</v>
      </c>
      <c r="B32" s="8" t="inlineStr">
        <is>
          <t>G03</t>
        </is>
      </c>
      <c r="C32" s="8" t="inlineStr">
        <is>
          <t>CEM</t>
        </is>
      </c>
      <c r="D32" s="9" t="n">
        <v>46281</v>
      </c>
      <c r="E32" s="8" t="inlineStr">
        <is>
          <t>Ensacador 3</t>
        </is>
      </c>
      <c r="F32" s="8" t="inlineStr">
        <is>
          <t>G03-D3</t>
        </is>
      </c>
      <c r="G32" s="8" t="inlineStr">
        <is>
          <t>Personal</t>
        </is>
      </c>
      <c r="H32" s="8" t="inlineStr">
        <is>
          <t>Ciclón nylon 10 mm</t>
        </is>
      </c>
      <c r="I32" s="24" t="n">
        <v>1.7</v>
      </c>
      <c r="J32" s="8" t="n">
        <v>470</v>
      </c>
      <c r="K32" s="25">
        <f>IF(OR(I32="",J32=""),"",I32*J32/1000)</f>
        <v/>
      </c>
      <c r="L32" s="26" t="n">
        <v>0.31599</v>
      </c>
      <c r="M32" s="26" t="n"/>
      <c r="N32" s="27">
        <f>IF(OR(B32="",C32=""),"",IF(M32&lt;&gt;"",M32,IF(AND(N(L32)&gt;0,N(K32)&gt;0),L32/K32,"")))</f>
        <v/>
      </c>
      <c r="O32" s="15">
        <f>IF(C32="","",IFERROR(INDEX(Agentes!$D$6:$D$60,MATCH(C32,Agentes!$A$6:$A$60,0)),""))</f>
        <v/>
      </c>
      <c r="P32" s="28">
        <f>IF(OR(H32="",O32=""),"",IF(AND(O32="Inhalable",LEFT(H32,6)="Casete"),"Subestima: el casete cerrado no colecta toda la fracción inhalable",IF(AND(O32="Respirable",LEFT(H32,6)&lt;&gt;"Ciclón"),"Requiere ciclón (fracción respirable)",IF(AND(O32="Inhalable",ISNUMBER(SEARCH("Respirable",IFERROR(INDEX(Agentes!$C$80:$C$87,MATCH(H32,Agentes!$B$80:$B$87,0)),"")))),"El ciclón no colecta la fracción inhalable","Coherente"))))</f>
        <v/>
      </c>
      <c r="Q32" s="22">
        <f>IF(Y32="","",IFERROR(INDEX(GES!$W$6:$W$35,MATCH(Y32,GES!$R$6:$R$35,0)),""))</f>
        <v/>
      </c>
      <c r="R32" s="29">
        <f>IF(AND(ISNUMBER(N32),ISNUMBER(Q32)),N32/Q32,"")</f>
        <v/>
      </c>
      <c r="S32" s="15">
        <f>IF(C32="","",IFERROR(INDEX(Agentes!$I$6:$I$60,MATCH(C32,Agentes!$A$6:$A$60,0)),""))</f>
        <v/>
      </c>
      <c r="T32" s="8" t="n"/>
      <c r="U32" s="15">
        <f>IF(ISNUMBER(N32),IF(N32&gt;0,LN(N32),""),"")</f>
        <v/>
      </c>
      <c r="V32" s="15">
        <f>IF(ISNUMBER(U32),IFERROR((U32-LN(IFERROR(INDEX(Estadística!$K$6:$K$35,MATCH(Y32,Estadística!$Y$6:$Y$35,0)),0)))^2,""),"")</f>
        <v/>
      </c>
      <c r="W32" s="15">
        <f>IF(ISNUMBER(N32),IFERROR((N32-IFERROR(INDEX(Estadística!$I$6:$I$35,MATCH(Y32,Estadística!$Y$6:$Y$35,0)),0))^2,""),"")</f>
        <v/>
      </c>
      <c r="X32" s="15">
        <f>IF(ISNUMBER(R32),IF(R32&gt;1,1,0),"")</f>
        <v/>
      </c>
      <c r="Y32" s="15">
        <f>IF(OR(B32="",C32=""),"",B32&amp;"|"&amp;C32)</f>
        <v/>
      </c>
    </row>
    <row r="33">
      <c r="A33" s="23" t="n">
        <v>28</v>
      </c>
      <c r="B33" s="8" t="inlineStr">
        <is>
          <t>G03</t>
        </is>
      </c>
      <c r="C33" s="8" t="inlineStr">
        <is>
          <t>CEM</t>
        </is>
      </c>
      <c r="D33" s="9" t="n">
        <v>46282</v>
      </c>
      <c r="E33" s="8" t="inlineStr">
        <is>
          <t>Ensacador 4</t>
        </is>
      </c>
      <c r="F33" s="8" t="inlineStr">
        <is>
          <t>G03-D4</t>
        </is>
      </c>
      <c r="G33" s="8" t="inlineStr">
        <is>
          <t>Personal</t>
        </is>
      </c>
      <c r="H33" s="8" t="inlineStr">
        <is>
          <t>Ciclón nylon 10 mm</t>
        </is>
      </c>
      <c r="I33" s="24" t="n">
        <v>1.7</v>
      </c>
      <c r="J33" s="8" t="n">
        <v>420</v>
      </c>
      <c r="K33" s="25">
        <f>IF(OR(I33="",J33=""),"",I33*J33/1000)</f>
        <v/>
      </c>
      <c r="L33" s="26" t="n">
        <v>0.19027</v>
      </c>
      <c r="M33" s="26" t="n"/>
      <c r="N33" s="27">
        <f>IF(OR(B33="",C33=""),"",IF(M33&lt;&gt;"",M33,IF(AND(N(L33)&gt;0,N(K33)&gt;0),L33/K33,"")))</f>
        <v/>
      </c>
      <c r="O33" s="15">
        <f>IF(C33="","",IFERROR(INDEX(Agentes!$D$6:$D$60,MATCH(C33,Agentes!$A$6:$A$60,0)),""))</f>
        <v/>
      </c>
      <c r="P33" s="28">
        <f>IF(OR(H33="",O33=""),"",IF(AND(O33="Inhalable",LEFT(H33,6)="Casete"),"Subestima: el casete cerrado no colecta toda la fracción inhalable",IF(AND(O33="Respirable",LEFT(H33,6)&lt;&gt;"Ciclón"),"Requiere ciclón (fracción respirable)",IF(AND(O33="Inhalable",ISNUMBER(SEARCH("Respirable",IFERROR(INDEX(Agentes!$C$80:$C$87,MATCH(H33,Agentes!$B$80:$B$87,0)),"")))),"El ciclón no colecta la fracción inhalable","Coherente"))))</f>
        <v/>
      </c>
      <c r="Q33" s="22">
        <f>IF(Y33="","",IFERROR(INDEX(GES!$W$6:$W$35,MATCH(Y33,GES!$R$6:$R$35,0)),""))</f>
        <v/>
      </c>
      <c r="R33" s="29">
        <f>IF(AND(ISNUMBER(N33),ISNUMBER(Q33)),N33/Q33,"")</f>
        <v/>
      </c>
      <c r="S33" s="15">
        <f>IF(C33="","",IFERROR(INDEX(Agentes!$I$6:$I$60,MATCH(C33,Agentes!$A$6:$A$60,0)),""))</f>
        <v/>
      </c>
      <c r="T33" s="8" t="n"/>
      <c r="U33" s="15">
        <f>IF(ISNUMBER(N33),IF(N33&gt;0,LN(N33),""),"")</f>
        <v/>
      </c>
      <c r="V33" s="15">
        <f>IF(ISNUMBER(U33),IFERROR((U33-LN(IFERROR(INDEX(Estadística!$K$6:$K$35,MATCH(Y33,Estadística!$Y$6:$Y$35,0)),0)))^2,""),"")</f>
        <v/>
      </c>
      <c r="W33" s="15">
        <f>IF(ISNUMBER(N33),IFERROR((N33-IFERROR(INDEX(Estadística!$I$6:$I$35,MATCH(Y33,Estadística!$Y$6:$Y$35,0)),0))^2,""),"")</f>
        <v/>
      </c>
      <c r="X33" s="15">
        <f>IF(ISNUMBER(R33),IF(R33&gt;1,1,0),"")</f>
        <v/>
      </c>
      <c r="Y33" s="15">
        <f>IF(OR(B33="",C33=""),"",B33&amp;"|"&amp;C33)</f>
        <v/>
      </c>
    </row>
    <row r="34">
      <c r="A34" s="23" t="n">
        <v>29</v>
      </c>
      <c r="B34" s="8" t="inlineStr">
        <is>
          <t>G03</t>
        </is>
      </c>
      <c r="C34" s="8" t="inlineStr">
        <is>
          <t>CEM</t>
        </is>
      </c>
      <c r="D34" s="9" t="n">
        <v>46283</v>
      </c>
      <c r="E34" s="8" t="inlineStr">
        <is>
          <t>Ensacador 5</t>
        </is>
      </c>
      <c r="F34" s="8" t="inlineStr">
        <is>
          <t>G03-D5</t>
        </is>
      </c>
      <c r="G34" s="8" t="inlineStr">
        <is>
          <t>Personal</t>
        </is>
      </c>
      <c r="H34" s="8" t="inlineStr">
        <is>
          <t>Ciclón nylon 10 mm</t>
        </is>
      </c>
      <c r="I34" s="24" t="n">
        <v>1.7</v>
      </c>
      <c r="J34" s="8" t="n">
        <v>470</v>
      </c>
      <c r="K34" s="25">
        <f>IF(OR(I34="",J34=""),"",I34*J34/1000)</f>
        <v/>
      </c>
      <c r="L34" s="26" t="n">
        <v>0.38859</v>
      </c>
      <c r="M34" s="26" t="n"/>
      <c r="N34" s="27">
        <f>IF(OR(B34="",C34=""),"",IF(M34&lt;&gt;"",M34,IF(AND(N(L34)&gt;0,N(K34)&gt;0),L34/K34,"")))</f>
        <v/>
      </c>
      <c r="O34" s="15">
        <f>IF(C34="","",IFERROR(INDEX(Agentes!$D$6:$D$60,MATCH(C34,Agentes!$A$6:$A$60,0)),""))</f>
        <v/>
      </c>
      <c r="P34" s="28">
        <f>IF(OR(H34="",O34=""),"",IF(AND(O34="Inhalable",LEFT(H34,6)="Casete"),"Subestima: el casete cerrado no colecta toda la fracción inhalable",IF(AND(O34="Respirable",LEFT(H34,6)&lt;&gt;"Ciclón"),"Requiere ciclón (fracción respirable)",IF(AND(O34="Inhalable",ISNUMBER(SEARCH("Respirable",IFERROR(INDEX(Agentes!$C$80:$C$87,MATCH(H34,Agentes!$B$80:$B$87,0)),"")))),"El ciclón no colecta la fracción inhalable","Coherente"))))</f>
        <v/>
      </c>
      <c r="Q34" s="22">
        <f>IF(Y34="","",IFERROR(INDEX(GES!$W$6:$W$35,MATCH(Y34,GES!$R$6:$R$35,0)),""))</f>
        <v/>
      </c>
      <c r="R34" s="29">
        <f>IF(AND(ISNUMBER(N34),ISNUMBER(Q34)),N34/Q34,"")</f>
        <v/>
      </c>
      <c r="S34" s="15">
        <f>IF(C34="","",IFERROR(INDEX(Agentes!$I$6:$I$60,MATCH(C34,Agentes!$A$6:$A$60,0)),""))</f>
        <v/>
      </c>
      <c r="T34" s="8" t="n"/>
      <c r="U34" s="15">
        <f>IF(ISNUMBER(N34),IF(N34&gt;0,LN(N34),""),"")</f>
        <v/>
      </c>
      <c r="V34" s="15">
        <f>IF(ISNUMBER(U34),IFERROR((U34-LN(IFERROR(INDEX(Estadística!$K$6:$K$35,MATCH(Y34,Estadística!$Y$6:$Y$35,0)),0)))^2,""),"")</f>
        <v/>
      </c>
      <c r="W34" s="15">
        <f>IF(ISNUMBER(N34),IFERROR((N34-IFERROR(INDEX(Estadística!$I$6:$I$35,MATCH(Y34,Estadística!$Y$6:$Y$35,0)),0))^2,""),"")</f>
        <v/>
      </c>
      <c r="X34" s="15">
        <f>IF(ISNUMBER(R34),IF(R34&gt;1,1,0),"")</f>
        <v/>
      </c>
      <c r="Y34" s="15">
        <f>IF(OR(B34="",C34=""),"",B34&amp;"|"&amp;C34)</f>
        <v/>
      </c>
    </row>
    <row r="35">
      <c r="A35" s="23" t="n">
        <v>30</v>
      </c>
      <c r="B35" s="8" t="inlineStr">
        <is>
          <t>G03</t>
        </is>
      </c>
      <c r="C35" s="8" t="inlineStr">
        <is>
          <t>CEM</t>
        </is>
      </c>
      <c r="D35" s="9" t="n">
        <v>46284</v>
      </c>
      <c r="E35" s="8" t="inlineStr">
        <is>
          <t>Ensacador 6</t>
        </is>
      </c>
      <c r="F35" s="8" t="inlineStr">
        <is>
          <t>G03-D6</t>
        </is>
      </c>
      <c r="G35" s="8" t="inlineStr">
        <is>
          <t>Personal</t>
        </is>
      </c>
      <c r="H35" s="8" t="inlineStr">
        <is>
          <t>Ciclón nylon 10 mm</t>
        </is>
      </c>
      <c r="I35" s="24" t="n">
        <v>1.7</v>
      </c>
      <c r="J35" s="8" t="n">
        <v>440</v>
      </c>
      <c r="K35" s="25">
        <f>IF(OR(I35="",J35=""),"",I35*J35/1000)</f>
        <v/>
      </c>
      <c r="L35" s="26" t="n">
        <v>0.14077</v>
      </c>
      <c r="M35" s="26" t="n"/>
      <c r="N35" s="27">
        <f>IF(OR(B35="",C35=""),"",IF(M35&lt;&gt;"",M35,IF(AND(N(L35)&gt;0,N(K35)&gt;0),L35/K35,"")))</f>
        <v/>
      </c>
      <c r="O35" s="15">
        <f>IF(C35="","",IFERROR(INDEX(Agentes!$D$6:$D$60,MATCH(C35,Agentes!$A$6:$A$60,0)),""))</f>
        <v/>
      </c>
      <c r="P35" s="28">
        <f>IF(OR(H35="",O35=""),"",IF(AND(O35="Inhalable",LEFT(H35,6)="Casete"),"Subestima: el casete cerrado no colecta toda la fracción inhalable",IF(AND(O35="Respirable",LEFT(H35,6)&lt;&gt;"Ciclón"),"Requiere ciclón (fracción respirable)",IF(AND(O35="Inhalable",ISNUMBER(SEARCH("Respirable",IFERROR(INDEX(Agentes!$C$80:$C$87,MATCH(H35,Agentes!$B$80:$B$87,0)),"")))),"El ciclón no colecta la fracción inhalable","Coherente"))))</f>
        <v/>
      </c>
      <c r="Q35" s="22">
        <f>IF(Y35="","",IFERROR(INDEX(GES!$W$6:$W$35,MATCH(Y35,GES!$R$6:$R$35,0)),""))</f>
        <v/>
      </c>
      <c r="R35" s="29">
        <f>IF(AND(ISNUMBER(N35),ISNUMBER(Q35)),N35/Q35,"")</f>
        <v/>
      </c>
      <c r="S35" s="15">
        <f>IF(C35="","",IFERROR(INDEX(Agentes!$I$6:$I$60,MATCH(C35,Agentes!$A$6:$A$60,0)),""))</f>
        <v/>
      </c>
      <c r="T35" s="8" t="n"/>
      <c r="U35" s="15">
        <f>IF(ISNUMBER(N35),IF(N35&gt;0,LN(N35),""),"")</f>
        <v/>
      </c>
      <c r="V35" s="15">
        <f>IF(ISNUMBER(U35),IFERROR((U35-LN(IFERROR(INDEX(Estadística!$K$6:$K$35,MATCH(Y35,Estadística!$Y$6:$Y$35,0)),0)))^2,""),"")</f>
        <v/>
      </c>
      <c r="W35" s="15">
        <f>IF(ISNUMBER(N35),IFERROR((N35-IFERROR(INDEX(Estadística!$I$6:$I$35,MATCH(Y35,Estadística!$Y$6:$Y$35,0)),0))^2,""),"")</f>
        <v/>
      </c>
      <c r="X35" s="15">
        <f>IF(ISNUMBER(R35),IF(R35&gt;1,1,0),"")</f>
        <v/>
      </c>
      <c r="Y35" s="15">
        <f>IF(OR(B35="",C35=""),"",B35&amp;"|"&amp;C35)</f>
        <v/>
      </c>
    </row>
    <row r="36">
      <c r="A36" s="23" t="n">
        <v>31</v>
      </c>
      <c r="B36" s="8" t="inlineStr">
        <is>
          <t>G04</t>
        </is>
      </c>
      <c r="C36" s="8" t="inlineStr">
        <is>
          <t>KAO</t>
        </is>
      </c>
      <c r="D36" s="9" t="n">
        <v>46279</v>
      </c>
      <c r="E36" s="8" t="inlineStr">
        <is>
          <t>Operador molino 1</t>
        </is>
      </c>
      <c r="F36" s="8" t="inlineStr">
        <is>
          <t>G04-D1</t>
        </is>
      </c>
      <c r="G36" s="8" t="inlineStr">
        <is>
          <t>Personal</t>
        </is>
      </c>
      <c r="H36" s="8" t="inlineStr">
        <is>
          <t>Ciclón nylon 10 mm</t>
        </is>
      </c>
      <c r="I36" s="24" t="n">
        <v>1.7</v>
      </c>
      <c r="J36" s="8" t="n">
        <v>470</v>
      </c>
      <c r="K36" s="25">
        <f>IF(OR(I36="",J36=""),"",I36*J36/1000)</f>
        <v/>
      </c>
      <c r="L36" s="26" t="n">
        <v>0.05763</v>
      </c>
      <c r="M36" s="26" t="n"/>
      <c r="N36" s="27">
        <f>IF(OR(B36="",C36=""),"",IF(M36&lt;&gt;"",M36,IF(AND(N(L36)&gt;0,N(K36)&gt;0),L36/K36,"")))</f>
        <v/>
      </c>
      <c r="O36" s="15">
        <f>IF(C36="","",IFERROR(INDEX(Agentes!$D$6:$D$60,MATCH(C36,Agentes!$A$6:$A$60,0)),""))</f>
        <v/>
      </c>
      <c r="P36" s="28">
        <f>IF(OR(H36="",O36=""),"",IF(AND(O36="Inhalable",LEFT(H36,6)="Casete"),"Subestima: el casete cerrado no colecta toda la fracción inhalable",IF(AND(O36="Respirable",LEFT(H36,6)&lt;&gt;"Ciclón"),"Requiere ciclón (fracción respirable)",IF(AND(O36="Inhalable",ISNUMBER(SEARCH("Respirable",IFERROR(INDEX(Agentes!$C$80:$C$87,MATCH(H36,Agentes!$B$80:$B$87,0)),"")))),"El ciclón no colecta la fracción inhalable","Coherente"))))</f>
        <v/>
      </c>
      <c r="Q36" s="22">
        <f>IF(Y36="","",IFERROR(INDEX(GES!$W$6:$W$35,MATCH(Y36,GES!$R$6:$R$35,0)),""))</f>
        <v/>
      </c>
      <c r="R36" s="29">
        <f>IF(AND(ISNUMBER(N36),ISNUMBER(Q36)),N36/Q36,"")</f>
        <v/>
      </c>
      <c r="S36" s="15">
        <f>IF(C36="","",IFERROR(INDEX(Agentes!$I$6:$I$60,MATCH(C36,Agentes!$A$6:$A$60,0)),""))</f>
        <v/>
      </c>
      <c r="T36" s="8" t="n"/>
      <c r="U36" s="15">
        <f>IF(ISNUMBER(N36),IF(N36&gt;0,LN(N36),""),"")</f>
        <v/>
      </c>
      <c r="V36" s="15">
        <f>IF(ISNUMBER(U36),IFERROR((U36-LN(IFERROR(INDEX(Estadística!$K$6:$K$35,MATCH(Y36,Estadística!$Y$6:$Y$35,0)),0)))^2,""),"")</f>
        <v/>
      </c>
      <c r="W36" s="15">
        <f>IF(ISNUMBER(N36),IFERROR((N36-IFERROR(INDEX(Estadística!$I$6:$I$35,MATCH(Y36,Estadística!$Y$6:$Y$35,0)),0))^2,""),"")</f>
        <v/>
      </c>
      <c r="X36" s="15">
        <f>IF(ISNUMBER(R36),IF(R36&gt;1,1,0),"")</f>
        <v/>
      </c>
      <c r="Y36" s="15">
        <f>IF(OR(B36="",C36=""),"",B36&amp;"|"&amp;C36)</f>
        <v/>
      </c>
    </row>
    <row r="37">
      <c r="A37" s="23" t="n">
        <v>32</v>
      </c>
      <c r="B37" s="8" t="inlineStr">
        <is>
          <t>G04</t>
        </is>
      </c>
      <c r="C37" s="8" t="inlineStr">
        <is>
          <t>KAO</t>
        </is>
      </c>
      <c r="D37" s="9" t="n">
        <v>46280</v>
      </c>
      <c r="E37" s="8" t="inlineStr">
        <is>
          <t>Operador molino 2</t>
        </is>
      </c>
      <c r="F37" s="8" t="inlineStr">
        <is>
          <t>G04-D2</t>
        </is>
      </c>
      <c r="G37" s="8" t="inlineStr">
        <is>
          <t>Personal</t>
        </is>
      </c>
      <c r="H37" s="8" t="inlineStr">
        <is>
          <t>Ciclón nylon 10 mm</t>
        </is>
      </c>
      <c r="I37" s="24" t="n">
        <v>1.7</v>
      </c>
      <c r="J37" s="8" t="n">
        <v>460</v>
      </c>
      <c r="K37" s="25">
        <f>IF(OR(I37="",J37=""),"",I37*J37/1000)</f>
        <v/>
      </c>
      <c r="L37" s="26" t="n">
        <v>0.10549</v>
      </c>
      <c r="M37" s="26" t="n"/>
      <c r="N37" s="27">
        <f>IF(OR(B37="",C37=""),"",IF(M37&lt;&gt;"",M37,IF(AND(N(L37)&gt;0,N(K37)&gt;0),L37/K37,"")))</f>
        <v/>
      </c>
      <c r="O37" s="15">
        <f>IF(C37="","",IFERROR(INDEX(Agentes!$D$6:$D$60,MATCH(C37,Agentes!$A$6:$A$60,0)),""))</f>
        <v/>
      </c>
      <c r="P37" s="28">
        <f>IF(OR(H37="",O37=""),"",IF(AND(O37="Inhalable",LEFT(H37,6)="Casete"),"Subestima: el casete cerrado no colecta toda la fracción inhalable",IF(AND(O37="Respirable",LEFT(H37,6)&lt;&gt;"Ciclón"),"Requiere ciclón (fracción respirable)",IF(AND(O37="Inhalable",ISNUMBER(SEARCH("Respirable",IFERROR(INDEX(Agentes!$C$80:$C$87,MATCH(H37,Agentes!$B$80:$B$87,0)),"")))),"El ciclón no colecta la fracción inhalable","Coherente"))))</f>
        <v/>
      </c>
      <c r="Q37" s="22">
        <f>IF(Y37="","",IFERROR(INDEX(GES!$W$6:$W$35,MATCH(Y37,GES!$R$6:$R$35,0)),""))</f>
        <v/>
      </c>
      <c r="R37" s="29">
        <f>IF(AND(ISNUMBER(N37),ISNUMBER(Q37)),N37/Q37,"")</f>
        <v/>
      </c>
      <c r="S37" s="15">
        <f>IF(C37="","",IFERROR(INDEX(Agentes!$I$6:$I$60,MATCH(C37,Agentes!$A$6:$A$60,0)),""))</f>
        <v/>
      </c>
      <c r="T37" s="8" t="n"/>
      <c r="U37" s="15">
        <f>IF(ISNUMBER(N37),IF(N37&gt;0,LN(N37),""),"")</f>
        <v/>
      </c>
      <c r="V37" s="15">
        <f>IF(ISNUMBER(U37),IFERROR((U37-LN(IFERROR(INDEX(Estadística!$K$6:$K$35,MATCH(Y37,Estadística!$Y$6:$Y$35,0)),0)))^2,""),"")</f>
        <v/>
      </c>
      <c r="W37" s="15">
        <f>IF(ISNUMBER(N37),IFERROR((N37-IFERROR(INDEX(Estadística!$I$6:$I$35,MATCH(Y37,Estadística!$Y$6:$Y$35,0)),0))^2,""),"")</f>
        <v/>
      </c>
      <c r="X37" s="15">
        <f>IF(ISNUMBER(R37),IF(R37&gt;1,1,0),"")</f>
        <v/>
      </c>
      <c r="Y37" s="15">
        <f>IF(OR(B37="",C37=""),"",B37&amp;"|"&amp;C37)</f>
        <v/>
      </c>
    </row>
    <row r="38">
      <c r="A38" s="23" t="n">
        <v>33</v>
      </c>
      <c r="B38" s="8" t="inlineStr">
        <is>
          <t>G04</t>
        </is>
      </c>
      <c r="C38" s="8" t="inlineStr">
        <is>
          <t>KAO</t>
        </is>
      </c>
      <c r="D38" s="9" t="n">
        <v>46281</v>
      </c>
      <c r="E38" s="8" t="inlineStr">
        <is>
          <t>Operador molino 3</t>
        </is>
      </c>
      <c r="F38" s="8" t="inlineStr">
        <is>
          <t>G04-D3</t>
        </is>
      </c>
      <c r="G38" s="8" t="inlineStr">
        <is>
          <t>Personal</t>
        </is>
      </c>
      <c r="H38" s="8" t="inlineStr">
        <is>
          <t>Ciclón nylon 10 mm</t>
        </is>
      </c>
      <c r="I38" s="24" t="n">
        <v>1.7</v>
      </c>
      <c r="J38" s="8" t="n">
        <v>450</v>
      </c>
      <c r="K38" s="25">
        <f>IF(OR(I38="",J38=""),"",I38*J38/1000)</f>
        <v/>
      </c>
      <c r="L38" s="26" t="n">
        <v>0.08171</v>
      </c>
      <c r="M38" s="26" t="n"/>
      <c r="N38" s="27">
        <f>IF(OR(B38="",C38=""),"",IF(M38&lt;&gt;"",M38,IF(AND(N(L38)&gt;0,N(K38)&gt;0),L38/K38,"")))</f>
        <v/>
      </c>
      <c r="O38" s="15">
        <f>IF(C38="","",IFERROR(INDEX(Agentes!$D$6:$D$60,MATCH(C38,Agentes!$A$6:$A$60,0)),""))</f>
        <v/>
      </c>
      <c r="P38" s="28">
        <f>IF(OR(H38="",O38=""),"",IF(AND(O38="Inhalable",LEFT(H38,6)="Casete"),"Subestima: el casete cerrado no colecta toda la fracción inhalable",IF(AND(O38="Respirable",LEFT(H38,6)&lt;&gt;"Ciclón"),"Requiere ciclón (fracción respirable)",IF(AND(O38="Inhalable",ISNUMBER(SEARCH("Respirable",IFERROR(INDEX(Agentes!$C$80:$C$87,MATCH(H38,Agentes!$B$80:$B$87,0)),"")))),"El ciclón no colecta la fracción inhalable","Coherente"))))</f>
        <v/>
      </c>
      <c r="Q38" s="22">
        <f>IF(Y38="","",IFERROR(INDEX(GES!$W$6:$W$35,MATCH(Y38,GES!$R$6:$R$35,0)),""))</f>
        <v/>
      </c>
      <c r="R38" s="29">
        <f>IF(AND(ISNUMBER(N38),ISNUMBER(Q38)),N38/Q38,"")</f>
        <v/>
      </c>
      <c r="S38" s="15">
        <f>IF(C38="","",IFERROR(INDEX(Agentes!$I$6:$I$60,MATCH(C38,Agentes!$A$6:$A$60,0)),""))</f>
        <v/>
      </c>
      <c r="T38" s="8" t="n"/>
      <c r="U38" s="15">
        <f>IF(ISNUMBER(N38),IF(N38&gt;0,LN(N38),""),"")</f>
        <v/>
      </c>
      <c r="V38" s="15">
        <f>IF(ISNUMBER(U38),IFERROR((U38-LN(IFERROR(INDEX(Estadística!$K$6:$K$35,MATCH(Y38,Estadística!$Y$6:$Y$35,0)),0)))^2,""),"")</f>
        <v/>
      </c>
      <c r="W38" s="15">
        <f>IF(ISNUMBER(N38),IFERROR((N38-IFERROR(INDEX(Estadística!$I$6:$I$35,MATCH(Y38,Estadística!$Y$6:$Y$35,0)),0))^2,""),"")</f>
        <v/>
      </c>
      <c r="X38" s="15">
        <f>IF(ISNUMBER(R38),IF(R38&gt;1,1,0),"")</f>
        <v/>
      </c>
      <c r="Y38" s="15">
        <f>IF(OR(B38="",C38=""),"",B38&amp;"|"&amp;C38)</f>
        <v/>
      </c>
    </row>
    <row r="39">
      <c r="A39" s="23" t="n">
        <v>34</v>
      </c>
      <c r="B39" s="8" t="inlineStr">
        <is>
          <t>G04</t>
        </is>
      </c>
      <c r="C39" s="8" t="inlineStr">
        <is>
          <t>KAO</t>
        </is>
      </c>
      <c r="D39" s="9" t="n">
        <v>46282</v>
      </c>
      <c r="E39" s="8" t="inlineStr">
        <is>
          <t>Operador molino 4</t>
        </is>
      </c>
      <c r="F39" s="8" t="inlineStr">
        <is>
          <t>G04-D4</t>
        </is>
      </c>
      <c r="G39" s="8" t="inlineStr">
        <is>
          <t>Personal</t>
        </is>
      </c>
      <c r="H39" s="8" t="inlineStr">
        <is>
          <t>Ciclón nylon 10 mm</t>
        </is>
      </c>
      <c r="I39" s="24" t="n">
        <v>1.7</v>
      </c>
      <c r="J39" s="8" t="n">
        <v>450</v>
      </c>
      <c r="K39" s="25">
        <f>IF(OR(I39="",J39=""),"",I39*J39/1000)</f>
        <v/>
      </c>
      <c r="L39" s="26" t="n">
        <v>0.23866</v>
      </c>
      <c r="M39" s="26" t="n"/>
      <c r="N39" s="27">
        <f>IF(OR(B39="",C39=""),"",IF(M39&lt;&gt;"",M39,IF(AND(N(L39)&gt;0,N(K39)&gt;0),L39/K39,"")))</f>
        <v/>
      </c>
      <c r="O39" s="15">
        <f>IF(C39="","",IFERROR(INDEX(Agentes!$D$6:$D$60,MATCH(C39,Agentes!$A$6:$A$60,0)),""))</f>
        <v/>
      </c>
      <c r="P39" s="28">
        <f>IF(OR(H39="",O39=""),"",IF(AND(O39="Inhalable",LEFT(H39,6)="Casete"),"Subestima: el casete cerrado no colecta toda la fracción inhalable",IF(AND(O39="Respirable",LEFT(H39,6)&lt;&gt;"Ciclón"),"Requiere ciclón (fracción respirable)",IF(AND(O39="Inhalable",ISNUMBER(SEARCH("Respirable",IFERROR(INDEX(Agentes!$C$80:$C$87,MATCH(H39,Agentes!$B$80:$B$87,0)),"")))),"El ciclón no colecta la fracción inhalable","Coherente"))))</f>
        <v/>
      </c>
      <c r="Q39" s="22">
        <f>IF(Y39="","",IFERROR(INDEX(GES!$W$6:$W$35,MATCH(Y39,GES!$R$6:$R$35,0)),""))</f>
        <v/>
      </c>
      <c r="R39" s="29">
        <f>IF(AND(ISNUMBER(N39),ISNUMBER(Q39)),N39/Q39,"")</f>
        <v/>
      </c>
      <c r="S39" s="15">
        <f>IF(C39="","",IFERROR(INDEX(Agentes!$I$6:$I$60,MATCH(C39,Agentes!$A$6:$A$60,0)),""))</f>
        <v/>
      </c>
      <c r="T39" s="8" t="n"/>
      <c r="U39" s="15">
        <f>IF(ISNUMBER(N39),IF(N39&gt;0,LN(N39),""),"")</f>
        <v/>
      </c>
      <c r="V39" s="15">
        <f>IF(ISNUMBER(U39),IFERROR((U39-LN(IFERROR(INDEX(Estadística!$K$6:$K$35,MATCH(Y39,Estadística!$Y$6:$Y$35,0)),0)))^2,""),"")</f>
        <v/>
      </c>
      <c r="W39" s="15">
        <f>IF(ISNUMBER(N39),IFERROR((N39-IFERROR(INDEX(Estadística!$I$6:$I$35,MATCH(Y39,Estadística!$Y$6:$Y$35,0)),0))^2,""),"")</f>
        <v/>
      </c>
      <c r="X39" s="15">
        <f>IF(ISNUMBER(R39),IF(R39&gt;1,1,0),"")</f>
        <v/>
      </c>
      <c r="Y39" s="15">
        <f>IF(OR(B39="",C39=""),"",B39&amp;"|"&amp;C39)</f>
        <v/>
      </c>
    </row>
    <row r="40">
      <c r="A40" s="23" t="n">
        <v>35</v>
      </c>
      <c r="B40" s="8" t="inlineStr">
        <is>
          <t>G04</t>
        </is>
      </c>
      <c r="C40" s="8" t="inlineStr">
        <is>
          <t>KAO</t>
        </is>
      </c>
      <c r="D40" s="9" t="n">
        <v>46283</v>
      </c>
      <c r="E40" s="8" t="inlineStr">
        <is>
          <t>Operador molino 5</t>
        </is>
      </c>
      <c r="F40" s="8" t="inlineStr">
        <is>
          <t>G04-D5</t>
        </is>
      </c>
      <c r="G40" s="8" t="inlineStr">
        <is>
          <t>Personal</t>
        </is>
      </c>
      <c r="H40" s="8" t="inlineStr">
        <is>
          <t>Ciclón nylon 10 mm</t>
        </is>
      </c>
      <c r="I40" s="24" t="n">
        <v>1.7</v>
      </c>
      <c r="J40" s="8" t="n">
        <v>440</v>
      </c>
      <c r="K40" s="25">
        <f>IF(OR(I40="",J40=""),"",I40*J40/1000)</f>
        <v/>
      </c>
      <c r="L40" s="26" t="n">
        <v>0.15757</v>
      </c>
      <c r="M40" s="26" t="n"/>
      <c r="N40" s="27">
        <f>IF(OR(B40="",C40=""),"",IF(M40&lt;&gt;"",M40,IF(AND(N(L40)&gt;0,N(K40)&gt;0),L40/K40,"")))</f>
        <v/>
      </c>
      <c r="O40" s="15">
        <f>IF(C40="","",IFERROR(INDEX(Agentes!$D$6:$D$60,MATCH(C40,Agentes!$A$6:$A$60,0)),""))</f>
        <v/>
      </c>
      <c r="P40" s="28">
        <f>IF(OR(H40="",O40=""),"",IF(AND(O40="Inhalable",LEFT(H40,6)="Casete"),"Subestima: el casete cerrado no colecta toda la fracción inhalable",IF(AND(O40="Respirable",LEFT(H40,6)&lt;&gt;"Ciclón"),"Requiere ciclón (fracción respirable)",IF(AND(O40="Inhalable",ISNUMBER(SEARCH("Respirable",IFERROR(INDEX(Agentes!$C$80:$C$87,MATCH(H40,Agentes!$B$80:$B$87,0)),"")))),"El ciclón no colecta la fracción inhalable","Coherente"))))</f>
        <v/>
      </c>
      <c r="Q40" s="22">
        <f>IF(Y40="","",IFERROR(INDEX(GES!$W$6:$W$35,MATCH(Y40,GES!$R$6:$R$35,0)),""))</f>
        <v/>
      </c>
      <c r="R40" s="29">
        <f>IF(AND(ISNUMBER(N40),ISNUMBER(Q40)),N40/Q40,"")</f>
        <v/>
      </c>
      <c r="S40" s="15">
        <f>IF(C40="","",IFERROR(INDEX(Agentes!$I$6:$I$60,MATCH(C40,Agentes!$A$6:$A$60,0)),""))</f>
        <v/>
      </c>
      <c r="T40" s="8" t="n"/>
      <c r="U40" s="15">
        <f>IF(ISNUMBER(N40),IF(N40&gt;0,LN(N40),""),"")</f>
        <v/>
      </c>
      <c r="V40" s="15">
        <f>IF(ISNUMBER(U40),IFERROR((U40-LN(IFERROR(INDEX(Estadística!$K$6:$K$35,MATCH(Y40,Estadística!$Y$6:$Y$35,0)),0)))^2,""),"")</f>
        <v/>
      </c>
      <c r="W40" s="15">
        <f>IF(ISNUMBER(N40),IFERROR((N40-IFERROR(INDEX(Estadística!$I$6:$I$35,MATCH(Y40,Estadística!$Y$6:$Y$35,0)),0))^2,""),"")</f>
        <v/>
      </c>
      <c r="X40" s="15">
        <f>IF(ISNUMBER(R40),IF(R40&gt;1,1,0),"")</f>
        <v/>
      </c>
      <c r="Y40" s="15">
        <f>IF(OR(B40="",C40=""),"",B40&amp;"|"&amp;C40)</f>
        <v/>
      </c>
    </row>
    <row r="41">
      <c r="A41" s="23" t="n">
        <v>36</v>
      </c>
      <c r="B41" s="8" t="inlineStr">
        <is>
          <t>G04</t>
        </is>
      </c>
      <c r="C41" s="8" t="inlineStr">
        <is>
          <t>KAO</t>
        </is>
      </c>
      <c r="D41" s="9" t="n">
        <v>46284</v>
      </c>
      <c r="E41" s="8" t="inlineStr">
        <is>
          <t>Operador molino 6</t>
        </is>
      </c>
      <c r="F41" s="8" t="inlineStr">
        <is>
          <t>G04-D6</t>
        </is>
      </c>
      <c r="G41" s="8" t="inlineStr">
        <is>
          <t>Personal</t>
        </is>
      </c>
      <c r="H41" s="8" t="inlineStr">
        <is>
          <t>Ciclón nylon 10 mm</t>
        </is>
      </c>
      <c r="I41" s="24" t="n">
        <v>1.7</v>
      </c>
      <c r="J41" s="8" t="n">
        <v>440</v>
      </c>
      <c r="K41" s="25">
        <f>IF(OR(I41="",J41=""),"",I41*J41/1000)</f>
        <v/>
      </c>
      <c r="L41" s="26" t="n">
        <v>0.12476</v>
      </c>
      <c r="M41" s="26" t="n"/>
      <c r="N41" s="27">
        <f>IF(OR(B41="",C41=""),"",IF(M41&lt;&gt;"",M41,IF(AND(N(L41)&gt;0,N(K41)&gt;0),L41/K41,"")))</f>
        <v/>
      </c>
      <c r="O41" s="15">
        <f>IF(C41="","",IFERROR(INDEX(Agentes!$D$6:$D$60,MATCH(C41,Agentes!$A$6:$A$60,0)),""))</f>
        <v/>
      </c>
      <c r="P41" s="28">
        <f>IF(OR(H41="",O41=""),"",IF(AND(O41="Inhalable",LEFT(H41,6)="Casete"),"Subestima: el casete cerrado no colecta toda la fracción inhalable",IF(AND(O41="Respirable",LEFT(H41,6)&lt;&gt;"Ciclón"),"Requiere ciclón (fracción respirable)",IF(AND(O41="Inhalable",ISNUMBER(SEARCH("Respirable",IFERROR(INDEX(Agentes!$C$80:$C$87,MATCH(H41,Agentes!$B$80:$B$87,0)),"")))),"El ciclón no colecta la fracción inhalable","Coherente"))))</f>
        <v/>
      </c>
      <c r="Q41" s="22">
        <f>IF(Y41="","",IFERROR(INDEX(GES!$W$6:$W$35,MATCH(Y41,GES!$R$6:$R$35,0)),""))</f>
        <v/>
      </c>
      <c r="R41" s="29">
        <f>IF(AND(ISNUMBER(N41),ISNUMBER(Q41)),N41/Q41,"")</f>
        <v/>
      </c>
      <c r="S41" s="15">
        <f>IF(C41="","",IFERROR(INDEX(Agentes!$I$6:$I$60,MATCH(C41,Agentes!$A$6:$A$60,0)),""))</f>
        <v/>
      </c>
      <c r="T41" s="8" t="n"/>
      <c r="U41" s="15">
        <f>IF(ISNUMBER(N41),IF(N41&gt;0,LN(N41),""),"")</f>
        <v/>
      </c>
      <c r="V41" s="15">
        <f>IF(ISNUMBER(U41),IFERROR((U41-LN(IFERROR(INDEX(Estadística!$K$6:$K$35,MATCH(Y41,Estadística!$Y$6:$Y$35,0)),0)))^2,""),"")</f>
        <v/>
      </c>
      <c r="W41" s="15">
        <f>IF(ISNUMBER(N41),IFERROR((N41-IFERROR(INDEX(Estadística!$I$6:$I$35,MATCH(Y41,Estadística!$Y$6:$Y$35,0)),0))^2,""),"")</f>
        <v/>
      </c>
      <c r="X41" s="15">
        <f>IF(ISNUMBER(R41),IF(R41&gt;1,1,0),"")</f>
        <v/>
      </c>
      <c r="Y41" s="15">
        <f>IF(OR(B41="",C41=""),"",B41&amp;"|"&amp;C41)</f>
        <v/>
      </c>
    </row>
    <row r="42">
      <c r="A42" s="23" t="n">
        <v>37</v>
      </c>
      <c r="B42" s="8" t="inlineStr">
        <is>
          <t>G05</t>
        </is>
      </c>
      <c r="C42" s="8" t="inlineStr">
        <is>
          <t>PB</t>
        </is>
      </c>
      <c r="D42" s="9" t="n">
        <v>46279</v>
      </c>
      <c r="E42" s="8" t="inlineStr">
        <is>
          <t>Fundidor 1</t>
        </is>
      </c>
      <c r="F42" s="8" t="inlineStr">
        <is>
          <t>G05-D1</t>
        </is>
      </c>
      <c r="G42" s="8" t="inlineStr">
        <is>
          <t>Personal</t>
        </is>
      </c>
      <c r="H42" s="8" t="inlineStr">
        <is>
          <t>Casete 37 mm cerrado (total)</t>
        </is>
      </c>
      <c r="I42" s="24" t="n">
        <v>2</v>
      </c>
      <c r="J42" s="8" t="n">
        <v>470</v>
      </c>
      <c r="K42" s="25">
        <f>IF(OR(I42="",J42=""),"",I42*J42/1000)</f>
        <v/>
      </c>
      <c r="L42" s="26" t="n">
        <v>0.01937</v>
      </c>
      <c r="M42" s="26" t="n"/>
      <c r="N42" s="27">
        <f>IF(OR(B42="",C42=""),"",IF(M42&lt;&gt;"",M42,IF(AND(N(L42)&gt;0,N(K42)&gt;0),L42/K42,"")))</f>
        <v/>
      </c>
      <c r="O42" s="15">
        <f>IF(C42="","",IFERROR(INDEX(Agentes!$D$6:$D$60,MATCH(C42,Agentes!$A$6:$A$60,0)),""))</f>
        <v/>
      </c>
      <c r="P42" s="28">
        <f>IF(OR(H42="",O42=""),"",IF(AND(O42="Inhalable",LEFT(H42,6)="Casete"),"Subestima: el casete cerrado no colecta toda la fracción inhalable",IF(AND(O42="Respirable",LEFT(H42,6)&lt;&gt;"Ciclón"),"Requiere ciclón (fracción respirable)",IF(AND(O42="Inhalable",ISNUMBER(SEARCH("Respirable",IFERROR(INDEX(Agentes!$C$80:$C$87,MATCH(H42,Agentes!$B$80:$B$87,0)),"")))),"El ciclón no colecta la fracción inhalable","Coherente"))))</f>
        <v/>
      </c>
      <c r="Q42" s="22">
        <f>IF(Y42="","",IFERROR(INDEX(GES!$W$6:$W$35,MATCH(Y42,GES!$R$6:$R$35,0)),""))</f>
        <v/>
      </c>
      <c r="R42" s="29">
        <f>IF(AND(ISNUMBER(N42),ISNUMBER(Q42)),N42/Q42,"")</f>
        <v/>
      </c>
      <c r="S42" s="15">
        <f>IF(C42="","",IFERROR(INDEX(Agentes!$I$6:$I$60,MATCH(C42,Agentes!$A$6:$A$60,0)),""))</f>
        <v/>
      </c>
      <c r="T42" s="8" t="n"/>
      <c r="U42" s="15">
        <f>IF(ISNUMBER(N42),IF(N42&gt;0,LN(N42),""),"")</f>
        <v/>
      </c>
      <c r="V42" s="15">
        <f>IF(ISNUMBER(U42),IFERROR((U42-LN(IFERROR(INDEX(Estadística!$K$6:$K$35,MATCH(Y42,Estadística!$Y$6:$Y$35,0)),0)))^2,""),"")</f>
        <v/>
      </c>
      <c r="W42" s="15">
        <f>IF(ISNUMBER(N42),IFERROR((N42-IFERROR(INDEX(Estadística!$I$6:$I$35,MATCH(Y42,Estadística!$Y$6:$Y$35,0)),0))^2,""),"")</f>
        <v/>
      </c>
      <c r="X42" s="15">
        <f>IF(ISNUMBER(R42),IF(R42&gt;1,1,0),"")</f>
        <v/>
      </c>
      <c r="Y42" s="15">
        <f>IF(OR(B42="",C42=""),"",B42&amp;"|"&amp;C42)</f>
        <v/>
      </c>
    </row>
    <row r="43">
      <c r="A43" s="23" t="n">
        <v>38</v>
      </c>
      <c r="B43" s="8" t="inlineStr">
        <is>
          <t>G05</t>
        </is>
      </c>
      <c r="C43" s="8" t="inlineStr">
        <is>
          <t>PB</t>
        </is>
      </c>
      <c r="D43" s="9" t="n">
        <v>46280</v>
      </c>
      <c r="E43" s="8" t="inlineStr">
        <is>
          <t>Fundidor 2</t>
        </is>
      </c>
      <c r="F43" s="8" t="inlineStr">
        <is>
          <t>G05-D2</t>
        </is>
      </c>
      <c r="G43" s="8" t="inlineStr">
        <is>
          <t>Personal</t>
        </is>
      </c>
      <c r="H43" s="8" t="inlineStr">
        <is>
          <t>Casete 37 mm cerrado (total)</t>
        </is>
      </c>
      <c r="I43" s="24" t="n">
        <v>2</v>
      </c>
      <c r="J43" s="8" t="n">
        <v>460</v>
      </c>
      <c r="K43" s="25">
        <f>IF(OR(I43="",J43=""),"",I43*J43/1000)</f>
        <v/>
      </c>
      <c r="L43" s="26" t="n">
        <v>0.02266</v>
      </c>
      <c r="M43" s="26" t="n"/>
      <c r="N43" s="27">
        <f>IF(OR(B43="",C43=""),"",IF(M43&lt;&gt;"",M43,IF(AND(N(L43)&gt;0,N(K43)&gt;0),L43/K43,"")))</f>
        <v/>
      </c>
      <c r="O43" s="15">
        <f>IF(C43="","",IFERROR(INDEX(Agentes!$D$6:$D$60,MATCH(C43,Agentes!$A$6:$A$60,0)),""))</f>
        <v/>
      </c>
      <c r="P43" s="28">
        <f>IF(OR(H43="",O43=""),"",IF(AND(O43="Inhalable",LEFT(H43,6)="Casete"),"Subestima: el casete cerrado no colecta toda la fracción inhalable",IF(AND(O43="Respirable",LEFT(H43,6)&lt;&gt;"Ciclón"),"Requiere ciclón (fracción respirable)",IF(AND(O43="Inhalable",ISNUMBER(SEARCH("Respirable",IFERROR(INDEX(Agentes!$C$80:$C$87,MATCH(H43,Agentes!$B$80:$B$87,0)),"")))),"El ciclón no colecta la fracción inhalable","Coherente"))))</f>
        <v/>
      </c>
      <c r="Q43" s="22">
        <f>IF(Y43="","",IFERROR(INDEX(GES!$W$6:$W$35,MATCH(Y43,GES!$R$6:$R$35,0)),""))</f>
        <v/>
      </c>
      <c r="R43" s="29">
        <f>IF(AND(ISNUMBER(N43),ISNUMBER(Q43)),N43/Q43,"")</f>
        <v/>
      </c>
      <c r="S43" s="15">
        <f>IF(C43="","",IFERROR(INDEX(Agentes!$I$6:$I$60,MATCH(C43,Agentes!$A$6:$A$60,0)),""))</f>
        <v/>
      </c>
      <c r="T43" s="8" t="n"/>
      <c r="U43" s="15">
        <f>IF(ISNUMBER(N43),IF(N43&gt;0,LN(N43),""),"")</f>
        <v/>
      </c>
      <c r="V43" s="15">
        <f>IF(ISNUMBER(U43),IFERROR((U43-LN(IFERROR(INDEX(Estadística!$K$6:$K$35,MATCH(Y43,Estadística!$Y$6:$Y$35,0)),0)))^2,""),"")</f>
        <v/>
      </c>
      <c r="W43" s="15">
        <f>IF(ISNUMBER(N43),IFERROR((N43-IFERROR(INDEX(Estadística!$I$6:$I$35,MATCH(Y43,Estadística!$Y$6:$Y$35,0)),0))^2,""),"")</f>
        <v/>
      </c>
      <c r="X43" s="15">
        <f>IF(ISNUMBER(R43),IF(R43&gt;1,1,0),"")</f>
        <v/>
      </c>
      <c r="Y43" s="15">
        <f>IF(OR(B43="",C43=""),"",B43&amp;"|"&amp;C43)</f>
        <v/>
      </c>
    </row>
    <row r="44">
      <c r="A44" s="23" t="n">
        <v>39</v>
      </c>
      <c r="B44" s="8" t="inlineStr">
        <is>
          <t>G05</t>
        </is>
      </c>
      <c r="C44" s="8" t="inlineStr">
        <is>
          <t>PB</t>
        </is>
      </c>
      <c r="D44" s="9" t="n">
        <v>46281</v>
      </c>
      <c r="E44" s="8" t="inlineStr">
        <is>
          <t>Fundidor 3</t>
        </is>
      </c>
      <c r="F44" s="8" t="inlineStr">
        <is>
          <t>G05-D3</t>
        </is>
      </c>
      <c r="G44" s="8" t="inlineStr">
        <is>
          <t>Personal</t>
        </is>
      </c>
      <c r="H44" s="8" t="inlineStr">
        <is>
          <t>Casete 37 mm cerrado (total)</t>
        </is>
      </c>
      <c r="I44" s="24" t="n">
        <v>2</v>
      </c>
      <c r="J44" s="8" t="n">
        <v>450</v>
      </c>
      <c r="K44" s="25">
        <f>IF(OR(I44="",J44=""),"",I44*J44/1000)</f>
        <v/>
      </c>
      <c r="L44" s="26" t="n">
        <v>0.01577</v>
      </c>
      <c r="M44" s="26" t="n"/>
      <c r="N44" s="27">
        <f>IF(OR(B44="",C44=""),"",IF(M44&lt;&gt;"",M44,IF(AND(N(L44)&gt;0,N(K44)&gt;0),L44/K44,"")))</f>
        <v/>
      </c>
      <c r="O44" s="15">
        <f>IF(C44="","",IFERROR(INDEX(Agentes!$D$6:$D$60,MATCH(C44,Agentes!$A$6:$A$60,0)),""))</f>
        <v/>
      </c>
      <c r="P44" s="28">
        <f>IF(OR(H44="",O44=""),"",IF(AND(O44="Inhalable",LEFT(H44,6)="Casete"),"Subestima: el casete cerrado no colecta toda la fracción inhalable",IF(AND(O44="Respirable",LEFT(H44,6)&lt;&gt;"Ciclón"),"Requiere ciclón (fracción respirable)",IF(AND(O44="Inhalable",ISNUMBER(SEARCH("Respirable",IFERROR(INDEX(Agentes!$C$80:$C$87,MATCH(H44,Agentes!$B$80:$B$87,0)),"")))),"El ciclón no colecta la fracción inhalable","Coherente"))))</f>
        <v/>
      </c>
      <c r="Q44" s="22">
        <f>IF(Y44="","",IFERROR(INDEX(GES!$W$6:$W$35,MATCH(Y44,GES!$R$6:$R$35,0)),""))</f>
        <v/>
      </c>
      <c r="R44" s="29">
        <f>IF(AND(ISNUMBER(N44),ISNUMBER(Q44)),N44/Q44,"")</f>
        <v/>
      </c>
      <c r="S44" s="15">
        <f>IF(C44="","",IFERROR(INDEX(Agentes!$I$6:$I$60,MATCH(C44,Agentes!$A$6:$A$60,0)),""))</f>
        <v/>
      </c>
      <c r="T44" s="8" t="n"/>
      <c r="U44" s="15">
        <f>IF(ISNUMBER(N44),IF(N44&gt;0,LN(N44),""),"")</f>
        <v/>
      </c>
      <c r="V44" s="15">
        <f>IF(ISNUMBER(U44),IFERROR((U44-LN(IFERROR(INDEX(Estadística!$K$6:$K$35,MATCH(Y44,Estadística!$Y$6:$Y$35,0)),0)))^2,""),"")</f>
        <v/>
      </c>
      <c r="W44" s="15">
        <f>IF(ISNUMBER(N44),IFERROR((N44-IFERROR(INDEX(Estadística!$I$6:$I$35,MATCH(Y44,Estadística!$Y$6:$Y$35,0)),0))^2,""),"")</f>
        <v/>
      </c>
      <c r="X44" s="15">
        <f>IF(ISNUMBER(R44),IF(R44&gt;1,1,0),"")</f>
        <v/>
      </c>
      <c r="Y44" s="15">
        <f>IF(OR(B44="",C44=""),"",B44&amp;"|"&amp;C44)</f>
        <v/>
      </c>
    </row>
    <row r="45">
      <c r="A45" s="23" t="n">
        <v>40</v>
      </c>
      <c r="B45" s="8" t="inlineStr">
        <is>
          <t>G05</t>
        </is>
      </c>
      <c r="C45" s="8" t="inlineStr">
        <is>
          <t>PB</t>
        </is>
      </c>
      <c r="D45" s="9" t="n">
        <v>46282</v>
      </c>
      <c r="E45" s="8" t="inlineStr">
        <is>
          <t>Fundidor 4</t>
        </is>
      </c>
      <c r="F45" s="8" t="inlineStr">
        <is>
          <t>G05-D4</t>
        </is>
      </c>
      <c r="G45" s="8" t="inlineStr">
        <is>
          <t>Personal</t>
        </is>
      </c>
      <c r="H45" s="8" t="inlineStr">
        <is>
          <t>Casete 37 mm cerrado (total)</t>
        </is>
      </c>
      <c r="I45" s="24" t="n">
        <v>2</v>
      </c>
      <c r="J45" s="8" t="n">
        <v>460</v>
      </c>
      <c r="K45" s="25">
        <f>IF(OR(I45="",J45=""),"",I45*J45/1000)</f>
        <v/>
      </c>
      <c r="L45" s="26" t="n">
        <v>0.009990000000000001</v>
      </c>
      <c r="M45" s="26" t="n"/>
      <c r="N45" s="27">
        <f>IF(OR(B45="",C45=""),"",IF(M45&lt;&gt;"",M45,IF(AND(N(L45)&gt;0,N(K45)&gt;0),L45/K45,"")))</f>
        <v/>
      </c>
      <c r="O45" s="15">
        <f>IF(C45="","",IFERROR(INDEX(Agentes!$D$6:$D$60,MATCH(C45,Agentes!$A$6:$A$60,0)),""))</f>
        <v/>
      </c>
      <c r="P45" s="28">
        <f>IF(OR(H45="",O45=""),"",IF(AND(O45="Inhalable",LEFT(H45,6)="Casete"),"Subestima: el casete cerrado no colecta toda la fracción inhalable",IF(AND(O45="Respirable",LEFT(H45,6)&lt;&gt;"Ciclón"),"Requiere ciclón (fracción respirable)",IF(AND(O45="Inhalable",ISNUMBER(SEARCH("Respirable",IFERROR(INDEX(Agentes!$C$80:$C$87,MATCH(H45,Agentes!$B$80:$B$87,0)),"")))),"El ciclón no colecta la fracción inhalable","Coherente"))))</f>
        <v/>
      </c>
      <c r="Q45" s="22">
        <f>IF(Y45="","",IFERROR(INDEX(GES!$W$6:$W$35,MATCH(Y45,GES!$R$6:$R$35,0)),""))</f>
        <v/>
      </c>
      <c r="R45" s="29">
        <f>IF(AND(ISNUMBER(N45),ISNUMBER(Q45)),N45/Q45,"")</f>
        <v/>
      </c>
      <c r="S45" s="15">
        <f>IF(C45="","",IFERROR(INDEX(Agentes!$I$6:$I$60,MATCH(C45,Agentes!$A$6:$A$60,0)),""))</f>
        <v/>
      </c>
      <c r="T45" s="8" t="n"/>
      <c r="U45" s="15">
        <f>IF(ISNUMBER(N45),IF(N45&gt;0,LN(N45),""),"")</f>
        <v/>
      </c>
      <c r="V45" s="15">
        <f>IF(ISNUMBER(U45),IFERROR((U45-LN(IFERROR(INDEX(Estadística!$K$6:$K$35,MATCH(Y45,Estadística!$Y$6:$Y$35,0)),0)))^2,""),"")</f>
        <v/>
      </c>
      <c r="W45" s="15">
        <f>IF(ISNUMBER(N45),IFERROR((N45-IFERROR(INDEX(Estadística!$I$6:$I$35,MATCH(Y45,Estadística!$Y$6:$Y$35,0)),0))^2,""),"")</f>
        <v/>
      </c>
      <c r="X45" s="15">
        <f>IF(ISNUMBER(R45),IF(R45&gt;1,1,0),"")</f>
        <v/>
      </c>
      <c r="Y45" s="15">
        <f>IF(OR(B45="",C45=""),"",B45&amp;"|"&amp;C45)</f>
        <v/>
      </c>
    </row>
    <row r="46">
      <c r="A46" s="23" t="n">
        <v>41</v>
      </c>
      <c r="B46" s="8" t="inlineStr">
        <is>
          <t>G05</t>
        </is>
      </c>
      <c r="C46" s="8" t="inlineStr">
        <is>
          <t>PB</t>
        </is>
      </c>
      <c r="D46" s="9" t="n">
        <v>46283</v>
      </c>
      <c r="E46" s="8" t="inlineStr">
        <is>
          <t>Fundidor 5</t>
        </is>
      </c>
      <c r="F46" s="8" t="inlineStr">
        <is>
          <t>G05-D5</t>
        </is>
      </c>
      <c r="G46" s="8" t="inlineStr">
        <is>
          <t>Personal</t>
        </is>
      </c>
      <c r="H46" s="8" t="inlineStr">
        <is>
          <t>Casete 37 mm cerrado (total)</t>
        </is>
      </c>
      <c r="I46" s="24" t="n">
        <v>2</v>
      </c>
      <c r="J46" s="8" t="n">
        <v>450</v>
      </c>
      <c r="K46" s="25">
        <f>IF(OR(I46="",J46=""),"",I46*J46/1000)</f>
        <v/>
      </c>
      <c r="L46" s="26" t="n">
        <v>0.01319</v>
      </c>
      <c r="M46" s="26" t="n"/>
      <c r="N46" s="27">
        <f>IF(OR(B46="",C46=""),"",IF(M46&lt;&gt;"",M46,IF(AND(N(L46)&gt;0,N(K46)&gt;0),L46/K46,"")))</f>
        <v/>
      </c>
      <c r="O46" s="15">
        <f>IF(C46="","",IFERROR(INDEX(Agentes!$D$6:$D$60,MATCH(C46,Agentes!$A$6:$A$60,0)),""))</f>
        <v/>
      </c>
      <c r="P46" s="28">
        <f>IF(OR(H46="",O46=""),"",IF(AND(O46="Inhalable",LEFT(H46,6)="Casete"),"Subestima: el casete cerrado no colecta toda la fracción inhalable",IF(AND(O46="Respirable",LEFT(H46,6)&lt;&gt;"Ciclón"),"Requiere ciclón (fracción respirable)",IF(AND(O46="Inhalable",ISNUMBER(SEARCH("Respirable",IFERROR(INDEX(Agentes!$C$80:$C$87,MATCH(H46,Agentes!$B$80:$B$87,0)),"")))),"El ciclón no colecta la fracción inhalable","Coherente"))))</f>
        <v/>
      </c>
      <c r="Q46" s="22">
        <f>IF(Y46="","",IFERROR(INDEX(GES!$W$6:$W$35,MATCH(Y46,GES!$R$6:$R$35,0)),""))</f>
        <v/>
      </c>
      <c r="R46" s="29">
        <f>IF(AND(ISNUMBER(N46),ISNUMBER(Q46)),N46/Q46,"")</f>
        <v/>
      </c>
      <c r="S46" s="15">
        <f>IF(C46="","",IFERROR(INDEX(Agentes!$I$6:$I$60,MATCH(C46,Agentes!$A$6:$A$60,0)),""))</f>
        <v/>
      </c>
      <c r="T46" s="8" t="n"/>
      <c r="U46" s="15">
        <f>IF(ISNUMBER(N46),IF(N46&gt;0,LN(N46),""),"")</f>
        <v/>
      </c>
      <c r="V46" s="15">
        <f>IF(ISNUMBER(U46),IFERROR((U46-LN(IFERROR(INDEX(Estadística!$K$6:$K$35,MATCH(Y46,Estadística!$Y$6:$Y$35,0)),0)))^2,""),"")</f>
        <v/>
      </c>
      <c r="W46" s="15">
        <f>IF(ISNUMBER(N46),IFERROR((N46-IFERROR(INDEX(Estadística!$I$6:$I$35,MATCH(Y46,Estadística!$Y$6:$Y$35,0)),0))^2,""),"")</f>
        <v/>
      </c>
      <c r="X46" s="15">
        <f>IF(ISNUMBER(R46),IF(R46&gt;1,1,0),"")</f>
        <v/>
      </c>
      <c r="Y46" s="15">
        <f>IF(OR(B46="",C46=""),"",B46&amp;"|"&amp;C46)</f>
        <v/>
      </c>
    </row>
    <row r="47">
      <c r="A47" s="23" t="n">
        <v>42</v>
      </c>
      <c r="B47" s="8" t="inlineStr">
        <is>
          <t>G05</t>
        </is>
      </c>
      <c r="C47" s="8" t="inlineStr">
        <is>
          <t>PB</t>
        </is>
      </c>
      <c r="D47" s="9" t="n">
        <v>46284</v>
      </c>
      <c r="E47" s="8" t="inlineStr">
        <is>
          <t>Fundidor 6</t>
        </is>
      </c>
      <c r="F47" s="8" t="inlineStr">
        <is>
          <t>G05-D6</t>
        </is>
      </c>
      <c r="G47" s="8" t="inlineStr">
        <is>
          <t>Personal</t>
        </is>
      </c>
      <c r="H47" s="8" t="inlineStr">
        <is>
          <t>Casete 37 mm cerrado (total)</t>
        </is>
      </c>
      <c r="I47" s="24" t="n">
        <v>2</v>
      </c>
      <c r="J47" s="8" t="n">
        <v>470</v>
      </c>
      <c r="K47" s="25">
        <f>IF(OR(I47="",J47=""),"",I47*J47/1000)</f>
        <v/>
      </c>
      <c r="L47" s="26" t="n">
        <v>0.03125</v>
      </c>
      <c r="M47" s="26" t="n"/>
      <c r="N47" s="27">
        <f>IF(OR(B47="",C47=""),"",IF(M47&lt;&gt;"",M47,IF(AND(N(L47)&gt;0,N(K47)&gt;0),L47/K47,"")))</f>
        <v/>
      </c>
      <c r="O47" s="15">
        <f>IF(C47="","",IFERROR(INDEX(Agentes!$D$6:$D$60,MATCH(C47,Agentes!$A$6:$A$60,0)),""))</f>
        <v/>
      </c>
      <c r="P47" s="28">
        <f>IF(OR(H47="",O47=""),"",IF(AND(O47="Inhalable",LEFT(H47,6)="Casete"),"Subestima: el casete cerrado no colecta toda la fracción inhalable",IF(AND(O47="Respirable",LEFT(H47,6)&lt;&gt;"Ciclón"),"Requiere ciclón (fracción respirable)",IF(AND(O47="Inhalable",ISNUMBER(SEARCH("Respirable",IFERROR(INDEX(Agentes!$C$80:$C$87,MATCH(H47,Agentes!$B$80:$B$87,0)),"")))),"El ciclón no colecta la fracción inhalable","Coherente"))))</f>
        <v/>
      </c>
      <c r="Q47" s="22">
        <f>IF(Y47="","",IFERROR(INDEX(GES!$W$6:$W$35,MATCH(Y47,GES!$R$6:$R$35,0)),""))</f>
        <v/>
      </c>
      <c r="R47" s="29">
        <f>IF(AND(ISNUMBER(N47),ISNUMBER(Q47)),N47/Q47,"")</f>
        <v/>
      </c>
      <c r="S47" s="15">
        <f>IF(C47="","",IFERROR(INDEX(Agentes!$I$6:$I$60,MATCH(C47,Agentes!$A$6:$A$60,0)),""))</f>
        <v/>
      </c>
      <c r="T47" s="8" t="n"/>
      <c r="U47" s="15">
        <f>IF(ISNUMBER(N47),IF(N47&gt;0,LN(N47),""),"")</f>
        <v/>
      </c>
      <c r="V47" s="15">
        <f>IF(ISNUMBER(U47),IFERROR((U47-LN(IFERROR(INDEX(Estadística!$K$6:$K$35,MATCH(Y47,Estadística!$Y$6:$Y$35,0)),0)))^2,""),"")</f>
        <v/>
      </c>
      <c r="W47" s="15">
        <f>IF(ISNUMBER(N47),IFERROR((N47-IFERROR(INDEX(Estadística!$I$6:$I$35,MATCH(Y47,Estadística!$Y$6:$Y$35,0)),0))^2,""),"")</f>
        <v/>
      </c>
      <c r="X47" s="15">
        <f>IF(ISNUMBER(R47),IF(R47&gt;1,1,0),"")</f>
        <v/>
      </c>
      <c r="Y47" s="15">
        <f>IF(OR(B47="",C47=""),"",B47&amp;"|"&amp;C47)</f>
        <v/>
      </c>
    </row>
    <row r="48">
      <c r="A48" s="23" t="n">
        <v>43</v>
      </c>
      <c r="B48" s="8" t="inlineStr">
        <is>
          <t>G06</t>
        </is>
      </c>
      <c r="C48" s="8" t="inlineStr">
        <is>
          <t>PNOS-I</t>
        </is>
      </c>
      <c r="D48" s="9" t="n">
        <v>46279</v>
      </c>
      <c r="E48" s="8" t="inlineStr">
        <is>
          <t>Pulidor 1</t>
        </is>
      </c>
      <c r="F48" s="8" t="inlineStr">
        <is>
          <t>G06-D1</t>
        </is>
      </c>
      <c r="G48" s="8" t="inlineStr">
        <is>
          <t>Personal</t>
        </is>
      </c>
      <c r="H48" s="8" t="inlineStr">
        <is>
          <t>IOM inhalable (25 mm)</t>
        </is>
      </c>
      <c r="I48" s="24" t="n">
        <v>2</v>
      </c>
      <c r="J48" s="8" t="n">
        <v>440</v>
      </c>
      <c r="K48" s="25">
        <f>IF(OR(I48="",J48=""),"",I48*J48/1000)</f>
        <v/>
      </c>
      <c r="L48" s="26" t="n">
        <v>2.37418</v>
      </c>
      <c r="M48" s="26" t="n"/>
      <c r="N48" s="27">
        <f>IF(OR(B48="",C48=""),"",IF(M48&lt;&gt;"",M48,IF(AND(N(L48)&gt;0,N(K48)&gt;0),L48/K48,"")))</f>
        <v/>
      </c>
      <c r="O48" s="15">
        <f>IF(C48="","",IFERROR(INDEX(Agentes!$D$6:$D$60,MATCH(C48,Agentes!$A$6:$A$60,0)),""))</f>
        <v/>
      </c>
      <c r="P48" s="28">
        <f>IF(OR(H48="",O48=""),"",IF(AND(O48="Inhalable",LEFT(H48,6)="Casete"),"Subestima: el casete cerrado no colecta toda la fracción inhalable",IF(AND(O48="Respirable",LEFT(H48,6)&lt;&gt;"Ciclón"),"Requiere ciclón (fracción respirable)",IF(AND(O48="Inhalable",ISNUMBER(SEARCH("Respirable",IFERROR(INDEX(Agentes!$C$80:$C$87,MATCH(H48,Agentes!$B$80:$B$87,0)),"")))),"El ciclón no colecta la fracción inhalable","Coherente"))))</f>
        <v/>
      </c>
      <c r="Q48" s="22">
        <f>IF(Y48="","",IFERROR(INDEX(GES!$W$6:$W$35,MATCH(Y48,GES!$R$6:$R$35,0)),""))</f>
        <v/>
      </c>
      <c r="R48" s="29">
        <f>IF(AND(ISNUMBER(N48),ISNUMBER(Q48)),N48/Q48,"")</f>
        <v/>
      </c>
      <c r="S48" s="15">
        <f>IF(C48="","",IFERROR(INDEX(Agentes!$I$6:$I$60,MATCH(C48,Agentes!$A$6:$A$60,0)),""))</f>
        <v/>
      </c>
      <c r="T48" s="8" t="n"/>
      <c r="U48" s="15">
        <f>IF(ISNUMBER(N48),IF(N48&gt;0,LN(N48),""),"")</f>
        <v/>
      </c>
      <c r="V48" s="15">
        <f>IF(ISNUMBER(U48),IFERROR((U48-LN(IFERROR(INDEX(Estadística!$K$6:$K$35,MATCH(Y48,Estadística!$Y$6:$Y$35,0)),0)))^2,""),"")</f>
        <v/>
      </c>
      <c r="W48" s="15">
        <f>IF(ISNUMBER(N48),IFERROR((N48-IFERROR(INDEX(Estadística!$I$6:$I$35,MATCH(Y48,Estadística!$Y$6:$Y$35,0)),0))^2,""),"")</f>
        <v/>
      </c>
      <c r="X48" s="15">
        <f>IF(ISNUMBER(R48),IF(R48&gt;1,1,0),"")</f>
        <v/>
      </c>
      <c r="Y48" s="15">
        <f>IF(OR(B48="",C48=""),"",B48&amp;"|"&amp;C48)</f>
        <v/>
      </c>
    </row>
    <row r="49">
      <c r="A49" s="23" t="n">
        <v>44</v>
      </c>
      <c r="B49" s="8" t="inlineStr">
        <is>
          <t>G06</t>
        </is>
      </c>
      <c r="C49" s="8" t="inlineStr">
        <is>
          <t>PNOS-I</t>
        </is>
      </c>
      <c r="D49" s="9" t="n">
        <v>46280</v>
      </c>
      <c r="E49" s="8" t="inlineStr">
        <is>
          <t>Pulidor 2</t>
        </is>
      </c>
      <c r="F49" s="8" t="inlineStr">
        <is>
          <t>G06-D2</t>
        </is>
      </c>
      <c r="G49" s="8" t="inlineStr">
        <is>
          <t>Personal</t>
        </is>
      </c>
      <c r="H49" s="8" t="inlineStr">
        <is>
          <t>IOM inhalable (25 mm)</t>
        </is>
      </c>
      <c r="I49" s="24" t="n">
        <v>2</v>
      </c>
      <c r="J49" s="8" t="n">
        <v>460</v>
      </c>
      <c r="K49" s="25">
        <f>IF(OR(I49="",J49=""),"",I49*J49/1000)</f>
        <v/>
      </c>
      <c r="L49" s="26" t="n">
        <v>1.96527</v>
      </c>
      <c r="M49" s="26" t="n"/>
      <c r="N49" s="27">
        <f>IF(OR(B49="",C49=""),"",IF(M49&lt;&gt;"",M49,IF(AND(N(L49)&gt;0,N(K49)&gt;0),L49/K49,"")))</f>
        <v/>
      </c>
      <c r="O49" s="15">
        <f>IF(C49="","",IFERROR(INDEX(Agentes!$D$6:$D$60,MATCH(C49,Agentes!$A$6:$A$60,0)),""))</f>
        <v/>
      </c>
      <c r="P49" s="28">
        <f>IF(OR(H49="",O49=""),"",IF(AND(O49="Inhalable",LEFT(H49,6)="Casete"),"Subestima: el casete cerrado no colecta toda la fracción inhalable",IF(AND(O49="Respirable",LEFT(H49,6)&lt;&gt;"Ciclón"),"Requiere ciclón (fracción respirable)",IF(AND(O49="Inhalable",ISNUMBER(SEARCH("Respirable",IFERROR(INDEX(Agentes!$C$80:$C$87,MATCH(H49,Agentes!$B$80:$B$87,0)),"")))),"El ciclón no colecta la fracción inhalable","Coherente"))))</f>
        <v/>
      </c>
      <c r="Q49" s="22">
        <f>IF(Y49="","",IFERROR(INDEX(GES!$W$6:$W$35,MATCH(Y49,GES!$R$6:$R$35,0)),""))</f>
        <v/>
      </c>
      <c r="R49" s="29">
        <f>IF(AND(ISNUMBER(N49),ISNUMBER(Q49)),N49/Q49,"")</f>
        <v/>
      </c>
      <c r="S49" s="15">
        <f>IF(C49="","",IFERROR(INDEX(Agentes!$I$6:$I$60,MATCH(C49,Agentes!$A$6:$A$60,0)),""))</f>
        <v/>
      </c>
      <c r="T49" s="8" t="n"/>
      <c r="U49" s="15">
        <f>IF(ISNUMBER(N49),IF(N49&gt;0,LN(N49),""),"")</f>
        <v/>
      </c>
      <c r="V49" s="15">
        <f>IF(ISNUMBER(U49),IFERROR((U49-LN(IFERROR(INDEX(Estadística!$K$6:$K$35,MATCH(Y49,Estadística!$Y$6:$Y$35,0)),0)))^2,""),"")</f>
        <v/>
      </c>
      <c r="W49" s="15">
        <f>IF(ISNUMBER(N49),IFERROR((N49-IFERROR(INDEX(Estadística!$I$6:$I$35,MATCH(Y49,Estadística!$Y$6:$Y$35,0)),0))^2,""),"")</f>
        <v/>
      </c>
      <c r="X49" s="15">
        <f>IF(ISNUMBER(R49),IF(R49&gt;1,1,0),"")</f>
        <v/>
      </c>
      <c r="Y49" s="15">
        <f>IF(OR(B49="",C49=""),"",B49&amp;"|"&amp;C49)</f>
        <v/>
      </c>
    </row>
    <row r="50">
      <c r="A50" s="23" t="n">
        <v>45</v>
      </c>
      <c r="B50" s="8" t="inlineStr">
        <is>
          <t>G06</t>
        </is>
      </c>
      <c r="C50" s="8" t="inlineStr">
        <is>
          <t>PNOS-I</t>
        </is>
      </c>
      <c r="D50" s="9" t="n">
        <v>46281</v>
      </c>
      <c r="E50" s="8" t="inlineStr">
        <is>
          <t>Pulidor 3</t>
        </is>
      </c>
      <c r="F50" s="8" t="inlineStr">
        <is>
          <t>G06-D3</t>
        </is>
      </c>
      <c r="G50" s="8" t="inlineStr">
        <is>
          <t>Personal</t>
        </is>
      </c>
      <c r="H50" s="8" t="inlineStr">
        <is>
          <t>IOM inhalable (25 mm)</t>
        </is>
      </c>
      <c r="I50" s="24" t="n">
        <v>2</v>
      </c>
      <c r="J50" s="8" t="n">
        <v>460</v>
      </c>
      <c r="K50" s="25">
        <f>IF(OR(I50="",J50=""),"",I50*J50/1000)</f>
        <v/>
      </c>
      <c r="L50" s="26" t="n">
        <v>3.87611</v>
      </c>
      <c r="M50" s="26" t="n"/>
      <c r="N50" s="27">
        <f>IF(OR(B50="",C50=""),"",IF(M50&lt;&gt;"",M50,IF(AND(N(L50)&gt;0,N(K50)&gt;0),L50/K50,"")))</f>
        <v/>
      </c>
      <c r="O50" s="15">
        <f>IF(C50="","",IFERROR(INDEX(Agentes!$D$6:$D$60,MATCH(C50,Agentes!$A$6:$A$60,0)),""))</f>
        <v/>
      </c>
      <c r="P50" s="28">
        <f>IF(OR(H50="",O50=""),"",IF(AND(O50="Inhalable",LEFT(H50,6)="Casete"),"Subestima: el casete cerrado no colecta toda la fracción inhalable",IF(AND(O50="Respirable",LEFT(H50,6)&lt;&gt;"Ciclón"),"Requiere ciclón (fracción respirable)",IF(AND(O50="Inhalable",ISNUMBER(SEARCH("Respirable",IFERROR(INDEX(Agentes!$C$80:$C$87,MATCH(H50,Agentes!$B$80:$B$87,0)),"")))),"El ciclón no colecta la fracción inhalable","Coherente"))))</f>
        <v/>
      </c>
      <c r="Q50" s="22">
        <f>IF(Y50="","",IFERROR(INDEX(GES!$W$6:$W$35,MATCH(Y50,GES!$R$6:$R$35,0)),""))</f>
        <v/>
      </c>
      <c r="R50" s="29">
        <f>IF(AND(ISNUMBER(N50),ISNUMBER(Q50)),N50/Q50,"")</f>
        <v/>
      </c>
      <c r="S50" s="15">
        <f>IF(C50="","",IFERROR(INDEX(Agentes!$I$6:$I$60,MATCH(C50,Agentes!$A$6:$A$60,0)),""))</f>
        <v/>
      </c>
      <c r="T50" s="8" t="n"/>
      <c r="U50" s="15">
        <f>IF(ISNUMBER(N50),IF(N50&gt;0,LN(N50),""),"")</f>
        <v/>
      </c>
      <c r="V50" s="15">
        <f>IF(ISNUMBER(U50),IFERROR((U50-LN(IFERROR(INDEX(Estadística!$K$6:$K$35,MATCH(Y50,Estadística!$Y$6:$Y$35,0)),0)))^2,""),"")</f>
        <v/>
      </c>
      <c r="W50" s="15">
        <f>IF(ISNUMBER(N50),IFERROR((N50-IFERROR(INDEX(Estadística!$I$6:$I$35,MATCH(Y50,Estadística!$Y$6:$Y$35,0)),0))^2,""),"")</f>
        <v/>
      </c>
      <c r="X50" s="15">
        <f>IF(ISNUMBER(R50),IF(R50&gt;1,1,0),"")</f>
        <v/>
      </c>
      <c r="Y50" s="15">
        <f>IF(OR(B50="",C50=""),"",B50&amp;"|"&amp;C50)</f>
        <v/>
      </c>
    </row>
    <row r="51">
      <c r="A51" s="23" t="n">
        <v>46</v>
      </c>
      <c r="B51" s="8" t="inlineStr">
        <is>
          <t>G06</t>
        </is>
      </c>
      <c r="C51" s="8" t="inlineStr">
        <is>
          <t>PNOS-I</t>
        </is>
      </c>
      <c r="D51" s="9" t="n">
        <v>46282</v>
      </c>
      <c r="E51" s="8" t="inlineStr">
        <is>
          <t>Pulidor 4</t>
        </is>
      </c>
      <c r="F51" s="8" t="inlineStr">
        <is>
          <t>G06-D4</t>
        </is>
      </c>
      <c r="G51" s="8" t="inlineStr">
        <is>
          <t>Personal</t>
        </is>
      </c>
      <c r="H51" s="8" t="inlineStr">
        <is>
          <t>IOM inhalable (25 mm)</t>
        </is>
      </c>
      <c r="I51" s="24" t="n">
        <v>2</v>
      </c>
      <c r="J51" s="8" t="n">
        <v>420</v>
      </c>
      <c r="K51" s="25">
        <f>IF(OR(I51="",J51=""),"",I51*J51/1000)</f>
        <v/>
      </c>
      <c r="L51" s="26" t="n">
        <v>2.80214</v>
      </c>
      <c r="M51" s="26" t="n"/>
      <c r="N51" s="27">
        <f>IF(OR(B51="",C51=""),"",IF(M51&lt;&gt;"",M51,IF(AND(N(L51)&gt;0,N(K51)&gt;0),L51/K51,"")))</f>
        <v/>
      </c>
      <c r="O51" s="15">
        <f>IF(C51="","",IFERROR(INDEX(Agentes!$D$6:$D$60,MATCH(C51,Agentes!$A$6:$A$60,0)),""))</f>
        <v/>
      </c>
      <c r="P51" s="28">
        <f>IF(OR(H51="",O51=""),"",IF(AND(O51="Inhalable",LEFT(H51,6)="Casete"),"Subestima: el casete cerrado no colecta toda la fracción inhalable",IF(AND(O51="Respirable",LEFT(H51,6)&lt;&gt;"Ciclón"),"Requiere ciclón (fracción respirable)",IF(AND(O51="Inhalable",ISNUMBER(SEARCH("Respirable",IFERROR(INDEX(Agentes!$C$80:$C$87,MATCH(H51,Agentes!$B$80:$B$87,0)),"")))),"El ciclón no colecta la fracción inhalable","Coherente"))))</f>
        <v/>
      </c>
      <c r="Q51" s="22">
        <f>IF(Y51="","",IFERROR(INDEX(GES!$W$6:$W$35,MATCH(Y51,GES!$R$6:$R$35,0)),""))</f>
        <v/>
      </c>
      <c r="R51" s="29">
        <f>IF(AND(ISNUMBER(N51),ISNUMBER(Q51)),N51/Q51,"")</f>
        <v/>
      </c>
      <c r="S51" s="15">
        <f>IF(C51="","",IFERROR(INDEX(Agentes!$I$6:$I$60,MATCH(C51,Agentes!$A$6:$A$60,0)),""))</f>
        <v/>
      </c>
      <c r="T51" s="8" t="n"/>
      <c r="U51" s="15">
        <f>IF(ISNUMBER(N51),IF(N51&gt;0,LN(N51),""),"")</f>
        <v/>
      </c>
      <c r="V51" s="15">
        <f>IF(ISNUMBER(U51),IFERROR((U51-LN(IFERROR(INDEX(Estadística!$K$6:$K$35,MATCH(Y51,Estadística!$Y$6:$Y$35,0)),0)))^2,""),"")</f>
        <v/>
      </c>
      <c r="W51" s="15">
        <f>IF(ISNUMBER(N51),IFERROR((N51-IFERROR(INDEX(Estadística!$I$6:$I$35,MATCH(Y51,Estadística!$Y$6:$Y$35,0)),0))^2,""),"")</f>
        <v/>
      </c>
      <c r="X51" s="15">
        <f>IF(ISNUMBER(R51),IF(R51&gt;1,1,0),"")</f>
        <v/>
      </c>
      <c r="Y51" s="15">
        <f>IF(OR(B51="",C51=""),"",B51&amp;"|"&amp;C51)</f>
        <v/>
      </c>
    </row>
    <row r="52">
      <c r="A52" s="23" t="n">
        <v>47</v>
      </c>
      <c r="B52" s="8" t="inlineStr">
        <is>
          <t>G06</t>
        </is>
      </c>
      <c r="C52" s="8" t="inlineStr">
        <is>
          <t>PNOS-I</t>
        </is>
      </c>
      <c r="D52" s="9" t="n">
        <v>46283</v>
      </c>
      <c r="E52" s="8" t="inlineStr">
        <is>
          <t>Pulidor 5</t>
        </is>
      </c>
      <c r="F52" s="8" t="inlineStr">
        <is>
          <t>G06-D5</t>
        </is>
      </c>
      <c r="G52" s="8" t="inlineStr">
        <is>
          <t>Personal</t>
        </is>
      </c>
      <c r="H52" s="8" t="inlineStr">
        <is>
          <t>IOM inhalable (25 mm)</t>
        </is>
      </c>
      <c r="I52" s="24" t="n">
        <v>2</v>
      </c>
      <c r="J52" s="8" t="n">
        <v>420</v>
      </c>
      <c r="K52" s="25">
        <f>IF(OR(I52="",J52=""),"",I52*J52/1000)</f>
        <v/>
      </c>
      <c r="L52" s="26" t="n">
        <v>5.24107</v>
      </c>
      <c r="M52" s="26" t="n"/>
      <c r="N52" s="27">
        <f>IF(OR(B52="",C52=""),"",IF(M52&lt;&gt;"",M52,IF(AND(N(L52)&gt;0,N(K52)&gt;0),L52/K52,"")))</f>
        <v/>
      </c>
      <c r="O52" s="15">
        <f>IF(C52="","",IFERROR(INDEX(Agentes!$D$6:$D$60,MATCH(C52,Agentes!$A$6:$A$60,0)),""))</f>
        <v/>
      </c>
      <c r="P52" s="28">
        <f>IF(OR(H52="",O52=""),"",IF(AND(O52="Inhalable",LEFT(H52,6)="Casete"),"Subestima: el casete cerrado no colecta toda la fracción inhalable",IF(AND(O52="Respirable",LEFT(H52,6)&lt;&gt;"Ciclón"),"Requiere ciclón (fracción respirable)",IF(AND(O52="Inhalable",ISNUMBER(SEARCH("Respirable",IFERROR(INDEX(Agentes!$C$80:$C$87,MATCH(H52,Agentes!$B$80:$B$87,0)),"")))),"El ciclón no colecta la fracción inhalable","Coherente"))))</f>
        <v/>
      </c>
      <c r="Q52" s="22">
        <f>IF(Y52="","",IFERROR(INDEX(GES!$W$6:$W$35,MATCH(Y52,GES!$R$6:$R$35,0)),""))</f>
        <v/>
      </c>
      <c r="R52" s="29">
        <f>IF(AND(ISNUMBER(N52),ISNUMBER(Q52)),N52/Q52,"")</f>
        <v/>
      </c>
      <c r="S52" s="15">
        <f>IF(C52="","",IFERROR(INDEX(Agentes!$I$6:$I$60,MATCH(C52,Agentes!$A$6:$A$60,0)),""))</f>
        <v/>
      </c>
      <c r="T52" s="8" t="n"/>
      <c r="U52" s="15">
        <f>IF(ISNUMBER(N52),IF(N52&gt;0,LN(N52),""),"")</f>
        <v/>
      </c>
      <c r="V52" s="15">
        <f>IF(ISNUMBER(U52),IFERROR((U52-LN(IFERROR(INDEX(Estadística!$K$6:$K$35,MATCH(Y52,Estadística!$Y$6:$Y$35,0)),0)))^2,""),"")</f>
        <v/>
      </c>
      <c r="W52" s="15">
        <f>IF(ISNUMBER(N52),IFERROR((N52-IFERROR(INDEX(Estadística!$I$6:$I$35,MATCH(Y52,Estadística!$Y$6:$Y$35,0)),0))^2,""),"")</f>
        <v/>
      </c>
      <c r="X52" s="15">
        <f>IF(ISNUMBER(R52),IF(R52&gt;1,1,0),"")</f>
        <v/>
      </c>
      <c r="Y52" s="15">
        <f>IF(OR(B52="",C52=""),"",B52&amp;"|"&amp;C52)</f>
        <v/>
      </c>
    </row>
    <row r="53">
      <c r="A53" s="23" t="n">
        <v>48</v>
      </c>
      <c r="B53" s="8" t="inlineStr">
        <is>
          <t>G06</t>
        </is>
      </c>
      <c r="C53" s="8" t="inlineStr">
        <is>
          <t>PNOS-I</t>
        </is>
      </c>
      <c r="D53" s="9" t="n">
        <v>46284</v>
      </c>
      <c r="E53" s="8" t="inlineStr">
        <is>
          <t>Pulidor 6</t>
        </is>
      </c>
      <c r="F53" s="8" t="inlineStr">
        <is>
          <t>G06-D6</t>
        </is>
      </c>
      <c r="G53" s="8" t="inlineStr">
        <is>
          <t>Personal</t>
        </is>
      </c>
      <c r="H53" s="8" t="inlineStr">
        <is>
          <t>Casete 37 mm cerrado (total)</t>
        </is>
      </c>
      <c r="I53" s="24" t="n">
        <v>2</v>
      </c>
      <c r="J53" s="8" t="n">
        <v>470</v>
      </c>
      <c r="K53" s="25">
        <f>IF(OR(I53="",J53=""),"",I53*J53/1000)</f>
        <v/>
      </c>
      <c r="L53" s="26" t="n">
        <v>1.35591</v>
      </c>
      <c r="M53" s="26" t="n"/>
      <c r="N53" s="27">
        <f>IF(OR(B53="",C53=""),"",IF(M53&lt;&gt;"",M53,IF(AND(N(L53)&gt;0,N(K53)&gt;0),L53/K53,"")))</f>
        <v/>
      </c>
      <c r="O53" s="15">
        <f>IF(C53="","",IFERROR(INDEX(Agentes!$D$6:$D$60,MATCH(C53,Agentes!$A$6:$A$60,0)),""))</f>
        <v/>
      </c>
      <c r="P53" s="28">
        <f>IF(OR(H53="",O53=""),"",IF(AND(O53="Inhalable",LEFT(H53,6)="Casete"),"Subestima: el casete cerrado no colecta toda la fracción inhalable",IF(AND(O53="Respirable",LEFT(H53,6)&lt;&gt;"Ciclón"),"Requiere ciclón (fracción respirable)",IF(AND(O53="Inhalable",ISNUMBER(SEARCH("Respirable",IFERROR(INDEX(Agentes!$C$80:$C$87,MATCH(H53,Agentes!$B$80:$B$87,0)),"")))),"El ciclón no colecta la fracción inhalable","Coherente"))))</f>
        <v/>
      </c>
      <c r="Q53" s="22">
        <f>IF(Y53="","",IFERROR(INDEX(GES!$W$6:$W$35,MATCH(Y53,GES!$R$6:$R$35,0)),""))</f>
        <v/>
      </c>
      <c r="R53" s="29">
        <f>IF(AND(ISNUMBER(N53),ISNUMBER(Q53)),N53/Q53,"")</f>
        <v/>
      </c>
      <c r="S53" s="15">
        <f>IF(C53="","",IFERROR(INDEX(Agentes!$I$6:$I$60,MATCH(C53,Agentes!$A$6:$A$60,0)),""))</f>
        <v/>
      </c>
      <c r="T53" s="8" t="inlineStr">
        <is>
          <t>Tomada con casete cerrado: subestima la fracción inhalable</t>
        </is>
      </c>
      <c r="U53" s="15">
        <f>IF(ISNUMBER(N53),IF(N53&gt;0,LN(N53),""),"")</f>
        <v/>
      </c>
      <c r="V53" s="15">
        <f>IF(ISNUMBER(U53),IFERROR((U53-LN(IFERROR(INDEX(Estadística!$K$6:$K$35,MATCH(Y53,Estadística!$Y$6:$Y$35,0)),0)))^2,""),"")</f>
        <v/>
      </c>
      <c r="W53" s="15">
        <f>IF(ISNUMBER(N53),IFERROR((N53-IFERROR(INDEX(Estadística!$I$6:$I$35,MATCH(Y53,Estadística!$Y$6:$Y$35,0)),0))^2,""),"")</f>
        <v/>
      </c>
      <c r="X53" s="15">
        <f>IF(ISNUMBER(R53),IF(R53&gt;1,1,0),"")</f>
        <v/>
      </c>
      <c r="Y53" s="15">
        <f>IF(OR(B53="",C53=""),"",B53&amp;"|"&amp;C53)</f>
        <v/>
      </c>
    </row>
    <row r="54">
      <c r="A54" s="23" t="n">
        <v>49</v>
      </c>
      <c r="B54" s="8" t="n"/>
      <c r="C54" s="8" t="n"/>
      <c r="D54" s="9" t="n"/>
      <c r="E54" s="8" t="n"/>
      <c r="F54" s="8" t="n"/>
      <c r="G54" s="8" t="n"/>
      <c r="H54" s="8" t="n"/>
      <c r="I54" s="24" t="n"/>
      <c r="J54" s="8" t="n"/>
      <c r="K54" s="25">
        <f>IF(OR(I54="",J54=""),"",I54*J54/1000)</f>
        <v/>
      </c>
      <c r="L54" s="26" t="n"/>
      <c r="M54" s="26" t="n"/>
      <c r="N54" s="27">
        <f>IF(OR(B54="",C54=""),"",IF(M54&lt;&gt;"",M54,IF(AND(N(L54)&gt;0,N(K54)&gt;0),L54/K54,"")))</f>
        <v/>
      </c>
      <c r="O54" s="15">
        <f>IF(C54="","",IFERROR(INDEX(Agentes!$D$6:$D$60,MATCH(C54,Agentes!$A$6:$A$60,0)),""))</f>
        <v/>
      </c>
      <c r="P54" s="28">
        <f>IF(OR(H54="",O54=""),"",IF(AND(O54="Inhalable",LEFT(H54,6)="Casete"),"Subestima: el casete cerrado no colecta toda la fracción inhalable",IF(AND(O54="Respirable",LEFT(H54,6)&lt;&gt;"Ciclón"),"Requiere ciclón (fracción respirable)",IF(AND(O54="Inhalable",ISNUMBER(SEARCH("Respirable",IFERROR(INDEX(Agentes!$C$80:$C$87,MATCH(H54,Agentes!$B$80:$B$87,0)),"")))),"El ciclón no colecta la fracción inhalable","Coherente"))))</f>
        <v/>
      </c>
      <c r="Q54" s="22">
        <f>IF(Y54="","",IFERROR(INDEX(GES!$W$6:$W$35,MATCH(Y54,GES!$R$6:$R$35,0)),""))</f>
        <v/>
      </c>
      <c r="R54" s="29">
        <f>IF(AND(ISNUMBER(N54),ISNUMBER(Q54)),N54/Q54,"")</f>
        <v/>
      </c>
      <c r="S54" s="15">
        <f>IF(C54="","",IFERROR(INDEX(Agentes!$I$6:$I$60,MATCH(C54,Agentes!$A$6:$A$60,0)),""))</f>
        <v/>
      </c>
      <c r="T54" s="8" t="n"/>
      <c r="U54" s="15">
        <f>IF(ISNUMBER(N54),IF(N54&gt;0,LN(N54),""),"")</f>
        <v/>
      </c>
      <c r="V54" s="15">
        <f>IF(ISNUMBER(U54),IFERROR((U54-LN(IFERROR(INDEX(Estadística!$K$6:$K$35,MATCH(Y54,Estadística!$Y$6:$Y$35,0)),0)))^2,""),"")</f>
        <v/>
      </c>
      <c r="W54" s="15">
        <f>IF(ISNUMBER(N54),IFERROR((N54-IFERROR(INDEX(Estadística!$I$6:$I$35,MATCH(Y54,Estadística!$Y$6:$Y$35,0)),0))^2,""),"")</f>
        <v/>
      </c>
      <c r="X54" s="15">
        <f>IF(ISNUMBER(R54),IF(R54&gt;1,1,0),"")</f>
        <v/>
      </c>
      <c r="Y54" s="15">
        <f>IF(OR(B54="",C54=""),"",B54&amp;"|"&amp;C54)</f>
        <v/>
      </c>
    </row>
    <row r="55">
      <c r="A55" s="23" t="n">
        <v>50</v>
      </c>
      <c r="B55" s="8" t="n"/>
      <c r="C55" s="8" t="n"/>
      <c r="D55" s="9" t="n"/>
      <c r="E55" s="8" t="n"/>
      <c r="F55" s="8" t="n"/>
      <c r="G55" s="8" t="n"/>
      <c r="H55" s="8" t="n"/>
      <c r="I55" s="24" t="n"/>
      <c r="J55" s="8" t="n"/>
      <c r="K55" s="25">
        <f>IF(OR(I55="",J55=""),"",I55*J55/1000)</f>
        <v/>
      </c>
      <c r="L55" s="26" t="n"/>
      <c r="M55" s="26" t="n"/>
      <c r="N55" s="27">
        <f>IF(OR(B55="",C55=""),"",IF(M55&lt;&gt;"",M55,IF(AND(N(L55)&gt;0,N(K55)&gt;0),L55/K55,"")))</f>
        <v/>
      </c>
      <c r="O55" s="15">
        <f>IF(C55="","",IFERROR(INDEX(Agentes!$D$6:$D$60,MATCH(C55,Agentes!$A$6:$A$60,0)),""))</f>
        <v/>
      </c>
      <c r="P55" s="28">
        <f>IF(OR(H55="",O55=""),"",IF(AND(O55="Inhalable",LEFT(H55,6)="Casete"),"Subestima: el casete cerrado no colecta toda la fracción inhalable",IF(AND(O55="Respirable",LEFT(H55,6)&lt;&gt;"Ciclón"),"Requiere ciclón (fracción respirable)",IF(AND(O55="Inhalable",ISNUMBER(SEARCH("Respirable",IFERROR(INDEX(Agentes!$C$80:$C$87,MATCH(H55,Agentes!$B$80:$B$87,0)),"")))),"El ciclón no colecta la fracción inhalable","Coherente"))))</f>
        <v/>
      </c>
      <c r="Q55" s="22">
        <f>IF(Y55="","",IFERROR(INDEX(GES!$W$6:$W$35,MATCH(Y55,GES!$R$6:$R$35,0)),""))</f>
        <v/>
      </c>
      <c r="R55" s="29">
        <f>IF(AND(ISNUMBER(N55),ISNUMBER(Q55)),N55/Q55,"")</f>
        <v/>
      </c>
      <c r="S55" s="15">
        <f>IF(C55="","",IFERROR(INDEX(Agentes!$I$6:$I$60,MATCH(C55,Agentes!$A$6:$A$60,0)),""))</f>
        <v/>
      </c>
      <c r="T55" s="8" t="n"/>
      <c r="U55" s="15">
        <f>IF(ISNUMBER(N55),IF(N55&gt;0,LN(N55),""),"")</f>
        <v/>
      </c>
      <c r="V55" s="15">
        <f>IF(ISNUMBER(U55),IFERROR((U55-LN(IFERROR(INDEX(Estadística!$K$6:$K$35,MATCH(Y55,Estadística!$Y$6:$Y$35,0)),0)))^2,""),"")</f>
        <v/>
      </c>
      <c r="W55" s="15">
        <f>IF(ISNUMBER(N55),IFERROR((N55-IFERROR(INDEX(Estadística!$I$6:$I$35,MATCH(Y55,Estadística!$Y$6:$Y$35,0)),0))^2,""),"")</f>
        <v/>
      </c>
      <c r="X55" s="15">
        <f>IF(ISNUMBER(R55),IF(R55&gt;1,1,0),"")</f>
        <v/>
      </c>
      <c r="Y55" s="15">
        <f>IF(OR(B55="",C55=""),"",B55&amp;"|"&amp;C55)</f>
        <v/>
      </c>
    </row>
    <row r="56">
      <c r="A56" s="23" t="n">
        <v>51</v>
      </c>
      <c r="B56" s="8" t="n"/>
      <c r="C56" s="8" t="n"/>
      <c r="D56" s="9" t="n"/>
      <c r="E56" s="8" t="n"/>
      <c r="F56" s="8" t="n"/>
      <c r="G56" s="8" t="n"/>
      <c r="H56" s="8" t="n"/>
      <c r="I56" s="24" t="n"/>
      <c r="J56" s="8" t="n"/>
      <c r="K56" s="25">
        <f>IF(OR(I56="",J56=""),"",I56*J56/1000)</f>
        <v/>
      </c>
      <c r="L56" s="26" t="n"/>
      <c r="M56" s="26" t="n"/>
      <c r="N56" s="27">
        <f>IF(OR(B56="",C56=""),"",IF(M56&lt;&gt;"",M56,IF(AND(N(L56)&gt;0,N(K56)&gt;0),L56/K56,"")))</f>
        <v/>
      </c>
      <c r="O56" s="15">
        <f>IF(C56="","",IFERROR(INDEX(Agentes!$D$6:$D$60,MATCH(C56,Agentes!$A$6:$A$60,0)),""))</f>
        <v/>
      </c>
      <c r="P56" s="28">
        <f>IF(OR(H56="",O56=""),"",IF(AND(O56="Inhalable",LEFT(H56,6)="Casete"),"Subestima: el casete cerrado no colecta toda la fracción inhalable",IF(AND(O56="Respirable",LEFT(H56,6)&lt;&gt;"Ciclón"),"Requiere ciclón (fracción respirable)",IF(AND(O56="Inhalable",ISNUMBER(SEARCH("Respirable",IFERROR(INDEX(Agentes!$C$80:$C$87,MATCH(H56,Agentes!$B$80:$B$87,0)),"")))),"El ciclón no colecta la fracción inhalable","Coherente"))))</f>
        <v/>
      </c>
      <c r="Q56" s="22">
        <f>IF(Y56="","",IFERROR(INDEX(GES!$W$6:$W$35,MATCH(Y56,GES!$R$6:$R$35,0)),""))</f>
        <v/>
      </c>
      <c r="R56" s="29">
        <f>IF(AND(ISNUMBER(N56),ISNUMBER(Q56)),N56/Q56,"")</f>
        <v/>
      </c>
      <c r="S56" s="15">
        <f>IF(C56="","",IFERROR(INDEX(Agentes!$I$6:$I$60,MATCH(C56,Agentes!$A$6:$A$60,0)),""))</f>
        <v/>
      </c>
      <c r="T56" s="8" t="n"/>
      <c r="U56" s="15">
        <f>IF(ISNUMBER(N56),IF(N56&gt;0,LN(N56),""),"")</f>
        <v/>
      </c>
      <c r="V56" s="15">
        <f>IF(ISNUMBER(U56),IFERROR((U56-LN(IFERROR(INDEX(Estadística!$K$6:$K$35,MATCH(Y56,Estadística!$Y$6:$Y$35,0)),0)))^2,""),"")</f>
        <v/>
      </c>
      <c r="W56" s="15">
        <f>IF(ISNUMBER(N56),IFERROR((N56-IFERROR(INDEX(Estadística!$I$6:$I$35,MATCH(Y56,Estadística!$Y$6:$Y$35,0)),0))^2,""),"")</f>
        <v/>
      </c>
      <c r="X56" s="15">
        <f>IF(ISNUMBER(R56),IF(R56&gt;1,1,0),"")</f>
        <v/>
      </c>
      <c r="Y56" s="15">
        <f>IF(OR(B56="",C56=""),"",B56&amp;"|"&amp;C56)</f>
        <v/>
      </c>
    </row>
    <row r="57">
      <c r="A57" s="23" t="n">
        <v>52</v>
      </c>
      <c r="B57" s="8" t="n"/>
      <c r="C57" s="8" t="n"/>
      <c r="D57" s="9" t="n"/>
      <c r="E57" s="8" t="n"/>
      <c r="F57" s="8" t="n"/>
      <c r="G57" s="8" t="n"/>
      <c r="H57" s="8" t="n"/>
      <c r="I57" s="24" t="n"/>
      <c r="J57" s="8" t="n"/>
      <c r="K57" s="25">
        <f>IF(OR(I57="",J57=""),"",I57*J57/1000)</f>
        <v/>
      </c>
      <c r="L57" s="26" t="n"/>
      <c r="M57" s="26" t="n"/>
      <c r="N57" s="27">
        <f>IF(OR(B57="",C57=""),"",IF(M57&lt;&gt;"",M57,IF(AND(N(L57)&gt;0,N(K57)&gt;0),L57/K57,"")))</f>
        <v/>
      </c>
      <c r="O57" s="15">
        <f>IF(C57="","",IFERROR(INDEX(Agentes!$D$6:$D$60,MATCH(C57,Agentes!$A$6:$A$60,0)),""))</f>
        <v/>
      </c>
      <c r="P57" s="28">
        <f>IF(OR(H57="",O57=""),"",IF(AND(O57="Inhalable",LEFT(H57,6)="Casete"),"Subestima: el casete cerrado no colecta toda la fracción inhalable",IF(AND(O57="Respirable",LEFT(H57,6)&lt;&gt;"Ciclón"),"Requiere ciclón (fracción respirable)",IF(AND(O57="Inhalable",ISNUMBER(SEARCH("Respirable",IFERROR(INDEX(Agentes!$C$80:$C$87,MATCH(H57,Agentes!$B$80:$B$87,0)),"")))),"El ciclón no colecta la fracción inhalable","Coherente"))))</f>
        <v/>
      </c>
      <c r="Q57" s="22">
        <f>IF(Y57="","",IFERROR(INDEX(GES!$W$6:$W$35,MATCH(Y57,GES!$R$6:$R$35,0)),""))</f>
        <v/>
      </c>
      <c r="R57" s="29">
        <f>IF(AND(ISNUMBER(N57),ISNUMBER(Q57)),N57/Q57,"")</f>
        <v/>
      </c>
      <c r="S57" s="15">
        <f>IF(C57="","",IFERROR(INDEX(Agentes!$I$6:$I$60,MATCH(C57,Agentes!$A$6:$A$60,0)),""))</f>
        <v/>
      </c>
      <c r="T57" s="8" t="n"/>
      <c r="U57" s="15">
        <f>IF(ISNUMBER(N57),IF(N57&gt;0,LN(N57),""),"")</f>
        <v/>
      </c>
      <c r="V57" s="15">
        <f>IF(ISNUMBER(U57),IFERROR((U57-LN(IFERROR(INDEX(Estadística!$K$6:$K$35,MATCH(Y57,Estadística!$Y$6:$Y$35,0)),0)))^2,""),"")</f>
        <v/>
      </c>
      <c r="W57" s="15">
        <f>IF(ISNUMBER(N57),IFERROR((N57-IFERROR(INDEX(Estadística!$I$6:$I$35,MATCH(Y57,Estadística!$Y$6:$Y$35,0)),0))^2,""),"")</f>
        <v/>
      </c>
      <c r="X57" s="15">
        <f>IF(ISNUMBER(R57),IF(R57&gt;1,1,0),"")</f>
        <v/>
      </c>
      <c r="Y57" s="15">
        <f>IF(OR(B57="",C57=""),"",B57&amp;"|"&amp;C57)</f>
        <v/>
      </c>
    </row>
    <row r="58">
      <c r="A58" s="23" t="n">
        <v>53</v>
      </c>
      <c r="B58" s="8" t="n"/>
      <c r="C58" s="8" t="n"/>
      <c r="D58" s="9" t="n"/>
      <c r="E58" s="8" t="n"/>
      <c r="F58" s="8" t="n"/>
      <c r="G58" s="8" t="n"/>
      <c r="H58" s="8" t="n"/>
      <c r="I58" s="24" t="n"/>
      <c r="J58" s="8" t="n"/>
      <c r="K58" s="25">
        <f>IF(OR(I58="",J58=""),"",I58*J58/1000)</f>
        <v/>
      </c>
      <c r="L58" s="26" t="n"/>
      <c r="M58" s="26" t="n"/>
      <c r="N58" s="27">
        <f>IF(OR(B58="",C58=""),"",IF(M58&lt;&gt;"",M58,IF(AND(N(L58)&gt;0,N(K58)&gt;0),L58/K58,"")))</f>
        <v/>
      </c>
      <c r="O58" s="15">
        <f>IF(C58="","",IFERROR(INDEX(Agentes!$D$6:$D$60,MATCH(C58,Agentes!$A$6:$A$60,0)),""))</f>
        <v/>
      </c>
      <c r="P58" s="28">
        <f>IF(OR(H58="",O58=""),"",IF(AND(O58="Inhalable",LEFT(H58,6)="Casete"),"Subestima: el casete cerrado no colecta toda la fracción inhalable",IF(AND(O58="Respirable",LEFT(H58,6)&lt;&gt;"Ciclón"),"Requiere ciclón (fracción respirable)",IF(AND(O58="Inhalable",ISNUMBER(SEARCH("Respirable",IFERROR(INDEX(Agentes!$C$80:$C$87,MATCH(H58,Agentes!$B$80:$B$87,0)),"")))),"El ciclón no colecta la fracción inhalable","Coherente"))))</f>
        <v/>
      </c>
      <c r="Q58" s="22">
        <f>IF(Y58="","",IFERROR(INDEX(GES!$W$6:$W$35,MATCH(Y58,GES!$R$6:$R$35,0)),""))</f>
        <v/>
      </c>
      <c r="R58" s="29">
        <f>IF(AND(ISNUMBER(N58),ISNUMBER(Q58)),N58/Q58,"")</f>
        <v/>
      </c>
      <c r="S58" s="15">
        <f>IF(C58="","",IFERROR(INDEX(Agentes!$I$6:$I$60,MATCH(C58,Agentes!$A$6:$A$60,0)),""))</f>
        <v/>
      </c>
      <c r="T58" s="8" t="n"/>
      <c r="U58" s="15">
        <f>IF(ISNUMBER(N58),IF(N58&gt;0,LN(N58),""),"")</f>
        <v/>
      </c>
      <c r="V58" s="15">
        <f>IF(ISNUMBER(U58),IFERROR((U58-LN(IFERROR(INDEX(Estadística!$K$6:$K$35,MATCH(Y58,Estadística!$Y$6:$Y$35,0)),0)))^2,""),"")</f>
        <v/>
      </c>
      <c r="W58" s="15">
        <f>IF(ISNUMBER(N58),IFERROR((N58-IFERROR(INDEX(Estadística!$I$6:$I$35,MATCH(Y58,Estadística!$Y$6:$Y$35,0)),0))^2,""),"")</f>
        <v/>
      </c>
      <c r="X58" s="15">
        <f>IF(ISNUMBER(R58),IF(R58&gt;1,1,0),"")</f>
        <v/>
      </c>
      <c r="Y58" s="15">
        <f>IF(OR(B58="",C58=""),"",B58&amp;"|"&amp;C58)</f>
        <v/>
      </c>
    </row>
    <row r="59">
      <c r="A59" s="23" t="n">
        <v>54</v>
      </c>
      <c r="B59" s="8" t="n"/>
      <c r="C59" s="8" t="n"/>
      <c r="D59" s="9" t="n"/>
      <c r="E59" s="8" t="n"/>
      <c r="F59" s="8" t="n"/>
      <c r="G59" s="8" t="n"/>
      <c r="H59" s="8" t="n"/>
      <c r="I59" s="24" t="n"/>
      <c r="J59" s="8" t="n"/>
      <c r="K59" s="25">
        <f>IF(OR(I59="",J59=""),"",I59*J59/1000)</f>
        <v/>
      </c>
      <c r="L59" s="26" t="n"/>
      <c r="M59" s="26" t="n"/>
      <c r="N59" s="27">
        <f>IF(OR(B59="",C59=""),"",IF(M59&lt;&gt;"",M59,IF(AND(N(L59)&gt;0,N(K59)&gt;0),L59/K59,"")))</f>
        <v/>
      </c>
      <c r="O59" s="15">
        <f>IF(C59="","",IFERROR(INDEX(Agentes!$D$6:$D$60,MATCH(C59,Agentes!$A$6:$A$60,0)),""))</f>
        <v/>
      </c>
      <c r="P59" s="28">
        <f>IF(OR(H59="",O59=""),"",IF(AND(O59="Inhalable",LEFT(H59,6)="Casete"),"Subestima: el casete cerrado no colecta toda la fracción inhalable",IF(AND(O59="Respirable",LEFT(H59,6)&lt;&gt;"Ciclón"),"Requiere ciclón (fracción respirable)",IF(AND(O59="Inhalable",ISNUMBER(SEARCH("Respirable",IFERROR(INDEX(Agentes!$C$80:$C$87,MATCH(H59,Agentes!$B$80:$B$87,0)),"")))),"El ciclón no colecta la fracción inhalable","Coherente"))))</f>
        <v/>
      </c>
      <c r="Q59" s="22">
        <f>IF(Y59="","",IFERROR(INDEX(GES!$W$6:$W$35,MATCH(Y59,GES!$R$6:$R$35,0)),""))</f>
        <v/>
      </c>
      <c r="R59" s="29">
        <f>IF(AND(ISNUMBER(N59),ISNUMBER(Q59)),N59/Q59,"")</f>
        <v/>
      </c>
      <c r="S59" s="15">
        <f>IF(C59="","",IFERROR(INDEX(Agentes!$I$6:$I$60,MATCH(C59,Agentes!$A$6:$A$60,0)),""))</f>
        <v/>
      </c>
      <c r="T59" s="8" t="n"/>
      <c r="U59" s="15">
        <f>IF(ISNUMBER(N59),IF(N59&gt;0,LN(N59),""),"")</f>
        <v/>
      </c>
      <c r="V59" s="15">
        <f>IF(ISNUMBER(U59),IFERROR((U59-LN(IFERROR(INDEX(Estadística!$K$6:$K$35,MATCH(Y59,Estadística!$Y$6:$Y$35,0)),0)))^2,""),"")</f>
        <v/>
      </c>
      <c r="W59" s="15">
        <f>IF(ISNUMBER(N59),IFERROR((N59-IFERROR(INDEX(Estadística!$I$6:$I$35,MATCH(Y59,Estadística!$Y$6:$Y$35,0)),0))^2,""),"")</f>
        <v/>
      </c>
      <c r="X59" s="15">
        <f>IF(ISNUMBER(R59),IF(R59&gt;1,1,0),"")</f>
        <v/>
      </c>
      <c r="Y59" s="15">
        <f>IF(OR(B59="",C59=""),"",B59&amp;"|"&amp;C59)</f>
        <v/>
      </c>
    </row>
    <row r="60">
      <c r="A60" s="23" t="n">
        <v>55</v>
      </c>
      <c r="B60" s="8" t="n"/>
      <c r="C60" s="8" t="n"/>
      <c r="D60" s="9" t="n"/>
      <c r="E60" s="8" t="n"/>
      <c r="F60" s="8" t="n"/>
      <c r="G60" s="8" t="n"/>
      <c r="H60" s="8" t="n"/>
      <c r="I60" s="24" t="n"/>
      <c r="J60" s="8" t="n"/>
      <c r="K60" s="25">
        <f>IF(OR(I60="",J60=""),"",I60*J60/1000)</f>
        <v/>
      </c>
      <c r="L60" s="26" t="n"/>
      <c r="M60" s="26" t="n"/>
      <c r="N60" s="27">
        <f>IF(OR(B60="",C60=""),"",IF(M60&lt;&gt;"",M60,IF(AND(N(L60)&gt;0,N(K60)&gt;0),L60/K60,"")))</f>
        <v/>
      </c>
      <c r="O60" s="15">
        <f>IF(C60="","",IFERROR(INDEX(Agentes!$D$6:$D$60,MATCH(C60,Agentes!$A$6:$A$60,0)),""))</f>
        <v/>
      </c>
      <c r="P60" s="28">
        <f>IF(OR(H60="",O60=""),"",IF(AND(O60="Inhalable",LEFT(H60,6)="Casete"),"Subestima: el casete cerrado no colecta toda la fracción inhalable",IF(AND(O60="Respirable",LEFT(H60,6)&lt;&gt;"Ciclón"),"Requiere ciclón (fracción respirable)",IF(AND(O60="Inhalable",ISNUMBER(SEARCH("Respirable",IFERROR(INDEX(Agentes!$C$80:$C$87,MATCH(H60,Agentes!$B$80:$B$87,0)),"")))),"El ciclón no colecta la fracción inhalable","Coherente"))))</f>
        <v/>
      </c>
      <c r="Q60" s="22">
        <f>IF(Y60="","",IFERROR(INDEX(GES!$W$6:$W$35,MATCH(Y60,GES!$R$6:$R$35,0)),""))</f>
        <v/>
      </c>
      <c r="R60" s="29">
        <f>IF(AND(ISNUMBER(N60),ISNUMBER(Q60)),N60/Q60,"")</f>
        <v/>
      </c>
      <c r="S60" s="15">
        <f>IF(C60="","",IFERROR(INDEX(Agentes!$I$6:$I$60,MATCH(C60,Agentes!$A$6:$A$60,0)),""))</f>
        <v/>
      </c>
      <c r="T60" s="8" t="n"/>
      <c r="U60" s="15">
        <f>IF(ISNUMBER(N60),IF(N60&gt;0,LN(N60),""),"")</f>
        <v/>
      </c>
      <c r="V60" s="15">
        <f>IF(ISNUMBER(U60),IFERROR((U60-LN(IFERROR(INDEX(Estadística!$K$6:$K$35,MATCH(Y60,Estadística!$Y$6:$Y$35,0)),0)))^2,""),"")</f>
        <v/>
      </c>
      <c r="W60" s="15">
        <f>IF(ISNUMBER(N60),IFERROR((N60-IFERROR(INDEX(Estadística!$I$6:$I$35,MATCH(Y60,Estadística!$Y$6:$Y$35,0)),0))^2,""),"")</f>
        <v/>
      </c>
      <c r="X60" s="15">
        <f>IF(ISNUMBER(R60),IF(R60&gt;1,1,0),"")</f>
        <v/>
      </c>
      <c r="Y60" s="15">
        <f>IF(OR(B60="",C60=""),"",B60&amp;"|"&amp;C60)</f>
        <v/>
      </c>
    </row>
    <row r="61">
      <c r="A61" s="23" t="n">
        <v>56</v>
      </c>
      <c r="B61" s="8" t="n"/>
      <c r="C61" s="8" t="n"/>
      <c r="D61" s="9" t="n"/>
      <c r="E61" s="8" t="n"/>
      <c r="F61" s="8" t="n"/>
      <c r="G61" s="8" t="n"/>
      <c r="H61" s="8" t="n"/>
      <c r="I61" s="24" t="n"/>
      <c r="J61" s="8" t="n"/>
      <c r="K61" s="25">
        <f>IF(OR(I61="",J61=""),"",I61*J61/1000)</f>
        <v/>
      </c>
      <c r="L61" s="26" t="n"/>
      <c r="M61" s="26" t="n"/>
      <c r="N61" s="27">
        <f>IF(OR(B61="",C61=""),"",IF(M61&lt;&gt;"",M61,IF(AND(N(L61)&gt;0,N(K61)&gt;0),L61/K61,"")))</f>
        <v/>
      </c>
      <c r="O61" s="15">
        <f>IF(C61="","",IFERROR(INDEX(Agentes!$D$6:$D$60,MATCH(C61,Agentes!$A$6:$A$60,0)),""))</f>
        <v/>
      </c>
      <c r="P61" s="28">
        <f>IF(OR(H61="",O61=""),"",IF(AND(O61="Inhalable",LEFT(H61,6)="Casete"),"Subestima: el casete cerrado no colecta toda la fracción inhalable",IF(AND(O61="Respirable",LEFT(H61,6)&lt;&gt;"Ciclón"),"Requiere ciclón (fracción respirable)",IF(AND(O61="Inhalable",ISNUMBER(SEARCH("Respirable",IFERROR(INDEX(Agentes!$C$80:$C$87,MATCH(H61,Agentes!$B$80:$B$87,0)),"")))),"El ciclón no colecta la fracción inhalable","Coherente"))))</f>
        <v/>
      </c>
      <c r="Q61" s="22">
        <f>IF(Y61="","",IFERROR(INDEX(GES!$W$6:$W$35,MATCH(Y61,GES!$R$6:$R$35,0)),""))</f>
        <v/>
      </c>
      <c r="R61" s="29">
        <f>IF(AND(ISNUMBER(N61),ISNUMBER(Q61)),N61/Q61,"")</f>
        <v/>
      </c>
      <c r="S61" s="15">
        <f>IF(C61="","",IFERROR(INDEX(Agentes!$I$6:$I$60,MATCH(C61,Agentes!$A$6:$A$60,0)),""))</f>
        <v/>
      </c>
      <c r="T61" s="8" t="n"/>
      <c r="U61" s="15">
        <f>IF(ISNUMBER(N61),IF(N61&gt;0,LN(N61),""),"")</f>
        <v/>
      </c>
      <c r="V61" s="15">
        <f>IF(ISNUMBER(U61),IFERROR((U61-LN(IFERROR(INDEX(Estadística!$K$6:$K$35,MATCH(Y61,Estadística!$Y$6:$Y$35,0)),0)))^2,""),"")</f>
        <v/>
      </c>
      <c r="W61" s="15">
        <f>IF(ISNUMBER(N61),IFERROR((N61-IFERROR(INDEX(Estadística!$I$6:$I$35,MATCH(Y61,Estadística!$Y$6:$Y$35,0)),0))^2,""),"")</f>
        <v/>
      </c>
      <c r="X61" s="15">
        <f>IF(ISNUMBER(R61),IF(R61&gt;1,1,0),"")</f>
        <v/>
      </c>
      <c r="Y61" s="15">
        <f>IF(OR(B61="",C61=""),"",B61&amp;"|"&amp;C61)</f>
        <v/>
      </c>
    </row>
    <row r="62">
      <c r="A62" s="23" t="n">
        <v>57</v>
      </c>
      <c r="B62" s="8" t="n"/>
      <c r="C62" s="8" t="n"/>
      <c r="D62" s="9" t="n"/>
      <c r="E62" s="8" t="n"/>
      <c r="F62" s="8" t="n"/>
      <c r="G62" s="8" t="n"/>
      <c r="H62" s="8" t="n"/>
      <c r="I62" s="24" t="n"/>
      <c r="J62" s="8" t="n"/>
      <c r="K62" s="25">
        <f>IF(OR(I62="",J62=""),"",I62*J62/1000)</f>
        <v/>
      </c>
      <c r="L62" s="26" t="n"/>
      <c r="M62" s="26" t="n"/>
      <c r="N62" s="27">
        <f>IF(OR(B62="",C62=""),"",IF(M62&lt;&gt;"",M62,IF(AND(N(L62)&gt;0,N(K62)&gt;0),L62/K62,"")))</f>
        <v/>
      </c>
      <c r="O62" s="15">
        <f>IF(C62="","",IFERROR(INDEX(Agentes!$D$6:$D$60,MATCH(C62,Agentes!$A$6:$A$60,0)),""))</f>
        <v/>
      </c>
      <c r="P62" s="28">
        <f>IF(OR(H62="",O62=""),"",IF(AND(O62="Inhalable",LEFT(H62,6)="Casete"),"Subestima: el casete cerrado no colecta toda la fracción inhalable",IF(AND(O62="Respirable",LEFT(H62,6)&lt;&gt;"Ciclón"),"Requiere ciclón (fracción respirable)",IF(AND(O62="Inhalable",ISNUMBER(SEARCH("Respirable",IFERROR(INDEX(Agentes!$C$80:$C$87,MATCH(H62,Agentes!$B$80:$B$87,0)),"")))),"El ciclón no colecta la fracción inhalable","Coherente"))))</f>
        <v/>
      </c>
      <c r="Q62" s="22">
        <f>IF(Y62="","",IFERROR(INDEX(GES!$W$6:$W$35,MATCH(Y62,GES!$R$6:$R$35,0)),""))</f>
        <v/>
      </c>
      <c r="R62" s="29">
        <f>IF(AND(ISNUMBER(N62),ISNUMBER(Q62)),N62/Q62,"")</f>
        <v/>
      </c>
      <c r="S62" s="15">
        <f>IF(C62="","",IFERROR(INDEX(Agentes!$I$6:$I$60,MATCH(C62,Agentes!$A$6:$A$60,0)),""))</f>
        <v/>
      </c>
      <c r="T62" s="8" t="n"/>
      <c r="U62" s="15">
        <f>IF(ISNUMBER(N62),IF(N62&gt;0,LN(N62),""),"")</f>
        <v/>
      </c>
      <c r="V62" s="15">
        <f>IF(ISNUMBER(U62),IFERROR((U62-LN(IFERROR(INDEX(Estadística!$K$6:$K$35,MATCH(Y62,Estadística!$Y$6:$Y$35,0)),0)))^2,""),"")</f>
        <v/>
      </c>
      <c r="W62" s="15">
        <f>IF(ISNUMBER(N62),IFERROR((N62-IFERROR(INDEX(Estadística!$I$6:$I$35,MATCH(Y62,Estadística!$Y$6:$Y$35,0)),0))^2,""),"")</f>
        <v/>
      </c>
      <c r="X62" s="15">
        <f>IF(ISNUMBER(R62),IF(R62&gt;1,1,0),"")</f>
        <v/>
      </c>
      <c r="Y62" s="15">
        <f>IF(OR(B62="",C62=""),"",B62&amp;"|"&amp;C62)</f>
        <v/>
      </c>
    </row>
    <row r="63">
      <c r="A63" s="23" t="n">
        <v>58</v>
      </c>
      <c r="B63" s="8" t="n"/>
      <c r="C63" s="8" t="n"/>
      <c r="D63" s="9" t="n"/>
      <c r="E63" s="8" t="n"/>
      <c r="F63" s="8" t="n"/>
      <c r="G63" s="8" t="n"/>
      <c r="H63" s="8" t="n"/>
      <c r="I63" s="24" t="n"/>
      <c r="J63" s="8" t="n"/>
      <c r="K63" s="25">
        <f>IF(OR(I63="",J63=""),"",I63*J63/1000)</f>
        <v/>
      </c>
      <c r="L63" s="26" t="n"/>
      <c r="M63" s="26" t="n"/>
      <c r="N63" s="27">
        <f>IF(OR(B63="",C63=""),"",IF(M63&lt;&gt;"",M63,IF(AND(N(L63)&gt;0,N(K63)&gt;0),L63/K63,"")))</f>
        <v/>
      </c>
      <c r="O63" s="15">
        <f>IF(C63="","",IFERROR(INDEX(Agentes!$D$6:$D$60,MATCH(C63,Agentes!$A$6:$A$60,0)),""))</f>
        <v/>
      </c>
      <c r="P63" s="28">
        <f>IF(OR(H63="",O63=""),"",IF(AND(O63="Inhalable",LEFT(H63,6)="Casete"),"Subestima: el casete cerrado no colecta toda la fracción inhalable",IF(AND(O63="Respirable",LEFT(H63,6)&lt;&gt;"Ciclón"),"Requiere ciclón (fracción respirable)",IF(AND(O63="Inhalable",ISNUMBER(SEARCH("Respirable",IFERROR(INDEX(Agentes!$C$80:$C$87,MATCH(H63,Agentes!$B$80:$B$87,0)),"")))),"El ciclón no colecta la fracción inhalable","Coherente"))))</f>
        <v/>
      </c>
      <c r="Q63" s="22">
        <f>IF(Y63="","",IFERROR(INDEX(GES!$W$6:$W$35,MATCH(Y63,GES!$R$6:$R$35,0)),""))</f>
        <v/>
      </c>
      <c r="R63" s="29">
        <f>IF(AND(ISNUMBER(N63),ISNUMBER(Q63)),N63/Q63,"")</f>
        <v/>
      </c>
      <c r="S63" s="15">
        <f>IF(C63="","",IFERROR(INDEX(Agentes!$I$6:$I$60,MATCH(C63,Agentes!$A$6:$A$60,0)),""))</f>
        <v/>
      </c>
      <c r="T63" s="8" t="n"/>
      <c r="U63" s="15">
        <f>IF(ISNUMBER(N63),IF(N63&gt;0,LN(N63),""),"")</f>
        <v/>
      </c>
      <c r="V63" s="15">
        <f>IF(ISNUMBER(U63),IFERROR((U63-LN(IFERROR(INDEX(Estadística!$K$6:$K$35,MATCH(Y63,Estadística!$Y$6:$Y$35,0)),0)))^2,""),"")</f>
        <v/>
      </c>
      <c r="W63" s="15">
        <f>IF(ISNUMBER(N63),IFERROR((N63-IFERROR(INDEX(Estadística!$I$6:$I$35,MATCH(Y63,Estadística!$Y$6:$Y$35,0)),0))^2,""),"")</f>
        <v/>
      </c>
      <c r="X63" s="15">
        <f>IF(ISNUMBER(R63),IF(R63&gt;1,1,0),"")</f>
        <v/>
      </c>
      <c r="Y63" s="15">
        <f>IF(OR(B63="",C63=""),"",B63&amp;"|"&amp;C63)</f>
        <v/>
      </c>
    </row>
    <row r="64">
      <c r="A64" s="23" t="n">
        <v>59</v>
      </c>
      <c r="B64" s="8" t="n"/>
      <c r="C64" s="8" t="n"/>
      <c r="D64" s="9" t="n"/>
      <c r="E64" s="8" t="n"/>
      <c r="F64" s="8" t="n"/>
      <c r="G64" s="8" t="n"/>
      <c r="H64" s="8" t="n"/>
      <c r="I64" s="24" t="n"/>
      <c r="J64" s="8" t="n"/>
      <c r="K64" s="25">
        <f>IF(OR(I64="",J64=""),"",I64*J64/1000)</f>
        <v/>
      </c>
      <c r="L64" s="26" t="n"/>
      <c r="M64" s="26" t="n"/>
      <c r="N64" s="27">
        <f>IF(OR(B64="",C64=""),"",IF(M64&lt;&gt;"",M64,IF(AND(N(L64)&gt;0,N(K64)&gt;0),L64/K64,"")))</f>
        <v/>
      </c>
      <c r="O64" s="15">
        <f>IF(C64="","",IFERROR(INDEX(Agentes!$D$6:$D$60,MATCH(C64,Agentes!$A$6:$A$60,0)),""))</f>
        <v/>
      </c>
      <c r="P64" s="28">
        <f>IF(OR(H64="",O64=""),"",IF(AND(O64="Inhalable",LEFT(H64,6)="Casete"),"Subestima: el casete cerrado no colecta toda la fracción inhalable",IF(AND(O64="Respirable",LEFT(H64,6)&lt;&gt;"Ciclón"),"Requiere ciclón (fracción respirable)",IF(AND(O64="Inhalable",ISNUMBER(SEARCH("Respirable",IFERROR(INDEX(Agentes!$C$80:$C$87,MATCH(H64,Agentes!$B$80:$B$87,0)),"")))),"El ciclón no colecta la fracción inhalable","Coherente"))))</f>
        <v/>
      </c>
      <c r="Q64" s="22">
        <f>IF(Y64="","",IFERROR(INDEX(GES!$W$6:$W$35,MATCH(Y64,GES!$R$6:$R$35,0)),""))</f>
        <v/>
      </c>
      <c r="R64" s="29">
        <f>IF(AND(ISNUMBER(N64),ISNUMBER(Q64)),N64/Q64,"")</f>
        <v/>
      </c>
      <c r="S64" s="15">
        <f>IF(C64="","",IFERROR(INDEX(Agentes!$I$6:$I$60,MATCH(C64,Agentes!$A$6:$A$60,0)),""))</f>
        <v/>
      </c>
      <c r="T64" s="8" t="n"/>
      <c r="U64" s="15">
        <f>IF(ISNUMBER(N64),IF(N64&gt;0,LN(N64),""),"")</f>
        <v/>
      </c>
      <c r="V64" s="15">
        <f>IF(ISNUMBER(U64),IFERROR((U64-LN(IFERROR(INDEX(Estadística!$K$6:$K$35,MATCH(Y64,Estadística!$Y$6:$Y$35,0)),0)))^2,""),"")</f>
        <v/>
      </c>
      <c r="W64" s="15">
        <f>IF(ISNUMBER(N64),IFERROR((N64-IFERROR(INDEX(Estadística!$I$6:$I$35,MATCH(Y64,Estadística!$Y$6:$Y$35,0)),0))^2,""),"")</f>
        <v/>
      </c>
      <c r="X64" s="15">
        <f>IF(ISNUMBER(R64),IF(R64&gt;1,1,0),"")</f>
        <v/>
      </c>
      <c r="Y64" s="15">
        <f>IF(OR(B64="",C64=""),"",B64&amp;"|"&amp;C64)</f>
        <v/>
      </c>
    </row>
    <row r="65">
      <c r="A65" s="23" t="n">
        <v>60</v>
      </c>
      <c r="B65" s="8" t="n"/>
      <c r="C65" s="8" t="n"/>
      <c r="D65" s="9" t="n"/>
      <c r="E65" s="8" t="n"/>
      <c r="F65" s="8" t="n"/>
      <c r="G65" s="8" t="n"/>
      <c r="H65" s="8" t="n"/>
      <c r="I65" s="24" t="n"/>
      <c r="J65" s="8" t="n"/>
      <c r="K65" s="25">
        <f>IF(OR(I65="",J65=""),"",I65*J65/1000)</f>
        <v/>
      </c>
      <c r="L65" s="26" t="n"/>
      <c r="M65" s="26" t="n"/>
      <c r="N65" s="27">
        <f>IF(OR(B65="",C65=""),"",IF(M65&lt;&gt;"",M65,IF(AND(N(L65)&gt;0,N(K65)&gt;0),L65/K65,"")))</f>
        <v/>
      </c>
      <c r="O65" s="15">
        <f>IF(C65="","",IFERROR(INDEX(Agentes!$D$6:$D$60,MATCH(C65,Agentes!$A$6:$A$60,0)),""))</f>
        <v/>
      </c>
      <c r="P65" s="28">
        <f>IF(OR(H65="",O65=""),"",IF(AND(O65="Inhalable",LEFT(H65,6)="Casete"),"Subestima: el casete cerrado no colecta toda la fracción inhalable",IF(AND(O65="Respirable",LEFT(H65,6)&lt;&gt;"Ciclón"),"Requiere ciclón (fracción respirable)",IF(AND(O65="Inhalable",ISNUMBER(SEARCH("Respirable",IFERROR(INDEX(Agentes!$C$80:$C$87,MATCH(H65,Agentes!$B$80:$B$87,0)),"")))),"El ciclón no colecta la fracción inhalable","Coherente"))))</f>
        <v/>
      </c>
      <c r="Q65" s="22">
        <f>IF(Y65="","",IFERROR(INDEX(GES!$W$6:$W$35,MATCH(Y65,GES!$R$6:$R$35,0)),""))</f>
        <v/>
      </c>
      <c r="R65" s="29">
        <f>IF(AND(ISNUMBER(N65),ISNUMBER(Q65)),N65/Q65,"")</f>
        <v/>
      </c>
      <c r="S65" s="15">
        <f>IF(C65="","",IFERROR(INDEX(Agentes!$I$6:$I$60,MATCH(C65,Agentes!$A$6:$A$60,0)),""))</f>
        <v/>
      </c>
      <c r="T65" s="8" t="n"/>
      <c r="U65" s="15">
        <f>IF(ISNUMBER(N65),IF(N65&gt;0,LN(N65),""),"")</f>
        <v/>
      </c>
      <c r="V65" s="15">
        <f>IF(ISNUMBER(U65),IFERROR((U65-LN(IFERROR(INDEX(Estadística!$K$6:$K$35,MATCH(Y65,Estadística!$Y$6:$Y$35,0)),0)))^2,""),"")</f>
        <v/>
      </c>
      <c r="W65" s="15">
        <f>IF(ISNUMBER(N65),IFERROR((N65-IFERROR(INDEX(Estadística!$I$6:$I$35,MATCH(Y65,Estadística!$Y$6:$Y$35,0)),0))^2,""),"")</f>
        <v/>
      </c>
      <c r="X65" s="15">
        <f>IF(ISNUMBER(R65),IF(R65&gt;1,1,0),"")</f>
        <v/>
      </c>
      <c r="Y65" s="15">
        <f>IF(OR(B65="",C65=""),"",B65&amp;"|"&amp;C65)</f>
        <v/>
      </c>
    </row>
    <row r="66">
      <c r="A66" s="23" t="n">
        <v>61</v>
      </c>
      <c r="B66" s="8" t="n"/>
      <c r="C66" s="8" t="n"/>
      <c r="D66" s="9" t="n"/>
      <c r="E66" s="8" t="n"/>
      <c r="F66" s="8" t="n"/>
      <c r="G66" s="8" t="n"/>
      <c r="H66" s="8" t="n"/>
      <c r="I66" s="24" t="n"/>
      <c r="J66" s="8" t="n"/>
      <c r="K66" s="25">
        <f>IF(OR(I66="",J66=""),"",I66*J66/1000)</f>
        <v/>
      </c>
      <c r="L66" s="26" t="n"/>
      <c r="M66" s="26" t="n"/>
      <c r="N66" s="27">
        <f>IF(OR(B66="",C66=""),"",IF(M66&lt;&gt;"",M66,IF(AND(N(L66)&gt;0,N(K66)&gt;0),L66/K66,"")))</f>
        <v/>
      </c>
      <c r="O66" s="15">
        <f>IF(C66="","",IFERROR(INDEX(Agentes!$D$6:$D$60,MATCH(C66,Agentes!$A$6:$A$60,0)),""))</f>
        <v/>
      </c>
      <c r="P66" s="28">
        <f>IF(OR(H66="",O66=""),"",IF(AND(O66="Inhalable",LEFT(H66,6)="Casete"),"Subestima: el casete cerrado no colecta toda la fracción inhalable",IF(AND(O66="Respirable",LEFT(H66,6)&lt;&gt;"Ciclón"),"Requiere ciclón (fracción respirable)",IF(AND(O66="Inhalable",ISNUMBER(SEARCH("Respirable",IFERROR(INDEX(Agentes!$C$80:$C$87,MATCH(H66,Agentes!$B$80:$B$87,0)),"")))),"El ciclón no colecta la fracción inhalable","Coherente"))))</f>
        <v/>
      </c>
      <c r="Q66" s="22">
        <f>IF(Y66="","",IFERROR(INDEX(GES!$W$6:$W$35,MATCH(Y66,GES!$R$6:$R$35,0)),""))</f>
        <v/>
      </c>
      <c r="R66" s="29">
        <f>IF(AND(ISNUMBER(N66),ISNUMBER(Q66)),N66/Q66,"")</f>
        <v/>
      </c>
      <c r="S66" s="15">
        <f>IF(C66="","",IFERROR(INDEX(Agentes!$I$6:$I$60,MATCH(C66,Agentes!$A$6:$A$60,0)),""))</f>
        <v/>
      </c>
      <c r="T66" s="8" t="n"/>
      <c r="U66" s="15">
        <f>IF(ISNUMBER(N66),IF(N66&gt;0,LN(N66),""),"")</f>
        <v/>
      </c>
      <c r="V66" s="15">
        <f>IF(ISNUMBER(U66),IFERROR((U66-LN(IFERROR(INDEX(Estadística!$K$6:$K$35,MATCH(Y66,Estadística!$Y$6:$Y$35,0)),0)))^2,""),"")</f>
        <v/>
      </c>
      <c r="W66" s="15">
        <f>IF(ISNUMBER(N66),IFERROR((N66-IFERROR(INDEX(Estadística!$I$6:$I$35,MATCH(Y66,Estadística!$Y$6:$Y$35,0)),0))^2,""),"")</f>
        <v/>
      </c>
      <c r="X66" s="15">
        <f>IF(ISNUMBER(R66),IF(R66&gt;1,1,0),"")</f>
        <v/>
      </c>
      <c r="Y66" s="15">
        <f>IF(OR(B66="",C66=""),"",B66&amp;"|"&amp;C66)</f>
        <v/>
      </c>
    </row>
    <row r="67">
      <c r="A67" s="23" t="n">
        <v>62</v>
      </c>
      <c r="B67" s="8" t="n"/>
      <c r="C67" s="8" t="n"/>
      <c r="D67" s="9" t="n"/>
      <c r="E67" s="8" t="n"/>
      <c r="F67" s="8" t="n"/>
      <c r="G67" s="8" t="n"/>
      <c r="H67" s="8" t="n"/>
      <c r="I67" s="24" t="n"/>
      <c r="J67" s="8" t="n"/>
      <c r="K67" s="25">
        <f>IF(OR(I67="",J67=""),"",I67*J67/1000)</f>
        <v/>
      </c>
      <c r="L67" s="26" t="n"/>
      <c r="M67" s="26" t="n"/>
      <c r="N67" s="27">
        <f>IF(OR(B67="",C67=""),"",IF(M67&lt;&gt;"",M67,IF(AND(N(L67)&gt;0,N(K67)&gt;0),L67/K67,"")))</f>
        <v/>
      </c>
      <c r="O67" s="15">
        <f>IF(C67="","",IFERROR(INDEX(Agentes!$D$6:$D$60,MATCH(C67,Agentes!$A$6:$A$60,0)),""))</f>
        <v/>
      </c>
      <c r="P67" s="28">
        <f>IF(OR(H67="",O67=""),"",IF(AND(O67="Inhalable",LEFT(H67,6)="Casete"),"Subestima: el casete cerrado no colecta toda la fracción inhalable",IF(AND(O67="Respirable",LEFT(H67,6)&lt;&gt;"Ciclón"),"Requiere ciclón (fracción respirable)",IF(AND(O67="Inhalable",ISNUMBER(SEARCH("Respirable",IFERROR(INDEX(Agentes!$C$80:$C$87,MATCH(H67,Agentes!$B$80:$B$87,0)),"")))),"El ciclón no colecta la fracción inhalable","Coherente"))))</f>
        <v/>
      </c>
      <c r="Q67" s="22">
        <f>IF(Y67="","",IFERROR(INDEX(GES!$W$6:$W$35,MATCH(Y67,GES!$R$6:$R$35,0)),""))</f>
        <v/>
      </c>
      <c r="R67" s="29">
        <f>IF(AND(ISNUMBER(N67),ISNUMBER(Q67)),N67/Q67,"")</f>
        <v/>
      </c>
      <c r="S67" s="15">
        <f>IF(C67="","",IFERROR(INDEX(Agentes!$I$6:$I$60,MATCH(C67,Agentes!$A$6:$A$60,0)),""))</f>
        <v/>
      </c>
      <c r="T67" s="8" t="n"/>
      <c r="U67" s="15">
        <f>IF(ISNUMBER(N67),IF(N67&gt;0,LN(N67),""),"")</f>
        <v/>
      </c>
      <c r="V67" s="15">
        <f>IF(ISNUMBER(U67),IFERROR((U67-LN(IFERROR(INDEX(Estadística!$K$6:$K$35,MATCH(Y67,Estadística!$Y$6:$Y$35,0)),0)))^2,""),"")</f>
        <v/>
      </c>
      <c r="W67" s="15">
        <f>IF(ISNUMBER(N67),IFERROR((N67-IFERROR(INDEX(Estadística!$I$6:$I$35,MATCH(Y67,Estadística!$Y$6:$Y$35,0)),0))^2,""),"")</f>
        <v/>
      </c>
      <c r="X67" s="15">
        <f>IF(ISNUMBER(R67),IF(R67&gt;1,1,0),"")</f>
        <v/>
      </c>
      <c r="Y67" s="15">
        <f>IF(OR(B67="",C67=""),"",B67&amp;"|"&amp;C67)</f>
        <v/>
      </c>
    </row>
    <row r="68">
      <c r="A68" s="23" t="n">
        <v>63</v>
      </c>
      <c r="B68" s="8" t="n"/>
      <c r="C68" s="8" t="n"/>
      <c r="D68" s="9" t="n"/>
      <c r="E68" s="8" t="n"/>
      <c r="F68" s="8" t="n"/>
      <c r="G68" s="8" t="n"/>
      <c r="H68" s="8" t="n"/>
      <c r="I68" s="24" t="n"/>
      <c r="J68" s="8" t="n"/>
      <c r="K68" s="25">
        <f>IF(OR(I68="",J68=""),"",I68*J68/1000)</f>
        <v/>
      </c>
      <c r="L68" s="26" t="n"/>
      <c r="M68" s="26" t="n"/>
      <c r="N68" s="27">
        <f>IF(OR(B68="",C68=""),"",IF(M68&lt;&gt;"",M68,IF(AND(N(L68)&gt;0,N(K68)&gt;0),L68/K68,"")))</f>
        <v/>
      </c>
      <c r="O68" s="15">
        <f>IF(C68="","",IFERROR(INDEX(Agentes!$D$6:$D$60,MATCH(C68,Agentes!$A$6:$A$60,0)),""))</f>
        <v/>
      </c>
      <c r="P68" s="28">
        <f>IF(OR(H68="",O68=""),"",IF(AND(O68="Inhalable",LEFT(H68,6)="Casete"),"Subestima: el casete cerrado no colecta toda la fracción inhalable",IF(AND(O68="Respirable",LEFT(H68,6)&lt;&gt;"Ciclón"),"Requiere ciclón (fracción respirable)",IF(AND(O68="Inhalable",ISNUMBER(SEARCH("Respirable",IFERROR(INDEX(Agentes!$C$80:$C$87,MATCH(H68,Agentes!$B$80:$B$87,0)),"")))),"El ciclón no colecta la fracción inhalable","Coherente"))))</f>
        <v/>
      </c>
      <c r="Q68" s="22">
        <f>IF(Y68="","",IFERROR(INDEX(GES!$W$6:$W$35,MATCH(Y68,GES!$R$6:$R$35,0)),""))</f>
        <v/>
      </c>
      <c r="R68" s="29">
        <f>IF(AND(ISNUMBER(N68),ISNUMBER(Q68)),N68/Q68,"")</f>
        <v/>
      </c>
      <c r="S68" s="15">
        <f>IF(C68="","",IFERROR(INDEX(Agentes!$I$6:$I$60,MATCH(C68,Agentes!$A$6:$A$60,0)),""))</f>
        <v/>
      </c>
      <c r="T68" s="8" t="n"/>
      <c r="U68" s="15">
        <f>IF(ISNUMBER(N68),IF(N68&gt;0,LN(N68),""),"")</f>
        <v/>
      </c>
      <c r="V68" s="15">
        <f>IF(ISNUMBER(U68),IFERROR((U68-LN(IFERROR(INDEX(Estadística!$K$6:$K$35,MATCH(Y68,Estadística!$Y$6:$Y$35,0)),0)))^2,""),"")</f>
        <v/>
      </c>
      <c r="W68" s="15">
        <f>IF(ISNUMBER(N68),IFERROR((N68-IFERROR(INDEX(Estadística!$I$6:$I$35,MATCH(Y68,Estadística!$Y$6:$Y$35,0)),0))^2,""),"")</f>
        <v/>
      </c>
      <c r="X68" s="15">
        <f>IF(ISNUMBER(R68),IF(R68&gt;1,1,0),"")</f>
        <v/>
      </c>
      <c r="Y68" s="15">
        <f>IF(OR(B68="",C68=""),"",B68&amp;"|"&amp;C68)</f>
        <v/>
      </c>
    </row>
    <row r="69">
      <c r="A69" s="23" t="n">
        <v>64</v>
      </c>
      <c r="B69" s="8" t="n"/>
      <c r="C69" s="8" t="n"/>
      <c r="D69" s="9" t="n"/>
      <c r="E69" s="8" t="n"/>
      <c r="F69" s="8" t="n"/>
      <c r="G69" s="8" t="n"/>
      <c r="H69" s="8" t="n"/>
      <c r="I69" s="24" t="n"/>
      <c r="J69" s="8" t="n"/>
      <c r="K69" s="25">
        <f>IF(OR(I69="",J69=""),"",I69*J69/1000)</f>
        <v/>
      </c>
      <c r="L69" s="26" t="n"/>
      <c r="M69" s="26" t="n"/>
      <c r="N69" s="27">
        <f>IF(OR(B69="",C69=""),"",IF(M69&lt;&gt;"",M69,IF(AND(N(L69)&gt;0,N(K69)&gt;0),L69/K69,"")))</f>
        <v/>
      </c>
      <c r="O69" s="15">
        <f>IF(C69="","",IFERROR(INDEX(Agentes!$D$6:$D$60,MATCH(C69,Agentes!$A$6:$A$60,0)),""))</f>
        <v/>
      </c>
      <c r="P69" s="28">
        <f>IF(OR(H69="",O69=""),"",IF(AND(O69="Inhalable",LEFT(H69,6)="Casete"),"Subestima: el casete cerrado no colecta toda la fracción inhalable",IF(AND(O69="Respirable",LEFT(H69,6)&lt;&gt;"Ciclón"),"Requiere ciclón (fracción respirable)",IF(AND(O69="Inhalable",ISNUMBER(SEARCH("Respirable",IFERROR(INDEX(Agentes!$C$80:$C$87,MATCH(H69,Agentes!$B$80:$B$87,0)),"")))),"El ciclón no colecta la fracción inhalable","Coherente"))))</f>
        <v/>
      </c>
      <c r="Q69" s="22">
        <f>IF(Y69="","",IFERROR(INDEX(GES!$W$6:$W$35,MATCH(Y69,GES!$R$6:$R$35,0)),""))</f>
        <v/>
      </c>
      <c r="R69" s="29">
        <f>IF(AND(ISNUMBER(N69),ISNUMBER(Q69)),N69/Q69,"")</f>
        <v/>
      </c>
      <c r="S69" s="15">
        <f>IF(C69="","",IFERROR(INDEX(Agentes!$I$6:$I$60,MATCH(C69,Agentes!$A$6:$A$60,0)),""))</f>
        <v/>
      </c>
      <c r="T69" s="8" t="n"/>
      <c r="U69" s="15">
        <f>IF(ISNUMBER(N69),IF(N69&gt;0,LN(N69),""),"")</f>
        <v/>
      </c>
      <c r="V69" s="15">
        <f>IF(ISNUMBER(U69),IFERROR((U69-LN(IFERROR(INDEX(Estadística!$K$6:$K$35,MATCH(Y69,Estadística!$Y$6:$Y$35,0)),0)))^2,""),"")</f>
        <v/>
      </c>
      <c r="W69" s="15">
        <f>IF(ISNUMBER(N69),IFERROR((N69-IFERROR(INDEX(Estadística!$I$6:$I$35,MATCH(Y69,Estadística!$Y$6:$Y$35,0)),0))^2,""),"")</f>
        <v/>
      </c>
      <c r="X69" s="15">
        <f>IF(ISNUMBER(R69),IF(R69&gt;1,1,0),"")</f>
        <v/>
      </c>
      <c r="Y69" s="15">
        <f>IF(OR(B69="",C69=""),"",B69&amp;"|"&amp;C69)</f>
        <v/>
      </c>
    </row>
    <row r="70">
      <c r="A70" s="23" t="n">
        <v>65</v>
      </c>
      <c r="B70" s="8" t="n"/>
      <c r="C70" s="8" t="n"/>
      <c r="D70" s="9" t="n"/>
      <c r="E70" s="8" t="n"/>
      <c r="F70" s="8" t="n"/>
      <c r="G70" s="8" t="n"/>
      <c r="H70" s="8" t="n"/>
      <c r="I70" s="24" t="n"/>
      <c r="J70" s="8" t="n"/>
      <c r="K70" s="25">
        <f>IF(OR(I70="",J70=""),"",I70*J70/1000)</f>
        <v/>
      </c>
      <c r="L70" s="26" t="n"/>
      <c r="M70" s="26" t="n"/>
      <c r="N70" s="27">
        <f>IF(OR(B70="",C70=""),"",IF(M70&lt;&gt;"",M70,IF(AND(N(L70)&gt;0,N(K70)&gt;0),L70/K70,"")))</f>
        <v/>
      </c>
      <c r="O70" s="15">
        <f>IF(C70="","",IFERROR(INDEX(Agentes!$D$6:$D$60,MATCH(C70,Agentes!$A$6:$A$60,0)),""))</f>
        <v/>
      </c>
      <c r="P70" s="28">
        <f>IF(OR(H70="",O70=""),"",IF(AND(O70="Inhalable",LEFT(H70,6)="Casete"),"Subestima: el casete cerrado no colecta toda la fracción inhalable",IF(AND(O70="Respirable",LEFT(H70,6)&lt;&gt;"Ciclón"),"Requiere ciclón (fracción respirable)",IF(AND(O70="Inhalable",ISNUMBER(SEARCH("Respirable",IFERROR(INDEX(Agentes!$C$80:$C$87,MATCH(H70,Agentes!$B$80:$B$87,0)),"")))),"El ciclón no colecta la fracción inhalable","Coherente"))))</f>
        <v/>
      </c>
      <c r="Q70" s="22">
        <f>IF(Y70="","",IFERROR(INDEX(GES!$W$6:$W$35,MATCH(Y70,GES!$R$6:$R$35,0)),""))</f>
        <v/>
      </c>
      <c r="R70" s="29">
        <f>IF(AND(ISNUMBER(N70),ISNUMBER(Q70)),N70/Q70,"")</f>
        <v/>
      </c>
      <c r="S70" s="15">
        <f>IF(C70="","",IFERROR(INDEX(Agentes!$I$6:$I$60,MATCH(C70,Agentes!$A$6:$A$60,0)),""))</f>
        <v/>
      </c>
      <c r="T70" s="8" t="n"/>
      <c r="U70" s="15">
        <f>IF(ISNUMBER(N70),IF(N70&gt;0,LN(N70),""),"")</f>
        <v/>
      </c>
      <c r="V70" s="15">
        <f>IF(ISNUMBER(U70),IFERROR((U70-LN(IFERROR(INDEX(Estadística!$K$6:$K$35,MATCH(Y70,Estadística!$Y$6:$Y$35,0)),0)))^2,""),"")</f>
        <v/>
      </c>
      <c r="W70" s="15">
        <f>IF(ISNUMBER(N70),IFERROR((N70-IFERROR(INDEX(Estadística!$I$6:$I$35,MATCH(Y70,Estadística!$Y$6:$Y$35,0)),0))^2,""),"")</f>
        <v/>
      </c>
      <c r="X70" s="15">
        <f>IF(ISNUMBER(R70),IF(R70&gt;1,1,0),"")</f>
        <v/>
      </c>
      <c r="Y70" s="15">
        <f>IF(OR(B70="",C70=""),"",B70&amp;"|"&amp;C70)</f>
        <v/>
      </c>
    </row>
    <row r="71">
      <c r="A71" s="23" t="n">
        <v>66</v>
      </c>
      <c r="B71" s="8" t="n"/>
      <c r="C71" s="8" t="n"/>
      <c r="D71" s="9" t="n"/>
      <c r="E71" s="8" t="n"/>
      <c r="F71" s="8" t="n"/>
      <c r="G71" s="8" t="n"/>
      <c r="H71" s="8" t="n"/>
      <c r="I71" s="24" t="n"/>
      <c r="J71" s="8" t="n"/>
      <c r="K71" s="25">
        <f>IF(OR(I71="",J71=""),"",I71*J71/1000)</f>
        <v/>
      </c>
      <c r="L71" s="26" t="n"/>
      <c r="M71" s="26" t="n"/>
      <c r="N71" s="27">
        <f>IF(OR(B71="",C71=""),"",IF(M71&lt;&gt;"",M71,IF(AND(N(L71)&gt;0,N(K71)&gt;0),L71/K71,"")))</f>
        <v/>
      </c>
      <c r="O71" s="15">
        <f>IF(C71="","",IFERROR(INDEX(Agentes!$D$6:$D$60,MATCH(C71,Agentes!$A$6:$A$60,0)),""))</f>
        <v/>
      </c>
      <c r="P71" s="28">
        <f>IF(OR(H71="",O71=""),"",IF(AND(O71="Inhalable",LEFT(H71,6)="Casete"),"Subestima: el casete cerrado no colecta toda la fracción inhalable",IF(AND(O71="Respirable",LEFT(H71,6)&lt;&gt;"Ciclón"),"Requiere ciclón (fracción respirable)",IF(AND(O71="Inhalable",ISNUMBER(SEARCH("Respirable",IFERROR(INDEX(Agentes!$C$80:$C$87,MATCH(H71,Agentes!$B$80:$B$87,0)),"")))),"El ciclón no colecta la fracción inhalable","Coherente"))))</f>
        <v/>
      </c>
      <c r="Q71" s="22">
        <f>IF(Y71="","",IFERROR(INDEX(GES!$W$6:$W$35,MATCH(Y71,GES!$R$6:$R$35,0)),""))</f>
        <v/>
      </c>
      <c r="R71" s="29">
        <f>IF(AND(ISNUMBER(N71),ISNUMBER(Q71)),N71/Q71,"")</f>
        <v/>
      </c>
      <c r="S71" s="15">
        <f>IF(C71="","",IFERROR(INDEX(Agentes!$I$6:$I$60,MATCH(C71,Agentes!$A$6:$A$60,0)),""))</f>
        <v/>
      </c>
      <c r="T71" s="8" t="n"/>
      <c r="U71" s="15">
        <f>IF(ISNUMBER(N71),IF(N71&gt;0,LN(N71),""),"")</f>
        <v/>
      </c>
      <c r="V71" s="15">
        <f>IF(ISNUMBER(U71),IFERROR((U71-LN(IFERROR(INDEX(Estadística!$K$6:$K$35,MATCH(Y71,Estadística!$Y$6:$Y$35,0)),0)))^2,""),"")</f>
        <v/>
      </c>
      <c r="W71" s="15">
        <f>IF(ISNUMBER(N71),IFERROR((N71-IFERROR(INDEX(Estadística!$I$6:$I$35,MATCH(Y71,Estadística!$Y$6:$Y$35,0)),0))^2,""),"")</f>
        <v/>
      </c>
      <c r="X71" s="15">
        <f>IF(ISNUMBER(R71),IF(R71&gt;1,1,0),"")</f>
        <v/>
      </c>
      <c r="Y71" s="15">
        <f>IF(OR(B71="",C71=""),"",B71&amp;"|"&amp;C71)</f>
        <v/>
      </c>
    </row>
    <row r="72">
      <c r="A72" s="23" t="n">
        <v>67</v>
      </c>
      <c r="B72" s="8" t="n"/>
      <c r="C72" s="8" t="n"/>
      <c r="D72" s="9" t="n"/>
      <c r="E72" s="8" t="n"/>
      <c r="F72" s="8" t="n"/>
      <c r="G72" s="8" t="n"/>
      <c r="H72" s="8" t="n"/>
      <c r="I72" s="24" t="n"/>
      <c r="J72" s="8" t="n"/>
      <c r="K72" s="25">
        <f>IF(OR(I72="",J72=""),"",I72*J72/1000)</f>
        <v/>
      </c>
      <c r="L72" s="26" t="n"/>
      <c r="M72" s="26" t="n"/>
      <c r="N72" s="27">
        <f>IF(OR(B72="",C72=""),"",IF(M72&lt;&gt;"",M72,IF(AND(N(L72)&gt;0,N(K72)&gt;0),L72/K72,"")))</f>
        <v/>
      </c>
      <c r="O72" s="15">
        <f>IF(C72="","",IFERROR(INDEX(Agentes!$D$6:$D$60,MATCH(C72,Agentes!$A$6:$A$60,0)),""))</f>
        <v/>
      </c>
      <c r="P72" s="28">
        <f>IF(OR(H72="",O72=""),"",IF(AND(O72="Inhalable",LEFT(H72,6)="Casete"),"Subestima: el casete cerrado no colecta toda la fracción inhalable",IF(AND(O72="Respirable",LEFT(H72,6)&lt;&gt;"Ciclón"),"Requiere ciclón (fracción respirable)",IF(AND(O72="Inhalable",ISNUMBER(SEARCH("Respirable",IFERROR(INDEX(Agentes!$C$80:$C$87,MATCH(H72,Agentes!$B$80:$B$87,0)),"")))),"El ciclón no colecta la fracción inhalable","Coherente"))))</f>
        <v/>
      </c>
      <c r="Q72" s="22">
        <f>IF(Y72="","",IFERROR(INDEX(GES!$W$6:$W$35,MATCH(Y72,GES!$R$6:$R$35,0)),""))</f>
        <v/>
      </c>
      <c r="R72" s="29">
        <f>IF(AND(ISNUMBER(N72),ISNUMBER(Q72)),N72/Q72,"")</f>
        <v/>
      </c>
      <c r="S72" s="15">
        <f>IF(C72="","",IFERROR(INDEX(Agentes!$I$6:$I$60,MATCH(C72,Agentes!$A$6:$A$60,0)),""))</f>
        <v/>
      </c>
      <c r="T72" s="8" t="n"/>
      <c r="U72" s="15">
        <f>IF(ISNUMBER(N72),IF(N72&gt;0,LN(N72),""),"")</f>
        <v/>
      </c>
      <c r="V72" s="15">
        <f>IF(ISNUMBER(U72),IFERROR((U72-LN(IFERROR(INDEX(Estadística!$K$6:$K$35,MATCH(Y72,Estadística!$Y$6:$Y$35,0)),0)))^2,""),"")</f>
        <v/>
      </c>
      <c r="W72" s="15">
        <f>IF(ISNUMBER(N72),IFERROR((N72-IFERROR(INDEX(Estadística!$I$6:$I$35,MATCH(Y72,Estadística!$Y$6:$Y$35,0)),0))^2,""),"")</f>
        <v/>
      </c>
      <c r="X72" s="15">
        <f>IF(ISNUMBER(R72),IF(R72&gt;1,1,0),"")</f>
        <v/>
      </c>
      <c r="Y72" s="15">
        <f>IF(OR(B72="",C72=""),"",B72&amp;"|"&amp;C72)</f>
        <v/>
      </c>
    </row>
    <row r="73">
      <c r="A73" s="23" t="n">
        <v>68</v>
      </c>
      <c r="B73" s="8" t="n"/>
      <c r="C73" s="8" t="n"/>
      <c r="D73" s="9" t="n"/>
      <c r="E73" s="8" t="n"/>
      <c r="F73" s="8" t="n"/>
      <c r="G73" s="8" t="n"/>
      <c r="H73" s="8" t="n"/>
      <c r="I73" s="24" t="n"/>
      <c r="J73" s="8" t="n"/>
      <c r="K73" s="25">
        <f>IF(OR(I73="",J73=""),"",I73*J73/1000)</f>
        <v/>
      </c>
      <c r="L73" s="26" t="n"/>
      <c r="M73" s="26" t="n"/>
      <c r="N73" s="27">
        <f>IF(OR(B73="",C73=""),"",IF(M73&lt;&gt;"",M73,IF(AND(N(L73)&gt;0,N(K73)&gt;0),L73/K73,"")))</f>
        <v/>
      </c>
      <c r="O73" s="15">
        <f>IF(C73="","",IFERROR(INDEX(Agentes!$D$6:$D$60,MATCH(C73,Agentes!$A$6:$A$60,0)),""))</f>
        <v/>
      </c>
      <c r="P73" s="28">
        <f>IF(OR(H73="",O73=""),"",IF(AND(O73="Inhalable",LEFT(H73,6)="Casete"),"Subestima: el casete cerrado no colecta toda la fracción inhalable",IF(AND(O73="Respirable",LEFT(H73,6)&lt;&gt;"Ciclón"),"Requiere ciclón (fracción respirable)",IF(AND(O73="Inhalable",ISNUMBER(SEARCH("Respirable",IFERROR(INDEX(Agentes!$C$80:$C$87,MATCH(H73,Agentes!$B$80:$B$87,0)),"")))),"El ciclón no colecta la fracción inhalable","Coherente"))))</f>
        <v/>
      </c>
      <c r="Q73" s="22">
        <f>IF(Y73="","",IFERROR(INDEX(GES!$W$6:$W$35,MATCH(Y73,GES!$R$6:$R$35,0)),""))</f>
        <v/>
      </c>
      <c r="R73" s="29">
        <f>IF(AND(ISNUMBER(N73),ISNUMBER(Q73)),N73/Q73,"")</f>
        <v/>
      </c>
      <c r="S73" s="15">
        <f>IF(C73="","",IFERROR(INDEX(Agentes!$I$6:$I$60,MATCH(C73,Agentes!$A$6:$A$60,0)),""))</f>
        <v/>
      </c>
      <c r="T73" s="8" t="n"/>
      <c r="U73" s="15">
        <f>IF(ISNUMBER(N73),IF(N73&gt;0,LN(N73),""),"")</f>
        <v/>
      </c>
      <c r="V73" s="15">
        <f>IF(ISNUMBER(U73),IFERROR((U73-LN(IFERROR(INDEX(Estadística!$K$6:$K$35,MATCH(Y73,Estadística!$Y$6:$Y$35,0)),0)))^2,""),"")</f>
        <v/>
      </c>
      <c r="W73" s="15">
        <f>IF(ISNUMBER(N73),IFERROR((N73-IFERROR(INDEX(Estadística!$I$6:$I$35,MATCH(Y73,Estadística!$Y$6:$Y$35,0)),0))^2,""),"")</f>
        <v/>
      </c>
      <c r="X73" s="15">
        <f>IF(ISNUMBER(R73),IF(R73&gt;1,1,0),"")</f>
        <v/>
      </c>
      <c r="Y73" s="15">
        <f>IF(OR(B73="",C73=""),"",B73&amp;"|"&amp;C73)</f>
        <v/>
      </c>
    </row>
    <row r="74">
      <c r="A74" s="23" t="n">
        <v>69</v>
      </c>
      <c r="B74" s="8" t="n"/>
      <c r="C74" s="8" t="n"/>
      <c r="D74" s="9" t="n"/>
      <c r="E74" s="8" t="n"/>
      <c r="F74" s="8" t="n"/>
      <c r="G74" s="8" t="n"/>
      <c r="H74" s="8" t="n"/>
      <c r="I74" s="24" t="n"/>
      <c r="J74" s="8" t="n"/>
      <c r="K74" s="25">
        <f>IF(OR(I74="",J74=""),"",I74*J74/1000)</f>
        <v/>
      </c>
      <c r="L74" s="26" t="n"/>
      <c r="M74" s="26" t="n"/>
      <c r="N74" s="27">
        <f>IF(OR(B74="",C74=""),"",IF(M74&lt;&gt;"",M74,IF(AND(N(L74)&gt;0,N(K74)&gt;0),L74/K74,"")))</f>
        <v/>
      </c>
      <c r="O74" s="15">
        <f>IF(C74="","",IFERROR(INDEX(Agentes!$D$6:$D$60,MATCH(C74,Agentes!$A$6:$A$60,0)),""))</f>
        <v/>
      </c>
      <c r="P74" s="28">
        <f>IF(OR(H74="",O74=""),"",IF(AND(O74="Inhalable",LEFT(H74,6)="Casete"),"Subestima: el casete cerrado no colecta toda la fracción inhalable",IF(AND(O74="Respirable",LEFT(H74,6)&lt;&gt;"Ciclón"),"Requiere ciclón (fracción respirable)",IF(AND(O74="Inhalable",ISNUMBER(SEARCH("Respirable",IFERROR(INDEX(Agentes!$C$80:$C$87,MATCH(H74,Agentes!$B$80:$B$87,0)),"")))),"El ciclón no colecta la fracción inhalable","Coherente"))))</f>
        <v/>
      </c>
      <c r="Q74" s="22">
        <f>IF(Y74="","",IFERROR(INDEX(GES!$W$6:$W$35,MATCH(Y74,GES!$R$6:$R$35,0)),""))</f>
        <v/>
      </c>
      <c r="R74" s="29">
        <f>IF(AND(ISNUMBER(N74),ISNUMBER(Q74)),N74/Q74,"")</f>
        <v/>
      </c>
      <c r="S74" s="15">
        <f>IF(C74="","",IFERROR(INDEX(Agentes!$I$6:$I$60,MATCH(C74,Agentes!$A$6:$A$60,0)),""))</f>
        <v/>
      </c>
      <c r="T74" s="8" t="n"/>
      <c r="U74" s="15">
        <f>IF(ISNUMBER(N74),IF(N74&gt;0,LN(N74),""),"")</f>
        <v/>
      </c>
      <c r="V74" s="15">
        <f>IF(ISNUMBER(U74),IFERROR((U74-LN(IFERROR(INDEX(Estadística!$K$6:$K$35,MATCH(Y74,Estadística!$Y$6:$Y$35,0)),0)))^2,""),"")</f>
        <v/>
      </c>
      <c r="W74" s="15">
        <f>IF(ISNUMBER(N74),IFERROR((N74-IFERROR(INDEX(Estadística!$I$6:$I$35,MATCH(Y74,Estadística!$Y$6:$Y$35,0)),0))^2,""),"")</f>
        <v/>
      </c>
      <c r="X74" s="15">
        <f>IF(ISNUMBER(R74),IF(R74&gt;1,1,0),"")</f>
        <v/>
      </c>
      <c r="Y74" s="15">
        <f>IF(OR(B74="",C74=""),"",B74&amp;"|"&amp;C74)</f>
        <v/>
      </c>
    </row>
    <row r="75">
      <c r="A75" s="23" t="n">
        <v>70</v>
      </c>
      <c r="B75" s="8" t="n"/>
      <c r="C75" s="8" t="n"/>
      <c r="D75" s="9" t="n"/>
      <c r="E75" s="8" t="n"/>
      <c r="F75" s="8" t="n"/>
      <c r="G75" s="8" t="n"/>
      <c r="H75" s="8" t="n"/>
      <c r="I75" s="24" t="n"/>
      <c r="J75" s="8" t="n"/>
      <c r="K75" s="25">
        <f>IF(OR(I75="",J75=""),"",I75*J75/1000)</f>
        <v/>
      </c>
      <c r="L75" s="26" t="n"/>
      <c r="M75" s="26" t="n"/>
      <c r="N75" s="27">
        <f>IF(OR(B75="",C75=""),"",IF(M75&lt;&gt;"",M75,IF(AND(N(L75)&gt;0,N(K75)&gt;0),L75/K75,"")))</f>
        <v/>
      </c>
      <c r="O75" s="15">
        <f>IF(C75="","",IFERROR(INDEX(Agentes!$D$6:$D$60,MATCH(C75,Agentes!$A$6:$A$60,0)),""))</f>
        <v/>
      </c>
      <c r="P75" s="28">
        <f>IF(OR(H75="",O75=""),"",IF(AND(O75="Inhalable",LEFT(H75,6)="Casete"),"Subestima: el casete cerrado no colecta toda la fracción inhalable",IF(AND(O75="Respirable",LEFT(H75,6)&lt;&gt;"Ciclón"),"Requiere ciclón (fracción respirable)",IF(AND(O75="Inhalable",ISNUMBER(SEARCH("Respirable",IFERROR(INDEX(Agentes!$C$80:$C$87,MATCH(H75,Agentes!$B$80:$B$87,0)),"")))),"El ciclón no colecta la fracción inhalable","Coherente"))))</f>
        <v/>
      </c>
      <c r="Q75" s="22">
        <f>IF(Y75="","",IFERROR(INDEX(GES!$W$6:$W$35,MATCH(Y75,GES!$R$6:$R$35,0)),""))</f>
        <v/>
      </c>
      <c r="R75" s="29">
        <f>IF(AND(ISNUMBER(N75),ISNUMBER(Q75)),N75/Q75,"")</f>
        <v/>
      </c>
      <c r="S75" s="15">
        <f>IF(C75="","",IFERROR(INDEX(Agentes!$I$6:$I$60,MATCH(C75,Agentes!$A$6:$A$60,0)),""))</f>
        <v/>
      </c>
      <c r="T75" s="8" t="n"/>
      <c r="U75" s="15">
        <f>IF(ISNUMBER(N75),IF(N75&gt;0,LN(N75),""),"")</f>
        <v/>
      </c>
      <c r="V75" s="15">
        <f>IF(ISNUMBER(U75),IFERROR((U75-LN(IFERROR(INDEX(Estadística!$K$6:$K$35,MATCH(Y75,Estadística!$Y$6:$Y$35,0)),0)))^2,""),"")</f>
        <v/>
      </c>
      <c r="W75" s="15">
        <f>IF(ISNUMBER(N75),IFERROR((N75-IFERROR(INDEX(Estadística!$I$6:$I$35,MATCH(Y75,Estadística!$Y$6:$Y$35,0)),0))^2,""),"")</f>
        <v/>
      </c>
      <c r="X75" s="15">
        <f>IF(ISNUMBER(R75),IF(R75&gt;1,1,0),"")</f>
        <v/>
      </c>
      <c r="Y75" s="15">
        <f>IF(OR(B75="",C75=""),"",B75&amp;"|"&amp;C75)</f>
        <v/>
      </c>
    </row>
    <row r="76">
      <c r="A76" s="23" t="n">
        <v>71</v>
      </c>
      <c r="B76" s="8" t="n"/>
      <c r="C76" s="8" t="n"/>
      <c r="D76" s="9" t="n"/>
      <c r="E76" s="8" t="n"/>
      <c r="F76" s="8" t="n"/>
      <c r="G76" s="8" t="n"/>
      <c r="H76" s="8" t="n"/>
      <c r="I76" s="24" t="n"/>
      <c r="J76" s="8" t="n"/>
      <c r="K76" s="25">
        <f>IF(OR(I76="",J76=""),"",I76*J76/1000)</f>
        <v/>
      </c>
      <c r="L76" s="26" t="n"/>
      <c r="M76" s="26" t="n"/>
      <c r="N76" s="27">
        <f>IF(OR(B76="",C76=""),"",IF(M76&lt;&gt;"",M76,IF(AND(N(L76)&gt;0,N(K76)&gt;0),L76/K76,"")))</f>
        <v/>
      </c>
      <c r="O76" s="15">
        <f>IF(C76="","",IFERROR(INDEX(Agentes!$D$6:$D$60,MATCH(C76,Agentes!$A$6:$A$60,0)),""))</f>
        <v/>
      </c>
      <c r="P76" s="28">
        <f>IF(OR(H76="",O76=""),"",IF(AND(O76="Inhalable",LEFT(H76,6)="Casete"),"Subestima: el casete cerrado no colecta toda la fracción inhalable",IF(AND(O76="Respirable",LEFT(H76,6)&lt;&gt;"Ciclón"),"Requiere ciclón (fracción respirable)",IF(AND(O76="Inhalable",ISNUMBER(SEARCH("Respirable",IFERROR(INDEX(Agentes!$C$80:$C$87,MATCH(H76,Agentes!$B$80:$B$87,0)),"")))),"El ciclón no colecta la fracción inhalable","Coherente"))))</f>
        <v/>
      </c>
      <c r="Q76" s="22">
        <f>IF(Y76="","",IFERROR(INDEX(GES!$W$6:$W$35,MATCH(Y76,GES!$R$6:$R$35,0)),""))</f>
        <v/>
      </c>
      <c r="R76" s="29">
        <f>IF(AND(ISNUMBER(N76),ISNUMBER(Q76)),N76/Q76,"")</f>
        <v/>
      </c>
      <c r="S76" s="15">
        <f>IF(C76="","",IFERROR(INDEX(Agentes!$I$6:$I$60,MATCH(C76,Agentes!$A$6:$A$60,0)),""))</f>
        <v/>
      </c>
      <c r="T76" s="8" t="n"/>
      <c r="U76" s="15">
        <f>IF(ISNUMBER(N76),IF(N76&gt;0,LN(N76),""),"")</f>
        <v/>
      </c>
      <c r="V76" s="15">
        <f>IF(ISNUMBER(U76),IFERROR((U76-LN(IFERROR(INDEX(Estadística!$K$6:$K$35,MATCH(Y76,Estadística!$Y$6:$Y$35,0)),0)))^2,""),"")</f>
        <v/>
      </c>
      <c r="W76" s="15">
        <f>IF(ISNUMBER(N76),IFERROR((N76-IFERROR(INDEX(Estadística!$I$6:$I$35,MATCH(Y76,Estadística!$Y$6:$Y$35,0)),0))^2,""),"")</f>
        <v/>
      </c>
      <c r="X76" s="15">
        <f>IF(ISNUMBER(R76),IF(R76&gt;1,1,0),"")</f>
        <v/>
      </c>
      <c r="Y76" s="15">
        <f>IF(OR(B76="",C76=""),"",B76&amp;"|"&amp;C76)</f>
        <v/>
      </c>
    </row>
    <row r="77">
      <c r="A77" s="23" t="n">
        <v>72</v>
      </c>
      <c r="B77" s="8" t="n"/>
      <c r="C77" s="8" t="n"/>
      <c r="D77" s="9" t="n"/>
      <c r="E77" s="8" t="n"/>
      <c r="F77" s="8" t="n"/>
      <c r="G77" s="8" t="n"/>
      <c r="H77" s="8" t="n"/>
      <c r="I77" s="24" t="n"/>
      <c r="J77" s="8" t="n"/>
      <c r="K77" s="25">
        <f>IF(OR(I77="",J77=""),"",I77*J77/1000)</f>
        <v/>
      </c>
      <c r="L77" s="26" t="n"/>
      <c r="M77" s="26" t="n"/>
      <c r="N77" s="27">
        <f>IF(OR(B77="",C77=""),"",IF(M77&lt;&gt;"",M77,IF(AND(N(L77)&gt;0,N(K77)&gt;0),L77/K77,"")))</f>
        <v/>
      </c>
      <c r="O77" s="15">
        <f>IF(C77="","",IFERROR(INDEX(Agentes!$D$6:$D$60,MATCH(C77,Agentes!$A$6:$A$60,0)),""))</f>
        <v/>
      </c>
      <c r="P77" s="28">
        <f>IF(OR(H77="",O77=""),"",IF(AND(O77="Inhalable",LEFT(H77,6)="Casete"),"Subestima: el casete cerrado no colecta toda la fracción inhalable",IF(AND(O77="Respirable",LEFT(H77,6)&lt;&gt;"Ciclón"),"Requiere ciclón (fracción respirable)",IF(AND(O77="Inhalable",ISNUMBER(SEARCH("Respirable",IFERROR(INDEX(Agentes!$C$80:$C$87,MATCH(H77,Agentes!$B$80:$B$87,0)),"")))),"El ciclón no colecta la fracción inhalable","Coherente"))))</f>
        <v/>
      </c>
      <c r="Q77" s="22">
        <f>IF(Y77="","",IFERROR(INDEX(GES!$W$6:$W$35,MATCH(Y77,GES!$R$6:$R$35,0)),""))</f>
        <v/>
      </c>
      <c r="R77" s="29">
        <f>IF(AND(ISNUMBER(N77),ISNUMBER(Q77)),N77/Q77,"")</f>
        <v/>
      </c>
      <c r="S77" s="15">
        <f>IF(C77="","",IFERROR(INDEX(Agentes!$I$6:$I$60,MATCH(C77,Agentes!$A$6:$A$60,0)),""))</f>
        <v/>
      </c>
      <c r="T77" s="8" t="n"/>
      <c r="U77" s="15">
        <f>IF(ISNUMBER(N77),IF(N77&gt;0,LN(N77),""),"")</f>
        <v/>
      </c>
      <c r="V77" s="15">
        <f>IF(ISNUMBER(U77),IFERROR((U77-LN(IFERROR(INDEX(Estadística!$K$6:$K$35,MATCH(Y77,Estadística!$Y$6:$Y$35,0)),0)))^2,""),"")</f>
        <v/>
      </c>
      <c r="W77" s="15">
        <f>IF(ISNUMBER(N77),IFERROR((N77-IFERROR(INDEX(Estadística!$I$6:$I$35,MATCH(Y77,Estadística!$Y$6:$Y$35,0)),0))^2,""),"")</f>
        <v/>
      </c>
      <c r="X77" s="15">
        <f>IF(ISNUMBER(R77),IF(R77&gt;1,1,0),"")</f>
        <v/>
      </c>
      <c r="Y77" s="15">
        <f>IF(OR(B77="",C77=""),"",B77&amp;"|"&amp;C77)</f>
        <v/>
      </c>
    </row>
    <row r="78">
      <c r="A78" s="23" t="n">
        <v>73</v>
      </c>
      <c r="B78" s="8" t="n"/>
      <c r="C78" s="8" t="n"/>
      <c r="D78" s="9" t="n"/>
      <c r="E78" s="8" t="n"/>
      <c r="F78" s="8" t="n"/>
      <c r="G78" s="8" t="n"/>
      <c r="H78" s="8" t="n"/>
      <c r="I78" s="24" t="n"/>
      <c r="J78" s="8" t="n"/>
      <c r="K78" s="25">
        <f>IF(OR(I78="",J78=""),"",I78*J78/1000)</f>
        <v/>
      </c>
      <c r="L78" s="26" t="n"/>
      <c r="M78" s="26" t="n"/>
      <c r="N78" s="27">
        <f>IF(OR(B78="",C78=""),"",IF(M78&lt;&gt;"",M78,IF(AND(N(L78)&gt;0,N(K78)&gt;0),L78/K78,"")))</f>
        <v/>
      </c>
      <c r="O78" s="15">
        <f>IF(C78="","",IFERROR(INDEX(Agentes!$D$6:$D$60,MATCH(C78,Agentes!$A$6:$A$60,0)),""))</f>
        <v/>
      </c>
      <c r="P78" s="28">
        <f>IF(OR(H78="",O78=""),"",IF(AND(O78="Inhalable",LEFT(H78,6)="Casete"),"Subestima: el casete cerrado no colecta toda la fracción inhalable",IF(AND(O78="Respirable",LEFT(H78,6)&lt;&gt;"Ciclón"),"Requiere ciclón (fracción respirable)",IF(AND(O78="Inhalable",ISNUMBER(SEARCH("Respirable",IFERROR(INDEX(Agentes!$C$80:$C$87,MATCH(H78,Agentes!$B$80:$B$87,0)),"")))),"El ciclón no colecta la fracción inhalable","Coherente"))))</f>
        <v/>
      </c>
      <c r="Q78" s="22">
        <f>IF(Y78="","",IFERROR(INDEX(GES!$W$6:$W$35,MATCH(Y78,GES!$R$6:$R$35,0)),""))</f>
        <v/>
      </c>
      <c r="R78" s="29">
        <f>IF(AND(ISNUMBER(N78),ISNUMBER(Q78)),N78/Q78,"")</f>
        <v/>
      </c>
      <c r="S78" s="15">
        <f>IF(C78="","",IFERROR(INDEX(Agentes!$I$6:$I$60,MATCH(C78,Agentes!$A$6:$A$60,0)),""))</f>
        <v/>
      </c>
      <c r="T78" s="8" t="n"/>
      <c r="U78" s="15">
        <f>IF(ISNUMBER(N78),IF(N78&gt;0,LN(N78),""),"")</f>
        <v/>
      </c>
      <c r="V78" s="15">
        <f>IF(ISNUMBER(U78),IFERROR((U78-LN(IFERROR(INDEX(Estadística!$K$6:$K$35,MATCH(Y78,Estadística!$Y$6:$Y$35,0)),0)))^2,""),"")</f>
        <v/>
      </c>
      <c r="W78" s="15">
        <f>IF(ISNUMBER(N78),IFERROR((N78-IFERROR(INDEX(Estadística!$I$6:$I$35,MATCH(Y78,Estadística!$Y$6:$Y$35,0)),0))^2,""),"")</f>
        <v/>
      </c>
      <c r="X78" s="15">
        <f>IF(ISNUMBER(R78),IF(R78&gt;1,1,0),"")</f>
        <v/>
      </c>
      <c r="Y78" s="15">
        <f>IF(OR(B78="",C78=""),"",B78&amp;"|"&amp;C78)</f>
        <v/>
      </c>
    </row>
    <row r="79">
      <c r="A79" s="23" t="n">
        <v>74</v>
      </c>
      <c r="B79" s="8" t="n"/>
      <c r="C79" s="8" t="n"/>
      <c r="D79" s="9" t="n"/>
      <c r="E79" s="8" t="n"/>
      <c r="F79" s="8" t="n"/>
      <c r="G79" s="8" t="n"/>
      <c r="H79" s="8" t="n"/>
      <c r="I79" s="24" t="n"/>
      <c r="J79" s="8" t="n"/>
      <c r="K79" s="25">
        <f>IF(OR(I79="",J79=""),"",I79*J79/1000)</f>
        <v/>
      </c>
      <c r="L79" s="26" t="n"/>
      <c r="M79" s="26" t="n"/>
      <c r="N79" s="27">
        <f>IF(OR(B79="",C79=""),"",IF(M79&lt;&gt;"",M79,IF(AND(N(L79)&gt;0,N(K79)&gt;0),L79/K79,"")))</f>
        <v/>
      </c>
      <c r="O79" s="15">
        <f>IF(C79="","",IFERROR(INDEX(Agentes!$D$6:$D$60,MATCH(C79,Agentes!$A$6:$A$60,0)),""))</f>
        <v/>
      </c>
      <c r="P79" s="28">
        <f>IF(OR(H79="",O79=""),"",IF(AND(O79="Inhalable",LEFT(H79,6)="Casete"),"Subestima: el casete cerrado no colecta toda la fracción inhalable",IF(AND(O79="Respirable",LEFT(H79,6)&lt;&gt;"Ciclón"),"Requiere ciclón (fracción respirable)",IF(AND(O79="Inhalable",ISNUMBER(SEARCH("Respirable",IFERROR(INDEX(Agentes!$C$80:$C$87,MATCH(H79,Agentes!$B$80:$B$87,0)),"")))),"El ciclón no colecta la fracción inhalable","Coherente"))))</f>
        <v/>
      </c>
      <c r="Q79" s="22">
        <f>IF(Y79="","",IFERROR(INDEX(GES!$W$6:$W$35,MATCH(Y79,GES!$R$6:$R$35,0)),""))</f>
        <v/>
      </c>
      <c r="R79" s="29">
        <f>IF(AND(ISNUMBER(N79),ISNUMBER(Q79)),N79/Q79,"")</f>
        <v/>
      </c>
      <c r="S79" s="15">
        <f>IF(C79="","",IFERROR(INDEX(Agentes!$I$6:$I$60,MATCH(C79,Agentes!$A$6:$A$60,0)),""))</f>
        <v/>
      </c>
      <c r="T79" s="8" t="n"/>
      <c r="U79" s="15">
        <f>IF(ISNUMBER(N79),IF(N79&gt;0,LN(N79),""),"")</f>
        <v/>
      </c>
      <c r="V79" s="15">
        <f>IF(ISNUMBER(U79),IFERROR((U79-LN(IFERROR(INDEX(Estadística!$K$6:$K$35,MATCH(Y79,Estadística!$Y$6:$Y$35,0)),0)))^2,""),"")</f>
        <v/>
      </c>
      <c r="W79" s="15">
        <f>IF(ISNUMBER(N79),IFERROR((N79-IFERROR(INDEX(Estadística!$I$6:$I$35,MATCH(Y79,Estadística!$Y$6:$Y$35,0)),0))^2,""),"")</f>
        <v/>
      </c>
      <c r="X79" s="15">
        <f>IF(ISNUMBER(R79),IF(R79&gt;1,1,0),"")</f>
        <v/>
      </c>
      <c r="Y79" s="15">
        <f>IF(OR(B79="",C79=""),"",B79&amp;"|"&amp;C79)</f>
        <v/>
      </c>
    </row>
    <row r="80">
      <c r="A80" s="23" t="n">
        <v>75</v>
      </c>
      <c r="B80" s="8" t="n"/>
      <c r="C80" s="8" t="n"/>
      <c r="D80" s="9" t="n"/>
      <c r="E80" s="8" t="n"/>
      <c r="F80" s="8" t="n"/>
      <c r="G80" s="8" t="n"/>
      <c r="H80" s="8" t="n"/>
      <c r="I80" s="24" t="n"/>
      <c r="J80" s="8" t="n"/>
      <c r="K80" s="25">
        <f>IF(OR(I80="",J80=""),"",I80*J80/1000)</f>
        <v/>
      </c>
      <c r="L80" s="26" t="n"/>
      <c r="M80" s="26" t="n"/>
      <c r="N80" s="27">
        <f>IF(OR(B80="",C80=""),"",IF(M80&lt;&gt;"",M80,IF(AND(N(L80)&gt;0,N(K80)&gt;0),L80/K80,"")))</f>
        <v/>
      </c>
      <c r="O80" s="15">
        <f>IF(C80="","",IFERROR(INDEX(Agentes!$D$6:$D$60,MATCH(C80,Agentes!$A$6:$A$60,0)),""))</f>
        <v/>
      </c>
      <c r="P80" s="28">
        <f>IF(OR(H80="",O80=""),"",IF(AND(O80="Inhalable",LEFT(H80,6)="Casete"),"Subestima: el casete cerrado no colecta toda la fracción inhalable",IF(AND(O80="Respirable",LEFT(H80,6)&lt;&gt;"Ciclón"),"Requiere ciclón (fracción respirable)",IF(AND(O80="Inhalable",ISNUMBER(SEARCH("Respirable",IFERROR(INDEX(Agentes!$C$80:$C$87,MATCH(H80,Agentes!$B$80:$B$87,0)),"")))),"El ciclón no colecta la fracción inhalable","Coherente"))))</f>
        <v/>
      </c>
      <c r="Q80" s="22">
        <f>IF(Y80="","",IFERROR(INDEX(GES!$W$6:$W$35,MATCH(Y80,GES!$R$6:$R$35,0)),""))</f>
        <v/>
      </c>
      <c r="R80" s="29">
        <f>IF(AND(ISNUMBER(N80),ISNUMBER(Q80)),N80/Q80,"")</f>
        <v/>
      </c>
      <c r="S80" s="15">
        <f>IF(C80="","",IFERROR(INDEX(Agentes!$I$6:$I$60,MATCH(C80,Agentes!$A$6:$A$60,0)),""))</f>
        <v/>
      </c>
      <c r="T80" s="8" t="n"/>
      <c r="U80" s="15">
        <f>IF(ISNUMBER(N80),IF(N80&gt;0,LN(N80),""),"")</f>
        <v/>
      </c>
      <c r="V80" s="15">
        <f>IF(ISNUMBER(U80),IFERROR((U80-LN(IFERROR(INDEX(Estadística!$K$6:$K$35,MATCH(Y80,Estadística!$Y$6:$Y$35,0)),0)))^2,""),"")</f>
        <v/>
      </c>
      <c r="W80" s="15">
        <f>IF(ISNUMBER(N80),IFERROR((N80-IFERROR(INDEX(Estadística!$I$6:$I$35,MATCH(Y80,Estadística!$Y$6:$Y$35,0)),0))^2,""),"")</f>
        <v/>
      </c>
      <c r="X80" s="15">
        <f>IF(ISNUMBER(R80),IF(R80&gt;1,1,0),"")</f>
        <v/>
      </c>
      <c r="Y80" s="15">
        <f>IF(OR(B80="",C80=""),"",B80&amp;"|"&amp;C80)</f>
        <v/>
      </c>
    </row>
    <row r="81">
      <c r="A81" s="23" t="n">
        <v>76</v>
      </c>
      <c r="B81" s="8" t="n"/>
      <c r="C81" s="8" t="n"/>
      <c r="D81" s="9" t="n"/>
      <c r="E81" s="8" t="n"/>
      <c r="F81" s="8" t="n"/>
      <c r="G81" s="8" t="n"/>
      <c r="H81" s="8" t="n"/>
      <c r="I81" s="24" t="n"/>
      <c r="J81" s="8" t="n"/>
      <c r="K81" s="25">
        <f>IF(OR(I81="",J81=""),"",I81*J81/1000)</f>
        <v/>
      </c>
      <c r="L81" s="26" t="n"/>
      <c r="M81" s="26" t="n"/>
      <c r="N81" s="27">
        <f>IF(OR(B81="",C81=""),"",IF(M81&lt;&gt;"",M81,IF(AND(N(L81)&gt;0,N(K81)&gt;0),L81/K81,"")))</f>
        <v/>
      </c>
      <c r="O81" s="15">
        <f>IF(C81="","",IFERROR(INDEX(Agentes!$D$6:$D$60,MATCH(C81,Agentes!$A$6:$A$60,0)),""))</f>
        <v/>
      </c>
      <c r="P81" s="28">
        <f>IF(OR(H81="",O81=""),"",IF(AND(O81="Inhalable",LEFT(H81,6)="Casete"),"Subestima: el casete cerrado no colecta toda la fracción inhalable",IF(AND(O81="Respirable",LEFT(H81,6)&lt;&gt;"Ciclón"),"Requiere ciclón (fracción respirable)",IF(AND(O81="Inhalable",ISNUMBER(SEARCH("Respirable",IFERROR(INDEX(Agentes!$C$80:$C$87,MATCH(H81,Agentes!$B$80:$B$87,0)),"")))),"El ciclón no colecta la fracción inhalable","Coherente"))))</f>
        <v/>
      </c>
      <c r="Q81" s="22">
        <f>IF(Y81="","",IFERROR(INDEX(GES!$W$6:$W$35,MATCH(Y81,GES!$R$6:$R$35,0)),""))</f>
        <v/>
      </c>
      <c r="R81" s="29">
        <f>IF(AND(ISNUMBER(N81),ISNUMBER(Q81)),N81/Q81,"")</f>
        <v/>
      </c>
      <c r="S81" s="15">
        <f>IF(C81="","",IFERROR(INDEX(Agentes!$I$6:$I$60,MATCH(C81,Agentes!$A$6:$A$60,0)),""))</f>
        <v/>
      </c>
      <c r="T81" s="8" t="n"/>
      <c r="U81" s="15">
        <f>IF(ISNUMBER(N81),IF(N81&gt;0,LN(N81),""),"")</f>
        <v/>
      </c>
      <c r="V81" s="15">
        <f>IF(ISNUMBER(U81),IFERROR((U81-LN(IFERROR(INDEX(Estadística!$K$6:$K$35,MATCH(Y81,Estadística!$Y$6:$Y$35,0)),0)))^2,""),"")</f>
        <v/>
      </c>
      <c r="W81" s="15">
        <f>IF(ISNUMBER(N81),IFERROR((N81-IFERROR(INDEX(Estadística!$I$6:$I$35,MATCH(Y81,Estadística!$Y$6:$Y$35,0)),0))^2,""),"")</f>
        <v/>
      </c>
      <c r="X81" s="15">
        <f>IF(ISNUMBER(R81),IF(R81&gt;1,1,0),"")</f>
        <v/>
      </c>
      <c r="Y81" s="15">
        <f>IF(OR(B81="",C81=""),"",B81&amp;"|"&amp;C81)</f>
        <v/>
      </c>
    </row>
    <row r="82">
      <c r="A82" s="23" t="n">
        <v>77</v>
      </c>
      <c r="B82" s="8" t="n"/>
      <c r="C82" s="8" t="n"/>
      <c r="D82" s="9" t="n"/>
      <c r="E82" s="8" t="n"/>
      <c r="F82" s="8" t="n"/>
      <c r="G82" s="8" t="n"/>
      <c r="H82" s="8" t="n"/>
      <c r="I82" s="24" t="n"/>
      <c r="J82" s="8" t="n"/>
      <c r="K82" s="25">
        <f>IF(OR(I82="",J82=""),"",I82*J82/1000)</f>
        <v/>
      </c>
      <c r="L82" s="26" t="n"/>
      <c r="M82" s="26" t="n"/>
      <c r="N82" s="27">
        <f>IF(OR(B82="",C82=""),"",IF(M82&lt;&gt;"",M82,IF(AND(N(L82)&gt;0,N(K82)&gt;0),L82/K82,"")))</f>
        <v/>
      </c>
      <c r="O82" s="15">
        <f>IF(C82="","",IFERROR(INDEX(Agentes!$D$6:$D$60,MATCH(C82,Agentes!$A$6:$A$60,0)),""))</f>
        <v/>
      </c>
      <c r="P82" s="28">
        <f>IF(OR(H82="",O82=""),"",IF(AND(O82="Inhalable",LEFT(H82,6)="Casete"),"Subestima: el casete cerrado no colecta toda la fracción inhalable",IF(AND(O82="Respirable",LEFT(H82,6)&lt;&gt;"Ciclón"),"Requiere ciclón (fracción respirable)",IF(AND(O82="Inhalable",ISNUMBER(SEARCH("Respirable",IFERROR(INDEX(Agentes!$C$80:$C$87,MATCH(H82,Agentes!$B$80:$B$87,0)),"")))),"El ciclón no colecta la fracción inhalable","Coherente"))))</f>
        <v/>
      </c>
      <c r="Q82" s="22">
        <f>IF(Y82="","",IFERROR(INDEX(GES!$W$6:$W$35,MATCH(Y82,GES!$R$6:$R$35,0)),""))</f>
        <v/>
      </c>
      <c r="R82" s="29">
        <f>IF(AND(ISNUMBER(N82),ISNUMBER(Q82)),N82/Q82,"")</f>
        <v/>
      </c>
      <c r="S82" s="15">
        <f>IF(C82="","",IFERROR(INDEX(Agentes!$I$6:$I$60,MATCH(C82,Agentes!$A$6:$A$60,0)),""))</f>
        <v/>
      </c>
      <c r="T82" s="8" t="n"/>
      <c r="U82" s="15">
        <f>IF(ISNUMBER(N82),IF(N82&gt;0,LN(N82),""),"")</f>
        <v/>
      </c>
      <c r="V82" s="15">
        <f>IF(ISNUMBER(U82),IFERROR((U82-LN(IFERROR(INDEX(Estadística!$K$6:$K$35,MATCH(Y82,Estadística!$Y$6:$Y$35,0)),0)))^2,""),"")</f>
        <v/>
      </c>
      <c r="W82" s="15">
        <f>IF(ISNUMBER(N82),IFERROR((N82-IFERROR(INDEX(Estadística!$I$6:$I$35,MATCH(Y82,Estadística!$Y$6:$Y$35,0)),0))^2,""),"")</f>
        <v/>
      </c>
      <c r="X82" s="15">
        <f>IF(ISNUMBER(R82),IF(R82&gt;1,1,0),"")</f>
        <v/>
      </c>
      <c r="Y82" s="15">
        <f>IF(OR(B82="",C82=""),"",B82&amp;"|"&amp;C82)</f>
        <v/>
      </c>
    </row>
    <row r="83">
      <c r="A83" s="23" t="n">
        <v>78</v>
      </c>
      <c r="B83" s="8" t="n"/>
      <c r="C83" s="8" t="n"/>
      <c r="D83" s="9" t="n"/>
      <c r="E83" s="8" t="n"/>
      <c r="F83" s="8" t="n"/>
      <c r="G83" s="8" t="n"/>
      <c r="H83" s="8" t="n"/>
      <c r="I83" s="24" t="n"/>
      <c r="J83" s="8" t="n"/>
      <c r="K83" s="25">
        <f>IF(OR(I83="",J83=""),"",I83*J83/1000)</f>
        <v/>
      </c>
      <c r="L83" s="26" t="n"/>
      <c r="M83" s="26" t="n"/>
      <c r="N83" s="27">
        <f>IF(OR(B83="",C83=""),"",IF(M83&lt;&gt;"",M83,IF(AND(N(L83)&gt;0,N(K83)&gt;0),L83/K83,"")))</f>
        <v/>
      </c>
      <c r="O83" s="15">
        <f>IF(C83="","",IFERROR(INDEX(Agentes!$D$6:$D$60,MATCH(C83,Agentes!$A$6:$A$60,0)),""))</f>
        <v/>
      </c>
      <c r="P83" s="28">
        <f>IF(OR(H83="",O83=""),"",IF(AND(O83="Inhalable",LEFT(H83,6)="Casete"),"Subestima: el casete cerrado no colecta toda la fracción inhalable",IF(AND(O83="Respirable",LEFT(H83,6)&lt;&gt;"Ciclón"),"Requiere ciclón (fracción respirable)",IF(AND(O83="Inhalable",ISNUMBER(SEARCH("Respirable",IFERROR(INDEX(Agentes!$C$80:$C$87,MATCH(H83,Agentes!$B$80:$B$87,0)),"")))),"El ciclón no colecta la fracción inhalable","Coherente"))))</f>
        <v/>
      </c>
      <c r="Q83" s="22">
        <f>IF(Y83="","",IFERROR(INDEX(GES!$W$6:$W$35,MATCH(Y83,GES!$R$6:$R$35,0)),""))</f>
        <v/>
      </c>
      <c r="R83" s="29">
        <f>IF(AND(ISNUMBER(N83),ISNUMBER(Q83)),N83/Q83,"")</f>
        <v/>
      </c>
      <c r="S83" s="15">
        <f>IF(C83="","",IFERROR(INDEX(Agentes!$I$6:$I$60,MATCH(C83,Agentes!$A$6:$A$60,0)),""))</f>
        <v/>
      </c>
      <c r="T83" s="8" t="n"/>
      <c r="U83" s="15">
        <f>IF(ISNUMBER(N83),IF(N83&gt;0,LN(N83),""),"")</f>
        <v/>
      </c>
      <c r="V83" s="15">
        <f>IF(ISNUMBER(U83),IFERROR((U83-LN(IFERROR(INDEX(Estadística!$K$6:$K$35,MATCH(Y83,Estadística!$Y$6:$Y$35,0)),0)))^2,""),"")</f>
        <v/>
      </c>
      <c r="W83" s="15">
        <f>IF(ISNUMBER(N83),IFERROR((N83-IFERROR(INDEX(Estadística!$I$6:$I$35,MATCH(Y83,Estadística!$Y$6:$Y$35,0)),0))^2,""),"")</f>
        <v/>
      </c>
      <c r="X83" s="15">
        <f>IF(ISNUMBER(R83),IF(R83&gt;1,1,0),"")</f>
        <v/>
      </c>
      <c r="Y83" s="15">
        <f>IF(OR(B83="",C83=""),"",B83&amp;"|"&amp;C83)</f>
        <v/>
      </c>
    </row>
    <row r="84">
      <c r="A84" s="23" t="n">
        <v>79</v>
      </c>
      <c r="B84" s="8" t="n"/>
      <c r="C84" s="8" t="n"/>
      <c r="D84" s="9" t="n"/>
      <c r="E84" s="8" t="n"/>
      <c r="F84" s="8" t="n"/>
      <c r="G84" s="8" t="n"/>
      <c r="H84" s="8" t="n"/>
      <c r="I84" s="24" t="n"/>
      <c r="J84" s="8" t="n"/>
      <c r="K84" s="25">
        <f>IF(OR(I84="",J84=""),"",I84*J84/1000)</f>
        <v/>
      </c>
      <c r="L84" s="26" t="n"/>
      <c r="M84" s="26" t="n"/>
      <c r="N84" s="27">
        <f>IF(OR(B84="",C84=""),"",IF(M84&lt;&gt;"",M84,IF(AND(N(L84)&gt;0,N(K84)&gt;0),L84/K84,"")))</f>
        <v/>
      </c>
      <c r="O84" s="15">
        <f>IF(C84="","",IFERROR(INDEX(Agentes!$D$6:$D$60,MATCH(C84,Agentes!$A$6:$A$60,0)),""))</f>
        <v/>
      </c>
      <c r="P84" s="28">
        <f>IF(OR(H84="",O84=""),"",IF(AND(O84="Inhalable",LEFT(H84,6)="Casete"),"Subestima: el casete cerrado no colecta toda la fracción inhalable",IF(AND(O84="Respirable",LEFT(H84,6)&lt;&gt;"Ciclón"),"Requiere ciclón (fracción respirable)",IF(AND(O84="Inhalable",ISNUMBER(SEARCH("Respirable",IFERROR(INDEX(Agentes!$C$80:$C$87,MATCH(H84,Agentes!$B$80:$B$87,0)),"")))),"El ciclón no colecta la fracción inhalable","Coherente"))))</f>
        <v/>
      </c>
      <c r="Q84" s="22">
        <f>IF(Y84="","",IFERROR(INDEX(GES!$W$6:$W$35,MATCH(Y84,GES!$R$6:$R$35,0)),""))</f>
        <v/>
      </c>
      <c r="R84" s="29">
        <f>IF(AND(ISNUMBER(N84),ISNUMBER(Q84)),N84/Q84,"")</f>
        <v/>
      </c>
      <c r="S84" s="15">
        <f>IF(C84="","",IFERROR(INDEX(Agentes!$I$6:$I$60,MATCH(C84,Agentes!$A$6:$A$60,0)),""))</f>
        <v/>
      </c>
      <c r="T84" s="8" t="n"/>
      <c r="U84" s="15">
        <f>IF(ISNUMBER(N84),IF(N84&gt;0,LN(N84),""),"")</f>
        <v/>
      </c>
      <c r="V84" s="15">
        <f>IF(ISNUMBER(U84),IFERROR((U84-LN(IFERROR(INDEX(Estadística!$K$6:$K$35,MATCH(Y84,Estadística!$Y$6:$Y$35,0)),0)))^2,""),"")</f>
        <v/>
      </c>
      <c r="W84" s="15">
        <f>IF(ISNUMBER(N84),IFERROR((N84-IFERROR(INDEX(Estadística!$I$6:$I$35,MATCH(Y84,Estadística!$Y$6:$Y$35,0)),0))^2,""),"")</f>
        <v/>
      </c>
      <c r="X84" s="15">
        <f>IF(ISNUMBER(R84),IF(R84&gt;1,1,0),"")</f>
        <v/>
      </c>
      <c r="Y84" s="15">
        <f>IF(OR(B84="",C84=""),"",B84&amp;"|"&amp;C84)</f>
        <v/>
      </c>
    </row>
    <row r="85">
      <c r="A85" s="23" t="n">
        <v>80</v>
      </c>
      <c r="B85" s="8" t="n"/>
      <c r="C85" s="8" t="n"/>
      <c r="D85" s="9" t="n"/>
      <c r="E85" s="8" t="n"/>
      <c r="F85" s="8" t="n"/>
      <c r="G85" s="8" t="n"/>
      <c r="H85" s="8" t="n"/>
      <c r="I85" s="24" t="n"/>
      <c r="J85" s="8" t="n"/>
      <c r="K85" s="25">
        <f>IF(OR(I85="",J85=""),"",I85*J85/1000)</f>
        <v/>
      </c>
      <c r="L85" s="26" t="n"/>
      <c r="M85" s="26" t="n"/>
      <c r="N85" s="27">
        <f>IF(OR(B85="",C85=""),"",IF(M85&lt;&gt;"",M85,IF(AND(N(L85)&gt;0,N(K85)&gt;0),L85/K85,"")))</f>
        <v/>
      </c>
      <c r="O85" s="15">
        <f>IF(C85="","",IFERROR(INDEX(Agentes!$D$6:$D$60,MATCH(C85,Agentes!$A$6:$A$60,0)),""))</f>
        <v/>
      </c>
      <c r="P85" s="28">
        <f>IF(OR(H85="",O85=""),"",IF(AND(O85="Inhalable",LEFT(H85,6)="Casete"),"Subestima: el casete cerrado no colecta toda la fracción inhalable",IF(AND(O85="Respirable",LEFT(H85,6)&lt;&gt;"Ciclón"),"Requiere ciclón (fracción respirable)",IF(AND(O85="Inhalable",ISNUMBER(SEARCH("Respirable",IFERROR(INDEX(Agentes!$C$80:$C$87,MATCH(H85,Agentes!$B$80:$B$87,0)),"")))),"El ciclón no colecta la fracción inhalable","Coherente"))))</f>
        <v/>
      </c>
      <c r="Q85" s="22">
        <f>IF(Y85="","",IFERROR(INDEX(GES!$W$6:$W$35,MATCH(Y85,GES!$R$6:$R$35,0)),""))</f>
        <v/>
      </c>
      <c r="R85" s="29">
        <f>IF(AND(ISNUMBER(N85),ISNUMBER(Q85)),N85/Q85,"")</f>
        <v/>
      </c>
      <c r="S85" s="15">
        <f>IF(C85="","",IFERROR(INDEX(Agentes!$I$6:$I$60,MATCH(C85,Agentes!$A$6:$A$60,0)),""))</f>
        <v/>
      </c>
      <c r="T85" s="8" t="n"/>
      <c r="U85" s="15">
        <f>IF(ISNUMBER(N85),IF(N85&gt;0,LN(N85),""),"")</f>
        <v/>
      </c>
      <c r="V85" s="15">
        <f>IF(ISNUMBER(U85),IFERROR((U85-LN(IFERROR(INDEX(Estadística!$K$6:$K$35,MATCH(Y85,Estadística!$Y$6:$Y$35,0)),0)))^2,""),"")</f>
        <v/>
      </c>
      <c r="W85" s="15">
        <f>IF(ISNUMBER(N85),IFERROR((N85-IFERROR(INDEX(Estadística!$I$6:$I$35,MATCH(Y85,Estadística!$Y$6:$Y$35,0)),0))^2,""),"")</f>
        <v/>
      </c>
      <c r="X85" s="15">
        <f>IF(ISNUMBER(R85),IF(R85&gt;1,1,0),"")</f>
        <v/>
      </c>
      <c r="Y85" s="15">
        <f>IF(OR(B85="",C85=""),"",B85&amp;"|"&amp;C85)</f>
        <v/>
      </c>
    </row>
    <row r="86">
      <c r="A86" s="23" t="n">
        <v>81</v>
      </c>
      <c r="B86" s="8" t="n"/>
      <c r="C86" s="8" t="n"/>
      <c r="D86" s="9" t="n"/>
      <c r="E86" s="8" t="n"/>
      <c r="F86" s="8" t="n"/>
      <c r="G86" s="8" t="n"/>
      <c r="H86" s="8" t="n"/>
      <c r="I86" s="24" t="n"/>
      <c r="J86" s="8" t="n"/>
      <c r="K86" s="25">
        <f>IF(OR(I86="",J86=""),"",I86*J86/1000)</f>
        <v/>
      </c>
      <c r="L86" s="26" t="n"/>
      <c r="M86" s="26" t="n"/>
      <c r="N86" s="27">
        <f>IF(OR(B86="",C86=""),"",IF(M86&lt;&gt;"",M86,IF(AND(N(L86)&gt;0,N(K86)&gt;0),L86/K86,"")))</f>
        <v/>
      </c>
      <c r="O86" s="15">
        <f>IF(C86="","",IFERROR(INDEX(Agentes!$D$6:$D$60,MATCH(C86,Agentes!$A$6:$A$60,0)),""))</f>
        <v/>
      </c>
      <c r="P86" s="28">
        <f>IF(OR(H86="",O86=""),"",IF(AND(O86="Inhalable",LEFT(H86,6)="Casete"),"Subestima: el casete cerrado no colecta toda la fracción inhalable",IF(AND(O86="Respirable",LEFT(H86,6)&lt;&gt;"Ciclón"),"Requiere ciclón (fracción respirable)",IF(AND(O86="Inhalable",ISNUMBER(SEARCH("Respirable",IFERROR(INDEX(Agentes!$C$80:$C$87,MATCH(H86,Agentes!$B$80:$B$87,0)),"")))),"El ciclón no colecta la fracción inhalable","Coherente"))))</f>
        <v/>
      </c>
      <c r="Q86" s="22">
        <f>IF(Y86="","",IFERROR(INDEX(GES!$W$6:$W$35,MATCH(Y86,GES!$R$6:$R$35,0)),""))</f>
        <v/>
      </c>
      <c r="R86" s="29">
        <f>IF(AND(ISNUMBER(N86),ISNUMBER(Q86)),N86/Q86,"")</f>
        <v/>
      </c>
      <c r="S86" s="15">
        <f>IF(C86="","",IFERROR(INDEX(Agentes!$I$6:$I$60,MATCH(C86,Agentes!$A$6:$A$60,0)),""))</f>
        <v/>
      </c>
      <c r="T86" s="8" t="n"/>
      <c r="U86" s="15">
        <f>IF(ISNUMBER(N86),IF(N86&gt;0,LN(N86),""),"")</f>
        <v/>
      </c>
      <c r="V86" s="15">
        <f>IF(ISNUMBER(U86),IFERROR((U86-LN(IFERROR(INDEX(Estadística!$K$6:$K$35,MATCH(Y86,Estadística!$Y$6:$Y$35,0)),0)))^2,""),"")</f>
        <v/>
      </c>
      <c r="W86" s="15">
        <f>IF(ISNUMBER(N86),IFERROR((N86-IFERROR(INDEX(Estadística!$I$6:$I$35,MATCH(Y86,Estadística!$Y$6:$Y$35,0)),0))^2,""),"")</f>
        <v/>
      </c>
      <c r="X86" s="15">
        <f>IF(ISNUMBER(R86),IF(R86&gt;1,1,0),"")</f>
        <v/>
      </c>
      <c r="Y86" s="15">
        <f>IF(OR(B86="",C86=""),"",B86&amp;"|"&amp;C86)</f>
        <v/>
      </c>
    </row>
    <row r="87">
      <c r="A87" s="23" t="n">
        <v>82</v>
      </c>
      <c r="B87" s="8" t="n"/>
      <c r="C87" s="8" t="n"/>
      <c r="D87" s="9" t="n"/>
      <c r="E87" s="8" t="n"/>
      <c r="F87" s="8" t="n"/>
      <c r="G87" s="8" t="n"/>
      <c r="H87" s="8" t="n"/>
      <c r="I87" s="24" t="n"/>
      <c r="J87" s="8" t="n"/>
      <c r="K87" s="25">
        <f>IF(OR(I87="",J87=""),"",I87*J87/1000)</f>
        <v/>
      </c>
      <c r="L87" s="26" t="n"/>
      <c r="M87" s="26" t="n"/>
      <c r="N87" s="27">
        <f>IF(OR(B87="",C87=""),"",IF(M87&lt;&gt;"",M87,IF(AND(N(L87)&gt;0,N(K87)&gt;0),L87/K87,"")))</f>
        <v/>
      </c>
      <c r="O87" s="15">
        <f>IF(C87="","",IFERROR(INDEX(Agentes!$D$6:$D$60,MATCH(C87,Agentes!$A$6:$A$60,0)),""))</f>
        <v/>
      </c>
      <c r="P87" s="28">
        <f>IF(OR(H87="",O87=""),"",IF(AND(O87="Inhalable",LEFT(H87,6)="Casete"),"Subestima: el casete cerrado no colecta toda la fracción inhalable",IF(AND(O87="Respirable",LEFT(H87,6)&lt;&gt;"Ciclón"),"Requiere ciclón (fracción respirable)",IF(AND(O87="Inhalable",ISNUMBER(SEARCH("Respirable",IFERROR(INDEX(Agentes!$C$80:$C$87,MATCH(H87,Agentes!$B$80:$B$87,0)),"")))),"El ciclón no colecta la fracción inhalable","Coherente"))))</f>
        <v/>
      </c>
      <c r="Q87" s="22">
        <f>IF(Y87="","",IFERROR(INDEX(GES!$W$6:$W$35,MATCH(Y87,GES!$R$6:$R$35,0)),""))</f>
        <v/>
      </c>
      <c r="R87" s="29">
        <f>IF(AND(ISNUMBER(N87),ISNUMBER(Q87)),N87/Q87,"")</f>
        <v/>
      </c>
      <c r="S87" s="15">
        <f>IF(C87="","",IFERROR(INDEX(Agentes!$I$6:$I$60,MATCH(C87,Agentes!$A$6:$A$60,0)),""))</f>
        <v/>
      </c>
      <c r="T87" s="8" t="n"/>
      <c r="U87" s="15">
        <f>IF(ISNUMBER(N87),IF(N87&gt;0,LN(N87),""),"")</f>
        <v/>
      </c>
      <c r="V87" s="15">
        <f>IF(ISNUMBER(U87),IFERROR((U87-LN(IFERROR(INDEX(Estadística!$K$6:$K$35,MATCH(Y87,Estadística!$Y$6:$Y$35,0)),0)))^2,""),"")</f>
        <v/>
      </c>
      <c r="W87" s="15">
        <f>IF(ISNUMBER(N87),IFERROR((N87-IFERROR(INDEX(Estadística!$I$6:$I$35,MATCH(Y87,Estadística!$Y$6:$Y$35,0)),0))^2,""),"")</f>
        <v/>
      </c>
      <c r="X87" s="15">
        <f>IF(ISNUMBER(R87),IF(R87&gt;1,1,0),"")</f>
        <v/>
      </c>
      <c r="Y87" s="15">
        <f>IF(OR(B87="",C87=""),"",B87&amp;"|"&amp;C87)</f>
        <v/>
      </c>
    </row>
    <row r="88">
      <c r="A88" s="23" t="n">
        <v>83</v>
      </c>
      <c r="B88" s="8" t="n"/>
      <c r="C88" s="8" t="n"/>
      <c r="D88" s="9" t="n"/>
      <c r="E88" s="8" t="n"/>
      <c r="F88" s="8" t="n"/>
      <c r="G88" s="8" t="n"/>
      <c r="H88" s="8" t="n"/>
      <c r="I88" s="24" t="n"/>
      <c r="J88" s="8" t="n"/>
      <c r="K88" s="25">
        <f>IF(OR(I88="",J88=""),"",I88*J88/1000)</f>
        <v/>
      </c>
      <c r="L88" s="26" t="n"/>
      <c r="M88" s="26" t="n"/>
      <c r="N88" s="27">
        <f>IF(OR(B88="",C88=""),"",IF(M88&lt;&gt;"",M88,IF(AND(N(L88)&gt;0,N(K88)&gt;0),L88/K88,"")))</f>
        <v/>
      </c>
      <c r="O88" s="15">
        <f>IF(C88="","",IFERROR(INDEX(Agentes!$D$6:$D$60,MATCH(C88,Agentes!$A$6:$A$60,0)),""))</f>
        <v/>
      </c>
      <c r="P88" s="28">
        <f>IF(OR(H88="",O88=""),"",IF(AND(O88="Inhalable",LEFT(H88,6)="Casete"),"Subestima: el casete cerrado no colecta toda la fracción inhalable",IF(AND(O88="Respirable",LEFT(H88,6)&lt;&gt;"Ciclón"),"Requiere ciclón (fracción respirable)",IF(AND(O88="Inhalable",ISNUMBER(SEARCH("Respirable",IFERROR(INDEX(Agentes!$C$80:$C$87,MATCH(H88,Agentes!$B$80:$B$87,0)),"")))),"El ciclón no colecta la fracción inhalable","Coherente"))))</f>
        <v/>
      </c>
      <c r="Q88" s="22">
        <f>IF(Y88="","",IFERROR(INDEX(GES!$W$6:$W$35,MATCH(Y88,GES!$R$6:$R$35,0)),""))</f>
        <v/>
      </c>
      <c r="R88" s="29">
        <f>IF(AND(ISNUMBER(N88),ISNUMBER(Q88)),N88/Q88,"")</f>
        <v/>
      </c>
      <c r="S88" s="15">
        <f>IF(C88="","",IFERROR(INDEX(Agentes!$I$6:$I$60,MATCH(C88,Agentes!$A$6:$A$60,0)),""))</f>
        <v/>
      </c>
      <c r="T88" s="8" t="n"/>
      <c r="U88" s="15">
        <f>IF(ISNUMBER(N88),IF(N88&gt;0,LN(N88),""),"")</f>
        <v/>
      </c>
      <c r="V88" s="15">
        <f>IF(ISNUMBER(U88),IFERROR((U88-LN(IFERROR(INDEX(Estadística!$K$6:$K$35,MATCH(Y88,Estadística!$Y$6:$Y$35,0)),0)))^2,""),"")</f>
        <v/>
      </c>
      <c r="W88" s="15">
        <f>IF(ISNUMBER(N88),IFERROR((N88-IFERROR(INDEX(Estadística!$I$6:$I$35,MATCH(Y88,Estadística!$Y$6:$Y$35,0)),0))^2,""),"")</f>
        <v/>
      </c>
      <c r="X88" s="15">
        <f>IF(ISNUMBER(R88),IF(R88&gt;1,1,0),"")</f>
        <v/>
      </c>
      <c r="Y88" s="15">
        <f>IF(OR(B88="",C88=""),"",B88&amp;"|"&amp;C88)</f>
        <v/>
      </c>
    </row>
    <row r="89">
      <c r="A89" s="23" t="n">
        <v>84</v>
      </c>
      <c r="B89" s="8" t="n"/>
      <c r="C89" s="8" t="n"/>
      <c r="D89" s="9" t="n"/>
      <c r="E89" s="8" t="n"/>
      <c r="F89" s="8" t="n"/>
      <c r="G89" s="8" t="n"/>
      <c r="H89" s="8" t="n"/>
      <c r="I89" s="24" t="n"/>
      <c r="J89" s="8" t="n"/>
      <c r="K89" s="25">
        <f>IF(OR(I89="",J89=""),"",I89*J89/1000)</f>
        <v/>
      </c>
      <c r="L89" s="26" t="n"/>
      <c r="M89" s="26" t="n"/>
      <c r="N89" s="27">
        <f>IF(OR(B89="",C89=""),"",IF(M89&lt;&gt;"",M89,IF(AND(N(L89)&gt;0,N(K89)&gt;0),L89/K89,"")))</f>
        <v/>
      </c>
      <c r="O89" s="15">
        <f>IF(C89="","",IFERROR(INDEX(Agentes!$D$6:$D$60,MATCH(C89,Agentes!$A$6:$A$60,0)),""))</f>
        <v/>
      </c>
      <c r="P89" s="28">
        <f>IF(OR(H89="",O89=""),"",IF(AND(O89="Inhalable",LEFT(H89,6)="Casete"),"Subestima: el casete cerrado no colecta toda la fracción inhalable",IF(AND(O89="Respirable",LEFT(H89,6)&lt;&gt;"Ciclón"),"Requiere ciclón (fracción respirable)",IF(AND(O89="Inhalable",ISNUMBER(SEARCH("Respirable",IFERROR(INDEX(Agentes!$C$80:$C$87,MATCH(H89,Agentes!$B$80:$B$87,0)),"")))),"El ciclón no colecta la fracción inhalable","Coherente"))))</f>
        <v/>
      </c>
      <c r="Q89" s="22">
        <f>IF(Y89="","",IFERROR(INDEX(GES!$W$6:$W$35,MATCH(Y89,GES!$R$6:$R$35,0)),""))</f>
        <v/>
      </c>
      <c r="R89" s="29">
        <f>IF(AND(ISNUMBER(N89),ISNUMBER(Q89)),N89/Q89,"")</f>
        <v/>
      </c>
      <c r="S89" s="15">
        <f>IF(C89="","",IFERROR(INDEX(Agentes!$I$6:$I$60,MATCH(C89,Agentes!$A$6:$A$60,0)),""))</f>
        <v/>
      </c>
      <c r="T89" s="8" t="n"/>
      <c r="U89" s="15">
        <f>IF(ISNUMBER(N89),IF(N89&gt;0,LN(N89),""),"")</f>
        <v/>
      </c>
      <c r="V89" s="15">
        <f>IF(ISNUMBER(U89),IFERROR((U89-LN(IFERROR(INDEX(Estadística!$K$6:$K$35,MATCH(Y89,Estadística!$Y$6:$Y$35,0)),0)))^2,""),"")</f>
        <v/>
      </c>
      <c r="W89" s="15">
        <f>IF(ISNUMBER(N89),IFERROR((N89-IFERROR(INDEX(Estadística!$I$6:$I$35,MATCH(Y89,Estadística!$Y$6:$Y$35,0)),0))^2,""),"")</f>
        <v/>
      </c>
      <c r="X89" s="15">
        <f>IF(ISNUMBER(R89),IF(R89&gt;1,1,0),"")</f>
        <v/>
      </c>
      <c r="Y89" s="15">
        <f>IF(OR(B89="",C89=""),"",B89&amp;"|"&amp;C89)</f>
        <v/>
      </c>
    </row>
    <row r="90">
      <c r="A90" s="23" t="n">
        <v>85</v>
      </c>
      <c r="B90" s="8" t="n"/>
      <c r="C90" s="8" t="n"/>
      <c r="D90" s="9" t="n"/>
      <c r="E90" s="8" t="n"/>
      <c r="F90" s="8" t="n"/>
      <c r="G90" s="8" t="n"/>
      <c r="H90" s="8" t="n"/>
      <c r="I90" s="24" t="n"/>
      <c r="J90" s="8" t="n"/>
      <c r="K90" s="25">
        <f>IF(OR(I90="",J90=""),"",I90*J90/1000)</f>
        <v/>
      </c>
      <c r="L90" s="26" t="n"/>
      <c r="M90" s="26" t="n"/>
      <c r="N90" s="27">
        <f>IF(OR(B90="",C90=""),"",IF(M90&lt;&gt;"",M90,IF(AND(N(L90)&gt;0,N(K90)&gt;0),L90/K90,"")))</f>
        <v/>
      </c>
      <c r="O90" s="15">
        <f>IF(C90="","",IFERROR(INDEX(Agentes!$D$6:$D$60,MATCH(C90,Agentes!$A$6:$A$60,0)),""))</f>
        <v/>
      </c>
      <c r="P90" s="28">
        <f>IF(OR(H90="",O90=""),"",IF(AND(O90="Inhalable",LEFT(H90,6)="Casete"),"Subestima: el casete cerrado no colecta toda la fracción inhalable",IF(AND(O90="Respirable",LEFT(H90,6)&lt;&gt;"Ciclón"),"Requiere ciclón (fracción respirable)",IF(AND(O90="Inhalable",ISNUMBER(SEARCH("Respirable",IFERROR(INDEX(Agentes!$C$80:$C$87,MATCH(H90,Agentes!$B$80:$B$87,0)),"")))),"El ciclón no colecta la fracción inhalable","Coherente"))))</f>
        <v/>
      </c>
      <c r="Q90" s="22">
        <f>IF(Y90="","",IFERROR(INDEX(GES!$W$6:$W$35,MATCH(Y90,GES!$R$6:$R$35,0)),""))</f>
        <v/>
      </c>
      <c r="R90" s="29">
        <f>IF(AND(ISNUMBER(N90),ISNUMBER(Q90)),N90/Q90,"")</f>
        <v/>
      </c>
      <c r="S90" s="15">
        <f>IF(C90="","",IFERROR(INDEX(Agentes!$I$6:$I$60,MATCH(C90,Agentes!$A$6:$A$60,0)),""))</f>
        <v/>
      </c>
      <c r="T90" s="8" t="n"/>
      <c r="U90" s="15">
        <f>IF(ISNUMBER(N90),IF(N90&gt;0,LN(N90),""),"")</f>
        <v/>
      </c>
      <c r="V90" s="15">
        <f>IF(ISNUMBER(U90),IFERROR((U90-LN(IFERROR(INDEX(Estadística!$K$6:$K$35,MATCH(Y90,Estadística!$Y$6:$Y$35,0)),0)))^2,""),"")</f>
        <v/>
      </c>
      <c r="W90" s="15">
        <f>IF(ISNUMBER(N90),IFERROR((N90-IFERROR(INDEX(Estadística!$I$6:$I$35,MATCH(Y90,Estadística!$Y$6:$Y$35,0)),0))^2,""),"")</f>
        <v/>
      </c>
      <c r="X90" s="15">
        <f>IF(ISNUMBER(R90),IF(R90&gt;1,1,0),"")</f>
        <v/>
      </c>
      <c r="Y90" s="15">
        <f>IF(OR(B90="",C90=""),"",B90&amp;"|"&amp;C90)</f>
        <v/>
      </c>
    </row>
    <row r="91">
      <c r="A91" s="23" t="n">
        <v>86</v>
      </c>
      <c r="B91" s="8" t="n"/>
      <c r="C91" s="8" t="n"/>
      <c r="D91" s="9" t="n"/>
      <c r="E91" s="8" t="n"/>
      <c r="F91" s="8" t="n"/>
      <c r="G91" s="8" t="n"/>
      <c r="H91" s="8" t="n"/>
      <c r="I91" s="24" t="n"/>
      <c r="J91" s="8" t="n"/>
      <c r="K91" s="25">
        <f>IF(OR(I91="",J91=""),"",I91*J91/1000)</f>
        <v/>
      </c>
      <c r="L91" s="26" t="n"/>
      <c r="M91" s="26" t="n"/>
      <c r="N91" s="27">
        <f>IF(OR(B91="",C91=""),"",IF(M91&lt;&gt;"",M91,IF(AND(N(L91)&gt;0,N(K91)&gt;0),L91/K91,"")))</f>
        <v/>
      </c>
      <c r="O91" s="15">
        <f>IF(C91="","",IFERROR(INDEX(Agentes!$D$6:$D$60,MATCH(C91,Agentes!$A$6:$A$60,0)),""))</f>
        <v/>
      </c>
      <c r="P91" s="28">
        <f>IF(OR(H91="",O91=""),"",IF(AND(O91="Inhalable",LEFT(H91,6)="Casete"),"Subestima: el casete cerrado no colecta toda la fracción inhalable",IF(AND(O91="Respirable",LEFT(H91,6)&lt;&gt;"Ciclón"),"Requiere ciclón (fracción respirable)",IF(AND(O91="Inhalable",ISNUMBER(SEARCH("Respirable",IFERROR(INDEX(Agentes!$C$80:$C$87,MATCH(H91,Agentes!$B$80:$B$87,0)),"")))),"El ciclón no colecta la fracción inhalable","Coherente"))))</f>
        <v/>
      </c>
      <c r="Q91" s="22">
        <f>IF(Y91="","",IFERROR(INDEX(GES!$W$6:$W$35,MATCH(Y91,GES!$R$6:$R$35,0)),""))</f>
        <v/>
      </c>
      <c r="R91" s="29">
        <f>IF(AND(ISNUMBER(N91),ISNUMBER(Q91)),N91/Q91,"")</f>
        <v/>
      </c>
      <c r="S91" s="15">
        <f>IF(C91="","",IFERROR(INDEX(Agentes!$I$6:$I$60,MATCH(C91,Agentes!$A$6:$A$60,0)),""))</f>
        <v/>
      </c>
      <c r="T91" s="8" t="n"/>
      <c r="U91" s="15">
        <f>IF(ISNUMBER(N91),IF(N91&gt;0,LN(N91),""),"")</f>
        <v/>
      </c>
      <c r="V91" s="15">
        <f>IF(ISNUMBER(U91),IFERROR((U91-LN(IFERROR(INDEX(Estadística!$K$6:$K$35,MATCH(Y91,Estadística!$Y$6:$Y$35,0)),0)))^2,""),"")</f>
        <v/>
      </c>
      <c r="W91" s="15">
        <f>IF(ISNUMBER(N91),IFERROR((N91-IFERROR(INDEX(Estadística!$I$6:$I$35,MATCH(Y91,Estadística!$Y$6:$Y$35,0)),0))^2,""),"")</f>
        <v/>
      </c>
      <c r="X91" s="15">
        <f>IF(ISNUMBER(R91),IF(R91&gt;1,1,0),"")</f>
        <v/>
      </c>
      <c r="Y91" s="15">
        <f>IF(OR(B91="",C91=""),"",B91&amp;"|"&amp;C91)</f>
        <v/>
      </c>
    </row>
    <row r="92">
      <c r="A92" s="23" t="n">
        <v>87</v>
      </c>
      <c r="B92" s="8" t="n"/>
      <c r="C92" s="8" t="n"/>
      <c r="D92" s="9" t="n"/>
      <c r="E92" s="8" t="n"/>
      <c r="F92" s="8" t="n"/>
      <c r="G92" s="8" t="n"/>
      <c r="H92" s="8" t="n"/>
      <c r="I92" s="24" t="n"/>
      <c r="J92" s="8" t="n"/>
      <c r="K92" s="25">
        <f>IF(OR(I92="",J92=""),"",I92*J92/1000)</f>
        <v/>
      </c>
      <c r="L92" s="26" t="n"/>
      <c r="M92" s="26" t="n"/>
      <c r="N92" s="27">
        <f>IF(OR(B92="",C92=""),"",IF(M92&lt;&gt;"",M92,IF(AND(N(L92)&gt;0,N(K92)&gt;0),L92/K92,"")))</f>
        <v/>
      </c>
      <c r="O92" s="15">
        <f>IF(C92="","",IFERROR(INDEX(Agentes!$D$6:$D$60,MATCH(C92,Agentes!$A$6:$A$60,0)),""))</f>
        <v/>
      </c>
      <c r="P92" s="28">
        <f>IF(OR(H92="",O92=""),"",IF(AND(O92="Inhalable",LEFT(H92,6)="Casete"),"Subestima: el casete cerrado no colecta toda la fracción inhalable",IF(AND(O92="Respirable",LEFT(H92,6)&lt;&gt;"Ciclón"),"Requiere ciclón (fracción respirable)",IF(AND(O92="Inhalable",ISNUMBER(SEARCH("Respirable",IFERROR(INDEX(Agentes!$C$80:$C$87,MATCH(H92,Agentes!$B$80:$B$87,0)),"")))),"El ciclón no colecta la fracción inhalable","Coherente"))))</f>
        <v/>
      </c>
      <c r="Q92" s="22">
        <f>IF(Y92="","",IFERROR(INDEX(GES!$W$6:$W$35,MATCH(Y92,GES!$R$6:$R$35,0)),""))</f>
        <v/>
      </c>
      <c r="R92" s="29">
        <f>IF(AND(ISNUMBER(N92),ISNUMBER(Q92)),N92/Q92,"")</f>
        <v/>
      </c>
      <c r="S92" s="15">
        <f>IF(C92="","",IFERROR(INDEX(Agentes!$I$6:$I$60,MATCH(C92,Agentes!$A$6:$A$60,0)),""))</f>
        <v/>
      </c>
      <c r="T92" s="8" t="n"/>
      <c r="U92" s="15">
        <f>IF(ISNUMBER(N92),IF(N92&gt;0,LN(N92),""),"")</f>
        <v/>
      </c>
      <c r="V92" s="15">
        <f>IF(ISNUMBER(U92),IFERROR((U92-LN(IFERROR(INDEX(Estadística!$K$6:$K$35,MATCH(Y92,Estadística!$Y$6:$Y$35,0)),0)))^2,""),"")</f>
        <v/>
      </c>
      <c r="W92" s="15">
        <f>IF(ISNUMBER(N92),IFERROR((N92-IFERROR(INDEX(Estadística!$I$6:$I$35,MATCH(Y92,Estadística!$Y$6:$Y$35,0)),0))^2,""),"")</f>
        <v/>
      </c>
      <c r="X92" s="15">
        <f>IF(ISNUMBER(R92),IF(R92&gt;1,1,0),"")</f>
        <v/>
      </c>
      <c r="Y92" s="15">
        <f>IF(OR(B92="",C92=""),"",B92&amp;"|"&amp;C92)</f>
        <v/>
      </c>
    </row>
    <row r="93">
      <c r="A93" s="23" t="n">
        <v>88</v>
      </c>
      <c r="B93" s="8" t="n"/>
      <c r="C93" s="8" t="n"/>
      <c r="D93" s="9" t="n"/>
      <c r="E93" s="8" t="n"/>
      <c r="F93" s="8" t="n"/>
      <c r="G93" s="8" t="n"/>
      <c r="H93" s="8" t="n"/>
      <c r="I93" s="24" t="n"/>
      <c r="J93" s="8" t="n"/>
      <c r="K93" s="25">
        <f>IF(OR(I93="",J93=""),"",I93*J93/1000)</f>
        <v/>
      </c>
      <c r="L93" s="26" t="n"/>
      <c r="M93" s="26" t="n"/>
      <c r="N93" s="27">
        <f>IF(OR(B93="",C93=""),"",IF(M93&lt;&gt;"",M93,IF(AND(N(L93)&gt;0,N(K93)&gt;0),L93/K93,"")))</f>
        <v/>
      </c>
      <c r="O93" s="15">
        <f>IF(C93="","",IFERROR(INDEX(Agentes!$D$6:$D$60,MATCH(C93,Agentes!$A$6:$A$60,0)),""))</f>
        <v/>
      </c>
      <c r="P93" s="28">
        <f>IF(OR(H93="",O93=""),"",IF(AND(O93="Inhalable",LEFT(H93,6)="Casete"),"Subestima: el casete cerrado no colecta toda la fracción inhalable",IF(AND(O93="Respirable",LEFT(H93,6)&lt;&gt;"Ciclón"),"Requiere ciclón (fracción respirable)",IF(AND(O93="Inhalable",ISNUMBER(SEARCH("Respirable",IFERROR(INDEX(Agentes!$C$80:$C$87,MATCH(H93,Agentes!$B$80:$B$87,0)),"")))),"El ciclón no colecta la fracción inhalable","Coherente"))))</f>
        <v/>
      </c>
      <c r="Q93" s="22">
        <f>IF(Y93="","",IFERROR(INDEX(GES!$W$6:$W$35,MATCH(Y93,GES!$R$6:$R$35,0)),""))</f>
        <v/>
      </c>
      <c r="R93" s="29">
        <f>IF(AND(ISNUMBER(N93),ISNUMBER(Q93)),N93/Q93,"")</f>
        <v/>
      </c>
      <c r="S93" s="15">
        <f>IF(C93="","",IFERROR(INDEX(Agentes!$I$6:$I$60,MATCH(C93,Agentes!$A$6:$A$60,0)),""))</f>
        <v/>
      </c>
      <c r="T93" s="8" t="n"/>
      <c r="U93" s="15">
        <f>IF(ISNUMBER(N93),IF(N93&gt;0,LN(N93),""),"")</f>
        <v/>
      </c>
      <c r="V93" s="15">
        <f>IF(ISNUMBER(U93),IFERROR((U93-LN(IFERROR(INDEX(Estadística!$K$6:$K$35,MATCH(Y93,Estadística!$Y$6:$Y$35,0)),0)))^2,""),"")</f>
        <v/>
      </c>
      <c r="W93" s="15">
        <f>IF(ISNUMBER(N93),IFERROR((N93-IFERROR(INDEX(Estadística!$I$6:$I$35,MATCH(Y93,Estadística!$Y$6:$Y$35,0)),0))^2,""),"")</f>
        <v/>
      </c>
      <c r="X93" s="15">
        <f>IF(ISNUMBER(R93),IF(R93&gt;1,1,0),"")</f>
        <v/>
      </c>
      <c r="Y93" s="15">
        <f>IF(OR(B93="",C93=""),"",B93&amp;"|"&amp;C93)</f>
        <v/>
      </c>
    </row>
    <row r="94">
      <c r="A94" s="23" t="n">
        <v>89</v>
      </c>
      <c r="B94" s="8" t="n"/>
      <c r="C94" s="8" t="n"/>
      <c r="D94" s="9" t="n"/>
      <c r="E94" s="8" t="n"/>
      <c r="F94" s="8" t="n"/>
      <c r="G94" s="8" t="n"/>
      <c r="H94" s="8" t="n"/>
      <c r="I94" s="24" t="n"/>
      <c r="J94" s="8" t="n"/>
      <c r="K94" s="25">
        <f>IF(OR(I94="",J94=""),"",I94*J94/1000)</f>
        <v/>
      </c>
      <c r="L94" s="26" t="n"/>
      <c r="M94" s="26" t="n"/>
      <c r="N94" s="27">
        <f>IF(OR(B94="",C94=""),"",IF(M94&lt;&gt;"",M94,IF(AND(N(L94)&gt;0,N(K94)&gt;0),L94/K94,"")))</f>
        <v/>
      </c>
      <c r="O94" s="15">
        <f>IF(C94="","",IFERROR(INDEX(Agentes!$D$6:$D$60,MATCH(C94,Agentes!$A$6:$A$60,0)),""))</f>
        <v/>
      </c>
      <c r="P94" s="28">
        <f>IF(OR(H94="",O94=""),"",IF(AND(O94="Inhalable",LEFT(H94,6)="Casete"),"Subestima: el casete cerrado no colecta toda la fracción inhalable",IF(AND(O94="Respirable",LEFT(H94,6)&lt;&gt;"Ciclón"),"Requiere ciclón (fracción respirable)",IF(AND(O94="Inhalable",ISNUMBER(SEARCH("Respirable",IFERROR(INDEX(Agentes!$C$80:$C$87,MATCH(H94,Agentes!$B$80:$B$87,0)),"")))),"El ciclón no colecta la fracción inhalable","Coherente"))))</f>
        <v/>
      </c>
      <c r="Q94" s="22">
        <f>IF(Y94="","",IFERROR(INDEX(GES!$W$6:$W$35,MATCH(Y94,GES!$R$6:$R$35,0)),""))</f>
        <v/>
      </c>
      <c r="R94" s="29">
        <f>IF(AND(ISNUMBER(N94),ISNUMBER(Q94)),N94/Q94,"")</f>
        <v/>
      </c>
      <c r="S94" s="15">
        <f>IF(C94="","",IFERROR(INDEX(Agentes!$I$6:$I$60,MATCH(C94,Agentes!$A$6:$A$60,0)),""))</f>
        <v/>
      </c>
      <c r="T94" s="8" t="n"/>
      <c r="U94" s="15">
        <f>IF(ISNUMBER(N94),IF(N94&gt;0,LN(N94),""),"")</f>
        <v/>
      </c>
      <c r="V94" s="15">
        <f>IF(ISNUMBER(U94),IFERROR((U94-LN(IFERROR(INDEX(Estadística!$K$6:$K$35,MATCH(Y94,Estadística!$Y$6:$Y$35,0)),0)))^2,""),"")</f>
        <v/>
      </c>
      <c r="W94" s="15">
        <f>IF(ISNUMBER(N94),IFERROR((N94-IFERROR(INDEX(Estadística!$I$6:$I$35,MATCH(Y94,Estadística!$Y$6:$Y$35,0)),0))^2,""),"")</f>
        <v/>
      </c>
      <c r="X94" s="15">
        <f>IF(ISNUMBER(R94),IF(R94&gt;1,1,0),"")</f>
        <v/>
      </c>
      <c r="Y94" s="15">
        <f>IF(OR(B94="",C94=""),"",B94&amp;"|"&amp;C94)</f>
        <v/>
      </c>
    </row>
    <row r="95">
      <c r="A95" s="23" t="n">
        <v>90</v>
      </c>
      <c r="B95" s="8" t="n"/>
      <c r="C95" s="8" t="n"/>
      <c r="D95" s="9" t="n"/>
      <c r="E95" s="8" t="n"/>
      <c r="F95" s="8" t="n"/>
      <c r="G95" s="8" t="n"/>
      <c r="H95" s="8" t="n"/>
      <c r="I95" s="24" t="n"/>
      <c r="J95" s="8" t="n"/>
      <c r="K95" s="25">
        <f>IF(OR(I95="",J95=""),"",I95*J95/1000)</f>
        <v/>
      </c>
      <c r="L95" s="26" t="n"/>
      <c r="M95" s="26" t="n"/>
      <c r="N95" s="27">
        <f>IF(OR(B95="",C95=""),"",IF(M95&lt;&gt;"",M95,IF(AND(N(L95)&gt;0,N(K95)&gt;0),L95/K95,"")))</f>
        <v/>
      </c>
      <c r="O95" s="15">
        <f>IF(C95="","",IFERROR(INDEX(Agentes!$D$6:$D$60,MATCH(C95,Agentes!$A$6:$A$60,0)),""))</f>
        <v/>
      </c>
      <c r="P95" s="28">
        <f>IF(OR(H95="",O95=""),"",IF(AND(O95="Inhalable",LEFT(H95,6)="Casete"),"Subestima: el casete cerrado no colecta toda la fracción inhalable",IF(AND(O95="Respirable",LEFT(H95,6)&lt;&gt;"Ciclón"),"Requiere ciclón (fracción respirable)",IF(AND(O95="Inhalable",ISNUMBER(SEARCH("Respirable",IFERROR(INDEX(Agentes!$C$80:$C$87,MATCH(H95,Agentes!$B$80:$B$87,0)),"")))),"El ciclón no colecta la fracción inhalable","Coherente"))))</f>
        <v/>
      </c>
      <c r="Q95" s="22">
        <f>IF(Y95="","",IFERROR(INDEX(GES!$W$6:$W$35,MATCH(Y95,GES!$R$6:$R$35,0)),""))</f>
        <v/>
      </c>
      <c r="R95" s="29">
        <f>IF(AND(ISNUMBER(N95),ISNUMBER(Q95)),N95/Q95,"")</f>
        <v/>
      </c>
      <c r="S95" s="15">
        <f>IF(C95="","",IFERROR(INDEX(Agentes!$I$6:$I$60,MATCH(C95,Agentes!$A$6:$A$60,0)),""))</f>
        <v/>
      </c>
      <c r="T95" s="8" t="n"/>
      <c r="U95" s="15">
        <f>IF(ISNUMBER(N95),IF(N95&gt;0,LN(N95),""),"")</f>
        <v/>
      </c>
      <c r="V95" s="15">
        <f>IF(ISNUMBER(U95),IFERROR((U95-LN(IFERROR(INDEX(Estadística!$K$6:$K$35,MATCH(Y95,Estadística!$Y$6:$Y$35,0)),0)))^2,""),"")</f>
        <v/>
      </c>
      <c r="W95" s="15">
        <f>IF(ISNUMBER(N95),IFERROR((N95-IFERROR(INDEX(Estadística!$I$6:$I$35,MATCH(Y95,Estadística!$Y$6:$Y$35,0)),0))^2,""),"")</f>
        <v/>
      </c>
      <c r="X95" s="15">
        <f>IF(ISNUMBER(R95),IF(R95&gt;1,1,0),"")</f>
        <v/>
      </c>
      <c r="Y95" s="15">
        <f>IF(OR(B95="",C95=""),"",B95&amp;"|"&amp;C95)</f>
        <v/>
      </c>
    </row>
    <row r="96">
      <c r="A96" s="23" t="n">
        <v>91</v>
      </c>
      <c r="B96" s="8" t="n"/>
      <c r="C96" s="8" t="n"/>
      <c r="D96" s="9" t="n"/>
      <c r="E96" s="8" t="n"/>
      <c r="F96" s="8" t="n"/>
      <c r="G96" s="8" t="n"/>
      <c r="H96" s="8" t="n"/>
      <c r="I96" s="24" t="n"/>
      <c r="J96" s="8" t="n"/>
      <c r="K96" s="25">
        <f>IF(OR(I96="",J96=""),"",I96*J96/1000)</f>
        <v/>
      </c>
      <c r="L96" s="26" t="n"/>
      <c r="M96" s="26" t="n"/>
      <c r="N96" s="27">
        <f>IF(OR(B96="",C96=""),"",IF(M96&lt;&gt;"",M96,IF(AND(N(L96)&gt;0,N(K96)&gt;0),L96/K96,"")))</f>
        <v/>
      </c>
      <c r="O96" s="15">
        <f>IF(C96="","",IFERROR(INDEX(Agentes!$D$6:$D$60,MATCH(C96,Agentes!$A$6:$A$60,0)),""))</f>
        <v/>
      </c>
      <c r="P96" s="28">
        <f>IF(OR(H96="",O96=""),"",IF(AND(O96="Inhalable",LEFT(H96,6)="Casete"),"Subestima: el casete cerrado no colecta toda la fracción inhalable",IF(AND(O96="Respirable",LEFT(H96,6)&lt;&gt;"Ciclón"),"Requiere ciclón (fracción respirable)",IF(AND(O96="Inhalable",ISNUMBER(SEARCH("Respirable",IFERROR(INDEX(Agentes!$C$80:$C$87,MATCH(H96,Agentes!$B$80:$B$87,0)),"")))),"El ciclón no colecta la fracción inhalable","Coherente"))))</f>
        <v/>
      </c>
      <c r="Q96" s="22">
        <f>IF(Y96="","",IFERROR(INDEX(GES!$W$6:$W$35,MATCH(Y96,GES!$R$6:$R$35,0)),""))</f>
        <v/>
      </c>
      <c r="R96" s="29">
        <f>IF(AND(ISNUMBER(N96),ISNUMBER(Q96)),N96/Q96,"")</f>
        <v/>
      </c>
      <c r="S96" s="15">
        <f>IF(C96="","",IFERROR(INDEX(Agentes!$I$6:$I$60,MATCH(C96,Agentes!$A$6:$A$60,0)),""))</f>
        <v/>
      </c>
      <c r="T96" s="8" t="n"/>
      <c r="U96" s="15">
        <f>IF(ISNUMBER(N96),IF(N96&gt;0,LN(N96),""),"")</f>
        <v/>
      </c>
      <c r="V96" s="15">
        <f>IF(ISNUMBER(U96),IFERROR((U96-LN(IFERROR(INDEX(Estadística!$K$6:$K$35,MATCH(Y96,Estadística!$Y$6:$Y$35,0)),0)))^2,""),"")</f>
        <v/>
      </c>
      <c r="W96" s="15">
        <f>IF(ISNUMBER(N96),IFERROR((N96-IFERROR(INDEX(Estadística!$I$6:$I$35,MATCH(Y96,Estadística!$Y$6:$Y$35,0)),0))^2,""),"")</f>
        <v/>
      </c>
      <c r="X96" s="15">
        <f>IF(ISNUMBER(R96),IF(R96&gt;1,1,0),"")</f>
        <v/>
      </c>
      <c r="Y96" s="15">
        <f>IF(OR(B96="",C96=""),"",B96&amp;"|"&amp;C96)</f>
        <v/>
      </c>
    </row>
    <row r="97">
      <c r="A97" s="23" t="n">
        <v>92</v>
      </c>
      <c r="B97" s="8" t="n"/>
      <c r="C97" s="8" t="n"/>
      <c r="D97" s="9" t="n"/>
      <c r="E97" s="8" t="n"/>
      <c r="F97" s="8" t="n"/>
      <c r="G97" s="8" t="n"/>
      <c r="H97" s="8" t="n"/>
      <c r="I97" s="24" t="n"/>
      <c r="J97" s="8" t="n"/>
      <c r="K97" s="25">
        <f>IF(OR(I97="",J97=""),"",I97*J97/1000)</f>
        <v/>
      </c>
      <c r="L97" s="26" t="n"/>
      <c r="M97" s="26" t="n"/>
      <c r="N97" s="27">
        <f>IF(OR(B97="",C97=""),"",IF(M97&lt;&gt;"",M97,IF(AND(N(L97)&gt;0,N(K97)&gt;0),L97/K97,"")))</f>
        <v/>
      </c>
      <c r="O97" s="15">
        <f>IF(C97="","",IFERROR(INDEX(Agentes!$D$6:$D$60,MATCH(C97,Agentes!$A$6:$A$60,0)),""))</f>
        <v/>
      </c>
      <c r="P97" s="28">
        <f>IF(OR(H97="",O97=""),"",IF(AND(O97="Inhalable",LEFT(H97,6)="Casete"),"Subestima: el casete cerrado no colecta toda la fracción inhalable",IF(AND(O97="Respirable",LEFT(H97,6)&lt;&gt;"Ciclón"),"Requiere ciclón (fracción respirable)",IF(AND(O97="Inhalable",ISNUMBER(SEARCH("Respirable",IFERROR(INDEX(Agentes!$C$80:$C$87,MATCH(H97,Agentes!$B$80:$B$87,0)),"")))),"El ciclón no colecta la fracción inhalable","Coherente"))))</f>
        <v/>
      </c>
      <c r="Q97" s="22">
        <f>IF(Y97="","",IFERROR(INDEX(GES!$W$6:$W$35,MATCH(Y97,GES!$R$6:$R$35,0)),""))</f>
        <v/>
      </c>
      <c r="R97" s="29">
        <f>IF(AND(ISNUMBER(N97),ISNUMBER(Q97)),N97/Q97,"")</f>
        <v/>
      </c>
      <c r="S97" s="15">
        <f>IF(C97="","",IFERROR(INDEX(Agentes!$I$6:$I$60,MATCH(C97,Agentes!$A$6:$A$60,0)),""))</f>
        <v/>
      </c>
      <c r="T97" s="8" t="n"/>
      <c r="U97" s="15">
        <f>IF(ISNUMBER(N97),IF(N97&gt;0,LN(N97),""),"")</f>
        <v/>
      </c>
      <c r="V97" s="15">
        <f>IF(ISNUMBER(U97),IFERROR((U97-LN(IFERROR(INDEX(Estadística!$K$6:$K$35,MATCH(Y97,Estadística!$Y$6:$Y$35,0)),0)))^2,""),"")</f>
        <v/>
      </c>
      <c r="W97" s="15">
        <f>IF(ISNUMBER(N97),IFERROR((N97-IFERROR(INDEX(Estadística!$I$6:$I$35,MATCH(Y97,Estadística!$Y$6:$Y$35,0)),0))^2,""),"")</f>
        <v/>
      </c>
      <c r="X97" s="15">
        <f>IF(ISNUMBER(R97),IF(R97&gt;1,1,0),"")</f>
        <v/>
      </c>
      <c r="Y97" s="15">
        <f>IF(OR(B97="",C97=""),"",B97&amp;"|"&amp;C97)</f>
        <v/>
      </c>
    </row>
    <row r="98">
      <c r="A98" s="23" t="n">
        <v>93</v>
      </c>
      <c r="B98" s="8" t="n"/>
      <c r="C98" s="8" t="n"/>
      <c r="D98" s="9" t="n"/>
      <c r="E98" s="8" t="n"/>
      <c r="F98" s="8" t="n"/>
      <c r="G98" s="8" t="n"/>
      <c r="H98" s="8" t="n"/>
      <c r="I98" s="24" t="n"/>
      <c r="J98" s="8" t="n"/>
      <c r="K98" s="25">
        <f>IF(OR(I98="",J98=""),"",I98*J98/1000)</f>
        <v/>
      </c>
      <c r="L98" s="26" t="n"/>
      <c r="M98" s="26" t="n"/>
      <c r="N98" s="27">
        <f>IF(OR(B98="",C98=""),"",IF(M98&lt;&gt;"",M98,IF(AND(N(L98)&gt;0,N(K98)&gt;0),L98/K98,"")))</f>
        <v/>
      </c>
      <c r="O98" s="15">
        <f>IF(C98="","",IFERROR(INDEX(Agentes!$D$6:$D$60,MATCH(C98,Agentes!$A$6:$A$60,0)),""))</f>
        <v/>
      </c>
      <c r="P98" s="28">
        <f>IF(OR(H98="",O98=""),"",IF(AND(O98="Inhalable",LEFT(H98,6)="Casete"),"Subestima: el casete cerrado no colecta toda la fracción inhalable",IF(AND(O98="Respirable",LEFT(H98,6)&lt;&gt;"Ciclón"),"Requiere ciclón (fracción respirable)",IF(AND(O98="Inhalable",ISNUMBER(SEARCH("Respirable",IFERROR(INDEX(Agentes!$C$80:$C$87,MATCH(H98,Agentes!$B$80:$B$87,0)),"")))),"El ciclón no colecta la fracción inhalable","Coherente"))))</f>
        <v/>
      </c>
      <c r="Q98" s="22">
        <f>IF(Y98="","",IFERROR(INDEX(GES!$W$6:$W$35,MATCH(Y98,GES!$R$6:$R$35,0)),""))</f>
        <v/>
      </c>
      <c r="R98" s="29">
        <f>IF(AND(ISNUMBER(N98),ISNUMBER(Q98)),N98/Q98,"")</f>
        <v/>
      </c>
      <c r="S98" s="15">
        <f>IF(C98="","",IFERROR(INDEX(Agentes!$I$6:$I$60,MATCH(C98,Agentes!$A$6:$A$60,0)),""))</f>
        <v/>
      </c>
      <c r="T98" s="8" t="n"/>
      <c r="U98" s="15">
        <f>IF(ISNUMBER(N98),IF(N98&gt;0,LN(N98),""),"")</f>
        <v/>
      </c>
      <c r="V98" s="15">
        <f>IF(ISNUMBER(U98),IFERROR((U98-LN(IFERROR(INDEX(Estadística!$K$6:$K$35,MATCH(Y98,Estadística!$Y$6:$Y$35,0)),0)))^2,""),"")</f>
        <v/>
      </c>
      <c r="W98" s="15">
        <f>IF(ISNUMBER(N98),IFERROR((N98-IFERROR(INDEX(Estadística!$I$6:$I$35,MATCH(Y98,Estadística!$Y$6:$Y$35,0)),0))^2,""),"")</f>
        <v/>
      </c>
      <c r="X98" s="15">
        <f>IF(ISNUMBER(R98),IF(R98&gt;1,1,0),"")</f>
        <v/>
      </c>
      <c r="Y98" s="15">
        <f>IF(OR(B98="",C98=""),"",B98&amp;"|"&amp;C98)</f>
        <v/>
      </c>
    </row>
    <row r="99">
      <c r="A99" s="23" t="n">
        <v>94</v>
      </c>
      <c r="B99" s="8" t="n"/>
      <c r="C99" s="8" t="n"/>
      <c r="D99" s="9" t="n"/>
      <c r="E99" s="8" t="n"/>
      <c r="F99" s="8" t="n"/>
      <c r="G99" s="8" t="n"/>
      <c r="H99" s="8" t="n"/>
      <c r="I99" s="24" t="n"/>
      <c r="J99" s="8" t="n"/>
      <c r="K99" s="25">
        <f>IF(OR(I99="",J99=""),"",I99*J99/1000)</f>
        <v/>
      </c>
      <c r="L99" s="26" t="n"/>
      <c r="M99" s="26" t="n"/>
      <c r="N99" s="27">
        <f>IF(OR(B99="",C99=""),"",IF(M99&lt;&gt;"",M99,IF(AND(N(L99)&gt;0,N(K99)&gt;0),L99/K99,"")))</f>
        <v/>
      </c>
      <c r="O99" s="15">
        <f>IF(C99="","",IFERROR(INDEX(Agentes!$D$6:$D$60,MATCH(C99,Agentes!$A$6:$A$60,0)),""))</f>
        <v/>
      </c>
      <c r="P99" s="28">
        <f>IF(OR(H99="",O99=""),"",IF(AND(O99="Inhalable",LEFT(H99,6)="Casete"),"Subestima: el casete cerrado no colecta toda la fracción inhalable",IF(AND(O99="Respirable",LEFT(H99,6)&lt;&gt;"Ciclón"),"Requiere ciclón (fracción respirable)",IF(AND(O99="Inhalable",ISNUMBER(SEARCH("Respirable",IFERROR(INDEX(Agentes!$C$80:$C$87,MATCH(H99,Agentes!$B$80:$B$87,0)),"")))),"El ciclón no colecta la fracción inhalable","Coherente"))))</f>
        <v/>
      </c>
      <c r="Q99" s="22">
        <f>IF(Y99="","",IFERROR(INDEX(GES!$W$6:$W$35,MATCH(Y99,GES!$R$6:$R$35,0)),""))</f>
        <v/>
      </c>
      <c r="R99" s="29">
        <f>IF(AND(ISNUMBER(N99),ISNUMBER(Q99)),N99/Q99,"")</f>
        <v/>
      </c>
      <c r="S99" s="15">
        <f>IF(C99="","",IFERROR(INDEX(Agentes!$I$6:$I$60,MATCH(C99,Agentes!$A$6:$A$60,0)),""))</f>
        <v/>
      </c>
      <c r="T99" s="8" t="n"/>
      <c r="U99" s="15">
        <f>IF(ISNUMBER(N99),IF(N99&gt;0,LN(N99),""),"")</f>
        <v/>
      </c>
      <c r="V99" s="15">
        <f>IF(ISNUMBER(U99),IFERROR((U99-LN(IFERROR(INDEX(Estadística!$K$6:$K$35,MATCH(Y99,Estadística!$Y$6:$Y$35,0)),0)))^2,""),"")</f>
        <v/>
      </c>
      <c r="W99" s="15">
        <f>IF(ISNUMBER(N99),IFERROR((N99-IFERROR(INDEX(Estadística!$I$6:$I$35,MATCH(Y99,Estadística!$Y$6:$Y$35,0)),0))^2,""),"")</f>
        <v/>
      </c>
      <c r="X99" s="15">
        <f>IF(ISNUMBER(R99),IF(R99&gt;1,1,0),"")</f>
        <v/>
      </c>
      <c r="Y99" s="15">
        <f>IF(OR(B99="",C99=""),"",B99&amp;"|"&amp;C99)</f>
        <v/>
      </c>
    </row>
    <row r="100">
      <c r="A100" s="23" t="n">
        <v>95</v>
      </c>
      <c r="B100" s="8" t="n"/>
      <c r="C100" s="8" t="n"/>
      <c r="D100" s="9" t="n"/>
      <c r="E100" s="8" t="n"/>
      <c r="F100" s="8" t="n"/>
      <c r="G100" s="8" t="n"/>
      <c r="H100" s="8" t="n"/>
      <c r="I100" s="24" t="n"/>
      <c r="J100" s="8" t="n"/>
      <c r="K100" s="25">
        <f>IF(OR(I100="",J100=""),"",I100*J100/1000)</f>
        <v/>
      </c>
      <c r="L100" s="26" t="n"/>
      <c r="M100" s="26" t="n"/>
      <c r="N100" s="27">
        <f>IF(OR(B100="",C100=""),"",IF(M100&lt;&gt;"",M100,IF(AND(N(L100)&gt;0,N(K100)&gt;0),L100/K100,"")))</f>
        <v/>
      </c>
      <c r="O100" s="15">
        <f>IF(C100="","",IFERROR(INDEX(Agentes!$D$6:$D$60,MATCH(C100,Agentes!$A$6:$A$60,0)),""))</f>
        <v/>
      </c>
      <c r="P100" s="28">
        <f>IF(OR(H100="",O100=""),"",IF(AND(O100="Inhalable",LEFT(H100,6)="Casete"),"Subestima: el casete cerrado no colecta toda la fracción inhalable",IF(AND(O100="Respirable",LEFT(H100,6)&lt;&gt;"Ciclón"),"Requiere ciclón (fracción respirable)",IF(AND(O100="Inhalable",ISNUMBER(SEARCH("Respirable",IFERROR(INDEX(Agentes!$C$80:$C$87,MATCH(H100,Agentes!$B$80:$B$87,0)),"")))),"El ciclón no colecta la fracción inhalable","Coherente"))))</f>
        <v/>
      </c>
      <c r="Q100" s="22">
        <f>IF(Y100="","",IFERROR(INDEX(GES!$W$6:$W$35,MATCH(Y100,GES!$R$6:$R$35,0)),""))</f>
        <v/>
      </c>
      <c r="R100" s="29">
        <f>IF(AND(ISNUMBER(N100),ISNUMBER(Q100)),N100/Q100,"")</f>
        <v/>
      </c>
      <c r="S100" s="15">
        <f>IF(C100="","",IFERROR(INDEX(Agentes!$I$6:$I$60,MATCH(C100,Agentes!$A$6:$A$60,0)),""))</f>
        <v/>
      </c>
      <c r="T100" s="8" t="n"/>
      <c r="U100" s="15">
        <f>IF(ISNUMBER(N100),IF(N100&gt;0,LN(N100),""),"")</f>
        <v/>
      </c>
      <c r="V100" s="15">
        <f>IF(ISNUMBER(U100),IFERROR((U100-LN(IFERROR(INDEX(Estadística!$K$6:$K$35,MATCH(Y100,Estadística!$Y$6:$Y$35,0)),0)))^2,""),"")</f>
        <v/>
      </c>
      <c r="W100" s="15">
        <f>IF(ISNUMBER(N100),IFERROR((N100-IFERROR(INDEX(Estadística!$I$6:$I$35,MATCH(Y100,Estadística!$Y$6:$Y$35,0)),0))^2,""),"")</f>
        <v/>
      </c>
      <c r="X100" s="15">
        <f>IF(ISNUMBER(R100),IF(R100&gt;1,1,0),"")</f>
        <v/>
      </c>
      <c r="Y100" s="15">
        <f>IF(OR(B100="",C100=""),"",B100&amp;"|"&amp;C100)</f>
        <v/>
      </c>
    </row>
    <row r="101">
      <c r="A101" s="23" t="n">
        <v>96</v>
      </c>
      <c r="B101" s="8" t="n"/>
      <c r="C101" s="8" t="n"/>
      <c r="D101" s="9" t="n"/>
      <c r="E101" s="8" t="n"/>
      <c r="F101" s="8" t="n"/>
      <c r="G101" s="8" t="n"/>
      <c r="H101" s="8" t="n"/>
      <c r="I101" s="24" t="n"/>
      <c r="J101" s="8" t="n"/>
      <c r="K101" s="25">
        <f>IF(OR(I101="",J101=""),"",I101*J101/1000)</f>
        <v/>
      </c>
      <c r="L101" s="26" t="n"/>
      <c r="M101" s="26" t="n"/>
      <c r="N101" s="27">
        <f>IF(OR(B101="",C101=""),"",IF(M101&lt;&gt;"",M101,IF(AND(N(L101)&gt;0,N(K101)&gt;0),L101/K101,"")))</f>
        <v/>
      </c>
      <c r="O101" s="15">
        <f>IF(C101="","",IFERROR(INDEX(Agentes!$D$6:$D$60,MATCH(C101,Agentes!$A$6:$A$60,0)),""))</f>
        <v/>
      </c>
      <c r="P101" s="28">
        <f>IF(OR(H101="",O101=""),"",IF(AND(O101="Inhalable",LEFT(H101,6)="Casete"),"Subestima: el casete cerrado no colecta toda la fracción inhalable",IF(AND(O101="Respirable",LEFT(H101,6)&lt;&gt;"Ciclón"),"Requiere ciclón (fracción respirable)",IF(AND(O101="Inhalable",ISNUMBER(SEARCH("Respirable",IFERROR(INDEX(Agentes!$C$80:$C$87,MATCH(H101,Agentes!$B$80:$B$87,0)),"")))),"El ciclón no colecta la fracción inhalable","Coherente"))))</f>
        <v/>
      </c>
      <c r="Q101" s="22">
        <f>IF(Y101="","",IFERROR(INDEX(GES!$W$6:$W$35,MATCH(Y101,GES!$R$6:$R$35,0)),""))</f>
        <v/>
      </c>
      <c r="R101" s="29">
        <f>IF(AND(ISNUMBER(N101),ISNUMBER(Q101)),N101/Q101,"")</f>
        <v/>
      </c>
      <c r="S101" s="15">
        <f>IF(C101="","",IFERROR(INDEX(Agentes!$I$6:$I$60,MATCH(C101,Agentes!$A$6:$A$60,0)),""))</f>
        <v/>
      </c>
      <c r="T101" s="8" t="n"/>
      <c r="U101" s="15">
        <f>IF(ISNUMBER(N101),IF(N101&gt;0,LN(N101),""),"")</f>
        <v/>
      </c>
      <c r="V101" s="15">
        <f>IF(ISNUMBER(U101),IFERROR((U101-LN(IFERROR(INDEX(Estadística!$K$6:$K$35,MATCH(Y101,Estadística!$Y$6:$Y$35,0)),0)))^2,""),"")</f>
        <v/>
      </c>
      <c r="W101" s="15">
        <f>IF(ISNUMBER(N101),IFERROR((N101-IFERROR(INDEX(Estadística!$I$6:$I$35,MATCH(Y101,Estadística!$Y$6:$Y$35,0)),0))^2,""),"")</f>
        <v/>
      </c>
      <c r="X101" s="15">
        <f>IF(ISNUMBER(R101),IF(R101&gt;1,1,0),"")</f>
        <v/>
      </c>
      <c r="Y101" s="15">
        <f>IF(OR(B101="",C101=""),"",B101&amp;"|"&amp;C101)</f>
        <v/>
      </c>
    </row>
    <row r="102">
      <c r="A102" s="23" t="n">
        <v>97</v>
      </c>
      <c r="B102" s="8" t="n"/>
      <c r="C102" s="8" t="n"/>
      <c r="D102" s="9" t="n"/>
      <c r="E102" s="8" t="n"/>
      <c r="F102" s="8" t="n"/>
      <c r="G102" s="8" t="n"/>
      <c r="H102" s="8" t="n"/>
      <c r="I102" s="24" t="n"/>
      <c r="J102" s="8" t="n"/>
      <c r="K102" s="25">
        <f>IF(OR(I102="",J102=""),"",I102*J102/1000)</f>
        <v/>
      </c>
      <c r="L102" s="26" t="n"/>
      <c r="M102" s="26" t="n"/>
      <c r="N102" s="27">
        <f>IF(OR(B102="",C102=""),"",IF(M102&lt;&gt;"",M102,IF(AND(N(L102)&gt;0,N(K102)&gt;0),L102/K102,"")))</f>
        <v/>
      </c>
      <c r="O102" s="15">
        <f>IF(C102="","",IFERROR(INDEX(Agentes!$D$6:$D$60,MATCH(C102,Agentes!$A$6:$A$60,0)),""))</f>
        <v/>
      </c>
      <c r="P102" s="28">
        <f>IF(OR(H102="",O102=""),"",IF(AND(O102="Inhalable",LEFT(H102,6)="Casete"),"Subestima: el casete cerrado no colecta toda la fracción inhalable",IF(AND(O102="Respirable",LEFT(H102,6)&lt;&gt;"Ciclón"),"Requiere ciclón (fracción respirable)",IF(AND(O102="Inhalable",ISNUMBER(SEARCH("Respirable",IFERROR(INDEX(Agentes!$C$80:$C$87,MATCH(H102,Agentes!$B$80:$B$87,0)),"")))),"El ciclón no colecta la fracción inhalable","Coherente"))))</f>
        <v/>
      </c>
      <c r="Q102" s="22">
        <f>IF(Y102="","",IFERROR(INDEX(GES!$W$6:$W$35,MATCH(Y102,GES!$R$6:$R$35,0)),""))</f>
        <v/>
      </c>
      <c r="R102" s="29">
        <f>IF(AND(ISNUMBER(N102),ISNUMBER(Q102)),N102/Q102,"")</f>
        <v/>
      </c>
      <c r="S102" s="15">
        <f>IF(C102="","",IFERROR(INDEX(Agentes!$I$6:$I$60,MATCH(C102,Agentes!$A$6:$A$60,0)),""))</f>
        <v/>
      </c>
      <c r="T102" s="8" t="n"/>
      <c r="U102" s="15">
        <f>IF(ISNUMBER(N102),IF(N102&gt;0,LN(N102),""),"")</f>
        <v/>
      </c>
      <c r="V102" s="15">
        <f>IF(ISNUMBER(U102),IFERROR((U102-LN(IFERROR(INDEX(Estadística!$K$6:$K$35,MATCH(Y102,Estadística!$Y$6:$Y$35,0)),0)))^2,""),"")</f>
        <v/>
      </c>
      <c r="W102" s="15">
        <f>IF(ISNUMBER(N102),IFERROR((N102-IFERROR(INDEX(Estadística!$I$6:$I$35,MATCH(Y102,Estadística!$Y$6:$Y$35,0)),0))^2,""),"")</f>
        <v/>
      </c>
      <c r="X102" s="15">
        <f>IF(ISNUMBER(R102),IF(R102&gt;1,1,0),"")</f>
        <v/>
      </c>
      <c r="Y102" s="15">
        <f>IF(OR(B102="",C102=""),"",B102&amp;"|"&amp;C102)</f>
        <v/>
      </c>
    </row>
    <row r="103">
      <c r="A103" s="23" t="n">
        <v>98</v>
      </c>
      <c r="B103" s="8" t="n"/>
      <c r="C103" s="8" t="n"/>
      <c r="D103" s="9" t="n"/>
      <c r="E103" s="8" t="n"/>
      <c r="F103" s="8" t="n"/>
      <c r="G103" s="8" t="n"/>
      <c r="H103" s="8" t="n"/>
      <c r="I103" s="24" t="n"/>
      <c r="J103" s="8" t="n"/>
      <c r="K103" s="25">
        <f>IF(OR(I103="",J103=""),"",I103*J103/1000)</f>
        <v/>
      </c>
      <c r="L103" s="26" t="n"/>
      <c r="M103" s="26" t="n"/>
      <c r="N103" s="27">
        <f>IF(OR(B103="",C103=""),"",IF(M103&lt;&gt;"",M103,IF(AND(N(L103)&gt;0,N(K103)&gt;0),L103/K103,"")))</f>
        <v/>
      </c>
      <c r="O103" s="15">
        <f>IF(C103="","",IFERROR(INDEX(Agentes!$D$6:$D$60,MATCH(C103,Agentes!$A$6:$A$60,0)),""))</f>
        <v/>
      </c>
      <c r="P103" s="28">
        <f>IF(OR(H103="",O103=""),"",IF(AND(O103="Inhalable",LEFT(H103,6)="Casete"),"Subestima: el casete cerrado no colecta toda la fracción inhalable",IF(AND(O103="Respirable",LEFT(H103,6)&lt;&gt;"Ciclón"),"Requiere ciclón (fracción respirable)",IF(AND(O103="Inhalable",ISNUMBER(SEARCH("Respirable",IFERROR(INDEX(Agentes!$C$80:$C$87,MATCH(H103,Agentes!$B$80:$B$87,0)),"")))),"El ciclón no colecta la fracción inhalable","Coherente"))))</f>
        <v/>
      </c>
      <c r="Q103" s="22">
        <f>IF(Y103="","",IFERROR(INDEX(GES!$W$6:$W$35,MATCH(Y103,GES!$R$6:$R$35,0)),""))</f>
        <v/>
      </c>
      <c r="R103" s="29">
        <f>IF(AND(ISNUMBER(N103),ISNUMBER(Q103)),N103/Q103,"")</f>
        <v/>
      </c>
      <c r="S103" s="15">
        <f>IF(C103="","",IFERROR(INDEX(Agentes!$I$6:$I$60,MATCH(C103,Agentes!$A$6:$A$60,0)),""))</f>
        <v/>
      </c>
      <c r="T103" s="8" t="n"/>
      <c r="U103" s="15">
        <f>IF(ISNUMBER(N103),IF(N103&gt;0,LN(N103),""),"")</f>
        <v/>
      </c>
      <c r="V103" s="15">
        <f>IF(ISNUMBER(U103),IFERROR((U103-LN(IFERROR(INDEX(Estadística!$K$6:$K$35,MATCH(Y103,Estadística!$Y$6:$Y$35,0)),0)))^2,""),"")</f>
        <v/>
      </c>
      <c r="W103" s="15">
        <f>IF(ISNUMBER(N103),IFERROR((N103-IFERROR(INDEX(Estadística!$I$6:$I$35,MATCH(Y103,Estadística!$Y$6:$Y$35,0)),0))^2,""),"")</f>
        <v/>
      </c>
      <c r="X103" s="15">
        <f>IF(ISNUMBER(R103),IF(R103&gt;1,1,0),"")</f>
        <v/>
      </c>
      <c r="Y103" s="15">
        <f>IF(OR(B103="",C103=""),"",B103&amp;"|"&amp;C103)</f>
        <v/>
      </c>
    </row>
    <row r="104">
      <c r="A104" s="23" t="n">
        <v>99</v>
      </c>
      <c r="B104" s="8" t="n"/>
      <c r="C104" s="8" t="n"/>
      <c r="D104" s="9" t="n"/>
      <c r="E104" s="8" t="n"/>
      <c r="F104" s="8" t="n"/>
      <c r="G104" s="8" t="n"/>
      <c r="H104" s="8" t="n"/>
      <c r="I104" s="24" t="n"/>
      <c r="J104" s="8" t="n"/>
      <c r="K104" s="25">
        <f>IF(OR(I104="",J104=""),"",I104*J104/1000)</f>
        <v/>
      </c>
      <c r="L104" s="26" t="n"/>
      <c r="M104" s="26" t="n"/>
      <c r="N104" s="27">
        <f>IF(OR(B104="",C104=""),"",IF(M104&lt;&gt;"",M104,IF(AND(N(L104)&gt;0,N(K104)&gt;0),L104/K104,"")))</f>
        <v/>
      </c>
      <c r="O104" s="15">
        <f>IF(C104="","",IFERROR(INDEX(Agentes!$D$6:$D$60,MATCH(C104,Agentes!$A$6:$A$60,0)),""))</f>
        <v/>
      </c>
      <c r="P104" s="28">
        <f>IF(OR(H104="",O104=""),"",IF(AND(O104="Inhalable",LEFT(H104,6)="Casete"),"Subestima: el casete cerrado no colecta toda la fracción inhalable",IF(AND(O104="Respirable",LEFT(H104,6)&lt;&gt;"Ciclón"),"Requiere ciclón (fracción respirable)",IF(AND(O104="Inhalable",ISNUMBER(SEARCH("Respirable",IFERROR(INDEX(Agentes!$C$80:$C$87,MATCH(H104,Agentes!$B$80:$B$87,0)),"")))),"El ciclón no colecta la fracción inhalable","Coherente"))))</f>
        <v/>
      </c>
      <c r="Q104" s="22">
        <f>IF(Y104="","",IFERROR(INDEX(GES!$W$6:$W$35,MATCH(Y104,GES!$R$6:$R$35,0)),""))</f>
        <v/>
      </c>
      <c r="R104" s="29">
        <f>IF(AND(ISNUMBER(N104),ISNUMBER(Q104)),N104/Q104,"")</f>
        <v/>
      </c>
      <c r="S104" s="15">
        <f>IF(C104="","",IFERROR(INDEX(Agentes!$I$6:$I$60,MATCH(C104,Agentes!$A$6:$A$60,0)),""))</f>
        <v/>
      </c>
      <c r="T104" s="8" t="n"/>
      <c r="U104" s="15">
        <f>IF(ISNUMBER(N104),IF(N104&gt;0,LN(N104),""),"")</f>
        <v/>
      </c>
      <c r="V104" s="15">
        <f>IF(ISNUMBER(U104),IFERROR((U104-LN(IFERROR(INDEX(Estadística!$K$6:$K$35,MATCH(Y104,Estadística!$Y$6:$Y$35,0)),0)))^2,""),"")</f>
        <v/>
      </c>
      <c r="W104" s="15">
        <f>IF(ISNUMBER(N104),IFERROR((N104-IFERROR(INDEX(Estadística!$I$6:$I$35,MATCH(Y104,Estadística!$Y$6:$Y$35,0)),0))^2,""),"")</f>
        <v/>
      </c>
      <c r="X104" s="15">
        <f>IF(ISNUMBER(R104),IF(R104&gt;1,1,0),"")</f>
        <v/>
      </c>
      <c r="Y104" s="15">
        <f>IF(OR(B104="",C104=""),"",B104&amp;"|"&amp;C104)</f>
        <v/>
      </c>
    </row>
    <row r="105">
      <c r="A105" s="23" t="n">
        <v>100</v>
      </c>
      <c r="B105" s="8" t="n"/>
      <c r="C105" s="8" t="n"/>
      <c r="D105" s="9" t="n"/>
      <c r="E105" s="8" t="n"/>
      <c r="F105" s="8" t="n"/>
      <c r="G105" s="8" t="n"/>
      <c r="H105" s="8" t="n"/>
      <c r="I105" s="24" t="n"/>
      <c r="J105" s="8" t="n"/>
      <c r="K105" s="25">
        <f>IF(OR(I105="",J105=""),"",I105*J105/1000)</f>
        <v/>
      </c>
      <c r="L105" s="26" t="n"/>
      <c r="M105" s="26" t="n"/>
      <c r="N105" s="27">
        <f>IF(OR(B105="",C105=""),"",IF(M105&lt;&gt;"",M105,IF(AND(N(L105)&gt;0,N(K105)&gt;0),L105/K105,"")))</f>
        <v/>
      </c>
      <c r="O105" s="15">
        <f>IF(C105="","",IFERROR(INDEX(Agentes!$D$6:$D$60,MATCH(C105,Agentes!$A$6:$A$60,0)),""))</f>
        <v/>
      </c>
      <c r="P105" s="28">
        <f>IF(OR(H105="",O105=""),"",IF(AND(O105="Inhalable",LEFT(H105,6)="Casete"),"Subestima: el casete cerrado no colecta toda la fracción inhalable",IF(AND(O105="Respirable",LEFT(H105,6)&lt;&gt;"Ciclón"),"Requiere ciclón (fracción respirable)",IF(AND(O105="Inhalable",ISNUMBER(SEARCH("Respirable",IFERROR(INDEX(Agentes!$C$80:$C$87,MATCH(H105,Agentes!$B$80:$B$87,0)),"")))),"El ciclón no colecta la fracción inhalable","Coherente"))))</f>
        <v/>
      </c>
      <c r="Q105" s="22">
        <f>IF(Y105="","",IFERROR(INDEX(GES!$W$6:$W$35,MATCH(Y105,GES!$R$6:$R$35,0)),""))</f>
        <v/>
      </c>
      <c r="R105" s="29">
        <f>IF(AND(ISNUMBER(N105),ISNUMBER(Q105)),N105/Q105,"")</f>
        <v/>
      </c>
      <c r="S105" s="15">
        <f>IF(C105="","",IFERROR(INDEX(Agentes!$I$6:$I$60,MATCH(C105,Agentes!$A$6:$A$60,0)),""))</f>
        <v/>
      </c>
      <c r="T105" s="8" t="n"/>
      <c r="U105" s="15">
        <f>IF(ISNUMBER(N105),IF(N105&gt;0,LN(N105),""),"")</f>
        <v/>
      </c>
      <c r="V105" s="15">
        <f>IF(ISNUMBER(U105),IFERROR((U105-LN(IFERROR(INDEX(Estadística!$K$6:$K$35,MATCH(Y105,Estadística!$Y$6:$Y$35,0)),0)))^2,""),"")</f>
        <v/>
      </c>
      <c r="W105" s="15">
        <f>IF(ISNUMBER(N105),IFERROR((N105-IFERROR(INDEX(Estadística!$I$6:$I$35,MATCH(Y105,Estadística!$Y$6:$Y$35,0)),0))^2,""),"")</f>
        <v/>
      </c>
      <c r="X105" s="15">
        <f>IF(ISNUMBER(R105),IF(R105&gt;1,1,0),"")</f>
        <v/>
      </c>
      <c r="Y105" s="15">
        <f>IF(OR(B105="",C105=""),"",B105&amp;"|"&amp;C105)</f>
        <v/>
      </c>
    </row>
    <row r="106">
      <c r="A106" s="23" t="n">
        <v>101</v>
      </c>
      <c r="B106" s="8" t="n"/>
      <c r="C106" s="8" t="n"/>
      <c r="D106" s="9" t="n"/>
      <c r="E106" s="8" t="n"/>
      <c r="F106" s="8" t="n"/>
      <c r="G106" s="8" t="n"/>
      <c r="H106" s="8" t="n"/>
      <c r="I106" s="24" t="n"/>
      <c r="J106" s="8" t="n"/>
      <c r="K106" s="25">
        <f>IF(OR(I106="",J106=""),"",I106*J106/1000)</f>
        <v/>
      </c>
      <c r="L106" s="26" t="n"/>
      <c r="M106" s="26" t="n"/>
      <c r="N106" s="27">
        <f>IF(OR(B106="",C106=""),"",IF(M106&lt;&gt;"",M106,IF(AND(N(L106)&gt;0,N(K106)&gt;0),L106/K106,"")))</f>
        <v/>
      </c>
      <c r="O106" s="15">
        <f>IF(C106="","",IFERROR(INDEX(Agentes!$D$6:$D$60,MATCH(C106,Agentes!$A$6:$A$60,0)),""))</f>
        <v/>
      </c>
      <c r="P106" s="28">
        <f>IF(OR(H106="",O106=""),"",IF(AND(O106="Inhalable",LEFT(H106,6)="Casete"),"Subestima: el casete cerrado no colecta toda la fracción inhalable",IF(AND(O106="Respirable",LEFT(H106,6)&lt;&gt;"Ciclón"),"Requiere ciclón (fracción respirable)",IF(AND(O106="Inhalable",ISNUMBER(SEARCH("Respirable",IFERROR(INDEX(Agentes!$C$80:$C$87,MATCH(H106,Agentes!$B$80:$B$87,0)),"")))),"El ciclón no colecta la fracción inhalable","Coherente"))))</f>
        <v/>
      </c>
      <c r="Q106" s="22">
        <f>IF(Y106="","",IFERROR(INDEX(GES!$W$6:$W$35,MATCH(Y106,GES!$R$6:$R$35,0)),""))</f>
        <v/>
      </c>
      <c r="R106" s="29">
        <f>IF(AND(ISNUMBER(N106),ISNUMBER(Q106)),N106/Q106,"")</f>
        <v/>
      </c>
      <c r="S106" s="15">
        <f>IF(C106="","",IFERROR(INDEX(Agentes!$I$6:$I$60,MATCH(C106,Agentes!$A$6:$A$60,0)),""))</f>
        <v/>
      </c>
      <c r="T106" s="8" t="n"/>
      <c r="U106" s="15">
        <f>IF(ISNUMBER(N106),IF(N106&gt;0,LN(N106),""),"")</f>
        <v/>
      </c>
      <c r="V106" s="15">
        <f>IF(ISNUMBER(U106),IFERROR((U106-LN(IFERROR(INDEX(Estadística!$K$6:$K$35,MATCH(Y106,Estadística!$Y$6:$Y$35,0)),0)))^2,""),"")</f>
        <v/>
      </c>
      <c r="W106" s="15">
        <f>IF(ISNUMBER(N106),IFERROR((N106-IFERROR(INDEX(Estadística!$I$6:$I$35,MATCH(Y106,Estadística!$Y$6:$Y$35,0)),0))^2,""),"")</f>
        <v/>
      </c>
      <c r="X106" s="15">
        <f>IF(ISNUMBER(R106),IF(R106&gt;1,1,0),"")</f>
        <v/>
      </c>
      <c r="Y106" s="15">
        <f>IF(OR(B106="",C106=""),"",B106&amp;"|"&amp;C106)</f>
        <v/>
      </c>
    </row>
    <row r="107">
      <c r="A107" s="23" t="n">
        <v>102</v>
      </c>
      <c r="B107" s="8" t="n"/>
      <c r="C107" s="8" t="n"/>
      <c r="D107" s="9" t="n"/>
      <c r="E107" s="8" t="n"/>
      <c r="F107" s="8" t="n"/>
      <c r="G107" s="8" t="n"/>
      <c r="H107" s="8" t="n"/>
      <c r="I107" s="24" t="n"/>
      <c r="J107" s="8" t="n"/>
      <c r="K107" s="25">
        <f>IF(OR(I107="",J107=""),"",I107*J107/1000)</f>
        <v/>
      </c>
      <c r="L107" s="26" t="n"/>
      <c r="M107" s="26" t="n"/>
      <c r="N107" s="27">
        <f>IF(OR(B107="",C107=""),"",IF(M107&lt;&gt;"",M107,IF(AND(N(L107)&gt;0,N(K107)&gt;0),L107/K107,"")))</f>
        <v/>
      </c>
      <c r="O107" s="15">
        <f>IF(C107="","",IFERROR(INDEX(Agentes!$D$6:$D$60,MATCH(C107,Agentes!$A$6:$A$60,0)),""))</f>
        <v/>
      </c>
      <c r="P107" s="28">
        <f>IF(OR(H107="",O107=""),"",IF(AND(O107="Inhalable",LEFT(H107,6)="Casete"),"Subestima: el casete cerrado no colecta toda la fracción inhalable",IF(AND(O107="Respirable",LEFT(H107,6)&lt;&gt;"Ciclón"),"Requiere ciclón (fracción respirable)",IF(AND(O107="Inhalable",ISNUMBER(SEARCH("Respirable",IFERROR(INDEX(Agentes!$C$80:$C$87,MATCH(H107,Agentes!$B$80:$B$87,0)),"")))),"El ciclón no colecta la fracción inhalable","Coherente"))))</f>
        <v/>
      </c>
      <c r="Q107" s="22">
        <f>IF(Y107="","",IFERROR(INDEX(GES!$W$6:$W$35,MATCH(Y107,GES!$R$6:$R$35,0)),""))</f>
        <v/>
      </c>
      <c r="R107" s="29">
        <f>IF(AND(ISNUMBER(N107),ISNUMBER(Q107)),N107/Q107,"")</f>
        <v/>
      </c>
      <c r="S107" s="15">
        <f>IF(C107="","",IFERROR(INDEX(Agentes!$I$6:$I$60,MATCH(C107,Agentes!$A$6:$A$60,0)),""))</f>
        <v/>
      </c>
      <c r="T107" s="8" t="n"/>
      <c r="U107" s="15">
        <f>IF(ISNUMBER(N107),IF(N107&gt;0,LN(N107),""),"")</f>
        <v/>
      </c>
      <c r="V107" s="15">
        <f>IF(ISNUMBER(U107),IFERROR((U107-LN(IFERROR(INDEX(Estadística!$K$6:$K$35,MATCH(Y107,Estadística!$Y$6:$Y$35,0)),0)))^2,""),"")</f>
        <v/>
      </c>
      <c r="W107" s="15">
        <f>IF(ISNUMBER(N107),IFERROR((N107-IFERROR(INDEX(Estadística!$I$6:$I$35,MATCH(Y107,Estadística!$Y$6:$Y$35,0)),0))^2,""),"")</f>
        <v/>
      </c>
      <c r="X107" s="15">
        <f>IF(ISNUMBER(R107),IF(R107&gt;1,1,0),"")</f>
        <v/>
      </c>
      <c r="Y107" s="15">
        <f>IF(OR(B107="",C107=""),"",B107&amp;"|"&amp;C107)</f>
        <v/>
      </c>
    </row>
    <row r="108">
      <c r="A108" s="23" t="n">
        <v>103</v>
      </c>
      <c r="B108" s="8" t="n"/>
      <c r="C108" s="8" t="n"/>
      <c r="D108" s="9" t="n"/>
      <c r="E108" s="8" t="n"/>
      <c r="F108" s="8" t="n"/>
      <c r="G108" s="8" t="n"/>
      <c r="H108" s="8" t="n"/>
      <c r="I108" s="24" t="n"/>
      <c r="J108" s="8" t="n"/>
      <c r="K108" s="25">
        <f>IF(OR(I108="",J108=""),"",I108*J108/1000)</f>
        <v/>
      </c>
      <c r="L108" s="26" t="n"/>
      <c r="M108" s="26" t="n"/>
      <c r="N108" s="27">
        <f>IF(OR(B108="",C108=""),"",IF(M108&lt;&gt;"",M108,IF(AND(N(L108)&gt;0,N(K108)&gt;0),L108/K108,"")))</f>
        <v/>
      </c>
      <c r="O108" s="15">
        <f>IF(C108="","",IFERROR(INDEX(Agentes!$D$6:$D$60,MATCH(C108,Agentes!$A$6:$A$60,0)),""))</f>
        <v/>
      </c>
      <c r="P108" s="28">
        <f>IF(OR(H108="",O108=""),"",IF(AND(O108="Inhalable",LEFT(H108,6)="Casete"),"Subestima: el casete cerrado no colecta toda la fracción inhalable",IF(AND(O108="Respirable",LEFT(H108,6)&lt;&gt;"Ciclón"),"Requiere ciclón (fracción respirable)",IF(AND(O108="Inhalable",ISNUMBER(SEARCH("Respirable",IFERROR(INDEX(Agentes!$C$80:$C$87,MATCH(H108,Agentes!$B$80:$B$87,0)),"")))),"El ciclón no colecta la fracción inhalable","Coherente"))))</f>
        <v/>
      </c>
      <c r="Q108" s="22">
        <f>IF(Y108="","",IFERROR(INDEX(GES!$W$6:$W$35,MATCH(Y108,GES!$R$6:$R$35,0)),""))</f>
        <v/>
      </c>
      <c r="R108" s="29">
        <f>IF(AND(ISNUMBER(N108),ISNUMBER(Q108)),N108/Q108,"")</f>
        <v/>
      </c>
      <c r="S108" s="15">
        <f>IF(C108="","",IFERROR(INDEX(Agentes!$I$6:$I$60,MATCH(C108,Agentes!$A$6:$A$60,0)),""))</f>
        <v/>
      </c>
      <c r="T108" s="8" t="n"/>
      <c r="U108" s="15">
        <f>IF(ISNUMBER(N108),IF(N108&gt;0,LN(N108),""),"")</f>
        <v/>
      </c>
      <c r="V108" s="15">
        <f>IF(ISNUMBER(U108),IFERROR((U108-LN(IFERROR(INDEX(Estadística!$K$6:$K$35,MATCH(Y108,Estadística!$Y$6:$Y$35,0)),0)))^2,""),"")</f>
        <v/>
      </c>
      <c r="W108" s="15">
        <f>IF(ISNUMBER(N108),IFERROR((N108-IFERROR(INDEX(Estadística!$I$6:$I$35,MATCH(Y108,Estadística!$Y$6:$Y$35,0)),0))^2,""),"")</f>
        <v/>
      </c>
      <c r="X108" s="15">
        <f>IF(ISNUMBER(R108),IF(R108&gt;1,1,0),"")</f>
        <v/>
      </c>
      <c r="Y108" s="15">
        <f>IF(OR(B108="",C108=""),"",B108&amp;"|"&amp;C108)</f>
        <v/>
      </c>
    </row>
    <row r="109">
      <c r="A109" s="23" t="n">
        <v>104</v>
      </c>
      <c r="B109" s="8" t="n"/>
      <c r="C109" s="8" t="n"/>
      <c r="D109" s="9" t="n"/>
      <c r="E109" s="8" t="n"/>
      <c r="F109" s="8" t="n"/>
      <c r="G109" s="8" t="n"/>
      <c r="H109" s="8" t="n"/>
      <c r="I109" s="24" t="n"/>
      <c r="J109" s="8" t="n"/>
      <c r="K109" s="25">
        <f>IF(OR(I109="",J109=""),"",I109*J109/1000)</f>
        <v/>
      </c>
      <c r="L109" s="26" t="n"/>
      <c r="M109" s="26" t="n"/>
      <c r="N109" s="27">
        <f>IF(OR(B109="",C109=""),"",IF(M109&lt;&gt;"",M109,IF(AND(N(L109)&gt;0,N(K109)&gt;0),L109/K109,"")))</f>
        <v/>
      </c>
      <c r="O109" s="15">
        <f>IF(C109="","",IFERROR(INDEX(Agentes!$D$6:$D$60,MATCH(C109,Agentes!$A$6:$A$60,0)),""))</f>
        <v/>
      </c>
      <c r="P109" s="28">
        <f>IF(OR(H109="",O109=""),"",IF(AND(O109="Inhalable",LEFT(H109,6)="Casete"),"Subestima: el casete cerrado no colecta toda la fracción inhalable",IF(AND(O109="Respirable",LEFT(H109,6)&lt;&gt;"Ciclón"),"Requiere ciclón (fracción respirable)",IF(AND(O109="Inhalable",ISNUMBER(SEARCH("Respirable",IFERROR(INDEX(Agentes!$C$80:$C$87,MATCH(H109,Agentes!$B$80:$B$87,0)),"")))),"El ciclón no colecta la fracción inhalable","Coherente"))))</f>
        <v/>
      </c>
      <c r="Q109" s="22">
        <f>IF(Y109="","",IFERROR(INDEX(GES!$W$6:$W$35,MATCH(Y109,GES!$R$6:$R$35,0)),""))</f>
        <v/>
      </c>
      <c r="R109" s="29">
        <f>IF(AND(ISNUMBER(N109),ISNUMBER(Q109)),N109/Q109,"")</f>
        <v/>
      </c>
      <c r="S109" s="15">
        <f>IF(C109="","",IFERROR(INDEX(Agentes!$I$6:$I$60,MATCH(C109,Agentes!$A$6:$A$60,0)),""))</f>
        <v/>
      </c>
      <c r="T109" s="8" t="n"/>
      <c r="U109" s="15">
        <f>IF(ISNUMBER(N109),IF(N109&gt;0,LN(N109),""),"")</f>
        <v/>
      </c>
      <c r="V109" s="15">
        <f>IF(ISNUMBER(U109),IFERROR((U109-LN(IFERROR(INDEX(Estadística!$K$6:$K$35,MATCH(Y109,Estadística!$Y$6:$Y$35,0)),0)))^2,""),"")</f>
        <v/>
      </c>
      <c r="W109" s="15">
        <f>IF(ISNUMBER(N109),IFERROR((N109-IFERROR(INDEX(Estadística!$I$6:$I$35,MATCH(Y109,Estadística!$Y$6:$Y$35,0)),0))^2,""),"")</f>
        <v/>
      </c>
      <c r="X109" s="15">
        <f>IF(ISNUMBER(R109),IF(R109&gt;1,1,0),"")</f>
        <v/>
      </c>
      <c r="Y109" s="15">
        <f>IF(OR(B109="",C109=""),"",B109&amp;"|"&amp;C109)</f>
        <v/>
      </c>
    </row>
    <row r="110">
      <c r="A110" s="23" t="n">
        <v>105</v>
      </c>
      <c r="B110" s="8" t="n"/>
      <c r="C110" s="8" t="n"/>
      <c r="D110" s="9" t="n"/>
      <c r="E110" s="8" t="n"/>
      <c r="F110" s="8" t="n"/>
      <c r="G110" s="8" t="n"/>
      <c r="H110" s="8" t="n"/>
      <c r="I110" s="24" t="n"/>
      <c r="J110" s="8" t="n"/>
      <c r="K110" s="25">
        <f>IF(OR(I110="",J110=""),"",I110*J110/1000)</f>
        <v/>
      </c>
      <c r="L110" s="26" t="n"/>
      <c r="M110" s="26" t="n"/>
      <c r="N110" s="27">
        <f>IF(OR(B110="",C110=""),"",IF(M110&lt;&gt;"",M110,IF(AND(N(L110)&gt;0,N(K110)&gt;0),L110/K110,"")))</f>
        <v/>
      </c>
      <c r="O110" s="15">
        <f>IF(C110="","",IFERROR(INDEX(Agentes!$D$6:$D$60,MATCH(C110,Agentes!$A$6:$A$60,0)),""))</f>
        <v/>
      </c>
      <c r="P110" s="28">
        <f>IF(OR(H110="",O110=""),"",IF(AND(O110="Inhalable",LEFT(H110,6)="Casete"),"Subestima: el casete cerrado no colecta toda la fracción inhalable",IF(AND(O110="Respirable",LEFT(H110,6)&lt;&gt;"Ciclón"),"Requiere ciclón (fracción respirable)",IF(AND(O110="Inhalable",ISNUMBER(SEARCH("Respirable",IFERROR(INDEX(Agentes!$C$80:$C$87,MATCH(H110,Agentes!$B$80:$B$87,0)),"")))),"El ciclón no colecta la fracción inhalable","Coherente"))))</f>
        <v/>
      </c>
      <c r="Q110" s="22">
        <f>IF(Y110="","",IFERROR(INDEX(GES!$W$6:$W$35,MATCH(Y110,GES!$R$6:$R$35,0)),""))</f>
        <v/>
      </c>
      <c r="R110" s="29">
        <f>IF(AND(ISNUMBER(N110),ISNUMBER(Q110)),N110/Q110,"")</f>
        <v/>
      </c>
      <c r="S110" s="15">
        <f>IF(C110="","",IFERROR(INDEX(Agentes!$I$6:$I$60,MATCH(C110,Agentes!$A$6:$A$60,0)),""))</f>
        <v/>
      </c>
      <c r="T110" s="8" t="n"/>
      <c r="U110" s="15">
        <f>IF(ISNUMBER(N110),IF(N110&gt;0,LN(N110),""),"")</f>
        <v/>
      </c>
      <c r="V110" s="15">
        <f>IF(ISNUMBER(U110),IFERROR((U110-LN(IFERROR(INDEX(Estadística!$K$6:$K$35,MATCH(Y110,Estadística!$Y$6:$Y$35,0)),0)))^2,""),"")</f>
        <v/>
      </c>
      <c r="W110" s="15">
        <f>IF(ISNUMBER(N110),IFERROR((N110-IFERROR(INDEX(Estadística!$I$6:$I$35,MATCH(Y110,Estadística!$Y$6:$Y$35,0)),0))^2,""),"")</f>
        <v/>
      </c>
      <c r="X110" s="15">
        <f>IF(ISNUMBER(R110),IF(R110&gt;1,1,0),"")</f>
        <v/>
      </c>
      <c r="Y110" s="15">
        <f>IF(OR(B110="",C110=""),"",B110&amp;"|"&amp;C110)</f>
        <v/>
      </c>
    </row>
    <row r="111">
      <c r="A111" s="23" t="n">
        <v>106</v>
      </c>
      <c r="B111" s="8" t="n"/>
      <c r="C111" s="8" t="n"/>
      <c r="D111" s="9" t="n"/>
      <c r="E111" s="8" t="n"/>
      <c r="F111" s="8" t="n"/>
      <c r="G111" s="8" t="n"/>
      <c r="H111" s="8" t="n"/>
      <c r="I111" s="24" t="n"/>
      <c r="J111" s="8" t="n"/>
      <c r="K111" s="25">
        <f>IF(OR(I111="",J111=""),"",I111*J111/1000)</f>
        <v/>
      </c>
      <c r="L111" s="26" t="n"/>
      <c r="M111" s="26" t="n"/>
      <c r="N111" s="27">
        <f>IF(OR(B111="",C111=""),"",IF(M111&lt;&gt;"",M111,IF(AND(N(L111)&gt;0,N(K111)&gt;0),L111/K111,"")))</f>
        <v/>
      </c>
      <c r="O111" s="15">
        <f>IF(C111="","",IFERROR(INDEX(Agentes!$D$6:$D$60,MATCH(C111,Agentes!$A$6:$A$60,0)),""))</f>
        <v/>
      </c>
      <c r="P111" s="28">
        <f>IF(OR(H111="",O111=""),"",IF(AND(O111="Inhalable",LEFT(H111,6)="Casete"),"Subestima: el casete cerrado no colecta toda la fracción inhalable",IF(AND(O111="Respirable",LEFT(H111,6)&lt;&gt;"Ciclón"),"Requiere ciclón (fracción respirable)",IF(AND(O111="Inhalable",ISNUMBER(SEARCH("Respirable",IFERROR(INDEX(Agentes!$C$80:$C$87,MATCH(H111,Agentes!$B$80:$B$87,0)),"")))),"El ciclón no colecta la fracción inhalable","Coherente"))))</f>
        <v/>
      </c>
      <c r="Q111" s="22">
        <f>IF(Y111="","",IFERROR(INDEX(GES!$W$6:$W$35,MATCH(Y111,GES!$R$6:$R$35,0)),""))</f>
        <v/>
      </c>
      <c r="R111" s="29">
        <f>IF(AND(ISNUMBER(N111),ISNUMBER(Q111)),N111/Q111,"")</f>
        <v/>
      </c>
      <c r="S111" s="15">
        <f>IF(C111="","",IFERROR(INDEX(Agentes!$I$6:$I$60,MATCH(C111,Agentes!$A$6:$A$60,0)),""))</f>
        <v/>
      </c>
      <c r="T111" s="8" t="n"/>
      <c r="U111" s="15">
        <f>IF(ISNUMBER(N111),IF(N111&gt;0,LN(N111),""),"")</f>
        <v/>
      </c>
      <c r="V111" s="15">
        <f>IF(ISNUMBER(U111),IFERROR((U111-LN(IFERROR(INDEX(Estadística!$K$6:$K$35,MATCH(Y111,Estadística!$Y$6:$Y$35,0)),0)))^2,""),"")</f>
        <v/>
      </c>
      <c r="W111" s="15">
        <f>IF(ISNUMBER(N111),IFERROR((N111-IFERROR(INDEX(Estadística!$I$6:$I$35,MATCH(Y111,Estadística!$Y$6:$Y$35,0)),0))^2,""),"")</f>
        <v/>
      </c>
      <c r="X111" s="15">
        <f>IF(ISNUMBER(R111),IF(R111&gt;1,1,0),"")</f>
        <v/>
      </c>
      <c r="Y111" s="15">
        <f>IF(OR(B111="",C111=""),"",B111&amp;"|"&amp;C111)</f>
        <v/>
      </c>
    </row>
    <row r="112">
      <c r="A112" s="23" t="n">
        <v>107</v>
      </c>
      <c r="B112" s="8" t="n"/>
      <c r="C112" s="8" t="n"/>
      <c r="D112" s="9" t="n"/>
      <c r="E112" s="8" t="n"/>
      <c r="F112" s="8" t="n"/>
      <c r="G112" s="8" t="n"/>
      <c r="H112" s="8" t="n"/>
      <c r="I112" s="24" t="n"/>
      <c r="J112" s="8" t="n"/>
      <c r="K112" s="25">
        <f>IF(OR(I112="",J112=""),"",I112*J112/1000)</f>
        <v/>
      </c>
      <c r="L112" s="26" t="n"/>
      <c r="M112" s="26" t="n"/>
      <c r="N112" s="27">
        <f>IF(OR(B112="",C112=""),"",IF(M112&lt;&gt;"",M112,IF(AND(N(L112)&gt;0,N(K112)&gt;0),L112/K112,"")))</f>
        <v/>
      </c>
      <c r="O112" s="15">
        <f>IF(C112="","",IFERROR(INDEX(Agentes!$D$6:$D$60,MATCH(C112,Agentes!$A$6:$A$60,0)),""))</f>
        <v/>
      </c>
      <c r="P112" s="28">
        <f>IF(OR(H112="",O112=""),"",IF(AND(O112="Inhalable",LEFT(H112,6)="Casete"),"Subestima: el casete cerrado no colecta toda la fracción inhalable",IF(AND(O112="Respirable",LEFT(H112,6)&lt;&gt;"Ciclón"),"Requiere ciclón (fracción respirable)",IF(AND(O112="Inhalable",ISNUMBER(SEARCH("Respirable",IFERROR(INDEX(Agentes!$C$80:$C$87,MATCH(H112,Agentes!$B$80:$B$87,0)),"")))),"El ciclón no colecta la fracción inhalable","Coherente"))))</f>
        <v/>
      </c>
      <c r="Q112" s="22">
        <f>IF(Y112="","",IFERROR(INDEX(GES!$W$6:$W$35,MATCH(Y112,GES!$R$6:$R$35,0)),""))</f>
        <v/>
      </c>
      <c r="R112" s="29">
        <f>IF(AND(ISNUMBER(N112),ISNUMBER(Q112)),N112/Q112,"")</f>
        <v/>
      </c>
      <c r="S112" s="15">
        <f>IF(C112="","",IFERROR(INDEX(Agentes!$I$6:$I$60,MATCH(C112,Agentes!$A$6:$A$60,0)),""))</f>
        <v/>
      </c>
      <c r="T112" s="8" t="n"/>
      <c r="U112" s="15">
        <f>IF(ISNUMBER(N112),IF(N112&gt;0,LN(N112),""),"")</f>
        <v/>
      </c>
      <c r="V112" s="15">
        <f>IF(ISNUMBER(U112),IFERROR((U112-LN(IFERROR(INDEX(Estadística!$K$6:$K$35,MATCH(Y112,Estadística!$Y$6:$Y$35,0)),0)))^2,""),"")</f>
        <v/>
      </c>
      <c r="W112" s="15">
        <f>IF(ISNUMBER(N112),IFERROR((N112-IFERROR(INDEX(Estadística!$I$6:$I$35,MATCH(Y112,Estadística!$Y$6:$Y$35,0)),0))^2,""),"")</f>
        <v/>
      </c>
      <c r="X112" s="15">
        <f>IF(ISNUMBER(R112),IF(R112&gt;1,1,0),"")</f>
        <v/>
      </c>
      <c r="Y112" s="15">
        <f>IF(OR(B112="",C112=""),"",B112&amp;"|"&amp;C112)</f>
        <v/>
      </c>
    </row>
    <row r="113">
      <c r="A113" s="23" t="n">
        <v>108</v>
      </c>
      <c r="B113" s="8" t="n"/>
      <c r="C113" s="8" t="n"/>
      <c r="D113" s="9" t="n"/>
      <c r="E113" s="8" t="n"/>
      <c r="F113" s="8" t="n"/>
      <c r="G113" s="8" t="n"/>
      <c r="H113" s="8" t="n"/>
      <c r="I113" s="24" t="n"/>
      <c r="J113" s="8" t="n"/>
      <c r="K113" s="25">
        <f>IF(OR(I113="",J113=""),"",I113*J113/1000)</f>
        <v/>
      </c>
      <c r="L113" s="26" t="n"/>
      <c r="M113" s="26" t="n"/>
      <c r="N113" s="27">
        <f>IF(OR(B113="",C113=""),"",IF(M113&lt;&gt;"",M113,IF(AND(N(L113)&gt;0,N(K113)&gt;0),L113/K113,"")))</f>
        <v/>
      </c>
      <c r="O113" s="15">
        <f>IF(C113="","",IFERROR(INDEX(Agentes!$D$6:$D$60,MATCH(C113,Agentes!$A$6:$A$60,0)),""))</f>
        <v/>
      </c>
      <c r="P113" s="28">
        <f>IF(OR(H113="",O113=""),"",IF(AND(O113="Inhalable",LEFT(H113,6)="Casete"),"Subestima: el casete cerrado no colecta toda la fracción inhalable",IF(AND(O113="Respirable",LEFT(H113,6)&lt;&gt;"Ciclón"),"Requiere ciclón (fracción respirable)",IF(AND(O113="Inhalable",ISNUMBER(SEARCH("Respirable",IFERROR(INDEX(Agentes!$C$80:$C$87,MATCH(H113,Agentes!$B$80:$B$87,0)),"")))),"El ciclón no colecta la fracción inhalable","Coherente"))))</f>
        <v/>
      </c>
      <c r="Q113" s="22">
        <f>IF(Y113="","",IFERROR(INDEX(GES!$W$6:$W$35,MATCH(Y113,GES!$R$6:$R$35,0)),""))</f>
        <v/>
      </c>
      <c r="R113" s="29">
        <f>IF(AND(ISNUMBER(N113),ISNUMBER(Q113)),N113/Q113,"")</f>
        <v/>
      </c>
      <c r="S113" s="15">
        <f>IF(C113="","",IFERROR(INDEX(Agentes!$I$6:$I$60,MATCH(C113,Agentes!$A$6:$A$60,0)),""))</f>
        <v/>
      </c>
      <c r="T113" s="8" t="n"/>
      <c r="U113" s="15">
        <f>IF(ISNUMBER(N113),IF(N113&gt;0,LN(N113),""),"")</f>
        <v/>
      </c>
      <c r="V113" s="15">
        <f>IF(ISNUMBER(U113),IFERROR((U113-LN(IFERROR(INDEX(Estadística!$K$6:$K$35,MATCH(Y113,Estadística!$Y$6:$Y$35,0)),0)))^2,""),"")</f>
        <v/>
      </c>
      <c r="W113" s="15">
        <f>IF(ISNUMBER(N113),IFERROR((N113-IFERROR(INDEX(Estadística!$I$6:$I$35,MATCH(Y113,Estadística!$Y$6:$Y$35,0)),0))^2,""),"")</f>
        <v/>
      </c>
      <c r="X113" s="15">
        <f>IF(ISNUMBER(R113),IF(R113&gt;1,1,0),"")</f>
        <v/>
      </c>
      <c r="Y113" s="15">
        <f>IF(OR(B113="",C113=""),"",B113&amp;"|"&amp;C113)</f>
        <v/>
      </c>
    </row>
    <row r="114">
      <c r="A114" s="23" t="n">
        <v>109</v>
      </c>
      <c r="B114" s="8" t="n"/>
      <c r="C114" s="8" t="n"/>
      <c r="D114" s="9" t="n"/>
      <c r="E114" s="8" t="n"/>
      <c r="F114" s="8" t="n"/>
      <c r="G114" s="8" t="n"/>
      <c r="H114" s="8" t="n"/>
      <c r="I114" s="24" t="n"/>
      <c r="J114" s="8" t="n"/>
      <c r="K114" s="25">
        <f>IF(OR(I114="",J114=""),"",I114*J114/1000)</f>
        <v/>
      </c>
      <c r="L114" s="26" t="n"/>
      <c r="M114" s="26" t="n"/>
      <c r="N114" s="27">
        <f>IF(OR(B114="",C114=""),"",IF(M114&lt;&gt;"",M114,IF(AND(N(L114)&gt;0,N(K114)&gt;0),L114/K114,"")))</f>
        <v/>
      </c>
      <c r="O114" s="15">
        <f>IF(C114="","",IFERROR(INDEX(Agentes!$D$6:$D$60,MATCH(C114,Agentes!$A$6:$A$60,0)),""))</f>
        <v/>
      </c>
      <c r="P114" s="28">
        <f>IF(OR(H114="",O114=""),"",IF(AND(O114="Inhalable",LEFT(H114,6)="Casete"),"Subestima: el casete cerrado no colecta toda la fracción inhalable",IF(AND(O114="Respirable",LEFT(H114,6)&lt;&gt;"Ciclón"),"Requiere ciclón (fracción respirable)",IF(AND(O114="Inhalable",ISNUMBER(SEARCH("Respirable",IFERROR(INDEX(Agentes!$C$80:$C$87,MATCH(H114,Agentes!$B$80:$B$87,0)),"")))),"El ciclón no colecta la fracción inhalable","Coherente"))))</f>
        <v/>
      </c>
      <c r="Q114" s="22">
        <f>IF(Y114="","",IFERROR(INDEX(GES!$W$6:$W$35,MATCH(Y114,GES!$R$6:$R$35,0)),""))</f>
        <v/>
      </c>
      <c r="R114" s="29">
        <f>IF(AND(ISNUMBER(N114),ISNUMBER(Q114)),N114/Q114,"")</f>
        <v/>
      </c>
      <c r="S114" s="15">
        <f>IF(C114="","",IFERROR(INDEX(Agentes!$I$6:$I$60,MATCH(C114,Agentes!$A$6:$A$60,0)),""))</f>
        <v/>
      </c>
      <c r="T114" s="8" t="n"/>
      <c r="U114" s="15">
        <f>IF(ISNUMBER(N114),IF(N114&gt;0,LN(N114),""),"")</f>
        <v/>
      </c>
      <c r="V114" s="15">
        <f>IF(ISNUMBER(U114),IFERROR((U114-LN(IFERROR(INDEX(Estadística!$K$6:$K$35,MATCH(Y114,Estadística!$Y$6:$Y$35,0)),0)))^2,""),"")</f>
        <v/>
      </c>
      <c r="W114" s="15">
        <f>IF(ISNUMBER(N114),IFERROR((N114-IFERROR(INDEX(Estadística!$I$6:$I$35,MATCH(Y114,Estadística!$Y$6:$Y$35,0)),0))^2,""),"")</f>
        <v/>
      </c>
      <c r="X114" s="15">
        <f>IF(ISNUMBER(R114),IF(R114&gt;1,1,0),"")</f>
        <v/>
      </c>
      <c r="Y114" s="15">
        <f>IF(OR(B114="",C114=""),"",B114&amp;"|"&amp;C114)</f>
        <v/>
      </c>
    </row>
    <row r="115">
      <c r="A115" s="23" t="n">
        <v>110</v>
      </c>
      <c r="B115" s="8" t="n"/>
      <c r="C115" s="8" t="n"/>
      <c r="D115" s="9" t="n"/>
      <c r="E115" s="8" t="n"/>
      <c r="F115" s="8" t="n"/>
      <c r="G115" s="8" t="n"/>
      <c r="H115" s="8" t="n"/>
      <c r="I115" s="24" t="n"/>
      <c r="J115" s="8" t="n"/>
      <c r="K115" s="25">
        <f>IF(OR(I115="",J115=""),"",I115*J115/1000)</f>
        <v/>
      </c>
      <c r="L115" s="26" t="n"/>
      <c r="M115" s="26" t="n"/>
      <c r="N115" s="27">
        <f>IF(OR(B115="",C115=""),"",IF(M115&lt;&gt;"",M115,IF(AND(N(L115)&gt;0,N(K115)&gt;0),L115/K115,"")))</f>
        <v/>
      </c>
      <c r="O115" s="15">
        <f>IF(C115="","",IFERROR(INDEX(Agentes!$D$6:$D$60,MATCH(C115,Agentes!$A$6:$A$60,0)),""))</f>
        <v/>
      </c>
      <c r="P115" s="28">
        <f>IF(OR(H115="",O115=""),"",IF(AND(O115="Inhalable",LEFT(H115,6)="Casete"),"Subestima: el casete cerrado no colecta toda la fracción inhalable",IF(AND(O115="Respirable",LEFT(H115,6)&lt;&gt;"Ciclón"),"Requiere ciclón (fracción respirable)",IF(AND(O115="Inhalable",ISNUMBER(SEARCH("Respirable",IFERROR(INDEX(Agentes!$C$80:$C$87,MATCH(H115,Agentes!$B$80:$B$87,0)),"")))),"El ciclón no colecta la fracción inhalable","Coherente"))))</f>
        <v/>
      </c>
      <c r="Q115" s="22">
        <f>IF(Y115="","",IFERROR(INDEX(GES!$W$6:$W$35,MATCH(Y115,GES!$R$6:$R$35,0)),""))</f>
        <v/>
      </c>
      <c r="R115" s="29">
        <f>IF(AND(ISNUMBER(N115),ISNUMBER(Q115)),N115/Q115,"")</f>
        <v/>
      </c>
      <c r="S115" s="15">
        <f>IF(C115="","",IFERROR(INDEX(Agentes!$I$6:$I$60,MATCH(C115,Agentes!$A$6:$A$60,0)),""))</f>
        <v/>
      </c>
      <c r="T115" s="8" t="n"/>
      <c r="U115" s="15">
        <f>IF(ISNUMBER(N115),IF(N115&gt;0,LN(N115),""),"")</f>
        <v/>
      </c>
      <c r="V115" s="15">
        <f>IF(ISNUMBER(U115),IFERROR((U115-LN(IFERROR(INDEX(Estadística!$K$6:$K$35,MATCH(Y115,Estadística!$Y$6:$Y$35,0)),0)))^2,""),"")</f>
        <v/>
      </c>
      <c r="W115" s="15">
        <f>IF(ISNUMBER(N115),IFERROR((N115-IFERROR(INDEX(Estadística!$I$6:$I$35,MATCH(Y115,Estadística!$Y$6:$Y$35,0)),0))^2,""),"")</f>
        <v/>
      </c>
      <c r="X115" s="15">
        <f>IF(ISNUMBER(R115),IF(R115&gt;1,1,0),"")</f>
        <v/>
      </c>
      <c r="Y115" s="15">
        <f>IF(OR(B115="",C115=""),"",B115&amp;"|"&amp;C115)</f>
        <v/>
      </c>
    </row>
    <row r="116">
      <c r="A116" s="23" t="n">
        <v>111</v>
      </c>
      <c r="B116" s="8" t="n"/>
      <c r="C116" s="8" t="n"/>
      <c r="D116" s="9" t="n"/>
      <c r="E116" s="8" t="n"/>
      <c r="F116" s="8" t="n"/>
      <c r="G116" s="8" t="n"/>
      <c r="H116" s="8" t="n"/>
      <c r="I116" s="24" t="n"/>
      <c r="J116" s="8" t="n"/>
      <c r="K116" s="25">
        <f>IF(OR(I116="",J116=""),"",I116*J116/1000)</f>
        <v/>
      </c>
      <c r="L116" s="26" t="n"/>
      <c r="M116" s="26" t="n"/>
      <c r="N116" s="27">
        <f>IF(OR(B116="",C116=""),"",IF(M116&lt;&gt;"",M116,IF(AND(N(L116)&gt;0,N(K116)&gt;0),L116/K116,"")))</f>
        <v/>
      </c>
      <c r="O116" s="15">
        <f>IF(C116="","",IFERROR(INDEX(Agentes!$D$6:$D$60,MATCH(C116,Agentes!$A$6:$A$60,0)),""))</f>
        <v/>
      </c>
      <c r="P116" s="28">
        <f>IF(OR(H116="",O116=""),"",IF(AND(O116="Inhalable",LEFT(H116,6)="Casete"),"Subestima: el casete cerrado no colecta toda la fracción inhalable",IF(AND(O116="Respirable",LEFT(H116,6)&lt;&gt;"Ciclón"),"Requiere ciclón (fracción respirable)",IF(AND(O116="Inhalable",ISNUMBER(SEARCH("Respirable",IFERROR(INDEX(Agentes!$C$80:$C$87,MATCH(H116,Agentes!$B$80:$B$87,0)),"")))),"El ciclón no colecta la fracción inhalable","Coherente"))))</f>
        <v/>
      </c>
      <c r="Q116" s="22">
        <f>IF(Y116="","",IFERROR(INDEX(GES!$W$6:$W$35,MATCH(Y116,GES!$R$6:$R$35,0)),""))</f>
        <v/>
      </c>
      <c r="R116" s="29">
        <f>IF(AND(ISNUMBER(N116),ISNUMBER(Q116)),N116/Q116,"")</f>
        <v/>
      </c>
      <c r="S116" s="15">
        <f>IF(C116="","",IFERROR(INDEX(Agentes!$I$6:$I$60,MATCH(C116,Agentes!$A$6:$A$60,0)),""))</f>
        <v/>
      </c>
      <c r="T116" s="8" t="n"/>
      <c r="U116" s="15">
        <f>IF(ISNUMBER(N116),IF(N116&gt;0,LN(N116),""),"")</f>
        <v/>
      </c>
      <c r="V116" s="15">
        <f>IF(ISNUMBER(U116),IFERROR((U116-LN(IFERROR(INDEX(Estadística!$K$6:$K$35,MATCH(Y116,Estadística!$Y$6:$Y$35,0)),0)))^2,""),"")</f>
        <v/>
      </c>
      <c r="W116" s="15">
        <f>IF(ISNUMBER(N116),IFERROR((N116-IFERROR(INDEX(Estadística!$I$6:$I$35,MATCH(Y116,Estadística!$Y$6:$Y$35,0)),0))^2,""),"")</f>
        <v/>
      </c>
      <c r="X116" s="15">
        <f>IF(ISNUMBER(R116),IF(R116&gt;1,1,0),"")</f>
        <v/>
      </c>
      <c r="Y116" s="15">
        <f>IF(OR(B116="",C116=""),"",B116&amp;"|"&amp;C116)</f>
        <v/>
      </c>
    </row>
    <row r="117">
      <c r="A117" s="23" t="n">
        <v>112</v>
      </c>
      <c r="B117" s="8" t="n"/>
      <c r="C117" s="8" t="n"/>
      <c r="D117" s="9" t="n"/>
      <c r="E117" s="8" t="n"/>
      <c r="F117" s="8" t="n"/>
      <c r="G117" s="8" t="n"/>
      <c r="H117" s="8" t="n"/>
      <c r="I117" s="24" t="n"/>
      <c r="J117" s="8" t="n"/>
      <c r="K117" s="25">
        <f>IF(OR(I117="",J117=""),"",I117*J117/1000)</f>
        <v/>
      </c>
      <c r="L117" s="26" t="n"/>
      <c r="M117" s="26" t="n"/>
      <c r="N117" s="27">
        <f>IF(OR(B117="",C117=""),"",IF(M117&lt;&gt;"",M117,IF(AND(N(L117)&gt;0,N(K117)&gt;0),L117/K117,"")))</f>
        <v/>
      </c>
      <c r="O117" s="15">
        <f>IF(C117="","",IFERROR(INDEX(Agentes!$D$6:$D$60,MATCH(C117,Agentes!$A$6:$A$60,0)),""))</f>
        <v/>
      </c>
      <c r="P117" s="28">
        <f>IF(OR(H117="",O117=""),"",IF(AND(O117="Inhalable",LEFT(H117,6)="Casete"),"Subestima: el casete cerrado no colecta toda la fracción inhalable",IF(AND(O117="Respirable",LEFT(H117,6)&lt;&gt;"Ciclón"),"Requiere ciclón (fracción respirable)",IF(AND(O117="Inhalable",ISNUMBER(SEARCH("Respirable",IFERROR(INDEX(Agentes!$C$80:$C$87,MATCH(H117,Agentes!$B$80:$B$87,0)),"")))),"El ciclón no colecta la fracción inhalable","Coherente"))))</f>
        <v/>
      </c>
      <c r="Q117" s="22">
        <f>IF(Y117="","",IFERROR(INDEX(GES!$W$6:$W$35,MATCH(Y117,GES!$R$6:$R$35,0)),""))</f>
        <v/>
      </c>
      <c r="R117" s="29">
        <f>IF(AND(ISNUMBER(N117),ISNUMBER(Q117)),N117/Q117,"")</f>
        <v/>
      </c>
      <c r="S117" s="15">
        <f>IF(C117="","",IFERROR(INDEX(Agentes!$I$6:$I$60,MATCH(C117,Agentes!$A$6:$A$60,0)),""))</f>
        <v/>
      </c>
      <c r="T117" s="8" t="n"/>
      <c r="U117" s="15">
        <f>IF(ISNUMBER(N117),IF(N117&gt;0,LN(N117),""),"")</f>
        <v/>
      </c>
      <c r="V117" s="15">
        <f>IF(ISNUMBER(U117),IFERROR((U117-LN(IFERROR(INDEX(Estadística!$K$6:$K$35,MATCH(Y117,Estadística!$Y$6:$Y$35,0)),0)))^2,""),"")</f>
        <v/>
      </c>
      <c r="W117" s="15">
        <f>IF(ISNUMBER(N117),IFERROR((N117-IFERROR(INDEX(Estadística!$I$6:$I$35,MATCH(Y117,Estadística!$Y$6:$Y$35,0)),0))^2,""),"")</f>
        <v/>
      </c>
      <c r="X117" s="15">
        <f>IF(ISNUMBER(R117),IF(R117&gt;1,1,0),"")</f>
        <v/>
      </c>
      <c r="Y117" s="15">
        <f>IF(OR(B117="",C117=""),"",B117&amp;"|"&amp;C117)</f>
        <v/>
      </c>
    </row>
    <row r="118">
      <c r="A118" s="23" t="n">
        <v>113</v>
      </c>
      <c r="B118" s="8" t="n"/>
      <c r="C118" s="8" t="n"/>
      <c r="D118" s="9" t="n"/>
      <c r="E118" s="8" t="n"/>
      <c r="F118" s="8" t="n"/>
      <c r="G118" s="8" t="n"/>
      <c r="H118" s="8" t="n"/>
      <c r="I118" s="24" t="n"/>
      <c r="J118" s="8" t="n"/>
      <c r="K118" s="25">
        <f>IF(OR(I118="",J118=""),"",I118*J118/1000)</f>
        <v/>
      </c>
      <c r="L118" s="26" t="n"/>
      <c r="M118" s="26" t="n"/>
      <c r="N118" s="27">
        <f>IF(OR(B118="",C118=""),"",IF(M118&lt;&gt;"",M118,IF(AND(N(L118)&gt;0,N(K118)&gt;0),L118/K118,"")))</f>
        <v/>
      </c>
      <c r="O118" s="15">
        <f>IF(C118="","",IFERROR(INDEX(Agentes!$D$6:$D$60,MATCH(C118,Agentes!$A$6:$A$60,0)),""))</f>
        <v/>
      </c>
      <c r="P118" s="28">
        <f>IF(OR(H118="",O118=""),"",IF(AND(O118="Inhalable",LEFT(H118,6)="Casete"),"Subestima: el casete cerrado no colecta toda la fracción inhalable",IF(AND(O118="Respirable",LEFT(H118,6)&lt;&gt;"Ciclón"),"Requiere ciclón (fracción respirable)",IF(AND(O118="Inhalable",ISNUMBER(SEARCH("Respirable",IFERROR(INDEX(Agentes!$C$80:$C$87,MATCH(H118,Agentes!$B$80:$B$87,0)),"")))),"El ciclón no colecta la fracción inhalable","Coherente"))))</f>
        <v/>
      </c>
      <c r="Q118" s="22">
        <f>IF(Y118="","",IFERROR(INDEX(GES!$W$6:$W$35,MATCH(Y118,GES!$R$6:$R$35,0)),""))</f>
        <v/>
      </c>
      <c r="R118" s="29">
        <f>IF(AND(ISNUMBER(N118),ISNUMBER(Q118)),N118/Q118,"")</f>
        <v/>
      </c>
      <c r="S118" s="15">
        <f>IF(C118="","",IFERROR(INDEX(Agentes!$I$6:$I$60,MATCH(C118,Agentes!$A$6:$A$60,0)),""))</f>
        <v/>
      </c>
      <c r="T118" s="8" t="n"/>
      <c r="U118" s="15">
        <f>IF(ISNUMBER(N118),IF(N118&gt;0,LN(N118),""),"")</f>
        <v/>
      </c>
      <c r="V118" s="15">
        <f>IF(ISNUMBER(U118),IFERROR((U118-LN(IFERROR(INDEX(Estadística!$K$6:$K$35,MATCH(Y118,Estadística!$Y$6:$Y$35,0)),0)))^2,""),"")</f>
        <v/>
      </c>
      <c r="W118" s="15">
        <f>IF(ISNUMBER(N118),IFERROR((N118-IFERROR(INDEX(Estadística!$I$6:$I$35,MATCH(Y118,Estadística!$Y$6:$Y$35,0)),0))^2,""),"")</f>
        <v/>
      </c>
      <c r="X118" s="15">
        <f>IF(ISNUMBER(R118),IF(R118&gt;1,1,0),"")</f>
        <v/>
      </c>
      <c r="Y118" s="15">
        <f>IF(OR(B118="",C118=""),"",B118&amp;"|"&amp;C118)</f>
        <v/>
      </c>
    </row>
    <row r="119">
      <c r="A119" s="23" t="n">
        <v>114</v>
      </c>
      <c r="B119" s="8" t="n"/>
      <c r="C119" s="8" t="n"/>
      <c r="D119" s="9" t="n"/>
      <c r="E119" s="8" t="n"/>
      <c r="F119" s="8" t="n"/>
      <c r="G119" s="8" t="n"/>
      <c r="H119" s="8" t="n"/>
      <c r="I119" s="24" t="n"/>
      <c r="J119" s="8" t="n"/>
      <c r="K119" s="25">
        <f>IF(OR(I119="",J119=""),"",I119*J119/1000)</f>
        <v/>
      </c>
      <c r="L119" s="26" t="n"/>
      <c r="M119" s="26" t="n"/>
      <c r="N119" s="27">
        <f>IF(OR(B119="",C119=""),"",IF(M119&lt;&gt;"",M119,IF(AND(N(L119)&gt;0,N(K119)&gt;0),L119/K119,"")))</f>
        <v/>
      </c>
      <c r="O119" s="15">
        <f>IF(C119="","",IFERROR(INDEX(Agentes!$D$6:$D$60,MATCH(C119,Agentes!$A$6:$A$60,0)),""))</f>
        <v/>
      </c>
      <c r="P119" s="28">
        <f>IF(OR(H119="",O119=""),"",IF(AND(O119="Inhalable",LEFT(H119,6)="Casete"),"Subestima: el casete cerrado no colecta toda la fracción inhalable",IF(AND(O119="Respirable",LEFT(H119,6)&lt;&gt;"Ciclón"),"Requiere ciclón (fracción respirable)",IF(AND(O119="Inhalable",ISNUMBER(SEARCH("Respirable",IFERROR(INDEX(Agentes!$C$80:$C$87,MATCH(H119,Agentes!$B$80:$B$87,0)),"")))),"El ciclón no colecta la fracción inhalable","Coherente"))))</f>
        <v/>
      </c>
      <c r="Q119" s="22">
        <f>IF(Y119="","",IFERROR(INDEX(GES!$W$6:$W$35,MATCH(Y119,GES!$R$6:$R$35,0)),""))</f>
        <v/>
      </c>
      <c r="R119" s="29">
        <f>IF(AND(ISNUMBER(N119),ISNUMBER(Q119)),N119/Q119,"")</f>
        <v/>
      </c>
      <c r="S119" s="15">
        <f>IF(C119="","",IFERROR(INDEX(Agentes!$I$6:$I$60,MATCH(C119,Agentes!$A$6:$A$60,0)),""))</f>
        <v/>
      </c>
      <c r="T119" s="8" t="n"/>
      <c r="U119" s="15">
        <f>IF(ISNUMBER(N119),IF(N119&gt;0,LN(N119),""),"")</f>
        <v/>
      </c>
      <c r="V119" s="15">
        <f>IF(ISNUMBER(U119),IFERROR((U119-LN(IFERROR(INDEX(Estadística!$K$6:$K$35,MATCH(Y119,Estadística!$Y$6:$Y$35,0)),0)))^2,""),"")</f>
        <v/>
      </c>
      <c r="W119" s="15">
        <f>IF(ISNUMBER(N119),IFERROR((N119-IFERROR(INDEX(Estadística!$I$6:$I$35,MATCH(Y119,Estadística!$Y$6:$Y$35,0)),0))^2,""),"")</f>
        <v/>
      </c>
      <c r="X119" s="15">
        <f>IF(ISNUMBER(R119),IF(R119&gt;1,1,0),"")</f>
        <v/>
      </c>
      <c r="Y119" s="15">
        <f>IF(OR(B119="",C119=""),"",B119&amp;"|"&amp;C119)</f>
        <v/>
      </c>
    </row>
    <row r="120">
      <c r="A120" s="23" t="n">
        <v>115</v>
      </c>
      <c r="B120" s="8" t="n"/>
      <c r="C120" s="8" t="n"/>
      <c r="D120" s="9" t="n"/>
      <c r="E120" s="8" t="n"/>
      <c r="F120" s="8" t="n"/>
      <c r="G120" s="8" t="n"/>
      <c r="H120" s="8" t="n"/>
      <c r="I120" s="24" t="n"/>
      <c r="J120" s="8" t="n"/>
      <c r="K120" s="25">
        <f>IF(OR(I120="",J120=""),"",I120*J120/1000)</f>
        <v/>
      </c>
      <c r="L120" s="26" t="n"/>
      <c r="M120" s="26" t="n"/>
      <c r="N120" s="27">
        <f>IF(OR(B120="",C120=""),"",IF(M120&lt;&gt;"",M120,IF(AND(N(L120)&gt;0,N(K120)&gt;0),L120/K120,"")))</f>
        <v/>
      </c>
      <c r="O120" s="15">
        <f>IF(C120="","",IFERROR(INDEX(Agentes!$D$6:$D$60,MATCH(C120,Agentes!$A$6:$A$60,0)),""))</f>
        <v/>
      </c>
      <c r="P120" s="28">
        <f>IF(OR(H120="",O120=""),"",IF(AND(O120="Inhalable",LEFT(H120,6)="Casete"),"Subestima: el casete cerrado no colecta toda la fracción inhalable",IF(AND(O120="Respirable",LEFT(H120,6)&lt;&gt;"Ciclón"),"Requiere ciclón (fracción respirable)",IF(AND(O120="Inhalable",ISNUMBER(SEARCH("Respirable",IFERROR(INDEX(Agentes!$C$80:$C$87,MATCH(H120,Agentes!$B$80:$B$87,0)),"")))),"El ciclón no colecta la fracción inhalable","Coherente"))))</f>
        <v/>
      </c>
      <c r="Q120" s="22">
        <f>IF(Y120="","",IFERROR(INDEX(GES!$W$6:$W$35,MATCH(Y120,GES!$R$6:$R$35,0)),""))</f>
        <v/>
      </c>
      <c r="R120" s="29">
        <f>IF(AND(ISNUMBER(N120),ISNUMBER(Q120)),N120/Q120,"")</f>
        <v/>
      </c>
      <c r="S120" s="15">
        <f>IF(C120="","",IFERROR(INDEX(Agentes!$I$6:$I$60,MATCH(C120,Agentes!$A$6:$A$60,0)),""))</f>
        <v/>
      </c>
      <c r="T120" s="8" t="n"/>
      <c r="U120" s="15">
        <f>IF(ISNUMBER(N120),IF(N120&gt;0,LN(N120),""),"")</f>
        <v/>
      </c>
      <c r="V120" s="15">
        <f>IF(ISNUMBER(U120),IFERROR((U120-LN(IFERROR(INDEX(Estadística!$K$6:$K$35,MATCH(Y120,Estadística!$Y$6:$Y$35,0)),0)))^2,""),"")</f>
        <v/>
      </c>
      <c r="W120" s="15">
        <f>IF(ISNUMBER(N120),IFERROR((N120-IFERROR(INDEX(Estadística!$I$6:$I$35,MATCH(Y120,Estadística!$Y$6:$Y$35,0)),0))^2,""),"")</f>
        <v/>
      </c>
      <c r="X120" s="15">
        <f>IF(ISNUMBER(R120),IF(R120&gt;1,1,0),"")</f>
        <v/>
      </c>
      <c r="Y120" s="15">
        <f>IF(OR(B120="",C120=""),"",B120&amp;"|"&amp;C120)</f>
        <v/>
      </c>
    </row>
    <row r="121">
      <c r="A121" s="23" t="n">
        <v>116</v>
      </c>
      <c r="B121" s="8" t="n"/>
      <c r="C121" s="8" t="n"/>
      <c r="D121" s="9" t="n"/>
      <c r="E121" s="8" t="n"/>
      <c r="F121" s="8" t="n"/>
      <c r="G121" s="8" t="n"/>
      <c r="H121" s="8" t="n"/>
      <c r="I121" s="24" t="n"/>
      <c r="J121" s="8" t="n"/>
      <c r="K121" s="25">
        <f>IF(OR(I121="",J121=""),"",I121*J121/1000)</f>
        <v/>
      </c>
      <c r="L121" s="26" t="n"/>
      <c r="M121" s="26" t="n"/>
      <c r="N121" s="27">
        <f>IF(OR(B121="",C121=""),"",IF(M121&lt;&gt;"",M121,IF(AND(N(L121)&gt;0,N(K121)&gt;0),L121/K121,"")))</f>
        <v/>
      </c>
      <c r="O121" s="15">
        <f>IF(C121="","",IFERROR(INDEX(Agentes!$D$6:$D$60,MATCH(C121,Agentes!$A$6:$A$60,0)),""))</f>
        <v/>
      </c>
      <c r="P121" s="28">
        <f>IF(OR(H121="",O121=""),"",IF(AND(O121="Inhalable",LEFT(H121,6)="Casete"),"Subestima: el casete cerrado no colecta toda la fracción inhalable",IF(AND(O121="Respirable",LEFT(H121,6)&lt;&gt;"Ciclón"),"Requiere ciclón (fracción respirable)",IF(AND(O121="Inhalable",ISNUMBER(SEARCH("Respirable",IFERROR(INDEX(Agentes!$C$80:$C$87,MATCH(H121,Agentes!$B$80:$B$87,0)),"")))),"El ciclón no colecta la fracción inhalable","Coherente"))))</f>
        <v/>
      </c>
      <c r="Q121" s="22">
        <f>IF(Y121="","",IFERROR(INDEX(GES!$W$6:$W$35,MATCH(Y121,GES!$R$6:$R$35,0)),""))</f>
        <v/>
      </c>
      <c r="R121" s="29">
        <f>IF(AND(ISNUMBER(N121),ISNUMBER(Q121)),N121/Q121,"")</f>
        <v/>
      </c>
      <c r="S121" s="15">
        <f>IF(C121="","",IFERROR(INDEX(Agentes!$I$6:$I$60,MATCH(C121,Agentes!$A$6:$A$60,0)),""))</f>
        <v/>
      </c>
      <c r="T121" s="8" t="n"/>
      <c r="U121" s="15">
        <f>IF(ISNUMBER(N121),IF(N121&gt;0,LN(N121),""),"")</f>
        <v/>
      </c>
      <c r="V121" s="15">
        <f>IF(ISNUMBER(U121),IFERROR((U121-LN(IFERROR(INDEX(Estadística!$K$6:$K$35,MATCH(Y121,Estadística!$Y$6:$Y$35,0)),0)))^2,""),"")</f>
        <v/>
      </c>
      <c r="W121" s="15">
        <f>IF(ISNUMBER(N121),IFERROR((N121-IFERROR(INDEX(Estadística!$I$6:$I$35,MATCH(Y121,Estadística!$Y$6:$Y$35,0)),0))^2,""),"")</f>
        <v/>
      </c>
      <c r="X121" s="15">
        <f>IF(ISNUMBER(R121),IF(R121&gt;1,1,0),"")</f>
        <v/>
      </c>
      <c r="Y121" s="15">
        <f>IF(OR(B121="",C121=""),"",B121&amp;"|"&amp;C121)</f>
        <v/>
      </c>
    </row>
    <row r="122">
      <c r="A122" s="23" t="n">
        <v>117</v>
      </c>
      <c r="B122" s="8" t="n"/>
      <c r="C122" s="8" t="n"/>
      <c r="D122" s="9" t="n"/>
      <c r="E122" s="8" t="n"/>
      <c r="F122" s="8" t="n"/>
      <c r="G122" s="8" t="n"/>
      <c r="H122" s="8" t="n"/>
      <c r="I122" s="24" t="n"/>
      <c r="J122" s="8" t="n"/>
      <c r="K122" s="25">
        <f>IF(OR(I122="",J122=""),"",I122*J122/1000)</f>
        <v/>
      </c>
      <c r="L122" s="26" t="n"/>
      <c r="M122" s="26" t="n"/>
      <c r="N122" s="27">
        <f>IF(OR(B122="",C122=""),"",IF(M122&lt;&gt;"",M122,IF(AND(N(L122)&gt;0,N(K122)&gt;0),L122/K122,"")))</f>
        <v/>
      </c>
      <c r="O122" s="15">
        <f>IF(C122="","",IFERROR(INDEX(Agentes!$D$6:$D$60,MATCH(C122,Agentes!$A$6:$A$60,0)),""))</f>
        <v/>
      </c>
      <c r="P122" s="28">
        <f>IF(OR(H122="",O122=""),"",IF(AND(O122="Inhalable",LEFT(H122,6)="Casete"),"Subestima: el casete cerrado no colecta toda la fracción inhalable",IF(AND(O122="Respirable",LEFT(H122,6)&lt;&gt;"Ciclón"),"Requiere ciclón (fracción respirable)",IF(AND(O122="Inhalable",ISNUMBER(SEARCH("Respirable",IFERROR(INDEX(Agentes!$C$80:$C$87,MATCH(H122,Agentes!$B$80:$B$87,0)),"")))),"El ciclón no colecta la fracción inhalable","Coherente"))))</f>
        <v/>
      </c>
      <c r="Q122" s="22">
        <f>IF(Y122="","",IFERROR(INDEX(GES!$W$6:$W$35,MATCH(Y122,GES!$R$6:$R$35,0)),""))</f>
        <v/>
      </c>
      <c r="R122" s="29">
        <f>IF(AND(ISNUMBER(N122),ISNUMBER(Q122)),N122/Q122,"")</f>
        <v/>
      </c>
      <c r="S122" s="15">
        <f>IF(C122="","",IFERROR(INDEX(Agentes!$I$6:$I$60,MATCH(C122,Agentes!$A$6:$A$60,0)),""))</f>
        <v/>
      </c>
      <c r="T122" s="8" t="n"/>
      <c r="U122" s="15">
        <f>IF(ISNUMBER(N122),IF(N122&gt;0,LN(N122),""),"")</f>
        <v/>
      </c>
      <c r="V122" s="15">
        <f>IF(ISNUMBER(U122),IFERROR((U122-LN(IFERROR(INDEX(Estadística!$K$6:$K$35,MATCH(Y122,Estadística!$Y$6:$Y$35,0)),0)))^2,""),"")</f>
        <v/>
      </c>
      <c r="W122" s="15">
        <f>IF(ISNUMBER(N122),IFERROR((N122-IFERROR(INDEX(Estadística!$I$6:$I$35,MATCH(Y122,Estadística!$Y$6:$Y$35,0)),0))^2,""),"")</f>
        <v/>
      </c>
      <c r="X122" s="15">
        <f>IF(ISNUMBER(R122),IF(R122&gt;1,1,0),"")</f>
        <v/>
      </c>
      <c r="Y122" s="15">
        <f>IF(OR(B122="",C122=""),"",B122&amp;"|"&amp;C122)</f>
        <v/>
      </c>
    </row>
    <row r="123">
      <c r="A123" s="23" t="n">
        <v>118</v>
      </c>
      <c r="B123" s="8" t="n"/>
      <c r="C123" s="8" t="n"/>
      <c r="D123" s="9" t="n"/>
      <c r="E123" s="8" t="n"/>
      <c r="F123" s="8" t="n"/>
      <c r="G123" s="8" t="n"/>
      <c r="H123" s="8" t="n"/>
      <c r="I123" s="24" t="n"/>
      <c r="J123" s="8" t="n"/>
      <c r="K123" s="25">
        <f>IF(OR(I123="",J123=""),"",I123*J123/1000)</f>
        <v/>
      </c>
      <c r="L123" s="26" t="n"/>
      <c r="M123" s="26" t="n"/>
      <c r="N123" s="27">
        <f>IF(OR(B123="",C123=""),"",IF(M123&lt;&gt;"",M123,IF(AND(N(L123)&gt;0,N(K123)&gt;0),L123/K123,"")))</f>
        <v/>
      </c>
      <c r="O123" s="15">
        <f>IF(C123="","",IFERROR(INDEX(Agentes!$D$6:$D$60,MATCH(C123,Agentes!$A$6:$A$60,0)),""))</f>
        <v/>
      </c>
      <c r="P123" s="28">
        <f>IF(OR(H123="",O123=""),"",IF(AND(O123="Inhalable",LEFT(H123,6)="Casete"),"Subestima: el casete cerrado no colecta toda la fracción inhalable",IF(AND(O123="Respirable",LEFT(H123,6)&lt;&gt;"Ciclón"),"Requiere ciclón (fracción respirable)",IF(AND(O123="Inhalable",ISNUMBER(SEARCH("Respirable",IFERROR(INDEX(Agentes!$C$80:$C$87,MATCH(H123,Agentes!$B$80:$B$87,0)),"")))),"El ciclón no colecta la fracción inhalable","Coherente"))))</f>
        <v/>
      </c>
      <c r="Q123" s="22">
        <f>IF(Y123="","",IFERROR(INDEX(GES!$W$6:$W$35,MATCH(Y123,GES!$R$6:$R$35,0)),""))</f>
        <v/>
      </c>
      <c r="R123" s="29">
        <f>IF(AND(ISNUMBER(N123),ISNUMBER(Q123)),N123/Q123,"")</f>
        <v/>
      </c>
      <c r="S123" s="15">
        <f>IF(C123="","",IFERROR(INDEX(Agentes!$I$6:$I$60,MATCH(C123,Agentes!$A$6:$A$60,0)),""))</f>
        <v/>
      </c>
      <c r="T123" s="8" t="n"/>
      <c r="U123" s="15">
        <f>IF(ISNUMBER(N123),IF(N123&gt;0,LN(N123),""),"")</f>
        <v/>
      </c>
      <c r="V123" s="15">
        <f>IF(ISNUMBER(U123),IFERROR((U123-LN(IFERROR(INDEX(Estadística!$K$6:$K$35,MATCH(Y123,Estadística!$Y$6:$Y$35,0)),0)))^2,""),"")</f>
        <v/>
      </c>
      <c r="W123" s="15">
        <f>IF(ISNUMBER(N123),IFERROR((N123-IFERROR(INDEX(Estadística!$I$6:$I$35,MATCH(Y123,Estadística!$Y$6:$Y$35,0)),0))^2,""),"")</f>
        <v/>
      </c>
      <c r="X123" s="15">
        <f>IF(ISNUMBER(R123),IF(R123&gt;1,1,0),"")</f>
        <v/>
      </c>
      <c r="Y123" s="15">
        <f>IF(OR(B123="",C123=""),"",B123&amp;"|"&amp;C123)</f>
        <v/>
      </c>
    </row>
    <row r="124">
      <c r="A124" s="23" t="n">
        <v>119</v>
      </c>
      <c r="B124" s="8" t="n"/>
      <c r="C124" s="8" t="n"/>
      <c r="D124" s="9" t="n"/>
      <c r="E124" s="8" t="n"/>
      <c r="F124" s="8" t="n"/>
      <c r="G124" s="8" t="n"/>
      <c r="H124" s="8" t="n"/>
      <c r="I124" s="24" t="n"/>
      <c r="J124" s="8" t="n"/>
      <c r="K124" s="25">
        <f>IF(OR(I124="",J124=""),"",I124*J124/1000)</f>
        <v/>
      </c>
      <c r="L124" s="26" t="n"/>
      <c r="M124" s="26" t="n"/>
      <c r="N124" s="27">
        <f>IF(OR(B124="",C124=""),"",IF(M124&lt;&gt;"",M124,IF(AND(N(L124)&gt;0,N(K124)&gt;0),L124/K124,"")))</f>
        <v/>
      </c>
      <c r="O124" s="15">
        <f>IF(C124="","",IFERROR(INDEX(Agentes!$D$6:$D$60,MATCH(C124,Agentes!$A$6:$A$60,0)),""))</f>
        <v/>
      </c>
      <c r="P124" s="28">
        <f>IF(OR(H124="",O124=""),"",IF(AND(O124="Inhalable",LEFT(H124,6)="Casete"),"Subestima: el casete cerrado no colecta toda la fracción inhalable",IF(AND(O124="Respirable",LEFT(H124,6)&lt;&gt;"Ciclón"),"Requiere ciclón (fracción respirable)",IF(AND(O124="Inhalable",ISNUMBER(SEARCH("Respirable",IFERROR(INDEX(Agentes!$C$80:$C$87,MATCH(H124,Agentes!$B$80:$B$87,0)),"")))),"El ciclón no colecta la fracción inhalable","Coherente"))))</f>
        <v/>
      </c>
      <c r="Q124" s="22">
        <f>IF(Y124="","",IFERROR(INDEX(GES!$W$6:$W$35,MATCH(Y124,GES!$R$6:$R$35,0)),""))</f>
        <v/>
      </c>
      <c r="R124" s="29">
        <f>IF(AND(ISNUMBER(N124),ISNUMBER(Q124)),N124/Q124,"")</f>
        <v/>
      </c>
      <c r="S124" s="15">
        <f>IF(C124="","",IFERROR(INDEX(Agentes!$I$6:$I$60,MATCH(C124,Agentes!$A$6:$A$60,0)),""))</f>
        <v/>
      </c>
      <c r="T124" s="8" t="n"/>
      <c r="U124" s="15">
        <f>IF(ISNUMBER(N124),IF(N124&gt;0,LN(N124),""),"")</f>
        <v/>
      </c>
      <c r="V124" s="15">
        <f>IF(ISNUMBER(U124),IFERROR((U124-LN(IFERROR(INDEX(Estadística!$K$6:$K$35,MATCH(Y124,Estadística!$Y$6:$Y$35,0)),0)))^2,""),"")</f>
        <v/>
      </c>
      <c r="W124" s="15">
        <f>IF(ISNUMBER(N124),IFERROR((N124-IFERROR(INDEX(Estadística!$I$6:$I$35,MATCH(Y124,Estadística!$Y$6:$Y$35,0)),0))^2,""),"")</f>
        <v/>
      </c>
      <c r="X124" s="15">
        <f>IF(ISNUMBER(R124),IF(R124&gt;1,1,0),"")</f>
        <v/>
      </c>
      <c r="Y124" s="15">
        <f>IF(OR(B124="",C124=""),"",B124&amp;"|"&amp;C124)</f>
        <v/>
      </c>
    </row>
    <row r="125">
      <c r="A125" s="23" t="n">
        <v>120</v>
      </c>
      <c r="B125" s="8" t="n"/>
      <c r="C125" s="8" t="n"/>
      <c r="D125" s="9" t="n"/>
      <c r="E125" s="8" t="n"/>
      <c r="F125" s="8" t="n"/>
      <c r="G125" s="8" t="n"/>
      <c r="H125" s="8" t="n"/>
      <c r="I125" s="24" t="n"/>
      <c r="J125" s="8" t="n"/>
      <c r="K125" s="25">
        <f>IF(OR(I125="",J125=""),"",I125*J125/1000)</f>
        <v/>
      </c>
      <c r="L125" s="26" t="n"/>
      <c r="M125" s="26" t="n"/>
      <c r="N125" s="27">
        <f>IF(OR(B125="",C125=""),"",IF(M125&lt;&gt;"",M125,IF(AND(N(L125)&gt;0,N(K125)&gt;0),L125/K125,"")))</f>
        <v/>
      </c>
      <c r="O125" s="15">
        <f>IF(C125="","",IFERROR(INDEX(Agentes!$D$6:$D$60,MATCH(C125,Agentes!$A$6:$A$60,0)),""))</f>
        <v/>
      </c>
      <c r="P125" s="28">
        <f>IF(OR(H125="",O125=""),"",IF(AND(O125="Inhalable",LEFT(H125,6)="Casete"),"Subestima: el casete cerrado no colecta toda la fracción inhalable",IF(AND(O125="Respirable",LEFT(H125,6)&lt;&gt;"Ciclón"),"Requiere ciclón (fracción respirable)",IF(AND(O125="Inhalable",ISNUMBER(SEARCH("Respirable",IFERROR(INDEX(Agentes!$C$80:$C$87,MATCH(H125,Agentes!$B$80:$B$87,0)),"")))),"El ciclón no colecta la fracción inhalable","Coherente"))))</f>
        <v/>
      </c>
      <c r="Q125" s="22">
        <f>IF(Y125="","",IFERROR(INDEX(GES!$W$6:$W$35,MATCH(Y125,GES!$R$6:$R$35,0)),""))</f>
        <v/>
      </c>
      <c r="R125" s="29">
        <f>IF(AND(ISNUMBER(N125),ISNUMBER(Q125)),N125/Q125,"")</f>
        <v/>
      </c>
      <c r="S125" s="15">
        <f>IF(C125="","",IFERROR(INDEX(Agentes!$I$6:$I$60,MATCH(C125,Agentes!$A$6:$A$60,0)),""))</f>
        <v/>
      </c>
      <c r="T125" s="8" t="n"/>
      <c r="U125" s="15">
        <f>IF(ISNUMBER(N125),IF(N125&gt;0,LN(N125),""),"")</f>
        <v/>
      </c>
      <c r="V125" s="15">
        <f>IF(ISNUMBER(U125),IFERROR((U125-LN(IFERROR(INDEX(Estadística!$K$6:$K$35,MATCH(Y125,Estadística!$Y$6:$Y$35,0)),0)))^2,""),"")</f>
        <v/>
      </c>
      <c r="W125" s="15">
        <f>IF(ISNUMBER(N125),IFERROR((N125-IFERROR(INDEX(Estadística!$I$6:$I$35,MATCH(Y125,Estadística!$Y$6:$Y$35,0)),0))^2,""),"")</f>
        <v/>
      </c>
      <c r="X125" s="15">
        <f>IF(ISNUMBER(R125),IF(R125&gt;1,1,0),"")</f>
        <v/>
      </c>
      <c r="Y125" s="15">
        <f>IF(OR(B125="",C125=""),"",B125&amp;"|"&amp;C125)</f>
        <v/>
      </c>
    </row>
    <row r="126">
      <c r="A126" s="23" t="n">
        <v>121</v>
      </c>
      <c r="B126" s="8" t="n"/>
      <c r="C126" s="8" t="n"/>
      <c r="D126" s="9" t="n"/>
      <c r="E126" s="8" t="n"/>
      <c r="F126" s="8" t="n"/>
      <c r="G126" s="8" t="n"/>
      <c r="H126" s="8" t="n"/>
      <c r="I126" s="24" t="n"/>
      <c r="J126" s="8" t="n"/>
      <c r="K126" s="25">
        <f>IF(OR(I126="",J126=""),"",I126*J126/1000)</f>
        <v/>
      </c>
      <c r="L126" s="26" t="n"/>
      <c r="M126" s="26" t="n"/>
      <c r="N126" s="27">
        <f>IF(OR(B126="",C126=""),"",IF(M126&lt;&gt;"",M126,IF(AND(N(L126)&gt;0,N(K126)&gt;0),L126/K126,"")))</f>
        <v/>
      </c>
      <c r="O126" s="15">
        <f>IF(C126="","",IFERROR(INDEX(Agentes!$D$6:$D$60,MATCH(C126,Agentes!$A$6:$A$60,0)),""))</f>
        <v/>
      </c>
      <c r="P126" s="28">
        <f>IF(OR(H126="",O126=""),"",IF(AND(O126="Inhalable",LEFT(H126,6)="Casete"),"Subestima: el casete cerrado no colecta toda la fracción inhalable",IF(AND(O126="Respirable",LEFT(H126,6)&lt;&gt;"Ciclón"),"Requiere ciclón (fracción respirable)",IF(AND(O126="Inhalable",ISNUMBER(SEARCH("Respirable",IFERROR(INDEX(Agentes!$C$80:$C$87,MATCH(H126,Agentes!$B$80:$B$87,0)),"")))),"El ciclón no colecta la fracción inhalable","Coherente"))))</f>
        <v/>
      </c>
      <c r="Q126" s="22">
        <f>IF(Y126="","",IFERROR(INDEX(GES!$W$6:$W$35,MATCH(Y126,GES!$R$6:$R$35,0)),""))</f>
        <v/>
      </c>
      <c r="R126" s="29">
        <f>IF(AND(ISNUMBER(N126),ISNUMBER(Q126)),N126/Q126,"")</f>
        <v/>
      </c>
      <c r="S126" s="15">
        <f>IF(C126="","",IFERROR(INDEX(Agentes!$I$6:$I$60,MATCH(C126,Agentes!$A$6:$A$60,0)),""))</f>
        <v/>
      </c>
      <c r="T126" s="8" t="n"/>
      <c r="U126" s="15">
        <f>IF(ISNUMBER(N126),IF(N126&gt;0,LN(N126),""),"")</f>
        <v/>
      </c>
      <c r="V126" s="15">
        <f>IF(ISNUMBER(U126),IFERROR((U126-LN(IFERROR(INDEX(Estadística!$K$6:$K$35,MATCH(Y126,Estadística!$Y$6:$Y$35,0)),0)))^2,""),"")</f>
        <v/>
      </c>
      <c r="W126" s="15">
        <f>IF(ISNUMBER(N126),IFERROR((N126-IFERROR(INDEX(Estadística!$I$6:$I$35,MATCH(Y126,Estadística!$Y$6:$Y$35,0)),0))^2,""),"")</f>
        <v/>
      </c>
      <c r="X126" s="15">
        <f>IF(ISNUMBER(R126),IF(R126&gt;1,1,0),"")</f>
        <v/>
      </c>
      <c r="Y126" s="15">
        <f>IF(OR(B126="",C126=""),"",B126&amp;"|"&amp;C126)</f>
        <v/>
      </c>
    </row>
    <row r="127">
      <c r="A127" s="23" t="n">
        <v>122</v>
      </c>
      <c r="B127" s="8" t="n"/>
      <c r="C127" s="8" t="n"/>
      <c r="D127" s="9" t="n"/>
      <c r="E127" s="8" t="n"/>
      <c r="F127" s="8" t="n"/>
      <c r="G127" s="8" t="n"/>
      <c r="H127" s="8" t="n"/>
      <c r="I127" s="24" t="n"/>
      <c r="J127" s="8" t="n"/>
      <c r="K127" s="25">
        <f>IF(OR(I127="",J127=""),"",I127*J127/1000)</f>
        <v/>
      </c>
      <c r="L127" s="26" t="n"/>
      <c r="M127" s="26" t="n"/>
      <c r="N127" s="27">
        <f>IF(OR(B127="",C127=""),"",IF(M127&lt;&gt;"",M127,IF(AND(N(L127)&gt;0,N(K127)&gt;0),L127/K127,"")))</f>
        <v/>
      </c>
      <c r="O127" s="15">
        <f>IF(C127="","",IFERROR(INDEX(Agentes!$D$6:$D$60,MATCH(C127,Agentes!$A$6:$A$60,0)),""))</f>
        <v/>
      </c>
      <c r="P127" s="28">
        <f>IF(OR(H127="",O127=""),"",IF(AND(O127="Inhalable",LEFT(H127,6)="Casete"),"Subestima: el casete cerrado no colecta toda la fracción inhalable",IF(AND(O127="Respirable",LEFT(H127,6)&lt;&gt;"Ciclón"),"Requiere ciclón (fracción respirable)",IF(AND(O127="Inhalable",ISNUMBER(SEARCH("Respirable",IFERROR(INDEX(Agentes!$C$80:$C$87,MATCH(H127,Agentes!$B$80:$B$87,0)),"")))),"El ciclón no colecta la fracción inhalable","Coherente"))))</f>
        <v/>
      </c>
      <c r="Q127" s="22">
        <f>IF(Y127="","",IFERROR(INDEX(GES!$W$6:$W$35,MATCH(Y127,GES!$R$6:$R$35,0)),""))</f>
        <v/>
      </c>
      <c r="R127" s="29">
        <f>IF(AND(ISNUMBER(N127),ISNUMBER(Q127)),N127/Q127,"")</f>
        <v/>
      </c>
      <c r="S127" s="15">
        <f>IF(C127="","",IFERROR(INDEX(Agentes!$I$6:$I$60,MATCH(C127,Agentes!$A$6:$A$60,0)),""))</f>
        <v/>
      </c>
      <c r="T127" s="8" t="n"/>
      <c r="U127" s="15">
        <f>IF(ISNUMBER(N127),IF(N127&gt;0,LN(N127),""),"")</f>
        <v/>
      </c>
      <c r="V127" s="15">
        <f>IF(ISNUMBER(U127),IFERROR((U127-LN(IFERROR(INDEX(Estadística!$K$6:$K$35,MATCH(Y127,Estadística!$Y$6:$Y$35,0)),0)))^2,""),"")</f>
        <v/>
      </c>
      <c r="W127" s="15">
        <f>IF(ISNUMBER(N127),IFERROR((N127-IFERROR(INDEX(Estadística!$I$6:$I$35,MATCH(Y127,Estadística!$Y$6:$Y$35,0)),0))^2,""),"")</f>
        <v/>
      </c>
      <c r="X127" s="15">
        <f>IF(ISNUMBER(R127),IF(R127&gt;1,1,0),"")</f>
        <v/>
      </c>
      <c r="Y127" s="15">
        <f>IF(OR(B127="",C127=""),"",B127&amp;"|"&amp;C127)</f>
        <v/>
      </c>
    </row>
    <row r="128">
      <c r="A128" s="23" t="n">
        <v>123</v>
      </c>
      <c r="B128" s="8" t="n"/>
      <c r="C128" s="8" t="n"/>
      <c r="D128" s="9" t="n"/>
      <c r="E128" s="8" t="n"/>
      <c r="F128" s="8" t="n"/>
      <c r="G128" s="8" t="n"/>
      <c r="H128" s="8" t="n"/>
      <c r="I128" s="24" t="n"/>
      <c r="J128" s="8" t="n"/>
      <c r="K128" s="25">
        <f>IF(OR(I128="",J128=""),"",I128*J128/1000)</f>
        <v/>
      </c>
      <c r="L128" s="26" t="n"/>
      <c r="M128" s="26" t="n"/>
      <c r="N128" s="27">
        <f>IF(OR(B128="",C128=""),"",IF(M128&lt;&gt;"",M128,IF(AND(N(L128)&gt;0,N(K128)&gt;0),L128/K128,"")))</f>
        <v/>
      </c>
      <c r="O128" s="15">
        <f>IF(C128="","",IFERROR(INDEX(Agentes!$D$6:$D$60,MATCH(C128,Agentes!$A$6:$A$60,0)),""))</f>
        <v/>
      </c>
      <c r="P128" s="28">
        <f>IF(OR(H128="",O128=""),"",IF(AND(O128="Inhalable",LEFT(H128,6)="Casete"),"Subestima: el casete cerrado no colecta toda la fracción inhalable",IF(AND(O128="Respirable",LEFT(H128,6)&lt;&gt;"Ciclón"),"Requiere ciclón (fracción respirable)",IF(AND(O128="Inhalable",ISNUMBER(SEARCH("Respirable",IFERROR(INDEX(Agentes!$C$80:$C$87,MATCH(H128,Agentes!$B$80:$B$87,0)),"")))),"El ciclón no colecta la fracción inhalable","Coherente"))))</f>
        <v/>
      </c>
      <c r="Q128" s="22">
        <f>IF(Y128="","",IFERROR(INDEX(GES!$W$6:$W$35,MATCH(Y128,GES!$R$6:$R$35,0)),""))</f>
        <v/>
      </c>
      <c r="R128" s="29">
        <f>IF(AND(ISNUMBER(N128),ISNUMBER(Q128)),N128/Q128,"")</f>
        <v/>
      </c>
      <c r="S128" s="15">
        <f>IF(C128="","",IFERROR(INDEX(Agentes!$I$6:$I$60,MATCH(C128,Agentes!$A$6:$A$60,0)),""))</f>
        <v/>
      </c>
      <c r="T128" s="8" t="n"/>
      <c r="U128" s="15">
        <f>IF(ISNUMBER(N128),IF(N128&gt;0,LN(N128),""),"")</f>
        <v/>
      </c>
      <c r="V128" s="15">
        <f>IF(ISNUMBER(U128),IFERROR((U128-LN(IFERROR(INDEX(Estadística!$K$6:$K$35,MATCH(Y128,Estadística!$Y$6:$Y$35,0)),0)))^2,""),"")</f>
        <v/>
      </c>
      <c r="W128" s="15">
        <f>IF(ISNUMBER(N128),IFERROR((N128-IFERROR(INDEX(Estadística!$I$6:$I$35,MATCH(Y128,Estadística!$Y$6:$Y$35,0)),0))^2,""),"")</f>
        <v/>
      </c>
      <c r="X128" s="15">
        <f>IF(ISNUMBER(R128),IF(R128&gt;1,1,0),"")</f>
        <v/>
      </c>
      <c r="Y128" s="15">
        <f>IF(OR(B128="",C128=""),"",B128&amp;"|"&amp;C128)</f>
        <v/>
      </c>
    </row>
    <row r="129">
      <c r="A129" s="23" t="n">
        <v>124</v>
      </c>
      <c r="B129" s="8" t="n"/>
      <c r="C129" s="8" t="n"/>
      <c r="D129" s="9" t="n"/>
      <c r="E129" s="8" t="n"/>
      <c r="F129" s="8" t="n"/>
      <c r="G129" s="8" t="n"/>
      <c r="H129" s="8" t="n"/>
      <c r="I129" s="24" t="n"/>
      <c r="J129" s="8" t="n"/>
      <c r="K129" s="25">
        <f>IF(OR(I129="",J129=""),"",I129*J129/1000)</f>
        <v/>
      </c>
      <c r="L129" s="26" t="n"/>
      <c r="M129" s="26" t="n"/>
      <c r="N129" s="27">
        <f>IF(OR(B129="",C129=""),"",IF(M129&lt;&gt;"",M129,IF(AND(N(L129)&gt;0,N(K129)&gt;0),L129/K129,"")))</f>
        <v/>
      </c>
      <c r="O129" s="15">
        <f>IF(C129="","",IFERROR(INDEX(Agentes!$D$6:$D$60,MATCH(C129,Agentes!$A$6:$A$60,0)),""))</f>
        <v/>
      </c>
      <c r="P129" s="28">
        <f>IF(OR(H129="",O129=""),"",IF(AND(O129="Inhalable",LEFT(H129,6)="Casete"),"Subestima: el casete cerrado no colecta toda la fracción inhalable",IF(AND(O129="Respirable",LEFT(H129,6)&lt;&gt;"Ciclón"),"Requiere ciclón (fracción respirable)",IF(AND(O129="Inhalable",ISNUMBER(SEARCH("Respirable",IFERROR(INDEX(Agentes!$C$80:$C$87,MATCH(H129,Agentes!$B$80:$B$87,0)),"")))),"El ciclón no colecta la fracción inhalable","Coherente"))))</f>
        <v/>
      </c>
      <c r="Q129" s="22">
        <f>IF(Y129="","",IFERROR(INDEX(GES!$W$6:$W$35,MATCH(Y129,GES!$R$6:$R$35,0)),""))</f>
        <v/>
      </c>
      <c r="R129" s="29">
        <f>IF(AND(ISNUMBER(N129),ISNUMBER(Q129)),N129/Q129,"")</f>
        <v/>
      </c>
      <c r="S129" s="15">
        <f>IF(C129="","",IFERROR(INDEX(Agentes!$I$6:$I$60,MATCH(C129,Agentes!$A$6:$A$60,0)),""))</f>
        <v/>
      </c>
      <c r="T129" s="8" t="n"/>
      <c r="U129" s="15">
        <f>IF(ISNUMBER(N129),IF(N129&gt;0,LN(N129),""),"")</f>
        <v/>
      </c>
      <c r="V129" s="15">
        <f>IF(ISNUMBER(U129),IFERROR((U129-LN(IFERROR(INDEX(Estadística!$K$6:$K$35,MATCH(Y129,Estadística!$Y$6:$Y$35,0)),0)))^2,""),"")</f>
        <v/>
      </c>
      <c r="W129" s="15">
        <f>IF(ISNUMBER(N129),IFERROR((N129-IFERROR(INDEX(Estadística!$I$6:$I$35,MATCH(Y129,Estadística!$Y$6:$Y$35,0)),0))^2,""),"")</f>
        <v/>
      </c>
      <c r="X129" s="15">
        <f>IF(ISNUMBER(R129),IF(R129&gt;1,1,0),"")</f>
        <v/>
      </c>
      <c r="Y129" s="15">
        <f>IF(OR(B129="",C129=""),"",B129&amp;"|"&amp;C129)</f>
        <v/>
      </c>
    </row>
    <row r="130">
      <c r="A130" s="23" t="n">
        <v>125</v>
      </c>
      <c r="B130" s="8" t="n"/>
      <c r="C130" s="8" t="n"/>
      <c r="D130" s="9" t="n"/>
      <c r="E130" s="8" t="n"/>
      <c r="F130" s="8" t="n"/>
      <c r="G130" s="8" t="n"/>
      <c r="H130" s="8" t="n"/>
      <c r="I130" s="24" t="n"/>
      <c r="J130" s="8" t="n"/>
      <c r="K130" s="25">
        <f>IF(OR(I130="",J130=""),"",I130*J130/1000)</f>
        <v/>
      </c>
      <c r="L130" s="26" t="n"/>
      <c r="M130" s="26" t="n"/>
      <c r="N130" s="27">
        <f>IF(OR(B130="",C130=""),"",IF(M130&lt;&gt;"",M130,IF(AND(N(L130)&gt;0,N(K130)&gt;0),L130/K130,"")))</f>
        <v/>
      </c>
      <c r="O130" s="15">
        <f>IF(C130="","",IFERROR(INDEX(Agentes!$D$6:$D$60,MATCH(C130,Agentes!$A$6:$A$60,0)),""))</f>
        <v/>
      </c>
      <c r="P130" s="28">
        <f>IF(OR(H130="",O130=""),"",IF(AND(O130="Inhalable",LEFT(H130,6)="Casete"),"Subestima: el casete cerrado no colecta toda la fracción inhalable",IF(AND(O130="Respirable",LEFT(H130,6)&lt;&gt;"Ciclón"),"Requiere ciclón (fracción respirable)",IF(AND(O130="Inhalable",ISNUMBER(SEARCH("Respirable",IFERROR(INDEX(Agentes!$C$80:$C$87,MATCH(H130,Agentes!$B$80:$B$87,0)),"")))),"El ciclón no colecta la fracción inhalable","Coherente"))))</f>
        <v/>
      </c>
      <c r="Q130" s="22">
        <f>IF(Y130="","",IFERROR(INDEX(GES!$W$6:$W$35,MATCH(Y130,GES!$R$6:$R$35,0)),""))</f>
        <v/>
      </c>
      <c r="R130" s="29">
        <f>IF(AND(ISNUMBER(N130),ISNUMBER(Q130)),N130/Q130,"")</f>
        <v/>
      </c>
      <c r="S130" s="15">
        <f>IF(C130="","",IFERROR(INDEX(Agentes!$I$6:$I$60,MATCH(C130,Agentes!$A$6:$A$60,0)),""))</f>
        <v/>
      </c>
      <c r="T130" s="8" t="n"/>
      <c r="U130" s="15">
        <f>IF(ISNUMBER(N130),IF(N130&gt;0,LN(N130),""),"")</f>
        <v/>
      </c>
      <c r="V130" s="15">
        <f>IF(ISNUMBER(U130),IFERROR((U130-LN(IFERROR(INDEX(Estadística!$K$6:$K$35,MATCH(Y130,Estadística!$Y$6:$Y$35,0)),0)))^2,""),"")</f>
        <v/>
      </c>
      <c r="W130" s="15">
        <f>IF(ISNUMBER(N130),IFERROR((N130-IFERROR(INDEX(Estadística!$I$6:$I$35,MATCH(Y130,Estadística!$Y$6:$Y$35,0)),0))^2,""),"")</f>
        <v/>
      </c>
      <c r="X130" s="15">
        <f>IF(ISNUMBER(R130),IF(R130&gt;1,1,0),"")</f>
        <v/>
      </c>
      <c r="Y130" s="15">
        <f>IF(OR(B130="",C130=""),"",B130&amp;"|"&amp;C130)</f>
        <v/>
      </c>
    </row>
    <row r="131">
      <c r="A131" s="23" t="n">
        <v>126</v>
      </c>
      <c r="B131" s="8" t="n"/>
      <c r="C131" s="8" t="n"/>
      <c r="D131" s="9" t="n"/>
      <c r="E131" s="8" t="n"/>
      <c r="F131" s="8" t="n"/>
      <c r="G131" s="8" t="n"/>
      <c r="H131" s="8" t="n"/>
      <c r="I131" s="24" t="n"/>
      <c r="J131" s="8" t="n"/>
      <c r="K131" s="25">
        <f>IF(OR(I131="",J131=""),"",I131*J131/1000)</f>
        <v/>
      </c>
      <c r="L131" s="26" t="n"/>
      <c r="M131" s="26" t="n"/>
      <c r="N131" s="27">
        <f>IF(OR(B131="",C131=""),"",IF(M131&lt;&gt;"",M131,IF(AND(N(L131)&gt;0,N(K131)&gt;0),L131/K131,"")))</f>
        <v/>
      </c>
      <c r="O131" s="15">
        <f>IF(C131="","",IFERROR(INDEX(Agentes!$D$6:$D$60,MATCH(C131,Agentes!$A$6:$A$60,0)),""))</f>
        <v/>
      </c>
      <c r="P131" s="28">
        <f>IF(OR(H131="",O131=""),"",IF(AND(O131="Inhalable",LEFT(H131,6)="Casete"),"Subestima: el casete cerrado no colecta toda la fracción inhalable",IF(AND(O131="Respirable",LEFT(H131,6)&lt;&gt;"Ciclón"),"Requiere ciclón (fracción respirable)",IF(AND(O131="Inhalable",ISNUMBER(SEARCH("Respirable",IFERROR(INDEX(Agentes!$C$80:$C$87,MATCH(H131,Agentes!$B$80:$B$87,0)),"")))),"El ciclón no colecta la fracción inhalable","Coherente"))))</f>
        <v/>
      </c>
      <c r="Q131" s="22">
        <f>IF(Y131="","",IFERROR(INDEX(GES!$W$6:$W$35,MATCH(Y131,GES!$R$6:$R$35,0)),""))</f>
        <v/>
      </c>
      <c r="R131" s="29">
        <f>IF(AND(ISNUMBER(N131),ISNUMBER(Q131)),N131/Q131,"")</f>
        <v/>
      </c>
      <c r="S131" s="15">
        <f>IF(C131="","",IFERROR(INDEX(Agentes!$I$6:$I$60,MATCH(C131,Agentes!$A$6:$A$60,0)),""))</f>
        <v/>
      </c>
      <c r="T131" s="8" t="n"/>
      <c r="U131" s="15">
        <f>IF(ISNUMBER(N131),IF(N131&gt;0,LN(N131),""),"")</f>
        <v/>
      </c>
      <c r="V131" s="15">
        <f>IF(ISNUMBER(U131),IFERROR((U131-LN(IFERROR(INDEX(Estadística!$K$6:$K$35,MATCH(Y131,Estadística!$Y$6:$Y$35,0)),0)))^2,""),"")</f>
        <v/>
      </c>
      <c r="W131" s="15">
        <f>IF(ISNUMBER(N131),IFERROR((N131-IFERROR(INDEX(Estadística!$I$6:$I$35,MATCH(Y131,Estadística!$Y$6:$Y$35,0)),0))^2,""),"")</f>
        <v/>
      </c>
      <c r="X131" s="15">
        <f>IF(ISNUMBER(R131),IF(R131&gt;1,1,0),"")</f>
        <v/>
      </c>
      <c r="Y131" s="15">
        <f>IF(OR(B131="",C131=""),"",B131&amp;"|"&amp;C131)</f>
        <v/>
      </c>
    </row>
    <row r="132">
      <c r="A132" s="23" t="n">
        <v>127</v>
      </c>
      <c r="B132" s="8" t="n"/>
      <c r="C132" s="8" t="n"/>
      <c r="D132" s="9" t="n"/>
      <c r="E132" s="8" t="n"/>
      <c r="F132" s="8" t="n"/>
      <c r="G132" s="8" t="n"/>
      <c r="H132" s="8" t="n"/>
      <c r="I132" s="24" t="n"/>
      <c r="J132" s="8" t="n"/>
      <c r="K132" s="25">
        <f>IF(OR(I132="",J132=""),"",I132*J132/1000)</f>
        <v/>
      </c>
      <c r="L132" s="26" t="n"/>
      <c r="M132" s="26" t="n"/>
      <c r="N132" s="27">
        <f>IF(OR(B132="",C132=""),"",IF(M132&lt;&gt;"",M132,IF(AND(N(L132)&gt;0,N(K132)&gt;0),L132/K132,"")))</f>
        <v/>
      </c>
      <c r="O132" s="15">
        <f>IF(C132="","",IFERROR(INDEX(Agentes!$D$6:$D$60,MATCH(C132,Agentes!$A$6:$A$60,0)),""))</f>
        <v/>
      </c>
      <c r="P132" s="28">
        <f>IF(OR(H132="",O132=""),"",IF(AND(O132="Inhalable",LEFT(H132,6)="Casete"),"Subestima: el casete cerrado no colecta toda la fracción inhalable",IF(AND(O132="Respirable",LEFT(H132,6)&lt;&gt;"Ciclón"),"Requiere ciclón (fracción respirable)",IF(AND(O132="Inhalable",ISNUMBER(SEARCH("Respirable",IFERROR(INDEX(Agentes!$C$80:$C$87,MATCH(H132,Agentes!$B$80:$B$87,0)),"")))),"El ciclón no colecta la fracción inhalable","Coherente"))))</f>
        <v/>
      </c>
      <c r="Q132" s="22">
        <f>IF(Y132="","",IFERROR(INDEX(GES!$W$6:$W$35,MATCH(Y132,GES!$R$6:$R$35,0)),""))</f>
        <v/>
      </c>
      <c r="R132" s="29">
        <f>IF(AND(ISNUMBER(N132),ISNUMBER(Q132)),N132/Q132,"")</f>
        <v/>
      </c>
      <c r="S132" s="15">
        <f>IF(C132="","",IFERROR(INDEX(Agentes!$I$6:$I$60,MATCH(C132,Agentes!$A$6:$A$60,0)),""))</f>
        <v/>
      </c>
      <c r="T132" s="8" t="n"/>
      <c r="U132" s="15">
        <f>IF(ISNUMBER(N132),IF(N132&gt;0,LN(N132),""),"")</f>
        <v/>
      </c>
      <c r="V132" s="15">
        <f>IF(ISNUMBER(U132),IFERROR((U132-LN(IFERROR(INDEX(Estadística!$K$6:$K$35,MATCH(Y132,Estadística!$Y$6:$Y$35,0)),0)))^2,""),"")</f>
        <v/>
      </c>
      <c r="W132" s="15">
        <f>IF(ISNUMBER(N132),IFERROR((N132-IFERROR(INDEX(Estadística!$I$6:$I$35,MATCH(Y132,Estadística!$Y$6:$Y$35,0)),0))^2,""),"")</f>
        <v/>
      </c>
      <c r="X132" s="15">
        <f>IF(ISNUMBER(R132),IF(R132&gt;1,1,0),"")</f>
        <v/>
      </c>
      <c r="Y132" s="15">
        <f>IF(OR(B132="",C132=""),"",B132&amp;"|"&amp;C132)</f>
        <v/>
      </c>
    </row>
    <row r="133">
      <c r="A133" s="23" t="n">
        <v>128</v>
      </c>
      <c r="B133" s="8" t="n"/>
      <c r="C133" s="8" t="n"/>
      <c r="D133" s="9" t="n"/>
      <c r="E133" s="8" t="n"/>
      <c r="F133" s="8" t="n"/>
      <c r="G133" s="8" t="n"/>
      <c r="H133" s="8" t="n"/>
      <c r="I133" s="24" t="n"/>
      <c r="J133" s="8" t="n"/>
      <c r="K133" s="25">
        <f>IF(OR(I133="",J133=""),"",I133*J133/1000)</f>
        <v/>
      </c>
      <c r="L133" s="26" t="n"/>
      <c r="M133" s="26" t="n"/>
      <c r="N133" s="27">
        <f>IF(OR(B133="",C133=""),"",IF(M133&lt;&gt;"",M133,IF(AND(N(L133)&gt;0,N(K133)&gt;0),L133/K133,"")))</f>
        <v/>
      </c>
      <c r="O133" s="15">
        <f>IF(C133="","",IFERROR(INDEX(Agentes!$D$6:$D$60,MATCH(C133,Agentes!$A$6:$A$60,0)),""))</f>
        <v/>
      </c>
      <c r="P133" s="28">
        <f>IF(OR(H133="",O133=""),"",IF(AND(O133="Inhalable",LEFT(H133,6)="Casete"),"Subestima: el casete cerrado no colecta toda la fracción inhalable",IF(AND(O133="Respirable",LEFT(H133,6)&lt;&gt;"Ciclón"),"Requiere ciclón (fracción respirable)",IF(AND(O133="Inhalable",ISNUMBER(SEARCH("Respirable",IFERROR(INDEX(Agentes!$C$80:$C$87,MATCH(H133,Agentes!$B$80:$B$87,0)),"")))),"El ciclón no colecta la fracción inhalable","Coherente"))))</f>
        <v/>
      </c>
      <c r="Q133" s="22">
        <f>IF(Y133="","",IFERROR(INDEX(GES!$W$6:$W$35,MATCH(Y133,GES!$R$6:$R$35,0)),""))</f>
        <v/>
      </c>
      <c r="R133" s="29">
        <f>IF(AND(ISNUMBER(N133),ISNUMBER(Q133)),N133/Q133,"")</f>
        <v/>
      </c>
      <c r="S133" s="15">
        <f>IF(C133="","",IFERROR(INDEX(Agentes!$I$6:$I$60,MATCH(C133,Agentes!$A$6:$A$60,0)),""))</f>
        <v/>
      </c>
      <c r="T133" s="8" t="n"/>
      <c r="U133" s="15">
        <f>IF(ISNUMBER(N133),IF(N133&gt;0,LN(N133),""),"")</f>
        <v/>
      </c>
      <c r="V133" s="15">
        <f>IF(ISNUMBER(U133),IFERROR((U133-LN(IFERROR(INDEX(Estadística!$K$6:$K$35,MATCH(Y133,Estadística!$Y$6:$Y$35,0)),0)))^2,""),"")</f>
        <v/>
      </c>
      <c r="W133" s="15">
        <f>IF(ISNUMBER(N133),IFERROR((N133-IFERROR(INDEX(Estadística!$I$6:$I$35,MATCH(Y133,Estadística!$Y$6:$Y$35,0)),0))^2,""),"")</f>
        <v/>
      </c>
      <c r="X133" s="15">
        <f>IF(ISNUMBER(R133),IF(R133&gt;1,1,0),"")</f>
        <v/>
      </c>
      <c r="Y133" s="15">
        <f>IF(OR(B133="",C133=""),"",B133&amp;"|"&amp;C133)</f>
        <v/>
      </c>
    </row>
    <row r="134">
      <c r="A134" s="23" t="n">
        <v>129</v>
      </c>
      <c r="B134" s="8" t="n"/>
      <c r="C134" s="8" t="n"/>
      <c r="D134" s="9" t="n"/>
      <c r="E134" s="8" t="n"/>
      <c r="F134" s="8" t="n"/>
      <c r="G134" s="8" t="n"/>
      <c r="H134" s="8" t="n"/>
      <c r="I134" s="24" t="n"/>
      <c r="J134" s="8" t="n"/>
      <c r="K134" s="25">
        <f>IF(OR(I134="",J134=""),"",I134*J134/1000)</f>
        <v/>
      </c>
      <c r="L134" s="26" t="n"/>
      <c r="M134" s="26" t="n"/>
      <c r="N134" s="27">
        <f>IF(OR(B134="",C134=""),"",IF(M134&lt;&gt;"",M134,IF(AND(N(L134)&gt;0,N(K134)&gt;0),L134/K134,"")))</f>
        <v/>
      </c>
      <c r="O134" s="15">
        <f>IF(C134="","",IFERROR(INDEX(Agentes!$D$6:$D$60,MATCH(C134,Agentes!$A$6:$A$60,0)),""))</f>
        <v/>
      </c>
      <c r="P134" s="28">
        <f>IF(OR(H134="",O134=""),"",IF(AND(O134="Inhalable",LEFT(H134,6)="Casete"),"Subestima: el casete cerrado no colecta toda la fracción inhalable",IF(AND(O134="Respirable",LEFT(H134,6)&lt;&gt;"Ciclón"),"Requiere ciclón (fracción respirable)",IF(AND(O134="Inhalable",ISNUMBER(SEARCH("Respirable",IFERROR(INDEX(Agentes!$C$80:$C$87,MATCH(H134,Agentes!$B$80:$B$87,0)),"")))),"El ciclón no colecta la fracción inhalable","Coherente"))))</f>
        <v/>
      </c>
      <c r="Q134" s="22">
        <f>IF(Y134="","",IFERROR(INDEX(GES!$W$6:$W$35,MATCH(Y134,GES!$R$6:$R$35,0)),""))</f>
        <v/>
      </c>
      <c r="R134" s="29">
        <f>IF(AND(ISNUMBER(N134),ISNUMBER(Q134)),N134/Q134,"")</f>
        <v/>
      </c>
      <c r="S134" s="15">
        <f>IF(C134="","",IFERROR(INDEX(Agentes!$I$6:$I$60,MATCH(C134,Agentes!$A$6:$A$60,0)),""))</f>
        <v/>
      </c>
      <c r="T134" s="8" t="n"/>
      <c r="U134" s="15">
        <f>IF(ISNUMBER(N134),IF(N134&gt;0,LN(N134),""),"")</f>
        <v/>
      </c>
      <c r="V134" s="15">
        <f>IF(ISNUMBER(U134),IFERROR((U134-LN(IFERROR(INDEX(Estadística!$K$6:$K$35,MATCH(Y134,Estadística!$Y$6:$Y$35,0)),0)))^2,""),"")</f>
        <v/>
      </c>
      <c r="W134" s="15">
        <f>IF(ISNUMBER(N134),IFERROR((N134-IFERROR(INDEX(Estadística!$I$6:$I$35,MATCH(Y134,Estadística!$Y$6:$Y$35,0)),0))^2,""),"")</f>
        <v/>
      </c>
      <c r="X134" s="15">
        <f>IF(ISNUMBER(R134),IF(R134&gt;1,1,0),"")</f>
        <v/>
      </c>
      <c r="Y134" s="15">
        <f>IF(OR(B134="",C134=""),"",B134&amp;"|"&amp;C134)</f>
        <v/>
      </c>
    </row>
    <row r="135">
      <c r="A135" s="23" t="n">
        <v>130</v>
      </c>
      <c r="B135" s="8" t="n"/>
      <c r="C135" s="8" t="n"/>
      <c r="D135" s="9" t="n"/>
      <c r="E135" s="8" t="n"/>
      <c r="F135" s="8" t="n"/>
      <c r="G135" s="8" t="n"/>
      <c r="H135" s="8" t="n"/>
      <c r="I135" s="24" t="n"/>
      <c r="J135" s="8" t="n"/>
      <c r="K135" s="25">
        <f>IF(OR(I135="",J135=""),"",I135*J135/1000)</f>
        <v/>
      </c>
      <c r="L135" s="26" t="n"/>
      <c r="M135" s="26" t="n"/>
      <c r="N135" s="27">
        <f>IF(OR(B135="",C135=""),"",IF(M135&lt;&gt;"",M135,IF(AND(N(L135)&gt;0,N(K135)&gt;0),L135/K135,"")))</f>
        <v/>
      </c>
      <c r="O135" s="15">
        <f>IF(C135="","",IFERROR(INDEX(Agentes!$D$6:$D$60,MATCH(C135,Agentes!$A$6:$A$60,0)),""))</f>
        <v/>
      </c>
      <c r="P135" s="28">
        <f>IF(OR(H135="",O135=""),"",IF(AND(O135="Inhalable",LEFT(H135,6)="Casete"),"Subestima: el casete cerrado no colecta toda la fracción inhalable",IF(AND(O135="Respirable",LEFT(H135,6)&lt;&gt;"Ciclón"),"Requiere ciclón (fracción respirable)",IF(AND(O135="Inhalable",ISNUMBER(SEARCH("Respirable",IFERROR(INDEX(Agentes!$C$80:$C$87,MATCH(H135,Agentes!$B$80:$B$87,0)),"")))),"El ciclón no colecta la fracción inhalable","Coherente"))))</f>
        <v/>
      </c>
      <c r="Q135" s="22">
        <f>IF(Y135="","",IFERROR(INDEX(GES!$W$6:$W$35,MATCH(Y135,GES!$R$6:$R$35,0)),""))</f>
        <v/>
      </c>
      <c r="R135" s="29">
        <f>IF(AND(ISNUMBER(N135),ISNUMBER(Q135)),N135/Q135,"")</f>
        <v/>
      </c>
      <c r="S135" s="15">
        <f>IF(C135="","",IFERROR(INDEX(Agentes!$I$6:$I$60,MATCH(C135,Agentes!$A$6:$A$60,0)),""))</f>
        <v/>
      </c>
      <c r="T135" s="8" t="n"/>
      <c r="U135" s="15">
        <f>IF(ISNUMBER(N135),IF(N135&gt;0,LN(N135),""),"")</f>
        <v/>
      </c>
      <c r="V135" s="15">
        <f>IF(ISNUMBER(U135),IFERROR((U135-LN(IFERROR(INDEX(Estadística!$K$6:$K$35,MATCH(Y135,Estadística!$Y$6:$Y$35,0)),0)))^2,""),"")</f>
        <v/>
      </c>
      <c r="W135" s="15">
        <f>IF(ISNUMBER(N135),IFERROR((N135-IFERROR(INDEX(Estadística!$I$6:$I$35,MATCH(Y135,Estadística!$Y$6:$Y$35,0)),0))^2,""),"")</f>
        <v/>
      </c>
      <c r="X135" s="15">
        <f>IF(ISNUMBER(R135),IF(R135&gt;1,1,0),"")</f>
        <v/>
      </c>
      <c r="Y135" s="15">
        <f>IF(OR(B135="",C135=""),"",B135&amp;"|"&amp;C135)</f>
        <v/>
      </c>
    </row>
    <row r="136">
      <c r="A136" s="23" t="n">
        <v>131</v>
      </c>
      <c r="B136" s="8" t="n"/>
      <c r="C136" s="8" t="n"/>
      <c r="D136" s="9" t="n"/>
      <c r="E136" s="8" t="n"/>
      <c r="F136" s="8" t="n"/>
      <c r="G136" s="8" t="n"/>
      <c r="H136" s="8" t="n"/>
      <c r="I136" s="24" t="n"/>
      <c r="J136" s="8" t="n"/>
      <c r="K136" s="25">
        <f>IF(OR(I136="",J136=""),"",I136*J136/1000)</f>
        <v/>
      </c>
      <c r="L136" s="26" t="n"/>
      <c r="M136" s="26" t="n"/>
      <c r="N136" s="27">
        <f>IF(OR(B136="",C136=""),"",IF(M136&lt;&gt;"",M136,IF(AND(N(L136)&gt;0,N(K136)&gt;0),L136/K136,"")))</f>
        <v/>
      </c>
      <c r="O136" s="15">
        <f>IF(C136="","",IFERROR(INDEX(Agentes!$D$6:$D$60,MATCH(C136,Agentes!$A$6:$A$60,0)),""))</f>
        <v/>
      </c>
      <c r="P136" s="28">
        <f>IF(OR(H136="",O136=""),"",IF(AND(O136="Inhalable",LEFT(H136,6)="Casete"),"Subestima: el casete cerrado no colecta toda la fracción inhalable",IF(AND(O136="Respirable",LEFT(H136,6)&lt;&gt;"Ciclón"),"Requiere ciclón (fracción respirable)",IF(AND(O136="Inhalable",ISNUMBER(SEARCH("Respirable",IFERROR(INDEX(Agentes!$C$80:$C$87,MATCH(H136,Agentes!$B$80:$B$87,0)),"")))),"El ciclón no colecta la fracción inhalable","Coherente"))))</f>
        <v/>
      </c>
      <c r="Q136" s="22">
        <f>IF(Y136="","",IFERROR(INDEX(GES!$W$6:$W$35,MATCH(Y136,GES!$R$6:$R$35,0)),""))</f>
        <v/>
      </c>
      <c r="R136" s="29">
        <f>IF(AND(ISNUMBER(N136),ISNUMBER(Q136)),N136/Q136,"")</f>
        <v/>
      </c>
      <c r="S136" s="15">
        <f>IF(C136="","",IFERROR(INDEX(Agentes!$I$6:$I$60,MATCH(C136,Agentes!$A$6:$A$60,0)),""))</f>
        <v/>
      </c>
      <c r="T136" s="8" t="n"/>
      <c r="U136" s="15">
        <f>IF(ISNUMBER(N136),IF(N136&gt;0,LN(N136),""),"")</f>
        <v/>
      </c>
      <c r="V136" s="15">
        <f>IF(ISNUMBER(U136),IFERROR((U136-LN(IFERROR(INDEX(Estadística!$K$6:$K$35,MATCH(Y136,Estadística!$Y$6:$Y$35,0)),0)))^2,""),"")</f>
        <v/>
      </c>
      <c r="W136" s="15">
        <f>IF(ISNUMBER(N136),IFERROR((N136-IFERROR(INDEX(Estadística!$I$6:$I$35,MATCH(Y136,Estadística!$Y$6:$Y$35,0)),0))^2,""),"")</f>
        <v/>
      </c>
      <c r="X136" s="15">
        <f>IF(ISNUMBER(R136),IF(R136&gt;1,1,0),"")</f>
        <v/>
      </c>
      <c r="Y136" s="15">
        <f>IF(OR(B136="",C136=""),"",B136&amp;"|"&amp;C136)</f>
        <v/>
      </c>
    </row>
    <row r="137">
      <c r="A137" s="23" t="n">
        <v>132</v>
      </c>
      <c r="B137" s="8" t="n"/>
      <c r="C137" s="8" t="n"/>
      <c r="D137" s="9" t="n"/>
      <c r="E137" s="8" t="n"/>
      <c r="F137" s="8" t="n"/>
      <c r="G137" s="8" t="n"/>
      <c r="H137" s="8" t="n"/>
      <c r="I137" s="24" t="n"/>
      <c r="J137" s="8" t="n"/>
      <c r="K137" s="25">
        <f>IF(OR(I137="",J137=""),"",I137*J137/1000)</f>
        <v/>
      </c>
      <c r="L137" s="26" t="n"/>
      <c r="M137" s="26" t="n"/>
      <c r="N137" s="27">
        <f>IF(OR(B137="",C137=""),"",IF(M137&lt;&gt;"",M137,IF(AND(N(L137)&gt;0,N(K137)&gt;0),L137/K137,"")))</f>
        <v/>
      </c>
      <c r="O137" s="15">
        <f>IF(C137="","",IFERROR(INDEX(Agentes!$D$6:$D$60,MATCH(C137,Agentes!$A$6:$A$60,0)),""))</f>
        <v/>
      </c>
      <c r="P137" s="28">
        <f>IF(OR(H137="",O137=""),"",IF(AND(O137="Inhalable",LEFT(H137,6)="Casete"),"Subestima: el casete cerrado no colecta toda la fracción inhalable",IF(AND(O137="Respirable",LEFT(H137,6)&lt;&gt;"Ciclón"),"Requiere ciclón (fracción respirable)",IF(AND(O137="Inhalable",ISNUMBER(SEARCH("Respirable",IFERROR(INDEX(Agentes!$C$80:$C$87,MATCH(H137,Agentes!$B$80:$B$87,0)),"")))),"El ciclón no colecta la fracción inhalable","Coherente"))))</f>
        <v/>
      </c>
      <c r="Q137" s="22">
        <f>IF(Y137="","",IFERROR(INDEX(GES!$W$6:$W$35,MATCH(Y137,GES!$R$6:$R$35,0)),""))</f>
        <v/>
      </c>
      <c r="R137" s="29">
        <f>IF(AND(ISNUMBER(N137),ISNUMBER(Q137)),N137/Q137,"")</f>
        <v/>
      </c>
      <c r="S137" s="15">
        <f>IF(C137="","",IFERROR(INDEX(Agentes!$I$6:$I$60,MATCH(C137,Agentes!$A$6:$A$60,0)),""))</f>
        <v/>
      </c>
      <c r="T137" s="8" t="n"/>
      <c r="U137" s="15">
        <f>IF(ISNUMBER(N137),IF(N137&gt;0,LN(N137),""),"")</f>
        <v/>
      </c>
      <c r="V137" s="15">
        <f>IF(ISNUMBER(U137),IFERROR((U137-LN(IFERROR(INDEX(Estadística!$K$6:$K$35,MATCH(Y137,Estadística!$Y$6:$Y$35,0)),0)))^2,""),"")</f>
        <v/>
      </c>
      <c r="W137" s="15">
        <f>IF(ISNUMBER(N137),IFERROR((N137-IFERROR(INDEX(Estadística!$I$6:$I$35,MATCH(Y137,Estadística!$Y$6:$Y$35,0)),0))^2,""),"")</f>
        <v/>
      </c>
      <c r="X137" s="15">
        <f>IF(ISNUMBER(R137),IF(R137&gt;1,1,0),"")</f>
        <v/>
      </c>
      <c r="Y137" s="15">
        <f>IF(OR(B137="",C137=""),"",B137&amp;"|"&amp;C137)</f>
        <v/>
      </c>
    </row>
    <row r="138">
      <c r="A138" s="23" t="n">
        <v>133</v>
      </c>
      <c r="B138" s="8" t="n"/>
      <c r="C138" s="8" t="n"/>
      <c r="D138" s="9" t="n"/>
      <c r="E138" s="8" t="n"/>
      <c r="F138" s="8" t="n"/>
      <c r="G138" s="8" t="n"/>
      <c r="H138" s="8" t="n"/>
      <c r="I138" s="24" t="n"/>
      <c r="J138" s="8" t="n"/>
      <c r="K138" s="25">
        <f>IF(OR(I138="",J138=""),"",I138*J138/1000)</f>
        <v/>
      </c>
      <c r="L138" s="26" t="n"/>
      <c r="M138" s="26" t="n"/>
      <c r="N138" s="27">
        <f>IF(OR(B138="",C138=""),"",IF(M138&lt;&gt;"",M138,IF(AND(N(L138)&gt;0,N(K138)&gt;0),L138/K138,"")))</f>
        <v/>
      </c>
      <c r="O138" s="15">
        <f>IF(C138="","",IFERROR(INDEX(Agentes!$D$6:$D$60,MATCH(C138,Agentes!$A$6:$A$60,0)),""))</f>
        <v/>
      </c>
      <c r="P138" s="28">
        <f>IF(OR(H138="",O138=""),"",IF(AND(O138="Inhalable",LEFT(H138,6)="Casete"),"Subestima: el casete cerrado no colecta toda la fracción inhalable",IF(AND(O138="Respirable",LEFT(H138,6)&lt;&gt;"Ciclón"),"Requiere ciclón (fracción respirable)",IF(AND(O138="Inhalable",ISNUMBER(SEARCH("Respirable",IFERROR(INDEX(Agentes!$C$80:$C$87,MATCH(H138,Agentes!$B$80:$B$87,0)),"")))),"El ciclón no colecta la fracción inhalable","Coherente"))))</f>
        <v/>
      </c>
      <c r="Q138" s="22">
        <f>IF(Y138="","",IFERROR(INDEX(GES!$W$6:$W$35,MATCH(Y138,GES!$R$6:$R$35,0)),""))</f>
        <v/>
      </c>
      <c r="R138" s="29">
        <f>IF(AND(ISNUMBER(N138),ISNUMBER(Q138)),N138/Q138,"")</f>
        <v/>
      </c>
      <c r="S138" s="15">
        <f>IF(C138="","",IFERROR(INDEX(Agentes!$I$6:$I$60,MATCH(C138,Agentes!$A$6:$A$60,0)),""))</f>
        <v/>
      </c>
      <c r="T138" s="8" t="n"/>
      <c r="U138" s="15">
        <f>IF(ISNUMBER(N138),IF(N138&gt;0,LN(N138),""),"")</f>
        <v/>
      </c>
      <c r="V138" s="15">
        <f>IF(ISNUMBER(U138),IFERROR((U138-LN(IFERROR(INDEX(Estadística!$K$6:$K$35,MATCH(Y138,Estadística!$Y$6:$Y$35,0)),0)))^2,""),"")</f>
        <v/>
      </c>
      <c r="W138" s="15">
        <f>IF(ISNUMBER(N138),IFERROR((N138-IFERROR(INDEX(Estadística!$I$6:$I$35,MATCH(Y138,Estadística!$Y$6:$Y$35,0)),0))^2,""),"")</f>
        <v/>
      </c>
      <c r="X138" s="15">
        <f>IF(ISNUMBER(R138),IF(R138&gt;1,1,0),"")</f>
        <v/>
      </c>
      <c r="Y138" s="15">
        <f>IF(OR(B138="",C138=""),"",B138&amp;"|"&amp;C138)</f>
        <v/>
      </c>
    </row>
    <row r="139">
      <c r="A139" s="23" t="n">
        <v>134</v>
      </c>
      <c r="B139" s="8" t="n"/>
      <c r="C139" s="8" t="n"/>
      <c r="D139" s="9" t="n"/>
      <c r="E139" s="8" t="n"/>
      <c r="F139" s="8" t="n"/>
      <c r="G139" s="8" t="n"/>
      <c r="H139" s="8" t="n"/>
      <c r="I139" s="24" t="n"/>
      <c r="J139" s="8" t="n"/>
      <c r="K139" s="25">
        <f>IF(OR(I139="",J139=""),"",I139*J139/1000)</f>
        <v/>
      </c>
      <c r="L139" s="26" t="n"/>
      <c r="M139" s="26" t="n"/>
      <c r="N139" s="27">
        <f>IF(OR(B139="",C139=""),"",IF(M139&lt;&gt;"",M139,IF(AND(N(L139)&gt;0,N(K139)&gt;0),L139/K139,"")))</f>
        <v/>
      </c>
      <c r="O139" s="15">
        <f>IF(C139="","",IFERROR(INDEX(Agentes!$D$6:$D$60,MATCH(C139,Agentes!$A$6:$A$60,0)),""))</f>
        <v/>
      </c>
      <c r="P139" s="28">
        <f>IF(OR(H139="",O139=""),"",IF(AND(O139="Inhalable",LEFT(H139,6)="Casete"),"Subestima: el casete cerrado no colecta toda la fracción inhalable",IF(AND(O139="Respirable",LEFT(H139,6)&lt;&gt;"Ciclón"),"Requiere ciclón (fracción respirable)",IF(AND(O139="Inhalable",ISNUMBER(SEARCH("Respirable",IFERROR(INDEX(Agentes!$C$80:$C$87,MATCH(H139,Agentes!$B$80:$B$87,0)),"")))),"El ciclón no colecta la fracción inhalable","Coherente"))))</f>
        <v/>
      </c>
      <c r="Q139" s="22">
        <f>IF(Y139="","",IFERROR(INDEX(GES!$W$6:$W$35,MATCH(Y139,GES!$R$6:$R$35,0)),""))</f>
        <v/>
      </c>
      <c r="R139" s="29">
        <f>IF(AND(ISNUMBER(N139),ISNUMBER(Q139)),N139/Q139,"")</f>
        <v/>
      </c>
      <c r="S139" s="15">
        <f>IF(C139="","",IFERROR(INDEX(Agentes!$I$6:$I$60,MATCH(C139,Agentes!$A$6:$A$60,0)),""))</f>
        <v/>
      </c>
      <c r="T139" s="8" t="n"/>
      <c r="U139" s="15">
        <f>IF(ISNUMBER(N139),IF(N139&gt;0,LN(N139),""),"")</f>
        <v/>
      </c>
      <c r="V139" s="15">
        <f>IF(ISNUMBER(U139),IFERROR((U139-LN(IFERROR(INDEX(Estadística!$K$6:$K$35,MATCH(Y139,Estadística!$Y$6:$Y$35,0)),0)))^2,""),"")</f>
        <v/>
      </c>
      <c r="W139" s="15">
        <f>IF(ISNUMBER(N139),IFERROR((N139-IFERROR(INDEX(Estadística!$I$6:$I$35,MATCH(Y139,Estadística!$Y$6:$Y$35,0)),0))^2,""),"")</f>
        <v/>
      </c>
      <c r="X139" s="15">
        <f>IF(ISNUMBER(R139),IF(R139&gt;1,1,0),"")</f>
        <v/>
      </c>
      <c r="Y139" s="15">
        <f>IF(OR(B139="",C139=""),"",B139&amp;"|"&amp;C139)</f>
        <v/>
      </c>
    </row>
    <row r="140">
      <c r="A140" s="23" t="n">
        <v>135</v>
      </c>
      <c r="B140" s="8" t="n"/>
      <c r="C140" s="8" t="n"/>
      <c r="D140" s="9" t="n"/>
      <c r="E140" s="8" t="n"/>
      <c r="F140" s="8" t="n"/>
      <c r="G140" s="8" t="n"/>
      <c r="H140" s="8" t="n"/>
      <c r="I140" s="24" t="n"/>
      <c r="J140" s="8" t="n"/>
      <c r="K140" s="25">
        <f>IF(OR(I140="",J140=""),"",I140*J140/1000)</f>
        <v/>
      </c>
      <c r="L140" s="26" t="n"/>
      <c r="M140" s="26" t="n"/>
      <c r="N140" s="27">
        <f>IF(OR(B140="",C140=""),"",IF(M140&lt;&gt;"",M140,IF(AND(N(L140)&gt;0,N(K140)&gt;0),L140/K140,"")))</f>
        <v/>
      </c>
      <c r="O140" s="15">
        <f>IF(C140="","",IFERROR(INDEX(Agentes!$D$6:$D$60,MATCH(C140,Agentes!$A$6:$A$60,0)),""))</f>
        <v/>
      </c>
      <c r="P140" s="28">
        <f>IF(OR(H140="",O140=""),"",IF(AND(O140="Inhalable",LEFT(H140,6)="Casete"),"Subestima: el casete cerrado no colecta toda la fracción inhalable",IF(AND(O140="Respirable",LEFT(H140,6)&lt;&gt;"Ciclón"),"Requiere ciclón (fracción respirable)",IF(AND(O140="Inhalable",ISNUMBER(SEARCH("Respirable",IFERROR(INDEX(Agentes!$C$80:$C$87,MATCH(H140,Agentes!$B$80:$B$87,0)),"")))),"El ciclón no colecta la fracción inhalable","Coherente"))))</f>
        <v/>
      </c>
      <c r="Q140" s="22">
        <f>IF(Y140="","",IFERROR(INDEX(GES!$W$6:$W$35,MATCH(Y140,GES!$R$6:$R$35,0)),""))</f>
        <v/>
      </c>
      <c r="R140" s="29">
        <f>IF(AND(ISNUMBER(N140),ISNUMBER(Q140)),N140/Q140,"")</f>
        <v/>
      </c>
      <c r="S140" s="15">
        <f>IF(C140="","",IFERROR(INDEX(Agentes!$I$6:$I$60,MATCH(C140,Agentes!$A$6:$A$60,0)),""))</f>
        <v/>
      </c>
      <c r="T140" s="8" t="n"/>
      <c r="U140" s="15">
        <f>IF(ISNUMBER(N140),IF(N140&gt;0,LN(N140),""),"")</f>
        <v/>
      </c>
      <c r="V140" s="15">
        <f>IF(ISNUMBER(U140),IFERROR((U140-LN(IFERROR(INDEX(Estadística!$K$6:$K$35,MATCH(Y140,Estadística!$Y$6:$Y$35,0)),0)))^2,""),"")</f>
        <v/>
      </c>
      <c r="W140" s="15">
        <f>IF(ISNUMBER(N140),IFERROR((N140-IFERROR(INDEX(Estadística!$I$6:$I$35,MATCH(Y140,Estadística!$Y$6:$Y$35,0)),0))^2,""),"")</f>
        <v/>
      </c>
      <c r="X140" s="15">
        <f>IF(ISNUMBER(R140),IF(R140&gt;1,1,0),"")</f>
        <v/>
      </c>
      <c r="Y140" s="15">
        <f>IF(OR(B140="",C140=""),"",B140&amp;"|"&amp;C140)</f>
        <v/>
      </c>
    </row>
    <row r="141">
      <c r="A141" s="23" t="n">
        <v>136</v>
      </c>
      <c r="B141" s="8" t="n"/>
      <c r="C141" s="8" t="n"/>
      <c r="D141" s="9" t="n"/>
      <c r="E141" s="8" t="n"/>
      <c r="F141" s="8" t="n"/>
      <c r="G141" s="8" t="n"/>
      <c r="H141" s="8" t="n"/>
      <c r="I141" s="24" t="n"/>
      <c r="J141" s="8" t="n"/>
      <c r="K141" s="25">
        <f>IF(OR(I141="",J141=""),"",I141*J141/1000)</f>
        <v/>
      </c>
      <c r="L141" s="26" t="n"/>
      <c r="M141" s="26" t="n"/>
      <c r="N141" s="27">
        <f>IF(OR(B141="",C141=""),"",IF(M141&lt;&gt;"",M141,IF(AND(N(L141)&gt;0,N(K141)&gt;0),L141/K141,"")))</f>
        <v/>
      </c>
      <c r="O141" s="15">
        <f>IF(C141="","",IFERROR(INDEX(Agentes!$D$6:$D$60,MATCH(C141,Agentes!$A$6:$A$60,0)),""))</f>
        <v/>
      </c>
      <c r="P141" s="28">
        <f>IF(OR(H141="",O141=""),"",IF(AND(O141="Inhalable",LEFT(H141,6)="Casete"),"Subestima: el casete cerrado no colecta toda la fracción inhalable",IF(AND(O141="Respirable",LEFT(H141,6)&lt;&gt;"Ciclón"),"Requiere ciclón (fracción respirable)",IF(AND(O141="Inhalable",ISNUMBER(SEARCH("Respirable",IFERROR(INDEX(Agentes!$C$80:$C$87,MATCH(H141,Agentes!$B$80:$B$87,0)),"")))),"El ciclón no colecta la fracción inhalable","Coherente"))))</f>
        <v/>
      </c>
      <c r="Q141" s="22">
        <f>IF(Y141="","",IFERROR(INDEX(GES!$W$6:$W$35,MATCH(Y141,GES!$R$6:$R$35,0)),""))</f>
        <v/>
      </c>
      <c r="R141" s="29">
        <f>IF(AND(ISNUMBER(N141),ISNUMBER(Q141)),N141/Q141,"")</f>
        <v/>
      </c>
      <c r="S141" s="15">
        <f>IF(C141="","",IFERROR(INDEX(Agentes!$I$6:$I$60,MATCH(C141,Agentes!$A$6:$A$60,0)),""))</f>
        <v/>
      </c>
      <c r="T141" s="8" t="n"/>
      <c r="U141" s="15">
        <f>IF(ISNUMBER(N141),IF(N141&gt;0,LN(N141),""),"")</f>
        <v/>
      </c>
      <c r="V141" s="15">
        <f>IF(ISNUMBER(U141),IFERROR((U141-LN(IFERROR(INDEX(Estadística!$K$6:$K$35,MATCH(Y141,Estadística!$Y$6:$Y$35,0)),0)))^2,""),"")</f>
        <v/>
      </c>
      <c r="W141" s="15">
        <f>IF(ISNUMBER(N141),IFERROR((N141-IFERROR(INDEX(Estadística!$I$6:$I$35,MATCH(Y141,Estadística!$Y$6:$Y$35,0)),0))^2,""),"")</f>
        <v/>
      </c>
      <c r="X141" s="15">
        <f>IF(ISNUMBER(R141),IF(R141&gt;1,1,0),"")</f>
        <v/>
      </c>
      <c r="Y141" s="15">
        <f>IF(OR(B141="",C141=""),"",B141&amp;"|"&amp;C141)</f>
        <v/>
      </c>
    </row>
    <row r="142">
      <c r="A142" s="23" t="n">
        <v>137</v>
      </c>
      <c r="B142" s="8" t="n"/>
      <c r="C142" s="8" t="n"/>
      <c r="D142" s="9" t="n"/>
      <c r="E142" s="8" t="n"/>
      <c r="F142" s="8" t="n"/>
      <c r="G142" s="8" t="n"/>
      <c r="H142" s="8" t="n"/>
      <c r="I142" s="24" t="n"/>
      <c r="J142" s="8" t="n"/>
      <c r="K142" s="25">
        <f>IF(OR(I142="",J142=""),"",I142*J142/1000)</f>
        <v/>
      </c>
      <c r="L142" s="26" t="n"/>
      <c r="M142" s="26" t="n"/>
      <c r="N142" s="27">
        <f>IF(OR(B142="",C142=""),"",IF(M142&lt;&gt;"",M142,IF(AND(N(L142)&gt;0,N(K142)&gt;0),L142/K142,"")))</f>
        <v/>
      </c>
      <c r="O142" s="15">
        <f>IF(C142="","",IFERROR(INDEX(Agentes!$D$6:$D$60,MATCH(C142,Agentes!$A$6:$A$60,0)),""))</f>
        <v/>
      </c>
      <c r="P142" s="28">
        <f>IF(OR(H142="",O142=""),"",IF(AND(O142="Inhalable",LEFT(H142,6)="Casete"),"Subestima: el casete cerrado no colecta toda la fracción inhalable",IF(AND(O142="Respirable",LEFT(H142,6)&lt;&gt;"Ciclón"),"Requiere ciclón (fracción respirable)",IF(AND(O142="Inhalable",ISNUMBER(SEARCH("Respirable",IFERROR(INDEX(Agentes!$C$80:$C$87,MATCH(H142,Agentes!$B$80:$B$87,0)),"")))),"El ciclón no colecta la fracción inhalable","Coherente"))))</f>
        <v/>
      </c>
      <c r="Q142" s="22">
        <f>IF(Y142="","",IFERROR(INDEX(GES!$W$6:$W$35,MATCH(Y142,GES!$R$6:$R$35,0)),""))</f>
        <v/>
      </c>
      <c r="R142" s="29">
        <f>IF(AND(ISNUMBER(N142),ISNUMBER(Q142)),N142/Q142,"")</f>
        <v/>
      </c>
      <c r="S142" s="15">
        <f>IF(C142="","",IFERROR(INDEX(Agentes!$I$6:$I$60,MATCH(C142,Agentes!$A$6:$A$60,0)),""))</f>
        <v/>
      </c>
      <c r="T142" s="8" t="n"/>
      <c r="U142" s="15">
        <f>IF(ISNUMBER(N142),IF(N142&gt;0,LN(N142),""),"")</f>
        <v/>
      </c>
      <c r="V142" s="15">
        <f>IF(ISNUMBER(U142),IFERROR((U142-LN(IFERROR(INDEX(Estadística!$K$6:$K$35,MATCH(Y142,Estadística!$Y$6:$Y$35,0)),0)))^2,""),"")</f>
        <v/>
      </c>
      <c r="W142" s="15">
        <f>IF(ISNUMBER(N142),IFERROR((N142-IFERROR(INDEX(Estadística!$I$6:$I$35,MATCH(Y142,Estadística!$Y$6:$Y$35,0)),0))^2,""),"")</f>
        <v/>
      </c>
      <c r="X142" s="15">
        <f>IF(ISNUMBER(R142),IF(R142&gt;1,1,0),"")</f>
        <v/>
      </c>
      <c r="Y142" s="15">
        <f>IF(OR(B142="",C142=""),"",B142&amp;"|"&amp;C142)</f>
        <v/>
      </c>
    </row>
    <row r="143">
      <c r="A143" s="23" t="n">
        <v>138</v>
      </c>
      <c r="B143" s="8" t="n"/>
      <c r="C143" s="8" t="n"/>
      <c r="D143" s="9" t="n"/>
      <c r="E143" s="8" t="n"/>
      <c r="F143" s="8" t="n"/>
      <c r="G143" s="8" t="n"/>
      <c r="H143" s="8" t="n"/>
      <c r="I143" s="24" t="n"/>
      <c r="J143" s="8" t="n"/>
      <c r="K143" s="25">
        <f>IF(OR(I143="",J143=""),"",I143*J143/1000)</f>
        <v/>
      </c>
      <c r="L143" s="26" t="n"/>
      <c r="M143" s="26" t="n"/>
      <c r="N143" s="27">
        <f>IF(OR(B143="",C143=""),"",IF(M143&lt;&gt;"",M143,IF(AND(N(L143)&gt;0,N(K143)&gt;0),L143/K143,"")))</f>
        <v/>
      </c>
      <c r="O143" s="15">
        <f>IF(C143="","",IFERROR(INDEX(Agentes!$D$6:$D$60,MATCH(C143,Agentes!$A$6:$A$60,0)),""))</f>
        <v/>
      </c>
      <c r="P143" s="28">
        <f>IF(OR(H143="",O143=""),"",IF(AND(O143="Inhalable",LEFT(H143,6)="Casete"),"Subestima: el casete cerrado no colecta toda la fracción inhalable",IF(AND(O143="Respirable",LEFT(H143,6)&lt;&gt;"Ciclón"),"Requiere ciclón (fracción respirable)",IF(AND(O143="Inhalable",ISNUMBER(SEARCH("Respirable",IFERROR(INDEX(Agentes!$C$80:$C$87,MATCH(H143,Agentes!$B$80:$B$87,0)),"")))),"El ciclón no colecta la fracción inhalable","Coherente"))))</f>
        <v/>
      </c>
      <c r="Q143" s="22">
        <f>IF(Y143="","",IFERROR(INDEX(GES!$W$6:$W$35,MATCH(Y143,GES!$R$6:$R$35,0)),""))</f>
        <v/>
      </c>
      <c r="R143" s="29">
        <f>IF(AND(ISNUMBER(N143),ISNUMBER(Q143)),N143/Q143,"")</f>
        <v/>
      </c>
      <c r="S143" s="15">
        <f>IF(C143="","",IFERROR(INDEX(Agentes!$I$6:$I$60,MATCH(C143,Agentes!$A$6:$A$60,0)),""))</f>
        <v/>
      </c>
      <c r="T143" s="8" t="n"/>
      <c r="U143" s="15">
        <f>IF(ISNUMBER(N143),IF(N143&gt;0,LN(N143),""),"")</f>
        <v/>
      </c>
      <c r="V143" s="15">
        <f>IF(ISNUMBER(U143),IFERROR((U143-LN(IFERROR(INDEX(Estadística!$K$6:$K$35,MATCH(Y143,Estadística!$Y$6:$Y$35,0)),0)))^2,""),"")</f>
        <v/>
      </c>
      <c r="W143" s="15">
        <f>IF(ISNUMBER(N143),IFERROR((N143-IFERROR(INDEX(Estadística!$I$6:$I$35,MATCH(Y143,Estadística!$Y$6:$Y$35,0)),0))^2,""),"")</f>
        <v/>
      </c>
      <c r="X143" s="15">
        <f>IF(ISNUMBER(R143),IF(R143&gt;1,1,0),"")</f>
        <v/>
      </c>
      <c r="Y143" s="15">
        <f>IF(OR(B143="",C143=""),"",B143&amp;"|"&amp;C143)</f>
        <v/>
      </c>
    </row>
    <row r="144">
      <c r="A144" s="23" t="n">
        <v>139</v>
      </c>
      <c r="B144" s="8" t="n"/>
      <c r="C144" s="8" t="n"/>
      <c r="D144" s="9" t="n"/>
      <c r="E144" s="8" t="n"/>
      <c r="F144" s="8" t="n"/>
      <c r="G144" s="8" t="n"/>
      <c r="H144" s="8" t="n"/>
      <c r="I144" s="24" t="n"/>
      <c r="J144" s="8" t="n"/>
      <c r="K144" s="25">
        <f>IF(OR(I144="",J144=""),"",I144*J144/1000)</f>
        <v/>
      </c>
      <c r="L144" s="26" t="n"/>
      <c r="M144" s="26" t="n"/>
      <c r="N144" s="27">
        <f>IF(OR(B144="",C144=""),"",IF(M144&lt;&gt;"",M144,IF(AND(N(L144)&gt;0,N(K144)&gt;0),L144/K144,"")))</f>
        <v/>
      </c>
      <c r="O144" s="15">
        <f>IF(C144="","",IFERROR(INDEX(Agentes!$D$6:$D$60,MATCH(C144,Agentes!$A$6:$A$60,0)),""))</f>
        <v/>
      </c>
      <c r="P144" s="28">
        <f>IF(OR(H144="",O144=""),"",IF(AND(O144="Inhalable",LEFT(H144,6)="Casete"),"Subestima: el casete cerrado no colecta toda la fracción inhalable",IF(AND(O144="Respirable",LEFT(H144,6)&lt;&gt;"Ciclón"),"Requiere ciclón (fracción respirable)",IF(AND(O144="Inhalable",ISNUMBER(SEARCH("Respirable",IFERROR(INDEX(Agentes!$C$80:$C$87,MATCH(H144,Agentes!$B$80:$B$87,0)),"")))),"El ciclón no colecta la fracción inhalable","Coherente"))))</f>
        <v/>
      </c>
      <c r="Q144" s="22">
        <f>IF(Y144="","",IFERROR(INDEX(GES!$W$6:$W$35,MATCH(Y144,GES!$R$6:$R$35,0)),""))</f>
        <v/>
      </c>
      <c r="R144" s="29">
        <f>IF(AND(ISNUMBER(N144),ISNUMBER(Q144)),N144/Q144,"")</f>
        <v/>
      </c>
      <c r="S144" s="15">
        <f>IF(C144="","",IFERROR(INDEX(Agentes!$I$6:$I$60,MATCH(C144,Agentes!$A$6:$A$60,0)),""))</f>
        <v/>
      </c>
      <c r="T144" s="8" t="n"/>
      <c r="U144" s="15">
        <f>IF(ISNUMBER(N144),IF(N144&gt;0,LN(N144),""),"")</f>
        <v/>
      </c>
      <c r="V144" s="15">
        <f>IF(ISNUMBER(U144),IFERROR((U144-LN(IFERROR(INDEX(Estadística!$K$6:$K$35,MATCH(Y144,Estadística!$Y$6:$Y$35,0)),0)))^2,""),"")</f>
        <v/>
      </c>
      <c r="W144" s="15">
        <f>IF(ISNUMBER(N144),IFERROR((N144-IFERROR(INDEX(Estadística!$I$6:$I$35,MATCH(Y144,Estadística!$Y$6:$Y$35,0)),0))^2,""),"")</f>
        <v/>
      </c>
      <c r="X144" s="15">
        <f>IF(ISNUMBER(R144),IF(R144&gt;1,1,0),"")</f>
        <v/>
      </c>
      <c r="Y144" s="15">
        <f>IF(OR(B144="",C144=""),"",B144&amp;"|"&amp;C144)</f>
        <v/>
      </c>
    </row>
    <row r="145">
      <c r="A145" s="23" t="n">
        <v>140</v>
      </c>
      <c r="B145" s="8" t="n"/>
      <c r="C145" s="8" t="n"/>
      <c r="D145" s="9" t="n"/>
      <c r="E145" s="8" t="n"/>
      <c r="F145" s="8" t="n"/>
      <c r="G145" s="8" t="n"/>
      <c r="H145" s="8" t="n"/>
      <c r="I145" s="24" t="n"/>
      <c r="J145" s="8" t="n"/>
      <c r="K145" s="25">
        <f>IF(OR(I145="",J145=""),"",I145*J145/1000)</f>
        <v/>
      </c>
      <c r="L145" s="26" t="n"/>
      <c r="M145" s="26" t="n"/>
      <c r="N145" s="27">
        <f>IF(OR(B145="",C145=""),"",IF(M145&lt;&gt;"",M145,IF(AND(N(L145)&gt;0,N(K145)&gt;0),L145/K145,"")))</f>
        <v/>
      </c>
      <c r="O145" s="15">
        <f>IF(C145="","",IFERROR(INDEX(Agentes!$D$6:$D$60,MATCH(C145,Agentes!$A$6:$A$60,0)),""))</f>
        <v/>
      </c>
      <c r="P145" s="28">
        <f>IF(OR(H145="",O145=""),"",IF(AND(O145="Inhalable",LEFT(H145,6)="Casete"),"Subestima: el casete cerrado no colecta toda la fracción inhalable",IF(AND(O145="Respirable",LEFT(H145,6)&lt;&gt;"Ciclón"),"Requiere ciclón (fracción respirable)",IF(AND(O145="Inhalable",ISNUMBER(SEARCH("Respirable",IFERROR(INDEX(Agentes!$C$80:$C$87,MATCH(H145,Agentes!$B$80:$B$87,0)),"")))),"El ciclón no colecta la fracción inhalable","Coherente"))))</f>
        <v/>
      </c>
      <c r="Q145" s="22">
        <f>IF(Y145="","",IFERROR(INDEX(GES!$W$6:$W$35,MATCH(Y145,GES!$R$6:$R$35,0)),""))</f>
        <v/>
      </c>
      <c r="R145" s="29">
        <f>IF(AND(ISNUMBER(N145),ISNUMBER(Q145)),N145/Q145,"")</f>
        <v/>
      </c>
      <c r="S145" s="15">
        <f>IF(C145="","",IFERROR(INDEX(Agentes!$I$6:$I$60,MATCH(C145,Agentes!$A$6:$A$60,0)),""))</f>
        <v/>
      </c>
      <c r="T145" s="8" t="n"/>
      <c r="U145" s="15">
        <f>IF(ISNUMBER(N145),IF(N145&gt;0,LN(N145),""),"")</f>
        <v/>
      </c>
      <c r="V145" s="15">
        <f>IF(ISNUMBER(U145),IFERROR((U145-LN(IFERROR(INDEX(Estadística!$K$6:$K$35,MATCH(Y145,Estadística!$Y$6:$Y$35,0)),0)))^2,""),"")</f>
        <v/>
      </c>
      <c r="W145" s="15">
        <f>IF(ISNUMBER(N145),IFERROR((N145-IFERROR(INDEX(Estadística!$I$6:$I$35,MATCH(Y145,Estadística!$Y$6:$Y$35,0)),0))^2,""),"")</f>
        <v/>
      </c>
      <c r="X145" s="15">
        <f>IF(ISNUMBER(R145),IF(R145&gt;1,1,0),"")</f>
        <v/>
      </c>
      <c r="Y145" s="15">
        <f>IF(OR(B145="",C145=""),"",B145&amp;"|"&amp;C145)</f>
        <v/>
      </c>
    </row>
    <row r="146">
      <c r="A146" s="23" t="n">
        <v>141</v>
      </c>
      <c r="B146" s="8" t="n"/>
      <c r="C146" s="8" t="n"/>
      <c r="D146" s="9" t="n"/>
      <c r="E146" s="8" t="n"/>
      <c r="F146" s="8" t="n"/>
      <c r="G146" s="8" t="n"/>
      <c r="H146" s="8" t="n"/>
      <c r="I146" s="24" t="n"/>
      <c r="J146" s="8" t="n"/>
      <c r="K146" s="25">
        <f>IF(OR(I146="",J146=""),"",I146*J146/1000)</f>
        <v/>
      </c>
      <c r="L146" s="26" t="n"/>
      <c r="M146" s="26" t="n"/>
      <c r="N146" s="27">
        <f>IF(OR(B146="",C146=""),"",IF(M146&lt;&gt;"",M146,IF(AND(N(L146)&gt;0,N(K146)&gt;0),L146/K146,"")))</f>
        <v/>
      </c>
      <c r="O146" s="15">
        <f>IF(C146="","",IFERROR(INDEX(Agentes!$D$6:$D$60,MATCH(C146,Agentes!$A$6:$A$60,0)),""))</f>
        <v/>
      </c>
      <c r="P146" s="28">
        <f>IF(OR(H146="",O146=""),"",IF(AND(O146="Inhalable",LEFT(H146,6)="Casete"),"Subestima: el casete cerrado no colecta toda la fracción inhalable",IF(AND(O146="Respirable",LEFT(H146,6)&lt;&gt;"Ciclón"),"Requiere ciclón (fracción respirable)",IF(AND(O146="Inhalable",ISNUMBER(SEARCH("Respirable",IFERROR(INDEX(Agentes!$C$80:$C$87,MATCH(H146,Agentes!$B$80:$B$87,0)),"")))),"El ciclón no colecta la fracción inhalable","Coherente"))))</f>
        <v/>
      </c>
      <c r="Q146" s="22">
        <f>IF(Y146="","",IFERROR(INDEX(GES!$W$6:$W$35,MATCH(Y146,GES!$R$6:$R$35,0)),""))</f>
        <v/>
      </c>
      <c r="R146" s="29">
        <f>IF(AND(ISNUMBER(N146),ISNUMBER(Q146)),N146/Q146,"")</f>
        <v/>
      </c>
      <c r="S146" s="15">
        <f>IF(C146="","",IFERROR(INDEX(Agentes!$I$6:$I$60,MATCH(C146,Agentes!$A$6:$A$60,0)),""))</f>
        <v/>
      </c>
      <c r="T146" s="8" t="n"/>
      <c r="U146" s="15">
        <f>IF(ISNUMBER(N146),IF(N146&gt;0,LN(N146),""),"")</f>
        <v/>
      </c>
      <c r="V146" s="15">
        <f>IF(ISNUMBER(U146),IFERROR((U146-LN(IFERROR(INDEX(Estadística!$K$6:$K$35,MATCH(Y146,Estadística!$Y$6:$Y$35,0)),0)))^2,""),"")</f>
        <v/>
      </c>
      <c r="W146" s="15">
        <f>IF(ISNUMBER(N146),IFERROR((N146-IFERROR(INDEX(Estadística!$I$6:$I$35,MATCH(Y146,Estadística!$Y$6:$Y$35,0)),0))^2,""),"")</f>
        <v/>
      </c>
      <c r="X146" s="15">
        <f>IF(ISNUMBER(R146),IF(R146&gt;1,1,0),"")</f>
        <v/>
      </c>
      <c r="Y146" s="15">
        <f>IF(OR(B146="",C146=""),"",B146&amp;"|"&amp;C146)</f>
        <v/>
      </c>
    </row>
    <row r="147">
      <c r="A147" s="23" t="n">
        <v>142</v>
      </c>
      <c r="B147" s="8" t="n"/>
      <c r="C147" s="8" t="n"/>
      <c r="D147" s="9" t="n"/>
      <c r="E147" s="8" t="n"/>
      <c r="F147" s="8" t="n"/>
      <c r="G147" s="8" t="n"/>
      <c r="H147" s="8" t="n"/>
      <c r="I147" s="24" t="n"/>
      <c r="J147" s="8" t="n"/>
      <c r="K147" s="25">
        <f>IF(OR(I147="",J147=""),"",I147*J147/1000)</f>
        <v/>
      </c>
      <c r="L147" s="26" t="n"/>
      <c r="M147" s="26" t="n"/>
      <c r="N147" s="27">
        <f>IF(OR(B147="",C147=""),"",IF(M147&lt;&gt;"",M147,IF(AND(N(L147)&gt;0,N(K147)&gt;0),L147/K147,"")))</f>
        <v/>
      </c>
      <c r="O147" s="15">
        <f>IF(C147="","",IFERROR(INDEX(Agentes!$D$6:$D$60,MATCH(C147,Agentes!$A$6:$A$60,0)),""))</f>
        <v/>
      </c>
      <c r="P147" s="28">
        <f>IF(OR(H147="",O147=""),"",IF(AND(O147="Inhalable",LEFT(H147,6)="Casete"),"Subestima: el casete cerrado no colecta toda la fracción inhalable",IF(AND(O147="Respirable",LEFT(H147,6)&lt;&gt;"Ciclón"),"Requiere ciclón (fracción respirable)",IF(AND(O147="Inhalable",ISNUMBER(SEARCH("Respirable",IFERROR(INDEX(Agentes!$C$80:$C$87,MATCH(H147,Agentes!$B$80:$B$87,0)),"")))),"El ciclón no colecta la fracción inhalable","Coherente"))))</f>
        <v/>
      </c>
      <c r="Q147" s="22">
        <f>IF(Y147="","",IFERROR(INDEX(GES!$W$6:$W$35,MATCH(Y147,GES!$R$6:$R$35,0)),""))</f>
        <v/>
      </c>
      <c r="R147" s="29">
        <f>IF(AND(ISNUMBER(N147),ISNUMBER(Q147)),N147/Q147,"")</f>
        <v/>
      </c>
      <c r="S147" s="15">
        <f>IF(C147="","",IFERROR(INDEX(Agentes!$I$6:$I$60,MATCH(C147,Agentes!$A$6:$A$60,0)),""))</f>
        <v/>
      </c>
      <c r="T147" s="8" t="n"/>
      <c r="U147" s="15">
        <f>IF(ISNUMBER(N147),IF(N147&gt;0,LN(N147),""),"")</f>
        <v/>
      </c>
      <c r="V147" s="15">
        <f>IF(ISNUMBER(U147),IFERROR((U147-LN(IFERROR(INDEX(Estadística!$K$6:$K$35,MATCH(Y147,Estadística!$Y$6:$Y$35,0)),0)))^2,""),"")</f>
        <v/>
      </c>
      <c r="W147" s="15">
        <f>IF(ISNUMBER(N147),IFERROR((N147-IFERROR(INDEX(Estadística!$I$6:$I$35,MATCH(Y147,Estadística!$Y$6:$Y$35,0)),0))^2,""),"")</f>
        <v/>
      </c>
      <c r="X147" s="15">
        <f>IF(ISNUMBER(R147),IF(R147&gt;1,1,0),"")</f>
        <v/>
      </c>
      <c r="Y147" s="15">
        <f>IF(OR(B147="",C147=""),"",B147&amp;"|"&amp;C147)</f>
        <v/>
      </c>
    </row>
    <row r="148">
      <c r="A148" s="23" t="n">
        <v>143</v>
      </c>
      <c r="B148" s="8" t="n"/>
      <c r="C148" s="8" t="n"/>
      <c r="D148" s="9" t="n"/>
      <c r="E148" s="8" t="n"/>
      <c r="F148" s="8" t="n"/>
      <c r="G148" s="8" t="n"/>
      <c r="H148" s="8" t="n"/>
      <c r="I148" s="24" t="n"/>
      <c r="J148" s="8" t="n"/>
      <c r="K148" s="25">
        <f>IF(OR(I148="",J148=""),"",I148*J148/1000)</f>
        <v/>
      </c>
      <c r="L148" s="26" t="n"/>
      <c r="M148" s="26" t="n"/>
      <c r="N148" s="27">
        <f>IF(OR(B148="",C148=""),"",IF(M148&lt;&gt;"",M148,IF(AND(N(L148)&gt;0,N(K148)&gt;0),L148/K148,"")))</f>
        <v/>
      </c>
      <c r="O148" s="15">
        <f>IF(C148="","",IFERROR(INDEX(Agentes!$D$6:$D$60,MATCH(C148,Agentes!$A$6:$A$60,0)),""))</f>
        <v/>
      </c>
      <c r="P148" s="28">
        <f>IF(OR(H148="",O148=""),"",IF(AND(O148="Inhalable",LEFT(H148,6)="Casete"),"Subestima: el casete cerrado no colecta toda la fracción inhalable",IF(AND(O148="Respirable",LEFT(H148,6)&lt;&gt;"Ciclón"),"Requiere ciclón (fracción respirable)",IF(AND(O148="Inhalable",ISNUMBER(SEARCH("Respirable",IFERROR(INDEX(Agentes!$C$80:$C$87,MATCH(H148,Agentes!$B$80:$B$87,0)),"")))),"El ciclón no colecta la fracción inhalable","Coherente"))))</f>
        <v/>
      </c>
      <c r="Q148" s="22">
        <f>IF(Y148="","",IFERROR(INDEX(GES!$W$6:$W$35,MATCH(Y148,GES!$R$6:$R$35,0)),""))</f>
        <v/>
      </c>
      <c r="R148" s="29">
        <f>IF(AND(ISNUMBER(N148),ISNUMBER(Q148)),N148/Q148,"")</f>
        <v/>
      </c>
      <c r="S148" s="15">
        <f>IF(C148="","",IFERROR(INDEX(Agentes!$I$6:$I$60,MATCH(C148,Agentes!$A$6:$A$60,0)),""))</f>
        <v/>
      </c>
      <c r="T148" s="8" t="n"/>
      <c r="U148" s="15">
        <f>IF(ISNUMBER(N148),IF(N148&gt;0,LN(N148),""),"")</f>
        <v/>
      </c>
      <c r="V148" s="15">
        <f>IF(ISNUMBER(U148),IFERROR((U148-LN(IFERROR(INDEX(Estadística!$K$6:$K$35,MATCH(Y148,Estadística!$Y$6:$Y$35,0)),0)))^2,""),"")</f>
        <v/>
      </c>
      <c r="W148" s="15">
        <f>IF(ISNUMBER(N148),IFERROR((N148-IFERROR(INDEX(Estadística!$I$6:$I$35,MATCH(Y148,Estadística!$Y$6:$Y$35,0)),0))^2,""),"")</f>
        <v/>
      </c>
      <c r="X148" s="15">
        <f>IF(ISNUMBER(R148),IF(R148&gt;1,1,0),"")</f>
        <v/>
      </c>
      <c r="Y148" s="15">
        <f>IF(OR(B148="",C148=""),"",B148&amp;"|"&amp;C148)</f>
        <v/>
      </c>
    </row>
    <row r="149">
      <c r="A149" s="23" t="n">
        <v>144</v>
      </c>
      <c r="B149" s="8" t="n"/>
      <c r="C149" s="8" t="n"/>
      <c r="D149" s="9" t="n"/>
      <c r="E149" s="8" t="n"/>
      <c r="F149" s="8" t="n"/>
      <c r="G149" s="8" t="n"/>
      <c r="H149" s="8" t="n"/>
      <c r="I149" s="24" t="n"/>
      <c r="J149" s="8" t="n"/>
      <c r="K149" s="25">
        <f>IF(OR(I149="",J149=""),"",I149*J149/1000)</f>
        <v/>
      </c>
      <c r="L149" s="26" t="n"/>
      <c r="M149" s="26" t="n"/>
      <c r="N149" s="27">
        <f>IF(OR(B149="",C149=""),"",IF(M149&lt;&gt;"",M149,IF(AND(N(L149)&gt;0,N(K149)&gt;0),L149/K149,"")))</f>
        <v/>
      </c>
      <c r="O149" s="15">
        <f>IF(C149="","",IFERROR(INDEX(Agentes!$D$6:$D$60,MATCH(C149,Agentes!$A$6:$A$60,0)),""))</f>
        <v/>
      </c>
      <c r="P149" s="28">
        <f>IF(OR(H149="",O149=""),"",IF(AND(O149="Inhalable",LEFT(H149,6)="Casete"),"Subestima: el casete cerrado no colecta toda la fracción inhalable",IF(AND(O149="Respirable",LEFT(H149,6)&lt;&gt;"Ciclón"),"Requiere ciclón (fracción respirable)",IF(AND(O149="Inhalable",ISNUMBER(SEARCH("Respirable",IFERROR(INDEX(Agentes!$C$80:$C$87,MATCH(H149,Agentes!$B$80:$B$87,0)),"")))),"El ciclón no colecta la fracción inhalable","Coherente"))))</f>
        <v/>
      </c>
      <c r="Q149" s="22">
        <f>IF(Y149="","",IFERROR(INDEX(GES!$W$6:$W$35,MATCH(Y149,GES!$R$6:$R$35,0)),""))</f>
        <v/>
      </c>
      <c r="R149" s="29">
        <f>IF(AND(ISNUMBER(N149),ISNUMBER(Q149)),N149/Q149,"")</f>
        <v/>
      </c>
      <c r="S149" s="15">
        <f>IF(C149="","",IFERROR(INDEX(Agentes!$I$6:$I$60,MATCH(C149,Agentes!$A$6:$A$60,0)),""))</f>
        <v/>
      </c>
      <c r="T149" s="8" t="n"/>
      <c r="U149" s="15">
        <f>IF(ISNUMBER(N149),IF(N149&gt;0,LN(N149),""),"")</f>
        <v/>
      </c>
      <c r="V149" s="15">
        <f>IF(ISNUMBER(U149),IFERROR((U149-LN(IFERROR(INDEX(Estadística!$K$6:$K$35,MATCH(Y149,Estadística!$Y$6:$Y$35,0)),0)))^2,""),"")</f>
        <v/>
      </c>
      <c r="W149" s="15">
        <f>IF(ISNUMBER(N149),IFERROR((N149-IFERROR(INDEX(Estadística!$I$6:$I$35,MATCH(Y149,Estadística!$Y$6:$Y$35,0)),0))^2,""),"")</f>
        <v/>
      </c>
      <c r="X149" s="15">
        <f>IF(ISNUMBER(R149),IF(R149&gt;1,1,0),"")</f>
        <v/>
      </c>
      <c r="Y149" s="15">
        <f>IF(OR(B149="",C149=""),"",B149&amp;"|"&amp;C149)</f>
        <v/>
      </c>
    </row>
    <row r="150">
      <c r="A150" s="23" t="n">
        <v>145</v>
      </c>
      <c r="B150" s="8" t="n"/>
      <c r="C150" s="8" t="n"/>
      <c r="D150" s="9" t="n"/>
      <c r="E150" s="8" t="n"/>
      <c r="F150" s="8" t="n"/>
      <c r="G150" s="8" t="n"/>
      <c r="H150" s="8" t="n"/>
      <c r="I150" s="24" t="n"/>
      <c r="J150" s="8" t="n"/>
      <c r="K150" s="25">
        <f>IF(OR(I150="",J150=""),"",I150*J150/1000)</f>
        <v/>
      </c>
      <c r="L150" s="26" t="n"/>
      <c r="M150" s="26" t="n"/>
      <c r="N150" s="27">
        <f>IF(OR(B150="",C150=""),"",IF(M150&lt;&gt;"",M150,IF(AND(N(L150)&gt;0,N(K150)&gt;0),L150/K150,"")))</f>
        <v/>
      </c>
      <c r="O150" s="15">
        <f>IF(C150="","",IFERROR(INDEX(Agentes!$D$6:$D$60,MATCH(C150,Agentes!$A$6:$A$60,0)),""))</f>
        <v/>
      </c>
      <c r="P150" s="28">
        <f>IF(OR(H150="",O150=""),"",IF(AND(O150="Inhalable",LEFT(H150,6)="Casete"),"Subestima: el casete cerrado no colecta toda la fracción inhalable",IF(AND(O150="Respirable",LEFT(H150,6)&lt;&gt;"Ciclón"),"Requiere ciclón (fracción respirable)",IF(AND(O150="Inhalable",ISNUMBER(SEARCH("Respirable",IFERROR(INDEX(Agentes!$C$80:$C$87,MATCH(H150,Agentes!$B$80:$B$87,0)),"")))),"El ciclón no colecta la fracción inhalable","Coherente"))))</f>
        <v/>
      </c>
      <c r="Q150" s="22">
        <f>IF(Y150="","",IFERROR(INDEX(GES!$W$6:$W$35,MATCH(Y150,GES!$R$6:$R$35,0)),""))</f>
        <v/>
      </c>
      <c r="R150" s="29">
        <f>IF(AND(ISNUMBER(N150),ISNUMBER(Q150)),N150/Q150,"")</f>
        <v/>
      </c>
      <c r="S150" s="15">
        <f>IF(C150="","",IFERROR(INDEX(Agentes!$I$6:$I$60,MATCH(C150,Agentes!$A$6:$A$60,0)),""))</f>
        <v/>
      </c>
      <c r="T150" s="8" t="n"/>
      <c r="U150" s="15">
        <f>IF(ISNUMBER(N150),IF(N150&gt;0,LN(N150),""),"")</f>
        <v/>
      </c>
      <c r="V150" s="15">
        <f>IF(ISNUMBER(U150),IFERROR((U150-LN(IFERROR(INDEX(Estadística!$K$6:$K$35,MATCH(Y150,Estadística!$Y$6:$Y$35,0)),0)))^2,""),"")</f>
        <v/>
      </c>
      <c r="W150" s="15">
        <f>IF(ISNUMBER(N150),IFERROR((N150-IFERROR(INDEX(Estadística!$I$6:$I$35,MATCH(Y150,Estadística!$Y$6:$Y$35,0)),0))^2,""),"")</f>
        <v/>
      </c>
      <c r="X150" s="15">
        <f>IF(ISNUMBER(R150),IF(R150&gt;1,1,0),"")</f>
        <v/>
      </c>
      <c r="Y150" s="15">
        <f>IF(OR(B150="",C150=""),"",B150&amp;"|"&amp;C150)</f>
        <v/>
      </c>
    </row>
    <row r="151">
      <c r="A151" s="23" t="n">
        <v>146</v>
      </c>
      <c r="B151" s="8" t="n"/>
      <c r="C151" s="8" t="n"/>
      <c r="D151" s="9" t="n"/>
      <c r="E151" s="8" t="n"/>
      <c r="F151" s="8" t="n"/>
      <c r="G151" s="8" t="n"/>
      <c r="H151" s="8" t="n"/>
      <c r="I151" s="24" t="n"/>
      <c r="J151" s="8" t="n"/>
      <c r="K151" s="25">
        <f>IF(OR(I151="",J151=""),"",I151*J151/1000)</f>
        <v/>
      </c>
      <c r="L151" s="26" t="n"/>
      <c r="M151" s="26" t="n"/>
      <c r="N151" s="27">
        <f>IF(OR(B151="",C151=""),"",IF(M151&lt;&gt;"",M151,IF(AND(N(L151)&gt;0,N(K151)&gt;0),L151/K151,"")))</f>
        <v/>
      </c>
      <c r="O151" s="15">
        <f>IF(C151="","",IFERROR(INDEX(Agentes!$D$6:$D$60,MATCH(C151,Agentes!$A$6:$A$60,0)),""))</f>
        <v/>
      </c>
      <c r="P151" s="28">
        <f>IF(OR(H151="",O151=""),"",IF(AND(O151="Inhalable",LEFT(H151,6)="Casete"),"Subestima: el casete cerrado no colecta toda la fracción inhalable",IF(AND(O151="Respirable",LEFT(H151,6)&lt;&gt;"Ciclón"),"Requiere ciclón (fracción respirable)",IF(AND(O151="Inhalable",ISNUMBER(SEARCH("Respirable",IFERROR(INDEX(Agentes!$C$80:$C$87,MATCH(H151,Agentes!$B$80:$B$87,0)),"")))),"El ciclón no colecta la fracción inhalable","Coherente"))))</f>
        <v/>
      </c>
      <c r="Q151" s="22">
        <f>IF(Y151="","",IFERROR(INDEX(GES!$W$6:$W$35,MATCH(Y151,GES!$R$6:$R$35,0)),""))</f>
        <v/>
      </c>
      <c r="R151" s="29">
        <f>IF(AND(ISNUMBER(N151),ISNUMBER(Q151)),N151/Q151,"")</f>
        <v/>
      </c>
      <c r="S151" s="15">
        <f>IF(C151="","",IFERROR(INDEX(Agentes!$I$6:$I$60,MATCH(C151,Agentes!$A$6:$A$60,0)),""))</f>
        <v/>
      </c>
      <c r="T151" s="8" t="n"/>
      <c r="U151" s="15">
        <f>IF(ISNUMBER(N151),IF(N151&gt;0,LN(N151),""),"")</f>
        <v/>
      </c>
      <c r="V151" s="15">
        <f>IF(ISNUMBER(U151),IFERROR((U151-LN(IFERROR(INDEX(Estadística!$K$6:$K$35,MATCH(Y151,Estadística!$Y$6:$Y$35,0)),0)))^2,""),"")</f>
        <v/>
      </c>
      <c r="W151" s="15">
        <f>IF(ISNUMBER(N151),IFERROR((N151-IFERROR(INDEX(Estadística!$I$6:$I$35,MATCH(Y151,Estadística!$Y$6:$Y$35,0)),0))^2,""),"")</f>
        <v/>
      </c>
      <c r="X151" s="15">
        <f>IF(ISNUMBER(R151),IF(R151&gt;1,1,0),"")</f>
        <v/>
      </c>
      <c r="Y151" s="15">
        <f>IF(OR(B151="",C151=""),"",B151&amp;"|"&amp;C151)</f>
        <v/>
      </c>
    </row>
    <row r="152">
      <c r="A152" s="23" t="n">
        <v>147</v>
      </c>
      <c r="B152" s="8" t="n"/>
      <c r="C152" s="8" t="n"/>
      <c r="D152" s="9" t="n"/>
      <c r="E152" s="8" t="n"/>
      <c r="F152" s="8" t="n"/>
      <c r="G152" s="8" t="n"/>
      <c r="H152" s="8" t="n"/>
      <c r="I152" s="24" t="n"/>
      <c r="J152" s="8" t="n"/>
      <c r="K152" s="25">
        <f>IF(OR(I152="",J152=""),"",I152*J152/1000)</f>
        <v/>
      </c>
      <c r="L152" s="26" t="n"/>
      <c r="M152" s="26" t="n"/>
      <c r="N152" s="27">
        <f>IF(OR(B152="",C152=""),"",IF(M152&lt;&gt;"",M152,IF(AND(N(L152)&gt;0,N(K152)&gt;0),L152/K152,"")))</f>
        <v/>
      </c>
      <c r="O152" s="15">
        <f>IF(C152="","",IFERROR(INDEX(Agentes!$D$6:$D$60,MATCH(C152,Agentes!$A$6:$A$60,0)),""))</f>
        <v/>
      </c>
      <c r="P152" s="28">
        <f>IF(OR(H152="",O152=""),"",IF(AND(O152="Inhalable",LEFT(H152,6)="Casete"),"Subestima: el casete cerrado no colecta toda la fracción inhalable",IF(AND(O152="Respirable",LEFT(H152,6)&lt;&gt;"Ciclón"),"Requiere ciclón (fracción respirable)",IF(AND(O152="Inhalable",ISNUMBER(SEARCH("Respirable",IFERROR(INDEX(Agentes!$C$80:$C$87,MATCH(H152,Agentes!$B$80:$B$87,0)),"")))),"El ciclón no colecta la fracción inhalable","Coherente"))))</f>
        <v/>
      </c>
      <c r="Q152" s="22">
        <f>IF(Y152="","",IFERROR(INDEX(GES!$W$6:$W$35,MATCH(Y152,GES!$R$6:$R$35,0)),""))</f>
        <v/>
      </c>
      <c r="R152" s="29">
        <f>IF(AND(ISNUMBER(N152),ISNUMBER(Q152)),N152/Q152,"")</f>
        <v/>
      </c>
      <c r="S152" s="15">
        <f>IF(C152="","",IFERROR(INDEX(Agentes!$I$6:$I$60,MATCH(C152,Agentes!$A$6:$A$60,0)),""))</f>
        <v/>
      </c>
      <c r="T152" s="8" t="n"/>
      <c r="U152" s="15">
        <f>IF(ISNUMBER(N152),IF(N152&gt;0,LN(N152),""),"")</f>
        <v/>
      </c>
      <c r="V152" s="15">
        <f>IF(ISNUMBER(U152),IFERROR((U152-LN(IFERROR(INDEX(Estadística!$K$6:$K$35,MATCH(Y152,Estadística!$Y$6:$Y$35,0)),0)))^2,""),"")</f>
        <v/>
      </c>
      <c r="W152" s="15">
        <f>IF(ISNUMBER(N152),IFERROR((N152-IFERROR(INDEX(Estadística!$I$6:$I$35,MATCH(Y152,Estadística!$Y$6:$Y$35,0)),0))^2,""),"")</f>
        <v/>
      </c>
      <c r="X152" s="15">
        <f>IF(ISNUMBER(R152),IF(R152&gt;1,1,0),"")</f>
        <v/>
      </c>
      <c r="Y152" s="15">
        <f>IF(OR(B152="",C152=""),"",B152&amp;"|"&amp;C152)</f>
        <v/>
      </c>
    </row>
    <row r="153">
      <c r="A153" s="23" t="n">
        <v>148</v>
      </c>
      <c r="B153" s="8" t="n"/>
      <c r="C153" s="8" t="n"/>
      <c r="D153" s="9" t="n"/>
      <c r="E153" s="8" t="n"/>
      <c r="F153" s="8" t="n"/>
      <c r="G153" s="8" t="n"/>
      <c r="H153" s="8" t="n"/>
      <c r="I153" s="24" t="n"/>
      <c r="J153" s="8" t="n"/>
      <c r="K153" s="25">
        <f>IF(OR(I153="",J153=""),"",I153*J153/1000)</f>
        <v/>
      </c>
      <c r="L153" s="26" t="n"/>
      <c r="M153" s="26" t="n"/>
      <c r="N153" s="27">
        <f>IF(OR(B153="",C153=""),"",IF(M153&lt;&gt;"",M153,IF(AND(N(L153)&gt;0,N(K153)&gt;0),L153/K153,"")))</f>
        <v/>
      </c>
      <c r="O153" s="15">
        <f>IF(C153="","",IFERROR(INDEX(Agentes!$D$6:$D$60,MATCH(C153,Agentes!$A$6:$A$60,0)),""))</f>
        <v/>
      </c>
      <c r="P153" s="28">
        <f>IF(OR(H153="",O153=""),"",IF(AND(O153="Inhalable",LEFT(H153,6)="Casete"),"Subestima: el casete cerrado no colecta toda la fracción inhalable",IF(AND(O153="Respirable",LEFT(H153,6)&lt;&gt;"Ciclón"),"Requiere ciclón (fracción respirable)",IF(AND(O153="Inhalable",ISNUMBER(SEARCH("Respirable",IFERROR(INDEX(Agentes!$C$80:$C$87,MATCH(H153,Agentes!$B$80:$B$87,0)),"")))),"El ciclón no colecta la fracción inhalable","Coherente"))))</f>
        <v/>
      </c>
      <c r="Q153" s="22">
        <f>IF(Y153="","",IFERROR(INDEX(GES!$W$6:$W$35,MATCH(Y153,GES!$R$6:$R$35,0)),""))</f>
        <v/>
      </c>
      <c r="R153" s="29">
        <f>IF(AND(ISNUMBER(N153),ISNUMBER(Q153)),N153/Q153,"")</f>
        <v/>
      </c>
      <c r="S153" s="15">
        <f>IF(C153="","",IFERROR(INDEX(Agentes!$I$6:$I$60,MATCH(C153,Agentes!$A$6:$A$60,0)),""))</f>
        <v/>
      </c>
      <c r="T153" s="8" t="n"/>
      <c r="U153" s="15">
        <f>IF(ISNUMBER(N153),IF(N153&gt;0,LN(N153),""),"")</f>
        <v/>
      </c>
      <c r="V153" s="15">
        <f>IF(ISNUMBER(U153),IFERROR((U153-LN(IFERROR(INDEX(Estadística!$K$6:$K$35,MATCH(Y153,Estadística!$Y$6:$Y$35,0)),0)))^2,""),"")</f>
        <v/>
      </c>
      <c r="W153" s="15">
        <f>IF(ISNUMBER(N153),IFERROR((N153-IFERROR(INDEX(Estadística!$I$6:$I$35,MATCH(Y153,Estadística!$Y$6:$Y$35,0)),0))^2,""),"")</f>
        <v/>
      </c>
      <c r="X153" s="15">
        <f>IF(ISNUMBER(R153),IF(R153&gt;1,1,0),"")</f>
        <v/>
      </c>
      <c r="Y153" s="15">
        <f>IF(OR(B153="",C153=""),"",B153&amp;"|"&amp;C153)</f>
        <v/>
      </c>
    </row>
    <row r="154">
      <c r="A154" s="23" t="n">
        <v>149</v>
      </c>
      <c r="B154" s="8" t="n"/>
      <c r="C154" s="8" t="n"/>
      <c r="D154" s="9" t="n"/>
      <c r="E154" s="8" t="n"/>
      <c r="F154" s="8" t="n"/>
      <c r="G154" s="8" t="n"/>
      <c r="H154" s="8" t="n"/>
      <c r="I154" s="24" t="n"/>
      <c r="J154" s="8" t="n"/>
      <c r="K154" s="25">
        <f>IF(OR(I154="",J154=""),"",I154*J154/1000)</f>
        <v/>
      </c>
      <c r="L154" s="26" t="n"/>
      <c r="M154" s="26" t="n"/>
      <c r="N154" s="27">
        <f>IF(OR(B154="",C154=""),"",IF(M154&lt;&gt;"",M154,IF(AND(N(L154)&gt;0,N(K154)&gt;0),L154/K154,"")))</f>
        <v/>
      </c>
      <c r="O154" s="15">
        <f>IF(C154="","",IFERROR(INDEX(Agentes!$D$6:$D$60,MATCH(C154,Agentes!$A$6:$A$60,0)),""))</f>
        <v/>
      </c>
      <c r="P154" s="28">
        <f>IF(OR(H154="",O154=""),"",IF(AND(O154="Inhalable",LEFT(H154,6)="Casete"),"Subestima: el casete cerrado no colecta toda la fracción inhalable",IF(AND(O154="Respirable",LEFT(H154,6)&lt;&gt;"Ciclón"),"Requiere ciclón (fracción respirable)",IF(AND(O154="Inhalable",ISNUMBER(SEARCH("Respirable",IFERROR(INDEX(Agentes!$C$80:$C$87,MATCH(H154,Agentes!$B$80:$B$87,0)),"")))),"El ciclón no colecta la fracción inhalable","Coherente"))))</f>
        <v/>
      </c>
      <c r="Q154" s="22">
        <f>IF(Y154="","",IFERROR(INDEX(GES!$W$6:$W$35,MATCH(Y154,GES!$R$6:$R$35,0)),""))</f>
        <v/>
      </c>
      <c r="R154" s="29">
        <f>IF(AND(ISNUMBER(N154),ISNUMBER(Q154)),N154/Q154,"")</f>
        <v/>
      </c>
      <c r="S154" s="15">
        <f>IF(C154="","",IFERROR(INDEX(Agentes!$I$6:$I$60,MATCH(C154,Agentes!$A$6:$A$60,0)),""))</f>
        <v/>
      </c>
      <c r="T154" s="8" t="n"/>
      <c r="U154" s="15">
        <f>IF(ISNUMBER(N154),IF(N154&gt;0,LN(N154),""),"")</f>
        <v/>
      </c>
      <c r="V154" s="15">
        <f>IF(ISNUMBER(U154),IFERROR((U154-LN(IFERROR(INDEX(Estadística!$K$6:$K$35,MATCH(Y154,Estadística!$Y$6:$Y$35,0)),0)))^2,""),"")</f>
        <v/>
      </c>
      <c r="W154" s="15">
        <f>IF(ISNUMBER(N154),IFERROR((N154-IFERROR(INDEX(Estadística!$I$6:$I$35,MATCH(Y154,Estadística!$Y$6:$Y$35,0)),0))^2,""),"")</f>
        <v/>
      </c>
      <c r="X154" s="15">
        <f>IF(ISNUMBER(R154),IF(R154&gt;1,1,0),"")</f>
        <v/>
      </c>
      <c r="Y154" s="15">
        <f>IF(OR(B154="",C154=""),"",B154&amp;"|"&amp;C154)</f>
        <v/>
      </c>
    </row>
    <row r="155">
      <c r="A155" s="23" t="n">
        <v>150</v>
      </c>
      <c r="B155" s="8" t="n"/>
      <c r="C155" s="8" t="n"/>
      <c r="D155" s="9" t="n"/>
      <c r="E155" s="8" t="n"/>
      <c r="F155" s="8" t="n"/>
      <c r="G155" s="8" t="n"/>
      <c r="H155" s="8" t="n"/>
      <c r="I155" s="24" t="n"/>
      <c r="J155" s="8" t="n"/>
      <c r="K155" s="25">
        <f>IF(OR(I155="",J155=""),"",I155*J155/1000)</f>
        <v/>
      </c>
      <c r="L155" s="26" t="n"/>
      <c r="M155" s="26" t="n"/>
      <c r="N155" s="27">
        <f>IF(OR(B155="",C155=""),"",IF(M155&lt;&gt;"",M155,IF(AND(N(L155)&gt;0,N(K155)&gt;0),L155/K155,"")))</f>
        <v/>
      </c>
      <c r="O155" s="15">
        <f>IF(C155="","",IFERROR(INDEX(Agentes!$D$6:$D$60,MATCH(C155,Agentes!$A$6:$A$60,0)),""))</f>
        <v/>
      </c>
      <c r="P155" s="28">
        <f>IF(OR(H155="",O155=""),"",IF(AND(O155="Inhalable",LEFT(H155,6)="Casete"),"Subestima: el casete cerrado no colecta toda la fracción inhalable",IF(AND(O155="Respirable",LEFT(H155,6)&lt;&gt;"Ciclón"),"Requiere ciclón (fracción respirable)",IF(AND(O155="Inhalable",ISNUMBER(SEARCH("Respirable",IFERROR(INDEX(Agentes!$C$80:$C$87,MATCH(H155,Agentes!$B$80:$B$87,0)),"")))),"El ciclón no colecta la fracción inhalable","Coherente"))))</f>
        <v/>
      </c>
      <c r="Q155" s="22">
        <f>IF(Y155="","",IFERROR(INDEX(GES!$W$6:$W$35,MATCH(Y155,GES!$R$6:$R$35,0)),""))</f>
        <v/>
      </c>
      <c r="R155" s="29">
        <f>IF(AND(ISNUMBER(N155),ISNUMBER(Q155)),N155/Q155,"")</f>
        <v/>
      </c>
      <c r="S155" s="15">
        <f>IF(C155="","",IFERROR(INDEX(Agentes!$I$6:$I$60,MATCH(C155,Agentes!$A$6:$A$60,0)),""))</f>
        <v/>
      </c>
      <c r="T155" s="8" t="n"/>
      <c r="U155" s="15">
        <f>IF(ISNUMBER(N155),IF(N155&gt;0,LN(N155),""),"")</f>
        <v/>
      </c>
      <c r="V155" s="15">
        <f>IF(ISNUMBER(U155),IFERROR((U155-LN(IFERROR(INDEX(Estadística!$K$6:$K$35,MATCH(Y155,Estadística!$Y$6:$Y$35,0)),0)))^2,""),"")</f>
        <v/>
      </c>
      <c r="W155" s="15">
        <f>IF(ISNUMBER(N155),IFERROR((N155-IFERROR(INDEX(Estadística!$I$6:$I$35,MATCH(Y155,Estadística!$Y$6:$Y$35,0)),0))^2,""),"")</f>
        <v/>
      </c>
      <c r="X155" s="15">
        <f>IF(ISNUMBER(R155),IF(R155&gt;1,1,0),"")</f>
        <v/>
      </c>
      <c r="Y155" s="15">
        <f>IF(OR(B155="",C155=""),"",B155&amp;"|"&amp;C155)</f>
        <v/>
      </c>
    </row>
    <row r="156">
      <c r="A156" s="23" t="n">
        <v>151</v>
      </c>
      <c r="B156" s="8" t="n"/>
      <c r="C156" s="8" t="n"/>
      <c r="D156" s="9" t="n"/>
      <c r="E156" s="8" t="n"/>
      <c r="F156" s="8" t="n"/>
      <c r="G156" s="8" t="n"/>
      <c r="H156" s="8" t="n"/>
      <c r="I156" s="24" t="n"/>
      <c r="J156" s="8" t="n"/>
      <c r="K156" s="25">
        <f>IF(OR(I156="",J156=""),"",I156*J156/1000)</f>
        <v/>
      </c>
      <c r="L156" s="26" t="n"/>
      <c r="M156" s="26" t="n"/>
      <c r="N156" s="27">
        <f>IF(OR(B156="",C156=""),"",IF(M156&lt;&gt;"",M156,IF(AND(N(L156)&gt;0,N(K156)&gt;0),L156/K156,"")))</f>
        <v/>
      </c>
      <c r="O156" s="15">
        <f>IF(C156="","",IFERROR(INDEX(Agentes!$D$6:$D$60,MATCH(C156,Agentes!$A$6:$A$60,0)),""))</f>
        <v/>
      </c>
      <c r="P156" s="28">
        <f>IF(OR(H156="",O156=""),"",IF(AND(O156="Inhalable",LEFT(H156,6)="Casete"),"Subestima: el casete cerrado no colecta toda la fracción inhalable",IF(AND(O156="Respirable",LEFT(H156,6)&lt;&gt;"Ciclón"),"Requiere ciclón (fracción respirable)",IF(AND(O156="Inhalable",ISNUMBER(SEARCH("Respirable",IFERROR(INDEX(Agentes!$C$80:$C$87,MATCH(H156,Agentes!$B$80:$B$87,0)),"")))),"El ciclón no colecta la fracción inhalable","Coherente"))))</f>
        <v/>
      </c>
      <c r="Q156" s="22">
        <f>IF(Y156="","",IFERROR(INDEX(GES!$W$6:$W$35,MATCH(Y156,GES!$R$6:$R$35,0)),""))</f>
        <v/>
      </c>
      <c r="R156" s="29">
        <f>IF(AND(ISNUMBER(N156),ISNUMBER(Q156)),N156/Q156,"")</f>
        <v/>
      </c>
      <c r="S156" s="15">
        <f>IF(C156="","",IFERROR(INDEX(Agentes!$I$6:$I$60,MATCH(C156,Agentes!$A$6:$A$60,0)),""))</f>
        <v/>
      </c>
      <c r="T156" s="8" t="n"/>
      <c r="U156" s="15">
        <f>IF(ISNUMBER(N156),IF(N156&gt;0,LN(N156),""),"")</f>
        <v/>
      </c>
      <c r="V156" s="15">
        <f>IF(ISNUMBER(U156),IFERROR((U156-LN(IFERROR(INDEX(Estadística!$K$6:$K$35,MATCH(Y156,Estadística!$Y$6:$Y$35,0)),0)))^2,""),"")</f>
        <v/>
      </c>
      <c r="W156" s="15">
        <f>IF(ISNUMBER(N156),IFERROR((N156-IFERROR(INDEX(Estadística!$I$6:$I$35,MATCH(Y156,Estadística!$Y$6:$Y$35,0)),0))^2,""),"")</f>
        <v/>
      </c>
      <c r="X156" s="15">
        <f>IF(ISNUMBER(R156),IF(R156&gt;1,1,0),"")</f>
        <v/>
      </c>
      <c r="Y156" s="15">
        <f>IF(OR(B156="",C156=""),"",B156&amp;"|"&amp;C156)</f>
        <v/>
      </c>
    </row>
    <row r="157">
      <c r="A157" s="23" t="n">
        <v>152</v>
      </c>
      <c r="B157" s="8" t="n"/>
      <c r="C157" s="8" t="n"/>
      <c r="D157" s="9" t="n"/>
      <c r="E157" s="8" t="n"/>
      <c r="F157" s="8" t="n"/>
      <c r="G157" s="8" t="n"/>
      <c r="H157" s="8" t="n"/>
      <c r="I157" s="24" t="n"/>
      <c r="J157" s="8" t="n"/>
      <c r="K157" s="25">
        <f>IF(OR(I157="",J157=""),"",I157*J157/1000)</f>
        <v/>
      </c>
      <c r="L157" s="26" t="n"/>
      <c r="M157" s="26" t="n"/>
      <c r="N157" s="27">
        <f>IF(OR(B157="",C157=""),"",IF(M157&lt;&gt;"",M157,IF(AND(N(L157)&gt;0,N(K157)&gt;0),L157/K157,"")))</f>
        <v/>
      </c>
      <c r="O157" s="15">
        <f>IF(C157="","",IFERROR(INDEX(Agentes!$D$6:$D$60,MATCH(C157,Agentes!$A$6:$A$60,0)),""))</f>
        <v/>
      </c>
      <c r="P157" s="28">
        <f>IF(OR(H157="",O157=""),"",IF(AND(O157="Inhalable",LEFT(H157,6)="Casete"),"Subestima: el casete cerrado no colecta toda la fracción inhalable",IF(AND(O157="Respirable",LEFT(H157,6)&lt;&gt;"Ciclón"),"Requiere ciclón (fracción respirable)",IF(AND(O157="Inhalable",ISNUMBER(SEARCH("Respirable",IFERROR(INDEX(Agentes!$C$80:$C$87,MATCH(H157,Agentes!$B$80:$B$87,0)),"")))),"El ciclón no colecta la fracción inhalable","Coherente"))))</f>
        <v/>
      </c>
      <c r="Q157" s="22">
        <f>IF(Y157="","",IFERROR(INDEX(GES!$W$6:$W$35,MATCH(Y157,GES!$R$6:$R$35,0)),""))</f>
        <v/>
      </c>
      <c r="R157" s="29">
        <f>IF(AND(ISNUMBER(N157),ISNUMBER(Q157)),N157/Q157,"")</f>
        <v/>
      </c>
      <c r="S157" s="15">
        <f>IF(C157="","",IFERROR(INDEX(Agentes!$I$6:$I$60,MATCH(C157,Agentes!$A$6:$A$60,0)),""))</f>
        <v/>
      </c>
      <c r="T157" s="8" t="n"/>
      <c r="U157" s="15">
        <f>IF(ISNUMBER(N157),IF(N157&gt;0,LN(N157),""),"")</f>
        <v/>
      </c>
      <c r="V157" s="15">
        <f>IF(ISNUMBER(U157),IFERROR((U157-LN(IFERROR(INDEX(Estadística!$K$6:$K$35,MATCH(Y157,Estadística!$Y$6:$Y$35,0)),0)))^2,""),"")</f>
        <v/>
      </c>
      <c r="W157" s="15">
        <f>IF(ISNUMBER(N157),IFERROR((N157-IFERROR(INDEX(Estadística!$I$6:$I$35,MATCH(Y157,Estadística!$Y$6:$Y$35,0)),0))^2,""),"")</f>
        <v/>
      </c>
      <c r="X157" s="15">
        <f>IF(ISNUMBER(R157),IF(R157&gt;1,1,0),"")</f>
        <v/>
      </c>
      <c r="Y157" s="15">
        <f>IF(OR(B157="",C157=""),"",B157&amp;"|"&amp;C157)</f>
        <v/>
      </c>
    </row>
    <row r="158">
      <c r="A158" s="23" t="n">
        <v>153</v>
      </c>
      <c r="B158" s="8" t="n"/>
      <c r="C158" s="8" t="n"/>
      <c r="D158" s="9" t="n"/>
      <c r="E158" s="8" t="n"/>
      <c r="F158" s="8" t="n"/>
      <c r="G158" s="8" t="n"/>
      <c r="H158" s="8" t="n"/>
      <c r="I158" s="24" t="n"/>
      <c r="J158" s="8" t="n"/>
      <c r="K158" s="25">
        <f>IF(OR(I158="",J158=""),"",I158*J158/1000)</f>
        <v/>
      </c>
      <c r="L158" s="26" t="n"/>
      <c r="M158" s="26" t="n"/>
      <c r="N158" s="27">
        <f>IF(OR(B158="",C158=""),"",IF(M158&lt;&gt;"",M158,IF(AND(N(L158)&gt;0,N(K158)&gt;0),L158/K158,"")))</f>
        <v/>
      </c>
      <c r="O158" s="15">
        <f>IF(C158="","",IFERROR(INDEX(Agentes!$D$6:$D$60,MATCH(C158,Agentes!$A$6:$A$60,0)),""))</f>
        <v/>
      </c>
      <c r="P158" s="28">
        <f>IF(OR(H158="",O158=""),"",IF(AND(O158="Inhalable",LEFT(H158,6)="Casete"),"Subestima: el casete cerrado no colecta toda la fracción inhalable",IF(AND(O158="Respirable",LEFT(H158,6)&lt;&gt;"Ciclón"),"Requiere ciclón (fracción respirable)",IF(AND(O158="Inhalable",ISNUMBER(SEARCH("Respirable",IFERROR(INDEX(Agentes!$C$80:$C$87,MATCH(H158,Agentes!$B$80:$B$87,0)),"")))),"El ciclón no colecta la fracción inhalable","Coherente"))))</f>
        <v/>
      </c>
      <c r="Q158" s="22">
        <f>IF(Y158="","",IFERROR(INDEX(GES!$W$6:$W$35,MATCH(Y158,GES!$R$6:$R$35,0)),""))</f>
        <v/>
      </c>
      <c r="R158" s="29">
        <f>IF(AND(ISNUMBER(N158),ISNUMBER(Q158)),N158/Q158,"")</f>
        <v/>
      </c>
      <c r="S158" s="15">
        <f>IF(C158="","",IFERROR(INDEX(Agentes!$I$6:$I$60,MATCH(C158,Agentes!$A$6:$A$60,0)),""))</f>
        <v/>
      </c>
      <c r="T158" s="8" t="n"/>
      <c r="U158" s="15">
        <f>IF(ISNUMBER(N158),IF(N158&gt;0,LN(N158),""),"")</f>
        <v/>
      </c>
      <c r="V158" s="15">
        <f>IF(ISNUMBER(U158),IFERROR((U158-LN(IFERROR(INDEX(Estadística!$K$6:$K$35,MATCH(Y158,Estadística!$Y$6:$Y$35,0)),0)))^2,""),"")</f>
        <v/>
      </c>
      <c r="W158" s="15">
        <f>IF(ISNUMBER(N158),IFERROR((N158-IFERROR(INDEX(Estadística!$I$6:$I$35,MATCH(Y158,Estadística!$Y$6:$Y$35,0)),0))^2,""),"")</f>
        <v/>
      </c>
      <c r="X158" s="15">
        <f>IF(ISNUMBER(R158),IF(R158&gt;1,1,0),"")</f>
        <v/>
      </c>
      <c r="Y158" s="15">
        <f>IF(OR(B158="",C158=""),"",B158&amp;"|"&amp;C158)</f>
        <v/>
      </c>
    </row>
    <row r="159">
      <c r="A159" s="23" t="n">
        <v>154</v>
      </c>
      <c r="B159" s="8" t="n"/>
      <c r="C159" s="8" t="n"/>
      <c r="D159" s="9" t="n"/>
      <c r="E159" s="8" t="n"/>
      <c r="F159" s="8" t="n"/>
      <c r="G159" s="8" t="n"/>
      <c r="H159" s="8" t="n"/>
      <c r="I159" s="24" t="n"/>
      <c r="J159" s="8" t="n"/>
      <c r="K159" s="25">
        <f>IF(OR(I159="",J159=""),"",I159*J159/1000)</f>
        <v/>
      </c>
      <c r="L159" s="26" t="n"/>
      <c r="M159" s="26" t="n"/>
      <c r="N159" s="27">
        <f>IF(OR(B159="",C159=""),"",IF(M159&lt;&gt;"",M159,IF(AND(N(L159)&gt;0,N(K159)&gt;0),L159/K159,"")))</f>
        <v/>
      </c>
      <c r="O159" s="15">
        <f>IF(C159="","",IFERROR(INDEX(Agentes!$D$6:$D$60,MATCH(C159,Agentes!$A$6:$A$60,0)),""))</f>
        <v/>
      </c>
      <c r="P159" s="28">
        <f>IF(OR(H159="",O159=""),"",IF(AND(O159="Inhalable",LEFT(H159,6)="Casete"),"Subestima: el casete cerrado no colecta toda la fracción inhalable",IF(AND(O159="Respirable",LEFT(H159,6)&lt;&gt;"Ciclón"),"Requiere ciclón (fracción respirable)",IF(AND(O159="Inhalable",ISNUMBER(SEARCH("Respirable",IFERROR(INDEX(Agentes!$C$80:$C$87,MATCH(H159,Agentes!$B$80:$B$87,0)),"")))),"El ciclón no colecta la fracción inhalable","Coherente"))))</f>
        <v/>
      </c>
      <c r="Q159" s="22">
        <f>IF(Y159="","",IFERROR(INDEX(GES!$W$6:$W$35,MATCH(Y159,GES!$R$6:$R$35,0)),""))</f>
        <v/>
      </c>
      <c r="R159" s="29">
        <f>IF(AND(ISNUMBER(N159),ISNUMBER(Q159)),N159/Q159,"")</f>
        <v/>
      </c>
      <c r="S159" s="15">
        <f>IF(C159="","",IFERROR(INDEX(Agentes!$I$6:$I$60,MATCH(C159,Agentes!$A$6:$A$60,0)),""))</f>
        <v/>
      </c>
      <c r="T159" s="8" t="n"/>
      <c r="U159" s="15">
        <f>IF(ISNUMBER(N159),IF(N159&gt;0,LN(N159),""),"")</f>
        <v/>
      </c>
      <c r="V159" s="15">
        <f>IF(ISNUMBER(U159),IFERROR((U159-LN(IFERROR(INDEX(Estadística!$K$6:$K$35,MATCH(Y159,Estadística!$Y$6:$Y$35,0)),0)))^2,""),"")</f>
        <v/>
      </c>
      <c r="W159" s="15">
        <f>IF(ISNUMBER(N159),IFERROR((N159-IFERROR(INDEX(Estadística!$I$6:$I$35,MATCH(Y159,Estadística!$Y$6:$Y$35,0)),0))^2,""),"")</f>
        <v/>
      </c>
      <c r="X159" s="15">
        <f>IF(ISNUMBER(R159),IF(R159&gt;1,1,0),"")</f>
        <v/>
      </c>
      <c r="Y159" s="15">
        <f>IF(OR(B159="",C159=""),"",B159&amp;"|"&amp;C159)</f>
        <v/>
      </c>
    </row>
    <row r="160">
      <c r="A160" s="23" t="n">
        <v>155</v>
      </c>
      <c r="B160" s="8" t="n"/>
      <c r="C160" s="8" t="n"/>
      <c r="D160" s="9" t="n"/>
      <c r="E160" s="8" t="n"/>
      <c r="F160" s="8" t="n"/>
      <c r="G160" s="8" t="n"/>
      <c r="H160" s="8" t="n"/>
      <c r="I160" s="24" t="n"/>
      <c r="J160" s="8" t="n"/>
      <c r="K160" s="25">
        <f>IF(OR(I160="",J160=""),"",I160*J160/1000)</f>
        <v/>
      </c>
      <c r="L160" s="26" t="n"/>
      <c r="M160" s="26" t="n"/>
      <c r="N160" s="27">
        <f>IF(OR(B160="",C160=""),"",IF(M160&lt;&gt;"",M160,IF(AND(N(L160)&gt;0,N(K160)&gt;0),L160/K160,"")))</f>
        <v/>
      </c>
      <c r="O160" s="15">
        <f>IF(C160="","",IFERROR(INDEX(Agentes!$D$6:$D$60,MATCH(C160,Agentes!$A$6:$A$60,0)),""))</f>
        <v/>
      </c>
      <c r="P160" s="28">
        <f>IF(OR(H160="",O160=""),"",IF(AND(O160="Inhalable",LEFT(H160,6)="Casete"),"Subestima: el casete cerrado no colecta toda la fracción inhalable",IF(AND(O160="Respirable",LEFT(H160,6)&lt;&gt;"Ciclón"),"Requiere ciclón (fracción respirable)",IF(AND(O160="Inhalable",ISNUMBER(SEARCH("Respirable",IFERROR(INDEX(Agentes!$C$80:$C$87,MATCH(H160,Agentes!$B$80:$B$87,0)),"")))),"El ciclón no colecta la fracción inhalable","Coherente"))))</f>
        <v/>
      </c>
      <c r="Q160" s="22">
        <f>IF(Y160="","",IFERROR(INDEX(GES!$W$6:$W$35,MATCH(Y160,GES!$R$6:$R$35,0)),""))</f>
        <v/>
      </c>
      <c r="R160" s="29">
        <f>IF(AND(ISNUMBER(N160),ISNUMBER(Q160)),N160/Q160,"")</f>
        <v/>
      </c>
      <c r="S160" s="15">
        <f>IF(C160="","",IFERROR(INDEX(Agentes!$I$6:$I$60,MATCH(C160,Agentes!$A$6:$A$60,0)),""))</f>
        <v/>
      </c>
      <c r="T160" s="8" t="n"/>
      <c r="U160" s="15">
        <f>IF(ISNUMBER(N160),IF(N160&gt;0,LN(N160),""),"")</f>
        <v/>
      </c>
      <c r="V160" s="15">
        <f>IF(ISNUMBER(U160),IFERROR((U160-LN(IFERROR(INDEX(Estadística!$K$6:$K$35,MATCH(Y160,Estadística!$Y$6:$Y$35,0)),0)))^2,""),"")</f>
        <v/>
      </c>
      <c r="W160" s="15">
        <f>IF(ISNUMBER(N160),IFERROR((N160-IFERROR(INDEX(Estadística!$I$6:$I$35,MATCH(Y160,Estadística!$Y$6:$Y$35,0)),0))^2,""),"")</f>
        <v/>
      </c>
      <c r="X160" s="15">
        <f>IF(ISNUMBER(R160),IF(R160&gt;1,1,0),"")</f>
        <v/>
      </c>
      <c r="Y160" s="15">
        <f>IF(OR(B160="",C160=""),"",B160&amp;"|"&amp;C160)</f>
        <v/>
      </c>
    </row>
    <row r="161">
      <c r="A161" s="23" t="n">
        <v>156</v>
      </c>
      <c r="B161" s="8" t="n"/>
      <c r="C161" s="8" t="n"/>
      <c r="D161" s="9" t="n"/>
      <c r="E161" s="8" t="n"/>
      <c r="F161" s="8" t="n"/>
      <c r="G161" s="8" t="n"/>
      <c r="H161" s="8" t="n"/>
      <c r="I161" s="24" t="n"/>
      <c r="J161" s="8" t="n"/>
      <c r="K161" s="25">
        <f>IF(OR(I161="",J161=""),"",I161*J161/1000)</f>
        <v/>
      </c>
      <c r="L161" s="26" t="n"/>
      <c r="M161" s="26" t="n"/>
      <c r="N161" s="27">
        <f>IF(OR(B161="",C161=""),"",IF(M161&lt;&gt;"",M161,IF(AND(N(L161)&gt;0,N(K161)&gt;0),L161/K161,"")))</f>
        <v/>
      </c>
      <c r="O161" s="15">
        <f>IF(C161="","",IFERROR(INDEX(Agentes!$D$6:$D$60,MATCH(C161,Agentes!$A$6:$A$60,0)),""))</f>
        <v/>
      </c>
      <c r="P161" s="28">
        <f>IF(OR(H161="",O161=""),"",IF(AND(O161="Inhalable",LEFT(H161,6)="Casete"),"Subestima: el casete cerrado no colecta toda la fracción inhalable",IF(AND(O161="Respirable",LEFT(H161,6)&lt;&gt;"Ciclón"),"Requiere ciclón (fracción respirable)",IF(AND(O161="Inhalable",ISNUMBER(SEARCH("Respirable",IFERROR(INDEX(Agentes!$C$80:$C$87,MATCH(H161,Agentes!$B$80:$B$87,0)),"")))),"El ciclón no colecta la fracción inhalable","Coherente"))))</f>
        <v/>
      </c>
      <c r="Q161" s="22">
        <f>IF(Y161="","",IFERROR(INDEX(GES!$W$6:$W$35,MATCH(Y161,GES!$R$6:$R$35,0)),""))</f>
        <v/>
      </c>
      <c r="R161" s="29">
        <f>IF(AND(ISNUMBER(N161),ISNUMBER(Q161)),N161/Q161,"")</f>
        <v/>
      </c>
      <c r="S161" s="15">
        <f>IF(C161="","",IFERROR(INDEX(Agentes!$I$6:$I$60,MATCH(C161,Agentes!$A$6:$A$60,0)),""))</f>
        <v/>
      </c>
      <c r="T161" s="8" t="n"/>
      <c r="U161" s="15">
        <f>IF(ISNUMBER(N161),IF(N161&gt;0,LN(N161),""),"")</f>
        <v/>
      </c>
      <c r="V161" s="15">
        <f>IF(ISNUMBER(U161),IFERROR((U161-LN(IFERROR(INDEX(Estadística!$K$6:$K$35,MATCH(Y161,Estadística!$Y$6:$Y$35,0)),0)))^2,""),"")</f>
        <v/>
      </c>
      <c r="W161" s="15">
        <f>IF(ISNUMBER(N161),IFERROR((N161-IFERROR(INDEX(Estadística!$I$6:$I$35,MATCH(Y161,Estadística!$Y$6:$Y$35,0)),0))^2,""),"")</f>
        <v/>
      </c>
      <c r="X161" s="15">
        <f>IF(ISNUMBER(R161),IF(R161&gt;1,1,0),"")</f>
        <v/>
      </c>
      <c r="Y161" s="15">
        <f>IF(OR(B161="",C161=""),"",B161&amp;"|"&amp;C161)</f>
        <v/>
      </c>
    </row>
    <row r="162">
      <c r="A162" s="23" t="n">
        <v>157</v>
      </c>
      <c r="B162" s="8" t="n"/>
      <c r="C162" s="8" t="n"/>
      <c r="D162" s="9" t="n"/>
      <c r="E162" s="8" t="n"/>
      <c r="F162" s="8" t="n"/>
      <c r="G162" s="8" t="n"/>
      <c r="H162" s="8" t="n"/>
      <c r="I162" s="24" t="n"/>
      <c r="J162" s="8" t="n"/>
      <c r="K162" s="25">
        <f>IF(OR(I162="",J162=""),"",I162*J162/1000)</f>
        <v/>
      </c>
      <c r="L162" s="26" t="n"/>
      <c r="M162" s="26" t="n"/>
      <c r="N162" s="27">
        <f>IF(OR(B162="",C162=""),"",IF(M162&lt;&gt;"",M162,IF(AND(N(L162)&gt;0,N(K162)&gt;0),L162/K162,"")))</f>
        <v/>
      </c>
      <c r="O162" s="15">
        <f>IF(C162="","",IFERROR(INDEX(Agentes!$D$6:$D$60,MATCH(C162,Agentes!$A$6:$A$60,0)),""))</f>
        <v/>
      </c>
      <c r="P162" s="28">
        <f>IF(OR(H162="",O162=""),"",IF(AND(O162="Inhalable",LEFT(H162,6)="Casete"),"Subestima: el casete cerrado no colecta toda la fracción inhalable",IF(AND(O162="Respirable",LEFT(H162,6)&lt;&gt;"Ciclón"),"Requiere ciclón (fracción respirable)",IF(AND(O162="Inhalable",ISNUMBER(SEARCH("Respirable",IFERROR(INDEX(Agentes!$C$80:$C$87,MATCH(H162,Agentes!$B$80:$B$87,0)),"")))),"El ciclón no colecta la fracción inhalable","Coherente"))))</f>
        <v/>
      </c>
      <c r="Q162" s="22">
        <f>IF(Y162="","",IFERROR(INDEX(GES!$W$6:$W$35,MATCH(Y162,GES!$R$6:$R$35,0)),""))</f>
        <v/>
      </c>
      <c r="R162" s="29">
        <f>IF(AND(ISNUMBER(N162),ISNUMBER(Q162)),N162/Q162,"")</f>
        <v/>
      </c>
      <c r="S162" s="15">
        <f>IF(C162="","",IFERROR(INDEX(Agentes!$I$6:$I$60,MATCH(C162,Agentes!$A$6:$A$60,0)),""))</f>
        <v/>
      </c>
      <c r="T162" s="8" t="n"/>
      <c r="U162" s="15">
        <f>IF(ISNUMBER(N162),IF(N162&gt;0,LN(N162),""),"")</f>
        <v/>
      </c>
      <c r="V162" s="15">
        <f>IF(ISNUMBER(U162),IFERROR((U162-LN(IFERROR(INDEX(Estadística!$K$6:$K$35,MATCH(Y162,Estadística!$Y$6:$Y$35,0)),0)))^2,""),"")</f>
        <v/>
      </c>
      <c r="W162" s="15">
        <f>IF(ISNUMBER(N162),IFERROR((N162-IFERROR(INDEX(Estadística!$I$6:$I$35,MATCH(Y162,Estadística!$Y$6:$Y$35,0)),0))^2,""),"")</f>
        <v/>
      </c>
      <c r="X162" s="15">
        <f>IF(ISNUMBER(R162),IF(R162&gt;1,1,0),"")</f>
        <v/>
      </c>
      <c r="Y162" s="15">
        <f>IF(OR(B162="",C162=""),"",B162&amp;"|"&amp;C162)</f>
        <v/>
      </c>
    </row>
    <row r="163">
      <c r="A163" s="23" t="n">
        <v>158</v>
      </c>
      <c r="B163" s="8" t="n"/>
      <c r="C163" s="8" t="n"/>
      <c r="D163" s="9" t="n"/>
      <c r="E163" s="8" t="n"/>
      <c r="F163" s="8" t="n"/>
      <c r="G163" s="8" t="n"/>
      <c r="H163" s="8" t="n"/>
      <c r="I163" s="24" t="n"/>
      <c r="J163" s="8" t="n"/>
      <c r="K163" s="25">
        <f>IF(OR(I163="",J163=""),"",I163*J163/1000)</f>
        <v/>
      </c>
      <c r="L163" s="26" t="n"/>
      <c r="M163" s="26" t="n"/>
      <c r="N163" s="27">
        <f>IF(OR(B163="",C163=""),"",IF(M163&lt;&gt;"",M163,IF(AND(N(L163)&gt;0,N(K163)&gt;0),L163/K163,"")))</f>
        <v/>
      </c>
      <c r="O163" s="15">
        <f>IF(C163="","",IFERROR(INDEX(Agentes!$D$6:$D$60,MATCH(C163,Agentes!$A$6:$A$60,0)),""))</f>
        <v/>
      </c>
      <c r="P163" s="28">
        <f>IF(OR(H163="",O163=""),"",IF(AND(O163="Inhalable",LEFT(H163,6)="Casete"),"Subestima: el casete cerrado no colecta toda la fracción inhalable",IF(AND(O163="Respirable",LEFT(H163,6)&lt;&gt;"Ciclón"),"Requiere ciclón (fracción respirable)",IF(AND(O163="Inhalable",ISNUMBER(SEARCH("Respirable",IFERROR(INDEX(Agentes!$C$80:$C$87,MATCH(H163,Agentes!$B$80:$B$87,0)),"")))),"El ciclón no colecta la fracción inhalable","Coherente"))))</f>
        <v/>
      </c>
      <c r="Q163" s="22">
        <f>IF(Y163="","",IFERROR(INDEX(GES!$W$6:$W$35,MATCH(Y163,GES!$R$6:$R$35,0)),""))</f>
        <v/>
      </c>
      <c r="R163" s="29">
        <f>IF(AND(ISNUMBER(N163),ISNUMBER(Q163)),N163/Q163,"")</f>
        <v/>
      </c>
      <c r="S163" s="15">
        <f>IF(C163="","",IFERROR(INDEX(Agentes!$I$6:$I$60,MATCH(C163,Agentes!$A$6:$A$60,0)),""))</f>
        <v/>
      </c>
      <c r="T163" s="8" t="n"/>
      <c r="U163" s="15">
        <f>IF(ISNUMBER(N163),IF(N163&gt;0,LN(N163),""),"")</f>
        <v/>
      </c>
      <c r="V163" s="15">
        <f>IF(ISNUMBER(U163),IFERROR((U163-LN(IFERROR(INDEX(Estadística!$K$6:$K$35,MATCH(Y163,Estadística!$Y$6:$Y$35,0)),0)))^2,""),"")</f>
        <v/>
      </c>
      <c r="W163" s="15">
        <f>IF(ISNUMBER(N163),IFERROR((N163-IFERROR(INDEX(Estadística!$I$6:$I$35,MATCH(Y163,Estadística!$Y$6:$Y$35,0)),0))^2,""),"")</f>
        <v/>
      </c>
      <c r="X163" s="15">
        <f>IF(ISNUMBER(R163),IF(R163&gt;1,1,0),"")</f>
        <v/>
      </c>
      <c r="Y163" s="15">
        <f>IF(OR(B163="",C163=""),"",B163&amp;"|"&amp;C163)</f>
        <v/>
      </c>
    </row>
    <row r="164">
      <c r="A164" s="23" t="n">
        <v>159</v>
      </c>
      <c r="B164" s="8" t="n"/>
      <c r="C164" s="8" t="n"/>
      <c r="D164" s="9" t="n"/>
      <c r="E164" s="8" t="n"/>
      <c r="F164" s="8" t="n"/>
      <c r="G164" s="8" t="n"/>
      <c r="H164" s="8" t="n"/>
      <c r="I164" s="24" t="n"/>
      <c r="J164" s="8" t="n"/>
      <c r="K164" s="25">
        <f>IF(OR(I164="",J164=""),"",I164*J164/1000)</f>
        <v/>
      </c>
      <c r="L164" s="26" t="n"/>
      <c r="M164" s="26" t="n"/>
      <c r="N164" s="27">
        <f>IF(OR(B164="",C164=""),"",IF(M164&lt;&gt;"",M164,IF(AND(N(L164)&gt;0,N(K164)&gt;0),L164/K164,"")))</f>
        <v/>
      </c>
      <c r="O164" s="15">
        <f>IF(C164="","",IFERROR(INDEX(Agentes!$D$6:$D$60,MATCH(C164,Agentes!$A$6:$A$60,0)),""))</f>
        <v/>
      </c>
      <c r="P164" s="28">
        <f>IF(OR(H164="",O164=""),"",IF(AND(O164="Inhalable",LEFT(H164,6)="Casete"),"Subestima: el casete cerrado no colecta toda la fracción inhalable",IF(AND(O164="Respirable",LEFT(H164,6)&lt;&gt;"Ciclón"),"Requiere ciclón (fracción respirable)",IF(AND(O164="Inhalable",ISNUMBER(SEARCH("Respirable",IFERROR(INDEX(Agentes!$C$80:$C$87,MATCH(H164,Agentes!$B$80:$B$87,0)),"")))),"El ciclón no colecta la fracción inhalable","Coherente"))))</f>
        <v/>
      </c>
      <c r="Q164" s="22">
        <f>IF(Y164="","",IFERROR(INDEX(GES!$W$6:$W$35,MATCH(Y164,GES!$R$6:$R$35,0)),""))</f>
        <v/>
      </c>
      <c r="R164" s="29">
        <f>IF(AND(ISNUMBER(N164),ISNUMBER(Q164)),N164/Q164,"")</f>
        <v/>
      </c>
      <c r="S164" s="15">
        <f>IF(C164="","",IFERROR(INDEX(Agentes!$I$6:$I$60,MATCH(C164,Agentes!$A$6:$A$60,0)),""))</f>
        <v/>
      </c>
      <c r="T164" s="8" t="n"/>
      <c r="U164" s="15">
        <f>IF(ISNUMBER(N164),IF(N164&gt;0,LN(N164),""),"")</f>
        <v/>
      </c>
      <c r="V164" s="15">
        <f>IF(ISNUMBER(U164),IFERROR((U164-LN(IFERROR(INDEX(Estadística!$K$6:$K$35,MATCH(Y164,Estadística!$Y$6:$Y$35,0)),0)))^2,""),"")</f>
        <v/>
      </c>
      <c r="W164" s="15">
        <f>IF(ISNUMBER(N164),IFERROR((N164-IFERROR(INDEX(Estadística!$I$6:$I$35,MATCH(Y164,Estadística!$Y$6:$Y$35,0)),0))^2,""),"")</f>
        <v/>
      </c>
      <c r="X164" s="15">
        <f>IF(ISNUMBER(R164),IF(R164&gt;1,1,0),"")</f>
        <v/>
      </c>
      <c r="Y164" s="15">
        <f>IF(OR(B164="",C164=""),"",B164&amp;"|"&amp;C164)</f>
        <v/>
      </c>
    </row>
    <row r="165">
      <c r="A165" s="23" t="n">
        <v>160</v>
      </c>
      <c r="B165" s="8" t="n"/>
      <c r="C165" s="8" t="n"/>
      <c r="D165" s="9" t="n"/>
      <c r="E165" s="8" t="n"/>
      <c r="F165" s="8" t="n"/>
      <c r="G165" s="8" t="n"/>
      <c r="H165" s="8" t="n"/>
      <c r="I165" s="24" t="n"/>
      <c r="J165" s="8" t="n"/>
      <c r="K165" s="25">
        <f>IF(OR(I165="",J165=""),"",I165*J165/1000)</f>
        <v/>
      </c>
      <c r="L165" s="26" t="n"/>
      <c r="M165" s="26" t="n"/>
      <c r="N165" s="27">
        <f>IF(OR(B165="",C165=""),"",IF(M165&lt;&gt;"",M165,IF(AND(N(L165)&gt;0,N(K165)&gt;0),L165/K165,"")))</f>
        <v/>
      </c>
      <c r="O165" s="15">
        <f>IF(C165="","",IFERROR(INDEX(Agentes!$D$6:$D$60,MATCH(C165,Agentes!$A$6:$A$60,0)),""))</f>
        <v/>
      </c>
      <c r="P165" s="28">
        <f>IF(OR(H165="",O165=""),"",IF(AND(O165="Inhalable",LEFT(H165,6)="Casete"),"Subestima: el casete cerrado no colecta toda la fracción inhalable",IF(AND(O165="Respirable",LEFT(H165,6)&lt;&gt;"Ciclón"),"Requiere ciclón (fracción respirable)",IF(AND(O165="Inhalable",ISNUMBER(SEARCH("Respirable",IFERROR(INDEX(Agentes!$C$80:$C$87,MATCH(H165,Agentes!$B$80:$B$87,0)),"")))),"El ciclón no colecta la fracción inhalable","Coherente"))))</f>
        <v/>
      </c>
      <c r="Q165" s="22">
        <f>IF(Y165="","",IFERROR(INDEX(GES!$W$6:$W$35,MATCH(Y165,GES!$R$6:$R$35,0)),""))</f>
        <v/>
      </c>
      <c r="R165" s="29">
        <f>IF(AND(ISNUMBER(N165),ISNUMBER(Q165)),N165/Q165,"")</f>
        <v/>
      </c>
      <c r="S165" s="15">
        <f>IF(C165="","",IFERROR(INDEX(Agentes!$I$6:$I$60,MATCH(C165,Agentes!$A$6:$A$60,0)),""))</f>
        <v/>
      </c>
      <c r="T165" s="8" t="n"/>
      <c r="U165" s="15">
        <f>IF(ISNUMBER(N165),IF(N165&gt;0,LN(N165),""),"")</f>
        <v/>
      </c>
      <c r="V165" s="15">
        <f>IF(ISNUMBER(U165),IFERROR((U165-LN(IFERROR(INDEX(Estadística!$K$6:$K$35,MATCH(Y165,Estadística!$Y$6:$Y$35,0)),0)))^2,""),"")</f>
        <v/>
      </c>
      <c r="W165" s="15">
        <f>IF(ISNUMBER(N165),IFERROR((N165-IFERROR(INDEX(Estadística!$I$6:$I$35,MATCH(Y165,Estadística!$Y$6:$Y$35,0)),0))^2,""),"")</f>
        <v/>
      </c>
      <c r="X165" s="15">
        <f>IF(ISNUMBER(R165),IF(R165&gt;1,1,0),"")</f>
        <v/>
      </c>
      <c r="Y165" s="15">
        <f>IF(OR(B165="",C165=""),"",B165&amp;"|"&amp;C165)</f>
        <v/>
      </c>
    </row>
    <row r="166">
      <c r="A166" s="23" t="n">
        <v>161</v>
      </c>
      <c r="B166" s="8" t="n"/>
      <c r="C166" s="8" t="n"/>
      <c r="D166" s="9" t="n"/>
      <c r="E166" s="8" t="n"/>
      <c r="F166" s="8" t="n"/>
      <c r="G166" s="8" t="n"/>
      <c r="H166" s="8" t="n"/>
      <c r="I166" s="24" t="n"/>
      <c r="J166" s="8" t="n"/>
      <c r="K166" s="25">
        <f>IF(OR(I166="",J166=""),"",I166*J166/1000)</f>
        <v/>
      </c>
      <c r="L166" s="26" t="n"/>
      <c r="M166" s="26" t="n"/>
      <c r="N166" s="27">
        <f>IF(OR(B166="",C166=""),"",IF(M166&lt;&gt;"",M166,IF(AND(N(L166)&gt;0,N(K166)&gt;0),L166/K166,"")))</f>
        <v/>
      </c>
      <c r="O166" s="15">
        <f>IF(C166="","",IFERROR(INDEX(Agentes!$D$6:$D$60,MATCH(C166,Agentes!$A$6:$A$60,0)),""))</f>
        <v/>
      </c>
      <c r="P166" s="28">
        <f>IF(OR(H166="",O166=""),"",IF(AND(O166="Inhalable",LEFT(H166,6)="Casete"),"Subestima: el casete cerrado no colecta toda la fracción inhalable",IF(AND(O166="Respirable",LEFT(H166,6)&lt;&gt;"Ciclón"),"Requiere ciclón (fracción respirable)",IF(AND(O166="Inhalable",ISNUMBER(SEARCH("Respirable",IFERROR(INDEX(Agentes!$C$80:$C$87,MATCH(H166,Agentes!$B$80:$B$87,0)),"")))),"El ciclón no colecta la fracción inhalable","Coherente"))))</f>
        <v/>
      </c>
      <c r="Q166" s="22">
        <f>IF(Y166="","",IFERROR(INDEX(GES!$W$6:$W$35,MATCH(Y166,GES!$R$6:$R$35,0)),""))</f>
        <v/>
      </c>
      <c r="R166" s="29">
        <f>IF(AND(ISNUMBER(N166),ISNUMBER(Q166)),N166/Q166,"")</f>
        <v/>
      </c>
      <c r="S166" s="15">
        <f>IF(C166="","",IFERROR(INDEX(Agentes!$I$6:$I$60,MATCH(C166,Agentes!$A$6:$A$60,0)),""))</f>
        <v/>
      </c>
      <c r="T166" s="8" t="n"/>
      <c r="U166" s="15">
        <f>IF(ISNUMBER(N166),IF(N166&gt;0,LN(N166),""),"")</f>
        <v/>
      </c>
      <c r="V166" s="15">
        <f>IF(ISNUMBER(U166),IFERROR((U166-LN(IFERROR(INDEX(Estadística!$K$6:$K$35,MATCH(Y166,Estadística!$Y$6:$Y$35,0)),0)))^2,""),"")</f>
        <v/>
      </c>
      <c r="W166" s="15">
        <f>IF(ISNUMBER(N166),IFERROR((N166-IFERROR(INDEX(Estadística!$I$6:$I$35,MATCH(Y166,Estadística!$Y$6:$Y$35,0)),0))^2,""),"")</f>
        <v/>
      </c>
      <c r="X166" s="15">
        <f>IF(ISNUMBER(R166),IF(R166&gt;1,1,0),"")</f>
        <v/>
      </c>
      <c r="Y166" s="15">
        <f>IF(OR(B166="",C166=""),"",B166&amp;"|"&amp;C166)</f>
        <v/>
      </c>
    </row>
    <row r="167">
      <c r="A167" s="23" t="n">
        <v>162</v>
      </c>
      <c r="B167" s="8" t="n"/>
      <c r="C167" s="8" t="n"/>
      <c r="D167" s="9" t="n"/>
      <c r="E167" s="8" t="n"/>
      <c r="F167" s="8" t="n"/>
      <c r="G167" s="8" t="n"/>
      <c r="H167" s="8" t="n"/>
      <c r="I167" s="24" t="n"/>
      <c r="J167" s="8" t="n"/>
      <c r="K167" s="25">
        <f>IF(OR(I167="",J167=""),"",I167*J167/1000)</f>
        <v/>
      </c>
      <c r="L167" s="26" t="n"/>
      <c r="M167" s="26" t="n"/>
      <c r="N167" s="27">
        <f>IF(OR(B167="",C167=""),"",IF(M167&lt;&gt;"",M167,IF(AND(N(L167)&gt;0,N(K167)&gt;0),L167/K167,"")))</f>
        <v/>
      </c>
      <c r="O167" s="15">
        <f>IF(C167="","",IFERROR(INDEX(Agentes!$D$6:$D$60,MATCH(C167,Agentes!$A$6:$A$60,0)),""))</f>
        <v/>
      </c>
      <c r="P167" s="28">
        <f>IF(OR(H167="",O167=""),"",IF(AND(O167="Inhalable",LEFT(H167,6)="Casete"),"Subestima: el casete cerrado no colecta toda la fracción inhalable",IF(AND(O167="Respirable",LEFT(H167,6)&lt;&gt;"Ciclón"),"Requiere ciclón (fracción respirable)",IF(AND(O167="Inhalable",ISNUMBER(SEARCH("Respirable",IFERROR(INDEX(Agentes!$C$80:$C$87,MATCH(H167,Agentes!$B$80:$B$87,0)),"")))),"El ciclón no colecta la fracción inhalable","Coherente"))))</f>
        <v/>
      </c>
      <c r="Q167" s="22">
        <f>IF(Y167="","",IFERROR(INDEX(GES!$W$6:$W$35,MATCH(Y167,GES!$R$6:$R$35,0)),""))</f>
        <v/>
      </c>
      <c r="R167" s="29">
        <f>IF(AND(ISNUMBER(N167),ISNUMBER(Q167)),N167/Q167,"")</f>
        <v/>
      </c>
      <c r="S167" s="15">
        <f>IF(C167="","",IFERROR(INDEX(Agentes!$I$6:$I$60,MATCH(C167,Agentes!$A$6:$A$60,0)),""))</f>
        <v/>
      </c>
      <c r="T167" s="8" t="n"/>
      <c r="U167" s="15">
        <f>IF(ISNUMBER(N167),IF(N167&gt;0,LN(N167),""),"")</f>
        <v/>
      </c>
      <c r="V167" s="15">
        <f>IF(ISNUMBER(U167),IFERROR((U167-LN(IFERROR(INDEX(Estadística!$K$6:$K$35,MATCH(Y167,Estadística!$Y$6:$Y$35,0)),0)))^2,""),"")</f>
        <v/>
      </c>
      <c r="W167" s="15">
        <f>IF(ISNUMBER(N167),IFERROR((N167-IFERROR(INDEX(Estadística!$I$6:$I$35,MATCH(Y167,Estadística!$Y$6:$Y$35,0)),0))^2,""),"")</f>
        <v/>
      </c>
      <c r="X167" s="15">
        <f>IF(ISNUMBER(R167),IF(R167&gt;1,1,0),"")</f>
        <v/>
      </c>
      <c r="Y167" s="15">
        <f>IF(OR(B167="",C167=""),"",B167&amp;"|"&amp;C167)</f>
        <v/>
      </c>
    </row>
    <row r="168">
      <c r="A168" s="23" t="n">
        <v>163</v>
      </c>
      <c r="B168" s="8" t="n"/>
      <c r="C168" s="8" t="n"/>
      <c r="D168" s="9" t="n"/>
      <c r="E168" s="8" t="n"/>
      <c r="F168" s="8" t="n"/>
      <c r="G168" s="8" t="n"/>
      <c r="H168" s="8" t="n"/>
      <c r="I168" s="24" t="n"/>
      <c r="J168" s="8" t="n"/>
      <c r="K168" s="25">
        <f>IF(OR(I168="",J168=""),"",I168*J168/1000)</f>
        <v/>
      </c>
      <c r="L168" s="26" t="n"/>
      <c r="M168" s="26" t="n"/>
      <c r="N168" s="27">
        <f>IF(OR(B168="",C168=""),"",IF(M168&lt;&gt;"",M168,IF(AND(N(L168)&gt;0,N(K168)&gt;0),L168/K168,"")))</f>
        <v/>
      </c>
      <c r="O168" s="15">
        <f>IF(C168="","",IFERROR(INDEX(Agentes!$D$6:$D$60,MATCH(C168,Agentes!$A$6:$A$60,0)),""))</f>
        <v/>
      </c>
      <c r="P168" s="28">
        <f>IF(OR(H168="",O168=""),"",IF(AND(O168="Inhalable",LEFT(H168,6)="Casete"),"Subestima: el casete cerrado no colecta toda la fracción inhalable",IF(AND(O168="Respirable",LEFT(H168,6)&lt;&gt;"Ciclón"),"Requiere ciclón (fracción respirable)",IF(AND(O168="Inhalable",ISNUMBER(SEARCH("Respirable",IFERROR(INDEX(Agentes!$C$80:$C$87,MATCH(H168,Agentes!$B$80:$B$87,0)),"")))),"El ciclón no colecta la fracción inhalable","Coherente"))))</f>
        <v/>
      </c>
      <c r="Q168" s="22">
        <f>IF(Y168="","",IFERROR(INDEX(GES!$W$6:$W$35,MATCH(Y168,GES!$R$6:$R$35,0)),""))</f>
        <v/>
      </c>
      <c r="R168" s="29">
        <f>IF(AND(ISNUMBER(N168),ISNUMBER(Q168)),N168/Q168,"")</f>
        <v/>
      </c>
      <c r="S168" s="15">
        <f>IF(C168="","",IFERROR(INDEX(Agentes!$I$6:$I$60,MATCH(C168,Agentes!$A$6:$A$60,0)),""))</f>
        <v/>
      </c>
      <c r="T168" s="8" t="n"/>
      <c r="U168" s="15">
        <f>IF(ISNUMBER(N168),IF(N168&gt;0,LN(N168),""),"")</f>
        <v/>
      </c>
      <c r="V168" s="15">
        <f>IF(ISNUMBER(U168),IFERROR((U168-LN(IFERROR(INDEX(Estadística!$K$6:$K$35,MATCH(Y168,Estadística!$Y$6:$Y$35,0)),0)))^2,""),"")</f>
        <v/>
      </c>
      <c r="W168" s="15">
        <f>IF(ISNUMBER(N168),IFERROR((N168-IFERROR(INDEX(Estadística!$I$6:$I$35,MATCH(Y168,Estadística!$Y$6:$Y$35,0)),0))^2,""),"")</f>
        <v/>
      </c>
      <c r="X168" s="15">
        <f>IF(ISNUMBER(R168),IF(R168&gt;1,1,0),"")</f>
        <v/>
      </c>
      <c r="Y168" s="15">
        <f>IF(OR(B168="",C168=""),"",B168&amp;"|"&amp;C168)</f>
        <v/>
      </c>
    </row>
    <row r="169">
      <c r="A169" s="23" t="n">
        <v>164</v>
      </c>
      <c r="B169" s="8" t="n"/>
      <c r="C169" s="8" t="n"/>
      <c r="D169" s="9" t="n"/>
      <c r="E169" s="8" t="n"/>
      <c r="F169" s="8" t="n"/>
      <c r="G169" s="8" t="n"/>
      <c r="H169" s="8" t="n"/>
      <c r="I169" s="24" t="n"/>
      <c r="J169" s="8" t="n"/>
      <c r="K169" s="25">
        <f>IF(OR(I169="",J169=""),"",I169*J169/1000)</f>
        <v/>
      </c>
      <c r="L169" s="26" t="n"/>
      <c r="M169" s="26" t="n"/>
      <c r="N169" s="27">
        <f>IF(OR(B169="",C169=""),"",IF(M169&lt;&gt;"",M169,IF(AND(N(L169)&gt;0,N(K169)&gt;0),L169/K169,"")))</f>
        <v/>
      </c>
      <c r="O169" s="15">
        <f>IF(C169="","",IFERROR(INDEX(Agentes!$D$6:$D$60,MATCH(C169,Agentes!$A$6:$A$60,0)),""))</f>
        <v/>
      </c>
      <c r="P169" s="28">
        <f>IF(OR(H169="",O169=""),"",IF(AND(O169="Inhalable",LEFT(H169,6)="Casete"),"Subestima: el casete cerrado no colecta toda la fracción inhalable",IF(AND(O169="Respirable",LEFT(H169,6)&lt;&gt;"Ciclón"),"Requiere ciclón (fracción respirable)",IF(AND(O169="Inhalable",ISNUMBER(SEARCH("Respirable",IFERROR(INDEX(Agentes!$C$80:$C$87,MATCH(H169,Agentes!$B$80:$B$87,0)),"")))),"El ciclón no colecta la fracción inhalable","Coherente"))))</f>
        <v/>
      </c>
      <c r="Q169" s="22">
        <f>IF(Y169="","",IFERROR(INDEX(GES!$W$6:$W$35,MATCH(Y169,GES!$R$6:$R$35,0)),""))</f>
        <v/>
      </c>
      <c r="R169" s="29">
        <f>IF(AND(ISNUMBER(N169),ISNUMBER(Q169)),N169/Q169,"")</f>
        <v/>
      </c>
      <c r="S169" s="15">
        <f>IF(C169="","",IFERROR(INDEX(Agentes!$I$6:$I$60,MATCH(C169,Agentes!$A$6:$A$60,0)),""))</f>
        <v/>
      </c>
      <c r="T169" s="8" t="n"/>
      <c r="U169" s="15">
        <f>IF(ISNUMBER(N169),IF(N169&gt;0,LN(N169),""),"")</f>
        <v/>
      </c>
      <c r="V169" s="15">
        <f>IF(ISNUMBER(U169),IFERROR((U169-LN(IFERROR(INDEX(Estadística!$K$6:$K$35,MATCH(Y169,Estadística!$Y$6:$Y$35,0)),0)))^2,""),"")</f>
        <v/>
      </c>
      <c r="W169" s="15">
        <f>IF(ISNUMBER(N169),IFERROR((N169-IFERROR(INDEX(Estadística!$I$6:$I$35,MATCH(Y169,Estadística!$Y$6:$Y$35,0)),0))^2,""),"")</f>
        <v/>
      </c>
      <c r="X169" s="15">
        <f>IF(ISNUMBER(R169),IF(R169&gt;1,1,0),"")</f>
        <v/>
      </c>
      <c r="Y169" s="15">
        <f>IF(OR(B169="",C169=""),"",B169&amp;"|"&amp;C169)</f>
        <v/>
      </c>
    </row>
    <row r="170">
      <c r="A170" s="23" t="n">
        <v>165</v>
      </c>
      <c r="B170" s="8" t="n"/>
      <c r="C170" s="8" t="n"/>
      <c r="D170" s="9" t="n"/>
      <c r="E170" s="8" t="n"/>
      <c r="F170" s="8" t="n"/>
      <c r="G170" s="8" t="n"/>
      <c r="H170" s="8" t="n"/>
      <c r="I170" s="24" t="n"/>
      <c r="J170" s="8" t="n"/>
      <c r="K170" s="25">
        <f>IF(OR(I170="",J170=""),"",I170*J170/1000)</f>
        <v/>
      </c>
      <c r="L170" s="26" t="n"/>
      <c r="M170" s="26" t="n"/>
      <c r="N170" s="27">
        <f>IF(OR(B170="",C170=""),"",IF(M170&lt;&gt;"",M170,IF(AND(N(L170)&gt;0,N(K170)&gt;0),L170/K170,"")))</f>
        <v/>
      </c>
      <c r="O170" s="15">
        <f>IF(C170="","",IFERROR(INDEX(Agentes!$D$6:$D$60,MATCH(C170,Agentes!$A$6:$A$60,0)),""))</f>
        <v/>
      </c>
      <c r="P170" s="28">
        <f>IF(OR(H170="",O170=""),"",IF(AND(O170="Inhalable",LEFT(H170,6)="Casete"),"Subestima: el casete cerrado no colecta toda la fracción inhalable",IF(AND(O170="Respirable",LEFT(H170,6)&lt;&gt;"Ciclón"),"Requiere ciclón (fracción respirable)",IF(AND(O170="Inhalable",ISNUMBER(SEARCH("Respirable",IFERROR(INDEX(Agentes!$C$80:$C$87,MATCH(H170,Agentes!$B$80:$B$87,0)),"")))),"El ciclón no colecta la fracción inhalable","Coherente"))))</f>
        <v/>
      </c>
      <c r="Q170" s="22">
        <f>IF(Y170="","",IFERROR(INDEX(GES!$W$6:$W$35,MATCH(Y170,GES!$R$6:$R$35,0)),""))</f>
        <v/>
      </c>
      <c r="R170" s="29">
        <f>IF(AND(ISNUMBER(N170),ISNUMBER(Q170)),N170/Q170,"")</f>
        <v/>
      </c>
      <c r="S170" s="15">
        <f>IF(C170="","",IFERROR(INDEX(Agentes!$I$6:$I$60,MATCH(C170,Agentes!$A$6:$A$60,0)),""))</f>
        <v/>
      </c>
      <c r="T170" s="8" t="n"/>
      <c r="U170" s="15">
        <f>IF(ISNUMBER(N170),IF(N170&gt;0,LN(N170),""),"")</f>
        <v/>
      </c>
      <c r="V170" s="15">
        <f>IF(ISNUMBER(U170),IFERROR((U170-LN(IFERROR(INDEX(Estadística!$K$6:$K$35,MATCH(Y170,Estadística!$Y$6:$Y$35,0)),0)))^2,""),"")</f>
        <v/>
      </c>
      <c r="W170" s="15">
        <f>IF(ISNUMBER(N170),IFERROR((N170-IFERROR(INDEX(Estadística!$I$6:$I$35,MATCH(Y170,Estadística!$Y$6:$Y$35,0)),0))^2,""),"")</f>
        <v/>
      </c>
      <c r="X170" s="15">
        <f>IF(ISNUMBER(R170),IF(R170&gt;1,1,0),"")</f>
        <v/>
      </c>
      <c r="Y170" s="15">
        <f>IF(OR(B170="",C170=""),"",B170&amp;"|"&amp;C170)</f>
        <v/>
      </c>
    </row>
    <row r="171">
      <c r="A171" s="23" t="n">
        <v>166</v>
      </c>
      <c r="B171" s="8" t="n"/>
      <c r="C171" s="8" t="n"/>
      <c r="D171" s="9" t="n"/>
      <c r="E171" s="8" t="n"/>
      <c r="F171" s="8" t="n"/>
      <c r="G171" s="8" t="n"/>
      <c r="H171" s="8" t="n"/>
      <c r="I171" s="24" t="n"/>
      <c r="J171" s="8" t="n"/>
      <c r="K171" s="25">
        <f>IF(OR(I171="",J171=""),"",I171*J171/1000)</f>
        <v/>
      </c>
      <c r="L171" s="26" t="n"/>
      <c r="M171" s="26" t="n"/>
      <c r="N171" s="27">
        <f>IF(OR(B171="",C171=""),"",IF(M171&lt;&gt;"",M171,IF(AND(N(L171)&gt;0,N(K171)&gt;0),L171/K171,"")))</f>
        <v/>
      </c>
      <c r="O171" s="15">
        <f>IF(C171="","",IFERROR(INDEX(Agentes!$D$6:$D$60,MATCH(C171,Agentes!$A$6:$A$60,0)),""))</f>
        <v/>
      </c>
      <c r="P171" s="28">
        <f>IF(OR(H171="",O171=""),"",IF(AND(O171="Inhalable",LEFT(H171,6)="Casete"),"Subestima: el casete cerrado no colecta toda la fracción inhalable",IF(AND(O171="Respirable",LEFT(H171,6)&lt;&gt;"Ciclón"),"Requiere ciclón (fracción respirable)",IF(AND(O171="Inhalable",ISNUMBER(SEARCH("Respirable",IFERROR(INDEX(Agentes!$C$80:$C$87,MATCH(H171,Agentes!$B$80:$B$87,0)),"")))),"El ciclón no colecta la fracción inhalable","Coherente"))))</f>
        <v/>
      </c>
      <c r="Q171" s="22">
        <f>IF(Y171="","",IFERROR(INDEX(GES!$W$6:$W$35,MATCH(Y171,GES!$R$6:$R$35,0)),""))</f>
        <v/>
      </c>
      <c r="R171" s="29">
        <f>IF(AND(ISNUMBER(N171),ISNUMBER(Q171)),N171/Q171,"")</f>
        <v/>
      </c>
      <c r="S171" s="15">
        <f>IF(C171="","",IFERROR(INDEX(Agentes!$I$6:$I$60,MATCH(C171,Agentes!$A$6:$A$60,0)),""))</f>
        <v/>
      </c>
      <c r="T171" s="8" t="n"/>
      <c r="U171" s="15">
        <f>IF(ISNUMBER(N171),IF(N171&gt;0,LN(N171),""),"")</f>
        <v/>
      </c>
      <c r="V171" s="15">
        <f>IF(ISNUMBER(U171),IFERROR((U171-LN(IFERROR(INDEX(Estadística!$K$6:$K$35,MATCH(Y171,Estadística!$Y$6:$Y$35,0)),0)))^2,""),"")</f>
        <v/>
      </c>
      <c r="W171" s="15">
        <f>IF(ISNUMBER(N171),IFERROR((N171-IFERROR(INDEX(Estadística!$I$6:$I$35,MATCH(Y171,Estadística!$Y$6:$Y$35,0)),0))^2,""),"")</f>
        <v/>
      </c>
      <c r="X171" s="15">
        <f>IF(ISNUMBER(R171),IF(R171&gt;1,1,0),"")</f>
        <v/>
      </c>
      <c r="Y171" s="15">
        <f>IF(OR(B171="",C171=""),"",B171&amp;"|"&amp;C171)</f>
        <v/>
      </c>
    </row>
    <row r="172">
      <c r="A172" s="23" t="n">
        <v>167</v>
      </c>
      <c r="B172" s="8" t="n"/>
      <c r="C172" s="8" t="n"/>
      <c r="D172" s="9" t="n"/>
      <c r="E172" s="8" t="n"/>
      <c r="F172" s="8" t="n"/>
      <c r="G172" s="8" t="n"/>
      <c r="H172" s="8" t="n"/>
      <c r="I172" s="24" t="n"/>
      <c r="J172" s="8" t="n"/>
      <c r="K172" s="25">
        <f>IF(OR(I172="",J172=""),"",I172*J172/1000)</f>
        <v/>
      </c>
      <c r="L172" s="26" t="n"/>
      <c r="M172" s="26" t="n"/>
      <c r="N172" s="27">
        <f>IF(OR(B172="",C172=""),"",IF(M172&lt;&gt;"",M172,IF(AND(N(L172)&gt;0,N(K172)&gt;0),L172/K172,"")))</f>
        <v/>
      </c>
      <c r="O172" s="15">
        <f>IF(C172="","",IFERROR(INDEX(Agentes!$D$6:$D$60,MATCH(C172,Agentes!$A$6:$A$60,0)),""))</f>
        <v/>
      </c>
      <c r="P172" s="28">
        <f>IF(OR(H172="",O172=""),"",IF(AND(O172="Inhalable",LEFT(H172,6)="Casete"),"Subestima: el casete cerrado no colecta toda la fracción inhalable",IF(AND(O172="Respirable",LEFT(H172,6)&lt;&gt;"Ciclón"),"Requiere ciclón (fracción respirable)",IF(AND(O172="Inhalable",ISNUMBER(SEARCH("Respirable",IFERROR(INDEX(Agentes!$C$80:$C$87,MATCH(H172,Agentes!$B$80:$B$87,0)),"")))),"El ciclón no colecta la fracción inhalable","Coherente"))))</f>
        <v/>
      </c>
      <c r="Q172" s="22">
        <f>IF(Y172="","",IFERROR(INDEX(GES!$W$6:$W$35,MATCH(Y172,GES!$R$6:$R$35,0)),""))</f>
        <v/>
      </c>
      <c r="R172" s="29">
        <f>IF(AND(ISNUMBER(N172),ISNUMBER(Q172)),N172/Q172,"")</f>
        <v/>
      </c>
      <c r="S172" s="15">
        <f>IF(C172="","",IFERROR(INDEX(Agentes!$I$6:$I$60,MATCH(C172,Agentes!$A$6:$A$60,0)),""))</f>
        <v/>
      </c>
      <c r="T172" s="8" t="n"/>
      <c r="U172" s="15">
        <f>IF(ISNUMBER(N172),IF(N172&gt;0,LN(N172),""),"")</f>
        <v/>
      </c>
      <c r="V172" s="15">
        <f>IF(ISNUMBER(U172),IFERROR((U172-LN(IFERROR(INDEX(Estadística!$K$6:$K$35,MATCH(Y172,Estadística!$Y$6:$Y$35,0)),0)))^2,""),"")</f>
        <v/>
      </c>
      <c r="W172" s="15">
        <f>IF(ISNUMBER(N172),IFERROR((N172-IFERROR(INDEX(Estadística!$I$6:$I$35,MATCH(Y172,Estadística!$Y$6:$Y$35,0)),0))^2,""),"")</f>
        <v/>
      </c>
      <c r="X172" s="15">
        <f>IF(ISNUMBER(R172),IF(R172&gt;1,1,0),"")</f>
        <v/>
      </c>
      <c r="Y172" s="15">
        <f>IF(OR(B172="",C172=""),"",B172&amp;"|"&amp;C172)</f>
        <v/>
      </c>
    </row>
    <row r="173">
      <c r="A173" s="23" t="n">
        <v>168</v>
      </c>
      <c r="B173" s="8" t="n"/>
      <c r="C173" s="8" t="n"/>
      <c r="D173" s="9" t="n"/>
      <c r="E173" s="8" t="n"/>
      <c r="F173" s="8" t="n"/>
      <c r="G173" s="8" t="n"/>
      <c r="H173" s="8" t="n"/>
      <c r="I173" s="24" t="n"/>
      <c r="J173" s="8" t="n"/>
      <c r="K173" s="25">
        <f>IF(OR(I173="",J173=""),"",I173*J173/1000)</f>
        <v/>
      </c>
      <c r="L173" s="26" t="n"/>
      <c r="M173" s="26" t="n"/>
      <c r="N173" s="27">
        <f>IF(OR(B173="",C173=""),"",IF(M173&lt;&gt;"",M173,IF(AND(N(L173)&gt;0,N(K173)&gt;0),L173/K173,"")))</f>
        <v/>
      </c>
      <c r="O173" s="15">
        <f>IF(C173="","",IFERROR(INDEX(Agentes!$D$6:$D$60,MATCH(C173,Agentes!$A$6:$A$60,0)),""))</f>
        <v/>
      </c>
      <c r="P173" s="28">
        <f>IF(OR(H173="",O173=""),"",IF(AND(O173="Inhalable",LEFT(H173,6)="Casete"),"Subestima: el casete cerrado no colecta toda la fracción inhalable",IF(AND(O173="Respirable",LEFT(H173,6)&lt;&gt;"Ciclón"),"Requiere ciclón (fracción respirable)",IF(AND(O173="Inhalable",ISNUMBER(SEARCH("Respirable",IFERROR(INDEX(Agentes!$C$80:$C$87,MATCH(H173,Agentes!$B$80:$B$87,0)),"")))),"El ciclón no colecta la fracción inhalable","Coherente"))))</f>
        <v/>
      </c>
      <c r="Q173" s="22">
        <f>IF(Y173="","",IFERROR(INDEX(GES!$W$6:$W$35,MATCH(Y173,GES!$R$6:$R$35,0)),""))</f>
        <v/>
      </c>
      <c r="R173" s="29">
        <f>IF(AND(ISNUMBER(N173),ISNUMBER(Q173)),N173/Q173,"")</f>
        <v/>
      </c>
      <c r="S173" s="15">
        <f>IF(C173="","",IFERROR(INDEX(Agentes!$I$6:$I$60,MATCH(C173,Agentes!$A$6:$A$60,0)),""))</f>
        <v/>
      </c>
      <c r="T173" s="8" t="n"/>
      <c r="U173" s="15">
        <f>IF(ISNUMBER(N173),IF(N173&gt;0,LN(N173),""),"")</f>
        <v/>
      </c>
      <c r="V173" s="15">
        <f>IF(ISNUMBER(U173),IFERROR((U173-LN(IFERROR(INDEX(Estadística!$K$6:$K$35,MATCH(Y173,Estadística!$Y$6:$Y$35,0)),0)))^2,""),"")</f>
        <v/>
      </c>
      <c r="W173" s="15">
        <f>IF(ISNUMBER(N173),IFERROR((N173-IFERROR(INDEX(Estadística!$I$6:$I$35,MATCH(Y173,Estadística!$Y$6:$Y$35,0)),0))^2,""),"")</f>
        <v/>
      </c>
      <c r="X173" s="15">
        <f>IF(ISNUMBER(R173),IF(R173&gt;1,1,0),"")</f>
        <v/>
      </c>
      <c r="Y173" s="15">
        <f>IF(OR(B173="",C173=""),"",B173&amp;"|"&amp;C173)</f>
        <v/>
      </c>
    </row>
    <row r="174">
      <c r="A174" s="23" t="n">
        <v>169</v>
      </c>
      <c r="B174" s="8" t="n"/>
      <c r="C174" s="8" t="n"/>
      <c r="D174" s="9" t="n"/>
      <c r="E174" s="8" t="n"/>
      <c r="F174" s="8" t="n"/>
      <c r="G174" s="8" t="n"/>
      <c r="H174" s="8" t="n"/>
      <c r="I174" s="24" t="n"/>
      <c r="J174" s="8" t="n"/>
      <c r="K174" s="25">
        <f>IF(OR(I174="",J174=""),"",I174*J174/1000)</f>
        <v/>
      </c>
      <c r="L174" s="26" t="n"/>
      <c r="M174" s="26" t="n"/>
      <c r="N174" s="27">
        <f>IF(OR(B174="",C174=""),"",IF(M174&lt;&gt;"",M174,IF(AND(N(L174)&gt;0,N(K174)&gt;0),L174/K174,"")))</f>
        <v/>
      </c>
      <c r="O174" s="15">
        <f>IF(C174="","",IFERROR(INDEX(Agentes!$D$6:$D$60,MATCH(C174,Agentes!$A$6:$A$60,0)),""))</f>
        <v/>
      </c>
      <c r="P174" s="28">
        <f>IF(OR(H174="",O174=""),"",IF(AND(O174="Inhalable",LEFT(H174,6)="Casete"),"Subestima: el casete cerrado no colecta toda la fracción inhalable",IF(AND(O174="Respirable",LEFT(H174,6)&lt;&gt;"Ciclón"),"Requiere ciclón (fracción respirable)",IF(AND(O174="Inhalable",ISNUMBER(SEARCH("Respirable",IFERROR(INDEX(Agentes!$C$80:$C$87,MATCH(H174,Agentes!$B$80:$B$87,0)),"")))),"El ciclón no colecta la fracción inhalable","Coherente"))))</f>
        <v/>
      </c>
      <c r="Q174" s="22">
        <f>IF(Y174="","",IFERROR(INDEX(GES!$W$6:$W$35,MATCH(Y174,GES!$R$6:$R$35,0)),""))</f>
        <v/>
      </c>
      <c r="R174" s="29">
        <f>IF(AND(ISNUMBER(N174),ISNUMBER(Q174)),N174/Q174,"")</f>
        <v/>
      </c>
      <c r="S174" s="15">
        <f>IF(C174="","",IFERROR(INDEX(Agentes!$I$6:$I$60,MATCH(C174,Agentes!$A$6:$A$60,0)),""))</f>
        <v/>
      </c>
      <c r="T174" s="8" t="n"/>
      <c r="U174" s="15">
        <f>IF(ISNUMBER(N174),IF(N174&gt;0,LN(N174),""),"")</f>
        <v/>
      </c>
      <c r="V174" s="15">
        <f>IF(ISNUMBER(U174),IFERROR((U174-LN(IFERROR(INDEX(Estadística!$K$6:$K$35,MATCH(Y174,Estadística!$Y$6:$Y$35,0)),0)))^2,""),"")</f>
        <v/>
      </c>
      <c r="W174" s="15">
        <f>IF(ISNUMBER(N174),IFERROR((N174-IFERROR(INDEX(Estadística!$I$6:$I$35,MATCH(Y174,Estadística!$Y$6:$Y$35,0)),0))^2,""),"")</f>
        <v/>
      </c>
      <c r="X174" s="15">
        <f>IF(ISNUMBER(R174),IF(R174&gt;1,1,0),"")</f>
        <v/>
      </c>
      <c r="Y174" s="15">
        <f>IF(OR(B174="",C174=""),"",B174&amp;"|"&amp;C174)</f>
        <v/>
      </c>
    </row>
    <row r="175">
      <c r="A175" s="23" t="n">
        <v>170</v>
      </c>
      <c r="B175" s="8" t="n"/>
      <c r="C175" s="8" t="n"/>
      <c r="D175" s="9" t="n"/>
      <c r="E175" s="8" t="n"/>
      <c r="F175" s="8" t="n"/>
      <c r="G175" s="8" t="n"/>
      <c r="H175" s="8" t="n"/>
      <c r="I175" s="24" t="n"/>
      <c r="J175" s="8" t="n"/>
      <c r="K175" s="25">
        <f>IF(OR(I175="",J175=""),"",I175*J175/1000)</f>
        <v/>
      </c>
      <c r="L175" s="26" t="n"/>
      <c r="M175" s="26" t="n"/>
      <c r="N175" s="27">
        <f>IF(OR(B175="",C175=""),"",IF(M175&lt;&gt;"",M175,IF(AND(N(L175)&gt;0,N(K175)&gt;0),L175/K175,"")))</f>
        <v/>
      </c>
      <c r="O175" s="15">
        <f>IF(C175="","",IFERROR(INDEX(Agentes!$D$6:$D$60,MATCH(C175,Agentes!$A$6:$A$60,0)),""))</f>
        <v/>
      </c>
      <c r="P175" s="28">
        <f>IF(OR(H175="",O175=""),"",IF(AND(O175="Inhalable",LEFT(H175,6)="Casete"),"Subestima: el casete cerrado no colecta toda la fracción inhalable",IF(AND(O175="Respirable",LEFT(H175,6)&lt;&gt;"Ciclón"),"Requiere ciclón (fracción respirable)",IF(AND(O175="Inhalable",ISNUMBER(SEARCH("Respirable",IFERROR(INDEX(Agentes!$C$80:$C$87,MATCH(H175,Agentes!$B$80:$B$87,0)),"")))),"El ciclón no colecta la fracción inhalable","Coherente"))))</f>
        <v/>
      </c>
      <c r="Q175" s="22">
        <f>IF(Y175="","",IFERROR(INDEX(GES!$W$6:$W$35,MATCH(Y175,GES!$R$6:$R$35,0)),""))</f>
        <v/>
      </c>
      <c r="R175" s="29">
        <f>IF(AND(ISNUMBER(N175),ISNUMBER(Q175)),N175/Q175,"")</f>
        <v/>
      </c>
      <c r="S175" s="15">
        <f>IF(C175="","",IFERROR(INDEX(Agentes!$I$6:$I$60,MATCH(C175,Agentes!$A$6:$A$60,0)),""))</f>
        <v/>
      </c>
      <c r="T175" s="8" t="n"/>
      <c r="U175" s="15">
        <f>IF(ISNUMBER(N175),IF(N175&gt;0,LN(N175),""),"")</f>
        <v/>
      </c>
      <c r="V175" s="15">
        <f>IF(ISNUMBER(U175),IFERROR((U175-LN(IFERROR(INDEX(Estadística!$K$6:$K$35,MATCH(Y175,Estadística!$Y$6:$Y$35,0)),0)))^2,""),"")</f>
        <v/>
      </c>
      <c r="W175" s="15">
        <f>IF(ISNUMBER(N175),IFERROR((N175-IFERROR(INDEX(Estadística!$I$6:$I$35,MATCH(Y175,Estadística!$Y$6:$Y$35,0)),0))^2,""),"")</f>
        <v/>
      </c>
      <c r="X175" s="15">
        <f>IF(ISNUMBER(R175),IF(R175&gt;1,1,0),"")</f>
        <v/>
      </c>
      <c r="Y175" s="15">
        <f>IF(OR(B175="",C175=""),"",B175&amp;"|"&amp;C175)</f>
        <v/>
      </c>
    </row>
    <row r="176">
      <c r="A176" s="23" t="n">
        <v>171</v>
      </c>
      <c r="B176" s="8" t="n"/>
      <c r="C176" s="8" t="n"/>
      <c r="D176" s="9" t="n"/>
      <c r="E176" s="8" t="n"/>
      <c r="F176" s="8" t="n"/>
      <c r="G176" s="8" t="n"/>
      <c r="H176" s="8" t="n"/>
      <c r="I176" s="24" t="n"/>
      <c r="J176" s="8" t="n"/>
      <c r="K176" s="25">
        <f>IF(OR(I176="",J176=""),"",I176*J176/1000)</f>
        <v/>
      </c>
      <c r="L176" s="26" t="n"/>
      <c r="M176" s="26" t="n"/>
      <c r="N176" s="27">
        <f>IF(OR(B176="",C176=""),"",IF(M176&lt;&gt;"",M176,IF(AND(N(L176)&gt;0,N(K176)&gt;0),L176/K176,"")))</f>
        <v/>
      </c>
      <c r="O176" s="15">
        <f>IF(C176="","",IFERROR(INDEX(Agentes!$D$6:$D$60,MATCH(C176,Agentes!$A$6:$A$60,0)),""))</f>
        <v/>
      </c>
      <c r="P176" s="28">
        <f>IF(OR(H176="",O176=""),"",IF(AND(O176="Inhalable",LEFT(H176,6)="Casete"),"Subestima: el casete cerrado no colecta toda la fracción inhalable",IF(AND(O176="Respirable",LEFT(H176,6)&lt;&gt;"Ciclón"),"Requiere ciclón (fracción respirable)",IF(AND(O176="Inhalable",ISNUMBER(SEARCH("Respirable",IFERROR(INDEX(Agentes!$C$80:$C$87,MATCH(H176,Agentes!$B$80:$B$87,0)),"")))),"El ciclón no colecta la fracción inhalable","Coherente"))))</f>
        <v/>
      </c>
      <c r="Q176" s="22">
        <f>IF(Y176="","",IFERROR(INDEX(GES!$W$6:$W$35,MATCH(Y176,GES!$R$6:$R$35,0)),""))</f>
        <v/>
      </c>
      <c r="R176" s="29">
        <f>IF(AND(ISNUMBER(N176),ISNUMBER(Q176)),N176/Q176,"")</f>
        <v/>
      </c>
      <c r="S176" s="15">
        <f>IF(C176="","",IFERROR(INDEX(Agentes!$I$6:$I$60,MATCH(C176,Agentes!$A$6:$A$60,0)),""))</f>
        <v/>
      </c>
      <c r="T176" s="8" t="n"/>
      <c r="U176" s="15">
        <f>IF(ISNUMBER(N176),IF(N176&gt;0,LN(N176),""),"")</f>
        <v/>
      </c>
      <c r="V176" s="15">
        <f>IF(ISNUMBER(U176),IFERROR((U176-LN(IFERROR(INDEX(Estadística!$K$6:$K$35,MATCH(Y176,Estadística!$Y$6:$Y$35,0)),0)))^2,""),"")</f>
        <v/>
      </c>
      <c r="W176" s="15">
        <f>IF(ISNUMBER(N176),IFERROR((N176-IFERROR(INDEX(Estadística!$I$6:$I$35,MATCH(Y176,Estadística!$Y$6:$Y$35,0)),0))^2,""),"")</f>
        <v/>
      </c>
      <c r="X176" s="15">
        <f>IF(ISNUMBER(R176),IF(R176&gt;1,1,0),"")</f>
        <v/>
      </c>
      <c r="Y176" s="15">
        <f>IF(OR(B176="",C176=""),"",B176&amp;"|"&amp;C176)</f>
        <v/>
      </c>
    </row>
    <row r="177">
      <c r="A177" s="23" t="n">
        <v>172</v>
      </c>
      <c r="B177" s="8" t="n"/>
      <c r="C177" s="8" t="n"/>
      <c r="D177" s="9" t="n"/>
      <c r="E177" s="8" t="n"/>
      <c r="F177" s="8" t="n"/>
      <c r="G177" s="8" t="n"/>
      <c r="H177" s="8" t="n"/>
      <c r="I177" s="24" t="n"/>
      <c r="J177" s="8" t="n"/>
      <c r="K177" s="25">
        <f>IF(OR(I177="",J177=""),"",I177*J177/1000)</f>
        <v/>
      </c>
      <c r="L177" s="26" t="n"/>
      <c r="M177" s="26" t="n"/>
      <c r="N177" s="27">
        <f>IF(OR(B177="",C177=""),"",IF(M177&lt;&gt;"",M177,IF(AND(N(L177)&gt;0,N(K177)&gt;0),L177/K177,"")))</f>
        <v/>
      </c>
      <c r="O177" s="15">
        <f>IF(C177="","",IFERROR(INDEX(Agentes!$D$6:$D$60,MATCH(C177,Agentes!$A$6:$A$60,0)),""))</f>
        <v/>
      </c>
      <c r="P177" s="28">
        <f>IF(OR(H177="",O177=""),"",IF(AND(O177="Inhalable",LEFT(H177,6)="Casete"),"Subestima: el casete cerrado no colecta toda la fracción inhalable",IF(AND(O177="Respirable",LEFT(H177,6)&lt;&gt;"Ciclón"),"Requiere ciclón (fracción respirable)",IF(AND(O177="Inhalable",ISNUMBER(SEARCH("Respirable",IFERROR(INDEX(Agentes!$C$80:$C$87,MATCH(H177,Agentes!$B$80:$B$87,0)),"")))),"El ciclón no colecta la fracción inhalable","Coherente"))))</f>
        <v/>
      </c>
      <c r="Q177" s="22">
        <f>IF(Y177="","",IFERROR(INDEX(GES!$W$6:$W$35,MATCH(Y177,GES!$R$6:$R$35,0)),""))</f>
        <v/>
      </c>
      <c r="R177" s="29">
        <f>IF(AND(ISNUMBER(N177),ISNUMBER(Q177)),N177/Q177,"")</f>
        <v/>
      </c>
      <c r="S177" s="15">
        <f>IF(C177="","",IFERROR(INDEX(Agentes!$I$6:$I$60,MATCH(C177,Agentes!$A$6:$A$60,0)),""))</f>
        <v/>
      </c>
      <c r="T177" s="8" t="n"/>
      <c r="U177" s="15">
        <f>IF(ISNUMBER(N177),IF(N177&gt;0,LN(N177),""),"")</f>
        <v/>
      </c>
      <c r="V177" s="15">
        <f>IF(ISNUMBER(U177),IFERROR((U177-LN(IFERROR(INDEX(Estadística!$K$6:$K$35,MATCH(Y177,Estadística!$Y$6:$Y$35,0)),0)))^2,""),"")</f>
        <v/>
      </c>
      <c r="W177" s="15">
        <f>IF(ISNUMBER(N177),IFERROR((N177-IFERROR(INDEX(Estadística!$I$6:$I$35,MATCH(Y177,Estadística!$Y$6:$Y$35,0)),0))^2,""),"")</f>
        <v/>
      </c>
      <c r="X177" s="15">
        <f>IF(ISNUMBER(R177),IF(R177&gt;1,1,0),"")</f>
        <v/>
      </c>
      <c r="Y177" s="15">
        <f>IF(OR(B177="",C177=""),"",B177&amp;"|"&amp;C177)</f>
        <v/>
      </c>
    </row>
    <row r="178">
      <c r="A178" s="23" t="n">
        <v>173</v>
      </c>
      <c r="B178" s="8" t="n"/>
      <c r="C178" s="8" t="n"/>
      <c r="D178" s="9" t="n"/>
      <c r="E178" s="8" t="n"/>
      <c r="F178" s="8" t="n"/>
      <c r="G178" s="8" t="n"/>
      <c r="H178" s="8" t="n"/>
      <c r="I178" s="24" t="n"/>
      <c r="J178" s="8" t="n"/>
      <c r="K178" s="25">
        <f>IF(OR(I178="",J178=""),"",I178*J178/1000)</f>
        <v/>
      </c>
      <c r="L178" s="26" t="n"/>
      <c r="M178" s="26" t="n"/>
      <c r="N178" s="27">
        <f>IF(OR(B178="",C178=""),"",IF(M178&lt;&gt;"",M178,IF(AND(N(L178)&gt;0,N(K178)&gt;0),L178/K178,"")))</f>
        <v/>
      </c>
      <c r="O178" s="15">
        <f>IF(C178="","",IFERROR(INDEX(Agentes!$D$6:$D$60,MATCH(C178,Agentes!$A$6:$A$60,0)),""))</f>
        <v/>
      </c>
      <c r="P178" s="28">
        <f>IF(OR(H178="",O178=""),"",IF(AND(O178="Inhalable",LEFT(H178,6)="Casete"),"Subestima: el casete cerrado no colecta toda la fracción inhalable",IF(AND(O178="Respirable",LEFT(H178,6)&lt;&gt;"Ciclón"),"Requiere ciclón (fracción respirable)",IF(AND(O178="Inhalable",ISNUMBER(SEARCH("Respirable",IFERROR(INDEX(Agentes!$C$80:$C$87,MATCH(H178,Agentes!$B$80:$B$87,0)),"")))),"El ciclón no colecta la fracción inhalable","Coherente"))))</f>
        <v/>
      </c>
      <c r="Q178" s="22">
        <f>IF(Y178="","",IFERROR(INDEX(GES!$W$6:$W$35,MATCH(Y178,GES!$R$6:$R$35,0)),""))</f>
        <v/>
      </c>
      <c r="R178" s="29">
        <f>IF(AND(ISNUMBER(N178),ISNUMBER(Q178)),N178/Q178,"")</f>
        <v/>
      </c>
      <c r="S178" s="15">
        <f>IF(C178="","",IFERROR(INDEX(Agentes!$I$6:$I$60,MATCH(C178,Agentes!$A$6:$A$60,0)),""))</f>
        <v/>
      </c>
      <c r="T178" s="8" t="n"/>
      <c r="U178" s="15">
        <f>IF(ISNUMBER(N178),IF(N178&gt;0,LN(N178),""),"")</f>
        <v/>
      </c>
      <c r="V178" s="15">
        <f>IF(ISNUMBER(U178),IFERROR((U178-LN(IFERROR(INDEX(Estadística!$K$6:$K$35,MATCH(Y178,Estadística!$Y$6:$Y$35,0)),0)))^2,""),"")</f>
        <v/>
      </c>
      <c r="W178" s="15">
        <f>IF(ISNUMBER(N178),IFERROR((N178-IFERROR(INDEX(Estadística!$I$6:$I$35,MATCH(Y178,Estadística!$Y$6:$Y$35,0)),0))^2,""),"")</f>
        <v/>
      </c>
      <c r="X178" s="15">
        <f>IF(ISNUMBER(R178),IF(R178&gt;1,1,0),"")</f>
        <v/>
      </c>
      <c r="Y178" s="15">
        <f>IF(OR(B178="",C178=""),"",B178&amp;"|"&amp;C178)</f>
        <v/>
      </c>
    </row>
    <row r="179">
      <c r="A179" s="23" t="n">
        <v>174</v>
      </c>
      <c r="B179" s="8" t="n"/>
      <c r="C179" s="8" t="n"/>
      <c r="D179" s="9" t="n"/>
      <c r="E179" s="8" t="n"/>
      <c r="F179" s="8" t="n"/>
      <c r="G179" s="8" t="n"/>
      <c r="H179" s="8" t="n"/>
      <c r="I179" s="24" t="n"/>
      <c r="J179" s="8" t="n"/>
      <c r="K179" s="25">
        <f>IF(OR(I179="",J179=""),"",I179*J179/1000)</f>
        <v/>
      </c>
      <c r="L179" s="26" t="n"/>
      <c r="M179" s="26" t="n"/>
      <c r="N179" s="27">
        <f>IF(OR(B179="",C179=""),"",IF(M179&lt;&gt;"",M179,IF(AND(N(L179)&gt;0,N(K179)&gt;0),L179/K179,"")))</f>
        <v/>
      </c>
      <c r="O179" s="15">
        <f>IF(C179="","",IFERROR(INDEX(Agentes!$D$6:$D$60,MATCH(C179,Agentes!$A$6:$A$60,0)),""))</f>
        <v/>
      </c>
      <c r="P179" s="28">
        <f>IF(OR(H179="",O179=""),"",IF(AND(O179="Inhalable",LEFT(H179,6)="Casete"),"Subestima: el casete cerrado no colecta toda la fracción inhalable",IF(AND(O179="Respirable",LEFT(H179,6)&lt;&gt;"Ciclón"),"Requiere ciclón (fracción respirable)",IF(AND(O179="Inhalable",ISNUMBER(SEARCH("Respirable",IFERROR(INDEX(Agentes!$C$80:$C$87,MATCH(H179,Agentes!$B$80:$B$87,0)),"")))),"El ciclón no colecta la fracción inhalable","Coherente"))))</f>
        <v/>
      </c>
      <c r="Q179" s="22">
        <f>IF(Y179="","",IFERROR(INDEX(GES!$W$6:$W$35,MATCH(Y179,GES!$R$6:$R$35,0)),""))</f>
        <v/>
      </c>
      <c r="R179" s="29">
        <f>IF(AND(ISNUMBER(N179),ISNUMBER(Q179)),N179/Q179,"")</f>
        <v/>
      </c>
      <c r="S179" s="15">
        <f>IF(C179="","",IFERROR(INDEX(Agentes!$I$6:$I$60,MATCH(C179,Agentes!$A$6:$A$60,0)),""))</f>
        <v/>
      </c>
      <c r="T179" s="8" t="n"/>
      <c r="U179" s="15">
        <f>IF(ISNUMBER(N179),IF(N179&gt;0,LN(N179),""),"")</f>
        <v/>
      </c>
      <c r="V179" s="15">
        <f>IF(ISNUMBER(U179),IFERROR((U179-LN(IFERROR(INDEX(Estadística!$K$6:$K$35,MATCH(Y179,Estadística!$Y$6:$Y$35,0)),0)))^2,""),"")</f>
        <v/>
      </c>
      <c r="W179" s="15">
        <f>IF(ISNUMBER(N179),IFERROR((N179-IFERROR(INDEX(Estadística!$I$6:$I$35,MATCH(Y179,Estadística!$Y$6:$Y$35,0)),0))^2,""),"")</f>
        <v/>
      </c>
      <c r="X179" s="15">
        <f>IF(ISNUMBER(R179),IF(R179&gt;1,1,0),"")</f>
        <v/>
      </c>
      <c r="Y179" s="15">
        <f>IF(OR(B179="",C179=""),"",B179&amp;"|"&amp;C179)</f>
        <v/>
      </c>
    </row>
    <row r="180">
      <c r="A180" s="23" t="n">
        <v>175</v>
      </c>
      <c r="B180" s="8" t="n"/>
      <c r="C180" s="8" t="n"/>
      <c r="D180" s="9" t="n"/>
      <c r="E180" s="8" t="n"/>
      <c r="F180" s="8" t="n"/>
      <c r="G180" s="8" t="n"/>
      <c r="H180" s="8" t="n"/>
      <c r="I180" s="24" t="n"/>
      <c r="J180" s="8" t="n"/>
      <c r="K180" s="25">
        <f>IF(OR(I180="",J180=""),"",I180*J180/1000)</f>
        <v/>
      </c>
      <c r="L180" s="26" t="n"/>
      <c r="M180" s="26" t="n"/>
      <c r="N180" s="27">
        <f>IF(OR(B180="",C180=""),"",IF(M180&lt;&gt;"",M180,IF(AND(N(L180)&gt;0,N(K180)&gt;0),L180/K180,"")))</f>
        <v/>
      </c>
      <c r="O180" s="15">
        <f>IF(C180="","",IFERROR(INDEX(Agentes!$D$6:$D$60,MATCH(C180,Agentes!$A$6:$A$60,0)),""))</f>
        <v/>
      </c>
      <c r="P180" s="28">
        <f>IF(OR(H180="",O180=""),"",IF(AND(O180="Inhalable",LEFT(H180,6)="Casete"),"Subestima: el casete cerrado no colecta toda la fracción inhalable",IF(AND(O180="Respirable",LEFT(H180,6)&lt;&gt;"Ciclón"),"Requiere ciclón (fracción respirable)",IF(AND(O180="Inhalable",ISNUMBER(SEARCH("Respirable",IFERROR(INDEX(Agentes!$C$80:$C$87,MATCH(H180,Agentes!$B$80:$B$87,0)),"")))),"El ciclón no colecta la fracción inhalable","Coherente"))))</f>
        <v/>
      </c>
      <c r="Q180" s="22">
        <f>IF(Y180="","",IFERROR(INDEX(GES!$W$6:$W$35,MATCH(Y180,GES!$R$6:$R$35,0)),""))</f>
        <v/>
      </c>
      <c r="R180" s="29">
        <f>IF(AND(ISNUMBER(N180),ISNUMBER(Q180)),N180/Q180,"")</f>
        <v/>
      </c>
      <c r="S180" s="15">
        <f>IF(C180="","",IFERROR(INDEX(Agentes!$I$6:$I$60,MATCH(C180,Agentes!$A$6:$A$60,0)),""))</f>
        <v/>
      </c>
      <c r="T180" s="8" t="n"/>
      <c r="U180" s="15">
        <f>IF(ISNUMBER(N180),IF(N180&gt;0,LN(N180),""),"")</f>
        <v/>
      </c>
      <c r="V180" s="15">
        <f>IF(ISNUMBER(U180),IFERROR((U180-LN(IFERROR(INDEX(Estadística!$K$6:$K$35,MATCH(Y180,Estadística!$Y$6:$Y$35,0)),0)))^2,""),"")</f>
        <v/>
      </c>
      <c r="W180" s="15">
        <f>IF(ISNUMBER(N180),IFERROR((N180-IFERROR(INDEX(Estadística!$I$6:$I$35,MATCH(Y180,Estadística!$Y$6:$Y$35,0)),0))^2,""),"")</f>
        <v/>
      </c>
      <c r="X180" s="15">
        <f>IF(ISNUMBER(R180),IF(R180&gt;1,1,0),"")</f>
        <v/>
      </c>
      <c r="Y180" s="15">
        <f>IF(OR(B180="",C180=""),"",B180&amp;"|"&amp;C180)</f>
        <v/>
      </c>
    </row>
    <row r="181">
      <c r="A181" s="23" t="n">
        <v>176</v>
      </c>
      <c r="B181" s="8" t="n"/>
      <c r="C181" s="8" t="n"/>
      <c r="D181" s="9" t="n"/>
      <c r="E181" s="8" t="n"/>
      <c r="F181" s="8" t="n"/>
      <c r="G181" s="8" t="n"/>
      <c r="H181" s="8" t="n"/>
      <c r="I181" s="24" t="n"/>
      <c r="J181" s="8" t="n"/>
      <c r="K181" s="25">
        <f>IF(OR(I181="",J181=""),"",I181*J181/1000)</f>
        <v/>
      </c>
      <c r="L181" s="26" t="n"/>
      <c r="M181" s="26" t="n"/>
      <c r="N181" s="27">
        <f>IF(OR(B181="",C181=""),"",IF(M181&lt;&gt;"",M181,IF(AND(N(L181)&gt;0,N(K181)&gt;0),L181/K181,"")))</f>
        <v/>
      </c>
      <c r="O181" s="15">
        <f>IF(C181="","",IFERROR(INDEX(Agentes!$D$6:$D$60,MATCH(C181,Agentes!$A$6:$A$60,0)),""))</f>
        <v/>
      </c>
      <c r="P181" s="28">
        <f>IF(OR(H181="",O181=""),"",IF(AND(O181="Inhalable",LEFT(H181,6)="Casete"),"Subestima: el casete cerrado no colecta toda la fracción inhalable",IF(AND(O181="Respirable",LEFT(H181,6)&lt;&gt;"Ciclón"),"Requiere ciclón (fracción respirable)",IF(AND(O181="Inhalable",ISNUMBER(SEARCH("Respirable",IFERROR(INDEX(Agentes!$C$80:$C$87,MATCH(H181,Agentes!$B$80:$B$87,0)),"")))),"El ciclón no colecta la fracción inhalable","Coherente"))))</f>
        <v/>
      </c>
      <c r="Q181" s="22">
        <f>IF(Y181="","",IFERROR(INDEX(GES!$W$6:$W$35,MATCH(Y181,GES!$R$6:$R$35,0)),""))</f>
        <v/>
      </c>
      <c r="R181" s="29">
        <f>IF(AND(ISNUMBER(N181),ISNUMBER(Q181)),N181/Q181,"")</f>
        <v/>
      </c>
      <c r="S181" s="15">
        <f>IF(C181="","",IFERROR(INDEX(Agentes!$I$6:$I$60,MATCH(C181,Agentes!$A$6:$A$60,0)),""))</f>
        <v/>
      </c>
      <c r="T181" s="8" t="n"/>
      <c r="U181" s="15">
        <f>IF(ISNUMBER(N181),IF(N181&gt;0,LN(N181),""),"")</f>
        <v/>
      </c>
      <c r="V181" s="15">
        <f>IF(ISNUMBER(U181),IFERROR((U181-LN(IFERROR(INDEX(Estadística!$K$6:$K$35,MATCH(Y181,Estadística!$Y$6:$Y$35,0)),0)))^2,""),"")</f>
        <v/>
      </c>
      <c r="W181" s="15">
        <f>IF(ISNUMBER(N181),IFERROR((N181-IFERROR(INDEX(Estadística!$I$6:$I$35,MATCH(Y181,Estadística!$Y$6:$Y$35,0)),0))^2,""),"")</f>
        <v/>
      </c>
      <c r="X181" s="15">
        <f>IF(ISNUMBER(R181),IF(R181&gt;1,1,0),"")</f>
        <v/>
      </c>
      <c r="Y181" s="15">
        <f>IF(OR(B181="",C181=""),"",B181&amp;"|"&amp;C181)</f>
        <v/>
      </c>
    </row>
    <row r="182">
      <c r="A182" s="23" t="n">
        <v>177</v>
      </c>
      <c r="B182" s="8" t="n"/>
      <c r="C182" s="8" t="n"/>
      <c r="D182" s="9" t="n"/>
      <c r="E182" s="8" t="n"/>
      <c r="F182" s="8" t="n"/>
      <c r="G182" s="8" t="n"/>
      <c r="H182" s="8" t="n"/>
      <c r="I182" s="24" t="n"/>
      <c r="J182" s="8" t="n"/>
      <c r="K182" s="25">
        <f>IF(OR(I182="",J182=""),"",I182*J182/1000)</f>
        <v/>
      </c>
      <c r="L182" s="26" t="n"/>
      <c r="M182" s="26" t="n"/>
      <c r="N182" s="27">
        <f>IF(OR(B182="",C182=""),"",IF(M182&lt;&gt;"",M182,IF(AND(N(L182)&gt;0,N(K182)&gt;0),L182/K182,"")))</f>
        <v/>
      </c>
      <c r="O182" s="15">
        <f>IF(C182="","",IFERROR(INDEX(Agentes!$D$6:$D$60,MATCH(C182,Agentes!$A$6:$A$60,0)),""))</f>
        <v/>
      </c>
      <c r="P182" s="28">
        <f>IF(OR(H182="",O182=""),"",IF(AND(O182="Inhalable",LEFT(H182,6)="Casete"),"Subestima: el casete cerrado no colecta toda la fracción inhalable",IF(AND(O182="Respirable",LEFT(H182,6)&lt;&gt;"Ciclón"),"Requiere ciclón (fracción respirable)",IF(AND(O182="Inhalable",ISNUMBER(SEARCH("Respirable",IFERROR(INDEX(Agentes!$C$80:$C$87,MATCH(H182,Agentes!$B$80:$B$87,0)),"")))),"El ciclón no colecta la fracción inhalable","Coherente"))))</f>
        <v/>
      </c>
      <c r="Q182" s="22">
        <f>IF(Y182="","",IFERROR(INDEX(GES!$W$6:$W$35,MATCH(Y182,GES!$R$6:$R$35,0)),""))</f>
        <v/>
      </c>
      <c r="R182" s="29">
        <f>IF(AND(ISNUMBER(N182),ISNUMBER(Q182)),N182/Q182,"")</f>
        <v/>
      </c>
      <c r="S182" s="15">
        <f>IF(C182="","",IFERROR(INDEX(Agentes!$I$6:$I$60,MATCH(C182,Agentes!$A$6:$A$60,0)),""))</f>
        <v/>
      </c>
      <c r="T182" s="8" t="n"/>
      <c r="U182" s="15">
        <f>IF(ISNUMBER(N182),IF(N182&gt;0,LN(N182),""),"")</f>
        <v/>
      </c>
      <c r="V182" s="15">
        <f>IF(ISNUMBER(U182),IFERROR((U182-LN(IFERROR(INDEX(Estadística!$K$6:$K$35,MATCH(Y182,Estadística!$Y$6:$Y$35,0)),0)))^2,""),"")</f>
        <v/>
      </c>
      <c r="W182" s="15">
        <f>IF(ISNUMBER(N182),IFERROR((N182-IFERROR(INDEX(Estadística!$I$6:$I$35,MATCH(Y182,Estadística!$Y$6:$Y$35,0)),0))^2,""),"")</f>
        <v/>
      </c>
      <c r="X182" s="15">
        <f>IF(ISNUMBER(R182),IF(R182&gt;1,1,0),"")</f>
        <v/>
      </c>
      <c r="Y182" s="15">
        <f>IF(OR(B182="",C182=""),"",B182&amp;"|"&amp;C182)</f>
        <v/>
      </c>
    </row>
    <row r="183">
      <c r="A183" s="23" t="n">
        <v>178</v>
      </c>
      <c r="B183" s="8" t="n"/>
      <c r="C183" s="8" t="n"/>
      <c r="D183" s="9" t="n"/>
      <c r="E183" s="8" t="n"/>
      <c r="F183" s="8" t="n"/>
      <c r="G183" s="8" t="n"/>
      <c r="H183" s="8" t="n"/>
      <c r="I183" s="24" t="n"/>
      <c r="J183" s="8" t="n"/>
      <c r="K183" s="25">
        <f>IF(OR(I183="",J183=""),"",I183*J183/1000)</f>
        <v/>
      </c>
      <c r="L183" s="26" t="n"/>
      <c r="M183" s="26" t="n"/>
      <c r="N183" s="27">
        <f>IF(OR(B183="",C183=""),"",IF(M183&lt;&gt;"",M183,IF(AND(N(L183)&gt;0,N(K183)&gt;0),L183/K183,"")))</f>
        <v/>
      </c>
      <c r="O183" s="15">
        <f>IF(C183="","",IFERROR(INDEX(Agentes!$D$6:$D$60,MATCH(C183,Agentes!$A$6:$A$60,0)),""))</f>
        <v/>
      </c>
      <c r="P183" s="28">
        <f>IF(OR(H183="",O183=""),"",IF(AND(O183="Inhalable",LEFT(H183,6)="Casete"),"Subestima: el casete cerrado no colecta toda la fracción inhalable",IF(AND(O183="Respirable",LEFT(H183,6)&lt;&gt;"Ciclón"),"Requiere ciclón (fracción respirable)",IF(AND(O183="Inhalable",ISNUMBER(SEARCH("Respirable",IFERROR(INDEX(Agentes!$C$80:$C$87,MATCH(H183,Agentes!$B$80:$B$87,0)),"")))),"El ciclón no colecta la fracción inhalable","Coherente"))))</f>
        <v/>
      </c>
      <c r="Q183" s="22">
        <f>IF(Y183="","",IFERROR(INDEX(GES!$W$6:$W$35,MATCH(Y183,GES!$R$6:$R$35,0)),""))</f>
        <v/>
      </c>
      <c r="R183" s="29">
        <f>IF(AND(ISNUMBER(N183),ISNUMBER(Q183)),N183/Q183,"")</f>
        <v/>
      </c>
      <c r="S183" s="15">
        <f>IF(C183="","",IFERROR(INDEX(Agentes!$I$6:$I$60,MATCH(C183,Agentes!$A$6:$A$60,0)),""))</f>
        <v/>
      </c>
      <c r="T183" s="8" t="n"/>
      <c r="U183" s="15">
        <f>IF(ISNUMBER(N183),IF(N183&gt;0,LN(N183),""),"")</f>
        <v/>
      </c>
      <c r="V183" s="15">
        <f>IF(ISNUMBER(U183),IFERROR((U183-LN(IFERROR(INDEX(Estadística!$K$6:$K$35,MATCH(Y183,Estadística!$Y$6:$Y$35,0)),0)))^2,""),"")</f>
        <v/>
      </c>
      <c r="W183" s="15">
        <f>IF(ISNUMBER(N183),IFERROR((N183-IFERROR(INDEX(Estadística!$I$6:$I$35,MATCH(Y183,Estadística!$Y$6:$Y$35,0)),0))^2,""),"")</f>
        <v/>
      </c>
      <c r="X183" s="15">
        <f>IF(ISNUMBER(R183),IF(R183&gt;1,1,0),"")</f>
        <v/>
      </c>
      <c r="Y183" s="15">
        <f>IF(OR(B183="",C183=""),"",B183&amp;"|"&amp;C183)</f>
        <v/>
      </c>
    </row>
    <row r="184">
      <c r="A184" s="23" t="n">
        <v>179</v>
      </c>
      <c r="B184" s="8" t="n"/>
      <c r="C184" s="8" t="n"/>
      <c r="D184" s="9" t="n"/>
      <c r="E184" s="8" t="n"/>
      <c r="F184" s="8" t="n"/>
      <c r="G184" s="8" t="n"/>
      <c r="H184" s="8" t="n"/>
      <c r="I184" s="24" t="n"/>
      <c r="J184" s="8" t="n"/>
      <c r="K184" s="25">
        <f>IF(OR(I184="",J184=""),"",I184*J184/1000)</f>
        <v/>
      </c>
      <c r="L184" s="26" t="n"/>
      <c r="M184" s="26" t="n"/>
      <c r="N184" s="27">
        <f>IF(OR(B184="",C184=""),"",IF(M184&lt;&gt;"",M184,IF(AND(N(L184)&gt;0,N(K184)&gt;0),L184/K184,"")))</f>
        <v/>
      </c>
      <c r="O184" s="15">
        <f>IF(C184="","",IFERROR(INDEX(Agentes!$D$6:$D$60,MATCH(C184,Agentes!$A$6:$A$60,0)),""))</f>
        <v/>
      </c>
      <c r="P184" s="28">
        <f>IF(OR(H184="",O184=""),"",IF(AND(O184="Inhalable",LEFT(H184,6)="Casete"),"Subestima: el casete cerrado no colecta toda la fracción inhalable",IF(AND(O184="Respirable",LEFT(H184,6)&lt;&gt;"Ciclón"),"Requiere ciclón (fracción respirable)",IF(AND(O184="Inhalable",ISNUMBER(SEARCH("Respirable",IFERROR(INDEX(Agentes!$C$80:$C$87,MATCH(H184,Agentes!$B$80:$B$87,0)),"")))),"El ciclón no colecta la fracción inhalable","Coherente"))))</f>
        <v/>
      </c>
      <c r="Q184" s="22">
        <f>IF(Y184="","",IFERROR(INDEX(GES!$W$6:$W$35,MATCH(Y184,GES!$R$6:$R$35,0)),""))</f>
        <v/>
      </c>
      <c r="R184" s="29">
        <f>IF(AND(ISNUMBER(N184),ISNUMBER(Q184)),N184/Q184,"")</f>
        <v/>
      </c>
      <c r="S184" s="15">
        <f>IF(C184="","",IFERROR(INDEX(Agentes!$I$6:$I$60,MATCH(C184,Agentes!$A$6:$A$60,0)),""))</f>
        <v/>
      </c>
      <c r="T184" s="8" t="n"/>
      <c r="U184" s="15">
        <f>IF(ISNUMBER(N184),IF(N184&gt;0,LN(N184),""),"")</f>
        <v/>
      </c>
      <c r="V184" s="15">
        <f>IF(ISNUMBER(U184),IFERROR((U184-LN(IFERROR(INDEX(Estadística!$K$6:$K$35,MATCH(Y184,Estadística!$Y$6:$Y$35,0)),0)))^2,""),"")</f>
        <v/>
      </c>
      <c r="W184" s="15">
        <f>IF(ISNUMBER(N184),IFERROR((N184-IFERROR(INDEX(Estadística!$I$6:$I$35,MATCH(Y184,Estadística!$Y$6:$Y$35,0)),0))^2,""),"")</f>
        <v/>
      </c>
      <c r="X184" s="15">
        <f>IF(ISNUMBER(R184),IF(R184&gt;1,1,0),"")</f>
        <v/>
      </c>
      <c r="Y184" s="15">
        <f>IF(OR(B184="",C184=""),"",B184&amp;"|"&amp;C184)</f>
        <v/>
      </c>
    </row>
    <row r="185">
      <c r="A185" s="23" t="n">
        <v>180</v>
      </c>
      <c r="B185" s="8" t="n"/>
      <c r="C185" s="8" t="n"/>
      <c r="D185" s="9" t="n"/>
      <c r="E185" s="8" t="n"/>
      <c r="F185" s="8" t="n"/>
      <c r="G185" s="8" t="n"/>
      <c r="H185" s="8" t="n"/>
      <c r="I185" s="24" t="n"/>
      <c r="J185" s="8" t="n"/>
      <c r="K185" s="25">
        <f>IF(OR(I185="",J185=""),"",I185*J185/1000)</f>
        <v/>
      </c>
      <c r="L185" s="26" t="n"/>
      <c r="M185" s="26" t="n"/>
      <c r="N185" s="27">
        <f>IF(OR(B185="",C185=""),"",IF(M185&lt;&gt;"",M185,IF(AND(N(L185)&gt;0,N(K185)&gt;0),L185/K185,"")))</f>
        <v/>
      </c>
      <c r="O185" s="15">
        <f>IF(C185="","",IFERROR(INDEX(Agentes!$D$6:$D$60,MATCH(C185,Agentes!$A$6:$A$60,0)),""))</f>
        <v/>
      </c>
      <c r="P185" s="28">
        <f>IF(OR(H185="",O185=""),"",IF(AND(O185="Inhalable",LEFT(H185,6)="Casete"),"Subestima: el casete cerrado no colecta toda la fracción inhalable",IF(AND(O185="Respirable",LEFT(H185,6)&lt;&gt;"Ciclón"),"Requiere ciclón (fracción respirable)",IF(AND(O185="Inhalable",ISNUMBER(SEARCH("Respirable",IFERROR(INDEX(Agentes!$C$80:$C$87,MATCH(H185,Agentes!$B$80:$B$87,0)),"")))),"El ciclón no colecta la fracción inhalable","Coherente"))))</f>
        <v/>
      </c>
      <c r="Q185" s="22">
        <f>IF(Y185="","",IFERROR(INDEX(GES!$W$6:$W$35,MATCH(Y185,GES!$R$6:$R$35,0)),""))</f>
        <v/>
      </c>
      <c r="R185" s="29">
        <f>IF(AND(ISNUMBER(N185),ISNUMBER(Q185)),N185/Q185,"")</f>
        <v/>
      </c>
      <c r="S185" s="15">
        <f>IF(C185="","",IFERROR(INDEX(Agentes!$I$6:$I$60,MATCH(C185,Agentes!$A$6:$A$60,0)),""))</f>
        <v/>
      </c>
      <c r="T185" s="8" t="n"/>
      <c r="U185" s="15">
        <f>IF(ISNUMBER(N185),IF(N185&gt;0,LN(N185),""),"")</f>
        <v/>
      </c>
      <c r="V185" s="15">
        <f>IF(ISNUMBER(U185),IFERROR((U185-LN(IFERROR(INDEX(Estadística!$K$6:$K$35,MATCH(Y185,Estadística!$Y$6:$Y$35,0)),0)))^2,""),"")</f>
        <v/>
      </c>
      <c r="W185" s="15">
        <f>IF(ISNUMBER(N185),IFERROR((N185-IFERROR(INDEX(Estadística!$I$6:$I$35,MATCH(Y185,Estadística!$Y$6:$Y$35,0)),0))^2,""),"")</f>
        <v/>
      </c>
      <c r="X185" s="15">
        <f>IF(ISNUMBER(R185),IF(R185&gt;1,1,0),"")</f>
        <v/>
      </c>
      <c r="Y185" s="15">
        <f>IF(OR(B185="",C185=""),"",B185&amp;"|"&amp;C185)</f>
        <v/>
      </c>
    </row>
    <row r="186">
      <c r="A186" s="23" t="n">
        <v>181</v>
      </c>
      <c r="B186" s="8" t="n"/>
      <c r="C186" s="8" t="n"/>
      <c r="D186" s="9" t="n"/>
      <c r="E186" s="8" t="n"/>
      <c r="F186" s="8" t="n"/>
      <c r="G186" s="8" t="n"/>
      <c r="H186" s="8" t="n"/>
      <c r="I186" s="24" t="n"/>
      <c r="J186" s="8" t="n"/>
      <c r="K186" s="25">
        <f>IF(OR(I186="",J186=""),"",I186*J186/1000)</f>
        <v/>
      </c>
      <c r="L186" s="26" t="n"/>
      <c r="M186" s="26" t="n"/>
      <c r="N186" s="27">
        <f>IF(OR(B186="",C186=""),"",IF(M186&lt;&gt;"",M186,IF(AND(N(L186)&gt;0,N(K186)&gt;0),L186/K186,"")))</f>
        <v/>
      </c>
      <c r="O186" s="15">
        <f>IF(C186="","",IFERROR(INDEX(Agentes!$D$6:$D$60,MATCH(C186,Agentes!$A$6:$A$60,0)),""))</f>
        <v/>
      </c>
      <c r="P186" s="28">
        <f>IF(OR(H186="",O186=""),"",IF(AND(O186="Inhalable",LEFT(H186,6)="Casete"),"Subestima: el casete cerrado no colecta toda la fracción inhalable",IF(AND(O186="Respirable",LEFT(H186,6)&lt;&gt;"Ciclón"),"Requiere ciclón (fracción respirable)",IF(AND(O186="Inhalable",ISNUMBER(SEARCH("Respirable",IFERROR(INDEX(Agentes!$C$80:$C$87,MATCH(H186,Agentes!$B$80:$B$87,0)),"")))),"El ciclón no colecta la fracción inhalable","Coherente"))))</f>
        <v/>
      </c>
      <c r="Q186" s="22">
        <f>IF(Y186="","",IFERROR(INDEX(GES!$W$6:$W$35,MATCH(Y186,GES!$R$6:$R$35,0)),""))</f>
        <v/>
      </c>
      <c r="R186" s="29">
        <f>IF(AND(ISNUMBER(N186),ISNUMBER(Q186)),N186/Q186,"")</f>
        <v/>
      </c>
      <c r="S186" s="15">
        <f>IF(C186="","",IFERROR(INDEX(Agentes!$I$6:$I$60,MATCH(C186,Agentes!$A$6:$A$60,0)),""))</f>
        <v/>
      </c>
      <c r="T186" s="8" t="n"/>
      <c r="U186" s="15">
        <f>IF(ISNUMBER(N186),IF(N186&gt;0,LN(N186),""),"")</f>
        <v/>
      </c>
      <c r="V186" s="15">
        <f>IF(ISNUMBER(U186),IFERROR((U186-LN(IFERROR(INDEX(Estadística!$K$6:$K$35,MATCH(Y186,Estadística!$Y$6:$Y$35,0)),0)))^2,""),"")</f>
        <v/>
      </c>
      <c r="W186" s="15">
        <f>IF(ISNUMBER(N186),IFERROR((N186-IFERROR(INDEX(Estadística!$I$6:$I$35,MATCH(Y186,Estadística!$Y$6:$Y$35,0)),0))^2,""),"")</f>
        <v/>
      </c>
      <c r="X186" s="15">
        <f>IF(ISNUMBER(R186),IF(R186&gt;1,1,0),"")</f>
        <v/>
      </c>
      <c r="Y186" s="15">
        <f>IF(OR(B186="",C186=""),"",B186&amp;"|"&amp;C186)</f>
        <v/>
      </c>
    </row>
    <row r="187">
      <c r="A187" s="23" t="n">
        <v>182</v>
      </c>
      <c r="B187" s="8" t="n"/>
      <c r="C187" s="8" t="n"/>
      <c r="D187" s="9" t="n"/>
      <c r="E187" s="8" t="n"/>
      <c r="F187" s="8" t="n"/>
      <c r="G187" s="8" t="n"/>
      <c r="H187" s="8" t="n"/>
      <c r="I187" s="24" t="n"/>
      <c r="J187" s="8" t="n"/>
      <c r="K187" s="25">
        <f>IF(OR(I187="",J187=""),"",I187*J187/1000)</f>
        <v/>
      </c>
      <c r="L187" s="26" t="n"/>
      <c r="M187" s="26" t="n"/>
      <c r="N187" s="27">
        <f>IF(OR(B187="",C187=""),"",IF(M187&lt;&gt;"",M187,IF(AND(N(L187)&gt;0,N(K187)&gt;0),L187/K187,"")))</f>
        <v/>
      </c>
      <c r="O187" s="15">
        <f>IF(C187="","",IFERROR(INDEX(Agentes!$D$6:$D$60,MATCH(C187,Agentes!$A$6:$A$60,0)),""))</f>
        <v/>
      </c>
      <c r="P187" s="28">
        <f>IF(OR(H187="",O187=""),"",IF(AND(O187="Inhalable",LEFT(H187,6)="Casete"),"Subestima: el casete cerrado no colecta toda la fracción inhalable",IF(AND(O187="Respirable",LEFT(H187,6)&lt;&gt;"Ciclón"),"Requiere ciclón (fracción respirable)",IF(AND(O187="Inhalable",ISNUMBER(SEARCH("Respirable",IFERROR(INDEX(Agentes!$C$80:$C$87,MATCH(H187,Agentes!$B$80:$B$87,0)),"")))),"El ciclón no colecta la fracción inhalable","Coherente"))))</f>
        <v/>
      </c>
      <c r="Q187" s="22">
        <f>IF(Y187="","",IFERROR(INDEX(GES!$W$6:$W$35,MATCH(Y187,GES!$R$6:$R$35,0)),""))</f>
        <v/>
      </c>
      <c r="R187" s="29">
        <f>IF(AND(ISNUMBER(N187),ISNUMBER(Q187)),N187/Q187,"")</f>
        <v/>
      </c>
      <c r="S187" s="15">
        <f>IF(C187="","",IFERROR(INDEX(Agentes!$I$6:$I$60,MATCH(C187,Agentes!$A$6:$A$60,0)),""))</f>
        <v/>
      </c>
      <c r="T187" s="8" t="n"/>
      <c r="U187" s="15">
        <f>IF(ISNUMBER(N187),IF(N187&gt;0,LN(N187),""),"")</f>
        <v/>
      </c>
      <c r="V187" s="15">
        <f>IF(ISNUMBER(U187),IFERROR((U187-LN(IFERROR(INDEX(Estadística!$K$6:$K$35,MATCH(Y187,Estadística!$Y$6:$Y$35,0)),0)))^2,""),"")</f>
        <v/>
      </c>
      <c r="W187" s="15">
        <f>IF(ISNUMBER(N187),IFERROR((N187-IFERROR(INDEX(Estadística!$I$6:$I$35,MATCH(Y187,Estadística!$Y$6:$Y$35,0)),0))^2,""),"")</f>
        <v/>
      </c>
      <c r="X187" s="15">
        <f>IF(ISNUMBER(R187),IF(R187&gt;1,1,0),"")</f>
        <v/>
      </c>
      <c r="Y187" s="15">
        <f>IF(OR(B187="",C187=""),"",B187&amp;"|"&amp;C187)</f>
        <v/>
      </c>
    </row>
    <row r="188">
      <c r="A188" s="23" t="n">
        <v>183</v>
      </c>
      <c r="B188" s="8" t="n"/>
      <c r="C188" s="8" t="n"/>
      <c r="D188" s="9" t="n"/>
      <c r="E188" s="8" t="n"/>
      <c r="F188" s="8" t="n"/>
      <c r="G188" s="8" t="n"/>
      <c r="H188" s="8" t="n"/>
      <c r="I188" s="24" t="n"/>
      <c r="J188" s="8" t="n"/>
      <c r="K188" s="25">
        <f>IF(OR(I188="",J188=""),"",I188*J188/1000)</f>
        <v/>
      </c>
      <c r="L188" s="26" t="n"/>
      <c r="M188" s="26" t="n"/>
      <c r="N188" s="27">
        <f>IF(OR(B188="",C188=""),"",IF(M188&lt;&gt;"",M188,IF(AND(N(L188)&gt;0,N(K188)&gt;0),L188/K188,"")))</f>
        <v/>
      </c>
      <c r="O188" s="15">
        <f>IF(C188="","",IFERROR(INDEX(Agentes!$D$6:$D$60,MATCH(C188,Agentes!$A$6:$A$60,0)),""))</f>
        <v/>
      </c>
      <c r="P188" s="28">
        <f>IF(OR(H188="",O188=""),"",IF(AND(O188="Inhalable",LEFT(H188,6)="Casete"),"Subestima: el casete cerrado no colecta toda la fracción inhalable",IF(AND(O188="Respirable",LEFT(H188,6)&lt;&gt;"Ciclón"),"Requiere ciclón (fracción respirable)",IF(AND(O188="Inhalable",ISNUMBER(SEARCH("Respirable",IFERROR(INDEX(Agentes!$C$80:$C$87,MATCH(H188,Agentes!$B$80:$B$87,0)),"")))),"El ciclón no colecta la fracción inhalable","Coherente"))))</f>
        <v/>
      </c>
      <c r="Q188" s="22">
        <f>IF(Y188="","",IFERROR(INDEX(GES!$W$6:$W$35,MATCH(Y188,GES!$R$6:$R$35,0)),""))</f>
        <v/>
      </c>
      <c r="R188" s="29">
        <f>IF(AND(ISNUMBER(N188),ISNUMBER(Q188)),N188/Q188,"")</f>
        <v/>
      </c>
      <c r="S188" s="15">
        <f>IF(C188="","",IFERROR(INDEX(Agentes!$I$6:$I$60,MATCH(C188,Agentes!$A$6:$A$60,0)),""))</f>
        <v/>
      </c>
      <c r="T188" s="8" t="n"/>
      <c r="U188" s="15">
        <f>IF(ISNUMBER(N188),IF(N188&gt;0,LN(N188),""),"")</f>
        <v/>
      </c>
      <c r="V188" s="15">
        <f>IF(ISNUMBER(U188),IFERROR((U188-LN(IFERROR(INDEX(Estadística!$K$6:$K$35,MATCH(Y188,Estadística!$Y$6:$Y$35,0)),0)))^2,""),"")</f>
        <v/>
      </c>
      <c r="W188" s="15">
        <f>IF(ISNUMBER(N188),IFERROR((N188-IFERROR(INDEX(Estadística!$I$6:$I$35,MATCH(Y188,Estadística!$Y$6:$Y$35,0)),0))^2,""),"")</f>
        <v/>
      </c>
      <c r="X188" s="15">
        <f>IF(ISNUMBER(R188),IF(R188&gt;1,1,0),"")</f>
        <v/>
      </c>
      <c r="Y188" s="15">
        <f>IF(OR(B188="",C188=""),"",B188&amp;"|"&amp;C188)</f>
        <v/>
      </c>
    </row>
    <row r="189">
      <c r="A189" s="23" t="n">
        <v>184</v>
      </c>
      <c r="B189" s="8" t="n"/>
      <c r="C189" s="8" t="n"/>
      <c r="D189" s="9" t="n"/>
      <c r="E189" s="8" t="n"/>
      <c r="F189" s="8" t="n"/>
      <c r="G189" s="8" t="n"/>
      <c r="H189" s="8" t="n"/>
      <c r="I189" s="24" t="n"/>
      <c r="J189" s="8" t="n"/>
      <c r="K189" s="25">
        <f>IF(OR(I189="",J189=""),"",I189*J189/1000)</f>
        <v/>
      </c>
      <c r="L189" s="26" t="n"/>
      <c r="M189" s="26" t="n"/>
      <c r="N189" s="27">
        <f>IF(OR(B189="",C189=""),"",IF(M189&lt;&gt;"",M189,IF(AND(N(L189)&gt;0,N(K189)&gt;0),L189/K189,"")))</f>
        <v/>
      </c>
      <c r="O189" s="15">
        <f>IF(C189="","",IFERROR(INDEX(Agentes!$D$6:$D$60,MATCH(C189,Agentes!$A$6:$A$60,0)),""))</f>
        <v/>
      </c>
      <c r="P189" s="28">
        <f>IF(OR(H189="",O189=""),"",IF(AND(O189="Inhalable",LEFT(H189,6)="Casete"),"Subestima: el casete cerrado no colecta toda la fracción inhalable",IF(AND(O189="Respirable",LEFT(H189,6)&lt;&gt;"Ciclón"),"Requiere ciclón (fracción respirable)",IF(AND(O189="Inhalable",ISNUMBER(SEARCH("Respirable",IFERROR(INDEX(Agentes!$C$80:$C$87,MATCH(H189,Agentes!$B$80:$B$87,0)),"")))),"El ciclón no colecta la fracción inhalable","Coherente"))))</f>
        <v/>
      </c>
      <c r="Q189" s="22">
        <f>IF(Y189="","",IFERROR(INDEX(GES!$W$6:$W$35,MATCH(Y189,GES!$R$6:$R$35,0)),""))</f>
        <v/>
      </c>
      <c r="R189" s="29">
        <f>IF(AND(ISNUMBER(N189),ISNUMBER(Q189)),N189/Q189,"")</f>
        <v/>
      </c>
      <c r="S189" s="15">
        <f>IF(C189="","",IFERROR(INDEX(Agentes!$I$6:$I$60,MATCH(C189,Agentes!$A$6:$A$60,0)),""))</f>
        <v/>
      </c>
      <c r="T189" s="8" t="n"/>
      <c r="U189" s="15">
        <f>IF(ISNUMBER(N189),IF(N189&gt;0,LN(N189),""),"")</f>
        <v/>
      </c>
      <c r="V189" s="15">
        <f>IF(ISNUMBER(U189),IFERROR((U189-LN(IFERROR(INDEX(Estadística!$K$6:$K$35,MATCH(Y189,Estadística!$Y$6:$Y$35,0)),0)))^2,""),"")</f>
        <v/>
      </c>
      <c r="W189" s="15">
        <f>IF(ISNUMBER(N189),IFERROR((N189-IFERROR(INDEX(Estadística!$I$6:$I$35,MATCH(Y189,Estadística!$Y$6:$Y$35,0)),0))^2,""),"")</f>
        <v/>
      </c>
      <c r="X189" s="15">
        <f>IF(ISNUMBER(R189),IF(R189&gt;1,1,0),"")</f>
        <v/>
      </c>
      <c r="Y189" s="15">
        <f>IF(OR(B189="",C189=""),"",B189&amp;"|"&amp;C189)</f>
        <v/>
      </c>
    </row>
    <row r="190">
      <c r="A190" s="23" t="n">
        <v>185</v>
      </c>
      <c r="B190" s="8" t="n"/>
      <c r="C190" s="8" t="n"/>
      <c r="D190" s="9" t="n"/>
      <c r="E190" s="8" t="n"/>
      <c r="F190" s="8" t="n"/>
      <c r="G190" s="8" t="n"/>
      <c r="H190" s="8" t="n"/>
      <c r="I190" s="24" t="n"/>
      <c r="J190" s="8" t="n"/>
      <c r="K190" s="25">
        <f>IF(OR(I190="",J190=""),"",I190*J190/1000)</f>
        <v/>
      </c>
      <c r="L190" s="26" t="n"/>
      <c r="M190" s="26" t="n"/>
      <c r="N190" s="27">
        <f>IF(OR(B190="",C190=""),"",IF(M190&lt;&gt;"",M190,IF(AND(N(L190)&gt;0,N(K190)&gt;0),L190/K190,"")))</f>
        <v/>
      </c>
      <c r="O190" s="15">
        <f>IF(C190="","",IFERROR(INDEX(Agentes!$D$6:$D$60,MATCH(C190,Agentes!$A$6:$A$60,0)),""))</f>
        <v/>
      </c>
      <c r="P190" s="28">
        <f>IF(OR(H190="",O190=""),"",IF(AND(O190="Inhalable",LEFT(H190,6)="Casete"),"Subestima: el casete cerrado no colecta toda la fracción inhalable",IF(AND(O190="Respirable",LEFT(H190,6)&lt;&gt;"Ciclón"),"Requiere ciclón (fracción respirable)",IF(AND(O190="Inhalable",ISNUMBER(SEARCH("Respirable",IFERROR(INDEX(Agentes!$C$80:$C$87,MATCH(H190,Agentes!$B$80:$B$87,0)),"")))),"El ciclón no colecta la fracción inhalable","Coherente"))))</f>
        <v/>
      </c>
      <c r="Q190" s="22">
        <f>IF(Y190="","",IFERROR(INDEX(GES!$W$6:$W$35,MATCH(Y190,GES!$R$6:$R$35,0)),""))</f>
        <v/>
      </c>
      <c r="R190" s="29">
        <f>IF(AND(ISNUMBER(N190),ISNUMBER(Q190)),N190/Q190,"")</f>
        <v/>
      </c>
      <c r="S190" s="15">
        <f>IF(C190="","",IFERROR(INDEX(Agentes!$I$6:$I$60,MATCH(C190,Agentes!$A$6:$A$60,0)),""))</f>
        <v/>
      </c>
      <c r="T190" s="8" t="n"/>
      <c r="U190" s="15">
        <f>IF(ISNUMBER(N190),IF(N190&gt;0,LN(N190),""),"")</f>
        <v/>
      </c>
      <c r="V190" s="15">
        <f>IF(ISNUMBER(U190),IFERROR((U190-LN(IFERROR(INDEX(Estadística!$K$6:$K$35,MATCH(Y190,Estadística!$Y$6:$Y$35,0)),0)))^2,""),"")</f>
        <v/>
      </c>
      <c r="W190" s="15">
        <f>IF(ISNUMBER(N190),IFERROR((N190-IFERROR(INDEX(Estadística!$I$6:$I$35,MATCH(Y190,Estadística!$Y$6:$Y$35,0)),0))^2,""),"")</f>
        <v/>
      </c>
      <c r="X190" s="15">
        <f>IF(ISNUMBER(R190),IF(R190&gt;1,1,0),"")</f>
        <v/>
      </c>
      <c r="Y190" s="15">
        <f>IF(OR(B190="",C190=""),"",B190&amp;"|"&amp;C190)</f>
        <v/>
      </c>
    </row>
    <row r="191">
      <c r="A191" s="23" t="n">
        <v>186</v>
      </c>
      <c r="B191" s="8" t="n"/>
      <c r="C191" s="8" t="n"/>
      <c r="D191" s="9" t="n"/>
      <c r="E191" s="8" t="n"/>
      <c r="F191" s="8" t="n"/>
      <c r="G191" s="8" t="n"/>
      <c r="H191" s="8" t="n"/>
      <c r="I191" s="24" t="n"/>
      <c r="J191" s="8" t="n"/>
      <c r="K191" s="25">
        <f>IF(OR(I191="",J191=""),"",I191*J191/1000)</f>
        <v/>
      </c>
      <c r="L191" s="26" t="n"/>
      <c r="M191" s="26" t="n"/>
      <c r="N191" s="27">
        <f>IF(OR(B191="",C191=""),"",IF(M191&lt;&gt;"",M191,IF(AND(N(L191)&gt;0,N(K191)&gt;0),L191/K191,"")))</f>
        <v/>
      </c>
      <c r="O191" s="15">
        <f>IF(C191="","",IFERROR(INDEX(Agentes!$D$6:$D$60,MATCH(C191,Agentes!$A$6:$A$60,0)),""))</f>
        <v/>
      </c>
      <c r="P191" s="28">
        <f>IF(OR(H191="",O191=""),"",IF(AND(O191="Inhalable",LEFT(H191,6)="Casete"),"Subestima: el casete cerrado no colecta toda la fracción inhalable",IF(AND(O191="Respirable",LEFT(H191,6)&lt;&gt;"Ciclón"),"Requiere ciclón (fracción respirable)",IF(AND(O191="Inhalable",ISNUMBER(SEARCH("Respirable",IFERROR(INDEX(Agentes!$C$80:$C$87,MATCH(H191,Agentes!$B$80:$B$87,0)),"")))),"El ciclón no colecta la fracción inhalable","Coherente"))))</f>
        <v/>
      </c>
      <c r="Q191" s="22">
        <f>IF(Y191="","",IFERROR(INDEX(GES!$W$6:$W$35,MATCH(Y191,GES!$R$6:$R$35,0)),""))</f>
        <v/>
      </c>
      <c r="R191" s="29">
        <f>IF(AND(ISNUMBER(N191),ISNUMBER(Q191)),N191/Q191,"")</f>
        <v/>
      </c>
      <c r="S191" s="15">
        <f>IF(C191="","",IFERROR(INDEX(Agentes!$I$6:$I$60,MATCH(C191,Agentes!$A$6:$A$60,0)),""))</f>
        <v/>
      </c>
      <c r="T191" s="8" t="n"/>
      <c r="U191" s="15">
        <f>IF(ISNUMBER(N191),IF(N191&gt;0,LN(N191),""),"")</f>
        <v/>
      </c>
      <c r="V191" s="15">
        <f>IF(ISNUMBER(U191),IFERROR((U191-LN(IFERROR(INDEX(Estadística!$K$6:$K$35,MATCH(Y191,Estadística!$Y$6:$Y$35,0)),0)))^2,""),"")</f>
        <v/>
      </c>
      <c r="W191" s="15">
        <f>IF(ISNUMBER(N191),IFERROR((N191-IFERROR(INDEX(Estadística!$I$6:$I$35,MATCH(Y191,Estadística!$Y$6:$Y$35,0)),0))^2,""),"")</f>
        <v/>
      </c>
      <c r="X191" s="15">
        <f>IF(ISNUMBER(R191),IF(R191&gt;1,1,0),"")</f>
        <v/>
      </c>
      <c r="Y191" s="15">
        <f>IF(OR(B191="",C191=""),"",B191&amp;"|"&amp;C191)</f>
        <v/>
      </c>
    </row>
    <row r="192">
      <c r="A192" s="23" t="n">
        <v>187</v>
      </c>
      <c r="B192" s="8" t="n"/>
      <c r="C192" s="8" t="n"/>
      <c r="D192" s="9" t="n"/>
      <c r="E192" s="8" t="n"/>
      <c r="F192" s="8" t="n"/>
      <c r="G192" s="8" t="n"/>
      <c r="H192" s="8" t="n"/>
      <c r="I192" s="24" t="n"/>
      <c r="J192" s="8" t="n"/>
      <c r="K192" s="25">
        <f>IF(OR(I192="",J192=""),"",I192*J192/1000)</f>
        <v/>
      </c>
      <c r="L192" s="26" t="n"/>
      <c r="M192" s="26" t="n"/>
      <c r="N192" s="27">
        <f>IF(OR(B192="",C192=""),"",IF(M192&lt;&gt;"",M192,IF(AND(N(L192)&gt;0,N(K192)&gt;0),L192/K192,"")))</f>
        <v/>
      </c>
      <c r="O192" s="15">
        <f>IF(C192="","",IFERROR(INDEX(Agentes!$D$6:$D$60,MATCH(C192,Agentes!$A$6:$A$60,0)),""))</f>
        <v/>
      </c>
      <c r="P192" s="28">
        <f>IF(OR(H192="",O192=""),"",IF(AND(O192="Inhalable",LEFT(H192,6)="Casete"),"Subestima: el casete cerrado no colecta toda la fracción inhalable",IF(AND(O192="Respirable",LEFT(H192,6)&lt;&gt;"Ciclón"),"Requiere ciclón (fracción respirable)",IF(AND(O192="Inhalable",ISNUMBER(SEARCH("Respirable",IFERROR(INDEX(Agentes!$C$80:$C$87,MATCH(H192,Agentes!$B$80:$B$87,0)),"")))),"El ciclón no colecta la fracción inhalable","Coherente"))))</f>
        <v/>
      </c>
      <c r="Q192" s="22">
        <f>IF(Y192="","",IFERROR(INDEX(GES!$W$6:$W$35,MATCH(Y192,GES!$R$6:$R$35,0)),""))</f>
        <v/>
      </c>
      <c r="R192" s="29">
        <f>IF(AND(ISNUMBER(N192),ISNUMBER(Q192)),N192/Q192,"")</f>
        <v/>
      </c>
      <c r="S192" s="15">
        <f>IF(C192="","",IFERROR(INDEX(Agentes!$I$6:$I$60,MATCH(C192,Agentes!$A$6:$A$60,0)),""))</f>
        <v/>
      </c>
      <c r="T192" s="8" t="n"/>
      <c r="U192" s="15">
        <f>IF(ISNUMBER(N192),IF(N192&gt;0,LN(N192),""),"")</f>
        <v/>
      </c>
      <c r="V192" s="15">
        <f>IF(ISNUMBER(U192),IFERROR((U192-LN(IFERROR(INDEX(Estadística!$K$6:$K$35,MATCH(Y192,Estadística!$Y$6:$Y$35,0)),0)))^2,""),"")</f>
        <v/>
      </c>
      <c r="W192" s="15">
        <f>IF(ISNUMBER(N192),IFERROR((N192-IFERROR(INDEX(Estadística!$I$6:$I$35,MATCH(Y192,Estadística!$Y$6:$Y$35,0)),0))^2,""),"")</f>
        <v/>
      </c>
      <c r="X192" s="15">
        <f>IF(ISNUMBER(R192),IF(R192&gt;1,1,0),"")</f>
        <v/>
      </c>
      <c r="Y192" s="15">
        <f>IF(OR(B192="",C192=""),"",B192&amp;"|"&amp;C192)</f>
        <v/>
      </c>
    </row>
    <row r="193">
      <c r="A193" s="23" t="n">
        <v>188</v>
      </c>
      <c r="B193" s="8" t="n"/>
      <c r="C193" s="8" t="n"/>
      <c r="D193" s="9" t="n"/>
      <c r="E193" s="8" t="n"/>
      <c r="F193" s="8" t="n"/>
      <c r="G193" s="8" t="n"/>
      <c r="H193" s="8" t="n"/>
      <c r="I193" s="24" t="n"/>
      <c r="J193" s="8" t="n"/>
      <c r="K193" s="25">
        <f>IF(OR(I193="",J193=""),"",I193*J193/1000)</f>
        <v/>
      </c>
      <c r="L193" s="26" t="n"/>
      <c r="M193" s="26" t="n"/>
      <c r="N193" s="27">
        <f>IF(OR(B193="",C193=""),"",IF(M193&lt;&gt;"",M193,IF(AND(N(L193)&gt;0,N(K193)&gt;0),L193/K193,"")))</f>
        <v/>
      </c>
      <c r="O193" s="15">
        <f>IF(C193="","",IFERROR(INDEX(Agentes!$D$6:$D$60,MATCH(C193,Agentes!$A$6:$A$60,0)),""))</f>
        <v/>
      </c>
      <c r="P193" s="28">
        <f>IF(OR(H193="",O193=""),"",IF(AND(O193="Inhalable",LEFT(H193,6)="Casete"),"Subestima: el casete cerrado no colecta toda la fracción inhalable",IF(AND(O193="Respirable",LEFT(H193,6)&lt;&gt;"Ciclón"),"Requiere ciclón (fracción respirable)",IF(AND(O193="Inhalable",ISNUMBER(SEARCH("Respirable",IFERROR(INDEX(Agentes!$C$80:$C$87,MATCH(H193,Agentes!$B$80:$B$87,0)),"")))),"El ciclón no colecta la fracción inhalable","Coherente"))))</f>
        <v/>
      </c>
      <c r="Q193" s="22">
        <f>IF(Y193="","",IFERROR(INDEX(GES!$W$6:$W$35,MATCH(Y193,GES!$R$6:$R$35,0)),""))</f>
        <v/>
      </c>
      <c r="R193" s="29">
        <f>IF(AND(ISNUMBER(N193),ISNUMBER(Q193)),N193/Q193,"")</f>
        <v/>
      </c>
      <c r="S193" s="15">
        <f>IF(C193="","",IFERROR(INDEX(Agentes!$I$6:$I$60,MATCH(C193,Agentes!$A$6:$A$60,0)),""))</f>
        <v/>
      </c>
      <c r="T193" s="8" t="n"/>
      <c r="U193" s="15">
        <f>IF(ISNUMBER(N193),IF(N193&gt;0,LN(N193),""),"")</f>
        <v/>
      </c>
      <c r="V193" s="15">
        <f>IF(ISNUMBER(U193),IFERROR((U193-LN(IFERROR(INDEX(Estadística!$K$6:$K$35,MATCH(Y193,Estadística!$Y$6:$Y$35,0)),0)))^2,""),"")</f>
        <v/>
      </c>
      <c r="W193" s="15">
        <f>IF(ISNUMBER(N193),IFERROR((N193-IFERROR(INDEX(Estadística!$I$6:$I$35,MATCH(Y193,Estadística!$Y$6:$Y$35,0)),0))^2,""),"")</f>
        <v/>
      </c>
      <c r="X193" s="15">
        <f>IF(ISNUMBER(R193),IF(R193&gt;1,1,0),"")</f>
        <v/>
      </c>
      <c r="Y193" s="15">
        <f>IF(OR(B193="",C193=""),"",B193&amp;"|"&amp;C193)</f>
        <v/>
      </c>
    </row>
    <row r="194">
      <c r="A194" s="23" t="n">
        <v>189</v>
      </c>
      <c r="B194" s="8" t="n"/>
      <c r="C194" s="8" t="n"/>
      <c r="D194" s="9" t="n"/>
      <c r="E194" s="8" t="n"/>
      <c r="F194" s="8" t="n"/>
      <c r="G194" s="8" t="n"/>
      <c r="H194" s="8" t="n"/>
      <c r="I194" s="24" t="n"/>
      <c r="J194" s="8" t="n"/>
      <c r="K194" s="25">
        <f>IF(OR(I194="",J194=""),"",I194*J194/1000)</f>
        <v/>
      </c>
      <c r="L194" s="26" t="n"/>
      <c r="M194" s="26" t="n"/>
      <c r="N194" s="27">
        <f>IF(OR(B194="",C194=""),"",IF(M194&lt;&gt;"",M194,IF(AND(N(L194)&gt;0,N(K194)&gt;0),L194/K194,"")))</f>
        <v/>
      </c>
      <c r="O194" s="15">
        <f>IF(C194="","",IFERROR(INDEX(Agentes!$D$6:$D$60,MATCH(C194,Agentes!$A$6:$A$60,0)),""))</f>
        <v/>
      </c>
      <c r="P194" s="28">
        <f>IF(OR(H194="",O194=""),"",IF(AND(O194="Inhalable",LEFT(H194,6)="Casete"),"Subestima: el casete cerrado no colecta toda la fracción inhalable",IF(AND(O194="Respirable",LEFT(H194,6)&lt;&gt;"Ciclón"),"Requiere ciclón (fracción respirable)",IF(AND(O194="Inhalable",ISNUMBER(SEARCH("Respirable",IFERROR(INDEX(Agentes!$C$80:$C$87,MATCH(H194,Agentes!$B$80:$B$87,0)),"")))),"El ciclón no colecta la fracción inhalable","Coherente"))))</f>
        <v/>
      </c>
      <c r="Q194" s="22">
        <f>IF(Y194="","",IFERROR(INDEX(GES!$W$6:$W$35,MATCH(Y194,GES!$R$6:$R$35,0)),""))</f>
        <v/>
      </c>
      <c r="R194" s="29">
        <f>IF(AND(ISNUMBER(N194),ISNUMBER(Q194)),N194/Q194,"")</f>
        <v/>
      </c>
      <c r="S194" s="15">
        <f>IF(C194="","",IFERROR(INDEX(Agentes!$I$6:$I$60,MATCH(C194,Agentes!$A$6:$A$60,0)),""))</f>
        <v/>
      </c>
      <c r="T194" s="8" t="n"/>
      <c r="U194" s="15">
        <f>IF(ISNUMBER(N194),IF(N194&gt;0,LN(N194),""),"")</f>
        <v/>
      </c>
      <c r="V194" s="15">
        <f>IF(ISNUMBER(U194),IFERROR((U194-LN(IFERROR(INDEX(Estadística!$K$6:$K$35,MATCH(Y194,Estadística!$Y$6:$Y$35,0)),0)))^2,""),"")</f>
        <v/>
      </c>
      <c r="W194" s="15">
        <f>IF(ISNUMBER(N194),IFERROR((N194-IFERROR(INDEX(Estadística!$I$6:$I$35,MATCH(Y194,Estadística!$Y$6:$Y$35,0)),0))^2,""),"")</f>
        <v/>
      </c>
      <c r="X194" s="15">
        <f>IF(ISNUMBER(R194),IF(R194&gt;1,1,0),"")</f>
        <v/>
      </c>
      <c r="Y194" s="15">
        <f>IF(OR(B194="",C194=""),"",B194&amp;"|"&amp;C194)</f>
        <v/>
      </c>
    </row>
    <row r="195">
      <c r="A195" s="23" t="n">
        <v>190</v>
      </c>
      <c r="B195" s="8" t="n"/>
      <c r="C195" s="8" t="n"/>
      <c r="D195" s="9" t="n"/>
      <c r="E195" s="8" t="n"/>
      <c r="F195" s="8" t="n"/>
      <c r="G195" s="8" t="n"/>
      <c r="H195" s="8" t="n"/>
      <c r="I195" s="24" t="n"/>
      <c r="J195" s="8" t="n"/>
      <c r="K195" s="25">
        <f>IF(OR(I195="",J195=""),"",I195*J195/1000)</f>
        <v/>
      </c>
      <c r="L195" s="26" t="n"/>
      <c r="M195" s="26" t="n"/>
      <c r="N195" s="27">
        <f>IF(OR(B195="",C195=""),"",IF(M195&lt;&gt;"",M195,IF(AND(N(L195)&gt;0,N(K195)&gt;0),L195/K195,"")))</f>
        <v/>
      </c>
      <c r="O195" s="15">
        <f>IF(C195="","",IFERROR(INDEX(Agentes!$D$6:$D$60,MATCH(C195,Agentes!$A$6:$A$60,0)),""))</f>
        <v/>
      </c>
      <c r="P195" s="28">
        <f>IF(OR(H195="",O195=""),"",IF(AND(O195="Inhalable",LEFT(H195,6)="Casete"),"Subestima: el casete cerrado no colecta toda la fracción inhalable",IF(AND(O195="Respirable",LEFT(H195,6)&lt;&gt;"Ciclón"),"Requiere ciclón (fracción respirable)",IF(AND(O195="Inhalable",ISNUMBER(SEARCH("Respirable",IFERROR(INDEX(Agentes!$C$80:$C$87,MATCH(H195,Agentes!$B$80:$B$87,0)),"")))),"El ciclón no colecta la fracción inhalable","Coherente"))))</f>
        <v/>
      </c>
      <c r="Q195" s="22">
        <f>IF(Y195="","",IFERROR(INDEX(GES!$W$6:$W$35,MATCH(Y195,GES!$R$6:$R$35,0)),""))</f>
        <v/>
      </c>
      <c r="R195" s="29">
        <f>IF(AND(ISNUMBER(N195),ISNUMBER(Q195)),N195/Q195,"")</f>
        <v/>
      </c>
      <c r="S195" s="15">
        <f>IF(C195="","",IFERROR(INDEX(Agentes!$I$6:$I$60,MATCH(C195,Agentes!$A$6:$A$60,0)),""))</f>
        <v/>
      </c>
      <c r="T195" s="8" t="n"/>
      <c r="U195" s="15">
        <f>IF(ISNUMBER(N195),IF(N195&gt;0,LN(N195),""),"")</f>
        <v/>
      </c>
      <c r="V195" s="15">
        <f>IF(ISNUMBER(U195),IFERROR((U195-LN(IFERROR(INDEX(Estadística!$K$6:$K$35,MATCH(Y195,Estadística!$Y$6:$Y$35,0)),0)))^2,""),"")</f>
        <v/>
      </c>
      <c r="W195" s="15">
        <f>IF(ISNUMBER(N195),IFERROR((N195-IFERROR(INDEX(Estadística!$I$6:$I$35,MATCH(Y195,Estadística!$Y$6:$Y$35,0)),0))^2,""),"")</f>
        <v/>
      </c>
      <c r="X195" s="15">
        <f>IF(ISNUMBER(R195),IF(R195&gt;1,1,0),"")</f>
        <v/>
      </c>
      <c r="Y195" s="15">
        <f>IF(OR(B195="",C195=""),"",B195&amp;"|"&amp;C195)</f>
        <v/>
      </c>
    </row>
    <row r="196">
      <c r="A196" s="23" t="n">
        <v>191</v>
      </c>
      <c r="B196" s="8" t="n"/>
      <c r="C196" s="8" t="n"/>
      <c r="D196" s="9" t="n"/>
      <c r="E196" s="8" t="n"/>
      <c r="F196" s="8" t="n"/>
      <c r="G196" s="8" t="n"/>
      <c r="H196" s="8" t="n"/>
      <c r="I196" s="24" t="n"/>
      <c r="J196" s="8" t="n"/>
      <c r="K196" s="25">
        <f>IF(OR(I196="",J196=""),"",I196*J196/1000)</f>
        <v/>
      </c>
      <c r="L196" s="26" t="n"/>
      <c r="M196" s="26" t="n"/>
      <c r="N196" s="27">
        <f>IF(OR(B196="",C196=""),"",IF(M196&lt;&gt;"",M196,IF(AND(N(L196)&gt;0,N(K196)&gt;0),L196/K196,"")))</f>
        <v/>
      </c>
      <c r="O196" s="15">
        <f>IF(C196="","",IFERROR(INDEX(Agentes!$D$6:$D$60,MATCH(C196,Agentes!$A$6:$A$60,0)),""))</f>
        <v/>
      </c>
      <c r="P196" s="28">
        <f>IF(OR(H196="",O196=""),"",IF(AND(O196="Inhalable",LEFT(H196,6)="Casete"),"Subestima: el casete cerrado no colecta toda la fracción inhalable",IF(AND(O196="Respirable",LEFT(H196,6)&lt;&gt;"Ciclón"),"Requiere ciclón (fracción respirable)",IF(AND(O196="Inhalable",ISNUMBER(SEARCH("Respirable",IFERROR(INDEX(Agentes!$C$80:$C$87,MATCH(H196,Agentes!$B$80:$B$87,0)),"")))),"El ciclón no colecta la fracción inhalable","Coherente"))))</f>
        <v/>
      </c>
      <c r="Q196" s="22">
        <f>IF(Y196="","",IFERROR(INDEX(GES!$W$6:$W$35,MATCH(Y196,GES!$R$6:$R$35,0)),""))</f>
        <v/>
      </c>
      <c r="R196" s="29">
        <f>IF(AND(ISNUMBER(N196),ISNUMBER(Q196)),N196/Q196,"")</f>
        <v/>
      </c>
      <c r="S196" s="15">
        <f>IF(C196="","",IFERROR(INDEX(Agentes!$I$6:$I$60,MATCH(C196,Agentes!$A$6:$A$60,0)),""))</f>
        <v/>
      </c>
      <c r="T196" s="8" t="n"/>
      <c r="U196" s="15">
        <f>IF(ISNUMBER(N196),IF(N196&gt;0,LN(N196),""),"")</f>
        <v/>
      </c>
      <c r="V196" s="15">
        <f>IF(ISNUMBER(U196),IFERROR((U196-LN(IFERROR(INDEX(Estadística!$K$6:$K$35,MATCH(Y196,Estadística!$Y$6:$Y$35,0)),0)))^2,""),"")</f>
        <v/>
      </c>
      <c r="W196" s="15">
        <f>IF(ISNUMBER(N196),IFERROR((N196-IFERROR(INDEX(Estadística!$I$6:$I$35,MATCH(Y196,Estadística!$Y$6:$Y$35,0)),0))^2,""),"")</f>
        <v/>
      </c>
      <c r="X196" s="15">
        <f>IF(ISNUMBER(R196),IF(R196&gt;1,1,0),"")</f>
        <v/>
      </c>
      <c r="Y196" s="15">
        <f>IF(OR(B196="",C196=""),"",B196&amp;"|"&amp;C196)</f>
        <v/>
      </c>
    </row>
    <row r="197">
      <c r="A197" s="23" t="n">
        <v>192</v>
      </c>
      <c r="B197" s="8" t="n"/>
      <c r="C197" s="8" t="n"/>
      <c r="D197" s="9" t="n"/>
      <c r="E197" s="8" t="n"/>
      <c r="F197" s="8" t="n"/>
      <c r="G197" s="8" t="n"/>
      <c r="H197" s="8" t="n"/>
      <c r="I197" s="24" t="n"/>
      <c r="J197" s="8" t="n"/>
      <c r="K197" s="25">
        <f>IF(OR(I197="",J197=""),"",I197*J197/1000)</f>
        <v/>
      </c>
      <c r="L197" s="26" t="n"/>
      <c r="M197" s="26" t="n"/>
      <c r="N197" s="27">
        <f>IF(OR(B197="",C197=""),"",IF(M197&lt;&gt;"",M197,IF(AND(N(L197)&gt;0,N(K197)&gt;0),L197/K197,"")))</f>
        <v/>
      </c>
      <c r="O197" s="15">
        <f>IF(C197="","",IFERROR(INDEX(Agentes!$D$6:$D$60,MATCH(C197,Agentes!$A$6:$A$60,0)),""))</f>
        <v/>
      </c>
      <c r="P197" s="28">
        <f>IF(OR(H197="",O197=""),"",IF(AND(O197="Inhalable",LEFT(H197,6)="Casete"),"Subestima: el casete cerrado no colecta toda la fracción inhalable",IF(AND(O197="Respirable",LEFT(H197,6)&lt;&gt;"Ciclón"),"Requiere ciclón (fracción respirable)",IF(AND(O197="Inhalable",ISNUMBER(SEARCH("Respirable",IFERROR(INDEX(Agentes!$C$80:$C$87,MATCH(H197,Agentes!$B$80:$B$87,0)),"")))),"El ciclón no colecta la fracción inhalable","Coherente"))))</f>
        <v/>
      </c>
      <c r="Q197" s="22">
        <f>IF(Y197="","",IFERROR(INDEX(GES!$W$6:$W$35,MATCH(Y197,GES!$R$6:$R$35,0)),""))</f>
        <v/>
      </c>
      <c r="R197" s="29">
        <f>IF(AND(ISNUMBER(N197),ISNUMBER(Q197)),N197/Q197,"")</f>
        <v/>
      </c>
      <c r="S197" s="15">
        <f>IF(C197="","",IFERROR(INDEX(Agentes!$I$6:$I$60,MATCH(C197,Agentes!$A$6:$A$60,0)),""))</f>
        <v/>
      </c>
      <c r="T197" s="8" t="n"/>
      <c r="U197" s="15">
        <f>IF(ISNUMBER(N197),IF(N197&gt;0,LN(N197),""),"")</f>
        <v/>
      </c>
      <c r="V197" s="15">
        <f>IF(ISNUMBER(U197),IFERROR((U197-LN(IFERROR(INDEX(Estadística!$K$6:$K$35,MATCH(Y197,Estadística!$Y$6:$Y$35,0)),0)))^2,""),"")</f>
        <v/>
      </c>
      <c r="W197" s="15">
        <f>IF(ISNUMBER(N197),IFERROR((N197-IFERROR(INDEX(Estadística!$I$6:$I$35,MATCH(Y197,Estadística!$Y$6:$Y$35,0)),0))^2,""),"")</f>
        <v/>
      </c>
      <c r="X197" s="15">
        <f>IF(ISNUMBER(R197),IF(R197&gt;1,1,0),"")</f>
        <v/>
      </c>
      <c r="Y197" s="15">
        <f>IF(OR(B197="",C197=""),"",B197&amp;"|"&amp;C197)</f>
        <v/>
      </c>
    </row>
    <row r="198">
      <c r="A198" s="23" t="n">
        <v>193</v>
      </c>
      <c r="B198" s="8" t="n"/>
      <c r="C198" s="8" t="n"/>
      <c r="D198" s="9" t="n"/>
      <c r="E198" s="8" t="n"/>
      <c r="F198" s="8" t="n"/>
      <c r="G198" s="8" t="n"/>
      <c r="H198" s="8" t="n"/>
      <c r="I198" s="24" t="n"/>
      <c r="J198" s="8" t="n"/>
      <c r="K198" s="25">
        <f>IF(OR(I198="",J198=""),"",I198*J198/1000)</f>
        <v/>
      </c>
      <c r="L198" s="26" t="n"/>
      <c r="M198" s="26" t="n"/>
      <c r="N198" s="27">
        <f>IF(OR(B198="",C198=""),"",IF(M198&lt;&gt;"",M198,IF(AND(N(L198)&gt;0,N(K198)&gt;0),L198/K198,"")))</f>
        <v/>
      </c>
      <c r="O198" s="15">
        <f>IF(C198="","",IFERROR(INDEX(Agentes!$D$6:$D$60,MATCH(C198,Agentes!$A$6:$A$60,0)),""))</f>
        <v/>
      </c>
      <c r="P198" s="28">
        <f>IF(OR(H198="",O198=""),"",IF(AND(O198="Inhalable",LEFT(H198,6)="Casete"),"Subestima: el casete cerrado no colecta toda la fracción inhalable",IF(AND(O198="Respirable",LEFT(H198,6)&lt;&gt;"Ciclón"),"Requiere ciclón (fracción respirable)",IF(AND(O198="Inhalable",ISNUMBER(SEARCH("Respirable",IFERROR(INDEX(Agentes!$C$80:$C$87,MATCH(H198,Agentes!$B$80:$B$87,0)),"")))),"El ciclón no colecta la fracción inhalable","Coherente"))))</f>
        <v/>
      </c>
      <c r="Q198" s="22">
        <f>IF(Y198="","",IFERROR(INDEX(GES!$W$6:$W$35,MATCH(Y198,GES!$R$6:$R$35,0)),""))</f>
        <v/>
      </c>
      <c r="R198" s="29">
        <f>IF(AND(ISNUMBER(N198),ISNUMBER(Q198)),N198/Q198,"")</f>
        <v/>
      </c>
      <c r="S198" s="15">
        <f>IF(C198="","",IFERROR(INDEX(Agentes!$I$6:$I$60,MATCH(C198,Agentes!$A$6:$A$60,0)),""))</f>
        <v/>
      </c>
      <c r="T198" s="8" t="n"/>
      <c r="U198" s="15">
        <f>IF(ISNUMBER(N198),IF(N198&gt;0,LN(N198),""),"")</f>
        <v/>
      </c>
      <c r="V198" s="15">
        <f>IF(ISNUMBER(U198),IFERROR((U198-LN(IFERROR(INDEX(Estadística!$K$6:$K$35,MATCH(Y198,Estadística!$Y$6:$Y$35,0)),0)))^2,""),"")</f>
        <v/>
      </c>
      <c r="W198" s="15">
        <f>IF(ISNUMBER(N198),IFERROR((N198-IFERROR(INDEX(Estadística!$I$6:$I$35,MATCH(Y198,Estadística!$Y$6:$Y$35,0)),0))^2,""),"")</f>
        <v/>
      </c>
      <c r="X198" s="15">
        <f>IF(ISNUMBER(R198),IF(R198&gt;1,1,0),"")</f>
        <v/>
      </c>
      <c r="Y198" s="15">
        <f>IF(OR(B198="",C198=""),"",B198&amp;"|"&amp;C198)</f>
        <v/>
      </c>
    </row>
    <row r="199">
      <c r="A199" s="23" t="n">
        <v>194</v>
      </c>
      <c r="B199" s="8" t="n"/>
      <c r="C199" s="8" t="n"/>
      <c r="D199" s="9" t="n"/>
      <c r="E199" s="8" t="n"/>
      <c r="F199" s="8" t="n"/>
      <c r="G199" s="8" t="n"/>
      <c r="H199" s="8" t="n"/>
      <c r="I199" s="24" t="n"/>
      <c r="J199" s="8" t="n"/>
      <c r="K199" s="25">
        <f>IF(OR(I199="",J199=""),"",I199*J199/1000)</f>
        <v/>
      </c>
      <c r="L199" s="26" t="n"/>
      <c r="M199" s="26" t="n"/>
      <c r="N199" s="27">
        <f>IF(OR(B199="",C199=""),"",IF(M199&lt;&gt;"",M199,IF(AND(N(L199)&gt;0,N(K199)&gt;0),L199/K199,"")))</f>
        <v/>
      </c>
      <c r="O199" s="15">
        <f>IF(C199="","",IFERROR(INDEX(Agentes!$D$6:$D$60,MATCH(C199,Agentes!$A$6:$A$60,0)),""))</f>
        <v/>
      </c>
      <c r="P199" s="28">
        <f>IF(OR(H199="",O199=""),"",IF(AND(O199="Inhalable",LEFT(H199,6)="Casete"),"Subestima: el casete cerrado no colecta toda la fracción inhalable",IF(AND(O199="Respirable",LEFT(H199,6)&lt;&gt;"Ciclón"),"Requiere ciclón (fracción respirable)",IF(AND(O199="Inhalable",ISNUMBER(SEARCH("Respirable",IFERROR(INDEX(Agentes!$C$80:$C$87,MATCH(H199,Agentes!$B$80:$B$87,0)),"")))),"El ciclón no colecta la fracción inhalable","Coherente"))))</f>
        <v/>
      </c>
      <c r="Q199" s="22">
        <f>IF(Y199="","",IFERROR(INDEX(GES!$W$6:$W$35,MATCH(Y199,GES!$R$6:$R$35,0)),""))</f>
        <v/>
      </c>
      <c r="R199" s="29">
        <f>IF(AND(ISNUMBER(N199),ISNUMBER(Q199)),N199/Q199,"")</f>
        <v/>
      </c>
      <c r="S199" s="15">
        <f>IF(C199="","",IFERROR(INDEX(Agentes!$I$6:$I$60,MATCH(C199,Agentes!$A$6:$A$60,0)),""))</f>
        <v/>
      </c>
      <c r="T199" s="8" t="n"/>
      <c r="U199" s="15">
        <f>IF(ISNUMBER(N199),IF(N199&gt;0,LN(N199),""),"")</f>
        <v/>
      </c>
      <c r="V199" s="15">
        <f>IF(ISNUMBER(U199),IFERROR((U199-LN(IFERROR(INDEX(Estadística!$K$6:$K$35,MATCH(Y199,Estadística!$Y$6:$Y$35,0)),0)))^2,""),"")</f>
        <v/>
      </c>
      <c r="W199" s="15">
        <f>IF(ISNUMBER(N199),IFERROR((N199-IFERROR(INDEX(Estadística!$I$6:$I$35,MATCH(Y199,Estadística!$Y$6:$Y$35,0)),0))^2,""),"")</f>
        <v/>
      </c>
      <c r="X199" s="15">
        <f>IF(ISNUMBER(R199),IF(R199&gt;1,1,0),"")</f>
        <v/>
      </c>
      <c r="Y199" s="15">
        <f>IF(OR(B199="",C199=""),"",B199&amp;"|"&amp;C199)</f>
        <v/>
      </c>
    </row>
    <row r="200">
      <c r="A200" s="23" t="n">
        <v>195</v>
      </c>
      <c r="B200" s="8" t="n"/>
      <c r="C200" s="8" t="n"/>
      <c r="D200" s="9" t="n"/>
      <c r="E200" s="8" t="n"/>
      <c r="F200" s="8" t="n"/>
      <c r="G200" s="8" t="n"/>
      <c r="H200" s="8" t="n"/>
      <c r="I200" s="24" t="n"/>
      <c r="J200" s="8" t="n"/>
      <c r="K200" s="25">
        <f>IF(OR(I200="",J200=""),"",I200*J200/1000)</f>
        <v/>
      </c>
      <c r="L200" s="26" t="n"/>
      <c r="M200" s="26" t="n"/>
      <c r="N200" s="27">
        <f>IF(OR(B200="",C200=""),"",IF(M200&lt;&gt;"",M200,IF(AND(N(L200)&gt;0,N(K200)&gt;0),L200/K200,"")))</f>
        <v/>
      </c>
      <c r="O200" s="15">
        <f>IF(C200="","",IFERROR(INDEX(Agentes!$D$6:$D$60,MATCH(C200,Agentes!$A$6:$A$60,0)),""))</f>
        <v/>
      </c>
      <c r="P200" s="28">
        <f>IF(OR(H200="",O200=""),"",IF(AND(O200="Inhalable",LEFT(H200,6)="Casete"),"Subestima: el casete cerrado no colecta toda la fracción inhalable",IF(AND(O200="Respirable",LEFT(H200,6)&lt;&gt;"Ciclón"),"Requiere ciclón (fracción respirable)",IF(AND(O200="Inhalable",ISNUMBER(SEARCH("Respirable",IFERROR(INDEX(Agentes!$C$80:$C$87,MATCH(H200,Agentes!$B$80:$B$87,0)),"")))),"El ciclón no colecta la fracción inhalable","Coherente"))))</f>
        <v/>
      </c>
      <c r="Q200" s="22">
        <f>IF(Y200="","",IFERROR(INDEX(GES!$W$6:$W$35,MATCH(Y200,GES!$R$6:$R$35,0)),""))</f>
        <v/>
      </c>
      <c r="R200" s="29">
        <f>IF(AND(ISNUMBER(N200),ISNUMBER(Q200)),N200/Q200,"")</f>
        <v/>
      </c>
      <c r="S200" s="15">
        <f>IF(C200="","",IFERROR(INDEX(Agentes!$I$6:$I$60,MATCH(C200,Agentes!$A$6:$A$60,0)),""))</f>
        <v/>
      </c>
      <c r="T200" s="8" t="n"/>
      <c r="U200" s="15">
        <f>IF(ISNUMBER(N200),IF(N200&gt;0,LN(N200),""),"")</f>
        <v/>
      </c>
      <c r="V200" s="15">
        <f>IF(ISNUMBER(U200),IFERROR((U200-LN(IFERROR(INDEX(Estadística!$K$6:$K$35,MATCH(Y200,Estadística!$Y$6:$Y$35,0)),0)))^2,""),"")</f>
        <v/>
      </c>
      <c r="W200" s="15">
        <f>IF(ISNUMBER(N200),IFERROR((N200-IFERROR(INDEX(Estadística!$I$6:$I$35,MATCH(Y200,Estadística!$Y$6:$Y$35,0)),0))^2,""),"")</f>
        <v/>
      </c>
      <c r="X200" s="15">
        <f>IF(ISNUMBER(R200),IF(R200&gt;1,1,0),"")</f>
        <v/>
      </c>
      <c r="Y200" s="15">
        <f>IF(OR(B200="",C200=""),"",B200&amp;"|"&amp;C200)</f>
        <v/>
      </c>
    </row>
    <row r="201">
      <c r="A201" s="23" t="n">
        <v>196</v>
      </c>
      <c r="B201" s="8" t="n"/>
      <c r="C201" s="8" t="n"/>
      <c r="D201" s="9" t="n"/>
      <c r="E201" s="8" t="n"/>
      <c r="F201" s="8" t="n"/>
      <c r="G201" s="8" t="n"/>
      <c r="H201" s="8" t="n"/>
      <c r="I201" s="24" t="n"/>
      <c r="J201" s="8" t="n"/>
      <c r="K201" s="25">
        <f>IF(OR(I201="",J201=""),"",I201*J201/1000)</f>
        <v/>
      </c>
      <c r="L201" s="26" t="n"/>
      <c r="M201" s="26" t="n"/>
      <c r="N201" s="27">
        <f>IF(OR(B201="",C201=""),"",IF(M201&lt;&gt;"",M201,IF(AND(N(L201)&gt;0,N(K201)&gt;0),L201/K201,"")))</f>
        <v/>
      </c>
      <c r="O201" s="15">
        <f>IF(C201="","",IFERROR(INDEX(Agentes!$D$6:$D$60,MATCH(C201,Agentes!$A$6:$A$60,0)),""))</f>
        <v/>
      </c>
      <c r="P201" s="28">
        <f>IF(OR(H201="",O201=""),"",IF(AND(O201="Inhalable",LEFT(H201,6)="Casete"),"Subestima: el casete cerrado no colecta toda la fracción inhalable",IF(AND(O201="Respirable",LEFT(H201,6)&lt;&gt;"Ciclón"),"Requiere ciclón (fracción respirable)",IF(AND(O201="Inhalable",ISNUMBER(SEARCH("Respirable",IFERROR(INDEX(Agentes!$C$80:$C$87,MATCH(H201,Agentes!$B$80:$B$87,0)),"")))),"El ciclón no colecta la fracción inhalable","Coherente"))))</f>
        <v/>
      </c>
      <c r="Q201" s="22">
        <f>IF(Y201="","",IFERROR(INDEX(GES!$W$6:$W$35,MATCH(Y201,GES!$R$6:$R$35,0)),""))</f>
        <v/>
      </c>
      <c r="R201" s="29">
        <f>IF(AND(ISNUMBER(N201),ISNUMBER(Q201)),N201/Q201,"")</f>
        <v/>
      </c>
      <c r="S201" s="15">
        <f>IF(C201="","",IFERROR(INDEX(Agentes!$I$6:$I$60,MATCH(C201,Agentes!$A$6:$A$60,0)),""))</f>
        <v/>
      </c>
      <c r="T201" s="8" t="n"/>
      <c r="U201" s="15">
        <f>IF(ISNUMBER(N201),IF(N201&gt;0,LN(N201),""),"")</f>
        <v/>
      </c>
      <c r="V201" s="15">
        <f>IF(ISNUMBER(U201),IFERROR((U201-LN(IFERROR(INDEX(Estadística!$K$6:$K$35,MATCH(Y201,Estadística!$Y$6:$Y$35,0)),0)))^2,""),"")</f>
        <v/>
      </c>
      <c r="W201" s="15">
        <f>IF(ISNUMBER(N201),IFERROR((N201-IFERROR(INDEX(Estadística!$I$6:$I$35,MATCH(Y201,Estadística!$Y$6:$Y$35,0)),0))^2,""),"")</f>
        <v/>
      </c>
      <c r="X201" s="15">
        <f>IF(ISNUMBER(R201),IF(R201&gt;1,1,0),"")</f>
        <v/>
      </c>
      <c r="Y201" s="15">
        <f>IF(OR(B201="",C201=""),"",B201&amp;"|"&amp;C201)</f>
        <v/>
      </c>
    </row>
    <row r="202">
      <c r="A202" s="23" t="n">
        <v>197</v>
      </c>
      <c r="B202" s="8" t="n"/>
      <c r="C202" s="8" t="n"/>
      <c r="D202" s="9" t="n"/>
      <c r="E202" s="8" t="n"/>
      <c r="F202" s="8" t="n"/>
      <c r="G202" s="8" t="n"/>
      <c r="H202" s="8" t="n"/>
      <c r="I202" s="24" t="n"/>
      <c r="J202" s="8" t="n"/>
      <c r="K202" s="25">
        <f>IF(OR(I202="",J202=""),"",I202*J202/1000)</f>
        <v/>
      </c>
      <c r="L202" s="26" t="n"/>
      <c r="M202" s="26" t="n"/>
      <c r="N202" s="27">
        <f>IF(OR(B202="",C202=""),"",IF(M202&lt;&gt;"",M202,IF(AND(N(L202)&gt;0,N(K202)&gt;0),L202/K202,"")))</f>
        <v/>
      </c>
      <c r="O202" s="15">
        <f>IF(C202="","",IFERROR(INDEX(Agentes!$D$6:$D$60,MATCH(C202,Agentes!$A$6:$A$60,0)),""))</f>
        <v/>
      </c>
      <c r="P202" s="28">
        <f>IF(OR(H202="",O202=""),"",IF(AND(O202="Inhalable",LEFT(H202,6)="Casete"),"Subestima: el casete cerrado no colecta toda la fracción inhalable",IF(AND(O202="Respirable",LEFT(H202,6)&lt;&gt;"Ciclón"),"Requiere ciclón (fracción respirable)",IF(AND(O202="Inhalable",ISNUMBER(SEARCH("Respirable",IFERROR(INDEX(Agentes!$C$80:$C$87,MATCH(H202,Agentes!$B$80:$B$87,0)),"")))),"El ciclón no colecta la fracción inhalable","Coherente"))))</f>
        <v/>
      </c>
      <c r="Q202" s="22">
        <f>IF(Y202="","",IFERROR(INDEX(GES!$W$6:$W$35,MATCH(Y202,GES!$R$6:$R$35,0)),""))</f>
        <v/>
      </c>
      <c r="R202" s="29">
        <f>IF(AND(ISNUMBER(N202),ISNUMBER(Q202)),N202/Q202,"")</f>
        <v/>
      </c>
      <c r="S202" s="15">
        <f>IF(C202="","",IFERROR(INDEX(Agentes!$I$6:$I$60,MATCH(C202,Agentes!$A$6:$A$60,0)),""))</f>
        <v/>
      </c>
      <c r="T202" s="8" t="n"/>
      <c r="U202" s="15">
        <f>IF(ISNUMBER(N202),IF(N202&gt;0,LN(N202),""),"")</f>
        <v/>
      </c>
      <c r="V202" s="15">
        <f>IF(ISNUMBER(U202),IFERROR((U202-LN(IFERROR(INDEX(Estadística!$K$6:$K$35,MATCH(Y202,Estadística!$Y$6:$Y$35,0)),0)))^2,""),"")</f>
        <v/>
      </c>
      <c r="W202" s="15">
        <f>IF(ISNUMBER(N202),IFERROR((N202-IFERROR(INDEX(Estadística!$I$6:$I$35,MATCH(Y202,Estadística!$Y$6:$Y$35,0)),0))^2,""),"")</f>
        <v/>
      </c>
      <c r="X202" s="15">
        <f>IF(ISNUMBER(R202),IF(R202&gt;1,1,0),"")</f>
        <v/>
      </c>
      <c r="Y202" s="15">
        <f>IF(OR(B202="",C202=""),"",B202&amp;"|"&amp;C202)</f>
        <v/>
      </c>
    </row>
    <row r="203">
      <c r="A203" s="23" t="n">
        <v>198</v>
      </c>
      <c r="B203" s="8" t="n"/>
      <c r="C203" s="8" t="n"/>
      <c r="D203" s="9" t="n"/>
      <c r="E203" s="8" t="n"/>
      <c r="F203" s="8" t="n"/>
      <c r="G203" s="8" t="n"/>
      <c r="H203" s="8" t="n"/>
      <c r="I203" s="24" t="n"/>
      <c r="J203" s="8" t="n"/>
      <c r="K203" s="25">
        <f>IF(OR(I203="",J203=""),"",I203*J203/1000)</f>
        <v/>
      </c>
      <c r="L203" s="26" t="n"/>
      <c r="M203" s="26" t="n"/>
      <c r="N203" s="27">
        <f>IF(OR(B203="",C203=""),"",IF(M203&lt;&gt;"",M203,IF(AND(N(L203)&gt;0,N(K203)&gt;0),L203/K203,"")))</f>
        <v/>
      </c>
      <c r="O203" s="15">
        <f>IF(C203="","",IFERROR(INDEX(Agentes!$D$6:$D$60,MATCH(C203,Agentes!$A$6:$A$60,0)),""))</f>
        <v/>
      </c>
      <c r="P203" s="28">
        <f>IF(OR(H203="",O203=""),"",IF(AND(O203="Inhalable",LEFT(H203,6)="Casete"),"Subestima: el casete cerrado no colecta toda la fracción inhalable",IF(AND(O203="Respirable",LEFT(H203,6)&lt;&gt;"Ciclón"),"Requiere ciclón (fracción respirable)",IF(AND(O203="Inhalable",ISNUMBER(SEARCH("Respirable",IFERROR(INDEX(Agentes!$C$80:$C$87,MATCH(H203,Agentes!$B$80:$B$87,0)),"")))),"El ciclón no colecta la fracción inhalable","Coherente"))))</f>
        <v/>
      </c>
      <c r="Q203" s="22">
        <f>IF(Y203="","",IFERROR(INDEX(GES!$W$6:$W$35,MATCH(Y203,GES!$R$6:$R$35,0)),""))</f>
        <v/>
      </c>
      <c r="R203" s="29">
        <f>IF(AND(ISNUMBER(N203),ISNUMBER(Q203)),N203/Q203,"")</f>
        <v/>
      </c>
      <c r="S203" s="15">
        <f>IF(C203="","",IFERROR(INDEX(Agentes!$I$6:$I$60,MATCH(C203,Agentes!$A$6:$A$60,0)),""))</f>
        <v/>
      </c>
      <c r="T203" s="8" t="n"/>
      <c r="U203" s="15">
        <f>IF(ISNUMBER(N203),IF(N203&gt;0,LN(N203),""),"")</f>
        <v/>
      </c>
      <c r="V203" s="15">
        <f>IF(ISNUMBER(U203),IFERROR((U203-LN(IFERROR(INDEX(Estadística!$K$6:$K$35,MATCH(Y203,Estadística!$Y$6:$Y$35,0)),0)))^2,""),"")</f>
        <v/>
      </c>
      <c r="W203" s="15">
        <f>IF(ISNUMBER(N203),IFERROR((N203-IFERROR(INDEX(Estadística!$I$6:$I$35,MATCH(Y203,Estadística!$Y$6:$Y$35,0)),0))^2,""),"")</f>
        <v/>
      </c>
      <c r="X203" s="15">
        <f>IF(ISNUMBER(R203),IF(R203&gt;1,1,0),"")</f>
        <v/>
      </c>
      <c r="Y203" s="15">
        <f>IF(OR(B203="",C203=""),"",B203&amp;"|"&amp;C203)</f>
        <v/>
      </c>
    </row>
    <row r="204">
      <c r="A204" s="23" t="n">
        <v>199</v>
      </c>
      <c r="B204" s="8" t="n"/>
      <c r="C204" s="8" t="n"/>
      <c r="D204" s="9" t="n"/>
      <c r="E204" s="8" t="n"/>
      <c r="F204" s="8" t="n"/>
      <c r="G204" s="8" t="n"/>
      <c r="H204" s="8" t="n"/>
      <c r="I204" s="24" t="n"/>
      <c r="J204" s="8" t="n"/>
      <c r="K204" s="25">
        <f>IF(OR(I204="",J204=""),"",I204*J204/1000)</f>
        <v/>
      </c>
      <c r="L204" s="26" t="n"/>
      <c r="M204" s="26" t="n"/>
      <c r="N204" s="27">
        <f>IF(OR(B204="",C204=""),"",IF(M204&lt;&gt;"",M204,IF(AND(N(L204)&gt;0,N(K204)&gt;0),L204/K204,"")))</f>
        <v/>
      </c>
      <c r="O204" s="15">
        <f>IF(C204="","",IFERROR(INDEX(Agentes!$D$6:$D$60,MATCH(C204,Agentes!$A$6:$A$60,0)),""))</f>
        <v/>
      </c>
      <c r="P204" s="28">
        <f>IF(OR(H204="",O204=""),"",IF(AND(O204="Inhalable",LEFT(H204,6)="Casete"),"Subestima: el casete cerrado no colecta toda la fracción inhalable",IF(AND(O204="Respirable",LEFT(H204,6)&lt;&gt;"Ciclón"),"Requiere ciclón (fracción respirable)",IF(AND(O204="Inhalable",ISNUMBER(SEARCH("Respirable",IFERROR(INDEX(Agentes!$C$80:$C$87,MATCH(H204,Agentes!$B$80:$B$87,0)),"")))),"El ciclón no colecta la fracción inhalable","Coherente"))))</f>
        <v/>
      </c>
      <c r="Q204" s="22">
        <f>IF(Y204="","",IFERROR(INDEX(GES!$W$6:$W$35,MATCH(Y204,GES!$R$6:$R$35,0)),""))</f>
        <v/>
      </c>
      <c r="R204" s="29">
        <f>IF(AND(ISNUMBER(N204),ISNUMBER(Q204)),N204/Q204,"")</f>
        <v/>
      </c>
      <c r="S204" s="15">
        <f>IF(C204="","",IFERROR(INDEX(Agentes!$I$6:$I$60,MATCH(C204,Agentes!$A$6:$A$60,0)),""))</f>
        <v/>
      </c>
      <c r="T204" s="8" t="n"/>
      <c r="U204" s="15">
        <f>IF(ISNUMBER(N204),IF(N204&gt;0,LN(N204),""),"")</f>
        <v/>
      </c>
      <c r="V204" s="15">
        <f>IF(ISNUMBER(U204),IFERROR((U204-LN(IFERROR(INDEX(Estadística!$K$6:$K$35,MATCH(Y204,Estadística!$Y$6:$Y$35,0)),0)))^2,""),"")</f>
        <v/>
      </c>
      <c r="W204" s="15">
        <f>IF(ISNUMBER(N204),IFERROR((N204-IFERROR(INDEX(Estadística!$I$6:$I$35,MATCH(Y204,Estadística!$Y$6:$Y$35,0)),0))^2,""),"")</f>
        <v/>
      </c>
      <c r="X204" s="15">
        <f>IF(ISNUMBER(R204),IF(R204&gt;1,1,0),"")</f>
        <v/>
      </c>
      <c r="Y204" s="15">
        <f>IF(OR(B204="",C204=""),"",B204&amp;"|"&amp;C204)</f>
        <v/>
      </c>
    </row>
    <row r="205">
      <c r="A205" s="23" t="n">
        <v>200</v>
      </c>
      <c r="B205" s="8" t="n"/>
      <c r="C205" s="8" t="n"/>
      <c r="D205" s="9" t="n"/>
      <c r="E205" s="8" t="n"/>
      <c r="F205" s="8" t="n"/>
      <c r="G205" s="8" t="n"/>
      <c r="H205" s="8" t="n"/>
      <c r="I205" s="24" t="n"/>
      <c r="J205" s="8" t="n"/>
      <c r="K205" s="25">
        <f>IF(OR(I205="",J205=""),"",I205*J205/1000)</f>
        <v/>
      </c>
      <c r="L205" s="26" t="n"/>
      <c r="M205" s="26" t="n"/>
      <c r="N205" s="27">
        <f>IF(OR(B205="",C205=""),"",IF(M205&lt;&gt;"",M205,IF(AND(N(L205)&gt;0,N(K205)&gt;0),L205/K205,"")))</f>
        <v/>
      </c>
      <c r="O205" s="15">
        <f>IF(C205="","",IFERROR(INDEX(Agentes!$D$6:$D$60,MATCH(C205,Agentes!$A$6:$A$60,0)),""))</f>
        <v/>
      </c>
      <c r="P205" s="28">
        <f>IF(OR(H205="",O205=""),"",IF(AND(O205="Inhalable",LEFT(H205,6)="Casete"),"Subestima: el casete cerrado no colecta toda la fracción inhalable",IF(AND(O205="Respirable",LEFT(H205,6)&lt;&gt;"Ciclón"),"Requiere ciclón (fracción respirable)",IF(AND(O205="Inhalable",ISNUMBER(SEARCH("Respirable",IFERROR(INDEX(Agentes!$C$80:$C$87,MATCH(H205,Agentes!$B$80:$B$87,0)),"")))),"El ciclón no colecta la fracción inhalable","Coherente"))))</f>
        <v/>
      </c>
      <c r="Q205" s="22">
        <f>IF(Y205="","",IFERROR(INDEX(GES!$W$6:$W$35,MATCH(Y205,GES!$R$6:$R$35,0)),""))</f>
        <v/>
      </c>
      <c r="R205" s="29">
        <f>IF(AND(ISNUMBER(N205),ISNUMBER(Q205)),N205/Q205,"")</f>
        <v/>
      </c>
      <c r="S205" s="15">
        <f>IF(C205="","",IFERROR(INDEX(Agentes!$I$6:$I$60,MATCH(C205,Agentes!$A$6:$A$60,0)),""))</f>
        <v/>
      </c>
      <c r="T205" s="8" t="n"/>
      <c r="U205" s="15">
        <f>IF(ISNUMBER(N205),IF(N205&gt;0,LN(N205),""),"")</f>
        <v/>
      </c>
      <c r="V205" s="15">
        <f>IF(ISNUMBER(U205),IFERROR((U205-LN(IFERROR(INDEX(Estadística!$K$6:$K$35,MATCH(Y205,Estadística!$Y$6:$Y$35,0)),0)))^2,""),"")</f>
        <v/>
      </c>
      <c r="W205" s="15">
        <f>IF(ISNUMBER(N205),IFERROR((N205-IFERROR(INDEX(Estadística!$I$6:$I$35,MATCH(Y205,Estadística!$Y$6:$Y$35,0)),0))^2,""),"")</f>
        <v/>
      </c>
      <c r="X205" s="15">
        <f>IF(ISNUMBER(R205),IF(R205&gt;1,1,0),"")</f>
        <v/>
      </c>
      <c r="Y205" s="15">
        <f>IF(OR(B205="",C205=""),"",B205&amp;"|"&amp;C205)</f>
        <v/>
      </c>
    </row>
    <row r="206">
      <c r="A206" s="23" t="n">
        <v>201</v>
      </c>
      <c r="B206" s="8" t="n"/>
      <c r="C206" s="8" t="n"/>
      <c r="D206" s="9" t="n"/>
      <c r="E206" s="8" t="n"/>
      <c r="F206" s="8" t="n"/>
      <c r="G206" s="8" t="n"/>
      <c r="H206" s="8" t="n"/>
      <c r="I206" s="24" t="n"/>
      <c r="J206" s="8" t="n"/>
      <c r="K206" s="25">
        <f>IF(OR(I206="",J206=""),"",I206*J206/1000)</f>
        <v/>
      </c>
      <c r="L206" s="26" t="n"/>
      <c r="M206" s="26" t="n"/>
      <c r="N206" s="27">
        <f>IF(OR(B206="",C206=""),"",IF(M206&lt;&gt;"",M206,IF(AND(N(L206)&gt;0,N(K206)&gt;0),L206/K206,"")))</f>
        <v/>
      </c>
      <c r="O206" s="15">
        <f>IF(C206="","",IFERROR(INDEX(Agentes!$D$6:$D$60,MATCH(C206,Agentes!$A$6:$A$60,0)),""))</f>
        <v/>
      </c>
      <c r="P206" s="28">
        <f>IF(OR(H206="",O206=""),"",IF(AND(O206="Inhalable",LEFT(H206,6)="Casete"),"Subestima: el casete cerrado no colecta toda la fracción inhalable",IF(AND(O206="Respirable",LEFT(H206,6)&lt;&gt;"Ciclón"),"Requiere ciclón (fracción respirable)",IF(AND(O206="Inhalable",ISNUMBER(SEARCH("Respirable",IFERROR(INDEX(Agentes!$C$80:$C$87,MATCH(H206,Agentes!$B$80:$B$87,0)),"")))),"El ciclón no colecta la fracción inhalable","Coherente"))))</f>
        <v/>
      </c>
      <c r="Q206" s="22">
        <f>IF(Y206="","",IFERROR(INDEX(GES!$W$6:$W$35,MATCH(Y206,GES!$R$6:$R$35,0)),""))</f>
        <v/>
      </c>
      <c r="R206" s="29">
        <f>IF(AND(ISNUMBER(N206),ISNUMBER(Q206)),N206/Q206,"")</f>
        <v/>
      </c>
      <c r="S206" s="15">
        <f>IF(C206="","",IFERROR(INDEX(Agentes!$I$6:$I$60,MATCH(C206,Agentes!$A$6:$A$60,0)),""))</f>
        <v/>
      </c>
      <c r="T206" s="8" t="n"/>
      <c r="U206" s="15">
        <f>IF(ISNUMBER(N206),IF(N206&gt;0,LN(N206),""),"")</f>
        <v/>
      </c>
      <c r="V206" s="15">
        <f>IF(ISNUMBER(U206),IFERROR((U206-LN(IFERROR(INDEX(Estadística!$K$6:$K$35,MATCH(Y206,Estadística!$Y$6:$Y$35,0)),0)))^2,""),"")</f>
        <v/>
      </c>
      <c r="W206" s="15">
        <f>IF(ISNUMBER(N206),IFERROR((N206-IFERROR(INDEX(Estadística!$I$6:$I$35,MATCH(Y206,Estadística!$Y$6:$Y$35,0)),0))^2,""),"")</f>
        <v/>
      </c>
      <c r="X206" s="15">
        <f>IF(ISNUMBER(R206),IF(R206&gt;1,1,0),"")</f>
        <v/>
      </c>
      <c r="Y206" s="15">
        <f>IF(OR(B206="",C206=""),"",B206&amp;"|"&amp;C206)</f>
        <v/>
      </c>
    </row>
    <row r="207">
      <c r="A207" s="23" t="n">
        <v>202</v>
      </c>
      <c r="B207" s="8" t="n"/>
      <c r="C207" s="8" t="n"/>
      <c r="D207" s="9" t="n"/>
      <c r="E207" s="8" t="n"/>
      <c r="F207" s="8" t="n"/>
      <c r="G207" s="8" t="n"/>
      <c r="H207" s="8" t="n"/>
      <c r="I207" s="24" t="n"/>
      <c r="J207" s="8" t="n"/>
      <c r="K207" s="25">
        <f>IF(OR(I207="",J207=""),"",I207*J207/1000)</f>
        <v/>
      </c>
      <c r="L207" s="26" t="n"/>
      <c r="M207" s="26" t="n"/>
      <c r="N207" s="27">
        <f>IF(OR(B207="",C207=""),"",IF(M207&lt;&gt;"",M207,IF(AND(N(L207)&gt;0,N(K207)&gt;0),L207/K207,"")))</f>
        <v/>
      </c>
      <c r="O207" s="15">
        <f>IF(C207="","",IFERROR(INDEX(Agentes!$D$6:$D$60,MATCH(C207,Agentes!$A$6:$A$60,0)),""))</f>
        <v/>
      </c>
      <c r="P207" s="28">
        <f>IF(OR(H207="",O207=""),"",IF(AND(O207="Inhalable",LEFT(H207,6)="Casete"),"Subestima: el casete cerrado no colecta toda la fracción inhalable",IF(AND(O207="Respirable",LEFT(H207,6)&lt;&gt;"Ciclón"),"Requiere ciclón (fracción respirable)",IF(AND(O207="Inhalable",ISNUMBER(SEARCH("Respirable",IFERROR(INDEX(Agentes!$C$80:$C$87,MATCH(H207,Agentes!$B$80:$B$87,0)),"")))),"El ciclón no colecta la fracción inhalable","Coherente"))))</f>
        <v/>
      </c>
      <c r="Q207" s="22">
        <f>IF(Y207="","",IFERROR(INDEX(GES!$W$6:$W$35,MATCH(Y207,GES!$R$6:$R$35,0)),""))</f>
        <v/>
      </c>
      <c r="R207" s="29">
        <f>IF(AND(ISNUMBER(N207),ISNUMBER(Q207)),N207/Q207,"")</f>
        <v/>
      </c>
      <c r="S207" s="15">
        <f>IF(C207="","",IFERROR(INDEX(Agentes!$I$6:$I$60,MATCH(C207,Agentes!$A$6:$A$60,0)),""))</f>
        <v/>
      </c>
      <c r="T207" s="8" t="n"/>
      <c r="U207" s="15">
        <f>IF(ISNUMBER(N207),IF(N207&gt;0,LN(N207),""),"")</f>
        <v/>
      </c>
      <c r="V207" s="15">
        <f>IF(ISNUMBER(U207),IFERROR((U207-LN(IFERROR(INDEX(Estadística!$K$6:$K$35,MATCH(Y207,Estadística!$Y$6:$Y$35,0)),0)))^2,""),"")</f>
        <v/>
      </c>
      <c r="W207" s="15">
        <f>IF(ISNUMBER(N207),IFERROR((N207-IFERROR(INDEX(Estadística!$I$6:$I$35,MATCH(Y207,Estadística!$Y$6:$Y$35,0)),0))^2,""),"")</f>
        <v/>
      </c>
      <c r="X207" s="15">
        <f>IF(ISNUMBER(R207),IF(R207&gt;1,1,0),"")</f>
        <v/>
      </c>
      <c r="Y207" s="15">
        <f>IF(OR(B207="",C207=""),"",B207&amp;"|"&amp;C207)</f>
        <v/>
      </c>
    </row>
    <row r="208">
      <c r="A208" s="23" t="n">
        <v>203</v>
      </c>
      <c r="B208" s="8" t="n"/>
      <c r="C208" s="8" t="n"/>
      <c r="D208" s="9" t="n"/>
      <c r="E208" s="8" t="n"/>
      <c r="F208" s="8" t="n"/>
      <c r="G208" s="8" t="n"/>
      <c r="H208" s="8" t="n"/>
      <c r="I208" s="24" t="n"/>
      <c r="J208" s="8" t="n"/>
      <c r="K208" s="25">
        <f>IF(OR(I208="",J208=""),"",I208*J208/1000)</f>
        <v/>
      </c>
      <c r="L208" s="26" t="n"/>
      <c r="M208" s="26" t="n"/>
      <c r="N208" s="27">
        <f>IF(OR(B208="",C208=""),"",IF(M208&lt;&gt;"",M208,IF(AND(N(L208)&gt;0,N(K208)&gt;0),L208/K208,"")))</f>
        <v/>
      </c>
      <c r="O208" s="15">
        <f>IF(C208="","",IFERROR(INDEX(Agentes!$D$6:$D$60,MATCH(C208,Agentes!$A$6:$A$60,0)),""))</f>
        <v/>
      </c>
      <c r="P208" s="28">
        <f>IF(OR(H208="",O208=""),"",IF(AND(O208="Inhalable",LEFT(H208,6)="Casete"),"Subestima: el casete cerrado no colecta toda la fracción inhalable",IF(AND(O208="Respirable",LEFT(H208,6)&lt;&gt;"Ciclón"),"Requiere ciclón (fracción respirable)",IF(AND(O208="Inhalable",ISNUMBER(SEARCH("Respirable",IFERROR(INDEX(Agentes!$C$80:$C$87,MATCH(H208,Agentes!$B$80:$B$87,0)),"")))),"El ciclón no colecta la fracción inhalable","Coherente"))))</f>
        <v/>
      </c>
      <c r="Q208" s="22">
        <f>IF(Y208="","",IFERROR(INDEX(GES!$W$6:$W$35,MATCH(Y208,GES!$R$6:$R$35,0)),""))</f>
        <v/>
      </c>
      <c r="R208" s="29">
        <f>IF(AND(ISNUMBER(N208),ISNUMBER(Q208)),N208/Q208,"")</f>
        <v/>
      </c>
      <c r="S208" s="15">
        <f>IF(C208="","",IFERROR(INDEX(Agentes!$I$6:$I$60,MATCH(C208,Agentes!$A$6:$A$60,0)),""))</f>
        <v/>
      </c>
      <c r="T208" s="8" t="n"/>
      <c r="U208" s="15">
        <f>IF(ISNUMBER(N208),IF(N208&gt;0,LN(N208),""),"")</f>
        <v/>
      </c>
      <c r="V208" s="15">
        <f>IF(ISNUMBER(U208),IFERROR((U208-LN(IFERROR(INDEX(Estadística!$K$6:$K$35,MATCH(Y208,Estadística!$Y$6:$Y$35,0)),0)))^2,""),"")</f>
        <v/>
      </c>
      <c r="W208" s="15">
        <f>IF(ISNUMBER(N208),IFERROR((N208-IFERROR(INDEX(Estadística!$I$6:$I$35,MATCH(Y208,Estadística!$Y$6:$Y$35,0)),0))^2,""),"")</f>
        <v/>
      </c>
      <c r="X208" s="15">
        <f>IF(ISNUMBER(R208),IF(R208&gt;1,1,0),"")</f>
        <v/>
      </c>
      <c r="Y208" s="15">
        <f>IF(OR(B208="",C208=""),"",B208&amp;"|"&amp;C208)</f>
        <v/>
      </c>
    </row>
    <row r="209">
      <c r="A209" s="23" t="n">
        <v>204</v>
      </c>
      <c r="B209" s="8" t="n"/>
      <c r="C209" s="8" t="n"/>
      <c r="D209" s="9" t="n"/>
      <c r="E209" s="8" t="n"/>
      <c r="F209" s="8" t="n"/>
      <c r="G209" s="8" t="n"/>
      <c r="H209" s="8" t="n"/>
      <c r="I209" s="24" t="n"/>
      <c r="J209" s="8" t="n"/>
      <c r="K209" s="25">
        <f>IF(OR(I209="",J209=""),"",I209*J209/1000)</f>
        <v/>
      </c>
      <c r="L209" s="26" t="n"/>
      <c r="M209" s="26" t="n"/>
      <c r="N209" s="27">
        <f>IF(OR(B209="",C209=""),"",IF(M209&lt;&gt;"",M209,IF(AND(N(L209)&gt;0,N(K209)&gt;0),L209/K209,"")))</f>
        <v/>
      </c>
      <c r="O209" s="15">
        <f>IF(C209="","",IFERROR(INDEX(Agentes!$D$6:$D$60,MATCH(C209,Agentes!$A$6:$A$60,0)),""))</f>
        <v/>
      </c>
      <c r="P209" s="28">
        <f>IF(OR(H209="",O209=""),"",IF(AND(O209="Inhalable",LEFT(H209,6)="Casete"),"Subestima: el casete cerrado no colecta toda la fracción inhalable",IF(AND(O209="Respirable",LEFT(H209,6)&lt;&gt;"Ciclón"),"Requiere ciclón (fracción respirable)",IF(AND(O209="Inhalable",ISNUMBER(SEARCH("Respirable",IFERROR(INDEX(Agentes!$C$80:$C$87,MATCH(H209,Agentes!$B$80:$B$87,0)),"")))),"El ciclón no colecta la fracción inhalable","Coherente"))))</f>
        <v/>
      </c>
      <c r="Q209" s="22">
        <f>IF(Y209="","",IFERROR(INDEX(GES!$W$6:$W$35,MATCH(Y209,GES!$R$6:$R$35,0)),""))</f>
        <v/>
      </c>
      <c r="R209" s="29">
        <f>IF(AND(ISNUMBER(N209),ISNUMBER(Q209)),N209/Q209,"")</f>
        <v/>
      </c>
      <c r="S209" s="15">
        <f>IF(C209="","",IFERROR(INDEX(Agentes!$I$6:$I$60,MATCH(C209,Agentes!$A$6:$A$60,0)),""))</f>
        <v/>
      </c>
      <c r="T209" s="8" t="n"/>
      <c r="U209" s="15">
        <f>IF(ISNUMBER(N209),IF(N209&gt;0,LN(N209),""),"")</f>
        <v/>
      </c>
      <c r="V209" s="15">
        <f>IF(ISNUMBER(U209),IFERROR((U209-LN(IFERROR(INDEX(Estadística!$K$6:$K$35,MATCH(Y209,Estadística!$Y$6:$Y$35,0)),0)))^2,""),"")</f>
        <v/>
      </c>
      <c r="W209" s="15">
        <f>IF(ISNUMBER(N209),IFERROR((N209-IFERROR(INDEX(Estadística!$I$6:$I$35,MATCH(Y209,Estadística!$Y$6:$Y$35,0)),0))^2,""),"")</f>
        <v/>
      </c>
      <c r="X209" s="15">
        <f>IF(ISNUMBER(R209),IF(R209&gt;1,1,0),"")</f>
        <v/>
      </c>
      <c r="Y209" s="15">
        <f>IF(OR(B209="",C209=""),"",B209&amp;"|"&amp;C209)</f>
        <v/>
      </c>
    </row>
    <row r="210">
      <c r="A210" s="23" t="n">
        <v>205</v>
      </c>
      <c r="B210" s="8" t="n"/>
      <c r="C210" s="8" t="n"/>
      <c r="D210" s="9" t="n"/>
      <c r="E210" s="8" t="n"/>
      <c r="F210" s="8" t="n"/>
      <c r="G210" s="8" t="n"/>
      <c r="H210" s="8" t="n"/>
      <c r="I210" s="24" t="n"/>
      <c r="J210" s="8" t="n"/>
      <c r="K210" s="25">
        <f>IF(OR(I210="",J210=""),"",I210*J210/1000)</f>
        <v/>
      </c>
      <c r="L210" s="26" t="n"/>
      <c r="M210" s="26" t="n"/>
      <c r="N210" s="27">
        <f>IF(OR(B210="",C210=""),"",IF(M210&lt;&gt;"",M210,IF(AND(N(L210)&gt;0,N(K210)&gt;0),L210/K210,"")))</f>
        <v/>
      </c>
      <c r="O210" s="15">
        <f>IF(C210="","",IFERROR(INDEX(Agentes!$D$6:$D$60,MATCH(C210,Agentes!$A$6:$A$60,0)),""))</f>
        <v/>
      </c>
      <c r="P210" s="28">
        <f>IF(OR(H210="",O210=""),"",IF(AND(O210="Inhalable",LEFT(H210,6)="Casete"),"Subestima: el casete cerrado no colecta toda la fracción inhalable",IF(AND(O210="Respirable",LEFT(H210,6)&lt;&gt;"Ciclón"),"Requiere ciclón (fracción respirable)",IF(AND(O210="Inhalable",ISNUMBER(SEARCH("Respirable",IFERROR(INDEX(Agentes!$C$80:$C$87,MATCH(H210,Agentes!$B$80:$B$87,0)),"")))),"El ciclón no colecta la fracción inhalable","Coherente"))))</f>
        <v/>
      </c>
      <c r="Q210" s="22">
        <f>IF(Y210="","",IFERROR(INDEX(GES!$W$6:$W$35,MATCH(Y210,GES!$R$6:$R$35,0)),""))</f>
        <v/>
      </c>
      <c r="R210" s="29">
        <f>IF(AND(ISNUMBER(N210),ISNUMBER(Q210)),N210/Q210,"")</f>
        <v/>
      </c>
      <c r="S210" s="15">
        <f>IF(C210="","",IFERROR(INDEX(Agentes!$I$6:$I$60,MATCH(C210,Agentes!$A$6:$A$60,0)),""))</f>
        <v/>
      </c>
      <c r="T210" s="8" t="n"/>
      <c r="U210" s="15">
        <f>IF(ISNUMBER(N210),IF(N210&gt;0,LN(N210),""),"")</f>
        <v/>
      </c>
      <c r="V210" s="15">
        <f>IF(ISNUMBER(U210),IFERROR((U210-LN(IFERROR(INDEX(Estadística!$K$6:$K$35,MATCH(Y210,Estadística!$Y$6:$Y$35,0)),0)))^2,""),"")</f>
        <v/>
      </c>
      <c r="W210" s="15">
        <f>IF(ISNUMBER(N210),IFERROR((N210-IFERROR(INDEX(Estadística!$I$6:$I$35,MATCH(Y210,Estadística!$Y$6:$Y$35,0)),0))^2,""),"")</f>
        <v/>
      </c>
      <c r="X210" s="15">
        <f>IF(ISNUMBER(R210),IF(R210&gt;1,1,0),"")</f>
        <v/>
      </c>
      <c r="Y210" s="15">
        <f>IF(OR(B210="",C210=""),"",B210&amp;"|"&amp;C210)</f>
        <v/>
      </c>
    </row>
    <row r="211">
      <c r="A211" s="23" t="n">
        <v>206</v>
      </c>
      <c r="B211" s="8" t="n"/>
      <c r="C211" s="8" t="n"/>
      <c r="D211" s="9" t="n"/>
      <c r="E211" s="8" t="n"/>
      <c r="F211" s="8" t="n"/>
      <c r="G211" s="8" t="n"/>
      <c r="H211" s="8" t="n"/>
      <c r="I211" s="24" t="n"/>
      <c r="J211" s="8" t="n"/>
      <c r="K211" s="25">
        <f>IF(OR(I211="",J211=""),"",I211*J211/1000)</f>
        <v/>
      </c>
      <c r="L211" s="26" t="n"/>
      <c r="M211" s="26" t="n"/>
      <c r="N211" s="27">
        <f>IF(OR(B211="",C211=""),"",IF(M211&lt;&gt;"",M211,IF(AND(N(L211)&gt;0,N(K211)&gt;0),L211/K211,"")))</f>
        <v/>
      </c>
      <c r="O211" s="15">
        <f>IF(C211="","",IFERROR(INDEX(Agentes!$D$6:$D$60,MATCH(C211,Agentes!$A$6:$A$60,0)),""))</f>
        <v/>
      </c>
      <c r="P211" s="28">
        <f>IF(OR(H211="",O211=""),"",IF(AND(O211="Inhalable",LEFT(H211,6)="Casete"),"Subestima: el casete cerrado no colecta toda la fracción inhalable",IF(AND(O211="Respirable",LEFT(H211,6)&lt;&gt;"Ciclón"),"Requiere ciclón (fracción respirable)",IF(AND(O211="Inhalable",ISNUMBER(SEARCH("Respirable",IFERROR(INDEX(Agentes!$C$80:$C$87,MATCH(H211,Agentes!$B$80:$B$87,0)),"")))),"El ciclón no colecta la fracción inhalable","Coherente"))))</f>
        <v/>
      </c>
      <c r="Q211" s="22">
        <f>IF(Y211="","",IFERROR(INDEX(GES!$W$6:$W$35,MATCH(Y211,GES!$R$6:$R$35,0)),""))</f>
        <v/>
      </c>
      <c r="R211" s="29">
        <f>IF(AND(ISNUMBER(N211),ISNUMBER(Q211)),N211/Q211,"")</f>
        <v/>
      </c>
      <c r="S211" s="15">
        <f>IF(C211="","",IFERROR(INDEX(Agentes!$I$6:$I$60,MATCH(C211,Agentes!$A$6:$A$60,0)),""))</f>
        <v/>
      </c>
      <c r="T211" s="8" t="n"/>
      <c r="U211" s="15">
        <f>IF(ISNUMBER(N211),IF(N211&gt;0,LN(N211),""),"")</f>
        <v/>
      </c>
      <c r="V211" s="15">
        <f>IF(ISNUMBER(U211),IFERROR((U211-LN(IFERROR(INDEX(Estadística!$K$6:$K$35,MATCH(Y211,Estadística!$Y$6:$Y$35,0)),0)))^2,""),"")</f>
        <v/>
      </c>
      <c r="W211" s="15">
        <f>IF(ISNUMBER(N211),IFERROR((N211-IFERROR(INDEX(Estadística!$I$6:$I$35,MATCH(Y211,Estadística!$Y$6:$Y$35,0)),0))^2,""),"")</f>
        <v/>
      </c>
      <c r="X211" s="15">
        <f>IF(ISNUMBER(R211),IF(R211&gt;1,1,0),"")</f>
        <v/>
      </c>
      <c r="Y211" s="15">
        <f>IF(OR(B211="",C211=""),"",B211&amp;"|"&amp;C211)</f>
        <v/>
      </c>
    </row>
    <row r="212">
      <c r="A212" s="23" t="n">
        <v>207</v>
      </c>
      <c r="B212" s="8" t="n"/>
      <c r="C212" s="8" t="n"/>
      <c r="D212" s="9" t="n"/>
      <c r="E212" s="8" t="n"/>
      <c r="F212" s="8" t="n"/>
      <c r="G212" s="8" t="n"/>
      <c r="H212" s="8" t="n"/>
      <c r="I212" s="24" t="n"/>
      <c r="J212" s="8" t="n"/>
      <c r="K212" s="25">
        <f>IF(OR(I212="",J212=""),"",I212*J212/1000)</f>
        <v/>
      </c>
      <c r="L212" s="26" t="n"/>
      <c r="M212" s="26" t="n"/>
      <c r="N212" s="27">
        <f>IF(OR(B212="",C212=""),"",IF(M212&lt;&gt;"",M212,IF(AND(N(L212)&gt;0,N(K212)&gt;0),L212/K212,"")))</f>
        <v/>
      </c>
      <c r="O212" s="15">
        <f>IF(C212="","",IFERROR(INDEX(Agentes!$D$6:$D$60,MATCH(C212,Agentes!$A$6:$A$60,0)),""))</f>
        <v/>
      </c>
      <c r="P212" s="28">
        <f>IF(OR(H212="",O212=""),"",IF(AND(O212="Inhalable",LEFT(H212,6)="Casete"),"Subestima: el casete cerrado no colecta toda la fracción inhalable",IF(AND(O212="Respirable",LEFT(H212,6)&lt;&gt;"Ciclón"),"Requiere ciclón (fracción respirable)",IF(AND(O212="Inhalable",ISNUMBER(SEARCH("Respirable",IFERROR(INDEX(Agentes!$C$80:$C$87,MATCH(H212,Agentes!$B$80:$B$87,0)),"")))),"El ciclón no colecta la fracción inhalable","Coherente"))))</f>
        <v/>
      </c>
      <c r="Q212" s="22">
        <f>IF(Y212="","",IFERROR(INDEX(GES!$W$6:$W$35,MATCH(Y212,GES!$R$6:$R$35,0)),""))</f>
        <v/>
      </c>
      <c r="R212" s="29">
        <f>IF(AND(ISNUMBER(N212),ISNUMBER(Q212)),N212/Q212,"")</f>
        <v/>
      </c>
      <c r="S212" s="15">
        <f>IF(C212="","",IFERROR(INDEX(Agentes!$I$6:$I$60,MATCH(C212,Agentes!$A$6:$A$60,0)),""))</f>
        <v/>
      </c>
      <c r="T212" s="8" t="n"/>
      <c r="U212" s="15">
        <f>IF(ISNUMBER(N212),IF(N212&gt;0,LN(N212),""),"")</f>
        <v/>
      </c>
      <c r="V212" s="15">
        <f>IF(ISNUMBER(U212),IFERROR((U212-LN(IFERROR(INDEX(Estadística!$K$6:$K$35,MATCH(Y212,Estadística!$Y$6:$Y$35,0)),0)))^2,""),"")</f>
        <v/>
      </c>
      <c r="W212" s="15">
        <f>IF(ISNUMBER(N212),IFERROR((N212-IFERROR(INDEX(Estadística!$I$6:$I$35,MATCH(Y212,Estadística!$Y$6:$Y$35,0)),0))^2,""),"")</f>
        <v/>
      </c>
      <c r="X212" s="15">
        <f>IF(ISNUMBER(R212),IF(R212&gt;1,1,0),"")</f>
        <v/>
      </c>
      <c r="Y212" s="15">
        <f>IF(OR(B212="",C212=""),"",B212&amp;"|"&amp;C212)</f>
        <v/>
      </c>
    </row>
    <row r="213">
      <c r="A213" s="23" t="n">
        <v>208</v>
      </c>
      <c r="B213" s="8" t="n"/>
      <c r="C213" s="8" t="n"/>
      <c r="D213" s="9" t="n"/>
      <c r="E213" s="8" t="n"/>
      <c r="F213" s="8" t="n"/>
      <c r="G213" s="8" t="n"/>
      <c r="H213" s="8" t="n"/>
      <c r="I213" s="24" t="n"/>
      <c r="J213" s="8" t="n"/>
      <c r="K213" s="25">
        <f>IF(OR(I213="",J213=""),"",I213*J213/1000)</f>
        <v/>
      </c>
      <c r="L213" s="26" t="n"/>
      <c r="M213" s="26" t="n"/>
      <c r="N213" s="27">
        <f>IF(OR(B213="",C213=""),"",IF(M213&lt;&gt;"",M213,IF(AND(N(L213)&gt;0,N(K213)&gt;0),L213/K213,"")))</f>
        <v/>
      </c>
      <c r="O213" s="15">
        <f>IF(C213="","",IFERROR(INDEX(Agentes!$D$6:$D$60,MATCH(C213,Agentes!$A$6:$A$60,0)),""))</f>
        <v/>
      </c>
      <c r="P213" s="28">
        <f>IF(OR(H213="",O213=""),"",IF(AND(O213="Inhalable",LEFT(H213,6)="Casete"),"Subestima: el casete cerrado no colecta toda la fracción inhalable",IF(AND(O213="Respirable",LEFT(H213,6)&lt;&gt;"Ciclón"),"Requiere ciclón (fracción respirable)",IF(AND(O213="Inhalable",ISNUMBER(SEARCH("Respirable",IFERROR(INDEX(Agentes!$C$80:$C$87,MATCH(H213,Agentes!$B$80:$B$87,0)),"")))),"El ciclón no colecta la fracción inhalable","Coherente"))))</f>
        <v/>
      </c>
      <c r="Q213" s="22">
        <f>IF(Y213="","",IFERROR(INDEX(GES!$W$6:$W$35,MATCH(Y213,GES!$R$6:$R$35,0)),""))</f>
        <v/>
      </c>
      <c r="R213" s="29">
        <f>IF(AND(ISNUMBER(N213),ISNUMBER(Q213)),N213/Q213,"")</f>
        <v/>
      </c>
      <c r="S213" s="15">
        <f>IF(C213="","",IFERROR(INDEX(Agentes!$I$6:$I$60,MATCH(C213,Agentes!$A$6:$A$60,0)),""))</f>
        <v/>
      </c>
      <c r="T213" s="8" t="n"/>
      <c r="U213" s="15">
        <f>IF(ISNUMBER(N213),IF(N213&gt;0,LN(N213),""),"")</f>
        <v/>
      </c>
      <c r="V213" s="15">
        <f>IF(ISNUMBER(U213),IFERROR((U213-LN(IFERROR(INDEX(Estadística!$K$6:$K$35,MATCH(Y213,Estadística!$Y$6:$Y$35,0)),0)))^2,""),"")</f>
        <v/>
      </c>
      <c r="W213" s="15">
        <f>IF(ISNUMBER(N213),IFERROR((N213-IFERROR(INDEX(Estadística!$I$6:$I$35,MATCH(Y213,Estadística!$Y$6:$Y$35,0)),0))^2,""),"")</f>
        <v/>
      </c>
      <c r="X213" s="15">
        <f>IF(ISNUMBER(R213),IF(R213&gt;1,1,0),"")</f>
        <v/>
      </c>
      <c r="Y213" s="15">
        <f>IF(OR(B213="",C213=""),"",B213&amp;"|"&amp;C213)</f>
        <v/>
      </c>
    </row>
    <row r="214">
      <c r="A214" s="23" t="n">
        <v>209</v>
      </c>
      <c r="B214" s="8" t="n"/>
      <c r="C214" s="8" t="n"/>
      <c r="D214" s="9" t="n"/>
      <c r="E214" s="8" t="n"/>
      <c r="F214" s="8" t="n"/>
      <c r="G214" s="8" t="n"/>
      <c r="H214" s="8" t="n"/>
      <c r="I214" s="24" t="n"/>
      <c r="J214" s="8" t="n"/>
      <c r="K214" s="25">
        <f>IF(OR(I214="",J214=""),"",I214*J214/1000)</f>
        <v/>
      </c>
      <c r="L214" s="26" t="n"/>
      <c r="M214" s="26" t="n"/>
      <c r="N214" s="27">
        <f>IF(OR(B214="",C214=""),"",IF(M214&lt;&gt;"",M214,IF(AND(N(L214)&gt;0,N(K214)&gt;0),L214/K214,"")))</f>
        <v/>
      </c>
      <c r="O214" s="15">
        <f>IF(C214="","",IFERROR(INDEX(Agentes!$D$6:$D$60,MATCH(C214,Agentes!$A$6:$A$60,0)),""))</f>
        <v/>
      </c>
      <c r="P214" s="28">
        <f>IF(OR(H214="",O214=""),"",IF(AND(O214="Inhalable",LEFT(H214,6)="Casete"),"Subestima: el casete cerrado no colecta toda la fracción inhalable",IF(AND(O214="Respirable",LEFT(H214,6)&lt;&gt;"Ciclón"),"Requiere ciclón (fracción respirable)",IF(AND(O214="Inhalable",ISNUMBER(SEARCH("Respirable",IFERROR(INDEX(Agentes!$C$80:$C$87,MATCH(H214,Agentes!$B$80:$B$87,0)),"")))),"El ciclón no colecta la fracción inhalable","Coherente"))))</f>
        <v/>
      </c>
      <c r="Q214" s="22">
        <f>IF(Y214="","",IFERROR(INDEX(GES!$W$6:$W$35,MATCH(Y214,GES!$R$6:$R$35,0)),""))</f>
        <v/>
      </c>
      <c r="R214" s="29">
        <f>IF(AND(ISNUMBER(N214),ISNUMBER(Q214)),N214/Q214,"")</f>
        <v/>
      </c>
      <c r="S214" s="15">
        <f>IF(C214="","",IFERROR(INDEX(Agentes!$I$6:$I$60,MATCH(C214,Agentes!$A$6:$A$60,0)),""))</f>
        <v/>
      </c>
      <c r="T214" s="8" t="n"/>
      <c r="U214" s="15">
        <f>IF(ISNUMBER(N214),IF(N214&gt;0,LN(N214),""),"")</f>
        <v/>
      </c>
      <c r="V214" s="15">
        <f>IF(ISNUMBER(U214),IFERROR((U214-LN(IFERROR(INDEX(Estadística!$K$6:$K$35,MATCH(Y214,Estadística!$Y$6:$Y$35,0)),0)))^2,""),"")</f>
        <v/>
      </c>
      <c r="W214" s="15">
        <f>IF(ISNUMBER(N214),IFERROR((N214-IFERROR(INDEX(Estadística!$I$6:$I$35,MATCH(Y214,Estadística!$Y$6:$Y$35,0)),0))^2,""),"")</f>
        <v/>
      </c>
      <c r="X214" s="15">
        <f>IF(ISNUMBER(R214),IF(R214&gt;1,1,0),"")</f>
        <v/>
      </c>
      <c r="Y214" s="15">
        <f>IF(OR(B214="",C214=""),"",B214&amp;"|"&amp;C214)</f>
        <v/>
      </c>
    </row>
    <row r="215">
      <c r="A215" s="23" t="n">
        <v>210</v>
      </c>
      <c r="B215" s="8" t="n"/>
      <c r="C215" s="8" t="n"/>
      <c r="D215" s="9" t="n"/>
      <c r="E215" s="8" t="n"/>
      <c r="F215" s="8" t="n"/>
      <c r="G215" s="8" t="n"/>
      <c r="H215" s="8" t="n"/>
      <c r="I215" s="24" t="n"/>
      <c r="J215" s="8" t="n"/>
      <c r="K215" s="25">
        <f>IF(OR(I215="",J215=""),"",I215*J215/1000)</f>
        <v/>
      </c>
      <c r="L215" s="26" t="n"/>
      <c r="M215" s="26" t="n"/>
      <c r="N215" s="27">
        <f>IF(OR(B215="",C215=""),"",IF(M215&lt;&gt;"",M215,IF(AND(N(L215)&gt;0,N(K215)&gt;0),L215/K215,"")))</f>
        <v/>
      </c>
      <c r="O215" s="15">
        <f>IF(C215="","",IFERROR(INDEX(Agentes!$D$6:$D$60,MATCH(C215,Agentes!$A$6:$A$60,0)),""))</f>
        <v/>
      </c>
      <c r="P215" s="28">
        <f>IF(OR(H215="",O215=""),"",IF(AND(O215="Inhalable",LEFT(H215,6)="Casete"),"Subestima: el casete cerrado no colecta toda la fracción inhalable",IF(AND(O215="Respirable",LEFT(H215,6)&lt;&gt;"Ciclón"),"Requiere ciclón (fracción respirable)",IF(AND(O215="Inhalable",ISNUMBER(SEARCH("Respirable",IFERROR(INDEX(Agentes!$C$80:$C$87,MATCH(H215,Agentes!$B$80:$B$87,0)),"")))),"El ciclón no colecta la fracción inhalable","Coherente"))))</f>
        <v/>
      </c>
      <c r="Q215" s="22">
        <f>IF(Y215="","",IFERROR(INDEX(GES!$W$6:$W$35,MATCH(Y215,GES!$R$6:$R$35,0)),""))</f>
        <v/>
      </c>
      <c r="R215" s="29">
        <f>IF(AND(ISNUMBER(N215),ISNUMBER(Q215)),N215/Q215,"")</f>
        <v/>
      </c>
      <c r="S215" s="15">
        <f>IF(C215="","",IFERROR(INDEX(Agentes!$I$6:$I$60,MATCH(C215,Agentes!$A$6:$A$60,0)),""))</f>
        <v/>
      </c>
      <c r="T215" s="8" t="n"/>
      <c r="U215" s="15">
        <f>IF(ISNUMBER(N215),IF(N215&gt;0,LN(N215),""),"")</f>
        <v/>
      </c>
      <c r="V215" s="15">
        <f>IF(ISNUMBER(U215),IFERROR((U215-LN(IFERROR(INDEX(Estadística!$K$6:$K$35,MATCH(Y215,Estadística!$Y$6:$Y$35,0)),0)))^2,""),"")</f>
        <v/>
      </c>
      <c r="W215" s="15">
        <f>IF(ISNUMBER(N215),IFERROR((N215-IFERROR(INDEX(Estadística!$I$6:$I$35,MATCH(Y215,Estadística!$Y$6:$Y$35,0)),0))^2,""),"")</f>
        <v/>
      </c>
      <c r="X215" s="15">
        <f>IF(ISNUMBER(R215),IF(R215&gt;1,1,0),"")</f>
        <v/>
      </c>
      <c r="Y215" s="15">
        <f>IF(OR(B215="",C215=""),"",B215&amp;"|"&amp;C215)</f>
        <v/>
      </c>
    </row>
    <row r="216">
      <c r="A216" s="23" t="n">
        <v>211</v>
      </c>
      <c r="B216" s="8" t="n"/>
      <c r="C216" s="8" t="n"/>
      <c r="D216" s="9" t="n"/>
      <c r="E216" s="8" t="n"/>
      <c r="F216" s="8" t="n"/>
      <c r="G216" s="8" t="n"/>
      <c r="H216" s="8" t="n"/>
      <c r="I216" s="24" t="n"/>
      <c r="J216" s="8" t="n"/>
      <c r="K216" s="25">
        <f>IF(OR(I216="",J216=""),"",I216*J216/1000)</f>
        <v/>
      </c>
      <c r="L216" s="26" t="n"/>
      <c r="M216" s="26" t="n"/>
      <c r="N216" s="27">
        <f>IF(OR(B216="",C216=""),"",IF(M216&lt;&gt;"",M216,IF(AND(N(L216)&gt;0,N(K216)&gt;0),L216/K216,"")))</f>
        <v/>
      </c>
      <c r="O216" s="15">
        <f>IF(C216="","",IFERROR(INDEX(Agentes!$D$6:$D$60,MATCH(C216,Agentes!$A$6:$A$60,0)),""))</f>
        <v/>
      </c>
      <c r="P216" s="28">
        <f>IF(OR(H216="",O216=""),"",IF(AND(O216="Inhalable",LEFT(H216,6)="Casete"),"Subestima: el casete cerrado no colecta toda la fracción inhalable",IF(AND(O216="Respirable",LEFT(H216,6)&lt;&gt;"Ciclón"),"Requiere ciclón (fracción respirable)",IF(AND(O216="Inhalable",ISNUMBER(SEARCH("Respirable",IFERROR(INDEX(Agentes!$C$80:$C$87,MATCH(H216,Agentes!$B$80:$B$87,0)),"")))),"El ciclón no colecta la fracción inhalable","Coherente"))))</f>
        <v/>
      </c>
      <c r="Q216" s="22">
        <f>IF(Y216="","",IFERROR(INDEX(GES!$W$6:$W$35,MATCH(Y216,GES!$R$6:$R$35,0)),""))</f>
        <v/>
      </c>
      <c r="R216" s="29">
        <f>IF(AND(ISNUMBER(N216),ISNUMBER(Q216)),N216/Q216,"")</f>
        <v/>
      </c>
      <c r="S216" s="15">
        <f>IF(C216="","",IFERROR(INDEX(Agentes!$I$6:$I$60,MATCH(C216,Agentes!$A$6:$A$60,0)),""))</f>
        <v/>
      </c>
      <c r="T216" s="8" t="n"/>
      <c r="U216" s="15">
        <f>IF(ISNUMBER(N216),IF(N216&gt;0,LN(N216),""),"")</f>
        <v/>
      </c>
      <c r="V216" s="15">
        <f>IF(ISNUMBER(U216),IFERROR((U216-LN(IFERROR(INDEX(Estadística!$K$6:$K$35,MATCH(Y216,Estadística!$Y$6:$Y$35,0)),0)))^2,""),"")</f>
        <v/>
      </c>
      <c r="W216" s="15">
        <f>IF(ISNUMBER(N216),IFERROR((N216-IFERROR(INDEX(Estadística!$I$6:$I$35,MATCH(Y216,Estadística!$Y$6:$Y$35,0)),0))^2,""),"")</f>
        <v/>
      </c>
      <c r="X216" s="15">
        <f>IF(ISNUMBER(R216),IF(R216&gt;1,1,0),"")</f>
        <v/>
      </c>
      <c r="Y216" s="15">
        <f>IF(OR(B216="",C216=""),"",B216&amp;"|"&amp;C216)</f>
        <v/>
      </c>
    </row>
    <row r="217">
      <c r="A217" s="23" t="n">
        <v>212</v>
      </c>
      <c r="B217" s="8" t="n"/>
      <c r="C217" s="8" t="n"/>
      <c r="D217" s="9" t="n"/>
      <c r="E217" s="8" t="n"/>
      <c r="F217" s="8" t="n"/>
      <c r="G217" s="8" t="n"/>
      <c r="H217" s="8" t="n"/>
      <c r="I217" s="24" t="n"/>
      <c r="J217" s="8" t="n"/>
      <c r="K217" s="25">
        <f>IF(OR(I217="",J217=""),"",I217*J217/1000)</f>
        <v/>
      </c>
      <c r="L217" s="26" t="n"/>
      <c r="M217" s="26" t="n"/>
      <c r="N217" s="27">
        <f>IF(OR(B217="",C217=""),"",IF(M217&lt;&gt;"",M217,IF(AND(N(L217)&gt;0,N(K217)&gt;0),L217/K217,"")))</f>
        <v/>
      </c>
      <c r="O217" s="15">
        <f>IF(C217="","",IFERROR(INDEX(Agentes!$D$6:$D$60,MATCH(C217,Agentes!$A$6:$A$60,0)),""))</f>
        <v/>
      </c>
      <c r="P217" s="28">
        <f>IF(OR(H217="",O217=""),"",IF(AND(O217="Inhalable",LEFT(H217,6)="Casete"),"Subestima: el casete cerrado no colecta toda la fracción inhalable",IF(AND(O217="Respirable",LEFT(H217,6)&lt;&gt;"Ciclón"),"Requiere ciclón (fracción respirable)",IF(AND(O217="Inhalable",ISNUMBER(SEARCH("Respirable",IFERROR(INDEX(Agentes!$C$80:$C$87,MATCH(H217,Agentes!$B$80:$B$87,0)),"")))),"El ciclón no colecta la fracción inhalable","Coherente"))))</f>
        <v/>
      </c>
      <c r="Q217" s="22">
        <f>IF(Y217="","",IFERROR(INDEX(GES!$W$6:$W$35,MATCH(Y217,GES!$R$6:$R$35,0)),""))</f>
        <v/>
      </c>
      <c r="R217" s="29">
        <f>IF(AND(ISNUMBER(N217),ISNUMBER(Q217)),N217/Q217,"")</f>
        <v/>
      </c>
      <c r="S217" s="15">
        <f>IF(C217="","",IFERROR(INDEX(Agentes!$I$6:$I$60,MATCH(C217,Agentes!$A$6:$A$60,0)),""))</f>
        <v/>
      </c>
      <c r="T217" s="8" t="n"/>
      <c r="U217" s="15">
        <f>IF(ISNUMBER(N217),IF(N217&gt;0,LN(N217),""),"")</f>
        <v/>
      </c>
      <c r="V217" s="15">
        <f>IF(ISNUMBER(U217),IFERROR((U217-LN(IFERROR(INDEX(Estadística!$K$6:$K$35,MATCH(Y217,Estadística!$Y$6:$Y$35,0)),0)))^2,""),"")</f>
        <v/>
      </c>
      <c r="W217" s="15">
        <f>IF(ISNUMBER(N217),IFERROR((N217-IFERROR(INDEX(Estadística!$I$6:$I$35,MATCH(Y217,Estadística!$Y$6:$Y$35,0)),0))^2,""),"")</f>
        <v/>
      </c>
      <c r="X217" s="15">
        <f>IF(ISNUMBER(R217),IF(R217&gt;1,1,0),"")</f>
        <v/>
      </c>
      <c r="Y217" s="15">
        <f>IF(OR(B217="",C217=""),"",B217&amp;"|"&amp;C217)</f>
        <v/>
      </c>
    </row>
    <row r="218">
      <c r="A218" s="23" t="n">
        <v>213</v>
      </c>
      <c r="B218" s="8" t="n"/>
      <c r="C218" s="8" t="n"/>
      <c r="D218" s="9" t="n"/>
      <c r="E218" s="8" t="n"/>
      <c r="F218" s="8" t="n"/>
      <c r="G218" s="8" t="n"/>
      <c r="H218" s="8" t="n"/>
      <c r="I218" s="24" t="n"/>
      <c r="J218" s="8" t="n"/>
      <c r="K218" s="25">
        <f>IF(OR(I218="",J218=""),"",I218*J218/1000)</f>
        <v/>
      </c>
      <c r="L218" s="26" t="n"/>
      <c r="M218" s="26" t="n"/>
      <c r="N218" s="27">
        <f>IF(OR(B218="",C218=""),"",IF(M218&lt;&gt;"",M218,IF(AND(N(L218)&gt;0,N(K218)&gt;0),L218/K218,"")))</f>
        <v/>
      </c>
      <c r="O218" s="15">
        <f>IF(C218="","",IFERROR(INDEX(Agentes!$D$6:$D$60,MATCH(C218,Agentes!$A$6:$A$60,0)),""))</f>
        <v/>
      </c>
      <c r="P218" s="28">
        <f>IF(OR(H218="",O218=""),"",IF(AND(O218="Inhalable",LEFT(H218,6)="Casete"),"Subestima: el casete cerrado no colecta toda la fracción inhalable",IF(AND(O218="Respirable",LEFT(H218,6)&lt;&gt;"Ciclón"),"Requiere ciclón (fracción respirable)",IF(AND(O218="Inhalable",ISNUMBER(SEARCH("Respirable",IFERROR(INDEX(Agentes!$C$80:$C$87,MATCH(H218,Agentes!$B$80:$B$87,0)),"")))),"El ciclón no colecta la fracción inhalable","Coherente"))))</f>
        <v/>
      </c>
      <c r="Q218" s="22">
        <f>IF(Y218="","",IFERROR(INDEX(GES!$W$6:$W$35,MATCH(Y218,GES!$R$6:$R$35,0)),""))</f>
        <v/>
      </c>
      <c r="R218" s="29">
        <f>IF(AND(ISNUMBER(N218),ISNUMBER(Q218)),N218/Q218,"")</f>
        <v/>
      </c>
      <c r="S218" s="15">
        <f>IF(C218="","",IFERROR(INDEX(Agentes!$I$6:$I$60,MATCH(C218,Agentes!$A$6:$A$60,0)),""))</f>
        <v/>
      </c>
      <c r="T218" s="8" t="n"/>
      <c r="U218" s="15">
        <f>IF(ISNUMBER(N218),IF(N218&gt;0,LN(N218),""),"")</f>
        <v/>
      </c>
      <c r="V218" s="15">
        <f>IF(ISNUMBER(U218),IFERROR((U218-LN(IFERROR(INDEX(Estadística!$K$6:$K$35,MATCH(Y218,Estadística!$Y$6:$Y$35,0)),0)))^2,""),"")</f>
        <v/>
      </c>
      <c r="W218" s="15">
        <f>IF(ISNUMBER(N218),IFERROR((N218-IFERROR(INDEX(Estadística!$I$6:$I$35,MATCH(Y218,Estadística!$Y$6:$Y$35,0)),0))^2,""),"")</f>
        <v/>
      </c>
      <c r="X218" s="15">
        <f>IF(ISNUMBER(R218),IF(R218&gt;1,1,0),"")</f>
        <v/>
      </c>
      <c r="Y218" s="15">
        <f>IF(OR(B218="",C218=""),"",B218&amp;"|"&amp;C218)</f>
        <v/>
      </c>
    </row>
    <row r="219">
      <c r="A219" s="23" t="n">
        <v>214</v>
      </c>
      <c r="B219" s="8" t="n"/>
      <c r="C219" s="8" t="n"/>
      <c r="D219" s="9" t="n"/>
      <c r="E219" s="8" t="n"/>
      <c r="F219" s="8" t="n"/>
      <c r="G219" s="8" t="n"/>
      <c r="H219" s="8" t="n"/>
      <c r="I219" s="24" t="n"/>
      <c r="J219" s="8" t="n"/>
      <c r="K219" s="25">
        <f>IF(OR(I219="",J219=""),"",I219*J219/1000)</f>
        <v/>
      </c>
      <c r="L219" s="26" t="n"/>
      <c r="M219" s="26" t="n"/>
      <c r="N219" s="27">
        <f>IF(OR(B219="",C219=""),"",IF(M219&lt;&gt;"",M219,IF(AND(N(L219)&gt;0,N(K219)&gt;0),L219/K219,"")))</f>
        <v/>
      </c>
      <c r="O219" s="15">
        <f>IF(C219="","",IFERROR(INDEX(Agentes!$D$6:$D$60,MATCH(C219,Agentes!$A$6:$A$60,0)),""))</f>
        <v/>
      </c>
      <c r="P219" s="28">
        <f>IF(OR(H219="",O219=""),"",IF(AND(O219="Inhalable",LEFT(H219,6)="Casete"),"Subestima: el casete cerrado no colecta toda la fracción inhalable",IF(AND(O219="Respirable",LEFT(H219,6)&lt;&gt;"Ciclón"),"Requiere ciclón (fracción respirable)",IF(AND(O219="Inhalable",ISNUMBER(SEARCH("Respirable",IFERROR(INDEX(Agentes!$C$80:$C$87,MATCH(H219,Agentes!$B$80:$B$87,0)),"")))),"El ciclón no colecta la fracción inhalable","Coherente"))))</f>
        <v/>
      </c>
      <c r="Q219" s="22">
        <f>IF(Y219="","",IFERROR(INDEX(GES!$W$6:$W$35,MATCH(Y219,GES!$R$6:$R$35,0)),""))</f>
        <v/>
      </c>
      <c r="R219" s="29">
        <f>IF(AND(ISNUMBER(N219),ISNUMBER(Q219)),N219/Q219,"")</f>
        <v/>
      </c>
      <c r="S219" s="15">
        <f>IF(C219="","",IFERROR(INDEX(Agentes!$I$6:$I$60,MATCH(C219,Agentes!$A$6:$A$60,0)),""))</f>
        <v/>
      </c>
      <c r="T219" s="8" t="n"/>
      <c r="U219" s="15">
        <f>IF(ISNUMBER(N219),IF(N219&gt;0,LN(N219),""),"")</f>
        <v/>
      </c>
      <c r="V219" s="15">
        <f>IF(ISNUMBER(U219),IFERROR((U219-LN(IFERROR(INDEX(Estadística!$K$6:$K$35,MATCH(Y219,Estadística!$Y$6:$Y$35,0)),0)))^2,""),"")</f>
        <v/>
      </c>
      <c r="W219" s="15">
        <f>IF(ISNUMBER(N219),IFERROR((N219-IFERROR(INDEX(Estadística!$I$6:$I$35,MATCH(Y219,Estadística!$Y$6:$Y$35,0)),0))^2,""),"")</f>
        <v/>
      </c>
      <c r="X219" s="15">
        <f>IF(ISNUMBER(R219),IF(R219&gt;1,1,0),"")</f>
        <v/>
      </c>
      <c r="Y219" s="15">
        <f>IF(OR(B219="",C219=""),"",B219&amp;"|"&amp;C219)</f>
        <v/>
      </c>
    </row>
    <row r="220">
      <c r="A220" s="23" t="n">
        <v>215</v>
      </c>
      <c r="B220" s="8" t="n"/>
      <c r="C220" s="8" t="n"/>
      <c r="D220" s="9" t="n"/>
      <c r="E220" s="8" t="n"/>
      <c r="F220" s="8" t="n"/>
      <c r="G220" s="8" t="n"/>
      <c r="H220" s="8" t="n"/>
      <c r="I220" s="24" t="n"/>
      <c r="J220" s="8" t="n"/>
      <c r="K220" s="25">
        <f>IF(OR(I220="",J220=""),"",I220*J220/1000)</f>
        <v/>
      </c>
      <c r="L220" s="26" t="n"/>
      <c r="M220" s="26" t="n"/>
      <c r="N220" s="27">
        <f>IF(OR(B220="",C220=""),"",IF(M220&lt;&gt;"",M220,IF(AND(N(L220)&gt;0,N(K220)&gt;0),L220/K220,"")))</f>
        <v/>
      </c>
      <c r="O220" s="15">
        <f>IF(C220="","",IFERROR(INDEX(Agentes!$D$6:$D$60,MATCH(C220,Agentes!$A$6:$A$60,0)),""))</f>
        <v/>
      </c>
      <c r="P220" s="28">
        <f>IF(OR(H220="",O220=""),"",IF(AND(O220="Inhalable",LEFT(H220,6)="Casete"),"Subestima: el casete cerrado no colecta toda la fracción inhalable",IF(AND(O220="Respirable",LEFT(H220,6)&lt;&gt;"Ciclón"),"Requiere ciclón (fracción respirable)",IF(AND(O220="Inhalable",ISNUMBER(SEARCH("Respirable",IFERROR(INDEX(Agentes!$C$80:$C$87,MATCH(H220,Agentes!$B$80:$B$87,0)),"")))),"El ciclón no colecta la fracción inhalable","Coherente"))))</f>
        <v/>
      </c>
      <c r="Q220" s="22">
        <f>IF(Y220="","",IFERROR(INDEX(GES!$W$6:$W$35,MATCH(Y220,GES!$R$6:$R$35,0)),""))</f>
        <v/>
      </c>
      <c r="R220" s="29">
        <f>IF(AND(ISNUMBER(N220),ISNUMBER(Q220)),N220/Q220,"")</f>
        <v/>
      </c>
      <c r="S220" s="15">
        <f>IF(C220="","",IFERROR(INDEX(Agentes!$I$6:$I$60,MATCH(C220,Agentes!$A$6:$A$60,0)),""))</f>
        <v/>
      </c>
      <c r="T220" s="8" t="n"/>
      <c r="U220" s="15">
        <f>IF(ISNUMBER(N220),IF(N220&gt;0,LN(N220),""),"")</f>
        <v/>
      </c>
      <c r="V220" s="15">
        <f>IF(ISNUMBER(U220),IFERROR((U220-LN(IFERROR(INDEX(Estadística!$K$6:$K$35,MATCH(Y220,Estadística!$Y$6:$Y$35,0)),0)))^2,""),"")</f>
        <v/>
      </c>
      <c r="W220" s="15">
        <f>IF(ISNUMBER(N220),IFERROR((N220-IFERROR(INDEX(Estadística!$I$6:$I$35,MATCH(Y220,Estadística!$Y$6:$Y$35,0)),0))^2,""),"")</f>
        <v/>
      </c>
      <c r="X220" s="15">
        <f>IF(ISNUMBER(R220),IF(R220&gt;1,1,0),"")</f>
        <v/>
      </c>
      <c r="Y220" s="15">
        <f>IF(OR(B220="",C220=""),"",B220&amp;"|"&amp;C220)</f>
        <v/>
      </c>
    </row>
    <row r="221">
      <c r="A221" s="23" t="n">
        <v>216</v>
      </c>
      <c r="B221" s="8" t="n"/>
      <c r="C221" s="8" t="n"/>
      <c r="D221" s="9" t="n"/>
      <c r="E221" s="8" t="n"/>
      <c r="F221" s="8" t="n"/>
      <c r="G221" s="8" t="n"/>
      <c r="H221" s="8" t="n"/>
      <c r="I221" s="24" t="n"/>
      <c r="J221" s="8" t="n"/>
      <c r="K221" s="25">
        <f>IF(OR(I221="",J221=""),"",I221*J221/1000)</f>
        <v/>
      </c>
      <c r="L221" s="26" t="n"/>
      <c r="M221" s="26" t="n"/>
      <c r="N221" s="27">
        <f>IF(OR(B221="",C221=""),"",IF(M221&lt;&gt;"",M221,IF(AND(N(L221)&gt;0,N(K221)&gt;0),L221/K221,"")))</f>
        <v/>
      </c>
      <c r="O221" s="15">
        <f>IF(C221="","",IFERROR(INDEX(Agentes!$D$6:$D$60,MATCH(C221,Agentes!$A$6:$A$60,0)),""))</f>
        <v/>
      </c>
      <c r="P221" s="28">
        <f>IF(OR(H221="",O221=""),"",IF(AND(O221="Inhalable",LEFT(H221,6)="Casete"),"Subestima: el casete cerrado no colecta toda la fracción inhalable",IF(AND(O221="Respirable",LEFT(H221,6)&lt;&gt;"Ciclón"),"Requiere ciclón (fracción respirable)",IF(AND(O221="Inhalable",ISNUMBER(SEARCH("Respirable",IFERROR(INDEX(Agentes!$C$80:$C$87,MATCH(H221,Agentes!$B$80:$B$87,0)),"")))),"El ciclón no colecta la fracción inhalable","Coherente"))))</f>
        <v/>
      </c>
      <c r="Q221" s="22">
        <f>IF(Y221="","",IFERROR(INDEX(GES!$W$6:$W$35,MATCH(Y221,GES!$R$6:$R$35,0)),""))</f>
        <v/>
      </c>
      <c r="R221" s="29">
        <f>IF(AND(ISNUMBER(N221),ISNUMBER(Q221)),N221/Q221,"")</f>
        <v/>
      </c>
      <c r="S221" s="15">
        <f>IF(C221="","",IFERROR(INDEX(Agentes!$I$6:$I$60,MATCH(C221,Agentes!$A$6:$A$60,0)),""))</f>
        <v/>
      </c>
      <c r="T221" s="8" t="n"/>
      <c r="U221" s="15">
        <f>IF(ISNUMBER(N221),IF(N221&gt;0,LN(N221),""),"")</f>
        <v/>
      </c>
      <c r="V221" s="15">
        <f>IF(ISNUMBER(U221),IFERROR((U221-LN(IFERROR(INDEX(Estadística!$K$6:$K$35,MATCH(Y221,Estadística!$Y$6:$Y$35,0)),0)))^2,""),"")</f>
        <v/>
      </c>
      <c r="W221" s="15">
        <f>IF(ISNUMBER(N221),IFERROR((N221-IFERROR(INDEX(Estadística!$I$6:$I$35,MATCH(Y221,Estadística!$Y$6:$Y$35,0)),0))^2,""),"")</f>
        <v/>
      </c>
      <c r="X221" s="15">
        <f>IF(ISNUMBER(R221),IF(R221&gt;1,1,0),"")</f>
        <v/>
      </c>
      <c r="Y221" s="15">
        <f>IF(OR(B221="",C221=""),"",B221&amp;"|"&amp;C221)</f>
        <v/>
      </c>
    </row>
    <row r="222">
      <c r="A222" s="23" t="n">
        <v>217</v>
      </c>
      <c r="B222" s="8" t="n"/>
      <c r="C222" s="8" t="n"/>
      <c r="D222" s="9" t="n"/>
      <c r="E222" s="8" t="n"/>
      <c r="F222" s="8" t="n"/>
      <c r="G222" s="8" t="n"/>
      <c r="H222" s="8" t="n"/>
      <c r="I222" s="24" t="n"/>
      <c r="J222" s="8" t="n"/>
      <c r="K222" s="25">
        <f>IF(OR(I222="",J222=""),"",I222*J222/1000)</f>
        <v/>
      </c>
      <c r="L222" s="26" t="n"/>
      <c r="M222" s="26" t="n"/>
      <c r="N222" s="27">
        <f>IF(OR(B222="",C222=""),"",IF(M222&lt;&gt;"",M222,IF(AND(N(L222)&gt;0,N(K222)&gt;0),L222/K222,"")))</f>
        <v/>
      </c>
      <c r="O222" s="15">
        <f>IF(C222="","",IFERROR(INDEX(Agentes!$D$6:$D$60,MATCH(C222,Agentes!$A$6:$A$60,0)),""))</f>
        <v/>
      </c>
      <c r="P222" s="28">
        <f>IF(OR(H222="",O222=""),"",IF(AND(O222="Inhalable",LEFT(H222,6)="Casete"),"Subestima: el casete cerrado no colecta toda la fracción inhalable",IF(AND(O222="Respirable",LEFT(H222,6)&lt;&gt;"Ciclón"),"Requiere ciclón (fracción respirable)",IF(AND(O222="Inhalable",ISNUMBER(SEARCH("Respirable",IFERROR(INDEX(Agentes!$C$80:$C$87,MATCH(H222,Agentes!$B$80:$B$87,0)),"")))),"El ciclón no colecta la fracción inhalable","Coherente"))))</f>
        <v/>
      </c>
      <c r="Q222" s="22">
        <f>IF(Y222="","",IFERROR(INDEX(GES!$W$6:$W$35,MATCH(Y222,GES!$R$6:$R$35,0)),""))</f>
        <v/>
      </c>
      <c r="R222" s="29">
        <f>IF(AND(ISNUMBER(N222),ISNUMBER(Q222)),N222/Q222,"")</f>
        <v/>
      </c>
      <c r="S222" s="15">
        <f>IF(C222="","",IFERROR(INDEX(Agentes!$I$6:$I$60,MATCH(C222,Agentes!$A$6:$A$60,0)),""))</f>
        <v/>
      </c>
      <c r="T222" s="8" t="n"/>
      <c r="U222" s="15">
        <f>IF(ISNUMBER(N222),IF(N222&gt;0,LN(N222),""),"")</f>
        <v/>
      </c>
      <c r="V222" s="15">
        <f>IF(ISNUMBER(U222),IFERROR((U222-LN(IFERROR(INDEX(Estadística!$K$6:$K$35,MATCH(Y222,Estadística!$Y$6:$Y$35,0)),0)))^2,""),"")</f>
        <v/>
      </c>
      <c r="W222" s="15">
        <f>IF(ISNUMBER(N222),IFERROR((N222-IFERROR(INDEX(Estadística!$I$6:$I$35,MATCH(Y222,Estadística!$Y$6:$Y$35,0)),0))^2,""),"")</f>
        <v/>
      </c>
      <c r="X222" s="15">
        <f>IF(ISNUMBER(R222),IF(R222&gt;1,1,0),"")</f>
        <v/>
      </c>
      <c r="Y222" s="15">
        <f>IF(OR(B222="",C222=""),"",B222&amp;"|"&amp;C222)</f>
        <v/>
      </c>
    </row>
    <row r="223">
      <c r="A223" s="23" t="n">
        <v>218</v>
      </c>
      <c r="B223" s="8" t="n"/>
      <c r="C223" s="8" t="n"/>
      <c r="D223" s="9" t="n"/>
      <c r="E223" s="8" t="n"/>
      <c r="F223" s="8" t="n"/>
      <c r="G223" s="8" t="n"/>
      <c r="H223" s="8" t="n"/>
      <c r="I223" s="24" t="n"/>
      <c r="J223" s="8" t="n"/>
      <c r="K223" s="25">
        <f>IF(OR(I223="",J223=""),"",I223*J223/1000)</f>
        <v/>
      </c>
      <c r="L223" s="26" t="n"/>
      <c r="M223" s="26" t="n"/>
      <c r="N223" s="27">
        <f>IF(OR(B223="",C223=""),"",IF(M223&lt;&gt;"",M223,IF(AND(N(L223)&gt;0,N(K223)&gt;0),L223/K223,"")))</f>
        <v/>
      </c>
      <c r="O223" s="15">
        <f>IF(C223="","",IFERROR(INDEX(Agentes!$D$6:$D$60,MATCH(C223,Agentes!$A$6:$A$60,0)),""))</f>
        <v/>
      </c>
      <c r="P223" s="28">
        <f>IF(OR(H223="",O223=""),"",IF(AND(O223="Inhalable",LEFT(H223,6)="Casete"),"Subestima: el casete cerrado no colecta toda la fracción inhalable",IF(AND(O223="Respirable",LEFT(H223,6)&lt;&gt;"Ciclón"),"Requiere ciclón (fracción respirable)",IF(AND(O223="Inhalable",ISNUMBER(SEARCH("Respirable",IFERROR(INDEX(Agentes!$C$80:$C$87,MATCH(H223,Agentes!$B$80:$B$87,0)),"")))),"El ciclón no colecta la fracción inhalable","Coherente"))))</f>
        <v/>
      </c>
      <c r="Q223" s="22">
        <f>IF(Y223="","",IFERROR(INDEX(GES!$W$6:$W$35,MATCH(Y223,GES!$R$6:$R$35,0)),""))</f>
        <v/>
      </c>
      <c r="R223" s="29">
        <f>IF(AND(ISNUMBER(N223),ISNUMBER(Q223)),N223/Q223,"")</f>
        <v/>
      </c>
      <c r="S223" s="15">
        <f>IF(C223="","",IFERROR(INDEX(Agentes!$I$6:$I$60,MATCH(C223,Agentes!$A$6:$A$60,0)),""))</f>
        <v/>
      </c>
      <c r="T223" s="8" t="n"/>
      <c r="U223" s="15">
        <f>IF(ISNUMBER(N223),IF(N223&gt;0,LN(N223),""),"")</f>
        <v/>
      </c>
      <c r="V223" s="15">
        <f>IF(ISNUMBER(U223),IFERROR((U223-LN(IFERROR(INDEX(Estadística!$K$6:$K$35,MATCH(Y223,Estadística!$Y$6:$Y$35,0)),0)))^2,""),"")</f>
        <v/>
      </c>
      <c r="W223" s="15">
        <f>IF(ISNUMBER(N223),IFERROR((N223-IFERROR(INDEX(Estadística!$I$6:$I$35,MATCH(Y223,Estadística!$Y$6:$Y$35,0)),0))^2,""),"")</f>
        <v/>
      </c>
      <c r="X223" s="15">
        <f>IF(ISNUMBER(R223),IF(R223&gt;1,1,0),"")</f>
        <v/>
      </c>
      <c r="Y223" s="15">
        <f>IF(OR(B223="",C223=""),"",B223&amp;"|"&amp;C223)</f>
        <v/>
      </c>
    </row>
    <row r="224">
      <c r="A224" s="23" t="n">
        <v>219</v>
      </c>
      <c r="B224" s="8" t="n"/>
      <c r="C224" s="8" t="n"/>
      <c r="D224" s="9" t="n"/>
      <c r="E224" s="8" t="n"/>
      <c r="F224" s="8" t="n"/>
      <c r="G224" s="8" t="n"/>
      <c r="H224" s="8" t="n"/>
      <c r="I224" s="24" t="n"/>
      <c r="J224" s="8" t="n"/>
      <c r="K224" s="25">
        <f>IF(OR(I224="",J224=""),"",I224*J224/1000)</f>
        <v/>
      </c>
      <c r="L224" s="26" t="n"/>
      <c r="M224" s="26" t="n"/>
      <c r="N224" s="27">
        <f>IF(OR(B224="",C224=""),"",IF(M224&lt;&gt;"",M224,IF(AND(N(L224)&gt;0,N(K224)&gt;0),L224/K224,"")))</f>
        <v/>
      </c>
      <c r="O224" s="15">
        <f>IF(C224="","",IFERROR(INDEX(Agentes!$D$6:$D$60,MATCH(C224,Agentes!$A$6:$A$60,0)),""))</f>
        <v/>
      </c>
      <c r="P224" s="28">
        <f>IF(OR(H224="",O224=""),"",IF(AND(O224="Inhalable",LEFT(H224,6)="Casete"),"Subestima: el casete cerrado no colecta toda la fracción inhalable",IF(AND(O224="Respirable",LEFT(H224,6)&lt;&gt;"Ciclón"),"Requiere ciclón (fracción respirable)",IF(AND(O224="Inhalable",ISNUMBER(SEARCH("Respirable",IFERROR(INDEX(Agentes!$C$80:$C$87,MATCH(H224,Agentes!$B$80:$B$87,0)),"")))),"El ciclón no colecta la fracción inhalable","Coherente"))))</f>
        <v/>
      </c>
      <c r="Q224" s="22">
        <f>IF(Y224="","",IFERROR(INDEX(GES!$W$6:$W$35,MATCH(Y224,GES!$R$6:$R$35,0)),""))</f>
        <v/>
      </c>
      <c r="R224" s="29">
        <f>IF(AND(ISNUMBER(N224),ISNUMBER(Q224)),N224/Q224,"")</f>
        <v/>
      </c>
      <c r="S224" s="15">
        <f>IF(C224="","",IFERROR(INDEX(Agentes!$I$6:$I$60,MATCH(C224,Agentes!$A$6:$A$60,0)),""))</f>
        <v/>
      </c>
      <c r="T224" s="8" t="n"/>
      <c r="U224" s="15">
        <f>IF(ISNUMBER(N224),IF(N224&gt;0,LN(N224),""),"")</f>
        <v/>
      </c>
      <c r="V224" s="15">
        <f>IF(ISNUMBER(U224),IFERROR((U224-LN(IFERROR(INDEX(Estadística!$K$6:$K$35,MATCH(Y224,Estadística!$Y$6:$Y$35,0)),0)))^2,""),"")</f>
        <v/>
      </c>
      <c r="W224" s="15">
        <f>IF(ISNUMBER(N224),IFERROR((N224-IFERROR(INDEX(Estadística!$I$6:$I$35,MATCH(Y224,Estadística!$Y$6:$Y$35,0)),0))^2,""),"")</f>
        <v/>
      </c>
      <c r="X224" s="15">
        <f>IF(ISNUMBER(R224),IF(R224&gt;1,1,0),"")</f>
        <v/>
      </c>
      <c r="Y224" s="15">
        <f>IF(OR(B224="",C224=""),"",B224&amp;"|"&amp;C224)</f>
        <v/>
      </c>
    </row>
    <row r="225">
      <c r="A225" s="23" t="n">
        <v>220</v>
      </c>
      <c r="B225" s="8" t="n"/>
      <c r="C225" s="8" t="n"/>
      <c r="D225" s="9" t="n"/>
      <c r="E225" s="8" t="n"/>
      <c r="F225" s="8" t="n"/>
      <c r="G225" s="8" t="n"/>
      <c r="H225" s="8" t="n"/>
      <c r="I225" s="24" t="n"/>
      <c r="J225" s="8" t="n"/>
      <c r="K225" s="25">
        <f>IF(OR(I225="",J225=""),"",I225*J225/1000)</f>
        <v/>
      </c>
      <c r="L225" s="26" t="n"/>
      <c r="M225" s="26" t="n"/>
      <c r="N225" s="27">
        <f>IF(OR(B225="",C225=""),"",IF(M225&lt;&gt;"",M225,IF(AND(N(L225)&gt;0,N(K225)&gt;0),L225/K225,"")))</f>
        <v/>
      </c>
      <c r="O225" s="15">
        <f>IF(C225="","",IFERROR(INDEX(Agentes!$D$6:$D$60,MATCH(C225,Agentes!$A$6:$A$60,0)),""))</f>
        <v/>
      </c>
      <c r="P225" s="28">
        <f>IF(OR(H225="",O225=""),"",IF(AND(O225="Inhalable",LEFT(H225,6)="Casete"),"Subestima: el casete cerrado no colecta toda la fracción inhalable",IF(AND(O225="Respirable",LEFT(H225,6)&lt;&gt;"Ciclón"),"Requiere ciclón (fracción respirable)",IF(AND(O225="Inhalable",ISNUMBER(SEARCH("Respirable",IFERROR(INDEX(Agentes!$C$80:$C$87,MATCH(H225,Agentes!$B$80:$B$87,0)),"")))),"El ciclón no colecta la fracción inhalable","Coherente"))))</f>
        <v/>
      </c>
      <c r="Q225" s="22">
        <f>IF(Y225="","",IFERROR(INDEX(GES!$W$6:$W$35,MATCH(Y225,GES!$R$6:$R$35,0)),""))</f>
        <v/>
      </c>
      <c r="R225" s="29">
        <f>IF(AND(ISNUMBER(N225),ISNUMBER(Q225)),N225/Q225,"")</f>
        <v/>
      </c>
      <c r="S225" s="15">
        <f>IF(C225="","",IFERROR(INDEX(Agentes!$I$6:$I$60,MATCH(C225,Agentes!$A$6:$A$60,0)),""))</f>
        <v/>
      </c>
      <c r="T225" s="8" t="n"/>
      <c r="U225" s="15">
        <f>IF(ISNUMBER(N225),IF(N225&gt;0,LN(N225),""),"")</f>
        <v/>
      </c>
      <c r="V225" s="15">
        <f>IF(ISNUMBER(U225),IFERROR((U225-LN(IFERROR(INDEX(Estadística!$K$6:$K$35,MATCH(Y225,Estadística!$Y$6:$Y$35,0)),0)))^2,""),"")</f>
        <v/>
      </c>
      <c r="W225" s="15">
        <f>IF(ISNUMBER(N225),IFERROR((N225-IFERROR(INDEX(Estadística!$I$6:$I$35,MATCH(Y225,Estadística!$Y$6:$Y$35,0)),0))^2,""),"")</f>
        <v/>
      </c>
      <c r="X225" s="15">
        <f>IF(ISNUMBER(R225),IF(R225&gt;1,1,0),"")</f>
        <v/>
      </c>
      <c r="Y225" s="15">
        <f>IF(OR(B225="",C225=""),"",B225&amp;"|"&amp;C225)</f>
        <v/>
      </c>
    </row>
    <row r="226">
      <c r="A226" s="23" t="n">
        <v>221</v>
      </c>
      <c r="B226" s="8" t="n"/>
      <c r="C226" s="8" t="n"/>
      <c r="D226" s="9" t="n"/>
      <c r="E226" s="8" t="n"/>
      <c r="F226" s="8" t="n"/>
      <c r="G226" s="8" t="n"/>
      <c r="H226" s="8" t="n"/>
      <c r="I226" s="24" t="n"/>
      <c r="J226" s="8" t="n"/>
      <c r="K226" s="25">
        <f>IF(OR(I226="",J226=""),"",I226*J226/1000)</f>
        <v/>
      </c>
      <c r="L226" s="26" t="n"/>
      <c r="M226" s="26" t="n"/>
      <c r="N226" s="27">
        <f>IF(OR(B226="",C226=""),"",IF(M226&lt;&gt;"",M226,IF(AND(N(L226)&gt;0,N(K226)&gt;0),L226/K226,"")))</f>
        <v/>
      </c>
      <c r="O226" s="15">
        <f>IF(C226="","",IFERROR(INDEX(Agentes!$D$6:$D$60,MATCH(C226,Agentes!$A$6:$A$60,0)),""))</f>
        <v/>
      </c>
      <c r="P226" s="28">
        <f>IF(OR(H226="",O226=""),"",IF(AND(O226="Inhalable",LEFT(H226,6)="Casete"),"Subestima: el casete cerrado no colecta toda la fracción inhalable",IF(AND(O226="Respirable",LEFT(H226,6)&lt;&gt;"Ciclón"),"Requiere ciclón (fracción respirable)",IF(AND(O226="Inhalable",ISNUMBER(SEARCH("Respirable",IFERROR(INDEX(Agentes!$C$80:$C$87,MATCH(H226,Agentes!$B$80:$B$87,0)),"")))),"El ciclón no colecta la fracción inhalable","Coherente"))))</f>
        <v/>
      </c>
      <c r="Q226" s="22">
        <f>IF(Y226="","",IFERROR(INDEX(GES!$W$6:$W$35,MATCH(Y226,GES!$R$6:$R$35,0)),""))</f>
        <v/>
      </c>
      <c r="R226" s="29">
        <f>IF(AND(ISNUMBER(N226),ISNUMBER(Q226)),N226/Q226,"")</f>
        <v/>
      </c>
      <c r="S226" s="15">
        <f>IF(C226="","",IFERROR(INDEX(Agentes!$I$6:$I$60,MATCH(C226,Agentes!$A$6:$A$60,0)),""))</f>
        <v/>
      </c>
      <c r="T226" s="8" t="n"/>
      <c r="U226" s="15">
        <f>IF(ISNUMBER(N226),IF(N226&gt;0,LN(N226),""),"")</f>
        <v/>
      </c>
      <c r="V226" s="15">
        <f>IF(ISNUMBER(U226),IFERROR((U226-LN(IFERROR(INDEX(Estadística!$K$6:$K$35,MATCH(Y226,Estadística!$Y$6:$Y$35,0)),0)))^2,""),"")</f>
        <v/>
      </c>
      <c r="W226" s="15">
        <f>IF(ISNUMBER(N226),IFERROR((N226-IFERROR(INDEX(Estadística!$I$6:$I$35,MATCH(Y226,Estadística!$Y$6:$Y$35,0)),0))^2,""),"")</f>
        <v/>
      </c>
      <c r="X226" s="15">
        <f>IF(ISNUMBER(R226),IF(R226&gt;1,1,0),"")</f>
        <v/>
      </c>
      <c r="Y226" s="15">
        <f>IF(OR(B226="",C226=""),"",B226&amp;"|"&amp;C226)</f>
        <v/>
      </c>
    </row>
    <row r="227">
      <c r="A227" s="23" t="n">
        <v>222</v>
      </c>
      <c r="B227" s="8" t="n"/>
      <c r="C227" s="8" t="n"/>
      <c r="D227" s="9" t="n"/>
      <c r="E227" s="8" t="n"/>
      <c r="F227" s="8" t="n"/>
      <c r="G227" s="8" t="n"/>
      <c r="H227" s="8" t="n"/>
      <c r="I227" s="24" t="n"/>
      <c r="J227" s="8" t="n"/>
      <c r="K227" s="25">
        <f>IF(OR(I227="",J227=""),"",I227*J227/1000)</f>
        <v/>
      </c>
      <c r="L227" s="26" t="n"/>
      <c r="M227" s="26" t="n"/>
      <c r="N227" s="27">
        <f>IF(OR(B227="",C227=""),"",IF(M227&lt;&gt;"",M227,IF(AND(N(L227)&gt;0,N(K227)&gt;0),L227/K227,"")))</f>
        <v/>
      </c>
      <c r="O227" s="15">
        <f>IF(C227="","",IFERROR(INDEX(Agentes!$D$6:$D$60,MATCH(C227,Agentes!$A$6:$A$60,0)),""))</f>
        <v/>
      </c>
      <c r="P227" s="28">
        <f>IF(OR(H227="",O227=""),"",IF(AND(O227="Inhalable",LEFT(H227,6)="Casete"),"Subestima: el casete cerrado no colecta toda la fracción inhalable",IF(AND(O227="Respirable",LEFT(H227,6)&lt;&gt;"Ciclón"),"Requiere ciclón (fracción respirable)",IF(AND(O227="Inhalable",ISNUMBER(SEARCH("Respirable",IFERROR(INDEX(Agentes!$C$80:$C$87,MATCH(H227,Agentes!$B$80:$B$87,0)),"")))),"El ciclón no colecta la fracción inhalable","Coherente"))))</f>
        <v/>
      </c>
      <c r="Q227" s="22">
        <f>IF(Y227="","",IFERROR(INDEX(GES!$W$6:$W$35,MATCH(Y227,GES!$R$6:$R$35,0)),""))</f>
        <v/>
      </c>
      <c r="R227" s="29">
        <f>IF(AND(ISNUMBER(N227),ISNUMBER(Q227)),N227/Q227,"")</f>
        <v/>
      </c>
      <c r="S227" s="15">
        <f>IF(C227="","",IFERROR(INDEX(Agentes!$I$6:$I$60,MATCH(C227,Agentes!$A$6:$A$60,0)),""))</f>
        <v/>
      </c>
      <c r="T227" s="8" t="n"/>
      <c r="U227" s="15">
        <f>IF(ISNUMBER(N227),IF(N227&gt;0,LN(N227),""),"")</f>
        <v/>
      </c>
      <c r="V227" s="15">
        <f>IF(ISNUMBER(U227),IFERROR((U227-LN(IFERROR(INDEX(Estadística!$K$6:$K$35,MATCH(Y227,Estadística!$Y$6:$Y$35,0)),0)))^2,""),"")</f>
        <v/>
      </c>
      <c r="W227" s="15">
        <f>IF(ISNUMBER(N227),IFERROR((N227-IFERROR(INDEX(Estadística!$I$6:$I$35,MATCH(Y227,Estadística!$Y$6:$Y$35,0)),0))^2,""),"")</f>
        <v/>
      </c>
      <c r="X227" s="15">
        <f>IF(ISNUMBER(R227),IF(R227&gt;1,1,0),"")</f>
        <v/>
      </c>
      <c r="Y227" s="15">
        <f>IF(OR(B227="",C227=""),"",B227&amp;"|"&amp;C227)</f>
        <v/>
      </c>
    </row>
    <row r="228">
      <c r="A228" s="23" t="n">
        <v>223</v>
      </c>
      <c r="B228" s="8" t="n"/>
      <c r="C228" s="8" t="n"/>
      <c r="D228" s="9" t="n"/>
      <c r="E228" s="8" t="n"/>
      <c r="F228" s="8" t="n"/>
      <c r="G228" s="8" t="n"/>
      <c r="H228" s="8" t="n"/>
      <c r="I228" s="24" t="n"/>
      <c r="J228" s="8" t="n"/>
      <c r="K228" s="25">
        <f>IF(OR(I228="",J228=""),"",I228*J228/1000)</f>
        <v/>
      </c>
      <c r="L228" s="26" t="n"/>
      <c r="M228" s="26" t="n"/>
      <c r="N228" s="27">
        <f>IF(OR(B228="",C228=""),"",IF(M228&lt;&gt;"",M228,IF(AND(N(L228)&gt;0,N(K228)&gt;0),L228/K228,"")))</f>
        <v/>
      </c>
      <c r="O228" s="15">
        <f>IF(C228="","",IFERROR(INDEX(Agentes!$D$6:$D$60,MATCH(C228,Agentes!$A$6:$A$60,0)),""))</f>
        <v/>
      </c>
      <c r="P228" s="28">
        <f>IF(OR(H228="",O228=""),"",IF(AND(O228="Inhalable",LEFT(H228,6)="Casete"),"Subestima: el casete cerrado no colecta toda la fracción inhalable",IF(AND(O228="Respirable",LEFT(H228,6)&lt;&gt;"Ciclón"),"Requiere ciclón (fracción respirable)",IF(AND(O228="Inhalable",ISNUMBER(SEARCH("Respirable",IFERROR(INDEX(Agentes!$C$80:$C$87,MATCH(H228,Agentes!$B$80:$B$87,0)),"")))),"El ciclón no colecta la fracción inhalable","Coherente"))))</f>
        <v/>
      </c>
      <c r="Q228" s="22">
        <f>IF(Y228="","",IFERROR(INDEX(GES!$W$6:$W$35,MATCH(Y228,GES!$R$6:$R$35,0)),""))</f>
        <v/>
      </c>
      <c r="R228" s="29">
        <f>IF(AND(ISNUMBER(N228),ISNUMBER(Q228)),N228/Q228,"")</f>
        <v/>
      </c>
      <c r="S228" s="15">
        <f>IF(C228="","",IFERROR(INDEX(Agentes!$I$6:$I$60,MATCH(C228,Agentes!$A$6:$A$60,0)),""))</f>
        <v/>
      </c>
      <c r="T228" s="8" t="n"/>
      <c r="U228" s="15">
        <f>IF(ISNUMBER(N228),IF(N228&gt;0,LN(N228),""),"")</f>
        <v/>
      </c>
      <c r="V228" s="15">
        <f>IF(ISNUMBER(U228),IFERROR((U228-LN(IFERROR(INDEX(Estadística!$K$6:$K$35,MATCH(Y228,Estadística!$Y$6:$Y$35,0)),0)))^2,""),"")</f>
        <v/>
      </c>
      <c r="W228" s="15">
        <f>IF(ISNUMBER(N228),IFERROR((N228-IFERROR(INDEX(Estadística!$I$6:$I$35,MATCH(Y228,Estadística!$Y$6:$Y$35,0)),0))^2,""),"")</f>
        <v/>
      </c>
      <c r="X228" s="15">
        <f>IF(ISNUMBER(R228),IF(R228&gt;1,1,0),"")</f>
        <v/>
      </c>
      <c r="Y228" s="15">
        <f>IF(OR(B228="",C228=""),"",B228&amp;"|"&amp;C228)</f>
        <v/>
      </c>
    </row>
    <row r="229">
      <c r="A229" s="23" t="n">
        <v>224</v>
      </c>
      <c r="B229" s="8" t="n"/>
      <c r="C229" s="8" t="n"/>
      <c r="D229" s="9" t="n"/>
      <c r="E229" s="8" t="n"/>
      <c r="F229" s="8" t="n"/>
      <c r="G229" s="8" t="n"/>
      <c r="H229" s="8" t="n"/>
      <c r="I229" s="24" t="n"/>
      <c r="J229" s="8" t="n"/>
      <c r="K229" s="25">
        <f>IF(OR(I229="",J229=""),"",I229*J229/1000)</f>
        <v/>
      </c>
      <c r="L229" s="26" t="n"/>
      <c r="M229" s="26" t="n"/>
      <c r="N229" s="27">
        <f>IF(OR(B229="",C229=""),"",IF(M229&lt;&gt;"",M229,IF(AND(N(L229)&gt;0,N(K229)&gt;0),L229/K229,"")))</f>
        <v/>
      </c>
      <c r="O229" s="15">
        <f>IF(C229="","",IFERROR(INDEX(Agentes!$D$6:$D$60,MATCH(C229,Agentes!$A$6:$A$60,0)),""))</f>
        <v/>
      </c>
      <c r="P229" s="28">
        <f>IF(OR(H229="",O229=""),"",IF(AND(O229="Inhalable",LEFT(H229,6)="Casete"),"Subestima: el casete cerrado no colecta toda la fracción inhalable",IF(AND(O229="Respirable",LEFT(H229,6)&lt;&gt;"Ciclón"),"Requiere ciclón (fracción respirable)",IF(AND(O229="Inhalable",ISNUMBER(SEARCH("Respirable",IFERROR(INDEX(Agentes!$C$80:$C$87,MATCH(H229,Agentes!$B$80:$B$87,0)),"")))),"El ciclón no colecta la fracción inhalable","Coherente"))))</f>
        <v/>
      </c>
      <c r="Q229" s="22">
        <f>IF(Y229="","",IFERROR(INDEX(GES!$W$6:$W$35,MATCH(Y229,GES!$R$6:$R$35,0)),""))</f>
        <v/>
      </c>
      <c r="R229" s="29">
        <f>IF(AND(ISNUMBER(N229),ISNUMBER(Q229)),N229/Q229,"")</f>
        <v/>
      </c>
      <c r="S229" s="15">
        <f>IF(C229="","",IFERROR(INDEX(Agentes!$I$6:$I$60,MATCH(C229,Agentes!$A$6:$A$60,0)),""))</f>
        <v/>
      </c>
      <c r="T229" s="8" t="n"/>
      <c r="U229" s="15">
        <f>IF(ISNUMBER(N229),IF(N229&gt;0,LN(N229),""),"")</f>
        <v/>
      </c>
      <c r="V229" s="15">
        <f>IF(ISNUMBER(U229),IFERROR((U229-LN(IFERROR(INDEX(Estadística!$K$6:$K$35,MATCH(Y229,Estadística!$Y$6:$Y$35,0)),0)))^2,""),"")</f>
        <v/>
      </c>
      <c r="W229" s="15">
        <f>IF(ISNUMBER(N229),IFERROR((N229-IFERROR(INDEX(Estadística!$I$6:$I$35,MATCH(Y229,Estadística!$Y$6:$Y$35,0)),0))^2,""),"")</f>
        <v/>
      </c>
      <c r="X229" s="15">
        <f>IF(ISNUMBER(R229),IF(R229&gt;1,1,0),"")</f>
        <v/>
      </c>
      <c r="Y229" s="15">
        <f>IF(OR(B229="",C229=""),"",B229&amp;"|"&amp;C229)</f>
        <v/>
      </c>
    </row>
    <row r="230">
      <c r="A230" s="23" t="n">
        <v>225</v>
      </c>
      <c r="B230" s="8" t="n"/>
      <c r="C230" s="8" t="n"/>
      <c r="D230" s="9" t="n"/>
      <c r="E230" s="8" t="n"/>
      <c r="F230" s="8" t="n"/>
      <c r="G230" s="8" t="n"/>
      <c r="H230" s="8" t="n"/>
      <c r="I230" s="24" t="n"/>
      <c r="J230" s="8" t="n"/>
      <c r="K230" s="25">
        <f>IF(OR(I230="",J230=""),"",I230*J230/1000)</f>
        <v/>
      </c>
      <c r="L230" s="26" t="n"/>
      <c r="M230" s="26" t="n"/>
      <c r="N230" s="27">
        <f>IF(OR(B230="",C230=""),"",IF(M230&lt;&gt;"",M230,IF(AND(N(L230)&gt;0,N(K230)&gt;0),L230/K230,"")))</f>
        <v/>
      </c>
      <c r="O230" s="15">
        <f>IF(C230="","",IFERROR(INDEX(Agentes!$D$6:$D$60,MATCH(C230,Agentes!$A$6:$A$60,0)),""))</f>
        <v/>
      </c>
      <c r="P230" s="28">
        <f>IF(OR(H230="",O230=""),"",IF(AND(O230="Inhalable",LEFT(H230,6)="Casete"),"Subestima: el casete cerrado no colecta toda la fracción inhalable",IF(AND(O230="Respirable",LEFT(H230,6)&lt;&gt;"Ciclón"),"Requiere ciclón (fracción respirable)",IF(AND(O230="Inhalable",ISNUMBER(SEARCH("Respirable",IFERROR(INDEX(Agentes!$C$80:$C$87,MATCH(H230,Agentes!$B$80:$B$87,0)),"")))),"El ciclón no colecta la fracción inhalable","Coherente"))))</f>
        <v/>
      </c>
      <c r="Q230" s="22">
        <f>IF(Y230="","",IFERROR(INDEX(GES!$W$6:$W$35,MATCH(Y230,GES!$R$6:$R$35,0)),""))</f>
        <v/>
      </c>
      <c r="R230" s="29">
        <f>IF(AND(ISNUMBER(N230),ISNUMBER(Q230)),N230/Q230,"")</f>
        <v/>
      </c>
      <c r="S230" s="15">
        <f>IF(C230="","",IFERROR(INDEX(Agentes!$I$6:$I$60,MATCH(C230,Agentes!$A$6:$A$60,0)),""))</f>
        <v/>
      </c>
      <c r="T230" s="8" t="n"/>
      <c r="U230" s="15">
        <f>IF(ISNUMBER(N230),IF(N230&gt;0,LN(N230),""),"")</f>
        <v/>
      </c>
      <c r="V230" s="15">
        <f>IF(ISNUMBER(U230),IFERROR((U230-LN(IFERROR(INDEX(Estadística!$K$6:$K$35,MATCH(Y230,Estadística!$Y$6:$Y$35,0)),0)))^2,""),"")</f>
        <v/>
      </c>
      <c r="W230" s="15">
        <f>IF(ISNUMBER(N230),IFERROR((N230-IFERROR(INDEX(Estadística!$I$6:$I$35,MATCH(Y230,Estadística!$Y$6:$Y$35,0)),0))^2,""),"")</f>
        <v/>
      </c>
      <c r="X230" s="15">
        <f>IF(ISNUMBER(R230),IF(R230&gt;1,1,0),"")</f>
        <v/>
      </c>
      <c r="Y230" s="15">
        <f>IF(OR(B230="",C230=""),"",B230&amp;"|"&amp;C230)</f>
        <v/>
      </c>
    </row>
    <row r="231">
      <c r="A231" s="23" t="n">
        <v>226</v>
      </c>
      <c r="B231" s="8" t="n"/>
      <c r="C231" s="8" t="n"/>
      <c r="D231" s="9" t="n"/>
      <c r="E231" s="8" t="n"/>
      <c r="F231" s="8" t="n"/>
      <c r="G231" s="8" t="n"/>
      <c r="H231" s="8" t="n"/>
      <c r="I231" s="24" t="n"/>
      <c r="J231" s="8" t="n"/>
      <c r="K231" s="25">
        <f>IF(OR(I231="",J231=""),"",I231*J231/1000)</f>
        <v/>
      </c>
      <c r="L231" s="26" t="n"/>
      <c r="M231" s="26" t="n"/>
      <c r="N231" s="27">
        <f>IF(OR(B231="",C231=""),"",IF(M231&lt;&gt;"",M231,IF(AND(N(L231)&gt;0,N(K231)&gt;0),L231/K231,"")))</f>
        <v/>
      </c>
      <c r="O231" s="15">
        <f>IF(C231="","",IFERROR(INDEX(Agentes!$D$6:$D$60,MATCH(C231,Agentes!$A$6:$A$60,0)),""))</f>
        <v/>
      </c>
      <c r="P231" s="28">
        <f>IF(OR(H231="",O231=""),"",IF(AND(O231="Inhalable",LEFT(H231,6)="Casete"),"Subestima: el casete cerrado no colecta toda la fracción inhalable",IF(AND(O231="Respirable",LEFT(H231,6)&lt;&gt;"Ciclón"),"Requiere ciclón (fracción respirable)",IF(AND(O231="Inhalable",ISNUMBER(SEARCH("Respirable",IFERROR(INDEX(Agentes!$C$80:$C$87,MATCH(H231,Agentes!$B$80:$B$87,0)),"")))),"El ciclón no colecta la fracción inhalable","Coherente"))))</f>
        <v/>
      </c>
      <c r="Q231" s="22">
        <f>IF(Y231="","",IFERROR(INDEX(GES!$W$6:$W$35,MATCH(Y231,GES!$R$6:$R$35,0)),""))</f>
        <v/>
      </c>
      <c r="R231" s="29">
        <f>IF(AND(ISNUMBER(N231),ISNUMBER(Q231)),N231/Q231,"")</f>
        <v/>
      </c>
      <c r="S231" s="15">
        <f>IF(C231="","",IFERROR(INDEX(Agentes!$I$6:$I$60,MATCH(C231,Agentes!$A$6:$A$60,0)),""))</f>
        <v/>
      </c>
      <c r="T231" s="8" t="n"/>
      <c r="U231" s="15">
        <f>IF(ISNUMBER(N231),IF(N231&gt;0,LN(N231),""),"")</f>
        <v/>
      </c>
      <c r="V231" s="15">
        <f>IF(ISNUMBER(U231),IFERROR((U231-LN(IFERROR(INDEX(Estadística!$K$6:$K$35,MATCH(Y231,Estadística!$Y$6:$Y$35,0)),0)))^2,""),"")</f>
        <v/>
      </c>
      <c r="W231" s="15">
        <f>IF(ISNUMBER(N231),IFERROR((N231-IFERROR(INDEX(Estadística!$I$6:$I$35,MATCH(Y231,Estadística!$Y$6:$Y$35,0)),0))^2,""),"")</f>
        <v/>
      </c>
      <c r="X231" s="15">
        <f>IF(ISNUMBER(R231),IF(R231&gt;1,1,0),"")</f>
        <v/>
      </c>
      <c r="Y231" s="15">
        <f>IF(OR(B231="",C231=""),"",B231&amp;"|"&amp;C231)</f>
        <v/>
      </c>
    </row>
    <row r="232">
      <c r="A232" s="23" t="n">
        <v>227</v>
      </c>
      <c r="B232" s="8" t="n"/>
      <c r="C232" s="8" t="n"/>
      <c r="D232" s="9" t="n"/>
      <c r="E232" s="8" t="n"/>
      <c r="F232" s="8" t="n"/>
      <c r="G232" s="8" t="n"/>
      <c r="H232" s="8" t="n"/>
      <c r="I232" s="24" t="n"/>
      <c r="J232" s="8" t="n"/>
      <c r="K232" s="25">
        <f>IF(OR(I232="",J232=""),"",I232*J232/1000)</f>
        <v/>
      </c>
      <c r="L232" s="26" t="n"/>
      <c r="M232" s="26" t="n"/>
      <c r="N232" s="27">
        <f>IF(OR(B232="",C232=""),"",IF(M232&lt;&gt;"",M232,IF(AND(N(L232)&gt;0,N(K232)&gt;0),L232/K232,"")))</f>
        <v/>
      </c>
      <c r="O232" s="15">
        <f>IF(C232="","",IFERROR(INDEX(Agentes!$D$6:$D$60,MATCH(C232,Agentes!$A$6:$A$60,0)),""))</f>
        <v/>
      </c>
      <c r="P232" s="28">
        <f>IF(OR(H232="",O232=""),"",IF(AND(O232="Inhalable",LEFT(H232,6)="Casete"),"Subestima: el casete cerrado no colecta toda la fracción inhalable",IF(AND(O232="Respirable",LEFT(H232,6)&lt;&gt;"Ciclón"),"Requiere ciclón (fracción respirable)",IF(AND(O232="Inhalable",ISNUMBER(SEARCH("Respirable",IFERROR(INDEX(Agentes!$C$80:$C$87,MATCH(H232,Agentes!$B$80:$B$87,0)),"")))),"El ciclón no colecta la fracción inhalable","Coherente"))))</f>
        <v/>
      </c>
      <c r="Q232" s="22">
        <f>IF(Y232="","",IFERROR(INDEX(GES!$W$6:$W$35,MATCH(Y232,GES!$R$6:$R$35,0)),""))</f>
        <v/>
      </c>
      <c r="R232" s="29">
        <f>IF(AND(ISNUMBER(N232),ISNUMBER(Q232)),N232/Q232,"")</f>
        <v/>
      </c>
      <c r="S232" s="15">
        <f>IF(C232="","",IFERROR(INDEX(Agentes!$I$6:$I$60,MATCH(C232,Agentes!$A$6:$A$60,0)),""))</f>
        <v/>
      </c>
      <c r="T232" s="8" t="n"/>
      <c r="U232" s="15">
        <f>IF(ISNUMBER(N232),IF(N232&gt;0,LN(N232),""),"")</f>
        <v/>
      </c>
      <c r="V232" s="15">
        <f>IF(ISNUMBER(U232),IFERROR((U232-LN(IFERROR(INDEX(Estadística!$K$6:$K$35,MATCH(Y232,Estadística!$Y$6:$Y$35,0)),0)))^2,""),"")</f>
        <v/>
      </c>
      <c r="W232" s="15">
        <f>IF(ISNUMBER(N232),IFERROR((N232-IFERROR(INDEX(Estadística!$I$6:$I$35,MATCH(Y232,Estadística!$Y$6:$Y$35,0)),0))^2,""),"")</f>
        <v/>
      </c>
      <c r="X232" s="15">
        <f>IF(ISNUMBER(R232),IF(R232&gt;1,1,0),"")</f>
        <v/>
      </c>
      <c r="Y232" s="15">
        <f>IF(OR(B232="",C232=""),"",B232&amp;"|"&amp;C232)</f>
        <v/>
      </c>
    </row>
    <row r="233">
      <c r="A233" s="23" t="n">
        <v>228</v>
      </c>
      <c r="B233" s="8" t="n"/>
      <c r="C233" s="8" t="n"/>
      <c r="D233" s="9" t="n"/>
      <c r="E233" s="8" t="n"/>
      <c r="F233" s="8" t="n"/>
      <c r="G233" s="8" t="n"/>
      <c r="H233" s="8" t="n"/>
      <c r="I233" s="24" t="n"/>
      <c r="J233" s="8" t="n"/>
      <c r="K233" s="25">
        <f>IF(OR(I233="",J233=""),"",I233*J233/1000)</f>
        <v/>
      </c>
      <c r="L233" s="26" t="n"/>
      <c r="M233" s="26" t="n"/>
      <c r="N233" s="27">
        <f>IF(OR(B233="",C233=""),"",IF(M233&lt;&gt;"",M233,IF(AND(N(L233)&gt;0,N(K233)&gt;0),L233/K233,"")))</f>
        <v/>
      </c>
      <c r="O233" s="15">
        <f>IF(C233="","",IFERROR(INDEX(Agentes!$D$6:$D$60,MATCH(C233,Agentes!$A$6:$A$60,0)),""))</f>
        <v/>
      </c>
      <c r="P233" s="28">
        <f>IF(OR(H233="",O233=""),"",IF(AND(O233="Inhalable",LEFT(H233,6)="Casete"),"Subestima: el casete cerrado no colecta toda la fracción inhalable",IF(AND(O233="Respirable",LEFT(H233,6)&lt;&gt;"Ciclón"),"Requiere ciclón (fracción respirable)",IF(AND(O233="Inhalable",ISNUMBER(SEARCH("Respirable",IFERROR(INDEX(Agentes!$C$80:$C$87,MATCH(H233,Agentes!$B$80:$B$87,0)),"")))),"El ciclón no colecta la fracción inhalable","Coherente"))))</f>
        <v/>
      </c>
      <c r="Q233" s="22">
        <f>IF(Y233="","",IFERROR(INDEX(GES!$W$6:$W$35,MATCH(Y233,GES!$R$6:$R$35,0)),""))</f>
        <v/>
      </c>
      <c r="R233" s="29">
        <f>IF(AND(ISNUMBER(N233),ISNUMBER(Q233)),N233/Q233,"")</f>
        <v/>
      </c>
      <c r="S233" s="15">
        <f>IF(C233="","",IFERROR(INDEX(Agentes!$I$6:$I$60,MATCH(C233,Agentes!$A$6:$A$60,0)),""))</f>
        <v/>
      </c>
      <c r="T233" s="8" t="n"/>
      <c r="U233" s="15">
        <f>IF(ISNUMBER(N233),IF(N233&gt;0,LN(N233),""),"")</f>
        <v/>
      </c>
      <c r="V233" s="15">
        <f>IF(ISNUMBER(U233),IFERROR((U233-LN(IFERROR(INDEX(Estadística!$K$6:$K$35,MATCH(Y233,Estadística!$Y$6:$Y$35,0)),0)))^2,""),"")</f>
        <v/>
      </c>
      <c r="W233" s="15">
        <f>IF(ISNUMBER(N233),IFERROR((N233-IFERROR(INDEX(Estadística!$I$6:$I$35,MATCH(Y233,Estadística!$Y$6:$Y$35,0)),0))^2,""),"")</f>
        <v/>
      </c>
      <c r="X233" s="15">
        <f>IF(ISNUMBER(R233),IF(R233&gt;1,1,0),"")</f>
        <v/>
      </c>
      <c r="Y233" s="15">
        <f>IF(OR(B233="",C233=""),"",B233&amp;"|"&amp;C233)</f>
        <v/>
      </c>
    </row>
    <row r="234">
      <c r="A234" s="23" t="n">
        <v>229</v>
      </c>
      <c r="B234" s="8" t="n"/>
      <c r="C234" s="8" t="n"/>
      <c r="D234" s="9" t="n"/>
      <c r="E234" s="8" t="n"/>
      <c r="F234" s="8" t="n"/>
      <c r="G234" s="8" t="n"/>
      <c r="H234" s="8" t="n"/>
      <c r="I234" s="24" t="n"/>
      <c r="J234" s="8" t="n"/>
      <c r="K234" s="25">
        <f>IF(OR(I234="",J234=""),"",I234*J234/1000)</f>
        <v/>
      </c>
      <c r="L234" s="26" t="n"/>
      <c r="M234" s="26" t="n"/>
      <c r="N234" s="27">
        <f>IF(OR(B234="",C234=""),"",IF(M234&lt;&gt;"",M234,IF(AND(N(L234)&gt;0,N(K234)&gt;0),L234/K234,"")))</f>
        <v/>
      </c>
      <c r="O234" s="15">
        <f>IF(C234="","",IFERROR(INDEX(Agentes!$D$6:$D$60,MATCH(C234,Agentes!$A$6:$A$60,0)),""))</f>
        <v/>
      </c>
      <c r="P234" s="28">
        <f>IF(OR(H234="",O234=""),"",IF(AND(O234="Inhalable",LEFT(H234,6)="Casete"),"Subestima: el casete cerrado no colecta toda la fracción inhalable",IF(AND(O234="Respirable",LEFT(H234,6)&lt;&gt;"Ciclón"),"Requiere ciclón (fracción respirable)",IF(AND(O234="Inhalable",ISNUMBER(SEARCH("Respirable",IFERROR(INDEX(Agentes!$C$80:$C$87,MATCH(H234,Agentes!$B$80:$B$87,0)),"")))),"El ciclón no colecta la fracción inhalable","Coherente"))))</f>
        <v/>
      </c>
      <c r="Q234" s="22">
        <f>IF(Y234="","",IFERROR(INDEX(GES!$W$6:$W$35,MATCH(Y234,GES!$R$6:$R$35,0)),""))</f>
        <v/>
      </c>
      <c r="R234" s="29">
        <f>IF(AND(ISNUMBER(N234),ISNUMBER(Q234)),N234/Q234,"")</f>
        <v/>
      </c>
      <c r="S234" s="15">
        <f>IF(C234="","",IFERROR(INDEX(Agentes!$I$6:$I$60,MATCH(C234,Agentes!$A$6:$A$60,0)),""))</f>
        <v/>
      </c>
      <c r="T234" s="8" t="n"/>
      <c r="U234" s="15">
        <f>IF(ISNUMBER(N234),IF(N234&gt;0,LN(N234),""),"")</f>
        <v/>
      </c>
      <c r="V234" s="15">
        <f>IF(ISNUMBER(U234),IFERROR((U234-LN(IFERROR(INDEX(Estadística!$K$6:$K$35,MATCH(Y234,Estadística!$Y$6:$Y$35,0)),0)))^2,""),"")</f>
        <v/>
      </c>
      <c r="W234" s="15">
        <f>IF(ISNUMBER(N234),IFERROR((N234-IFERROR(INDEX(Estadística!$I$6:$I$35,MATCH(Y234,Estadística!$Y$6:$Y$35,0)),0))^2,""),"")</f>
        <v/>
      </c>
      <c r="X234" s="15">
        <f>IF(ISNUMBER(R234),IF(R234&gt;1,1,0),"")</f>
        <v/>
      </c>
      <c r="Y234" s="15">
        <f>IF(OR(B234="",C234=""),"",B234&amp;"|"&amp;C234)</f>
        <v/>
      </c>
    </row>
    <row r="235">
      <c r="A235" s="23" t="n">
        <v>230</v>
      </c>
      <c r="B235" s="8" t="n"/>
      <c r="C235" s="8" t="n"/>
      <c r="D235" s="9" t="n"/>
      <c r="E235" s="8" t="n"/>
      <c r="F235" s="8" t="n"/>
      <c r="G235" s="8" t="n"/>
      <c r="H235" s="8" t="n"/>
      <c r="I235" s="24" t="n"/>
      <c r="J235" s="8" t="n"/>
      <c r="K235" s="25">
        <f>IF(OR(I235="",J235=""),"",I235*J235/1000)</f>
        <v/>
      </c>
      <c r="L235" s="26" t="n"/>
      <c r="M235" s="26" t="n"/>
      <c r="N235" s="27">
        <f>IF(OR(B235="",C235=""),"",IF(M235&lt;&gt;"",M235,IF(AND(N(L235)&gt;0,N(K235)&gt;0),L235/K235,"")))</f>
        <v/>
      </c>
      <c r="O235" s="15">
        <f>IF(C235="","",IFERROR(INDEX(Agentes!$D$6:$D$60,MATCH(C235,Agentes!$A$6:$A$60,0)),""))</f>
        <v/>
      </c>
      <c r="P235" s="28">
        <f>IF(OR(H235="",O235=""),"",IF(AND(O235="Inhalable",LEFT(H235,6)="Casete"),"Subestima: el casete cerrado no colecta toda la fracción inhalable",IF(AND(O235="Respirable",LEFT(H235,6)&lt;&gt;"Ciclón"),"Requiere ciclón (fracción respirable)",IF(AND(O235="Inhalable",ISNUMBER(SEARCH("Respirable",IFERROR(INDEX(Agentes!$C$80:$C$87,MATCH(H235,Agentes!$B$80:$B$87,0)),"")))),"El ciclón no colecta la fracción inhalable","Coherente"))))</f>
        <v/>
      </c>
      <c r="Q235" s="22">
        <f>IF(Y235="","",IFERROR(INDEX(GES!$W$6:$W$35,MATCH(Y235,GES!$R$6:$R$35,0)),""))</f>
        <v/>
      </c>
      <c r="R235" s="29">
        <f>IF(AND(ISNUMBER(N235),ISNUMBER(Q235)),N235/Q235,"")</f>
        <v/>
      </c>
      <c r="S235" s="15">
        <f>IF(C235="","",IFERROR(INDEX(Agentes!$I$6:$I$60,MATCH(C235,Agentes!$A$6:$A$60,0)),""))</f>
        <v/>
      </c>
      <c r="T235" s="8" t="n"/>
      <c r="U235" s="15">
        <f>IF(ISNUMBER(N235),IF(N235&gt;0,LN(N235),""),"")</f>
        <v/>
      </c>
      <c r="V235" s="15">
        <f>IF(ISNUMBER(U235),IFERROR((U235-LN(IFERROR(INDEX(Estadística!$K$6:$K$35,MATCH(Y235,Estadística!$Y$6:$Y$35,0)),0)))^2,""),"")</f>
        <v/>
      </c>
      <c r="W235" s="15">
        <f>IF(ISNUMBER(N235),IFERROR((N235-IFERROR(INDEX(Estadística!$I$6:$I$35,MATCH(Y235,Estadística!$Y$6:$Y$35,0)),0))^2,""),"")</f>
        <v/>
      </c>
      <c r="X235" s="15">
        <f>IF(ISNUMBER(R235),IF(R235&gt;1,1,0),"")</f>
        <v/>
      </c>
      <c r="Y235" s="15">
        <f>IF(OR(B235="",C235=""),"",B235&amp;"|"&amp;C235)</f>
        <v/>
      </c>
    </row>
    <row r="236">
      <c r="A236" s="23" t="n">
        <v>231</v>
      </c>
      <c r="B236" s="8" t="n"/>
      <c r="C236" s="8" t="n"/>
      <c r="D236" s="9" t="n"/>
      <c r="E236" s="8" t="n"/>
      <c r="F236" s="8" t="n"/>
      <c r="G236" s="8" t="n"/>
      <c r="H236" s="8" t="n"/>
      <c r="I236" s="24" t="n"/>
      <c r="J236" s="8" t="n"/>
      <c r="K236" s="25">
        <f>IF(OR(I236="",J236=""),"",I236*J236/1000)</f>
        <v/>
      </c>
      <c r="L236" s="26" t="n"/>
      <c r="M236" s="26" t="n"/>
      <c r="N236" s="27">
        <f>IF(OR(B236="",C236=""),"",IF(M236&lt;&gt;"",M236,IF(AND(N(L236)&gt;0,N(K236)&gt;0),L236/K236,"")))</f>
        <v/>
      </c>
      <c r="O236" s="15">
        <f>IF(C236="","",IFERROR(INDEX(Agentes!$D$6:$D$60,MATCH(C236,Agentes!$A$6:$A$60,0)),""))</f>
        <v/>
      </c>
      <c r="P236" s="28">
        <f>IF(OR(H236="",O236=""),"",IF(AND(O236="Inhalable",LEFT(H236,6)="Casete"),"Subestima: el casete cerrado no colecta toda la fracción inhalable",IF(AND(O236="Respirable",LEFT(H236,6)&lt;&gt;"Ciclón"),"Requiere ciclón (fracción respirable)",IF(AND(O236="Inhalable",ISNUMBER(SEARCH("Respirable",IFERROR(INDEX(Agentes!$C$80:$C$87,MATCH(H236,Agentes!$B$80:$B$87,0)),"")))),"El ciclón no colecta la fracción inhalable","Coherente"))))</f>
        <v/>
      </c>
      <c r="Q236" s="22">
        <f>IF(Y236="","",IFERROR(INDEX(GES!$W$6:$W$35,MATCH(Y236,GES!$R$6:$R$35,0)),""))</f>
        <v/>
      </c>
      <c r="R236" s="29">
        <f>IF(AND(ISNUMBER(N236),ISNUMBER(Q236)),N236/Q236,"")</f>
        <v/>
      </c>
      <c r="S236" s="15">
        <f>IF(C236="","",IFERROR(INDEX(Agentes!$I$6:$I$60,MATCH(C236,Agentes!$A$6:$A$60,0)),""))</f>
        <v/>
      </c>
      <c r="T236" s="8" t="n"/>
      <c r="U236" s="15">
        <f>IF(ISNUMBER(N236),IF(N236&gt;0,LN(N236),""),"")</f>
        <v/>
      </c>
      <c r="V236" s="15">
        <f>IF(ISNUMBER(U236),IFERROR((U236-LN(IFERROR(INDEX(Estadística!$K$6:$K$35,MATCH(Y236,Estadística!$Y$6:$Y$35,0)),0)))^2,""),"")</f>
        <v/>
      </c>
      <c r="W236" s="15">
        <f>IF(ISNUMBER(N236),IFERROR((N236-IFERROR(INDEX(Estadística!$I$6:$I$35,MATCH(Y236,Estadística!$Y$6:$Y$35,0)),0))^2,""),"")</f>
        <v/>
      </c>
      <c r="X236" s="15">
        <f>IF(ISNUMBER(R236),IF(R236&gt;1,1,0),"")</f>
        <v/>
      </c>
      <c r="Y236" s="15">
        <f>IF(OR(B236="",C236=""),"",B236&amp;"|"&amp;C236)</f>
        <v/>
      </c>
    </row>
    <row r="237">
      <c r="A237" s="23" t="n">
        <v>232</v>
      </c>
      <c r="B237" s="8" t="n"/>
      <c r="C237" s="8" t="n"/>
      <c r="D237" s="9" t="n"/>
      <c r="E237" s="8" t="n"/>
      <c r="F237" s="8" t="n"/>
      <c r="G237" s="8" t="n"/>
      <c r="H237" s="8" t="n"/>
      <c r="I237" s="24" t="n"/>
      <c r="J237" s="8" t="n"/>
      <c r="K237" s="25">
        <f>IF(OR(I237="",J237=""),"",I237*J237/1000)</f>
        <v/>
      </c>
      <c r="L237" s="26" t="n"/>
      <c r="M237" s="26" t="n"/>
      <c r="N237" s="27">
        <f>IF(OR(B237="",C237=""),"",IF(M237&lt;&gt;"",M237,IF(AND(N(L237)&gt;0,N(K237)&gt;0),L237/K237,"")))</f>
        <v/>
      </c>
      <c r="O237" s="15">
        <f>IF(C237="","",IFERROR(INDEX(Agentes!$D$6:$D$60,MATCH(C237,Agentes!$A$6:$A$60,0)),""))</f>
        <v/>
      </c>
      <c r="P237" s="28">
        <f>IF(OR(H237="",O237=""),"",IF(AND(O237="Inhalable",LEFT(H237,6)="Casete"),"Subestima: el casete cerrado no colecta toda la fracción inhalable",IF(AND(O237="Respirable",LEFT(H237,6)&lt;&gt;"Ciclón"),"Requiere ciclón (fracción respirable)",IF(AND(O237="Inhalable",ISNUMBER(SEARCH("Respirable",IFERROR(INDEX(Agentes!$C$80:$C$87,MATCH(H237,Agentes!$B$80:$B$87,0)),"")))),"El ciclón no colecta la fracción inhalable","Coherente"))))</f>
        <v/>
      </c>
      <c r="Q237" s="22">
        <f>IF(Y237="","",IFERROR(INDEX(GES!$W$6:$W$35,MATCH(Y237,GES!$R$6:$R$35,0)),""))</f>
        <v/>
      </c>
      <c r="R237" s="29">
        <f>IF(AND(ISNUMBER(N237),ISNUMBER(Q237)),N237/Q237,"")</f>
        <v/>
      </c>
      <c r="S237" s="15">
        <f>IF(C237="","",IFERROR(INDEX(Agentes!$I$6:$I$60,MATCH(C237,Agentes!$A$6:$A$60,0)),""))</f>
        <v/>
      </c>
      <c r="T237" s="8" t="n"/>
      <c r="U237" s="15">
        <f>IF(ISNUMBER(N237),IF(N237&gt;0,LN(N237),""),"")</f>
        <v/>
      </c>
      <c r="V237" s="15">
        <f>IF(ISNUMBER(U237),IFERROR((U237-LN(IFERROR(INDEX(Estadística!$K$6:$K$35,MATCH(Y237,Estadística!$Y$6:$Y$35,0)),0)))^2,""),"")</f>
        <v/>
      </c>
      <c r="W237" s="15">
        <f>IF(ISNUMBER(N237),IFERROR((N237-IFERROR(INDEX(Estadística!$I$6:$I$35,MATCH(Y237,Estadística!$Y$6:$Y$35,0)),0))^2,""),"")</f>
        <v/>
      </c>
      <c r="X237" s="15">
        <f>IF(ISNUMBER(R237),IF(R237&gt;1,1,0),"")</f>
        <v/>
      </c>
      <c r="Y237" s="15">
        <f>IF(OR(B237="",C237=""),"",B237&amp;"|"&amp;C237)</f>
        <v/>
      </c>
    </row>
    <row r="238">
      <c r="A238" s="23" t="n">
        <v>233</v>
      </c>
      <c r="B238" s="8" t="n"/>
      <c r="C238" s="8" t="n"/>
      <c r="D238" s="9" t="n"/>
      <c r="E238" s="8" t="n"/>
      <c r="F238" s="8" t="n"/>
      <c r="G238" s="8" t="n"/>
      <c r="H238" s="8" t="n"/>
      <c r="I238" s="24" t="n"/>
      <c r="J238" s="8" t="n"/>
      <c r="K238" s="25">
        <f>IF(OR(I238="",J238=""),"",I238*J238/1000)</f>
        <v/>
      </c>
      <c r="L238" s="26" t="n"/>
      <c r="M238" s="26" t="n"/>
      <c r="N238" s="27">
        <f>IF(OR(B238="",C238=""),"",IF(M238&lt;&gt;"",M238,IF(AND(N(L238)&gt;0,N(K238)&gt;0),L238/K238,"")))</f>
        <v/>
      </c>
      <c r="O238" s="15">
        <f>IF(C238="","",IFERROR(INDEX(Agentes!$D$6:$D$60,MATCH(C238,Agentes!$A$6:$A$60,0)),""))</f>
        <v/>
      </c>
      <c r="P238" s="28">
        <f>IF(OR(H238="",O238=""),"",IF(AND(O238="Inhalable",LEFT(H238,6)="Casete"),"Subestima: el casete cerrado no colecta toda la fracción inhalable",IF(AND(O238="Respirable",LEFT(H238,6)&lt;&gt;"Ciclón"),"Requiere ciclón (fracción respirable)",IF(AND(O238="Inhalable",ISNUMBER(SEARCH("Respirable",IFERROR(INDEX(Agentes!$C$80:$C$87,MATCH(H238,Agentes!$B$80:$B$87,0)),"")))),"El ciclón no colecta la fracción inhalable","Coherente"))))</f>
        <v/>
      </c>
      <c r="Q238" s="22">
        <f>IF(Y238="","",IFERROR(INDEX(GES!$W$6:$W$35,MATCH(Y238,GES!$R$6:$R$35,0)),""))</f>
        <v/>
      </c>
      <c r="R238" s="29">
        <f>IF(AND(ISNUMBER(N238),ISNUMBER(Q238)),N238/Q238,"")</f>
        <v/>
      </c>
      <c r="S238" s="15">
        <f>IF(C238="","",IFERROR(INDEX(Agentes!$I$6:$I$60,MATCH(C238,Agentes!$A$6:$A$60,0)),""))</f>
        <v/>
      </c>
      <c r="T238" s="8" t="n"/>
      <c r="U238" s="15">
        <f>IF(ISNUMBER(N238),IF(N238&gt;0,LN(N238),""),"")</f>
        <v/>
      </c>
      <c r="V238" s="15">
        <f>IF(ISNUMBER(U238),IFERROR((U238-LN(IFERROR(INDEX(Estadística!$K$6:$K$35,MATCH(Y238,Estadística!$Y$6:$Y$35,0)),0)))^2,""),"")</f>
        <v/>
      </c>
      <c r="W238" s="15">
        <f>IF(ISNUMBER(N238),IFERROR((N238-IFERROR(INDEX(Estadística!$I$6:$I$35,MATCH(Y238,Estadística!$Y$6:$Y$35,0)),0))^2,""),"")</f>
        <v/>
      </c>
      <c r="X238" s="15">
        <f>IF(ISNUMBER(R238),IF(R238&gt;1,1,0),"")</f>
        <v/>
      </c>
      <c r="Y238" s="15">
        <f>IF(OR(B238="",C238=""),"",B238&amp;"|"&amp;C238)</f>
        <v/>
      </c>
    </row>
    <row r="239">
      <c r="A239" s="23" t="n">
        <v>234</v>
      </c>
      <c r="B239" s="8" t="n"/>
      <c r="C239" s="8" t="n"/>
      <c r="D239" s="9" t="n"/>
      <c r="E239" s="8" t="n"/>
      <c r="F239" s="8" t="n"/>
      <c r="G239" s="8" t="n"/>
      <c r="H239" s="8" t="n"/>
      <c r="I239" s="24" t="n"/>
      <c r="J239" s="8" t="n"/>
      <c r="K239" s="25">
        <f>IF(OR(I239="",J239=""),"",I239*J239/1000)</f>
        <v/>
      </c>
      <c r="L239" s="26" t="n"/>
      <c r="M239" s="26" t="n"/>
      <c r="N239" s="27">
        <f>IF(OR(B239="",C239=""),"",IF(M239&lt;&gt;"",M239,IF(AND(N(L239)&gt;0,N(K239)&gt;0),L239/K239,"")))</f>
        <v/>
      </c>
      <c r="O239" s="15">
        <f>IF(C239="","",IFERROR(INDEX(Agentes!$D$6:$D$60,MATCH(C239,Agentes!$A$6:$A$60,0)),""))</f>
        <v/>
      </c>
      <c r="P239" s="28">
        <f>IF(OR(H239="",O239=""),"",IF(AND(O239="Inhalable",LEFT(H239,6)="Casete"),"Subestima: el casete cerrado no colecta toda la fracción inhalable",IF(AND(O239="Respirable",LEFT(H239,6)&lt;&gt;"Ciclón"),"Requiere ciclón (fracción respirable)",IF(AND(O239="Inhalable",ISNUMBER(SEARCH("Respirable",IFERROR(INDEX(Agentes!$C$80:$C$87,MATCH(H239,Agentes!$B$80:$B$87,0)),"")))),"El ciclón no colecta la fracción inhalable","Coherente"))))</f>
        <v/>
      </c>
      <c r="Q239" s="22">
        <f>IF(Y239="","",IFERROR(INDEX(GES!$W$6:$W$35,MATCH(Y239,GES!$R$6:$R$35,0)),""))</f>
        <v/>
      </c>
      <c r="R239" s="29">
        <f>IF(AND(ISNUMBER(N239),ISNUMBER(Q239)),N239/Q239,"")</f>
        <v/>
      </c>
      <c r="S239" s="15">
        <f>IF(C239="","",IFERROR(INDEX(Agentes!$I$6:$I$60,MATCH(C239,Agentes!$A$6:$A$60,0)),""))</f>
        <v/>
      </c>
      <c r="T239" s="8" t="n"/>
      <c r="U239" s="15">
        <f>IF(ISNUMBER(N239),IF(N239&gt;0,LN(N239),""),"")</f>
        <v/>
      </c>
      <c r="V239" s="15">
        <f>IF(ISNUMBER(U239),IFERROR((U239-LN(IFERROR(INDEX(Estadística!$K$6:$K$35,MATCH(Y239,Estadística!$Y$6:$Y$35,0)),0)))^2,""),"")</f>
        <v/>
      </c>
      <c r="W239" s="15">
        <f>IF(ISNUMBER(N239),IFERROR((N239-IFERROR(INDEX(Estadística!$I$6:$I$35,MATCH(Y239,Estadística!$Y$6:$Y$35,0)),0))^2,""),"")</f>
        <v/>
      </c>
      <c r="X239" s="15">
        <f>IF(ISNUMBER(R239),IF(R239&gt;1,1,0),"")</f>
        <v/>
      </c>
      <c r="Y239" s="15">
        <f>IF(OR(B239="",C239=""),"",B239&amp;"|"&amp;C239)</f>
        <v/>
      </c>
    </row>
    <row r="240">
      <c r="A240" s="23" t="n">
        <v>235</v>
      </c>
      <c r="B240" s="8" t="n"/>
      <c r="C240" s="8" t="n"/>
      <c r="D240" s="9" t="n"/>
      <c r="E240" s="8" t="n"/>
      <c r="F240" s="8" t="n"/>
      <c r="G240" s="8" t="n"/>
      <c r="H240" s="8" t="n"/>
      <c r="I240" s="24" t="n"/>
      <c r="J240" s="8" t="n"/>
      <c r="K240" s="25">
        <f>IF(OR(I240="",J240=""),"",I240*J240/1000)</f>
        <v/>
      </c>
      <c r="L240" s="26" t="n"/>
      <c r="M240" s="26" t="n"/>
      <c r="N240" s="27">
        <f>IF(OR(B240="",C240=""),"",IF(M240&lt;&gt;"",M240,IF(AND(N(L240)&gt;0,N(K240)&gt;0),L240/K240,"")))</f>
        <v/>
      </c>
      <c r="O240" s="15">
        <f>IF(C240="","",IFERROR(INDEX(Agentes!$D$6:$D$60,MATCH(C240,Agentes!$A$6:$A$60,0)),""))</f>
        <v/>
      </c>
      <c r="P240" s="28">
        <f>IF(OR(H240="",O240=""),"",IF(AND(O240="Inhalable",LEFT(H240,6)="Casete"),"Subestima: el casete cerrado no colecta toda la fracción inhalable",IF(AND(O240="Respirable",LEFT(H240,6)&lt;&gt;"Ciclón"),"Requiere ciclón (fracción respirable)",IF(AND(O240="Inhalable",ISNUMBER(SEARCH("Respirable",IFERROR(INDEX(Agentes!$C$80:$C$87,MATCH(H240,Agentes!$B$80:$B$87,0)),"")))),"El ciclón no colecta la fracción inhalable","Coherente"))))</f>
        <v/>
      </c>
      <c r="Q240" s="22">
        <f>IF(Y240="","",IFERROR(INDEX(GES!$W$6:$W$35,MATCH(Y240,GES!$R$6:$R$35,0)),""))</f>
        <v/>
      </c>
      <c r="R240" s="29">
        <f>IF(AND(ISNUMBER(N240),ISNUMBER(Q240)),N240/Q240,"")</f>
        <v/>
      </c>
      <c r="S240" s="15">
        <f>IF(C240="","",IFERROR(INDEX(Agentes!$I$6:$I$60,MATCH(C240,Agentes!$A$6:$A$60,0)),""))</f>
        <v/>
      </c>
      <c r="T240" s="8" t="n"/>
      <c r="U240" s="15">
        <f>IF(ISNUMBER(N240),IF(N240&gt;0,LN(N240),""),"")</f>
        <v/>
      </c>
      <c r="V240" s="15">
        <f>IF(ISNUMBER(U240),IFERROR((U240-LN(IFERROR(INDEX(Estadística!$K$6:$K$35,MATCH(Y240,Estadística!$Y$6:$Y$35,0)),0)))^2,""),"")</f>
        <v/>
      </c>
      <c r="W240" s="15">
        <f>IF(ISNUMBER(N240),IFERROR((N240-IFERROR(INDEX(Estadística!$I$6:$I$35,MATCH(Y240,Estadística!$Y$6:$Y$35,0)),0))^2,""),"")</f>
        <v/>
      </c>
      <c r="X240" s="15">
        <f>IF(ISNUMBER(R240),IF(R240&gt;1,1,0),"")</f>
        <v/>
      </c>
      <c r="Y240" s="15">
        <f>IF(OR(B240="",C240=""),"",B240&amp;"|"&amp;C240)</f>
        <v/>
      </c>
    </row>
    <row r="241">
      <c r="A241" s="23" t="n">
        <v>236</v>
      </c>
      <c r="B241" s="8" t="n"/>
      <c r="C241" s="8" t="n"/>
      <c r="D241" s="9" t="n"/>
      <c r="E241" s="8" t="n"/>
      <c r="F241" s="8" t="n"/>
      <c r="G241" s="8" t="n"/>
      <c r="H241" s="8" t="n"/>
      <c r="I241" s="24" t="n"/>
      <c r="J241" s="8" t="n"/>
      <c r="K241" s="25">
        <f>IF(OR(I241="",J241=""),"",I241*J241/1000)</f>
        <v/>
      </c>
      <c r="L241" s="26" t="n"/>
      <c r="M241" s="26" t="n"/>
      <c r="N241" s="27">
        <f>IF(OR(B241="",C241=""),"",IF(M241&lt;&gt;"",M241,IF(AND(N(L241)&gt;0,N(K241)&gt;0),L241/K241,"")))</f>
        <v/>
      </c>
      <c r="O241" s="15">
        <f>IF(C241="","",IFERROR(INDEX(Agentes!$D$6:$D$60,MATCH(C241,Agentes!$A$6:$A$60,0)),""))</f>
        <v/>
      </c>
      <c r="P241" s="28">
        <f>IF(OR(H241="",O241=""),"",IF(AND(O241="Inhalable",LEFT(H241,6)="Casete"),"Subestima: el casete cerrado no colecta toda la fracción inhalable",IF(AND(O241="Respirable",LEFT(H241,6)&lt;&gt;"Ciclón"),"Requiere ciclón (fracción respirable)",IF(AND(O241="Inhalable",ISNUMBER(SEARCH("Respirable",IFERROR(INDEX(Agentes!$C$80:$C$87,MATCH(H241,Agentes!$B$80:$B$87,0)),"")))),"El ciclón no colecta la fracción inhalable","Coherente"))))</f>
        <v/>
      </c>
      <c r="Q241" s="22">
        <f>IF(Y241="","",IFERROR(INDEX(GES!$W$6:$W$35,MATCH(Y241,GES!$R$6:$R$35,0)),""))</f>
        <v/>
      </c>
      <c r="R241" s="29">
        <f>IF(AND(ISNUMBER(N241),ISNUMBER(Q241)),N241/Q241,"")</f>
        <v/>
      </c>
      <c r="S241" s="15">
        <f>IF(C241="","",IFERROR(INDEX(Agentes!$I$6:$I$60,MATCH(C241,Agentes!$A$6:$A$60,0)),""))</f>
        <v/>
      </c>
      <c r="T241" s="8" t="n"/>
      <c r="U241" s="15">
        <f>IF(ISNUMBER(N241),IF(N241&gt;0,LN(N241),""),"")</f>
        <v/>
      </c>
      <c r="V241" s="15">
        <f>IF(ISNUMBER(U241),IFERROR((U241-LN(IFERROR(INDEX(Estadística!$K$6:$K$35,MATCH(Y241,Estadística!$Y$6:$Y$35,0)),0)))^2,""),"")</f>
        <v/>
      </c>
      <c r="W241" s="15">
        <f>IF(ISNUMBER(N241),IFERROR((N241-IFERROR(INDEX(Estadística!$I$6:$I$35,MATCH(Y241,Estadística!$Y$6:$Y$35,0)),0))^2,""),"")</f>
        <v/>
      </c>
      <c r="X241" s="15">
        <f>IF(ISNUMBER(R241),IF(R241&gt;1,1,0),"")</f>
        <v/>
      </c>
      <c r="Y241" s="15">
        <f>IF(OR(B241="",C241=""),"",B241&amp;"|"&amp;C241)</f>
        <v/>
      </c>
    </row>
    <row r="242">
      <c r="A242" s="23" t="n">
        <v>237</v>
      </c>
      <c r="B242" s="8" t="n"/>
      <c r="C242" s="8" t="n"/>
      <c r="D242" s="9" t="n"/>
      <c r="E242" s="8" t="n"/>
      <c r="F242" s="8" t="n"/>
      <c r="G242" s="8" t="n"/>
      <c r="H242" s="8" t="n"/>
      <c r="I242" s="24" t="n"/>
      <c r="J242" s="8" t="n"/>
      <c r="K242" s="25">
        <f>IF(OR(I242="",J242=""),"",I242*J242/1000)</f>
        <v/>
      </c>
      <c r="L242" s="26" t="n"/>
      <c r="M242" s="26" t="n"/>
      <c r="N242" s="27">
        <f>IF(OR(B242="",C242=""),"",IF(M242&lt;&gt;"",M242,IF(AND(N(L242)&gt;0,N(K242)&gt;0),L242/K242,"")))</f>
        <v/>
      </c>
      <c r="O242" s="15">
        <f>IF(C242="","",IFERROR(INDEX(Agentes!$D$6:$D$60,MATCH(C242,Agentes!$A$6:$A$60,0)),""))</f>
        <v/>
      </c>
      <c r="P242" s="28">
        <f>IF(OR(H242="",O242=""),"",IF(AND(O242="Inhalable",LEFT(H242,6)="Casete"),"Subestima: el casete cerrado no colecta toda la fracción inhalable",IF(AND(O242="Respirable",LEFT(H242,6)&lt;&gt;"Ciclón"),"Requiere ciclón (fracción respirable)",IF(AND(O242="Inhalable",ISNUMBER(SEARCH("Respirable",IFERROR(INDEX(Agentes!$C$80:$C$87,MATCH(H242,Agentes!$B$80:$B$87,0)),"")))),"El ciclón no colecta la fracción inhalable","Coherente"))))</f>
        <v/>
      </c>
      <c r="Q242" s="22">
        <f>IF(Y242="","",IFERROR(INDEX(GES!$W$6:$W$35,MATCH(Y242,GES!$R$6:$R$35,0)),""))</f>
        <v/>
      </c>
      <c r="R242" s="29">
        <f>IF(AND(ISNUMBER(N242),ISNUMBER(Q242)),N242/Q242,"")</f>
        <v/>
      </c>
      <c r="S242" s="15">
        <f>IF(C242="","",IFERROR(INDEX(Agentes!$I$6:$I$60,MATCH(C242,Agentes!$A$6:$A$60,0)),""))</f>
        <v/>
      </c>
      <c r="T242" s="8" t="n"/>
      <c r="U242" s="15">
        <f>IF(ISNUMBER(N242),IF(N242&gt;0,LN(N242),""),"")</f>
        <v/>
      </c>
      <c r="V242" s="15">
        <f>IF(ISNUMBER(U242),IFERROR((U242-LN(IFERROR(INDEX(Estadística!$K$6:$K$35,MATCH(Y242,Estadística!$Y$6:$Y$35,0)),0)))^2,""),"")</f>
        <v/>
      </c>
      <c r="W242" s="15">
        <f>IF(ISNUMBER(N242),IFERROR((N242-IFERROR(INDEX(Estadística!$I$6:$I$35,MATCH(Y242,Estadística!$Y$6:$Y$35,0)),0))^2,""),"")</f>
        <v/>
      </c>
      <c r="X242" s="15">
        <f>IF(ISNUMBER(R242),IF(R242&gt;1,1,0),"")</f>
        <v/>
      </c>
      <c r="Y242" s="15">
        <f>IF(OR(B242="",C242=""),"",B242&amp;"|"&amp;C242)</f>
        <v/>
      </c>
    </row>
    <row r="243">
      <c r="A243" s="23" t="n">
        <v>238</v>
      </c>
      <c r="B243" s="8" t="n"/>
      <c r="C243" s="8" t="n"/>
      <c r="D243" s="9" t="n"/>
      <c r="E243" s="8" t="n"/>
      <c r="F243" s="8" t="n"/>
      <c r="G243" s="8" t="n"/>
      <c r="H243" s="8" t="n"/>
      <c r="I243" s="24" t="n"/>
      <c r="J243" s="8" t="n"/>
      <c r="K243" s="25">
        <f>IF(OR(I243="",J243=""),"",I243*J243/1000)</f>
        <v/>
      </c>
      <c r="L243" s="26" t="n"/>
      <c r="M243" s="26" t="n"/>
      <c r="N243" s="27">
        <f>IF(OR(B243="",C243=""),"",IF(M243&lt;&gt;"",M243,IF(AND(N(L243)&gt;0,N(K243)&gt;0),L243/K243,"")))</f>
        <v/>
      </c>
      <c r="O243" s="15">
        <f>IF(C243="","",IFERROR(INDEX(Agentes!$D$6:$D$60,MATCH(C243,Agentes!$A$6:$A$60,0)),""))</f>
        <v/>
      </c>
      <c r="P243" s="28">
        <f>IF(OR(H243="",O243=""),"",IF(AND(O243="Inhalable",LEFT(H243,6)="Casete"),"Subestima: el casete cerrado no colecta toda la fracción inhalable",IF(AND(O243="Respirable",LEFT(H243,6)&lt;&gt;"Ciclón"),"Requiere ciclón (fracción respirable)",IF(AND(O243="Inhalable",ISNUMBER(SEARCH("Respirable",IFERROR(INDEX(Agentes!$C$80:$C$87,MATCH(H243,Agentes!$B$80:$B$87,0)),"")))),"El ciclón no colecta la fracción inhalable","Coherente"))))</f>
        <v/>
      </c>
      <c r="Q243" s="22">
        <f>IF(Y243="","",IFERROR(INDEX(GES!$W$6:$W$35,MATCH(Y243,GES!$R$6:$R$35,0)),""))</f>
        <v/>
      </c>
      <c r="R243" s="29">
        <f>IF(AND(ISNUMBER(N243),ISNUMBER(Q243)),N243/Q243,"")</f>
        <v/>
      </c>
      <c r="S243" s="15">
        <f>IF(C243="","",IFERROR(INDEX(Agentes!$I$6:$I$60,MATCH(C243,Agentes!$A$6:$A$60,0)),""))</f>
        <v/>
      </c>
      <c r="T243" s="8" t="n"/>
      <c r="U243" s="15">
        <f>IF(ISNUMBER(N243),IF(N243&gt;0,LN(N243),""),"")</f>
        <v/>
      </c>
      <c r="V243" s="15">
        <f>IF(ISNUMBER(U243),IFERROR((U243-LN(IFERROR(INDEX(Estadística!$K$6:$K$35,MATCH(Y243,Estadística!$Y$6:$Y$35,0)),0)))^2,""),"")</f>
        <v/>
      </c>
      <c r="W243" s="15">
        <f>IF(ISNUMBER(N243),IFERROR((N243-IFERROR(INDEX(Estadística!$I$6:$I$35,MATCH(Y243,Estadística!$Y$6:$Y$35,0)),0))^2,""),"")</f>
        <v/>
      </c>
      <c r="X243" s="15">
        <f>IF(ISNUMBER(R243),IF(R243&gt;1,1,0),"")</f>
        <v/>
      </c>
      <c r="Y243" s="15">
        <f>IF(OR(B243="",C243=""),"",B243&amp;"|"&amp;C243)</f>
        <v/>
      </c>
    </row>
    <row r="244">
      <c r="A244" s="23" t="n">
        <v>239</v>
      </c>
      <c r="B244" s="8" t="n"/>
      <c r="C244" s="8" t="n"/>
      <c r="D244" s="9" t="n"/>
      <c r="E244" s="8" t="n"/>
      <c r="F244" s="8" t="n"/>
      <c r="G244" s="8" t="n"/>
      <c r="H244" s="8" t="n"/>
      <c r="I244" s="24" t="n"/>
      <c r="J244" s="8" t="n"/>
      <c r="K244" s="25">
        <f>IF(OR(I244="",J244=""),"",I244*J244/1000)</f>
        <v/>
      </c>
      <c r="L244" s="26" t="n"/>
      <c r="M244" s="26" t="n"/>
      <c r="N244" s="27">
        <f>IF(OR(B244="",C244=""),"",IF(M244&lt;&gt;"",M244,IF(AND(N(L244)&gt;0,N(K244)&gt;0),L244/K244,"")))</f>
        <v/>
      </c>
      <c r="O244" s="15">
        <f>IF(C244="","",IFERROR(INDEX(Agentes!$D$6:$D$60,MATCH(C244,Agentes!$A$6:$A$60,0)),""))</f>
        <v/>
      </c>
      <c r="P244" s="28">
        <f>IF(OR(H244="",O244=""),"",IF(AND(O244="Inhalable",LEFT(H244,6)="Casete"),"Subestima: el casete cerrado no colecta toda la fracción inhalable",IF(AND(O244="Respirable",LEFT(H244,6)&lt;&gt;"Ciclón"),"Requiere ciclón (fracción respirable)",IF(AND(O244="Inhalable",ISNUMBER(SEARCH("Respirable",IFERROR(INDEX(Agentes!$C$80:$C$87,MATCH(H244,Agentes!$B$80:$B$87,0)),"")))),"El ciclón no colecta la fracción inhalable","Coherente"))))</f>
        <v/>
      </c>
      <c r="Q244" s="22">
        <f>IF(Y244="","",IFERROR(INDEX(GES!$W$6:$W$35,MATCH(Y244,GES!$R$6:$R$35,0)),""))</f>
        <v/>
      </c>
      <c r="R244" s="29">
        <f>IF(AND(ISNUMBER(N244),ISNUMBER(Q244)),N244/Q244,"")</f>
        <v/>
      </c>
      <c r="S244" s="15">
        <f>IF(C244="","",IFERROR(INDEX(Agentes!$I$6:$I$60,MATCH(C244,Agentes!$A$6:$A$60,0)),""))</f>
        <v/>
      </c>
      <c r="T244" s="8" t="n"/>
      <c r="U244" s="15">
        <f>IF(ISNUMBER(N244),IF(N244&gt;0,LN(N244),""),"")</f>
        <v/>
      </c>
      <c r="V244" s="15">
        <f>IF(ISNUMBER(U244),IFERROR((U244-LN(IFERROR(INDEX(Estadística!$K$6:$K$35,MATCH(Y244,Estadística!$Y$6:$Y$35,0)),0)))^2,""),"")</f>
        <v/>
      </c>
      <c r="W244" s="15">
        <f>IF(ISNUMBER(N244),IFERROR((N244-IFERROR(INDEX(Estadística!$I$6:$I$35,MATCH(Y244,Estadística!$Y$6:$Y$35,0)),0))^2,""),"")</f>
        <v/>
      </c>
      <c r="X244" s="15">
        <f>IF(ISNUMBER(R244),IF(R244&gt;1,1,0),"")</f>
        <v/>
      </c>
      <c r="Y244" s="15">
        <f>IF(OR(B244="",C244=""),"",B244&amp;"|"&amp;C244)</f>
        <v/>
      </c>
    </row>
    <row r="245">
      <c r="A245" s="23" t="n">
        <v>240</v>
      </c>
      <c r="B245" s="8" t="n"/>
      <c r="C245" s="8" t="n"/>
      <c r="D245" s="9" t="n"/>
      <c r="E245" s="8" t="n"/>
      <c r="F245" s="8" t="n"/>
      <c r="G245" s="8" t="n"/>
      <c r="H245" s="8" t="n"/>
      <c r="I245" s="24" t="n"/>
      <c r="J245" s="8" t="n"/>
      <c r="K245" s="25">
        <f>IF(OR(I245="",J245=""),"",I245*J245/1000)</f>
        <v/>
      </c>
      <c r="L245" s="26" t="n"/>
      <c r="M245" s="26" t="n"/>
      <c r="N245" s="27">
        <f>IF(OR(B245="",C245=""),"",IF(M245&lt;&gt;"",M245,IF(AND(N(L245)&gt;0,N(K245)&gt;0),L245/K245,"")))</f>
        <v/>
      </c>
      <c r="O245" s="15">
        <f>IF(C245="","",IFERROR(INDEX(Agentes!$D$6:$D$60,MATCH(C245,Agentes!$A$6:$A$60,0)),""))</f>
        <v/>
      </c>
      <c r="P245" s="28">
        <f>IF(OR(H245="",O245=""),"",IF(AND(O245="Inhalable",LEFT(H245,6)="Casete"),"Subestima: el casete cerrado no colecta toda la fracción inhalable",IF(AND(O245="Respirable",LEFT(H245,6)&lt;&gt;"Ciclón"),"Requiere ciclón (fracción respirable)",IF(AND(O245="Inhalable",ISNUMBER(SEARCH("Respirable",IFERROR(INDEX(Agentes!$C$80:$C$87,MATCH(H245,Agentes!$B$80:$B$87,0)),"")))),"El ciclón no colecta la fracción inhalable","Coherente"))))</f>
        <v/>
      </c>
      <c r="Q245" s="22">
        <f>IF(Y245="","",IFERROR(INDEX(GES!$W$6:$W$35,MATCH(Y245,GES!$R$6:$R$35,0)),""))</f>
        <v/>
      </c>
      <c r="R245" s="29">
        <f>IF(AND(ISNUMBER(N245),ISNUMBER(Q245)),N245/Q245,"")</f>
        <v/>
      </c>
      <c r="S245" s="15">
        <f>IF(C245="","",IFERROR(INDEX(Agentes!$I$6:$I$60,MATCH(C245,Agentes!$A$6:$A$60,0)),""))</f>
        <v/>
      </c>
      <c r="T245" s="8" t="n"/>
      <c r="U245" s="15">
        <f>IF(ISNUMBER(N245),IF(N245&gt;0,LN(N245),""),"")</f>
        <v/>
      </c>
      <c r="V245" s="15">
        <f>IF(ISNUMBER(U245),IFERROR((U245-LN(IFERROR(INDEX(Estadística!$K$6:$K$35,MATCH(Y245,Estadística!$Y$6:$Y$35,0)),0)))^2,""),"")</f>
        <v/>
      </c>
      <c r="W245" s="15">
        <f>IF(ISNUMBER(N245),IFERROR((N245-IFERROR(INDEX(Estadística!$I$6:$I$35,MATCH(Y245,Estadística!$Y$6:$Y$35,0)),0))^2,""),"")</f>
        <v/>
      </c>
      <c r="X245" s="15">
        <f>IF(ISNUMBER(R245),IF(R245&gt;1,1,0),"")</f>
        <v/>
      </c>
      <c r="Y245" s="15">
        <f>IF(OR(B245="",C245=""),"",B245&amp;"|"&amp;C245)</f>
        <v/>
      </c>
    </row>
    <row r="246">
      <c r="A246" s="23" t="n">
        <v>241</v>
      </c>
      <c r="B246" s="8" t="n"/>
      <c r="C246" s="8" t="n"/>
      <c r="D246" s="9" t="n"/>
      <c r="E246" s="8" t="n"/>
      <c r="F246" s="8" t="n"/>
      <c r="G246" s="8" t="n"/>
      <c r="H246" s="8" t="n"/>
      <c r="I246" s="24" t="n"/>
      <c r="J246" s="8" t="n"/>
      <c r="K246" s="25">
        <f>IF(OR(I246="",J246=""),"",I246*J246/1000)</f>
        <v/>
      </c>
      <c r="L246" s="26" t="n"/>
      <c r="M246" s="26" t="n"/>
      <c r="N246" s="27">
        <f>IF(OR(B246="",C246=""),"",IF(M246&lt;&gt;"",M246,IF(AND(N(L246)&gt;0,N(K246)&gt;0),L246/K246,"")))</f>
        <v/>
      </c>
      <c r="O246" s="15">
        <f>IF(C246="","",IFERROR(INDEX(Agentes!$D$6:$D$60,MATCH(C246,Agentes!$A$6:$A$60,0)),""))</f>
        <v/>
      </c>
      <c r="P246" s="28">
        <f>IF(OR(H246="",O246=""),"",IF(AND(O246="Inhalable",LEFT(H246,6)="Casete"),"Subestima: el casete cerrado no colecta toda la fracción inhalable",IF(AND(O246="Respirable",LEFT(H246,6)&lt;&gt;"Ciclón"),"Requiere ciclón (fracción respirable)",IF(AND(O246="Inhalable",ISNUMBER(SEARCH("Respirable",IFERROR(INDEX(Agentes!$C$80:$C$87,MATCH(H246,Agentes!$B$80:$B$87,0)),"")))),"El ciclón no colecta la fracción inhalable","Coherente"))))</f>
        <v/>
      </c>
      <c r="Q246" s="22">
        <f>IF(Y246="","",IFERROR(INDEX(GES!$W$6:$W$35,MATCH(Y246,GES!$R$6:$R$35,0)),""))</f>
        <v/>
      </c>
      <c r="R246" s="29">
        <f>IF(AND(ISNUMBER(N246),ISNUMBER(Q246)),N246/Q246,"")</f>
        <v/>
      </c>
      <c r="S246" s="15">
        <f>IF(C246="","",IFERROR(INDEX(Agentes!$I$6:$I$60,MATCH(C246,Agentes!$A$6:$A$60,0)),""))</f>
        <v/>
      </c>
      <c r="T246" s="8" t="n"/>
      <c r="U246" s="15">
        <f>IF(ISNUMBER(N246),IF(N246&gt;0,LN(N246),""),"")</f>
        <v/>
      </c>
      <c r="V246" s="15">
        <f>IF(ISNUMBER(U246),IFERROR((U246-LN(IFERROR(INDEX(Estadística!$K$6:$K$35,MATCH(Y246,Estadística!$Y$6:$Y$35,0)),0)))^2,""),"")</f>
        <v/>
      </c>
      <c r="W246" s="15">
        <f>IF(ISNUMBER(N246),IFERROR((N246-IFERROR(INDEX(Estadística!$I$6:$I$35,MATCH(Y246,Estadística!$Y$6:$Y$35,0)),0))^2,""),"")</f>
        <v/>
      </c>
      <c r="X246" s="15">
        <f>IF(ISNUMBER(R246),IF(R246&gt;1,1,0),"")</f>
        <v/>
      </c>
      <c r="Y246" s="15">
        <f>IF(OR(B246="",C246=""),"",B246&amp;"|"&amp;C246)</f>
        <v/>
      </c>
    </row>
    <row r="247">
      <c r="A247" s="23" t="n">
        <v>242</v>
      </c>
      <c r="B247" s="8" t="n"/>
      <c r="C247" s="8" t="n"/>
      <c r="D247" s="9" t="n"/>
      <c r="E247" s="8" t="n"/>
      <c r="F247" s="8" t="n"/>
      <c r="G247" s="8" t="n"/>
      <c r="H247" s="8" t="n"/>
      <c r="I247" s="24" t="n"/>
      <c r="J247" s="8" t="n"/>
      <c r="K247" s="25">
        <f>IF(OR(I247="",J247=""),"",I247*J247/1000)</f>
        <v/>
      </c>
      <c r="L247" s="26" t="n"/>
      <c r="M247" s="26" t="n"/>
      <c r="N247" s="27">
        <f>IF(OR(B247="",C247=""),"",IF(M247&lt;&gt;"",M247,IF(AND(N(L247)&gt;0,N(K247)&gt;0),L247/K247,"")))</f>
        <v/>
      </c>
      <c r="O247" s="15">
        <f>IF(C247="","",IFERROR(INDEX(Agentes!$D$6:$D$60,MATCH(C247,Agentes!$A$6:$A$60,0)),""))</f>
        <v/>
      </c>
      <c r="P247" s="28">
        <f>IF(OR(H247="",O247=""),"",IF(AND(O247="Inhalable",LEFT(H247,6)="Casete"),"Subestima: el casete cerrado no colecta toda la fracción inhalable",IF(AND(O247="Respirable",LEFT(H247,6)&lt;&gt;"Ciclón"),"Requiere ciclón (fracción respirable)",IF(AND(O247="Inhalable",ISNUMBER(SEARCH("Respirable",IFERROR(INDEX(Agentes!$C$80:$C$87,MATCH(H247,Agentes!$B$80:$B$87,0)),"")))),"El ciclón no colecta la fracción inhalable","Coherente"))))</f>
        <v/>
      </c>
      <c r="Q247" s="22">
        <f>IF(Y247="","",IFERROR(INDEX(GES!$W$6:$W$35,MATCH(Y247,GES!$R$6:$R$35,0)),""))</f>
        <v/>
      </c>
      <c r="R247" s="29">
        <f>IF(AND(ISNUMBER(N247),ISNUMBER(Q247)),N247/Q247,"")</f>
        <v/>
      </c>
      <c r="S247" s="15">
        <f>IF(C247="","",IFERROR(INDEX(Agentes!$I$6:$I$60,MATCH(C247,Agentes!$A$6:$A$60,0)),""))</f>
        <v/>
      </c>
      <c r="T247" s="8" t="n"/>
      <c r="U247" s="15">
        <f>IF(ISNUMBER(N247),IF(N247&gt;0,LN(N247),""),"")</f>
        <v/>
      </c>
      <c r="V247" s="15">
        <f>IF(ISNUMBER(U247),IFERROR((U247-LN(IFERROR(INDEX(Estadística!$K$6:$K$35,MATCH(Y247,Estadística!$Y$6:$Y$35,0)),0)))^2,""),"")</f>
        <v/>
      </c>
      <c r="W247" s="15">
        <f>IF(ISNUMBER(N247),IFERROR((N247-IFERROR(INDEX(Estadística!$I$6:$I$35,MATCH(Y247,Estadística!$Y$6:$Y$35,0)),0))^2,""),"")</f>
        <v/>
      </c>
      <c r="X247" s="15">
        <f>IF(ISNUMBER(R247),IF(R247&gt;1,1,0),"")</f>
        <v/>
      </c>
      <c r="Y247" s="15">
        <f>IF(OR(B247="",C247=""),"",B247&amp;"|"&amp;C247)</f>
        <v/>
      </c>
    </row>
    <row r="248">
      <c r="A248" s="23" t="n">
        <v>243</v>
      </c>
      <c r="B248" s="8" t="n"/>
      <c r="C248" s="8" t="n"/>
      <c r="D248" s="9" t="n"/>
      <c r="E248" s="8" t="n"/>
      <c r="F248" s="8" t="n"/>
      <c r="G248" s="8" t="n"/>
      <c r="H248" s="8" t="n"/>
      <c r="I248" s="24" t="n"/>
      <c r="J248" s="8" t="n"/>
      <c r="K248" s="25">
        <f>IF(OR(I248="",J248=""),"",I248*J248/1000)</f>
        <v/>
      </c>
      <c r="L248" s="26" t="n"/>
      <c r="M248" s="26" t="n"/>
      <c r="N248" s="27">
        <f>IF(OR(B248="",C248=""),"",IF(M248&lt;&gt;"",M248,IF(AND(N(L248)&gt;0,N(K248)&gt;0),L248/K248,"")))</f>
        <v/>
      </c>
      <c r="O248" s="15">
        <f>IF(C248="","",IFERROR(INDEX(Agentes!$D$6:$D$60,MATCH(C248,Agentes!$A$6:$A$60,0)),""))</f>
        <v/>
      </c>
      <c r="P248" s="28">
        <f>IF(OR(H248="",O248=""),"",IF(AND(O248="Inhalable",LEFT(H248,6)="Casete"),"Subestima: el casete cerrado no colecta toda la fracción inhalable",IF(AND(O248="Respirable",LEFT(H248,6)&lt;&gt;"Ciclón"),"Requiere ciclón (fracción respirable)",IF(AND(O248="Inhalable",ISNUMBER(SEARCH("Respirable",IFERROR(INDEX(Agentes!$C$80:$C$87,MATCH(H248,Agentes!$B$80:$B$87,0)),"")))),"El ciclón no colecta la fracción inhalable","Coherente"))))</f>
        <v/>
      </c>
      <c r="Q248" s="22">
        <f>IF(Y248="","",IFERROR(INDEX(GES!$W$6:$W$35,MATCH(Y248,GES!$R$6:$R$35,0)),""))</f>
        <v/>
      </c>
      <c r="R248" s="29">
        <f>IF(AND(ISNUMBER(N248),ISNUMBER(Q248)),N248/Q248,"")</f>
        <v/>
      </c>
      <c r="S248" s="15">
        <f>IF(C248="","",IFERROR(INDEX(Agentes!$I$6:$I$60,MATCH(C248,Agentes!$A$6:$A$60,0)),""))</f>
        <v/>
      </c>
      <c r="T248" s="8" t="n"/>
      <c r="U248" s="15">
        <f>IF(ISNUMBER(N248),IF(N248&gt;0,LN(N248),""),"")</f>
        <v/>
      </c>
      <c r="V248" s="15">
        <f>IF(ISNUMBER(U248),IFERROR((U248-LN(IFERROR(INDEX(Estadística!$K$6:$K$35,MATCH(Y248,Estadística!$Y$6:$Y$35,0)),0)))^2,""),"")</f>
        <v/>
      </c>
      <c r="W248" s="15">
        <f>IF(ISNUMBER(N248),IFERROR((N248-IFERROR(INDEX(Estadística!$I$6:$I$35,MATCH(Y248,Estadística!$Y$6:$Y$35,0)),0))^2,""),"")</f>
        <v/>
      </c>
      <c r="X248" s="15">
        <f>IF(ISNUMBER(R248),IF(R248&gt;1,1,0),"")</f>
        <v/>
      </c>
      <c r="Y248" s="15">
        <f>IF(OR(B248="",C248=""),"",B248&amp;"|"&amp;C248)</f>
        <v/>
      </c>
    </row>
    <row r="249">
      <c r="A249" s="23" t="n">
        <v>244</v>
      </c>
      <c r="B249" s="8" t="n"/>
      <c r="C249" s="8" t="n"/>
      <c r="D249" s="9" t="n"/>
      <c r="E249" s="8" t="n"/>
      <c r="F249" s="8" t="n"/>
      <c r="G249" s="8" t="n"/>
      <c r="H249" s="8" t="n"/>
      <c r="I249" s="24" t="n"/>
      <c r="J249" s="8" t="n"/>
      <c r="K249" s="25">
        <f>IF(OR(I249="",J249=""),"",I249*J249/1000)</f>
        <v/>
      </c>
      <c r="L249" s="26" t="n"/>
      <c r="M249" s="26" t="n"/>
      <c r="N249" s="27">
        <f>IF(OR(B249="",C249=""),"",IF(M249&lt;&gt;"",M249,IF(AND(N(L249)&gt;0,N(K249)&gt;0),L249/K249,"")))</f>
        <v/>
      </c>
      <c r="O249" s="15">
        <f>IF(C249="","",IFERROR(INDEX(Agentes!$D$6:$D$60,MATCH(C249,Agentes!$A$6:$A$60,0)),""))</f>
        <v/>
      </c>
      <c r="P249" s="28">
        <f>IF(OR(H249="",O249=""),"",IF(AND(O249="Inhalable",LEFT(H249,6)="Casete"),"Subestima: el casete cerrado no colecta toda la fracción inhalable",IF(AND(O249="Respirable",LEFT(H249,6)&lt;&gt;"Ciclón"),"Requiere ciclón (fracción respirable)",IF(AND(O249="Inhalable",ISNUMBER(SEARCH("Respirable",IFERROR(INDEX(Agentes!$C$80:$C$87,MATCH(H249,Agentes!$B$80:$B$87,0)),"")))),"El ciclón no colecta la fracción inhalable","Coherente"))))</f>
        <v/>
      </c>
      <c r="Q249" s="22">
        <f>IF(Y249="","",IFERROR(INDEX(GES!$W$6:$W$35,MATCH(Y249,GES!$R$6:$R$35,0)),""))</f>
        <v/>
      </c>
      <c r="R249" s="29">
        <f>IF(AND(ISNUMBER(N249),ISNUMBER(Q249)),N249/Q249,"")</f>
        <v/>
      </c>
      <c r="S249" s="15">
        <f>IF(C249="","",IFERROR(INDEX(Agentes!$I$6:$I$60,MATCH(C249,Agentes!$A$6:$A$60,0)),""))</f>
        <v/>
      </c>
      <c r="T249" s="8" t="n"/>
      <c r="U249" s="15">
        <f>IF(ISNUMBER(N249),IF(N249&gt;0,LN(N249),""),"")</f>
        <v/>
      </c>
      <c r="V249" s="15">
        <f>IF(ISNUMBER(U249),IFERROR((U249-LN(IFERROR(INDEX(Estadística!$K$6:$K$35,MATCH(Y249,Estadística!$Y$6:$Y$35,0)),0)))^2,""),"")</f>
        <v/>
      </c>
      <c r="W249" s="15">
        <f>IF(ISNUMBER(N249),IFERROR((N249-IFERROR(INDEX(Estadística!$I$6:$I$35,MATCH(Y249,Estadística!$Y$6:$Y$35,0)),0))^2,""),"")</f>
        <v/>
      </c>
      <c r="X249" s="15">
        <f>IF(ISNUMBER(R249),IF(R249&gt;1,1,0),"")</f>
        <v/>
      </c>
      <c r="Y249" s="15">
        <f>IF(OR(B249="",C249=""),"",B249&amp;"|"&amp;C249)</f>
        <v/>
      </c>
    </row>
    <row r="250">
      <c r="A250" s="23" t="n">
        <v>245</v>
      </c>
      <c r="B250" s="8" t="n"/>
      <c r="C250" s="8" t="n"/>
      <c r="D250" s="9" t="n"/>
      <c r="E250" s="8" t="n"/>
      <c r="F250" s="8" t="n"/>
      <c r="G250" s="8" t="n"/>
      <c r="H250" s="8" t="n"/>
      <c r="I250" s="24" t="n"/>
      <c r="J250" s="8" t="n"/>
      <c r="K250" s="25">
        <f>IF(OR(I250="",J250=""),"",I250*J250/1000)</f>
        <v/>
      </c>
      <c r="L250" s="26" t="n"/>
      <c r="M250" s="26" t="n"/>
      <c r="N250" s="27">
        <f>IF(OR(B250="",C250=""),"",IF(M250&lt;&gt;"",M250,IF(AND(N(L250)&gt;0,N(K250)&gt;0),L250/K250,"")))</f>
        <v/>
      </c>
      <c r="O250" s="15">
        <f>IF(C250="","",IFERROR(INDEX(Agentes!$D$6:$D$60,MATCH(C250,Agentes!$A$6:$A$60,0)),""))</f>
        <v/>
      </c>
      <c r="P250" s="28">
        <f>IF(OR(H250="",O250=""),"",IF(AND(O250="Inhalable",LEFT(H250,6)="Casete"),"Subestima: el casete cerrado no colecta toda la fracción inhalable",IF(AND(O250="Respirable",LEFT(H250,6)&lt;&gt;"Ciclón"),"Requiere ciclón (fracción respirable)",IF(AND(O250="Inhalable",ISNUMBER(SEARCH("Respirable",IFERROR(INDEX(Agentes!$C$80:$C$87,MATCH(H250,Agentes!$B$80:$B$87,0)),"")))),"El ciclón no colecta la fracción inhalable","Coherente"))))</f>
        <v/>
      </c>
      <c r="Q250" s="22">
        <f>IF(Y250="","",IFERROR(INDEX(GES!$W$6:$W$35,MATCH(Y250,GES!$R$6:$R$35,0)),""))</f>
        <v/>
      </c>
      <c r="R250" s="29">
        <f>IF(AND(ISNUMBER(N250),ISNUMBER(Q250)),N250/Q250,"")</f>
        <v/>
      </c>
      <c r="S250" s="15">
        <f>IF(C250="","",IFERROR(INDEX(Agentes!$I$6:$I$60,MATCH(C250,Agentes!$A$6:$A$60,0)),""))</f>
        <v/>
      </c>
      <c r="T250" s="8" t="n"/>
      <c r="U250" s="15">
        <f>IF(ISNUMBER(N250),IF(N250&gt;0,LN(N250),""),"")</f>
        <v/>
      </c>
      <c r="V250" s="15">
        <f>IF(ISNUMBER(U250),IFERROR((U250-LN(IFERROR(INDEX(Estadística!$K$6:$K$35,MATCH(Y250,Estadística!$Y$6:$Y$35,0)),0)))^2,""),"")</f>
        <v/>
      </c>
      <c r="W250" s="15">
        <f>IF(ISNUMBER(N250),IFERROR((N250-IFERROR(INDEX(Estadística!$I$6:$I$35,MATCH(Y250,Estadística!$Y$6:$Y$35,0)),0))^2,""),"")</f>
        <v/>
      </c>
      <c r="X250" s="15">
        <f>IF(ISNUMBER(R250),IF(R250&gt;1,1,0),"")</f>
        <v/>
      </c>
      <c r="Y250" s="15">
        <f>IF(OR(B250="",C250=""),"",B250&amp;"|"&amp;C250)</f>
        <v/>
      </c>
    </row>
    <row r="251">
      <c r="A251" s="23" t="n">
        <v>246</v>
      </c>
      <c r="B251" s="8" t="n"/>
      <c r="C251" s="8" t="n"/>
      <c r="D251" s="9" t="n"/>
      <c r="E251" s="8" t="n"/>
      <c r="F251" s="8" t="n"/>
      <c r="G251" s="8" t="n"/>
      <c r="H251" s="8" t="n"/>
      <c r="I251" s="24" t="n"/>
      <c r="J251" s="8" t="n"/>
      <c r="K251" s="25">
        <f>IF(OR(I251="",J251=""),"",I251*J251/1000)</f>
        <v/>
      </c>
      <c r="L251" s="26" t="n"/>
      <c r="M251" s="26" t="n"/>
      <c r="N251" s="27">
        <f>IF(OR(B251="",C251=""),"",IF(M251&lt;&gt;"",M251,IF(AND(N(L251)&gt;0,N(K251)&gt;0),L251/K251,"")))</f>
        <v/>
      </c>
      <c r="O251" s="15">
        <f>IF(C251="","",IFERROR(INDEX(Agentes!$D$6:$D$60,MATCH(C251,Agentes!$A$6:$A$60,0)),""))</f>
        <v/>
      </c>
      <c r="P251" s="28">
        <f>IF(OR(H251="",O251=""),"",IF(AND(O251="Inhalable",LEFT(H251,6)="Casete"),"Subestima: el casete cerrado no colecta toda la fracción inhalable",IF(AND(O251="Respirable",LEFT(H251,6)&lt;&gt;"Ciclón"),"Requiere ciclón (fracción respirable)",IF(AND(O251="Inhalable",ISNUMBER(SEARCH("Respirable",IFERROR(INDEX(Agentes!$C$80:$C$87,MATCH(H251,Agentes!$B$80:$B$87,0)),"")))),"El ciclón no colecta la fracción inhalable","Coherente"))))</f>
        <v/>
      </c>
      <c r="Q251" s="22">
        <f>IF(Y251="","",IFERROR(INDEX(GES!$W$6:$W$35,MATCH(Y251,GES!$R$6:$R$35,0)),""))</f>
        <v/>
      </c>
      <c r="R251" s="29">
        <f>IF(AND(ISNUMBER(N251),ISNUMBER(Q251)),N251/Q251,"")</f>
        <v/>
      </c>
      <c r="S251" s="15">
        <f>IF(C251="","",IFERROR(INDEX(Agentes!$I$6:$I$60,MATCH(C251,Agentes!$A$6:$A$60,0)),""))</f>
        <v/>
      </c>
      <c r="T251" s="8" t="n"/>
      <c r="U251" s="15">
        <f>IF(ISNUMBER(N251),IF(N251&gt;0,LN(N251),""),"")</f>
        <v/>
      </c>
      <c r="V251" s="15">
        <f>IF(ISNUMBER(U251),IFERROR((U251-LN(IFERROR(INDEX(Estadística!$K$6:$K$35,MATCH(Y251,Estadística!$Y$6:$Y$35,0)),0)))^2,""),"")</f>
        <v/>
      </c>
      <c r="W251" s="15">
        <f>IF(ISNUMBER(N251),IFERROR((N251-IFERROR(INDEX(Estadística!$I$6:$I$35,MATCH(Y251,Estadística!$Y$6:$Y$35,0)),0))^2,""),"")</f>
        <v/>
      </c>
      <c r="X251" s="15">
        <f>IF(ISNUMBER(R251),IF(R251&gt;1,1,0),"")</f>
        <v/>
      </c>
      <c r="Y251" s="15">
        <f>IF(OR(B251="",C251=""),"",B251&amp;"|"&amp;C251)</f>
        <v/>
      </c>
    </row>
    <row r="252">
      <c r="A252" s="23" t="n">
        <v>247</v>
      </c>
      <c r="B252" s="8" t="n"/>
      <c r="C252" s="8" t="n"/>
      <c r="D252" s="9" t="n"/>
      <c r="E252" s="8" t="n"/>
      <c r="F252" s="8" t="n"/>
      <c r="G252" s="8" t="n"/>
      <c r="H252" s="8" t="n"/>
      <c r="I252" s="24" t="n"/>
      <c r="J252" s="8" t="n"/>
      <c r="K252" s="25">
        <f>IF(OR(I252="",J252=""),"",I252*J252/1000)</f>
        <v/>
      </c>
      <c r="L252" s="26" t="n"/>
      <c r="M252" s="26" t="n"/>
      <c r="N252" s="27">
        <f>IF(OR(B252="",C252=""),"",IF(M252&lt;&gt;"",M252,IF(AND(N(L252)&gt;0,N(K252)&gt;0),L252/K252,"")))</f>
        <v/>
      </c>
      <c r="O252" s="15">
        <f>IF(C252="","",IFERROR(INDEX(Agentes!$D$6:$D$60,MATCH(C252,Agentes!$A$6:$A$60,0)),""))</f>
        <v/>
      </c>
      <c r="P252" s="28">
        <f>IF(OR(H252="",O252=""),"",IF(AND(O252="Inhalable",LEFT(H252,6)="Casete"),"Subestima: el casete cerrado no colecta toda la fracción inhalable",IF(AND(O252="Respirable",LEFT(H252,6)&lt;&gt;"Ciclón"),"Requiere ciclón (fracción respirable)",IF(AND(O252="Inhalable",ISNUMBER(SEARCH("Respirable",IFERROR(INDEX(Agentes!$C$80:$C$87,MATCH(H252,Agentes!$B$80:$B$87,0)),"")))),"El ciclón no colecta la fracción inhalable","Coherente"))))</f>
        <v/>
      </c>
      <c r="Q252" s="22">
        <f>IF(Y252="","",IFERROR(INDEX(GES!$W$6:$W$35,MATCH(Y252,GES!$R$6:$R$35,0)),""))</f>
        <v/>
      </c>
      <c r="R252" s="29">
        <f>IF(AND(ISNUMBER(N252),ISNUMBER(Q252)),N252/Q252,"")</f>
        <v/>
      </c>
      <c r="S252" s="15">
        <f>IF(C252="","",IFERROR(INDEX(Agentes!$I$6:$I$60,MATCH(C252,Agentes!$A$6:$A$60,0)),""))</f>
        <v/>
      </c>
      <c r="T252" s="8" t="n"/>
      <c r="U252" s="15">
        <f>IF(ISNUMBER(N252),IF(N252&gt;0,LN(N252),""),"")</f>
        <v/>
      </c>
      <c r="V252" s="15">
        <f>IF(ISNUMBER(U252),IFERROR((U252-LN(IFERROR(INDEX(Estadística!$K$6:$K$35,MATCH(Y252,Estadística!$Y$6:$Y$35,0)),0)))^2,""),"")</f>
        <v/>
      </c>
      <c r="W252" s="15">
        <f>IF(ISNUMBER(N252),IFERROR((N252-IFERROR(INDEX(Estadística!$I$6:$I$35,MATCH(Y252,Estadística!$Y$6:$Y$35,0)),0))^2,""),"")</f>
        <v/>
      </c>
      <c r="X252" s="15">
        <f>IF(ISNUMBER(R252),IF(R252&gt;1,1,0),"")</f>
        <v/>
      </c>
      <c r="Y252" s="15">
        <f>IF(OR(B252="",C252=""),"",B252&amp;"|"&amp;C252)</f>
        <v/>
      </c>
    </row>
    <row r="253">
      <c r="A253" s="23" t="n">
        <v>248</v>
      </c>
      <c r="B253" s="8" t="n"/>
      <c r="C253" s="8" t="n"/>
      <c r="D253" s="9" t="n"/>
      <c r="E253" s="8" t="n"/>
      <c r="F253" s="8" t="n"/>
      <c r="G253" s="8" t="n"/>
      <c r="H253" s="8" t="n"/>
      <c r="I253" s="24" t="n"/>
      <c r="J253" s="8" t="n"/>
      <c r="K253" s="25">
        <f>IF(OR(I253="",J253=""),"",I253*J253/1000)</f>
        <v/>
      </c>
      <c r="L253" s="26" t="n"/>
      <c r="M253" s="26" t="n"/>
      <c r="N253" s="27">
        <f>IF(OR(B253="",C253=""),"",IF(M253&lt;&gt;"",M253,IF(AND(N(L253)&gt;0,N(K253)&gt;0),L253/K253,"")))</f>
        <v/>
      </c>
      <c r="O253" s="15">
        <f>IF(C253="","",IFERROR(INDEX(Agentes!$D$6:$D$60,MATCH(C253,Agentes!$A$6:$A$60,0)),""))</f>
        <v/>
      </c>
      <c r="P253" s="28">
        <f>IF(OR(H253="",O253=""),"",IF(AND(O253="Inhalable",LEFT(H253,6)="Casete"),"Subestima: el casete cerrado no colecta toda la fracción inhalable",IF(AND(O253="Respirable",LEFT(H253,6)&lt;&gt;"Ciclón"),"Requiere ciclón (fracción respirable)",IF(AND(O253="Inhalable",ISNUMBER(SEARCH("Respirable",IFERROR(INDEX(Agentes!$C$80:$C$87,MATCH(H253,Agentes!$B$80:$B$87,0)),"")))),"El ciclón no colecta la fracción inhalable","Coherente"))))</f>
        <v/>
      </c>
      <c r="Q253" s="22">
        <f>IF(Y253="","",IFERROR(INDEX(GES!$W$6:$W$35,MATCH(Y253,GES!$R$6:$R$35,0)),""))</f>
        <v/>
      </c>
      <c r="R253" s="29">
        <f>IF(AND(ISNUMBER(N253),ISNUMBER(Q253)),N253/Q253,"")</f>
        <v/>
      </c>
      <c r="S253" s="15">
        <f>IF(C253="","",IFERROR(INDEX(Agentes!$I$6:$I$60,MATCH(C253,Agentes!$A$6:$A$60,0)),""))</f>
        <v/>
      </c>
      <c r="T253" s="8" t="n"/>
      <c r="U253" s="15">
        <f>IF(ISNUMBER(N253),IF(N253&gt;0,LN(N253),""),"")</f>
        <v/>
      </c>
      <c r="V253" s="15">
        <f>IF(ISNUMBER(U253),IFERROR((U253-LN(IFERROR(INDEX(Estadística!$K$6:$K$35,MATCH(Y253,Estadística!$Y$6:$Y$35,0)),0)))^2,""),"")</f>
        <v/>
      </c>
      <c r="W253" s="15">
        <f>IF(ISNUMBER(N253),IFERROR((N253-IFERROR(INDEX(Estadística!$I$6:$I$35,MATCH(Y253,Estadística!$Y$6:$Y$35,0)),0))^2,""),"")</f>
        <v/>
      </c>
      <c r="X253" s="15">
        <f>IF(ISNUMBER(R253),IF(R253&gt;1,1,0),"")</f>
        <v/>
      </c>
      <c r="Y253" s="15">
        <f>IF(OR(B253="",C253=""),"",B253&amp;"|"&amp;C253)</f>
        <v/>
      </c>
    </row>
    <row r="254">
      <c r="A254" s="23" t="n">
        <v>249</v>
      </c>
      <c r="B254" s="8" t="n"/>
      <c r="C254" s="8" t="n"/>
      <c r="D254" s="9" t="n"/>
      <c r="E254" s="8" t="n"/>
      <c r="F254" s="8" t="n"/>
      <c r="G254" s="8" t="n"/>
      <c r="H254" s="8" t="n"/>
      <c r="I254" s="24" t="n"/>
      <c r="J254" s="8" t="n"/>
      <c r="K254" s="25">
        <f>IF(OR(I254="",J254=""),"",I254*J254/1000)</f>
        <v/>
      </c>
      <c r="L254" s="26" t="n"/>
      <c r="M254" s="26" t="n"/>
      <c r="N254" s="27">
        <f>IF(OR(B254="",C254=""),"",IF(M254&lt;&gt;"",M254,IF(AND(N(L254)&gt;0,N(K254)&gt;0),L254/K254,"")))</f>
        <v/>
      </c>
      <c r="O254" s="15">
        <f>IF(C254="","",IFERROR(INDEX(Agentes!$D$6:$D$60,MATCH(C254,Agentes!$A$6:$A$60,0)),""))</f>
        <v/>
      </c>
      <c r="P254" s="28">
        <f>IF(OR(H254="",O254=""),"",IF(AND(O254="Inhalable",LEFT(H254,6)="Casete"),"Subestima: el casete cerrado no colecta toda la fracción inhalable",IF(AND(O254="Respirable",LEFT(H254,6)&lt;&gt;"Ciclón"),"Requiere ciclón (fracción respirable)",IF(AND(O254="Inhalable",ISNUMBER(SEARCH("Respirable",IFERROR(INDEX(Agentes!$C$80:$C$87,MATCH(H254,Agentes!$B$80:$B$87,0)),"")))),"El ciclón no colecta la fracción inhalable","Coherente"))))</f>
        <v/>
      </c>
      <c r="Q254" s="22">
        <f>IF(Y254="","",IFERROR(INDEX(GES!$W$6:$W$35,MATCH(Y254,GES!$R$6:$R$35,0)),""))</f>
        <v/>
      </c>
      <c r="R254" s="29">
        <f>IF(AND(ISNUMBER(N254),ISNUMBER(Q254)),N254/Q254,"")</f>
        <v/>
      </c>
      <c r="S254" s="15">
        <f>IF(C254="","",IFERROR(INDEX(Agentes!$I$6:$I$60,MATCH(C254,Agentes!$A$6:$A$60,0)),""))</f>
        <v/>
      </c>
      <c r="T254" s="8" t="n"/>
      <c r="U254" s="15">
        <f>IF(ISNUMBER(N254),IF(N254&gt;0,LN(N254),""),"")</f>
        <v/>
      </c>
      <c r="V254" s="15">
        <f>IF(ISNUMBER(U254),IFERROR((U254-LN(IFERROR(INDEX(Estadística!$K$6:$K$35,MATCH(Y254,Estadística!$Y$6:$Y$35,0)),0)))^2,""),"")</f>
        <v/>
      </c>
      <c r="W254" s="15">
        <f>IF(ISNUMBER(N254),IFERROR((N254-IFERROR(INDEX(Estadística!$I$6:$I$35,MATCH(Y254,Estadística!$Y$6:$Y$35,0)),0))^2,""),"")</f>
        <v/>
      </c>
      <c r="X254" s="15">
        <f>IF(ISNUMBER(R254),IF(R254&gt;1,1,0),"")</f>
        <v/>
      </c>
      <c r="Y254" s="15">
        <f>IF(OR(B254="",C254=""),"",B254&amp;"|"&amp;C254)</f>
        <v/>
      </c>
    </row>
    <row r="255">
      <c r="A255" s="23" t="n">
        <v>250</v>
      </c>
      <c r="B255" s="8" t="n"/>
      <c r="C255" s="8" t="n"/>
      <c r="D255" s="9" t="n"/>
      <c r="E255" s="8" t="n"/>
      <c r="F255" s="8" t="n"/>
      <c r="G255" s="8" t="n"/>
      <c r="H255" s="8" t="n"/>
      <c r="I255" s="24" t="n"/>
      <c r="J255" s="8" t="n"/>
      <c r="K255" s="25">
        <f>IF(OR(I255="",J255=""),"",I255*J255/1000)</f>
        <v/>
      </c>
      <c r="L255" s="26" t="n"/>
      <c r="M255" s="26" t="n"/>
      <c r="N255" s="27">
        <f>IF(OR(B255="",C255=""),"",IF(M255&lt;&gt;"",M255,IF(AND(N(L255)&gt;0,N(K255)&gt;0),L255/K255,"")))</f>
        <v/>
      </c>
      <c r="O255" s="15">
        <f>IF(C255="","",IFERROR(INDEX(Agentes!$D$6:$D$60,MATCH(C255,Agentes!$A$6:$A$60,0)),""))</f>
        <v/>
      </c>
      <c r="P255" s="28">
        <f>IF(OR(H255="",O255=""),"",IF(AND(O255="Inhalable",LEFT(H255,6)="Casete"),"Subestima: el casete cerrado no colecta toda la fracción inhalable",IF(AND(O255="Respirable",LEFT(H255,6)&lt;&gt;"Ciclón"),"Requiere ciclón (fracción respirable)",IF(AND(O255="Inhalable",ISNUMBER(SEARCH("Respirable",IFERROR(INDEX(Agentes!$C$80:$C$87,MATCH(H255,Agentes!$B$80:$B$87,0)),"")))),"El ciclón no colecta la fracción inhalable","Coherente"))))</f>
        <v/>
      </c>
      <c r="Q255" s="22">
        <f>IF(Y255="","",IFERROR(INDEX(GES!$W$6:$W$35,MATCH(Y255,GES!$R$6:$R$35,0)),""))</f>
        <v/>
      </c>
      <c r="R255" s="29">
        <f>IF(AND(ISNUMBER(N255),ISNUMBER(Q255)),N255/Q255,"")</f>
        <v/>
      </c>
      <c r="S255" s="15">
        <f>IF(C255="","",IFERROR(INDEX(Agentes!$I$6:$I$60,MATCH(C255,Agentes!$A$6:$A$60,0)),""))</f>
        <v/>
      </c>
      <c r="T255" s="8" t="n"/>
      <c r="U255" s="15">
        <f>IF(ISNUMBER(N255),IF(N255&gt;0,LN(N255),""),"")</f>
        <v/>
      </c>
      <c r="V255" s="15">
        <f>IF(ISNUMBER(U255),IFERROR((U255-LN(IFERROR(INDEX(Estadística!$K$6:$K$35,MATCH(Y255,Estadística!$Y$6:$Y$35,0)),0)))^2,""),"")</f>
        <v/>
      </c>
      <c r="W255" s="15">
        <f>IF(ISNUMBER(N255),IFERROR((N255-IFERROR(INDEX(Estadística!$I$6:$I$35,MATCH(Y255,Estadística!$Y$6:$Y$35,0)),0))^2,""),"")</f>
        <v/>
      </c>
      <c r="X255" s="15">
        <f>IF(ISNUMBER(R255),IF(R255&gt;1,1,0),"")</f>
        <v/>
      </c>
      <c r="Y255" s="15">
        <f>IF(OR(B255="",C255=""),"",B255&amp;"|"&amp;C255)</f>
        <v/>
      </c>
    </row>
    <row r="256">
      <c r="A256" s="23" t="n">
        <v>251</v>
      </c>
      <c r="B256" s="8" t="n"/>
      <c r="C256" s="8" t="n"/>
      <c r="D256" s="9" t="n"/>
      <c r="E256" s="8" t="n"/>
      <c r="F256" s="8" t="n"/>
      <c r="G256" s="8" t="n"/>
      <c r="H256" s="8" t="n"/>
      <c r="I256" s="24" t="n"/>
      <c r="J256" s="8" t="n"/>
      <c r="K256" s="25">
        <f>IF(OR(I256="",J256=""),"",I256*J256/1000)</f>
        <v/>
      </c>
      <c r="L256" s="26" t="n"/>
      <c r="M256" s="26" t="n"/>
      <c r="N256" s="27">
        <f>IF(OR(B256="",C256=""),"",IF(M256&lt;&gt;"",M256,IF(AND(N(L256)&gt;0,N(K256)&gt;0),L256/K256,"")))</f>
        <v/>
      </c>
      <c r="O256" s="15">
        <f>IF(C256="","",IFERROR(INDEX(Agentes!$D$6:$D$60,MATCH(C256,Agentes!$A$6:$A$60,0)),""))</f>
        <v/>
      </c>
      <c r="P256" s="28">
        <f>IF(OR(H256="",O256=""),"",IF(AND(O256="Inhalable",LEFT(H256,6)="Casete"),"Subestima: el casete cerrado no colecta toda la fracción inhalable",IF(AND(O256="Respirable",LEFT(H256,6)&lt;&gt;"Ciclón"),"Requiere ciclón (fracción respirable)",IF(AND(O256="Inhalable",ISNUMBER(SEARCH("Respirable",IFERROR(INDEX(Agentes!$C$80:$C$87,MATCH(H256,Agentes!$B$80:$B$87,0)),"")))),"El ciclón no colecta la fracción inhalable","Coherente"))))</f>
        <v/>
      </c>
      <c r="Q256" s="22">
        <f>IF(Y256="","",IFERROR(INDEX(GES!$W$6:$W$35,MATCH(Y256,GES!$R$6:$R$35,0)),""))</f>
        <v/>
      </c>
      <c r="R256" s="29">
        <f>IF(AND(ISNUMBER(N256),ISNUMBER(Q256)),N256/Q256,"")</f>
        <v/>
      </c>
      <c r="S256" s="15">
        <f>IF(C256="","",IFERROR(INDEX(Agentes!$I$6:$I$60,MATCH(C256,Agentes!$A$6:$A$60,0)),""))</f>
        <v/>
      </c>
      <c r="T256" s="8" t="n"/>
      <c r="U256" s="15">
        <f>IF(ISNUMBER(N256),IF(N256&gt;0,LN(N256),""),"")</f>
        <v/>
      </c>
      <c r="V256" s="15">
        <f>IF(ISNUMBER(U256),IFERROR((U256-LN(IFERROR(INDEX(Estadística!$K$6:$K$35,MATCH(Y256,Estadística!$Y$6:$Y$35,0)),0)))^2,""),"")</f>
        <v/>
      </c>
      <c r="W256" s="15">
        <f>IF(ISNUMBER(N256),IFERROR((N256-IFERROR(INDEX(Estadística!$I$6:$I$35,MATCH(Y256,Estadística!$Y$6:$Y$35,0)),0))^2,""),"")</f>
        <v/>
      </c>
      <c r="X256" s="15">
        <f>IF(ISNUMBER(R256),IF(R256&gt;1,1,0),"")</f>
        <v/>
      </c>
      <c r="Y256" s="15">
        <f>IF(OR(B256="",C256=""),"",B256&amp;"|"&amp;C256)</f>
        <v/>
      </c>
    </row>
    <row r="257">
      <c r="A257" s="23" t="n">
        <v>252</v>
      </c>
      <c r="B257" s="8" t="n"/>
      <c r="C257" s="8" t="n"/>
      <c r="D257" s="9" t="n"/>
      <c r="E257" s="8" t="n"/>
      <c r="F257" s="8" t="n"/>
      <c r="G257" s="8" t="n"/>
      <c r="H257" s="8" t="n"/>
      <c r="I257" s="24" t="n"/>
      <c r="J257" s="8" t="n"/>
      <c r="K257" s="25">
        <f>IF(OR(I257="",J257=""),"",I257*J257/1000)</f>
        <v/>
      </c>
      <c r="L257" s="26" t="n"/>
      <c r="M257" s="26" t="n"/>
      <c r="N257" s="27">
        <f>IF(OR(B257="",C257=""),"",IF(M257&lt;&gt;"",M257,IF(AND(N(L257)&gt;0,N(K257)&gt;0),L257/K257,"")))</f>
        <v/>
      </c>
      <c r="O257" s="15">
        <f>IF(C257="","",IFERROR(INDEX(Agentes!$D$6:$D$60,MATCH(C257,Agentes!$A$6:$A$60,0)),""))</f>
        <v/>
      </c>
      <c r="P257" s="28">
        <f>IF(OR(H257="",O257=""),"",IF(AND(O257="Inhalable",LEFT(H257,6)="Casete"),"Subestima: el casete cerrado no colecta toda la fracción inhalable",IF(AND(O257="Respirable",LEFT(H257,6)&lt;&gt;"Ciclón"),"Requiere ciclón (fracción respirable)",IF(AND(O257="Inhalable",ISNUMBER(SEARCH("Respirable",IFERROR(INDEX(Agentes!$C$80:$C$87,MATCH(H257,Agentes!$B$80:$B$87,0)),"")))),"El ciclón no colecta la fracción inhalable","Coherente"))))</f>
        <v/>
      </c>
      <c r="Q257" s="22">
        <f>IF(Y257="","",IFERROR(INDEX(GES!$W$6:$W$35,MATCH(Y257,GES!$R$6:$R$35,0)),""))</f>
        <v/>
      </c>
      <c r="R257" s="29">
        <f>IF(AND(ISNUMBER(N257),ISNUMBER(Q257)),N257/Q257,"")</f>
        <v/>
      </c>
      <c r="S257" s="15">
        <f>IF(C257="","",IFERROR(INDEX(Agentes!$I$6:$I$60,MATCH(C257,Agentes!$A$6:$A$60,0)),""))</f>
        <v/>
      </c>
      <c r="T257" s="8" t="n"/>
      <c r="U257" s="15">
        <f>IF(ISNUMBER(N257),IF(N257&gt;0,LN(N257),""),"")</f>
        <v/>
      </c>
      <c r="V257" s="15">
        <f>IF(ISNUMBER(U257),IFERROR((U257-LN(IFERROR(INDEX(Estadística!$K$6:$K$35,MATCH(Y257,Estadística!$Y$6:$Y$35,0)),0)))^2,""),"")</f>
        <v/>
      </c>
      <c r="W257" s="15">
        <f>IF(ISNUMBER(N257),IFERROR((N257-IFERROR(INDEX(Estadística!$I$6:$I$35,MATCH(Y257,Estadística!$Y$6:$Y$35,0)),0))^2,""),"")</f>
        <v/>
      </c>
      <c r="X257" s="15">
        <f>IF(ISNUMBER(R257),IF(R257&gt;1,1,0),"")</f>
        <v/>
      </c>
      <c r="Y257" s="15">
        <f>IF(OR(B257="",C257=""),"",B257&amp;"|"&amp;C257)</f>
        <v/>
      </c>
    </row>
    <row r="258">
      <c r="A258" s="23" t="n">
        <v>253</v>
      </c>
      <c r="B258" s="8" t="n"/>
      <c r="C258" s="8" t="n"/>
      <c r="D258" s="9" t="n"/>
      <c r="E258" s="8" t="n"/>
      <c r="F258" s="8" t="n"/>
      <c r="G258" s="8" t="n"/>
      <c r="H258" s="8" t="n"/>
      <c r="I258" s="24" t="n"/>
      <c r="J258" s="8" t="n"/>
      <c r="K258" s="25">
        <f>IF(OR(I258="",J258=""),"",I258*J258/1000)</f>
        <v/>
      </c>
      <c r="L258" s="26" t="n"/>
      <c r="M258" s="26" t="n"/>
      <c r="N258" s="27">
        <f>IF(OR(B258="",C258=""),"",IF(M258&lt;&gt;"",M258,IF(AND(N(L258)&gt;0,N(K258)&gt;0),L258/K258,"")))</f>
        <v/>
      </c>
      <c r="O258" s="15">
        <f>IF(C258="","",IFERROR(INDEX(Agentes!$D$6:$D$60,MATCH(C258,Agentes!$A$6:$A$60,0)),""))</f>
        <v/>
      </c>
      <c r="P258" s="28">
        <f>IF(OR(H258="",O258=""),"",IF(AND(O258="Inhalable",LEFT(H258,6)="Casete"),"Subestima: el casete cerrado no colecta toda la fracción inhalable",IF(AND(O258="Respirable",LEFT(H258,6)&lt;&gt;"Ciclón"),"Requiere ciclón (fracción respirable)",IF(AND(O258="Inhalable",ISNUMBER(SEARCH("Respirable",IFERROR(INDEX(Agentes!$C$80:$C$87,MATCH(H258,Agentes!$B$80:$B$87,0)),"")))),"El ciclón no colecta la fracción inhalable","Coherente"))))</f>
        <v/>
      </c>
      <c r="Q258" s="22">
        <f>IF(Y258="","",IFERROR(INDEX(GES!$W$6:$W$35,MATCH(Y258,GES!$R$6:$R$35,0)),""))</f>
        <v/>
      </c>
      <c r="R258" s="29">
        <f>IF(AND(ISNUMBER(N258),ISNUMBER(Q258)),N258/Q258,"")</f>
        <v/>
      </c>
      <c r="S258" s="15">
        <f>IF(C258="","",IFERROR(INDEX(Agentes!$I$6:$I$60,MATCH(C258,Agentes!$A$6:$A$60,0)),""))</f>
        <v/>
      </c>
      <c r="T258" s="8" t="n"/>
      <c r="U258" s="15">
        <f>IF(ISNUMBER(N258),IF(N258&gt;0,LN(N258),""),"")</f>
        <v/>
      </c>
      <c r="V258" s="15">
        <f>IF(ISNUMBER(U258),IFERROR((U258-LN(IFERROR(INDEX(Estadística!$K$6:$K$35,MATCH(Y258,Estadística!$Y$6:$Y$35,0)),0)))^2,""),"")</f>
        <v/>
      </c>
      <c r="W258" s="15">
        <f>IF(ISNUMBER(N258),IFERROR((N258-IFERROR(INDEX(Estadística!$I$6:$I$35,MATCH(Y258,Estadística!$Y$6:$Y$35,0)),0))^2,""),"")</f>
        <v/>
      </c>
      <c r="X258" s="15">
        <f>IF(ISNUMBER(R258),IF(R258&gt;1,1,0),"")</f>
        <v/>
      </c>
      <c r="Y258" s="15">
        <f>IF(OR(B258="",C258=""),"",B258&amp;"|"&amp;C258)</f>
        <v/>
      </c>
    </row>
    <row r="259">
      <c r="A259" s="23" t="n">
        <v>254</v>
      </c>
      <c r="B259" s="8" t="n"/>
      <c r="C259" s="8" t="n"/>
      <c r="D259" s="9" t="n"/>
      <c r="E259" s="8" t="n"/>
      <c r="F259" s="8" t="n"/>
      <c r="G259" s="8" t="n"/>
      <c r="H259" s="8" t="n"/>
      <c r="I259" s="24" t="n"/>
      <c r="J259" s="8" t="n"/>
      <c r="K259" s="25">
        <f>IF(OR(I259="",J259=""),"",I259*J259/1000)</f>
        <v/>
      </c>
      <c r="L259" s="26" t="n"/>
      <c r="M259" s="26" t="n"/>
      <c r="N259" s="27">
        <f>IF(OR(B259="",C259=""),"",IF(M259&lt;&gt;"",M259,IF(AND(N(L259)&gt;0,N(K259)&gt;0),L259/K259,"")))</f>
        <v/>
      </c>
      <c r="O259" s="15">
        <f>IF(C259="","",IFERROR(INDEX(Agentes!$D$6:$D$60,MATCH(C259,Agentes!$A$6:$A$60,0)),""))</f>
        <v/>
      </c>
      <c r="P259" s="28">
        <f>IF(OR(H259="",O259=""),"",IF(AND(O259="Inhalable",LEFT(H259,6)="Casete"),"Subestima: el casete cerrado no colecta toda la fracción inhalable",IF(AND(O259="Respirable",LEFT(H259,6)&lt;&gt;"Ciclón"),"Requiere ciclón (fracción respirable)",IF(AND(O259="Inhalable",ISNUMBER(SEARCH("Respirable",IFERROR(INDEX(Agentes!$C$80:$C$87,MATCH(H259,Agentes!$B$80:$B$87,0)),"")))),"El ciclón no colecta la fracción inhalable","Coherente"))))</f>
        <v/>
      </c>
      <c r="Q259" s="22">
        <f>IF(Y259="","",IFERROR(INDEX(GES!$W$6:$W$35,MATCH(Y259,GES!$R$6:$R$35,0)),""))</f>
        <v/>
      </c>
      <c r="R259" s="29">
        <f>IF(AND(ISNUMBER(N259),ISNUMBER(Q259)),N259/Q259,"")</f>
        <v/>
      </c>
      <c r="S259" s="15">
        <f>IF(C259="","",IFERROR(INDEX(Agentes!$I$6:$I$60,MATCH(C259,Agentes!$A$6:$A$60,0)),""))</f>
        <v/>
      </c>
      <c r="T259" s="8" t="n"/>
      <c r="U259" s="15">
        <f>IF(ISNUMBER(N259),IF(N259&gt;0,LN(N259),""),"")</f>
        <v/>
      </c>
      <c r="V259" s="15">
        <f>IF(ISNUMBER(U259),IFERROR((U259-LN(IFERROR(INDEX(Estadística!$K$6:$K$35,MATCH(Y259,Estadística!$Y$6:$Y$35,0)),0)))^2,""),"")</f>
        <v/>
      </c>
      <c r="W259" s="15">
        <f>IF(ISNUMBER(N259),IFERROR((N259-IFERROR(INDEX(Estadística!$I$6:$I$35,MATCH(Y259,Estadística!$Y$6:$Y$35,0)),0))^2,""),"")</f>
        <v/>
      </c>
      <c r="X259" s="15">
        <f>IF(ISNUMBER(R259),IF(R259&gt;1,1,0),"")</f>
        <v/>
      </c>
      <c r="Y259" s="15">
        <f>IF(OR(B259="",C259=""),"",B259&amp;"|"&amp;C259)</f>
        <v/>
      </c>
    </row>
    <row r="260">
      <c r="A260" s="23" t="n">
        <v>255</v>
      </c>
      <c r="B260" s="8" t="n"/>
      <c r="C260" s="8" t="n"/>
      <c r="D260" s="9" t="n"/>
      <c r="E260" s="8" t="n"/>
      <c r="F260" s="8" t="n"/>
      <c r="G260" s="8" t="n"/>
      <c r="H260" s="8" t="n"/>
      <c r="I260" s="24" t="n"/>
      <c r="J260" s="8" t="n"/>
      <c r="K260" s="25">
        <f>IF(OR(I260="",J260=""),"",I260*J260/1000)</f>
        <v/>
      </c>
      <c r="L260" s="26" t="n"/>
      <c r="M260" s="26" t="n"/>
      <c r="N260" s="27">
        <f>IF(OR(B260="",C260=""),"",IF(M260&lt;&gt;"",M260,IF(AND(N(L260)&gt;0,N(K260)&gt;0),L260/K260,"")))</f>
        <v/>
      </c>
      <c r="O260" s="15">
        <f>IF(C260="","",IFERROR(INDEX(Agentes!$D$6:$D$60,MATCH(C260,Agentes!$A$6:$A$60,0)),""))</f>
        <v/>
      </c>
      <c r="P260" s="28">
        <f>IF(OR(H260="",O260=""),"",IF(AND(O260="Inhalable",LEFT(H260,6)="Casete"),"Subestima: el casete cerrado no colecta toda la fracción inhalable",IF(AND(O260="Respirable",LEFT(H260,6)&lt;&gt;"Ciclón"),"Requiere ciclón (fracción respirable)",IF(AND(O260="Inhalable",ISNUMBER(SEARCH("Respirable",IFERROR(INDEX(Agentes!$C$80:$C$87,MATCH(H260,Agentes!$B$80:$B$87,0)),"")))),"El ciclón no colecta la fracción inhalable","Coherente"))))</f>
        <v/>
      </c>
      <c r="Q260" s="22">
        <f>IF(Y260="","",IFERROR(INDEX(GES!$W$6:$W$35,MATCH(Y260,GES!$R$6:$R$35,0)),""))</f>
        <v/>
      </c>
      <c r="R260" s="29">
        <f>IF(AND(ISNUMBER(N260),ISNUMBER(Q260)),N260/Q260,"")</f>
        <v/>
      </c>
      <c r="S260" s="15">
        <f>IF(C260="","",IFERROR(INDEX(Agentes!$I$6:$I$60,MATCH(C260,Agentes!$A$6:$A$60,0)),""))</f>
        <v/>
      </c>
      <c r="T260" s="8" t="n"/>
      <c r="U260" s="15">
        <f>IF(ISNUMBER(N260),IF(N260&gt;0,LN(N260),""),"")</f>
        <v/>
      </c>
      <c r="V260" s="15">
        <f>IF(ISNUMBER(U260),IFERROR((U260-LN(IFERROR(INDEX(Estadística!$K$6:$K$35,MATCH(Y260,Estadística!$Y$6:$Y$35,0)),0)))^2,""),"")</f>
        <v/>
      </c>
      <c r="W260" s="15">
        <f>IF(ISNUMBER(N260),IFERROR((N260-IFERROR(INDEX(Estadística!$I$6:$I$35,MATCH(Y260,Estadística!$Y$6:$Y$35,0)),0))^2,""),"")</f>
        <v/>
      </c>
      <c r="X260" s="15">
        <f>IF(ISNUMBER(R260),IF(R260&gt;1,1,0),"")</f>
        <v/>
      </c>
      <c r="Y260" s="15">
        <f>IF(OR(B260="",C260=""),"",B260&amp;"|"&amp;C260)</f>
        <v/>
      </c>
    </row>
    <row r="261">
      <c r="A261" s="23" t="n">
        <v>256</v>
      </c>
      <c r="B261" s="8" t="n"/>
      <c r="C261" s="8" t="n"/>
      <c r="D261" s="9" t="n"/>
      <c r="E261" s="8" t="n"/>
      <c r="F261" s="8" t="n"/>
      <c r="G261" s="8" t="n"/>
      <c r="H261" s="8" t="n"/>
      <c r="I261" s="24" t="n"/>
      <c r="J261" s="8" t="n"/>
      <c r="K261" s="25">
        <f>IF(OR(I261="",J261=""),"",I261*J261/1000)</f>
        <v/>
      </c>
      <c r="L261" s="26" t="n"/>
      <c r="M261" s="26" t="n"/>
      <c r="N261" s="27">
        <f>IF(OR(B261="",C261=""),"",IF(M261&lt;&gt;"",M261,IF(AND(N(L261)&gt;0,N(K261)&gt;0),L261/K261,"")))</f>
        <v/>
      </c>
      <c r="O261" s="15">
        <f>IF(C261="","",IFERROR(INDEX(Agentes!$D$6:$D$60,MATCH(C261,Agentes!$A$6:$A$60,0)),""))</f>
        <v/>
      </c>
      <c r="P261" s="28">
        <f>IF(OR(H261="",O261=""),"",IF(AND(O261="Inhalable",LEFT(H261,6)="Casete"),"Subestima: el casete cerrado no colecta toda la fracción inhalable",IF(AND(O261="Respirable",LEFT(H261,6)&lt;&gt;"Ciclón"),"Requiere ciclón (fracción respirable)",IF(AND(O261="Inhalable",ISNUMBER(SEARCH("Respirable",IFERROR(INDEX(Agentes!$C$80:$C$87,MATCH(H261,Agentes!$B$80:$B$87,0)),"")))),"El ciclón no colecta la fracción inhalable","Coherente"))))</f>
        <v/>
      </c>
      <c r="Q261" s="22">
        <f>IF(Y261="","",IFERROR(INDEX(GES!$W$6:$W$35,MATCH(Y261,GES!$R$6:$R$35,0)),""))</f>
        <v/>
      </c>
      <c r="R261" s="29">
        <f>IF(AND(ISNUMBER(N261),ISNUMBER(Q261)),N261/Q261,"")</f>
        <v/>
      </c>
      <c r="S261" s="15">
        <f>IF(C261="","",IFERROR(INDEX(Agentes!$I$6:$I$60,MATCH(C261,Agentes!$A$6:$A$60,0)),""))</f>
        <v/>
      </c>
      <c r="T261" s="8" t="n"/>
      <c r="U261" s="15">
        <f>IF(ISNUMBER(N261),IF(N261&gt;0,LN(N261),""),"")</f>
        <v/>
      </c>
      <c r="V261" s="15">
        <f>IF(ISNUMBER(U261),IFERROR((U261-LN(IFERROR(INDEX(Estadística!$K$6:$K$35,MATCH(Y261,Estadística!$Y$6:$Y$35,0)),0)))^2,""),"")</f>
        <v/>
      </c>
      <c r="W261" s="15">
        <f>IF(ISNUMBER(N261),IFERROR((N261-IFERROR(INDEX(Estadística!$I$6:$I$35,MATCH(Y261,Estadística!$Y$6:$Y$35,0)),0))^2,""),"")</f>
        <v/>
      </c>
      <c r="X261" s="15">
        <f>IF(ISNUMBER(R261),IF(R261&gt;1,1,0),"")</f>
        <v/>
      </c>
      <c r="Y261" s="15">
        <f>IF(OR(B261="",C261=""),"",B261&amp;"|"&amp;C261)</f>
        <v/>
      </c>
    </row>
    <row r="262">
      <c r="A262" s="23" t="n">
        <v>257</v>
      </c>
      <c r="B262" s="8" t="n"/>
      <c r="C262" s="8" t="n"/>
      <c r="D262" s="9" t="n"/>
      <c r="E262" s="8" t="n"/>
      <c r="F262" s="8" t="n"/>
      <c r="G262" s="8" t="n"/>
      <c r="H262" s="8" t="n"/>
      <c r="I262" s="24" t="n"/>
      <c r="J262" s="8" t="n"/>
      <c r="K262" s="25">
        <f>IF(OR(I262="",J262=""),"",I262*J262/1000)</f>
        <v/>
      </c>
      <c r="L262" s="26" t="n"/>
      <c r="M262" s="26" t="n"/>
      <c r="N262" s="27">
        <f>IF(OR(B262="",C262=""),"",IF(M262&lt;&gt;"",M262,IF(AND(N(L262)&gt;0,N(K262)&gt;0),L262/K262,"")))</f>
        <v/>
      </c>
      <c r="O262" s="15">
        <f>IF(C262="","",IFERROR(INDEX(Agentes!$D$6:$D$60,MATCH(C262,Agentes!$A$6:$A$60,0)),""))</f>
        <v/>
      </c>
      <c r="P262" s="28">
        <f>IF(OR(H262="",O262=""),"",IF(AND(O262="Inhalable",LEFT(H262,6)="Casete"),"Subestima: el casete cerrado no colecta toda la fracción inhalable",IF(AND(O262="Respirable",LEFT(H262,6)&lt;&gt;"Ciclón"),"Requiere ciclón (fracción respirable)",IF(AND(O262="Inhalable",ISNUMBER(SEARCH("Respirable",IFERROR(INDEX(Agentes!$C$80:$C$87,MATCH(H262,Agentes!$B$80:$B$87,0)),"")))),"El ciclón no colecta la fracción inhalable","Coherente"))))</f>
        <v/>
      </c>
      <c r="Q262" s="22">
        <f>IF(Y262="","",IFERROR(INDEX(GES!$W$6:$W$35,MATCH(Y262,GES!$R$6:$R$35,0)),""))</f>
        <v/>
      </c>
      <c r="R262" s="29">
        <f>IF(AND(ISNUMBER(N262),ISNUMBER(Q262)),N262/Q262,"")</f>
        <v/>
      </c>
      <c r="S262" s="15">
        <f>IF(C262="","",IFERROR(INDEX(Agentes!$I$6:$I$60,MATCH(C262,Agentes!$A$6:$A$60,0)),""))</f>
        <v/>
      </c>
      <c r="T262" s="8" t="n"/>
      <c r="U262" s="15">
        <f>IF(ISNUMBER(N262),IF(N262&gt;0,LN(N262),""),"")</f>
        <v/>
      </c>
      <c r="V262" s="15">
        <f>IF(ISNUMBER(U262),IFERROR((U262-LN(IFERROR(INDEX(Estadística!$K$6:$K$35,MATCH(Y262,Estadística!$Y$6:$Y$35,0)),0)))^2,""),"")</f>
        <v/>
      </c>
      <c r="W262" s="15">
        <f>IF(ISNUMBER(N262),IFERROR((N262-IFERROR(INDEX(Estadística!$I$6:$I$35,MATCH(Y262,Estadística!$Y$6:$Y$35,0)),0))^2,""),"")</f>
        <v/>
      </c>
      <c r="X262" s="15">
        <f>IF(ISNUMBER(R262),IF(R262&gt;1,1,0),"")</f>
        <v/>
      </c>
      <c r="Y262" s="15">
        <f>IF(OR(B262="",C262=""),"",B262&amp;"|"&amp;C262)</f>
        <v/>
      </c>
    </row>
    <row r="263">
      <c r="A263" s="23" t="n">
        <v>258</v>
      </c>
      <c r="B263" s="8" t="n"/>
      <c r="C263" s="8" t="n"/>
      <c r="D263" s="9" t="n"/>
      <c r="E263" s="8" t="n"/>
      <c r="F263" s="8" t="n"/>
      <c r="G263" s="8" t="n"/>
      <c r="H263" s="8" t="n"/>
      <c r="I263" s="24" t="n"/>
      <c r="J263" s="8" t="n"/>
      <c r="K263" s="25">
        <f>IF(OR(I263="",J263=""),"",I263*J263/1000)</f>
        <v/>
      </c>
      <c r="L263" s="26" t="n"/>
      <c r="M263" s="26" t="n"/>
      <c r="N263" s="27">
        <f>IF(OR(B263="",C263=""),"",IF(M263&lt;&gt;"",M263,IF(AND(N(L263)&gt;0,N(K263)&gt;0),L263/K263,"")))</f>
        <v/>
      </c>
      <c r="O263" s="15">
        <f>IF(C263="","",IFERROR(INDEX(Agentes!$D$6:$D$60,MATCH(C263,Agentes!$A$6:$A$60,0)),""))</f>
        <v/>
      </c>
      <c r="P263" s="28">
        <f>IF(OR(H263="",O263=""),"",IF(AND(O263="Inhalable",LEFT(H263,6)="Casete"),"Subestima: el casete cerrado no colecta toda la fracción inhalable",IF(AND(O263="Respirable",LEFT(H263,6)&lt;&gt;"Ciclón"),"Requiere ciclón (fracción respirable)",IF(AND(O263="Inhalable",ISNUMBER(SEARCH("Respirable",IFERROR(INDEX(Agentes!$C$80:$C$87,MATCH(H263,Agentes!$B$80:$B$87,0)),"")))),"El ciclón no colecta la fracción inhalable","Coherente"))))</f>
        <v/>
      </c>
      <c r="Q263" s="22">
        <f>IF(Y263="","",IFERROR(INDEX(GES!$W$6:$W$35,MATCH(Y263,GES!$R$6:$R$35,0)),""))</f>
        <v/>
      </c>
      <c r="R263" s="29">
        <f>IF(AND(ISNUMBER(N263),ISNUMBER(Q263)),N263/Q263,"")</f>
        <v/>
      </c>
      <c r="S263" s="15">
        <f>IF(C263="","",IFERROR(INDEX(Agentes!$I$6:$I$60,MATCH(C263,Agentes!$A$6:$A$60,0)),""))</f>
        <v/>
      </c>
      <c r="T263" s="8" t="n"/>
      <c r="U263" s="15">
        <f>IF(ISNUMBER(N263),IF(N263&gt;0,LN(N263),""),"")</f>
        <v/>
      </c>
      <c r="V263" s="15">
        <f>IF(ISNUMBER(U263),IFERROR((U263-LN(IFERROR(INDEX(Estadística!$K$6:$K$35,MATCH(Y263,Estadística!$Y$6:$Y$35,0)),0)))^2,""),"")</f>
        <v/>
      </c>
      <c r="W263" s="15">
        <f>IF(ISNUMBER(N263),IFERROR((N263-IFERROR(INDEX(Estadística!$I$6:$I$35,MATCH(Y263,Estadística!$Y$6:$Y$35,0)),0))^2,""),"")</f>
        <v/>
      </c>
      <c r="X263" s="15">
        <f>IF(ISNUMBER(R263),IF(R263&gt;1,1,0),"")</f>
        <v/>
      </c>
      <c r="Y263" s="15">
        <f>IF(OR(B263="",C263=""),"",B263&amp;"|"&amp;C263)</f>
        <v/>
      </c>
    </row>
    <row r="264">
      <c r="A264" s="23" t="n">
        <v>259</v>
      </c>
      <c r="B264" s="8" t="n"/>
      <c r="C264" s="8" t="n"/>
      <c r="D264" s="9" t="n"/>
      <c r="E264" s="8" t="n"/>
      <c r="F264" s="8" t="n"/>
      <c r="G264" s="8" t="n"/>
      <c r="H264" s="8" t="n"/>
      <c r="I264" s="24" t="n"/>
      <c r="J264" s="8" t="n"/>
      <c r="K264" s="25">
        <f>IF(OR(I264="",J264=""),"",I264*J264/1000)</f>
        <v/>
      </c>
      <c r="L264" s="26" t="n"/>
      <c r="M264" s="26" t="n"/>
      <c r="N264" s="27">
        <f>IF(OR(B264="",C264=""),"",IF(M264&lt;&gt;"",M264,IF(AND(N(L264)&gt;0,N(K264)&gt;0),L264/K264,"")))</f>
        <v/>
      </c>
      <c r="O264" s="15">
        <f>IF(C264="","",IFERROR(INDEX(Agentes!$D$6:$D$60,MATCH(C264,Agentes!$A$6:$A$60,0)),""))</f>
        <v/>
      </c>
      <c r="P264" s="28">
        <f>IF(OR(H264="",O264=""),"",IF(AND(O264="Inhalable",LEFT(H264,6)="Casete"),"Subestima: el casete cerrado no colecta toda la fracción inhalable",IF(AND(O264="Respirable",LEFT(H264,6)&lt;&gt;"Ciclón"),"Requiere ciclón (fracción respirable)",IF(AND(O264="Inhalable",ISNUMBER(SEARCH("Respirable",IFERROR(INDEX(Agentes!$C$80:$C$87,MATCH(H264,Agentes!$B$80:$B$87,0)),"")))),"El ciclón no colecta la fracción inhalable","Coherente"))))</f>
        <v/>
      </c>
      <c r="Q264" s="22">
        <f>IF(Y264="","",IFERROR(INDEX(GES!$W$6:$W$35,MATCH(Y264,GES!$R$6:$R$35,0)),""))</f>
        <v/>
      </c>
      <c r="R264" s="29">
        <f>IF(AND(ISNUMBER(N264),ISNUMBER(Q264)),N264/Q264,"")</f>
        <v/>
      </c>
      <c r="S264" s="15">
        <f>IF(C264="","",IFERROR(INDEX(Agentes!$I$6:$I$60,MATCH(C264,Agentes!$A$6:$A$60,0)),""))</f>
        <v/>
      </c>
      <c r="T264" s="8" t="n"/>
      <c r="U264" s="15">
        <f>IF(ISNUMBER(N264),IF(N264&gt;0,LN(N264),""),"")</f>
        <v/>
      </c>
      <c r="V264" s="15">
        <f>IF(ISNUMBER(U264),IFERROR((U264-LN(IFERROR(INDEX(Estadística!$K$6:$K$35,MATCH(Y264,Estadística!$Y$6:$Y$35,0)),0)))^2,""),"")</f>
        <v/>
      </c>
      <c r="W264" s="15">
        <f>IF(ISNUMBER(N264),IFERROR((N264-IFERROR(INDEX(Estadística!$I$6:$I$35,MATCH(Y264,Estadística!$Y$6:$Y$35,0)),0))^2,""),"")</f>
        <v/>
      </c>
      <c r="X264" s="15">
        <f>IF(ISNUMBER(R264),IF(R264&gt;1,1,0),"")</f>
        <v/>
      </c>
      <c r="Y264" s="15">
        <f>IF(OR(B264="",C264=""),"",B264&amp;"|"&amp;C264)</f>
        <v/>
      </c>
    </row>
    <row r="265">
      <c r="A265" s="23" t="n">
        <v>260</v>
      </c>
      <c r="B265" s="8" t="n"/>
      <c r="C265" s="8" t="n"/>
      <c r="D265" s="9" t="n"/>
      <c r="E265" s="8" t="n"/>
      <c r="F265" s="8" t="n"/>
      <c r="G265" s="8" t="n"/>
      <c r="H265" s="8" t="n"/>
      <c r="I265" s="24" t="n"/>
      <c r="J265" s="8" t="n"/>
      <c r="K265" s="25">
        <f>IF(OR(I265="",J265=""),"",I265*J265/1000)</f>
        <v/>
      </c>
      <c r="L265" s="26" t="n"/>
      <c r="M265" s="26" t="n"/>
      <c r="N265" s="27">
        <f>IF(OR(B265="",C265=""),"",IF(M265&lt;&gt;"",M265,IF(AND(N(L265)&gt;0,N(K265)&gt;0),L265/K265,"")))</f>
        <v/>
      </c>
      <c r="O265" s="15">
        <f>IF(C265="","",IFERROR(INDEX(Agentes!$D$6:$D$60,MATCH(C265,Agentes!$A$6:$A$60,0)),""))</f>
        <v/>
      </c>
      <c r="P265" s="28">
        <f>IF(OR(H265="",O265=""),"",IF(AND(O265="Inhalable",LEFT(H265,6)="Casete"),"Subestima: el casete cerrado no colecta toda la fracción inhalable",IF(AND(O265="Respirable",LEFT(H265,6)&lt;&gt;"Ciclón"),"Requiere ciclón (fracción respirable)",IF(AND(O265="Inhalable",ISNUMBER(SEARCH("Respirable",IFERROR(INDEX(Agentes!$C$80:$C$87,MATCH(H265,Agentes!$B$80:$B$87,0)),"")))),"El ciclón no colecta la fracción inhalable","Coherente"))))</f>
        <v/>
      </c>
      <c r="Q265" s="22">
        <f>IF(Y265="","",IFERROR(INDEX(GES!$W$6:$W$35,MATCH(Y265,GES!$R$6:$R$35,0)),""))</f>
        <v/>
      </c>
      <c r="R265" s="29">
        <f>IF(AND(ISNUMBER(N265),ISNUMBER(Q265)),N265/Q265,"")</f>
        <v/>
      </c>
      <c r="S265" s="15">
        <f>IF(C265="","",IFERROR(INDEX(Agentes!$I$6:$I$60,MATCH(C265,Agentes!$A$6:$A$60,0)),""))</f>
        <v/>
      </c>
      <c r="T265" s="8" t="n"/>
      <c r="U265" s="15">
        <f>IF(ISNUMBER(N265),IF(N265&gt;0,LN(N265),""),"")</f>
        <v/>
      </c>
      <c r="V265" s="15">
        <f>IF(ISNUMBER(U265),IFERROR((U265-LN(IFERROR(INDEX(Estadística!$K$6:$K$35,MATCH(Y265,Estadística!$Y$6:$Y$35,0)),0)))^2,""),"")</f>
        <v/>
      </c>
      <c r="W265" s="15">
        <f>IF(ISNUMBER(N265),IFERROR((N265-IFERROR(INDEX(Estadística!$I$6:$I$35,MATCH(Y265,Estadística!$Y$6:$Y$35,0)),0))^2,""),"")</f>
        <v/>
      </c>
      <c r="X265" s="15">
        <f>IF(ISNUMBER(R265),IF(R265&gt;1,1,0),"")</f>
        <v/>
      </c>
      <c r="Y265" s="15">
        <f>IF(OR(B265="",C265=""),"",B265&amp;"|"&amp;C265)</f>
        <v/>
      </c>
    </row>
    <row r="266">
      <c r="A266" s="23" t="n">
        <v>261</v>
      </c>
      <c r="B266" s="8" t="n"/>
      <c r="C266" s="8" t="n"/>
      <c r="D266" s="9" t="n"/>
      <c r="E266" s="8" t="n"/>
      <c r="F266" s="8" t="n"/>
      <c r="G266" s="8" t="n"/>
      <c r="H266" s="8" t="n"/>
      <c r="I266" s="24" t="n"/>
      <c r="J266" s="8" t="n"/>
      <c r="K266" s="25">
        <f>IF(OR(I266="",J266=""),"",I266*J266/1000)</f>
        <v/>
      </c>
      <c r="L266" s="26" t="n"/>
      <c r="M266" s="26" t="n"/>
      <c r="N266" s="27">
        <f>IF(OR(B266="",C266=""),"",IF(M266&lt;&gt;"",M266,IF(AND(N(L266)&gt;0,N(K266)&gt;0),L266/K266,"")))</f>
        <v/>
      </c>
      <c r="O266" s="15">
        <f>IF(C266="","",IFERROR(INDEX(Agentes!$D$6:$D$60,MATCH(C266,Agentes!$A$6:$A$60,0)),""))</f>
        <v/>
      </c>
      <c r="P266" s="28">
        <f>IF(OR(H266="",O266=""),"",IF(AND(O266="Inhalable",LEFT(H266,6)="Casete"),"Subestima: el casete cerrado no colecta toda la fracción inhalable",IF(AND(O266="Respirable",LEFT(H266,6)&lt;&gt;"Ciclón"),"Requiere ciclón (fracción respirable)",IF(AND(O266="Inhalable",ISNUMBER(SEARCH("Respirable",IFERROR(INDEX(Agentes!$C$80:$C$87,MATCH(H266,Agentes!$B$80:$B$87,0)),"")))),"El ciclón no colecta la fracción inhalable","Coherente"))))</f>
        <v/>
      </c>
      <c r="Q266" s="22">
        <f>IF(Y266="","",IFERROR(INDEX(GES!$W$6:$W$35,MATCH(Y266,GES!$R$6:$R$35,0)),""))</f>
        <v/>
      </c>
      <c r="R266" s="29">
        <f>IF(AND(ISNUMBER(N266),ISNUMBER(Q266)),N266/Q266,"")</f>
        <v/>
      </c>
      <c r="S266" s="15">
        <f>IF(C266="","",IFERROR(INDEX(Agentes!$I$6:$I$60,MATCH(C266,Agentes!$A$6:$A$60,0)),""))</f>
        <v/>
      </c>
      <c r="T266" s="8" t="n"/>
      <c r="U266" s="15">
        <f>IF(ISNUMBER(N266),IF(N266&gt;0,LN(N266),""),"")</f>
        <v/>
      </c>
      <c r="V266" s="15">
        <f>IF(ISNUMBER(U266),IFERROR((U266-LN(IFERROR(INDEX(Estadística!$K$6:$K$35,MATCH(Y266,Estadística!$Y$6:$Y$35,0)),0)))^2,""),"")</f>
        <v/>
      </c>
      <c r="W266" s="15">
        <f>IF(ISNUMBER(N266),IFERROR((N266-IFERROR(INDEX(Estadística!$I$6:$I$35,MATCH(Y266,Estadística!$Y$6:$Y$35,0)),0))^2,""),"")</f>
        <v/>
      </c>
      <c r="X266" s="15">
        <f>IF(ISNUMBER(R266),IF(R266&gt;1,1,0),"")</f>
        <v/>
      </c>
      <c r="Y266" s="15">
        <f>IF(OR(B266="",C266=""),"",B266&amp;"|"&amp;C266)</f>
        <v/>
      </c>
    </row>
    <row r="267">
      <c r="A267" s="23" t="n">
        <v>262</v>
      </c>
      <c r="B267" s="8" t="n"/>
      <c r="C267" s="8" t="n"/>
      <c r="D267" s="9" t="n"/>
      <c r="E267" s="8" t="n"/>
      <c r="F267" s="8" t="n"/>
      <c r="G267" s="8" t="n"/>
      <c r="H267" s="8" t="n"/>
      <c r="I267" s="24" t="n"/>
      <c r="J267" s="8" t="n"/>
      <c r="K267" s="25">
        <f>IF(OR(I267="",J267=""),"",I267*J267/1000)</f>
        <v/>
      </c>
      <c r="L267" s="26" t="n"/>
      <c r="M267" s="26" t="n"/>
      <c r="N267" s="27">
        <f>IF(OR(B267="",C267=""),"",IF(M267&lt;&gt;"",M267,IF(AND(N(L267)&gt;0,N(K267)&gt;0),L267/K267,"")))</f>
        <v/>
      </c>
      <c r="O267" s="15">
        <f>IF(C267="","",IFERROR(INDEX(Agentes!$D$6:$D$60,MATCH(C267,Agentes!$A$6:$A$60,0)),""))</f>
        <v/>
      </c>
      <c r="P267" s="28">
        <f>IF(OR(H267="",O267=""),"",IF(AND(O267="Inhalable",LEFT(H267,6)="Casete"),"Subestima: el casete cerrado no colecta toda la fracción inhalable",IF(AND(O267="Respirable",LEFT(H267,6)&lt;&gt;"Ciclón"),"Requiere ciclón (fracción respirable)",IF(AND(O267="Inhalable",ISNUMBER(SEARCH("Respirable",IFERROR(INDEX(Agentes!$C$80:$C$87,MATCH(H267,Agentes!$B$80:$B$87,0)),"")))),"El ciclón no colecta la fracción inhalable","Coherente"))))</f>
        <v/>
      </c>
      <c r="Q267" s="22">
        <f>IF(Y267="","",IFERROR(INDEX(GES!$W$6:$W$35,MATCH(Y267,GES!$R$6:$R$35,0)),""))</f>
        <v/>
      </c>
      <c r="R267" s="29">
        <f>IF(AND(ISNUMBER(N267),ISNUMBER(Q267)),N267/Q267,"")</f>
        <v/>
      </c>
      <c r="S267" s="15">
        <f>IF(C267="","",IFERROR(INDEX(Agentes!$I$6:$I$60,MATCH(C267,Agentes!$A$6:$A$60,0)),""))</f>
        <v/>
      </c>
      <c r="T267" s="8" t="n"/>
      <c r="U267" s="15">
        <f>IF(ISNUMBER(N267),IF(N267&gt;0,LN(N267),""),"")</f>
        <v/>
      </c>
      <c r="V267" s="15">
        <f>IF(ISNUMBER(U267),IFERROR((U267-LN(IFERROR(INDEX(Estadística!$K$6:$K$35,MATCH(Y267,Estadística!$Y$6:$Y$35,0)),0)))^2,""),"")</f>
        <v/>
      </c>
      <c r="W267" s="15">
        <f>IF(ISNUMBER(N267),IFERROR((N267-IFERROR(INDEX(Estadística!$I$6:$I$35,MATCH(Y267,Estadística!$Y$6:$Y$35,0)),0))^2,""),"")</f>
        <v/>
      </c>
      <c r="X267" s="15">
        <f>IF(ISNUMBER(R267),IF(R267&gt;1,1,0),"")</f>
        <v/>
      </c>
      <c r="Y267" s="15">
        <f>IF(OR(B267="",C267=""),"",B267&amp;"|"&amp;C267)</f>
        <v/>
      </c>
    </row>
    <row r="268">
      <c r="A268" s="23" t="n">
        <v>263</v>
      </c>
      <c r="B268" s="8" t="n"/>
      <c r="C268" s="8" t="n"/>
      <c r="D268" s="9" t="n"/>
      <c r="E268" s="8" t="n"/>
      <c r="F268" s="8" t="n"/>
      <c r="G268" s="8" t="n"/>
      <c r="H268" s="8" t="n"/>
      <c r="I268" s="24" t="n"/>
      <c r="J268" s="8" t="n"/>
      <c r="K268" s="25">
        <f>IF(OR(I268="",J268=""),"",I268*J268/1000)</f>
        <v/>
      </c>
      <c r="L268" s="26" t="n"/>
      <c r="M268" s="26" t="n"/>
      <c r="N268" s="27">
        <f>IF(OR(B268="",C268=""),"",IF(M268&lt;&gt;"",M268,IF(AND(N(L268)&gt;0,N(K268)&gt;0),L268/K268,"")))</f>
        <v/>
      </c>
      <c r="O268" s="15">
        <f>IF(C268="","",IFERROR(INDEX(Agentes!$D$6:$D$60,MATCH(C268,Agentes!$A$6:$A$60,0)),""))</f>
        <v/>
      </c>
      <c r="P268" s="28">
        <f>IF(OR(H268="",O268=""),"",IF(AND(O268="Inhalable",LEFT(H268,6)="Casete"),"Subestima: el casete cerrado no colecta toda la fracción inhalable",IF(AND(O268="Respirable",LEFT(H268,6)&lt;&gt;"Ciclón"),"Requiere ciclón (fracción respirable)",IF(AND(O268="Inhalable",ISNUMBER(SEARCH("Respirable",IFERROR(INDEX(Agentes!$C$80:$C$87,MATCH(H268,Agentes!$B$80:$B$87,0)),"")))),"El ciclón no colecta la fracción inhalable","Coherente"))))</f>
        <v/>
      </c>
      <c r="Q268" s="22">
        <f>IF(Y268="","",IFERROR(INDEX(GES!$W$6:$W$35,MATCH(Y268,GES!$R$6:$R$35,0)),""))</f>
        <v/>
      </c>
      <c r="R268" s="29">
        <f>IF(AND(ISNUMBER(N268),ISNUMBER(Q268)),N268/Q268,"")</f>
        <v/>
      </c>
      <c r="S268" s="15">
        <f>IF(C268="","",IFERROR(INDEX(Agentes!$I$6:$I$60,MATCH(C268,Agentes!$A$6:$A$60,0)),""))</f>
        <v/>
      </c>
      <c r="T268" s="8" t="n"/>
      <c r="U268" s="15">
        <f>IF(ISNUMBER(N268),IF(N268&gt;0,LN(N268),""),"")</f>
        <v/>
      </c>
      <c r="V268" s="15">
        <f>IF(ISNUMBER(U268),IFERROR((U268-LN(IFERROR(INDEX(Estadística!$K$6:$K$35,MATCH(Y268,Estadística!$Y$6:$Y$35,0)),0)))^2,""),"")</f>
        <v/>
      </c>
      <c r="W268" s="15">
        <f>IF(ISNUMBER(N268),IFERROR((N268-IFERROR(INDEX(Estadística!$I$6:$I$35,MATCH(Y268,Estadística!$Y$6:$Y$35,0)),0))^2,""),"")</f>
        <v/>
      </c>
      <c r="X268" s="15">
        <f>IF(ISNUMBER(R268),IF(R268&gt;1,1,0),"")</f>
        <v/>
      </c>
      <c r="Y268" s="15">
        <f>IF(OR(B268="",C268=""),"",B268&amp;"|"&amp;C268)</f>
        <v/>
      </c>
    </row>
    <row r="269">
      <c r="A269" s="23" t="n">
        <v>264</v>
      </c>
      <c r="B269" s="8" t="n"/>
      <c r="C269" s="8" t="n"/>
      <c r="D269" s="9" t="n"/>
      <c r="E269" s="8" t="n"/>
      <c r="F269" s="8" t="n"/>
      <c r="G269" s="8" t="n"/>
      <c r="H269" s="8" t="n"/>
      <c r="I269" s="24" t="n"/>
      <c r="J269" s="8" t="n"/>
      <c r="K269" s="25">
        <f>IF(OR(I269="",J269=""),"",I269*J269/1000)</f>
        <v/>
      </c>
      <c r="L269" s="26" t="n"/>
      <c r="M269" s="26" t="n"/>
      <c r="N269" s="27">
        <f>IF(OR(B269="",C269=""),"",IF(M269&lt;&gt;"",M269,IF(AND(N(L269)&gt;0,N(K269)&gt;0),L269/K269,"")))</f>
        <v/>
      </c>
      <c r="O269" s="15">
        <f>IF(C269="","",IFERROR(INDEX(Agentes!$D$6:$D$60,MATCH(C269,Agentes!$A$6:$A$60,0)),""))</f>
        <v/>
      </c>
      <c r="P269" s="28">
        <f>IF(OR(H269="",O269=""),"",IF(AND(O269="Inhalable",LEFT(H269,6)="Casete"),"Subestima: el casete cerrado no colecta toda la fracción inhalable",IF(AND(O269="Respirable",LEFT(H269,6)&lt;&gt;"Ciclón"),"Requiere ciclón (fracción respirable)",IF(AND(O269="Inhalable",ISNUMBER(SEARCH("Respirable",IFERROR(INDEX(Agentes!$C$80:$C$87,MATCH(H269,Agentes!$B$80:$B$87,0)),"")))),"El ciclón no colecta la fracción inhalable","Coherente"))))</f>
        <v/>
      </c>
      <c r="Q269" s="22">
        <f>IF(Y269="","",IFERROR(INDEX(GES!$W$6:$W$35,MATCH(Y269,GES!$R$6:$R$35,0)),""))</f>
        <v/>
      </c>
      <c r="R269" s="29">
        <f>IF(AND(ISNUMBER(N269),ISNUMBER(Q269)),N269/Q269,"")</f>
        <v/>
      </c>
      <c r="S269" s="15">
        <f>IF(C269="","",IFERROR(INDEX(Agentes!$I$6:$I$60,MATCH(C269,Agentes!$A$6:$A$60,0)),""))</f>
        <v/>
      </c>
      <c r="T269" s="8" t="n"/>
      <c r="U269" s="15">
        <f>IF(ISNUMBER(N269),IF(N269&gt;0,LN(N269),""),"")</f>
        <v/>
      </c>
      <c r="V269" s="15">
        <f>IF(ISNUMBER(U269),IFERROR((U269-LN(IFERROR(INDEX(Estadística!$K$6:$K$35,MATCH(Y269,Estadística!$Y$6:$Y$35,0)),0)))^2,""),"")</f>
        <v/>
      </c>
      <c r="W269" s="15">
        <f>IF(ISNUMBER(N269),IFERROR((N269-IFERROR(INDEX(Estadística!$I$6:$I$35,MATCH(Y269,Estadística!$Y$6:$Y$35,0)),0))^2,""),"")</f>
        <v/>
      </c>
      <c r="X269" s="15">
        <f>IF(ISNUMBER(R269),IF(R269&gt;1,1,0),"")</f>
        <v/>
      </c>
      <c r="Y269" s="15">
        <f>IF(OR(B269="",C269=""),"",B269&amp;"|"&amp;C269)</f>
        <v/>
      </c>
    </row>
    <row r="270">
      <c r="A270" s="23" t="n">
        <v>265</v>
      </c>
      <c r="B270" s="8" t="n"/>
      <c r="C270" s="8" t="n"/>
      <c r="D270" s="9" t="n"/>
      <c r="E270" s="8" t="n"/>
      <c r="F270" s="8" t="n"/>
      <c r="G270" s="8" t="n"/>
      <c r="H270" s="8" t="n"/>
      <c r="I270" s="24" t="n"/>
      <c r="J270" s="8" t="n"/>
      <c r="K270" s="25">
        <f>IF(OR(I270="",J270=""),"",I270*J270/1000)</f>
        <v/>
      </c>
      <c r="L270" s="26" t="n"/>
      <c r="M270" s="26" t="n"/>
      <c r="N270" s="27">
        <f>IF(OR(B270="",C270=""),"",IF(M270&lt;&gt;"",M270,IF(AND(N(L270)&gt;0,N(K270)&gt;0),L270/K270,"")))</f>
        <v/>
      </c>
      <c r="O270" s="15">
        <f>IF(C270="","",IFERROR(INDEX(Agentes!$D$6:$D$60,MATCH(C270,Agentes!$A$6:$A$60,0)),""))</f>
        <v/>
      </c>
      <c r="P270" s="28">
        <f>IF(OR(H270="",O270=""),"",IF(AND(O270="Inhalable",LEFT(H270,6)="Casete"),"Subestima: el casete cerrado no colecta toda la fracción inhalable",IF(AND(O270="Respirable",LEFT(H270,6)&lt;&gt;"Ciclón"),"Requiere ciclón (fracción respirable)",IF(AND(O270="Inhalable",ISNUMBER(SEARCH("Respirable",IFERROR(INDEX(Agentes!$C$80:$C$87,MATCH(H270,Agentes!$B$80:$B$87,0)),"")))),"El ciclón no colecta la fracción inhalable","Coherente"))))</f>
        <v/>
      </c>
      <c r="Q270" s="22">
        <f>IF(Y270="","",IFERROR(INDEX(GES!$W$6:$W$35,MATCH(Y270,GES!$R$6:$R$35,0)),""))</f>
        <v/>
      </c>
      <c r="R270" s="29">
        <f>IF(AND(ISNUMBER(N270),ISNUMBER(Q270)),N270/Q270,"")</f>
        <v/>
      </c>
      <c r="S270" s="15">
        <f>IF(C270="","",IFERROR(INDEX(Agentes!$I$6:$I$60,MATCH(C270,Agentes!$A$6:$A$60,0)),""))</f>
        <v/>
      </c>
      <c r="T270" s="8" t="n"/>
      <c r="U270" s="15">
        <f>IF(ISNUMBER(N270),IF(N270&gt;0,LN(N270),""),"")</f>
        <v/>
      </c>
      <c r="V270" s="15">
        <f>IF(ISNUMBER(U270),IFERROR((U270-LN(IFERROR(INDEX(Estadística!$K$6:$K$35,MATCH(Y270,Estadística!$Y$6:$Y$35,0)),0)))^2,""),"")</f>
        <v/>
      </c>
      <c r="W270" s="15">
        <f>IF(ISNUMBER(N270),IFERROR((N270-IFERROR(INDEX(Estadística!$I$6:$I$35,MATCH(Y270,Estadística!$Y$6:$Y$35,0)),0))^2,""),"")</f>
        <v/>
      </c>
      <c r="X270" s="15">
        <f>IF(ISNUMBER(R270),IF(R270&gt;1,1,0),"")</f>
        <v/>
      </c>
      <c r="Y270" s="15">
        <f>IF(OR(B270="",C270=""),"",B270&amp;"|"&amp;C270)</f>
        <v/>
      </c>
    </row>
    <row r="271">
      <c r="A271" s="23" t="n">
        <v>266</v>
      </c>
      <c r="B271" s="8" t="n"/>
      <c r="C271" s="8" t="n"/>
      <c r="D271" s="9" t="n"/>
      <c r="E271" s="8" t="n"/>
      <c r="F271" s="8" t="n"/>
      <c r="G271" s="8" t="n"/>
      <c r="H271" s="8" t="n"/>
      <c r="I271" s="24" t="n"/>
      <c r="J271" s="8" t="n"/>
      <c r="K271" s="25">
        <f>IF(OR(I271="",J271=""),"",I271*J271/1000)</f>
        <v/>
      </c>
      <c r="L271" s="26" t="n"/>
      <c r="M271" s="26" t="n"/>
      <c r="N271" s="27">
        <f>IF(OR(B271="",C271=""),"",IF(M271&lt;&gt;"",M271,IF(AND(N(L271)&gt;0,N(K271)&gt;0),L271/K271,"")))</f>
        <v/>
      </c>
      <c r="O271" s="15">
        <f>IF(C271="","",IFERROR(INDEX(Agentes!$D$6:$D$60,MATCH(C271,Agentes!$A$6:$A$60,0)),""))</f>
        <v/>
      </c>
      <c r="P271" s="28">
        <f>IF(OR(H271="",O271=""),"",IF(AND(O271="Inhalable",LEFT(H271,6)="Casete"),"Subestima: el casete cerrado no colecta toda la fracción inhalable",IF(AND(O271="Respirable",LEFT(H271,6)&lt;&gt;"Ciclón"),"Requiere ciclón (fracción respirable)",IF(AND(O271="Inhalable",ISNUMBER(SEARCH("Respirable",IFERROR(INDEX(Agentes!$C$80:$C$87,MATCH(H271,Agentes!$B$80:$B$87,0)),"")))),"El ciclón no colecta la fracción inhalable","Coherente"))))</f>
        <v/>
      </c>
      <c r="Q271" s="22">
        <f>IF(Y271="","",IFERROR(INDEX(GES!$W$6:$W$35,MATCH(Y271,GES!$R$6:$R$35,0)),""))</f>
        <v/>
      </c>
      <c r="R271" s="29">
        <f>IF(AND(ISNUMBER(N271),ISNUMBER(Q271)),N271/Q271,"")</f>
        <v/>
      </c>
      <c r="S271" s="15">
        <f>IF(C271="","",IFERROR(INDEX(Agentes!$I$6:$I$60,MATCH(C271,Agentes!$A$6:$A$60,0)),""))</f>
        <v/>
      </c>
      <c r="T271" s="8" t="n"/>
      <c r="U271" s="15">
        <f>IF(ISNUMBER(N271),IF(N271&gt;0,LN(N271),""),"")</f>
        <v/>
      </c>
      <c r="V271" s="15">
        <f>IF(ISNUMBER(U271),IFERROR((U271-LN(IFERROR(INDEX(Estadística!$K$6:$K$35,MATCH(Y271,Estadística!$Y$6:$Y$35,0)),0)))^2,""),"")</f>
        <v/>
      </c>
      <c r="W271" s="15">
        <f>IF(ISNUMBER(N271),IFERROR((N271-IFERROR(INDEX(Estadística!$I$6:$I$35,MATCH(Y271,Estadística!$Y$6:$Y$35,0)),0))^2,""),"")</f>
        <v/>
      </c>
      <c r="X271" s="15">
        <f>IF(ISNUMBER(R271),IF(R271&gt;1,1,0),"")</f>
        <v/>
      </c>
      <c r="Y271" s="15">
        <f>IF(OR(B271="",C271=""),"",B271&amp;"|"&amp;C271)</f>
        <v/>
      </c>
    </row>
    <row r="272">
      <c r="A272" s="23" t="n">
        <v>267</v>
      </c>
      <c r="B272" s="8" t="n"/>
      <c r="C272" s="8" t="n"/>
      <c r="D272" s="9" t="n"/>
      <c r="E272" s="8" t="n"/>
      <c r="F272" s="8" t="n"/>
      <c r="G272" s="8" t="n"/>
      <c r="H272" s="8" t="n"/>
      <c r="I272" s="24" t="n"/>
      <c r="J272" s="8" t="n"/>
      <c r="K272" s="25">
        <f>IF(OR(I272="",J272=""),"",I272*J272/1000)</f>
        <v/>
      </c>
      <c r="L272" s="26" t="n"/>
      <c r="M272" s="26" t="n"/>
      <c r="N272" s="27">
        <f>IF(OR(B272="",C272=""),"",IF(M272&lt;&gt;"",M272,IF(AND(N(L272)&gt;0,N(K272)&gt;0),L272/K272,"")))</f>
        <v/>
      </c>
      <c r="O272" s="15">
        <f>IF(C272="","",IFERROR(INDEX(Agentes!$D$6:$D$60,MATCH(C272,Agentes!$A$6:$A$60,0)),""))</f>
        <v/>
      </c>
      <c r="P272" s="28">
        <f>IF(OR(H272="",O272=""),"",IF(AND(O272="Inhalable",LEFT(H272,6)="Casete"),"Subestima: el casete cerrado no colecta toda la fracción inhalable",IF(AND(O272="Respirable",LEFT(H272,6)&lt;&gt;"Ciclón"),"Requiere ciclón (fracción respirable)",IF(AND(O272="Inhalable",ISNUMBER(SEARCH("Respirable",IFERROR(INDEX(Agentes!$C$80:$C$87,MATCH(H272,Agentes!$B$80:$B$87,0)),"")))),"El ciclón no colecta la fracción inhalable","Coherente"))))</f>
        <v/>
      </c>
      <c r="Q272" s="22">
        <f>IF(Y272="","",IFERROR(INDEX(GES!$W$6:$W$35,MATCH(Y272,GES!$R$6:$R$35,0)),""))</f>
        <v/>
      </c>
      <c r="R272" s="29">
        <f>IF(AND(ISNUMBER(N272),ISNUMBER(Q272)),N272/Q272,"")</f>
        <v/>
      </c>
      <c r="S272" s="15">
        <f>IF(C272="","",IFERROR(INDEX(Agentes!$I$6:$I$60,MATCH(C272,Agentes!$A$6:$A$60,0)),""))</f>
        <v/>
      </c>
      <c r="T272" s="8" t="n"/>
      <c r="U272" s="15">
        <f>IF(ISNUMBER(N272),IF(N272&gt;0,LN(N272),""),"")</f>
        <v/>
      </c>
      <c r="V272" s="15">
        <f>IF(ISNUMBER(U272),IFERROR((U272-LN(IFERROR(INDEX(Estadística!$K$6:$K$35,MATCH(Y272,Estadística!$Y$6:$Y$35,0)),0)))^2,""),"")</f>
        <v/>
      </c>
      <c r="W272" s="15">
        <f>IF(ISNUMBER(N272),IFERROR((N272-IFERROR(INDEX(Estadística!$I$6:$I$35,MATCH(Y272,Estadística!$Y$6:$Y$35,0)),0))^2,""),"")</f>
        <v/>
      </c>
      <c r="X272" s="15">
        <f>IF(ISNUMBER(R272),IF(R272&gt;1,1,0),"")</f>
        <v/>
      </c>
      <c r="Y272" s="15">
        <f>IF(OR(B272="",C272=""),"",B272&amp;"|"&amp;C272)</f>
        <v/>
      </c>
    </row>
    <row r="273">
      <c r="A273" s="23" t="n">
        <v>268</v>
      </c>
      <c r="B273" s="8" t="n"/>
      <c r="C273" s="8" t="n"/>
      <c r="D273" s="9" t="n"/>
      <c r="E273" s="8" t="n"/>
      <c r="F273" s="8" t="n"/>
      <c r="G273" s="8" t="n"/>
      <c r="H273" s="8" t="n"/>
      <c r="I273" s="24" t="n"/>
      <c r="J273" s="8" t="n"/>
      <c r="K273" s="25">
        <f>IF(OR(I273="",J273=""),"",I273*J273/1000)</f>
        <v/>
      </c>
      <c r="L273" s="26" t="n"/>
      <c r="M273" s="26" t="n"/>
      <c r="N273" s="27">
        <f>IF(OR(B273="",C273=""),"",IF(M273&lt;&gt;"",M273,IF(AND(N(L273)&gt;0,N(K273)&gt;0),L273/K273,"")))</f>
        <v/>
      </c>
      <c r="O273" s="15">
        <f>IF(C273="","",IFERROR(INDEX(Agentes!$D$6:$D$60,MATCH(C273,Agentes!$A$6:$A$60,0)),""))</f>
        <v/>
      </c>
      <c r="P273" s="28">
        <f>IF(OR(H273="",O273=""),"",IF(AND(O273="Inhalable",LEFT(H273,6)="Casete"),"Subestima: el casete cerrado no colecta toda la fracción inhalable",IF(AND(O273="Respirable",LEFT(H273,6)&lt;&gt;"Ciclón"),"Requiere ciclón (fracción respirable)",IF(AND(O273="Inhalable",ISNUMBER(SEARCH("Respirable",IFERROR(INDEX(Agentes!$C$80:$C$87,MATCH(H273,Agentes!$B$80:$B$87,0)),"")))),"El ciclón no colecta la fracción inhalable","Coherente"))))</f>
        <v/>
      </c>
      <c r="Q273" s="22">
        <f>IF(Y273="","",IFERROR(INDEX(GES!$W$6:$W$35,MATCH(Y273,GES!$R$6:$R$35,0)),""))</f>
        <v/>
      </c>
      <c r="R273" s="29">
        <f>IF(AND(ISNUMBER(N273),ISNUMBER(Q273)),N273/Q273,"")</f>
        <v/>
      </c>
      <c r="S273" s="15">
        <f>IF(C273="","",IFERROR(INDEX(Agentes!$I$6:$I$60,MATCH(C273,Agentes!$A$6:$A$60,0)),""))</f>
        <v/>
      </c>
      <c r="T273" s="8" t="n"/>
      <c r="U273" s="15">
        <f>IF(ISNUMBER(N273),IF(N273&gt;0,LN(N273),""),"")</f>
        <v/>
      </c>
      <c r="V273" s="15">
        <f>IF(ISNUMBER(U273),IFERROR((U273-LN(IFERROR(INDEX(Estadística!$K$6:$K$35,MATCH(Y273,Estadística!$Y$6:$Y$35,0)),0)))^2,""),"")</f>
        <v/>
      </c>
      <c r="W273" s="15">
        <f>IF(ISNUMBER(N273),IFERROR((N273-IFERROR(INDEX(Estadística!$I$6:$I$35,MATCH(Y273,Estadística!$Y$6:$Y$35,0)),0))^2,""),"")</f>
        <v/>
      </c>
      <c r="X273" s="15">
        <f>IF(ISNUMBER(R273),IF(R273&gt;1,1,0),"")</f>
        <v/>
      </c>
      <c r="Y273" s="15">
        <f>IF(OR(B273="",C273=""),"",B273&amp;"|"&amp;C273)</f>
        <v/>
      </c>
    </row>
    <row r="274">
      <c r="A274" s="23" t="n">
        <v>269</v>
      </c>
      <c r="B274" s="8" t="n"/>
      <c r="C274" s="8" t="n"/>
      <c r="D274" s="9" t="n"/>
      <c r="E274" s="8" t="n"/>
      <c r="F274" s="8" t="n"/>
      <c r="G274" s="8" t="n"/>
      <c r="H274" s="8" t="n"/>
      <c r="I274" s="24" t="n"/>
      <c r="J274" s="8" t="n"/>
      <c r="K274" s="25">
        <f>IF(OR(I274="",J274=""),"",I274*J274/1000)</f>
        <v/>
      </c>
      <c r="L274" s="26" t="n"/>
      <c r="M274" s="26" t="n"/>
      <c r="N274" s="27">
        <f>IF(OR(B274="",C274=""),"",IF(M274&lt;&gt;"",M274,IF(AND(N(L274)&gt;0,N(K274)&gt;0),L274/K274,"")))</f>
        <v/>
      </c>
      <c r="O274" s="15">
        <f>IF(C274="","",IFERROR(INDEX(Agentes!$D$6:$D$60,MATCH(C274,Agentes!$A$6:$A$60,0)),""))</f>
        <v/>
      </c>
      <c r="P274" s="28">
        <f>IF(OR(H274="",O274=""),"",IF(AND(O274="Inhalable",LEFT(H274,6)="Casete"),"Subestima: el casete cerrado no colecta toda la fracción inhalable",IF(AND(O274="Respirable",LEFT(H274,6)&lt;&gt;"Ciclón"),"Requiere ciclón (fracción respirable)",IF(AND(O274="Inhalable",ISNUMBER(SEARCH("Respirable",IFERROR(INDEX(Agentes!$C$80:$C$87,MATCH(H274,Agentes!$B$80:$B$87,0)),"")))),"El ciclón no colecta la fracción inhalable","Coherente"))))</f>
        <v/>
      </c>
      <c r="Q274" s="22">
        <f>IF(Y274="","",IFERROR(INDEX(GES!$W$6:$W$35,MATCH(Y274,GES!$R$6:$R$35,0)),""))</f>
        <v/>
      </c>
      <c r="R274" s="29">
        <f>IF(AND(ISNUMBER(N274),ISNUMBER(Q274)),N274/Q274,"")</f>
        <v/>
      </c>
      <c r="S274" s="15">
        <f>IF(C274="","",IFERROR(INDEX(Agentes!$I$6:$I$60,MATCH(C274,Agentes!$A$6:$A$60,0)),""))</f>
        <v/>
      </c>
      <c r="T274" s="8" t="n"/>
      <c r="U274" s="15">
        <f>IF(ISNUMBER(N274),IF(N274&gt;0,LN(N274),""),"")</f>
        <v/>
      </c>
      <c r="V274" s="15">
        <f>IF(ISNUMBER(U274),IFERROR((U274-LN(IFERROR(INDEX(Estadística!$K$6:$K$35,MATCH(Y274,Estadística!$Y$6:$Y$35,0)),0)))^2,""),"")</f>
        <v/>
      </c>
      <c r="W274" s="15">
        <f>IF(ISNUMBER(N274),IFERROR((N274-IFERROR(INDEX(Estadística!$I$6:$I$35,MATCH(Y274,Estadística!$Y$6:$Y$35,0)),0))^2,""),"")</f>
        <v/>
      </c>
      <c r="X274" s="15">
        <f>IF(ISNUMBER(R274),IF(R274&gt;1,1,0),"")</f>
        <v/>
      </c>
      <c r="Y274" s="15">
        <f>IF(OR(B274="",C274=""),"",B274&amp;"|"&amp;C274)</f>
        <v/>
      </c>
    </row>
    <row r="275">
      <c r="A275" s="23" t="n">
        <v>270</v>
      </c>
      <c r="B275" s="8" t="n"/>
      <c r="C275" s="8" t="n"/>
      <c r="D275" s="9" t="n"/>
      <c r="E275" s="8" t="n"/>
      <c r="F275" s="8" t="n"/>
      <c r="G275" s="8" t="n"/>
      <c r="H275" s="8" t="n"/>
      <c r="I275" s="24" t="n"/>
      <c r="J275" s="8" t="n"/>
      <c r="K275" s="25">
        <f>IF(OR(I275="",J275=""),"",I275*J275/1000)</f>
        <v/>
      </c>
      <c r="L275" s="26" t="n"/>
      <c r="M275" s="26" t="n"/>
      <c r="N275" s="27">
        <f>IF(OR(B275="",C275=""),"",IF(M275&lt;&gt;"",M275,IF(AND(N(L275)&gt;0,N(K275)&gt;0),L275/K275,"")))</f>
        <v/>
      </c>
      <c r="O275" s="15">
        <f>IF(C275="","",IFERROR(INDEX(Agentes!$D$6:$D$60,MATCH(C275,Agentes!$A$6:$A$60,0)),""))</f>
        <v/>
      </c>
      <c r="P275" s="28">
        <f>IF(OR(H275="",O275=""),"",IF(AND(O275="Inhalable",LEFT(H275,6)="Casete"),"Subestima: el casete cerrado no colecta toda la fracción inhalable",IF(AND(O275="Respirable",LEFT(H275,6)&lt;&gt;"Ciclón"),"Requiere ciclón (fracción respirable)",IF(AND(O275="Inhalable",ISNUMBER(SEARCH("Respirable",IFERROR(INDEX(Agentes!$C$80:$C$87,MATCH(H275,Agentes!$B$80:$B$87,0)),"")))),"El ciclón no colecta la fracción inhalable","Coherente"))))</f>
        <v/>
      </c>
      <c r="Q275" s="22">
        <f>IF(Y275="","",IFERROR(INDEX(GES!$W$6:$W$35,MATCH(Y275,GES!$R$6:$R$35,0)),""))</f>
        <v/>
      </c>
      <c r="R275" s="29">
        <f>IF(AND(ISNUMBER(N275),ISNUMBER(Q275)),N275/Q275,"")</f>
        <v/>
      </c>
      <c r="S275" s="15">
        <f>IF(C275="","",IFERROR(INDEX(Agentes!$I$6:$I$60,MATCH(C275,Agentes!$A$6:$A$60,0)),""))</f>
        <v/>
      </c>
      <c r="T275" s="8" t="n"/>
      <c r="U275" s="15">
        <f>IF(ISNUMBER(N275),IF(N275&gt;0,LN(N275),""),"")</f>
        <v/>
      </c>
      <c r="V275" s="15">
        <f>IF(ISNUMBER(U275),IFERROR((U275-LN(IFERROR(INDEX(Estadística!$K$6:$K$35,MATCH(Y275,Estadística!$Y$6:$Y$35,0)),0)))^2,""),"")</f>
        <v/>
      </c>
      <c r="W275" s="15">
        <f>IF(ISNUMBER(N275),IFERROR((N275-IFERROR(INDEX(Estadística!$I$6:$I$35,MATCH(Y275,Estadística!$Y$6:$Y$35,0)),0))^2,""),"")</f>
        <v/>
      </c>
      <c r="X275" s="15">
        <f>IF(ISNUMBER(R275),IF(R275&gt;1,1,0),"")</f>
        <v/>
      </c>
      <c r="Y275" s="15">
        <f>IF(OR(B275="",C275=""),"",B275&amp;"|"&amp;C275)</f>
        <v/>
      </c>
    </row>
    <row r="276">
      <c r="A276" s="23" t="n">
        <v>271</v>
      </c>
      <c r="B276" s="8" t="n"/>
      <c r="C276" s="8" t="n"/>
      <c r="D276" s="9" t="n"/>
      <c r="E276" s="8" t="n"/>
      <c r="F276" s="8" t="n"/>
      <c r="G276" s="8" t="n"/>
      <c r="H276" s="8" t="n"/>
      <c r="I276" s="24" t="n"/>
      <c r="J276" s="8" t="n"/>
      <c r="K276" s="25">
        <f>IF(OR(I276="",J276=""),"",I276*J276/1000)</f>
        <v/>
      </c>
      <c r="L276" s="26" t="n"/>
      <c r="M276" s="26" t="n"/>
      <c r="N276" s="27">
        <f>IF(OR(B276="",C276=""),"",IF(M276&lt;&gt;"",M276,IF(AND(N(L276)&gt;0,N(K276)&gt;0),L276/K276,"")))</f>
        <v/>
      </c>
      <c r="O276" s="15">
        <f>IF(C276="","",IFERROR(INDEX(Agentes!$D$6:$D$60,MATCH(C276,Agentes!$A$6:$A$60,0)),""))</f>
        <v/>
      </c>
      <c r="P276" s="28">
        <f>IF(OR(H276="",O276=""),"",IF(AND(O276="Inhalable",LEFT(H276,6)="Casete"),"Subestima: el casete cerrado no colecta toda la fracción inhalable",IF(AND(O276="Respirable",LEFT(H276,6)&lt;&gt;"Ciclón"),"Requiere ciclón (fracción respirable)",IF(AND(O276="Inhalable",ISNUMBER(SEARCH("Respirable",IFERROR(INDEX(Agentes!$C$80:$C$87,MATCH(H276,Agentes!$B$80:$B$87,0)),"")))),"El ciclón no colecta la fracción inhalable","Coherente"))))</f>
        <v/>
      </c>
      <c r="Q276" s="22">
        <f>IF(Y276="","",IFERROR(INDEX(GES!$W$6:$W$35,MATCH(Y276,GES!$R$6:$R$35,0)),""))</f>
        <v/>
      </c>
      <c r="R276" s="29">
        <f>IF(AND(ISNUMBER(N276),ISNUMBER(Q276)),N276/Q276,"")</f>
        <v/>
      </c>
      <c r="S276" s="15">
        <f>IF(C276="","",IFERROR(INDEX(Agentes!$I$6:$I$60,MATCH(C276,Agentes!$A$6:$A$60,0)),""))</f>
        <v/>
      </c>
      <c r="T276" s="8" t="n"/>
      <c r="U276" s="15">
        <f>IF(ISNUMBER(N276),IF(N276&gt;0,LN(N276),""),"")</f>
        <v/>
      </c>
      <c r="V276" s="15">
        <f>IF(ISNUMBER(U276),IFERROR((U276-LN(IFERROR(INDEX(Estadística!$K$6:$K$35,MATCH(Y276,Estadística!$Y$6:$Y$35,0)),0)))^2,""),"")</f>
        <v/>
      </c>
      <c r="W276" s="15">
        <f>IF(ISNUMBER(N276),IFERROR((N276-IFERROR(INDEX(Estadística!$I$6:$I$35,MATCH(Y276,Estadística!$Y$6:$Y$35,0)),0))^2,""),"")</f>
        <v/>
      </c>
      <c r="X276" s="15">
        <f>IF(ISNUMBER(R276),IF(R276&gt;1,1,0),"")</f>
        <v/>
      </c>
      <c r="Y276" s="15">
        <f>IF(OR(B276="",C276=""),"",B276&amp;"|"&amp;C276)</f>
        <v/>
      </c>
    </row>
    <row r="277">
      <c r="A277" s="23" t="n">
        <v>272</v>
      </c>
      <c r="B277" s="8" t="n"/>
      <c r="C277" s="8" t="n"/>
      <c r="D277" s="9" t="n"/>
      <c r="E277" s="8" t="n"/>
      <c r="F277" s="8" t="n"/>
      <c r="G277" s="8" t="n"/>
      <c r="H277" s="8" t="n"/>
      <c r="I277" s="24" t="n"/>
      <c r="J277" s="8" t="n"/>
      <c r="K277" s="25">
        <f>IF(OR(I277="",J277=""),"",I277*J277/1000)</f>
        <v/>
      </c>
      <c r="L277" s="26" t="n"/>
      <c r="M277" s="26" t="n"/>
      <c r="N277" s="27">
        <f>IF(OR(B277="",C277=""),"",IF(M277&lt;&gt;"",M277,IF(AND(N(L277)&gt;0,N(K277)&gt;0),L277/K277,"")))</f>
        <v/>
      </c>
      <c r="O277" s="15">
        <f>IF(C277="","",IFERROR(INDEX(Agentes!$D$6:$D$60,MATCH(C277,Agentes!$A$6:$A$60,0)),""))</f>
        <v/>
      </c>
      <c r="P277" s="28">
        <f>IF(OR(H277="",O277=""),"",IF(AND(O277="Inhalable",LEFT(H277,6)="Casete"),"Subestima: el casete cerrado no colecta toda la fracción inhalable",IF(AND(O277="Respirable",LEFT(H277,6)&lt;&gt;"Ciclón"),"Requiere ciclón (fracción respirable)",IF(AND(O277="Inhalable",ISNUMBER(SEARCH("Respirable",IFERROR(INDEX(Agentes!$C$80:$C$87,MATCH(H277,Agentes!$B$80:$B$87,0)),"")))),"El ciclón no colecta la fracción inhalable","Coherente"))))</f>
        <v/>
      </c>
      <c r="Q277" s="22">
        <f>IF(Y277="","",IFERROR(INDEX(GES!$W$6:$W$35,MATCH(Y277,GES!$R$6:$R$35,0)),""))</f>
        <v/>
      </c>
      <c r="R277" s="29">
        <f>IF(AND(ISNUMBER(N277),ISNUMBER(Q277)),N277/Q277,"")</f>
        <v/>
      </c>
      <c r="S277" s="15">
        <f>IF(C277="","",IFERROR(INDEX(Agentes!$I$6:$I$60,MATCH(C277,Agentes!$A$6:$A$60,0)),""))</f>
        <v/>
      </c>
      <c r="T277" s="8" t="n"/>
      <c r="U277" s="15">
        <f>IF(ISNUMBER(N277),IF(N277&gt;0,LN(N277),""),"")</f>
        <v/>
      </c>
      <c r="V277" s="15">
        <f>IF(ISNUMBER(U277),IFERROR((U277-LN(IFERROR(INDEX(Estadística!$K$6:$K$35,MATCH(Y277,Estadística!$Y$6:$Y$35,0)),0)))^2,""),"")</f>
        <v/>
      </c>
      <c r="W277" s="15">
        <f>IF(ISNUMBER(N277),IFERROR((N277-IFERROR(INDEX(Estadística!$I$6:$I$35,MATCH(Y277,Estadística!$Y$6:$Y$35,0)),0))^2,""),"")</f>
        <v/>
      </c>
      <c r="X277" s="15">
        <f>IF(ISNUMBER(R277),IF(R277&gt;1,1,0),"")</f>
        <v/>
      </c>
      <c r="Y277" s="15">
        <f>IF(OR(B277="",C277=""),"",B277&amp;"|"&amp;C277)</f>
        <v/>
      </c>
    </row>
    <row r="278">
      <c r="A278" s="23" t="n">
        <v>273</v>
      </c>
      <c r="B278" s="8" t="n"/>
      <c r="C278" s="8" t="n"/>
      <c r="D278" s="9" t="n"/>
      <c r="E278" s="8" t="n"/>
      <c r="F278" s="8" t="n"/>
      <c r="G278" s="8" t="n"/>
      <c r="H278" s="8" t="n"/>
      <c r="I278" s="24" t="n"/>
      <c r="J278" s="8" t="n"/>
      <c r="K278" s="25">
        <f>IF(OR(I278="",J278=""),"",I278*J278/1000)</f>
        <v/>
      </c>
      <c r="L278" s="26" t="n"/>
      <c r="M278" s="26" t="n"/>
      <c r="N278" s="27">
        <f>IF(OR(B278="",C278=""),"",IF(M278&lt;&gt;"",M278,IF(AND(N(L278)&gt;0,N(K278)&gt;0),L278/K278,"")))</f>
        <v/>
      </c>
      <c r="O278" s="15">
        <f>IF(C278="","",IFERROR(INDEX(Agentes!$D$6:$D$60,MATCH(C278,Agentes!$A$6:$A$60,0)),""))</f>
        <v/>
      </c>
      <c r="P278" s="28">
        <f>IF(OR(H278="",O278=""),"",IF(AND(O278="Inhalable",LEFT(H278,6)="Casete"),"Subestima: el casete cerrado no colecta toda la fracción inhalable",IF(AND(O278="Respirable",LEFT(H278,6)&lt;&gt;"Ciclón"),"Requiere ciclón (fracción respirable)",IF(AND(O278="Inhalable",ISNUMBER(SEARCH("Respirable",IFERROR(INDEX(Agentes!$C$80:$C$87,MATCH(H278,Agentes!$B$80:$B$87,0)),"")))),"El ciclón no colecta la fracción inhalable","Coherente"))))</f>
        <v/>
      </c>
      <c r="Q278" s="22">
        <f>IF(Y278="","",IFERROR(INDEX(GES!$W$6:$W$35,MATCH(Y278,GES!$R$6:$R$35,0)),""))</f>
        <v/>
      </c>
      <c r="R278" s="29">
        <f>IF(AND(ISNUMBER(N278),ISNUMBER(Q278)),N278/Q278,"")</f>
        <v/>
      </c>
      <c r="S278" s="15">
        <f>IF(C278="","",IFERROR(INDEX(Agentes!$I$6:$I$60,MATCH(C278,Agentes!$A$6:$A$60,0)),""))</f>
        <v/>
      </c>
      <c r="T278" s="8" t="n"/>
      <c r="U278" s="15">
        <f>IF(ISNUMBER(N278),IF(N278&gt;0,LN(N278),""),"")</f>
        <v/>
      </c>
      <c r="V278" s="15">
        <f>IF(ISNUMBER(U278),IFERROR((U278-LN(IFERROR(INDEX(Estadística!$K$6:$K$35,MATCH(Y278,Estadística!$Y$6:$Y$35,0)),0)))^2,""),"")</f>
        <v/>
      </c>
      <c r="W278" s="15">
        <f>IF(ISNUMBER(N278),IFERROR((N278-IFERROR(INDEX(Estadística!$I$6:$I$35,MATCH(Y278,Estadística!$Y$6:$Y$35,0)),0))^2,""),"")</f>
        <v/>
      </c>
      <c r="X278" s="15">
        <f>IF(ISNUMBER(R278),IF(R278&gt;1,1,0),"")</f>
        <v/>
      </c>
      <c r="Y278" s="15">
        <f>IF(OR(B278="",C278=""),"",B278&amp;"|"&amp;C278)</f>
        <v/>
      </c>
    </row>
    <row r="279">
      <c r="A279" s="23" t="n">
        <v>274</v>
      </c>
      <c r="B279" s="8" t="n"/>
      <c r="C279" s="8" t="n"/>
      <c r="D279" s="9" t="n"/>
      <c r="E279" s="8" t="n"/>
      <c r="F279" s="8" t="n"/>
      <c r="G279" s="8" t="n"/>
      <c r="H279" s="8" t="n"/>
      <c r="I279" s="24" t="n"/>
      <c r="J279" s="8" t="n"/>
      <c r="K279" s="25">
        <f>IF(OR(I279="",J279=""),"",I279*J279/1000)</f>
        <v/>
      </c>
      <c r="L279" s="26" t="n"/>
      <c r="M279" s="26" t="n"/>
      <c r="N279" s="27">
        <f>IF(OR(B279="",C279=""),"",IF(M279&lt;&gt;"",M279,IF(AND(N(L279)&gt;0,N(K279)&gt;0),L279/K279,"")))</f>
        <v/>
      </c>
      <c r="O279" s="15">
        <f>IF(C279="","",IFERROR(INDEX(Agentes!$D$6:$D$60,MATCH(C279,Agentes!$A$6:$A$60,0)),""))</f>
        <v/>
      </c>
      <c r="P279" s="28">
        <f>IF(OR(H279="",O279=""),"",IF(AND(O279="Inhalable",LEFT(H279,6)="Casete"),"Subestima: el casete cerrado no colecta toda la fracción inhalable",IF(AND(O279="Respirable",LEFT(H279,6)&lt;&gt;"Ciclón"),"Requiere ciclón (fracción respirable)",IF(AND(O279="Inhalable",ISNUMBER(SEARCH("Respirable",IFERROR(INDEX(Agentes!$C$80:$C$87,MATCH(H279,Agentes!$B$80:$B$87,0)),"")))),"El ciclón no colecta la fracción inhalable","Coherente"))))</f>
        <v/>
      </c>
      <c r="Q279" s="22">
        <f>IF(Y279="","",IFERROR(INDEX(GES!$W$6:$W$35,MATCH(Y279,GES!$R$6:$R$35,0)),""))</f>
        <v/>
      </c>
      <c r="R279" s="29">
        <f>IF(AND(ISNUMBER(N279),ISNUMBER(Q279)),N279/Q279,"")</f>
        <v/>
      </c>
      <c r="S279" s="15">
        <f>IF(C279="","",IFERROR(INDEX(Agentes!$I$6:$I$60,MATCH(C279,Agentes!$A$6:$A$60,0)),""))</f>
        <v/>
      </c>
      <c r="T279" s="8" t="n"/>
      <c r="U279" s="15">
        <f>IF(ISNUMBER(N279),IF(N279&gt;0,LN(N279),""),"")</f>
        <v/>
      </c>
      <c r="V279" s="15">
        <f>IF(ISNUMBER(U279),IFERROR((U279-LN(IFERROR(INDEX(Estadística!$K$6:$K$35,MATCH(Y279,Estadística!$Y$6:$Y$35,0)),0)))^2,""),"")</f>
        <v/>
      </c>
      <c r="W279" s="15">
        <f>IF(ISNUMBER(N279),IFERROR((N279-IFERROR(INDEX(Estadística!$I$6:$I$35,MATCH(Y279,Estadística!$Y$6:$Y$35,0)),0))^2,""),"")</f>
        <v/>
      </c>
      <c r="X279" s="15">
        <f>IF(ISNUMBER(R279),IF(R279&gt;1,1,0),"")</f>
        <v/>
      </c>
      <c r="Y279" s="15">
        <f>IF(OR(B279="",C279=""),"",B279&amp;"|"&amp;C279)</f>
        <v/>
      </c>
    </row>
    <row r="280">
      <c r="A280" s="23" t="n">
        <v>275</v>
      </c>
      <c r="B280" s="8" t="n"/>
      <c r="C280" s="8" t="n"/>
      <c r="D280" s="9" t="n"/>
      <c r="E280" s="8" t="n"/>
      <c r="F280" s="8" t="n"/>
      <c r="G280" s="8" t="n"/>
      <c r="H280" s="8" t="n"/>
      <c r="I280" s="24" t="n"/>
      <c r="J280" s="8" t="n"/>
      <c r="K280" s="25">
        <f>IF(OR(I280="",J280=""),"",I280*J280/1000)</f>
        <v/>
      </c>
      <c r="L280" s="26" t="n"/>
      <c r="M280" s="26" t="n"/>
      <c r="N280" s="27">
        <f>IF(OR(B280="",C280=""),"",IF(M280&lt;&gt;"",M280,IF(AND(N(L280)&gt;0,N(K280)&gt;0),L280/K280,"")))</f>
        <v/>
      </c>
      <c r="O280" s="15">
        <f>IF(C280="","",IFERROR(INDEX(Agentes!$D$6:$D$60,MATCH(C280,Agentes!$A$6:$A$60,0)),""))</f>
        <v/>
      </c>
      <c r="P280" s="28">
        <f>IF(OR(H280="",O280=""),"",IF(AND(O280="Inhalable",LEFT(H280,6)="Casete"),"Subestima: el casete cerrado no colecta toda la fracción inhalable",IF(AND(O280="Respirable",LEFT(H280,6)&lt;&gt;"Ciclón"),"Requiere ciclón (fracción respirable)",IF(AND(O280="Inhalable",ISNUMBER(SEARCH("Respirable",IFERROR(INDEX(Agentes!$C$80:$C$87,MATCH(H280,Agentes!$B$80:$B$87,0)),"")))),"El ciclón no colecta la fracción inhalable","Coherente"))))</f>
        <v/>
      </c>
      <c r="Q280" s="22">
        <f>IF(Y280="","",IFERROR(INDEX(GES!$W$6:$W$35,MATCH(Y280,GES!$R$6:$R$35,0)),""))</f>
        <v/>
      </c>
      <c r="R280" s="29">
        <f>IF(AND(ISNUMBER(N280),ISNUMBER(Q280)),N280/Q280,"")</f>
        <v/>
      </c>
      <c r="S280" s="15">
        <f>IF(C280="","",IFERROR(INDEX(Agentes!$I$6:$I$60,MATCH(C280,Agentes!$A$6:$A$60,0)),""))</f>
        <v/>
      </c>
      <c r="T280" s="8" t="n"/>
      <c r="U280" s="15">
        <f>IF(ISNUMBER(N280),IF(N280&gt;0,LN(N280),""),"")</f>
        <v/>
      </c>
      <c r="V280" s="15">
        <f>IF(ISNUMBER(U280),IFERROR((U280-LN(IFERROR(INDEX(Estadística!$K$6:$K$35,MATCH(Y280,Estadística!$Y$6:$Y$35,0)),0)))^2,""),"")</f>
        <v/>
      </c>
      <c r="W280" s="15">
        <f>IF(ISNUMBER(N280),IFERROR((N280-IFERROR(INDEX(Estadística!$I$6:$I$35,MATCH(Y280,Estadística!$Y$6:$Y$35,0)),0))^2,""),"")</f>
        <v/>
      </c>
      <c r="X280" s="15">
        <f>IF(ISNUMBER(R280),IF(R280&gt;1,1,0),"")</f>
        <v/>
      </c>
      <c r="Y280" s="15">
        <f>IF(OR(B280="",C280=""),"",B280&amp;"|"&amp;C280)</f>
        <v/>
      </c>
    </row>
    <row r="281">
      <c r="A281" s="23" t="n">
        <v>276</v>
      </c>
      <c r="B281" s="8" t="n"/>
      <c r="C281" s="8" t="n"/>
      <c r="D281" s="9" t="n"/>
      <c r="E281" s="8" t="n"/>
      <c r="F281" s="8" t="n"/>
      <c r="G281" s="8" t="n"/>
      <c r="H281" s="8" t="n"/>
      <c r="I281" s="24" t="n"/>
      <c r="J281" s="8" t="n"/>
      <c r="K281" s="25">
        <f>IF(OR(I281="",J281=""),"",I281*J281/1000)</f>
        <v/>
      </c>
      <c r="L281" s="26" t="n"/>
      <c r="M281" s="26" t="n"/>
      <c r="N281" s="27">
        <f>IF(OR(B281="",C281=""),"",IF(M281&lt;&gt;"",M281,IF(AND(N(L281)&gt;0,N(K281)&gt;0),L281/K281,"")))</f>
        <v/>
      </c>
      <c r="O281" s="15">
        <f>IF(C281="","",IFERROR(INDEX(Agentes!$D$6:$D$60,MATCH(C281,Agentes!$A$6:$A$60,0)),""))</f>
        <v/>
      </c>
      <c r="P281" s="28">
        <f>IF(OR(H281="",O281=""),"",IF(AND(O281="Inhalable",LEFT(H281,6)="Casete"),"Subestima: el casete cerrado no colecta toda la fracción inhalable",IF(AND(O281="Respirable",LEFT(H281,6)&lt;&gt;"Ciclón"),"Requiere ciclón (fracción respirable)",IF(AND(O281="Inhalable",ISNUMBER(SEARCH("Respirable",IFERROR(INDEX(Agentes!$C$80:$C$87,MATCH(H281,Agentes!$B$80:$B$87,0)),"")))),"El ciclón no colecta la fracción inhalable","Coherente"))))</f>
        <v/>
      </c>
      <c r="Q281" s="22">
        <f>IF(Y281="","",IFERROR(INDEX(GES!$W$6:$W$35,MATCH(Y281,GES!$R$6:$R$35,0)),""))</f>
        <v/>
      </c>
      <c r="R281" s="29">
        <f>IF(AND(ISNUMBER(N281),ISNUMBER(Q281)),N281/Q281,"")</f>
        <v/>
      </c>
      <c r="S281" s="15">
        <f>IF(C281="","",IFERROR(INDEX(Agentes!$I$6:$I$60,MATCH(C281,Agentes!$A$6:$A$60,0)),""))</f>
        <v/>
      </c>
      <c r="T281" s="8" t="n"/>
      <c r="U281" s="15">
        <f>IF(ISNUMBER(N281),IF(N281&gt;0,LN(N281),""),"")</f>
        <v/>
      </c>
      <c r="V281" s="15">
        <f>IF(ISNUMBER(U281),IFERROR((U281-LN(IFERROR(INDEX(Estadística!$K$6:$K$35,MATCH(Y281,Estadística!$Y$6:$Y$35,0)),0)))^2,""),"")</f>
        <v/>
      </c>
      <c r="W281" s="15">
        <f>IF(ISNUMBER(N281),IFERROR((N281-IFERROR(INDEX(Estadística!$I$6:$I$35,MATCH(Y281,Estadística!$Y$6:$Y$35,0)),0))^2,""),"")</f>
        <v/>
      </c>
      <c r="X281" s="15">
        <f>IF(ISNUMBER(R281),IF(R281&gt;1,1,0),"")</f>
        <v/>
      </c>
      <c r="Y281" s="15">
        <f>IF(OR(B281="",C281=""),"",B281&amp;"|"&amp;C281)</f>
        <v/>
      </c>
    </row>
    <row r="282">
      <c r="A282" s="23" t="n">
        <v>277</v>
      </c>
      <c r="B282" s="8" t="n"/>
      <c r="C282" s="8" t="n"/>
      <c r="D282" s="9" t="n"/>
      <c r="E282" s="8" t="n"/>
      <c r="F282" s="8" t="n"/>
      <c r="G282" s="8" t="n"/>
      <c r="H282" s="8" t="n"/>
      <c r="I282" s="24" t="n"/>
      <c r="J282" s="8" t="n"/>
      <c r="K282" s="25">
        <f>IF(OR(I282="",J282=""),"",I282*J282/1000)</f>
        <v/>
      </c>
      <c r="L282" s="26" t="n"/>
      <c r="M282" s="26" t="n"/>
      <c r="N282" s="27">
        <f>IF(OR(B282="",C282=""),"",IF(M282&lt;&gt;"",M282,IF(AND(N(L282)&gt;0,N(K282)&gt;0),L282/K282,"")))</f>
        <v/>
      </c>
      <c r="O282" s="15">
        <f>IF(C282="","",IFERROR(INDEX(Agentes!$D$6:$D$60,MATCH(C282,Agentes!$A$6:$A$60,0)),""))</f>
        <v/>
      </c>
      <c r="P282" s="28">
        <f>IF(OR(H282="",O282=""),"",IF(AND(O282="Inhalable",LEFT(H282,6)="Casete"),"Subestima: el casete cerrado no colecta toda la fracción inhalable",IF(AND(O282="Respirable",LEFT(H282,6)&lt;&gt;"Ciclón"),"Requiere ciclón (fracción respirable)",IF(AND(O282="Inhalable",ISNUMBER(SEARCH("Respirable",IFERROR(INDEX(Agentes!$C$80:$C$87,MATCH(H282,Agentes!$B$80:$B$87,0)),"")))),"El ciclón no colecta la fracción inhalable","Coherente"))))</f>
        <v/>
      </c>
      <c r="Q282" s="22">
        <f>IF(Y282="","",IFERROR(INDEX(GES!$W$6:$W$35,MATCH(Y282,GES!$R$6:$R$35,0)),""))</f>
        <v/>
      </c>
      <c r="R282" s="29">
        <f>IF(AND(ISNUMBER(N282),ISNUMBER(Q282)),N282/Q282,"")</f>
        <v/>
      </c>
      <c r="S282" s="15">
        <f>IF(C282="","",IFERROR(INDEX(Agentes!$I$6:$I$60,MATCH(C282,Agentes!$A$6:$A$60,0)),""))</f>
        <v/>
      </c>
      <c r="T282" s="8" t="n"/>
      <c r="U282" s="15">
        <f>IF(ISNUMBER(N282),IF(N282&gt;0,LN(N282),""),"")</f>
        <v/>
      </c>
      <c r="V282" s="15">
        <f>IF(ISNUMBER(U282),IFERROR((U282-LN(IFERROR(INDEX(Estadística!$K$6:$K$35,MATCH(Y282,Estadística!$Y$6:$Y$35,0)),0)))^2,""),"")</f>
        <v/>
      </c>
      <c r="W282" s="15">
        <f>IF(ISNUMBER(N282),IFERROR((N282-IFERROR(INDEX(Estadística!$I$6:$I$35,MATCH(Y282,Estadística!$Y$6:$Y$35,0)),0))^2,""),"")</f>
        <v/>
      </c>
      <c r="X282" s="15">
        <f>IF(ISNUMBER(R282),IF(R282&gt;1,1,0),"")</f>
        <v/>
      </c>
      <c r="Y282" s="15">
        <f>IF(OR(B282="",C282=""),"",B282&amp;"|"&amp;C282)</f>
        <v/>
      </c>
    </row>
    <row r="283">
      <c r="A283" s="23" t="n">
        <v>278</v>
      </c>
      <c r="B283" s="8" t="n"/>
      <c r="C283" s="8" t="n"/>
      <c r="D283" s="9" t="n"/>
      <c r="E283" s="8" t="n"/>
      <c r="F283" s="8" t="n"/>
      <c r="G283" s="8" t="n"/>
      <c r="H283" s="8" t="n"/>
      <c r="I283" s="24" t="n"/>
      <c r="J283" s="8" t="n"/>
      <c r="K283" s="25">
        <f>IF(OR(I283="",J283=""),"",I283*J283/1000)</f>
        <v/>
      </c>
      <c r="L283" s="26" t="n"/>
      <c r="M283" s="26" t="n"/>
      <c r="N283" s="27">
        <f>IF(OR(B283="",C283=""),"",IF(M283&lt;&gt;"",M283,IF(AND(N(L283)&gt;0,N(K283)&gt;0),L283/K283,"")))</f>
        <v/>
      </c>
      <c r="O283" s="15">
        <f>IF(C283="","",IFERROR(INDEX(Agentes!$D$6:$D$60,MATCH(C283,Agentes!$A$6:$A$60,0)),""))</f>
        <v/>
      </c>
      <c r="P283" s="28">
        <f>IF(OR(H283="",O283=""),"",IF(AND(O283="Inhalable",LEFT(H283,6)="Casete"),"Subestima: el casete cerrado no colecta toda la fracción inhalable",IF(AND(O283="Respirable",LEFT(H283,6)&lt;&gt;"Ciclón"),"Requiere ciclón (fracción respirable)",IF(AND(O283="Inhalable",ISNUMBER(SEARCH("Respirable",IFERROR(INDEX(Agentes!$C$80:$C$87,MATCH(H283,Agentes!$B$80:$B$87,0)),"")))),"El ciclón no colecta la fracción inhalable","Coherente"))))</f>
        <v/>
      </c>
      <c r="Q283" s="22">
        <f>IF(Y283="","",IFERROR(INDEX(GES!$W$6:$W$35,MATCH(Y283,GES!$R$6:$R$35,0)),""))</f>
        <v/>
      </c>
      <c r="R283" s="29">
        <f>IF(AND(ISNUMBER(N283),ISNUMBER(Q283)),N283/Q283,"")</f>
        <v/>
      </c>
      <c r="S283" s="15">
        <f>IF(C283="","",IFERROR(INDEX(Agentes!$I$6:$I$60,MATCH(C283,Agentes!$A$6:$A$60,0)),""))</f>
        <v/>
      </c>
      <c r="T283" s="8" t="n"/>
      <c r="U283" s="15">
        <f>IF(ISNUMBER(N283),IF(N283&gt;0,LN(N283),""),"")</f>
        <v/>
      </c>
      <c r="V283" s="15">
        <f>IF(ISNUMBER(U283),IFERROR((U283-LN(IFERROR(INDEX(Estadística!$K$6:$K$35,MATCH(Y283,Estadística!$Y$6:$Y$35,0)),0)))^2,""),"")</f>
        <v/>
      </c>
      <c r="W283" s="15">
        <f>IF(ISNUMBER(N283),IFERROR((N283-IFERROR(INDEX(Estadística!$I$6:$I$35,MATCH(Y283,Estadística!$Y$6:$Y$35,0)),0))^2,""),"")</f>
        <v/>
      </c>
      <c r="X283" s="15">
        <f>IF(ISNUMBER(R283),IF(R283&gt;1,1,0),"")</f>
        <v/>
      </c>
      <c r="Y283" s="15">
        <f>IF(OR(B283="",C283=""),"",B283&amp;"|"&amp;C283)</f>
        <v/>
      </c>
    </row>
    <row r="284">
      <c r="A284" s="23" t="n">
        <v>279</v>
      </c>
      <c r="B284" s="8" t="n"/>
      <c r="C284" s="8" t="n"/>
      <c r="D284" s="9" t="n"/>
      <c r="E284" s="8" t="n"/>
      <c r="F284" s="8" t="n"/>
      <c r="G284" s="8" t="n"/>
      <c r="H284" s="8" t="n"/>
      <c r="I284" s="24" t="n"/>
      <c r="J284" s="8" t="n"/>
      <c r="K284" s="25">
        <f>IF(OR(I284="",J284=""),"",I284*J284/1000)</f>
        <v/>
      </c>
      <c r="L284" s="26" t="n"/>
      <c r="M284" s="26" t="n"/>
      <c r="N284" s="27">
        <f>IF(OR(B284="",C284=""),"",IF(M284&lt;&gt;"",M284,IF(AND(N(L284)&gt;0,N(K284)&gt;0),L284/K284,"")))</f>
        <v/>
      </c>
      <c r="O284" s="15">
        <f>IF(C284="","",IFERROR(INDEX(Agentes!$D$6:$D$60,MATCH(C284,Agentes!$A$6:$A$60,0)),""))</f>
        <v/>
      </c>
      <c r="P284" s="28">
        <f>IF(OR(H284="",O284=""),"",IF(AND(O284="Inhalable",LEFT(H284,6)="Casete"),"Subestima: el casete cerrado no colecta toda la fracción inhalable",IF(AND(O284="Respirable",LEFT(H284,6)&lt;&gt;"Ciclón"),"Requiere ciclón (fracción respirable)",IF(AND(O284="Inhalable",ISNUMBER(SEARCH("Respirable",IFERROR(INDEX(Agentes!$C$80:$C$87,MATCH(H284,Agentes!$B$80:$B$87,0)),"")))),"El ciclón no colecta la fracción inhalable","Coherente"))))</f>
        <v/>
      </c>
      <c r="Q284" s="22">
        <f>IF(Y284="","",IFERROR(INDEX(GES!$W$6:$W$35,MATCH(Y284,GES!$R$6:$R$35,0)),""))</f>
        <v/>
      </c>
      <c r="R284" s="29">
        <f>IF(AND(ISNUMBER(N284),ISNUMBER(Q284)),N284/Q284,"")</f>
        <v/>
      </c>
      <c r="S284" s="15">
        <f>IF(C284="","",IFERROR(INDEX(Agentes!$I$6:$I$60,MATCH(C284,Agentes!$A$6:$A$60,0)),""))</f>
        <v/>
      </c>
      <c r="T284" s="8" t="n"/>
      <c r="U284" s="15">
        <f>IF(ISNUMBER(N284),IF(N284&gt;0,LN(N284),""),"")</f>
        <v/>
      </c>
      <c r="V284" s="15">
        <f>IF(ISNUMBER(U284),IFERROR((U284-LN(IFERROR(INDEX(Estadística!$K$6:$K$35,MATCH(Y284,Estadística!$Y$6:$Y$35,0)),0)))^2,""),"")</f>
        <v/>
      </c>
      <c r="W284" s="15">
        <f>IF(ISNUMBER(N284),IFERROR((N284-IFERROR(INDEX(Estadística!$I$6:$I$35,MATCH(Y284,Estadística!$Y$6:$Y$35,0)),0))^2,""),"")</f>
        <v/>
      </c>
      <c r="X284" s="15">
        <f>IF(ISNUMBER(R284),IF(R284&gt;1,1,0),"")</f>
        <v/>
      </c>
      <c r="Y284" s="15">
        <f>IF(OR(B284="",C284=""),"",B284&amp;"|"&amp;C284)</f>
        <v/>
      </c>
    </row>
    <row r="285">
      <c r="A285" s="23" t="n">
        <v>280</v>
      </c>
      <c r="B285" s="8" t="n"/>
      <c r="C285" s="8" t="n"/>
      <c r="D285" s="9" t="n"/>
      <c r="E285" s="8" t="n"/>
      <c r="F285" s="8" t="n"/>
      <c r="G285" s="8" t="n"/>
      <c r="H285" s="8" t="n"/>
      <c r="I285" s="24" t="n"/>
      <c r="J285" s="8" t="n"/>
      <c r="K285" s="25">
        <f>IF(OR(I285="",J285=""),"",I285*J285/1000)</f>
        <v/>
      </c>
      <c r="L285" s="26" t="n"/>
      <c r="M285" s="26" t="n"/>
      <c r="N285" s="27">
        <f>IF(OR(B285="",C285=""),"",IF(M285&lt;&gt;"",M285,IF(AND(N(L285)&gt;0,N(K285)&gt;0),L285/K285,"")))</f>
        <v/>
      </c>
      <c r="O285" s="15">
        <f>IF(C285="","",IFERROR(INDEX(Agentes!$D$6:$D$60,MATCH(C285,Agentes!$A$6:$A$60,0)),""))</f>
        <v/>
      </c>
      <c r="P285" s="28">
        <f>IF(OR(H285="",O285=""),"",IF(AND(O285="Inhalable",LEFT(H285,6)="Casete"),"Subestima: el casete cerrado no colecta toda la fracción inhalable",IF(AND(O285="Respirable",LEFT(H285,6)&lt;&gt;"Ciclón"),"Requiere ciclón (fracción respirable)",IF(AND(O285="Inhalable",ISNUMBER(SEARCH("Respirable",IFERROR(INDEX(Agentes!$C$80:$C$87,MATCH(H285,Agentes!$B$80:$B$87,0)),"")))),"El ciclón no colecta la fracción inhalable","Coherente"))))</f>
        <v/>
      </c>
      <c r="Q285" s="22">
        <f>IF(Y285="","",IFERROR(INDEX(GES!$W$6:$W$35,MATCH(Y285,GES!$R$6:$R$35,0)),""))</f>
        <v/>
      </c>
      <c r="R285" s="29">
        <f>IF(AND(ISNUMBER(N285),ISNUMBER(Q285)),N285/Q285,"")</f>
        <v/>
      </c>
      <c r="S285" s="15">
        <f>IF(C285="","",IFERROR(INDEX(Agentes!$I$6:$I$60,MATCH(C285,Agentes!$A$6:$A$60,0)),""))</f>
        <v/>
      </c>
      <c r="T285" s="8" t="n"/>
      <c r="U285" s="15">
        <f>IF(ISNUMBER(N285),IF(N285&gt;0,LN(N285),""),"")</f>
        <v/>
      </c>
      <c r="V285" s="15">
        <f>IF(ISNUMBER(U285),IFERROR((U285-LN(IFERROR(INDEX(Estadística!$K$6:$K$35,MATCH(Y285,Estadística!$Y$6:$Y$35,0)),0)))^2,""),"")</f>
        <v/>
      </c>
      <c r="W285" s="15">
        <f>IF(ISNUMBER(N285),IFERROR((N285-IFERROR(INDEX(Estadística!$I$6:$I$35,MATCH(Y285,Estadística!$Y$6:$Y$35,0)),0))^2,""),"")</f>
        <v/>
      </c>
      <c r="X285" s="15">
        <f>IF(ISNUMBER(R285),IF(R285&gt;1,1,0),"")</f>
        <v/>
      </c>
      <c r="Y285" s="15">
        <f>IF(OR(B285="",C285=""),"",B285&amp;"|"&amp;C285)</f>
        <v/>
      </c>
    </row>
    <row r="286">
      <c r="A286" s="23" t="n">
        <v>281</v>
      </c>
      <c r="B286" s="8" t="n"/>
      <c r="C286" s="8" t="n"/>
      <c r="D286" s="9" t="n"/>
      <c r="E286" s="8" t="n"/>
      <c r="F286" s="8" t="n"/>
      <c r="G286" s="8" t="n"/>
      <c r="H286" s="8" t="n"/>
      <c r="I286" s="24" t="n"/>
      <c r="J286" s="8" t="n"/>
      <c r="K286" s="25">
        <f>IF(OR(I286="",J286=""),"",I286*J286/1000)</f>
        <v/>
      </c>
      <c r="L286" s="26" t="n"/>
      <c r="M286" s="26" t="n"/>
      <c r="N286" s="27">
        <f>IF(OR(B286="",C286=""),"",IF(M286&lt;&gt;"",M286,IF(AND(N(L286)&gt;0,N(K286)&gt;0),L286/K286,"")))</f>
        <v/>
      </c>
      <c r="O286" s="15">
        <f>IF(C286="","",IFERROR(INDEX(Agentes!$D$6:$D$60,MATCH(C286,Agentes!$A$6:$A$60,0)),""))</f>
        <v/>
      </c>
      <c r="P286" s="28">
        <f>IF(OR(H286="",O286=""),"",IF(AND(O286="Inhalable",LEFT(H286,6)="Casete"),"Subestima: el casete cerrado no colecta toda la fracción inhalable",IF(AND(O286="Respirable",LEFT(H286,6)&lt;&gt;"Ciclón"),"Requiere ciclón (fracción respirable)",IF(AND(O286="Inhalable",ISNUMBER(SEARCH("Respirable",IFERROR(INDEX(Agentes!$C$80:$C$87,MATCH(H286,Agentes!$B$80:$B$87,0)),"")))),"El ciclón no colecta la fracción inhalable","Coherente"))))</f>
        <v/>
      </c>
      <c r="Q286" s="22">
        <f>IF(Y286="","",IFERROR(INDEX(GES!$W$6:$W$35,MATCH(Y286,GES!$R$6:$R$35,0)),""))</f>
        <v/>
      </c>
      <c r="R286" s="29">
        <f>IF(AND(ISNUMBER(N286),ISNUMBER(Q286)),N286/Q286,"")</f>
        <v/>
      </c>
      <c r="S286" s="15">
        <f>IF(C286="","",IFERROR(INDEX(Agentes!$I$6:$I$60,MATCH(C286,Agentes!$A$6:$A$60,0)),""))</f>
        <v/>
      </c>
      <c r="T286" s="8" t="n"/>
      <c r="U286" s="15">
        <f>IF(ISNUMBER(N286),IF(N286&gt;0,LN(N286),""),"")</f>
        <v/>
      </c>
      <c r="V286" s="15">
        <f>IF(ISNUMBER(U286),IFERROR((U286-LN(IFERROR(INDEX(Estadística!$K$6:$K$35,MATCH(Y286,Estadística!$Y$6:$Y$35,0)),0)))^2,""),"")</f>
        <v/>
      </c>
      <c r="W286" s="15">
        <f>IF(ISNUMBER(N286),IFERROR((N286-IFERROR(INDEX(Estadística!$I$6:$I$35,MATCH(Y286,Estadística!$Y$6:$Y$35,0)),0))^2,""),"")</f>
        <v/>
      </c>
      <c r="X286" s="15">
        <f>IF(ISNUMBER(R286),IF(R286&gt;1,1,0),"")</f>
        <v/>
      </c>
      <c r="Y286" s="15">
        <f>IF(OR(B286="",C286=""),"",B286&amp;"|"&amp;C286)</f>
        <v/>
      </c>
    </row>
    <row r="287">
      <c r="A287" s="23" t="n">
        <v>282</v>
      </c>
      <c r="B287" s="8" t="n"/>
      <c r="C287" s="8" t="n"/>
      <c r="D287" s="9" t="n"/>
      <c r="E287" s="8" t="n"/>
      <c r="F287" s="8" t="n"/>
      <c r="G287" s="8" t="n"/>
      <c r="H287" s="8" t="n"/>
      <c r="I287" s="24" t="n"/>
      <c r="J287" s="8" t="n"/>
      <c r="K287" s="25">
        <f>IF(OR(I287="",J287=""),"",I287*J287/1000)</f>
        <v/>
      </c>
      <c r="L287" s="26" t="n"/>
      <c r="M287" s="26" t="n"/>
      <c r="N287" s="27">
        <f>IF(OR(B287="",C287=""),"",IF(M287&lt;&gt;"",M287,IF(AND(N(L287)&gt;0,N(K287)&gt;0),L287/K287,"")))</f>
        <v/>
      </c>
      <c r="O287" s="15">
        <f>IF(C287="","",IFERROR(INDEX(Agentes!$D$6:$D$60,MATCH(C287,Agentes!$A$6:$A$60,0)),""))</f>
        <v/>
      </c>
      <c r="P287" s="28">
        <f>IF(OR(H287="",O287=""),"",IF(AND(O287="Inhalable",LEFT(H287,6)="Casete"),"Subestima: el casete cerrado no colecta toda la fracción inhalable",IF(AND(O287="Respirable",LEFT(H287,6)&lt;&gt;"Ciclón"),"Requiere ciclón (fracción respirable)",IF(AND(O287="Inhalable",ISNUMBER(SEARCH("Respirable",IFERROR(INDEX(Agentes!$C$80:$C$87,MATCH(H287,Agentes!$B$80:$B$87,0)),"")))),"El ciclón no colecta la fracción inhalable","Coherente"))))</f>
        <v/>
      </c>
      <c r="Q287" s="22">
        <f>IF(Y287="","",IFERROR(INDEX(GES!$W$6:$W$35,MATCH(Y287,GES!$R$6:$R$35,0)),""))</f>
        <v/>
      </c>
      <c r="R287" s="29">
        <f>IF(AND(ISNUMBER(N287),ISNUMBER(Q287)),N287/Q287,"")</f>
        <v/>
      </c>
      <c r="S287" s="15">
        <f>IF(C287="","",IFERROR(INDEX(Agentes!$I$6:$I$60,MATCH(C287,Agentes!$A$6:$A$60,0)),""))</f>
        <v/>
      </c>
      <c r="T287" s="8" t="n"/>
      <c r="U287" s="15">
        <f>IF(ISNUMBER(N287),IF(N287&gt;0,LN(N287),""),"")</f>
        <v/>
      </c>
      <c r="V287" s="15">
        <f>IF(ISNUMBER(U287),IFERROR((U287-LN(IFERROR(INDEX(Estadística!$K$6:$K$35,MATCH(Y287,Estadística!$Y$6:$Y$35,0)),0)))^2,""),"")</f>
        <v/>
      </c>
      <c r="W287" s="15">
        <f>IF(ISNUMBER(N287),IFERROR((N287-IFERROR(INDEX(Estadística!$I$6:$I$35,MATCH(Y287,Estadística!$Y$6:$Y$35,0)),0))^2,""),"")</f>
        <v/>
      </c>
      <c r="X287" s="15">
        <f>IF(ISNUMBER(R287),IF(R287&gt;1,1,0),"")</f>
        <v/>
      </c>
      <c r="Y287" s="15">
        <f>IF(OR(B287="",C287=""),"",B287&amp;"|"&amp;C287)</f>
        <v/>
      </c>
    </row>
    <row r="288">
      <c r="A288" s="23" t="n">
        <v>283</v>
      </c>
      <c r="B288" s="8" t="n"/>
      <c r="C288" s="8" t="n"/>
      <c r="D288" s="9" t="n"/>
      <c r="E288" s="8" t="n"/>
      <c r="F288" s="8" t="n"/>
      <c r="G288" s="8" t="n"/>
      <c r="H288" s="8" t="n"/>
      <c r="I288" s="24" t="n"/>
      <c r="J288" s="8" t="n"/>
      <c r="K288" s="25">
        <f>IF(OR(I288="",J288=""),"",I288*J288/1000)</f>
        <v/>
      </c>
      <c r="L288" s="26" t="n"/>
      <c r="M288" s="26" t="n"/>
      <c r="N288" s="27">
        <f>IF(OR(B288="",C288=""),"",IF(M288&lt;&gt;"",M288,IF(AND(N(L288)&gt;0,N(K288)&gt;0),L288/K288,"")))</f>
        <v/>
      </c>
      <c r="O288" s="15">
        <f>IF(C288="","",IFERROR(INDEX(Agentes!$D$6:$D$60,MATCH(C288,Agentes!$A$6:$A$60,0)),""))</f>
        <v/>
      </c>
      <c r="P288" s="28">
        <f>IF(OR(H288="",O288=""),"",IF(AND(O288="Inhalable",LEFT(H288,6)="Casete"),"Subestima: el casete cerrado no colecta toda la fracción inhalable",IF(AND(O288="Respirable",LEFT(H288,6)&lt;&gt;"Ciclón"),"Requiere ciclón (fracción respirable)",IF(AND(O288="Inhalable",ISNUMBER(SEARCH("Respirable",IFERROR(INDEX(Agentes!$C$80:$C$87,MATCH(H288,Agentes!$B$80:$B$87,0)),"")))),"El ciclón no colecta la fracción inhalable","Coherente"))))</f>
        <v/>
      </c>
      <c r="Q288" s="22">
        <f>IF(Y288="","",IFERROR(INDEX(GES!$W$6:$W$35,MATCH(Y288,GES!$R$6:$R$35,0)),""))</f>
        <v/>
      </c>
      <c r="R288" s="29">
        <f>IF(AND(ISNUMBER(N288),ISNUMBER(Q288)),N288/Q288,"")</f>
        <v/>
      </c>
      <c r="S288" s="15">
        <f>IF(C288="","",IFERROR(INDEX(Agentes!$I$6:$I$60,MATCH(C288,Agentes!$A$6:$A$60,0)),""))</f>
        <v/>
      </c>
      <c r="T288" s="8" t="n"/>
      <c r="U288" s="15">
        <f>IF(ISNUMBER(N288),IF(N288&gt;0,LN(N288),""),"")</f>
        <v/>
      </c>
      <c r="V288" s="15">
        <f>IF(ISNUMBER(U288),IFERROR((U288-LN(IFERROR(INDEX(Estadística!$K$6:$K$35,MATCH(Y288,Estadística!$Y$6:$Y$35,0)),0)))^2,""),"")</f>
        <v/>
      </c>
      <c r="W288" s="15">
        <f>IF(ISNUMBER(N288),IFERROR((N288-IFERROR(INDEX(Estadística!$I$6:$I$35,MATCH(Y288,Estadística!$Y$6:$Y$35,0)),0))^2,""),"")</f>
        <v/>
      </c>
      <c r="X288" s="15">
        <f>IF(ISNUMBER(R288),IF(R288&gt;1,1,0),"")</f>
        <v/>
      </c>
      <c r="Y288" s="15">
        <f>IF(OR(B288="",C288=""),"",B288&amp;"|"&amp;C288)</f>
        <v/>
      </c>
    </row>
    <row r="289">
      <c r="A289" s="23" t="n">
        <v>284</v>
      </c>
      <c r="B289" s="8" t="n"/>
      <c r="C289" s="8" t="n"/>
      <c r="D289" s="9" t="n"/>
      <c r="E289" s="8" t="n"/>
      <c r="F289" s="8" t="n"/>
      <c r="G289" s="8" t="n"/>
      <c r="H289" s="8" t="n"/>
      <c r="I289" s="24" t="n"/>
      <c r="J289" s="8" t="n"/>
      <c r="K289" s="25">
        <f>IF(OR(I289="",J289=""),"",I289*J289/1000)</f>
        <v/>
      </c>
      <c r="L289" s="26" t="n"/>
      <c r="M289" s="26" t="n"/>
      <c r="N289" s="27">
        <f>IF(OR(B289="",C289=""),"",IF(M289&lt;&gt;"",M289,IF(AND(N(L289)&gt;0,N(K289)&gt;0),L289/K289,"")))</f>
        <v/>
      </c>
      <c r="O289" s="15">
        <f>IF(C289="","",IFERROR(INDEX(Agentes!$D$6:$D$60,MATCH(C289,Agentes!$A$6:$A$60,0)),""))</f>
        <v/>
      </c>
      <c r="P289" s="28">
        <f>IF(OR(H289="",O289=""),"",IF(AND(O289="Inhalable",LEFT(H289,6)="Casete"),"Subestima: el casete cerrado no colecta toda la fracción inhalable",IF(AND(O289="Respirable",LEFT(H289,6)&lt;&gt;"Ciclón"),"Requiere ciclón (fracción respirable)",IF(AND(O289="Inhalable",ISNUMBER(SEARCH("Respirable",IFERROR(INDEX(Agentes!$C$80:$C$87,MATCH(H289,Agentes!$B$80:$B$87,0)),"")))),"El ciclón no colecta la fracción inhalable","Coherente"))))</f>
        <v/>
      </c>
      <c r="Q289" s="22">
        <f>IF(Y289="","",IFERROR(INDEX(GES!$W$6:$W$35,MATCH(Y289,GES!$R$6:$R$35,0)),""))</f>
        <v/>
      </c>
      <c r="R289" s="29">
        <f>IF(AND(ISNUMBER(N289),ISNUMBER(Q289)),N289/Q289,"")</f>
        <v/>
      </c>
      <c r="S289" s="15">
        <f>IF(C289="","",IFERROR(INDEX(Agentes!$I$6:$I$60,MATCH(C289,Agentes!$A$6:$A$60,0)),""))</f>
        <v/>
      </c>
      <c r="T289" s="8" t="n"/>
      <c r="U289" s="15">
        <f>IF(ISNUMBER(N289),IF(N289&gt;0,LN(N289),""),"")</f>
        <v/>
      </c>
      <c r="V289" s="15">
        <f>IF(ISNUMBER(U289),IFERROR((U289-LN(IFERROR(INDEX(Estadística!$K$6:$K$35,MATCH(Y289,Estadística!$Y$6:$Y$35,0)),0)))^2,""),"")</f>
        <v/>
      </c>
      <c r="W289" s="15">
        <f>IF(ISNUMBER(N289),IFERROR((N289-IFERROR(INDEX(Estadística!$I$6:$I$35,MATCH(Y289,Estadística!$Y$6:$Y$35,0)),0))^2,""),"")</f>
        <v/>
      </c>
      <c r="X289" s="15">
        <f>IF(ISNUMBER(R289),IF(R289&gt;1,1,0),"")</f>
        <v/>
      </c>
      <c r="Y289" s="15">
        <f>IF(OR(B289="",C289=""),"",B289&amp;"|"&amp;C289)</f>
        <v/>
      </c>
    </row>
    <row r="290">
      <c r="A290" s="23" t="n">
        <v>285</v>
      </c>
      <c r="B290" s="8" t="n"/>
      <c r="C290" s="8" t="n"/>
      <c r="D290" s="9" t="n"/>
      <c r="E290" s="8" t="n"/>
      <c r="F290" s="8" t="n"/>
      <c r="G290" s="8" t="n"/>
      <c r="H290" s="8" t="n"/>
      <c r="I290" s="24" t="n"/>
      <c r="J290" s="8" t="n"/>
      <c r="K290" s="25">
        <f>IF(OR(I290="",J290=""),"",I290*J290/1000)</f>
        <v/>
      </c>
      <c r="L290" s="26" t="n"/>
      <c r="M290" s="26" t="n"/>
      <c r="N290" s="27">
        <f>IF(OR(B290="",C290=""),"",IF(M290&lt;&gt;"",M290,IF(AND(N(L290)&gt;0,N(K290)&gt;0),L290/K290,"")))</f>
        <v/>
      </c>
      <c r="O290" s="15">
        <f>IF(C290="","",IFERROR(INDEX(Agentes!$D$6:$D$60,MATCH(C290,Agentes!$A$6:$A$60,0)),""))</f>
        <v/>
      </c>
      <c r="P290" s="28">
        <f>IF(OR(H290="",O290=""),"",IF(AND(O290="Inhalable",LEFT(H290,6)="Casete"),"Subestima: el casete cerrado no colecta toda la fracción inhalable",IF(AND(O290="Respirable",LEFT(H290,6)&lt;&gt;"Ciclón"),"Requiere ciclón (fracción respirable)",IF(AND(O290="Inhalable",ISNUMBER(SEARCH("Respirable",IFERROR(INDEX(Agentes!$C$80:$C$87,MATCH(H290,Agentes!$B$80:$B$87,0)),"")))),"El ciclón no colecta la fracción inhalable","Coherente"))))</f>
        <v/>
      </c>
      <c r="Q290" s="22">
        <f>IF(Y290="","",IFERROR(INDEX(GES!$W$6:$W$35,MATCH(Y290,GES!$R$6:$R$35,0)),""))</f>
        <v/>
      </c>
      <c r="R290" s="29">
        <f>IF(AND(ISNUMBER(N290),ISNUMBER(Q290)),N290/Q290,"")</f>
        <v/>
      </c>
      <c r="S290" s="15">
        <f>IF(C290="","",IFERROR(INDEX(Agentes!$I$6:$I$60,MATCH(C290,Agentes!$A$6:$A$60,0)),""))</f>
        <v/>
      </c>
      <c r="T290" s="8" t="n"/>
      <c r="U290" s="15">
        <f>IF(ISNUMBER(N290),IF(N290&gt;0,LN(N290),""),"")</f>
        <v/>
      </c>
      <c r="V290" s="15">
        <f>IF(ISNUMBER(U290),IFERROR((U290-LN(IFERROR(INDEX(Estadística!$K$6:$K$35,MATCH(Y290,Estadística!$Y$6:$Y$35,0)),0)))^2,""),"")</f>
        <v/>
      </c>
      <c r="W290" s="15">
        <f>IF(ISNUMBER(N290),IFERROR((N290-IFERROR(INDEX(Estadística!$I$6:$I$35,MATCH(Y290,Estadística!$Y$6:$Y$35,0)),0))^2,""),"")</f>
        <v/>
      </c>
      <c r="X290" s="15">
        <f>IF(ISNUMBER(R290),IF(R290&gt;1,1,0),"")</f>
        <v/>
      </c>
      <c r="Y290" s="15">
        <f>IF(OR(B290="",C290=""),"",B290&amp;"|"&amp;C290)</f>
        <v/>
      </c>
    </row>
    <row r="291">
      <c r="A291" s="23" t="n">
        <v>286</v>
      </c>
      <c r="B291" s="8" t="n"/>
      <c r="C291" s="8" t="n"/>
      <c r="D291" s="9" t="n"/>
      <c r="E291" s="8" t="n"/>
      <c r="F291" s="8" t="n"/>
      <c r="G291" s="8" t="n"/>
      <c r="H291" s="8" t="n"/>
      <c r="I291" s="24" t="n"/>
      <c r="J291" s="8" t="n"/>
      <c r="K291" s="25">
        <f>IF(OR(I291="",J291=""),"",I291*J291/1000)</f>
        <v/>
      </c>
      <c r="L291" s="26" t="n"/>
      <c r="M291" s="26" t="n"/>
      <c r="N291" s="27">
        <f>IF(OR(B291="",C291=""),"",IF(M291&lt;&gt;"",M291,IF(AND(N(L291)&gt;0,N(K291)&gt;0),L291/K291,"")))</f>
        <v/>
      </c>
      <c r="O291" s="15">
        <f>IF(C291="","",IFERROR(INDEX(Agentes!$D$6:$D$60,MATCH(C291,Agentes!$A$6:$A$60,0)),""))</f>
        <v/>
      </c>
      <c r="P291" s="28">
        <f>IF(OR(H291="",O291=""),"",IF(AND(O291="Inhalable",LEFT(H291,6)="Casete"),"Subestima: el casete cerrado no colecta toda la fracción inhalable",IF(AND(O291="Respirable",LEFT(H291,6)&lt;&gt;"Ciclón"),"Requiere ciclón (fracción respirable)",IF(AND(O291="Inhalable",ISNUMBER(SEARCH("Respirable",IFERROR(INDEX(Agentes!$C$80:$C$87,MATCH(H291,Agentes!$B$80:$B$87,0)),"")))),"El ciclón no colecta la fracción inhalable","Coherente"))))</f>
        <v/>
      </c>
      <c r="Q291" s="22">
        <f>IF(Y291="","",IFERROR(INDEX(GES!$W$6:$W$35,MATCH(Y291,GES!$R$6:$R$35,0)),""))</f>
        <v/>
      </c>
      <c r="R291" s="29">
        <f>IF(AND(ISNUMBER(N291),ISNUMBER(Q291)),N291/Q291,"")</f>
        <v/>
      </c>
      <c r="S291" s="15">
        <f>IF(C291="","",IFERROR(INDEX(Agentes!$I$6:$I$60,MATCH(C291,Agentes!$A$6:$A$60,0)),""))</f>
        <v/>
      </c>
      <c r="T291" s="8" t="n"/>
      <c r="U291" s="15">
        <f>IF(ISNUMBER(N291),IF(N291&gt;0,LN(N291),""),"")</f>
        <v/>
      </c>
      <c r="V291" s="15">
        <f>IF(ISNUMBER(U291),IFERROR((U291-LN(IFERROR(INDEX(Estadística!$K$6:$K$35,MATCH(Y291,Estadística!$Y$6:$Y$35,0)),0)))^2,""),"")</f>
        <v/>
      </c>
      <c r="W291" s="15">
        <f>IF(ISNUMBER(N291),IFERROR((N291-IFERROR(INDEX(Estadística!$I$6:$I$35,MATCH(Y291,Estadística!$Y$6:$Y$35,0)),0))^2,""),"")</f>
        <v/>
      </c>
      <c r="X291" s="15">
        <f>IF(ISNUMBER(R291),IF(R291&gt;1,1,0),"")</f>
        <v/>
      </c>
      <c r="Y291" s="15">
        <f>IF(OR(B291="",C291=""),"",B291&amp;"|"&amp;C291)</f>
        <v/>
      </c>
    </row>
    <row r="292">
      <c r="A292" s="23" t="n">
        <v>287</v>
      </c>
      <c r="B292" s="8" t="n"/>
      <c r="C292" s="8" t="n"/>
      <c r="D292" s="9" t="n"/>
      <c r="E292" s="8" t="n"/>
      <c r="F292" s="8" t="n"/>
      <c r="G292" s="8" t="n"/>
      <c r="H292" s="8" t="n"/>
      <c r="I292" s="24" t="n"/>
      <c r="J292" s="8" t="n"/>
      <c r="K292" s="25">
        <f>IF(OR(I292="",J292=""),"",I292*J292/1000)</f>
        <v/>
      </c>
      <c r="L292" s="26" t="n"/>
      <c r="M292" s="26" t="n"/>
      <c r="N292" s="27">
        <f>IF(OR(B292="",C292=""),"",IF(M292&lt;&gt;"",M292,IF(AND(N(L292)&gt;0,N(K292)&gt;0),L292/K292,"")))</f>
        <v/>
      </c>
      <c r="O292" s="15">
        <f>IF(C292="","",IFERROR(INDEX(Agentes!$D$6:$D$60,MATCH(C292,Agentes!$A$6:$A$60,0)),""))</f>
        <v/>
      </c>
      <c r="P292" s="28">
        <f>IF(OR(H292="",O292=""),"",IF(AND(O292="Inhalable",LEFT(H292,6)="Casete"),"Subestima: el casete cerrado no colecta toda la fracción inhalable",IF(AND(O292="Respirable",LEFT(H292,6)&lt;&gt;"Ciclón"),"Requiere ciclón (fracción respirable)",IF(AND(O292="Inhalable",ISNUMBER(SEARCH("Respirable",IFERROR(INDEX(Agentes!$C$80:$C$87,MATCH(H292,Agentes!$B$80:$B$87,0)),"")))),"El ciclón no colecta la fracción inhalable","Coherente"))))</f>
        <v/>
      </c>
      <c r="Q292" s="22">
        <f>IF(Y292="","",IFERROR(INDEX(GES!$W$6:$W$35,MATCH(Y292,GES!$R$6:$R$35,0)),""))</f>
        <v/>
      </c>
      <c r="R292" s="29">
        <f>IF(AND(ISNUMBER(N292),ISNUMBER(Q292)),N292/Q292,"")</f>
        <v/>
      </c>
      <c r="S292" s="15">
        <f>IF(C292="","",IFERROR(INDEX(Agentes!$I$6:$I$60,MATCH(C292,Agentes!$A$6:$A$60,0)),""))</f>
        <v/>
      </c>
      <c r="T292" s="8" t="n"/>
      <c r="U292" s="15">
        <f>IF(ISNUMBER(N292),IF(N292&gt;0,LN(N292),""),"")</f>
        <v/>
      </c>
      <c r="V292" s="15">
        <f>IF(ISNUMBER(U292),IFERROR((U292-LN(IFERROR(INDEX(Estadística!$K$6:$K$35,MATCH(Y292,Estadística!$Y$6:$Y$35,0)),0)))^2,""),"")</f>
        <v/>
      </c>
      <c r="W292" s="15">
        <f>IF(ISNUMBER(N292),IFERROR((N292-IFERROR(INDEX(Estadística!$I$6:$I$35,MATCH(Y292,Estadística!$Y$6:$Y$35,0)),0))^2,""),"")</f>
        <v/>
      </c>
      <c r="X292" s="15">
        <f>IF(ISNUMBER(R292),IF(R292&gt;1,1,0),"")</f>
        <v/>
      </c>
      <c r="Y292" s="15">
        <f>IF(OR(B292="",C292=""),"",B292&amp;"|"&amp;C292)</f>
        <v/>
      </c>
    </row>
    <row r="293">
      <c r="A293" s="23" t="n">
        <v>288</v>
      </c>
      <c r="B293" s="8" t="n"/>
      <c r="C293" s="8" t="n"/>
      <c r="D293" s="9" t="n"/>
      <c r="E293" s="8" t="n"/>
      <c r="F293" s="8" t="n"/>
      <c r="G293" s="8" t="n"/>
      <c r="H293" s="8" t="n"/>
      <c r="I293" s="24" t="n"/>
      <c r="J293" s="8" t="n"/>
      <c r="K293" s="25">
        <f>IF(OR(I293="",J293=""),"",I293*J293/1000)</f>
        <v/>
      </c>
      <c r="L293" s="26" t="n"/>
      <c r="M293" s="26" t="n"/>
      <c r="N293" s="27">
        <f>IF(OR(B293="",C293=""),"",IF(M293&lt;&gt;"",M293,IF(AND(N(L293)&gt;0,N(K293)&gt;0),L293/K293,"")))</f>
        <v/>
      </c>
      <c r="O293" s="15">
        <f>IF(C293="","",IFERROR(INDEX(Agentes!$D$6:$D$60,MATCH(C293,Agentes!$A$6:$A$60,0)),""))</f>
        <v/>
      </c>
      <c r="P293" s="28">
        <f>IF(OR(H293="",O293=""),"",IF(AND(O293="Inhalable",LEFT(H293,6)="Casete"),"Subestima: el casete cerrado no colecta toda la fracción inhalable",IF(AND(O293="Respirable",LEFT(H293,6)&lt;&gt;"Ciclón"),"Requiere ciclón (fracción respirable)",IF(AND(O293="Inhalable",ISNUMBER(SEARCH("Respirable",IFERROR(INDEX(Agentes!$C$80:$C$87,MATCH(H293,Agentes!$B$80:$B$87,0)),"")))),"El ciclón no colecta la fracción inhalable","Coherente"))))</f>
        <v/>
      </c>
      <c r="Q293" s="22">
        <f>IF(Y293="","",IFERROR(INDEX(GES!$W$6:$W$35,MATCH(Y293,GES!$R$6:$R$35,0)),""))</f>
        <v/>
      </c>
      <c r="R293" s="29">
        <f>IF(AND(ISNUMBER(N293),ISNUMBER(Q293)),N293/Q293,"")</f>
        <v/>
      </c>
      <c r="S293" s="15">
        <f>IF(C293="","",IFERROR(INDEX(Agentes!$I$6:$I$60,MATCH(C293,Agentes!$A$6:$A$60,0)),""))</f>
        <v/>
      </c>
      <c r="T293" s="8" t="n"/>
      <c r="U293" s="15">
        <f>IF(ISNUMBER(N293),IF(N293&gt;0,LN(N293),""),"")</f>
        <v/>
      </c>
      <c r="V293" s="15">
        <f>IF(ISNUMBER(U293),IFERROR((U293-LN(IFERROR(INDEX(Estadística!$K$6:$K$35,MATCH(Y293,Estadística!$Y$6:$Y$35,0)),0)))^2,""),"")</f>
        <v/>
      </c>
      <c r="W293" s="15">
        <f>IF(ISNUMBER(N293),IFERROR((N293-IFERROR(INDEX(Estadística!$I$6:$I$35,MATCH(Y293,Estadística!$Y$6:$Y$35,0)),0))^2,""),"")</f>
        <v/>
      </c>
      <c r="X293" s="15">
        <f>IF(ISNUMBER(R293),IF(R293&gt;1,1,0),"")</f>
        <v/>
      </c>
      <c r="Y293" s="15">
        <f>IF(OR(B293="",C293=""),"",B293&amp;"|"&amp;C293)</f>
        <v/>
      </c>
    </row>
    <row r="294">
      <c r="A294" s="23" t="n">
        <v>289</v>
      </c>
      <c r="B294" s="8" t="n"/>
      <c r="C294" s="8" t="n"/>
      <c r="D294" s="9" t="n"/>
      <c r="E294" s="8" t="n"/>
      <c r="F294" s="8" t="n"/>
      <c r="G294" s="8" t="n"/>
      <c r="H294" s="8" t="n"/>
      <c r="I294" s="24" t="n"/>
      <c r="J294" s="8" t="n"/>
      <c r="K294" s="25">
        <f>IF(OR(I294="",J294=""),"",I294*J294/1000)</f>
        <v/>
      </c>
      <c r="L294" s="26" t="n"/>
      <c r="M294" s="26" t="n"/>
      <c r="N294" s="27">
        <f>IF(OR(B294="",C294=""),"",IF(M294&lt;&gt;"",M294,IF(AND(N(L294)&gt;0,N(K294)&gt;0),L294/K294,"")))</f>
        <v/>
      </c>
      <c r="O294" s="15">
        <f>IF(C294="","",IFERROR(INDEX(Agentes!$D$6:$D$60,MATCH(C294,Agentes!$A$6:$A$60,0)),""))</f>
        <v/>
      </c>
      <c r="P294" s="28">
        <f>IF(OR(H294="",O294=""),"",IF(AND(O294="Inhalable",LEFT(H294,6)="Casete"),"Subestima: el casete cerrado no colecta toda la fracción inhalable",IF(AND(O294="Respirable",LEFT(H294,6)&lt;&gt;"Ciclón"),"Requiere ciclón (fracción respirable)",IF(AND(O294="Inhalable",ISNUMBER(SEARCH("Respirable",IFERROR(INDEX(Agentes!$C$80:$C$87,MATCH(H294,Agentes!$B$80:$B$87,0)),"")))),"El ciclón no colecta la fracción inhalable","Coherente"))))</f>
        <v/>
      </c>
      <c r="Q294" s="22">
        <f>IF(Y294="","",IFERROR(INDEX(GES!$W$6:$W$35,MATCH(Y294,GES!$R$6:$R$35,0)),""))</f>
        <v/>
      </c>
      <c r="R294" s="29">
        <f>IF(AND(ISNUMBER(N294),ISNUMBER(Q294)),N294/Q294,"")</f>
        <v/>
      </c>
      <c r="S294" s="15">
        <f>IF(C294="","",IFERROR(INDEX(Agentes!$I$6:$I$60,MATCH(C294,Agentes!$A$6:$A$60,0)),""))</f>
        <v/>
      </c>
      <c r="T294" s="8" t="n"/>
      <c r="U294" s="15">
        <f>IF(ISNUMBER(N294),IF(N294&gt;0,LN(N294),""),"")</f>
        <v/>
      </c>
      <c r="V294" s="15">
        <f>IF(ISNUMBER(U294),IFERROR((U294-LN(IFERROR(INDEX(Estadística!$K$6:$K$35,MATCH(Y294,Estadística!$Y$6:$Y$35,0)),0)))^2,""),"")</f>
        <v/>
      </c>
      <c r="W294" s="15">
        <f>IF(ISNUMBER(N294),IFERROR((N294-IFERROR(INDEX(Estadística!$I$6:$I$35,MATCH(Y294,Estadística!$Y$6:$Y$35,0)),0))^2,""),"")</f>
        <v/>
      </c>
      <c r="X294" s="15">
        <f>IF(ISNUMBER(R294),IF(R294&gt;1,1,0),"")</f>
        <v/>
      </c>
      <c r="Y294" s="15">
        <f>IF(OR(B294="",C294=""),"",B294&amp;"|"&amp;C294)</f>
        <v/>
      </c>
    </row>
    <row r="295">
      <c r="A295" s="23" t="n">
        <v>290</v>
      </c>
      <c r="B295" s="8" t="n"/>
      <c r="C295" s="8" t="n"/>
      <c r="D295" s="9" t="n"/>
      <c r="E295" s="8" t="n"/>
      <c r="F295" s="8" t="n"/>
      <c r="G295" s="8" t="n"/>
      <c r="H295" s="8" t="n"/>
      <c r="I295" s="24" t="n"/>
      <c r="J295" s="8" t="n"/>
      <c r="K295" s="25">
        <f>IF(OR(I295="",J295=""),"",I295*J295/1000)</f>
        <v/>
      </c>
      <c r="L295" s="26" t="n"/>
      <c r="M295" s="26" t="n"/>
      <c r="N295" s="27">
        <f>IF(OR(B295="",C295=""),"",IF(M295&lt;&gt;"",M295,IF(AND(N(L295)&gt;0,N(K295)&gt;0),L295/K295,"")))</f>
        <v/>
      </c>
      <c r="O295" s="15">
        <f>IF(C295="","",IFERROR(INDEX(Agentes!$D$6:$D$60,MATCH(C295,Agentes!$A$6:$A$60,0)),""))</f>
        <v/>
      </c>
      <c r="P295" s="28">
        <f>IF(OR(H295="",O295=""),"",IF(AND(O295="Inhalable",LEFT(H295,6)="Casete"),"Subestima: el casete cerrado no colecta toda la fracción inhalable",IF(AND(O295="Respirable",LEFT(H295,6)&lt;&gt;"Ciclón"),"Requiere ciclón (fracción respirable)",IF(AND(O295="Inhalable",ISNUMBER(SEARCH("Respirable",IFERROR(INDEX(Agentes!$C$80:$C$87,MATCH(H295,Agentes!$B$80:$B$87,0)),"")))),"El ciclón no colecta la fracción inhalable","Coherente"))))</f>
        <v/>
      </c>
      <c r="Q295" s="22">
        <f>IF(Y295="","",IFERROR(INDEX(GES!$W$6:$W$35,MATCH(Y295,GES!$R$6:$R$35,0)),""))</f>
        <v/>
      </c>
      <c r="R295" s="29">
        <f>IF(AND(ISNUMBER(N295),ISNUMBER(Q295)),N295/Q295,"")</f>
        <v/>
      </c>
      <c r="S295" s="15">
        <f>IF(C295="","",IFERROR(INDEX(Agentes!$I$6:$I$60,MATCH(C295,Agentes!$A$6:$A$60,0)),""))</f>
        <v/>
      </c>
      <c r="T295" s="8" t="n"/>
      <c r="U295" s="15">
        <f>IF(ISNUMBER(N295),IF(N295&gt;0,LN(N295),""),"")</f>
        <v/>
      </c>
      <c r="V295" s="15">
        <f>IF(ISNUMBER(U295),IFERROR((U295-LN(IFERROR(INDEX(Estadística!$K$6:$K$35,MATCH(Y295,Estadística!$Y$6:$Y$35,0)),0)))^2,""),"")</f>
        <v/>
      </c>
      <c r="W295" s="15">
        <f>IF(ISNUMBER(N295),IFERROR((N295-IFERROR(INDEX(Estadística!$I$6:$I$35,MATCH(Y295,Estadística!$Y$6:$Y$35,0)),0))^2,""),"")</f>
        <v/>
      </c>
      <c r="X295" s="15">
        <f>IF(ISNUMBER(R295),IF(R295&gt;1,1,0),"")</f>
        <v/>
      </c>
      <c r="Y295" s="15">
        <f>IF(OR(B295="",C295=""),"",B295&amp;"|"&amp;C295)</f>
        <v/>
      </c>
    </row>
    <row r="296">
      <c r="A296" s="23" t="n">
        <v>291</v>
      </c>
      <c r="B296" s="8" t="n"/>
      <c r="C296" s="8" t="n"/>
      <c r="D296" s="9" t="n"/>
      <c r="E296" s="8" t="n"/>
      <c r="F296" s="8" t="n"/>
      <c r="G296" s="8" t="n"/>
      <c r="H296" s="8" t="n"/>
      <c r="I296" s="24" t="n"/>
      <c r="J296" s="8" t="n"/>
      <c r="K296" s="25">
        <f>IF(OR(I296="",J296=""),"",I296*J296/1000)</f>
        <v/>
      </c>
      <c r="L296" s="26" t="n"/>
      <c r="M296" s="26" t="n"/>
      <c r="N296" s="27">
        <f>IF(OR(B296="",C296=""),"",IF(M296&lt;&gt;"",M296,IF(AND(N(L296)&gt;0,N(K296)&gt;0),L296/K296,"")))</f>
        <v/>
      </c>
      <c r="O296" s="15">
        <f>IF(C296="","",IFERROR(INDEX(Agentes!$D$6:$D$60,MATCH(C296,Agentes!$A$6:$A$60,0)),""))</f>
        <v/>
      </c>
      <c r="P296" s="28">
        <f>IF(OR(H296="",O296=""),"",IF(AND(O296="Inhalable",LEFT(H296,6)="Casete"),"Subestima: el casete cerrado no colecta toda la fracción inhalable",IF(AND(O296="Respirable",LEFT(H296,6)&lt;&gt;"Ciclón"),"Requiere ciclón (fracción respirable)",IF(AND(O296="Inhalable",ISNUMBER(SEARCH("Respirable",IFERROR(INDEX(Agentes!$C$80:$C$87,MATCH(H296,Agentes!$B$80:$B$87,0)),"")))),"El ciclón no colecta la fracción inhalable","Coherente"))))</f>
        <v/>
      </c>
      <c r="Q296" s="22">
        <f>IF(Y296="","",IFERROR(INDEX(GES!$W$6:$W$35,MATCH(Y296,GES!$R$6:$R$35,0)),""))</f>
        <v/>
      </c>
      <c r="R296" s="29">
        <f>IF(AND(ISNUMBER(N296),ISNUMBER(Q296)),N296/Q296,"")</f>
        <v/>
      </c>
      <c r="S296" s="15">
        <f>IF(C296="","",IFERROR(INDEX(Agentes!$I$6:$I$60,MATCH(C296,Agentes!$A$6:$A$60,0)),""))</f>
        <v/>
      </c>
      <c r="T296" s="8" t="n"/>
      <c r="U296" s="15">
        <f>IF(ISNUMBER(N296),IF(N296&gt;0,LN(N296),""),"")</f>
        <v/>
      </c>
      <c r="V296" s="15">
        <f>IF(ISNUMBER(U296),IFERROR((U296-LN(IFERROR(INDEX(Estadística!$K$6:$K$35,MATCH(Y296,Estadística!$Y$6:$Y$35,0)),0)))^2,""),"")</f>
        <v/>
      </c>
      <c r="W296" s="15">
        <f>IF(ISNUMBER(N296),IFERROR((N296-IFERROR(INDEX(Estadística!$I$6:$I$35,MATCH(Y296,Estadística!$Y$6:$Y$35,0)),0))^2,""),"")</f>
        <v/>
      </c>
      <c r="X296" s="15">
        <f>IF(ISNUMBER(R296),IF(R296&gt;1,1,0),"")</f>
        <v/>
      </c>
      <c r="Y296" s="15">
        <f>IF(OR(B296="",C296=""),"",B296&amp;"|"&amp;C296)</f>
        <v/>
      </c>
    </row>
    <row r="297">
      <c r="A297" s="23" t="n">
        <v>292</v>
      </c>
      <c r="B297" s="8" t="n"/>
      <c r="C297" s="8" t="n"/>
      <c r="D297" s="9" t="n"/>
      <c r="E297" s="8" t="n"/>
      <c r="F297" s="8" t="n"/>
      <c r="G297" s="8" t="n"/>
      <c r="H297" s="8" t="n"/>
      <c r="I297" s="24" t="n"/>
      <c r="J297" s="8" t="n"/>
      <c r="K297" s="25">
        <f>IF(OR(I297="",J297=""),"",I297*J297/1000)</f>
        <v/>
      </c>
      <c r="L297" s="26" t="n"/>
      <c r="M297" s="26" t="n"/>
      <c r="N297" s="27">
        <f>IF(OR(B297="",C297=""),"",IF(M297&lt;&gt;"",M297,IF(AND(N(L297)&gt;0,N(K297)&gt;0),L297/K297,"")))</f>
        <v/>
      </c>
      <c r="O297" s="15">
        <f>IF(C297="","",IFERROR(INDEX(Agentes!$D$6:$D$60,MATCH(C297,Agentes!$A$6:$A$60,0)),""))</f>
        <v/>
      </c>
      <c r="P297" s="28">
        <f>IF(OR(H297="",O297=""),"",IF(AND(O297="Inhalable",LEFT(H297,6)="Casete"),"Subestima: el casete cerrado no colecta toda la fracción inhalable",IF(AND(O297="Respirable",LEFT(H297,6)&lt;&gt;"Ciclón"),"Requiere ciclón (fracción respirable)",IF(AND(O297="Inhalable",ISNUMBER(SEARCH("Respirable",IFERROR(INDEX(Agentes!$C$80:$C$87,MATCH(H297,Agentes!$B$80:$B$87,0)),"")))),"El ciclón no colecta la fracción inhalable","Coherente"))))</f>
        <v/>
      </c>
      <c r="Q297" s="22">
        <f>IF(Y297="","",IFERROR(INDEX(GES!$W$6:$W$35,MATCH(Y297,GES!$R$6:$R$35,0)),""))</f>
        <v/>
      </c>
      <c r="R297" s="29">
        <f>IF(AND(ISNUMBER(N297),ISNUMBER(Q297)),N297/Q297,"")</f>
        <v/>
      </c>
      <c r="S297" s="15">
        <f>IF(C297="","",IFERROR(INDEX(Agentes!$I$6:$I$60,MATCH(C297,Agentes!$A$6:$A$60,0)),""))</f>
        <v/>
      </c>
      <c r="T297" s="8" t="n"/>
      <c r="U297" s="15">
        <f>IF(ISNUMBER(N297),IF(N297&gt;0,LN(N297),""),"")</f>
        <v/>
      </c>
      <c r="V297" s="15">
        <f>IF(ISNUMBER(U297),IFERROR((U297-LN(IFERROR(INDEX(Estadística!$K$6:$K$35,MATCH(Y297,Estadística!$Y$6:$Y$35,0)),0)))^2,""),"")</f>
        <v/>
      </c>
      <c r="W297" s="15">
        <f>IF(ISNUMBER(N297),IFERROR((N297-IFERROR(INDEX(Estadística!$I$6:$I$35,MATCH(Y297,Estadística!$Y$6:$Y$35,0)),0))^2,""),"")</f>
        <v/>
      </c>
      <c r="X297" s="15">
        <f>IF(ISNUMBER(R297),IF(R297&gt;1,1,0),"")</f>
        <v/>
      </c>
      <c r="Y297" s="15">
        <f>IF(OR(B297="",C297=""),"",B297&amp;"|"&amp;C297)</f>
        <v/>
      </c>
    </row>
    <row r="298">
      <c r="A298" s="23" t="n">
        <v>293</v>
      </c>
      <c r="B298" s="8" t="n"/>
      <c r="C298" s="8" t="n"/>
      <c r="D298" s="9" t="n"/>
      <c r="E298" s="8" t="n"/>
      <c r="F298" s="8" t="n"/>
      <c r="G298" s="8" t="n"/>
      <c r="H298" s="8" t="n"/>
      <c r="I298" s="24" t="n"/>
      <c r="J298" s="8" t="n"/>
      <c r="K298" s="25">
        <f>IF(OR(I298="",J298=""),"",I298*J298/1000)</f>
        <v/>
      </c>
      <c r="L298" s="26" t="n"/>
      <c r="M298" s="26" t="n"/>
      <c r="N298" s="27">
        <f>IF(OR(B298="",C298=""),"",IF(M298&lt;&gt;"",M298,IF(AND(N(L298)&gt;0,N(K298)&gt;0),L298/K298,"")))</f>
        <v/>
      </c>
      <c r="O298" s="15">
        <f>IF(C298="","",IFERROR(INDEX(Agentes!$D$6:$D$60,MATCH(C298,Agentes!$A$6:$A$60,0)),""))</f>
        <v/>
      </c>
      <c r="P298" s="28">
        <f>IF(OR(H298="",O298=""),"",IF(AND(O298="Inhalable",LEFT(H298,6)="Casete"),"Subestima: el casete cerrado no colecta toda la fracción inhalable",IF(AND(O298="Respirable",LEFT(H298,6)&lt;&gt;"Ciclón"),"Requiere ciclón (fracción respirable)",IF(AND(O298="Inhalable",ISNUMBER(SEARCH("Respirable",IFERROR(INDEX(Agentes!$C$80:$C$87,MATCH(H298,Agentes!$B$80:$B$87,0)),"")))),"El ciclón no colecta la fracción inhalable","Coherente"))))</f>
        <v/>
      </c>
      <c r="Q298" s="22">
        <f>IF(Y298="","",IFERROR(INDEX(GES!$W$6:$W$35,MATCH(Y298,GES!$R$6:$R$35,0)),""))</f>
        <v/>
      </c>
      <c r="R298" s="29">
        <f>IF(AND(ISNUMBER(N298),ISNUMBER(Q298)),N298/Q298,"")</f>
        <v/>
      </c>
      <c r="S298" s="15">
        <f>IF(C298="","",IFERROR(INDEX(Agentes!$I$6:$I$60,MATCH(C298,Agentes!$A$6:$A$60,0)),""))</f>
        <v/>
      </c>
      <c r="T298" s="8" t="n"/>
      <c r="U298" s="15">
        <f>IF(ISNUMBER(N298),IF(N298&gt;0,LN(N298),""),"")</f>
        <v/>
      </c>
      <c r="V298" s="15">
        <f>IF(ISNUMBER(U298),IFERROR((U298-LN(IFERROR(INDEX(Estadística!$K$6:$K$35,MATCH(Y298,Estadística!$Y$6:$Y$35,0)),0)))^2,""),"")</f>
        <v/>
      </c>
      <c r="W298" s="15">
        <f>IF(ISNUMBER(N298),IFERROR((N298-IFERROR(INDEX(Estadística!$I$6:$I$35,MATCH(Y298,Estadística!$Y$6:$Y$35,0)),0))^2,""),"")</f>
        <v/>
      </c>
      <c r="X298" s="15">
        <f>IF(ISNUMBER(R298),IF(R298&gt;1,1,0),"")</f>
        <v/>
      </c>
      <c r="Y298" s="15">
        <f>IF(OR(B298="",C298=""),"",B298&amp;"|"&amp;C298)</f>
        <v/>
      </c>
    </row>
    <row r="299">
      <c r="A299" s="23" t="n">
        <v>294</v>
      </c>
      <c r="B299" s="8" t="n"/>
      <c r="C299" s="8" t="n"/>
      <c r="D299" s="9" t="n"/>
      <c r="E299" s="8" t="n"/>
      <c r="F299" s="8" t="n"/>
      <c r="G299" s="8" t="n"/>
      <c r="H299" s="8" t="n"/>
      <c r="I299" s="24" t="n"/>
      <c r="J299" s="8" t="n"/>
      <c r="K299" s="25">
        <f>IF(OR(I299="",J299=""),"",I299*J299/1000)</f>
        <v/>
      </c>
      <c r="L299" s="26" t="n"/>
      <c r="M299" s="26" t="n"/>
      <c r="N299" s="27">
        <f>IF(OR(B299="",C299=""),"",IF(M299&lt;&gt;"",M299,IF(AND(N(L299)&gt;0,N(K299)&gt;0),L299/K299,"")))</f>
        <v/>
      </c>
      <c r="O299" s="15">
        <f>IF(C299="","",IFERROR(INDEX(Agentes!$D$6:$D$60,MATCH(C299,Agentes!$A$6:$A$60,0)),""))</f>
        <v/>
      </c>
      <c r="P299" s="28">
        <f>IF(OR(H299="",O299=""),"",IF(AND(O299="Inhalable",LEFT(H299,6)="Casete"),"Subestima: el casete cerrado no colecta toda la fracción inhalable",IF(AND(O299="Respirable",LEFT(H299,6)&lt;&gt;"Ciclón"),"Requiere ciclón (fracción respirable)",IF(AND(O299="Inhalable",ISNUMBER(SEARCH("Respirable",IFERROR(INDEX(Agentes!$C$80:$C$87,MATCH(H299,Agentes!$B$80:$B$87,0)),"")))),"El ciclón no colecta la fracción inhalable","Coherente"))))</f>
        <v/>
      </c>
      <c r="Q299" s="22">
        <f>IF(Y299="","",IFERROR(INDEX(GES!$W$6:$W$35,MATCH(Y299,GES!$R$6:$R$35,0)),""))</f>
        <v/>
      </c>
      <c r="R299" s="29">
        <f>IF(AND(ISNUMBER(N299),ISNUMBER(Q299)),N299/Q299,"")</f>
        <v/>
      </c>
      <c r="S299" s="15">
        <f>IF(C299="","",IFERROR(INDEX(Agentes!$I$6:$I$60,MATCH(C299,Agentes!$A$6:$A$60,0)),""))</f>
        <v/>
      </c>
      <c r="T299" s="8" t="n"/>
      <c r="U299" s="15">
        <f>IF(ISNUMBER(N299),IF(N299&gt;0,LN(N299),""),"")</f>
        <v/>
      </c>
      <c r="V299" s="15">
        <f>IF(ISNUMBER(U299),IFERROR((U299-LN(IFERROR(INDEX(Estadística!$K$6:$K$35,MATCH(Y299,Estadística!$Y$6:$Y$35,0)),0)))^2,""),"")</f>
        <v/>
      </c>
      <c r="W299" s="15">
        <f>IF(ISNUMBER(N299),IFERROR((N299-IFERROR(INDEX(Estadística!$I$6:$I$35,MATCH(Y299,Estadística!$Y$6:$Y$35,0)),0))^2,""),"")</f>
        <v/>
      </c>
      <c r="X299" s="15">
        <f>IF(ISNUMBER(R299),IF(R299&gt;1,1,0),"")</f>
        <v/>
      </c>
      <c r="Y299" s="15">
        <f>IF(OR(B299="",C299=""),"",B299&amp;"|"&amp;C299)</f>
        <v/>
      </c>
    </row>
    <row r="300">
      <c r="A300" s="23" t="n">
        <v>295</v>
      </c>
      <c r="B300" s="8" t="n"/>
      <c r="C300" s="8" t="n"/>
      <c r="D300" s="9" t="n"/>
      <c r="E300" s="8" t="n"/>
      <c r="F300" s="8" t="n"/>
      <c r="G300" s="8" t="n"/>
      <c r="H300" s="8" t="n"/>
      <c r="I300" s="24" t="n"/>
      <c r="J300" s="8" t="n"/>
      <c r="K300" s="25">
        <f>IF(OR(I300="",J300=""),"",I300*J300/1000)</f>
        <v/>
      </c>
      <c r="L300" s="26" t="n"/>
      <c r="M300" s="26" t="n"/>
      <c r="N300" s="27">
        <f>IF(OR(B300="",C300=""),"",IF(M300&lt;&gt;"",M300,IF(AND(N(L300)&gt;0,N(K300)&gt;0),L300/K300,"")))</f>
        <v/>
      </c>
      <c r="O300" s="15">
        <f>IF(C300="","",IFERROR(INDEX(Agentes!$D$6:$D$60,MATCH(C300,Agentes!$A$6:$A$60,0)),""))</f>
        <v/>
      </c>
      <c r="P300" s="28">
        <f>IF(OR(H300="",O300=""),"",IF(AND(O300="Inhalable",LEFT(H300,6)="Casete"),"Subestima: el casete cerrado no colecta toda la fracción inhalable",IF(AND(O300="Respirable",LEFT(H300,6)&lt;&gt;"Ciclón"),"Requiere ciclón (fracción respirable)",IF(AND(O300="Inhalable",ISNUMBER(SEARCH("Respirable",IFERROR(INDEX(Agentes!$C$80:$C$87,MATCH(H300,Agentes!$B$80:$B$87,0)),"")))),"El ciclón no colecta la fracción inhalable","Coherente"))))</f>
        <v/>
      </c>
      <c r="Q300" s="22">
        <f>IF(Y300="","",IFERROR(INDEX(GES!$W$6:$W$35,MATCH(Y300,GES!$R$6:$R$35,0)),""))</f>
        <v/>
      </c>
      <c r="R300" s="29">
        <f>IF(AND(ISNUMBER(N300),ISNUMBER(Q300)),N300/Q300,"")</f>
        <v/>
      </c>
      <c r="S300" s="15">
        <f>IF(C300="","",IFERROR(INDEX(Agentes!$I$6:$I$60,MATCH(C300,Agentes!$A$6:$A$60,0)),""))</f>
        <v/>
      </c>
      <c r="T300" s="8" t="n"/>
      <c r="U300" s="15">
        <f>IF(ISNUMBER(N300),IF(N300&gt;0,LN(N300),""),"")</f>
        <v/>
      </c>
      <c r="V300" s="15">
        <f>IF(ISNUMBER(U300),IFERROR((U300-LN(IFERROR(INDEX(Estadística!$K$6:$K$35,MATCH(Y300,Estadística!$Y$6:$Y$35,0)),0)))^2,""),"")</f>
        <v/>
      </c>
      <c r="W300" s="15">
        <f>IF(ISNUMBER(N300),IFERROR((N300-IFERROR(INDEX(Estadística!$I$6:$I$35,MATCH(Y300,Estadística!$Y$6:$Y$35,0)),0))^2,""),"")</f>
        <v/>
      </c>
      <c r="X300" s="15">
        <f>IF(ISNUMBER(R300),IF(R300&gt;1,1,0),"")</f>
        <v/>
      </c>
      <c r="Y300" s="15">
        <f>IF(OR(B300="",C300=""),"",B300&amp;"|"&amp;C300)</f>
        <v/>
      </c>
    </row>
    <row r="301">
      <c r="A301" s="23" t="n">
        <v>296</v>
      </c>
      <c r="B301" s="8" t="n"/>
      <c r="C301" s="8" t="n"/>
      <c r="D301" s="9" t="n"/>
      <c r="E301" s="8" t="n"/>
      <c r="F301" s="8" t="n"/>
      <c r="G301" s="8" t="n"/>
      <c r="H301" s="8" t="n"/>
      <c r="I301" s="24" t="n"/>
      <c r="J301" s="8" t="n"/>
      <c r="K301" s="25">
        <f>IF(OR(I301="",J301=""),"",I301*J301/1000)</f>
        <v/>
      </c>
      <c r="L301" s="26" t="n"/>
      <c r="M301" s="26" t="n"/>
      <c r="N301" s="27">
        <f>IF(OR(B301="",C301=""),"",IF(M301&lt;&gt;"",M301,IF(AND(N(L301)&gt;0,N(K301)&gt;0),L301/K301,"")))</f>
        <v/>
      </c>
      <c r="O301" s="15">
        <f>IF(C301="","",IFERROR(INDEX(Agentes!$D$6:$D$60,MATCH(C301,Agentes!$A$6:$A$60,0)),""))</f>
        <v/>
      </c>
      <c r="P301" s="28">
        <f>IF(OR(H301="",O301=""),"",IF(AND(O301="Inhalable",LEFT(H301,6)="Casete"),"Subestima: el casete cerrado no colecta toda la fracción inhalable",IF(AND(O301="Respirable",LEFT(H301,6)&lt;&gt;"Ciclón"),"Requiere ciclón (fracción respirable)",IF(AND(O301="Inhalable",ISNUMBER(SEARCH("Respirable",IFERROR(INDEX(Agentes!$C$80:$C$87,MATCH(H301,Agentes!$B$80:$B$87,0)),"")))),"El ciclón no colecta la fracción inhalable","Coherente"))))</f>
        <v/>
      </c>
      <c r="Q301" s="22">
        <f>IF(Y301="","",IFERROR(INDEX(GES!$W$6:$W$35,MATCH(Y301,GES!$R$6:$R$35,0)),""))</f>
        <v/>
      </c>
      <c r="R301" s="29">
        <f>IF(AND(ISNUMBER(N301),ISNUMBER(Q301)),N301/Q301,"")</f>
        <v/>
      </c>
      <c r="S301" s="15">
        <f>IF(C301="","",IFERROR(INDEX(Agentes!$I$6:$I$60,MATCH(C301,Agentes!$A$6:$A$60,0)),""))</f>
        <v/>
      </c>
      <c r="T301" s="8" t="n"/>
      <c r="U301" s="15">
        <f>IF(ISNUMBER(N301),IF(N301&gt;0,LN(N301),""),"")</f>
        <v/>
      </c>
      <c r="V301" s="15">
        <f>IF(ISNUMBER(U301),IFERROR((U301-LN(IFERROR(INDEX(Estadística!$K$6:$K$35,MATCH(Y301,Estadística!$Y$6:$Y$35,0)),0)))^2,""),"")</f>
        <v/>
      </c>
      <c r="W301" s="15">
        <f>IF(ISNUMBER(N301),IFERROR((N301-IFERROR(INDEX(Estadística!$I$6:$I$35,MATCH(Y301,Estadística!$Y$6:$Y$35,0)),0))^2,""),"")</f>
        <v/>
      </c>
      <c r="X301" s="15">
        <f>IF(ISNUMBER(R301),IF(R301&gt;1,1,0),"")</f>
        <v/>
      </c>
      <c r="Y301" s="15">
        <f>IF(OR(B301="",C301=""),"",B301&amp;"|"&amp;C301)</f>
        <v/>
      </c>
    </row>
    <row r="302">
      <c r="A302" s="23" t="n">
        <v>297</v>
      </c>
      <c r="B302" s="8" t="n"/>
      <c r="C302" s="8" t="n"/>
      <c r="D302" s="9" t="n"/>
      <c r="E302" s="8" t="n"/>
      <c r="F302" s="8" t="n"/>
      <c r="G302" s="8" t="n"/>
      <c r="H302" s="8" t="n"/>
      <c r="I302" s="24" t="n"/>
      <c r="J302" s="8" t="n"/>
      <c r="K302" s="25">
        <f>IF(OR(I302="",J302=""),"",I302*J302/1000)</f>
        <v/>
      </c>
      <c r="L302" s="26" t="n"/>
      <c r="M302" s="26" t="n"/>
      <c r="N302" s="27">
        <f>IF(OR(B302="",C302=""),"",IF(M302&lt;&gt;"",M302,IF(AND(N(L302)&gt;0,N(K302)&gt;0),L302/K302,"")))</f>
        <v/>
      </c>
      <c r="O302" s="15">
        <f>IF(C302="","",IFERROR(INDEX(Agentes!$D$6:$D$60,MATCH(C302,Agentes!$A$6:$A$60,0)),""))</f>
        <v/>
      </c>
      <c r="P302" s="28">
        <f>IF(OR(H302="",O302=""),"",IF(AND(O302="Inhalable",LEFT(H302,6)="Casete"),"Subestima: el casete cerrado no colecta toda la fracción inhalable",IF(AND(O302="Respirable",LEFT(H302,6)&lt;&gt;"Ciclón"),"Requiere ciclón (fracción respirable)",IF(AND(O302="Inhalable",ISNUMBER(SEARCH("Respirable",IFERROR(INDEX(Agentes!$C$80:$C$87,MATCH(H302,Agentes!$B$80:$B$87,0)),"")))),"El ciclón no colecta la fracción inhalable","Coherente"))))</f>
        <v/>
      </c>
      <c r="Q302" s="22">
        <f>IF(Y302="","",IFERROR(INDEX(GES!$W$6:$W$35,MATCH(Y302,GES!$R$6:$R$35,0)),""))</f>
        <v/>
      </c>
      <c r="R302" s="29">
        <f>IF(AND(ISNUMBER(N302),ISNUMBER(Q302)),N302/Q302,"")</f>
        <v/>
      </c>
      <c r="S302" s="15">
        <f>IF(C302="","",IFERROR(INDEX(Agentes!$I$6:$I$60,MATCH(C302,Agentes!$A$6:$A$60,0)),""))</f>
        <v/>
      </c>
      <c r="T302" s="8" t="n"/>
      <c r="U302" s="15">
        <f>IF(ISNUMBER(N302),IF(N302&gt;0,LN(N302),""),"")</f>
        <v/>
      </c>
      <c r="V302" s="15">
        <f>IF(ISNUMBER(U302),IFERROR((U302-LN(IFERROR(INDEX(Estadística!$K$6:$K$35,MATCH(Y302,Estadística!$Y$6:$Y$35,0)),0)))^2,""),"")</f>
        <v/>
      </c>
      <c r="W302" s="15">
        <f>IF(ISNUMBER(N302),IFERROR((N302-IFERROR(INDEX(Estadística!$I$6:$I$35,MATCH(Y302,Estadística!$Y$6:$Y$35,0)),0))^2,""),"")</f>
        <v/>
      </c>
      <c r="X302" s="15">
        <f>IF(ISNUMBER(R302),IF(R302&gt;1,1,0),"")</f>
        <v/>
      </c>
      <c r="Y302" s="15">
        <f>IF(OR(B302="",C302=""),"",B302&amp;"|"&amp;C302)</f>
        <v/>
      </c>
    </row>
    <row r="303">
      <c r="A303" s="23" t="n">
        <v>298</v>
      </c>
      <c r="B303" s="8" t="n"/>
      <c r="C303" s="8" t="n"/>
      <c r="D303" s="9" t="n"/>
      <c r="E303" s="8" t="n"/>
      <c r="F303" s="8" t="n"/>
      <c r="G303" s="8" t="n"/>
      <c r="H303" s="8" t="n"/>
      <c r="I303" s="24" t="n"/>
      <c r="J303" s="8" t="n"/>
      <c r="K303" s="25">
        <f>IF(OR(I303="",J303=""),"",I303*J303/1000)</f>
        <v/>
      </c>
      <c r="L303" s="26" t="n"/>
      <c r="M303" s="26" t="n"/>
      <c r="N303" s="27">
        <f>IF(OR(B303="",C303=""),"",IF(M303&lt;&gt;"",M303,IF(AND(N(L303)&gt;0,N(K303)&gt;0),L303/K303,"")))</f>
        <v/>
      </c>
      <c r="O303" s="15">
        <f>IF(C303="","",IFERROR(INDEX(Agentes!$D$6:$D$60,MATCH(C303,Agentes!$A$6:$A$60,0)),""))</f>
        <v/>
      </c>
      <c r="P303" s="28">
        <f>IF(OR(H303="",O303=""),"",IF(AND(O303="Inhalable",LEFT(H303,6)="Casete"),"Subestima: el casete cerrado no colecta toda la fracción inhalable",IF(AND(O303="Respirable",LEFT(H303,6)&lt;&gt;"Ciclón"),"Requiere ciclón (fracción respirable)",IF(AND(O303="Inhalable",ISNUMBER(SEARCH("Respirable",IFERROR(INDEX(Agentes!$C$80:$C$87,MATCH(H303,Agentes!$B$80:$B$87,0)),"")))),"El ciclón no colecta la fracción inhalable","Coherente"))))</f>
        <v/>
      </c>
      <c r="Q303" s="22">
        <f>IF(Y303="","",IFERROR(INDEX(GES!$W$6:$W$35,MATCH(Y303,GES!$R$6:$R$35,0)),""))</f>
        <v/>
      </c>
      <c r="R303" s="29">
        <f>IF(AND(ISNUMBER(N303),ISNUMBER(Q303)),N303/Q303,"")</f>
        <v/>
      </c>
      <c r="S303" s="15">
        <f>IF(C303="","",IFERROR(INDEX(Agentes!$I$6:$I$60,MATCH(C303,Agentes!$A$6:$A$60,0)),""))</f>
        <v/>
      </c>
      <c r="T303" s="8" t="n"/>
      <c r="U303" s="15">
        <f>IF(ISNUMBER(N303),IF(N303&gt;0,LN(N303),""),"")</f>
        <v/>
      </c>
      <c r="V303" s="15">
        <f>IF(ISNUMBER(U303),IFERROR((U303-LN(IFERROR(INDEX(Estadística!$K$6:$K$35,MATCH(Y303,Estadística!$Y$6:$Y$35,0)),0)))^2,""),"")</f>
        <v/>
      </c>
      <c r="W303" s="15">
        <f>IF(ISNUMBER(N303),IFERROR((N303-IFERROR(INDEX(Estadística!$I$6:$I$35,MATCH(Y303,Estadística!$Y$6:$Y$35,0)),0))^2,""),"")</f>
        <v/>
      </c>
      <c r="X303" s="15">
        <f>IF(ISNUMBER(R303),IF(R303&gt;1,1,0),"")</f>
        <v/>
      </c>
      <c r="Y303" s="15">
        <f>IF(OR(B303="",C303=""),"",B303&amp;"|"&amp;C303)</f>
        <v/>
      </c>
    </row>
    <row r="304">
      <c r="A304" s="23" t="n">
        <v>299</v>
      </c>
      <c r="B304" s="8" t="n"/>
      <c r="C304" s="8" t="n"/>
      <c r="D304" s="9" t="n"/>
      <c r="E304" s="8" t="n"/>
      <c r="F304" s="8" t="n"/>
      <c r="G304" s="8" t="n"/>
      <c r="H304" s="8" t="n"/>
      <c r="I304" s="24" t="n"/>
      <c r="J304" s="8" t="n"/>
      <c r="K304" s="25">
        <f>IF(OR(I304="",J304=""),"",I304*J304/1000)</f>
        <v/>
      </c>
      <c r="L304" s="26" t="n"/>
      <c r="M304" s="26" t="n"/>
      <c r="N304" s="27">
        <f>IF(OR(B304="",C304=""),"",IF(M304&lt;&gt;"",M304,IF(AND(N(L304)&gt;0,N(K304)&gt;0),L304/K304,"")))</f>
        <v/>
      </c>
      <c r="O304" s="15">
        <f>IF(C304="","",IFERROR(INDEX(Agentes!$D$6:$D$60,MATCH(C304,Agentes!$A$6:$A$60,0)),""))</f>
        <v/>
      </c>
      <c r="P304" s="28">
        <f>IF(OR(H304="",O304=""),"",IF(AND(O304="Inhalable",LEFT(H304,6)="Casete"),"Subestima: el casete cerrado no colecta toda la fracción inhalable",IF(AND(O304="Respirable",LEFT(H304,6)&lt;&gt;"Ciclón"),"Requiere ciclón (fracción respirable)",IF(AND(O304="Inhalable",ISNUMBER(SEARCH("Respirable",IFERROR(INDEX(Agentes!$C$80:$C$87,MATCH(H304,Agentes!$B$80:$B$87,0)),"")))),"El ciclón no colecta la fracción inhalable","Coherente"))))</f>
        <v/>
      </c>
      <c r="Q304" s="22">
        <f>IF(Y304="","",IFERROR(INDEX(GES!$W$6:$W$35,MATCH(Y304,GES!$R$6:$R$35,0)),""))</f>
        <v/>
      </c>
      <c r="R304" s="29">
        <f>IF(AND(ISNUMBER(N304),ISNUMBER(Q304)),N304/Q304,"")</f>
        <v/>
      </c>
      <c r="S304" s="15">
        <f>IF(C304="","",IFERROR(INDEX(Agentes!$I$6:$I$60,MATCH(C304,Agentes!$A$6:$A$60,0)),""))</f>
        <v/>
      </c>
      <c r="T304" s="8" t="n"/>
      <c r="U304" s="15">
        <f>IF(ISNUMBER(N304),IF(N304&gt;0,LN(N304),""),"")</f>
        <v/>
      </c>
      <c r="V304" s="15">
        <f>IF(ISNUMBER(U304),IFERROR((U304-LN(IFERROR(INDEX(Estadística!$K$6:$K$35,MATCH(Y304,Estadística!$Y$6:$Y$35,0)),0)))^2,""),"")</f>
        <v/>
      </c>
      <c r="W304" s="15">
        <f>IF(ISNUMBER(N304),IFERROR((N304-IFERROR(INDEX(Estadística!$I$6:$I$35,MATCH(Y304,Estadística!$Y$6:$Y$35,0)),0))^2,""),"")</f>
        <v/>
      </c>
      <c r="X304" s="15">
        <f>IF(ISNUMBER(R304),IF(R304&gt;1,1,0),"")</f>
        <v/>
      </c>
      <c r="Y304" s="15">
        <f>IF(OR(B304="",C304=""),"",B304&amp;"|"&amp;C304)</f>
        <v/>
      </c>
    </row>
    <row r="305">
      <c r="A305" s="23" t="n">
        <v>300</v>
      </c>
      <c r="B305" s="8" t="n"/>
      <c r="C305" s="8" t="n"/>
      <c r="D305" s="9" t="n"/>
      <c r="E305" s="8" t="n"/>
      <c r="F305" s="8" t="n"/>
      <c r="G305" s="8" t="n"/>
      <c r="H305" s="8" t="n"/>
      <c r="I305" s="24" t="n"/>
      <c r="J305" s="8" t="n"/>
      <c r="K305" s="25">
        <f>IF(OR(I305="",J305=""),"",I305*J305/1000)</f>
        <v/>
      </c>
      <c r="L305" s="26" t="n"/>
      <c r="M305" s="26" t="n"/>
      <c r="N305" s="27">
        <f>IF(OR(B305="",C305=""),"",IF(M305&lt;&gt;"",M305,IF(AND(N(L305)&gt;0,N(K305)&gt;0),L305/K305,"")))</f>
        <v/>
      </c>
      <c r="O305" s="15">
        <f>IF(C305="","",IFERROR(INDEX(Agentes!$D$6:$D$60,MATCH(C305,Agentes!$A$6:$A$60,0)),""))</f>
        <v/>
      </c>
      <c r="P305" s="28">
        <f>IF(OR(H305="",O305=""),"",IF(AND(O305="Inhalable",LEFT(H305,6)="Casete"),"Subestima: el casete cerrado no colecta toda la fracción inhalable",IF(AND(O305="Respirable",LEFT(H305,6)&lt;&gt;"Ciclón"),"Requiere ciclón (fracción respirable)",IF(AND(O305="Inhalable",ISNUMBER(SEARCH("Respirable",IFERROR(INDEX(Agentes!$C$80:$C$87,MATCH(H305,Agentes!$B$80:$B$87,0)),"")))),"El ciclón no colecta la fracción inhalable","Coherente"))))</f>
        <v/>
      </c>
      <c r="Q305" s="22">
        <f>IF(Y305="","",IFERROR(INDEX(GES!$W$6:$W$35,MATCH(Y305,GES!$R$6:$R$35,0)),""))</f>
        <v/>
      </c>
      <c r="R305" s="29">
        <f>IF(AND(ISNUMBER(N305),ISNUMBER(Q305)),N305/Q305,"")</f>
        <v/>
      </c>
      <c r="S305" s="15">
        <f>IF(C305="","",IFERROR(INDEX(Agentes!$I$6:$I$60,MATCH(C305,Agentes!$A$6:$A$60,0)),""))</f>
        <v/>
      </c>
      <c r="T305" s="8" t="n"/>
      <c r="U305" s="15">
        <f>IF(ISNUMBER(N305),IF(N305&gt;0,LN(N305),""),"")</f>
        <v/>
      </c>
      <c r="V305" s="15">
        <f>IF(ISNUMBER(U305),IFERROR((U305-LN(IFERROR(INDEX(Estadística!$K$6:$K$35,MATCH(Y305,Estadística!$Y$6:$Y$35,0)),0)))^2,""),"")</f>
        <v/>
      </c>
      <c r="W305" s="15">
        <f>IF(ISNUMBER(N305),IFERROR((N305-IFERROR(INDEX(Estadística!$I$6:$I$35,MATCH(Y305,Estadística!$Y$6:$Y$35,0)),0))^2,""),"")</f>
        <v/>
      </c>
      <c r="X305" s="15">
        <f>IF(ISNUMBER(R305),IF(R305&gt;1,1,0),"")</f>
        <v/>
      </c>
      <c r="Y305" s="15">
        <f>IF(OR(B305="",C305=""),"",B305&amp;"|"&amp;C305)</f>
        <v/>
      </c>
    </row>
  </sheetData>
  <conditionalFormatting sqref="R6:R305">
    <cfRule type="expression" priority="1" dxfId="0">
      <formula>AND(ISNUMBER(R6),R6&gt;1)</formula>
    </cfRule>
  </conditionalFormatting>
  <conditionalFormatting sqref="P6:P305">
    <cfRule type="expression" priority="2" dxfId="1">
      <formula>AND(P6&lt;&gt;"",P6&lt;&gt;"Coherente")</formula>
    </cfRule>
  </conditionalFormatting>
  <dataValidations count="4">
    <dataValidation sqref="B6:B305" showDropDown="0" showInputMessage="0" showErrorMessage="0" allowBlank="1" type="list">
      <formula1>GES!$A$6:$A$35</formula1>
    </dataValidation>
    <dataValidation sqref="C6:C305" showDropDown="0" showInputMessage="0" showErrorMessage="0" allowBlank="1" type="list">
      <formula1>Agentes!$A$6:$A$60</formula1>
    </dataValidation>
    <dataValidation sqref="G6:G305" showDropDown="0" showInputMessage="0" showErrorMessage="0" allowBlank="1" type="list">
      <formula1>"Personal,Área"</formula1>
    </dataValidation>
    <dataValidation sqref="H6:H305" showDropDown="0" showInputMessage="0" showErrorMessage="0" allowBlank="1" type="list">
      <formula1>Agentes!$B$80:$B$87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Y3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5" customWidth="1" min="4" max="4"/>
    <col width="8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24" customWidth="1" min="21" max="21"/>
    <col width="7" customWidth="1" min="22" max="22"/>
    <col width="18" customWidth="1" min="23" max="23"/>
    <col width="26" customWidth="1" min="24" max="24"/>
    <col width="12" customWidth="1" min="25" max="25"/>
  </cols>
  <sheetData>
    <row r="1">
      <c r="A1" s="10" t="inlineStr">
        <is>
          <t>4. Estadística por GES × agente y criterio de decisión</t>
        </is>
      </c>
    </row>
    <row r="2">
      <c r="A2" s="3" t="inlineStr">
        <is>
          <t>AIHA – A Strategy for Assessing and Managing Occupational Exposures: MG, DEG, P95 lognormal, índice de riesgo IR = P95 / TLV ajustado y categoría de control de exposición (0–4). Grado de exposición y frecuencia de reevaluación según la categoría AIHA (adaptado de J. Rock).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66" customHeight="1">
      <c r="A5" s="12" t="inlineStr">
        <is>
          <t>Código GES</t>
        </is>
      </c>
      <c r="B5" s="12" t="inlineStr">
        <is>
          <t>Agente</t>
        </is>
      </c>
      <c r="C5" s="12" t="inlineStr">
        <is>
          <t>Unidad</t>
        </is>
      </c>
      <c r="D5" s="12" t="inlineStr">
        <is>
          <t>n</t>
        </is>
      </c>
      <c r="E5" s="12" t="inlineStr">
        <is>
          <t>Muestras mínimas</t>
        </is>
      </c>
      <c r="F5" s="12" t="inlineStr">
        <is>
          <t>Suficiencia muestral</t>
        </is>
      </c>
      <c r="G5" s="12" t="inlineStr">
        <is>
          <t>Mínimo</t>
        </is>
      </c>
      <c r="H5" s="12" t="inlineStr">
        <is>
          <t>Máximo</t>
        </is>
      </c>
      <c r="I5" s="12" t="inlineStr">
        <is>
          <t>Media aritmética (MA)</t>
        </is>
      </c>
      <c r="J5" s="12" t="inlineStr">
        <is>
          <t>Desv. estándar</t>
        </is>
      </c>
      <c r="K5" s="12" t="inlineStr">
        <is>
          <t>Media geométrica (MG)</t>
        </is>
      </c>
      <c r="L5" s="12" t="inlineStr">
        <is>
          <t>DEG</t>
        </is>
      </c>
      <c r="M5" s="12" t="inlineStr">
        <is>
          <t>% muestras &gt; TLV aj.</t>
        </is>
      </c>
      <c r="N5" s="12" t="inlineStr">
        <is>
          <t>TLV ajustado</t>
        </is>
      </c>
      <c r="O5" s="12" t="inlineStr">
        <is>
          <t>IE = MA / TLV aj.</t>
        </is>
      </c>
      <c r="P5" s="12" t="inlineStr">
        <is>
          <t>P95 estimado</t>
        </is>
      </c>
      <c r="Q5" s="12" t="inlineStr">
        <is>
          <t>IR = P95 / TLV aj. (decisión)</t>
        </is>
      </c>
      <c r="R5" s="12" t="inlineStr">
        <is>
          <t>Límite DEG</t>
        </is>
      </c>
      <c r="S5" s="12" t="inlineStr">
        <is>
          <t>Validez del GES</t>
        </is>
      </c>
      <c r="T5" s="12" t="inlineStr">
        <is>
          <t>Categoría AIHA</t>
        </is>
      </c>
      <c r="U5" s="12" t="inlineStr">
        <is>
          <t>Clasificación de la exposición</t>
        </is>
      </c>
      <c r="V5" s="12" t="inlineStr">
        <is>
          <t>Grado de exposición</t>
        </is>
      </c>
      <c r="W5" s="12" t="inlineStr">
        <is>
          <t>Frecuencia de reevaluación</t>
        </is>
      </c>
      <c r="X5" s="12" t="inlineStr">
        <is>
          <t>Vigilancia médica</t>
        </is>
      </c>
      <c r="Y5" s="12" t="inlineStr">
        <is>
          <t>Clave (aux)</t>
        </is>
      </c>
    </row>
    <row r="6">
      <c r="A6" s="15">
        <f>IF(GES!A6="","",GES!A6)</f>
        <v/>
      </c>
      <c r="B6" s="15">
        <f>IF(A6="","",GES!E6)</f>
        <v/>
      </c>
      <c r="C6" s="15">
        <f>IF(A6="","",GES!X6)</f>
        <v/>
      </c>
      <c r="D6" s="15">
        <f>IF(Y6="","",COUNTIFS(Muestreo!$Y$6:$Y$305,Y6,Muestreo!$N$6:$N$305,"&gt;0"))</f>
        <v/>
      </c>
      <c r="E6" s="15">
        <f>IF(A6="","",GES!P6)</f>
        <v/>
      </c>
      <c r="F6" s="15">
        <f>IF(A6="","",IF(N(D6)=0,"Sin muestras",IF(D6&gt;=E6,"Suficiente","Insuficiente (&lt;"&amp;E6&amp;")")))</f>
        <v/>
      </c>
      <c r="G6" s="25">
        <f>IF(N(D6)=0,"",_xlfn.MINIFS(Muestreo!$N$6:$N$305,Muestreo!$Y$6:$Y$305,Y6))</f>
        <v/>
      </c>
      <c r="H6" s="25">
        <f>IF(N(D6)=0,"",_xlfn.MAXIFS(Muestreo!$N$6:$N$305,Muestreo!$Y$6:$Y$305,Y6))</f>
        <v/>
      </c>
      <c r="I6" s="25">
        <f>IF(N(D6)=0,"",AVERAGEIFS(Muestreo!$N$6:$N$305,Muestreo!$Y$6:$Y$305,Y6))</f>
        <v/>
      </c>
      <c r="J6" s="25">
        <f>IF(N(D6)&lt;2,"",SQRT(SUMIFS(Muestreo!$W$6:$W$305,Muestreo!$Y$6:$Y$305,Y6)/(D6-1)))</f>
        <v/>
      </c>
      <c r="K6" s="25">
        <f>IF(N(D6)=0,"",EXP(AVERAGEIFS(Muestreo!$U$6:$U$305,Muestreo!$Y$6:$Y$305,Y6)))</f>
        <v/>
      </c>
      <c r="L6" s="29">
        <f>IF(N(D6)&lt;2,"",EXP(SQRT(SUMIFS(Muestreo!$V$6:$V$305,Muestreo!$Y$6:$Y$305,Y6)/IF(Agentes!$C$63="n",D6,D6-1))))</f>
        <v/>
      </c>
      <c r="M6" s="30">
        <f>IF(N(D6)=0,"",SUMIFS(Muestreo!$X$6:$X$305,Muestreo!$Y$6:$Y$305,Y6)/D6)</f>
        <v/>
      </c>
      <c r="N6" s="22">
        <f>IF(A6="","",GES!W6)</f>
        <v/>
      </c>
      <c r="O6" s="29">
        <f>IF(OR(I6="",N(N6)=0),"",I6/N6)</f>
        <v/>
      </c>
      <c r="P6" s="25">
        <f>IF(N(D6)=0,"",IF(L6="",H6,K6*L6^1.645))</f>
        <v/>
      </c>
      <c r="Q6" s="29">
        <f>IF(OR(P6="",N(N6)=0),"",P6/N6)</f>
        <v/>
      </c>
      <c r="R6" s="31">
        <f>IF(A6="","",Agentes!$C$64)</f>
        <v/>
      </c>
      <c r="S6" s="28">
        <f>IF(L6="",IF(N(D6)=1,"n = 1: se decide con el máximo",""),IF(L6&lt;=R6,"GES aceptable","Revisar conformación del GES (DEG &gt; "&amp;R6&amp;")"))</f>
        <v/>
      </c>
      <c r="T6" s="15">
        <f>IF(Q6="","",IF(Q6&lt;=0.01,0,IF(Q6&lt;=0.1,1,IF(Q6&lt;=0.5,2,IF(Q6&lt;=1,3,4)))))</f>
        <v/>
      </c>
      <c r="U6" s="28">
        <f>IF(A6="","",IF(T6="","Sin datos",CHOOSE(T6+1,"Insignificante (Cat. 0)","Muy baja (Cat. 1)","Controlada (Cat. 2)","Fuera de control – precaución (Cat. 3)","Sobreexposición (Cat. 4)")))</f>
        <v/>
      </c>
      <c r="V6" s="15">
        <f>IF(T6="","",IF(T6=4,5,IF(T6=3,IF(N(M6)&gt;0,4,3),IF(T6=2,2,1))))</f>
        <v/>
      </c>
      <c r="W6" s="15">
        <f>IF(V6="","",CHOOSE(V6,"De 3 a 5 años","De 1 a 3 años","De 3 meses a 1 año","De 1 a 3 meses","Evaluación continua"))</f>
        <v/>
      </c>
      <c r="X6" s="28">
        <f>IF(OR(A6="",T6=""),"",IF(IFERROR(INDEX(Agentes!$H$6:$H$60,MATCH(B6,Agentes!$A$6:$A$60,0)),"")="PNOS",IF(T6&gt;=3,"Seguimiento respiratorio (espirometría)","Según criterio médico"),IF(T6&gt;=3,"SVE específico (≥ nivel de acción)",IF(T6=2,"Seguimiento periódico con BEI si aplica","Examen periódico general"))))</f>
        <v/>
      </c>
      <c r="Y6" s="15">
        <f>GES!R6</f>
        <v/>
      </c>
    </row>
    <row r="7">
      <c r="A7" s="15">
        <f>IF(GES!A7="","",GES!A7)</f>
        <v/>
      </c>
      <c r="B7" s="15">
        <f>IF(A7="","",GES!E7)</f>
        <v/>
      </c>
      <c r="C7" s="15">
        <f>IF(A7="","",GES!X7)</f>
        <v/>
      </c>
      <c r="D7" s="15">
        <f>IF(Y7="","",COUNTIFS(Muestreo!$Y$6:$Y$305,Y7,Muestreo!$N$6:$N$305,"&gt;0"))</f>
        <v/>
      </c>
      <c r="E7" s="15">
        <f>IF(A7="","",GES!P7)</f>
        <v/>
      </c>
      <c r="F7" s="15">
        <f>IF(A7="","",IF(N(D7)=0,"Sin muestras",IF(D7&gt;=E7,"Suficiente","Insuficiente (&lt;"&amp;E7&amp;")")))</f>
        <v/>
      </c>
      <c r="G7" s="25">
        <f>IF(N(D7)=0,"",_xlfn.MINIFS(Muestreo!$N$6:$N$305,Muestreo!$Y$6:$Y$305,Y7))</f>
        <v/>
      </c>
      <c r="H7" s="25">
        <f>IF(N(D7)=0,"",_xlfn.MAXIFS(Muestreo!$N$6:$N$305,Muestreo!$Y$6:$Y$305,Y7))</f>
        <v/>
      </c>
      <c r="I7" s="25">
        <f>IF(N(D7)=0,"",AVERAGEIFS(Muestreo!$N$6:$N$305,Muestreo!$Y$6:$Y$305,Y7))</f>
        <v/>
      </c>
      <c r="J7" s="25">
        <f>IF(N(D7)&lt;2,"",SQRT(SUMIFS(Muestreo!$W$6:$W$305,Muestreo!$Y$6:$Y$305,Y7)/(D7-1)))</f>
        <v/>
      </c>
      <c r="K7" s="25">
        <f>IF(N(D7)=0,"",EXP(AVERAGEIFS(Muestreo!$U$6:$U$305,Muestreo!$Y$6:$Y$305,Y7)))</f>
        <v/>
      </c>
      <c r="L7" s="29">
        <f>IF(N(D7)&lt;2,"",EXP(SQRT(SUMIFS(Muestreo!$V$6:$V$305,Muestreo!$Y$6:$Y$305,Y7)/IF(Agentes!$C$63="n",D7,D7-1))))</f>
        <v/>
      </c>
      <c r="M7" s="30">
        <f>IF(N(D7)=0,"",SUMIFS(Muestreo!$X$6:$X$305,Muestreo!$Y$6:$Y$305,Y7)/D7)</f>
        <v/>
      </c>
      <c r="N7" s="22">
        <f>IF(A7="","",GES!W7)</f>
        <v/>
      </c>
      <c r="O7" s="29">
        <f>IF(OR(I7="",N(N7)=0),"",I7/N7)</f>
        <v/>
      </c>
      <c r="P7" s="25">
        <f>IF(N(D7)=0,"",IF(L7="",H7,K7*L7^1.645))</f>
        <v/>
      </c>
      <c r="Q7" s="29">
        <f>IF(OR(P7="",N(N7)=0),"",P7/N7)</f>
        <v/>
      </c>
      <c r="R7" s="31">
        <f>IF(A7="","",Agentes!$C$64)</f>
        <v/>
      </c>
      <c r="S7" s="28">
        <f>IF(L7="",IF(N(D7)=1,"n = 1: se decide con el máximo",""),IF(L7&lt;=R7,"GES aceptable","Revisar conformación del GES (DEG &gt; "&amp;R7&amp;")"))</f>
        <v/>
      </c>
      <c r="T7" s="15">
        <f>IF(Q7="","",IF(Q7&lt;=0.01,0,IF(Q7&lt;=0.1,1,IF(Q7&lt;=0.5,2,IF(Q7&lt;=1,3,4)))))</f>
        <v/>
      </c>
      <c r="U7" s="28">
        <f>IF(A7="","",IF(T7="","Sin datos",CHOOSE(T7+1,"Insignificante (Cat. 0)","Muy baja (Cat. 1)","Controlada (Cat. 2)","Fuera de control – precaución (Cat. 3)","Sobreexposición (Cat. 4)")))</f>
        <v/>
      </c>
      <c r="V7" s="15">
        <f>IF(T7="","",IF(T7=4,5,IF(T7=3,IF(N(M7)&gt;0,4,3),IF(T7=2,2,1))))</f>
        <v/>
      </c>
      <c r="W7" s="15">
        <f>IF(V7="","",CHOOSE(V7,"De 3 a 5 años","De 1 a 3 años","De 3 meses a 1 año","De 1 a 3 meses","Evaluación continua"))</f>
        <v/>
      </c>
      <c r="X7" s="28">
        <f>IF(OR(A7="",T7=""),"",IF(IFERROR(INDEX(Agentes!$H$6:$H$60,MATCH(B7,Agentes!$A$6:$A$60,0)),"")="PNOS",IF(T7&gt;=3,"Seguimiento respiratorio (espirometría)","Según criterio médico"),IF(T7&gt;=3,"SVE específico (≥ nivel de acción)",IF(T7=2,"Seguimiento periódico con BEI si aplica","Examen periódico general"))))</f>
        <v/>
      </c>
      <c r="Y7" s="15">
        <f>GES!R7</f>
        <v/>
      </c>
    </row>
    <row r="8">
      <c r="A8" s="15">
        <f>IF(GES!A8="","",GES!A8)</f>
        <v/>
      </c>
      <c r="B8" s="15">
        <f>IF(A8="","",GES!E8)</f>
        <v/>
      </c>
      <c r="C8" s="15">
        <f>IF(A8="","",GES!X8)</f>
        <v/>
      </c>
      <c r="D8" s="15">
        <f>IF(Y8="","",COUNTIFS(Muestreo!$Y$6:$Y$305,Y8,Muestreo!$N$6:$N$305,"&gt;0"))</f>
        <v/>
      </c>
      <c r="E8" s="15">
        <f>IF(A8="","",GES!P8)</f>
        <v/>
      </c>
      <c r="F8" s="15">
        <f>IF(A8="","",IF(N(D8)=0,"Sin muestras",IF(D8&gt;=E8,"Suficiente","Insuficiente (&lt;"&amp;E8&amp;")")))</f>
        <v/>
      </c>
      <c r="G8" s="25">
        <f>IF(N(D8)=0,"",_xlfn.MINIFS(Muestreo!$N$6:$N$305,Muestreo!$Y$6:$Y$305,Y8))</f>
        <v/>
      </c>
      <c r="H8" s="25">
        <f>IF(N(D8)=0,"",_xlfn.MAXIFS(Muestreo!$N$6:$N$305,Muestreo!$Y$6:$Y$305,Y8))</f>
        <v/>
      </c>
      <c r="I8" s="25">
        <f>IF(N(D8)=0,"",AVERAGEIFS(Muestreo!$N$6:$N$305,Muestreo!$Y$6:$Y$305,Y8))</f>
        <v/>
      </c>
      <c r="J8" s="25">
        <f>IF(N(D8)&lt;2,"",SQRT(SUMIFS(Muestreo!$W$6:$W$305,Muestreo!$Y$6:$Y$305,Y8)/(D8-1)))</f>
        <v/>
      </c>
      <c r="K8" s="25">
        <f>IF(N(D8)=0,"",EXP(AVERAGEIFS(Muestreo!$U$6:$U$305,Muestreo!$Y$6:$Y$305,Y8)))</f>
        <v/>
      </c>
      <c r="L8" s="29">
        <f>IF(N(D8)&lt;2,"",EXP(SQRT(SUMIFS(Muestreo!$V$6:$V$305,Muestreo!$Y$6:$Y$305,Y8)/IF(Agentes!$C$63="n",D8,D8-1))))</f>
        <v/>
      </c>
      <c r="M8" s="30">
        <f>IF(N(D8)=0,"",SUMIFS(Muestreo!$X$6:$X$305,Muestreo!$Y$6:$Y$305,Y8)/D8)</f>
        <v/>
      </c>
      <c r="N8" s="22">
        <f>IF(A8="","",GES!W8)</f>
        <v/>
      </c>
      <c r="O8" s="29">
        <f>IF(OR(I8="",N(N8)=0),"",I8/N8)</f>
        <v/>
      </c>
      <c r="P8" s="25">
        <f>IF(N(D8)=0,"",IF(L8="",H8,K8*L8^1.645))</f>
        <v/>
      </c>
      <c r="Q8" s="29">
        <f>IF(OR(P8="",N(N8)=0),"",P8/N8)</f>
        <v/>
      </c>
      <c r="R8" s="31">
        <f>IF(A8="","",Agentes!$C$64)</f>
        <v/>
      </c>
      <c r="S8" s="28">
        <f>IF(L8="",IF(N(D8)=1,"n = 1: se decide con el máximo",""),IF(L8&lt;=R8,"GES aceptable","Revisar conformación del GES (DEG &gt; "&amp;R8&amp;")"))</f>
        <v/>
      </c>
      <c r="T8" s="15">
        <f>IF(Q8="","",IF(Q8&lt;=0.01,0,IF(Q8&lt;=0.1,1,IF(Q8&lt;=0.5,2,IF(Q8&lt;=1,3,4)))))</f>
        <v/>
      </c>
      <c r="U8" s="28">
        <f>IF(A8="","",IF(T8="","Sin datos",CHOOSE(T8+1,"Insignificante (Cat. 0)","Muy baja (Cat. 1)","Controlada (Cat. 2)","Fuera de control – precaución (Cat. 3)","Sobreexposición (Cat. 4)")))</f>
        <v/>
      </c>
      <c r="V8" s="15">
        <f>IF(T8="","",IF(T8=4,5,IF(T8=3,IF(N(M8)&gt;0,4,3),IF(T8=2,2,1))))</f>
        <v/>
      </c>
      <c r="W8" s="15">
        <f>IF(V8="","",CHOOSE(V8,"De 3 a 5 años","De 1 a 3 años","De 3 meses a 1 año","De 1 a 3 meses","Evaluación continua"))</f>
        <v/>
      </c>
      <c r="X8" s="28">
        <f>IF(OR(A8="",T8=""),"",IF(IFERROR(INDEX(Agentes!$H$6:$H$60,MATCH(B8,Agentes!$A$6:$A$60,0)),"")="PNOS",IF(T8&gt;=3,"Seguimiento respiratorio (espirometría)","Según criterio médico"),IF(T8&gt;=3,"SVE específico (≥ nivel de acción)",IF(T8=2,"Seguimiento periódico con BEI si aplica","Examen periódico general"))))</f>
        <v/>
      </c>
      <c r="Y8" s="15">
        <f>GES!R8</f>
        <v/>
      </c>
    </row>
    <row r="9">
      <c r="A9" s="15">
        <f>IF(GES!A9="","",GES!A9)</f>
        <v/>
      </c>
      <c r="B9" s="15">
        <f>IF(A9="","",GES!E9)</f>
        <v/>
      </c>
      <c r="C9" s="15">
        <f>IF(A9="","",GES!X9)</f>
        <v/>
      </c>
      <c r="D9" s="15">
        <f>IF(Y9="","",COUNTIFS(Muestreo!$Y$6:$Y$305,Y9,Muestreo!$N$6:$N$305,"&gt;0"))</f>
        <v/>
      </c>
      <c r="E9" s="15">
        <f>IF(A9="","",GES!P9)</f>
        <v/>
      </c>
      <c r="F9" s="15">
        <f>IF(A9="","",IF(N(D9)=0,"Sin muestras",IF(D9&gt;=E9,"Suficiente","Insuficiente (&lt;"&amp;E9&amp;")")))</f>
        <v/>
      </c>
      <c r="G9" s="25">
        <f>IF(N(D9)=0,"",_xlfn.MINIFS(Muestreo!$N$6:$N$305,Muestreo!$Y$6:$Y$305,Y9))</f>
        <v/>
      </c>
      <c r="H9" s="25">
        <f>IF(N(D9)=0,"",_xlfn.MAXIFS(Muestreo!$N$6:$N$305,Muestreo!$Y$6:$Y$305,Y9))</f>
        <v/>
      </c>
      <c r="I9" s="25">
        <f>IF(N(D9)=0,"",AVERAGEIFS(Muestreo!$N$6:$N$305,Muestreo!$Y$6:$Y$305,Y9))</f>
        <v/>
      </c>
      <c r="J9" s="25">
        <f>IF(N(D9)&lt;2,"",SQRT(SUMIFS(Muestreo!$W$6:$W$305,Muestreo!$Y$6:$Y$305,Y9)/(D9-1)))</f>
        <v/>
      </c>
      <c r="K9" s="25">
        <f>IF(N(D9)=0,"",EXP(AVERAGEIFS(Muestreo!$U$6:$U$305,Muestreo!$Y$6:$Y$305,Y9)))</f>
        <v/>
      </c>
      <c r="L9" s="29">
        <f>IF(N(D9)&lt;2,"",EXP(SQRT(SUMIFS(Muestreo!$V$6:$V$305,Muestreo!$Y$6:$Y$305,Y9)/IF(Agentes!$C$63="n",D9,D9-1))))</f>
        <v/>
      </c>
      <c r="M9" s="30">
        <f>IF(N(D9)=0,"",SUMIFS(Muestreo!$X$6:$X$305,Muestreo!$Y$6:$Y$305,Y9)/D9)</f>
        <v/>
      </c>
      <c r="N9" s="22">
        <f>IF(A9="","",GES!W9)</f>
        <v/>
      </c>
      <c r="O9" s="29">
        <f>IF(OR(I9="",N(N9)=0),"",I9/N9)</f>
        <v/>
      </c>
      <c r="P9" s="25">
        <f>IF(N(D9)=0,"",IF(L9="",H9,K9*L9^1.645))</f>
        <v/>
      </c>
      <c r="Q9" s="29">
        <f>IF(OR(P9="",N(N9)=0),"",P9/N9)</f>
        <v/>
      </c>
      <c r="R9" s="31">
        <f>IF(A9="","",Agentes!$C$64)</f>
        <v/>
      </c>
      <c r="S9" s="28">
        <f>IF(L9="",IF(N(D9)=1,"n = 1: se decide con el máximo",""),IF(L9&lt;=R9,"GES aceptable","Revisar conformación del GES (DEG &gt; "&amp;R9&amp;")"))</f>
        <v/>
      </c>
      <c r="T9" s="15">
        <f>IF(Q9="","",IF(Q9&lt;=0.01,0,IF(Q9&lt;=0.1,1,IF(Q9&lt;=0.5,2,IF(Q9&lt;=1,3,4)))))</f>
        <v/>
      </c>
      <c r="U9" s="28">
        <f>IF(A9="","",IF(T9="","Sin datos",CHOOSE(T9+1,"Insignificante (Cat. 0)","Muy baja (Cat. 1)","Controlada (Cat. 2)","Fuera de control – precaución (Cat. 3)","Sobreexposición (Cat. 4)")))</f>
        <v/>
      </c>
      <c r="V9" s="15">
        <f>IF(T9="","",IF(T9=4,5,IF(T9=3,IF(N(M9)&gt;0,4,3),IF(T9=2,2,1))))</f>
        <v/>
      </c>
      <c r="W9" s="15">
        <f>IF(V9="","",CHOOSE(V9,"De 3 a 5 años","De 1 a 3 años","De 3 meses a 1 año","De 1 a 3 meses","Evaluación continua"))</f>
        <v/>
      </c>
      <c r="X9" s="28">
        <f>IF(OR(A9="",T9=""),"",IF(IFERROR(INDEX(Agentes!$H$6:$H$60,MATCH(B9,Agentes!$A$6:$A$60,0)),"")="PNOS",IF(T9&gt;=3,"Seguimiento respiratorio (espirometría)","Según criterio médico"),IF(T9&gt;=3,"SVE específico (≥ nivel de acción)",IF(T9=2,"Seguimiento periódico con BEI si aplica","Examen periódico general"))))</f>
        <v/>
      </c>
      <c r="Y9" s="15">
        <f>GES!R9</f>
        <v/>
      </c>
    </row>
    <row r="10">
      <c r="A10" s="15">
        <f>IF(GES!A10="","",GES!A10)</f>
        <v/>
      </c>
      <c r="B10" s="15">
        <f>IF(A10="","",GES!E10)</f>
        <v/>
      </c>
      <c r="C10" s="15">
        <f>IF(A10="","",GES!X10)</f>
        <v/>
      </c>
      <c r="D10" s="15">
        <f>IF(Y10="","",COUNTIFS(Muestreo!$Y$6:$Y$305,Y10,Muestreo!$N$6:$N$305,"&gt;0"))</f>
        <v/>
      </c>
      <c r="E10" s="15">
        <f>IF(A10="","",GES!P10)</f>
        <v/>
      </c>
      <c r="F10" s="15">
        <f>IF(A10="","",IF(N(D10)=0,"Sin muestras",IF(D10&gt;=E10,"Suficiente","Insuficiente (&lt;"&amp;E10&amp;")")))</f>
        <v/>
      </c>
      <c r="G10" s="25">
        <f>IF(N(D10)=0,"",_xlfn.MINIFS(Muestreo!$N$6:$N$305,Muestreo!$Y$6:$Y$305,Y10))</f>
        <v/>
      </c>
      <c r="H10" s="25">
        <f>IF(N(D10)=0,"",_xlfn.MAXIFS(Muestreo!$N$6:$N$305,Muestreo!$Y$6:$Y$305,Y10))</f>
        <v/>
      </c>
      <c r="I10" s="25">
        <f>IF(N(D10)=0,"",AVERAGEIFS(Muestreo!$N$6:$N$305,Muestreo!$Y$6:$Y$305,Y10))</f>
        <v/>
      </c>
      <c r="J10" s="25">
        <f>IF(N(D10)&lt;2,"",SQRT(SUMIFS(Muestreo!$W$6:$W$305,Muestreo!$Y$6:$Y$305,Y10)/(D10-1)))</f>
        <v/>
      </c>
      <c r="K10" s="25">
        <f>IF(N(D10)=0,"",EXP(AVERAGEIFS(Muestreo!$U$6:$U$305,Muestreo!$Y$6:$Y$305,Y10)))</f>
        <v/>
      </c>
      <c r="L10" s="29">
        <f>IF(N(D10)&lt;2,"",EXP(SQRT(SUMIFS(Muestreo!$V$6:$V$305,Muestreo!$Y$6:$Y$305,Y10)/IF(Agentes!$C$63="n",D10,D10-1))))</f>
        <v/>
      </c>
      <c r="M10" s="30">
        <f>IF(N(D10)=0,"",SUMIFS(Muestreo!$X$6:$X$305,Muestreo!$Y$6:$Y$305,Y10)/D10)</f>
        <v/>
      </c>
      <c r="N10" s="22">
        <f>IF(A10="","",GES!W10)</f>
        <v/>
      </c>
      <c r="O10" s="29">
        <f>IF(OR(I10="",N(N10)=0),"",I10/N10)</f>
        <v/>
      </c>
      <c r="P10" s="25">
        <f>IF(N(D10)=0,"",IF(L10="",H10,K10*L10^1.645))</f>
        <v/>
      </c>
      <c r="Q10" s="29">
        <f>IF(OR(P10="",N(N10)=0),"",P10/N10)</f>
        <v/>
      </c>
      <c r="R10" s="31">
        <f>IF(A10="","",Agentes!$C$64)</f>
        <v/>
      </c>
      <c r="S10" s="28">
        <f>IF(L10="",IF(N(D10)=1,"n = 1: se decide con el máximo",""),IF(L10&lt;=R10,"GES aceptable","Revisar conformación del GES (DEG &gt; "&amp;R10&amp;")"))</f>
        <v/>
      </c>
      <c r="T10" s="15">
        <f>IF(Q10="","",IF(Q10&lt;=0.01,0,IF(Q10&lt;=0.1,1,IF(Q10&lt;=0.5,2,IF(Q10&lt;=1,3,4)))))</f>
        <v/>
      </c>
      <c r="U10" s="28">
        <f>IF(A10="","",IF(T10="","Sin datos",CHOOSE(T10+1,"Insignificante (Cat. 0)","Muy baja (Cat. 1)","Controlada (Cat. 2)","Fuera de control – precaución (Cat. 3)","Sobreexposición (Cat. 4)")))</f>
        <v/>
      </c>
      <c r="V10" s="15">
        <f>IF(T10="","",IF(T10=4,5,IF(T10=3,IF(N(M10)&gt;0,4,3),IF(T10=2,2,1))))</f>
        <v/>
      </c>
      <c r="W10" s="15">
        <f>IF(V10="","",CHOOSE(V10,"De 3 a 5 años","De 1 a 3 años","De 3 meses a 1 año","De 1 a 3 meses","Evaluación continua"))</f>
        <v/>
      </c>
      <c r="X10" s="28">
        <f>IF(OR(A10="",T10=""),"",IF(IFERROR(INDEX(Agentes!$H$6:$H$60,MATCH(B10,Agentes!$A$6:$A$60,0)),"")="PNOS",IF(T10&gt;=3,"Seguimiento respiratorio (espirometría)","Según criterio médico"),IF(T10&gt;=3,"SVE específico (≥ nivel de acción)",IF(T10=2,"Seguimiento periódico con BEI si aplica","Examen periódico general"))))</f>
        <v/>
      </c>
      <c r="Y10" s="15">
        <f>GES!R10</f>
        <v/>
      </c>
    </row>
    <row r="11">
      <c r="A11" s="15">
        <f>IF(GES!A11="","",GES!A11)</f>
        <v/>
      </c>
      <c r="B11" s="15">
        <f>IF(A11="","",GES!E11)</f>
        <v/>
      </c>
      <c r="C11" s="15">
        <f>IF(A11="","",GES!X11)</f>
        <v/>
      </c>
      <c r="D11" s="15">
        <f>IF(Y11="","",COUNTIFS(Muestreo!$Y$6:$Y$305,Y11,Muestreo!$N$6:$N$305,"&gt;0"))</f>
        <v/>
      </c>
      <c r="E11" s="15">
        <f>IF(A11="","",GES!P11)</f>
        <v/>
      </c>
      <c r="F11" s="15">
        <f>IF(A11="","",IF(N(D11)=0,"Sin muestras",IF(D11&gt;=E11,"Suficiente","Insuficiente (&lt;"&amp;E11&amp;")")))</f>
        <v/>
      </c>
      <c r="G11" s="25">
        <f>IF(N(D11)=0,"",_xlfn.MINIFS(Muestreo!$N$6:$N$305,Muestreo!$Y$6:$Y$305,Y11))</f>
        <v/>
      </c>
      <c r="H11" s="25">
        <f>IF(N(D11)=0,"",_xlfn.MAXIFS(Muestreo!$N$6:$N$305,Muestreo!$Y$6:$Y$305,Y11))</f>
        <v/>
      </c>
      <c r="I11" s="25">
        <f>IF(N(D11)=0,"",AVERAGEIFS(Muestreo!$N$6:$N$305,Muestreo!$Y$6:$Y$305,Y11))</f>
        <v/>
      </c>
      <c r="J11" s="25">
        <f>IF(N(D11)&lt;2,"",SQRT(SUMIFS(Muestreo!$W$6:$W$305,Muestreo!$Y$6:$Y$305,Y11)/(D11-1)))</f>
        <v/>
      </c>
      <c r="K11" s="25">
        <f>IF(N(D11)=0,"",EXP(AVERAGEIFS(Muestreo!$U$6:$U$305,Muestreo!$Y$6:$Y$305,Y11)))</f>
        <v/>
      </c>
      <c r="L11" s="29">
        <f>IF(N(D11)&lt;2,"",EXP(SQRT(SUMIFS(Muestreo!$V$6:$V$305,Muestreo!$Y$6:$Y$305,Y11)/IF(Agentes!$C$63="n",D11,D11-1))))</f>
        <v/>
      </c>
      <c r="M11" s="30">
        <f>IF(N(D11)=0,"",SUMIFS(Muestreo!$X$6:$X$305,Muestreo!$Y$6:$Y$305,Y11)/D11)</f>
        <v/>
      </c>
      <c r="N11" s="22">
        <f>IF(A11="","",GES!W11)</f>
        <v/>
      </c>
      <c r="O11" s="29">
        <f>IF(OR(I11="",N(N11)=0),"",I11/N11)</f>
        <v/>
      </c>
      <c r="P11" s="25">
        <f>IF(N(D11)=0,"",IF(L11="",H11,K11*L11^1.645))</f>
        <v/>
      </c>
      <c r="Q11" s="29">
        <f>IF(OR(P11="",N(N11)=0),"",P11/N11)</f>
        <v/>
      </c>
      <c r="R11" s="31">
        <f>IF(A11="","",Agentes!$C$64)</f>
        <v/>
      </c>
      <c r="S11" s="28">
        <f>IF(L11="",IF(N(D11)=1,"n = 1: se decide con el máximo",""),IF(L11&lt;=R11,"GES aceptable","Revisar conformación del GES (DEG &gt; "&amp;R11&amp;")"))</f>
        <v/>
      </c>
      <c r="T11" s="15">
        <f>IF(Q11="","",IF(Q11&lt;=0.01,0,IF(Q11&lt;=0.1,1,IF(Q11&lt;=0.5,2,IF(Q11&lt;=1,3,4)))))</f>
        <v/>
      </c>
      <c r="U11" s="28">
        <f>IF(A11="","",IF(T11="","Sin datos",CHOOSE(T11+1,"Insignificante (Cat. 0)","Muy baja (Cat. 1)","Controlada (Cat. 2)","Fuera de control – precaución (Cat. 3)","Sobreexposición (Cat. 4)")))</f>
        <v/>
      </c>
      <c r="V11" s="15">
        <f>IF(T11="","",IF(T11=4,5,IF(T11=3,IF(N(M11)&gt;0,4,3),IF(T11=2,2,1))))</f>
        <v/>
      </c>
      <c r="W11" s="15">
        <f>IF(V11="","",CHOOSE(V11,"De 3 a 5 años","De 1 a 3 años","De 3 meses a 1 año","De 1 a 3 meses","Evaluación continua"))</f>
        <v/>
      </c>
      <c r="X11" s="28">
        <f>IF(OR(A11="",T11=""),"",IF(IFERROR(INDEX(Agentes!$H$6:$H$60,MATCH(B11,Agentes!$A$6:$A$60,0)),"")="PNOS",IF(T11&gt;=3,"Seguimiento respiratorio (espirometría)","Según criterio médico"),IF(T11&gt;=3,"SVE específico (≥ nivel de acción)",IF(T11=2,"Seguimiento periódico con BEI si aplica","Examen periódico general"))))</f>
        <v/>
      </c>
      <c r="Y11" s="15">
        <f>GES!R11</f>
        <v/>
      </c>
    </row>
    <row r="12">
      <c r="A12" s="15">
        <f>IF(GES!A12="","",GES!A12)</f>
        <v/>
      </c>
      <c r="B12" s="15">
        <f>IF(A12="","",GES!E12)</f>
        <v/>
      </c>
      <c r="C12" s="15">
        <f>IF(A12="","",GES!X12)</f>
        <v/>
      </c>
      <c r="D12" s="15">
        <f>IF(Y12="","",COUNTIFS(Muestreo!$Y$6:$Y$305,Y12,Muestreo!$N$6:$N$305,"&gt;0"))</f>
        <v/>
      </c>
      <c r="E12" s="15">
        <f>IF(A12="","",GES!P12)</f>
        <v/>
      </c>
      <c r="F12" s="15">
        <f>IF(A12="","",IF(N(D12)=0,"Sin muestras",IF(D12&gt;=E12,"Suficiente","Insuficiente (&lt;"&amp;E12&amp;")")))</f>
        <v/>
      </c>
      <c r="G12" s="25">
        <f>IF(N(D12)=0,"",_xlfn.MINIFS(Muestreo!$N$6:$N$305,Muestreo!$Y$6:$Y$305,Y12))</f>
        <v/>
      </c>
      <c r="H12" s="25">
        <f>IF(N(D12)=0,"",_xlfn.MAXIFS(Muestreo!$N$6:$N$305,Muestreo!$Y$6:$Y$305,Y12))</f>
        <v/>
      </c>
      <c r="I12" s="25">
        <f>IF(N(D12)=0,"",AVERAGEIFS(Muestreo!$N$6:$N$305,Muestreo!$Y$6:$Y$305,Y12))</f>
        <v/>
      </c>
      <c r="J12" s="25">
        <f>IF(N(D12)&lt;2,"",SQRT(SUMIFS(Muestreo!$W$6:$W$305,Muestreo!$Y$6:$Y$305,Y12)/(D12-1)))</f>
        <v/>
      </c>
      <c r="K12" s="25">
        <f>IF(N(D12)=0,"",EXP(AVERAGEIFS(Muestreo!$U$6:$U$305,Muestreo!$Y$6:$Y$305,Y12)))</f>
        <v/>
      </c>
      <c r="L12" s="29">
        <f>IF(N(D12)&lt;2,"",EXP(SQRT(SUMIFS(Muestreo!$V$6:$V$305,Muestreo!$Y$6:$Y$305,Y12)/IF(Agentes!$C$63="n",D12,D12-1))))</f>
        <v/>
      </c>
      <c r="M12" s="30">
        <f>IF(N(D12)=0,"",SUMIFS(Muestreo!$X$6:$X$305,Muestreo!$Y$6:$Y$305,Y12)/D12)</f>
        <v/>
      </c>
      <c r="N12" s="22">
        <f>IF(A12="","",GES!W12)</f>
        <v/>
      </c>
      <c r="O12" s="29">
        <f>IF(OR(I12="",N(N12)=0),"",I12/N12)</f>
        <v/>
      </c>
      <c r="P12" s="25">
        <f>IF(N(D12)=0,"",IF(L12="",H12,K12*L12^1.645))</f>
        <v/>
      </c>
      <c r="Q12" s="29">
        <f>IF(OR(P12="",N(N12)=0),"",P12/N12)</f>
        <v/>
      </c>
      <c r="R12" s="31">
        <f>IF(A12="","",Agentes!$C$64)</f>
        <v/>
      </c>
      <c r="S12" s="28">
        <f>IF(L12="",IF(N(D12)=1,"n = 1: se decide con el máximo",""),IF(L12&lt;=R12,"GES aceptable","Revisar conformación del GES (DEG &gt; "&amp;R12&amp;")"))</f>
        <v/>
      </c>
      <c r="T12" s="15">
        <f>IF(Q12="","",IF(Q12&lt;=0.01,0,IF(Q12&lt;=0.1,1,IF(Q12&lt;=0.5,2,IF(Q12&lt;=1,3,4)))))</f>
        <v/>
      </c>
      <c r="U12" s="28">
        <f>IF(A12="","",IF(T12="","Sin datos",CHOOSE(T12+1,"Insignificante (Cat. 0)","Muy baja (Cat. 1)","Controlada (Cat. 2)","Fuera de control – precaución (Cat. 3)","Sobreexposición (Cat. 4)")))</f>
        <v/>
      </c>
      <c r="V12" s="15">
        <f>IF(T12="","",IF(T12=4,5,IF(T12=3,IF(N(M12)&gt;0,4,3),IF(T12=2,2,1))))</f>
        <v/>
      </c>
      <c r="W12" s="15">
        <f>IF(V12="","",CHOOSE(V12,"De 3 a 5 años","De 1 a 3 años","De 3 meses a 1 año","De 1 a 3 meses","Evaluación continua"))</f>
        <v/>
      </c>
      <c r="X12" s="28">
        <f>IF(OR(A12="",T12=""),"",IF(IFERROR(INDEX(Agentes!$H$6:$H$60,MATCH(B12,Agentes!$A$6:$A$60,0)),"")="PNOS",IF(T12&gt;=3,"Seguimiento respiratorio (espirometría)","Según criterio médico"),IF(T12&gt;=3,"SVE específico (≥ nivel de acción)",IF(T12=2,"Seguimiento periódico con BEI si aplica","Examen periódico general"))))</f>
        <v/>
      </c>
      <c r="Y12" s="15">
        <f>GES!R12</f>
        <v/>
      </c>
    </row>
    <row r="13">
      <c r="A13" s="15">
        <f>IF(GES!A13="","",GES!A13)</f>
        <v/>
      </c>
      <c r="B13" s="15">
        <f>IF(A13="","",GES!E13)</f>
        <v/>
      </c>
      <c r="C13" s="15">
        <f>IF(A13="","",GES!X13)</f>
        <v/>
      </c>
      <c r="D13" s="15">
        <f>IF(Y13="","",COUNTIFS(Muestreo!$Y$6:$Y$305,Y13,Muestreo!$N$6:$N$305,"&gt;0"))</f>
        <v/>
      </c>
      <c r="E13" s="15">
        <f>IF(A13="","",GES!P13)</f>
        <v/>
      </c>
      <c r="F13" s="15">
        <f>IF(A13="","",IF(N(D13)=0,"Sin muestras",IF(D13&gt;=E13,"Suficiente","Insuficiente (&lt;"&amp;E13&amp;")")))</f>
        <v/>
      </c>
      <c r="G13" s="25">
        <f>IF(N(D13)=0,"",_xlfn.MINIFS(Muestreo!$N$6:$N$305,Muestreo!$Y$6:$Y$305,Y13))</f>
        <v/>
      </c>
      <c r="H13" s="25">
        <f>IF(N(D13)=0,"",_xlfn.MAXIFS(Muestreo!$N$6:$N$305,Muestreo!$Y$6:$Y$305,Y13))</f>
        <v/>
      </c>
      <c r="I13" s="25">
        <f>IF(N(D13)=0,"",AVERAGEIFS(Muestreo!$N$6:$N$305,Muestreo!$Y$6:$Y$305,Y13))</f>
        <v/>
      </c>
      <c r="J13" s="25">
        <f>IF(N(D13)&lt;2,"",SQRT(SUMIFS(Muestreo!$W$6:$W$305,Muestreo!$Y$6:$Y$305,Y13)/(D13-1)))</f>
        <v/>
      </c>
      <c r="K13" s="25">
        <f>IF(N(D13)=0,"",EXP(AVERAGEIFS(Muestreo!$U$6:$U$305,Muestreo!$Y$6:$Y$305,Y13)))</f>
        <v/>
      </c>
      <c r="L13" s="29">
        <f>IF(N(D13)&lt;2,"",EXP(SQRT(SUMIFS(Muestreo!$V$6:$V$305,Muestreo!$Y$6:$Y$305,Y13)/IF(Agentes!$C$63="n",D13,D13-1))))</f>
        <v/>
      </c>
      <c r="M13" s="30">
        <f>IF(N(D13)=0,"",SUMIFS(Muestreo!$X$6:$X$305,Muestreo!$Y$6:$Y$305,Y13)/D13)</f>
        <v/>
      </c>
      <c r="N13" s="22">
        <f>IF(A13="","",GES!W13)</f>
        <v/>
      </c>
      <c r="O13" s="29">
        <f>IF(OR(I13="",N(N13)=0),"",I13/N13)</f>
        <v/>
      </c>
      <c r="P13" s="25">
        <f>IF(N(D13)=0,"",IF(L13="",H13,K13*L13^1.645))</f>
        <v/>
      </c>
      <c r="Q13" s="29">
        <f>IF(OR(P13="",N(N13)=0),"",P13/N13)</f>
        <v/>
      </c>
      <c r="R13" s="31">
        <f>IF(A13="","",Agentes!$C$64)</f>
        <v/>
      </c>
      <c r="S13" s="28">
        <f>IF(L13="",IF(N(D13)=1,"n = 1: se decide con el máximo",""),IF(L13&lt;=R13,"GES aceptable","Revisar conformación del GES (DEG &gt; "&amp;R13&amp;")"))</f>
        <v/>
      </c>
      <c r="T13" s="15">
        <f>IF(Q13="","",IF(Q13&lt;=0.01,0,IF(Q13&lt;=0.1,1,IF(Q13&lt;=0.5,2,IF(Q13&lt;=1,3,4)))))</f>
        <v/>
      </c>
      <c r="U13" s="28">
        <f>IF(A13="","",IF(T13="","Sin datos",CHOOSE(T13+1,"Insignificante (Cat. 0)","Muy baja (Cat. 1)","Controlada (Cat. 2)","Fuera de control – precaución (Cat. 3)","Sobreexposición (Cat. 4)")))</f>
        <v/>
      </c>
      <c r="V13" s="15">
        <f>IF(T13="","",IF(T13=4,5,IF(T13=3,IF(N(M13)&gt;0,4,3),IF(T13=2,2,1))))</f>
        <v/>
      </c>
      <c r="W13" s="15">
        <f>IF(V13="","",CHOOSE(V13,"De 3 a 5 años","De 1 a 3 años","De 3 meses a 1 año","De 1 a 3 meses","Evaluación continua"))</f>
        <v/>
      </c>
      <c r="X13" s="28">
        <f>IF(OR(A13="",T13=""),"",IF(IFERROR(INDEX(Agentes!$H$6:$H$60,MATCH(B13,Agentes!$A$6:$A$60,0)),"")="PNOS",IF(T13&gt;=3,"Seguimiento respiratorio (espirometría)","Según criterio médico"),IF(T13&gt;=3,"SVE específico (≥ nivel de acción)",IF(T13=2,"Seguimiento periódico con BEI si aplica","Examen periódico general"))))</f>
        <v/>
      </c>
      <c r="Y13" s="15">
        <f>GES!R13</f>
        <v/>
      </c>
    </row>
    <row r="14">
      <c r="A14" s="15">
        <f>IF(GES!A14="","",GES!A14)</f>
        <v/>
      </c>
      <c r="B14" s="15">
        <f>IF(A14="","",GES!E14)</f>
        <v/>
      </c>
      <c r="C14" s="15">
        <f>IF(A14="","",GES!X14)</f>
        <v/>
      </c>
      <c r="D14" s="15">
        <f>IF(Y14="","",COUNTIFS(Muestreo!$Y$6:$Y$305,Y14,Muestreo!$N$6:$N$305,"&gt;0"))</f>
        <v/>
      </c>
      <c r="E14" s="15">
        <f>IF(A14="","",GES!P14)</f>
        <v/>
      </c>
      <c r="F14" s="15">
        <f>IF(A14="","",IF(N(D14)=0,"Sin muestras",IF(D14&gt;=E14,"Suficiente","Insuficiente (&lt;"&amp;E14&amp;")")))</f>
        <v/>
      </c>
      <c r="G14" s="25">
        <f>IF(N(D14)=0,"",_xlfn.MINIFS(Muestreo!$N$6:$N$305,Muestreo!$Y$6:$Y$305,Y14))</f>
        <v/>
      </c>
      <c r="H14" s="25">
        <f>IF(N(D14)=0,"",_xlfn.MAXIFS(Muestreo!$N$6:$N$305,Muestreo!$Y$6:$Y$305,Y14))</f>
        <v/>
      </c>
      <c r="I14" s="25">
        <f>IF(N(D14)=0,"",AVERAGEIFS(Muestreo!$N$6:$N$305,Muestreo!$Y$6:$Y$305,Y14))</f>
        <v/>
      </c>
      <c r="J14" s="25">
        <f>IF(N(D14)&lt;2,"",SQRT(SUMIFS(Muestreo!$W$6:$W$305,Muestreo!$Y$6:$Y$305,Y14)/(D14-1)))</f>
        <v/>
      </c>
      <c r="K14" s="25">
        <f>IF(N(D14)=0,"",EXP(AVERAGEIFS(Muestreo!$U$6:$U$305,Muestreo!$Y$6:$Y$305,Y14)))</f>
        <v/>
      </c>
      <c r="L14" s="29">
        <f>IF(N(D14)&lt;2,"",EXP(SQRT(SUMIFS(Muestreo!$V$6:$V$305,Muestreo!$Y$6:$Y$305,Y14)/IF(Agentes!$C$63="n",D14,D14-1))))</f>
        <v/>
      </c>
      <c r="M14" s="30">
        <f>IF(N(D14)=0,"",SUMIFS(Muestreo!$X$6:$X$305,Muestreo!$Y$6:$Y$305,Y14)/D14)</f>
        <v/>
      </c>
      <c r="N14" s="22">
        <f>IF(A14="","",GES!W14)</f>
        <v/>
      </c>
      <c r="O14" s="29">
        <f>IF(OR(I14="",N(N14)=0),"",I14/N14)</f>
        <v/>
      </c>
      <c r="P14" s="25">
        <f>IF(N(D14)=0,"",IF(L14="",H14,K14*L14^1.645))</f>
        <v/>
      </c>
      <c r="Q14" s="29">
        <f>IF(OR(P14="",N(N14)=0),"",P14/N14)</f>
        <v/>
      </c>
      <c r="R14" s="31">
        <f>IF(A14="","",Agentes!$C$64)</f>
        <v/>
      </c>
      <c r="S14" s="28">
        <f>IF(L14="",IF(N(D14)=1,"n = 1: se decide con el máximo",""),IF(L14&lt;=R14,"GES aceptable","Revisar conformación del GES (DEG &gt; "&amp;R14&amp;")"))</f>
        <v/>
      </c>
      <c r="T14" s="15">
        <f>IF(Q14="","",IF(Q14&lt;=0.01,0,IF(Q14&lt;=0.1,1,IF(Q14&lt;=0.5,2,IF(Q14&lt;=1,3,4)))))</f>
        <v/>
      </c>
      <c r="U14" s="28">
        <f>IF(A14="","",IF(T14="","Sin datos",CHOOSE(T14+1,"Insignificante (Cat. 0)","Muy baja (Cat. 1)","Controlada (Cat. 2)","Fuera de control – precaución (Cat. 3)","Sobreexposición (Cat. 4)")))</f>
        <v/>
      </c>
      <c r="V14" s="15">
        <f>IF(T14="","",IF(T14=4,5,IF(T14=3,IF(N(M14)&gt;0,4,3),IF(T14=2,2,1))))</f>
        <v/>
      </c>
      <c r="W14" s="15">
        <f>IF(V14="","",CHOOSE(V14,"De 3 a 5 años","De 1 a 3 años","De 3 meses a 1 año","De 1 a 3 meses","Evaluación continua"))</f>
        <v/>
      </c>
      <c r="X14" s="28">
        <f>IF(OR(A14="",T14=""),"",IF(IFERROR(INDEX(Agentes!$H$6:$H$60,MATCH(B14,Agentes!$A$6:$A$60,0)),"")="PNOS",IF(T14&gt;=3,"Seguimiento respiratorio (espirometría)","Según criterio médico"),IF(T14&gt;=3,"SVE específico (≥ nivel de acción)",IF(T14=2,"Seguimiento periódico con BEI si aplica","Examen periódico general"))))</f>
        <v/>
      </c>
      <c r="Y14" s="15">
        <f>GES!R14</f>
        <v/>
      </c>
    </row>
    <row r="15">
      <c r="A15" s="15">
        <f>IF(GES!A15="","",GES!A15)</f>
        <v/>
      </c>
      <c r="B15" s="15">
        <f>IF(A15="","",GES!E15)</f>
        <v/>
      </c>
      <c r="C15" s="15">
        <f>IF(A15="","",GES!X15)</f>
        <v/>
      </c>
      <c r="D15" s="15">
        <f>IF(Y15="","",COUNTIFS(Muestreo!$Y$6:$Y$305,Y15,Muestreo!$N$6:$N$305,"&gt;0"))</f>
        <v/>
      </c>
      <c r="E15" s="15">
        <f>IF(A15="","",GES!P15)</f>
        <v/>
      </c>
      <c r="F15" s="15">
        <f>IF(A15="","",IF(N(D15)=0,"Sin muestras",IF(D15&gt;=E15,"Suficiente","Insuficiente (&lt;"&amp;E15&amp;")")))</f>
        <v/>
      </c>
      <c r="G15" s="25">
        <f>IF(N(D15)=0,"",_xlfn.MINIFS(Muestreo!$N$6:$N$305,Muestreo!$Y$6:$Y$305,Y15))</f>
        <v/>
      </c>
      <c r="H15" s="25">
        <f>IF(N(D15)=0,"",_xlfn.MAXIFS(Muestreo!$N$6:$N$305,Muestreo!$Y$6:$Y$305,Y15))</f>
        <v/>
      </c>
      <c r="I15" s="25">
        <f>IF(N(D15)=0,"",AVERAGEIFS(Muestreo!$N$6:$N$305,Muestreo!$Y$6:$Y$305,Y15))</f>
        <v/>
      </c>
      <c r="J15" s="25">
        <f>IF(N(D15)&lt;2,"",SQRT(SUMIFS(Muestreo!$W$6:$W$305,Muestreo!$Y$6:$Y$305,Y15)/(D15-1)))</f>
        <v/>
      </c>
      <c r="K15" s="25">
        <f>IF(N(D15)=0,"",EXP(AVERAGEIFS(Muestreo!$U$6:$U$305,Muestreo!$Y$6:$Y$305,Y15)))</f>
        <v/>
      </c>
      <c r="L15" s="29">
        <f>IF(N(D15)&lt;2,"",EXP(SQRT(SUMIFS(Muestreo!$V$6:$V$305,Muestreo!$Y$6:$Y$305,Y15)/IF(Agentes!$C$63="n",D15,D15-1))))</f>
        <v/>
      </c>
      <c r="M15" s="30">
        <f>IF(N(D15)=0,"",SUMIFS(Muestreo!$X$6:$X$305,Muestreo!$Y$6:$Y$305,Y15)/D15)</f>
        <v/>
      </c>
      <c r="N15" s="22">
        <f>IF(A15="","",GES!W15)</f>
        <v/>
      </c>
      <c r="O15" s="29">
        <f>IF(OR(I15="",N(N15)=0),"",I15/N15)</f>
        <v/>
      </c>
      <c r="P15" s="25">
        <f>IF(N(D15)=0,"",IF(L15="",H15,K15*L15^1.645))</f>
        <v/>
      </c>
      <c r="Q15" s="29">
        <f>IF(OR(P15="",N(N15)=0),"",P15/N15)</f>
        <v/>
      </c>
      <c r="R15" s="31">
        <f>IF(A15="","",Agentes!$C$64)</f>
        <v/>
      </c>
      <c r="S15" s="28">
        <f>IF(L15="",IF(N(D15)=1,"n = 1: se decide con el máximo",""),IF(L15&lt;=R15,"GES aceptable","Revisar conformación del GES (DEG &gt; "&amp;R15&amp;")"))</f>
        <v/>
      </c>
      <c r="T15" s="15">
        <f>IF(Q15="","",IF(Q15&lt;=0.01,0,IF(Q15&lt;=0.1,1,IF(Q15&lt;=0.5,2,IF(Q15&lt;=1,3,4)))))</f>
        <v/>
      </c>
      <c r="U15" s="28">
        <f>IF(A15="","",IF(T15="","Sin datos",CHOOSE(T15+1,"Insignificante (Cat. 0)","Muy baja (Cat. 1)","Controlada (Cat. 2)","Fuera de control – precaución (Cat. 3)","Sobreexposición (Cat. 4)")))</f>
        <v/>
      </c>
      <c r="V15" s="15">
        <f>IF(T15="","",IF(T15=4,5,IF(T15=3,IF(N(M15)&gt;0,4,3),IF(T15=2,2,1))))</f>
        <v/>
      </c>
      <c r="W15" s="15">
        <f>IF(V15="","",CHOOSE(V15,"De 3 a 5 años","De 1 a 3 años","De 3 meses a 1 año","De 1 a 3 meses","Evaluación continua"))</f>
        <v/>
      </c>
      <c r="X15" s="28">
        <f>IF(OR(A15="",T15=""),"",IF(IFERROR(INDEX(Agentes!$H$6:$H$60,MATCH(B15,Agentes!$A$6:$A$60,0)),"")="PNOS",IF(T15&gt;=3,"Seguimiento respiratorio (espirometría)","Según criterio médico"),IF(T15&gt;=3,"SVE específico (≥ nivel de acción)",IF(T15=2,"Seguimiento periódico con BEI si aplica","Examen periódico general"))))</f>
        <v/>
      </c>
      <c r="Y15" s="15">
        <f>GES!R15</f>
        <v/>
      </c>
    </row>
    <row r="16">
      <c r="A16" s="15">
        <f>IF(GES!A16="","",GES!A16)</f>
        <v/>
      </c>
      <c r="B16" s="15">
        <f>IF(A16="","",GES!E16)</f>
        <v/>
      </c>
      <c r="C16" s="15">
        <f>IF(A16="","",GES!X16)</f>
        <v/>
      </c>
      <c r="D16" s="15">
        <f>IF(Y16="","",COUNTIFS(Muestreo!$Y$6:$Y$305,Y16,Muestreo!$N$6:$N$305,"&gt;0"))</f>
        <v/>
      </c>
      <c r="E16" s="15">
        <f>IF(A16="","",GES!P16)</f>
        <v/>
      </c>
      <c r="F16" s="15">
        <f>IF(A16="","",IF(N(D16)=0,"Sin muestras",IF(D16&gt;=E16,"Suficiente","Insuficiente (&lt;"&amp;E16&amp;")")))</f>
        <v/>
      </c>
      <c r="G16" s="25">
        <f>IF(N(D16)=0,"",_xlfn.MINIFS(Muestreo!$N$6:$N$305,Muestreo!$Y$6:$Y$305,Y16))</f>
        <v/>
      </c>
      <c r="H16" s="25">
        <f>IF(N(D16)=0,"",_xlfn.MAXIFS(Muestreo!$N$6:$N$305,Muestreo!$Y$6:$Y$305,Y16))</f>
        <v/>
      </c>
      <c r="I16" s="25">
        <f>IF(N(D16)=0,"",AVERAGEIFS(Muestreo!$N$6:$N$305,Muestreo!$Y$6:$Y$305,Y16))</f>
        <v/>
      </c>
      <c r="J16" s="25">
        <f>IF(N(D16)&lt;2,"",SQRT(SUMIFS(Muestreo!$W$6:$W$305,Muestreo!$Y$6:$Y$305,Y16)/(D16-1)))</f>
        <v/>
      </c>
      <c r="K16" s="25">
        <f>IF(N(D16)=0,"",EXP(AVERAGEIFS(Muestreo!$U$6:$U$305,Muestreo!$Y$6:$Y$305,Y16)))</f>
        <v/>
      </c>
      <c r="L16" s="29">
        <f>IF(N(D16)&lt;2,"",EXP(SQRT(SUMIFS(Muestreo!$V$6:$V$305,Muestreo!$Y$6:$Y$305,Y16)/IF(Agentes!$C$63="n",D16,D16-1))))</f>
        <v/>
      </c>
      <c r="M16" s="30">
        <f>IF(N(D16)=0,"",SUMIFS(Muestreo!$X$6:$X$305,Muestreo!$Y$6:$Y$305,Y16)/D16)</f>
        <v/>
      </c>
      <c r="N16" s="22">
        <f>IF(A16="","",GES!W16)</f>
        <v/>
      </c>
      <c r="O16" s="29">
        <f>IF(OR(I16="",N(N16)=0),"",I16/N16)</f>
        <v/>
      </c>
      <c r="P16" s="25">
        <f>IF(N(D16)=0,"",IF(L16="",H16,K16*L16^1.645))</f>
        <v/>
      </c>
      <c r="Q16" s="29">
        <f>IF(OR(P16="",N(N16)=0),"",P16/N16)</f>
        <v/>
      </c>
      <c r="R16" s="31">
        <f>IF(A16="","",Agentes!$C$64)</f>
        <v/>
      </c>
      <c r="S16" s="28">
        <f>IF(L16="",IF(N(D16)=1,"n = 1: se decide con el máximo",""),IF(L16&lt;=R16,"GES aceptable","Revisar conformación del GES (DEG &gt; "&amp;R16&amp;")"))</f>
        <v/>
      </c>
      <c r="T16" s="15">
        <f>IF(Q16="","",IF(Q16&lt;=0.01,0,IF(Q16&lt;=0.1,1,IF(Q16&lt;=0.5,2,IF(Q16&lt;=1,3,4)))))</f>
        <v/>
      </c>
      <c r="U16" s="28">
        <f>IF(A16="","",IF(T16="","Sin datos",CHOOSE(T16+1,"Insignificante (Cat. 0)","Muy baja (Cat. 1)","Controlada (Cat. 2)","Fuera de control – precaución (Cat. 3)","Sobreexposición (Cat. 4)")))</f>
        <v/>
      </c>
      <c r="V16" s="15">
        <f>IF(T16="","",IF(T16=4,5,IF(T16=3,IF(N(M16)&gt;0,4,3),IF(T16=2,2,1))))</f>
        <v/>
      </c>
      <c r="W16" s="15">
        <f>IF(V16="","",CHOOSE(V16,"De 3 a 5 años","De 1 a 3 años","De 3 meses a 1 año","De 1 a 3 meses","Evaluación continua"))</f>
        <v/>
      </c>
      <c r="X16" s="28">
        <f>IF(OR(A16="",T16=""),"",IF(IFERROR(INDEX(Agentes!$H$6:$H$60,MATCH(B16,Agentes!$A$6:$A$60,0)),"")="PNOS",IF(T16&gt;=3,"Seguimiento respiratorio (espirometría)","Según criterio médico"),IF(T16&gt;=3,"SVE específico (≥ nivel de acción)",IF(T16=2,"Seguimiento periódico con BEI si aplica","Examen periódico general"))))</f>
        <v/>
      </c>
      <c r="Y16" s="15">
        <f>GES!R16</f>
        <v/>
      </c>
    </row>
    <row r="17">
      <c r="A17" s="15">
        <f>IF(GES!A17="","",GES!A17)</f>
        <v/>
      </c>
      <c r="B17" s="15">
        <f>IF(A17="","",GES!E17)</f>
        <v/>
      </c>
      <c r="C17" s="15">
        <f>IF(A17="","",GES!X17)</f>
        <v/>
      </c>
      <c r="D17" s="15">
        <f>IF(Y17="","",COUNTIFS(Muestreo!$Y$6:$Y$305,Y17,Muestreo!$N$6:$N$305,"&gt;0"))</f>
        <v/>
      </c>
      <c r="E17" s="15">
        <f>IF(A17="","",GES!P17)</f>
        <v/>
      </c>
      <c r="F17" s="15">
        <f>IF(A17="","",IF(N(D17)=0,"Sin muestras",IF(D17&gt;=E17,"Suficiente","Insuficiente (&lt;"&amp;E17&amp;")")))</f>
        <v/>
      </c>
      <c r="G17" s="25">
        <f>IF(N(D17)=0,"",_xlfn.MINIFS(Muestreo!$N$6:$N$305,Muestreo!$Y$6:$Y$305,Y17))</f>
        <v/>
      </c>
      <c r="H17" s="25">
        <f>IF(N(D17)=0,"",_xlfn.MAXIFS(Muestreo!$N$6:$N$305,Muestreo!$Y$6:$Y$305,Y17))</f>
        <v/>
      </c>
      <c r="I17" s="25">
        <f>IF(N(D17)=0,"",AVERAGEIFS(Muestreo!$N$6:$N$305,Muestreo!$Y$6:$Y$305,Y17))</f>
        <v/>
      </c>
      <c r="J17" s="25">
        <f>IF(N(D17)&lt;2,"",SQRT(SUMIFS(Muestreo!$W$6:$W$305,Muestreo!$Y$6:$Y$305,Y17)/(D17-1)))</f>
        <v/>
      </c>
      <c r="K17" s="25">
        <f>IF(N(D17)=0,"",EXP(AVERAGEIFS(Muestreo!$U$6:$U$305,Muestreo!$Y$6:$Y$305,Y17)))</f>
        <v/>
      </c>
      <c r="L17" s="29">
        <f>IF(N(D17)&lt;2,"",EXP(SQRT(SUMIFS(Muestreo!$V$6:$V$305,Muestreo!$Y$6:$Y$305,Y17)/IF(Agentes!$C$63="n",D17,D17-1))))</f>
        <v/>
      </c>
      <c r="M17" s="30">
        <f>IF(N(D17)=0,"",SUMIFS(Muestreo!$X$6:$X$305,Muestreo!$Y$6:$Y$305,Y17)/D17)</f>
        <v/>
      </c>
      <c r="N17" s="22">
        <f>IF(A17="","",GES!W17)</f>
        <v/>
      </c>
      <c r="O17" s="29">
        <f>IF(OR(I17="",N(N17)=0),"",I17/N17)</f>
        <v/>
      </c>
      <c r="P17" s="25">
        <f>IF(N(D17)=0,"",IF(L17="",H17,K17*L17^1.645))</f>
        <v/>
      </c>
      <c r="Q17" s="29">
        <f>IF(OR(P17="",N(N17)=0),"",P17/N17)</f>
        <v/>
      </c>
      <c r="R17" s="31">
        <f>IF(A17="","",Agentes!$C$64)</f>
        <v/>
      </c>
      <c r="S17" s="28">
        <f>IF(L17="",IF(N(D17)=1,"n = 1: se decide con el máximo",""),IF(L17&lt;=R17,"GES aceptable","Revisar conformación del GES (DEG &gt; "&amp;R17&amp;")"))</f>
        <v/>
      </c>
      <c r="T17" s="15">
        <f>IF(Q17="","",IF(Q17&lt;=0.01,0,IF(Q17&lt;=0.1,1,IF(Q17&lt;=0.5,2,IF(Q17&lt;=1,3,4)))))</f>
        <v/>
      </c>
      <c r="U17" s="28">
        <f>IF(A17="","",IF(T17="","Sin datos",CHOOSE(T17+1,"Insignificante (Cat. 0)","Muy baja (Cat. 1)","Controlada (Cat. 2)","Fuera de control – precaución (Cat. 3)","Sobreexposición (Cat. 4)")))</f>
        <v/>
      </c>
      <c r="V17" s="15">
        <f>IF(T17="","",IF(T17=4,5,IF(T17=3,IF(N(M17)&gt;0,4,3),IF(T17=2,2,1))))</f>
        <v/>
      </c>
      <c r="W17" s="15">
        <f>IF(V17="","",CHOOSE(V17,"De 3 a 5 años","De 1 a 3 años","De 3 meses a 1 año","De 1 a 3 meses","Evaluación continua"))</f>
        <v/>
      </c>
      <c r="X17" s="28">
        <f>IF(OR(A17="",T17=""),"",IF(IFERROR(INDEX(Agentes!$H$6:$H$60,MATCH(B17,Agentes!$A$6:$A$60,0)),"")="PNOS",IF(T17&gt;=3,"Seguimiento respiratorio (espirometría)","Según criterio médico"),IF(T17&gt;=3,"SVE específico (≥ nivel de acción)",IF(T17=2,"Seguimiento periódico con BEI si aplica","Examen periódico general"))))</f>
        <v/>
      </c>
      <c r="Y17" s="15">
        <f>GES!R17</f>
        <v/>
      </c>
    </row>
    <row r="18">
      <c r="A18" s="15">
        <f>IF(GES!A18="","",GES!A18)</f>
        <v/>
      </c>
      <c r="B18" s="15">
        <f>IF(A18="","",GES!E18)</f>
        <v/>
      </c>
      <c r="C18" s="15">
        <f>IF(A18="","",GES!X18)</f>
        <v/>
      </c>
      <c r="D18" s="15">
        <f>IF(Y18="","",COUNTIFS(Muestreo!$Y$6:$Y$305,Y18,Muestreo!$N$6:$N$305,"&gt;0"))</f>
        <v/>
      </c>
      <c r="E18" s="15">
        <f>IF(A18="","",GES!P18)</f>
        <v/>
      </c>
      <c r="F18" s="15">
        <f>IF(A18="","",IF(N(D18)=0,"Sin muestras",IF(D18&gt;=E18,"Suficiente","Insuficiente (&lt;"&amp;E18&amp;")")))</f>
        <v/>
      </c>
      <c r="G18" s="25">
        <f>IF(N(D18)=0,"",_xlfn.MINIFS(Muestreo!$N$6:$N$305,Muestreo!$Y$6:$Y$305,Y18))</f>
        <v/>
      </c>
      <c r="H18" s="25">
        <f>IF(N(D18)=0,"",_xlfn.MAXIFS(Muestreo!$N$6:$N$305,Muestreo!$Y$6:$Y$305,Y18))</f>
        <v/>
      </c>
      <c r="I18" s="25">
        <f>IF(N(D18)=0,"",AVERAGEIFS(Muestreo!$N$6:$N$305,Muestreo!$Y$6:$Y$305,Y18))</f>
        <v/>
      </c>
      <c r="J18" s="25">
        <f>IF(N(D18)&lt;2,"",SQRT(SUMIFS(Muestreo!$W$6:$W$305,Muestreo!$Y$6:$Y$305,Y18)/(D18-1)))</f>
        <v/>
      </c>
      <c r="K18" s="25">
        <f>IF(N(D18)=0,"",EXP(AVERAGEIFS(Muestreo!$U$6:$U$305,Muestreo!$Y$6:$Y$305,Y18)))</f>
        <v/>
      </c>
      <c r="L18" s="29">
        <f>IF(N(D18)&lt;2,"",EXP(SQRT(SUMIFS(Muestreo!$V$6:$V$305,Muestreo!$Y$6:$Y$305,Y18)/IF(Agentes!$C$63="n",D18,D18-1))))</f>
        <v/>
      </c>
      <c r="M18" s="30">
        <f>IF(N(D18)=0,"",SUMIFS(Muestreo!$X$6:$X$305,Muestreo!$Y$6:$Y$305,Y18)/D18)</f>
        <v/>
      </c>
      <c r="N18" s="22">
        <f>IF(A18="","",GES!W18)</f>
        <v/>
      </c>
      <c r="O18" s="29">
        <f>IF(OR(I18="",N(N18)=0),"",I18/N18)</f>
        <v/>
      </c>
      <c r="P18" s="25">
        <f>IF(N(D18)=0,"",IF(L18="",H18,K18*L18^1.645))</f>
        <v/>
      </c>
      <c r="Q18" s="29">
        <f>IF(OR(P18="",N(N18)=0),"",P18/N18)</f>
        <v/>
      </c>
      <c r="R18" s="31">
        <f>IF(A18="","",Agentes!$C$64)</f>
        <v/>
      </c>
      <c r="S18" s="28">
        <f>IF(L18="",IF(N(D18)=1,"n = 1: se decide con el máximo",""),IF(L18&lt;=R18,"GES aceptable","Revisar conformación del GES (DEG &gt; "&amp;R18&amp;")"))</f>
        <v/>
      </c>
      <c r="T18" s="15">
        <f>IF(Q18="","",IF(Q18&lt;=0.01,0,IF(Q18&lt;=0.1,1,IF(Q18&lt;=0.5,2,IF(Q18&lt;=1,3,4)))))</f>
        <v/>
      </c>
      <c r="U18" s="28">
        <f>IF(A18="","",IF(T18="","Sin datos",CHOOSE(T18+1,"Insignificante (Cat. 0)","Muy baja (Cat. 1)","Controlada (Cat. 2)","Fuera de control – precaución (Cat. 3)","Sobreexposición (Cat. 4)")))</f>
        <v/>
      </c>
      <c r="V18" s="15">
        <f>IF(T18="","",IF(T18=4,5,IF(T18=3,IF(N(M18)&gt;0,4,3),IF(T18=2,2,1))))</f>
        <v/>
      </c>
      <c r="W18" s="15">
        <f>IF(V18="","",CHOOSE(V18,"De 3 a 5 años","De 1 a 3 años","De 3 meses a 1 año","De 1 a 3 meses","Evaluación continua"))</f>
        <v/>
      </c>
      <c r="X18" s="28">
        <f>IF(OR(A18="",T18=""),"",IF(IFERROR(INDEX(Agentes!$H$6:$H$60,MATCH(B18,Agentes!$A$6:$A$60,0)),"")="PNOS",IF(T18&gt;=3,"Seguimiento respiratorio (espirometría)","Según criterio médico"),IF(T18&gt;=3,"SVE específico (≥ nivel de acción)",IF(T18=2,"Seguimiento periódico con BEI si aplica","Examen periódico general"))))</f>
        <v/>
      </c>
      <c r="Y18" s="15">
        <f>GES!R18</f>
        <v/>
      </c>
    </row>
    <row r="19">
      <c r="A19" s="15">
        <f>IF(GES!A19="","",GES!A19)</f>
        <v/>
      </c>
      <c r="B19" s="15">
        <f>IF(A19="","",GES!E19)</f>
        <v/>
      </c>
      <c r="C19" s="15">
        <f>IF(A19="","",GES!X19)</f>
        <v/>
      </c>
      <c r="D19" s="15">
        <f>IF(Y19="","",COUNTIFS(Muestreo!$Y$6:$Y$305,Y19,Muestreo!$N$6:$N$305,"&gt;0"))</f>
        <v/>
      </c>
      <c r="E19" s="15">
        <f>IF(A19="","",GES!P19)</f>
        <v/>
      </c>
      <c r="F19" s="15">
        <f>IF(A19="","",IF(N(D19)=0,"Sin muestras",IF(D19&gt;=E19,"Suficiente","Insuficiente (&lt;"&amp;E19&amp;")")))</f>
        <v/>
      </c>
      <c r="G19" s="25">
        <f>IF(N(D19)=0,"",_xlfn.MINIFS(Muestreo!$N$6:$N$305,Muestreo!$Y$6:$Y$305,Y19))</f>
        <v/>
      </c>
      <c r="H19" s="25">
        <f>IF(N(D19)=0,"",_xlfn.MAXIFS(Muestreo!$N$6:$N$305,Muestreo!$Y$6:$Y$305,Y19))</f>
        <v/>
      </c>
      <c r="I19" s="25">
        <f>IF(N(D19)=0,"",AVERAGEIFS(Muestreo!$N$6:$N$305,Muestreo!$Y$6:$Y$305,Y19))</f>
        <v/>
      </c>
      <c r="J19" s="25">
        <f>IF(N(D19)&lt;2,"",SQRT(SUMIFS(Muestreo!$W$6:$W$305,Muestreo!$Y$6:$Y$305,Y19)/(D19-1)))</f>
        <v/>
      </c>
      <c r="K19" s="25">
        <f>IF(N(D19)=0,"",EXP(AVERAGEIFS(Muestreo!$U$6:$U$305,Muestreo!$Y$6:$Y$305,Y19)))</f>
        <v/>
      </c>
      <c r="L19" s="29">
        <f>IF(N(D19)&lt;2,"",EXP(SQRT(SUMIFS(Muestreo!$V$6:$V$305,Muestreo!$Y$6:$Y$305,Y19)/IF(Agentes!$C$63="n",D19,D19-1))))</f>
        <v/>
      </c>
      <c r="M19" s="30">
        <f>IF(N(D19)=0,"",SUMIFS(Muestreo!$X$6:$X$305,Muestreo!$Y$6:$Y$305,Y19)/D19)</f>
        <v/>
      </c>
      <c r="N19" s="22">
        <f>IF(A19="","",GES!W19)</f>
        <v/>
      </c>
      <c r="O19" s="29">
        <f>IF(OR(I19="",N(N19)=0),"",I19/N19)</f>
        <v/>
      </c>
      <c r="P19" s="25">
        <f>IF(N(D19)=0,"",IF(L19="",H19,K19*L19^1.645))</f>
        <v/>
      </c>
      <c r="Q19" s="29">
        <f>IF(OR(P19="",N(N19)=0),"",P19/N19)</f>
        <v/>
      </c>
      <c r="R19" s="31">
        <f>IF(A19="","",Agentes!$C$64)</f>
        <v/>
      </c>
      <c r="S19" s="28">
        <f>IF(L19="",IF(N(D19)=1,"n = 1: se decide con el máximo",""),IF(L19&lt;=R19,"GES aceptable","Revisar conformación del GES (DEG &gt; "&amp;R19&amp;")"))</f>
        <v/>
      </c>
      <c r="T19" s="15">
        <f>IF(Q19="","",IF(Q19&lt;=0.01,0,IF(Q19&lt;=0.1,1,IF(Q19&lt;=0.5,2,IF(Q19&lt;=1,3,4)))))</f>
        <v/>
      </c>
      <c r="U19" s="28">
        <f>IF(A19="","",IF(T19="","Sin datos",CHOOSE(T19+1,"Insignificante (Cat. 0)","Muy baja (Cat. 1)","Controlada (Cat. 2)","Fuera de control – precaución (Cat. 3)","Sobreexposición (Cat. 4)")))</f>
        <v/>
      </c>
      <c r="V19" s="15">
        <f>IF(T19="","",IF(T19=4,5,IF(T19=3,IF(N(M19)&gt;0,4,3),IF(T19=2,2,1))))</f>
        <v/>
      </c>
      <c r="W19" s="15">
        <f>IF(V19="","",CHOOSE(V19,"De 3 a 5 años","De 1 a 3 años","De 3 meses a 1 año","De 1 a 3 meses","Evaluación continua"))</f>
        <v/>
      </c>
      <c r="X19" s="28">
        <f>IF(OR(A19="",T19=""),"",IF(IFERROR(INDEX(Agentes!$H$6:$H$60,MATCH(B19,Agentes!$A$6:$A$60,0)),"")="PNOS",IF(T19&gt;=3,"Seguimiento respiratorio (espirometría)","Según criterio médico"),IF(T19&gt;=3,"SVE específico (≥ nivel de acción)",IF(T19=2,"Seguimiento periódico con BEI si aplica","Examen periódico general"))))</f>
        <v/>
      </c>
      <c r="Y19" s="15">
        <f>GES!R19</f>
        <v/>
      </c>
    </row>
    <row r="20">
      <c r="A20" s="15">
        <f>IF(GES!A20="","",GES!A20)</f>
        <v/>
      </c>
      <c r="B20" s="15">
        <f>IF(A20="","",GES!E20)</f>
        <v/>
      </c>
      <c r="C20" s="15">
        <f>IF(A20="","",GES!X20)</f>
        <v/>
      </c>
      <c r="D20" s="15">
        <f>IF(Y20="","",COUNTIFS(Muestreo!$Y$6:$Y$305,Y20,Muestreo!$N$6:$N$305,"&gt;0"))</f>
        <v/>
      </c>
      <c r="E20" s="15">
        <f>IF(A20="","",GES!P20)</f>
        <v/>
      </c>
      <c r="F20" s="15">
        <f>IF(A20="","",IF(N(D20)=0,"Sin muestras",IF(D20&gt;=E20,"Suficiente","Insuficiente (&lt;"&amp;E20&amp;")")))</f>
        <v/>
      </c>
      <c r="G20" s="25">
        <f>IF(N(D20)=0,"",_xlfn.MINIFS(Muestreo!$N$6:$N$305,Muestreo!$Y$6:$Y$305,Y20))</f>
        <v/>
      </c>
      <c r="H20" s="25">
        <f>IF(N(D20)=0,"",_xlfn.MAXIFS(Muestreo!$N$6:$N$305,Muestreo!$Y$6:$Y$305,Y20))</f>
        <v/>
      </c>
      <c r="I20" s="25">
        <f>IF(N(D20)=0,"",AVERAGEIFS(Muestreo!$N$6:$N$305,Muestreo!$Y$6:$Y$305,Y20))</f>
        <v/>
      </c>
      <c r="J20" s="25">
        <f>IF(N(D20)&lt;2,"",SQRT(SUMIFS(Muestreo!$W$6:$W$305,Muestreo!$Y$6:$Y$305,Y20)/(D20-1)))</f>
        <v/>
      </c>
      <c r="K20" s="25">
        <f>IF(N(D20)=0,"",EXP(AVERAGEIFS(Muestreo!$U$6:$U$305,Muestreo!$Y$6:$Y$305,Y20)))</f>
        <v/>
      </c>
      <c r="L20" s="29">
        <f>IF(N(D20)&lt;2,"",EXP(SQRT(SUMIFS(Muestreo!$V$6:$V$305,Muestreo!$Y$6:$Y$305,Y20)/IF(Agentes!$C$63="n",D20,D20-1))))</f>
        <v/>
      </c>
      <c r="M20" s="30">
        <f>IF(N(D20)=0,"",SUMIFS(Muestreo!$X$6:$X$305,Muestreo!$Y$6:$Y$305,Y20)/D20)</f>
        <v/>
      </c>
      <c r="N20" s="22">
        <f>IF(A20="","",GES!W20)</f>
        <v/>
      </c>
      <c r="O20" s="29">
        <f>IF(OR(I20="",N(N20)=0),"",I20/N20)</f>
        <v/>
      </c>
      <c r="P20" s="25">
        <f>IF(N(D20)=0,"",IF(L20="",H20,K20*L20^1.645))</f>
        <v/>
      </c>
      <c r="Q20" s="29">
        <f>IF(OR(P20="",N(N20)=0),"",P20/N20)</f>
        <v/>
      </c>
      <c r="R20" s="31">
        <f>IF(A20="","",Agentes!$C$64)</f>
        <v/>
      </c>
      <c r="S20" s="28">
        <f>IF(L20="",IF(N(D20)=1,"n = 1: se decide con el máximo",""),IF(L20&lt;=R20,"GES aceptable","Revisar conformación del GES (DEG &gt; "&amp;R20&amp;")"))</f>
        <v/>
      </c>
      <c r="T20" s="15">
        <f>IF(Q20="","",IF(Q20&lt;=0.01,0,IF(Q20&lt;=0.1,1,IF(Q20&lt;=0.5,2,IF(Q20&lt;=1,3,4)))))</f>
        <v/>
      </c>
      <c r="U20" s="28">
        <f>IF(A20="","",IF(T20="","Sin datos",CHOOSE(T20+1,"Insignificante (Cat. 0)","Muy baja (Cat. 1)","Controlada (Cat. 2)","Fuera de control – precaución (Cat. 3)","Sobreexposición (Cat. 4)")))</f>
        <v/>
      </c>
      <c r="V20" s="15">
        <f>IF(T20="","",IF(T20=4,5,IF(T20=3,IF(N(M20)&gt;0,4,3),IF(T20=2,2,1))))</f>
        <v/>
      </c>
      <c r="W20" s="15">
        <f>IF(V20="","",CHOOSE(V20,"De 3 a 5 años","De 1 a 3 años","De 3 meses a 1 año","De 1 a 3 meses","Evaluación continua"))</f>
        <v/>
      </c>
      <c r="X20" s="28">
        <f>IF(OR(A20="",T20=""),"",IF(IFERROR(INDEX(Agentes!$H$6:$H$60,MATCH(B20,Agentes!$A$6:$A$60,0)),"")="PNOS",IF(T20&gt;=3,"Seguimiento respiratorio (espirometría)","Según criterio médico"),IF(T20&gt;=3,"SVE específico (≥ nivel de acción)",IF(T20=2,"Seguimiento periódico con BEI si aplica","Examen periódico general"))))</f>
        <v/>
      </c>
      <c r="Y20" s="15">
        <f>GES!R20</f>
        <v/>
      </c>
    </row>
    <row r="21">
      <c r="A21" s="15">
        <f>IF(GES!A21="","",GES!A21)</f>
        <v/>
      </c>
      <c r="B21" s="15">
        <f>IF(A21="","",GES!E21)</f>
        <v/>
      </c>
      <c r="C21" s="15">
        <f>IF(A21="","",GES!X21)</f>
        <v/>
      </c>
      <c r="D21" s="15">
        <f>IF(Y21="","",COUNTIFS(Muestreo!$Y$6:$Y$305,Y21,Muestreo!$N$6:$N$305,"&gt;0"))</f>
        <v/>
      </c>
      <c r="E21" s="15">
        <f>IF(A21="","",GES!P21)</f>
        <v/>
      </c>
      <c r="F21" s="15">
        <f>IF(A21="","",IF(N(D21)=0,"Sin muestras",IF(D21&gt;=E21,"Suficiente","Insuficiente (&lt;"&amp;E21&amp;")")))</f>
        <v/>
      </c>
      <c r="G21" s="25">
        <f>IF(N(D21)=0,"",_xlfn.MINIFS(Muestreo!$N$6:$N$305,Muestreo!$Y$6:$Y$305,Y21))</f>
        <v/>
      </c>
      <c r="H21" s="25">
        <f>IF(N(D21)=0,"",_xlfn.MAXIFS(Muestreo!$N$6:$N$305,Muestreo!$Y$6:$Y$305,Y21))</f>
        <v/>
      </c>
      <c r="I21" s="25">
        <f>IF(N(D21)=0,"",AVERAGEIFS(Muestreo!$N$6:$N$305,Muestreo!$Y$6:$Y$305,Y21))</f>
        <v/>
      </c>
      <c r="J21" s="25">
        <f>IF(N(D21)&lt;2,"",SQRT(SUMIFS(Muestreo!$W$6:$W$305,Muestreo!$Y$6:$Y$305,Y21)/(D21-1)))</f>
        <v/>
      </c>
      <c r="K21" s="25">
        <f>IF(N(D21)=0,"",EXP(AVERAGEIFS(Muestreo!$U$6:$U$305,Muestreo!$Y$6:$Y$305,Y21)))</f>
        <v/>
      </c>
      <c r="L21" s="29">
        <f>IF(N(D21)&lt;2,"",EXP(SQRT(SUMIFS(Muestreo!$V$6:$V$305,Muestreo!$Y$6:$Y$305,Y21)/IF(Agentes!$C$63="n",D21,D21-1))))</f>
        <v/>
      </c>
      <c r="M21" s="30">
        <f>IF(N(D21)=0,"",SUMIFS(Muestreo!$X$6:$X$305,Muestreo!$Y$6:$Y$305,Y21)/D21)</f>
        <v/>
      </c>
      <c r="N21" s="22">
        <f>IF(A21="","",GES!W21)</f>
        <v/>
      </c>
      <c r="O21" s="29">
        <f>IF(OR(I21="",N(N21)=0),"",I21/N21)</f>
        <v/>
      </c>
      <c r="P21" s="25">
        <f>IF(N(D21)=0,"",IF(L21="",H21,K21*L21^1.645))</f>
        <v/>
      </c>
      <c r="Q21" s="29">
        <f>IF(OR(P21="",N(N21)=0),"",P21/N21)</f>
        <v/>
      </c>
      <c r="R21" s="31">
        <f>IF(A21="","",Agentes!$C$64)</f>
        <v/>
      </c>
      <c r="S21" s="28">
        <f>IF(L21="",IF(N(D21)=1,"n = 1: se decide con el máximo",""),IF(L21&lt;=R21,"GES aceptable","Revisar conformación del GES (DEG &gt; "&amp;R21&amp;")"))</f>
        <v/>
      </c>
      <c r="T21" s="15">
        <f>IF(Q21="","",IF(Q21&lt;=0.01,0,IF(Q21&lt;=0.1,1,IF(Q21&lt;=0.5,2,IF(Q21&lt;=1,3,4)))))</f>
        <v/>
      </c>
      <c r="U21" s="28">
        <f>IF(A21="","",IF(T21="","Sin datos",CHOOSE(T21+1,"Insignificante (Cat. 0)","Muy baja (Cat. 1)","Controlada (Cat. 2)","Fuera de control – precaución (Cat. 3)","Sobreexposición (Cat. 4)")))</f>
        <v/>
      </c>
      <c r="V21" s="15">
        <f>IF(T21="","",IF(T21=4,5,IF(T21=3,IF(N(M21)&gt;0,4,3),IF(T21=2,2,1))))</f>
        <v/>
      </c>
      <c r="W21" s="15">
        <f>IF(V21="","",CHOOSE(V21,"De 3 a 5 años","De 1 a 3 años","De 3 meses a 1 año","De 1 a 3 meses","Evaluación continua"))</f>
        <v/>
      </c>
      <c r="X21" s="28">
        <f>IF(OR(A21="",T21=""),"",IF(IFERROR(INDEX(Agentes!$H$6:$H$60,MATCH(B21,Agentes!$A$6:$A$60,0)),"")="PNOS",IF(T21&gt;=3,"Seguimiento respiratorio (espirometría)","Según criterio médico"),IF(T21&gt;=3,"SVE específico (≥ nivel de acción)",IF(T21=2,"Seguimiento periódico con BEI si aplica","Examen periódico general"))))</f>
        <v/>
      </c>
      <c r="Y21" s="15">
        <f>GES!R21</f>
        <v/>
      </c>
    </row>
    <row r="22">
      <c r="A22" s="15">
        <f>IF(GES!A22="","",GES!A22)</f>
        <v/>
      </c>
      <c r="B22" s="15">
        <f>IF(A22="","",GES!E22)</f>
        <v/>
      </c>
      <c r="C22" s="15">
        <f>IF(A22="","",GES!X22)</f>
        <v/>
      </c>
      <c r="D22" s="15">
        <f>IF(Y22="","",COUNTIFS(Muestreo!$Y$6:$Y$305,Y22,Muestreo!$N$6:$N$305,"&gt;0"))</f>
        <v/>
      </c>
      <c r="E22" s="15">
        <f>IF(A22="","",GES!P22)</f>
        <v/>
      </c>
      <c r="F22" s="15">
        <f>IF(A22="","",IF(N(D22)=0,"Sin muestras",IF(D22&gt;=E22,"Suficiente","Insuficiente (&lt;"&amp;E22&amp;")")))</f>
        <v/>
      </c>
      <c r="G22" s="25">
        <f>IF(N(D22)=0,"",_xlfn.MINIFS(Muestreo!$N$6:$N$305,Muestreo!$Y$6:$Y$305,Y22))</f>
        <v/>
      </c>
      <c r="H22" s="25">
        <f>IF(N(D22)=0,"",_xlfn.MAXIFS(Muestreo!$N$6:$N$305,Muestreo!$Y$6:$Y$305,Y22))</f>
        <v/>
      </c>
      <c r="I22" s="25">
        <f>IF(N(D22)=0,"",AVERAGEIFS(Muestreo!$N$6:$N$305,Muestreo!$Y$6:$Y$305,Y22))</f>
        <v/>
      </c>
      <c r="J22" s="25">
        <f>IF(N(D22)&lt;2,"",SQRT(SUMIFS(Muestreo!$W$6:$W$305,Muestreo!$Y$6:$Y$305,Y22)/(D22-1)))</f>
        <v/>
      </c>
      <c r="K22" s="25">
        <f>IF(N(D22)=0,"",EXP(AVERAGEIFS(Muestreo!$U$6:$U$305,Muestreo!$Y$6:$Y$305,Y22)))</f>
        <v/>
      </c>
      <c r="L22" s="29">
        <f>IF(N(D22)&lt;2,"",EXP(SQRT(SUMIFS(Muestreo!$V$6:$V$305,Muestreo!$Y$6:$Y$305,Y22)/IF(Agentes!$C$63="n",D22,D22-1))))</f>
        <v/>
      </c>
      <c r="M22" s="30">
        <f>IF(N(D22)=0,"",SUMIFS(Muestreo!$X$6:$X$305,Muestreo!$Y$6:$Y$305,Y22)/D22)</f>
        <v/>
      </c>
      <c r="N22" s="22">
        <f>IF(A22="","",GES!W22)</f>
        <v/>
      </c>
      <c r="O22" s="29">
        <f>IF(OR(I22="",N(N22)=0),"",I22/N22)</f>
        <v/>
      </c>
      <c r="P22" s="25">
        <f>IF(N(D22)=0,"",IF(L22="",H22,K22*L22^1.645))</f>
        <v/>
      </c>
      <c r="Q22" s="29">
        <f>IF(OR(P22="",N(N22)=0),"",P22/N22)</f>
        <v/>
      </c>
      <c r="R22" s="31">
        <f>IF(A22="","",Agentes!$C$64)</f>
        <v/>
      </c>
      <c r="S22" s="28">
        <f>IF(L22="",IF(N(D22)=1,"n = 1: se decide con el máximo",""),IF(L22&lt;=R22,"GES aceptable","Revisar conformación del GES (DEG &gt; "&amp;R22&amp;")"))</f>
        <v/>
      </c>
      <c r="T22" s="15">
        <f>IF(Q22="","",IF(Q22&lt;=0.01,0,IF(Q22&lt;=0.1,1,IF(Q22&lt;=0.5,2,IF(Q22&lt;=1,3,4)))))</f>
        <v/>
      </c>
      <c r="U22" s="28">
        <f>IF(A22="","",IF(T22="","Sin datos",CHOOSE(T22+1,"Insignificante (Cat. 0)","Muy baja (Cat. 1)","Controlada (Cat. 2)","Fuera de control – precaución (Cat. 3)","Sobreexposición (Cat. 4)")))</f>
        <v/>
      </c>
      <c r="V22" s="15">
        <f>IF(T22="","",IF(T22=4,5,IF(T22=3,IF(N(M22)&gt;0,4,3),IF(T22=2,2,1))))</f>
        <v/>
      </c>
      <c r="W22" s="15">
        <f>IF(V22="","",CHOOSE(V22,"De 3 a 5 años","De 1 a 3 años","De 3 meses a 1 año","De 1 a 3 meses","Evaluación continua"))</f>
        <v/>
      </c>
      <c r="X22" s="28">
        <f>IF(OR(A22="",T22=""),"",IF(IFERROR(INDEX(Agentes!$H$6:$H$60,MATCH(B22,Agentes!$A$6:$A$60,0)),"")="PNOS",IF(T22&gt;=3,"Seguimiento respiratorio (espirometría)","Según criterio médico"),IF(T22&gt;=3,"SVE específico (≥ nivel de acción)",IF(T22=2,"Seguimiento periódico con BEI si aplica","Examen periódico general"))))</f>
        <v/>
      </c>
      <c r="Y22" s="15">
        <f>GES!R22</f>
        <v/>
      </c>
    </row>
    <row r="23">
      <c r="A23" s="15">
        <f>IF(GES!A23="","",GES!A23)</f>
        <v/>
      </c>
      <c r="B23" s="15">
        <f>IF(A23="","",GES!E23)</f>
        <v/>
      </c>
      <c r="C23" s="15">
        <f>IF(A23="","",GES!X23)</f>
        <v/>
      </c>
      <c r="D23" s="15">
        <f>IF(Y23="","",COUNTIFS(Muestreo!$Y$6:$Y$305,Y23,Muestreo!$N$6:$N$305,"&gt;0"))</f>
        <v/>
      </c>
      <c r="E23" s="15">
        <f>IF(A23="","",GES!P23)</f>
        <v/>
      </c>
      <c r="F23" s="15">
        <f>IF(A23="","",IF(N(D23)=0,"Sin muestras",IF(D23&gt;=E23,"Suficiente","Insuficiente (&lt;"&amp;E23&amp;")")))</f>
        <v/>
      </c>
      <c r="G23" s="25">
        <f>IF(N(D23)=0,"",_xlfn.MINIFS(Muestreo!$N$6:$N$305,Muestreo!$Y$6:$Y$305,Y23))</f>
        <v/>
      </c>
      <c r="H23" s="25">
        <f>IF(N(D23)=0,"",_xlfn.MAXIFS(Muestreo!$N$6:$N$305,Muestreo!$Y$6:$Y$305,Y23))</f>
        <v/>
      </c>
      <c r="I23" s="25">
        <f>IF(N(D23)=0,"",AVERAGEIFS(Muestreo!$N$6:$N$305,Muestreo!$Y$6:$Y$305,Y23))</f>
        <v/>
      </c>
      <c r="J23" s="25">
        <f>IF(N(D23)&lt;2,"",SQRT(SUMIFS(Muestreo!$W$6:$W$305,Muestreo!$Y$6:$Y$305,Y23)/(D23-1)))</f>
        <v/>
      </c>
      <c r="K23" s="25">
        <f>IF(N(D23)=0,"",EXP(AVERAGEIFS(Muestreo!$U$6:$U$305,Muestreo!$Y$6:$Y$305,Y23)))</f>
        <v/>
      </c>
      <c r="L23" s="29">
        <f>IF(N(D23)&lt;2,"",EXP(SQRT(SUMIFS(Muestreo!$V$6:$V$305,Muestreo!$Y$6:$Y$305,Y23)/IF(Agentes!$C$63="n",D23,D23-1))))</f>
        <v/>
      </c>
      <c r="M23" s="30">
        <f>IF(N(D23)=0,"",SUMIFS(Muestreo!$X$6:$X$305,Muestreo!$Y$6:$Y$305,Y23)/D23)</f>
        <v/>
      </c>
      <c r="N23" s="22">
        <f>IF(A23="","",GES!W23)</f>
        <v/>
      </c>
      <c r="O23" s="29">
        <f>IF(OR(I23="",N(N23)=0),"",I23/N23)</f>
        <v/>
      </c>
      <c r="P23" s="25">
        <f>IF(N(D23)=0,"",IF(L23="",H23,K23*L23^1.645))</f>
        <v/>
      </c>
      <c r="Q23" s="29">
        <f>IF(OR(P23="",N(N23)=0),"",P23/N23)</f>
        <v/>
      </c>
      <c r="R23" s="31">
        <f>IF(A23="","",Agentes!$C$64)</f>
        <v/>
      </c>
      <c r="S23" s="28">
        <f>IF(L23="",IF(N(D23)=1,"n = 1: se decide con el máximo",""),IF(L23&lt;=R23,"GES aceptable","Revisar conformación del GES (DEG &gt; "&amp;R23&amp;")"))</f>
        <v/>
      </c>
      <c r="T23" s="15">
        <f>IF(Q23="","",IF(Q23&lt;=0.01,0,IF(Q23&lt;=0.1,1,IF(Q23&lt;=0.5,2,IF(Q23&lt;=1,3,4)))))</f>
        <v/>
      </c>
      <c r="U23" s="28">
        <f>IF(A23="","",IF(T23="","Sin datos",CHOOSE(T23+1,"Insignificante (Cat. 0)","Muy baja (Cat. 1)","Controlada (Cat. 2)","Fuera de control – precaución (Cat. 3)","Sobreexposición (Cat. 4)")))</f>
        <v/>
      </c>
      <c r="V23" s="15">
        <f>IF(T23="","",IF(T23=4,5,IF(T23=3,IF(N(M23)&gt;0,4,3),IF(T23=2,2,1))))</f>
        <v/>
      </c>
      <c r="W23" s="15">
        <f>IF(V23="","",CHOOSE(V23,"De 3 a 5 años","De 1 a 3 años","De 3 meses a 1 año","De 1 a 3 meses","Evaluación continua"))</f>
        <v/>
      </c>
      <c r="X23" s="28">
        <f>IF(OR(A23="",T23=""),"",IF(IFERROR(INDEX(Agentes!$H$6:$H$60,MATCH(B23,Agentes!$A$6:$A$60,0)),"")="PNOS",IF(T23&gt;=3,"Seguimiento respiratorio (espirometría)","Según criterio médico"),IF(T23&gt;=3,"SVE específico (≥ nivel de acción)",IF(T23=2,"Seguimiento periódico con BEI si aplica","Examen periódico general"))))</f>
        <v/>
      </c>
      <c r="Y23" s="15">
        <f>GES!R23</f>
        <v/>
      </c>
    </row>
    <row r="24">
      <c r="A24" s="15">
        <f>IF(GES!A24="","",GES!A24)</f>
        <v/>
      </c>
      <c r="B24" s="15">
        <f>IF(A24="","",GES!E24)</f>
        <v/>
      </c>
      <c r="C24" s="15">
        <f>IF(A24="","",GES!X24)</f>
        <v/>
      </c>
      <c r="D24" s="15">
        <f>IF(Y24="","",COUNTIFS(Muestreo!$Y$6:$Y$305,Y24,Muestreo!$N$6:$N$305,"&gt;0"))</f>
        <v/>
      </c>
      <c r="E24" s="15">
        <f>IF(A24="","",GES!P24)</f>
        <v/>
      </c>
      <c r="F24" s="15">
        <f>IF(A24="","",IF(N(D24)=0,"Sin muestras",IF(D24&gt;=E24,"Suficiente","Insuficiente (&lt;"&amp;E24&amp;")")))</f>
        <v/>
      </c>
      <c r="G24" s="25">
        <f>IF(N(D24)=0,"",_xlfn.MINIFS(Muestreo!$N$6:$N$305,Muestreo!$Y$6:$Y$305,Y24))</f>
        <v/>
      </c>
      <c r="H24" s="25">
        <f>IF(N(D24)=0,"",_xlfn.MAXIFS(Muestreo!$N$6:$N$305,Muestreo!$Y$6:$Y$305,Y24))</f>
        <v/>
      </c>
      <c r="I24" s="25">
        <f>IF(N(D24)=0,"",AVERAGEIFS(Muestreo!$N$6:$N$305,Muestreo!$Y$6:$Y$305,Y24))</f>
        <v/>
      </c>
      <c r="J24" s="25">
        <f>IF(N(D24)&lt;2,"",SQRT(SUMIFS(Muestreo!$W$6:$W$305,Muestreo!$Y$6:$Y$305,Y24)/(D24-1)))</f>
        <v/>
      </c>
      <c r="K24" s="25">
        <f>IF(N(D24)=0,"",EXP(AVERAGEIFS(Muestreo!$U$6:$U$305,Muestreo!$Y$6:$Y$305,Y24)))</f>
        <v/>
      </c>
      <c r="L24" s="29">
        <f>IF(N(D24)&lt;2,"",EXP(SQRT(SUMIFS(Muestreo!$V$6:$V$305,Muestreo!$Y$6:$Y$305,Y24)/IF(Agentes!$C$63="n",D24,D24-1))))</f>
        <v/>
      </c>
      <c r="M24" s="30">
        <f>IF(N(D24)=0,"",SUMIFS(Muestreo!$X$6:$X$305,Muestreo!$Y$6:$Y$305,Y24)/D24)</f>
        <v/>
      </c>
      <c r="N24" s="22">
        <f>IF(A24="","",GES!W24)</f>
        <v/>
      </c>
      <c r="O24" s="29">
        <f>IF(OR(I24="",N(N24)=0),"",I24/N24)</f>
        <v/>
      </c>
      <c r="P24" s="25">
        <f>IF(N(D24)=0,"",IF(L24="",H24,K24*L24^1.645))</f>
        <v/>
      </c>
      <c r="Q24" s="29">
        <f>IF(OR(P24="",N(N24)=0),"",P24/N24)</f>
        <v/>
      </c>
      <c r="R24" s="31">
        <f>IF(A24="","",Agentes!$C$64)</f>
        <v/>
      </c>
      <c r="S24" s="28">
        <f>IF(L24="",IF(N(D24)=1,"n = 1: se decide con el máximo",""),IF(L24&lt;=R24,"GES aceptable","Revisar conformación del GES (DEG &gt; "&amp;R24&amp;")"))</f>
        <v/>
      </c>
      <c r="T24" s="15">
        <f>IF(Q24="","",IF(Q24&lt;=0.01,0,IF(Q24&lt;=0.1,1,IF(Q24&lt;=0.5,2,IF(Q24&lt;=1,3,4)))))</f>
        <v/>
      </c>
      <c r="U24" s="28">
        <f>IF(A24="","",IF(T24="","Sin datos",CHOOSE(T24+1,"Insignificante (Cat. 0)","Muy baja (Cat. 1)","Controlada (Cat. 2)","Fuera de control – precaución (Cat. 3)","Sobreexposición (Cat. 4)")))</f>
        <v/>
      </c>
      <c r="V24" s="15">
        <f>IF(T24="","",IF(T24=4,5,IF(T24=3,IF(N(M24)&gt;0,4,3),IF(T24=2,2,1))))</f>
        <v/>
      </c>
      <c r="W24" s="15">
        <f>IF(V24="","",CHOOSE(V24,"De 3 a 5 años","De 1 a 3 años","De 3 meses a 1 año","De 1 a 3 meses","Evaluación continua"))</f>
        <v/>
      </c>
      <c r="X24" s="28">
        <f>IF(OR(A24="",T24=""),"",IF(IFERROR(INDEX(Agentes!$H$6:$H$60,MATCH(B24,Agentes!$A$6:$A$60,0)),"")="PNOS",IF(T24&gt;=3,"Seguimiento respiratorio (espirometría)","Según criterio médico"),IF(T24&gt;=3,"SVE específico (≥ nivel de acción)",IF(T24=2,"Seguimiento periódico con BEI si aplica","Examen periódico general"))))</f>
        <v/>
      </c>
      <c r="Y24" s="15">
        <f>GES!R24</f>
        <v/>
      </c>
    </row>
    <row r="25">
      <c r="A25" s="15">
        <f>IF(GES!A25="","",GES!A25)</f>
        <v/>
      </c>
      <c r="B25" s="15">
        <f>IF(A25="","",GES!E25)</f>
        <v/>
      </c>
      <c r="C25" s="15">
        <f>IF(A25="","",GES!X25)</f>
        <v/>
      </c>
      <c r="D25" s="15">
        <f>IF(Y25="","",COUNTIFS(Muestreo!$Y$6:$Y$305,Y25,Muestreo!$N$6:$N$305,"&gt;0"))</f>
        <v/>
      </c>
      <c r="E25" s="15">
        <f>IF(A25="","",GES!P25)</f>
        <v/>
      </c>
      <c r="F25" s="15">
        <f>IF(A25="","",IF(N(D25)=0,"Sin muestras",IF(D25&gt;=E25,"Suficiente","Insuficiente (&lt;"&amp;E25&amp;")")))</f>
        <v/>
      </c>
      <c r="G25" s="25">
        <f>IF(N(D25)=0,"",_xlfn.MINIFS(Muestreo!$N$6:$N$305,Muestreo!$Y$6:$Y$305,Y25))</f>
        <v/>
      </c>
      <c r="H25" s="25">
        <f>IF(N(D25)=0,"",_xlfn.MAXIFS(Muestreo!$N$6:$N$305,Muestreo!$Y$6:$Y$305,Y25))</f>
        <v/>
      </c>
      <c r="I25" s="25">
        <f>IF(N(D25)=0,"",AVERAGEIFS(Muestreo!$N$6:$N$305,Muestreo!$Y$6:$Y$305,Y25))</f>
        <v/>
      </c>
      <c r="J25" s="25">
        <f>IF(N(D25)&lt;2,"",SQRT(SUMIFS(Muestreo!$W$6:$W$305,Muestreo!$Y$6:$Y$305,Y25)/(D25-1)))</f>
        <v/>
      </c>
      <c r="K25" s="25">
        <f>IF(N(D25)=0,"",EXP(AVERAGEIFS(Muestreo!$U$6:$U$305,Muestreo!$Y$6:$Y$305,Y25)))</f>
        <v/>
      </c>
      <c r="L25" s="29">
        <f>IF(N(D25)&lt;2,"",EXP(SQRT(SUMIFS(Muestreo!$V$6:$V$305,Muestreo!$Y$6:$Y$305,Y25)/IF(Agentes!$C$63="n",D25,D25-1))))</f>
        <v/>
      </c>
      <c r="M25" s="30">
        <f>IF(N(D25)=0,"",SUMIFS(Muestreo!$X$6:$X$305,Muestreo!$Y$6:$Y$305,Y25)/D25)</f>
        <v/>
      </c>
      <c r="N25" s="22">
        <f>IF(A25="","",GES!W25)</f>
        <v/>
      </c>
      <c r="O25" s="29">
        <f>IF(OR(I25="",N(N25)=0),"",I25/N25)</f>
        <v/>
      </c>
      <c r="P25" s="25">
        <f>IF(N(D25)=0,"",IF(L25="",H25,K25*L25^1.645))</f>
        <v/>
      </c>
      <c r="Q25" s="29">
        <f>IF(OR(P25="",N(N25)=0),"",P25/N25)</f>
        <v/>
      </c>
      <c r="R25" s="31">
        <f>IF(A25="","",Agentes!$C$64)</f>
        <v/>
      </c>
      <c r="S25" s="28">
        <f>IF(L25="",IF(N(D25)=1,"n = 1: se decide con el máximo",""),IF(L25&lt;=R25,"GES aceptable","Revisar conformación del GES (DEG &gt; "&amp;R25&amp;")"))</f>
        <v/>
      </c>
      <c r="T25" s="15">
        <f>IF(Q25="","",IF(Q25&lt;=0.01,0,IF(Q25&lt;=0.1,1,IF(Q25&lt;=0.5,2,IF(Q25&lt;=1,3,4)))))</f>
        <v/>
      </c>
      <c r="U25" s="28">
        <f>IF(A25="","",IF(T25="","Sin datos",CHOOSE(T25+1,"Insignificante (Cat. 0)","Muy baja (Cat. 1)","Controlada (Cat. 2)","Fuera de control – precaución (Cat. 3)","Sobreexposición (Cat. 4)")))</f>
        <v/>
      </c>
      <c r="V25" s="15">
        <f>IF(T25="","",IF(T25=4,5,IF(T25=3,IF(N(M25)&gt;0,4,3),IF(T25=2,2,1))))</f>
        <v/>
      </c>
      <c r="W25" s="15">
        <f>IF(V25="","",CHOOSE(V25,"De 3 a 5 años","De 1 a 3 años","De 3 meses a 1 año","De 1 a 3 meses","Evaluación continua"))</f>
        <v/>
      </c>
      <c r="X25" s="28">
        <f>IF(OR(A25="",T25=""),"",IF(IFERROR(INDEX(Agentes!$H$6:$H$60,MATCH(B25,Agentes!$A$6:$A$60,0)),"")="PNOS",IF(T25&gt;=3,"Seguimiento respiratorio (espirometría)","Según criterio médico"),IF(T25&gt;=3,"SVE específico (≥ nivel de acción)",IF(T25=2,"Seguimiento periódico con BEI si aplica","Examen periódico general"))))</f>
        <v/>
      </c>
      <c r="Y25" s="15">
        <f>GES!R25</f>
        <v/>
      </c>
    </row>
    <row r="26">
      <c r="A26" s="15">
        <f>IF(GES!A26="","",GES!A26)</f>
        <v/>
      </c>
      <c r="B26" s="15">
        <f>IF(A26="","",GES!E26)</f>
        <v/>
      </c>
      <c r="C26" s="15">
        <f>IF(A26="","",GES!X26)</f>
        <v/>
      </c>
      <c r="D26" s="15">
        <f>IF(Y26="","",COUNTIFS(Muestreo!$Y$6:$Y$305,Y26,Muestreo!$N$6:$N$305,"&gt;0"))</f>
        <v/>
      </c>
      <c r="E26" s="15">
        <f>IF(A26="","",GES!P26)</f>
        <v/>
      </c>
      <c r="F26" s="15">
        <f>IF(A26="","",IF(N(D26)=0,"Sin muestras",IF(D26&gt;=E26,"Suficiente","Insuficiente (&lt;"&amp;E26&amp;")")))</f>
        <v/>
      </c>
      <c r="G26" s="25">
        <f>IF(N(D26)=0,"",_xlfn.MINIFS(Muestreo!$N$6:$N$305,Muestreo!$Y$6:$Y$305,Y26))</f>
        <v/>
      </c>
      <c r="H26" s="25">
        <f>IF(N(D26)=0,"",_xlfn.MAXIFS(Muestreo!$N$6:$N$305,Muestreo!$Y$6:$Y$305,Y26))</f>
        <v/>
      </c>
      <c r="I26" s="25">
        <f>IF(N(D26)=0,"",AVERAGEIFS(Muestreo!$N$6:$N$305,Muestreo!$Y$6:$Y$305,Y26))</f>
        <v/>
      </c>
      <c r="J26" s="25">
        <f>IF(N(D26)&lt;2,"",SQRT(SUMIFS(Muestreo!$W$6:$W$305,Muestreo!$Y$6:$Y$305,Y26)/(D26-1)))</f>
        <v/>
      </c>
      <c r="K26" s="25">
        <f>IF(N(D26)=0,"",EXP(AVERAGEIFS(Muestreo!$U$6:$U$305,Muestreo!$Y$6:$Y$305,Y26)))</f>
        <v/>
      </c>
      <c r="L26" s="29">
        <f>IF(N(D26)&lt;2,"",EXP(SQRT(SUMIFS(Muestreo!$V$6:$V$305,Muestreo!$Y$6:$Y$305,Y26)/IF(Agentes!$C$63="n",D26,D26-1))))</f>
        <v/>
      </c>
      <c r="M26" s="30">
        <f>IF(N(D26)=0,"",SUMIFS(Muestreo!$X$6:$X$305,Muestreo!$Y$6:$Y$305,Y26)/D26)</f>
        <v/>
      </c>
      <c r="N26" s="22">
        <f>IF(A26="","",GES!W26)</f>
        <v/>
      </c>
      <c r="O26" s="29">
        <f>IF(OR(I26="",N(N26)=0),"",I26/N26)</f>
        <v/>
      </c>
      <c r="P26" s="25">
        <f>IF(N(D26)=0,"",IF(L26="",H26,K26*L26^1.645))</f>
        <v/>
      </c>
      <c r="Q26" s="29">
        <f>IF(OR(P26="",N(N26)=0),"",P26/N26)</f>
        <v/>
      </c>
      <c r="R26" s="31">
        <f>IF(A26="","",Agentes!$C$64)</f>
        <v/>
      </c>
      <c r="S26" s="28">
        <f>IF(L26="",IF(N(D26)=1,"n = 1: se decide con el máximo",""),IF(L26&lt;=R26,"GES aceptable","Revisar conformación del GES (DEG &gt; "&amp;R26&amp;")"))</f>
        <v/>
      </c>
      <c r="T26" s="15">
        <f>IF(Q26="","",IF(Q26&lt;=0.01,0,IF(Q26&lt;=0.1,1,IF(Q26&lt;=0.5,2,IF(Q26&lt;=1,3,4)))))</f>
        <v/>
      </c>
      <c r="U26" s="28">
        <f>IF(A26="","",IF(T26="","Sin datos",CHOOSE(T26+1,"Insignificante (Cat. 0)","Muy baja (Cat. 1)","Controlada (Cat. 2)","Fuera de control – precaución (Cat. 3)","Sobreexposición (Cat. 4)")))</f>
        <v/>
      </c>
      <c r="V26" s="15">
        <f>IF(T26="","",IF(T26=4,5,IF(T26=3,IF(N(M26)&gt;0,4,3),IF(T26=2,2,1))))</f>
        <v/>
      </c>
      <c r="W26" s="15">
        <f>IF(V26="","",CHOOSE(V26,"De 3 a 5 años","De 1 a 3 años","De 3 meses a 1 año","De 1 a 3 meses","Evaluación continua"))</f>
        <v/>
      </c>
      <c r="X26" s="28">
        <f>IF(OR(A26="",T26=""),"",IF(IFERROR(INDEX(Agentes!$H$6:$H$60,MATCH(B26,Agentes!$A$6:$A$60,0)),"")="PNOS",IF(T26&gt;=3,"Seguimiento respiratorio (espirometría)","Según criterio médico"),IF(T26&gt;=3,"SVE específico (≥ nivel de acción)",IF(T26=2,"Seguimiento periódico con BEI si aplica","Examen periódico general"))))</f>
        <v/>
      </c>
      <c r="Y26" s="15">
        <f>GES!R26</f>
        <v/>
      </c>
    </row>
    <row r="27">
      <c r="A27" s="15">
        <f>IF(GES!A27="","",GES!A27)</f>
        <v/>
      </c>
      <c r="B27" s="15">
        <f>IF(A27="","",GES!E27)</f>
        <v/>
      </c>
      <c r="C27" s="15">
        <f>IF(A27="","",GES!X27)</f>
        <v/>
      </c>
      <c r="D27" s="15">
        <f>IF(Y27="","",COUNTIFS(Muestreo!$Y$6:$Y$305,Y27,Muestreo!$N$6:$N$305,"&gt;0"))</f>
        <v/>
      </c>
      <c r="E27" s="15">
        <f>IF(A27="","",GES!P27)</f>
        <v/>
      </c>
      <c r="F27" s="15">
        <f>IF(A27="","",IF(N(D27)=0,"Sin muestras",IF(D27&gt;=E27,"Suficiente","Insuficiente (&lt;"&amp;E27&amp;")")))</f>
        <v/>
      </c>
      <c r="G27" s="25">
        <f>IF(N(D27)=0,"",_xlfn.MINIFS(Muestreo!$N$6:$N$305,Muestreo!$Y$6:$Y$305,Y27))</f>
        <v/>
      </c>
      <c r="H27" s="25">
        <f>IF(N(D27)=0,"",_xlfn.MAXIFS(Muestreo!$N$6:$N$305,Muestreo!$Y$6:$Y$305,Y27))</f>
        <v/>
      </c>
      <c r="I27" s="25">
        <f>IF(N(D27)=0,"",AVERAGEIFS(Muestreo!$N$6:$N$305,Muestreo!$Y$6:$Y$305,Y27))</f>
        <v/>
      </c>
      <c r="J27" s="25">
        <f>IF(N(D27)&lt;2,"",SQRT(SUMIFS(Muestreo!$W$6:$W$305,Muestreo!$Y$6:$Y$305,Y27)/(D27-1)))</f>
        <v/>
      </c>
      <c r="K27" s="25">
        <f>IF(N(D27)=0,"",EXP(AVERAGEIFS(Muestreo!$U$6:$U$305,Muestreo!$Y$6:$Y$305,Y27)))</f>
        <v/>
      </c>
      <c r="L27" s="29">
        <f>IF(N(D27)&lt;2,"",EXP(SQRT(SUMIFS(Muestreo!$V$6:$V$305,Muestreo!$Y$6:$Y$305,Y27)/IF(Agentes!$C$63="n",D27,D27-1))))</f>
        <v/>
      </c>
      <c r="M27" s="30">
        <f>IF(N(D27)=0,"",SUMIFS(Muestreo!$X$6:$X$305,Muestreo!$Y$6:$Y$305,Y27)/D27)</f>
        <v/>
      </c>
      <c r="N27" s="22">
        <f>IF(A27="","",GES!W27)</f>
        <v/>
      </c>
      <c r="O27" s="29">
        <f>IF(OR(I27="",N(N27)=0),"",I27/N27)</f>
        <v/>
      </c>
      <c r="P27" s="25">
        <f>IF(N(D27)=0,"",IF(L27="",H27,K27*L27^1.645))</f>
        <v/>
      </c>
      <c r="Q27" s="29">
        <f>IF(OR(P27="",N(N27)=0),"",P27/N27)</f>
        <v/>
      </c>
      <c r="R27" s="31">
        <f>IF(A27="","",Agentes!$C$64)</f>
        <v/>
      </c>
      <c r="S27" s="28">
        <f>IF(L27="",IF(N(D27)=1,"n = 1: se decide con el máximo",""),IF(L27&lt;=R27,"GES aceptable","Revisar conformación del GES (DEG &gt; "&amp;R27&amp;")"))</f>
        <v/>
      </c>
      <c r="T27" s="15">
        <f>IF(Q27="","",IF(Q27&lt;=0.01,0,IF(Q27&lt;=0.1,1,IF(Q27&lt;=0.5,2,IF(Q27&lt;=1,3,4)))))</f>
        <v/>
      </c>
      <c r="U27" s="28">
        <f>IF(A27="","",IF(T27="","Sin datos",CHOOSE(T27+1,"Insignificante (Cat. 0)","Muy baja (Cat. 1)","Controlada (Cat. 2)","Fuera de control – precaución (Cat. 3)","Sobreexposición (Cat. 4)")))</f>
        <v/>
      </c>
      <c r="V27" s="15">
        <f>IF(T27="","",IF(T27=4,5,IF(T27=3,IF(N(M27)&gt;0,4,3),IF(T27=2,2,1))))</f>
        <v/>
      </c>
      <c r="W27" s="15">
        <f>IF(V27="","",CHOOSE(V27,"De 3 a 5 años","De 1 a 3 años","De 3 meses a 1 año","De 1 a 3 meses","Evaluación continua"))</f>
        <v/>
      </c>
      <c r="X27" s="28">
        <f>IF(OR(A27="",T27=""),"",IF(IFERROR(INDEX(Agentes!$H$6:$H$60,MATCH(B27,Agentes!$A$6:$A$60,0)),"")="PNOS",IF(T27&gt;=3,"Seguimiento respiratorio (espirometría)","Según criterio médico"),IF(T27&gt;=3,"SVE específico (≥ nivel de acción)",IF(T27=2,"Seguimiento periódico con BEI si aplica","Examen periódico general"))))</f>
        <v/>
      </c>
      <c r="Y27" s="15">
        <f>GES!R27</f>
        <v/>
      </c>
    </row>
    <row r="28">
      <c r="A28" s="15">
        <f>IF(GES!A28="","",GES!A28)</f>
        <v/>
      </c>
      <c r="B28" s="15">
        <f>IF(A28="","",GES!E28)</f>
        <v/>
      </c>
      <c r="C28" s="15">
        <f>IF(A28="","",GES!X28)</f>
        <v/>
      </c>
      <c r="D28" s="15">
        <f>IF(Y28="","",COUNTIFS(Muestreo!$Y$6:$Y$305,Y28,Muestreo!$N$6:$N$305,"&gt;0"))</f>
        <v/>
      </c>
      <c r="E28" s="15">
        <f>IF(A28="","",GES!P28)</f>
        <v/>
      </c>
      <c r="F28" s="15">
        <f>IF(A28="","",IF(N(D28)=0,"Sin muestras",IF(D28&gt;=E28,"Suficiente","Insuficiente (&lt;"&amp;E28&amp;")")))</f>
        <v/>
      </c>
      <c r="G28" s="25">
        <f>IF(N(D28)=0,"",_xlfn.MINIFS(Muestreo!$N$6:$N$305,Muestreo!$Y$6:$Y$305,Y28))</f>
        <v/>
      </c>
      <c r="H28" s="25">
        <f>IF(N(D28)=0,"",_xlfn.MAXIFS(Muestreo!$N$6:$N$305,Muestreo!$Y$6:$Y$305,Y28))</f>
        <v/>
      </c>
      <c r="I28" s="25">
        <f>IF(N(D28)=0,"",AVERAGEIFS(Muestreo!$N$6:$N$305,Muestreo!$Y$6:$Y$305,Y28))</f>
        <v/>
      </c>
      <c r="J28" s="25">
        <f>IF(N(D28)&lt;2,"",SQRT(SUMIFS(Muestreo!$W$6:$W$305,Muestreo!$Y$6:$Y$305,Y28)/(D28-1)))</f>
        <v/>
      </c>
      <c r="K28" s="25">
        <f>IF(N(D28)=0,"",EXP(AVERAGEIFS(Muestreo!$U$6:$U$305,Muestreo!$Y$6:$Y$305,Y28)))</f>
        <v/>
      </c>
      <c r="L28" s="29">
        <f>IF(N(D28)&lt;2,"",EXP(SQRT(SUMIFS(Muestreo!$V$6:$V$305,Muestreo!$Y$6:$Y$305,Y28)/IF(Agentes!$C$63="n",D28,D28-1))))</f>
        <v/>
      </c>
      <c r="M28" s="30">
        <f>IF(N(D28)=0,"",SUMIFS(Muestreo!$X$6:$X$305,Muestreo!$Y$6:$Y$305,Y28)/D28)</f>
        <v/>
      </c>
      <c r="N28" s="22">
        <f>IF(A28="","",GES!W28)</f>
        <v/>
      </c>
      <c r="O28" s="29">
        <f>IF(OR(I28="",N(N28)=0),"",I28/N28)</f>
        <v/>
      </c>
      <c r="P28" s="25">
        <f>IF(N(D28)=0,"",IF(L28="",H28,K28*L28^1.645))</f>
        <v/>
      </c>
      <c r="Q28" s="29">
        <f>IF(OR(P28="",N(N28)=0),"",P28/N28)</f>
        <v/>
      </c>
      <c r="R28" s="31">
        <f>IF(A28="","",Agentes!$C$64)</f>
        <v/>
      </c>
      <c r="S28" s="28">
        <f>IF(L28="",IF(N(D28)=1,"n = 1: se decide con el máximo",""),IF(L28&lt;=R28,"GES aceptable","Revisar conformación del GES (DEG &gt; "&amp;R28&amp;")"))</f>
        <v/>
      </c>
      <c r="T28" s="15">
        <f>IF(Q28="","",IF(Q28&lt;=0.01,0,IF(Q28&lt;=0.1,1,IF(Q28&lt;=0.5,2,IF(Q28&lt;=1,3,4)))))</f>
        <v/>
      </c>
      <c r="U28" s="28">
        <f>IF(A28="","",IF(T28="","Sin datos",CHOOSE(T28+1,"Insignificante (Cat. 0)","Muy baja (Cat. 1)","Controlada (Cat. 2)","Fuera de control – precaución (Cat. 3)","Sobreexposición (Cat. 4)")))</f>
        <v/>
      </c>
      <c r="V28" s="15">
        <f>IF(T28="","",IF(T28=4,5,IF(T28=3,IF(N(M28)&gt;0,4,3),IF(T28=2,2,1))))</f>
        <v/>
      </c>
      <c r="W28" s="15">
        <f>IF(V28="","",CHOOSE(V28,"De 3 a 5 años","De 1 a 3 años","De 3 meses a 1 año","De 1 a 3 meses","Evaluación continua"))</f>
        <v/>
      </c>
      <c r="X28" s="28">
        <f>IF(OR(A28="",T28=""),"",IF(IFERROR(INDEX(Agentes!$H$6:$H$60,MATCH(B28,Agentes!$A$6:$A$60,0)),"")="PNOS",IF(T28&gt;=3,"Seguimiento respiratorio (espirometría)","Según criterio médico"),IF(T28&gt;=3,"SVE específico (≥ nivel de acción)",IF(T28=2,"Seguimiento periódico con BEI si aplica","Examen periódico general"))))</f>
        <v/>
      </c>
      <c r="Y28" s="15">
        <f>GES!R28</f>
        <v/>
      </c>
    </row>
    <row r="29">
      <c r="A29" s="15">
        <f>IF(GES!A29="","",GES!A29)</f>
        <v/>
      </c>
      <c r="B29" s="15">
        <f>IF(A29="","",GES!E29)</f>
        <v/>
      </c>
      <c r="C29" s="15">
        <f>IF(A29="","",GES!X29)</f>
        <v/>
      </c>
      <c r="D29" s="15">
        <f>IF(Y29="","",COUNTIFS(Muestreo!$Y$6:$Y$305,Y29,Muestreo!$N$6:$N$305,"&gt;0"))</f>
        <v/>
      </c>
      <c r="E29" s="15">
        <f>IF(A29="","",GES!P29)</f>
        <v/>
      </c>
      <c r="F29" s="15">
        <f>IF(A29="","",IF(N(D29)=0,"Sin muestras",IF(D29&gt;=E29,"Suficiente","Insuficiente (&lt;"&amp;E29&amp;")")))</f>
        <v/>
      </c>
      <c r="G29" s="25">
        <f>IF(N(D29)=0,"",_xlfn.MINIFS(Muestreo!$N$6:$N$305,Muestreo!$Y$6:$Y$305,Y29))</f>
        <v/>
      </c>
      <c r="H29" s="25">
        <f>IF(N(D29)=0,"",_xlfn.MAXIFS(Muestreo!$N$6:$N$305,Muestreo!$Y$6:$Y$305,Y29))</f>
        <v/>
      </c>
      <c r="I29" s="25">
        <f>IF(N(D29)=0,"",AVERAGEIFS(Muestreo!$N$6:$N$305,Muestreo!$Y$6:$Y$305,Y29))</f>
        <v/>
      </c>
      <c r="J29" s="25">
        <f>IF(N(D29)&lt;2,"",SQRT(SUMIFS(Muestreo!$W$6:$W$305,Muestreo!$Y$6:$Y$305,Y29)/(D29-1)))</f>
        <v/>
      </c>
      <c r="K29" s="25">
        <f>IF(N(D29)=0,"",EXP(AVERAGEIFS(Muestreo!$U$6:$U$305,Muestreo!$Y$6:$Y$305,Y29)))</f>
        <v/>
      </c>
      <c r="L29" s="29">
        <f>IF(N(D29)&lt;2,"",EXP(SQRT(SUMIFS(Muestreo!$V$6:$V$305,Muestreo!$Y$6:$Y$305,Y29)/IF(Agentes!$C$63="n",D29,D29-1))))</f>
        <v/>
      </c>
      <c r="M29" s="30">
        <f>IF(N(D29)=0,"",SUMIFS(Muestreo!$X$6:$X$305,Muestreo!$Y$6:$Y$305,Y29)/D29)</f>
        <v/>
      </c>
      <c r="N29" s="22">
        <f>IF(A29="","",GES!W29)</f>
        <v/>
      </c>
      <c r="O29" s="29">
        <f>IF(OR(I29="",N(N29)=0),"",I29/N29)</f>
        <v/>
      </c>
      <c r="P29" s="25">
        <f>IF(N(D29)=0,"",IF(L29="",H29,K29*L29^1.645))</f>
        <v/>
      </c>
      <c r="Q29" s="29">
        <f>IF(OR(P29="",N(N29)=0),"",P29/N29)</f>
        <v/>
      </c>
      <c r="R29" s="31">
        <f>IF(A29="","",Agentes!$C$64)</f>
        <v/>
      </c>
      <c r="S29" s="28">
        <f>IF(L29="",IF(N(D29)=1,"n = 1: se decide con el máximo",""),IF(L29&lt;=R29,"GES aceptable","Revisar conformación del GES (DEG &gt; "&amp;R29&amp;")"))</f>
        <v/>
      </c>
      <c r="T29" s="15">
        <f>IF(Q29="","",IF(Q29&lt;=0.01,0,IF(Q29&lt;=0.1,1,IF(Q29&lt;=0.5,2,IF(Q29&lt;=1,3,4)))))</f>
        <v/>
      </c>
      <c r="U29" s="28">
        <f>IF(A29="","",IF(T29="","Sin datos",CHOOSE(T29+1,"Insignificante (Cat. 0)","Muy baja (Cat. 1)","Controlada (Cat. 2)","Fuera de control – precaución (Cat. 3)","Sobreexposición (Cat. 4)")))</f>
        <v/>
      </c>
      <c r="V29" s="15">
        <f>IF(T29="","",IF(T29=4,5,IF(T29=3,IF(N(M29)&gt;0,4,3),IF(T29=2,2,1))))</f>
        <v/>
      </c>
      <c r="W29" s="15">
        <f>IF(V29="","",CHOOSE(V29,"De 3 a 5 años","De 1 a 3 años","De 3 meses a 1 año","De 1 a 3 meses","Evaluación continua"))</f>
        <v/>
      </c>
      <c r="X29" s="28">
        <f>IF(OR(A29="",T29=""),"",IF(IFERROR(INDEX(Agentes!$H$6:$H$60,MATCH(B29,Agentes!$A$6:$A$60,0)),"")="PNOS",IF(T29&gt;=3,"Seguimiento respiratorio (espirometría)","Según criterio médico"),IF(T29&gt;=3,"SVE específico (≥ nivel de acción)",IF(T29=2,"Seguimiento periódico con BEI si aplica","Examen periódico general"))))</f>
        <v/>
      </c>
      <c r="Y29" s="15">
        <f>GES!R29</f>
        <v/>
      </c>
    </row>
    <row r="30">
      <c r="A30" s="15">
        <f>IF(GES!A30="","",GES!A30)</f>
        <v/>
      </c>
      <c r="B30" s="15">
        <f>IF(A30="","",GES!E30)</f>
        <v/>
      </c>
      <c r="C30" s="15">
        <f>IF(A30="","",GES!X30)</f>
        <v/>
      </c>
      <c r="D30" s="15">
        <f>IF(Y30="","",COUNTIFS(Muestreo!$Y$6:$Y$305,Y30,Muestreo!$N$6:$N$305,"&gt;0"))</f>
        <v/>
      </c>
      <c r="E30" s="15">
        <f>IF(A30="","",GES!P30)</f>
        <v/>
      </c>
      <c r="F30" s="15">
        <f>IF(A30="","",IF(N(D30)=0,"Sin muestras",IF(D30&gt;=E30,"Suficiente","Insuficiente (&lt;"&amp;E30&amp;")")))</f>
        <v/>
      </c>
      <c r="G30" s="25">
        <f>IF(N(D30)=0,"",_xlfn.MINIFS(Muestreo!$N$6:$N$305,Muestreo!$Y$6:$Y$305,Y30))</f>
        <v/>
      </c>
      <c r="H30" s="25">
        <f>IF(N(D30)=0,"",_xlfn.MAXIFS(Muestreo!$N$6:$N$305,Muestreo!$Y$6:$Y$305,Y30))</f>
        <v/>
      </c>
      <c r="I30" s="25">
        <f>IF(N(D30)=0,"",AVERAGEIFS(Muestreo!$N$6:$N$305,Muestreo!$Y$6:$Y$305,Y30))</f>
        <v/>
      </c>
      <c r="J30" s="25">
        <f>IF(N(D30)&lt;2,"",SQRT(SUMIFS(Muestreo!$W$6:$W$305,Muestreo!$Y$6:$Y$305,Y30)/(D30-1)))</f>
        <v/>
      </c>
      <c r="K30" s="25">
        <f>IF(N(D30)=0,"",EXP(AVERAGEIFS(Muestreo!$U$6:$U$305,Muestreo!$Y$6:$Y$305,Y30)))</f>
        <v/>
      </c>
      <c r="L30" s="29">
        <f>IF(N(D30)&lt;2,"",EXP(SQRT(SUMIFS(Muestreo!$V$6:$V$305,Muestreo!$Y$6:$Y$305,Y30)/IF(Agentes!$C$63="n",D30,D30-1))))</f>
        <v/>
      </c>
      <c r="M30" s="30">
        <f>IF(N(D30)=0,"",SUMIFS(Muestreo!$X$6:$X$305,Muestreo!$Y$6:$Y$305,Y30)/D30)</f>
        <v/>
      </c>
      <c r="N30" s="22">
        <f>IF(A30="","",GES!W30)</f>
        <v/>
      </c>
      <c r="O30" s="29">
        <f>IF(OR(I30="",N(N30)=0),"",I30/N30)</f>
        <v/>
      </c>
      <c r="P30" s="25">
        <f>IF(N(D30)=0,"",IF(L30="",H30,K30*L30^1.645))</f>
        <v/>
      </c>
      <c r="Q30" s="29">
        <f>IF(OR(P30="",N(N30)=0),"",P30/N30)</f>
        <v/>
      </c>
      <c r="R30" s="31">
        <f>IF(A30="","",Agentes!$C$64)</f>
        <v/>
      </c>
      <c r="S30" s="28">
        <f>IF(L30="",IF(N(D30)=1,"n = 1: se decide con el máximo",""),IF(L30&lt;=R30,"GES aceptable","Revisar conformación del GES (DEG &gt; "&amp;R30&amp;")"))</f>
        <v/>
      </c>
      <c r="T30" s="15">
        <f>IF(Q30="","",IF(Q30&lt;=0.01,0,IF(Q30&lt;=0.1,1,IF(Q30&lt;=0.5,2,IF(Q30&lt;=1,3,4)))))</f>
        <v/>
      </c>
      <c r="U30" s="28">
        <f>IF(A30="","",IF(T30="","Sin datos",CHOOSE(T30+1,"Insignificante (Cat. 0)","Muy baja (Cat. 1)","Controlada (Cat. 2)","Fuera de control – precaución (Cat. 3)","Sobreexposición (Cat. 4)")))</f>
        <v/>
      </c>
      <c r="V30" s="15">
        <f>IF(T30="","",IF(T30=4,5,IF(T30=3,IF(N(M30)&gt;0,4,3),IF(T30=2,2,1))))</f>
        <v/>
      </c>
      <c r="W30" s="15">
        <f>IF(V30="","",CHOOSE(V30,"De 3 a 5 años","De 1 a 3 años","De 3 meses a 1 año","De 1 a 3 meses","Evaluación continua"))</f>
        <v/>
      </c>
      <c r="X30" s="28">
        <f>IF(OR(A30="",T30=""),"",IF(IFERROR(INDEX(Agentes!$H$6:$H$60,MATCH(B30,Agentes!$A$6:$A$60,0)),"")="PNOS",IF(T30&gt;=3,"Seguimiento respiratorio (espirometría)","Según criterio médico"),IF(T30&gt;=3,"SVE específico (≥ nivel de acción)",IF(T30=2,"Seguimiento periódico con BEI si aplica","Examen periódico general"))))</f>
        <v/>
      </c>
      <c r="Y30" s="15">
        <f>GES!R30</f>
        <v/>
      </c>
    </row>
    <row r="31">
      <c r="A31" s="15">
        <f>IF(GES!A31="","",GES!A31)</f>
        <v/>
      </c>
      <c r="B31" s="15">
        <f>IF(A31="","",GES!E31)</f>
        <v/>
      </c>
      <c r="C31" s="15">
        <f>IF(A31="","",GES!X31)</f>
        <v/>
      </c>
      <c r="D31" s="15">
        <f>IF(Y31="","",COUNTIFS(Muestreo!$Y$6:$Y$305,Y31,Muestreo!$N$6:$N$305,"&gt;0"))</f>
        <v/>
      </c>
      <c r="E31" s="15">
        <f>IF(A31="","",GES!P31)</f>
        <v/>
      </c>
      <c r="F31" s="15">
        <f>IF(A31="","",IF(N(D31)=0,"Sin muestras",IF(D31&gt;=E31,"Suficiente","Insuficiente (&lt;"&amp;E31&amp;")")))</f>
        <v/>
      </c>
      <c r="G31" s="25">
        <f>IF(N(D31)=0,"",_xlfn.MINIFS(Muestreo!$N$6:$N$305,Muestreo!$Y$6:$Y$305,Y31))</f>
        <v/>
      </c>
      <c r="H31" s="25">
        <f>IF(N(D31)=0,"",_xlfn.MAXIFS(Muestreo!$N$6:$N$305,Muestreo!$Y$6:$Y$305,Y31))</f>
        <v/>
      </c>
      <c r="I31" s="25">
        <f>IF(N(D31)=0,"",AVERAGEIFS(Muestreo!$N$6:$N$305,Muestreo!$Y$6:$Y$305,Y31))</f>
        <v/>
      </c>
      <c r="J31" s="25">
        <f>IF(N(D31)&lt;2,"",SQRT(SUMIFS(Muestreo!$W$6:$W$305,Muestreo!$Y$6:$Y$305,Y31)/(D31-1)))</f>
        <v/>
      </c>
      <c r="K31" s="25">
        <f>IF(N(D31)=0,"",EXP(AVERAGEIFS(Muestreo!$U$6:$U$305,Muestreo!$Y$6:$Y$305,Y31)))</f>
        <v/>
      </c>
      <c r="L31" s="29">
        <f>IF(N(D31)&lt;2,"",EXP(SQRT(SUMIFS(Muestreo!$V$6:$V$305,Muestreo!$Y$6:$Y$305,Y31)/IF(Agentes!$C$63="n",D31,D31-1))))</f>
        <v/>
      </c>
      <c r="M31" s="30">
        <f>IF(N(D31)=0,"",SUMIFS(Muestreo!$X$6:$X$305,Muestreo!$Y$6:$Y$305,Y31)/D31)</f>
        <v/>
      </c>
      <c r="N31" s="22">
        <f>IF(A31="","",GES!W31)</f>
        <v/>
      </c>
      <c r="O31" s="29">
        <f>IF(OR(I31="",N(N31)=0),"",I31/N31)</f>
        <v/>
      </c>
      <c r="P31" s="25">
        <f>IF(N(D31)=0,"",IF(L31="",H31,K31*L31^1.645))</f>
        <v/>
      </c>
      <c r="Q31" s="29">
        <f>IF(OR(P31="",N(N31)=0),"",P31/N31)</f>
        <v/>
      </c>
      <c r="R31" s="31">
        <f>IF(A31="","",Agentes!$C$64)</f>
        <v/>
      </c>
      <c r="S31" s="28">
        <f>IF(L31="",IF(N(D31)=1,"n = 1: se decide con el máximo",""),IF(L31&lt;=R31,"GES aceptable","Revisar conformación del GES (DEG &gt; "&amp;R31&amp;")"))</f>
        <v/>
      </c>
      <c r="T31" s="15">
        <f>IF(Q31="","",IF(Q31&lt;=0.01,0,IF(Q31&lt;=0.1,1,IF(Q31&lt;=0.5,2,IF(Q31&lt;=1,3,4)))))</f>
        <v/>
      </c>
      <c r="U31" s="28">
        <f>IF(A31="","",IF(T31="","Sin datos",CHOOSE(T31+1,"Insignificante (Cat. 0)","Muy baja (Cat. 1)","Controlada (Cat. 2)","Fuera de control – precaución (Cat. 3)","Sobreexposición (Cat. 4)")))</f>
        <v/>
      </c>
      <c r="V31" s="15">
        <f>IF(T31="","",IF(T31=4,5,IF(T31=3,IF(N(M31)&gt;0,4,3),IF(T31=2,2,1))))</f>
        <v/>
      </c>
      <c r="W31" s="15">
        <f>IF(V31="","",CHOOSE(V31,"De 3 a 5 años","De 1 a 3 años","De 3 meses a 1 año","De 1 a 3 meses","Evaluación continua"))</f>
        <v/>
      </c>
      <c r="X31" s="28">
        <f>IF(OR(A31="",T31=""),"",IF(IFERROR(INDEX(Agentes!$H$6:$H$60,MATCH(B31,Agentes!$A$6:$A$60,0)),"")="PNOS",IF(T31&gt;=3,"Seguimiento respiratorio (espirometría)","Según criterio médico"),IF(T31&gt;=3,"SVE específico (≥ nivel de acción)",IF(T31=2,"Seguimiento periódico con BEI si aplica","Examen periódico general"))))</f>
        <v/>
      </c>
      <c r="Y31" s="15">
        <f>GES!R31</f>
        <v/>
      </c>
    </row>
    <row r="32">
      <c r="A32" s="15">
        <f>IF(GES!A32="","",GES!A32)</f>
        <v/>
      </c>
      <c r="B32" s="15">
        <f>IF(A32="","",GES!E32)</f>
        <v/>
      </c>
      <c r="C32" s="15">
        <f>IF(A32="","",GES!X32)</f>
        <v/>
      </c>
      <c r="D32" s="15">
        <f>IF(Y32="","",COUNTIFS(Muestreo!$Y$6:$Y$305,Y32,Muestreo!$N$6:$N$305,"&gt;0"))</f>
        <v/>
      </c>
      <c r="E32" s="15">
        <f>IF(A32="","",GES!P32)</f>
        <v/>
      </c>
      <c r="F32" s="15">
        <f>IF(A32="","",IF(N(D32)=0,"Sin muestras",IF(D32&gt;=E32,"Suficiente","Insuficiente (&lt;"&amp;E32&amp;")")))</f>
        <v/>
      </c>
      <c r="G32" s="25">
        <f>IF(N(D32)=0,"",_xlfn.MINIFS(Muestreo!$N$6:$N$305,Muestreo!$Y$6:$Y$305,Y32))</f>
        <v/>
      </c>
      <c r="H32" s="25">
        <f>IF(N(D32)=0,"",_xlfn.MAXIFS(Muestreo!$N$6:$N$305,Muestreo!$Y$6:$Y$305,Y32))</f>
        <v/>
      </c>
      <c r="I32" s="25">
        <f>IF(N(D32)=0,"",AVERAGEIFS(Muestreo!$N$6:$N$305,Muestreo!$Y$6:$Y$305,Y32))</f>
        <v/>
      </c>
      <c r="J32" s="25">
        <f>IF(N(D32)&lt;2,"",SQRT(SUMIFS(Muestreo!$W$6:$W$305,Muestreo!$Y$6:$Y$305,Y32)/(D32-1)))</f>
        <v/>
      </c>
      <c r="K32" s="25">
        <f>IF(N(D32)=0,"",EXP(AVERAGEIFS(Muestreo!$U$6:$U$305,Muestreo!$Y$6:$Y$305,Y32)))</f>
        <v/>
      </c>
      <c r="L32" s="29">
        <f>IF(N(D32)&lt;2,"",EXP(SQRT(SUMIFS(Muestreo!$V$6:$V$305,Muestreo!$Y$6:$Y$305,Y32)/IF(Agentes!$C$63="n",D32,D32-1))))</f>
        <v/>
      </c>
      <c r="M32" s="30">
        <f>IF(N(D32)=0,"",SUMIFS(Muestreo!$X$6:$X$305,Muestreo!$Y$6:$Y$305,Y32)/D32)</f>
        <v/>
      </c>
      <c r="N32" s="22">
        <f>IF(A32="","",GES!W32)</f>
        <v/>
      </c>
      <c r="O32" s="29">
        <f>IF(OR(I32="",N(N32)=0),"",I32/N32)</f>
        <v/>
      </c>
      <c r="P32" s="25">
        <f>IF(N(D32)=0,"",IF(L32="",H32,K32*L32^1.645))</f>
        <v/>
      </c>
      <c r="Q32" s="29">
        <f>IF(OR(P32="",N(N32)=0),"",P32/N32)</f>
        <v/>
      </c>
      <c r="R32" s="31">
        <f>IF(A32="","",Agentes!$C$64)</f>
        <v/>
      </c>
      <c r="S32" s="28">
        <f>IF(L32="",IF(N(D32)=1,"n = 1: se decide con el máximo",""),IF(L32&lt;=R32,"GES aceptable","Revisar conformación del GES (DEG &gt; "&amp;R32&amp;")"))</f>
        <v/>
      </c>
      <c r="T32" s="15">
        <f>IF(Q32="","",IF(Q32&lt;=0.01,0,IF(Q32&lt;=0.1,1,IF(Q32&lt;=0.5,2,IF(Q32&lt;=1,3,4)))))</f>
        <v/>
      </c>
      <c r="U32" s="28">
        <f>IF(A32="","",IF(T32="","Sin datos",CHOOSE(T32+1,"Insignificante (Cat. 0)","Muy baja (Cat. 1)","Controlada (Cat. 2)","Fuera de control – precaución (Cat. 3)","Sobreexposición (Cat. 4)")))</f>
        <v/>
      </c>
      <c r="V32" s="15">
        <f>IF(T32="","",IF(T32=4,5,IF(T32=3,IF(N(M32)&gt;0,4,3),IF(T32=2,2,1))))</f>
        <v/>
      </c>
      <c r="W32" s="15">
        <f>IF(V32="","",CHOOSE(V32,"De 3 a 5 años","De 1 a 3 años","De 3 meses a 1 año","De 1 a 3 meses","Evaluación continua"))</f>
        <v/>
      </c>
      <c r="X32" s="28">
        <f>IF(OR(A32="",T32=""),"",IF(IFERROR(INDEX(Agentes!$H$6:$H$60,MATCH(B32,Agentes!$A$6:$A$60,0)),"")="PNOS",IF(T32&gt;=3,"Seguimiento respiratorio (espirometría)","Según criterio médico"),IF(T32&gt;=3,"SVE específico (≥ nivel de acción)",IF(T32=2,"Seguimiento periódico con BEI si aplica","Examen periódico general"))))</f>
        <v/>
      </c>
      <c r="Y32" s="15">
        <f>GES!R32</f>
        <v/>
      </c>
    </row>
    <row r="33">
      <c r="A33" s="15">
        <f>IF(GES!A33="","",GES!A33)</f>
        <v/>
      </c>
      <c r="B33" s="15">
        <f>IF(A33="","",GES!E33)</f>
        <v/>
      </c>
      <c r="C33" s="15">
        <f>IF(A33="","",GES!X33)</f>
        <v/>
      </c>
      <c r="D33" s="15">
        <f>IF(Y33="","",COUNTIFS(Muestreo!$Y$6:$Y$305,Y33,Muestreo!$N$6:$N$305,"&gt;0"))</f>
        <v/>
      </c>
      <c r="E33" s="15">
        <f>IF(A33="","",GES!P33)</f>
        <v/>
      </c>
      <c r="F33" s="15">
        <f>IF(A33="","",IF(N(D33)=0,"Sin muestras",IF(D33&gt;=E33,"Suficiente","Insuficiente (&lt;"&amp;E33&amp;")")))</f>
        <v/>
      </c>
      <c r="G33" s="25">
        <f>IF(N(D33)=0,"",_xlfn.MINIFS(Muestreo!$N$6:$N$305,Muestreo!$Y$6:$Y$305,Y33))</f>
        <v/>
      </c>
      <c r="H33" s="25">
        <f>IF(N(D33)=0,"",_xlfn.MAXIFS(Muestreo!$N$6:$N$305,Muestreo!$Y$6:$Y$305,Y33))</f>
        <v/>
      </c>
      <c r="I33" s="25">
        <f>IF(N(D33)=0,"",AVERAGEIFS(Muestreo!$N$6:$N$305,Muestreo!$Y$6:$Y$305,Y33))</f>
        <v/>
      </c>
      <c r="J33" s="25">
        <f>IF(N(D33)&lt;2,"",SQRT(SUMIFS(Muestreo!$W$6:$W$305,Muestreo!$Y$6:$Y$305,Y33)/(D33-1)))</f>
        <v/>
      </c>
      <c r="K33" s="25">
        <f>IF(N(D33)=0,"",EXP(AVERAGEIFS(Muestreo!$U$6:$U$305,Muestreo!$Y$6:$Y$305,Y33)))</f>
        <v/>
      </c>
      <c r="L33" s="29">
        <f>IF(N(D33)&lt;2,"",EXP(SQRT(SUMIFS(Muestreo!$V$6:$V$305,Muestreo!$Y$6:$Y$305,Y33)/IF(Agentes!$C$63="n",D33,D33-1))))</f>
        <v/>
      </c>
      <c r="M33" s="30">
        <f>IF(N(D33)=0,"",SUMIFS(Muestreo!$X$6:$X$305,Muestreo!$Y$6:$Y$305,Y33)/D33)</f>
        <v/>
      </c>
      <c r="N33" s="22">
        <f>IF(A33="","",GES!W33)</f>
        <v/>
      </c>
      <c r="O33" s="29">
        <f>IF(OR(I33="",N(N33)=0),"",I33/N33)</f>
        <v/>
      </c>
      <c r="P33" s="25">
        <f>IF(N(D33)=0,"",IF(L33="",H33,K33*L33^1.645))</f>
        <v/>
      </c>
      <c r="Q33" s="29">
        <f>IF(OR(P33="",N(N33)=0),"",P33/N33)</f>
        <v/>
      </c>
      <c r="R33" s="31">
        <f>IF(A33="","",Agentes!$C$64)</f>
        <v/>
      </c>
      <c r="S33" s="28">
        <f>IF(L33="",IF(N(D33)=1,"n = 1: se decide con el máximo",""),IF(L33&lt;=R33,"GES aceptable","Revisar conformación del GES (DEG &gt; "&amp;R33&amp;")"))</f>
        <v/>
      </c>
      <c r="T33" s="15">
        <f>IF(Q33="","",IF(Q33&lt;=0.01,0,IF(Q33&lt;=0.1,1,IF(Q33&lt;=0.5,2,IF(Q33&lt;=1,3,4)))))</f>
        <v/>
      </c>
      <c r="U33" s="28">
        <f>IF(A33="","",IF(T33="","Sin datos",CHOOSE(T33+1,"Insignificante (Cat. 0)","Muy baja (Cat. 1)","Controlada (Cat. 2)","Fuera de control – precaución (Cat. 3)","Sobreexposición (Cat. 4)")))</f>
        <v/>
      </c>
      <c r="V33" s="15">
        <f>IF(T33="","",IF(T33=4,5,IF(T33=3,IF(N(M33)&gt;0,4,3),IF(T33=2,2,1))))</f>
        <v/>
      </c>
      <c r="W33" s="15">
        <f>IF(V33="","",CHOOSE(V33,"De 3 a 5 años","De 1 a 3 años","De 3 meses a 1 año","De 1 a 3 meses","Evaluación continua"))</f>
        <v/>
      </c>
      <c r="X33" s="28">
        <f>IF(OR(A33="",T33=""),"",IF(IFERROR(INDEX(Agentes!$H$6:$H$60,MATCH(B33,Agentes!$A$6:$A$60,0)),"")="PNOS",IF(T33&gt;=3,"Seguimiento respiratorio (espirometría)","Según criterio médico"),IF(T33&gt;=3,"SVE específico (≥ nivel de acción)",IF(T33=2,"Seguimiento periódico con BEI si aplica","Examen periódico general"))))</f>
        <v/>
      </c>
      <c r="Y33" s="15">
        <f>GES!R33</f>
        <v/>
      </c>
    </row>
    <row r="34">
      <c r="A34" s="15">
        <f>IF(GES!A34="","",GES!A34)</f>
        <v/>
      </c>
      <c r="B34" s="15">
        <f>IF(A34="","",GES!E34)</f>
        <v/>
      </c>
      <c r="C34" s="15">
        <f>IF(A34="","",GES!X34)</f>
        <v/>
      </c>
      <c r="D34" s="15">
        <f>IF(Y34="","",COUNTIFS(Muestreo!$Y$6:$Y$305,Y34,Muestreo!$N$6:$N$305,"&gt;0"))</f>
        <v/>
      </c>
      <c r="E34" s="15">
        <f>IF(A34="","",GES!P34)</f>
        <v/>
      </c>
      <c r="F34" s="15">
        <f>IF(A34="","",IF(N(D34)=0,"Sin muestras",IF(D34&gt;=E34,"Suficiente","Insuficiente (&lt;"&amp;E34&amp;")")))</f>
        <v/>
      </c>
      <c r="G34" s="25">
        <f>IF(N(D34)=0,"",_xlfn.MINIFS(Muestreo!$N$6:$N$305,Muestreo!$Y$6:$Y$305,Y34))</f>
        <v/>
      </c>
      <c r="H34" s="25">
        <f>IF(N(D34)=0,"",_xlfn.MAXIFS(Muestreo!$N$6:$N$305,Muestreo!$Y$6:$Y$305,Y34))</f>
        <v/>
      </c>
      <c r="I34" s="25">
        <f>IF(N(D34)=0,"",AVERAGEIFS(Muestreo!$N$6:$N$305,Muestreo!$Y$6:$Y$305,Y34))</f>
        <v/>
      </c>
      <c r="J34" s="25">
        <f>IF(N(D34)&lt;2,"",SQRT(SUMIFS(Muestreo!$W$6:$W$305,Muestreo!$Y$6:$Y$305,Y34)/(D34-1)))</f>
        <v/>
      </c>
      <c r="K34" s="25">
        <f>IF(N(D34)=0,"",EXP(AVERAGEIFS(Muestreo!$U$6:$U$305,Muestreo!$Y$6:$Y$305,Y34)))</f>
        <v/>
      </c>
      <c r="L34" s="29">
        <f>IF(N(D34)&lt;2,"",EXP(SQRT(SUMIFS(Muestreo!$V$6:$V$305,Muestreo!$Y$6:$Y$305,Y34)/IF(Agentes!$C$63="n",D34,D34-1))))</f>
        <v/>
      </c>
      <c r="M34" s="30">
        <f>IF(N(D34)=0,"",SUMIFS(Muestreo!$X$6:$X$305,Muestreo!$Y$6:$Y$305,Y34)/D34)</f>
        <v/>
      </c>
      <c r="N34" s="22">
        <f>IF(A34="","",GES!W34)</f>
        <v/>
      </c>
      <c r="O34" s="29">
        <f>IF(OR(I34="",N(N34)=0),"",I34/N34)</f>
        <v/>
      </c>
      <c r="P34" s="25">
        <f>IF(N(D34)=0,"",IF(L34="",H34,K34*L34^1.645))</f>
        <v/>
      </c>
      <c r="Q34" s="29">
        <f>IF(OR(P34="",N(N34)=0),"",P34/N34)</f>
        <v/>
      </c>
      <c r="R34" s="31">
        <f>IF(A34="","",Agentes!$C$64)</f>
        <v/>
      </c>
      <c r="S34" s="28">
        <f>IF(L34="",IF(N(D34)=1,"n = 1: se decide con el máximo",""),IF(L34&lt;=R34,"GES aceptable","Revisar conformación del GES (DEG &gt; "&amp;R34&amp;")"))</f>
        <v/>
      </c>
      <c r="T34" s="15">
        <f>IF(Q34="","",IF(Q34&lt;=0.01,0,IF(Q34&lt;=0.1,1,IF(Q34&lt;=0.5,2,IF(Q34&lt;=1,3,4)))))</f>
        <v/>
      </c>
      <c r="U34" s="28">
        <f>IF(A34="","",IF(T34="","Sin datos",CHOOSE(T34+1,"Insignificante (Cat. 0)","Muy baja (Cat. 1)","Controlada (Cat. 2)","Fuera de control – precaución (Cat. 3)","Sobreexposición (Cat. 4)")))</f>
        <v/>
      </c>
      <c r="V34" s="15">
        <f>IF(T34="","",IF(T34=4,5,IF(T34=3,IF(N(M34)&gt;0,4,3),IF(T34=2,2,1))))</f>
        <v/>
      </c>
      <c r="W34" s="15">
        <f>IF(V34="","",CHOOSE(V34,"De 3 a 5 años","De 1 a 3 años","De 3 meses a 1 año","De 1 a 3 meses","Evaluación continua"))</f>
        <v/>
      </c>
      <c r="X34" s="28">
        <f>IF(OR(A34="",T34=""),"",IF(IFERROR(INDEX(Agentes!$H$6:$H$60,MATCH(B34,Agentes!$A$6:$A$60,0)),"")="PNOS",IF(T34&gt;=3,"Seguimiento respiratorio (espirometría)","Según criterio médico"),IF(T34&gt;=3,"SVE específico (≥ nivel de acción)",IF(T34=2,"Seguimiento periódico con BEI si aplica","Examen periódico general"))))</f>
        <v/>
      </c>
      <c r="Y34" s="15">
        <f>GES!R34</f>
        <v/>
      </c>
    </row>
    <row r="35">
      <c r="A35" s="15">
        <f>IF(GES!A35="","",GES!A35)</f>
        <v/>
      </c>
      <c r="B35" s="15">
        <f>IF(A35="","",GES!E35)</f>
        <v/>
      </c>
      <c r="C35" s="15">
        <f>IF(A35="","",GES!X35)</f>
        <v/>
      </c>
      <c r="D35" s="15">
        <f>IF(Y35="","",COUNTIFS(Muestreo!$Y$6:$Y$305,Y35,Muestreo!$N$6:$N$305,"&gt;0"))</f>
        <v/>
      </c>
      <c r="E35" s="15">
        <f>IF(A35="","",GES!P35)</f>
        <v/>
      </c>
      <c r="F35" s="15">
        <f>IF(A35="","",IF(N(D35)=0,"Sin muestras",IF(D35&gt;=E35,"Suficiente","Insuficiente (&lt;"&amp;E35&amp;")")))</f>
        <v/>
      </c>
      <c r="G35" s="25">
        <f>IF(N(D35)=0,"",_xlfn.MINIFS(Muestreo!$N$6:$N$305,Muestreo!$Y$6:$Y$305,Y35))</f>
        <v/>
      </c>
      <c r="H35" s="25">
        <f>IF(N(D35)=0,"",_xlfn.MAXIFS(Muestreo!$N$6:$N$305,Muestreo!$Y$6:$Y$305,Y35))</f>
        <v/>
      </c>
      <c r="I35" s="25">
        <f>IF(N(D35)=0,"",AVERAGEIFS(Muestreo!$N$6:$N$305,Muestreo!$Y$6:$Y$305,Y35))</f>
        <v/>
      </c>
      <c r="J35" s="25">
        <f>IF(N(D35)&lt;2,"",SQRT(SUMIFS(Muestreo!$W$6:$W$305,Muestreo!$Y$6:$Y$305,Y35)/(D35-1)))</f>
        <v/>
      </c>
      <c r="K35" s="25">
        <f>IF(N(D35)=0,"",EXP(AVERAGEIFS(Muestreo!$U$6:$U$305,Muestreo!$Y$6:$Y$305,Y35)))</f>
        <v/>
      </c>
      <c r="L35" s="29">
        <f>IF(N(D35)&lt;2,"",EXP(SQRT(SUMIFS(Muestreo!$V$6:$V$305,Muestreo!$Y$6:$Y$305,Y35)/IF(Agentes!$C$63="n",D35,D35-1))))</f>
        <v/>
      </c>
      <c r="M35" s="30">
        <f>IF(N(D35)=0,"",SUMIFS(Muestreo!$X$6:$X$305,Muestreo!$Y$6:$Y$305,Y35)/D35)</f>
        <v/>
      </c>
      <c r="N35" s="22">
        <f>IF(A35="","",GES!W35)</f>
        <v/>
      </c>
      <c r="O35" s="29">
        <f>IF(OR(I35="",N(N35)=0),"",I35/N35)</f>
        <v/>
      </c>
      <c r="P35" s="25">
        <f>IF(N(D35)=0,"",IF(L35="",H35,K35*L35^1.645))</f>
        <v/>
      </c>
      <c r="Q35" s="29">
        <f>IF(OR(P35="",N(N35)=0),"",P35/N35)</f>
        <v/>
      </c>
      <c r="R35" s="31">
        <f>IF(A35="","",Agentes!$C$64)</f>
        <v/>
      </c>
      <c r="S35" s="28">
        <f>IF(L35="",IF(N(D35)=1,"n = 1: se decide con el máximo",""),IF(L35&lt;=R35,"GES aceptable","Revisar conformación del GES (DEG &gt; "&amp;R35&amp;")"))</f>
        <v/>
      </c>
      <c r="T35" s="15">
        <f>IF(Q35="","",IF(Q35&lt;=0.01,0,IF(Q35&lt;=0.1,1,IF(Q35&lt;=0.5,2,IF(Q35&lt;=1,3,4)))))</f>
        <v/>
      </c>
      <c r="U35" s="28">
        <f>IF(A35="","",IF(T35="","Sin datos",CHOOSE(T35+1,"Insignificante (Cat. 0)","Muy baja (Cat. 1)","Controlada (Cat. 2)","Fuera de control – precaución (Cat. 3)","Sobreexposición (Cat. 4)")))</f>
        <v/>
      </c>
      <c r="V35" s="15">
        <f>IF(T35="","",IF(T35=4,5,IF(T35=3,IF(N(M35)&gt;0,4,3),IF(T35=2,2,1))))</f>
        <v/>
      </c>
      <c r="W35" s="15">
        <f>IF(V35="","",CHOOSE(V35,"De 3 a 5 años","De 1 a 3 años","De 3 meses a 1 año","De 1 a 3 meses","Evaluación continua"))</f>
        <v/>
      </c>
      <c r="X35" s="28">
        <f>IF(OR(A35="",T35=""),"",IF(IFERROR(INDEX(Agentes!$H$6:$H$60,MATCH(B35,Agentes!$A$6:$A$60,0)),"")="PNOS",IF(T35&gt;=3,"Seguimiento respiratorio (espirometría)","Según criterio médico"),IF(T35&gt;=3,"SVE específico (≥ nivel de acción)",IF(T35=2,"Seguimiento periódico con BEI si aplica","Examen periódico general"))))</f>
        <v/>
      </c>
      <c r="Y35" s="15">
        <f>GES!R35</f>
        <v/>
      </c>
    </row>
  </sheetData>
  <conditionalFormatting sqref="U6:U35">
    <cfRule type="expression" priority="1" dxfId="2">
      <formula>LEFT(U6,5)="Sobre"</formula>
    </cfRule>
    <cfRule type="expression" priority="2" dxfId="3">
      <formula>LEFT(U6,5)="Fuera"</formula>
    </cfRule>
    <cfRule type="expression" priority="3" dxfId="4">
      <formula>OR(LEFT(U6,5)="Contr",LEFT(U6,3)="Muy",LEFT(U6,3)="Ins")</formula>
    </cfRule>
  </conditionalFormatting>
  <conditionalFormatting sqref="S6:S35">
    <cfRule type="expression" priority="4" dxfId="1">
      <formula>LEFT(S6,3)="Rev"</formula>
    </cfRule>
  </conditionalFormatting>
  <conditionalFormatting sqref="F6:F35">
    <cfRule type="expression" priority="5" dxfId="1">
      <formula>LEFT(F6,4)="Insu"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5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2" customWidth="1" min="4" max="4"/>
    <col width="34" customWidth="1" min="5" max="5"/>
    <col width="30" customWidth="1" min="6" max="6"/>
  </cols>
  <sheetData>
    <row r="1">
      <c r="A1" s="10" t="inlineStr">
        <is>
          <t>5. Mezclas – regla de efectos aditivos (ACGIH)</t>
        </is>
      </c>
    </row>
    <row r="2">
      <c r="A2" s="3" t="inlineStr">
        <is>
          <t>Para agentes con el mismo efecto u órgano blanco medidos en la misma muestra o jornada: Σ Cᵢ / TLVᵢ ajustado. Si la suma supera 1, la mezcla excede el valor límite aunque cada agente esté por debajo de su TLV.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2" t="inlineStr">
        <is>
          <t>ID muestra / jornada</t>
        </is>
      </c>
      <c r="B5" s="12" t="inlineStr">
        <is>
          <t>Grupo de efecto</t>
        </is>
      </c>
      <c r="C5" s="12" t="inlineStr">
        <is>
          <t>Nº de agentes en la muestra con ese efecto</t>
        </is>
      </c>
      <c r="D5" s="12" t="inlineStr">
        <is>
          <t>Σ C / TLV aj.</t>
        </is>
      </c>
      <c r="E5" s="12" t="inlineStr">
        <is>
          <t>Resultado</t>
        </is>
      </c>
      <c r="F5" s="12" t="inlineStr">
        <is>
          <t>Observaciones</t>
        </is>
      </c>
    </row>
    <row r="6">
      <c r="A6" s="8" t="inlineStr">
        <is>
          <t>G02-D1</t>
        </is>
      </c>
      <c r="B6" s="8" t="inlineStr">
        <is>
          <t>Cáncer de pulmón</t>
        </is>
      </c>
      <c r="C6" s="15">
        <f>IF(OR(A6="",B6=""),"",COUNTIFS(Muestreo!$F$6:$F$305,A6,Muestreo!$S$6:$S$305,B6,Muestreo!$R$6:$R$305,"&gt;=0"))</f>
        <v/>
      </c>
      <c r="D6" s="29">
        <f>IF(N(C6)=0,"",SUMIFS(Muestreo!$R$6:$R$305,Muestreo!$F$6:$F$305,A6,Muestreo!$S$6:$S$305,B6))</f>
        <v/>
      </c>
      <c r="E6" s="28">
        <f>IF(D6="","",IF(C6&lt;2,"Un solo agente: evalúe en Estadística",IF(D6&gt;1,"La mezcla excede el valor límite (Σ &gt; 1)",IF(D6&gt;0.5,"Mezcla sobre el nivel de acción (Σ &gt; 0,5)","Mezcla controlada"))))</f>
        <v/>
      </c>
      <c r="F6" s="8" t="inlineStr">
        <is>
          <t>Cr(VI) y níquel insoluble comparten efecto (cáncer de pulmón, A1): se suman</t>
        </is>
      </c>
    </row>
    <row r="7">
      <c r="A7" s="8" t="inlineStr">
        <is>
          <t>G02-D2</t>
        </is>
      </c>
      <c r="B7" s="8" t="inlineStr">
        <is>
          <t>Cáncer de pulmón</t>
        </is>
      </c>
      <c r="C7" s="15">
        <f>IF(OR(A7="",B7=""),"",COUNTIFS(Muestreo!$F$6:$F$305,A7,Muestreo!$S$6:$S$305,B7,Muestreo!$R$6:$R$305,"&gt;=0"))</f>
        <v/>
      </c>
      <c r="D7" s="29">
        <f>IF(N(C7)=0,"",SUMIFS(Muestreo!$R$6:$R$305,Muestreo!$F$6:$F$305,A7,Muestreo!$S$6:$S$305,B7))</f>
        <v/>
      </c>
      <c r="E7" s="28">
        <f>IF(D7="","",IF(C7&lt;2,"Un solo agente: evalúe en Estadística",IF(D7&gt;1,"La mezcla excede el valor límite (Σ &gt; 1)",IF(D7&gt;0.5,"Mezcla sobre el nivel de acción (Σ &gt; 0,5)","Mezcla controlada"))))</f>
        <v/>
      </c>
      <c r="F7" s="8" t="n"/>
    </row>
    <row r="8">
      <c r="A8" s="8" t="inlineStr">
        <is>
          <t>G02-D3</t>
        </is>
      </c>
      <c r="B8" s="8" t="inlineStr">
        <is>
          <t>Cáncer de pulmón</t>
        </is>
      </c>
      <c r="C8" s="15">
        <f>IF(OR(A8="",B8=""),"",COUNTIFS(Muestreo!$F$6:$F$305,A8,Muestreo!$S$6:$S$305,B8,Muestreo!$R$6:$R$305,"&gt;=0"))</f>
        <v/>
      </c>
      <c r="D8" s="29">
        <f>IF(N(C8)=0,"",SUMIFS(Muestreo!$R$6:$R$305,Muestreo!$F$6:$F$305,A8,Muestreo!$S$6:$S$305,B8))</f>
        <v/>
      </c>
      <c r="E8" s="28">
        <f>IF(D8="","",IF(C8&lt;2,"Un solo agente: evalúe en Estadística",IF(D8&gt;1,"La mezcla excede el valor límite (Σ &gt; 1)",IF(D8&gt;0.5,"Mezcla sobre el nivel de acción (Σ &gt; 0,5)","Mezcla controlada"))))</f>
        <v/>
      </c>
      <c r="F8" s="8" t="n"/>
    </row>
    <row r="9">
      <c r="A9" s="8" t="inlineStr">
        <is>
          <t>G02-D4</t>
        </is>
      </c>
      <c r="B9" s="8" t="inlineStr">
        <is>
          <t>Cáncer de pulmón</t>
        </is>
      </c>
      <c r="C9" s="15">
        <f>IF(OR(A9="",B9=""),"",COUNTIFS(Muestreo!$F$6:$F$305,A9,Muestreo!$S$6:$S$305,B9,Muestreo!$R$6:$R$305,"&gt;=0"))</f>
        <v/>
      </c>
      <c r="D9" s="29">
        <f>IF(N(C9)=0,"",SUMIFS(Muestreo!$R$6:$R$305,Muestreo!$F$6:$F$305,A9,Muestreo!$S$6:$S$305,B9))</f>
        <v/>
      </c>
      <c r="E9" s="28">
        <f>IF(D9="","",IF(C9&lt;2,"Un solo agente: evalúe en Estadística",IF(D9&gt;1,"La mezcla excede el valor límite (Σ &gt; 1)",IF(D9&gt;0.5,"Mezcla sobre el nivel de acción (Σ &gt; 0,5)","Mezcla controlada"))))</f>
        <v/>
      </c>
      <c r="F9" s="8" t="n"/>
    </row>
    <row r="10">
      <c r="A10" s="8" t="inlineStr">
        <is>
          <t>G02-D5</t>
        </is>
      </c>
      <c r="B10" s="8" t="inlineStr">
        <is>
          <t>Cáncer de pulmón</t>
        </is>
      </c>
      <c r="C10" s="15">
        <f>IF(OR(A10="",B10=""),"",COUNTIFS(Muestreo!$F$6:$F$305,A10,Muestreo!$S$6:$S$305,B10,Muestreo!$R$6:$R$305,"&gt;=0"))</f>
        <v/>
      </c>
      <c r="D10" s="29">
        <f>IF(N(C10)=0,"",SUMIFS(Muestreo!$R$6:$R$305,Muestreo!$F$6:$F$305,A10,Muestreo!$S$6:$S$305,B10))</f>
        <v/>
      </c>
      <c r="E10" s="28">
        <f>IF(D10="","",IF(C10&lt;2,"Un solo agente: evalúe en Estadística",IF(D10&gt;1,"La mezcla excede el valor límite (Σ &gt; 1)",IF(D10&gt;0.5,"Mezcla sobre el nivel de acción (Σ &gt; 0,5)","Mezcla controlada"))))</f>
        <v/>
      </c>
      <c r="F10" s="8" t="n"/>
    </row>
    <row r="11">
      <c r="A11" s="8" t="inlineStr">
        <is>
          <t>G02-D6</t>
        </is>
      </c>
      <c r="B11" s="8" t="inlineStr">
        <is>
          <t>Cáncer de pulmón</t>
        </is>
      </c>
      <c r="C11" s="15">
        <f>IF(OR(A11="",B11=""),"",COUNTIFS(Muestreo!$F$6:$F$305,A11,Muestreo!$S$6:$S$305,B11,Muestreo!$R$6:$R$305,"&gt;=0"))</f>
        <v/>
      </c>
      <c r="D11" s="29">
        <f>IF(N(C11)=0,"",SUMIFS(Muestreo!$R$6:$R$305,Muestreo!$F$6:$F$305,A11,Muestreo!$S$6:$S$305,B11))</f>
        <v/>
      </c>
      <c r="E11" s="28">
        <f>IF(D11="","",IF(C11&lt;2,"Un solo agente: evalúe en Estadística",IF(D11&gt;1,"La mezcla excede el valor límite (Σ &gt; 1)",IF(D11&gt;0.5,"Mezcla sobre el nivel de acción (Σ &gt; 0,5)","Mezcla controlada"))))</f>
        <v/>
      </c>
      <c r="F11" s="8" t="n"/>
    </row>
    <row r="12">
      <c r="A12" s="8" t="n"/>
      <c r="B12" s="8" t="n"/>
      <c r="C12" s="15">
        <f>IF(OR(A12="",B12=""),"",COUNTIFS(Muestreo!$F$6:$F$305,A12,Muestreo!$S$6:$S$305,B12,Muestreo!$R$6:$R$305,"&gt;=0"))</f>
        <v/>
      </c>
      <c r="D12" s="29">
        <f>IF(N(C12)=0,"",SUMIFS(Muestreo!$R$6:$R$305,Muestreo!$F$6:$F$305,A12,Muestreo!$S$6:$S$305,B12))</f>
        <v/>
      </c>
      <c r="E12" s="28">
        <f>IF(D12="","",IF(C12&lt;2,"Un solo agente: evalúe en Estadística",IF(D12&gt;1,"La mezcla excede el valor límite (Σ &gt; 1)",IF(D12&gt;0.5,"Mezcla sobre el nivel de acción (Σ &gt; 0,5)","Mezcla controlada"))))</f>
        <v/>
      </c>
      <c r="F12" s="8" t="n"/>
    </row>
    <row r="13">
      <c r="A13" s="8" t="n"/>
      <c r="B13" s="8" t="n"/>
      <c r="C13" s="15">
        <f>IF(OR(A13="",B13=""),"",COUNTIFS(Muestreo!$F$6:$F$305,A13,Muestreo!$S$6:$S$305,B13,Muestreo!$R$6:$R$305,"&gt;=0"))</f>
        <v/>
      </c>
      <c r="D13" s="29">
        <f>IF(N(C13)=0,"",SUMIFS(Muestreo!$R$6:$R$305,Muestreo!$F$6:$F$305,A13,Muestreo!$S$6:$S$305,B13))</f>
        <v/>
      </c>
      <c r="E13" s="28">
        <f>IF(D13="","",IF(C13&lt;2,"Un solo agente: evalúe en Estadística",IF(D13&gt;1,"La mezcla excede el valor límite (Σ &gt; 1)",IF(D13&gt;0.5,"Mezcla sobre el nivel de acción (Σ &gt; 0,5)","Mezcla controlada"))))</f>
        <v/>
      </c>
      <c r="F13" s="8" t="n"/>
    </row>
    <row r="14">
      <c r="A14" s="8" t="n"/>
      <c r="B14" s="8" t="n"/>
      <c r="C14" s="15">
        <f>IF(OR(A14="",B14=""),"",COUNTIFS(Muestreo!$F$6:$F$305,A14,Muestreo!$S$6:$S$305,B14,Muestreo!$R$6:$R$305,"&gt;=0"))</f>
        <v/>
      </c>
      <c r="D14" s="29">
        <f>IF(N(C14)=0,"",SUMIFS(Muestreo!$R$6:$R$305,Muestreo!$F$6:$F$305,A14,Muestreo!$S$6:$S$305,B14))</f>
        <v/>
      </c>
      <c r="E14" s="28">
        <f>IF(D14="","",IF(C14&lt;2,"Un solo agente: evalúe en Estadística",IF(D14&gt;1,"La mezcla excede el valor límite (Σ &gt; 1)",IF(D14&gt;0.5,"Mezcla sobre el nivel de acción (Σ &gt; 0,5)","Mezcla controlada"))))</f>
        <v/>
      </c>
      <c r="F14" s="8" t="n"/>
    </row>
    <row r="15">
      <c r="A15" s="8" t="n"/>
      <c r="B15" s="8" t="n"/>
      <c r="C15" s="15">
        <f>IF(OR(A15="",B15=""),"",COUNTIFS(Muestreo!$F$6:$F$305,A15,Muestreo!$S$6:$S$305,B15,Muestreo!$R$6:$R$305,"&gt;=0"))</f>
        <v/>
      </c>
      <c r="D15" s="29">
        <f>IF(N(C15)=0,"",SUMIFS(Muestreo!$R$6:$R$305,Muestreo!$F$6:$F$305,A15,Muestreo!$S$6:$S$305,B15))</f>
        <v/>
      </c>
      <c r="E15" s="28">
        <f>IF(D15="","",IF(C15&lt;2,"Un solo agente: evalúe en Estadística",IF(D15&gt;1,"La mezcla excede el valor límite (Σ &gt; 1)",IF(D15&gt;0.5,"Mezcla sobre el nivel de acción (Σ &gt; 0,5)","Mezcla controlada"))))</f>
        <v/>
      </c>
      <c r="F15" s="8" t="n"/>
    </row>
    <row r="16">
      <c r="A16" s="8" t="n"/>
      <c r="B16" s="8" t="n"/>
      <c r="C16" s="15">
        <f>IF(OR(A16="",B16=""),"",COUNTIFS(Muestreo!$F$6:$F$305,A16,Muestreo!$S$6:$S$305,B16,Muestreo!$R$6:$R$305,"&gt;=0"))</f>
        <v/>
      </c>
      <c r="D16" s="29">
        <f>IF(N(C16)=0,"",SUMIFS(Muestreo!$R$6:$R$305,Muestreo!$F$6:$F$305,A16,Muestreo!$S$6:$S$305,B16))</f>
        <v/>
      </c>
      <c r="E16" s="28">
        <f>IF(D16="","",IF(C16&lt;2,"Un solo agente: evalúe en Estadística",IF(D16&gt;1,"La mezcla excede el valor límite (Σ &gt; 1)",IF(D16&gt;0.5,"Mezcla sobre el nivel de acción (Σ &gt; 0,5)","Mezcla controlada"))))</f>
        <v/>
      </c>
      <c r="F16" s="8" t="n"/>
    </row>
    <row r="17">
      <c r="A17" s="8" t="n"/>
      <c r="B17" s="8" t="n"/>
      <c r="C17" s="15">
        <f>IF(OR(A17="",B17=""),"",COUNTIFS(Muestreo!$F$6:$F$305,A17,Muestreo!$S$6:$S$305,B17,Muestreo!$R$6:$R$305,"&gt;=0"))</f>
        <v/>
      </c>
      <c r="D17" s="29">
        <f>IF(N(C17)=0,"",SUMIFS(Muestreo!$R$6:$R$305,Muestreo!$F$6:$F$305,A17,Muestreo!$S$6:$S$305,B17))</f>
        <v/>
      </c>
      <c r="E17" s="28">
        <f>IF(D17="","",IF(C17&lt;2,"Un solo agente: evalúe en Estadística",IF(D17&gt;1,"La mezcla excede el valor límite (Σ &gt; 1)",IF(D17&gt;0.5,"Mezcla sobre el nivel de acción (Σ &gt; 0,5)","Mezcla controlada"))))</f>
        <v/>
      </c>
      <c r="F17" s="8" t="n"/>
    </row>
    <row r="18">
      <c r="A18" s="8" t="n"/>
      <c r="B18" s="8" t="n"/>
      <c r="C18" s="15">
        <f>IF(OR(A18="",B18=""),"",COUNTIFS(Muestreo!$F$6:$F$305,A18,Muestreo!$S$6:$S$305,B18,Muestreo!$R$6:$R$305,"&gt;=0"))</f>
        <v/>
      </c>
      <c r="D18" s="29">
        <f>IF(N(C18)=0,"",SUMIFS(Muestreo!$R$6:$R$305,Muestreo!$F$6:$F$305,A18,Muestreo!$S$6:$S$305,B18))</f>
        <v/>
      </c>
      <c r="E18" s="28">
        <f>IF(D18="","",IF(C18&lt;2,"Un solo agente: evalúe en Estadística",IF(D18&gt;1,"La mezcla excede el valor límite (Σ &gt; 1)",IF(D18&gt;0.5,"Mezcla sobre el nivel de acción (Σ &gt; 0,5)","Mezcla controlada"))))</f>
        <v/>
      </c>
      <c r="F18" s="8" t="n"/>
    </row>
    <row r="19">
      <c r="A19" s="8" t="n"/>
      <c r="B19" s="8" t="n"/>
      <c r="C19" s="15">
        <f>IF(OR(A19="",B19=""),"",COUNTIFS(Muestreo!$F$6:$F$305,A19,Muestreo!$S$6:$S$305,B19,Muestreo!$R$6:$R$305,"&gt;=0"))</f>
        <v/>
      </c>
      <c r="D19" s="29">
        <f>IF(N(C19)=0,"",SUMIFS(Muestreo!$R$6:$R$305,Muestreo!$F$6:$F$305,A19,Muestreo!$S$6:$S$305,B19))</f>
        <v/>
      </c>
      <c r="E19" s="28">
        <f>IF(D19="","",IF(C19&lt;2,"Un solo agente: evalúe en Estadística",IF(D19&gt;1,"La mezcla excede el valor límite (Σ &gt; 1)",IF(D19&gt;0.5,"Mezcla sobre el nivel de acción (Σ &gt; 0,5)","Mezcla controlada"))))</f>
        <v/>
      </c>
      <c r="F19" s="8" t="n"/>
    </row>
    <row r="20">
      <c r="A20" s="8" t="n"/>
      <c r="B20" s="8" t="n"/>
      <c r="C20" s="15">
        <f>IF(OR(A20="",B20=""),"",COUNTIFS(Muestreo!$F$6:$F$305,A20,Muestreo!$S$6:$S$305,B20,Muestreo!$R$6:$R$305,"&gt;=0"))</f>
        <v/>
      </c>
      <c r="D20" s="29">
        <f>IF(N(C20)=0,"",SUMIFS(Muestreo!$R$6:$R$305,Muestreo!$F$6:$F$305,A20,Muestreo!$S$6:$S$305,B20))</f>
        <v/>
      </c>
      <c r="E20" s="28">
        <f>IF(D20="","",IF(C20&lt;2,"Un solo agente: evalúe en Estadística",IF(D20&gt;1,"La mezcla excede el valor límite (Σ &gt; 1)",IF(D20&gt;0.5,"Mezcla sobre el nivel de acción (Σ &gt; 0,5)","Mezcla controlada"))))</f>
        <v/>
      </c>
      <c r="F20" s="8" t="n"/>
    </row>
    <row r="21">
      <c r="A21" s="8" t="n"/>
      <c r="B21" s="8" t="n"/>
      <c r="C21" s="15">
        <f>IF(OR(A21="",B21=""),"",COUNTIFS(Muestreo!$F$6:$F$305,A21,Muestreo!$S$6:$S$305,B21,Muestreo!$R$6:$R$305,"&gt;=0"))</f>
        <v/>
      </c>
      <c r="D21" s="29">
        <f>IF(N(C21)=0,"",SUMIFS(Muestreo!$R$6:$R$305,Muestreo!$F$6:$F$305,A21,Muestreo!$S$6:$S$305,B21))</f>
        <v/>
      </c>
      <c r="E21" s="28">
        <f>IF(D21="","",IF(C21&lt;2,"Un solo agente: evalúe en Estadística",IF(D21&gt;1,"La mezcla excede el valor límite (Σ &gt; 1)",IF(D21&gt;0.5,"Mezcla sobre el nivel de acción (Σ &gt; 0,5)","Mezcla controlada"))))</f>
        <v/>
      </c>
      <c r="F21" s="8" t="n"/>
    </row>
    <row r="22">
      <c r="A22" s="8" t="n"/>
      <c r="B22" s="8" t="n"/>
      <c r="C22" s="15">
        <f>IF(OR(A22="",B22=""),"",COUNTIFS(Muestreo!$F$6:$F$305,A22,Muestreo!$S$6:$S$305,B22,Muestreo!$R$6:$R$305,"&gt;=0"))</f>
        <v/>
      </c>
      <c r="D22" s="29">
        <f>IF(N(C22)=0,"",SUMIFS(Muestreo!$R$6:$R$305,Muestreo!$F$6:$F$305,A22,Muestreo!$S$6:$S$305,B22))</f>
        <v/>
      </c>
      <c r="E22" s="28">
        <f>IF(D22="","",IF(C22&lt;2,"Un solo agente: evalúe en Estadística",IF(D22&gt;1,"La mezcla excede el valor límite (Σ &gt; 1)",IF(D22&gt;0.5,"Mezcla sobre el nivel de acción (Σ &gt; 0,5)","Mezcla controlada"))))</f>
        <v/>
      </c>
      <c r="F22" s="8" t="n"/>
    </row>
    <row r="23">
      <c r="A23" s="8" t="n"/>
      <c r="B23" s="8" t="n"/>
      <c r="C23" s="15">
        <f>IF(OR(A23="",B23=""),"",COUNTIFS(Muestreo!$F$6:$F$305,A23,Muestreo!$S$6:$S$305,B23,Muestreo!$R$6:$R$305,"&gt;=0"))</f>
        <v/>
      </c>
      <c r="D23" s="29">
        <f>IF(N(C23)=0,"",SUMIFS(Muestreo!$R$6:$R$305,Muestreo!$F$6:$F$305,A23,Muestreo!$S$6:$S$305,B23))</f>
        <v/>
      </c>
      <c r="E23" s="28">
        <f>IF(D23="","",IF(C23&lt;2,"Un solo agente: evalúe en Estadística",IF(D23&gt;1,"La mezcla excede el valor límite (Σ &gt; 1)",IF(D23&gt;0.5,"Mezcla sobre el nivel de acción (Σ &gt; 0,5)","Mezcla controlada"))))</f>
        <v/>
      </c>
      <c r="F23" s="8" t="n"/>
    </row>
    <row r="24">
      <c r="A24" s="8" t="n"/>
      <c r="B24" s="8" t="n"/>
      <c r="C24" s="15">
        <f>IF(OR(A24="",B24=""),"",COUNTIFS(Muestreo!$F$6:$F$305,A24,Muestreo!$S$6:$S$305,B24,Muestreo!$R$6:$R$305,"&gt;=0"))</f>
        <v/>
      </c>
      <c r="D24" s="29">
        <f>IF(N(C24)=0,"",SUMIFS(Muestreo!$R$6:$R$305,Muestreo!$F$6:$F$305,A24,Muestreo!$S$6:$S$305,B24))</f>
        <v/>
      </c>
      <c r="E24" s="28">
        <f>IF(D24="","",IF(C24&lt;2,"Un solo agente: evalúe en Estadística",IF(D24&gt;1,"La mezcla excede el valor límite (Σ &gt; 1)",IF(D24&gt;0.5,"Mezcla sobre el nivel de acción (Σ &gt; 0,5)","Mezcla controlada"))))</f>
        <v/>
      </c>
      <c r="F24" s="8" t="n"/>
    </row>
    <row r="25">
      <c r="A25" s="8" t="n"/>
      <c r="B25" s="8" t="n"/>
      <c r="C25" s="15">
        <f>IF(OR(A25="",B25=""),"",COUNTIFS(Muestreo!$F$6:$F$305,A25,Muestreo!$S$6:$S$305,B25,Muestreo!$R$6:$R$305,"&gt;=0"))</f>
        <v/>
      </c>
      <c r="D25" s="29">
        <f>IF(N(C25)=0,"",SUMIFS(Muestreo!$R$6:$R$305,Muestreo!$F$6:$F$305,A25,Muestreo!$S$6:$S$305,B25))</f>
        <v/>
      </c>
      <c r="E25" s="28">
        <f>IF(D25="","",IF(C25&lt;2,"Un solo agente: evalúe en Estadística",IF(D25&gt;1,"La mezcla excede el valor límite (Σ &gt; 1)",IF(D25&gt;0.5,"Mezcla sobre el nivel de acción (Σ &gt; 0,5)","Mezcla controlada"))))</f>
        <v/>
      </c>
      <c r="F25" s="8" t="n"/>
    </row>
    <row r="26">
      <c r="A26" s="8" t="n"/>
      <c r="B26" s="8" t="n"/>
      <c r="C26" s="15">
        <f>IF(OR(A26="",B26=""),"",COUNTIFS(Muestreo!$F$6:$F$305,A26,Muestreo!$S$6:$S$305,B26,Muestreo!$R$6:$R$305,"&gt;=0"))</f>
        <v/>
      </c>
      <c r="D26" s="29">
        <f>IF(N(C26)=0,"",SUMIFS(Muestreo!$R$6:$R$305,Muestreo!$F$6:$F$305,A26,Muestreo!$S$6:$S$305,B26))</f>
        <v/>
      </c>
      <c r="E26" s="28">
        <f>IF(D26="","",IF(C26&lt;2,"Un solo agente: evalúe en Estadística",IF(D26&gt;1,"La mezcla excede el valor límite (Σ &gt; 1)",IF(D26&gt;0.5,"Mezcla sobre el nivel de acción (Σ &gt; 0,5)","Mezcla controlada"))))</f>
        <v/>
      </c>
      <c r="F26" s="8" t="n"/>
    </row>
    <row r="27">
      <c r="A27" s="8" t="n"/>
      <c r="B27" s="8" t="n"/>
      <c r="C27" s="15">
        <f>IF(OR(A27="",B27=""),"",COUNTIFS(Muestreo!$F$6:$F$305,A27,Muestreo!$S$6:$S$305,B27,Muestreo!$R$6:$R$305,"&gt;=0"))</f>
        <v/>
      </c>
      <c r="D27" s="29">
        <f>IF(N(C27)=0,"",SUMIFS(Muestreo!$R$6:$R$305,Muestreo!$F$6:$F$305,A27,Muestreo!$S$6:$S$305,B27))</f>
        <v/>
      </c>
      <c r="E27" s="28">
        <f>IF(D27="","",IF(C27&lt;2,"Un solo agente: evalúe en Estadística",IF(D27&gt;1,"La mezcla excede el valor límite (Σ &gt; 1)",IF(D27&gt;0.5,"Mezcla sobre el nivel de acción (Σ &gt; 0,5)","Mezcla controlada"))))</f>
        <v/>
      </c>
      <c r="F27" s="8" t="n"/>
    </row>
    <row r="28">
      <c r="A28" s="8" t="n"/>
      <c r="B28" s="8" t="n"/>
      <c r="C28" s="15">
        <f>IF(OR(A28="",B28=""),"",COUNTIFS(Muestreo!$F$6:$F$305,A28,Muestreo!$S$6:$S$305,B28,Muestreo!$R$6:$R$305,"&gt;=0"))</f>
        <v/>
      </c>
      <c r="D28" s="29">
        <f>IF(N(C28)=0,"",SUMIFS(Muestreo!$R$6:$R$305,Muestreo!$F$6:$F$305,A28,Muestreo!$S$6:$S$305,B28))</f>
        <v/>
      </c>
      <c r="E28" s="28">
        <f>IF(D28="","",IF(C28&lt;2,"Un solo agente: evalúe en Estadística",IF(D28&gt;1,"La mezcla excede el valor límite (Σ &gt; 1)",IF(D28&gt;0.5,"Mezcla sobre el nivel de acción (Σ &gt; 0,5)","Mezcla controlada"))))</f>
        <v/>
      </c>
      <c r="F28" s="8" t="n"/>
    </row>
    <row r="29">
      <c r="A29" s="8" t="n"/>
      <c r="B29" s="8" t="n"/>
      <c r="C29" s="15">
        <f>IF(OR(A29="",B29=""),"",COUNTIFS(Muestreo!$F$6:$F$305,A29,Muestreo!$S$6:$S$305,B29,Muestreo!$R$6:$R$305,"&gt;=0"))</f>
        <v/>
      </c>
      <c r="D29" s="29">
        <f>IF(N(C29)=0,"",SUMIFS(Muestreo!$R$6:$R$305,Muestreo!$F$6:$F$305,A29,Muestreo!$S$6:$S$305,B29))</f>
        <v/>
      </c>
      <c r="E29" s="28">
        <f>IF(D29="","",IF(C29&lt;2,"Un solo agente: evalúe en Estadística",IF(D29&gt;1,"La mezcla excede el valor límite (Σ &gt; 1)",IF(D29&gt;0.5,"Mezcla sobre el nivel de acción (Σ &gt; 0,5)","Mezcla controlada"))))</f>
        <v/>
      </c>
      <c r="F29" s="8" t="n"/>
    </row>
    <row r="30">
      <c r="A30" s="8" t="n"/>
      <c r="B30" s="8" t="n"/>
      <c r="C30" s="15">
        <f>IF(OR(A30="",B30=""),"",COUNTIFS(Muestreo!$F$6:$F$305,A30,Muestreo!$S$6:$S$305,B30,Muestreo!$R$6:$R$305,"&gt;=0"))</f>
        <v/>
      </c>
      <c r="D30" s="29">
        <f>IF(N(C30)=0,"",SUMIFS(Muestreo!$R$6:$R$305,Muestreo!$F$6:$F$305,A30,Muestreo!$S$6:$S$305,B30))</f>
        <v/>
      </c>
      <c r="E30" s="28">
        <f>IF(D30="","",IF(C30&lt;2,"Un solo agente: evalúe en Estadística",IF(D30&gt;1,"La mezcla excede el valor límite (Σ &gt; 1)",IF(D30&gt;0.5,"Mezcla sobre el nivel de acción (Σ &gt; 0,5)","Mezcla controlada"))))</f>
        <v/>
      </c>
      <c r="F30" s="8" t="n"/>
    </row>
    <row r="31">
      <c r="A31" s="8" t="n"/>
      <c r="B31" s="8" t="n"/>
      <c r="C31" s="15">
        <f>IF(OR(A31="",B31=""),"",COUNTIFS(Muestreo!$F$6:$F$305,A31,Muestreo!$S$6:$S$305,B31,Muestreo!$R$6:$R$305,"&gt;=0"))</f>
        <v/>
      </c>
      <c r="D31" s="29">
        <f>IF(N(C31)=0,"",SUMIFS(Muestreo!$R$6:$R$305,Muestreo!$F$6:$F$305,A31,Muestreo!$S$6:$S$305,B31))</f>
        <v/>
      </c>
      <c r="E31" s="28">
        <f>IF(D31="","",IF(C31&lt;2,"Un solo agente: evalúe en Estadística",IF(D31&gt;1,"La mezcla excede el valor límite (Σ &gt; 1)",IF(D31&gt;0.5,"Mezcla sobre el nivel de acción (Σ &gt; 0,5)","Mezcla controlada"))))</f>
        <v/>
      </c>
      <c r="F31" s="8" t="n"/>
    </row>
    <row r="32">
      <c r="A32" s="8" t="n"/>
      <c r="B32" s="8" t="n"/>
      <c r="C32" s="15">
        <f>IF(OR(A32="",B32=""),"",COUNTIFS(Muestreo!$F$6:$F$305,A32,Muestreo!$S$6:$S$305,B32,Muestreo!$R$6:$R$305,"&gt;=0"))</f>
        <v/>
      </c>
      <c r="D32" s="29">
        <f>IF(N(C32)=0,"",SUMIFS(Muestreo!$R$6:$R$305,Muestreo!$F$6:$F$305,A32,Muestreo!$S$6:$S$305,B32))</f>
        <v/>
      </c>
      <c r="E32" s="28">
        <f>IF(D32="","",IF(C32&lt;2,"Un solo agente: evalúe en Estadística",IF(D32&gt;1,"La mezcla excede el valor límite (Σ &gt; 1)",IF(D32&gt;0.5,"Mezcla sobre el nivel de acción (Σ &gt; 0,5)","Mezcla controlada"))))</f>
        <v/>
      </c>
      <c r="F32" s="8" t="n"/>
    </row>
    <row r="33">
      <c r="A33" s="8" t="n"/>
      <c r="B33" s="8" t="n"/>
      <c r="C33" s="15">
        <f>IF(OR(A33="",B33=""),"",COUNTIFS(Muestreo!$F$6:$F$305,A33,Muestreo!$S$6:$S$305,B33,Muestreo!$R$6:$R$305,"&gt;=0"))</f>
        <v/>
      </c>
      <c r="D33" s="29">
        <f>IF(N(C33)=0,"",SUMIFS(Muestreo!$R$6:$R$305,Muestreo!$F$6:$F$305,A33,Muestreo!$S$6:$S$305,B33))</f>
        <v/>
      </c>
      <c r="E33" s="28">
        <f>IF(D33="","",IF(C33&lt;2,"Un solo agente: evalúe en Estadística",IF(D33&gt;1,"La mezcla excede el valor límite (Σ &gt; 1)",IF(D33&gt;0.5,"Mezcla sobre el nivel de acción (Σ &gt; 0,5)","Mezcla controlada"))))</f>
        <v/>
      </c>
      <c r="F33" s="8" t="n"/>
    </row>
    <row r="34">
      <c r="A34" s="8" t="n"/>
      <c r="B34" s="8" t="n"/>
      <c r="C34" s="15">
        <f>IF(OR(A34="",B34=""),"",COUNTIFS(Muestreo!$F$6:$F$305,A34,Muestreo!$S$6:$S$305,B34,Muestreo!$R$6:$R$305,"&gt;=0"))</f>
        <v/>
      </c>
      <c r="D34" s="29">
        <f>IF(N(C34)=0,"",SUMIFS(Muestreo!$R$6:$R$305,Muestreo!$F$6:$F$305,A34,Muestreo!$S$6:$S$305,B34))</f>
        <v/>
      </c>
      <c r="E34" s="28">
        <f>IF(D34="","",IF(C34&lt;2,"Un solo agente: evalúe en Estadística",IF(D34&gt;1,"La mezcla excede el valor límite (Σ &gt; 1)",IF(D34&gt;0.5,"Mezcla sobre el nivel de acción (Σ &gt; 0,5)","Mezcla controlada"))))</f>
        <v/>
      </c>
      <c r="F34" s="8" t="n"/>
    </row>
    <row r="35">
      <c r="A35" s="8" t="n"/>
      <c r="B35" s="8" t="n"/>
      <c r="C35" s="15">
        <f>IF(OR(A35="",B35=""),"",COUNTIFS(Muestreo!$F$6:$F$305,A35,Muestreo!$S$6:$S$305,B35,Muestreo!$R$6:$R$305,"&gt;=0"))</f>
        <v/>
      </c>
      <c r="D35" s="29">
        <f>IF(N(C35)=0,"",SUMIFS(Muestreo!$R$6:$R$305,Muestreo!$F$6:$F$305,A35,Muestreo!$S$6:$S$305,B35))</f>
        <v/>
      </c>
      <c r="E35" s="28">
        <f>IF(D35="","",IF(C35&lt;2,"Un solo agente: evalúe en Estadística",IF(D35&gt;1,"La mezcla excede el valor límite (Σ &gt; 1)",IF(D35&gt;0.5,"Mezcla sobre el nivel de acción (Σ &gt; 0,5)","Mezcla controlada"))))</f>
        <v/>
      </c>
      <c r="F35" s="8" t="n"/>
    </row>
    <row r="36">
      <c r="A36" s="8" t="n"/>
      <c r="B36" s="8" t="n"/>
      <c r="C36" s="15">
        <f>IF(OR(A36="",B36=""),"",COUNTIFS(Muestreo!$F$6:$F$305,A36,Muestreo!$S$6:$S$305,B36,Muestreo!$R$6:$R$305,"&gt;=0"))</f>
        <v/>
      </c>
      <c r="D36" s="29">
        <f>IF(N(C36)=0,"",SUMIFS(Muestreo!$R$6:$R$305,Muestreo!$F$6:$F$305,A36,Muestreo!$S$6:$S$305,B36))</f>
        <v/>
      </c>
      <c r="E36" s="28">
        <f>IF(D36="","",IF(C36&lt;2,"Un solo agente: evalúe en Estadística",IF(D36&gt;1,"La mezcla excede el valor límite (Σ &gt; 1)",IF(D36&gt;0.5,"Mezcla sobre el nivel de acción (Σ &gt; 0,5)","Mezcla controlada"))))</f>
        <v/>
      </c>
      <c r="F36" s="8" t="n"/>
    </row>
    <row r="37">
      <c r="A37" s="8" t="n"/>
      <c r="B37" s="8" t="n"/>
      <c r="C37" s="15">
        <f>IF(OR(A37="",B37=""),"",COUNTIFS(Muestreo!$F$6:$F$305,A37,Muestreo!$S$6:$S$305,B37,Muestreo!$R$6:$R$305,"&gt;=0"))</f>
        <v/>
      </c>
      <c r="D37" s="29">
        <f>IF(N(C37)=0,"",SUMIFS(Muestreo!$R$6:$R$305,Muestreo!$F$6:$F$305,A37,Muestreo!$S$6:$S$305,B37))</f>
        <v/>
      </c>
      <c r="E37" s="28">
        <f>IF(D37="","",IF(C37&lt;2,"Un solo agente: evalúe en Estadística",IF(D37&gt;1,"La mezcla excede el valor límite (Σ &gt; 1)",IF(D37&gt;0.5,"Mezcla sobre el nivel de acción (Σ &gt; 0,5)","Mezcla controlada"))))</f>
        <v/>
      </c>
      <c r="F37" s="8" t="n"/>
    </row>
    <row r="38">
      <c r="A38" s="8" t="n"/>
      <c r="B38" s="8" t="n"/>
      <c r="C38" s="15">
        <f>IF(OR(A38="",B38=""),"",COUNTIFS(Muestreo!$F$6:$F$305,A38,Muestreo!$S$6:$S$305,B38,Muestreo!$R$6:$R$305,"&gt;=0"))</f>
        <v/>
      </c>
      <c r="D38" s="29">
        <f>IF(N(C38)=0,"",SUMIFS(Muestreo!$R$6:$R$305,Muestreo!$F$6:$F$305,A38,Muestreo!$S$6:$S$305,B38))</f>
        <v/>
      </c>
      <c r="E38" s="28">
        <f>IF(D38="","",IF(C38&lt;2,"Un solo agente: evalúe en Estadística",IF(D38&gt;1,"La mezcla excede el valor límite (Σ &gt; 1)",IF(D38&gt;0.5,"Mezcla sobre el nivel de acción (Σ &gt; 0,5)","Mezcla controlada"))))</f>
        <v/>
      </c>
      <c r="F38" s="8" t="n"/>
    </row>
    <row r="39">
      <c r="A39" s="8" t="n"/>
      <c r="B39" s="8" t="n"/>
      <c r="C39" s="15">
        <f>IF(OR(A39="",B39=""),"",COUNTIFS(Muestreo!$F$6:$F$305,A39,Muestreo!$S$6:$S$305,B39,Muestreo!$R$6:$R$305,"&gt;=0"))</f>
        <v/>
      </c>
      <c r="D39" s="29">
        <f>IF(N(C39)=0,"",SUMIFS(Muestreo!$R$6:$R$305,Muestreo!$F$6:$F$305,A39,Muestreo!$S$6:$S$305,B39))</f>
        <v/>
      </c>
      <c r="E39" s="28">
        <f>IF(D39="","",IF(C39&lt;2,"Un solo agente: evalúe en Estadística",IF(D39&gt;1,"La mezcla excede el valor límite (Σ &gt; 1)",IF(D39&gt;0.5,"Mezcla sobre el nivel de acción (Σ &gt; 0,5)","Mezcla controlada"))))</f>
        <v/>
      </c>
      <c r="F39" s="8" t="n"/>
    </row>
    <row r="40">
      <c r="A40" s="8" t="n"/>
      <c r="B40" s="8" t="n"/>
      <c r="C40" s="15">
        <f>IF(OR(A40="",B40=""),"",COUNTIFS(Muestreo!$F$6:$F$305,A40,Muestreo!$S$6:$S$305,B40,Muestreo!$R$6:$R$305,"&gt;=0"))</f>
        <v/>
      </c>
      <c r="D40" s="29">
        <f>IF(N(C40)=0,"",SUMIFS(Muestreo!$R$6:$R$305,Muestreo!$F$6:$F$305,A40,Muestreo!$S$6:$S$305,B40))</f>
        <v/>
      </c>
      <c r="E40" s="28">
        <f>IF(D40="","",IF(C40&lt;2,"Un solo agente: evalúe en Estadística",IF(D40&gt;1,"La mezcla excede el valor límite (Σ &gt; 1)",IF(D40&gt;0.5,"Mezcla sobre el nivel de acción (Σ &gt; 0,5)","Mezcla controlada"))))</f>
        <v/>
      </c>
      <c r="F40" s="8" t="n"/>
    </row>
    <row r="41">
      <c r="A41" s="8" t="n"/>
      <c r="B41" s="8" t="n"/>
      <c r="C41" s="15">
        <f>IF(OR(A41="",B41=""),"",COUNTIFS(Muestreo!$F$6:$F$305,A41,Muestreo!$S$6:$S$305,B41,Muestreo!$R$6:$R$305,"&gt;=0"))</f>
        <v/>
      </c>
      <c r="D41" s="29">
        <f>IF(N(C41)=0,"",SUMIFS(Muestreo!$R$6:$R$305,Muestreo!$F$6:$F$305,A41,Muestreo!$S$6:$S$305,B41))</f>
        <v/>
      </c>
      <c r="E41" s="28">
        <f>IF(D41="","",IF(C41&lt;2,"Un solo agente: evalúe en Estadística",IF(D41&gt;1,"La mezcla excede el valor límite (Σ &gt; 1)",IF(D41&gt;0.5,"Mezcla sobre el nivel de acción (Σ &gt; 0,5)","Mezcla controlada"))))</f>
        <v/>
      </c>
      <c r="F41" s="8" t="n"/>
    </row>
    <row r="42">
      <c r="A42" s="8" t="n"/>
      <c r="B42" s="8" t="n"/>
      <c r="C42" s="15">
        <f>IF(OR(A42="",B42=""),"",COUNTIFS(Muestreo!$F$6:$F$305,A42,Muestreo!$S$6:$S$305,B42,Muestreo!$R$6:$R$305,"&gt;=0"))</f>
        <v/>
      </c>
      <c r="D42" s="29">
        <f>IF(N(C42)=0,"",SUMIFS(Muestreo!$R$6:$R$305,Muestreo!$F$6:$F$305,A42,Muestreo!$S$6:$S$305,B42))</f>
        <v/>
      </c>
      <c r="E42" s="28">
        <f>IF(D42="","",IF(C42&lt;2,"Un solo agente: evalúe en Estadística",IF(D42&gt;1,"La mezcla excede el valor límite (Σ &gt; 1)",IF(D42&gt;0.5,"Mezcla sobre el nivel de acción (Σ &gt; 0,5)","Mezcla controlada"))))</f>
        <v/>
      </c>
      <c r="F42" s="8" t="n"/>
    </row>
    <row r="43">
      <c r="A43" s="8" t="n"/>
      <c r="B43" s="8" t="n"/>
      <c r="C43" s="15">
        <f>IF(OR(A43="",B43=""),"",COUNTIFS(Muestreo!$F$6:$F$305,A43,Muestreo!$S$6:$S$305,B43,Muestreo!$R$6:$R$305,"&gt;=0"))</f>
        <v/>
      </c>
      <c r="D43" s="29">
        <f>IF(N(C43)=0,"",SUMIFS(Muestreo!$R$6:$R$305,Muestreo!$F$6:$F$305,A43,Muestreo!$S$6:$S$305,B43))</f>
        <v/>
      </c>
      <c r="E43" s="28">
        <f>IF(D43="","",IF(C43&lt;2,"Un solo agente: evalúe en Estadística",IF(D43&gt;1,"La mezcla excede el valor límite (Σ &gt; 1)",IF(D43&gt;0.5,"Mezcla sobre el nivel de acción (Σ &gt; 0,5)","Mezcla controlada"))))</f>
        <v/>
      </c>
      <c r="F43" s="8" t="n"/>
    </row>
    <row r="44">
      <c r="A44" s="8" t="n"/>
      <c r="B44" s="8" t="n"/>
      <c r="C44" s="15">
        <f>IF(OR(A44="",B44=""),"",COUNTIFS(Muestreo!$F$6:$F$305,A44,Muestreo!$S$6:$S$305,B44,Muestreo!$R$6:$R$305,"&gt;=0"))</f>
        <v/>
      </c>
      <c r="D44" s="29">
        <f>IF(N(C44)=0,"",SUMIFS(Muestreo!$R$6:$R$305,Muestreo!$F$6:$F$305,A44,Muestreo!$S$6:$S$305,B44))</f>
        <v/>
      </c>
      <c r="E44" s="28">
        <f>IF(D44="","",IF(C44&lt;2,"Un solo agente: evalúe en Estadística",IF(D44&gt;1,"La mezcla excede el valor límite (Σ &gt; 1)",IF(D44&gt;0.5,"Mezcla sobre el nivel de acción (Σ &gt; 0,5)","Mezcla controlada"))))</f>
        <v/>
      </c>
      <c r="F44" s="8" t="n"/>
    </row>
    <row r="45">
      <c r="A45" s="8" t="n"/>
      <c r="B45" s="8" t="n"/>
      <c r="C45" s="15">
        <f>IF(OR(A45="",B45=""),"",COUNTIFS(Muestreo!$F$6:$F$305,A45,Muestreo!$S$6:$S$305,B45,Muestreo!$R$6:$R$305,"&gt;=0"))</f>
        <v/>
      </c>
      <c r="D45" s="29">
        <f>IF(N(C45)=0,"",SUMIFS(Muestreo!$R$6:$R$305,Muestreo!$F$6:$F$305,A45,Muestreo!$S$6:$S$305,B45))</f>
        <v/>
      </c>
      <c r="E45" s="28">
        <f>IF(D45="","",IF(C45&lt;2,"Un solo agente: evalúe en Estadística",IF(D45&gt;1,"La mezcla excede el valor límite (Σ &gt; 1)",IF(D45&gt;0.5,"Mezcla sobre el nivel de acción (Σ &gt; 0,5)","Mezcla controlada"))))</f>
        <v/>
      </c>
      <c r="F45" s="8" t="n"/>
    </row>
    <row r="46">
      <c r="A46" s="8" t="n"/>
      <c r="B46" s="8" t="n"/>
      <c r="C46" s="15">
        <f>IF(OR(A46="",B46=""),"",COUNTIFS(Muestreo!$F$6:$F$305,A46,Muestreo!$S$6:$S$305,B46,Muestreo!$R$6:$R$305,"&gt;=0"))</f>
        <v/>
      </c>
      <c r="D46" s="29">
        <f>IF(N(C46)=0,"",SUMIFS(Muestreo!$R$6:$R$305,Muestreo!$F$6:$F$305,A46,Muestreo!$S$6:$S$305,B46))</f>
        <v/>
      </c>
      <c r="E46" s="28">
        <f>IF(D46="","",IF(C46&lt;2,"Un solo agente: evalúe en Estadística",IF(D46&gt;1,"La mezcla excede el valor límite (Σ &gt; 1)",IF(D46&gt;0.5,"Mezcla sobre el nivel de acción (Σ &gt; 0,5)","Mezcla controlada"))))</f>
        <v/>
      </c>
      <c r="F46" s="8" t="n"/>
    </row>
    <row r="47">
      <c r="A47" s="8" t="n"/>
      <c r="B47" s="8" t="n"/>
      <c r="C47" s="15">
        <f>IF(OR(A47="",B47=""),"",COUNTIFS(Muestreo!$F$6:$F$305,A47,Muestreo!$S$6:$S$305,B47,Muestreo!$R$6:$R$305,"&gt;=0"))</f>
        <v/>
      </c>
      <c r="D47" s="29">
        <f>IF(N(C47)=0,"",SUMIFS(Muestreo!$R$6:$R$305,Muestreo!$F$6:$F$305,A47,Muestreo!$S$6:$S$305,B47))</f>
        <v/>
      </c>
      <c r="E47" s="28">
        <f>IF(D47="","",IF(C47&lt;2,"Un solo agente: evalúe en Estadística",IF(D47&gt;1,"La mezcla excede el valor límite (Σ &gt; 1)",IF(D47&gt;0.5,"Mezcla sobre el nivel de acción (Σ &gt; 0,5)","Mezcla controlada"))))</f>
        <v/>
      </c>
      <c r="F47" s="8" t="n"/>
    </row>
    <row r="48">
      <c r="A48" s="8" t="n"/>
      <c r="B48" s="8" t="n"/>
      <c r="C48" s="15">
        <f>IF(OR(A48="",B48=""),"",COUNTIFS(Muestreo!$F$6:$F$305,A48,Muestreo!$S$6:$S$305,B48,Muestreo!$R$6:$R$305,"&gt;=0"))</f>
        <v/>
      </c>
      <c r="D48" s="29">
        <f>IF(N(C48)=0,"",SUMIFS(Muestreo!$R$6:$R$305,Muestreo!$F$6:$F$305,A48,Muestreo!$S$6:$S$305,B48))</f>
        <v/>
      </c>
      <c r="E48" s="28">
        <f>IF(D48="","",IF(C48&lt;2,"Un solo agente: evalúe en Estadística",IF(D48&gt;1,"La mezcla excede el valor límite (Σ &gt; 1)",IF(D48&gt;0.5,"Mezcla sobre el nivel de acción (Σ &gt; 0,5)","Mezcla controlada"))))</f>
        <v/>
      </c>
      <c r="F48" s="8" t="n"/>
    </row>
    <row r="49">
      <c r="A49" s="8" t="n"/>
      <c r="B49" s="8" t="n"/>
      <c r="C49" s="15">
        <f>IF(OR(A49="",B49=""),"",COUNTIFS(Muestreo!$F$6:$F$305,A49,Muestreo!$S$6:$S$305,B49,Muestreo!$R$6:$R$305,"&gt;=0"))</f>
        <v/>
      </c>
      <c r="D49" s="29">
        <f>IF(N(C49)=0,"",SUMIFS(Muestreo!$R$6:$R$305,Muestreo!$F$6:$F$305,A49,Muestreo!$S$6:$S$305,B49))</f>
        <v/>
      </c>
      <c r="E49" s="28">
        <f>IF(D49="","",IF(C49&lt;2,"Un solo agente: evalúe en Estadística",IF(D49&gt;1,"La mezcla excede el valor límite (Σ &gt; 1)",IF(D49&gt;0.5,"Mezcla sobre el nivel de acción (Σ &gt; 0,5)","Mezcla controlada"))))</f>
        <v/>
      </c>
      <c r="F49" s="8" t="n"/>
    </row>
    <row r="50">
      <c r="A50" s="8" t="n"/>
      <c r="B50" s="8" t="n"/>
      <c r="C50" s="15">
        <f>IF(OR(A50="",B50=""),"",COUNTIFS(Muestreo!$F$6:$F$305,A50,Muestreo!$S$6:$S$305,B50,Muestreo!$R$6:$R$305,"&gt;=0"))</f>
        <v/>
      </c>
      <c r="D50" s="29">
        <f>IF(N(C50)=0,"",SUMIFS(Muestreo!$R$6:$R$305,Muestreo!$F$6:$F$305,A50,Muestreo!$S$6:$S$305,B50))</f>
        <v/>
      </c>
      <c r="E50" s="28">
        <f>IF(D50="","",IF(C50&lt;2,"Un solo agente: evalúe en Estadística",IF(D50&gt;1,"La mezcla excede el valor límite (Σ &gt; 1)",IF(D50&gt;0.5,"Mezcla sobre el nivel de acción (Σ &gt; 0,5)","Mezcla controlada"))))</f>
        <v/>
      </c>
      <c r="F50" s="8" t="n"/>
    </row>
    <row r="51">
      <c r="A51" s="8" t="n"/>
      <c r="B51" s="8" t="n"/>
      <c r="C51" s="15">
        <f>IF(OR(A51="",B51=""),"",COUNTIFS(Muestreo!$F$6:$F$305,A51,Muestreo!$S$6:$S$305,B51,Muestreo!$R$6:$R$305,"&gt;=0"))</f>
        <v/>
      </c>
      <c r="D51" s="29">
        <f>IF(N(C51)=0,"",SUMIFS(Muestreo!$R$6:$R$305,Muestreo!$F$6:$F$305,A51,Muestreo!$S$6:$S$305,B51))</f>
        <v/>
      </c>
      <c r="E51" s="28">
        <f>IF(D51="","",IF(C51&lt;2,"Un solo agente: evalúe en Estadística",IF(D51&gt;1,"La mezcla excede el valor límite (Σ &gt; 1)",IF(D51&gt;0.5,"Mezcla sobre el nivel de acción (Σ &gt; 0,5)","Mezcla controlada"))))</f>
        <v/>
      </c>
      <c r="F51" s="8" t="n"/>
    </row>
    <row r="52">
      <c r="A52" s="8" t="n"/>
      <c r="B52" s="8" t="n"/>
      <c r="C52" s="15">
        <f>IF(OR(A52="",B52=""),"",COUNTIFS(Muestreo!$F$6:$F$305,A52,Muestreo!$S$6:$S$305,B52,Muestreo!$R$6:$R$305,"&gt;=0"))</f>
        <v/>
      </c>
      <c r="D52" s="29">
        <f>IF(N(C52)=0,"",SUMIFS(Muestreo!$R$6:$R$305,Muestreo!$F$6:$F$305,A52,Muestreo!$S$6:$S$305,B52))</f>
        <v/>
      </c>
      <c r="E52" s="28">
        <f>IF(D52="","",IF(C52&lt;2,"Un solo agente: evalúe en Estadística",IF(D52&gt;1,"La mezcla excede el valor límite (Σ &gt; 1)",IF(D52&gt;0.5,"Mezcla sobre el nivel de acción (Σ &gt; 0,5)","Mezcla controlada"))))</f>
        <v/>
      </c>
      <c r="F52" s="8" t="n"/>
    </row>
    <row r="53">
      <c r="A53" s="8" t="n"/>
      <c r="B53" s="8" t="n"/>
      <c r="C53" s="15">
        <f>IF(OR(A53="",B53=""),"",COUNTIFS(Muestreo!$F$6:$F$305,A53,Muestreo!$S$6:$S$305,B53,Muestreo!$R$6:$R$305,"&gt;=0"))</f>
        <v/>
      </c>
      <c r="D53" s="29">
        <f>IF(N(C53)=0,"",SUMIFS(Muestreo!$R$6:$R$305,Muestreo!$F$6:$F$305,A53,Muestreo!$S$6:$S$305,B53))</f>
        <v/>
      </c>
      <c r="E53" s="28">
        <f>IF(D53="","",IF(C53&lt;2,"Un solo agente: evalúe en Estadística",IF(D53&gt;1,"La mezcla excede el valor límite (Σ &gt; 1)",IF(D53&gt;0.5,"Mezcla sobre el nivel de acción (Σ &gt; 0,5)","Mezcla controlada"))))</f>
        <v/>
      </c>
      <c r="F53" s="8" t="n"/>
    </row>
    <row r="54">
      <c r="A54" s="8" t="n"/>
      <c r="B54" s="8" t="n"/>
      <c r="C54" s="15">
        <f>IF(OR(A54="",B54=""),"",COUNTIFS(Muestreo!$F$6:$F$305,A54,Muestreo!$S$6:$S$305,B54,Muestreo!$R$6:$R$305,"&gt;=0"))</f>
        <v/>
      </c>
      <c r="D54" s="29">
        <f>IF(N(C54)=0,"",SUMIFS(Muestreo!$R$6:$R$305,Muestreo!$F$6:$F$305,A54,Muestreo!$S$6:$S$305,B54))</f>
        <v/>
      </c>
      <c r="E54" s="28">
        <f>IF(D54="","",IF(C54&lt;2,"Un solo agente: evalúe en Estadística",IF(D54&gt;1,"La mezcla excede el valor límite (Σ &gt; 1)",IF(D54&gt;0.5,"Mezcla sobre el nivel de acción (Σ &gt; 0,5)","Mezcla controlada"))))</f>
        <v/>
      </c>
      <c r="F54" s="8" t="n"/>
    </row>
    <row r="55">
      <c r="A55" s="8" t="n"/>
      <c r="B55" s="8" t="n"/>
      <c r="C55" s="15">
        <f>IF(OR(A55="",B55=""),"",COUNTIFS(Muestreo!$F$6:$F$305,A55,Muestreo!$S$6:$S$305,B55,Muestreo!$R$6:$R$305,"&gt;=0"))</f>
        <v/>
      </c>
      <c r="D55" s="29">
        <f>IF(N(C55)=0,"",SUMIFS(Muestreo!$R$6:$R$305,Muestreo!$F$6:$F$305,A55,Muestreo!$S$6:$S$305,B55))</f>
        <v/>
      </c>
      <c r="E55" s="28">
        <f>IF(D55="","",IF(C55&lt;2,"Un solo agente: evalúe en Estadística",IF(D55&gt;1,"La mezcla excede el valor límite (Σ &gt; 1)",IF(D55&gt;0.5,"Mezcla sobre el nivel de acción (Σ &gt; 0,5)","Mezcla controlada"))))</f>
        <v/>
      </c>
      <c r="F55" s="8" t="n"/>
    </row>
  </sheetData>
  <conditionalFormatting sqref="E6:E55">
    <cfRule type="expression" priority="1" dxfId="2">
      <formula>LEFT(E6,14)="La mezcla exce"</formula>
    </cfRule>
    <cfRule type="expression" priority="2" dxfId="1">
      <formula>LEFT(E6,10)="Mezcla sob"</formula>
    </cfRule>
  </conditionalFormatting>
  <dataValidations count="1">
    <dataValidation sqref="B6:B55" showDropDown="0" showInputMessage="0" showErrorMessage="0" allowBlank="1" type="list">
      <formula1>Agentes!$B$70:$B$76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9000"/>
    <outlinePr summaryBelow="1" summaryRight="1"/>
    <pageSetUpPr/>
  </sheetPr>
  <dimension ref="A1:M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6" customWidth="1" min="4" max="4"/>
    <col width="14" customWidth="1" min="5" max="5"/>
    <col width="60" customWidth="1" min="6" max="6"/>
    <col width="34" customWidth="1" min="7" max="7"/>
    <col width="16" customWidth="1" min="8" max="8"/>
    <col width="14" customWidth="1" min="9" max="9"/>
    <col width="11" customWidth="1" min="10" max="10"/>
    <col width="12" customWidth="1" min="11" max="11"/>
    <col width="24" customWidth="1" min="12" max="12"/>
    <col width="22" customWidth="1" min="13" max="13"/>
  </cols>
  <sheetData>
    <row r="1">
      <c r="A1" s="10" t="inlineStr">
        <is>
          <t>6. Plan de Control por GES × agente</t>
        </is>
      </c>
    </row>
    <row r="2">
      <c r="A2" s="3" t="inlineStr">
        <is>
          <t>Recomendaciones automáticas según la familia del agente y la clasificación (códigos B## en la Biblioteca). Diligencie las medidas adoptadas, responsables y seguimiento.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40" customHeight="1">
      <c r="A5" s="12" t="inlineStr">
        <is>
          <t>Código GES</t>
        </is>
      </c>
      <c r="B5" s="12" t="inlineStr">
        <is>
          <t>Agente</t>
        </is>
      </c>
      <c r="C5" s="12" t="inlineStr">
        <is>
          <t>Clasificación</t>
        </is>
      </c>
      <c r="D5" s="12" t="inlineStr">
        <is>
          <t>Categoría AIHA</t>
        </is>
      </c>
      <c r="E5" s="12" t="inlineStr">
        <is>
          <t>Prioridad</t>
        </is>
      </c>
      <c r="F5" s="12" t="inlineStr">
        <is>
          <t>Medidas recomendadas (automático)</t>
        </is>
      </c>
      <c r="G5" s="12" t="inlineStr">
        <is>
          <t>Medida(s) adoptada(s)</t>
        </is>
      </c>
      <c r="H5" s="12" t="inlineStr">
        <is>
          <t>Jerarquía</t>
        </is>
      </c>
      <c r="I5" s="12" t="inlineStr">
        <is>
          <t>Responsable</t>
        </is>
      </c>
      <c r="J5" s="12" t="inlineStr">
        <is>
          <t>Fecha compromiso</t>
        </is>
      </c>
      <c r="K5" s="12" t="inlineStr">
        <is>
          <t>Estado</t>
        </is>
      </c>
      <c r="L5" s="12" t="inlineStr">
        <is>
          <t>Verificación de eficacia (remuestreo)</t>
        </is>
      </c>
      <c r="M5" s="12" t="inlineStr">
        <is>
          <t>Observaciones</t>
        </is>
      </c>
    </row>
    <row r="6" ht="48" customHeight="1">
      <c r="A6" s="15">
        <f>Estadística!A6</f>
        <v/>
      </c>
      <c r="B6" s="15">
        <f>Estadística!B6</f>
        <v/>
      </c>
      <c r="C6" s="28">
        <f>Estadística!U6</f>
        <v/>
      </c>
      <c r="D6" s="15">
        <f>Estadística!T6</f>
        <v/>
      </c>
      <c r="E6" s="15">
        <f>IF(A6="","",IF(D6="","Evaluar",CHOOSE(D6+1,"Mantener","Mantener","Mantener y reevaluar","Alta (≤ 1–3 meses)","Inmediata")))</f>
        <v/>
      </c>
      <c r="F6" s="28">
        <f>IF(A6="","",IF(C6="Sin datos","Realizar evaluación cuantitativa con 6 a 10 muestras personales por GES y agente (AIHA).",IFERROR(INDEX(Biblioteca!$I$6:$I$17,MATCH(IFERROR(INDEX(Agentes!$H$6:$H$60,MATCH(B6,Agentes!$A$6:$A$60,0)),"")&amp;"|"&amp;IF(LEFT(C6,5)="Sobre","Sobreexposición",IF(LEFT(C6,5)="Fuera","Fuera de control","Controlada")),Biblioteca!$H$6:$H$17,0)),"")))</f>
        <v/>
      </c>
      <c r="G6" s="19" t="inlineStr">
        <is>
          <t>Extracción localizada con brazo articulado en cada puesto; electrodos de bajo manganeso</t>
        </is>
      </c>
      <c r="H6" s="8" t="inlineStr">
        <is>
          <t>Ingeniería – fuente</t>
        </is>
      </c>
      <c r="I6" s="8" t="inlineStr">
        <is>
          <t>Jefe de taller</t>
        </is>
      </c>
      <c r="J6" s="9" t="n">
        <v>46371</v>
      </c>
      <c r="K6" s="8" t="inlineStr">
        <is>
          <t>En curso</t>
        </is>
      </c>
      <c r="L6" s="19" t="inlineStr">
        <is>
          <t>Remuestreo de 6 muestras en feb-2027</t>
        </is>
      </c>
      <c r="M6" s="19" t="n"/>
    </row>
    <row r="7" ht="48" customHeight="1">
      <c r="A7" s="15">
        <f>Estadística!A7</f>
        <v/>
      </c>
      <c r="B7" s="15">
        <f>Estadística!B7</f>
        <v/>
      </c>
      <c r="C7" s="28">
        <f>Estadística!U7</f>
        <v/>
      </c>
      <c r="D7" s="15">
        <f>Estadística!T7</f>
        <v/>
      </c>
      <c r="E7" s="15">
        <f>IF(A7="","",IF(D7="","Evaluar",CHOOSE(D7+1,"Mantener","Mantener","Mantener y reevaluar","Alta (≤ 1–3 meses)","Inmediata")))</f>
        <v/>
      </c>
      <c r="F7" s="28">
        <f>IF(A7="","",IF(C7="Sin datos","Realizar evaluación cuantitativa con 6 a 10 muestras personales por GES y agente (AIHA).",IFERROR(INDEX(Biblioteca!$I$6:$I$17,MATCH(IFERROR(INDEX(Agentes!$H$6:$H$60,MATCH(B7,Agentes!$A$6:$A$60,0)),"")&amp;"|"&amp;IF(LEFT(C7,5)="Sobre","Sobreexposición",IF(LEFT(C7,5)="Fuera","Fuera de control","Controlada")),Biblioteca!$H$6:$H$17,0)),"")))</f>
        <v/>
      </c>
      <c r="G7" s="19" t="n"/>
      <c r="H7" s="8" t="n"/>
      <c r="I7" s="8" t="n"/>
      <c r="J7" s="9" t="n"/>
      <c r="K7" s="8" t="n"/>
      <c r="L7" s="19" t="n"/>
      <c r="M7" s="19" t="n"/>
    </row>
    <row r="8" ht="48" customHeight="1">
      <c r="A8" s="15">
        <f>Estadística!A8</f>
        <v/>
      </c>
      <c r="B8" s="15">
        <f>Estadística!B8</f>
        <v/>
      </c>
      <c r="C8" s="28">
        <f>Estadística!U8</f>
        <v/>
      </c>
      <c r="D8" s="15">
        <f>Estadística!T8</f>
        <v/>
      </c>
      <c r="E8" s="15">
        <f>IF(A8="","",IF(D8="","Evaluar",CHOOSE(D8+1,"Mantener","Mantener","Mantener y reevaluar","Alta (≤ 1–3 meses)","Inmediata")))</f>
        <v/>
      </c>
      <c r="F8" s="28">
        <f>IF(A8="","",IF(C8="Sin datos","Realizar evaluación cuantitativa con 6 a 10 muestras personales por GES y agente (AIHA).",IFERROR(INDEX(Biblioteca!$I$6:$I$17,MATCH(IFERROR(INDEX(Agentes!$H$6:$H$60,MATCH(B8,Agentes!$A$6:$A$60,0)),"")&amp;"|"&amp;IF(LEFT(C8,5)="Sobre","Sobreexposición",IF(LEFT(C8,5)="Fuera","Fuera de control","Controlada")),Biblioteca!$H$6:$H$17,0)),"")))</f>
        <v/>
      </c>
      <c r="G8" s="19" t="inlineStr">
        <is>
          <t>Antorchas con extracción integrada en todos los puestos; PAPR con careta de soldar mientras tanto</t>
        </is>
      </c>
      <c r="H8" s="8" t="inlineStr">
        <is>
          <t>Ingeniería – fuente</t>
        </is>
      </c>
      <c r="I8" s="8" t="inlineStr">
        <is>
          <t>Ingeniero de procesos</t>
        </is>
      </c>
      <c r="J8" s="9" t="n">
        <v>46356</v>
      </c>
      <c r="K8" s="8" t="inlineStr">
        <is>
          <t>Pendiente</t>
        </is>
      </c>
      <c r="L8" s="19" t="inlineStr">
        <is>
          <t>Remuestreo trimestral</t>
        </is>
      </c>
      <c r="M8" s="19" t="n"/>
    </row>
    <row r="9" ht="48" customHeight="1">
      <c r="A9" s="15">
        <f>Estadística!A9</f>
        <v/>
      </c>
      <c r="B9" s="15">
        <f>Estadística!B9</f>
        <v/>
      </c>
      <c r="C9" s="28">
        <f>Estadística!U9</f>
        <v/>
      </c>
      <c r="D9" s="15">
        <f>Estadística!T9</f>
        <v/>
      </c>
      <c r="E9" s="15">
        <f>IF(A9="","",IF(D9="","Evaluar",CHOOSE(D9+1,"Mantener","Mantener","Mantener y reevaluar","Alta (≤ 1–3 meses)","Inmediata")))</f>
        <v/>
      </c>
      <c r="F9" s="28">
        <f>IF(A9="","",IF(C9="Sin datos","Realizar evaluación cuantitativa con 6 a 10 muestras personales por GES y agente (AIHA).",IFERROR(INDEX(Biblioteca!$I$6:$I$17,MATCH(IFERROR(INDEX(Agentes!$H$6:$H$60,MATCH(B9,Agentes!$A$6:$A$60,0)),"")&amp;"|"&amp;IF(LEFT(C9,5)="Sobre","Sobreexposición",IF(LEFT(C9,5)="Fuera","Fuera de control","Controlada")),Biblioteca!$H$6:$H$17,0)),"")))</f>
        <v/>
      </c>
      <c r="G9" s="19" t="n"/>
      <c r="H9" s="8" t="n"/>
      <c r="I9" s="8" t="n"/>
      <c r="J9" s="9" t="n"/>
      <c r="K9" s="8" t="n"/>
      <c r="L9" s="19" t="n"/>
      <c r="M9" s="19" t="n"/>
    </row>
    <row r="10" ht="48" customHeight="1">
      <c r="A10" s="15">
        <f>Estadística!A10</f>
        <v/>
      </c>
      <c r="B10" s="15">
        <f>Estadística!B10</f>
        <v/>
      </c>
      <c r="C10" s="28">
        <f>Estadística!U10</f>
        <v/>
      </c>
      <c r="D10" s="15">
        <f>Estadística!T10</f>
        <v/>
      </c>
      <c r="E10" s="15">
        <f>IF(A10="","",IF(D10="","Evaluar",CHOOSE(D10+1,"Mantener","Mantener","Mantener y reevaluar","Alta (≤ 1–3 meses)","Inmediata")))</f>
        <v/>
      </c>
      <c r="F10" s="28">
        <f>IF(A10="","",IF(C10="Sin datos","Realizar evaluación cuantitativa con 6 a 10 muestras personales por GES y agente (AIHA).",IFERROR(INDEX(Biblioteca!$I$6:$I$17,MATCH(IFERROR(INDEX(Agentes!$H$6:$H$60,MATCH(B10,Agentes!$A$6:$A$60,0)),"")&amp;"|"&amp;IF(LEFT(C10,5)="Sobre","Sobreexposición",IF(LEFT(C10,5)="Fuera","Fuera de control","Controlada")),Biblioteca!$H$6:$H$17,0)),"")))</f>
        <v/>
      </c>
      <c r="G10" s="19" t="inlineStr">
        <is>
          <t>Mantenimiento de la campana de la ensacadora y del colector; aspiración HEPA para limpieza</t>
        </is>
      </c>
      <c r="H10" s="8" t="inlineStr">
        <is>
          <t>Ingeniería – fuente</t>
        </is>
      </c>
      <c r="I10" s="8" t="inlineStr">
        <is>
          <t>Jefe de planta</t>
        </is>
      </c>
      <c r="J10" s="9" t="n">
        <v>46341</v>
      </c>
      <c r="K10" s="8" t="inlineStr">
        <is>
          <t>En curso</t>
        </is>
      </c>
      <c r="L10" s="19" t="inlineStr">
        <is>
          <t>Verificar velocidad de captura</t>
        </is>
      </c>
      <c r="M10" s="19" t="n"/>
    </row>
    <row r="11" ht="48" customHeight="1">
      <c r="A11" s="15">
        <f>Estadística!A11</f>
        <v/>
      </c>
      <c r="B11" s="15">
        <f>Estadística!B11</f>
        <v/>
      </c>
      <c r="C11" s="28">
        <f>Estadística!U11</f>
        <v/>
      </c>
      <c r="D11" s="15">
        <f>Estadística!T11</f>
        <v/>
      </c>
      <c r="E11" s="15">
        <f>IF(A11="","",IF(D11="","Evaluar",CHOOSE(D11+1,"Mantener","Mantener","Mantener y reevaluar","Alta (≤ 1–3 meses)","Inmediata")))</f>
        <v/>
      </c>
      <c r="F11" s="28">
        <f>IF(A11="","",IF(C11="Sin datos","Realizar evaluación cuantitativa con 6 a 10 muestras personales por GES y agente (AIHA).",IFERROR(INDEX(Biblioteca!$I$6:$I$17,MATCH(IFERROR(INDEX(Agentes!$H$6:$H$60,MATCH(B11,Agentes!$A$6:$A$60,0)),"")&amp;"|"&amp;IF(LEFT(C11,5)="Sobre","Sobreexposición",IF(LEFT(C11,5)="Fuera","Fuera de control","Controlada")),Biblioteca!$H$6:$H$17,0)),"")))</f>
        <v/>
      </c>
      <c r="G11" s="19" t="n"/>
      <c r="H11" s="8" t="n"/>
      <c r="I11" s="8" t="n"/>
      <c r="J11" s="9" t="n"/>
      <c r="K11" s="8" t="n"/>
      <c r="L11" s="19" t="n"/>
      <c r="M11" s="19" t="n"/>
    </row>
    <row r="12" ht="48" customHeight="1">
      <c r="A12" s="15">
        <f>Estadística!A12</f>
        <v/>
      </c>
      <c r="B12" s="15">
        <f>Estadística!B12</f>
        <v/>
      </c>
      <c r="C12" s="28">
        <f>Estadística!U12</f>
        <v/>
      </c>
      <c r="D12" s="15">
        <f>Estadística!T12</f>
        <v/>
      </c>
      <c r="E12" s="15">
        <f>IF(A12="","",IF(D12="","Evaluar",CHOOSE(D12+1,"Mantener","Mantener","Mantener y reevaluar","Alta (≤ 1–3 meses)","Inmediata")))</f>
        <v/>
      </c>
      <c r="F12" s="28">
        <f>IF(A12="","",IF(C12="Sin datos","Realizar evaluación cuantitativa con 6 a 10 muestras personales por GES y agente (AIHA).",IFERROR(INDEX(Biblioteca!$I$6:$I$17,MATCH(IFERROR(INDEX(Agentes!$H$6:$H$60,MATCH(B12,Agentes!$A$6:$A$60,0)),"")&amp;"|"&amp;IF(LEFT(C12,5)="Sobre","Sobreexposición",IF(LEFT(C12,5)="Fuera","Fuera de control","Controlada")),Biblioteca!$H$6:$H$17,0)),"")))</f>
        <v/>
      </c>
      <c r="G12" s="19" t="inlineStr">
        <is>
          <t>Mejorar la captación de la campana del horno; ropa exclusiva, duchas y comedor separado</t>
        </is>
      </c>
      <c r="H12" s="8" t="inlineStr">
        <is>
          <t>Ingeniería – fuente</t>
        </is>
      </c>
      <c r="I12" s="8" t="inlineStr">
        <is>
          <t>Coordinador SST</t>
        </is>
      </c>
      <c r="J12" s="9" t="n">
        <v>46357</v>
      </c>
      <c r="K12" s="8" t="inlineStr">
        <is>
          <t>Pendiente</t>
        </is>
      </c>
      <c r="L12" s="19" t="inlineStr">
        <is>
          <t>Remuestreo y plombemias en ene-2027</t>
        </is>
      </c>
      <c r="M12" s="19" t="n"/>
    </row>
    <row r="13" ht="48" customHeight="1">
      <c r="A13" s="15">
        <f>Estadística!A13</f>
        <v/>
      </c>
      <c r="B13" s="15">
        <f>Estadística!B13</f>
        <v/>
      </c>
      <c r="C13" s="28">
        <f>Estadística!U13</f>
        <v/>
      </c>
      <c r="D13" s="15">
        <f>Estadística!T13</f>
        <v/>
      </c>
      <c r="E13" s="15">
        <f>IF(A13="","",IF(D13="","Evaluar",CHOOSE(D13+1,"Mantener","Mantener","Mantener y reevaluar","Alta (≤ 1–3 meses)","Inmediata")))</f>
        <v/>
      </c>
      <c r="F13" s="28">
        <f>IF(A13="","",IF(C13="Sin datos","Realizar evaluación cuantitativa con 6 a 10 muestras personales por GES y agente (AIHA).",IFERROR(INDEX(Biblioteca!$I$6:$I$17,MATCH(IFERROR(INDEX(Agentes!$H$6:$H$60,MATCH(B13,Agentes!$A$6:$A$60,0)),"")&amp;"|"&amp;IF(LEFT(C13,5)="Sobre","Sobreexposición",IF(LEFT(C13,5)="Fuera","Fuera de control","Controlada")),Biblioteca!$H$6:$H$17,0)),"")))</f>
        <v/>
      </c>
      <c r="G13" s="19" t="n"/>
      <c r="H13" s="8" t="n"/>
      <c r="I13" s="8" t="n"/>
      <c r="J13" s="9" t="n"/>
      <c r="K13" s="8" t="n"/>
      <c r="L13" s="19" t="n"/>
      <c r="M13" s="19" t="n"/>
    </row>
    <row r="14" ht="48" customHeight="1">
      <c r="A14" s="15">
        <f>Estadística!A14</f>
        <v/>
      </c>
      <c r="B14" s="15">
        <f>Estadística!B14</f>
        <v/>
      </c>
      <c r="C14" s="28">
        <f>Estadística!U14</f>
        <v/>
      </c>
      <c r="D14" s="15">
        <f>Estadística!T14</f>
        <v/>
      </c>
      <c r="E14" s="15">
        <f>IF(A14="","",IF(D14="","Evaluar",CHOOSE(D14+1,"Mantener","Mantener","Mantener y reevaluar","Alta (≤ 1–3 meses)","Inmediata")))</f>
        <v/>
      </c>
      <c r="F14" s="28">
        <f>IF(A14="","",IF(C14="Sin datos","Realizar evaluación cuantitativa con 6 a 10 muestras personales por GES y agente (AIHA).",IFERROR(INDEX(Biblioteca!$I$6:$I$17,MATCH(IFERROR(INDEX(Agentes!$H$6:$H$60,MATCH(B14,Agentes!$A$6:$A$60,0)),"")&amp;"|"&amp;IF(LEFT(C14,5)="Sobre","Sobreexposición",IF(LEFT(C14,5)="Fuera","Fuera de control","Controlada")),Biblioteca!$H$6:$H$17,0)),"")))</f>
        <v/>
      </c>
      <c r="G14" s="19" t="n"/>
      <c r="H14" s="8" t="n"/>
      <c r="I14" s="8" t="n"/>
      <c r="J14" s="9" t="n"/>
      <c r="K14" s="8" t="n"/>
      <c r="L14" s="19" t="n"/>
      <c r="M14" s="19" t="n"/>
    </row>
    <row r="15" ht="48" customHeight="1">
      <c r="A15" s="15">
        <f>Estadística!A15</f>
        <v/>
      </c>
      <c r="B15" s="15">
        <f>Estadística!B15</f>
        <v/>
      </c>
      <c r="C15" s="28">
        <f>Estadística!U15</f>
        <v/>
      </c>
      <c r="D15" s="15">
        <f>Estadística!T15</f>
        <v/>
      </c>
      <c r="E15" s="15">
        <f>IF(A15="","",IF(D15="","Evaluar",CHOOSE(D15+1,"Mantener","Mantener","Mantener y reevaluar","Alta (≤ 1–3 meses)","Inmediata")))</f>
        <v/>
      </c>
      <c r="F15" s="28">
        <f>IF(A15="","",IF(C15="Sin datos","Realizar evaluación cuantitativa con 6 a 10 muestras personales por GES y agente (AIHA).",IFERROR(INDEX(Biblioteca!$I$6:$I$17,MATCH(IFERROR(INDEX(Agentes!$H$6:$H$60,MATCH(B15,Agentes!$A$6:$A$60,0)),"")&amp;"|"&amp;IF(LEFT(C15,5)="Sobre","Sobreexposición",IF(LEFT(C15,5)="Fuera","Fuera de control","Controlada")),Biblioteca!$H$6:$H$17,0)),"")))</f>
        <v/>
      </c>
      <c r="G15" s="19" t="n"/>
      <c r="H15" s="8" t="n"/>
      <c r="I15" s="8" t="n"/>
      <c r="J15" s="9" t="n"/>
      <c r="K15" s="8" t="n"/>
      <c r="L15" s="19" t="n"/>
      <c r="M15" s="19" t="n"/>
    </row>
    <row r="16" ht="48" customHeight="1">
      <c r="A16" s="15">
        <f>Estadística!A16</f>
        <v/>
      </c>
      <c r="B16" s="15">
        <f>Estadística!B16</f>
        <v/>
      </c>
      <c r="C16" s="28">
        <f>Estadística!U16</f>
        <v/>
      </c>
      <c r="D16" s="15">
        <f>Estadística!T16</f>
        <v/>
      </c>
      <c r="E16" s="15">
        <f>IF(A16="","",IF(D16="","Evaluar",CHOOSE(D16+1,"Mantener","Mantener","Mantener y reevaluar","Alta (≤ 1–3 meses)","Inmediata")))</f>
        <v/>
      </c>
      <c r="F16" s="28">
        <f>IF(A16="","",IF(C16="Sin datos","Realizar evaluación cuantitativa con 6 a 10 muestras personales por GES y agente (AIHA).",IFERROR(INDEX(Biblioteca!$I$6:$I$17,MATCH(IFERROR(INDEX(Agentes!$H$6:$H$60,MATCH(B16,Agentes!$A$6:$A$60,0)),"")&amp;"|"&amp;IF(LEFT(C16,5)="Sobre","Sobreexposición",IF(LEFT(C16,5)="Fuera","Fuera de control","Controlada")),Biblioteca!$H$6:$H$17,0)),"")))</f>
        <v/>
      </c>
      <c r="G16" s="19" t="n"/>
      <c r="H16" s="8" t="n"/>
      <c r="I16" s="8" t="n"/>
      <c r="J16" s="9" t="n"/>
      <c r="K16" s="8" t="n"/>
      <c r="L16" s="19" t="n"/>
      <c r="M16" s="19" t="n"/>
    </row>
    <row r="17" ht="48" customHeight="1">
      <c r="A17" s="15">
        <f>Estadística!A17</f>
        <v/>
      </c>
      <c r="B17" s="15">
        <f>Estadística!B17</f>
        <v/>
      </c>
      <c r="C17" s="28">
        <f>Estadística!U17</f>
        <v/>
      </c>
      <c r="D17" s="15">
        <f>Estadística!T17</f>
        <v/>
      </c>
      <c r="E17" s="15">
        <f>IF(A17="","",IF(D17="","Evaluar",CHOOSE(D17+1,"Mantener","Mantener","Mantener y reevaluar","Alta (≤ 1–3 meses)","Inmediata")))</f>
        <v/>
      </c>
      <c r="F17" s="28">
        <f>IF(A17="","",IF(C17="Sin datos","Realizar evaluación cuantitativa con 6 a 10 muestras personales por GES y agente (AIHA).",IFERROR(INDEX(Biblioteca!$I$6:$I$17,MATCH(IFERROR(INDEX(Agentes!$H$6:$H$60,MATCH(B17,Agentes!$A$6:$A$60,0)),"")&amp;"|"&amp;IF(LEFT(C17,5)="Sobre","Sobreexposición",IF(LEFT(C17,5)="Fuera","Fuera de control","Controlada")),Biblioteca!$H$6:$H$17,0)),"")))</f>
        <v/>
      </c>
      <c r="G17" s="19" t="n"/>
      <c r="H17" s="8" t="n"/>
      <c r="I17" s="8" t="n"/>
      <c r="J17" s="9" t="n"/>
      <c r="K17" s="8" t="n"/>
      <c r="L17" s="19" t="n"/>
      <c r="M17" s="19" t="n"/>
    </row>
    <row r="18" ht="48" customHeight="1">
      <c r="A18" s="15">
        <f>Estadística!A18</f>
        <v/>
      </c>
      <c r="B18" s="15">
        <f>Estadística!B18</f>
        <v/>
      </c>
      <c r="C18" s="28">
        <f>Estadística!U18</f>
        <v/>
      </c>
      <c r="D18" s="15">
        <f>Estadística!T18</f>
        <v/>
      </c>
      <c r="E18" s="15">
        <f>IF(A18="","",IF(D18="","Evaluar",CHOOSE(D18+1,"Mantener","Mantener","Mantener y reevaluar","Alta (≤ 1–3 meses)","Inmediata")))</f>
        <v/>
      </c>
      <c r="F18" s="28">
        <f>IF(A18="","",IF(C18="Sin datos","Realizar evaluación cuantitativa con 6 a 10 muestras personales por GES y agente (AIHA).",IFERROR(INDEX(Biblioteca!$I$6:$I$17,MATCH(IFERROR(INDEX(Agentes!$H$6:$H$60,MATCH(B18,Agentes!$A$6:$A$60,0)),"")&amp;"|"&amp;IF(LEFT(C18,5)="Sobre","Sobreexposición",IF(LEFT(C18,5)="Fuera","Fuera de control","Controlada")),Biblioteca!$H$6:$H$17,0)),"")))</f>
        <v/>
      </c>
      <c r="G18" s="19" t="n"/>
      <c r="H18" s="8" t="n"/>
      <c r="I18" s="8" t="n"/>
      <c r="J18" s="9" t="n"/>
      <c r="K18" s="8" t="n"/>
      <c r="L18" s="19" t="n"/>
      <c r="M18" s="19" t="n"/>
    </row>
    <row r="19" ht="48" customHeight="1">
      <c r="A19" s="15">
        <f>Estadística!A19</f>
        <v/>
      </c>
      <c r="B19" s="15">
        <f>Estadística!B19</f>
        <v/>
      </c>
      <c r="C19" s="28">
        <f>Estadística!U19</f>
        <v/>
      </c>
      <c r="D19" s="15">
        <f>Estadística!T19</f>
        <v/>
      </c>
      <c r="E19" s="15">
        <f>IF(A19="","",IF(D19="","Evaluar",CHOOSE(D19+1,"Mantener","Mantener","Mantener y reevaluar","Alta (≤ 1–3 meses)","Inmediata")))</f>
        <v/>
      </c>
      <c r="F19" s="28">
        <f>IF(A19="","",IF(C19="Sin datos","Realizar evaluación cuantitativa con 6 a 10 muestras personales por GES y agente (AIHA).",IFERROR(INDEX(Biblioteca!$I$6:$I$17,MATCH(IFERROR(INDEX(Agentes!$H$6:$H$60,MATCH(B19,Agentes!$A$6:$A$60,0)),"")&amp;"|"&amp;IF(LEFT(C19,5)="Sobre","Sobreexposición",IF(LEFT(C19,5)="Fuera","Fuera de control","Controlada")),Biblioteca!$H$6:$H$17,0)),"")))</f>
        <v/>
      </c>
      <c r="G19" s="19" t="n"/>
      <c r="H19" s="8" t="n"/>
      <c r="I19" s="8" t="n"/>
      <c r="J19" s="9" t="n"/>
      <c r="K19" s="8" t="n"/>
      <c r="L19" s="19" t="n"/>
      <c r="M19" s="19" t="n"/>
    </row>
    <row r="20" ht="48" customHeight="1">
      <c r="A20" s="15">
        <f>Estadística!A20</f>
        <v/>
      </c>
      <c r="B20" s="15">
        <f>Estadística!B20</f>
        <v/>
      </c>
      <c r="C20" s="28">
        <f>Estadística!U20</f>
        <v/>
      </c>
      <c r="D20" s="15">
        <f>Estadística!T20</f>
        <v/>
      </c>
      <c r="E20" s="15">
        <f>IF(A20="","",IF(D20="","Evaluar",CHOOSE(D20+1,"Mantener","Mantener","Mantener y reevaluar","Alta (≤ 1–3 meses)","Inmediata")))</f>
        <v/>
      </c>
      <c r="F20" s="28">
        <f>IF(A20="","",IF(C20="Sin datos","Realizar evaluación cuantitativa con 6 a 10 muestras personales por GES y agente (AIHA).",IFERROR(INDEX(Biblioteca!$I$6:$I$17,MATCH(IFERROR(INDEX(Agentes!$H$6:$H$60,MATCH(B20,Agentes!$A$6:$A$60,0)),"")&amp;"|"&amp;IF(LEFT(C20,5)="Sobre","Sobreexposición",IF(LEFT(C20,5)="Fuera","Fuera de control","Controlada")),Biblioteca!$H$6:$H$17,0)),"")))</f>
        <v/>
      </c>
      <c r="G20" s="19" t="n"/>
      <c r="H20" s="8" t="n"/>
      <c r="I20" s="8" t="n"/>
      <c r="J20" s="9" t="n"/>
      <c r="K20" s="8" t="n"/>
      <c r="L20" s="19" t="n"/>
      <c r="M20" s="19" t="n"/>
    </row>
    <row r="21" ht="48" customHeight="1">
      <c r="A21" s="15">
        <f>Estadística!A21</f>
        <v/>
      </c>
      <c r="B21" s="15">
        <f>Estadística!B21</f>
        <v/>
      </c>
      <c r="C21" s="28">
        <f>Estadística!U21</f>
        <v/>
      </c>
      <c r="D21" s="15">
        <f>Estadística!T21</f>
        <v/>
      </c>
      <c r="E21" s="15">
        <f>IF(A21="","",IF(D21="","Evaluar",CHOOSE(D21+1,"Mantener","Mantener","Mantener y reevaluar","Alta (≤ 1–3 meses)","Inmediata")))</f>
        <v/>
      </c>
      <c r="F21" s="28">
        <f>IF(A21="","",IF(C21="Sin datos","Realizar evaluación cuantitativa con 6 a 10 muestras personales por GES y agente (AIHA).",IFERROR(INDEX(Biblioteca!$I$6:$I$17,MATCH(IFERROR(INDEX(Agentes!$H$6:$H$60,MATCH(B21,Agentes!$A$6:$A$60,0)),"")&amp;"|"&amp;IF(LEFT(C21,5)="Sobre","Sobreexposición",IF(LEFT(C21,5)="Fuera","Fuera de control","Controlada")),Biblioteca!$H$6:$H$17,0)),"")))</f>
        <v/>
      </c>
      <c r="G21" s="19" t="n"/>
      <c r="H21" s="8" t="n"/>
      <c r="I21" s="8" t="n"/>
      <c r="J21" s="9" t="n"/>
      <c r="K21" s="8" t="n"/>
      <c r="L21" s="19" t="n"/>
      <c r="M21" s="19" t="n"/>
    </row>
    <row r="22" ht="48" customHeight="1">
      <c r="A22" s="15">
        <f>Estadística!A22</f>
        <v/>
      </c>
      <c r="B22" s="15">
        <f>Estadística!B22</f>
        <v/>
      </c>
      <c r="C22" s="28">
        <f>Estadística!U22</f>
        <v/>
      </c>
      <c r="D22" s="15">
        <f>Estadística!T22</f>
        <v/>
      </c>
      <c r="E22" s="15">
        <f>IF(A22="","",IF(D22="","Evaluar",CHOOSE(D22+1,"Mantener","Mantener","Mantener y reevaluar","Alta (≤ 1–3 meses)","Inmediata")))</f>
        <v/>
      </c>
      <c r="F22" s="28">
        <f>IF(A22="","",IF(C22="Sin datos","Realizar evaluación cuantitativa con 6 a 10 muestras personales por GES y agente (AIHA).",IFERROR(INDEX(Biblioteca!$I$6:$I$17,MATCH(IFERROR(INDEX(Agentes!$H$6:$H$60,MATCH(B22,Agentes!$A$6:$A$60,0)),"")&amp;"|"&amp;IF(LEFT(C22,5)="Sobre","Sobreexposición",IF(LEFT(C22,5)="Fuera","Fuera de control","Controlada")),Biblioteca!$H$6:$H$17,0)),"")))</f>
        <v/>
      </c>
      <c r="G22" s="19" t="n"/>
      <c r="H22" s="8" t="n"/>
      <c r="I22" s="8" t="n"/>
      <c r="J22" s="9" t="n"/>
      <c r="K22" s="8" t="n"/>
      <c r="L22" s="19" t="n"/>
      <c r="M22" s="19" t="n"/>
    </row>
    <row r="23" ht="48" customHeight="1">
      <c r="A23" s="15">
        <f>Estadística!A23</f>
        <v/>
      </c>
      <c r="B23" s="15">
        <f>Estadística!B23</f>
        <v/>
      </c>
      <c r="C23" s="28">
        <f>Estadística!U23</f>
        <v/>
      </c>
      <c r="D23" s="15">
        <f>Estadística!T23</f>
        <v/>
      </c>
      <c r="E23" s="15">
        <f>IF(A23="","",IF(D23="","Evaluar",CHOOSE(D23+1,"Mantener","Mantener","Mantener y reevaluar","Alta (≤ 1–3 meses)","Inmediata")))</f>
        <v/>
      </c>
      <c r="F23" s="28">
        <f>IF(A23="","",IF(C23="Sin datos","Realizar evaluación cuantitativa con 6 a 10 muestras personales por GES y agente (AIHA).",IFERROR(INDEX(Biblioteca!$I$6:$I$17,MATCH(IFERROR(INDEX(Agentes!$H$6:$H$60,MATCH(B23,Agentes!$A$6:$A$60,0)),"")&amp;"|"&amp;IF(LEFT(C23,5)="Sobre","Sobreexposición",IF(LEFT(C23,5)="Fuera","Fuera de control","Controlada")),Biblioteca!$H$6:$H$17,0)),"")))</f>
        <v/>
      </c>
      <c r="G23" s="19" t="n"/>
      <c r="H23" s="8" t="n"/>
      <c r="I23" s="8" t="n"/>
      <c r="J23" s="9" t="n"/>
      <c r="K23" s="8" t="n"/>
      <c r="L23" s="19" t="n"/>
      <c r="M23" s="19" t="n"/>
    </row>
    <row r="24" ht="48" customHeight="1">
      <c r="A24" s="15">
        <f>Estadística!A24</f>
        <v/>
      </c>
      <c r="B24" s="15">
        <f>Estadística!B24</f>
        <v/>
      </c>
      <c r="C24" s="28">
        <f>Estadística!U24</f>
        <v/>
      </c>
      <c r="D24" s="15">
        <f>Estadística!T24</f>
        <v/>
      </c>
      <c r="E24" s="15">
        <f>IF(A24="","",IF(D24="","Evaluar",CHOOSE(D24+1,"Mantener","Mantener","Mantener y reevaluar","Alta (≤ 1–3 meses)","Inmediata")))</f>
        <v/>
      </c>
      <c r="F24" s="28">
        <f>IF(A24="","",IF(C24="Sin datos","Realizar evaluación cuantitativa con 6 a 10 muestras personales por GES y agente (AIHA).",IFERROR(INDEX(Biblioteca!$I$6:$I$17,MATCH(IFERROR(INDEX(Agentes!$H$6:$H$60,MATCH(B24,Agentes!$A$6:$A$60,0)),"")&amp;"|"&amp;IF(LEFT(C24,5)="Sobre","Sobreexposición",IF(LEFT(C24,5)="Fuera","Fuera de control","Controlada")),Biblioteca!$H$6:$H$17,0)),"")))</f>
        <v/>
      </c>
      <c r="G24" s="19" t="n"/>
      <c r="H24" s="8" t="n"/>
      <c r="I24" s="8" t="n"/>
      <c r="J24" s="9" t="n"/>
      <c r="K24" s="8" t="n"/>
      <c r="L24" s="19" t="n"/>
      <c r="M24" s="19" t="n"/>
    </row>
    <row r="25" ht="48" customHeight="1">
      <c r="A25" s="15">
        <f>Estadística!A25</f>
        <v/>
      </c>
      <c r="B25" s="15">
        <f>Estadística!B25</f>
        <v/>
      </c>
      <c r="C25" s="28">
        <f>Estadística!U25</f>
        <v/>
      </c>
      <c r="D25" s="15">
        <f>Estadística!T25</f>
        <v/>
      </c>
      <c r="E25" s="15">
        <f>IF(A25="","",IF(D25="","Evaluar",CHOOSE(D25+1,"Mantener","Mantener","Mantener y reevaluar","Alta (≤ 1–3 meses)","Inmediata")))</f>
        <v/>
      </c>
      <c r="F25" s="28">
        <f>IF(A25="","",IF(C25="Sin datos","Realizar evaluación cuantitativa con 6 a 10 muestras personales por GES y agente (AIHA).",IFERROR(INDEX(Biblioteca!$I$6:$I$17,MATCH(IFERROR(INDEX(Agentes!$H$6:$H$60,MATCH(B25,Agentes!$A$6:$A$60,0)),"")&amp;"|"&amp;IF(LEFT(C25,5)="Sobre","Sobreexposición",IF(LEFT(C25,5)="Fuera","Fuera de control","Controlada")),Biblioteca!$H$6:$H$17,0)),"")))</f>
        <v/>
      </c>
      <c r="G25" s="19" t="n"/>
      <c r="H25" s="8" t="n"/>
      <c r="I25" s="8" t="n"/>
      <c r="J25" s="9" t="n"/>
      <c r="K25" s="8" t="n"/>
      <c r="L25" s="19" t="n"/>
      <c r="M25" s="19" t="n"/>
    </row>
    <row r="26" ht="48" customHeight="1">
      <c r="A26" s="15">
        <f>Estadística!A26</f>
        <v/>
      </c>
      <c r="B26" s="15">
        <f>Estadística!B26</f>
        <v/>
      </c>
      <c r="C26" s="28">
        <f>Estadística!U26</f>
        <v/>
      </c>
      <c r="D26" s="15">
        <f>Estadística!T26</f>
        <v/>
      </c>
      <c r="E26" s="15">
        <f>IF(A26="","",IF(D26="","Evaluar",CHOOSE(D26+1,"Mantener","Mantener","Mantener y reevaluar","Alta (≤ 1–3 meses)","Inmediata")))</f>
        <v/>
      </c>
      <c r="F26" s="28">
        <f>IF(A26="","",IF(C26="Sin datos","Realizar evaluación cuantitativa con 6 a 10 muestras personales por GES y agente (AIHA).",IFERROR(INDEX(Biblioteca!$I$6:$I$17,MATCH(IFERROR(INDEX(Agentes!$H$6:$H$60,MATCH(B26,Agentes!$A$6:$A$60,0)),"")&amp;"|"&amp;IF(LEFT(C26,5)="Sobre","Sobreexposición",IF(LEFT(C26,5)="Fuera","Fuera de control","Controlada")),Biblioteca!$H$6:$H$17,0)),"")))</f>
        <v/>
      </c>
      <c r="G26" s="19" t="n"/>
      <c r="H26" s="8" t="n"/>
      <c r="I26" s="8" t="n"/>
      <c r="J26" s="9" t="n"/>
      <c r="K26" s="8" t="n"/>
      <c r="L26" s="19" t="n"/>
      <c r="M26" s="19" t="n"/>
    </row>
    <row r="27" ht="48" customHeight="1">
      <c r="A27" s="15">
        <f>Estadística!A27</f>
        <v/>
      </c>
      <c r="B27" s="15">
        <f>Estadística!B27</f>
        <v/>
      </c>
      <c r="C27" s="28">
        <f>Estadística!U27</f>
        <v/>
      </c>
      <c r="D27" s="15">
        <f>Estadística!T27</f>
        <v/>
      </c>
      <c r="E27" s="15">
        <f>IF(A27="","",IF(D27="","Evaluar",CHOOSE(D27+1,"Mantener","Mantener","Mantener y reevaluar","Alta (≤ 1–3 meses)","Inmediata")))</f>
        <v/>
      </c>
      <c r="F27" s="28">
        <f>IF(A27="","",IF(C27="Sin datos","Realizar evaluación cuantitativa con 6 a 10 muestras personales por GES y agente (AIHA).",IFERROR(INDEX(Biblioteca!$I$6:$I$17,MATCH(IFERROR(INDEX(Agentes!$H$6:$H$60,MATCH(B27,Agentes!$A$6:$A$60,0)),"")&amp;"|"&amp;IF(LEFT(C27,5)="Sobre","Sobreexposición",IF(LEFT(C27,5)="Fuera","Fuera de control","Controlada")),Biblioteca!$H$6:$H$17,0)),"")))</f>
        <v/>
      </c>
      <c r="G27" s="19" t="n"/>
      <c r="H27" s="8" t="n"/>
      <c r="I27" s="8" t="n"/>
      <c r="J27" s="9" t="n"/>
      <c r="K27" s="8" t="n"/>
      <c r="L27" s="19" t="n"/>
      <c r="M27" s="19" t="n"/>
    </row>
    <row r="28" ht="48" customHeight="1">
      <c r="A28" s="15">
        <f>Estadística!A28</f>
        <v/>
      </c>
      <c r="B28" s="15">
        <f>Estadística!B28</f>
        <v/>
      </c>
      <c r="C28" s="28">
        <f>Estadística!U28</f>
        <v/>
      </c>
      <c r="D28" s="15">
        <f>Estadística!T28</f>
        <v/>
      </c>
      <c r="E28" s="15">
        <f>IF(A28="","",IF(D28="","Evaluar",CHOOSE(D28+1,"Mantener","Mantener","Mantener y reevaluar","Alta (≤ 1–3 meses)","Inmediata")))</f>
        <v/>
      </c>
      <c r="F28" s="28">
        <f>IF(A28="","",IF(C28="Sin datos","Realizar evaluación cuantitativa con 6 a 10 muestras personales por GES y agente (AIHA).",IFERROR(INDEX(Biblioteca!$I$6:$I$17,MATCH(IFERROR(INDEX(Agentes!$H$6:$H$60,MATCH(B28,Agentes!$A$6:$A$60,0)),"")&amp;"|"&amp;IF(LEFT(C28,5)="Sobre","Sobreexposición",IF(LEFT(C28,5)="Fuera","Fuera de control","Controlada")),Biblioteca!$H$6:$H$17,0)),"")))</f>
        <v/>
      </c>
      <c r="G28" s="19" t="n"/>
      <c r="H28" s="8" t="n"/>
      <c r="I28" s="8" t="n"/>
      <c r="J28" s="9" t="n"/>
      <c r="K28" s="8" t="n"/>
      <c r="L28" s="19" t="n"/>
      <c r="M28" s="19" t="n"/>
    </row>
    <row r="29" ht="48" customHeight="1">
      <c r="A29" s="15">
        <f>Estadística!A29</f>
        <v/>
      </c>
      <c r="B29" s="15">
        <f>Estadística!B29</f>
        <v/>
      </c>
      <c r="C29" s="28">
        <f>Estadística!U29</f>
        <v/>
      </c>
      <c r="D29" s="15">
        <f>Estadística!T29</f>
        <v/>
      </c>
      <c r="E29" s="15">
        <f>IF(A29="","",IF(D29="","Evaluar",CHOOSE(D29+1,"Mantener","Mantener","Mantener y reevaluar","Alta (≤ 1–3 meses)","Inmediata")))</f>
        <v/>
      </c>
      <c r="F29" s="28">
        <f>IF(A29="","",IF(C29="Sin datos","Realizar evaluación cuantitativa con 6 a 10 muestras personales por GES y agente (AIHA).",IFERROR(INDEX(Biblioteca!$I$6:$I$17,MATCH(IFERROR(INDEX(Agentes!$H$6:$H$60,MATCH(B29,Agentes!$A$6:$A$60,0)),"")&amp;"|"&amp;IF(LEFT(C29,5)="Sobre","Sobreexposición",IF(LEFT(C29,5)="Fuera","Fuera de control","Controlada")),Biblioteca!$H$6:$H$17,0)),"")))</f>
        <v/>
      </c>
      <c r="G29" s="19" t="n"/>
      <c r="H29" s="8" t="n"/>
      <c r="I29" s="8" t="n"/>
      <c r="J29" s="9" t="n"/>
      <c r="K29" s="8" t="n"/>
      <c r="L29" s="19" t="n"/>
      <c r="M29" s="19" t="n"/>
    </row>
    <row r="30" ht="48" customHeight="1">
      <c r="A30" s="15">
        <f>Estadística!A30</f>
        <v/>
      </c>
      <c r="B30" s="15">
        <f>Estadística!B30</f>
        <v/>
      </c>
      <c r="C30" s="28">
        <f>Estadística!U30</f>
        <v/>
      </c>
      <c r="D30" s="15">
        <f>Estadística!T30</f>
        <v/>
      </c>
      <c r="E30" s="15">
        <f>IF(A30="","",IF(D30="","Evaluar",CHOOSE(D30+1,"Mantener","Mantener","Mantener y reevaluar","Alta (≤ 1–3 meses)","Inmediata")))</f>
        <v/>
      </c>
      <c r="F30" s="28">
        <f>IF(A30="","",IF(C30="Sin datos","Realizar evaluación cuantitativa con 6 a 10 muestras personales por GES y agente (AIHA).",IFERROR(INDEX(Biblioteca!$I$6:$I$17,MATCH(IFERROR(INDEX(Agentes!$H$6:$H$60,MATCH(B30,Agentes!$A$6:$A$60,0)),"")&amp;"|"&amp;IF(LEFT(C30,5)="Sobre","Sobreexposición",IF(LEFT(C30,5)="Fuera","Fuera de control","Controlada")),Biblioteca!$H$6:$H$17,0)),"")))</f>
        <v/>
      </c>
      <c r="G30" s="19" t="n"/>
      <c r="H30" s="8" t="n"/>
      <c r="I30" s="8" t="n"/>
      <c r="J30" s="9" t="n"/>
      <c r="K30" s="8" t="n"/>
      <c r="L30" s="19" t="n"/>
      <c r="M30" s="19" t="n"/>
    </row>
    <row r="31" ht="48" customHeight="1">
      <c r="A31" s="15">
        <f>Estadística!A31</f>
        <v/>
      </c>
      <c r="B31" s="15">
        <f>Estadística!B31</f>
        <v/>
      </c>
      <c r="C31" s="28">
        <f>Estadística!U31</f>
        <v/>
      </c>
      <c r="D31" s="15">
        <f>Estadística!T31</f>
        <v/>
      </c>
      <c r="E31" s="15">
        <f>IF(A31="","",IF(D31="","Evaluar",CHOOSE(D31+1,"Mantener","Mantener","Mantener y reevaluar","Alta (≤ 1–3 meses)","Inmediata")))</f>
        <v/>
      </c>
      <c r="F31" s="28">
        <f>IF(A31="","",IF(C31="Sin datos","Realizar evaluación cuantitativa con 6 a 10 muestras personales por GES y agente (AIHA).",IFERROR(INDEX(Biblioteca!$I$6:$I$17,MATCH(IFERROR(INDEX(Agentes!$H$6:$H$60,MATCH(B31,Agentes!$A$6:$A$60,0)),"")&amp;"|"&amp;IF(LEFT(C31,5)="Sobre","Sobreexposición",IF(LEFT(C31,5)="Fuera","Fuera de control","Controlada")),Biblioteca!$H$6:$H$17,0)),"")))</f>
        <v/>
      </c>
      <c r="G31" s="19" t="n"/>
      <c r="H31" s="8" t="n"/>
      <c r="I31" s="8" t="n"/>
      <c r="J31" s="9" t="n"/>
      <c r="K31" s="8" t="n"/>
      <c r="L31" s="19" t="n"/>
      <c r="M31" s="19" t="n"/>
    </row>
    <row r="32" ht="48" customHeight="1">
      <c r="A32" s="15">
        <f>Estadística!A32</f>
        <v/>
      </c>
      <c r="B32" s="15">
        <f>Estadística!B32</f>
        <v/>
      </c>
      <c r="C32" s="28">
        <f>Estadística!U32</f>
        <v/>
      </c>
      <c r="D32" s="15">
        <f>Estadística!T32</f>
        <v/>
      </c>
      <c r="E32" s="15">
        <f>IF(A32="","",IF(D32="","Evaluar",CHOOSE(D32+1,"Mantener","Mantener","Mantener y reevaluar","Alta (≤ 1–3 meses)","Inmediata")))</f>
        <v/>
      </c>
      <c r="F32" s="28">
        <f>IF(A32="","",IF(C32="Sin datos","Realizar evaluación cuantitativa con 6 a 10 muestras personales por GES y agente (AIHA).",IFERROR(INDEX(Biblioteca!$I$6:$I$17,MATCH(IFERROR(INDEX(Agentes!$H$6:$H$60,MATCH(B32,Agentes!$A$6:$A$60,0)),"")&amp;"|"&amp;IF(LEFT(C32,5)="Sobre","Sobreexposición",IF(LEFT(C32,5)="Fuera","Fuera de control","Controlada")),Biblioteca!$H$6:$H$17,0)),"")))</f>
        <v/>
      </c>
      <c r="G32" s="19" t="n"/>
      <c r="H32" s="8" t="n"/>
      <c r="I32" s="8" t="n"/>
      <c r="J32" s="9" t="n"/>
      <c r="K32" s="8" t="n"/>
      <c r="L32" s="19" t="n"/>
      <c r="M32" s="19" t="n"/>
    </row>
    <row r="33" ht="48" customHeight="1">
      <c r="A33" s="15">
        <f>Estadística!A33</f>
        <v/>
      </c>
      <c r="B33" s="15">
        <f>Estadística!B33</f>
        <v/>
      </c>
      <c r="C33" s="28">
        <f>Estadística!U33</f>
        <v/>
      </c>
      <c r="D33" s="15">
        <f>Estadística!T33</f>
        <v/>
      </c>
      <c r="E33" s="15">
        <f>IF(A33="","",IF(D33="","Evaluar",CHOOSE(D33+1,"Mantener","Mantener","Mantener y reevaluar","Alta (≤ 1–3 meses)","Inmediata")))</f>
        <v/>
      </c>
      <c r="F33" s="28">
        <f>IF(A33="","",IF(C33="Sin datos","Realizar evaluación cuantitativa con 6 a 10 muestras personales por GES y agente (AIHA).",IFERROR(INDEX(Biblioteca!$I$6:$I$17,MATCH(IFERROR(INDEX(Agentes!$H$6:$H$60,MATCH(B33,Agentes!$A$6:$A$60,0)),"")&amp;"|"&amp;IF(LEFT(C33,5)="Sobre","Sobreexposición",IF(LEFT(C33,5)="Fuera","Fuera de control","Controlada")),Biblioteca!$H$6:$H$17,0)),"")))</f>
        <v/>
      </c>
      <c r="G33" s="19" t="n"/>
      <c r="H33" s="8" t="n"/>
      <c r="I33" s="8" t="n"/>
      <c r="J33" s="9" t="n"/>
      <c r="K33" s="8" t="n"/>
      <c r="L33" s="19" t="n"/>
      <c r="M33" s="19" t="n"/>
    </row>
    <row r="34" ht="48" customHeight="1">
      <c r="A34" s="15">
        <f>Estadística!A34</f>
        <v/>
      </c>
      <c r="B34" s="15">
        <f>Estadística!B34</f>
        <v/>
      </c>
      <c r="C34" s="28">
        <f>Estadística!U34</f>
        <v/>
      </c>
      <c r="D34" s="15">
        <f>Estadística!T34</f>
        <v/>
      </c>
      <c r="E34" s="15">
        <f>IF(A34="","",IF(D34="","Evaluar",CHOOSE(D34+1,"Mantener","Mantener","Mantener y reevaluar","Alta (≤ 1–3 meses)","Inmediata")))</f>
        <v/>
      </c>
      <c r="F34" s="28">
        <f>IF(A34="","",IF(C34="Sin datos","Realizar evaluación cuantitativa con 6 a 10 muestras personales por GES y agente (AIHA).",IFERROR(INDEX(Biblioteca!$I$6:$I$17,MATCH(IFERROR(INDEX(Agentes!$H$6:$H$60,MATCH(B34,Agentes!$A$6:$A$60,0)),"")&amp;"|"&amp;IF(LEFT(C34,5)="Sobre","Sobreexposición",IF(LEFT(C34,5)="Fuera","Fuera de control","Controlada")),Biblioteca!$H$6:$H$17,0)),"")))</f>
        <v/>
      </c>
      <c r="G34" s="19" t="n"/>
      <c r="H34" s="8" t="n"/>
      <c r="I34" s="8" t="n"/>
      <c r="J34" s="9" t="n"/>
      <c r="K34" s="8" t="n"/>
      <c r="L34" s="19" t="n"/>
      <c r="M34" s="19" t="n"/>
    </row>
    <row r="35" ht="48" customHeight="1">
      <c r="A35" s="15">
        <f>Estadística!A35</f>
        <v/>
      </c>
      <c r="B35" s="15">
        <f>Estadística!B35</f>
        <v/>
      </c>
      <c r="C35" s="28">
        <f>Estadística!U35</f>
        <v/>
      </c>
      <c r="D35" s="15">
        <f>Estadística!T35</f>
        <v/>
      </c>
      <c r="E35" s="15">
        <f>IF(A35="","",IF(D35="","Evaluar",CHOOSE(D35+1,"Mantener","Mantener","Mantener y reevaluar","Alta (≤ 1–3 meses)","Inmediata")))</f>
        <v/>
      </c>
      <c r="F35" s="28">
        <f>IF(A35="","",IF(C35="Sin datos","Realizar evaluación cuantitativa con 6 a 10 muestras personales por GES y agente (AIHA).",IFERROR(INDEX(Biblioteca!$I$6:$I$17,MATCH(IFERROR(INDEX(Agentes!$H$6:$H$60,MATCH(B35,Agentes!$A$6:$A$60,0)),"")&amp;"|"&amp;IF(LEFT(C35,5)="Sobre","Sobreexposición",IF(LEFT(C35,5)="Fuera","Fuera de control","Controlada")),Biblioteca!$H$6:$H$17,0)),"")))</f>
        <v/>
      </c>
      <c r="G35" s="19" t="n"/>
      <c r="H35" s="8" t="n"/>
      <c r="I35" s="8" t="n"/>
      <c r="J35" s="9" t="n"/>
      <c r="K35" s="8" t="n"/>
      <c r="L35" s="19" t="n"/>
      <c r="M35" s="19" t="n"/>
    </row>
  </sheetData>
  <conditionalFormatting sqref="E6:E35">
    <cfRule type="expression" priority="1" dxfId="2">
      <formula>E6="Inmediata"</formula>
    </cfRule>
    <cfRule type="expression" priority="2" dxfId="3">
      <formula>LEFT(E6,4)="Alta"</formula>
    </cfRule>
  </conditionalFormatting>
  <dataValidations count="2">
    <dataValidation sqref="H6:H35" showDropDown="0" showInputMessage="0" showErrorMessage="0" allowBlank="1" type="list">
      <formula1>"Eliminación,Sustitución,Ingeniería – fuente,Ingeniería – medio,Administrativo,EPP"</formula1>
    </dataValidation>
    <dataValidation sqref="K6:K35" showDropDown="0" showInputMessage="0" showErrorMessage="0" allowBlank="1" type="list">
      <formula1>"Pendiente,En curso,Implementado,Verificado eficaz"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9000"/>
    <outlinePr summaryBelow="1" summaryRight="1"/>
    <pageSetUpPr/>
  </sheetPr>
  <dimension ref="A1:I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70" customWidth="1" min="4" max="4"/>
    <col width="34" customWidth="1" min="5" max="5"/>
    <col width="34" customWidth="1" min="6" max="6"/>
    <col width="2" customWidth="1" min="7" max="7"/>
    <col width="30" customWidth="1" min="8" max="8"/>
    <col width="80" customWidth="1" min="9" max="9"/>
  </cols>
  <sheetData>
    <row r="1">
      <c r="A1" s="10" t="inlineStr">
        <is>
          <t>Biblioteca de Controles</t>
        </is>
      </c>
    </row>
    <row r="2">
      <c r="A2" s="3" t="inlineStr">
        <is>
          <t>Jerarquía de controles (Decreto 1072/2015) · ACGIH Industrial Ventilation · HSE COSHH essentials · NIOSH · OSHA. Enlaces de las hojas de control vigentes a octubre de 2026.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2" t="inlineStr">
        <is>
          <t>Código</t>
        </is>
      </c>
      <c r="B5" s="12" t="inlineStr">
        <is>
          <t>Aplica a</t>
        </is>
      </c>
      <c r="C5" s="12" t="inlineStr">
        <is>
          <t>Jerarquía</t>
        </is>
      </c>
      <c r="D5" s="12" t="inlineStr">
        <is>
          <t>Medida de control</t>
        </is>
      </c>
      <c r="E5" s="12" t="inlineStr">
        <is>
          <t>Aplicación típica</t>
        </is>
      </c>
      <c r="F5" s="12" t="inlineStr">
        <is>
          <t>Fuente / enlace</t>
        </is>
      </c>
      <c r="G5" s="12" t="inlineStr"/>
      <c r="H5" s="12" t="inlineStr">
        <is>
          <t>Clave (familia|clasificación)</t>
        </is>
      </c>
      <c r="I5" s="12" t="inlineStr">
        <is>
          <t>Recomendación automática para el Plan de Control</t>
        </is>
      </c>
    </row>
    <row r="6">
      <c r="A6" s="13" t="inlineStr">
        <is>
          <t>B01</t>
        </is>
      </c>
      <c r="B6" s="13" t="inlineStr">
        <is>
          <t>Metales</t>
        </is>
      </c>
      <c r="C6" s="13" t="inlineStr">
        <is>
          <t>Eliminación / Sustitución</t>
        </is>
      </c>
      <c r="D6" s="13" t="inlineStr">
        <is>
          <t>Sustituir pigmentos, esmaltes y soldaduras con plomo o cadmio por alternativas sin estos metales (p. ej., soldaduras de plata sin cadmio, esmaltes sin plomo)</t>
        </is>
      </c>
      <c r="E6" s="13" t="inlineStr">
        <is>
          <t>Cerámica, pinturas, soldadura blanda</t>
        </is>
      </c>
      <c r="F6" s="13" t="inlineStr">
        <is>
          <t>Araque G.A., Aerosoles (SCHO); ACGIH</t>
        </is>
      </c>
      <c r="H6" s="13" t="inlineStr">
        <is>
          <t>PNOS|Controlada</t>
        </is>
      </c>
      <c r="I6" s="13" t="inlineStr">
        <is>
          <t>Mantener los controles existentes y el orden y aseo con aspiración HEPA o métodos húmedos (B14–B15). Capacitación (B21). Reevaluar según la frecuencia indicada.</t>
        </is>
      </c>
    </row>
    <row r="7">
      <c r="A7" s="13" t="inlineStr">
        <is>
          <t>B02</t>
        </is>
      </c>
      <c r="B7" s="13" t="inlineStr">
        <is>
          <t>Metales</t>
        </is>
      </c>
      <c r="C7" s="13" t="inlineStr">
        <is>
          <t>Sustitución</t>
        </is>
      </c>
      <c r="D7" s="13" t="inlineStr">
        <is>
          <t>Seleccionar procesos y consumibles de menor emisión: TIG o MIG en lugar de electrodo revestido (SMAW); electrodos y alambres de bajo manganeso; consumibles sin cromo hexavalente cuando el material lo permita</t>
        </is>
      </c>
      <c r="E7" s="13" t="inlineStr">
        <is>
          <t>Soldadura de acero al carbono e inoxidable</t>
        </is>
      </c>
      <c r="F7" s="13" t="inlineStr">
        <is>
          <t>HSE COSHH essentials WL0/WL3: https://www.hse.gov.uk/coshh/essentials/direct-advice/welding.htm</t>
        </is>
      </c>
      <c r="H7" s="13" t="inlineStr">
        <is>
          <t>PNOS|Fuera de control</t>
        </is>
      </c>
      <c r="I7" s="13" t="inlineStr">
        <is>
          <t>Nivel de acción alcanzado: controles de ingeniería generales en la fuente (B05–B06, B08), orden y aseo sin barrido en seco (B14). Verificar el desempeño de la LEV (B13). Seguimiento respiratorio.</t>
        </is>
      </c>
    </row>
    <row r="8">
      <c r="A8" s="13" t="inlineStr">
        <is>
          <t>B03</t>
        </is>
      </c>
      <c r="B8" s="13" t="inlineStr">
        <is>
          <t>Todos</t>
        </is>
      </c>
      <c r="C8" s="13" t="inlineStr">
        <is>
          <t>Sustitución</t>
        </is>
      </c>
      <c r="D8" s="13" t="inlineStr">
        <is>
          <t>Usar materias primas en forma menos pulverulenta: pellets, gránulos, pastas, suspensiones o bolsas solubles en lugar de polvos finos</t>
        </is>
      </c>
      <c r="E8" s="13" t="inlineStr">
        <is>
          <t>Manejo de pigmentos, cemento, cargas minerales</t>
        </is>
      </c>
      <c r="F8" s="13" t="inlineStr">
        <is>
          <t>HSE COSHH essentials; ILO ICCT</t>
        </is>
      </c>
      <c r="H8" s="13" t="inlineStr">
        <is>
          <t>PNOS|Sobreexposición</t>
        </is>
      </c>
      <c r="I8" s="13" t="inlineStr">
        <is>
          <t>Polvo sobre el TLV: encerrar o extraer en la fuente (B05–B06, B08), evaluar materias primas menos pulverulentas (B03), reducir tiempos (B18) y protección respiratoria temporal según el FPR (B23). Confirmar que el polvo no contenga sílice cristalina ≥ 1 % (usar NeumoRisk).</t>
        </is>
      </c>
    </row>
    <row r="9">
      <c r="A9" s="13" t="inlineStr">
        <is>
          <t>B04</t>
        </is>
      </c>
      <c r="B9" s="13" t="inlineStr">
        <is>
          <t>Abrasivos</t>
        </is>
      </c>
      <c r="C9" s="13" t="inlineStr">
        <is>
          <t>Sustitución</t>
        </is>
      </c>
      <c r="D9" s="13" t="inlineStr">
        <is>
          <t>Limpieza abrasiva con granalla de acero, escoria o carburo de silicio en lugar de arena; no usar el chorro sobre pinturas con plomo sin control específico</t>
        </is>
      </c>
      <c r="E9" s="13" t="inlineStr">
        <is>
          <t>Preparación de superficies</t>
        </is>
      </c>
      <c r="F9" s="13" t="inlineStr">
        <is>
          <t>Araque G.A., Aerosoles (SCHO); HSE WL18–WL20</t>
        </is>
      </c>
      <c r="H9" s="13" t="inlineStr">
        <is>
          <t>Mineral|Controlada</t>
        </is>
      </c>
      <c r="I9" s="13" t="inlineStr">
        <is>
          <t>Mantener controles y métodos húmedos (B09), orden y aseo (B14–B15). Capacitación anual (B21). Reevaluar según la frecuencia indicada.</t>
        </is>
      </c>
    </row>
    <row r="10">
      <c r="A10" s="13" t="inlineStr">
        <is>
          <t>B05</t>
        </is>
      </c>
      <c r="B10" s="13" t="inlineStr">
        <is>
          <t>Todos</t>
        </is>
      </c>
      <c r="C10" s="13" t="inlineStr">
        <is>
          <t>Ingeniería – fuente</t>
        </is>
      </c>
      <c r="D10" s="13" t="inlineStr">
        <is>
          <t>Encerramiento total o parcial de molinos, tamices, mezcladoras, transportadores y puntos de transferencia, con extracción</t>
        </is>
      </c>
      <c r="E10" s="13" t="inlineStr">
        <is>
          <t>Molienda, tamizado, transferencia</t>
        </is>
      </c>
      <c r="F10" s="13" t="inlineStr">
        <is>
          <t>ACGIH Industrial Ventilation Manual</t>
        </is>
      </c>
      <c r="H10" s="13" t="inlineStr">
        <is>
          <t>Mineral|Fuera de control</t>
        </is>
      </c>
      <c r="I10" s="13" t="inlineStr">
        <is>
          <t>Priorizar humectación (B09), LEV en ensacado y transferencia (B06, B10) y verificación de la ventilación (B13). Protección respiratoria complementaria (B23). Ingreso al seguimiento respiratorio.</t>
        </is>
      </c>
    </row>
    <row r="11">
      <c r="A11" s="13" t="inlineStr">
        <is>
          <t>B06</t>
        </is>
      </c>
      <c r="B11" s="13" t="inlineStr">
        <is>
          <t>Todos</t>
        </is>
      </c>
      <c r="C11" s="13" t="inlineStr">
        <is>
          <t>Ingeniería – fuente</t>
        </is>
      </c>
      <c r="D11" s="13" t="inlineStr">
        <is>
          <t>Ventilación local exhaustiva (LEV) con captación en el punto de generación y colector de alta eficiencia; diseño según el Manual de Ventilación Industrial ACGIH</t>
        </is>
      </c>
      <c r="E11" s="13" t="inlineStr">
        <is>
          <t>Mesas de pulido, puntos de carga, estaciones de ensacado</t>
        </is>
      </c>
      <c r="F11" s="13" t="inlineStr">
        <is>
          <t>ACGIH Industrial Ventilation Manual</t>
        </is>
      </c>
      <c r="H11" s="13" t="inlineStr">
        <is>
          <t>Mineral|Sobreexposición</t>
        </is>
      </c>
      <c r="I11" s="13" t="inlineStr">
        <is>
          <t>Control inmediato: encerramiento y LEV (B05–B06, B10), humectación (B09), cabinas (B11). Mientras tanto, reducir tiempos (B18), demarcar (B19) y protección respiratoria según el FPR (B23). Verificar el contenido de sílice cristalina.</t>
        </is>
      </c>
    </row>
    <row r="12">
      <c r="A12" s="13" t="inlineStr">
        <is>
          <t>B07</t>
        </is>
      </c>
      <c r="B12" s="13" t="inlineStr">
        <is>
          <t>Humos metálicos</t>
        </is>
      </c>
      <c r="C12" s="13" t="inlineStr">
        <is>
          <t>Ingeniería – fuente</t>
        </is>
      </c>
      <c r="D12" s="13" t="inlineStr">
        <is>
          <t>Extracción de humos de soldadura: antorcha con extracción integrada, brazo articulado o mesa con extracción descendente; captación a menos de un diámetro de la campana</t>
        </is>
      </c>
      <c r="E12" s="13" t="inlineStr">
        <is>
          <t>Puestos de soldadura fijos y semimóviles</t>
        </is>
      </c>
      <c r="F12" s="13" t="inlineStr">
        <is>
          <t>HSE WL3 Welding Fume Control: https://www.hse.gov.uk/coshh/essentials/direct-advice/welding.htm</t>
        </is>
      </c>
      <c r="H12" s="13" t="inlineStr">
        <is>
          <t>Metal|Controlada</t>
        </is>
      </c>
      <c r="I12" s="13" t="inlineStr">
        <is>
          <t>Mantener la LEV y su mantenimiento (B13), higiene personal (B16) y capacitación (B21). Reevaluar según la frecuencia indicada; monitoreo biológico si el agente tiene BEI (B26).</t>
        </is>
      </c>
    </row>
    <row r="13">
      <c r="A13" s="13" t="inlineStr">
        <is>
          <t>B08</t>
        </is>
      </c>
      <c r="B13" s="13" t="inlineStr">
        <is>
          <t>Todos</t>
        </is>
      </c>
      <c r="C13" s="13" t="inlineStr">
        <is>
          <t>Ingeniería – fuente</t>
        </is>
      </c>
      <c r="D13" s="13" t="inlineStr">
        <is>
          <t>Herramientas eléctricas con aspiración incorporada (cubierta y aspiradora con filtro HEPA) para corte, desbaste y lijado</t>
        </is>
      </c>
      <c r="E13" s="13" t="inlineStr">
        <is>
          <t>Desbaste, pulido, corte de piezas</t>
        </is>
      </c>
      <c r="F13" s="13" t="inlineStr">
        <is>
          <t>HSE COSHH essentials</t>
        </is>
      </c>
      <c r="H13" s="13" t="inlineStr">
        <is>
          <t>Metal|Fuera de control</t>
        </is>
      </c>
      <c r="I13" s="13" t="inlineStr">
        <is>
          <t>Reforzar la extracción en la fuente (B06–B08), evaluar consumibles o procesos de menor emisión (B02), higiene personal y ropa exclusiva (B16–B17). Protección respiratoria complementaria (B23–B24). Monitoreo biológico (B26).</t>
        </is>
      </c>
    </row>
    <row r="14">
      <c r="A14" s="13" t="inlineStr">
        <is>
          <t>B09</t>
        </is>
      </c>
      <c r="B14" s="13" t="inlineStr">
        <is>
          <t>Minerales</t>
        </is>
      </c>
      <c r="C14" s="13" t="inlineStr">
        <is>
          <t>Ingeniería – fuente</t>
        </is>
      </c>
      <c r="D14" s="13" t="inlineStr">
        <is>
          <t>Métodos húmedos: humectación del material, aspersión o niebla de agua en el punto de generación</t>
        </is>
      </c>
      <c r="E14" s="13" t="inlineStr">
        <is>
          <t>Trituración, corte, cargue, vías internas</t>
        </is>
      </c>
      <c r="F14" s="13" t="inlineStr">
        <is>
          <t>Araque G.A., Aerosoles (SCHO)</t>
        </is>
      </c>
      <c r="H14" s="13" t="inlineStr">
        <is>
          <t>Metal|Sobreexposición</t>
        </is>
      </c>
      <c r="I14" s="13" t="inlineStr">
        <is>
          <t>Control inmediato: sustitución o cambio de proceso (B01–B02), extracción en la fuente (B06–B07), reducir tiempos (B18). Protección respiratoria según el FPR (B23–B24), higiene y ropa (B16–B17) y monitoreo biológico prioritario (B26).</t>
        </is>
      </c>
    </row>
    <row r="15">
      <c r="A15" s="13" t="inlineStr">
        <is>
          <t>B10</t>
        </is>
      </c>
      <c r="B15" s="13" t="inlineStr">
        <is>
          <t>Minerales</t>
        </is>
      </c>
      <c r="C15" s="13" t="inlineStr">
        <is>
          <t>Ingeniería – fuente</t>
        </is>
      </c>
      <c r="D15" s="13" t="inlineStr">
        <is>
          <t>Ensacadoras y vaciado de sacos con campana de extracción, compactación de sacos vacíos con captación y descarga en circuito cerrado</t>
        </is>
      </c>
      <c r="E15" s="13" t="inlineStr">
        <is>
          <t>Ensacado de cemento, cal, talco, caolín</t>
        </is>
      </c>
      <c r="F15" s="13" t="inlineStr">
        <is>
          <t>ILO / HSE COSHH essentials (hojas de vaciado y llenado de sacos)</t>
        </is>
      </c>
      <c r="H15" s="13" t="inlineStr">
        <is>
          <t>Metal carcinógeno|Controlada</t>
        </is>
      </c>
      <c r="I15" s="13" t="inlineStr">
        <is>
          <t>Agente carcinógeno: mantener la exposición tan baja como sea posible. Conservar la LEV (B06–B07, B13), higiene personal y ropa exclusiva (B16–B17). Monitoreo biológico si aplica (B26).</t>
        </is>
      </c>
    </row>
    <row r="16">
      <c r="A16" s="13" t="inlineStr">
        <is>
          <t>B11</t>
        </is>
      </c>
      <c r="B16" s="13" t="inlineStr">
        <is>
          <t>Todos</t>
        </is>
      </c>
      <c r="C16" s="13" t="inlineStr">
        <is>
          <t>Ingeniería – medio</t>
        </is>
      </c>
      <c r="D16" s="13" t="inlineStr">
        <is>
          <t>Separar o aislar las operaciones polvorientas (barreras, cabinas, áreas dedicadas) y cabinas de control presurizadas con aire filtrado</t>
        </is>
      </c>
      <c r="E16" s="13" t="inlineStr">
        <is>
          <t>Plantas de molienda, fundición</t>
        </is>
      </c>
      <c r="F16" s="13" t="inlineStr">
        <is>
          <t>ACGIH Industrial Ventilation Manual</t>
        </is>
      </c>
      <c r="H16" s="13" t="inlineStr">
        <is>
          <t>Metal carcinógeno|Fuera de control</t>
        </is>
      </c>
      <c r="I16" s="13" t="inlineStr">
        <is>
          <t>Agente carcinógeno con exposición sobre el nivel de acción: evaluar sustitución (B01–B02), reforzar la extracción en la fuente (B06–B07), zona demarcada (B19), ropa y ducha (B17), respirador con filtro P100 (B24) y vigilancia médica específica (B26).</t>
        </is>
      </c>
    </row>
    <row r="17">
      <c r="A17" s="13" t="inlineStr">
        <is>
          <t>B12</t>
        </is>
      </c>
      <c r="B17" s="13" t="inlineStr">
        <is>
          <t>Todos</t>
        </is>
      </c>
      <c r="C17" s="13" t="inlineStr">
        <is>
          <t>Ingeniería – medio</t>
        </is>
      </c>
      <c r="D17" s="13" t="inlineStr">
        <is>
          <t>Ventilación general como complemento (no sustituye a la LEV en aerosoles); verificar renovaciones y que no resuspenda el polvo</t>
        </is>
      </c>
      <c r="E17" s="13" t="inlineStr">
        <is>
          <t>Naves de producción</t>
        </is>
      </c>
      <c r="F17" s="13" t="inlineStr">
        <is>
          <t>Araque G.A., Aerosoles (SCHO)</t>
        </is>
      </c>
      <c r="H17" s="13" t="inlineStr">
        <is>
          <t>Metal carcinógeno|Sobreexposición</t>
        </is>
      </c>
      <c r="I17" s="13" t="inlineStr">
        <is>
          <t>Control inmediato de un carcinógeno: suspender o reducir la tarea hasta implementar sustitución o encerramiento con extracción (B01–B02, B05–B07). Respirador con filtro P100 según el FPR (B24), demarcación (B19), ropa y ducha (B17), vigilancia médica prioritaria (B26).</t>
        </is>
      </c>
    </row>
    <row r="18">
      <c r="A18" s="13" t="inlineStr">
        <is>
          <t>B13</t>
        </is>
      </c>
      <c r="B18" s="13" t="inlineStr">
        <is>
          <t>Todos</t>
        </is>
      </c>
      <c r="C18" s="13" t="inlineStr">
        <is>
          <t>Administrativo</t>
        </is>
      </c>
      <c r="D18" s="13" t="inlineStr">
        <is>
          <t>Mantenimiento preventivo y verificación periódica de la LEV y de los colectores (caudal, velocidad de captura, presión estática, estado de filtros)</t>
        </is>
      </c>
      <c r="E18" s="13" t="inlineStr">
        <is>
          <t>LEV, colectores, cabinas</t>
        </is>
      </c>
      <c r="F18" s="13" t="inlineStr">
        <is>
          <t>ACGIH Industrial Ventilation Manual</t>
        </is>
      </c>
    </row>
    <row r="19">
      <c r="A19" s="13" t="inlineStr">
        <is>
          <t>B14</t>
        </is>
      </c>
      <c r="B19" s="13" t="inlineStr">
        <is>
          <t>Todos</t>
        </is>
      </c>
      <c r="C19" s="13" t="inlineStr">
        <is>
          <t>Administrativo</t>
        </is>
      </c>
      <c r="D19" s="13" t="inlineStr">
        <is>
          <t>Prohibir el barrido en seco y el aire comprimido para limpieza; usar aspiración industrial HEPA o métodos húmedos</t>
        </is>
      </c>
      <c r="E19" s="13" t="inlineStr">
        <is>
          <t>Orden y aseo de pisos y equipos</t>
        </is>
      </c>
      <c r="F19" s="13" t="inlineStr">
        <is>
          <t>OSHA 1910.1025 (plomo); HSE COSHH essentials</t>
        </is>
      </c>
    </row>
    <row r="20">
      <c r="A20" s="13" t="inlineStr">
        <is>
          <t>B15</t>
        </is>
      </c>
      <c r="B20" s="13" t="inlineStr">
        <is>
          <t>Todos</t>
        </is>
      </c>
      <c r="C20" s="13" t="inlineStr">
        <is>
          <t>Administrativo</t>
        </is>
      </c>
      <c r="D20" s="13" t="inlineStr">
        <is>
          <t>Programa de orden y aseo que evite la acumulación de polvo en pisos, vigas y equipos</t>
        </is>
      </c>
      <c r="E20" s="13" t="inlineStr">
        <is>
          <t>Todas las áreas</t>
        </is>
      </c>
      <c r="F20" s="13" t="inlineStr">
        <is>
          <t>Araque G.A., Aerosoles (SCHO)</t>
        </is>
      </c>
    </row>
    <row r="21">
      <c r="A21" s="13" t="inlineStr">
        <is>
          <t>B16</t>
        </is>
      </c>
      <c r="B21" s="13" t="inlineStr">
        <is>
          <t>Metales</t>
        </is>
      </c>
      <c r="C21" s="13" t="inlineStr">
        <is>
          <t>Administrativo</t>
        </is>
      </c>
      <c r="D21" s="13" t="inlineStr">
        <is>
          <t>Higiene personal: prohibir comer, beber y fumar en áreas de trabajo; lavado de manos y cara antes de comer; comedor separado</t>
        </is>
      </c>
      <c r="E21" s="13" t="inlineStr">
        <is>
          <t>Plomo, cadmio, arsénico, cromo</t>
        </is>
      </c>
      <c r="F21" s="13" t="inlineStr">
        <is>
          <t>OSHA 1910.1025; Araque G.A., Aerosoles (SCHO)</t>
        </is>
      </c>
    </row>
    <row r="22">
      <c r="A22" s="13" t="inlineStr">
        <is>
          <t>B17</t>
        </is>
      </c>
      <c r="B22" s="13" t="inlineStr">
        <is>
          <t>Metales</t>
        </is>
      </c>
      <c r="C22" s="13" t="inlineStr">
        <is>
          <t>Administrativo</t>
        </is>
      </c>
      <c r="D22" s="13" t="inlineStr">
        <is>
          <t>Ropa de trabajo exclusiva, vestidores con casilleros separados (ropa limpia y sucia), ducha al final de la jornada y lavado de ropa en la empresa</t>
        </is>
      </c>
      <c r="E22" s="13" t="inlineStr">
        <is>
          <t>Plomo, cadmio, cromo VI, berilio</t>
        </is>
      </c>
      <c r="F22" s="13" t="inlineStr">
        <is>
          <t>OSHA 1910.1025; OSHA 1910.1026</t>
        </is>
      </c>
    </row>
    <row r="23">
      <c r="A23" s="13" t="inlineStr">
        <is>
          <t>B18</t>
        </is>
      </c>
      <c r="B23" s="13" t="inlineStr">
        <is>
          <t>Todos</t>
        </is>
      </c>
      <c r="C23" s="13" t="inlineStr">
        <is>
          <t>Administrativo</t>
        </is>
      </c>
      <c r="D23" s="13" t="inlineStr">
        <is>
          <t>Reducir el tiempo de exposición (rotación de tareas) mientras se implementan controles de ingeniería</t>
        </is>
      </c>
      <c r="E23" s="13" t="inlineStr">
        <is>
          <t>GES con sobreexposición</t>
        </is>
      </c>
      <c r="F23" s="13" t="inlineStr">
        <is>
          <t>Decreto 1072 de 2015</t>
        </is>
      </c>
    </row>
    <row r="24">
      <c r="A24" s="13" t="inlineStr">
        <is>
          <t>B19</t>
        </is>
      </c>
      <c r="B24" s="13" t="inlineStr">
        <is>
          <t>Todos</t>
        </is>
      </c>
      <c r="C24" s="13" t="inlineStr">
        <is>
          <t>Administrativo</t>
        </is>
      </c>
      <c r="D24" s="13" t="inlineStr">
        <is>
          <t>Señalización, demarcación de zonas de riesgo y control de acceso</t>
        </is>
      </c>
      <c r="E24" s="13" t="inlineStr">
        <is>
          <t>Áreas en categoría 3 o 4</t>
        </is>
      </c>
      <c r="F24" s="13" t="inlineStr">
        <is>
          <t>Decreto 1072 de 2015</t>
        </is>
      </c>
    </row>
    <row r="25">
      <c r="A25" s="13" t="inlineStr">
        <is>
          <t>B20</t>
        </is>
      </c>
      <c r="B25" s="13" t="inlineStr">
        <is>
          <t>Humos metálicos</t>
        </is>
      </c>
      <c r="C25" s="13" t="inlineStr">
        <is>
          <t>Administrativo</t>
        </is>
      </c>
      <c r="D25" s="13" t="inlineStr">
        <is>
          <t>Posición de trabajo: mantener la cabeza fuera de la columna de humo; no soldar en espacios confinados sin extracción y suministro de aire</t>
        </is>
      </c>
      <c r="E25" s="13" t="inlineStr">
        <is>
          <t>Soldadura y corte</t>
        </is>
      </c>
      <c r="F25" s="13" t="inlineStr">
        <is>
          <t>HSE WL2 y WL3</t>
        </is>
      </c>
    </row>
    <row r="26">
      <c r="A26" s="13" t="inlineStr">
        <is>
          <t>B21</t>
        </is>
      </c>
      <c r="B26" s="13" t="inlineStr">
        <is>
          <t>Todos</t>
        </is>
      </c>
      <c r="C26" s="13" t="inlineStr">
        <is>
          <t>Administrativo</t>
        </is>
      </c>
      <c r="D26" s="13" t="inlineStr">
        <is>
          <t>Capacitación al ingreso y mínimo anual: fuentes, efectos, uso de la LEV, orden y aseo, protección respiratoria y vigilancia médica</t>
        </is>
      </c>
      <c r="E26" s="13" t="inlineStr">
        <is>
          <t>Todos los expuestos</t>
        </is>
      </c>
      <c r="F26" s="13" t="inlineStr">
        <is>
          <t>Decreto 1072 de 2015</t>
        </is>
      </c>
    </row>
    <row r="27">
      <c r="A27" s="13" t="inlineStr">
        <is>
          <t>B22</t>
        </is>
      </c>
      <c r="B27" s="13" t="inlineStr">
        <is>
          <t>Todos</t>
        </is>
      </c>
      <c r="C27" s="13" t="inlineStr">
        <is>
          <t>Administrativo</t>
        </is>
      </c>
      <c r="D27" s="13" t="inlineStr">
        <is>
          <t>Repetir la evaluación ambiental ante cambios de proceso, materias primas, consumibles o equipos</t>
        </is>
      </c>
      <c r="E27" s="13" t="inlineStr">
        <is>
          <t>Gestión del cambio</t>
        </is>
      </c>
      <c r="F27" s="13" t="inlineStr">
        <is>
          <t>AIHA, A Strategy for Assessing and Managing Occupational Exposures</t>
        </is>
      </c>
    </row>
    <row r="28">
      <c r="A28" s="13" t="inlineStr">
        <is>
          <t>B23</t>
        </is>
      </c>
      <c r="B28" s="13" t="inlineStr">
        <is>
          <t>Todos</t>
        </is>
      </c>
      <c r="C28" s="13" t="inlineStr">
        <is>
          <t>EPP</t>
        </is>
      </c>
      <c r="D28" s="13" t="inlineStr">
        <is>
          <t>Programa de protección respiratoria: selección por APF, evaluación médica, pruebas de ajuste anuales, mantenimiento, entrenamiento y registros</t>
        </is>
      </c>
      <c r="E28" s="13" t="inlineStr">
        <is>
          <t>Mientras se implementan controles o como complemento</t>
        </is>
      </c>
      <c r="F28" s="13" t="inlineStr">
        <is>
          <t>OSHA 29 CFR 1910.134</t>
        </is>
      </c>
    </row>
    <row r="29">
      <c r="A29" s="13" t="inlineStr">
        <is>
          <t>B24</t>
        </is>
      </c>
      <c r="B29" s="13" t="inlineStr">
        <is>
          <t>Metales carcinógenos / humos</t>
        </is>
      </c>
      <c r="C29" s="13" t="inlineStr">
        <is>
          <t>EPP</t>
        </is>
      </c>
      <c r="D29" s="13" t="inlineStr">
        <is>
          <t>Filtros P100 (HEPA); para humos de soldadura, respirador compatible con la careta o PAPR con careta de soldar</t>
        </is>
      </c>
      <c r="E29" s="13" t="inlineStr">
        <is>
          <t>Cromo VI, níquel, cadmio, berilio, arsénico; soldadura</t>
        </is>
      </c>
      <c r="F29" s="13" t="inlineStr">
        <is>
          <t>OSHA 1910.134; NIOSH 42 CFR 84</t>
        </is>
      </c>
    </row>
    <row r="30">
      <c r="A30" s="13" t="inlineStr">
        <is>
          <t>B25</t>
        </is>
      </c>
      <c r="B30" s="13" t="inlineStr">
        <is>
          <t>Todos</t>
        </is>
      </c>
      <c r="C30" s="13" t="inlineStr">
        <is>
          <t>EPP</t>
        </is>
      </c>
      <c r="D30" s="13" t="inlineStr">
        <is>
          <t>Reemplazo de filtros cuando se dañen o aumente la resistencia respiratoria; serie N por carga (≈ 200 mg)</t>
        </is>
      </c>
      <c r="E30" s="13" t="inlineStr">
        <is>
          <t>Usuarios de respiradores purificadores</t>
        </is>
      </c>
      <c r="F30" s="13" t="inlineStr">
        <is>
          <t>Araque G.A., Aerosoles (SCHO); NIOSH 42 CFR 84</t>
        </is>
      </c>
    </row>
    <row r="31">
      <c r="A31" s="13" t="inlineStr">
        <is>
          <t>B26</t>
        </is>
      </c>
      <c r="B31" s="13" t="inlineStr">
        <is>
          <t>Metales</t>
        </is>
      </c>
      <c r="C31" s="13" t="inlineStr">
        <is>
          <t>Vigilancia</t>
        </is>
      </c>
      <c r="D31" s="13" t="inlineStr">
        <is>
          <t>Monitoreo biológico con BEI (p. ej., plomo en sangre, cadmio en orina, cromo en orina, cobalto en orina) complementario al monitoreo ambiental</t>
        </is>
      </c>
      <c r="E31" s="13" t="inlineStr">
        <is>
          <t>Agentes con BEI de la ACGIH</t>
        </is>
      </c>
      <c r="F31" s="13" t="inlineStr">
        <is>
          <t>ACGIH TLVs and BEIs 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N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1" customWidth="1" min="5" max="5"/>
    <col width="46" customWidth="1" min="6" max="6"/>
    <col width="7" customWidth="1" min="7" max="7"/>
    <col width="32" customWidth="1" min="8" max="8"/>
    <col width="12" customWidth="1" min="9" max="9"/>
    <col width="9" customWidth="1" min="10" max="10"/>
    <col width="9" customWidth="1" min="11" max="11"/>
    <col width="10" customWidth="1" min="12" max="12"/>
    <col width="12" customWidth="1" min="13" max="13"/>
    <col width="28" customWidth="1" min="14" max="14"/>
  </cols>
  <sheetData>
    <row r="1">
      <c r="A1" s="10" t="inlineStr">
        <is>
          <t>7. Selección de protección respiratoria y vida útil de filtros</t>
        </is>
      </c>
    </row>
    <row r="2">
      <c r="A2" s="3" t="inlineStr">
        <is>
          <t>Medida provisional mientras se implementan controles de ingeniería. FPR = P95 / TLV ajustado → respirador con APF ≥ FPR (OSHA 1910.134). Humos metálicos y metales carcinógenos: filtros P100.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2" t="inlineStr">
        <is>
          <t>Código GES</t>
        </is>
      </c>
      <c r="B5" s="12" t="inlineStr">
        <is>
          <t>Agente</t>
        </is>
      </c>
      <c r="C5" s="12" t="inlineStr">
        <is>
          <t>Concentración de referencia (P95 o máx.)</t>
        </is>
      </c>
      <c r="D5" s="12" t="inlineStr">
        <is>
          <t>TLV ajustado</t>
        </is>
      </c>
      <c r="E5" s="12" t="inlineStr">
        <is>
          <t>Factor de protección requerido (FPR)</t>
        </is>
      </c>
      <c r="F5" s="12" t="inlineStr">
        <is>
          <t>Respirador mínimo (APF ≥ FPR)</t>
        </is>
      </c>
      <c r="G5" s="12" t="inlineStr">
        <is>
          <t>APF</t>
        </is>
      </c>
      <c r="H5" s="12" t="inlineStr">
        <is>
          <t>Filtro</t>
        </is>
      </c>
      <c r="I5" s="12" t="inlineStr">
        <is>
          <t>Polvo o humo total en el aire (mg/m³)</t>
        </is>
      </c>
      <c r="J5" s="12" t="inlineStr">
        <is>
          <t>Horas de uso por jornada</t>
        </is>
      </c>
      <c r="K5" s="12" t="inlineStr">
        <is>
          <t>Nº de filtros del respirador</t>
        </is>
      </c>
      <c r="L5" s="12" t="inlineStr">
        <is>
          <t>Carga diaria por filtro (mg)</t>
        </is>
      </c>
      <c r="M5" s="12" t="inlineStr">
        <is>
          <t>Reemplazo estimado serie N (jornadas)</t>
        </is>
      </c>
      <c r="N5" s="12" t="inlineStr">
        <is>
          <t>Observaciones</t>
        </is>
      </c>
    </row>
    <row r="6">
      <c r="A6" s="15">
        <f>Estadística!A6</f>
        <v/>
      </c>
      <c r="B6" s="15">
        <f>Estadística!B6</f>
        <v/>
      </c>
      <c r="C6" s="25">
        <f>IF(A6="","",Estadística!P6)</f>
        <v/>
      </c>
      <c r="D6" s="22">
        <f>IF(A6="","",Estadística!N6)</f>
        <v/>
      </c>
      <c r="E6" s="31">
        <f>IF(OR(N(C6)=0,N(D6)=0),"",C6/D6)</f>
        <v/>
      </c>
      <c r="F6" s="28">
        <f>IF(E6="","",IF(E6&lt;=1,"No requerido por concentración; usar si hay picos o tareas no rutinarias",IF(E6&lt;=10,IF(IFERROR(INDEX(Agentes!$H$6:$H$60,MATCH(B6,Agentes!$A$6:$A$60,0)),"")="Metal carcinógeno","Media cara elastomérica con filtros P100","Pieza facial filtrante o media cara elastomérica"),IF(E6&lt;=25,"PAPR con capucha o careta holgada",IF(E6&lt;=50,"Cara completa elastomérica P100 o PAPR con media cara",IF(E6&lt;=1000,"PAPR con cara completa o línea de aire","SCBA a presión positiva: controle primero la fuente"))))))</f>
        <v/>
      </c>
      <c r="G6" s="15">
        <f>IF(E6="","",IF(E6&lt;=1,"—",IF(E6&lt;=10,10,IF(E6&lt;=25,25,IF(E6&lt;=50,50,IF(E6&lt;=1000,1000,10000))))))</f>
        <v/>
      </c>
      <c r="H6" s="28">
        <f>IF(A6="","",IF(OR(IFERROR(INDEX(Agentes!$H$6:$H$60,MATCH(B6,Agentes!$A$6:$A$60,0)),"")="Metal carcinógeno",IFERROR(INDEX(Agentes!$D$6:$D$60,MATCH(B6,Agentes!$A$6:$A$60,0)),"")="Humo"),"P100 (HEPA)",IF(IFERROR(INDEX(Agentes!$H$6:$H$60,MATCH(B6,Agentes!$A$6:$A$60,0)),"")="Metal","N100/R100/P100 (N95 como mínimo)","N95 o superior; serie P si hay nieblas de aceite")))</f>
        <v/>
      </c>
      <c r="I6" s="24" t="n">
        <v>4.5</v>
      </c>
      <c r="J6" s="8" t="n">
        <v>8</v>
      </c>
      <c r="K6" s="8" t="n">
        <v>1</v>
      </c>
      <c r="L6" s="29">
        <f>IF(OR(N(I6)=0,N(J6)=0,N(K6)=0),"",I6*Agentes!$C$65*60*J6/1000/K6)</f>
        <v/>
      </c>
      <c r="M6" s="15">
        <f>IF(L6="","",ROUNDDOWN(Agentes!$C$66/L6,0))</f>
        <v/>
      </c>
      <c r="N6" s="8" t="inlineStr">
        <is>
          <t>Humo total de soldadura medido por gravimetría</t>
        </is>
      </c>
    </row>
    <row r="7">
      <c r="A7" s="15">
        <f>Estadística!A7</f>
        <v/>
      </c>
      <c r="B7" s="15">
        <f>Estadística!B7</f>
        <v/>
      </c>
      <c r="C7" s="25">
        <f>IF(A7="","",Estadística!P7)</f>
        <v/>
      </c>
      <c r="D7" s="22">
        <f>IF(A7="","",Estadística!N7)</f>
        <v/>
      </c>
      <c r="E7" s="31">
        <f>IF(OR(N(C7)=0,N(D7)=0),"",C7/D7)</f>
        <v/>
      </c>
      <c r="F7" s="28">
        <f>IF(E7="","",IF(E7&lt;=1,"No requerido por concentración; usar si hay picos o tareas no rutinarias",IF(E7&lt;=10,IF(IFERROR(INDEX(Agentes!$H$6:$H$60,MATCH(B7,Agentes!$A$6:$A$60,0)),"")="Metal carcinógeno","Media cara elastomérica con filtros P100","Pieza facial filtrante o media cara elastomérica"),IF(E7&lt;=25,"PAPR con capucha o careta holgada",IF(E7&lt;=50,"Cara completa elastomérica P100 o PAPR con media cara",IF(E7&lt;=1000,"PAPR con cara completa o línea de aire","SCBA a presión positiva: controle primero la fuente"))))))</f>
        <v/>
      </c>
      <c r="G7" s="15">
        <f>IF(E7="","",IF(E7&lt;=1,"—",IF(E7&lt;=10,10,IF(E7&lt;=25,25,IF(E7&lt;=50,50,IF(E7&lt;=1000,1000,10000))))))</f>
        <v/>
      </c>
      <c r="H7" s="28">
        <f>IF(A7="","",IF(OR(IFERROR(INDEX(Agentes!$H$6:$H$60,MATCH(B7,Agentes!$A$6:$A$60,0)),"")="Metal carcinógeno",IFERROR(INDEX(Agentes!$D$6:$D$60,MATCH(B7,Agentes!$A$6:$A$60,0)),"")="Humo"),"P100 (HEPA)",IF(IFERROR(INDEX(Agentes!$H$6:$H$60,MATCH(B7,Agentes!$A$6:$A$60,0)),"")="Metal","N100/R100/P100 (N95 como mínimo)","N95 o superior; serie P si hay nieblas de aceite")))</f>
        <v/>
      </c>
      <c r="I7" s="24" t="n"/>
      <c r="J7" s="8" t="n"/>
      <c r="K7" s="8" t="n"/>
      <c r="L7" s="29">
        <f>IF(OR(N(I7)=0,N(J7)=0,N(K7)=0),"",I7*Agentes!$C$65*60*J7/1000/K7)</f>
        <v/>
      </c>
      <c r="M7" s="15">
        <f>IF(L7="","",ROUNDDOWN(Agentes!$C$66/L7,0))</f>
        <v/>
      </c>
      <c r="N7" s="8" t="n"/>
    </row>
    <row r="8">
      <c r="A8" s="15">
        <f>Estadística!A8</f>
        <v/>
      </c>
      <c r="B8" s="15">
        <f>Estadística!B8</f>
        <v/>
      </c>
      <c r="C8" s="25">
        <f>IF(A8="","",Estadística!P8)</f>
        <v/>
      </c>
      <c r="D8" s="22">
        <f>IF(A8="","",Estadística!N8)</f>
        <v/>
      </c>
      <c r="E8" s="31">
        <f>IF(OR(N(C8)=0,N(D8)=0),"",C8/D8)</f>
        <v/>
      </c>
      <c r="F8" s="28">
        <f>IF(E8="","",IF(E8&lt;=1,"No requerido por concentración; usar si hay picos o tareas no rutinarias",IF(E8&lt;=10,IF(IFERROR(INDEX(Agentes!$H$6:$H$60,MATCH(B8,Agentes!$A$6:$A$60,0)),"")="Metal carcinógeno","Media cara elastomérica con filtros P100","Pieza facial filtrante o media cara elastomérica"),IF(E8&lt;=25,"PAPR con capucha o careta holgada",IF(E8&lt;=50,"Cara completa elastomérica P100 o PAPR con media cara",IF(E8&lt;=1000,"PAPR con cara completa o línea de aire","SCBA a presión positiva: controle primero la fuente"))))))</f>
        <v/>
      </c>
      <c r="G8" s="15">
        <f>IF(E8="","",IF(E8&lt;=1,"—",IF(E8&lt;=10,10,IF(E8&lt;=25,25,IF(E8&lt;=50,50,IF(E8&lt;=1000,1000,10000))))))</f>
        <v/>
      </c>
      <c r="H8" s="28">
        <f>IF(A8="","",IF(OR(IFERROR(INDEX(Agentes!$H$6:$H$60,MATCH(B8,Agentes!$A$6:$A$60,0)),"")="Metal carcinógeno",IFERROR(INDEX(Agentes!$D$6:$D$60,MATCH(B8,Agentes!$A$6:$A$60,0)),"")="Humo"),"P100 (HEPA)",IF(IFERROR(INDEX(Agentes!$H$6:$H$60,MATCH(B8,Agentes!$A$6:$A$60,0)),"")="Metal","N100/R100/P100 (N95 como mínimo)","N95 o superior; serie P si hay nieblas de aceite")))</f>
        <v/>
      </c>
      <c r="I8" s="24" t="n">
        <v>1.2</v>
      </c>
      <c r="J8" s="8" t="n">
        <v>8</v>
      </c>
      <c r="K8" s="8" t="n">
        <v>2</v>
      </c>
      <c r="L8" s="29">
        <f>IF(OR(N(I8)=0,N(J8)=0,N(K8)=0),"",I8*Agentes!$C$65*60*J8/1000/K8)</f>
        <v/>
      </c>
      <c r="M8" s="15">
        <f>IF(L8="","",ROUNDDOWN(Agentes!$C$66/L8,0))</f>
        <v/>
      </c>
      <c r="N8" s="8" t="n"/>
    </row>
    <row r="9">
      <c r="A9" s="15">
        <f>Estadística!A9</f>
        <v/>
      </c>
      <c r="B9" s="15">
        <f>Estadística!B9</f>
        <v/>
      </c>
      <c r="C9" s="25">
        <f>IF(A9="","",Estadística!P9)</f>
        <v/>
      </c>
      <c r="D9" s="22">
        <f>IF(A9="","",Estadística!N9)</f>
        <v/>
      </c>
      <c r="E9" s="31">
        <f>IF(OR(N(C9)=0,N(D9)=0),"",C9/D9)</f>
        <v/>
      </c>
      <c r="F9" s="28">
        <f>IF(E9="","",IF(E9&lt;=1,"No requerido por concentración; usar si hay picos o tareas no rutinarias",IF(E9&lt;=10,IF(IFERROR(INDEX(Agentes!$H$6:$H$60,MATCH(B9,Agentes!$A$6:$A$60,0)),"")="Metal carcinógeno","Media cara elastomérica con filtros P100","Pieza facial filtrante o media cara elastomérica"),IF(E9&lt;=25,"PAPR con capucha o careta holgada",IF(E9&lt;=50,"Cara completa elastomérica P100 o PAPR con media cara",IF(E9&lt;=1000,"PAPR con cara completa o línea de aire","SCBA a presión positiva: controle primero la fuente"))))))</f>
        <v/>
      </c>
      <c r="G9" s="15">
        <f>IF(E9="","",IF(E9&lt;=1,"—",IF(E9&lt;=10,10,IF(E9&lt;=25,25,IF(E9&lt;=50,50,IF(E9&lt;=1000,1000,10000))))))</f>
        <v/>
      </c>
      <c r="H9" s="28">
        <f>IF(A9="","",IF(OR(IFERROR(INDEX(Agentes!$H$6:$H$60,MATCH(B9,Agentes!$A$6:$A$60,0)),"")="Metal carcinógeno",IFERROR(INDEX(Agentes!$D$6:$D$60,MATCH(B9,Agentes!$A$6:$A$60,0)),"")="Humo"),"P100 (HEPA)",IF(IFERROR(INDEX(Agentes!$H$6:$H$60,MATCH(B9,Agentes!$A$6:$A$60,0)),"")="Metal","N100/R100/P100 (N95 como mínimo)","N95 o superior; serie P si hay nieblas de aceite")))</f>
        <v/>
      </c>
      <c r="I9" s="24" t="n"/>
      <c r="J9" s="8" t="n"/>
      <c r="K9" s="8" t="n"/>
      <c r="L9" s="29">
        <f>IF(OR(N(I9)=0,N(J9)=0,N(K9)=0),"",I9*Agentes!$C$65*60*J9/1000/K9)</f>
        <v/>
      </c>
      <c r="M9" s="15">
        <f>IF(L9="","",ROUNDDOWN(Agentes!$C$66/L9,0))</f>
        <v/>
      </c>
      <c r="N9" s="8" t="n"/>
    </row>
    <row r="10">
      <c r="A10" s="15">
        <f>Estadística!A10</f>
        <v/>
      </c>
      <c r="B10" s="15">
        <f>Estadística!B10</f>
        <v/>
      </c>
      <c r="C10" s="25">
        <f>IF(A10="","",Estadística!P10)</f>
        <v/>
      </c>
      <c r="D10" s="22">
        <f>IF(A10="","",Estadística!N10)</f>
        <v/>
      </c>
      <c r="E10" s="31">
        <f>IF(OR(N(C10)=0,N(D10)=0),"",C10/D10)</f>
        <v/>
      </c>
      <c r="F10" s="28">
        <f>IF(E10="","",IF(E10&lt;=1,"No requerido por concentración; usar si hay picos o tareas no rutinarias",IF(E10&lt;=10,IF(IFERROR(INDEX(Agentes!$H$6:$H$60,MATCH(B10,Agentes!$A$6:$A$60,0)),"")="Metal carcinógeno","Media cara elastomérica con filtros P100","Pieza facial filtrante o media cara elastomérica"),IF(E10&lt;=25,"PAPR con capucha o careta holgada",IF(E10&lt;=50,"Cara completa elastomérica P100 o PAPR con media cara",IF(E10&lt;=1000,"PAPR con cara completa o línea de aire","SCBA a presión positiva: controle primero la fuente"))))))</f>
        <v/>
      </c>
      <c r="G10" s="15">
        <f>IF(E10="","",IF(E10&lt;=1,"—",IF(E10&lt;=10,10,IF(E10&lt;=25,25,IF(E10&lt;=50,50,IF(E10&lt;=1000,1000,10000))))))</f>
        <v/>
      </c>
      <c r="H10" s="28">
        <f>IF(A10="","",IF(OR(IFERROR(INDEX(Agentes!$H$6:$H$60,MATCH(B10,Agentes!$A$6:$A$60,0)),"")="Metal carcinógeno",IFERROR(INDEX(Agentes!$D$6:$D$60,MATCH(B10,Agentes!$A$6:$A$60,0)),"")="Humo"),"P100 (HEPA)",IF(IFERROR(INDEX(Agentes!$H$6:$H$60,MATCH(B10,Agentes!$A$6:$A$60,0)),"")="Metal","N100/R100/P100 (N95 como mínimo)","N95 o superior; serie P si hay nieblas de aceite")))</f>
        <v/>
      </c>
      <c r="I10" s="24" t="n">
        <v>1.1</v>
      </c>
      <c r="J10" s="8" t="n">
        <v>8</v>
      </c>
      <c r="K10" s="8" t="n">
        <v>2</v>
      </c>
      <c r="L10" s="29">
        <f>IF(OR(N(I10)=0,N(J10)=0,N(K10)=0),"",I10*Agentes!$C$65*60*J10/1000/K10)</f>
        <v/>
      </c>
      <c r="M10" s="15">
        <f>IF(L10="","",ROUNDDOWN(Agentes!$C$66/L10,0))</f>
        <v/>
      </c>
      <c r="N10" s="8" t="n"/>
    </row>
    <row r="11">
      <c r="A11" s="15">
        <f>Estadística!A11</f>
        <v/>
      </c>
      <c r="B11" s="15">
        <f>Estadística!B11</f>
        <v/>
      </c>
      <c r="C11" s="25">
        <f>IF(A11="","",Estadística!P11)</f>
        <v/>
      </c>
      <c r="D11" s="22">
        <f>IF(A11="","",Estadística!N11)</f>
        <v/>
      </c>
      <c r="E11" s="31">
        <f>IF(OR(N(C11)=0,N(D11)=0),"",C11/D11)</f>
        <v/>
      </c>
      <c r="F11" s="28">
        <f>IF(E11="","",IF(E11&lt;=1,"No requerido por concentración; usar si hay picos o tareas no rutinarias",IF(E11&lt;=10,IF(IFERROR(INDEX(Agentes!$H$6:$H$60,MATCH(B11,Agentes!$A$6:$A$60,0)),"")="Metal carcinógeno","Media cara elastomérica con filtros P100","Pieza facial filtrante o media cara elastomérica"),IF(E11&lt;=25,"PAPR con capucha o careta holgada",IF(E11&lt;=50,"Cara completa elastomérica P100 o PAPR con media cara",IF(E11&lt;=1000,"PAPR con cara completa o línea de aire","SCBA a presión positiva: controle primero la fuente"))))))</f>
        <v/>
      </c>
      <c r="G11" s="15">
        <f>IF(E11="","",IF(E11&lt;=1,"—",IF(E11&lt;=10,10,IF(E11&lt;=25,25,IF(E11&lt;=50,50,IF(E11&lt;=1000,1000,10000))))))</f>
        <v/>
      </c>
      <c r="H11" s="28">
        <f>IF(A11="","",IF(OR(IFERROR(INDEX(Agentes!$H$6:$H$60,MATCH(B11,Agentes!$A$6:$A$60,0)),"")="Metal carcinógeno",IFERROR(INDEX(Agentes!$D$6:$D$60,MATCH(B11,Agentes!$A$6:$A$60,0)),"")="Humo"),"P100 (HEPA)",IF(IFERROR(INDEX(Agentes!$H$6:$H$60,MATCH(B11,Agentes!$A$6:$A$60,0)),"")="Metal","N100/R100/P100 (N95 como mínimo)","N95 o superior; serie P si hay nieblas de aceite")))</f>
        <v/>
      </c>
      <c r="I11" s="24" t="n"/>
      <c r="J11" s="8" t="n"/>
      <c r="K11" s="8" t="n"/>
      <c r="L11" s="29">
        <f>IF(OR(N(I11)=0,N(J11)=0,N(K11)=0),"",I11*Agentes!$C$65*60*J11/1000/K11)</f>
        <v/>
      </c>
      <c r="M11" s="15">
        <f>IF(L11="","",ROUNDDOWN(Agentes!$C$66/L11,0))</f>
        <v/>
      </c>
      <c r="N11" s="8" t="n"/>
    </row>
    <row r="12">
      <c r="A12" s="15">
        <f>Estadística!A12</f>
        <v/>
      </c>
      <c r="B12" s="15">
        <f>Estadística!B12</f>
        <v/>
      </c>
      <c r="C12" s="25">
        <f>IF(A12="","",Estadística!P12)</f>
        <v/>
      </c>
      <c r="D12" s="22">
        <f>IF(A12="","",Estadística!N12)</f>
        <v/>
      </c>
      <c r="E12" s="31">
        <f>IF(OR(N(C12)=0,N(D12)=0),"",C12/D12)</f>
        <v/>
      </c>
      <c r="F12" s="28">
        <f>IF(E12="","",IF(E12&lt;=1,"No requerido por concentración; usar si hay picos o tareas no rutinarias",IF(E12&lt;=10,IF(IFERROR(INDEX(Agentes!$H$6:$H$60,MATCH(B12,Agentes!$A$6:$A$60,0)),"")="Metal carcinógeno","Media cara elastomérica con filtros P100","Pieza facial filtrante o media cara elastomérica"),IF(E12&lt;=25,"PAPR con capucha o careta holgada",IF(E12&lt;=50,"Cara completa elastomérica P100 o PAPR con media cara",IF(E12&lt;=1000,"PAPR con cara completa o línea de aire","SCBA a presión positiva: controle primero la fuente"))))))</f>
        <v/>
      </c>
      <c r="G12" s="15">
        <f>IF(E12="","",IF(E12&lt;=1,"—",IF(E12&lt;=10,10,IF(E12&lt;=25,25,IF(E12&lt;=50,50,IF(E12&lt;=1000,1000,10000))))))</f>
        <v/>
      </c>
      <c r="H12" s="28">
        <f>IF(A12="","",IF(OR(IFERROR(INDEX(Agentes!$H$6:$H$60,MATCH(B12,Agentes!$A$6:$A$60,0)),"")="Metal carcinógeno",IFERROR(INDEX(Agentes!$D$6:$D$60,MATCH(B12,Agentes!$A$6:$A$60,0)),"")="Humo"),"P100 (HEPA)",IF(IFERROR(INDEX(Agentes!$H$6:$H$60,MATCH(B12,Agentes!$A$6:$A$60,0)),"")="Metal","N100/R100/P100 (N95 como mínimo)","N95 o superior; serie P si hay nieblas de aceite")))</f>
        <v/>
      </c>
      <c r="I12" s="24" t="n">
        <v>0.05</v>
      </c>
      <c r="J12" s="8" t="n">
        <v>8</v>
      </c>
      <c r="K12" s="8" t="n">
        <v>2</v>
      </c>
      <c r="L12" s="29">
        <f>IF(OR(N(I12)=0,N(J12)=0,N(K12)=0),"",I12*Agentes!$C$65*60*J12/1000/K12)</f>
        <v/>
      </c>
      <c r="M12" s="15">
        <f>IF(L12="","",ROUNDDOWN(Agentes!$C$66/L12,0))</f>
        <v/>
      </c>
      <c r="N12" s="8" t="n"/>
    </row>
    <row r="13">
      <c r="A13" s="15">
        <f>Estadística!A13</f>
        <v/>
      </c>
      <c r="B13" s="15">
        <f>Estadística!B13</f>
        <v/>
      </c>
      <c r="C13" s="25">
        <f>IF(A13="","",Estadística!P13)</f>
        <v/>
      </c>
      <c r="D13" s="22">
        <f>IF(A13="","",Estadística!N13)</f>
        <v/>
      </c>
      <c r="E13" s="31">
        <f>IF(OR(N(C13)=0,N(D13)=0),"",C13/D13)</f>
        <v/>
      </c>
      <c r="F13" s="28">
        <f>IF(E13="","",IF(E13&lt;=1,"No requerido por concentración; usar si hay picos o tareas no rutinarias",IF(E13&lt;=10,IF(IFERROR(INDEX(Agentes!$H$6:$H$60,MATCH(B13,Agentes!$A$6:$A$60,0)),"")="Metal carcinógeno","Media cara elastomérica con filtros P100","Pieza facial filtrante o media cara elastomérica"),IF(E13&lt;=25,"PAPR con capucha o careta holgada",IF(E13&lt;=50,"Cara completa elastomérica P100 o PAPR con media cara",IF(E13&lt;=1000,"PAPR con cara completa o línea de aire","SCBA a presión positiva: controle primero la fuente"))))))</f>
        <v/>
      </c>
      <c r="G13" s="15">
        <f>IF(E13="","",IF(E13&lt;=1,"—",IF(E13&lt;=10,10,IF(E13&lt;=25,25,IF(E13&lt;=50,50,IF(E13&lt;=1000,1000,10000))))))</f>
        <v/>
      </c>
      <c r="H13" s="28">
        <f>IF(A13="","",IF(OR(IFERROR(INDEX(Agentes!$H$6:$H$60,MATCH(B13,Agentes!$A$6:$A$60,0)),"")="Metal carcinógeno",IFERROR(INDEX(Agentes!$D$6:$D$60,MATCH(B13,Agentes!$A$6:$A$60,0)),"")="Humo"),"P100 (HEPA)",IF(IFERROR(INDEX(Agentes!$H$6:$H$60,MATCH(B13,Agentes!$A$6:$A$60,0)),"")="Metal","N100/R100/P100 (N95 como mínimo)","N95 o superior; serie P si hay nieblas de aceite")))</f>
        <v/>
      </c>
      <c r="I13" s="24" t="n"/>
      <c r="J13" s="8" t="n"/>
      <c r="K13" s="8" t="n"/>
      <c r="L13" s="29">
        <f>IF(OR(N(I13)=0,N(J13)=0,N(K13)=0),"",I13*Agentes!$C$65*60*J13/1000/K13)</f>
        <v/>
      </c>
      <c r="M13" s="15">
        <f>IF(L13="","",ROUNDDOWN(Agentes!$C$66/L13,0))</f>
        <v/>
      </c>
      <c r="N13" s="8" t="n"/>
    </row>
    <row r="14">
      <c r="A14" s="15">
        <f>Estadística!A14</f>
        <v/>
      </c>
      <c r="B14" s="15">
        <f>Estadística!B14</f>
        <v/>
      </c>
      <c r="C14" s="25">
        <f>IF(A14="","",Estadística!P14)</f>
        <v/>
      </c>
      <c r="D14" s="22">
        <f>IF(A14="","",Estadística!N14)</f>
        <v/>
      </c>
      <c r="E14" s="31">
        <f>IF(OR(N(C14)=0,N(D14)=0),"",C14/D14)</f>
        <v/>
      </c>
      <c r="F14" s="28">
        <f>IF(E14="","",IF(E14&lt;=1,"No requerido por concentración; usar si hay picos o tareas no rutinarias",IF(E14&lt;=10,IF(IFERROR(INDEX(Agentes!$H$6:$H$60,MATCH(B14,Agentes!$A$6:$A$60,0)),"")="Metal carcinógeno","Media cara elastomérica con filtros P100","Pieza facial filtrante o media cara elastomérica"),IF(E14&lt;=25,"PAPR con capucha o careta holgada",IF(E14&lt;=50,"Cara completa elastomérica P100 o PAPR con media cara",IF(E14&lt;=1000,"PAPR con cara completa o línea de aire","SCBA a presión positiva: controle primero la fuente"))))))</f>
        <v/>
      </c>
      <c r="G14" s="15">
        <f>IF(E14="","",IF(E14&lt;=1,"—",IF(E14&lt;=10,10,IF(E14&lt;=25,25,IF(E14&lt;=50,50,IF(E14&lt;=1000,1000,10000))))))</f>
        <v/>
      </c>
      <c r="H14" s="28">
        <f>IF(A14="","",IF(OR(IFERROR(INDEX(Agentes!$H$6:$H$60,MATCH(B14,Agentes!$A$6:$A$60,0)),"")="Metal carcinógeno",IFERROR(INDEX(Agentes!$D$6:$D$60,MATCH(B14,Agentes!$A$6:$A$60,0)),"")="Humo"),"P100 (HEPA)",IF(IFERROR(INDEX(Agentes!$H$6:$H$60,MATCH(B14,Agentes!$A$6:$A$60,0)),"")="Metal","N100/R100/P100 (N95 como mínimo)","N95 o superior; serie P si hay nieblas de aceite")))</f>
        <v/>
      </c>
      <c r="I14" s="24" t="n"/>
      <c r="J14" s="8" t="n"/>
      <c r="K14" s="8" t="n"/>
      <c r="L14" s="29">
        <f>IF(OR(N(I14)=0,N(J14)=0,N(K14)=0),"",I14*Agentes!$C$65*60*J14/1000/K14)</f>
        <v/>
      </c>
      <c r="M14" s="15">
        <f>IF(L14="","",ROUNDDOWN(Agentes!$C$66/L14,0))</f>
        <v/>
      </c>
      <c r="N14" s="8" t="n"/>
    </row>
    <row r="15">
      <c r="A15" s="15">
        <f>Estadística!A15</f>
        <v/>
      </c>
      <c r="B15" s="15">
        <f>Estadística!B15</f>
        <v/>
      </c>
      <c r="C15" s="25">
        <f>IF(A15="","",Estadística!P15)</f>
        <v/>
      </c>
      <c r="D15" s="22">
        <f>IF(A15="","",Estadística!N15)</f>
        <v/>
      </c>
      <c r="E15" s="31">
        <f>IF(OR(N(C15)=0,N(D15)=0),"",C15/D15)</f>
        <v/>
      </c>
      <c r="F15" s="28">
        <f>IF(E15="","",IF(E15&lt;=1,"No requerido por concentración; usar si hay picos o tareas no rutinarias",IF(E15&lt;=10,IF(IFERROR(INDEX(Agentes!$H$6:$H$60,MATCH(B15,Agentes!$A$6:$A$60,0)),"")="Metal carcinógeno","Media cara elastomérica con filtros P100","Pieza facial filtrante o media cara elastomérica"),IF(E15&lt;=25,"PAPR con capucha o careta holgada",IF(E15&lt;=50,"Cara completa elastomérica P100 o PAPR con media cara",IF(E15&lt;=1000,"PAPR con cara completa o línea de aire","SCBA a presión positiva: controle primero la fuente"))))))</f>
        <v/>
      </c>
      <c r="G15" s="15">
        <f>IF(E15="","",IF(E15&lt;=1,"—",IF(E15&lt;=10,10,IF(E15&lt;=25,25,IF(E15&lt;=50,50,IF(E15&lt;=1000,1000,10000))))))</f>
        <v/>
      </c>
      <c r="H15" s="28">
        <f>IF(A15="","",IF(OR(IFERROR(INDEX(Agentes!$H$6:$H$60,MATCH(B15,Agentes!$A$6:$A$60,0)),"")="Metal carcinógeno",IFERROR(INDEX(Agentes!$D$6:$D$60,MATCH(B15,Agentes!$A$6:$A$60,0)),"")="Humo"),"P100 (HEPA)",IF(IFERROR(INDEX(Agentes!$H$6:$H$60,MATCH(B15,Agentes!$A$6:$A$60,0)),"")="Metal","N100/R100/P100 (N95 como mínimo)","N95 o superior; serie P si hay nieblas de aceite")))</f>
        <v/>
      </c>
      <c r="I15" s="24" t="n"/>
      <c r="J15" s="8" t="n"/>
      <c r="K15" s="8" t="n"/>
      <c r="L15" s="29">
        <f>IF(OR(N(I15)=0,N(J15)=0,N(K15)=0),"",I15*Agentes!$C$65*60*J15/1000/K15)</f>
        <v/>
      </c>
      <c r="M15" s="15">
        <f>IF(L15="","",ROUNDDOWN(Agentes!$C$66/L15,0))</f>
        <v/>
      </c>
      <c r="N15" s="8" t="n"/>
    </row>
    <row r="16">
      <c r="A16" s="15">
        <f>Estadística!A16</f>
        <v/>
      </c>
      <c r="B16" s="15">
        <f>Estadística!B16</f>
        <v/>
      </c>
      <c r="C16" s="25">
        <f>IF(A16="","",Estadística!P16)</f>
        <v/>
      </c>
      <c r="D16" s="22">
        <f>IF(A16="","",Estadística!N16)</f>
        <v/>
      </c>
      <c r="E16" s="31">
        <f>IF(OR(N(C16)=0,N(D16)=0),"",C16/D16)</f>
        <v/>
      </c>
      <c r="F16" s="28">
        <f>IF(E16="","",IF(E16&lt;=1,"No requerido por concentración; usar si hay picos o tareas no rutinarias",IF(E16&lt;=10,IF(IFERROR(INDEX(Agentes!$H$6:$H$60,MATCH(B16,Agentes!$A$6:$A$60,0)),"")="Metal carcinógeno","Media cara elastomérica con filtros P100","Pieza facial filtrante o media cara elastomérica"),IF(E16&lt;=25,"PAPR con capucha o careta holgada",IF(E16&lt;=50,"Cara completa elastomérica P100 o PAPR con media cara",IF(E16&lt;=1000,"PAPR con cara completa o línea de aire","SCBA a presión positiva: controle primero la fuente"))))))</f>
        <v/>
      </c>
      <c r="G16" s="15">
        <f>IF(E16="","",IF(E16&lt;=1,"—",IF(E16&lt;=10,10,IF(E16&lt;=25,25,IF(E16&lt;=50,50,IF(E16&lt;=1000,1000,10000))))))</f>
        <v/>
      </c>
      <c r="H16" s="28">
        <f>IF(A16="","",IF(OR(IFERROR(INDEX(Agentes!$H$6:$H$60,MATCH(B16,Agentes!$A$6:$A$60,0)),"")="Metal carcinógeno",IFERROR(INDEX(Agentes!$D$6:$D$60,MATCH(B16,Agentes!$A$6:$A$60,0)),"")="Humo"),"P100 (HEPA)",IF(IFERROR(INDEX(Agentes!$H$6:$H$60,MATCH(B16,Agentes!$A$6:$A$60,0)),"")="Metal","N100/R100/P100 (N95 como mínimo)","N95 o superior; serie P si hay nieblas de aceite")))</f>
        <v/>
      </c>
      <c r="I16" s="24" t="n"/>
      <c r="J16" s="8" t="n"/>
      <c r="K16" s="8" t="n"/>
      <c r="L16" s="29">
        <f>IF(OR(N(I16)=0,N(J16)=0,N(K16)=0),"",I16*Agentes!$C$65*60*J16/1000/K16)</f>
        <v/>
      </c>
      <c r="M16" s="15">
        <f>IF(L16="","",ROUNDDOWN(Agentes!$C$66/L16,0))</f>
        <v/>
      </c>
      <c r="N16" s="8" t="n"/>
    </row>
    <row r="17">
      <c r="A17" s="15">
        <f>Estadística!A17</f>
        <v/>
      </c>
      <c r="B17" s="15">
        <f>Estadística!B17</f>
        <v/>
      </c>
      <c r="C17" s="25">
        <f>IF(A17="","",Estadística!P17)</f>
        <v/>
      </c>
      <c r="D17" s="22">
        <f>IF(A17="","",Estadística!N17)</f>
        <v/>
      </c>
      <c r="E17" s="31">
        <f>IF(OR(N(C17)=0,N(D17)=0),"",C17/D17)</f>
        <v/>
      </c>
      <c r="F17" s="28">
        <f>IF(E17="","",IF(E17&lt;=1,"No requerido por concentración; usar si hay picos o tareas no rutinarias",IF(E17&lt;=10,IF(IFERROR(INDEX(Agentes!$H$6:$H$60,MATCH(B17,Agentes!$A$6:$A$60,0)),"")="Metal carcinógeno","Media cara elastomérica con filtros P100","Pieza facial filtrante o media cara elastomérica"),IF(E17&lt;=25,"PAPR con capucha o careta holgada",IF(E17&lt;=50,"Cara completa elastomérica P100 o PAPR con media cara",IF(E17&lt;=1000,"PAPR con cara completa o línea de aire","SCBA a presión positiva: controle primero la fuente"))))))</f>
        <v/>
      </c>
      <c r="G17" s="15">
        <f>IF(E17="","",IF(E17&lt;=1,"—",IF(E17&lt;=10,10,IF(E17&lt;=25,25,IF(E17&lt;=50,50,IF(E17&lt;=1000,1000,10000))))))</f>
        <v/>
      </c>
      <c r="H17" s="28">
        <f>IF(A17="","",IF(OR(IFERROR(INDEX(Agentes!$H$6:$H$60,MATCH(B17,Agentes!$A$6:$A$60,0)),"")="Metal carcinógeno",IFERROR(INDEX(Agentes!$D$6:$D$60,MATCH(B17,Agentes!$A$6:$A$60,0)),"")="Humo"),"P100 (HEPA)",IF(IFERROR(INDEX(Agentes!$H$6:$H$60,MATCH(B17,Agentes!$A$6:$A$60,0)),"")="Metal","N100/R100/P100 (N95 como mínimo)","N95 o superior; serie P si hay nieblas de aceite")))</f>
        <v/>
      </c>
      <c r="I17" s="24" t="n"/>
      <c r="J17" s="8" t="n"/>
      <c r="K17" s="8" t="n"/>
      <c r="L17" s="29">
        <f>IF(OR(N(I17)=0,N(J17)=0,N(K17)=0),"",I17*Agentes!$C$65*60*J17/1000/K17)</f>
        <v/>
      </c>
      <c r="M17" s="15">
        <f>IF(L17="","",ROUNDDOWN(Agentes!$C$66/L17,0))</f>
        <v/>
      </c>
      <c r="N17" s="8" t="n"/>
    </row>
    <row r="18">
      <c r="A18" s="15">
        <f>Estadística!A18</f>
        <v/>
      </c>
      <c r="B18" s="15">
        <f>Estadística!B18</f>
        <v/>
      </c>
      <c r="C18" s="25">
        <f>IF(A18="","",Estadística!P18)</f>
        <v/>
      </c>
      <c r="D18" s="22">
        <f>IF(A18="","",Estadística!N18)</f>
        <v/>
      </c>
      <c r="E18" s="31">
        <f>IF(OR(N(C18)=0,N(D18)=0),"",C18/D18)</f>
        <v/>
      </c>
      <c r="F18" s="28">
        <f>IF(E18="","",IF(E18&lt;=1,"No requerido por concentración; usar si hay picos o tareas no rutinarias",IF(E18&lt;=10,IF(IFERROR(INDEX(Agentes!$H$6:$H$60,MATCH(B18,Agentes!$A$6:$A$60,0)),"")="Metal carcinógeno","Media cara elastomérica con filtros P100","Pieza facial filtrante o media cara elastomérica"),IF(E18&lt;=25,"PAPR con capucha o careta holgada",IF(E18&lt;=50,"Cara completa elastomérica P100 o PAPR con media cara",IF(E18&lt;=1000,"PAPR con cara completa o línea de aire","SCBA a presión positiva: controle primero la fuente"))))))</f>
        <v/>
      </c>
      <c r="G18" s="15">
        <f>IF(E18="","",IF(E18&lt;=1,"—",IF(E18&lt;=10,10,IF(E18&lt;=25,25,IF(E18&lt;=50,50,IF(E18&lt;=1000,1000,10000))))))</f>
        <v/>
      </c>
      <c r="H18" s="28">
        <f>IF(A18="","",IF(OR(IFERROR(INDEX(Agentes!$H$6:$H$60,MATCH(B18,Agentes!$A$6:$A$60,0)),"")="Metal carcinógeno",IFERROR(INDEX(Agentes!$D$6:$D$60,MATCH(B18,Agentes!$A$6:$A$60,0)),"")="Humo"),"P100 (HEPA)",IF(IFERROR(INDEX(Agentes!$H$6:$H$60,MATCH(B18,Agentes!$A$6:$A$60,0)),"")="Metal","N100/R100/P100 (N95 como mínimo)","N95 o superior; serie P si hay nieblas de aceite")))</f>
        <v/>
      </c>
      <c r="I18" s="24" t="n"/>
      <c r="J18" s="8" t="n"/>
      <c r="K18" s="8" t="n"/>
      <c r="L18" s="29">
        <f>IF(OR(N(I18)=0,N(J18)=0,N(K18)=0),"",I18*Agentes!$C$65*60*J18/1000/K18)</f>
        <v/>
      </c>
      <c r="M18" s="15">
        <f>IF(L18="","",ROUNDDOWN(Agentes!$C$66/L18,0))</f>
        <v/>
      </c>
      <c r="N18" s="8" t="n"/>
    </row>
    <row r="19">
      <c r="A19" s="15">
        <f>Estadística!A19</f>
        <v/>
      </c>
      <c r="B19" s="15">
        <f>Estadística!B19</f>
        <v/>
      </c>
      <c r="C19" s="25">
        <f>IF(A19="","",Estadística!P19)</f>
        <v/>
      </c>
      <c r="D19" s="22">
        <f>IF(A19="","",Estadística!N19)</f>
        <v/>
      </c>
      <c r="E19" s="31">
        <f>IF(OR(N(C19)=0,N(D19)=0),"",C19/D19)</f>
        <v/>
      </c>
      <c r="F19" s="28">
        <f>IF(E19="","",IF(E19&lt;=1,"No requerido por concentración; usar si hay picos o tareas no rutinarias",IF(E19&lt;=10,IF(IFERROR(INDEX(Agentes!$H$6:$H$60,MATCH(B19,Agentes!$A$6:$A$60,0)),"")="Metal carcinógeno","Media cara elastomérica con filtros P100","Pieza facial filtrante o media cara elastomérica"),IF(E19&lt;=25,"PAPR con capucha o careta holgada",IF(E19&lt;=50,"Cara completa elastomérica P100 o PAPR con media cara",IF(E19&lt;=1000,"PAPR con cara completa o línea de aire","SCBA a presión positiva: controle primero la fuente"))))))</f>
        <v/>
      </c>
      <c r="G19" s="15">
        <f>IF(E19="","",IF(E19&lt;=1,"—",IF(E19&lt;=10,10,IF(E19&lt;=25,25,IF(E19&lt;=50,50,IF(E19&lt;=1000,1000,10000))))))</f>
        <v/>
      </c>
      <c r="H19" s="28">
        <f>IF(A19="","",IF(OR(IFERROR(INDEX(Agentes!$H$6:$H$60,MATCH(B19,Agentes!$A$6:$A$60,0)),"")="Metal carcinógeno",IFERROR(INDEX(Agentes!$D$6:$D$60,MATCH(B19,Agentes!$A$6:$A$60,0)),"")="Humo"),"P100 (HEPA)",IF(IFERROR(INDEX(Agentes!$H$6:$H$60,MATCH(B19,Agentes!$A$6:$A$60,0)),"")="Metal","N100/R100/P100 (N95 como mínimo)","N95 o superior; serie P si hay nieblas de aceite")))</f>
        <v/>
      </c>
      <c r="I19" s="24" t="n"/>
      <c r="J19" s="8" t="n"/>
      <c r="K19" s="8" t="n"/>
      <c r="L19" s="29">
        <f>IF(OR(N(I19)=0,N(J19)=0,N(K19)=0),"",I19*Agentes!$C$65*60*J19/1000/K19)</f>
        <v/>
      </c>
      <c r="M19" s="15">
        <f>IF(L19="","",ROUNDDOWN(Agentes!$C$66/L19,0))</f>
        <v/>
      </c>
      <c r="N19" s="8" t="n"/>
    </row>
    <row r="20">
      <c r="A20" s="15">
        <f>Estadística!A20</f>
        <v/>
      </c>
      <c r="B20" s="15">
        <f>Estadística!B20</f>
        <v/>
      </c>
      <c r="C20" s="25">
        <f>IF(A20="","",Estadística!P20)</f>
        <v/>
      </c>
      <c r="D20" s="22">
        <f>IF(A20="","",Estadística!N20)</f>
        <v/>
      </c>
      <c r="E20" s="31">
        <f>IF(OR(N(C20)=0,N(D20)=0),"",C20/D20)</f>
        <v/>
      </c>
      <c r="F20" s="28">
        <f>IF(E20="","",IF(E20&lt;=1,"No requerido por concentración; usar si hay picos o tareas no rutinarias",IF(E20&lt;=10,IF(IFERROR(INDEX(Agentes!$H$6:$H$60,MATCH(B20,Agentes!$A$6:$A$60,0)),"")="Metal carcinógeno","Media cara elastomérica con filtros P100","Pieza facial filtrante o media cara elastomérica"),IF(E20&lt;=25,"PAPR con capucha o careta holgada",IF(E20&lt;=50,"Cara completa elastomérica P100 o PAPR con media cara",IF(E20&lt;=1000,"PAPR con cara completa o línea de aire","SCBA a presión positiva: controle primero la fuente"))))))</f>
        <v/>
      </c>
      <c r="G20" s="15">
        <f>IF(E20="","",IF(E20&lt;=1,"—",IF(E20&lt;=10,10,IF(E20&lt;=25,25,IF(E20&lt;=50,50,IF(E20&lt;=1000,1000,10000))))))</f>
        <v/>
      </c>
      <c r="H20" s="28">
        <f>IF(A20="","",IF(OR(IFERROR(INDEX(Agentes!$H$6:$H$60,MATCH(B20,Agentes!$A$6:$A$60,0)),"")="Metal carcinógeno",IFERROR(INDEX(Agentes!$D$6:$D$60,MATCH(B20,Agentes!$A$6:$A$60,0)),"")="Humo"),"P100 (HEPA)",IF(IFERROR(INDEX(Agentes!$H$6:$H$60,MATCH(B20,Agentes!$A$6:$A$60,0)),"")="Metal","N100/R100/P100 (N95 como mínimo)","N95 o superior; serie P si hay nieblas de aceite")))</f>
        <v/>
      </c>
      <c r="I20" s="24" t="n"/>
      <c r="J20" s="8" t="n"/>
      <c r="K20" s="8" t="n"/>
      <c r="L20" s="29">
        <f>IF(OR(N(I20)=0,N(J20)=0,N(K20)=0),"",I20*Agentes!$C$65*60*J20/1000/K20)</f>
        <v/>
      </c>
      <c r="M20" s="15">
        <f>IF(L20="","",ROUNDDOWN(Agentes!$C$66/L20,0))</f>
        <v/>
      </c>
      <c r="N20" s="8" t="n"/>
    </row>
    <row r="21">
      <c r="A21" s="15">
        <f>Estadística!A21</f>
        <v/>
      </c>
      <c r="B21" s="15">
        <f>Estadística!B21</f>
        <v/>
      </c>
      <c r="C21" s="25">
        <f>IF(A21="","",Estadística!P21)</f>
        <v/>
      </c>
      <c r="D21" s="22">
        <f>IF(A21="","",Estadística!N21)</f>
        <v/>
      </c>
      <c r="E21" s="31">
        <f>IF(OR(N(C21)=0,N(D21)=0),"",C21/D21)</f>
        <v/>
      </c>
      <c r="F21" s="28">
        <f>IF(E21="","",IF(E21&lt;=1,"No requerido por concentración; usar si hay picos o tareas no rutinarias",IF(E21&lt;=10,IF(IFERROR(INDEX(Agentes!$H$6:$H$60,MATCH(B21,Agentes!$A$6:$A$60,0)),"")="Metal carcinógeno","Media cara elastomérica con filtros P100","Pieza facial filtrante o media cara elastomérica"),IF(E21&lt;=25,"PAPR con capucha o careta holgada",IF(E21&lt;=50,"Cara completa elastomérica P100 o PAPR con media cara",IF(E21&lt;=1000,"PAPR con cara completa o línea de aire","SCBA a presión positiva: controle primero la fuente"))))))</f>
        <v/>
      </c>
      <c r="G21" s="15">
        <f>IF(E21="","",IF(E21&lt;=1,"—",IF(E21&lt;=10,10,IF(E21&lt;=25,25,IF(E21&lt;=50,50,IF(E21&lt;=1000,1000,10000))))))</f>
        <v/>
      </c>
      <c r="H21" s="28">
        <f>IF(A21="","",IF(OR(IFERROR(INDEX(Agentes!$H$6:$H$60,MATCH(B21,Agentes!$A$6:$A$60,0)),"")="Metal carcinógeno",IFERROR(INDEX(Agentes!$D$6:$D$60,MATCH(B21,Agentes!$A$6:$A$60,0)),"")="Humo"),"P100 (HEPA)",IF(IFERROR(INDEX(Agentes!$H$6:$H$60,MATCH(B21,Agentes!$A$6:$A$60,0)),"")="Metal","N100/R100/P100 (N95 como mínimo)","N95 o superior; serie P si hay nieblas de aceite")))</f>
        <v/>
      </c>
      <c r="I21" s="24" t="n"/>
      <c r="J21" s="8" t="n"/>
      <c r="K21" s="8" t="n"/>
      <c r="L21" s="29">
        <f>IF(OR(N(I21)=0,N(J21)=0,N(K21)=0),"",I21*Agentes!$C$65*60*J21/1000/K21)</f>
        <v/>
      </c>
      <c r="M21" s="15">
        <f>IF(L21="","",ROUNDDOWN(Agentes!$C$66/L21,0))</f>
        <v/>
      </c>
      <c r="N21" s="8" t="n"/>
    </row>
    <row r="22">
      <c r="A22" s="15">
        <f>Estadística!A22</f>
        <v/>
      </c>
      <c r="B22" s="15">
        <f>Estadística!B22</f>
        <v/>
      </c>
      <c r="C22" s="25">
        <f>IF(A22="","",Estadística!P22)</f>
        <v/>
      </c>
      <c r="D22" s="22">
        <f>IF(A22="","",Estadística!N22)</f>
        <v/>
      </c>
      <c r="E22" s="31">
        <f>IF(OR(N(C22)=0,N(D22)=0),"",C22/D22)</f>
        <v/>
      </c>
      <c r="F22" s="28">
        <f>IF(E22="","",IF(E22&lt;=1,"No requerido por concentración; usar si hay picos o tareas no rutinarias",IF(E22&lt;=10,IF(IFERROR(INDEX(Agentes!$H$6:$H$60,MATCH(B22,Agentes!$A$6:$A$60,0)),"")="Metal carcinógeno","Media cara elastomérica con filtros P100","Pieza facial filtrante o media cara elastomérica"),IF(E22&lt;=25,"PAPR con capucha o careta holgada",IF(E22&lt;=50,"Cara completa elastomérica P100 o PAPR con media cara",IF(E22&lt;=1000,"PAPR con cara completa o línea de aire","SCBA a presión positiva: controle primero la fuente"))))))</f>
        <v/>
      </c>
      <c r="G22" s="15">
        <f>IF(E22="","",IF(E22&lt;=1,"—",IF(E22&lt;=10,10,IF(E22&lt;=25,25,IF(E22&lt;=50,50,IF(E22&lt;=1000,1000,10000))))))</f>
        <v/>
      </c>
      <c r="H22" s="28">
        <f>IF(A22="","",IF(OR(IFERROR(INDEX(Agentes!$H$6:$H$60,MATCH(B22,Agentes!$A$6:$A$60,0)),"")="Metal carcinógeno",IFERROR(INDEX(Agentes!$D$6:$D$60,MATCH(B22,Agentes!$A$6:$A$60,0)),"")="Humo"),"P100 (HEPA)",IF(IFERROR(INDEX(Agentes!$H$6:$H$60,MATCH(B22,Agentes!$A$6:$A$60,0)),"")="Metal","N100/R100/P100 (N95 como mínimo)","N95 o superior; serie P si hay nieblas de aceite")))</f>
        <v/>
      </c>
      <c r="I22" s="24" t="n"/>
      <c r="J22" s="8" t="n"/>
      <c r="K22" s="8" t="n"/>
      <c r="L22" s="29">
        <f>IF(OR(N(I22)=0,N(J22)=0,N(K22)=0),"",I22*Agentes!$C$65*60*J22/1000/K22)</f>
        <v/>
      </c>
      <c r="M22" s="15">
        <f>IF(L22="","",ROUNDDOWN(Agentes!$C$66/L22,0))</f>
        <v/>
      </c>
      <c r="N22" s="8" t="n"/>
    </row>
    <row r="23">
      <c r="A23" s="15">
        <f>Estadística!A23</f>
        <v/>
      </c>
      <c r="B23" s="15">
        <f>Estadística!B23</f>
        <v/>
      </c>
      <c r="C23" s="25">
        <f>IF(A23="","",Estadística!P23)</f>
        <v/>
      </c>
      <c r="D23" s="22">
        <f>IF(A23="","",Estadística!N23)</f>
        <v/>
      </c>
      <c r="E23" s="31">
        <f>IF(OR(N(C23)=0,N(D23)=0),"",C23/D23)</f>
        <v/>
      </c>
      <c r="F23" s="28">
        <f>IF(E23="","",IF(E23&lt;=1,"No requerido por concentración; usar si hay picos o tareas no rutinarias",IF(E23&lt;=10,IF(IFERROR(INDEX(Agentes!$H$6:$H$60,MATCH(B23,Agentes!$A$6:$A$60,0)),"")="Metal carcinógeno","Media cara elastomérica con filtros P100","Pieza facial filtrante o media cara elastomérica"),IF(E23&lt;=25,"PAPR con capucha o careta holgada",IF(E23&lt;=50,"Cara completa elastomérica P100 o PAPR con media cara",IF(E23&lt;=1000,"PAPR con cara completa o línea de aire","SCBA a presión positiva: controle primero la fuente"))))))</f>
        <v/>
      </c>
      <c r="G23" s="15">
        <f>IF(E23="","",IF(E23&lt;=1,"—",IF(E23&lt;=10,10,IF(E23&lt;=25,25,IF(E23&lt;=50,50,IF(E23&lt;=1000,1000,10000))))))</f>
        <v/>
      </c>
      <c r="H23" s="28">
        <f>IF(A23="","",IF(OR(IFERROR(INDEX(Agentes!$H$6:$H$60,MATCH(B23,Agentes!$A$6:$A$60,0)),"")="Metal carcinógeno",IFERROR(INDEX(Agentes!$D$6:$D$60,MATCH(B23,Agentes!$A$6:$A$60,0)),"")="Humo"),"P100 (HEPA)",IF(IFERROR(INDEX(Agentes!$H$6:$H$60,MATCH(B23,Agentes!$A$6:$A$60,0)),"")="Metal","N100/R100/P100 (N95 como mínimo)","N95 o superior; serie P si hay nieblas de aceite")))</f>
        <v/>
      </c>
      <c r="I23" s="24" t="n"/>
      <c r="J23" s="8" t="n"/>
      <c r="K23" s="8" t="n"/>
      <c r="L23" s="29">
        <f>IF(OR(N(I23)=0,N(J23)=0,N(K23)=0),"",I23*Agentes!$C$65*60*J23/1000/K23)</f>
        <v/>
      </c>
      <c r="M23" s="15">
        <f>IF(L23="","",ROUNDDOWN(Agentes!$C$66/L23,0))</f>
        <v/>
      </c>
      <c r="N23" s="8" t="n"/>
    </row>
    <row r="24">
      <c r="A24" s="15">
        <f>Estadística!A24</f>
        <v/>
      </c>
      <c r="B24" s="15">
        <f>Estadística!B24</f>
        <v/>
      </c>
      <c r="C24" s="25">
        <f>IF(A24="","",Estadística!P24)</f>
        <v/>
      </c>
      <c r="D24" s="22">
        <f>IF(A24="","",Estadística!N24)</f>
        <v/>
      </c>
      <c r="E24" s="31">
        <f>IF(OR(N(C24)=0,N(D24)=0),"",C24/D24)</f>
        <v/>
      </c>
      <c r="F24" s="28">
        <f>IF(E24="","",IF(E24&lt;=1,"No requerido por concentración; usar si hay picos o tareas no rutinarias",IF(E24&lt;=10,IF(IFERROR(INDEX(Agentes!$H$6:$H$60,MATCH(B24,Agentes!$A$6:$A$60,0)),"")="Metal carcinógeno","Media cara elastomérica con filtros P100","Pieza facial filtrante o media cara elastomérica"),IF(E24&lt;=25,"PAPR con capucha o careta holgada",IF(E24&lt;=50,"Cara completa elastomérica P100 o PAPR con media cara",IF(E24&lt;=1000,"PAPR con cara completa o línea de aire","SCBA a presión positiva: controle primero la fuente"))))))</f>
        <v/>
      </c>
      <c r="G24" s="15">
        <f>IF(E24="","",IF(E24&lt;=1,"—",IF(E24&lt;=10,10,IF(E24&lt;=25,25,IF(E24&lt;=50,50,IF(E24&lt;=1000,1000,10000))))))</f>
        <v/>
      </c>
      <c r="H24" s="28">
        <f>IF(A24="","",IF(OR(IFERROR(INDEX(Agentes!$H$6:$H$60,MATCH(B24,Agentes!$A$6:$A$60,0)),"")="Metal carcinógeno",IFERROR(INDEX(Agentes!$D$6:$D$60,MATCH(B24,Agentes!$A$6:$A$60,0)),"")="Humo"),"P100 (HEPA)",IF(IFERROR(INDEX(Agentes!$H$6:$H$60,MATCH(B24,Agentes!$A$6:$A$60,0)),"")="Metal","N100/R100/P100 (N95 como mínimo)","N95 o superior; serie P si hay nieblas de aceite")))</f>
        <v/>
      </c>
      <c r="I24" s="24" t="n"/>
      <c r="J24" s="8" t="n"/>
      <c r="K24" s="8" t="n"/>
      <c r="L24" s="29">
        <f>IF(OR(N(I24)=0,N(J24)=0,N(K24)=0),"",I24*Agentes!$C$65*60*J24/1000/K24)</f>
        <v/>
      </c>
      <c r="M24" s="15">
        <f>IF(L24="","",ROUNDDOWN(Agentes!$C$66/L24,0))</f>
        <v/>
      </c>
      <c r="N24" s="8" t="n"/>
    </row>
    <row r="25">
      <c r="A25" s="15">
        <f>Estadística!A25</f>
        <v/>
      </c>
      <c r="B25" s="15">
        <f>Estadística!B25</f>
        <v/>
      </c>
      <c r="C25" s="25">
        <f>IF(A25="","",Estadística!P25)</f>
        <v/>
      </c>
      <c r="D25" s="22">
        <f>IF(A25="","",Estadística!N25)</f>
        <v/>
      </c>
      <c r="E25" s="31">
        <f>IF(OR(N(C25)=0,N(D25)=0),"",C25/D25)</f>
        <v/>
      </c>
      <c r="F25" s="28">
        <f>IF(E25="","",IF(E25&lt;=1,"No requerido por concentración; usar si hay picos o tareas no rutinarias",IF(E25&lt;=10,IF(IFERROR(INDEX(Agentes!$H$6:$H$60,MATCH(B25,Agentes!$A$6:$A$60,0)),"")="Metal carcinógeno","Media cara elastomérica con filtros P100","Pieza facial filtrante o media cara elastomérica"),IF(E25&lt;=25,"PAPR con capucha o careta holgada",IF(E25&lt;=50,"Cara completa elastomérica P100 o PAPR con media cara",IF(E25&lt;=1000,"PAPR con cara completa o línea de aire","SCBA a presión positiva: controle primero la fuente"))))))</f>
        <v/>
      </c>
      <c r="G25" s="15">
        <f>IF(E25="","",IF(E25&lt;=1,"—",IF(E25&lt;=10,10,IF(E25&lt;=25,25,IF(E25&lt;=50,50,IF(E25&lt;=1000,1000,10000))))))</f>
        <v/>
      </c>
      <c r="H25" s="28">
        <f>IF(A25="","",IF(OR(IFERROR(INDEX(Agentes!$H$6:$H$60,MATCH(B25,Agentes!$A$6:$A$60,0)),"")="Metal carcinógeno",IFERROR(INDEX(Agentes!$D$6:$D$60,MATCH(B25,Agentes!$A$6:$A$60,0)),"")="Humo"),"P100 (HEPA)",IF(IFERROR(INDEX(Agentes!$H$6:$H$60,MATCH(B25,Agentes!$A$6:$A$60,0)),"")="Metal","N100/R100/P100 (N95 como mínimo)","N95 o superior; serie P si hay nieblas de aceite")))</f>
        <v/>
      </c>
      <c r="I25" s="24" t="n"/>
      <c r="J25" s="8" t="n"/>
      <c r="K25" s="8" t="n"/>
      <c r="L25" s="29">
        <f>IF(OR(N(I25)=0,N(J25)=0,N(K25)=0),"",I25*Agentes!$C$65*60*J25/1000/K25)</f>
        <v/>
      </c>
      <c r="M25" s="15">
        <f>IF(L25="","",ROUNDDOWN(Agentes!$C$66/L25,0))</f>
        <v/>
      </c>
      <c r="N25" s="8" t="n"/>
    </row>
    <row r="26">
      <c r="A26" s="15">
        <f>Estadística!A26</f>
        <v/>
      </c>
      <c r="B26" s="15">
        <f>Estadística!B26</f>
        <v/>
      </c>
      <c r="C26" s="25">
        <f>IF(A26="","",Estadística!P26)</f>
        <v/>
      </c>
      <c r="D26" s="22">
        <f>IF(A26="","",Estadística!N26)</f>
        <v/>
      </c>
      <c r="E26" s="31">
        <f>IF(OR(N(C26)=0,N(D26)=0),"",C26/D26)</f>
        <v/>
      </c>
      <c r="F26" s="28">
        <f>IF(E26="","",IF(E26&lt;=1,"No requerido por concentración; usar si hay picos o tareas no rutinarias",IF(E26&lt;=10,IF(IFERROR(INDEX(Agentes!$H$6:$H$60,MATCH(B26,Agentes!$A$6:$A$60,0)),"")="Metal carcinógeno","Media cara elastomérica con filtros P100","Pieza facial filtrante o media cara elastomérica"),IF(E26&lt;=25,"PAPR con capucha o careta holgada",IF(E26&lt;=50,"Cara completa elastomérica P100 o PAPR con media cara",IF(E26&lt;=1000,"PAPR con cara completa o línea de aire","SCBA a presión positiva: controle primero la fuente"))))))</f>
        <v/>
      </c>
      <c r="G26" s="15">
        <f>IF(E26="","",IF(E26&lt;=1,"—",IF(E26&lt;=10,10,IF(E26&lt;=25,25,IF(E26&lt;=50,50,IF(E26&lt;=1000,1000,10000))))))</f>
        <v/>
      </c>
      <c r="H26" s="28">
        <f>IF(A26="","",IF(OR(IFERROR(INDEX(Agentes!$H$6:$H$60,MATCH(B26,Agentes!$A$6:$A$60,0)),"")="Metal carcinógeno",IFERROR(INDEX(Agentes!$D$6:$D$60,MATCH(B26,Agentes!$A$6:$A$60,0)),"")="Humo"),"P100 (HEPA)",IF(IFERROR(INDEX(Agentes!$H$6:$H$60,MATCH(B26,Agentes!$A$6:$A$60,0)),"")="Metal","N100/R100/P100 (N95 como mínimo)","N95 o superior; serie P si hay nieblas de aceite")))</f>
        <v/>
      </c>
      <c r="I26" s="24" t="n"/>
      <c r="J26" s="8" t="n"/>
      <c r="K26" s="8" t="n"/>
      <c r="L26" s="29">
        <f>IF(OR(N(I26)=0,N(J26)=0,N(K26)=0),"",I26*Agentes!$C$65*60*J26/1000/K26)</f>
        <v/>
      </c>
      <c r="M26" s="15">
        <f>IF(L26="","",ROUNDDOWN(Agentes!$C$66/L26,0))</f>
        <v/>
      </c>
      <c r="N26" s="8" t="n"/>
    </row>
    <row r="27">
      <c r="A27" s="15">
        <f>Estadística!A27</f>
        <v/>
      </c>
      <c r="B27" s="15">
        <f>Estadística!B27</f>
        <v/>
      </c>
      <c r="C27" s="25">
        <f>IF(A27="","",Estadística!P27)</f>
        <v/>
      </c>
      <c r="D27" s="22">
        <f>IF(A27="","",Estadística!N27)</f>
        <v/>
      </c>
      <c r="E27" s="31">
        <f>IF(OR(N(C27)=0,N(D27)=0),"",C27/D27)</f>
        <v/>
      </c>
      <c r="F27" s="28">
        <f>IF(E27="","",IF(E27&lt;=1,"No requerido por concentración; usar si hay picos o tareas no rutinarias",IF(E27&lt;=10,IF(IFERROR(INDEX(Agentes!$H$6:$H$60,MATCH(B27,Agentes!$A$6:$A$60,0)),"")="Metal carcinógeno","Media cara elastomérica con filtros P100","Pieza facial filtrante o media cara elastomérica"),IF(E27&lt;=25,"PAPR con capucha o careta holgada",IF(E27&lt;=50,"Cara completa elastomérica P100 o PAPR con media cara",IF(E27&lt;=1000,"PAPR con cara completa o línea de aire","SCBA a presión positiva: controle primero la fuente"))))))</f>
        <v/>
      </c>
      <c r="G27" s="15">
        <f>IF(E27="","",IF(E27&lt;=1,"—",IF(E27&lt;=10,10,IF(E27&lt;=25,25,IF(E27&lt;=50,50,IF(E27&lt;=1000,1000,10000))))))</f>
        <v/>
      </c>
      <c r="H27" s="28">
        <f>IF(A27="","",IF(OR(IFERROR(INDEX(Agentes!$H$6:$H$60,MATCH(B27,Agentes!$A$6:$A$60,0)),"")="Metal carcinógeno",IFERROR(INDEX(Agentes!$D$6:$D$60,MATCH(B27,Agentes!$A$6:$A$60,0)),"")="Humo"),"P100 (HEPA)",IF(IFERROR(INDEX(Agentes!$H$6:$H$60,MATCH(B27,Agentes!$A$6:$A$60,0)),"")="Metal","N100/R100/P100 (N95 como mínimo)","N95 o superior; serie P si hay nieblas de aceite")))</f>
        <v/>
      </c>
      <c r="I27" s="24" t="n"/>
      <c r="J27" s="8" t="n"/>
      <c r="K27" s="8" t="n"/>
      <c r="L27" s="29">
        <f>IF(OR(N(I27)=0,N(J27)=0,N(K27)=0),"",I27*Agentes!$C$65*60*J27/1000/K27)</f>
        <v/>
      </c>
      <c r="M27" s="15">
        <f>IF(L27="","",ROUNDDOWN(Agentes!$C$66/L27,0))</f>
        <v/>
      </c>
      <c r="N27" s="8" t="n"/>
    </row>
    <row r="28">
      <c r="A28" s="15">
        <f>Estadística!A28</f>
        <v/>
      </c>
      <c r="B28" s="15">
        <f>Estadística!B28</f>
        <v/>
      </c>
      <c r="C28" s="25">
        <f>IF(A28="","",Estadística!P28)</f>
        <v/>
      </c>
      <c r="D28" s="22">
        <f>IF(A28="","",Estadística!N28)</f>
        <v/>
      </c>
      <c r="E28" s="31">
        <f>IF(OR(N(C28)=0,N(D28)=0),"",C28/D28)</f>
        <v/>
      </c>
      <c r="F28" s="28">
        <f>IF(E28="","",IF(E28&lt;=1,"No requerido por concentración; usar si hay picos o tareas no rutinarias",IF(E28&lt;=10,IF(IFERROR(INDEX(Agentes!$H$6:$H$60,MATCH(B28,Agentes!$A$6:$A$60,0)),"")="Metal carcinógeno","Media cara elastomérica con filtros P100","Pieza facial filtrante o media cara elastomérica"),IF(E28&lt;=25,"PAPR con capucha o careta holgada",IF(E28&lt;=50,"Cara completa elastomérica P100 o PAPR con media cara",IF(E28&lt;=1000,"PAPR con cara completa o línea de aire","SCBA a presión positiva: controle primero la fuente"))))))</f>
        <v/>
      </c>
      <c r="G28" s="15">
        <f>IF(E28="","",IF(E28&lt;=1,"—",IF(E28&lt;=10,10,IF(E28&lt;=25,25,IF(E28&lt;=50,50,IF(E28&lt;=1000,1000,10000))))))</f>
        <v/>
      </c>
      <c r="H28" s="28">
        <f>IF(A28="","",IF(OR(IFERROR(INDEX(Agentes!$H$6:$H$60,MATCH(B28,Agentes!$A$6:$A$60,0)),"")="Metal carcinógeno",IFERROR(INDEX(Agentes!$D$6:$D$60,MATCH(B28,Agentes!$A$6:$A$60,0)),"")="Humo"),"P100 (HEPA)",IF(IFERROR(INDEX(Agentes!$H$6:$H$60,MATCH(B28,Agentes!$A$6:$A$60,0)),"")="Metal","N100/R100/P100 (N95 como mínimo)","N95 o superior; serie P si hay nieblas de aceite")))</f>
        <v/>
      </c>
      <c r="I28" s="24" t="n"/>
      <c r="J28" s="8" t="n"/>
      <c r="K28" s="8" t="n"/>
      <c r="L28" s="29">
        <f>IF(OR(N(I28)=0,N(J28)=0,N(K28)=0),"",I28*Agentes!$C$65*60*J28/1000/K28)</f>
        <v/>
      </c>
      <c r="M28" s="15">
        <f>IF(L28="","",ROUNDDOWN(Agentes!$C$66/L28,0))</f>
        <v/>
      </c>
      <c r="N28" s="8" t="n"/>
    </row>
    <row r="29">
      <c r="A29" s="15">
        <f>Estadística!A29</f>
        <v/>
      </c>
      <c r="B29" s="15">
        <f>Estadística!B29</f>
        <v/>
      </c>
      <c r="C29" s="25">
        <f>IF(A29="","",Estadística!P29)</f>
        <v/>
      </c>
      <c r="D29" s="22">
        <f>IF(A29="","",Estadística!N29)</f>
        <v/>
      </c>
      <c r="E29" s="31">
        <f>IF(OR(N(C29)=0,N(D29)=0),"",C29/D29)</f>
        <v/>
      </c>
      <c r="F29" s="28">
        <f>IF(E29="","",IF(E29&lt;=1,"No requerido por concentración; usar si hay picos o tareas no rutinarias",IF(E29&lt;=10,IF(IFERROR(INDEX(Agentes!$H$6:$H$60,MATCH(B29,Agentes!$A$6:$A$60,0)),"")="Metal carcinógeno","Media cara elastomérica con filtros P100","Pieza facial filtrante o media cara elastomérica"),IF(E29&lt;=25,"PAPR con capucha o careta holgada",IF(E29&lt;=50,"Cara completa elastomérica P100 o PAPR con media cara",IF(E29&lt;=1000,"PAPR con cara completa o línea de aire","SCBA a presión positiva: controle primero la fuente"))))))</f>
        <v/>
      </c>
      <c r="G29" s="15">
        <f>IF(E29="","",IF(E29&lt;=1,"—",IF(E29&lt;=10,10,IF(E29&lt;=25,25,IF(E29&lt;=50,50,IF(E29&lt;=1000,1000,10000))))))</f>
        <v/>
      </c>
      <c r="H29" s="28">
        <f>IF(A29="","",IF(OR(IFERROR(INDEX(Agentes!$H$6:$H$60,MATCH(B29,Agentes!$A$6:$A$60,0)),"")="Metal carcinógeno",IFERROR(INDEX(Agentes!$D$6:$D$60,MATCH(B29,Agentes!$A$6:$A$60,0)),"")="Humo"),"P100 (HEPA)",IF(IFERROR(INDEX(Agentes!$H$6:$H$60,MATCH(B29,Agentes!$A$6:$A$60,0)),"")="Metal","N100/R100/P100 (N95 como mínimo)","N95 o superior; serie P si hay nieblas de aceite")))</f>
        <v/>
      </c>
      <c r="I29" s="24" t="n"/>
      <c r="J29" s="8" t="n"/>
      <c r="K29" s="8" t="n"/>
      <c r="L29" s="29">
        <f>IF(OR(N(I29)=0,N(J29)=0,N(K29)=0),"",I29*Agentes!$C$65*60*J29/1000/K29)</f>
        <v/>
      </c>
      <c r="M29" s="15">
        <f>IF(L29="","",ROUNDDOWN(Agentes!$C$66/L29,0))</f>
        <v/>
      </c>
      <c r="N29" s="8" t="n"/>
    </row>
    <row r="30">
      <c r="A30" s="15">
        <f>Estadística!A30</f>
        <v/>
      </c>
      <c r="B30" s="15">
        <f>Estadística!B30</f>
        <v/>
      </c>
      <c r="C30" s="25">
        <f>IF(A30="","",Estadística!P30)</f>
        <v/>
      </c>
      <c r="D30" s="22">
        <f>IF(A30="","",Estadística!N30)</f>
        <v/>
      </c>
      <c r="E30" s="31">
        <f>IF(OR(N(C30)=0,N(D30)=0),"",C30/D30)</f>
        <v/>
      </c>
      <c r="F30" s="28">
        <f>IF(E30="","",IF(E30&lt;=1,"No requerido por concentración; usar si hay picos o tareas no rutinarias",IF(E30&lt;=10,IF(IFERROR(INDEX(Agentes!$H$6:$H$60,MATCH(B30,Agentes!$A$6:$A$60,0)),"")="Metal carcinógeno","Media cara elastomérica con filtros P100","Pieza facial filtrante o media cara elastomérica"),IF(E30&lt;=25,"PAPR con capucha o careta holgada",IF(E30&lt;=50,"Cara completa elastomérica P100 o PAPR con media cara",IF(E30&lt;=1000,"PAPR con cara completa o línea de aire","SCBA a presión positiva: controle primero la fuente"))))))</f>
        <v/>
      </c>
      <c r="G30" s="15">
        <f>IF(E30="","",IF(E30&lt;=1,"—",IF(E30&lt;=10,10,IF(E30&lt;=25,25,IF(E30&lt;=50,50,IF(E30&lt;=1000,1000,10000))))))</f>
        <v/>
      </c>
      <c r="H30" s="28">
        <f>IF(A30="","",IF(OR(IFERROR(INDEX(Agentes!$H$6:$H$60,MATCH(B30,Agentes!$A$6:$A$60,0)),"")="Metal carcinógeno",IFERROR(INDEX(Agentes!$D$6:$D$60,MATCH(B30,Agentes!$A$6:$A$60,0)),"")="Humo"),"P100 (HEPA)",IF(IFERROR(INDEX(Agentes!$H$6:$H$60,MATCH(B30,Agentes!$A$6:$A$60,0)),"")="Metal","N100/R100/P100 (N95 como mínimo)","N95 o superior; serie P si hay nieblas de aceite")))</f>
        <v/>
      </c>
      <c r="I30" s="24" t="n"/>
      <c r="J30" s="8" t="n"/>
      <c r="K30" s="8" t="n"/>
      <c r="L30" s="29">
        <f>IF(OR(N(I30)=0,N(J30)=0,N(K30)=0),"",I30*Agentes!$C$65*60*J30/1000/K30)</f>
        <v/>
      </c>
      <c r="M30" s="15">
        <f>IF(L30="","",ROUNDDOWN(Agentes!$C$66/L30,0))</f>
        <v/>
      </c>
      <c r="N30" s="8" t="n"/>
    </row>
    <row r="31">
      <c r="A31" s="15">
        <f>Estadística!A31</f>
        <v/>
      </c>
      <c r="B31" s="15">
        <f>Estadística!B31</f>
        <v/>
      </c>
      <c r="C31" s="25">
        <f>IF(A31="","",Estadística!P31)</f>
        <v/>
      </c>
      <c r="D31" s="22">
        <f>IF(A31="","",Estadística!N31)</f>
        <v/>
      </c>
      <c r="E31" s="31">
        <f>IF(OR(N(C31)=0,N(D31)=0),"",C31/D31)</f>
        <v/>
      </c>
      <c r="F31" s="28">
        <f>IF(E31="","",IF(E31&lt;=1,"No requerido por concentración; usar si hay picos o tareas no rutinarias",IF(E31&lt;=10,IF(IFERROR(INDEX(Agentes!$H$6:$H$60,MATCH(B31,Agentes!$A$6:$A$60,0)),"")="Metal carcinógeno","Media cara elastomérica con filtros P100","Pieza facial filtrante o media cara elastomérica"),IF(E31&lt;=25,"PAPR con capucha o careta holgada",IF(E31&lt;=50,"Cara completa elastomérica P100 o PAPR con media cara",IF(E31&lt;=1000,"PAPR con cara completa o línea de aire","SCBA a presión positiva: controle primero la fuente"))))))</f>
        <v/>
      </c>
      <c r="G31" s="15">
        <f>IF(E31="","",IF(E31&lt;=1,"—",IF(E31&lt;=10,10,IF(E31&lt;=25,25,IF(E31&lt;=50,50,IF(E31&lt;=1000,1000,10000))))))</f>
        <v/>
      </c>
      <c r="H31" s="28">
        <f>IF(A31="","",IF(OR(IFERROR(INDEX(Agentes!$H$6:$H$60,MATCH(B31,Agentes!$A$6:$A$60,0)),"")="Metal carcinógeno",IFERROR(INDEX(Agentes!$D$6:$D$60,MATCH(B31,Agentes!$A$6:$A$60,0)),"")="Humo"),"P100 (HEPA)",IF(IFERROR(INDEX(Agentes!$H$6:$H$60,MATCH(B31,Agentes!$A$6:$A$60,0)),"")="Metal","N100/R100/P100 (N95 como mínimo)","N95 o superior; serie P si hay nieblas de aceite")))</f>
        <v/>
      </c>
      <c r="I31" s="24" t="n"/>
      <c r="J31" s="8" t="n"/>
      <c r="K31" s="8" t="n"/>
      <c r="L31" s="29">
        <f>IF(OR(N(I31)=0,N(J31)=0,N(K31)=0),"",I31*Agentes!$C$65*60*J31/1000/K31)</f>
        <v/>
      </c>
      <c r="M31" s="15">
        <f>IF(L31="","",ROUNDDOWN(Agentes!$C$66/L31,0))</f>
        <v/>
      </c>
      <c r="N31" s="8" t="n"/>
    </row>
    <row r="32">
      <c r="A32" s="15">
        <f>Estadística!A32</f>
        <v/>
      </c>
      <c r="B32" s="15">
        <f>Estadística!B32</f>
        <v/>
      </c>
      <c r="C32" s="25">
        <f>IF(A32="","",Estadística!P32)</f>
        <v/>
      </c>
      <c r="D32" s="22">
        <f>IF(A32="","",Estadística!N32)</f>
        <v/>
      </c>
      <c r="E32" s="31">
        <f>IF(OR(N(C32)=0,N(D32)=0),"",C32/D32)</f>
        <v/>
      </c>
      <c r="F32" s="28">
        <f>IF(E32="","",IF(E32&lt;=1,"No requerido por concentración; usar si hay picos o tareas no rutinarias",IF(E32&lt;=10,IF(IFERROR(INDEX(Agentes!$H$6:$H$60,MATCH(B32,Agentes!$A$6:$A$60,0)),"")="Metal carcinógeno","Media cara elastomérica con filtros P100","Pieza facial filtrante o media cara elastomérica"),IF(E32&lt;=25,"PAPR con capucha o careta holgada",IF(E32&lt;=50,"Cara completa elastomérica P100 o PAPR con media cara",IF(E32&lt;=1000,"PAPR con cara completa o línea de aire","SCBA a presión positiva: controle primero la fuente"))))))</f>
        <v/>
      </c>
      <c r="G32" s="15">
        <f>IF(E32="","",IF(E32&lt;=1,"—",IF(E32&lt;=10,10,IF(E32&lt;=25,25,IF(E32&lt;=50,50,IF(E32&lt;=1000,1000,10000))))))</f>
        <v/>
      </c>
      <c r="H32" s="28">
        <f>IF(A32="","",IF(OR(IFERROR(INDEX(Agentes!$H$6:$H$60,MATCH(B32,Agentes!$A$6:$A$60,0)),"")="Metal carcinógeno",IFERROR(INDEX(Agentes!$D$6:$D$60,MATCH(B32,Agentes!$A$6:$A$60,0)),"")="Humo"),"P100 (HEPA)",IF(IFERROR(INDEX(Agentes!$H$6:$H$60,MATCH(B32,Agentes!$A$6:$A$60,0)),"")="Metal","N100/R100/P100 (N95 como mínimo)","N95 o superior; serie P si hay nieblas de aceite")))</f>
        <v/>
      </c>
      <c r="I32" s="24" t="n"/>
      <c r="J32" s="8" t="n"/>
      <c r="K32" s="8" t="n"/>
      <c r="L32" s="29">
        <f>IF(OR(N(I32)=0,N(J32)=0,N(K32)=0),"",I32*Agentes!$C$65*60*J32/1000/K32)</f>
        <v/>
      </c>
      <c r="M32" s="15">
        <f>IF(L32="","",ROUNDDOWN(Agentes!$C$66/L32,0))</f>
        <v/>
      </c>
      <c r="N32" s="8" t="n"/>
    </row>
    <row r="33">
      <c r="A33" s="15">
        <f>Estadística!A33</f>
        <v/>
      </c>
      <c r="B33" s="15">
        <f>Estadística!B33</f>
        <v/>
      </c>
      <c r="C33" s="25">
        <f>IF(A33="","",Estadística!P33)</f>
        <v/>
      </c>
      <c r="D33" s="22">
        <f>IF(A33="","",Estadística!N33)</f>
        <v/>
      </c>
      <c r="E33" s="31">
        <f>IF(OR(N(C33)=0,N(D33)=0),"",C33/D33)</f>
        <v/>
      </c>
      <c r="F33" s="28">
        <f>IF(E33="","",IF(E33&lt;=1,"No requerido por concentración; usar si hay picos o tareas no rutinarias",IF(E33&lt;=10,IF(IFERROR(INDEX(Agentes!$H$6:$H$60,MATCH(B33,Agentes!$A$6:$A$60,0)),"")="Metal carcinógeno","Media cara elastomérica con filtros P100","Pieza facial filtrante o media cara elastomérica"),IF(E33&lt;=25,"PAPR con capucha o careta holgada",IF(E33&lt;=50,"Cara completa elastomérica P100 o PAPR con media cara",IF(E33&lt;=1000,"PAPR con cara completa o línea de aire","SCBA a presión positiva: controle primero la fuente"))))))</f>
        <v/>
      </c>
      <c r="G33" s="15">
        <f>IF(E33="","",IF(E33&lt;=1,"—",IF(E33&lt;=10,10,IF(E33&lt;=25,25,IF(E33&lt;=50,50,IF(E33&lt;=1000,1000,10000))))))</f>
        <v/>
      </c>
      <c r="H33" s="28">
        <f>IF(A33="","",IF(OR(IFERROR(INDEX(Agentes!$H$6:$H$60,MATCH(B33,Agentes!$A$6:$A$60,0)),"")="Metal carcinógeno",IFERROR(INDEX(Agentes!$D$6:$D$60,MATCH(B33,Agentes!$A$6:$A$60,0)),"")="Humo"),"P100 (HEPA)",IF(IFERROR(INDEX(Agentes!$H$6:$H$60,MATCH(B33,Agentes!$A$6:$A$60,0)),"")="Metal","N100/R100/P100 (N95 como mínimo)","N95 o superior; serie P si hay nieblas de aceite")))</f>
        <v/>
      </c>
      <c r="I33" s="24" t="n"/>
      <c r="J33" s="8" t="n"/>
      <c r="K33" s="8" t="n"/>
      <c r="L33" s="29">
        <f>IF(OR(N(I33)=0,N(J33)=0,N(K33)=0),"",I33*Agentes!$C$65*60*J33/1000/K33)</f>
        <v/>
      </c>
      <c r="M33" s="15">
        <f>IF(L33="","",ROUNDDOWN(Agentes!$C$66/L33,0))</f>
        <v/>
      </c>
      <c r="N33" s="8" t="n"/>
    </row>
    <row r="34">
      <c r="A34" s="15">
        <f>Estadística!A34</f>
        <v/>
      </c>
      <c r="B34" s="15">
        <f>Estadística!B34</f>
        <v/>
      </c>
      <c r="C34" s="25">
        <f>IF(A34="","",Estadística!P34)</f>
        <v/>
      </c>
      <c r="D34" s="22">
        <f>IF(A34="","",Estadística!N34)</f>
        <v/>
      </c>
      <c r="E34" s="31">
        <f>IF(OR(N(C34)=0,N(D34)=0),"",C34/D34)</f>
        <v/>
      </c>
      <c r="F34" s="28">
        <f>IF(E34="","",IF(E34&lt;=1,"No requerido por concentración; usar si hay picos o tareas no rutinarias",IF(E34&lt;=10,IF(IFERROR(INDEX(Agentes!$H$6:$H$60,MATCH(B34,Agentes!$A$6:$A$60,0)),"")="Metal carcinógeno","Media cara elastomérica con filtros P100","Pieza facial filtrante o media cara elastomérica"),IF(E34&lt;=25,"PAPR con capucha o careta holgada",IF(E34&lt;=50,"Cara completa elastomérica P100 o PAPR con media cara",IF(E34&lt;=1000,"PAPR con cara completa o línea de aire","SCBA a presión positiva: controle primero la fuente"))))))</f>
        <v/>
      </c>
      <c r="G34" s="15">
        <f>IF(E34="","",IF(E34&lt;=1,"—",IF(E34&lt;=10,10,IF(E34&lt;=25,25,IF(E34&lt;=50,50,IF(E34&lt;=1000,1000,10000))))))</f>
        <v/>
      </c>
      <c r="H34" s="28">
        <f>IF(A34="","",IF(OR(IFERROR(INDEX(Agentes!$H$6:$H$60,MATCH(B34,Agentes!$A$6:$A$60,0)),"")="Metal carcinógeno",IFERROR(INDEX(Agentes!$D$6:$D$60,MATCH(B34,Agentes!$A$6:$A$60,0)),"")="Humo"),"P100 (HEPA)",IF(IFERROR(INDEX(Agentes!$H$6:$H$60,MATCH(B34,Agentes!$A$6:$A$60,0)),"")="Metal","N100/R100/P100 (N95 como mínimo)","N95 o superior; serie P si hay nieblas de aceite")))</f>
        <v/>
      </c>
      <c r="I34" s="24" t="n"/>
      <c r="J34" s="8" t="n"/>
      <c r="K34" s="8" t="n"/>
      <c r="L34" s="29">
        <f>IF(OR(N(I34)=0,N(J34)=0,N(K34)=0),"",I34*Agentes!$C$65*60*J34/1000/K34)</f>
        <v/>
      </c>
      <c r="M34" s="15">
        <f>IF(L34="","",ROUNDDOWN(Agentes!$C$66/L34,0))</f>
        <v/>
      </c>
      <c r="N34" s="8" t="n"/>
    </row>
    <row r="35">
      <c r="A35" s="15">
        <f>Estadística!A35</f>
        <v/>
      </c>
      <c r="B35" s="15">
        <f>Estadística!B35</f>
        <v/>
      </c>
      <c r="C35" s="25">
        <f>IF(A35="","",Estadística!P35)</f>
        <v/>
      </c>
      <c r="D35" s="22">
        <f>IF(A35="","",Estadística!N35)</f>
        <v/>
      </c>
      <c r="E35" s="31">
        <f>IF(OR(N(C35)=0,N(D35)=0),"",C35/D35)</f>
        <v/>
      </c>
      <c r="F35" s="28">
        <f>IF(E35="","",IF(E35&lt;=1,"No requerido por concentración; usar si hay picos o tareas no rutinarias",IF(E35&lt;=10,IF(IFERROR(INDEX(Agentes!$H$6:$H$60,MATCH(B35,Agentes!$A$6:$A$60,0)),"")="Metal carcinógeno","Media cara elastomérica con filtros P100","Pieza facial filtrante o media cara elastomérica"),IF(E35&lt;=25,"PAPR con capucha o careta holgada",IF(E35&lt;=50,"Cara completa elastomérica P100 o PAPR con media cara",IF(E35&lt;=1000,"PAPR con cara completa o línea de aire","SCBA a presión positiva: controle primero la fuente"))))))</f>
        <v/>
      </c>
      <c r="G35" s="15">
        <f>IF(E35="","",IF(E35&lt;=1,"—",IF(E35&lt;=10,10,IF(E35&lt;=25,25,IF(E35&lt;=50,50,IF(E35&lt;=1000,1000,10000))))))</f>
        <v/>
      </c>
      <c r="H35" s="28">
        <f>IF(A35="","",IF(OR(IFERROR(INDEX(Agentes!$H$6:$H$60,MATCH(B35,Agentes!$A$6:$A$60,0)),"")="Metal carcinógeno",IFERROR(INDEX(Agentes!$D$6:$D$60,MATCH(B35,Agentes!$A$6:$A$60,0)),"")="Humo"),"P100 (HEPA)",IF(IFERROR(INDEX(Agentes!$H$6:$H$60,MATCH(B35,Agentes!$A$6:$A$60,0)),"")="Metal","N100/R100/P100 (N95 como mínimo)","N95 o superior; serie P si hay nieblas de aceite")))</f>
        <v/>
      </c>
      <c r="I35" s="24" t="n"/>
      <c r="J35" s="8" t="n"/>
      <c r="K35" s="8" t="n"/>
      <c r="L35" s="29">
        <f>IF(OR(N(I35)=0,N(J35)=0,N(K35)=0),"",I35*Agentes!$C$65*60*J35/1000/K35)</f>
        <v/>
      </c>
      <c r="M35" s="15">
        <f>IF(L35="","",ROUNDDOWN(Agentes!$C$66/L35,0))</f>
        <v/>
      </c>
      <c r="N3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L1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30" customWidth="1" min="5" max="5"/>
    <col width="12" customWidth="1" min="6" max="6"/>
    <col width="11" customWidth="1" min="7" max="7"/>
    <col width="11" customWidth="1" min="8" max="8"/>
    <col width="10" customWidth="1" min="9" max="9"/>
    <col width="22" customWidth="1" min="10" max="10"/>
    <col width="50" customWidth="1" min="11" max="11"/>
    <col width="24" customWidth="1" min="12" max="12"/>
  </cols>
  <sheetData>
    <row r="1">
      <c r="A1" s="10" t="inlineStr">
        <is>
          <t>8. Vigilancia médica e indicadores biológicos (BEI)</t>
        </is>
      </c>
    </row>
    <row r="2">
      <c r="A2" s="3" t="inlineStr">
        <is>
          <t>Registro por trabajador y agente. El BEI complementa, no reemplaza, la evaluación ambiental (ACGIH). La programación y el contenido definitivos corresponden al médico con licencia en SST (Res. 2346 de 2007).</t>
        </is>
      </c>
    </row>
    <row r="3">
      <c r="A3" s="11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2" t="inlineStr">
        <is>
          <t>Trabajador</t>
        </is>
      </c>
      <c r="B5" s="12" t="inlineStr">
        <is>
          <t>Identificación</t>
        </is>
      </c>
      <c r="C5" s="12" t="inlineStr">
        <is>
          <t>GES</t>
        </is>
      </c>
      <c r="D5" s="12" t="inlineStr">
        <is>
          <t>Agente</t>
        </is>
      </c>
      <c r="E5" s="12" t="inlineStr">
        <is>
          <t>Indicador biológico (BEI)</t>
        </is>
      </c>
      <c r="F5" s="12" t="inlineStr">
        <is>
          <t>Valor BEI</t>
        </is>
      </c>
      <c r="G5" s="12" t="inlineStr">
        <is>
          <t>Fecha de la muestra</t>
        </is>
      </c>
      <c r="H5" s="12" t="inlineStr">
        <is>
          <t>Resultado (mismas unidades del BEI)</t>
        </is>
      </c>
      <c r="I5" s="12" t="inlineStr">
        <is>
          <t>Índice resultado / BEI</t>
        </is>
      </c>
      <c r="J5" s="12" t="inlineStr">
        <is>
          <t>Estado</t>
        </is>
      </c>
      <c r="K5" s="12" t="inlineStr">
        <is>
          <t>Vigilancia médica sugerida</t>
        </is>
      </c>
      <c r="L5" s="12" t="inlineStr">
        <is>
          <t>Observaciones</t>
        </is>
      </c>
    </row>
    <row r="6">
      <c r="A6" s="8" t="inlineStr">
        <is>
          <t>Trabajador A</t>
        </is>
      </c>
      <c r="B6" s="8" t="inlineStr">
        <is>
          <t>CC 2001</t>
        </is>
      </c>
      <c r="C6" s="8" t="inlineStr">
        <is>
          <t>G05</t>
        </is>
      </c>
      <c r="D6" s="8" t="inlineStr">
        <is>
          <t>PB</t>
        </is>
      </c>
      <c r="E6" s="28">
        <f>IF(D6="","",T(IFERROR(INDEX(Agentes!$N$6:$N$60,MATCH(D6,Agentes!$A$6:$A$60,0)),"")))</f>
        <v/>
      </c>
      <c r="F6" s="32">
        <f>IF(D6="","",IF(N(IFERROR(INDEX(Agentes!$O$6:$O$60,MATCH(D6,Agentes!$A$6:$A$60,0)),0))=0,"",IFERROR(INDEX(Agentes!$O$6:$O$60,MATCH(D6,Agentes!$A$6:$A$60,0)),"")))</f>
        <v/>
      </c>
      <c r="G6" s="9" t="n">
        <v>46285</v>
      </c>
      <c r="H6" s="33" t="n">
        <v>180</v>
      </c>
      <c r="I6" s="29">
        <f>IF(AND(ISNUMBER(H6),ISNUMBER(F6)),H6/F6,"")</f>
        <v/>
      </c>
      <c r="J6" s="28">
        <f>IF(D6="","",IF(NOT(ISNUMBER(F6)),"Sin BEI para este agente",IF(I6="","Pendiente de resultado",IF(I6&gt;1,"Supera el BEI: investigar","Dentro del BEI"))))</f>
        <v/>
      </c>
      <c r="K6" s="28">
        <f>IF(D6="","",IFERROR(INDEX(Agentes!$Q$6:$Q$60,MATCH(D6,Agentes!$A$6:$A$60,0)),""))</f>
        <v/>
      </c>
      <c r="L6" s="8" t="n"/>
    </row>
    <row r="7">
      <c r="A7" s="8" t="inlineStr">
        <is>
          <t>Trabajador B</t>
        </is>
      </c>
      <c r="B7" s="8" t="inlineStr">
        <is>
          <t>CC 2002</t>
        </is>
      </c>
      <c r="C7" s="8" t="inlineStr">
        <is>
          <t>G05</t>
        </is>
      </c>
      <c r="D7" s="8" t="inlineStr">
        <is>
          <t>PB</t>
        </is>
      </c>
      <c r="E7" s="28">
        <f>IF(D7="","",T(IFERROR(INDEX(Agentes!$N$6:$N$60,MATCH(D7,Agentes!$A$6:$A$60,0)),"")))</f>
        <v/>
      </c>
      <c r="F7" s="32">
        <f>IF(D7="","",IF(N(IFERROR(INDEX(Agentes!$O$6:$O$60,MATCH(D7,Agentes!$A$6:$A$60,0)),0))=0,"",IFERROR(INDEX(Agentes!$O$6:$O$60,MATCH(D7,Agentes!$A$6:$A$60,0)),"")))</f>
        <v/>
      </c>
      <c r="G7" s="9" t="n">
        <v>46285</v>
      </c>
      <c r="H7" s="33" t="n">
        <v>240</v>
      </c>
      <c r="I7" s="29">
        <f>IF(AND(ISNUMBER(H7),ISNUMBER(F7)),H7/F7,"")</f>
        <v/>
      </c>
      <c r="J7" s="28">
        <f>IF(D7="","",IF(NOT(ISNUMBER(F7)),"Sin BEI para este agente",IF(I7="","Pendiente de resultado",IF(I7&gt;1,"Supera el BEI: investigar","Dentro del BEI"))))</f>
        <v/>
      </c>
      <c r="K7" s="28">
        <f>IF(D7="","",IFERROR(INDEX(Agentes!$Q$6:$Q$60,MATCH(D7,Agentes!$A$6:$A$60,0)),""))</f>
        <v/>
      </c>
      <c r="L7" s="8" t="n"/>
    </row>
    <row r="8">
      <c r="A8" s="8" t="inlineStr">
        <is>
          <t>Trabajador C</t>
        </is>
      </c>
      <c r="B8" s="8" t="inlineStr">
        <is>
          <t>CC 2003</t>
        </is>
      </c>
      <c r="C8" s="8" t="inlineStr">
        <is>
          <t>G05</t>
        </is>
      </c>
      <c r="D8" s="8" t="inlineStr">
        <is>
          <t>PB</t>
        </is>
      </c>
      <c r="E8" s="28">
        <f>IF(D8="","",T(IFERROR(INDEX(Agentes!$N$6:$N$60,MATCH(D8,Agentes!$A$6:$A$60,0)),"")))</f>
        <v/>
      </c>
      <c r="F8" s="32">
        <f>IF(D8="","",IF(N(IFERROR(INDEX(Agentes!$O$6:$O$60,MATCH(D8,Agentes!$A$6:$A$60,0)),0))=0,"",IFERROR(INDEX(Agentes!$O$6:$O$60,MATCH(D8,Agentes!$A$6:$A$60,0)),"")))</f>
        <v/>
      </c>
      <c r="G8" s="9" t="n">
        <v>46285</v>
      </c>
      <c r="H8" s="33" t="n">
        <v>95</v>
      </c>
      <c r="I8" s="29">
        <f>IF(AND(ISNUMBER(H8),ISNUMBER(F8)),H8/F8,"")</f>
        <v/>
      </c>
      <c r="J8" s="28">
        <f>IF(D8="","",IF(NOT(ISNUMBER(F8)),"Sin BEI para este agente",IF(I8="","Pendiente de resultado",IF(I8&gt;1,"Supera el BEI: investigar","Dentro del BEI"))))</f>
        <v/>
      </c>
      <c r="K8" s="28">
        <f>IF(D8="","",IFERROR(INDEX(Agentes!$Q$6:$Q$60,MATCH(D8,Agentes!$A$6:$A$60,0)),""))</f>
        <v/>
      </c>
      <c r="L8" s="8" t="n"/>
    </row>
    <row r="9">
      <c r="A9" s="8" t="inlineStr">
        <is>
          <t>Trabajador D</t>
        </is>
      </c>
      <c r="B9" s="8" t="inlineStr">
        <is>
          <t>CC 2004</t>
        </is>
      </c>
      <c r="C9" s="8" t="inlineStr">
        <is>
          <t>G02</t>
        </is>
      </c>
      <c r="D9" s="8" t="inlineStr">
        <is>
          <t>CR6</t>
        </is>
      </c>
      <c r="E9" s="28">
        <f>IF(D9="","",T(IFERROR(INDEX(Agentes!$N$6:$N$60,MATCH(D9,Agentes!$A$6:$A$60,0)),"")))</f>
        <v/>
      </c>
      <c r="F9" s="32">
        <f>IF(D9="","",IF(N(IFERROR(INDEX(Agentes!$O$6:$O$60,MATCH(D9,Agentes!$A$6:$A$60,0)),0))=0,"",IFERROR(INDEX(Agentes!$O$6:$O$60,MATCH(D9,Agentes!$A$6:$A$60,0)),"")))</f>
        <v/>
      </c>
      <c r="G9" s="9" t="n">
        <v>46284</v>
      </c>
      <c r="H9" s="33" t="n">
        <v>0.5</v>
      </c>
      <c r="I9" s="29">
        <f>IF(AND(ISNUMBER(H9),ISNUMBER(F9)),H9/F9,"")</f>
        <v/>
      </c>
      <c r="J9" s="28">
        <f>IF(D9="","",IF(NOT(ISNUMBER(F9)),"Sin BEI para este agente",IF(I9="","Pendiente de resultado",IF(I9&gt;1,"Supera el BEI: investigar","Dentro del BEI"))))</f>
        <v/>
      </c>
      <c r="K9" s="28">
        <f>IF(D9="","",IFERROR(INDEX(Agentes!$Q$6:$Q$60,MATCH(D9,Agentes!$A$6:$A$60,0)),""))</f>
        <v/>
      </c>
      <c r="L9" s="8" t="n"/>
    </row>
    <row r="10">
      <c r="A10" s="8" t="inlineStr">
        <is>
          <t>Trabajador E</t>
        </is>
      </c>
      <c r="B10" s="8" t="inlineStr">
        <is>
          <t>CC 2005</t>
        </is>
      </c>
      <c r="C10" s="8" t="inlineStr">
        <is>
          <t>G02</t>
        </is>
      </c>
      <c r="D10" s="8" t="inlineStr">
        <is>
          <t>CR6</t>
        </is>
      </c>
      <c r="E10" s="28">
        <f>IF(D10="","",T(IFERROR(INDEX(Agentes!$N$6:$N$60,MATCH(D10,Agentes!$A$6:$A$60,0)),"")))</f>
        <v/>
      </c>
      <c r="F10" s="32">
        <f>IF(D10="","",IF(N(IFERROR(INDEX(Agentes!$O$6:$O$60,MATCH(D10,Agentes!$A$6:$A$60,0)),0))=0,"",IFERROR(INDEX(Agentes!$O$6:$O$60,MATCH(D10,Agentes!$A$6:$A$60,0)),"")))</f>
        <v/>
      </c>
      <c r="G10" s="9" t="n">
        <v>46284</v>
      </c>
      <c r="H10" s="33" t="n">
        <v>1.4</v>
      </c>
      <c r="I10" s="29">
        <f>IF(AND(ISNUMBER(H10),ISNUMBER(F10)),H10/F10,"")</f>
        <v/>
      </c>
      <c r="J10" s="28">
        <f>IF(D10="","",IF(NOT(ISNUMBER(F10)),"Sin BEI para este agente",IF(I10="","Pendiente de resultado",IF(I10&gt;1,"Supera el BEI: investigar","Dentro del BEI"))))</f>
        <v/>
      </c>
      <c r="K10" s="28">
        <f>IF(D10="","",IFERROR(INDEX(Agentes!$Q$6:$Q$60,MATCH(D10,Agentes!$A$6:$A$60,0)),""))</f>
        <v/>
      </c>
      <c r="L10" s="8" t="n"/>
    </row>
    <row r="11">
      <c r="A11" s="8" t="inlineStr">
        <is>
          <t>Trabajador F</t>
        </is>
      </c>
      <c r="B11" s="8" t="inlineStr">
        <is>
          <t>CC 2006</t>
        </is>
      </c>
      <c r="C11" s="8" t="inlineStr">
        <is>
          <t>G02</t>
        </is>
      </c>
      <c r="D11" s="8" t="inlineStr">
        <is>
          <t>NI-I</t>
        </is>
      </c>
      <c r="E11" s="28">
        <f>IF(D11="","",T(IFERROR(INDEX(Agentes!$N$6:$N$60,MATCH(D11,Agentes!$A$6:$A$60,0)),"")))</f>
        <v/>
      </c>
      <c r="F11" s="32">
        <f>IF(D11="","",IF(N(IFERROR(INDEX(Agentes!$O$6:$O$60,MATCH(D11,Agentes!$A$6:$A$60,0)),0))=0,"",IFERROR(INDEX(Agentes!$O$6:$O$60,MATCH(D11,Agentes!$A$6:$A$60,0)),"")))</f>
        <v/>
      </c>
      <c r="G11" s="9" t="n">
        <v>46284</v>
      </c>
      <c r="H11" s="33" t="n">
        <v>3.2</v>
      </c>
      <c r="I11" s="29">
        <f>IF(AND(ISNUMBER(H11),ISNUMBER(F11)),H11/F11,"")</f>
        <v/>
      </c>
      <c r="J11" s="28">
        <f>IF(D11="","",IF(NOT(ISNUMBER(F11)),"Sin BEI para este agente",IF(I11="","Pendiente de resultado",IF(I11&gt;1,"Supera el BEI: investigar","Dentro del BEI"))))</f>
        <v/>
      </c>
      <c r="K11" s="28">
        <f>IF(D11="","",IFERROR(INDEX(Agentes!$Q$6:$Q$60,MATCH(D11,Agentes!$A$6:$A$60,0)),""))</f>
        <v/>
      </c>
      <c r="L11" s="8" t="n"/>
    </row>
    <row r="12">
      <c r="A12" s="8" t="inlineStr">
        <is>
          <t>Trabajador G</t>
        </is>
      </c>
      <c r="B12" s="8" t="inlineStr">
        <is>
          <t>CC 2007</t>
        </is>
      </c>
      <c r="C12" s="8" t="inlineStr">
        <is>
          <t>G01</t>
        </is>
      </c>
      <c r="D12" s="8" t="inlineStr">
        <is>
          <t>MN-R</t>
        </is>
      </c>
      <c r="E12" s="28">
        <f>IF(D12="","",T(IFERROR(INDEX(Agentes!$N$6:$N$60,MATCH(D12,Agentes!$A$6:$A$60,0)),"")))</f>
        <v/>
      </c>
      <c r="F12" s="32">
        <f>IF(D12="","",IF(N(IFERROR(INDEX(Agentes!$O$6:$O$60,MATCH(D12,Agentes!$A$6:$A$60,0)),0))=0,"",IFERROR(INDEX(Agentes!$O$6:$O$60,MATCH(D12,Agentes!$A$6:$A$60,0)),"")))</f>
        <v/>
      </c>
      <c r="G12" s="9" t="n">
        <v>46283</v>
      </c>
      <c r="H12" s="33" t="n"/>
      <c r="I12" s="29">
        <f>IF(AND(ISNUMBER(H12),ISNUMBER(F12)),H12/F12,"")</f>
        <v/>
      </c>
      <c r="J12" s="28">
        <f>IF(D12="","",IF(NOT(ISNUMBER(F12)),"Sin BEI para este agente",IF(I12="","Pendiente de resultado",IF(I12&gt;1,"Supera el BEI: investigar","Dentro del BEI"))))</f>
        <v/>
      </c>
      <c r="K12" s="28">
        <f>IF(D12="","",IFERROR(INDEX(Agentes!$Q$6:$Q$60,MATCH(D12,Agentes!$A$6:$A$60,0)),""))</f>
        <v/>
      </c>
      <c r="L12" s="8" t="inlineStr">
        <is>
          <t>Sin BEI de la ACGIH: vigilancia clínica neurológica</t>
        </is>
      </c>
    </row>
    <row r="13">
      <c r="A13" s="8" t="n"/>
      <c r="B13" s="8" t="n"/>
      <c r="C13" s="8" t="n"/>
      <c r="D13" s="8" t="n"/>
      <c r="E13" s="28">
        <f>IF(D13="","",T(IFERROR(INDEX(Agentes!$N$6:$N$60,MATCH(D13,Agentes!$A$6:$A$60,0)),"")))</f>
        <v/>
      </c>
      <c r="F13" s="32">
        <f>IF(D13="","",IF(N(IFERROR(INDEX(Agentes!$O$6:$O$60,MATCH(D13,Agentes!$A$6:$A$60,0)),0))=0,"",IFERROR(INDEX(Agentes!$O$6:$O$60,MATCH(D13,Agentes!$A$6:$A$60,0)),"")))</f>
        <v/>
      </c>
      <c r="G13" s="9" t="n"/>
      <c r="H13" s="33" t="n"/>
      <c r="I13" s="29">
        <f>IF(AND(ISNUMBER(H13),ISNUMBER(F13)),H13/F13,"")</f>
        <v/>
      </c>
      <c r="J13" s="28">
        <f>IF(D13="","",IF(NOT(ISNUMBER(F13)),"Sin BEI para este agente",IF(I13="","Pendiente de resultado",IF(I13&gt;1,"Supera el BEI: investigar","Dentro del BEI"))))</f>
        <v/>
      </c>
      <c r="K13" s="28">
        <f>IF(D13="","",IFERROR(INDEX(Agentes!$Q$6:$Q$60,MATCH(D13,Agentes!$A$6:$A$60,0)),""))</f>
        <v/>
      </c>
      <c r="L13" s="8" t="n"/>
    </row>
    <row r="14">
      <c r="A14" s="8" t="n"/>
      <c r="B14" s="8" t="n"/>
      <c r="C14" s="8" t="n"/>
      <c r="D14" s="8" t="n"/>
      <c r="E14" s="28">
        <f>IF(D14="","",T(IFERROR(INDEX(Agentes!$N$6:$N$60,MATCH(D14,Agentes!$A$6:$A$60,0)),"")))</f>
        <v/>
      </c>
      <c r="F14" s="32">
        <f>IF(D14="","",IF(N(IFERROR(INDEX(Agentes!$O$6:$O$60,MATCH(D14,Agentes!$A$6:$A$60,0)),0))=0,"",IFERROR(INDEX(Agentes!$O$6:$O$60,MATCH(D14,Agentes!$A$6:$A$60,0)),"")))</f>
        <v/>
      </c>
      <c r="G14" s="9" t="n"/>
      <c r="H14" s="33" t="n"/>
      <c r="I14" s="29">
        <f>IF(AND(ISNUMBER(H14),ISNUMBER(F14)),H14/F14,"")</f>
        <v/>
      </c>
      <c r="J14" s="28">
        <f>IF(D14="","",IF(NOT(ISNUMBER(F14)),"Sin BEI para este agente",IF(I14="","Pendiente de resultado",IF(I14&gt;1,"Supera el BEI: investigar","Dentro del BEI"))))</f>
        <v/>
      </c>
      <c r="K14" s="28">
        <f>IF(D14="","",IFERROR(INDEX(Agentes!$Q$6:$Q$60,MATCH(D14,Agentes!$A$6:$A$60,0)),""))</f>
        <v/>
      </c>
      <c r="L14" s="8" t="n"/>
    </row>
    <row r="15">
      <c r="A15" s="8" t="n"/>
      <c r="B15" s="8" t="n"/>
      <c r="C15" s="8" t="n"/>
      <c r="D15" s="8" t="n"/>
      <c r="E15" s="28">
        <f>IF(D15="","",T(IFERROR(INDEX(Agentes!$N$6:$N$60,MATCH(D15,Agentes!$A$6:$A$60,0)),"")))</f>
        <v/>
      </c>
      <c r="F15" s="32">
        <f>IF(D15="","",IF(N(IFERROR(INDEX(Agentes!$O$6:$O$60,MATCH(D15,Agentes!$A$6:$A$60,0)),0))=0,"",IFERROR(INDEX(Agentes!$O$6:$O$60,MATCH(D15,Agentes!$A$6:$A$60,0)),"")))</f>
        <v/>
      </c>
      <c r="G15" s="9" t="n"/>
      <c r="H15" s="33" t="n"/>
      <c r="I15" s="29">
        <f>IF(AND(ISNUMBER(H15),ISNUMBER(F15)),H15/F15,"")</f>
        <v/>
      </c>
      <c r="J15" s="28">
        <f>IF(D15="","",IF(NOT(ISNUMBER(F15)),"Sin BEI para este agente",IF(I15="","Pendiente de resultado",IF(I15&gt;1,"Supera el BEI: investigar","Dentro del BEI"))))</f>
        <v/>
      </c>
      <c r="K15" s="28">
        <f>IF(D15="","",IFERROR(INDEX(Agentes!$Q$6:$Q$60,MATCH(D15,Agentes!$A$6:$A$60,0)),""))</f>
        <v/>
      </c>
      <c r="L15" s="8" t="n"/>
    </row>
    <row r="16">
      <c r="A16" s="8" t="n"/>
      <c r="B16" s="8" t="n"/>
      <c r="C16" s="8" t="n"/>
      <c r="D16" s="8" t="n"/>
      <c r="E16" s="28">
        <f>IF(D16="","",T(IFERROR(INDEX(Agentes!$N$6:$N$60,MATCH(D16,Agentes!$A$6:$A$60,0)),"")))</f>
        <v/>
      </c>
      <c r="F16" s="32">
        <f>IF(D16="","",IF(N(IFERROR(INDEX(Agentes!$O$6:$O$60,MATCH(D16,Agentes!$A$6:$A$60,0)),0))=0,"",IFERROR(INDEX(Agentes!$O$6:$O$60,MATCH(D16,Agentes!$A$6:$A$60,0)),"")))</f>
        <v/>
      </c>
      <c r="G16" s="9" t="n"/>
      <c r="H16" s="33" t="n"/>
      <c r="I16" s="29">
        <f>IF(AND(ISNUMBER(H16),ISNUMBER(F16)),H16/F16,"")</f>
        <v/>
      </c>
      <c r="J16" s="28">
        <f>IF(D16="","",IF(NOT(ISNUMBER(F16)),"Sin BEI para este agente",IF(I16="","Pendiente de resultado",IF(I16&gt;1,"Supera el BEI: investigar","Dentro del BEI"))))</f>
        <v/>
      </c>
      <c r="K16" s="28">
        <f>IF(D16="","",IFERROR(INDEX(Agentes!$Q$6:$Q$60,MATCH(D16,Agentes!$A$6:$A$60,0)),""))</f>
        <v/>
      </c>
      <c r="L16" s="8" t="n"/>
    </row>
    <row r="17">
      <c r="A17" s="8" t="n"/>
      <c r="B17" s="8" t="n"/>
      <c r="C17" s="8" t="n"/>
      <c r="D17" s="8" t="n"/>
      <c r="E17" s="28">
        <f>IF(D17="","",T(IFERROR(INDEX(Agentes!$N$6:$N$60,MATCH(D17,Agentes!$A$6:$A$60,0)),"")))</f>
        <v/>
      </c>
      <c r="F17" s="32">
        <f>IF(D17="","",IF(N(IFERROR(INDEX(Agentes!$O$6:$O$60,MATCH(D17,Agentes!$A$6:$A$60,0)),0))=0,"",IFERROR(INDEX(Agentes!$O$6:$O$60,MATCH(D17,Agentes!$A$6:$A$60,0)),"")))</f>
        <v/>
      </c>
      <c r="G17" s="9" t="n"/>
      <c r="H17" s="33" t="n"/>
      <c r="I17" s="29">
        <f>IF(AND(ISNUMBER(H17),ISNUMBER(F17)),H17/F17,"")</f>
        <v/>
      </c>
      <c r="J17" s="28">
        <f>IF(D17="","",IF(NOT(ISNUMBER(F17)),"Sin BEI para este agente",IF(I17="","Pendiente de resultado",IF(I17&gt;1,"Supera el BEI: investigar","Dentro del BEI"))))</f>
        <v/>
      </c>
      <c r="K17" s="28">
        <f>IF(D17="","",IFERROR(INDEX(Agentes!$Q$6:$Q$60,MATCH(D17,Agentes!$A$6:$A$60,0)),""))</f>
        <v/>
      </c>
      <c r="L17" s="8" t="n"/>
    </row>
    <row r="18">
      <c r="A18" s="8" t="n"/>
      <c r="B18" s="8" t="n"/>
      <c r="C18" s="8" t="n"/>
      <c r="D18" s="8" t="n"/>
      <c r="E18" s="28">
        <f>IF(D18="","",T(IFERROR(INDEX(Agentes!$N$6:$N$60,MATCH(D18,Agentes!$A$6:$A$60,0)),"")))</f>
        <v/>
      </c>
      <c r="F18" s="32">
        <f>IF(D18="","",IF(N(IFERROR(INDEX(Agentes!$O$6:$O$60,MATCH(D18,Agentes!$A$6:$A$60,0)),0))=0,"",IFERROR(INDEX(Agentes!$O$6:$O$60,MATCH(D18,Agentes!$A$6:$A$60,0)),"")))</f>
        <v/>
      </c>
      <c r="G18" s="9" t="n"/>
      <c r="H18" s="33" t="n"/>
      <c r="I18" s="29">
        <f>IF(AND(ISNUMBER(H18),ISNUMBER(F18)),H18/F18,"")</f>
        <v/>
      </c>
      <c r="J18" s="28">
        <f>IF(D18="","",IF(NOT(ISNUMBER(F18)),"Sin BEI para este agente",IF(I18="","Pendiente de resultado",IF(I18&gt;1,"Supera el BEI: investigar","Dentro del BEI"))))</f>
        <v/>
      </c>
      <c r="K18" s="28">
        <f>IF(D18="","",IFERROR(INDEX(Agentes!$Q$6:$Q$60,MATCH(D18,Agentes!$A$6:$A$60,0)),""))</f>
        <v/>
      </c>
      <c r="L18" s="8" t="n"/>
    </row>
    <row r="19">
      <c r="A19" s="8" t="n"/>
      <c r="B19" s="8" t="n"/>
      <c r="C19" s="8" t="n"/>
      <c r="D19" s="8" t="n"/>
      <c r="E19" s="28">
        <f>IF(D19="","",T(IFERROR(INDEX(Agentes!$N$6:$N$60,MATCH(D19,Agentes!$A$6:$A$60,0)),"")))</f>
        <v/>
      </c>
      <c r="F19" s="32">
        <f>IF(D19="","",IF(N(IFERROR(INDEX(Agentes!$O$6:$O$60,MATCH(D19,Agentes!$A$6:$A$60,0)),0))=0,"",IFERROR(INDEX(Agentes!$O$6:$O$60,MATCH(D19,Agentes!$A$6:$A$60,0)),"")))</f>
        <v/>
      </c>
      <c r="G19" s="9" t="n"/>
      <c r="H19" s="33" t="n"/>
      <c r="I19" s="29">
        <f>IF(AND(ISNUMBER(H19),ISNUMBER(F19)),H19/F19,"")</f>
        <v/>
      </c>
      <c r="J19" s="28">
        <f>IF(D19="","",IF(NOT(ISNUMBER(F19)),"Sin BEI para este agente",IF(I19="","Pendiente de resultado",IF(I19&gt;1,"Supera el BEI: investigar","Dentro del BEI"))))</f>
        <v/>
      </c>
      <c r="K19" s="28">
        <f>IF(D19="","",IFERROR(INDEX(Agentes!$Q$6:$Q$60,MATCH(D19,Agentes!$A$6:$A$60,0)),""))</f>
        <v/>
      </c>
      <c r="L19" s="8" t="n"/>
    </row>
    <row r="20">
      <c r="A20" s="8" t="n"/>
      <c r="B20" s="8" t="n"/>
      <c r="C20" s="8" t="n"/>
      <c r="D20" s="8" t="n"/>
      <c r="E20" s="28">
        <f>IF(D20="","",T(IFERROR(INDEX(Agentes!$N$6:$N$60,MATCH(D20,Agentes!$A$6:$A$60,0)),"")))</f>
        <v/>
      </c>
      <c r="F20" s="32">
        <f>IF(D20="","",IF(N(IFERROR(INDEX(Agentes!$O$6:$O$60,MATCH(D20,Agentes!$A$6:$A$60,0)),0))=0,"",IFERROR(INDEX(Agentes!$O$6:$O$60,MATCH(D20,Agentes!$A$6:$A$60,0)),"")))</f>
        <v/>
      </c>
      <c r="G20" s="9" t="n"/>
      <c r="H20" s="33" t="n"/>
      <c r="I20" s="29">
        <f>IF(AND(ISNUMBER(H20),ISNUMBER(F20)),H20/F20,"")</f>
        <v/>
      </c>
      <c r="J20" s="28">
        <f>IF(D20="","",IF(NOT(ISNUMBER(F20)),"Sin BEI para este agente",IF(I20="","Pendiente de resultado",IF(I20&gt;1,"Supera el BEI: investigar","Dentro del BEI"))))</f>
        <v/>
      </c>
      <c r="K20" s="28">
        <f>IF(D20="","",IFERROR(INDEX(Agentes!$Q$6:$Q$60,MATCH(D20,Agentes!$A$6:$A$60,0)),""))</f>
        <v/>
      </c>
      <c r="L20" s="8" t="n"/>
    </row>
    <row r="21">
      <c r="A21" s="8" t="n"/>
      <c r="B21" s="8" t="n"/>
      <c r="C21" s="8" t="n"/>
      <c r="D21" s="8" t="n"/>
      <c r="E21" s="28">
        <f>IF(D21="","",T(IFERROR(INDEX(Agentes!$N$6:$N$60,MATCH(D21,Agentes!$A$6:$A$60,0)),"")))</f>
        <v/>
      </c>
      <c r="F21" s="32">
        <f>IF(D21="","",IF(N(IFERROR(INDEX(Agentes!$O$6:$O$60,MATCH(D21,Agentes!$A$6:$A$60,0)),0))=0,"",IFERROR(INDEX(Agentes!$O$6:$O$60,MATCH(D21,Agentes!$A$6:$A$60,0)),"")))</f>
        <v/>
      </c>
      <c r="G21" s="9" t="n"/>
      <c r="H21" s="33" t="n"/>
      <c r="I21" s="29">
        <f>IF(AND(ISNUMBER(H21),ISNUMBER(F21)),H21/F21,"")</f>
        <v/>
      </c>
      <c r="J21" s="28">
        <f>IF(D21="","",IF(NOT(ISNUMBER(F21)),"Sin BEI para este agente",IF(I21="","Pendiente de resultado",IF(I21&gt;1,"Supera el BEI: investigar","Dentro del BEI"))))</f>
        <v/>
      </c>
      <c r="K21" s="28">
        <f>IF(D21="","",IFERROR(INDEX(Agentes!$Q$6:$Q$60,MATCH(D21,Agentes!$A$6:$A$60,0)),""))</f>
        <v/>
      </c>
      <c r="L21" s="8" t="n"/>
    </row>
    <row r="22">
      <c r="A22" s="8" t="n"/>
      <c r="B22" s="8" t="n"/>
      <c r="C22" s="8" t="n"/>
      <c r="D22" s="8" t="n"/>
      <c r="E22" s="28">
        <f>IF(D22="","",T(IFERROR(INDEX(Agentes!$N$6:$N$60,MATCH(D22,Agentes!$A$6:$A$60,0)),"")))</f>
        <v/>
      </c>
      <c r="F22" s="32">
        <f>IF(D22="","",IF(N(IFERROR(INDEX(Agentes!$O$6:$O$60,MATCH(D22,Agentes!$A$6:$A$60,0)),0))=0,"",IFERROR(INDEX(Agentes!$O$6:$O$60,MATCH(D22,Agentes!$A$6:$A$60,0)),"")))</f>
        <v/>
      </c>
      <c r="G22" s="9" t="n"/>
      <c r="H22" s="33" t="n"/>
      <c r="I22" s="29">
        <f>IF(AND(ISNUMBER(H22),ISNUMBER(F22)),H22/F22,"")</f>
        <v/>
      </c>
      <c r="J22" s="28">
        <f>IF(D22="","",IF(NOT(ISNUMBER(F22)),"Sin BEI para este agente",IF(I22="","Pendiente de resultado",IF(I22&gt;1,"Supera el BEI: investigar","Dentro del BEI"))))</f>
        <v/>
      </c>
      <c r="K22" s="28">
        <f>IF(D22="","",IFERROR(INDEX(Agentes!$Q$6:$Q$60,MATCH(D22,Agentes!$A$6:$A$60,0)),""))</f>
        <v/>
      </c>
      <c r="L22" s="8" t="n"/>
    </row>
    <row r="23">
      <c r="A23" s="8" t="n"/>
      <c r="B23" s="8" t="n"/>
      <c r="C23" s="8" t="n"/>
      <c r="D23" s="8" t="n"/>
      <c r="E23" s="28">
        <f>IF(D23="","",T(IFERROR(INDEX(Agentes!$N$6:$N$60,MATCH(D23,Agentes!$A$6:$A$60,0)),"")))</f>
        <v/>
      </c>
      <c r="F23" s="32">
        <f>IF(D23="","",IF(N(IFERROR(INDEX(Agentes!$O$6:$O$60,MATCH(D23,Agentes!$A$6:$A$60,0)),0))=0,"",IFERROR(INDEX(Agentes!$O$6:$O$60,MATCH(D23,Agentes!$A$6:$A$60,0)),"")))</f>
        <v/>
      </c>
      <c r="G23" s="9" t="n"/>
      <c r="H23" s="33" t="n"/>
      <c r="I23" s="29">
        <f>IF(AND(ISNUMBER(H23),ISNUMBER(F23)),H23/F23,"")</f>
        <v/>
      </c>
      <c r="J23" s="28">
        <f>IF(D23="","",IF(NOT(ISNUMBER(F23)),"Sin BEI para este agente",IF(I23="","Pendiente de resultado",IF(I23&gt;1,"Supera el BEI: investigar","Dentro del BEI"))))</f>
        <v/>
      </c>
      <c r="K23" s="28">
        <f>IF(D23="","",IFERROR(INDEX(Agentes!$Q$6:$Q$60,MATCH(D23,Agentes!$A$6:$A$60,0)),""))</f>
        <v/>
      </c>
      <c r="L23" s="8" t="n"/>
    </row>
    <row r="24">
      <c r="A24" s="8" t="n"/>
      <c r="B24" s="8" t="n"/>
      <c r="C24" s="8" t="n"/>
      <c r="D24" s="8" t="n"/>
      <c r="E24" s="28">
        <f>IF(D24="","",T(IFERROR(INDEX(Agentes!$N$6:$N$60,MATCH(D24,Agentes!$A$6:$A$60,0)),"")))</f>
        <v/>
      </c>
      <c r="F24" s="32">
        <f>IF(D24="","",IF(N(IFERROR(INDEX(Agentes!$O$6:$O$60,MATCH(D24,Agentes!$A$6:$A$60,0)),0))=0,"",IFERROR(INDEX(Agentes!$O$6:$O$60,MATCH(D24,Agentes!$A$6:$A$60,0)),"")))</f>
        <v/>
      </c>
      <c r="G24" s="9" t="n"/>
      <c r="H24" s="33" t="n"/>
      <c r="I24" s="29">
        <f>IF(AND(ISNUMBER(H24),ISNUMBER(F24)),H24/F24,"")</f>
        <v/>
      </c>
      <c r="J24" s="28">
        <f>IF(D24="","",IF(NOT(ISNUMBER(F24)),"Sin BEI para este agente",IF(I24="","Pendiente de resultado",IF(I24&gt;1,"Supera el BEI: investigar","Dentro del BEI"))))</f>
        <v/>
      </c>
      <c r="K24" s="28">
        <f>IF(D24="","",IFERROR(INDEX(Agentes!$Q$6:$Q$60,MATCH(D24,Agentes!$A$6:$A$60,0)),""))</f>
        <v/>
      </c>
      <c r="L24" s="8" t="n"/>
    </row>
    <row r="25">
      <c r="A25" s="8" t="n"/>
      <c r="B25" s="8" t="n"/>
      <c r="C25" s="8" t="n"/>
      <c r="D25" s="8" t="n"/>
      <c r="E25" s="28">
        <f>IF(D25="","",T(IFERROR(INDEX(Agentes!$N$6:$N$60,MATCH(D25,Agentes!$A$6:$A$60,0)),"")))</f>
        <v/>
      </c>
      <c r="F25" s="32">
        <f>IF(D25="","",IF(N(IFERROR(INDEX(Agentes!$O$6:$O$60,MATCH(D25,Agentes!$A$6:$A$60,0)),0))=0,"",IFERROR(INDEX(Agentes!$O$6:$O$60,MATCH(D25,Agentes!$A$6:$A$60,0)),"")))</f>
        <v/>
      </c>
      <c r="G25" s="9" t="n"/>
      <c r="H25" s="33" t="n"/>
      <c r="I25" s="29">
        <f>IF(AND(ISNUMBER(H25),ISNUMBER(F25)),H25/F25,"")</f>
        <v/>
      </c>
      <c r="J25" s="28">
        <f>IF(D25="","",IF(NOT(ISNUMBER(F25)),"Sin BEI para este agente",IF(I25="","Pendiente de resultado",IF(I25&gt;1,"Supera el BEI: investigar","Dentro del BEI"))))</f>
        <v/>
      </c>
      <c r="K25" s="28">
        <f>IF(D25="","",IFERROR(INDEX(Agentes!$Q$6:$Q$60,MATCH(D25,Agentes!$A$6:$A$60,0)),""))</f>
        <v/>
      </c>
      <c r="L25" s="8" t="n"/>
    </row>
    <row r="26">
      <c r="A26" s="8" t="n"/>
      <c r="B26" s="8" t="n"/>
      <c r="C26" s="8" t="n"/>
      <c r="D26" s="8" t="n"/>
      <c r="E26" s="28">
        <f>IF(D26="","",T(IFERROR(INDEX(Agentes!$N$6:$N$60,MATCH(D26,Agentes!$A$6:$A$60,0)),"")))</f>
        <v/>
      </c>
      <c r="F26" s="32">
        <f>IF(D26="","",IF(N(IFERROR(INDEX(Agentes!$O$6:$O$60,MATCH(D26,Agentes!$A$6:$A$60,0)),0))=0,"",IFERROR(INDEX(Agentes!$O$6:$O$60,MATCH(D26,Agentes!$A$6:$A$60,0)),"")))</f>
        <v/>
      </c>
      <c r="G26" s="9" t="n"/>
      <c r="H26" s="33" t="n"/>
      <c r="I26" s="29">
        <f>IF(AND(ISNUMBER(H26),ISNUMBER(F26)),H26/F26,"")</f>
        <v/>
      </c>
      <c r="J26" s="28">
        <f>IF(D26="","",IF(NOT(ISNUMBER(F26)),"Sin BEI para este agente",IF(I26="","Pendiente de resultado",IF(I26&gt;1,"Supera el BEI: investigar","Dentro del BEI"))))</f>
        <v/>
      </c>
      <c r="K26" s="28">
        <f>IF(D26="","",IFERROR(INDEX(Agentes!$Q$6:$Q$60,MATCH(D26,Agentes!$A$6:$A$60,0)),""))</f>
        <v/>
      </c>
      <c r="L26" s="8" t="n"/>
    </row>
    <row r="27">
      <c r="A27" s="8" t="n"/>
      <c r="B27" s="8" t="n"/>
      <c r="C27" s="8" t="n"/>
      <c r="D27" s="8" t="n"/>
      <c r="E27" s="28">
        <f>IF(D27="","",T(IFERROR(INDEX(Agentes!$N$6:$N$60,MATCH(D27,Agentes!$A$6:$A$60,0)),"")))</f>
        <v/>
      </c>
      <c r="F27" s="32">
        <f>IF(D27="","",IF(N(IFERROR(INDEX(Agentes!$O$6:$O$60,MATCH(D27,Agentes!$A$6:$A$60,0)),0))=0,"",IFERROR(INDEX(Agentes!$O$6:$O$60,MATCH(D27,Agentes!$A$6:$A$60,0)),"")))</f>
        <v/>
      </c>
      <c r="G27" s="9" t="n"/>
      <c r="H27" s="33" t="n"/>
      <c r="I27" s="29">
        <f>IF(AND(ISNUMBER(H27),ISNUMBER(F27)),H27/F27,"")</f>
        <v/>
      </c>
      <c r="J27" s="28">
        <f>IF(D27="","",IF(NOT(ISNUMBER(F27)),"Sin BEI para este agente",IF(I27="","Pendiente de resultado",IF(I27&gt;1,"Supera el BEI: investigar","Dentro del BEI"))))</f>
        <v/>
      </c>
      <c r="K27" s="28">
        <f>IF(D27="","",IFERROR(INDEX(Agentes!$Q$6:$Q$60,MATCH(D27,Agentes!$A$6:$A$60,0)),""))</f>
        <v/>
      </c>
      <c r="L27" s="8" t="n"/>
    </row>
    <row r="28">
      <c r="A28" s="8" t="n"/>
      <c r="B28" s="8" t="n"/>
      <c r="C28" s="8" t="n"/>
      <c r="D28" s="8" t="n"/>
      <c r="E28" s="28">
        <f>IF(D28="","",T(IFERROR(INDEX(Agentes!$N$6:$N$60,MATCH(D28,Agentes!$A$6:$A$60,0)),"")))</f>
        <v/>
      </c>
      <c r="F28" s="32">
        <f>IF(D28="","",IF(N(IFERROR(INDEX(Agentes!$O$6:$O$60,MATCH(D28,Agentes!$A$6:$A$60,0)),0))=0,"",IFERROR(INDEX(Agentes!$O$6:$O$60,MATCH(D28,Agentes!$A$6:$A$60,0)),"")))</f>
        <v/>
      </c>
      <c r="G28" s="9" t="n"/>
      <c r="H28" s="33" t="n"/>
      <c r="I28" s="29">
        <f>IF(AND(ISNUMBER(H28),ISNUMBER(F28)),H28/F28,"")</f>
        <v/>
      </c>
      <c r="J28" s="28">
        <f>IF(D28="","",IF(NOT(ISNUMBER(F28)),"Sin BEI para este agente",IF(I28="","Pendiente de resultado",IF(I28&gt;1,"Supera el BEI: investigar","Dentro del BEI"))))</f>
        <v/>
      </c>
      <c r="K28" s="28">
        <f>IF(D28="","",IFERROR(INDEX(Agentes!$Q$6:$Q$60,MATCH(D28,Agentes!$A$6:$A$60,0)),""))</f>
        <v/>
      </c>
      <c r="L28" s="8" t="n"/>
    </row>
    <row r="29">
      <c r="A29" s="8" t="n"/>
      <c r="B29" s="8" t="n"/>
      <c r="C29" s="8" t="n"/>
      <c r="D29" s="8" t="n"/>
      <c r="E29" s="28">
        <f>IF(D29="","",T(IFERROR(INDEX(Agentes!$N$6:$N$60,MATCH(D29,Agentes!$A$6:$A$60,0)),"")))</f>
        <v/>
      </c>
      <c r="F29" s="32">
        <f>IF(D29="","",IF(N(IFERROR(INDEX(Agentes!$O$6:$O$60,MATCH(D29,Agentes!$A$6:$A$60,0)),0))=0,"",IFERROR(INDEX(Agentes!$O$6:$O$60,MATCH(D29,Agentes!$A$6:$A$60,0)),"")))</f>
        <v/>
      </c>
      <c r="G29" s="9" t="n"/>
      <c r="H29" s="33" t="n"/>
      <c r="I29" s="29">
        <f>IF(AND(ISNUMBER(H29),ISNUMBER(F29)),H29/F29,"")</f>
        <v/>
      </c>
      <c r="J29" s="28">
        <f>IF(D29="","",IF(NOT(ISNUMBER(F29)),"Sin BEI para este agente",IF(I29="","Pendiente de resultado",IF(I29&gt;1,"Supera el BEI: investigar","Dentro del BEI"))))</f>
        <v/>
      </c>
      <c r="K29" s="28">
        <f>IF(D29="","",IFERROR(INDEX(Agentes!$Q$6:$Q$60,MATCH(D29,Agentes!$A$6:$A$60,0)),""))</f>
        <v/>
      </c>
      <c r="L29" s="8" t="n"/>
    </row>
    <row r="30">
      <c r="A30" s="8" t="n"/>
      <c r="B30" s="8" t="n"/>
      <c r="C30" s="8" t="n"/>
      <c r="D30" s="8" t="n"/>
      <c r="E30" s="28">
        <f>IF(D30="","",T(IFERROR(INDEX(Agentes!$N$6:$N$60,MATCH(D30,Agentes!$A$6:$A$60,0)),"")))</f>
        <v/>
      </c>
      <c r="F30" s="32">
        <f>IF(D30="","",IF(N(IFERROR(INDEX(Agentes!$O$6:$O$60,MATCH(D30,Agentes!$A$6:$A$60,0)),0))=0,"",IFERROR(INDEX(Agentes!$O$6:$O$60,MATCH(D30,Agentes!$A$6:$A$60,0)),"")))</f>
        <v/>
      </c>
      <c r="G30" s="9" t="n"/>
      <c r="H30" s="33" t="n"/>
      <c r="I30" s="29">
        <f>IF(AND(ISNUMBER(H30),ISNUMBER(F30)),H30/F30,"")</f>
        <v/>
      </c>
      <c r="J30" s="28">
        <f>IF(D30="","",IF(NOT(ISNUMBER(F30)),"Sin BEI para este agente",IF(I30="","Pendiente de resultado",IF(I30&gt;1,"Supera el BEI: investigar","Dentro del BEI"))))</f>
        <v/>
      </c>
      <c r="K30" s="28">
        <f>IF(D30="","",IFERROR(INDEX(Agentes!$Q$6:$Q$60,MATCH(D30,Agentes!$A$6:$A$60,0)),""))</f>
        <v/>
      </c>
      <c r="L30" s="8" t="n"/>
    </row>
    <row r="31">
      <c r="A31" s="8" t="n"/>
      <c r="B31" s="8" t="n"/>
      <c r="C31" s="8" t="n"/>
      <c r="D31" s="8" t="n"/>
      <c r="E31" s="28">
        <f>IF(D31="","",T(IFERROR(INDEX(Agentes!$N$6:$N$60,MATCH(D31,Agentes!$A$6:$A$60,0)),"")))</f>
        <v/>
      </c>
      <c r="F31" s="32">
        <f>IF(D31="","",IF(N(IFERROR(INDEX(Agentes!$O$6:$O$60,MATCH(D31,Agentes!$A$6:$A$60,0)),0))=0,"",IFERROR(INDEX(Agentes!$O$6:$O$60,MATCH(D31,Agentes!$A$6:$A$60,0)),"")))</f>
        <v/>
      </c>
      <c r="G31" s="9" t="n"/>
      <c r="H31" s="33" t="n"/>
      <c r="I31" s="29">
        <f>IF(AND(ISNUMBER(H31),ISNUMBER(F31)),H31/F31,"")</f>
        <v/>
      </c>
      <c r="J31" s="28">
        <f>IF(D31="","",IF(NOT(ISNUMBER(F31)),"Sin BEI para este agente",IF(I31="","Pendiente de resultado",IF(I31&gt;1,"Supera el BEI: investigar","Dentro del BEI"))))</f>
        <v/>
      </c>
      <c r="K31" s="28">
        <f>IF(D31="","",IFERROR(INDEX(Agentes!$Q$6:$Q$60,MATCH(D31,Agentes!$A$6:$A$60,0)),""))</f>
        <v/>
      </c>
      <c r="L31" s="8" t="n"/>
    </row>
    <row r="32">
      <c r="A32" s="8" t="n"/>
      <c r="B32" s="8" t="n"/>
      <c r="C32" s="8" t="n"/>
      <c r="D32" s="8" t="n"/>
      <c r="E32" s="28">
        <f>IF(D32="","",T(IFERROR(INDEX(Agentes!$N$6:$N$60,MATCH(D32,Agentes!$A$6:$A$60,0)),"")))</f>
        <v/>
      </c>
      <c r="F32" s="32">
        <f>IF(D32="","",IF(N(IFERROR(INDEX(Agentes!$O$6:$O$60,MATCH(D32,Agentes!$A$6:$A$60,0)),0))=0,"",IFERROR(INDEX(Agentes!$O$6:$O$60,MATCH(D32,Agentes!$A$6:$A$60,0)),"")))</f>
        <v/>
      </c>
      <c r="G32" s="9" t="n"/>
      <c r="H32" s="33" t="n"/>
      <c r="I32" s="29">
        <f>IF(AND(ISNUMBER(H32),ISNUMBER(F32)),H32/F32,"")</f>
        <v/>
      </c>
      <c r="J32" s="28">
        <f>IF(D32="","",IF(NOT(ISNUMBER(F32)),"Sin BEI para este agente",IF(I32="","Pendiente de resultado",IF(I32&gt;1,"Supera el BEI: investigar","Dentro del BEI"))))</f>
        <v/>
      </c>
      <c r="K32" s="28">
        <f>IF(D32="","",IFERROR(INDEX(Agentes!$Q$6:$Q$60,MATCH(D32,Agentes!$A$6:$A$60,0)),""))</f>
        <v/>
      </c>
      <c r="L32" s="8" t="n"/>
    </row>
    <row r="33">
      <c r="A33" s="8" t="n"/>
      <c r="B33" s="8" t="n"/>
      <c r="C33" s="8" t="n"/>
      <c r="D33" s="8" t="n"/>
      <c r="E33" s="28">
        <f>IF(D33="","",T(IFERROR(INDEX(Agentes!$N$6:$N$60,MATCH(D33,Agentes!$A$6:$A$60,0)),"")))</f>
        <v/>
      </c>
      <c r="F33" s="32">
        <f>IF(D33="","",IF(N(IFERROR(INDEX(Agentes!$O$6:$O$60,MATCH(D33,Agentes!$A$6:$A$60,0)),0))=0,"",IFERROR(INDEX(Agentes!$O$6:$O$60,MATCH(D33,Agentes!$A$6:$A$60,0)),"")))</f>
        <v/>
      </c>
      <c r="G33" s="9" t="n"/>
      <c r="H33" s="33" t="n"/>
      <c r="I33" s="29">
        <f>IF(AND(ISNUMBER(H33),ISNUMBER(F33)),H33/F33,"")</f>
        <v/>
      </c>
      <c r="J33" s="28">
        <f>IF(D33="","",IF(NOT(ISNUMBER(F33)),"Sin BEI para este agente",IF(I33="","Pendiente de resultado",IF(I33&gt;1,"Supera el BEI: investigar","Dentro del BEI"))))</f>
        <v/>
      </c>
      <c r="K33" s="28">
        <f>IF(D33="","",IFERROR(INDEX(Agentes!$Q$6:$Q$60,MATCH(D33,Agentes!$A$6:$A$60,0)),""))</f>
        <v/>
      </c>
      <c r="L33" s="8" t="n"/>
    </row>
    <row r="34">
      <c r="A34" s="8" t="n"/>
      <c r="B34" s="8" t="n"/>
      <c r="C34" s="8" t="n"/>
      <c r="D34" s="8" t="n"/>
      <c r="E34" s="28">
        <f>IF(D34="","",T(IFERROR(INDEX(Agentes!$N$6:$N$60,MATCH(D34,Agentes!$A$6:$A$60,0)),"")))</f>
        <v/>
      </c>
      <c r="F34" s="32">
        <f>IF(D34="","",IF(N(IFERROR(INDEX(Agentes!$O$6:$O$60,MATCH(D34,Agentes!$A$6:$A$60,0)),0))=0,"",IFERROR(INDEX(Agentes!$O$6:$O$60,MATCH(D34,Agentes!$A$6:$A$60,0)),"")))</f>
        <v/>
      </c>
      <c r="G34" s="9" t="n"/>
      <c r="H34" s="33" t="n"/>
      <c r="I34" s="29">
        <f>IF(AND(ISNUMBER(H34),ISNUMBER(F34)),H34/F34,"")</f>
        <v/>
      </c>
      <c r="J34" s="28">
        <f>IF(D34="","",IF(NOT(ISNUMBER(F34)),"Sin BEI para este agente",IF(I34="","Pendiente de resultado",IF(I34&gt;1,"Supera el BEI: investigar","Dentro del BEI"))))</f>
        <v/>
      </c>
      <c r="K34" s="28">
        <f>IF(D34="","",IFERROR(INDEX(Agentes!$Q$6:$Q$60,MATCH(D34,Agentes!$A$6:$A$60,0)),""))</f>
        <v/>
      </c>
      <c r="L34" s="8" t="n"/>
    </row>
    <row r="35">
      <c r="A35" s="8" t="n"/>
      <c r="B35" s="8" t="n"/>
      <c r="C35" s="8" t="n"/>
      <c r="D35" s="8" t="n"/>
      <c r="E35" s="28">
        <f>IF(D35="","",T(IFERROR(INDEX(Agentes!$N$6:$N$60,MATCH(D35,Agentes!$A$6:$A$60,0)),"")))</f>
        <v/>
      </c>
      <c r="F35" s="32">
        <f>IF(D35="","",IF(N(IFERROR(INDEX(Agentes!$O$6:$O$60,MATCH(D35,Agentes!$A$6:$A$60,0)),0))=0,"",IFERROR(INDEX(Agentes!$O$6:$O$60,MATCH(D35,Agentes!$A$6:$A$60,0)),"")))</f>
        <v/>
      </c>
      <c r="G35" s="9" t="n"/>
      <c r="H35" s="33" t="n"/>
      <c r="I35" s="29">
        <f>IF(AND(ISNUMBER(H35),ISNUMBER(F35)),H35/F35,"")</f>
        <v/>
      </c>
      <c r="J35" s="28">
        <f>IF(D35="","",IF(NOT(ISNUMBER(F35)),"Sin BEI para este agente",IF(I35="","Pendiente de resultado",IF(I35&gt;1,"Supera el BEI: investigar","Dentro del BEI"))))</f>
        <v/>
      </c>
      <c r="K35" s="28">
        <f>IF(D35="","",IFERROR(INDEX(Agentes!$Q$6:$Q$60,MATCH(D35,Agentes!$A$6:$A$60,0)),""))</f>
        <v/>
      </c>
      <c r="L35" s="8" t="n"/>
    </row>
    <row r="36">
      <c r="A36" s="8" t="n"/>
      <c r="B36" s="8" t="n"/>
      <c r="C36" s="8" t="n"/>
      <c r="D36" s="8" t="n"/>
      <c r="E36" s="28">
        <f>IF(D36="","",T(IFERROR(INDEX(Agentes!$N$6:$N$60,MATCH(D36,Agentes!$A$6:$A$60,0)),"")))</f>
        <v/>
      </c>
      <c r="F36" s="32">
        <f>IF(D36="","",IF(N(IFERROR(INDEX(Agentes!$O$6:$O$60,MATCH(D36,Agentes!$A$6:$A$60,0)),0))=0,"",IFERROR(INDEX(Agentes!$O$6:$O$60,MATCH(D36,Agentes!$A$6:$A$60,0)),"")))</f>
        <v/>
      </c>
      <c r="G36" s="9" t="n"/>
      <c r="H36" s="33" t="n"/>
      <c r="I36" s="29">
        <f>IF(AND(ISNUMBER(H36),ISNUMBER(F36)),H36/F36,"")</f>
        <v/>
      </c>
      <c r="J36" s="28">
        <f>IF(D36="","",IF(NOT(ISNUMBER(F36)),"Sin BEI para este agente",IF(I36="","Pendiente de resultado",IF(I36&gt;1,"Supera el BEI: investigar","Dentro del BEI"))))</f>
        <v/>
      </c>
      <c r="K36" s="28">
        <f>IF(D36="","",IFERROR(INDEX(Agentes!$Q$6:$Q$60,MATCH(D36,Agentes!$A$6:$A$60,0)),""))</f>
        <v/>
      </c>
      <c r="L36" s="8" t="n"/>
    </row>
    <row r="37">
      <c r="A37" s="8" t="n"/>
      <c r="B37" s="8" t="n"/>
      <c r="C37" s="8" t="n"/>
      <c r="D37" s="8" t="n"/>
      <c r="E37" s="28">
        <f>IF(D37="","",T(IFERROR(INDEX(Agentes!$N$6:$N$60,MATCH(D37,Agentes!$A$6:$A$60,0)),"")))</f>
        <v/>
      </c>
      <c r="F37" s="32">
        <f>IF(D37="","",IF(N(IFERROR(INDEX(Agentes!$O$6:$O$60,MATCH(D37,Agentes!$A$6:$A$60,0)),0))=0,"",IFERROR(INDEX(Agentes!$O$6:$O$60,MATCH(D37,Agentes!$A$6:$A$60,0)),"")))</f>
        <v/>
      </c>
      <c r="G37" s="9" t="n"/>
      <c r="H37" s="33" t="n"/>
      <c r="I37" s="29">
        <f>IF(AND(ISNUMBER(H37),ISNUMBER(F37)),H37/F37,"")</f>
        <v/>
      </c>
      <c r="J37" s="28">
        <f>IF(D37="","",IF(NOT(ISNUMBER(F37)),"Sin BEI para este agente",IF(I37="","Pendiente de resultado",IF(I37&gt;1,"Supera el BEI: investigar","Dentro del BEI"))))</f>
        <v/>
      </c>
      <c r="K37" s="28">
        <f>IF(D37="","",IFERROR(INDEX(Agentes!$Q$6:$Q$60,MATCH(D37,Agentes!$A$6:$A$60,0)),""))</f>
        <v/>
      </c>
      <c r="L37" s="8" t="n"/>
    </row>
    <row r="38">
      <c r="A38" s="8" t="n"/>
      <c r="B38" s="8" t="n"/>
      <c r="C38" s="8" t="n"/>
      <c r="D38" s="8" t="n"/>
      <c r="E38" s="28">
        <f>IF(D38="","",T(IFERROR(INDEX(Agentes!$N$6:$N$60,MATCH(D38,Agentes!$A$6:$A$60,0)),"")))</f>
        <v/>
      </c>
      <c r="F38" s="32">
        <f>IF(D38="","",IF(N(IFERROR(INDEX(Agentes!$O$6:$O$60,MATCH(D38,Agentes!$A$6:$A$60,0)),0))=0,"",IFERROR(INDEX(Agentes!$O$6:$O$60,MATCH(D38,Agentes!$A$6:$A$60,0)),"")))</f>
        <v/>
      </c>
      <c r="G38" s="9" t="n"/>
      <c r="H38" s="33" t="n"/>
      <c r="I38" s="29">
        <f>IF(AND(ISNUMBER(H38),ISNUMBER(F38)),H38/F38,"")</f>
        <v/>
      </c>
      <c r="J38" s="28">
        <f>IF(D38="","",IF(NOT(ISNUMBER(F38)),"Sin BEI para este agente",IF(I38="","Pendiente de resultado",IF(I38&gt;1,"Supera el BEI: investigar","Dentro del BEI"))))</f>
        <v/>
      </c>
      <c r="K38" s="28">
        <f>IF(D38="","",IFERROR(INDEX(Agentes!$Q$6:$Q$60,MATCH(D38,Agentes!$A$6:$A$60,0)),""))</f>
        <v/>
      </c>
      <c r="L38" s="8" t="n"/>
    </row>
    <row r="39">
      <c r="A39" s="8" t="n"/>
      <c r="B39" s="8" t="n"/>
      <c r="C39" s="8" t="n"/>
      <c r="D39" s="8" t="n"/>
      <c r="E39" s="28">
        <f>IF(D39="","",T(IFERROR(INDEX(Agentes!$N$6:$N$60,MATCH(D39,Agentes!$A$6:$A$60,0)),"")))</f>
        <v/>
      </c>
      <c r="F39" s="32">
        <f>IF(D39="","",IF(N(IFERROR(INDEX(Agentes!$O$6:$O$60,MATCH(D39,Agentes!$A$6:$A$60,0)),0))=0,"",IFERROR(INDEX(Agentes!$O$6:$O$60,MATCH(D39,Agentes!$A$6:$A$60,0)),"")))</f>
        <v/>
      </c>
      <c r="G39" s="9" t="n"/>
      <c r="H39" s="33" t="n"/>
      <c r="I39" s="29">
        <f>IF(AND(ISNUMBER(H39),ISNUMBER(F39)),H39/F39,"")</f>
        <v/>
      </c>
      <c r="J39" s="28">
        <f>IF(D39="","",IF(NOT(ISNUMBER(F39)),"Sin BEI para este agente",IF(I39="","Pendiente de resultado",IF(I39&gt;1,"Supera el BEI: investigar","Dentro del BEI"))))</f>
        <v/>
      </c>
      <c r="K39" s="28">
        <f>IF(D39="","",IFERROR(INDEX(Agentes!$Q$6:$Q$60,MATCH(D39,Agentes!$A$6:$A$60,0)),""))</f>
        <v/>
      </c>
      <c r="L39" s="8" t="n"/>
    </row>
    <row r="40">
      <c r="A40" s="8" t="n"/>
      <c r="B40" s="8" t="n"/>
      <c r="C40" s="8" t="n"/>
      <c r="D40" s="8" t="n"/>
      <c r="E40" s="28">
        <f>IF(D40="","",T(IFERROR(INDEX(Agentes!$N$6:$N$60,MATCH(D40,Agentes!$A$6:$A$60,0)),"")))</f>
        <v/>
      </c>
      <c r="F40" s="32">
        <f>IF(D40="","",IF(N(IFERROR(INDEX(Agentes!$O$6:$O$60,MATCH(D40,Agentes!$A$6:$A$60,0)),0))=0,"",IFERROR(INDEX(Agentes!$O$6:$O$60,MATCH(D40,Agentes!$A$6:$A$60,0)),"")))</f>
        <v/>
      </c>
      <c r="G40" s="9" t="n"/>
      <c r="H40" s="33" t="n"/>
      <c r="I40" s="29">
        <f>IF(AND(ISNUMBER(H40),ISNUMBER(F40)),H40/F40,"")</f>
        <v/>
      </c>
      <c r="J40" s="28">
        <f>IF(D40="","",IF(NOT(ISNUMBER(F40)),"Sin BEI para este agente",IF(I40="","Pendiente de resultado",IF(I40&gt;1,"Supera el BEI: investigar","Dentro del BEI"))))</f>
        <v/>
      </c>
      <c r="K40" s="28">
        <f>IF(D40="","",IFERROR(INDEX(Agentes!$Q$6:$Q$60,MATCH(D40,Agentes!$A$6:$A$60,0)),""))</f>
        <v/>
      </c>
      <c r="L40" s="8" t="n"/>
    </row>
    <row r="41">
      <c r="A41" s="8" t="n"/>
      <c r="B41" s="8" t="n"/>
      <c r="C41" s="8" t="n"/>
      <c r="D41" s="8" t="n"/>
      <c r="E41" s="28">
        <f>IF(D41="","",T(IFERROR(INDEX(Agentes!$N$6:$N$60,MATCH(D41,Agentes!$A$6:$A$60,0)),"")))</f>
        <v/>
      </c>
      <c r="F41" s="32">
        <f>IF(D41="","",IF(N(IFERROR(INDEX(Agentes!$O$6:$O$60,MATCH(D41,Agentes!$A$6:$A$60,0)),0))=0,"",IFERROR(INDEX(Agentes!$O$6:$O$60,MATCH(D41,Agentes!$A$6:$A$60,0)),"")))</f>
        <v/>
      </c>
      <c r="G41" s="9" t="n"/>
      <c r="H41" s="33" t="n"/>
      <c r="I41" s="29">
        <f>IF(AND(ISNUMBER(H41),ISNUMBER(F41)),H41/F41,"")</f>
        <v/>
      </c>
      <c r="J41" s="28">
        <f>IF(D41="","",IF(NOT(ISNUMBER(F41)),"Sin BEI para este agente",IF(I41="","Pendiente de resultado",IF(I41&gt;1,"Supera el BEI: investigar","Dentro del BEI"))))</f>
        <v/>
      </c>
      <c r="K41" s="28">
        <f>IF(D41="","",IFERROR(INDEX(Agentes!$Q$6:$Q$60,MATCH(D41,Agentes!$A$6:$A$60,0)),""))</f>
        <v/>
      </c>
      <c r="L41" s="8" t="n"/>
    </row>
    <row r="42">
      <c r="A42" s="8" t="n"/>
      <c r="B42" s="8" t="n"/>
      <c r="C42" s="8" t="n"/>
      <c r="D42" s="8" t="n"/>
      <c r="E42" s="28">
        <f>IF(D42="","",T(IFERROR(INDEX(Agentes!$N$6:$N$60,MATCH(D42,Agentes!$A$6:$A$60,0)),"")))</f>
        <v/>
      </c>
      <c r="F42" s="32">
        <f>IF(D42="","",IF(N(IFERROR(INDEX(Agentes!$O$6:$O$60,MATCH(D42,Agentes!$A$6:$A$60,0)),0))=0,"",IFERROR(INDEX(Agentes!$O$6:$O$60,MATCH(D42,Agentes!$A$6:$A$60,0)),"")))</f>
        <v/>
      </c>
      <c r="G42" s="9" t="n"/>
      <c r="H42" s="33" t="n"/>
      <c r="I42" s="29">
        <f>IF(AND(ISNUMBER(H42),ISNUMBER(F42)),H42/F42,"")</f>
        <v/>
      </c>
      <c r="J42" s="28">
        <f>IF(D42="","",IF(NOT(ISNUMBER(F42)),"Sin BEI para este agente",IF(I42="","Pendiente de resultado",IF(I42&gt;1,"Supera el BEI: investigar","Dentro del BEI"))))</f>
        <v/>
      </c>
      <c r="K42" s="28">
        <f>IF(D42="","",IFERROR(INDEX(Agentes!$Q$6:$Q$60,MATCH(D42,Agentes!$A$6:$A$60,0)),""))</f>
        <v/>
      </c>
      <c r="L42" s="8" t="n"/>
    </row>
    <row r="43">
      <c r="A43" s="8" t="n"/>
      <c r="B43" s="8" t="n"/>
      <c r="C43" s="8" t="n"/>
      <c r="D43" s="8" t="n"/>
      <c r="E43" s="28">
        <f>IF(D43="","",T(IFERROR(INDEX(Agentes!$N$6:$N$60,MATCH(D43,Agentes!$A$6:$A$60,0)),"")))</f>
        <v/>
      </c>
      <c r="F43" s="32">
        <f>IF(D43="","",IF(N(IFERROR(INDEX(Agentes!$O$6:$O$60,MATCH(D43,Agentes!$A$6:$A$60,0)),0))=0,"",IFERROR(INDEX(Agentes!$O$6:$O$60,MATCH(D43,Agentes!$A$6:$A$60,0)),"")))</f>
        <v/>
      </c>
      <c r="G43" s="9" t="n"/>
      <c r="H43" s="33" t="n"/>
      <c r="I43" s="29">
        <f>IF(AND(ISNUMBER(H43),ISNUMBER(F43)),H43/F43,"")</f>
        <v/>
      </c>
      <c r="J43" s="28">
        <f>IF(D43="","",IF(NOT(ISNUMBER(F43)),"Sin BEI para este agente",IF(I43="","Pendiente de resultado",IF(I43&gt;1,"Supera el BEI: investigar","Dentro del BEI"))))</f>
        <v/>
      </c>
      <c r="K43" s="28">
        <f>IF(D43="","",IFERROR(INDEX(Agentes!$Q$6:$Q$60,MATCH(D43,Agentes!$A$6:$A$60,0)),""))</f>
        <v/>
      </c>
      <c r="L43" s="8" t="n"/>
    </row>
    <row r="44">
      <c r="A44" s="8" t="n"/>
      <c r="B44" s="8" t="n"/>
      <c r="C44" s="8" t="n"/>
      <c r="D44" s="8" t="n"/>
      <c r="E44" s="28">
        <f>IF(D44="","",T(IFERROR(INDEX(Agentes!$N$6:$N$60,MATCH(D44,Agentes!$A$6:$A$60,0)),"")))</f>
        <v/>
      </c>
      <c r="F44" s="32">
        <f>IF(D44="","",IF(N(IFERROR(INDEX(Agentes!$O$6:$O$60,MATCH(D44,Agentes!$A$6:$A$60,0)),0))=0,"",IFERROR(INDEX(Agentes!$O$6:$O$60,MATCH(D44,Agentes!$A$6:$A$60,0)),"")))</f>
        <v/>
      </c>
      <c r="G44" s="9" t="n"/>
      <c r="H44" s="33" t="n"/>
      <c r="I44" s="29">
        <f>IF(AND(ISNUMBER(H44),ISNUMBER(F44)),H44/F44,"")</f>
        <v/>
      </c>
      <c r="J44" s="28">
        <f>IF(D44="","",IF(NOT(ISNUMBER(F44)),"Sin BEI para este agente",IF(I44="","Pendiente de resultado",IF(I44&gt;1,"Supera el BEI: investigar","Dentro del BEI"))))</f>
        <v/>
      </c>
      <c r="K44" s="28">
        <f>IF(D44="","",IFERROR(INDEX(Agentes!$Q$6:$Q$60,MATCH(D44,Agentes!$A$6:$A$60,0)),""))</f>
        <v/>
      </c>
      <c r="L44" s="8" t="n"/>
    </row>
    <row r="45">
      <c r="A45" s="8" t="n"/>
      <c r="B45" s="8" t="n"/>
      <c r="C45" s="8" t="n"/>
      <c r="D45" s="8" t="n"/>
      <c r="E45" s="28">
        <f>IF(D45="","",T(IFERROR(INDEX(Agentes!$N$6:$N$60,MATCH(D45,Agentes!$A$6:$A$60,0)),"")))</f>
        <v/>
      </c>
      <c r="F45" s="32">
        <f>IF(D45="","",IF(N(IFERROR(INDEX(Agentes!$O$6:$O$60,MATCH(D45,Agentes!$A$6:$A$60,0)),0))=0,"",IFERROR(INDEX(Agentes!$O$6:$O$60,MATCH(D45,Agentes!$A$6:$A$60,0)),"")))</f>
        <v/>
      </c>
      <c r="G45" s="9" t="n"/>
      <c r="H45" s="33" t="n"/>
      <c r="I45" s="29">
        <f>IF(AND(ISNUMBER(H45),ISNUMBER(F45)),H45/F45,"")</f>
        <v/>
      </c>
      <c r="J45" s="28">
        <f>IF(D45="","",IF(NOT(ISNUMBER(F45)),"Sin BEI para este agente",IF(I45="","Pendiente de resultado",IF(I45&gt;1,"Supera el BEI: investigar","Dentro del BEI"))))</f>
        <v/>
      </c>
      <c r="K45" s="28">
        <f>IF(D45="","",IFERROR(INDEX(Agentes!$Q$6:$Q$60,MATCH(D45,Agentes!$A$6:$A$60,0)),""))</f>
        <v/>
      </c>
      <c r="L45" s="8" t="n"/>
    </row>
    <row r="46">
      <c r="A46" s="8" t="n"/>
      <c r="B46" s="8" t="n"/>
      <c r="C46" s="8" t="n"/>
      <c r="D46" s="8" t="n"/>
      <c r="E46" s="28">
        <f>IF(D46="","",T(IFERROR(INDEX(Agentes!$N$6:$N$60,MATCH(D46,Agentes!$A$6:$A$60,0)),"")))</f>
        <v/>
      </c>
      <c r="F46" s="32">
        <f>IF(D46="","",IF(N(IFERROR(INDEX(Agentes!$O$6:$O$60,MATCH(D46,Agentes!$A$6:$A$60,0)),0))=0,"",IFERROR(INDEX(Agentes!$O$6:$O$60,MATCH(D46,Agentes!$A$6:$A$60,0)),"")))</f>
        <v/>
      </c>
      <c r="G46" s="9" t="n"/>
      <c r="H46" s="33" t="n"/>
      <c r="I46" s="29">
        <f>IF(AND(ISNUMBER(H46),ISNUMBER(F46)),H46/F46,"")</f>
        <v/>
      </c>
      <c r="J46" s="28">
        <f>IF(D46="","",IF(NOT(ISNUMBER(F46)),"Sin BEI para este agente",IF(I46="","Pendiente de resultado",IF(I46&gt;1,"Supera el BEI: investigar","Dentro del BEI"))))</f>
        <v/>
      </c>
      <c r="K46" s="28">
        <f>IF(D46="","",IFERROR(INDEX(Agentes!$Q$6:$Q$60,MATCH(D46,Agentes!$A$6:$A$60,0)),""))</f>
        <v/>
      </c>
      <c r="L46" s="8" t="n"/>
    </row>
    <row r="47">
      <c r="A47" s="8" t="n"/>
      <c r="B47" s="8" t="n"/>
      <c r="C47" s="8" t="n"/>
      <c r="D47" s="8" t="n"/>
      <c r="E47" s="28">
        <f>IF(D47="","",T(IFERROR(INDEX(Agentes!$N$6:$N$60,MATCH(D47,Agentes!$A$6:$A$60,0)),"")))</f>
        <v/>
      </c>
      <c r="F47" s="32">
        <f>IF(D47="","",IF(N(IFERROR(INDEX(Agentes!$O$6:$O$60,MATCH(D47,Agentes!$A$6:$A$60,0)),0))=0,"",IFERROR(INDEX(Agentes!$O$6:$O$60,MATCH(D47,Agentes!$A$6:$A$60,0)),"")))</f>
        <v/>
      </c>
      <c r="G47" s="9" t="n"/>
      <c r="H47" s="33" t="n"/>
      <c r="I47" s="29">
        <f>IF(AND(ISNUMBER(H47),ISNUMBER(F47)),H47/F47,"")</f>
        <v/>
      </c>
      <c r="J47" s="28">
        <f>IF(D47="","",IF(NOT(ISNUMBER(F47)),"Sin BEI para este agente",IF(I47="","Pendiente de resultado",IF(I47&gt;1,"Supera el BEI: investigar","Dentro del BEI"))))</f>
        <v/>
      </c>
      <c r="K47" s="28">
        <f>IF(D47="","",IFERROR(INDEX(Agentes!$Q$6:$Q$60,MATCH(D47,Agentes!$A$6:$A$60,0)),""))</f>
        <v/>
      </c>
      <c r="L47" s="8" t="n"/>
    </row>
    <row r="48">
      <c r="A48" s="8" t="n"/>
      <c r="B48" s="8" t="n"/>
      <c r="C48" s="8" t="n"/>
      <c r="D48" s="8" t="n"/>
      <c r="E48" s="28">
        <f>IF(D48="","",T(IFERROR(INDEX(Agentes!$N$6:$N$60,MATCH(D48,Agentes!$A$6:$A$60,0)),"")))</f>
        <v/>
      </c>
      <c r="F48" s="32">
        <f>IF(D48="","",IF(N(IFERROR(INDEX(Agentes!$O$6:$O$60,MATCH(D48,Agentes!$A$6:$A$60,0)),0))=0,"",IFERROR(INDEX(Agentes!$O$6:$O$60,MATCH(D48,Agentes!$A$6:$A$60,0)),"")))</f>
        <v/>
      </c>
      <c r="G48" s="9" t="n"/>
      <c r="H48" s="33" t="n"/>
      <c r="I48" s="29">
        <f>IF(AND(ISNUMBER(H48),ISNUMBER(F48)),H48/F48,"")</f>
        <v/>
      </c>
      <c r="J48" s="28">
        <f>IF(D48="","",IF(NOT(ISNUMBER(F48)),"Sin BEI para este agente",IF(I48="","Pendiente de resultado",IF(I48&gt;1,"Supera el BEI: investigar","Dentro del BEI"))))</f>
        <v/>
      </c>
      <c r="K48" s="28">
        <f>IF(D48="","",IFERROR(INDEX(Agentes!$Q$6:$Q$60,MATCH(D48,Agentes!$A$6:$A$60,0)),""))</f>
        <v/>
      </c>
      <c r="L48" s="8" t="n"/>
    </row>
    <row r="49">
      <c r="A49" s="8" t="n"/>
      <c r="B49" s="8" t="n"/>
      <c r="C49" s="8" t="n"/>
      <c r="D49" s="8" t="n"/>
      <c r="E49" s="28">
        <f>IF(D49="","",T(IFERROR(INDEX(Agentes!$N$6:$N$60,MATCH(D49,Agentes!$A$6:$A$60,0)),"")))</f>
        <v/>
      </c>
      <c r="F49" s="32">
        <f>IF(D49="","",IF(N(IFERROR(INDEX(Agentes!$O$6:$O$60,MATCH(D49,Agentes!$A$6:$A$60,0)),0))=0,"",IFERROR(INDEX(Agentes!$O$6:$O$60,MATCH(D49,Agentes!$A$6:$A$60,0)),"")))</f>
        <v/>
      </c>
      <c r="G49" s="9" t="n"/>
      <c r="H49" s="33" t="n"/>
      <c r="I49" s="29">
        <f>IF(AND(ISNUMBER(H49),ISNUMBER(F49)),H49/F49,"")</f>
        <v/>
      </c>
      <c r="J49" s="28">
        <f>IF(D49="","",IF(NOT(ISNUMBER(F49)),"Sin BEI para este agente",IF(I49="","Pendiente de resultado",IF(I49&gt;1,"Supera el BEI: investigar","Dentro del BEI"))))</f>
        <v/>
      </c>
      <c r="K49" s="28">
        <f>IF(D49="","",IFERROR(INDEX(Agentes!$Q$6:$Q$60,MATCH(D49,Agentes!$A$6:$A$60,0)),""))</f>
        <v/>
      </c>
      <c r="L49" s="8" t="n"/>
    </row>
    <row r="50">
      <c r="A50" s="8" t="n"/>
      <c r="B50" s="8" t="n"/>
      <c r="C50" s="8" t="n"/>
      <c r="D50" s="8" t="n"/>
      <c r="E50" s="28">
        <f>IF(D50="","",T(IFERROR(INDEX(Agentes!$N$6:$N$60,MATCH(D50,Agentes!$A$6:$A$60,0)),"")))</f>
        <v/>
      </c>
      <c r="F50" s="32">
        <f>IF(D50="","",IF(N(IFERROR(INDEX(Agentes!$O$6:$O$60,MATCH(D50,Agentes!$A$6:$A$60,0)),0))=0,"",IFERROR(INDEX(Agentes!$O$6:$O$60,MATCH(D50,Agentes!$A$6:$A$60,0)),"")))</f>
        <v/>
      </c>
      <c r="G50" s="9" t="n"/>
      <c r="H50" s="33" t="n"/>
      <c r="I50" s="29">
        <f>IF(AND(ISNUMBER(H50),ISNUMBER(F50)),H50/F50,"")</f>
        <v/>
      </c>
      <c r="J50" s="28">
        <f>IF(D50="","",IF(NOT(ISNUMBER(F50)),"Sin BEI para este agente",IF(I50="","Pendiente de resultado",IF(I50&gt;1,"Supera el BEI: investigar","Dentro del BEI"))))</f>
        <v/>
      </c>
      <c r="K50" s="28">
        <f>IF(D50="","",IFERROR(INDEX(Agentes!$Q$6:$Q$60,MATCH(D50,Agentes!$A$6:$A$60,0)),""))</f>
        <v/>
      </c>
      <c r="L50" s="8" t="n"/>
    </row>
    <row r="51">
      <c r="A51" s="8" t="n"/>
      <c r="B51" s="8" t="n"/>
      <c r="C51" s="8" t="n"/>
      <c r="D51" s="8" t="n"/>
      <c r="E51" s="28">
        <f>IF(D51="","",T(IFERROR(INDEX(Agentes!$N$6:$N$60,MATCH(D51,Agentes!$A$6:$A$60,0)),"")))</f>
        <v/>
      </c>
      <c r="F51" s="32">
        <f>IF(D51="","",IF(N(IFERROR(INDEX(Agentes!$O$6:$O$60,MATCH(D51,Agentes!$A$6:$A$60,0)),0))=0,"",IFERROR(INDEX(Agentes!$O$6:$O$60,MATCH(D51,Agentes!$A$6:$A$60,0)),"")))</f>
        <v/>
      </c>
      <c r="G51" s="9" t="n"/>
      <c r="H51" s="33" t="n"/>
      <c r="I51" s="29">
        <f>IF(AND(ISNUMBER(H51),ISNUMBER(F51)),H51/F51,"")</f>
        <v/>
      </c>
      <c r="J51" s="28">
        <f>IF(D51="","",IF(NOT(ISNUMBER(F51)),"Sin BEI para este agente",IF(I51="","Pendiente de resultado",IF(I51&gt;1,"Supera el BEI: investigar","Dentro del BEI"))))</f>
        <v/>
      </c>
      <c r="K51" s="28">
        <f>IF(D51="","",IFERROR(INDEX(Agentes!$Q$6:$Q$60,MATCH(D51,Agentes!$A$6:$A$60,0)),""))</f>
        <v/>
      </c>
      <c r="L51" s="8" t="n"/>
    </row>
    <row r="52">
      <c r="A52" s="8" t="n"/>
      <c r="B52" s="8" t="n"/>
      <c r="C52" s="8" t="n"/>
      <c r="D52" s="8" t="n"/>
      <c r="E52" s="28">
        <f>IF(D52="","",T(IFERROR(INDEX(Agentes!$N$6:$N$60,MATCH(D52,Agentes!$A$6:$A$60,0)),"")))</f>
        <v/>
      </c>
      <c r="F52" s="32">
        <f>IF(D52="","",IF(N(IFERROR(INDEX(Agentes!$O$6:$O$60,MATCH(D52,Agentes!$A$6:$A$60,0)),0))=0,"",IFERROR(INDEX(Agentes!$O$6:$O$60,MATCH(D52,Agentes!$A$6:$A$60,0)),"")))</f>
        <v/>
      </c>
      <c r="G52" s="9" t="n"/>
      <c r="H52" s="33" t="n"/>
      <c r="I52" s="29">
        <f>IF(AND(ISNUMBER(H52),ISNUMBER(F52)),H52/F52,"")</f>
        <v/>
      </c>
      <c r="J52" s="28">
        <f>IF(D52="","",IF(NOT(ISNUMBER(F52)),"Sin BEI para este agente",IF(I52="","Pendiente de resultado",IF(I52&gt;1,"Supera el BEI: investigar","Dentro del BEI"))))</f>
        <v/>
      </c>
      <c r="K52" s="28">
        <f>IF(D52="","",IFERROR(INDEX(Agentes!$Q$6:$Q$60,MATCH(D52,Agentes!$A$6:$A$60,0)),""))</f>
        <v/>
      </c>
      <c r="L52" s="8" t="n"/>
    </row>
    <row r="53">
      <c r="A53" s="8" t="n"/>
      <c r="B53" s="8" t="n"/>
      <c r="C53" s="8" t="n"/>
      <c r="D53" s="8" t="n"/>
      <c r="E53" s="28">
        <f>IF(D53="","",T(IFERROR(INDEX(Agentes!$N$6:$N$60,MATCH(D53,Agentes!$A$6:$A$60,0)),"")))</f>
        <v/>
      </c>
      <c r="F53" s="32">
        <f>IF(D53="","",IF(N(IFERROR(INDEX(Agentes!$O$6:$O$60,MATCH(D53,Agentes!$A$6:$A$60,0)),0))=0,"",IFERROR(INDEX(Agentes!$O$6:$O$60,MATCH(D53,Agentes!$A$6:$A$60,0)),"")))</f>
        <v/>
      </c>
      <c r="G53" s="9" t="n"/>
      <c r="H53" s="33" t="n"/>
      <c r="I53" s="29">
        <f>IF(AND(ISNUMBER(H53),ISNUMBER(F53)),H53/F53,"")</f>
        <v/>
      </c>
      <c r="J53" s="28">
        <f>IF(D53="","",IF(NOT(ISNUMBER(F53)),"Sin BEI para este agente",IF(I53="","Pendiente de resultado",IF(I53&gt;1,"Supera el BEI: investigar","Dentro del BEI"))))</f>
        <v/>
      </c>
      <c r="K53" s="28">
        <f>IF(D53="","",IFERROR(INDEX(Agentes!$Q$6:$Q$60,MATCH(D53,Agentes!$A$6:$A$60,0)),""))</f>
        <v/>
      </c>
      <c r="L53" s="8" t="n"/>
    </row>
    <row r="54">
      <c r="A54" s="8" t="n"/>
      <c r="B54" s="8" t="n"/>
      <c r="C54" s="8" t="n"/>
      <c r="D54" s="8" t="n"/>
      <c r="E54" s="28">
        <f>IF(D54="","",T(IFERROR(INDEX(Agentes!$N$6:$N$60,MATCH(D54,Agentes!$A$6:$A$60,0)),"")))</f>
        <v/>
      </c>
      <c r="F54" s="32">
        <f>IF(D54="","",IF(N(IFERROR(INDEX(Agentes!$O$6:$O$60,MATCH(D54,Agentes!$A$6:$A$60,0)),0))=0,"",IFERROR(INDEX(Agentes!$O$6:$O$60,MATCH(D54,Agentes!$A$6:$A$60,0)),"")))</f>
        <v/>
      </c>
      <c r="G54" s="9" t="n"/>
      <c r="H54" s="33" t="n"/>
      <c r="I54" s="29">
        <f>IF(AND(ISNUMBER(H54),ISNUMBER(F54)),H54/F54,"")</f>
        <v/>
      </c>
      <c r="J54" s="28">
        <f>IF(D54="","",IF(NOT(ISNUMBER(F54)),"Sin BEI para este agente",IF(I54="","Pendiente de resultado",IF(I54&gt;1,"Supera el BEI: investigar","Dentro del BEI"))))</f>
        <v/>
      </c>
      <c r="K54" s="28">
        <f>IF(D54="","",IFERROR(INDEX(Agentes!$Q$6:$Q$60,MATCH(D54,Agentes!$A$6:$A$60,0)),""))</f>
        <v/>
      </c>
      <c r="L54" s="8" t="n"/>
    </row>
    <row r="55">
      <c r="A55" s="8" t="n"/>
      <c r="B55" s="8" t="n"/>
      <c r="C55" s="8" t="n"/>
      <c r="D55" s="8" t="n"/>
      <c r="E55" s="28">
        <f>IF(D55="","",T(IFERROR(INDEX(Agentes!$N$6:$N$60,MATCH(D55,Agentes!$A$6:$A$60,0)),"")))</f>
        <v/>
      </c>
      <c r="F55" s="32">
        <f>IF(D55="","",IF(N(IFERROR(INDEX(Agentes!$O$6:$O$60,MATCH(D55,Agentes!$A$6:$A$60,0)),0))=0,"",IFERROR(INDEX(Agentes!$O$6:$O$60,MATCH(D55,Agentes!$A$6:$A$60,0)),"")))</f>
        <v/>
      </c>
      <c r="G55" s="9" t="n"/>
      <c r="H55" s="33" t="n"/>
      <c r="I55" s="29">
        <f>IF(AND(ISNUMBER(H55),ISNUMBER(F55)),H55/F55,"")</f>
        <v/>
      </c>
      <c r="J55" s="28">
        <f>IF(D55="","",IF(NOT(ISNUMBER(F55)),"Sin BEI para este agente",IF(I55="","Pendiente de resultado",IF(I55&gt;1,"Supera el BEI: investigar","Dentro del BEI"))))</f>
        <v/>
      </c>
      <c r="K55" s="28">
        <f>IF(D55="","",IFERROR(INDEX(Agentes!$Q$6:$Q$60,MATCH(D55,Agentes!$A$6:$A$60,0)),""))</f>
        <v/>
      </c>
      <c r="L55" s="8" t="n"/>
    </row>
    <row r="56">
      <c r="A56" s="8" t="n"/>
      <c r="B56" s="8" t="n"/>
      <c r="C56" s="8" t="n"/>
      <c r="D56" s="8" t="n"/>
      <c r="E56" s="28">
        <f>IF(D56="","",T(IFERROR(INDEX(Agentes!$N$6:$N$60,MATCH(D56,Agentes!$A$6:$A$60,0)),"")))</f>
        <v/>
      </c>
      <c r="F56" s="32">
        <f>IF(D56="","",IF(N(IFERROR(INDEX(Agentes!$O$6:$O$60,MATCH(D56,Agentes!$A$6:$A$60,0)),0))=0,"",IFERROR(INDEX(Agentes!$O$6:$O$60,MATCH(D56,Agentes!$A$6:$A$60,0)),"")))</f>
        <v/>
      </c>
      <c r="G56" s="9" t="n"/>
      <c r="H56" s="33" t="n"/>
      <c r="I56" s="29">
        <f>IF(AND(ISNUMBER(H56),ISNUMBER(F56)),H56/F56,"")</f>
        <v/>
      </c>
      <c r="J56" s="28">
        <f>IF(D56="","",IF(NOT(ISNUMBER(F56)),"Sin BEI para este agente",IF(I56="","Pendiente de resultado",IF(I56&gt;1,"Supera el BEI: investigar","Dentro del BEI"))))</f>
        <v/>
      </c>
      <c r="K56" s="28">
        <f>IF(D56="","",IFERROR(INDEX(Agentes!$Q$6:$Q$60,MATCH(D56,Agentes!$A$6:$A$60,0)),""))</f>
        <v/>
      </c>
      <c r="L56" s="8" t="n"/>
    </row>
    <row r="57">
      <c r="A57" s="8" t="n"/>
      <c r="B57" s="8" t="n"/>
      <c r="C57" s="8" t="n"/>
      <c r="D57" s="8" t="n"/>
      <c r="E57" s="28">
        <f>IF(D57="","",T(IFERROR(INDEX(Agentes!$N$6:$N$60,MATCH(D57,Agentes!$A$6:$A$60,0)),"")))</f>
        <v/>
      </c>
      <c r="F57" s="32">
        <f>IF(D57="","",IF(N(IFERROR(INDEX(Agentes!$O$6:$O$60,MATCH(D57,Agentes!$A$6:$A$60,0)),0))=0,"",IFERROR(INDEX(Agentes!$O$6:$O$60,MATCH(D57,Agentes!$A$6:$A$60,0)),"")))</f>
        <v/>
      </c>
      <c r="G57" s="9" t="n"/>
      <c r="H57" s="33" t="n"/>
      <c r="I57" s="29">
        <f>IF(AND(ISNUMBER(H57),ISNUMBER(F57)),H57/F57,"")</f>
        <v/>
      </c>
      <c r="J57" s="28">
        <f>IF(D57="","",IF(NOT(ISNUMBER(F57)),"Sin BEI para este agente",IF(I57="","Pendiente de resultado",IF(I57&gt;1,"Supera el BEI: investigar","Dentro del BEI"))))</f>
        <v/>
      </c>
      <c r="K57" s="28">
        <f>IF(D57="","",IFERROR(INDEX(Agentes!$Q$6:$Q$60,MATCH(D57,Agentes!$A$6:$A$60,0)),""))</f>
        <v/>
      </c>
      <c r="L57" s="8" t="n"/>
    </row>
    <row r="58">
      <c r="A58" s="8" t="n"/>
      <c r="B58" s="8" t="n"/>
      <c r="C58" s="8" t="n"/>
      <c r="D58" s="8" t="n"/>
      <c r="E58" s="28">
        <f>IF(D58="","",T(IFERROR(INDEX(Agentes!$N$6:$N$60,MATCH(D58,Agentes!$A$6:$A$60,0)),"")))</f>
        <v/>
      </c>
      <c r="F58" s="32">
        <f>IF(D58="","",IF(N(IFERROR(INDEX(Agentes!$O$6:$O$60,MATCH(D58,Agentes!$A$6:$A$60,0)),0))=0,"",IFERROR(INDEX(Agentes!$O$6:$O$60,MATCH(D58,Agentes!$A$6:$A$60,0)),"")))</f>
        <v/>
      </c>
      <c r="G58" s="9" t="n"/>
      <c r="H58" s="33" t="n"/>
      <c r="I58" s="29">
        <f>IF(AND(ISNUMBER(H58),ISNUMBER(F58)),H58/F58,"")</f>
        <v/>
      </c>
      <c r="J58" s="28">
        <f>IF(D58="","",IF(NOT(ISNUMBER(F58)),"Sin BEI para este agente",IF(I58="","Pendiente de resultado",IF(I58&gt;1,"Supera el BEI: investigar","Dentro del BEI"))))</f>
        <v/>
      </c>
      <c r="K58" s="28">
        <f>IF(D58="","",IFERROR(INDEX(Agentes!$Q$6:$Q$60,MATCH(D58,Agentes!$A$6:$A$60,0)),""))</f>
        <v/>
      </c>
      <c r="L58" s="8" t="n"/>
    </row>
    <row r="59">
      <c r="A59" s="8" t="n"/>
      <c r="B59" s="8" t="n"/>
      <c r="C59" s="8" t="n"/>
      <c r="D59" s="8" t="n"/>
      <c r="E59" s="28">
        <f>IF(D59="","",T(IFERROR(INDEX(Agentes!$N$6:$N$60,MATCH(D59,Agentes!$A$6:$A$60,0)),"")))</f>
        <v/>
      </c>
      <c r="F59" s="32">
        <f>IF(D59="","",IF(N(IFERROR(INDEX(Agentes!$O$6:$O$60,MATCH(D59,Agentes!$A$6:$A$60,0)),0))=0,"",IFERROR(INDEX(Agentes!$O$6:$O$60,MATCH(D59,Agentes!$A$6:$A$60,0)),"")))</f>
        <v/>
      </c>
      <c r="G59" s="9" t="n"/>
      <c r="H59" s="33" t="n"/>
      <c r="I59" s="29">
        <f>IF(AND(ISNUMBER(H59),ISNUMBER(F59)),H59/F59,"")</f>
        <v/>
      </c>
      <c r="J59" s="28">
        <f>IF(D59="","",IF(NOT(ISNUMBER(F59)),"Sin BEI para este agente",IF(I59="","Pendiente de resultado",IF(I59&gt;1,"Supera el BEI: investigar","Dentro del BEI"))))</f>
        <v/>
      </c>
      <c r="K59" s="28">
        <f>IF(D59="","",IFERROR(INDEX(Agentes!$Q$6:$Q$60,MATCH(D59,Agentes!$A$6:$A$60,0)),""))</f>
        <v/>
      </c>
      <c r="L59" s="8" t="n"/>
    </row>
    <row r="60">
      <c r="A60" s="8" t="n"/>
      <c r="B60" s="8" t="n"/>
      <c r="C60" s="8" t="n"/>
      <c r="D60" s="8" t="n"/>
      <c r="E60" s="28">
        <f>IF(D60="","",T(IFERROR(INDEX(Agentes!$N$6:$N$60,MATCH(D60,Agentes!$A$6:$A$60,0)),"")))</f>
        <v/>
      </c>
      <c r="F60" s="32">
        <f>IF(D60="","",IF(N(IFERROR(INDEX(Agentes!$O$6:$O$60,MATCH(D60,Agentes!$A$6:$A$60,0)),0))=0,"",IFERROR(INDEX(Agentes!$O$6:$O$60,MATCH(D60,Agentes!$A$6:$A$60,0)),"")))</f>
        <v/>
      </c>
      <c r="G60" s="9" t="n"/>
      <c r="H60" s="33" t="n"/>
      <c r="I60" s="29">
        <f>IF(AND(ISNUMBER(H60),ISNUMBER(F60)),H60/F60,"")</f>
        <v/>
      </c>
      <c r="J60" s="28">
        <f>IF(D60="","",IF(NOT(ISNUMBER(F60)),"Sin BEI para este agente",IF(I60="","Pendiente de resultado",IF(I60&gt;1,"Supera el BEI: investigar","Dentro del BEI"))))</f>
        <v/>
      </c>
      <c r="K60" s="28">
        <f>IF(D60="","",IFERROR(INDEX(Agentes!$Q$6:$Q$60,MATCH(D60,Agentes!$A$6:$A$60,0)),""))</f>
        <v/>
      </c>
      <c r="L60" s="8" t="n"/>
    </row>
    <row r="61">
      <c r="A61" s="8" t="n"/>
      <c r="B61" s="8" t="n"/>
      <c r="C61" s="8" t="n"/>
      <c r="D61" s="8" t="n"/>
      <c r="E61" s="28">
        <f>IF(D61="","",T(IFERROR(INDEX(Agentes!$N$6:$N$60,MATCH(D61,Agentes!$A$6:$A$60,0)),"")))</f>
        <v/>
      </c>
      <c r="F61" s="32">
        <f>IF(D61="","",IF(N(IFERROR(INDEX(Agentes!$O$6:$O$60,MATCH(D61,Agentes!$A$6:$A$60,0)),0))=0,"",IFERROR(INDEX(Agentes!$O$6:$O$60,MATCH(D61,Agentes!$A$6:$A$60,0)),"")))</f>
        <v/>
      </c>
      <c r="G61" s="9" t="n"/>
      <c r="H61" s="33" t="n"/>
      <c r="I61" s="29">
        <f>IF(AND(ISNUMBER(H61),ISNUMBER(F61)),H61/F61,"")</f>
        <v/>
      </c>
      <c r="J61" s="28">
        <f>IF(D61="","",IF(NOT(ISNUMBER(F61)),"Sin BEI para este agente",IF(I61="","Pendiente de resultado",IF(I61&gt;1,"Supera el BEI: investigar","Dentro del BEI"))))</f>
        <v/>
      </c>
      <c r="K61" s="28">
        <f>IF(D61="","",IFERROR(INDEX(Agentes!$Q$6:$Q$60,MATCH(D61,Agentes!$A$6:$A$60,0)),""))</f>
        <v/>
      </c>
      <c r="L61" s="8" t="n"/>
    </row>
    <row r="62">
      <c r="A62" s="8" t="n"/>
      <c r="B62" s="8" t="n"/>
      <c r="C62" s="8" t="n"/>
      <c r="D62" s="8" t="n"/>
      <c r="E62" s="28">
        <f>IF(D62="","",T(IFERROR(INDEX(Agentes!$N$6:$N$60,MATCH(D62,Agentes!$A$6:$A$60,0)),"")))</f>
        <v/>
      </c>
      <c r="F62" s="32">
        <f>IF(D62="","",IF(N(IFERROR(INDEX(Agentes!$O$6:$O$60,MATCH(D62,Agentes!$A$6:$A$60,0)),0))=0,"",IFERROR(INDEX(Agentes!$O$6:$O$60,MATCH(D62,Agentes!$A$6:$A$60,0)),"")))</f>
        <v/>
      </c>
      <c r="G62" s="9" t="n"/>
      <c r="H62" s="33" t="n"/>
      <c r="I62" s="29">
        <f>IF(AND(ISNUMBER(H62),ISNUMBER(F62)),H62/F62,"")</f>
        <v/>
      </c>
      <c r="J62" s="28">
        <f>IF(D62="","",IF(NOT(ISNUMBER(F62)),"Sin BEI para este agente",IF(I62="","Pendiente de resultado",IF(I62&gt;1,"Supera el BEI: investigar","Dentro del BEI"))))</f>
        <v/>
      </c>
      <c r="K62" s="28">
        <f>IF(D62="","",IFERROR(INDEX(Agentes!$Q$6:$Q$60,MATCH(D62,Agentes!$A$6:$A$60,0)),""))</f>
        <v/>
      </c>
      <c r="L62" s="8" t="n"/>
    </row>
    <row r="63">
      <c r="A63" s="8" t="n"/>
      <c r="B63" s="8" t="n"/>
      <c r="C63" s="8" t="n"/>
      <c r="D63" s="8" t="n"/>
      <c r="E63" s="28">
        <f>IF(D63="","",T(IFERROR(INDEX(Agentes!$N$6:$N$60,MATCH(D63,Agentes!$A$6:$A$60,0)),"")))</f>
        <v/>
      </c>
      <c r="F63" s="32">
        <f>IF(D63="","",IF(N(IFERROR(INDEX(Agentes!$O$6:$O$60,MATCH(D63,Agentes!$A$6:$A$60,0)),0))=0,"",IFERROR(INDEX(Agentes!$O$6:$O$60,MATCH(D63,Agentes!$A$6:$A$60,0)),"")))</f>
        <v/>
      </c>
      <c r="G63" s="9" t="n"/>
      <c r="H63" s="33" t="n"/>
      <c r="I63" s="29">
        <f>IF(AND(ISNUMBER(H63),ISNUMBER(F63)),H63/F63,"")</f>
        <v/>
      </c>
      <c r="J63" s="28">
        <f>IF(D63="","",IF(NOT(ISNUMBER(F63)),"Sin BEI para este agente",IF(I63="","Pendiente de resultado",IF(I63&gt;1,"Supera el BEI: investigar","Dentro del BEI"))))</f>
        <v/>
      </c>
      <c r="K63" s="28">
        <f>IF(D63="","",IFERROR(INDEX(Agentes!$Q$6:$Q$60,MATCH(D63,Agentes!$A$6:$A$60,0)),""))</f>
        <v/>
      </c>
      <c r="L63" s="8" t="n"/>
    </row>
    <row r="64">
      <c r="A64" s="8" t="n"/>
      <c r="B64" s="8" t="n"/>
      <c r="C64" s="8" t="n"/>
      <c r="D64" s="8" t="n"/>
      <c r="E64" s="28">
        <f>IF(D64="","",T(IFERROR(INDEX(Agentes!$N$6:$N$60,MATCH(D64,Agentes!$A$6:$A$60,0)),"")))</f>
        <v/>
      </c>
      <c r="F64" s="32">
        <f>IF(D64="","",IF(N(IFERROR(INDEX(Agentes!$O$6:$O$60,MATCH(D64,Agentes!$A$6:$A$60,0)),0))=0,"",IFERROR(INDEX(Agentes!$O$6:$O$60,MATCH(D64,Agentes!$A$6:$A$60,0)),"")))</f>
        <v/>
      </c>
      <c r="G64" s="9" t="n"/>
      <c r="H64" s="33" t="n"/>
      <c r="I64" s="29">
        <f>IF(AND(ISNUMBER(H64),ISNUMBER(F64)),H64/F64,"")</f>
        <v/>
      </c>
      <c r="J64" s="28">
        <f>IF(D64="","",IF(NOT(ISNUMBER(F64)),"Sin BEI para este agente",IF(I64="","Pendiente de resultado",IF(I64&gt;1,"Supera el BEI: investigar","Dentro del BEI"))))</f>
        <v/>
      </c>
      <c r="K64" s="28">
        <f>IF(D64="","",IFERROR(INDEX(Agentes!$Q$6:$Q$60,MATCH(D64,Agentes!$A$6:$A$60,0)),""))</f>
        <v/>
      </c>
      <c r="L64" s="8" t="n"/>
    </row>
    <row r="65">
      <c r="A65" s="8" t="n"/>
      <c r="B65" s="8" t="n"/>
      <c r="C65" s="8" t="n"/>
      <c r="D65" s="8" t="n"/>
      <c r="E65" s="28">
        <f>IF(D65="","",T(IFERROR(INDEX(Agentes!$N$6:$N$60,MATCH(D65,Agentes!$A$6:$A$60,0)),"")))</f>
        <v/>
      </c>
      <c r="F65" s="32">
        <f>IF(D65="","",IF(N(IFERROR(INDEX(Agentes!$O$6:$O$60,MATCH(D65,Agentes!$A$6:$A$60,0)),0))=0,"",IFERROR(INDEX(Agentes!$O$6:$O$60,MATCH(D65,Agentes!$A$6:$A$60,0)),"")))</f>
        <v/>
      </c>
      <c r="G65" s="9" t="n"/>
      <c r="H65" s="33" t="n"/>
      <c r="I65" s="29">
        <f>IF(AND(ISNUMBER(H65),ISNUMBER(F65)),H65/F65,"")</f>
        <v/>
      </c>
      <c r="J65" s="28">
        <f>IF(D65="","",IF(NOT(ISNUMBER(F65)),"Sin BEI para este agente",IF(I65="","Pendiente de resultado",IF(I65&gt;1,"Supera el BEI: investigar","Dentro del BEI"))))</f>
        <v/>
      </c>
      <c r="K65" s="28">
        <f>IF(D65="","",IFERROR(INDEX(Agentes!$Q$6:$Q$60,MATCH(D65,Agentes!$A$6:$A$60,0)),""))</f>
        <v/>
      </c>
      <c r="L65" s="8" t="n"/>
    </row>
    <row r="66">
      <c r="A66" s="8" t="n"/>
      <c r="B66" s="8" t="n"/>
      <c r="C66" s="8" t="n"/>
      <c r="D66" s="8" t="n"/>
      <c r="E66" s="28">
        <f>IF(D66="","",T(IFERROR(INDEX(Agentes!$N$6:$N$60,MATCH(D66,Agentes!$A$6:$A$60,0)),"")))</f>
        <v/>
      </c>
      <c r="F66" s="32">
        <f>IF(D66="","",IF(N(IFERROR(INDEX(Agentes!$O$6:$O$60,MATCH(D66,Agentes!$A$6:$A$60,0)),0))=0,"",IFERROR(INDEX(Agentes!$O$6:$O$60,MATCH(D66,Agentes!$A$6:$A$60,0)),"")))</f>
        <v/>
      </c>
      <c r="G66" s="9" t="n"/>
      <c r="H66" s="33" t="n"/>
      <c r="I66" s="29">
        <f>IF(AND(ISNUMBER(H66),ISNUMBER(F66)),H66/F66,"")</f>
        <v/>
      </c>
      <c r="J66" s="28">
        <f>IF(D66="","",IF(NOT(ISNUMBER(F66)),"Sin BEI para este agente",IF(I66="","Pendiente de resultado",IF(I66&gt;1,"Supera el BEI: investigar","Dentro del BEI"))))</f>
        <v/>
      </c>
      <c r="K66" s="28">
        <f>IF(D66="","",IFERROR(INDEX(Agentes!$Q$6:$Q$60,MATCH(D66,Agentes!$A$6:$A$60,0)),""))</f>
        <v/>
      </c>
      <c r="L66" s="8" t="n"/>
    </row>
    <row r="67">
      <c r="A67" s="8" t="n"/>
      <c r="B67" s="8" t="n"/>
      <c r="C67" s="8" t="n"/>
      <c r="D67" s="8" t="n"/>
      <c r="E67" s="28">
        <f>IF(D67="","",T(IFERROR(INDEX(Agentes!$N$6:$N$60,MATCH(D67,Agentes!$A$6:$A$60,0)),"")))</f>
        <v/>
      </c>
      <c r="F67" s="32">
        <f>IF(D67="","",IF(N(IFERROR(INDEX(Agentes!$O$6:$O$60,MATCH(D67,Agentes!$A$6:$A$60,0)),0))=0,"",IFERROR(INDEX(Agentes!$O$6:$O$60,MATCH(D67,Agentes!$A$6:$A$60,0)),"")))</f>
        <v/>
      </c>
      <c r="G67" s="9" t="n"/>
      <c r="H67" s="33" t="n"/>
      <c r="I67" s="29">
        <f>IF(AND(ISNUMBER(H67),ISNUMBER(F67)),H67/F67,"")</f>
        <v/>
      </c>
      <c r="J67" s="28">
        <f>IF(D67="","",IF(NOT(ISNUMBER(F67)),"Sin BEI para este agente",IF(I67="","Pendiente de resultado",IF(I67&gt;1,"Supera el BEI: investigar","Dentro del BEI"))))</f>
        <v/>
      </c>
      <c r="K67" s="28">
        <f>IF(D67="","",IFERROR(INDEX(Agentes!$Q$6:$Q$60,MATCH(D67,Agentes!$A$6:$A$60,0)),""))</f>
        <v/>
      </c>
      <c r="L67" s="8" t="n"/>
    </row>
    <row r="68">
      <c r="A68" s="8" t="n"/>
      <c r="B68" s="8" t="n"/>
      <c r="C68" s="8" t="n"/>
      <c r="D68" s="8" t="n"/>
      <c r="E68" s="28">
        <f>IF(D68="","",T(IFERROR(INDEX(Agentes!$N$6:$N$60,MATCH(D68,Agentes!$A$6:$A$60,0)),"")))</f>
        <v/>
      </c>
      <c r="F68" s="32">
        <f>IF(D68="","",IF(N(IFERROR(INDEX(Agentes!$O$6:$O$60,MATCH(D68,Agentes!$A$6:$A$60,0)),0))=0,"",IFERROR(INDEX(Agentes!$O$6:$O$60,MATCH(D68,Agentes!$A$6:$A$60,0)),"")))</f>
        <v/>
      </c>
      <c r="G68" s="9" t="n"/>
      <c r="H68" s="33" t="n"/>
      <c r="I68" s="29">
        <f>IF(AND(ISNUMBER(H68),ISNUMBER(F68)),H68/F68,"")</f>
        <v/>
      </c>
      <c r="J68" s="28">
        <f>IF(D68="","",IF(NOT(ISNUMBER(F68)),"Sin BEI para este agente",IF(I68="","Pendiente de resultado",IF(I68&gt;1,"Supera el BEI: investigar","Dentro del BEI"))))</f>
        <v/>
      </c>
      <c r="K68" s="28">
        <f>IF(D68="","",IFERROR(INDEX(Agentes!$Q$6:$Q$60,MATCH(D68,Agentes!$A$6:$A$60,0)),""))</f>
        <v/>
      </c>
      <c r="L68" s="8" t="n"/>
    </row>
    <row r="69">
      <c r="A69" s="8" t="n"/>
      <c r="B69" s="8" t="n"/>
      <c r="C69" s="8" t="n"/>
      <c r="D69" s="8" t="n"/>
      <c r="E69" s="28">
        <f>IF(D69="","",T(IFERROR(INDEX(Agentes!$N$6:$N$60,MATCH(D69,Agentes!$A$6:$A$60,0)),"")))</f>
        <v/>
      </c>
      <c r="F69" s="32">
        <f>IF(D69="","",IF(N(IFERROR(INDEX(Agentes!$O$6:$O$60,MATCH(D69,Agentes!$A$6:$A$60,0)),0))=0,"",IFERROR(INDEX(Agentes!$O$6:$O$60,MATCH(D69,Agentes!$A$6:$A$60,0)),"")))</f>
        <v/>
      </c>
      <c r="G69" s="9" t="n"/>
      <c r="H69" s="33" t="n"/>
      <c r="I69" s="29">
        <f>IF(AND(ISNUMBER(H69),ISNUMBER(F69)),H69/F69,"")</f>
        <v/>
      </c>
      <c r="J69" s="28">
        <f>IF(D69="","",IF(NOT(ISNUMBER(F69)),"Sin BEI para este agente",IF(I69="","Pendiente de resultado",IF(I69&gt;1,"Supera el BEI: investigar","Dentro del BEI"))))</f>
        <v/>
      </c>
      <c r="K69" s="28">
        <f>IF(D69="","",IFERROR(INDEX(Agentes!$Q$6:$Q$60,MATCH(D69,Agentes!$A$6:$A$60,0)),""))</f>
        <v/>
      </c>
      <c r="L69" s="8" t="n"/>
    </row>
    <row r="70">
      <c r="A70" s="8" t="n"/>
      <c r="B70" s="8" t="n"/>
      <c r="C70" s="8" t="n"/>
      <c r="D70" s="8" t="n"/>
      <c r="E70" s="28">
        <f>IF(D70="","",T(IFERROR(INDEX(Agentes!$N$6:$N$60,MATCH(D70,Agentes!$A$6:$A$60,0)),"")))</f>
        <v/>
      </c>
      <c r="F70" s="32">
        <f>IF(D70="","",IF(N(IFERROR(INDEX(Agentes!$O$6:$O$60,MATCH(D70,Agentes!$A$6:$A$60,0)),0))=0,"",IFERROR(INDEX(Agentes!$O$6:$O$60,MATCH(D70,Agentes!$A$6:$A$60,0)),"")))</f>
        <v/>
      </c>
      <c r="G70" s="9" t="n"/>
      <c r="H70" s="33" t="n"/>
      <c r="I70" s="29">
        <f>IF(AND(ISNUMBER(H70),ISNUMBER(F70)),H70/F70,"")</f>
        <v/>
      </c>
      <c r="J70" s="28">
        <f>IF(D70="","",IF(NOT(ISNUMBER(F70)),"Sin BEI para este agente",IF(I70="","Pendiente de resultado",IF(I70&gt;1,"Supera el BEI: investigar","Dentro del BEI"))))</f>
        <v/>
      </c>
      <c r="K70" s="28">
        <f>IF(D70="","",IFERROR(INDEX(Agentes!$Q$6:$Q$60,MATCH(D70,Agentes!$A$6:$A$60,0)),""))</f>
        <v/>
      </c>
      <c r="L70" s="8" t="n"/>
    </row>
    <row r="71">
      <c r="A71" s="8" t="n"/>
      <c r="B71" s="8" t="n"/>
      <c r="C71" s="8" t="n"/>
      <c r="D71" s="8" t="n"/>
      <c r="E71" s="28">
        <f>IF(D71="","",T(IFERROR(INDEX(Agentes!$N$6:$N$60,MATCH(D71,Agentes!$A$6:$A$60,0)),"")))</f>
        <v/>
      </c>
      <c r="F71" s="32">
        <f>IF(D71="","",IF(N(IFERROR(INDEX(Agentes!$O$6:$O$60,MATCH(D71,Agentes!$A$6:$A$60,0)),0))=0,"",IFERROR(INDEX(Agentes!$O$6:$O$60,MATCH(D71,Agentes!$A$6:$A$60,0)),"")))</f>
        <v/>
      </c>
      <c r="G71" s="9" t="n"/>
      <c r="H71" s="33" t="n"/>
      <c r="I71" s="29">
        <f>IF(AND(ISNUMBER(H71),ISNUMBER(F71)),H71/F71,"")</f>
        <v/>
      </c>
      <c r="J71" s="28">
        <f>IF(D71="","",IF(NOT(ISNUMBER(F71)),"Sin BEI para este agente",IF(I71="","Pendiente de resultado",IF(I71&gt;1,"Supera el BEI: investigar","Dentro del BEI"))))</f>
        <v/>
      </c>
      <c r="K71" s="28">
        <f>IF(D71="","",IFERROR(INDEX(Agentes!$Q$6:$Q$60,MATCH(D71,Agentes!$A$6:$A$60,0)),""))</f>
        <v/>
      </c>
      <c r="L71" s="8" t="n"/>
    </row>
    <row r="72">
      <c r="A72" s="8" t="n"/>
      <c r="B72" s="8" t="n"/>
      <c r="C72" s="8" t="n"/>
      <c r="D72" s="8" t="n"/>
      <c r="E72" s="28">
        <f>IF(D72="","",T(IFERROR(INDEX(Agentes!$N$6:$N$60,MATCH(D72,Agentes!$A$6:$A$60,0)),"")))</f>
        <v/>
      </c>
      <c r="F72" s="32">
        <f>IF(D72="","",IF(N(IFERROR(INDEX(Agentes!$O$6:$O$60,MATCH(D72,Agentes!$A$6:$A$60,0)),0))=0,"",IFERROR(INDEX(Agentes!$O$6:$O$60,MATCH(D72,Agentes!$A$6:$A$60,0)),"")))</f>
        <v/>
      </c>
      <c r="G72" s="9" t="n"/>
      <c r="H72" s="33" t="n"/>
      <c r="I72" s="29">
        <f>IF(AND(ISNUMBER(H72),ISNUMBER(F72)),H72/F72,"")</f>
        <v/>
      </c>
      <c r="J72" s="28">
        <f>IF(D72="","",IF(NOT(ISNUMBER(F72)),"Sin BEI para este agente",IF(I72="","Pendiente de resultado",IF(I72&gt;1,"Supera el BEI: investigar","Dentro del BEI"))))</f>
        <v/>
      </c>
      <c r="K72" s="28">
        <f>IF(D72="","",IFERROR(INDEX(Agentes!$Q$6:$Q$60,MATCH(D72,Agentes!$A$6:$A$60,0)),""))</f>
        <v/>
      </c>
      <c r="L72" s="8" t="n"/>
    </row>
    <row r="73">
      <c r="A73" s="8" t="n"/>
      <c r="B73" s="8" t="n"/>
      <c r="C73" s="8" t="n"/>
      <c r="D73" s="8" t="n"/>
      <c r="E73" s="28">
        <f>IF(D73="","",T(IFERROR(INDEX(Agentes!$N$6:$N$60,MATCH(D73,Agentes!$A$6:$A$60,0)),"")))</f>
        <v/>
      </c>
      <c r="F73" s="32">
        <f>IF(D73="","",IF(N(IFERROR(INDEX(Agentes!$O$6:$O$60,MATCH(D73,Agentes!$A$6:$A$60,0)),0))=0,"",IFERROR(INDEX(Agentes!$O$6:$O$60,MATCH(D73,Agentes!$A$6:$A$60,0)),"")))</f>
        <v/>
      </c>
      <c r="G73" s="9" t="n"/>
      <c r="H73" s="33" t="n"/>
      <c r="I73" s="29">
        <f>IF(AND(ISNUMBER(H73),ISNUMBER(F73)),H73/F73,"")</f>
        <v/>
      </c>
      <c r="J73" s="28">
        <f>IF(D73="","",IF(NOT(ISNUMBER(F73)),"Sin BEI para este agente",IF(I73="","Pendiente de resultado",IF(I73&gt;1,"Supera el BEI: investigar","Dentro del BEI"))))</f>
        <v/>
      </c>
      <c r="K73" s="28">
        <f>IF(D73="","",IFERROR(INDEX(Agentes!$Q$6:$Q$60,MATCH(D73,Agentes!$A$6:$A$60,0)),""))</f>
        <v/>
      </c>
      <c r="L73" s="8" t="n"/>
    </row>
    <row r="74">
      <c r="A74" s="8" t="n"/>
      <c r="B74" s="8" t="n"/>
      <c r="C74" s="8" t="n"/>
      <c r="D74" s="8" t="n"/>
      <c r="E74" s="28">
        <f>IF(D74="","",T(IFERROR(INDEX(Agentes!$N$6:$N$60,MATCH(D74,Agentes!$A$6:$A$60,0)),"")))</f>
        <v/>
      </c>
      <c r="F74" s="32">
        <f>IF(D74="","",IF(N(IFERROR(INDEX(Agentes!$O$6:$O$60,MATCH(D74,Agentes!$A$6:$A$60,0)),0))=0,"",IFERROR(INDEX(Agentes!$O$6:$O$60,MATCH(D74,Agentes!$A$6:$A$60,0)),"")))</f>
        <v/>
      </c>
      <c r="G74" s="9" t="n"/>
      <c r="H74" s="33" t="n"/>
      <c r="I74" s="29">
        <f>IF(AND(ISNUMBER(H74),ISNUMBER(F74)),H74/F74,"")</f>
        <v/>
      </c>
      <c r="J74" s="28">
        <f>IF(D74="","",IF(NOT(ISNUMBER(F74)),"Sin BEI para este agente",IF(I74="","Pendiente de resultado",IF(I74&gt;1,"Supera el BEI: investigar","Dentro del BEI"))))</f>
        <v/>
      </c>
      <c r="K74" s="28">
        <f>IF(D74="","",IFERROR(INDEX(Agentes!$Q$6:$Q$60,MATCH(D74,Agentes!$A$6:$A$60,0)),""))</f>
        <v/>
      </c>
      <c r="L74" s="8" t="n"/>
    </row>
    <row r="75">
      <c r="A75" s="8" t="n"/>
      <c r="B75" s="8" t="n"/>
      <c r="C75" s="8" t="n"/>
      <c r="D75" s="8" t="n"/>
      <c r="E75" s="28">
        <f>IF(D75="","",T(IFERROR(INDEX(Agentes!$N$6:$N$60,MATCH(D75,Agentes!$A$6:$A$60,0)),"")))</f>
        <v/>
      </c>
      <c r="F75" s="32">
        <f>IF(D75="","",IF(N(IFERROR(INDEX(Agentes!$O$6:$O$60,MATCH(D75,Agentes!$A$6:$A$60,0)),0))=0,"",IFERROR(INDEX(Agentes!$O$6:$O$60,MATCH(D75,Agentes!$A$6:$A$60,0)),"")))</f>
        <v/>
      </c>
      <c r="G75" s="9" t="n"/>
      <c r="H75" s="33" t="n"/>
      <c r="I75" s="29">
        <f>IF(AND(ISNUMBER(H75),ISNUMBER(F75)),H75/F75,"")</f>
        <v/>
      </c>
      <c r="J75" s="28">
        <f>IF(D75="","",IF(NOT(ISNUMBER(F75)),"Sin BEI para este agente",IF(I75="","Pendiente de resultado",IF(I75&gt;1,"Supera el BEI: investigar","Dentro del BEI"))))</f>
        <v/>
      </c>
      <c r="K75" s="28">
        <f>IF(D75="","",IFERROR(INDEX(Agentes!$Q$6:$Q$60,MATCH(D75,Agentes!$A$6:$A$60,0)),""))</f>
        <v/>
      </c>
      <c r="L75" s="8" t="n"/>
    </row>
    <row r="76">
      <c r="A76" s="8" t="n"/>
      <c r="B76" s="8" t="n"/>
      <c r="C76" s="8" t="n"/>
      <c r="D76" s="8" t="n"/>
      <c r="E76" s="28">
        <f>IF(D76="","",T(IFERROR(INDEX(Agentes!$N$6:$N$60,MATCH(D76,Agentes!$A$6:$A$60,0)),"")))</f>
        <v/>
      </c>
      <c r="F76" s="32">
        <f>IF(D76="","",IF(N(IFERROR(INDEX(Agentes!$O$6:$O$60,MATCH(D76,Agentes!$A$6:$A$60,0)),0))=0,"",IFERROR(INDEX(Agentes!$O$6:$O$60,MATCH(D76,Agentes!$A$6:$A$60,0)),"")))</f>
        <v/>
      </c>
      <c r="G76" s="9" t="n"/>
      <c r="H76" s="33" t="n"/>
      <c r="I76" s="29">
        <f>IF(AND(ISNUMBER(H76),ISNUMBER(F76)),H76/F76,"")</f>
        <v/>
      </c>
      <c r="J76" s="28">
        <f>IF(D76="","",IF(NOT(ISNUMBER(F76)),"Sin BEI para este agente",IF(I76="","Pendiente de resultado",IF(I76&gt;1,"Supera el BEI: investigar","Dentro del BEI"))))</f>
        <v/>
      </c>
      <c r="K76" s="28">
        <f>IF(D76="","",IFERROR(INDEX(Agentes!$Q$6:$Q$60,MATCH(D76,Agentes!$A$6:$A$60,0)),""))</f>
        <v/>
      </c>
      <c r="L76" s="8" t="n"/>
    </row>
    <row r="77">
      <c r="A77" s="8" t="n"/>
      <c r="B77" s="8" t="n"/>
      <c r="C77" s="8" t="n"/>
      <c r="D77" s="8" t="n"/>
      <c r="E77" s="28">
        <f>IF(D77="","",T(IFERROR(INDEX(Agentes!$N$6:$N$60,MATCH(D77,Agentes!$A$6:$A$60,0)),"")))</f>
        <v/>
      </c>
      <c r="F77" s="32">
        <f>IF(D77="","",IF(N(IFERROR(INDEX(Agentes!$O$6:$O$60,MATCH(D77,Agentes!$A$6:$A$60,0)),0))=0,"",IFERROR(INDEX(Agentes!$O$6:$O$60,MATCH(D77,Agentes!$A$6:$A$60,0)),"")))</f>
        <v/>
      </c>
      <c r="G77" s="9" t="n"/>
      <c r="H77" s="33" t="n"/>
      <c r="I77" s="29">
        <f>IF(AND(ISNUMBER(H77),ISNUMBER(F77)),H77/F77,"")</f>
        <v/>
      </c>
      <c r="J77" s="28">
        <f>IF(D77="","",IF(NOT(ISNUMBER(F77)),"Sin BEI para este agente",IF(I77="","Pendiente de resultado",IF(I77&gt;1,"Supera el BEI: investigar","Dentro del BEI"))))</f>
        <v/>
      </c>
      <c r="K77" s="28">
        <f>IF(D77="","",IFERROR(INDEX(Agentes!$Q$6:$Q$60,MATCH(D77,Agentes!$A$6:$A$60,0)),""))</f>
        <v/>
      </c>
      <c r="L77" s="8" t="n"/>
    </row>
    <row r="78">
      <c r="A78" s="8" t="n"/>
      <c r="B78" s="8" t="n"/>
      <c r="C78" s="8" t="n"/>
      <c r="D78" s="8" t="n"/>
      <c r="E78" s="28">
        <f>IF(D78="","",T(IFERROR(INDEX(Agentes!$N$6:$N$60,MATCH(D78,Agentes!$A$6:$A$60,0)),"")))</f>
        <v/>
      </c>
      <c r="F78" s="32">
        <f>IF(D78="","",IF(N(IFERROR(INDEX(Agentes!$O$6:$O$60,MATCH(D78,Agentes!$A$6:$A$60,0)),0))=0,"",IFERROR(INDEX(Agentes!$O$6:$O$60,MATCH(D78,Agentes!$A$6:$A$60,0)),"")))</f>
        <v/>
      </c>
      <c r="G78" s="9" t="n"/>
      <c r="H78" s="33" t="n"/>
      <c r="I78" s="29">
        <f>IF(AND(ISNUMBER(H78),ISNUMBER(F78)),H78/F78,"")</f>
        <v/>
      </c>
      <c r="J78" s="28">
        <f>IF(D78="","",IF(NOT(ISNUMBER(F78)),"Sin BEI para este agente",IF(I78="","Pendiente de resultado",IF(I78&gt;1,"Supera el BEI: investigar","Dentro del BEI"))))</f>
        <v/>
      </c>
      <c r="K78" s="28">
        <f>IF(D78="","",IFERROR(INDEX(Agentes!$Q$6:$Q$60,MATCH(D78,Agentes!$A$6:$A$60,0)),""))</f>
        <v/>
      </c>
      <c r="L78" s="8" t="n"/>
    </row>
    <row r="79">
      <c r="A79" s="8" t="n"/>
      <c r="B79" s="8" t="n"/>
      <c r="C79" s="8" t="n"/>
      <c r="D79" s="8" t="n"/>
      <c r="E79" s="28">
        <f>IF(D79="","",T(IFERROR(INDEX(Agentes!$N$6:$N$60,MATCH(D79,Agentes!$A$6:$A$60,0)),"")))</f>
        <v/>
      </c>
      <c r="F79" s="32">
        <f>IF(D79="","",IF(N(IFERROR(INDEX(Agentes!$O$6:$O$60,MATCH(D79,Agentes!$A$6:$A$60,0)),0))=0,"",IFERROR(INDEX(Agentes!$O$6:$O$60,MATCH(D79,Agentes!$A$6:$A$60,0)),"")))</f>
        <v/>
      </c>
      <c r="G79" s="9" t="n"/>
      <c r="H79" s="33" t="n"/>
      <c r="I79" s="29">
        <f>IF(AND(ISNUMBER(H79),ISNUMBER(F79)),H79/F79,"")</f>
        <v/>
      </c>
      <c r="J79" s="28">
        <f>IF(D79="","",IF(NOT(ISNUMBER(F79)),"Sin BEI para este agente",IF(I79="","Pendiente de resultado",IF(I79&gt;1,"Supera el BEI: investigar","Dentro del BEI"))))</f>
        <v/>
      </c>
      <c r="K79" s="28">
        <f>IF(D79="","",IFERROR(INDEX(Agentes!$Q$6:$Q$60,MATCH(D79,Agentes!$A$6:$A$60,0)),""))</f>
        <v/>
      </c>
      <c r="L79" s="8" t="n"/>
    </row>
    <row r="80">
      <c r="A80" s="8" t="n"/>
      <c r="B80" s="8" t="n"/>
      <c r="C80" s="8" t="n"/>
      <c r="D80" s="8" t="n"/>
      <c r="E80" s="28">
        <f>IF(D80="","",T(IFERROR(INDEX(Agentes!$N$6:$N$60,MATCH(D80,Agentes!$A$6:$A$60,0)),"")))</f>
        <v/>
      </c>
      <c r="F80" s="32">
        <f>IF(D80="","",IF(N(IFERROR(INDEX(Agentes!$O$6:$O$60,MATCH(D80,Agentes!$A$6:$A$60,0)),0))=0,"",IFERROR(INDEX(Agentes!$O$6:$O$60,MATCH(D80,Agentes!$A$6:$A$60,0)),"")))</f>
        <v/>
      </c>
      <c r="G80" s="9" t="n"/>
      <c r="H80" s="33" t="n"/>
      <c r="I80" s="29">
        <f>IF(AND(ISNUMBER(H80),ISNUMBER(F80)),H80/F80,"")</f>
        <v/>
      </c>
      <c r="J80" s="28">
        <f>IF(D80="","",IF(NOT(ISNUMBER(F80)),"Sin BEI para este agente",IF(I80="","Pendiente de resultado",IF(I80&gt;1,"Supera el BEI: investigar","Dentro del BEI"))))</f>
        <v/>
      </c>
      <c r="K80" s="28">
        <f>IF(D80="","",IFERROR(INDEX(Agentes!$Q$6:$Q$60,MATCH(D80,Agentes!$A$6:$A$60,0)),""))</f>
        <v/>
      </c>
      <c r="L80" s="8" t="n"/>
    </row>
    <row r="81">
      <c r="A81" s="8" t="n"/>
      <c r="B81" s="8" t="n"/>
      <c r="C81" s="8" t="n"/>
      <c r="D81" s="8" t="n"/>
      <c r="E81" s="28">
        <f>IF(D81="","",T(IFERROR(INDEX(Agentes!$N$6:$N$60,MATCH(D81,Agentes!$A$6:$A$60,0)),"")))</f>
        <v/>
      </c>
      <c r="F81" s="32">
        <f>IF(D81="","",IF(N(IFERROR(INDEX(Agentes!$O$6:$O$60,MATCH(D81,Agentes!$A$6:$A$60,0)),0))=0,"",IFERROR(INDEX(Agentes!$O$6:$O$60,MATCH(D81,Agentes!$A$6:$A$60,0)),"")))</f>
        <v/>
      </c>
      <c r="G81" s="9" t="n"/>
      <c r="H81" s="33" t="n"/>
      <c r="I81" s="29">
        <f>IF(AND(ISNUMBER(H81),ISNUMBER(F81)),H81/F81,"")</f>
        <v/>
      </c>
      <c r="J81" s="28">
        <f>IF(D81="","",IF(NOT(ISNUMBER(F81)),"Sin BEI para este agente",IF(I81="","Pendiente de resultado",IF(I81&gt;1,"Supera el BEI: investigar","Dentro del BEI"))))</f>
        <v/>
      </c>
      <c r="K81" s="28">
        <f>IF(D81="","",IFERROR(INDEX(Agentes!$Q$6:$Q$60,MATCH(D81,Agentes!$A$6:$A$60,0)),""))</f>
        <v/>
      </c>
      <c r="L81" s="8" t="n"/>
    </row>
    <row r="82">
      <c r="A82" s="8" t="n"/>
      <c r="B82" s="8" t="n"/>
      <c r="C82" s="8" t="n"/>
      <c r="D82" s="8" t="n"/>
      <c r="E82" s="28">
        <f>IF(D82="","",T(IFERROR(INDEX(Agentes!$N$6:$N$60,MATCH(D82,Agentes!$A$6:$A$60,0)),"")))</f>
        <v/>
      </c>
      <c r="F82" s="32">
        <f>IF(D82="","",IF(N(IFERROR(INDEX(Agentes!$O$6:$O$60,MATCH(D82,Agentes!$A$6:$A$60,0)),0))=0,"",IFERROR(INDEX(Agentes!$O$6:$O$60,MATCH(D82,Agentes!$A$6:$A$60,0)),"")))</f>
        <v/>
      </c>
      <c r="G82" s="9" t="n"/>
      <c r="H82" s="33" t="n"/>
      <c r="I82" s="29">
        <f>IF(AND(ISNUMBER(H82),ISNUMBER(F82)),H82/F82,"")</f>
        <v/>
      </c>
      <c r="J82" s="28">
        <f>IF(D82="","",IF(NOT(ISNUMBER(F82)),"Sin BEI para este agente",IF(I82="","Pendiente de resultado",IF(I82&gt;1,"Supera el BEI: investigar","Dentro del BEI"))))</f>
        <v/>
      </c>
      <c r="K82" s="28">
        <f>IF(D82="","",IFERROR(INDEX(Agentes!$Q$6:$Q$60,MATCH(D82,Agentes!$A$6:$A$60,0)),""))</f>
        <v/>
      </c>
      <c r="L82" s="8" t="n"/>
    </row>
    <row r="83">
      <c r="A83" s="8" t="n"/>
      <c r="B83" s="8" t="n"/>
      <c r="C83" s="8" t="n"/>
      <c r="D83" s="8" t="n"/>
      <c r="E83" s="28">
        <f>IF(D83="","",T(IFERROR(INDEX(Agentes!$N$6:$N$60,MATCH(D83,Agentes!$A$6:$A$60,0)),"")))</f>
        <v/>
      </c>
      <c r="F83" s="32">
        <f>IF(D83="","",IF(N(IFERROR(INDEX(Agentes!$O$6:$O$60,MATCH(D83,Agentes!$A$6:$A$60,0)),0))=0,"",IFERROR(INDEX(Agentes!$O$6:$O$60,MATCH(D83,Agentes!$A$6:$A$60,0)),"")))</f>
        <v/>
      </c>
      <c r="G83" s="9" t="n"/>
      <c r="H83" s="33" t="n"/>
      <c r="I83" s="29">
        <f>IF(AND(ISNUMBER(H83),ISNUMBER(F83)),H83/F83,"")</f>
        <v/>
      </c>
      <c r="J83" s="28">
        <f>IF(D83="","",IF(NOT(ISNUMBER(F83)),"Sin BEI para este agente",IF(I83="","Pendiente de resultado",IF(I83&gt;1,"Supera el BEI: investigar","Dentro del BEI"))))</f>
        <v/>
      </c>
      <c r="K83" s="28">
        <f>IF(D83="","",IFERROR(INDEX(Agentes!$Q$6:$Q$60,MATCH(D83,Agentes!$A$6:$A$60,0)),""))</f>
        <v/>
      </c>
      <c r="L83" s="8" t="n"/>
    </row>
    <row r="84">
      <c r="A84" s="8" t="n"/>
      <c r="B84" s="8" t="n"/>
      <c r="C84" s="8" t="n"/>
      <c r="D84" s="8" t="n"/>
      <c r="E84" s="28">
        <f>IF(D84="","",T(IFERROR(INDEX(Agentes!$N$6:$N$60,MATCH(D84,Agentes!$A$6:$A$60,0)),"")))</f>
        <v/>
      </c>
      <c r="F84" s="32">
        <f>IF(D84="","",IF(N(IFERROR(INDEX(Agentes!$O$6:$O$60,MATCH(D84,Agentes!$A$6:$A$60,0)),0))=0,"",IFERROR(INDEX(Agentes!$O$6:$O$60,MATCH(D84,Agentes!$A$6:$A$60,0)),"")))</f>
        <v/>
      </c>
      <c r="G84" s="9" t="n"/>
      <c r="H84" s="33" t="n"/>
      <c r="I84" s="29">
        <f>IF(AND(ISNUMBER(H84),ISNUMBER(F84)),H84/F84,"")</f>
        <v/>
      </c>
      <c r="J84" s="28">
        <f>IF(D84="","",IF(NOT(ISNUMBER(F84)),"Sin BEI para este agente",IF(I84="","Pendiente de resultado",IF(I84&gt;1,"Supera el BEI: investigar","Dentro del BEI"))))</f>
        <v/>
      </c>
      <c r="K84" s="28">
        <f>IF(D84="","",IFERROR(INDEX(Agentes!$Q$6:$Q$60,MATCH(D84,Agentes!$A$6:$A$60,0)),""))</f>
        <v/>
      </c>
      <c r="L84" s="8" t="n"/>
    </row>
    <row r="85">
      <c r="A85" s="8" t="n"/>
      <c r="B85" s="8" t="n"/>
      <c r="C85" s="8" t="n"/>
      <c r="D85" s="8" t="n"/>
      <c r="E85" s="28">
        <f>IF(D85="","",T(IFERROR(INDEX(Agentes!$N$6:$N$60,MATCH(D85,Agentes!$A$6:$A$60,0)),"")))</f>
        <v/>
      </c>
      <c r="F85" s="32">
        <f>IF(D85="","",IF(N(IFERROR(INDEX(Agentes!$O$6:$O$60,MATCH(D85,Agentes!$A$6:$A$60,0)),0))=0,"",IFERROR(INDEX(Agentes!$O$6:$O$60,MATCH(D85,Agentes!$A$6:$A$60,0)),"")))</f>
        <v/>
      </c>
      <c r="G85" s="9" t="n"/>
      <c r="H85" s="33" t="n"/>
      <c r="I85" s="29">
        <f>IF(AND(ISNUMBER(H85),ISNUMBER(F85)),H85/F85,"")</f>
        <v/>
      </c>
      <c r="J85" s="28">
        <f>IF(D85="","",IF(NOT(ISNUMBER(F85)),"Sin BEI para este agente",IF(I85="","Pendiente de resultado",IF(I85&gt;1,"Supera el BEI: investigar","Dentro del BEI"))))</f>
        <v/>
      </c>
      <c r="K85" s="28">
        <f>IF(D85="","",IFERROR(INDEX(Agentes!$Q$6:$Q$60,MATCH(D85,Agentes!$A$6:$A$60,0)),""))</f>
        <v/>
      </c>
      <c r="L85" s="8" t="n"/>
    </row>
    <row r="86">
      <c r="A86" s="8" t="n"/>
      <c r="B86" s="8" t="n"/>
      <c r="C86" s="8" t="n"/>
      <c r="D86" s="8" t="n"/>
      <c r="E86" s="28">
        <f>IF(D86="","",T(IFERROR(INDEX(Agentes!$N$6:$N$60,MATCH(D86,Agentes!$A$6:$A$60,0)),"")))</f>
        <v/>
      </c>
      <c r="F86" s="32">
        <f>IF(D86="","",IF(N(IFERROR(INDEX(Agentes!$O$6:$O$60,MATCH(D86,Agentes!$A$6:$A$60,0)),0))=0,"",IFERROR(INDEX(Agentes!$O$6:$O$60,MATCH(D86,Agentes!$A$6:$A$60,0)),"")))</f>
        <v/>
      </c>
      <c r="G86" s="9" t="n"/>
      <c r="H86" s="33" t="n"/>
      <c r="I86" s="29">
        <f>IF(AND(ISNUMBER(H86),ISNUMBER(F86)),H86/F86,"")</f>
        <v/>
      </c>
      <c r="J86" s="28">
        <f>IF(D86="","",IF(NOT(ISNUMBER(F86)),"Sin BEI para este agente",IF(I86="","Pendiente de resultado",IF(I86&gt;1,"Supera el BEI: investigar","Dentro del BEI"))))</f>
        <v/>
      </c>
      <c r="K86" s="28">
        <f>IF(D86="","",IFERROR(INDEX(Agentes!$Q$6:$Q$60,MATCH(D86,Agentes!$A$6:$A$60,0)),""))</f>
        <v/>
      </c>
      <c r="L86" s="8" t="n"/>
    </row>
    <row r="87">
      <c r="A87" s="8" t="n"/>
      <c r="B87" s="8" t="n"/>
      <c r="C87" s="8" t="n"/>
      <c r="D87" s="8" t="n"/>
      <c r="E87" s="28">
        <f>IF(D87="","",T(IFERROR(INDEX(Agentes!$N$6:$N$60,MATCH(D87,Agentes!$A$6:$A$60,0)),"")))</f>
        <v/>
      </c>
      <c r="F87" s="32">
        <f>IF(D87="","",IF(N(IFERROR(INDEX(Agentes!$O$6:$O$60,MATCH(D87,Agentes!$A$6:$A$60,0)),0))=0,"",IFERROR(INDEX(Agentes!$O$6:$O$60,MATCH(D87,Agentes!$A$6:$A$60,0)),"")))</f>
        <v/>
      </c>
      <c r="G87" s="9" t="n"/>
      <c r="H87" s="33" t="n"/>
      <c r="I87" s="29">
        <f>IF(AND(ISNUMBER(H87),ISNUMBER(F87)),H87/F87,"")</f>
        <v/>
      </c>
      <c r="J87" s="28">
        <f>IF(D87="","",IF(NOT(ISNUMBER(F87)),"Sin BEI para este agente",IF(I87="","Pendiente de resultado",IF(I87&gt;1,"Supera el BEI: investigar","Dentro del BEI"))))</f>
        <v/>
      </c>
      <c r="K87" s="28">
        <f>IF(D87="","",IFERROR(INDEX(Agentes!$Q$6:$Q$60,MATCH(D87,Agentes!$A$6:$A$60,0)),""))</f>
        <v/>
      </c>
      <c r="L87" s="8" t="n"/>
    </row>
    <row r="88">
      <c r="A88" s="8" t="n"/>
      <c r="B88" s="8" t="n"/>
      <c r="C88" s="8" t="n"/>
      <c r="D88" s="8" t="n"/>
      <c r="E88" s="28">
        <f>IF(D88="","",T(IFERROR(INDEX(Agentes!$N$6:$N$60,MATCH(D88,Agentes!$A$6:$A$60,0)),"")))</f>
        <v/>
      </c>
      <c r="F88" s="32">
        <f>IF(D88="","",IF(N(IFERROR(INDEX(Agentes!$O$6:$O$60,MATCH(D88,Agentes!$A$6:$A$60,0)),0))=0,"",IFERROR(INDEX(Agentes!$O$6:$O$60,MATCH(D88,Agentes!$A$6:$A$60,0)),"")))</f>
        <v/>
      </c>
      <c r="G88" s="9" t="n"/>
      <c r="H88" s="33" t="n"/>
      <c r="I88" s="29">
        <f>IF(AND(ISNUMBER(H88),ISNUMBER(F88)),H88/F88,"")</f>
        <v/>
      </c>
      <c r="J88" s="28">
        <f>IF(D88="","",IF(NOT(ISNUMBER(F88)),"Sin BEI para este agente",IF(I88="","Pendiente de resultado",IF(I88&gt;1,"Supera el BEI: investigar","Dentro del BEI"))))</f>
        <v/>
      </c>
      <c r="K88" s="28">
        <f>IF(D88="","",IFERROR(INDEX(Agentes!$Q$6:$Q$60,MATCH(D88,Agentes!$A$6:$A$60,0)),""))</f>
        <v/>
      </c>
      <c r="L88" s="8" t="n"/>
    </row>
    <row r="89">
      <c r="A89" s="8" t="n"/>
      <c r="B89" s="8" t="n"/>
      <c r="C89" s="8" t="n"/>
      <c r="D89" s="8" t="n"/>
      <c r="E89" s="28">
        <f>IF(D89="","",T(IFERROR(INDEX(Agentes!$N$6:$N$60,MATCH(D89,Agentes!$A$6:$A$60,0)),"")))</f>
        <v/>
      </c>
      <c r="F89" s="32">
        <f>IF(D89="","",IF(N(IFERROR(INDEX(Agentes!$O$6:$O$60,MATCH(D89,Agentes!$A$6:$A$60,0)),0))=0,"",IFERROR(INDEX(Agentes!$O$6:$O$60,MATCH(D89,Agentes!$A$6:$A$60,0)),"")))</f>
        <v/>
      </c>
      <c r="G89" s="9" t="n"/>
      <c r="H89" s="33" t="n"/>
      <c r="I89" s="29">
        <f>IF(AND(ISNUMBER(H89),ISNUMBER(F89)),H89/F89,"")</f>
        <v/>
      </c>
      <c r="J89" s="28">
        <f>IF(D89="","",IF(NOT(ISNUMBER(F89)),"Sin BEI para este agente",IF(I89="","Pendiente de resultado",IF(I89&gt;1,"Supera el BEI: investigar","Dentro del BEI"))))</f>
        <v/>
      </c>
      <c r="K89" s="28">
        <f>IF(D89="","",IFERROR(INDEX(Agentes!$Q$6:$Q$60,MATCH(D89,Agentes!$A$6:$A$60,0)),""))</f>
        <v/>
      </c>
      <c r="L89" s="8" t="n"/>
    </row>
    <row r="90">
      <c r="A90" s="8" t="n"/>
      <c r="B90" s="8" t="n"/>
      <c r="C90" s="8" t="n"/>
      <c r="D90" s="8" t="n"/>
      <c r="E90" s="28">
        <f>IF(D90="","",T(IFERROR(INDEX(Agentes!$N$6:$N$60,MATCH(D90,Agentes!$A$6:$A$60,0)),"")))</f>
        <v/>
      </c>
      <c r="F90" s="32">
        <f>IF(D90="","",IF(N(IFERROR(INDEX(Agentes!$O$6:$O$60,MATCH(D90,Agentes!$A$6:$A$60,0)),0))=0,"",IFERROR(INDEX(Agentes!$O$6:$O$60,MATCH(D90,Agentes!$A$6:$A$60,0)),"")))</f>
        <v/>
      </c>
      <c r="G90" s="9" t="n"/>
      <c r="H90" s="33" t="n"/>
      <c r="I90" s="29">
        <f>IF(AND(ISNUMBER(H90),ISNUMBER(F90)),H90/F90,"")</f>
        <v/>
      </c>
      <c r="J90" s="28">
        <f>IF(D90="","",IF(NOT(ISNUMBER(F90)),"Sin BEI para este agente",IF(I90="","Pendiente de resultado",IF(I90&gt;1,"Supera el BEI: investigar","Dentro del BEI"))))</f>
        <v/>
      </c>
      <c r="K90" s="28">
        <f>IF(D90="","",IFERROR(INDEX(Agentes!$Q$6:$Q$60,MATCH(D90,Agentes!$A$6:$A$60,0)),""))</f>
        <v/>
      </c>
      <c r="L90" s="8" t="n"/>
    </row>
    <row r="91">
      <c r="A91" s="8" t="n"/>
      <c r="B91" s="8" t="n"/>
      <c r="C91" s="8" t="n"/>
      <c r="D91" s="8" t="n"/>
      <c r="E91" s="28">
        <f>IF(D91="","",T(IFERROR(INDEX(Agentes!$N$6:$N$60,MATCH(D91,Agentes!$A$6:$A$60,0)),"")))</f>
        <v/>
      </c>
      <c r="F91" s="32">
        <f>IF(D91="","",IF(N(IFERROR(INDEX(Agentes!$O$6:$O$60,MATCH(D91,Agentes!$A$6:$A$60,0)),0))=0,"",IFERROR(INDEX(Agentes!$O$6:$O$60,MATCH(D91,Agentes!$A$6:$A$60,0)),"")))</f>
        <v/>
      </c>
      <c r="G91" s="9" t="n"/>
      <c r="H91" s="33" t="n"/>
      <c r="I91" s="29">
        <f>IF(AND(ISNUMBER(H91),ISNUMBER(F91)),H91/F91,"")</f>
        <v/>
      </c>
      <c r="J91" s="28">
        <f>IF(D91="","",IF(NOT(ISNUMBER(F91)),"Sin BEI para este agente",IF(I91="","Pendiente de resultado",IF(I91&gt;1,"Supera el BEI: investigar","Dentro del BEI"))))</f>
        <v/>
      </c>
      <c r="K91" s="28">
        <f>IF(D91="","",IFERROR(INDEX(Agentes!$Q$6:$Q$60,MATCH(D91,Agentes!$A$6:$A$60,0)),""))</f>
        <v/>
      </c>
      <c r="L91" s="8" t="n"/>
    </row>
    <row r="92">
      <c r="A92" s="8" t="n"/>
      <c r="B92" s="8" t="n"/>
      <c r="C92" s="8" t="n"/>
      <c r="D92" s="8" t="n"/>
      <c r="E92" s="28">
        <f>IF(D92="","",T(IFERROR(INDEX(Agentes!$N$6:$N$60,MATCH(D92,Agentes!$A$6:$A$60,0)),"")))</f>
        <v/>
      </c>
      <c r="F92" s="32">
        <f>IF(D92="","",IF(N(IFERROR(INDEX(Agentes!$O$6:$O$60,MATCH(D92,Agentes!$A$6:$A$60,0)),0))=0,"",IFERROR(INDEX(Agentes!$O$6:$O$60,MATCH(D92,Agentes!$A$6:$A$60,0)),"")))</f>
        <v/>
      </c>
      <c r="G92" s="9" t="n"/>
      <c r="H92" s="33" t="n"/>
      <c r="I92" s="29">
        <f>IF(AND(ISNUMBER(H92),ISNUMBER(F92)),H92/F92,"")</f>
        <v/>
      </c>
      <c r="J92" s="28">
        <f>IF(D92="","",IF(NOT(ISNUMBER(F92)),"Sin BEI para este agente",IF(I92="","Pendiente de resultado",IF(I92&gt;1,"Supera el BEI: investigar","Dentro del BEI"))))</f>
        <v/>
      </c>
      <c r="K92" s="28">
        <f>IF(D92="","",IFERROR(INDEX(Agentes!$Q$6:$Q$60,MATCH(D92,Agentes!$A$6:$A$60,0)),""))</f>
        <v/>
      </c>
      <c r="L92" s="8" t="n"/>
    </row>
    <row r="93">
      <c r="A93" s="8" t="n"/>
      <c r="B93" s="8" t="n"/>
      <c r="C93" s="8" t="n"/>
      <c r="D93" s="8" t="n"/>
      <c r="E93" s="28">
        <f>IF(D93="","",T(IFERROR(INDEX(Agentes!$N$6:$N$60,MATCH(D93,Agentes!$A$6:$A$60,0)),"")))</f>
        <v/>
      </c>
      <c r="F93" s="32">
        <f>IF(D93="","",IF(N(IFERROR(INDEX(Agentes!$O$6:$O$60,MATCH(D93,Agentes!$A$6:$A$60,0)),0))=0,"",IFERROR(INDEX(Agentes!$O$6:$O$60,MATCH(D93,Agentes!$A$6:$A$60,0)),"")))</f>
        <v/>
      </c>
      <c r="G93" s="9" t="n"/>
      <c r="H93" s="33" t="n"/>
      <c r="I93" s="29">
        <f>IF(AND(ISNUMBER(H93),ISNUMBER(F93)),H93/F93,"")</f>
        <v/>
      </c>
      <c r="J93" s="28">
        <f>IF(D93="","",IF(NOT(ISNUMBER(F93)),"Sin BEI para este agente",IF(I93="","Pendiente de resultado",IF(I93&gt;1,"Supera el BEI: investigar","Dentro del BEI"))))</f>
        <v/>
      </c>
      <c r="K93" s="28">
        <f>IF(D93="","",IFERROR(INDEX(Agentes!$Q$6:$Q$60,MATCH(D93,Agentes!$A$6:$A$60,0)),""))</f>
        <v/>
      </c>
      <c r="L93" s="8" t="n"/>
    </row>
    <row r="94">
      <c r="A94" s="8" t="n"/>
      <c r="B94" s="8" t="n"/>
      <c r="C94" s="8" t="n"/>
      <c r="D94" s="8" t="n"/>
      <c r="E94" s="28">
        <f>IF(D94="","",T(IFERROR(INDEX(Agentes!$N$6:$N$60,MATCH(D94,Agentes!$A$6:$A$60,0)),"")))</f>
        <v/>
      </c>
      <c r="F94" s="32">
        <f>IF(D94="","",IF(N(IFERROR(INDEX(Agentes!$O$6:$O$60,MATCH(D94,Agentes!$A$6:$A$60,0)),0))=0,"",IFERROR(INDEX(Agentes!$O$6:$O$60,MATCH(D94,Agentes!$A$6:$A$60,0)),"")))</f>
        <v/>
      </c>
      <c r="G94" s="9" t="n"/>
      <c r="H94" s="33" t="n"/>
      <c r="I94" s="29">
        <f>IF(AND(ISNUMBER(H94),ISNUMBER(F94)),H94/F94,"")</f>
        <v/>
      </c>
      <c r="J94" s="28">
        <f>IF(D94="","",IF(NOT(ISNUMBER(F94)),"Sin BEI para este agente",IF(I94="","Pendiente de resultado",IF(I94&gt;1,"Supera el BEI: investigar","Dentro del BEI"))))</f>
        <v/>
      </c>
      <c r="K94" s="28">
        <f>IF(D94="","",IFERROR(INDEX(Agentes!$Q$6:$Q$60,MATCH(D94,Agentes!$A$6:$A$60,0)),""))</f>
        <v/>
      </c>
      <c r="L94" s="8" t="n"/>
    </row>
    <row r="95">
      <c r="A95" s="8" t="n"/>
      <c r="B95" s="8" t="n"/>
      <c r="C95" s="8" t="n"/>
      <c r="D95" s="8" t="n"/>
      <c r="E95" s="28">
        <f>IF(D95="","",T(IFERROR(INDEX(Agentes!$N$6:$N$60,MATCH(D95,Agentes!$A$6:$A$60,0)),"")))</f>
        <v/>
      </c>
      <c r="F95" s="32">
        <f>IF(D95="","",IF(N(IFERROR(INDEX(Agentes!$O$6:$O$60,MATCH(D95,Agentes!$A$6:$A$60,0)),0))=0,"",IFERROR(INDEX(Agentes!$O$6:$O$60,MATCH(D95,Agentes!$A$6:$A$60,0)),"")))</f>
        <v/>
      </c>
      <c r="G95" s="9" t="n"/>
      <c r="H95" s="33" t="n"/>
      <c r="I95" s="29">
        <f>IF(AND(ISNUMBER(H95),ISNUMBER(F95)),H95/F95,"")</f>
        <v/>
      </c>
      <c r="J95" s="28">
        <f>IF(D95="","",IF(NOT(ISNUMBER(F95)),"Sin BEI para este agente",IF(I95="","Pendiente de resultado",IF(I95&gt;1,"Supera el BEI: investigar","Dentro del BEI"))))</f>
        <v/>
      </c>
      <c r="K95" s="28">
        <f>IF(D95="","",IFERROR(INDEX(Agentes!$Q$6:$Q$60,MATCH(D95,Agentes!$A$6:$A$60,0)),""))</f>
        <v/>
      </c>
      <c r="L95" s="8" t="n"/>
    </row>
    <row r="96">
      <c r="A96" s="8" t="n"/>
      <c r="B96" s="8" t="n"/>
      <c r="C96" s="8" t="n"/>
      <c r="D96" s="8" t="n"/>
      <c r="E96" s="28">
        <f>IF(D96="","",T(IFERROR(INDEX(Agentes!$N$6:$N$60,MATCH(D96,Agentes!$A$6:$A$60,0)),"")))</f>
        <v/>
      </c>
      <c r="F96" s="32">
        <f>IF(D96="","",IF(N(IFERROR(INDEX(Agentes!$O$6:$O$60,MATCH(D96,Agentes!$A$6:$A$60,0)),0))=0,"",IFERROR(INDEX(Agentes!$O$6:$O$60,MATCH(D96,Agentes!$A$6:$A$60,0)),"")))</f>
        <v/>
      </c>
      <c r="G96" s="9" t="n"/>
      <c r="H96" s="33" t="n"/>
      <c r="I96" s="29">
        <f>IF(AND(ISNUMBER(H96),ISNUMBER(F96)),H96/F96,"")</f>
        <v/>
      </c>
      <c r="J96" s="28">
        <f>IF(D96="","",IF(NOT(ISNUMBER(F96)),"Sin BEI para este agente",IF(I96="","Pendiente de resultado",IF(I96&gt;1,"Supera el BEI: investigar","Dentro del BEI"))))</f>
        <v/>
      </c>
      <c r="K96" s="28">
        <f>IF(D96="","",IFERROR(INDEX(Agentes!$Q$6:$Q$60,MATCH(D96,Agentes!$A$6:$A$60,0)),""))</f>
        <v/>
      </c>
      <c r="L96" s="8" t="n"/>
    </row>
    <row r="97">
      <c r="A97" s="8" t="n"/>
      <c r="B97" s="8" t="n"/>
      <c r="C97" s="8" t="n"/>
      <c r="D97" s="8" t="n"/>
      <c r="E97" s="28">
        <f>IF(D97="","",T(IFERROR(INDEX(Agentes!$N$6:$N$60,MATCH(D97,Agentes!$A$6:$A$60,0)),"")))</f>
        <v/>
      </c>
      <c r="F97" s="32">
        <f>IF(D97="","",IF(N(IFERROR(INDEX(Agentes!$O$6:$O$60,MATCH(D97,Agentes!$A$6:$A$60,0)),0))=0,"",IFERROR(INDEX(Agentes!$O$6:$O$60,MATCH(D97,Agentes!$A$6:$A$60,0)),"")))</f>
        <v/>
      </c>
      <c r="G97" s="9" t="n"/>
      <c r="H97" s="33" t="n"/>
      <c r="I97" s="29">
        <f>IF(AND(ISNUMBER(H97),ISNUMBER(F97)),H97/F97,"")</f>
        <v/>
      </c>
      <c r="J97" s="28">
        <f>IF(D97="","",IF(NOT(ISNUMBER(F97)),"Sin BEI para este agente",IF(I97="","Pendiente de resultado",IF(I97&gt;1,"Supera el BEI: investigar","Dentro del BEI"))))</f>
        <v/>
      </c>
      <c r="K97" s="28">
        <f>IF(D97="","",IFERROR(INDEX(Agentes!$Q$6:$Q$60,MATCH(D97,Agentes!$A$6:$A$60,0)),""))</f>
        <v/>
      </c>
      <c r="L97" s="8" t="n"/>
    </row>
    <row r="98">
      <c r="A98" s="8" t="n"/>
      <c r="B98" s="8" t="n"/>
      <c r="C98" s="8" t="n"/>
      <c r="D98" s="8" t="n"/>
      <c r="E98" s="28">
        <f>IF(D98="","",T(IFERROR(INDEX(Agentes!$N$6:$N$60,MATCH(D98,Agentes!$A$6:$A$60,0)),"")))</f>
        <v/>
      </c>
      <c r="F98" s="32">
        <f>IF(D98="","",IF(N(IFERROR(INDEX(Agentes!$O$6:$O$60,MATCH(D98,Agentes!$A$6:$A$60,0)),0))=0,"",IFERROR(INDEX(Agentes!$O$6:$O$60,MATCH(D98,Agentes!$A$6:$A$60,0)),"")))</f>
        <v/>
      </c>
      <c r="G98" s="9" t="n"/>
      <c r="H98" s="33" t="n"/>
      <c r="I98" s="29">
        <f>IF(AND(ISNUMBER(H98),ISNUMBER(F98)),H98/F98,"")</f>
        <v/>
      </c>
      <c r="J98" s="28">
        <f>IF(D98="","",IF(NOT(ISNUMBER(F98)),"Sin BEI para este agente",IF(I98="","Pendiente de resultado",IF(I98&gt;1,"Supera el BEI: investigar","Dentro del BEI"))))</f>
        <v/>
      </c>
      <c r="K98" s="28">
        <f>IF(D98="","",IFERROR(INDEX(Agentes!$Q$6:$Q$60,MATCH(D98,Agentes!$A$6:$A$60,0)),""))</f>
        <v/>
      </c>
      <c r="L98" s="8" t="n"/>
    </row>
    <row r="99">
      <c r="A99" s="8" t="n"/>
      <c r="B99" s="8" t="n"/>
      <c r="C99" s="8" t="n"/>
      <c r="D99" s="8" t="n"/>
      <c r="E99" s="28">
        <f>IF(D99="","",T(IFERROR(INDEX(Agentes!$N$6:$N$60,MATCH(D99,Agentes!$A$6:$A$60,0)),"")))</f>
        <v/>
      </c>
      <c r="F99" s="32">
        <f>IF(D99="","",IF(N(IFERROR(INDEX(Agentes!$O$6:$O$60,MATCH(D99,Agentes!$A$6:$A$60,0)),0))=0,"",IFERROR(INDEX(Agentes!$O$6:$O$60,MATCH(D99,Agentes!$A$6:$A$60,0)),"")))</f>
        <v/>
      </c>
      <c r="G99" s="9" t="n"/>
      <c r="H99" s="33" t="n"/>
      <c r="I99" s="29">
        <f>IF(AND(ISNUMBER(H99),ISNUMBER(F99)),H99/F99,"")</f>
        <v/>
      </c>
      <c r="J99" s="28">
        <f>IF(D99="","",IF(NOT(ISNUMBER(F99)),"Sin BEI para este agente",IF(I99="","Pendiente de resultado",IF(I99&gt;1,"Supera el BEI: investigar","Dentro del BEI"))))</f>
        <v/>
      </c>
      <c r="K99" s="28">
        <f>IF(D99="","",IFERROR(INDEX(Agentes!$Q$6:$Q$60,MATCH(D99,Agentes!$A$6:$A$60,0)),""))</f>
        <v/>
      </c>
      <c r="L99" s="8" t="n"/>
    </row>
    <row r="100">
      <c r="A100" s="8" t="n"/>
      <c r="B100" s="8" t="n"/>
      <c r="C100" s="8" t="n"/>
      <c r="D100" s="8" t="n"/>
      <c r="E100" s="28">
        <f>IF(D100="","",T(IFERROR(INDEX(Agentes!$N$6:$N$60,MATCH(D100,Agentes!$A$6:$A$60,0)),"")))</f>
        <v/>
      </c>
      <c r="F100" s="32">
        <f>IF(D100="","",IF(N(IFERROR(INDEX(Agentes!$O$6:$O$60,MATCH(D100,Agentes!$A$6:$A$60,0)),0))=0,"",IFERROR(INDEX(Agentes!$O$6:$O$60,MATCH(D100,Agentes!$A$6:$A$60,0)),"")))</f>
        <v/>
      </c>
      <c r="G100" s="9" t="n"/>
      <c r="H100" s="33" t="n"/>
      <c r="I100" s="29">
        <f>IF(AND(ISNUMBER(H100),ISNUMBER(F100)),H100/F100,"")</f>
        <v/>
      </c>
      <c r="J100" s="28">
        <f>IF(D100="","",IF(NOT(ISNUMBER(F100)),"Sin BEI para este agente",IF(I100="","Pendiente de resultado",IF(I100&gt;1,"Supera el BEI: investigar","Dentro del BEI"))))</f>
        <v/>
      </c>
      <c r="K100" s="28">
        <f>IF(D100="","",IFERROR(INDEX(Agentes!$Q$6:$Q$60,MATCH(D100,Agentes!$A$6:$A$60,0)),""))</f>
        <v/>
      </c>
      <c r="L100" s="8" t="n"/>
    </row>
    <row r="101">
      <c r="A101" s="8" t="n"/>
      <c r="B101" s="8" t="n"/>
      <c r="C101" s="8" t="n"/>
      <c r="D101" s="8" t="n"/>
      <c r="E101" s="28">
        <f>IF(D101="","",T(IFERROR(INDEX(Agentes!$N$6:$N$60,MATCH(D101,Agentes!$A$6:$A$60,0)),"")))</f>
        <v/>
      </c>
      <c r="F101" s="32">
        <f>IF(D101="","",IF(N(IFERROR(INDEX(Agentes!$O$6:$O$60,MATCH(D101,Agentes!$A$6:$A$60,0)),0))=0,"",IFERROR(INDEX(Agentes!$O$6:$O$60,MATCH(D101,Agentes!$A$6:$A$60,0)),"")))</f>
        <v/>
      </c>
      <c r="G101" s="9" t="n"/>
      <c r="H101" s="33" t="n"/>
      <c r="I101" s="29">
        <f>IF(AND(ISNUMBER(H101),ISNUMBER(F101)),H101/F101,"")</f>
        <v/>
      </c>
      <c r="J101" s="28">
        <f>IF(D101="","",IF(NOT(ISNUMBER(F101)),"Sin BEI para este agente",IF(I101="","Pendiente de resultado",IF(I101&gt;1,"Supera el BEI: investigar","Dentro del BEI"))))</f>
        <v/>
      </c>
      <c r="K101" s="28">
        <f>IF(D101="","",IFERROR(INDEX(Agentes!$Q$6:$Q$60,MATCH(D101,Agentes!$A$6:$A$60,0)),""))</f>
        <v/>
      </c>
      <c r="L101" s="8" t="n"/>
    </row>
    <row r="102">
      <c r="A102" s="8" t="n"/>
      <c r="B102" s="8" t="n"/>
      <c r="C102" s="8" t="n"/>
      <c r="D102" s="8" t="n"/>
      <c r="E102" s="28">
        <f>IF(D102="","",T(IFERROR(INDEX(Agentes!$N$6:$N$60,MATCH(D102,Agentes!$A$6:$A$60,0)),"")))</f>
        <v/>
      </c>
      <c r="F102" s="32">
        <f>IF(D102="","",IF(N(IFERROR(INDEX(Agentes!$O$6:$O$60,MATCH(D102,Agentes!$A$6:$A$60,0)),0))=0,"",IFERROR(INDEX(Agentes!$O$6:$O$60,MATCH(D102,Agentes!$A$6:$A$60,0)),"")))</f>
        <v/>
      </c>
      <c r="G102" s="9" t="n"/>
      <c r="H102" s="33" t="n"/>
      <c r="I102" s="29">
        <f>IF(AND(ISNUMBER(H102),ISNUMBER(F102)),H102/F102,"")</f>
        <v/>
      </c>
      <c r="J102" s="28">
        <f>IF(D102="","",IF(NOT(ISNUMBER(F102)),"Sin BEI para este agente",IF(I102="","Pendiente de resultado",IF(I102&gt;1,"Supera el BEI: investigar","Dentro del BEI"))))</f>
        <v/>
      </c>
      <c r="K102" s="28">
        <f>IF(D102="","",IFERROR(INDEX(Agentes!$Q$6:$Q$60,MATCH(D102,Agentes!$A$6:$A$60,0)),""))</f>
        <v/>
      </c>
      <c r="L102" s="8" t="n"/>
    </row>
    <row r="103">
      <c r="A103" s="8" t="n"/>
      <c r="B103" s="8" t="n"/>
      <c r="C103" s="8" t="n"/>
      <c r="D103" s="8" t="n"/>
      <c r="E103" s="28">
        <f>IF(D103="","",T(IFERROR(INDEX(Agentes!$N$6:$N$60,MATCH(D103,Agentes!$A$6:$A$60,0)),"")))</f>
        <v/>
      </c>
      <c r="F103" s="32">
        <f>IF(D103="","",IF(N(IFERROR(INDEX(Agentes!$O$6:$O$60,MATCH(D103,Agentes!$A$6:$A$60,0)),0))=0,"",IFERROR(INDEX(Agentes!$O$6:$O$60,MATCH(D103,Agentes!$A$6:$A$60,0)),"")))</f>
        <v/>
      </c>
      <c r="G103" s="9" t="n"/>
      <c r="H103" s="33" t="n"/>
      <c r="I103" s="29">
        <f>IF(AND(ISNUMBER(H103),ISNUMBER(F103)),H103/F103,"")</f>
        <v/>
      </c>
      <c r="J103" s="28">
        <f>IF(D103="","",IF(NOT(ISNUMBER(F103)),"Sin BEI para este agente",IF(I103="","Pendiente de resultado",IF(I103&gt;1,"Supera el BEI: investigar","Dentro del BEI"))))</f>
        <v/>
      </c>
      <c r="K103" s="28">
        <f>IF(D103="","",IFERROR(INDEX(Agentes!$Q$6:$Q$60,MATCH(D103,Agentes!$A$6:$A$60,0)),""))</f>
        <v/>
      </c>
      <c r="L103" s="8" t="n"/>
    </row>
    <row r="104">
      <c r="A104" s="8" t="n"/>
      <c r="B104" s="8" t="n"/>
      <c r="C104" s="8" t="n"/>
      <c r="D104" s="8" t="n"/>
      <c r="E104" s="28">
        <f>IF(D104="","",T(IFERROR(INDEX(Agentes!$N$6:$N$60,MATCH(D104,Agentes!$A$6:$A$60,0)),"")))</f>
        <v/>
      </c>
      <c r="F104" s="32">
        <f>IF(D104="","",IF(N(IFERROR(INDEX(Agentes!$O$6:$O$60,MATCH(D104,Agentes!$A$6:$A$60,0)),0))=0,"",IFERROR(INDEX(Agentes!$O$6:$O$60,MATCH(D104,Agentes!$A$6:$A$60,0)),"")))</f>
        <v/>
      </c>
      <c r="G104" s="9" t="n"/>
      <c r="H104" s="33" t="n"/>
      <c r="I104" s="29">
        <f>IF(AND(ISNUMBER(H104),ISNUMBER(F104)),H104/F104,"")</f>
        <v/>
      </c>
      <c r="J104" s="28">
        <f>IF(D104="","",IF(NOT(ISNUMBER(F104)),"Sin BEI para este agente",IF(I104="","Pendiente de resultado",IF(I104&gt;1,"Supera el BEI: investigar","Dentro del BEI"))))</f>
        <v/>
      </c>
      <c r="K104" s="28">
        <f>IF(D104="","",IFERROR(INDEX(Agentes!$Q$6:$Q$60,MATCH(D104,Agentes!$A$6:$A$60,0)),""))</f>
        <v/>
      </c>
      <c r="L104" s="8" t="n"/>
    </row>
    <row r="105">
      <c r="A105" s="8" t="n"/>
      <c r="B105" s="8" t="n"/>
      <c r="C105" s="8" t="n"/>
      <c r="D105" s="8" t="n"/>
      <c r="E105" s="28">
        <f>IF(D105="","",T(IFERROR(INDEX(Agentes!$N$6:$N$60,MATCH(D105,Agentes!$A$6:$A$60,0)),"")))</f>
        <v/>
      </c>
      <c r="F105" s="32">
        <f>IF(D105="","",IF(N(IFERROR(INDEX(Agentes!$O$6:$O$60,MATCH(D105,Agentes!$A$6:$A$60,0)),0))=0,"",IFERROR(INDEX(Agentes!$O$6:$O$60,MATCH(D105,Agentes!$A$6:$A$60,0)),"")))</f>
        <v/>
      </c>
      <c r="G105" s="9" t="n"/>
      <c r="H105" s="33" t="n"/>
      <c r="I105" s="29">
        <f>IF(AND(ISNUMBER(H105),ISNUMBER(F105)),H105/F105,"")</f>
        <v/>
      </c>
      <c r="J105" s="28">
        <f>IF(D105="","",IF(NOT(ISNUMBER(F105)),"Sin BEI para este agente",IF(I105="","Pendiente de resultado",IF(I105&gt;1,"Supera el BEI: investigar","Dentro del BEI"))))</f>
        <v/>
      </c>
      <c r="K105" s="28">
        <f>IF(D105="","",IFERROR(INDEX(Agentes!$Q$6:$Q$60,MATCH(D105,Agentes!$A$6:$A$60,0)),""))</f>
        <v/>
      </c>
      <c r="L105" s="8" t="n"/>
    </row>
  </sheetData>
  <conditionalFormatting sqref="J6:J105">
    <cfRule type="expression" priority="1" dxfId="2">
      <formula>LEFT(J6,6)="Supera"</formula>
    </cfRule>
    <cfRule type="expression" priority="2" dxfId="4">
      <formula>J6="Dentro del BEI"</formula>
    </cfRule>
  </conditionalFormatting>
  <dataValidations count="2">
    <dataValidation sqref="C6:C105" showDropDown="0" showInputMessage="0" showErrorMessage="0" allowBlank="1" type="list">
      <formula1>GES!$A$6:$A$35</formula1>
    </dataValidation>
    <dataValidation sqref="D6:D105" showDropDown="0" showInputMessage="0" showErrorMessage="0" allowBlank="1" type="list">
      <formula1>Agentes!$A$6:$A$60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2026-10-21T22:56:50Z</dcterms:created>
  <dcterms:modified xmlns:dcterms="http://purl.org/dc/terms/" xmlns:xsi="http://www.w3.org/2001/XMLSchema-instance" xsi:type="dcterms:W3CDTF">2026-10-21T22:56:51Z</dcterms:modified>
</cp:coreProperties>
</file>