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ar\Desktop\REVISION HERRAMIENTAS RISK\LuxRisk Final\"/>
    </mc:Choice>
  </mc:AlternateContent>
  <xr:revisionPtr revIDLastSave="0" documentId="13_ncr:1_{756D8993-18F9-498D-A28E-90C0CE2070A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 activeTab="0" firstSheet="0"/>
  </bookViews>
  <sheets>
    <sheet name="Portada" sheetId="2" r:id="rIdPortada"/>
    <sheet name="Ligh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" l="1"/>
  <c r="B11" i="1"/>
  <c r="B12" i="1" s="1"/>
  <c r="B10" i="1"/>
  <c r="B19" i="1" s="1"/>
  <c r="B20" i="1" s="1"/>
  <c r="B23" i="1" l="1"/>
  <c r="B24" i="1" s="1"/>
  <c r="B27" i="1" s="1"/>
  <c r="B26" i="1" l="1"/>
  <c r="B28" i="1" s="1"/>
  <c r="B25" i="1"/>
  <c r="B32" i="1" s="1"/>
  <c r="B33" i="1" s="1"/>
</calcChain>
</file>

<file path=xl/sharedStrings.xml><?xml version="1.0" encoding="utf-8"?>
<sst xmlns="http://schemas.openxmlformats.org/spreadsheetml/2006/main" count="45" uniqueCount="34">
  <si>
    <t>DISEÑO DE ILUMINACION</t>
  </si>
  <si>
    <t>Largo del local (L)</t>
  </si>
  <si>
    <t>m</t>
  </si>
  <si>
    <t>Ancho de local (W)</t>
  </si>
  <si>
    <t>Alto del local (H)</t>
  </si>
  <si>
    <t>Altura plano de trabajo (hp)</t>
  </si>
  <si>
    <t>Altura suspensión lámpara (hd)</t>
  </si>
  <si>
    <t>Iluminancia requerida (Ereq)</t>
  </si>
  <si>
    <t>Lux</t>
  </si>
  <si>
    <t>Área del local (S)</t>
  </si>
  <si>
    <t>m²</t>
  </si>
  <si>
    <t>Altura útil de montaje (hm)</t>
  </si>
  <si>
    <t>Índice del local (K)</t>
  </si>
  <si>
    <t>DATOS DE LUMINARIAS</t>
  </si>
  <si>
    <t>Flujo por lámpara (Φ (phi))</t>
  </si>
  <si>
    <t>lm</t>
  </si>
  <si>
    <t>Número de lámparas (n_l)</t>
  </si>
  <si>
    <t>Coeficiente de Utilización (CU)</t>
  </si>
  <si>
    <t>Factor de Mantenimiento (FM)</t>
  </si>
  <si>
    <t>Flujo luminoso total requerido</t>
  </si>
  <si>
    <t>Número teórico de luminarias</t>
  </si>
  <si>
    <t>Unidades</t>
  </si>
  <si>
    <t>Luminarias a lo largo (NL)</t>
  </si>
  <si>
    <t>filas</t>
  </si>
  <si>
    <t>Luminarias a lo ancho (NW)</t>
  </si>
  <si>
    <t>columnas</t>
  </si>
  <si>
    <t>Número real instalado</t>
  </si>
  <si>
    <t>luminarias</t>
  </si>
  <si>
    <t>Distancia entre luminarias (Largo</t>
  </si>
  <si>
    <t>Distancia entre luminarias (Ancho)</t>
  </si>
  <si>
    <t>Distancia a la pared</t>
  </si>
  <si>
    <t>Iluminancia requerida</t>
  </si>
  <si>
    <t>Iluminancia real proyectada</t>
  </si>
  <si>
    <t>Evaluación de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</si>
</sst>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</a:majorFont>
      <a:minorFont>
        <a:latin typeface="Calibri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199"/>
    <pageSetUpPr fitToPage="1"/>
  </sheetPr>
  <dimension ref="A1:C33"/>
  <sheetViews>
    <sheetView topLeftCell="A4" zoomScale="118" zoomScaleNormal="118" workbookViewId="0" showGridLines="0">
      <selection activeCell="B4" sqref="B4"/>
    </sheetView>
  </sheetViews>
  <sheetFormatPr baseColWidth="10" defaultColWidth="12.1559" defaultRowHeight="15" x14ac:dyDescent="0.25"/>
  <cols>
    <col min="1" max="1" width="35.1559" customWidth="1"/>
    <col min="2" max="2" width="23.8176" style="1" customWidth="1"/>
    <col min="3" max="3" width="13.1396" style="1" customWidth="1"/>
  </cols>
  <sheetData>
    <row r="1" spans="1:3" ht="18.75" customHeight="1" x14ac:dyDescent="0.3">
      <c r="A1" s="7" t="s">
        <v>0</v>
      </c>
      <c r="B1" s="7"/>
      <c r="C1" s="7"/>
    </row>
    <row r="2" spans="1:3" x14ac:dyDescent="0.25">
      <c r="A2" s="2"/>
      <c r="B2" s="3"/>
      <c r="C2" s="3"/>
    </row>
    <row r="3" spans="1:3" x14ac:dyDescent="0.25">
      <c r="A3" s="2"/>
      <c r="B3" s="3"/>
      <c r="C3" s="3"/>
    </row>
    <row r="4" spans="1:3" x14ac:dyDescent="0.25">
      <c r="A4" s="2" t="s">
        <v>1</v>
      </c>
      <c r="B4" s="4"/>
      <c r="C4" s="3" t="s">
        <v>2</v>
      </c>
    </row>
    <row r="5" spans="1:3" x14ac:dyDescent="0.25">
      <c r="A5" s="2" t="s">
        <v>3</v>
      </c>
      <c r="B5" s="4"/>
      <c r="C5" s="3" t="s">
        <v>2</v>
      </c>
    </row>
    <row r="6" spans="1:3" x14ac:dyDescent="0.25">
      <c r="A6" s="2" t="s">
        <v>4</v>
      </c>
      <c r="B6" s="4"/>
      <c r="C6" s="3" t="s">
        <v>2</v>
      </c>
    </row>
    <row r="7" spans="1:3" x14ac:dyDescent="0.25">
      <c r="A7" s="2" t="s">
        <v>5</v>
      </c>
      <c r="B7" s="4"/>
      <c r="C7" s="3" t="s">
        <v>2</v>
      </c>
    </row>
    <row r="8" spans="1:3" x14ac:dyDescent="0.25">
      <c r="A8" s="2" t="s">
        <v>6</v>
      </c>
      <c r="B8" s="4"/>
      <c r="C8" s="3" t="s">
        <v>2</v>
      </c>
    </row>
    <row r="9" spans="1:3" x14ac:dyDescent="0.25">
      <c r="A9" s="2" t="s">
        <v>7</v>
      </c>
      <c r="B9" s="4"/>
      <c r="C9" s="3" t="s">
        <v>8</v>
      </c>
    </row>
    <row r="10" spans="1:3" x14ac:dyDescent="0.25">
      <c r="A10" s="2" t="s">
        <v>9</v>
      </c>
      <c r="B10" s="3">
        <f>B4 * B5</f>
        <v>0</v>
      </c>
      <c r="C10" s="3" t="s">
        <v>10</v>
      </c>
    </row>
    <row r="11" spans="1:3" x14ac:dyDescent="0.25">
      <c r="A11" s="2" t="s">
        <v>11</v>
      </c>
      <c r="B11" s="3">
        <f>B6 - B7 - B8</f>
        <v>0</v>
      </c>
      <c r="C11" s="3" t="s">
        <v>2</v>
      </c>
    </row>
    <row r="12" spans="1:3" x14ac:dyDescent="0.25">
      <c r="A12" s="2" t="s">
        <v>12</v>
      </c>
      <c r="B12" s="5" t="e">
        <f>(B4 * B5) / (B11 * (B4 + B5))</f>
        <v>#DIV/0!</v>
      </c>
      <c r="C12" s="3"/>
    </row>
    <row r="13" spans="1:3" x14ac:dyDescent="0.25">
      <c r="A13" s="2"/>
      <c r="B13" s="3"/>
      <c r="C13" s="3"/>
    </row>
    <row r="14" spans="1:3" x14ac:dyDescent="0.25">
      <c r="A14" s="2" t="s">
        <v>13</v>
      </c>
      <c r="B14" s="3"/>
      <c r="C14" s="3"/>
    </row>
    <row r="15" spans="1:3" x14ac:dyDescent="0.25">
      <c r="A15" s="2" t="s">
        <v>14</v>
      </c>
      <c r="B15" s="4"/>
      <c r="C15" s="3" t="s">
        <v>15</v>
      </c>
    </row>
    <row r="16" spans="1:3" x14ac:dyDescent="0.25">
      <c r="A16" s="2" t="s">
        <v>16</v>
      </c>
      <c r="B16" s="4"/>
      <c r="C16" s="3"/>
    </row>
    <row r="17" spans="1:3" x14ac:dyDescent="0.25">
      <c r="A17" s="2" t="s">
        <v>17</v>
      </c>
      <c r="B17" s="4"/>
      <c r="C17" s="3"/>
    </row>
    <row r="18" spans="1:3" x14ac:dyDescent="0.25">
      <c r="A18" s="2" t="s">
        <v>18</v>
      </c>
      <c r="B18" s="4"/>
      <c r="C18" s="3"/>
    </row>
    <row r="19" spans="1:3" x14ac:dyDescent="0.25">
      <c r="A19" s="2" t="s">
        <v>19</v>
      </c>
      <c r="B19" s="6" t="e">
        <f>(B9 * B10) / (B17 * B18)</f>
        <v>#DIV/0!</v>
      </c>
      <c r="C19" s="3" t="s">
        <v>15</v>
      </c>
    </row>
    <row r="20" spans="1:3" x14ac:dyDescent="0.25">
      <c r="A20" s="2" t="s">
        <v>20</v>
      </c>
      <c r="B20" s="5" t="e">
        <f>B19 / (B16 * B15)</f>
        <v>#DIV/0!</v>
      </c>
      <c r="C20" s="3" t="s">
        <v>21</v>
      </c>
    </row>
    <row r="21" spans="1:3" x14ac:dyDescent="0.25">
      <c r="A21" s="2"/>
      <c r="B21" s="3"/>
      <c r="C21" s="3"/>
    </row>
    <row r="22" spans="1:3" x14ac:dyDescent="0.25">
      <c r="A22" s="2"/>
      <c r="B22" s="3"/>
      <c r="C22" s="3"/>
    </row>
    <row r="23" spans="1:3" x14ac:dyDescent="0.25">
      <c r="A23" s="2" t="s">
        <v>22</v>
      </c>
      <c r="B23" s="3" t="e">
        <f>ROUND(SQRT(B20 * (B4 / B5)), 0)</f>
        <v>#DIV/0!</v>
      </c>
      <c r="C23" s="3" t="s">
        <v>23</v>
      </c>
    </row>
    <row r="24" spans="1:3" x14ac:dyDescent="0.25">
      <c r="A24" s="2" t="s">
        <v>24</v>
      </c>
      <c r="B24" s="3" t="e">
        <f>ROUND(B20 / B23, 0)</f>
        <v>#DIV/0!</v>
      </c>
      <c r="C24" s="3" t="s">
        <v>25</v>
      </c>
    </row>
    <row r="25" spans="1:3" x14ac:dyDescent="0.25">
      <c r="A25" s="2" t="s">
        <v>26</v>
      </c>
      <c r="B25" s="3" t="e">
        <f>B23 * B24</f>
        <v>#DIV/0!</v>
      </c>
      <c r="C25" s="3" t="s">
        <v>27</v>
      </c>
    </row>
    <row r="26" spans="1:3" x14ac:dyDescent="0.25">
      <c r="A26" s="2" t="s">
        <v>28</v>
      </c>
      <c r="B26" s="3" t="e">
        <f>B4 / B23</f>
        <v>#DIV/0!</v>
      </c>
      <c r="C26" s="3" t="s">
        <v>2</v>
      </c>
    </row>
    <row r="27" spans="1:3" x14ac:dyDescent="0.25">
      <c r="A27" s="2" t="s">
        <v>29</v>
      </c>
      <c r="B27" s="3" t="e">
        <f>B5 / B24</f>
        <v>#DIV/0!</v>
      </c>
      <c r="C27" s="3" t="s">
        <v>2</v>
      </c>
    </row>
    <row r="28" spans="1:3" x14ac:dyDescent="0.25">
      <c r="A28" s="2" t="s">
        <v>30</v>
      </c>
      <c r="B28" s="3" t="e">
        <f>B26 / 2</f>
        <v>#DIV/0!</v>
      </c>
      <c r="C28" s="3" t="s">
        <v>2</v>
      </c>
    </row>
    <row r="29" spans="1:3" x14ac:dyDescent="0.25">
      <c r="A29" s="2"/>
      <c r="B29" s="3"/>
      <c r="C29" s="3"/>
    </row>
    <row r="30" spans="1:3" x14ac:dyDescent="0.25">
      <c r="A30" s="2"/>
      <c r="B30" s="3"/>
      <c r="C30" s="3"/>
    </row>
    <row r="31" spans="1:3" x14ac:dyDescent="0.25">
      <c r="A31" s="2" t="s">
        <v>31</v>
      </c>
      <c r="B31" s="3">
        <f>B9</f>
        <v>0</v>
      </c>
      <c r="C31" s="3" t="s">
        <v>8</v>
      </c>
    </row>
    <row r="32" spans="1:3" x14ac:dyDescent="0.25">
      <c r="A32" s="2" t="s">
        <v>32</v>
      </c>
      <c r="B32" s="5" t="e">
        <f>(B25 * B16 * B15 * B17 * B18) / B10</f>
        <v>#DIV/0!</v>
      </c>
      <c r="C32" s="3" t="s">
        <v>8</v>
      </c>
    </row>
    <row r="33" spans="1:3" x14ac:dyDescent="0.25">
      <c r="A33" s="2" t="s">
        <v>33</v>
      </c>
      <c r="B33" s="3" t="e">
        <f>IF(B32&gt;=B31, "CUMPLE NORMA", "INSUFICIENTE")</f>
        <v>#DIV/0!</v>
      </c>
      <c r="C33" s="3"/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/>
  <cp:lastModifiedBy>AK18574</cp:lastModifiedBy>
  <cp:revision>0</cp:revision>
  <dcterms:created xsi:type="dcterms:W3CDTF">2026-08-03T14:52:56Z</dcterms:created>
  <dcterms:modified xsi:type="dcterms:W3CDTF">2026-09-03T17:43:16Z</dcterms:modified>
  <dc:language>en-US</dc:language>
  <dc:title>LuxRisk V1 — SCHO</dc:title>
  <dc:creator>Álvaro Araque García — SCHO</dc:creator>
</cp:coreProperties>
</file>