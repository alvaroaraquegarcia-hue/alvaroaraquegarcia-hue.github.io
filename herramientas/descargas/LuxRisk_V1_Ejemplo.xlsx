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01.xml" ContentType="application/vnd.openxmlformats-officedocument.spreadsheetml.worksheet+xml"/>
  <Override PartName="/xl/drawings/drawing_portada.xml" ContentType="application/vnd.openxmlformats-officedocument.drawing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rtada" sheetId="2" r:id="rIdPortada"/>
    <sheet name="Ligh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<sst xmlns="http://schemas.openxmlformats.org/spreadsheetml/2006/main" count="45" uniqueCount="34">
  <si>
    <t xml:space="preserve">DISEÑO DE ILUMINACION</t>
  </si>
  <si>
    <t xml:space="preserve">Largo del local (L)</t>
  </si>
  <si>
    <t xml:space="preserve">m</t>
  </si>
  <si>
    <t xml:space="preserve">Ancho de local (W)</t>
  </si>
  <si>
    <t xml:space="preserve">Alto del local (H)</t>
  </si>
  <si>
    <t xml:space="preserve">Altura plano de trabajo (hp)</t>
  </si>
  <si>
    <t xml:space="preserve">Altura suspensión lámpara (hd)</t>
  </si>
  <si>
    <t xml:space="preserve">Iluminancia requerida (Ereq)</t>
  </si>
  <si>
    <t xml:space="preserve">Lux</t>
  </si>
  <si>
    <t xml:space="preserve">Área del local (S)</t>
  </si>
  <si>
    <t xml:space="preserve">m²</t>
  </si>
  <si>
    <t xml:space="preserve">Altura útil de montaje (hm)</t>
  </si>
  <si>
    <t xml:space="preserve">Índice del local (K)</t>
  </si>
  <si>
    <t xml:space="preserve">DATOS DE LUMINARIAS</t>
  </si>
  <si>
    <t xml:space="preserve">Flujo por lámpara (Φ (phi))</t>
  </si>
  <si>
    <t xml:space="preserve">lm</t>
  </si>
  <si>
    <t xml:space="preserve">Número de lámparas (n_l)</t>
  </si>
  <si>
    <t xml:space="preserve">Coeficiente de Utilización (CU)</t>
  </si>
  <si>
    <t xml:space="preserve">Factor de Mantenimiento (FM)</t>
  </si>
  <si>
    <t xml:space="preserve">Flujo luminoso total requerido</t>
  </si>
  <si>
    <t xml:space="preserve">Número teórico de luminarias</t>
  </si>
  <si>
    <t xml:space="preserve">Unidades</t>
  </si>
  <si>
    <t xml:space="preserve">Luminarias a lo largo (NL)</t>
  </si>
  <si>
    <t xml:space="preserve">filas</t>
  </si>
  <si>
    <t xml:space="preserve">Luminarias a lo ancho (NW)</t>
  </si>
  <si>
    <t xml:space="preserve">columnas</t>
  </si>
  <si>
    <t xml:space="preserve">Número real instalado</t>
  </si>
  <si>
    <t xml:space="preserve">luminarias</t>
  </si>
  <si>
    <t xml:space="preserve">Distancia entre luminarias (Largo</t>
  </si>
  <si>
    <t xml:space="preserve">Distancia entre luminarias (Ancho)</t>
  </si>
  <si>
    <t xml:space="preserve">Distancia a la pared</t>
  </si>
  <si>
    <t xml:space="preserve">Iluminancia requerida</t>
  </si>
  <si>
    <t xml:space="preserve">Iluminancia real proyectada</t>
  </si>
  <si>
    <t xml:space="preserve">Evaluación de cumplimiento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</si>
</sst>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.0"/>
  </numFmts>
  <fonts count="5">
    <font>
      <sz val="11"/>
      <color theme="1"/>
      <name val="Calibri"/>
      <family val="2"/>
      <charset val="1"/>
    </font>
    <font>
      <sz val="10"/>
      <name val="Calibri"/>
      <family val="0"/>
    </font>
    <font>
      <sz val="10"/>
      <name val="Calibri"/>
      <family val="0"/>
    </font>
    <font>
      <sz val="10"/>
      <name val="Calibri"/>
      <family val="0"/>
    </font>
    <font>
      <b val="true"/>
      <sz val="14"/>
      <color theme="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00719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0"/>
        <bgColor rgb="FFFFF3C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4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C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04862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'1.0' encoding='UTF-8' standalone='yes'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Relationship Id="rIdPortada" Type="http://schemas.openxmlformats.org/officeDocument/2006/relationships/worksheet" Target="worksheets/sheet101.xml"/></Relationships>
</file>

<file path=xl/drawings/_rels/drawing_portada.xml.rels><?xml version="1.0" encoding="UTF-8" standalone="yes"?><Relationships xmlns="http://schemas.openxmlformats.org/package/2006/relationships"><Relationship Id="rId1" Type="http://schemas.openxmlformats.org/officeDocument/2006/relationships/image" Target="../media/portada_scho.png"/></Relationships>
</file>

<file path=xl/drawings/drawing_portada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8915400" cy="5695950"/>
    <xdr:pic>
      <xdr:nvPicPr>
        <xdr:cNvPr id="2" name="Portada SCH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915400" cy="5695950"/>
        </a:xfrm>
        <a:prstGeom prst="rect">
          <a:avLst/>
        </a:prstGeom>
        <a:ln w="9525">
          <a:solidFill>
            <a:srgbClr val="D9E1E6"/>
          </a:solidFill>
        </a:ln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 panose="02110004020202020204" pitchFamily="0" charset="1"/>
        <a:ea typeface=""/>
        <a:cs typeface=""/>
      </a:majorFont>
      <a:minorFont>
        <a:latin typeface="Calibri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_portada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199"/>
    <pageSetUpPr fitToPage="1"/>
  </sheetPr>
  <dimension ref="A1:C33"/>
  <sheetViews>
    <sheetView showFormulas="false" showGridLines="0" showRowColHeaders="true" showZeros="true" rightToLeft="false" showOutlineSymbols="true" defaultGridColor="true" view="normal" topLeftCell="A7" colorId="64" zoomScale="118" zoomScaleNormal="118" zoomScalePageLayoutView="100" workbookViewId="0">
      <selection pane="topLeft" activeCell="A12" activeCellId="0" sqref="A12"/>
    </sheetView>
  </sheetViews>
  <sheetFormatPr defaultColWidth="12.1199" defaultRowHeight="15" zeroHeight="false" outlineLevelRow="0" outlineLevelCol="0"/>
  <cols>
    <col collapsed="false" customWidth="1" hidden="false" outlineLevel="0" max="1" min="1" style="0" width="35.1555"/>
    <col collapsed="false" customWidth="1" hidden="false" outlineLevel="0" max="2" min="2" style="1" width="23.8165"/>
    <col collapsed="false" customWidth="1" hidden="false" outlineLevel="0" max="3" min="3" style="1" width="13.1445"/>
  </cols>
  <sheetData>
    <row r="1" customFormat="false" ht="18.75" hidden="false" customHeight="true" outlineLevel="0" collapsed="false">
      <c r="A1" s="2" t="s">
        <v>0</v>
      </c>
      <c r="B1" s="2"/>
      <c r="C1" s="2"/>
    </row>
    <row r="2" customFormat="false" ht="15" hidden="false" customHeight="false" outlineLevel="0" collapsed="false">
      <c r="A2" s="3"/>
      <c r="B2" s="4"/>
      <c r="C2" s="4"/>
    </row>
    <row r="3" customFormat="false" ht="15" hidden="false" customHeight="false" outlineLevel="0" collapsed="false">
      <c r="A3" s="3"/>
      <c r="B3" s="4"/>
      <c r="C3" s="4"/>
    </row>
    <row r="4" customFormat="false" ht="15" hidden="false" customHeight="false" outlineLevel="0" collapsed="false">
      <c r="A4" s="3" t="s">
        <v>1</v>
      </c>
      <c r="B4" s="5" t="n">
        <v>15</v>
      </c>
      <c r="C4" s="4" t="s">
        <v>2</v>
      </c>
    </row>
    <row r="5" customFormat="false" ht="15" hidden="false" customHeight="false" outlineLevel="0" collapsed="false">
      <c r="A5" s="3" t="s">
        <v>3</v>
      </c>
      <c r="B5" s="5" t="n">
        <v>10</v>
      </c>
      <c r="C5" s="4" t="s">
        <v>2</v>
      </c>
    </row>
    <row r="6" customFormat="false" ht="15" hidden="false" customHeight="false" outlineLevel="0" collapsed="false">
      <c r="A6" s="3" t="s">
        <v>4</v>
      </c>
      <c r="B6" s="5" t="n">
        <v>4</v>
      </c>
      <c r="C6" s="4" t="s">
        <v>2</v>
      </c>
    </row>
    <row r="7" customFormat="false" ht="15" hidden="false" customHeight="false" outlineLevel="0" collapsed="false">
      <c r="A7" s="3" t="s">
        <v>5</v>
      </c>
      <c r="B7" s="5" t="n">
        <v>0.85</v>
      </c>
      <c r="C7" s="4" t="s">
        <v>2</v>
      </c>
    </row>
    <row r="8" customFormat="false" ht="15" hidden="false" customHeight="false" outlineLevel="0" collapsed="false">
      <c r="A8" s="3" t="s">
        <v>6</v>
      </c>
      <c r="B8" s="5" t="n">
        <v>0</v>
      </c>
      <c r="C8" s="4" t="s">
        <v>2</v>
      </c>
    </row>
    <row r="9" customFormat="false" ht="15" hidden="false" customHeight="false" outlineLevel="0" collapsed="false">
      <c r="A9" s="3" t="s">
        <v>7</v>
      </c>
      <c r="B9" s="5" t="n">
        <v>500</v>
      </c>
      <c r="C9" s="4" t="s">
        <v>8</v>
      </c>
    </row>
    <row r="10" customFormat="false" ht="15" hidden="false" customHeight="false" outlineLevel="0" collapsed="false">
      <c r="A10" s="3" t="s">
        <v>9</v>
      </c>
      <c r="B10" s="4" t="n">
        <f aca="false">B4 * B5</f>
        <v>150</v>
      </c>
      <c r="C10" s="4" t="s">
        <v>10</v>
      </c>
    </row>
    <row r="11" customFormat="false" ht="15" hidden="false" customHeight="false" outlineLevel="0" collapsed="false">
      <c r="A11" s="3" t="s">
        <v>11</v>
      </c>
      <c r="B11" s="4" t="n">
        <f aca="false">B6 - B7 - B8</f>
        <v>3.15</v>
      </c>
      <c r="C11" s="4" t="s">
        <v>2</v>
      </c>
    </row>
    <row r="12" customFormat="false" ht="15" hidden="false" customHeight="false" outlineLevel="0" collapsed="false">
      <c r="A12" s="3" t="s">
        <v>12</v>
      </c>
      <c r="B12" s="6" t="n">
        <f aca="false">(B4 * B5) / (B11 * (B4 + B5))</f>
        <v>1.9047619047619</v>
      </c>
      <c r="C12" s="4"/>
    </row>
    <row r="13" customFormat="false" ht="15" hidden="false" customHeight="false" outlineLevel="0" collapsed="false">
      <c r="A13" s="3"/>
      <c r="B13" s="4"/>
      <c r="C13" s="4"/>
    </row>
    <row r="14" customFormat="false" ht="15" hidden="false" customHeight="false" outlineLevel="0" collapsed="false">
      <c r="A14" s="3" t="s">
        <v>13</v>
      </c>
      <c r="B14" s="4"/>
      <c r="C14" s="4"/>
    </row>
    <row r="15" customFormat="false" ht="15" hidden="false" customHeight="false" outlineLevel="0" collapsed="false">
      <c r="A15" s="3" t="s">
        <v>14</v>
      </c>
      <c r="B15" s="5" t="n">
        <v>10000</v>
      </c>
      <c r="C15" s="4" t="s">
        <v>15</v>
      </c>
    </row>
    <row r="16" customFormat="false" ht="15" hidden="false" customHeight="false" outlineLevel="0" collapsed="false">
      <c r="A16" s="3" t="s">
        <v>16</v>
      </c>
      <c r="B16" s="5" t="n">
        <v>1</v>
      </c>
      <c r="C16" s="4"/>
    </row>
    <row r="17" customFormat="false" ht="15" hidden="false" customHeight="false" outlineLevel="0" collapsed="false">
      <c r="A17" s="3" t="s">
        <v>17</v>
      </c>
      <c r="B17" s="5" t="n">
        <v>0.55</v>
      </c>
      <c r="C17" s="4"/>
    </row>
    <row r="18" customFormat="false" ht="15" hidden="false" customHeight="false" outlineLevel="0" collapsed="false">
      <c r="A18" s="3" t="s">
        <v>18</v>
      </c>
      <c r="B18" s="5" t="n">
        <v>0.7</v>
      </c>
      <c r="C18" s="4"/>
    </row>
    <row r="19" customFormat="false" ht="15" hidden="false" customHeight="false" outlineLevel="0" collapsed="false">
      <c r="A19" s="3" t="s">
        <v>19</v>
      </c>
      <c r="B19" s="7" t="n">
        <f aca="false">(B9 * B10) / (B17 * B18)</f>
        <v>194805.194805195</v>
      </c>
      <c r="C19" s="4" t="s">
        <v>15</v>
      </c>
    </row>
    <row r="20" customFormat="false" ht="15" hidden="false" customHeight="false" outlineLevel="0" collapsed="false">
      <c r="A20" s="3" t="s">
        <v>20</v>
      </c>
      <c r="B20" s="6" t="n">
        <f aca="false">B19 / (B16 * B15)</f>
        <v>19.4805194805195</v>
      </c>
      <c r="C20" s="4" t="s">
        <v>21</v>
      </c>
    </row>
    <row r="21" customFormat="false" ht="15" hidden="false" customHeight="false" outlineLevel="0" collapsed="false">
      <c r="A21" s="3"/>
      <c r="B21" s="4"/>
      <c r="C21" s="4"/>
    </row>
    <row r="22" customFormat="false" ht="15" hidden="false" customHeight="false" outlineLevel="0" collapsed="false">
      <c r="A22" s="3"/>
      <c r="B22" s="4"/>
      <c r="C22" s="4"/>
    </row>
    <row r="23" customFormat="false" ht="15" hidden="false" customHeight="false" outlineLevel="0" collapsed="false">
      <c r="A23" s="3" t="s">
        <v>22</v>
      </c>
      <c r="B23" s="4" t="n">
        <f aca="false">ROUND(SQRT(B20 * (B4 / B5)), 0)</f>
        <v>5</v>
      </c>
      <c r="C23" s="4" t="s">
        <v>23</v>
      </c>
    </row>
    <row r="24" customFormat="false" ht="15" hidden="false" customHeight="false" outlineLevel="0" collapsed="false">
      <c r="A24" s="3" t="s">
        <v>24</v>
      </c>
      <c r="B24" s="4" t="n">
        <f aca="false">ROUND(B20 / B23, 0)</f>
        <v>4</v>
      </c>
      <c r="C24" s="4" t="s">
        <v>25</v>
      </c>
    </row>
    <row r="25" customFormat="false" ht="15" hidden="false" customHeight="false" outlineLevel="0" collapsed="false">
      <c r="A25" s="3" t="s">
        <v>26</v>
      </c>
      <c r="B25" s="4" t="n">
        <f aca="false">B23 * B24</f>
        <v>20</v>
      </c>
      <c r="C25" s="4" t="s">
        <v>27</v>
      </c>
    </row>
    <row r="26" customFormat="false" ht="15" hidden="false" customHeight="false" outlineLevel="0" collapsed="false">
      <c r="A26" s="3" t="s">
        <v>28</v>
      </c>
      <c r="B26" s="4" t="n">
        <f aca="false">B4 / B23</f>
        <v>3</v>
      </c>
      <c r="C26" s="4" t="s">
        <v>2</v>
      </c>
    </row>
    <row r="27" customFormat="false" ht="15" hidden="false" customHeight="false" outlineLevel="0" collapsed="false">
      <c r="A27" s="3" t="s">
        <v>29</v>
      </c>
      <c r="B27" s="4" t="n">
        <f aca="false">B5 / B24</f>
        <v>2.5</v>
      </c>
      <c r="C27" s="4" t="s">
        <v>2</v>
      </c>
    </row>
    <row r="28" customFormat="false" ht="15" hidden="false" customHeight="false" outlineLevel="0" collapsed="false">
      <c r="A28" s="3" t="s">
        <v>30</v>
      </c>
      <c r="B28" s="4" t="n">
        <f aca="false">B26 / 2</f>
        <v>1.5</v>
      </c>
      <c r="C28" s="4" t="s">
        <v>2</v>
      </c>
    </row>
    <row r="29" customFormat="false" ht="15" hidden="false" customHeight="false" outlineLevel="0" collapsed="false">
      <c r="A29" s="3"/>
      <c r="B29" s="4"/>
      <c r="C29" s="4"/>
    </row>
    <row r="30" customFormat="false" ht="15" hidden="false" customHeight="false" outlineLevel="0" collapsed="false">
      <c r="A30" s="3"/>
      <c r="B30" s="4"/>
      <c r="C30" s="4"/>
    </row>
    <row r="31" customFormat="false" ht="15" hidden="false" customHeight="false" outlineLevel="0" collapsed="false">
      <c r="A31" s="3" t="s">
        <v>31</v>
      </c>
      <c r="B31" s="4" t="n">
        <f aca="false">B9</f>
        <v>500</v>
      </c>
      <c r="C31" s="4" t="s">
        <v>8</v>
      </c>
    </row>
    <row r="32" customFormat="false" ht="15" hidden="false" customHeight="false" outlineLevel="0" collapsed="false">
      <c r="A32" s="3" t="s">
        <v>32</v>
      </c>
      <c r="B32" s="6" t="n">
        <f aca="false">(B25 * B16 * B15 * B17 * B18) / B10</f>
        <v>513.333333333333</v>
      </c>
      <c r="C32" s="4" t="s">
        <v>8</v>
      </c>
    </row>
    <row r="33" customFormat="false" ht="15" hidden="false" customHeight="false" outlineLevel="0" collapsed="false">
      <c r="A33" s="3" t="s">
        <v>33</v>
      </c>
      <c r="B33" s="4" t="str">
        <f aca="false">IF(B32&gt;=B31, "CUMPLE NORMA", "INSUFICIENTE")</f>
        <v>CUMPLE NORMA</v>
      </c>
      <c r="C33" s="4"/>
    </row>
  </sheetData>
  <mergeCells count="1">
    <mergeCell ref="A1:C1"/>
  </mergeCells>
  <printOptions horizontalCentered="1"/>
  <pageMargins left="0.5" right="0.5" top="0.75" bottom="0.7" header="0.3" footer="0.3"/>
  <pageSetup paperSize="1" orientation="landscape" fitToWidth="1" fitToHeight="0"/>
  <headerFooter>
    <oddHeader>&amp;L&amp;"Calibri,Negrita"&amp;9&amp;K007199SCHO&amp;"Calibri,Normal"&amp;K595959  ·  Sociedad Colombiana de Higienistas Ocupacionales&amp;R&amp;"Calibri,Negrita"&amp;9&amp;K007199LuxRisk V1&amp;"Calibri,Normal"&amp;K595959  ·  &amp;A</oddHeader>
    <oddFooter>&amp;L&amp;"Calibri,Normal"&amp;8&amp;K595959Álvaro Araque García  |  Comité Académico SCHO&amp;R&amp;"Calibri,Normal"&amp;8&amp;K595959Página &amp;P de &amp;N</oddFooter>
  </headerFooter>
</worksheet>
</file>

<file path=xl/worksheets/sheet101.xml><?xml version="1.0" encoding="utf-8"?>
<worksheet xmlns="http://schemas.openxmlformats.org/spreadsheetml/2006/main" xmlns:r="http://schemas.openxmlformats.org/officeDocument/2006/relationships">
  <sheetPr>
    <tabColor rgb="FFE77725"/>
    <pageSetUpPr fitToPage="1"/>
  </sheetPr>
  <dimension ref="A1"/>
  <sheetViews>
    <sheetView showGridLines="0" workbookViewId="0" tabSelected="1"/>
  </sheetViews>
  <sheetFormatPr defaultRowHeight="15"/>
  <cols>
    <col min="1" max="1" width="3.7109375" customWidth="1"/>
  </cols>
  <sheetData/>
  <printOptions horizontalCentered="1"/>
  <pageMargins left="0.5" right="0.5" top="0.75" bottom="0.7" header="0.3" footer="0.3"/>
  <pageSetup paperSize="1" orientation="landscape" fitToWidth="1" fitToHeight="0"/>
  <headerFooter>
    <oddHeader>&amp;L&amp;"Calibri,Negrita"&amp;9&amp;K007199SCHO&amp;"Calibri,Normal"&amp;K595959  ·  Sociedad Colombiana de Higienistas Ocupacionales&amp;R&amp;"Calibri,Negrita"&amp;9&amp;K007199LuxRisk V1&amp;"Calibri,Normal"&amp;K595959  ·  &amp;A</oddHeader>
    <oddFooter>&amp;L&amp;"Calibri,Normal"&amp;8&amp;K595959Álvaro Araque García  |  Comité Académico SCHO&amp;R&amp;"Calibri,Normal"&amp;8&amp;K595959Página &amp;P de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2026-08-03T14:52:56Z</dcterms:created>
  <dc:description/>
  <dc:language>en-US</dc:language>
  <cp:lastModifiedBy>AK18574</cp:lastModifiedBy>
  <dcterms:modified xsi:type="dcterms:W3CDTF">2026-08-18T21:13:36Z</dcterms:modified>
  <cp:revision>0</cp:revision>
  <dc:subject/>
  <dc:title>LuxRisk V1 (Ejemplo) — SCHO</dc:title>
  <dc:creator>Álvaro Araque García — SCHO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