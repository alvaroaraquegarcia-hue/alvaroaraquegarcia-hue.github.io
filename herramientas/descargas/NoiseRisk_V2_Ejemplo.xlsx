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2" yWindow="-108" windowWidth="29016" windowHeight="15696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Acondicionamiento Acustico" sheetId="2" state="visible" r:id="rId2"/>
    <sheet xmlns:r="http://schemas.openxmlformats.org/officeDocument/2006/relationships" name="Aislamiento y Transmision" sheetId="3" state="visible" r:id="rId3"/>
    <sheet xmlns:r="http://schemas.openxmlformats.org/officeDocument/2006/relationships" name="Barreras Acusticas" sheetId="4" state="visible" r:id="rId4"/>
    <sheet xmlns:r="http://schemas.openxmlformats.org/officeDocument/2006/relationships" name="Dosimetria y TWA" sheetId="5" state="visible" r:id="rId5"/>
    <sheet xmlns:r="http://schemas.openxmlformats.org/officeDocument/2006/relationships" name="Proteccion Auditiva" sheetId="6" state="visible" r:id="rId6"/>
    <sheet xmlns:r="http://schemas.openxmlformats.org/officeDocument/2006/relationships" name="Plan de Control" sheetId="7" state="visible" r:id="rId7"/>
    <sheet xmlns:r="http://schemas.openxmlformats.org/officeDocument/2006/relationships" name="Biblioteca de Controles" sheetId="8" state="visible" r:id="rId8"/>
    <sheet xmlns:r="http://schemas.openxmlformats.org/officeDocument/2006/relationships" name="Datos de Referenci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General\ &quot;dBA&quot;"/>
    <numFmt numFmtId="166" formatCode="0.000"/>
    <numFmt numFmtId="167" formatCode="0.00&quot; h&quot;"/>
    <numFmt numFmtId="168" formatCode="0.0&quot; %&quot;"/>
    <numFmt numFmtId="169" formatCode="0.0&quot; dBA&quot;"/>
  </numFmts>
  <fonts count="11"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0"/>
      <sz val="14"/>
    </font>
    <font>
      <name val="Calibri"/>
      <color theme="1"/>
      <sz val="10"/>
    </font>
    <font>
      <name val="Calibri"/>
      <family val="2"/>
      <i val="1"/>
      <color theme="1"/>
      <sz val="11"/>
    </font>
    <font>
      <name val="Calibri"/>
      <family val="2"/>
      <sz val="11"/>
    </font>
    <font>
      <name val="Calibri"/>
      <family val="2"/>
      <b val="1"/>
      <color theme="0" tint="-0.1499984740745262"/>
      <sz val="11"/>
    </font>
    <font>
      <name val="Calibri"/>
      <family val="2"/>
      <color theme="0" tint="-0.1499984740745262"/>
      <sz val="11"/>
    </font>
    <font>
      <name val="Calibri"/>
      <family val="2"/>
      <b val="1"/>
      <sz val="11"/>
    </font>
    <font>
      <name val="Calibri"/>
      <b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1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5" borderId="1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2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5" borderId="4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1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8" fillId="6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0" fontId="1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0" fontId="5" fillId="0" borderId="1" pivotButton="0" quotePrefix="0" xfId="0"/>
    <xf numFmtId="0" fontId="1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164" fontId="0" fillId="3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4" fontId="0" fillId="5" borderId="1" applyAlignment="1" applyProtection="1" pivotButton="0" quotePrefix="0" xfId="0">
      <alignment horizontal="center"/>
      <protection locked="0" hidden="0"/>
    </xf>
    <xf numFmtId="2" fontId="0" fillId="5" borderId="1" applyAlignment="1" applyProtection="1" pivotButton="0" quotePrefix="0" xfId="0">
      <alignment horizontal="center"/>
      <protection locked="0" hidden="0"/>
    </xf>
    <xf numFmtId="0" fontId="9" fillId="0" borderId="1" pivotButton="0" quotePrefix="0" xfId="0"/>
    <xf numFmtId="167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169" fontId="0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" fontId="0" fillId="5" borderId="1" applyAlignment="1" applyProtection="1" pivotButton="0" quotePrefix="0" xfId="0">
      <alignment horizontal="center"/>
      <protection locked="0" hidden="0"/>
    </xf>
    <xf numFmtId="0" fontId="10" fillId="5" borderId="1" applyAlignment="1" applyProtection="1" pivotButton="0" quotePrefix="0" xfId="0">
      <alignment horizontal="center"/>
      <protection locked="0" hidden="0"/>
    </xf>
    <xf numFmtId="168" fontId="10" fillId="0" borderId="1" applyAlignment="1" pivotButton="0" quotePrefix="0" xfId="0">
      <alignment horizontal="center"/>
    </xf>
    <xf numFmtId="169" fontId="1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 vertical="top" wrapText="1"/>
    </xf>
  </cellXfs>
  <cellStyles count="1">
    <cellStyle name="Normal" xfId="0" builtinId="0"/>
  </cellStyles>
  <dxfs count="10"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7F6000"/>
      </font>
      <fill>
        <patternFill patternType="solid">
          <fgColor rgb="00FFF59D"/>
          <bgColor rgb="00FFF59D"/>
        </patternFill>
      </fill>
    </dxf>
    <dxf>
      <font>
        <b val="1"/>
        <color rgb="008A4B00"/>
      </font>
      <fill>
        <patternFill patternType="solid">
          <fgColor rgb="00FFCC80"/>
          <bgColor rgb="00FFCC80"/>
        </patternFill>
      </fill>
    </dxf>
    <dxf>
      <font>
        <b val="1"/>
        <color rgb="007F0000"/>
      </font>
      <fill>
        <patternFill patternType="solid">
          <fgColor rgb="00EF9A9A"/>
          <bgColor rgb="00EF9A9A"/>
        </patternFill>
      </fill>
    </dxf>
    <dxf>
      <font>
        <b val="1"/>
        <color rgb="00FFFFFF"/>
      </font>
      <fill>
        <patternFill patternType="solid">
          <fgColor rgb="00B71C1C"/>
          <bgColor rgb="00B71C1C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E3F2FD"/>
          <bgColor rgb="00E3F2FD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F3E5F5"/>
          <bgColor rgb="00F3E5F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E77725"/>
    <outlinePr summaryBelow="1" summaryRight="1"/>
    <pageSetUpPr fitToPage="1"/>
  </sheetPr>
  <dimension ref="A1:A1"/>
  <sheetViews>
    <sheetView workbookViewId="0" showGridLines="0" tabSelected="1">
      <selection activeCell="O22" sqref="O22"/>
    </sheetView>
  </sheetViews>
  <sheetFormatPr baseColWidth="10" defaultRowHeight="14.4"/>
  <cols>
    <col width="11.5546875" customWidth="1" style="39" min="1" max="16384"/>
  </cols>
  <sheetData/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BlNx81dwWQB/6viwx3Ryw==" formatRows="1" sort="1" spinCount="100000" hashValue="OvJWtTdKG1HJY/onjbF04bk3+wuql+rSEq4qz+/gXvJ69Hq4spW7JRTOTZ9on1AK/F4ZrE1hQYmccZ0K8hf8AA=="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38"/>
  <sheetViews>
    <sheetView topLeftCell="A12" workbookViewId="0" showGridLines="0">
      <selection activeCell="H21" sqref="H21"/>
    </sheetView>
  </sheetViews>
  <sheetFormatPr baseColWidth="10" defaultRowHeight="14.4" defaultColWidth="9.6945"/>
  <cols>
    <col width="53.6637" customWidth="1" style="3" min="1" max="1"/>
    <col width="21.4637" customWidth="1" style="8" min="2" max="2"/>
    <col width="20.3137" customWidth="1" style="8" min="3" max="3"/>
    <col width="8.8137" customWidth="1" style="8" min="4" max="4"/>
    <col width="30.0258" customWidth="1" style="8" min="5" max="5"/>
    <col width="16.8637" customWidth="1" style="8" min="6" max="8"/>
    <col width="16.8637" customWidth="1" style="3" min="9" max="9"/>
    <col width="13.2879" customWidth="1" style="3" min="10" max="16384"/>
  </cols>
  <sheetData>
    <row r="1" ht="18" customHeight="1">
      <c r="A1" s="2" t="inlineStr">
        <is>
          <t>NOISERISK — MÓDULO 1: ACONDICIONAMIENTO ACÚSTICO INTERIOR (SABINE)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n"/>
      <c r="B2" s="4" t="n"/>
      <c r="C2" s="4" t="n"/>
      <c r="D2" s="4" t="n"/>
      <c r="E2" s="4" t="n"/>
      <c r="F2" s="4" t="n"/>
      <c r="G2" s="4" t="n"/>
      <c r="H2" s="5" t="n"/>
    </row>
    <row r="3">
      <c r="A3" s="37" t="inlineStr">
        <is>
          <t>GEOMETRÍA DEL SALON O TALLER</t>
        </is>
      </c>
      <c r="B3" s="6" t="n"/>
      <c r="C3" s="17" t="n"/>
      <c r="D3" s="17" t="n"/>
      <c r="E3" s="27" t="inlineStr">
        <is>
          <t>UBICACIÓN Y FUENTE</t>
        </is>
      </c>
      <c r="F3" s="6" t="n"/>
      <c r="G3" s="17" t="n"/>
      <c r="H3" s="17" t="n"/>
    </row>
    <row r="4">
      <c r="A4" s="13" t="inlineStr">
        <is>
          <t>Largo del salon o taller(L)</t>
        </is>
      </c>
      <c r="B4" s="1" t="n">
        <v>12</v>
      </c>
      <c r="C4" s="17" t="inlineStr">
        <is>
          <t>m</t>
        </is>
      </c>
      <c r="D4" s="17" t="n"/>
      <c r="E4" s="17" t="inlineStr">
        <is>
          <t>Distancia al Operador (r)</t>
        </is>
      </c>
      <c r="F4" s="1" t="n">
        <v>4.5</v>
      </c>
      <c r="G4" s="17" t="inlineStr">
        <is>
          <t>m</t>
        </is>
      </c>
      <c r="H4" s="17" t="n"/>
    </row>
    <row r="5">
      <c r="A5" s="13" t="inlineStr">
        <is>
          <t>Ancho del salon o taller(W)</t>
        </is>
      </c>
      <c r="B5" s="1" t="n">
        <v>12</v>
      </c>
      <c r="C5" s="17" t="inlineStr">
        <is>
          <t>m</t>
        </is>
      </c>
      <c r="D5" s="17" t="n"/>
      <c r="E5" s="17" t="inlineStr">
        <is>
          <t>Factor de Directividad (Q)</t>
        </is>
      </c>
      <c r="F5" s="1" t="n">
        <v>4</v>
      </c>
      <c r="G5" s="17" t="n"/>
      <c r="H5" s="17" t="n"/>
    </row>
    <row r="6">
      <c r="A6" s="13" t="inlineStr">
        <is>
          <t>Alto del salon o taller(H)</t>
        </is>
      </c>
      <c r="B6" s="1" t="n">
        <v>6</v>
      </c>
      <c r="C6" s="17" t="inlineStr">
        <is>
          <t>m</t>
        </is>
      </c>
      <c r="D6" s="17" t="n"/>
      <c r="E6" s="17" t="inlineStr">
        <is>
          <t>Distancia Sonómetro (r_med)</t>
        </is>
      </c>
      <c r="F6" s="1" t="n">
        <v>2</v>
      </c>
      <c r="G6" s="17" t="inlineStr">
        <is>
          <t>m</t>
        </is>
      </c>
      <c r="H6" s="17" t="n"/>
    </row>
    <row r="7">
      <c r="A7" s="14" t="inlineStr">
        <is>
          <t>Superficie Total (S)</t>
        </is>
      </c>
      <c r="B7" s="16">
        <f>2 * (B4*B5 + B4*B6 + B5*B6)</f>
        <v/>
      </c>
      <c r="C7" s="17" t="inlineStr">
        <is>
          <t>m²</t>
        </is>
      </c>
      <c r="D7" s="17" t="n"/>
      <c r="E7" s="17" t="n"/>
      <c r="F7" s="17" t="n"/>
      <c r="G7" s="17" t="n"/>
      <c r="H7" s="17" t="n"/>
    </row>
    <row r="8">
      <c r="A8" s="13" t="inlineStr">
        <is>
          <t>Volumen del salon o taller(V)</t>
        </is>
      </c>
      <c r="B8" s="17">
        <f>B4 * B5 * B6</f>
        <v/>
      </c>
      <c r="C8" s="17" t="inlineStr">
        <is>
          <t>m³</t>
        </is>
      </c>
      <c r="D8" s="17" t="n"/>
      <c r="E8" s="17" t="n"/>
      <c r="F8" s="17" t="n"/>
      <c r="G8" s="17" t="n"/>
      <c r="H8" s="17" t="n"/>
    </row>
    <row r="9">
      <c r="A9" s="13" t="n"/>
      <c r="B9" s="17" t="n"/>
      <c r="C9" s="17" t="n"/>
      <c r="D9" s="17" t="n"/>
      <c r="E9" s="17" t="n"/>
      <c r="F9" s="17" t="n"/>
      <c r="G9" s="17" t="n"/>
      <c r="H9" s="17" t="n"/>
    </row>
    <row r="10">
      <c r="A10" s="13" t="inlineStr">
        <is>
          <t>Frecuencia / Parámetro</t>
        </is>
      </c>
      <c r="B10" s="17" t="inlineStr">
        <is>
          <t>125 Hz</t>
        </is>
      </c>
      <c r="C10" s="17" t="inlineStr">
        <is>
          <t>250 Hz</t>
        </is>
      </c>
      <c r="D10" s="17" t="inlineStr">
        <is>
          <t>500 Hz</t>
        </is>
      </c>
      <c r="E10" s="17" t="inlineStr">
        <is>
          <t>1000 Hz</t>
        </is>
      </c>
      <c r="F10" s="17" t="inlineStr">
        <is>
          <t>2000 Hz</t>
        </is>
      </c>
      <c r="G10" s="17" t="inlineStr">
        <is>
          <t>4000 Hz</t>
        </is>
      </c>
      <c r="H10" s="17" t="inlineStr">
        <is>
          <t>GLOBAL</t>
        </is>
      </c>
    </row>
    <row r="11">
      <c r="A11" s="13" t="inlineStr">
        <is>
          <t>[MEDIDO] Presión Sonora con Sonómetro (Lp) [dB]</t>
        </is>
      </c>
      <c r="B11" s="1" t="n">
        <v>85</v>
      </c>
      <c r="C11" s="1" t="n">
        <v>88</v>
      </c>
      <c r="D11" s="1" t="n">
        <v>86</v>
      </c>
      <c r="E11" s="1" t="n">
        <v>89</v>
      </c>
      <c r="F11" s="1" t="n">
        <v>80</v>
      </c>
      <c r="G11" s="1" t="n">
        <v>78</v>
      </c>
      <c r="H11" s="7" t="n"/>
    </row>
    <row r="12">
      <c r="A12" s="13" t="inlineStr">
        <is>
          <t>Potencia Acústica Fuente (Lw) [dB]</t>
        </is>
      </c>
      <c r="B12" s="40">
        <f>B11 - 10*LOG10( ($F$5 / (4 * PI() * $F$6^2)) + (4 / B18) )</f>
        <v/>
      </c>
      <c r="C12" s="40">
        <f>C11 - 10*LOG10( ($F$5 / (4 * PI() * $F$6^2)) + (4 / C18) )</f>
        <v/>
      </c>
      <c r="D12" s="40">
        <f>D11 - 10*LOG10( ($F$5 / (4 * PI() * $F$6^2)) + (4 / D18) )</f>
        <v/>
      </c>
      <c r="E12" s="40">
        <f>E11 - 10*LOG10( ($F$5 / (4 * PI() * $F$6^2)) + (4 / E18) )</f>
        <v/>
      </c>
      <c r="F12" s="40">
        <f>F11 - 10*LOG10( ($F$5 / (4 * PI() * $F$6^2)) + (4 / F18) )</f>
        <v/>
      </c>
      <c r="G12" s="40">
        <f>G11 - 10*LOG10( ($F$5 / (4 * PI() * $F$6^2)) + (4 / G18) )</f>
        <v/>
      </c>
      <c r="H12" s="17" t="n"/>
    </row>
    <row r="13">
      <c r="A13" s="13" t="n"/>
      <c r="B13" s="7" t="n"/>
      <c r="C13" s="7" t="n"/>
      <c r="D13" s="7" t="n"/>
      <c r="E13" s="7" t="n"/>
      <c r="F13" s="7" t="n"/>
      <c r="G13" s="7" t="n"/>
      <c r="H13" s="7" t="n"/>
    </row>
    <row r="14">
      <c r="A14" s="13" t="inlineStr">
        <is>
          <t>[ACTUAL] α - Piso (ej. Concreto)</t>
        </is>
      </c>
      <c r="B14" s="1" t="n">
        <v>0.01</v>
      </c>
      <c r="C14" s="1" t="n">
        <v>0.01</v>
      </c>
      <c r="D14" s="1" t="n">
        <v>0.015</v>
      </c>
      <c r="E14" s="1" t="n">
        <v>0.02</v>
      </c>
      <c r="F14" s="1" t="n">
        <v>0.02</v>
      </c>
      <c r="G14" s="1" t="n">
        <v>0.02</v>
      </c>
      <c r="H14" s="7" t="n"/>
    </row>
    <row r="15">
      <c r="A15" s="13" t="inlineStr">
        <is>
          <t>[ACTUAL] α - Techo (ej. Placa yeso)</t>
        </is>
      </c>
      <c r="B15" s="1" t="n">
        <v>0.29</v>
      </c>
      <c r="C15" s="1" t="n">
        <v>0.1</v>
      </c>
      <c r="D15" s="1" t="n">
        <v>0.05</v>
      </c>
      <c r="E15" s="1" t="n">
        <v>0.04</v>
      </c>
      <c r="F15" s="1" t="n">
        <v>0.07000000000000001</v>
      </c>
      <c r="G15" s="1" t="n">
        <v>0.09</v>
      </c>
      <c r="H15" s="7" t="n"/>
    </row>
    <row r="16">
      <c r="A16" s="13" t="inlineStr">
        <is>
          <t>[ACTUAL] α - Paredes (ej. Placa yeso)</t>
        </is>
      </c>
      <c r="B16" s="1" t="n">
        <v>0.29</v>
      </c>
      <c r="C16" s="1" t="n">
        <v>0.1</v>
      </c>
      <c r="D16" s="1" t="n">
        <v>0.05</v>
      </c>
      <c r="E16" s="1" t="n">
        <v>0.04</v>
      </c>
      <c r="F16" s="1" t="n">
        <v>0.07000000000000001</v>
      </c>
      <c r="G16" s="1" t="n">
        <v>0.09</v>
      </c>
      <c r="H16" s="7" t="n"/>
    </row>
    <row r="17">
      <c r="A17" s="13" t="inlineStr">
        <is>
          <t>[ACTUAL] Absorbancia Promedio (α_prom)</t>
        </is>
      </c>
      <c r="B17" s="17">
        <f>((($B$4*$B$5)*B14) + (($B$4*$B$5)*B15) + (2*($B$4+$B$5)*$B$6*B16)) / $B$7</f>
        <v/>
      </c>
      <c r="C17" s="21">
        <f>((($B$4*$B$5)*C14) + (($B$4*$B$5)*C15) + (2*($B$4+$B$5)*$B$6*C16)) / $B$7</f>
        <v/>
      </c>
      <c r="D17" s="41">
        <f>((($B$4*$B$5)*D14) + (($B$4*$B$5)*D15) + (2*($B$4+$B$5)*$B$6*D16)) / $B$7</f>
        <v/>
      </c>
      <c r="E17" s="21">
        <f>((($B$4*$B$5)*E14) + (($B$4*$B$5)*E15) + (2*($B$4+$B$5)*$B$6*E16)) / $B$7</f>
        <v/>
      </c>
      <c r="F17" s="41">
        <f>((($B$4*$B$5)*F14) + (($B$4*$B$5)*F15) + (2*($B$4+$B$5)*$B$6*F16)) / $B$7</f>
        <v/>
      </c>
      <c r="G17" s="21">
        <f>((($B$4*$B$5)*G14) + (($B$4*$B$5)*G15) + (2*($B$4+$B$5)*$B$6*G16)) / $B$7</f>
        <v/>
      </c>
      <c r="H17" s="17" t="n"/>
    </row>
    <row r="18">
      <c r="A18" s="13" t="inlineStr">
        <is>
          <t>[ACTUAL] Constante del Recinto (R) [m²]</t>
        </is>
      </c>
      <c r="B18" s="42">
        <f>($B$7 * B17) / (1 - B17)</f>
        <v/>
      </c>
      <c r="C18" s="42">
        <f>($B$7 * C17) / (1 - C17)</f>
        <v/>
      </c>
      <c r="D18" s="42">
        <f>($B$7 * D17) / (1 - D17)</f>
        <v/>
      </c>
      <c r="E18" s="42">
        <f>($B$7 * E17) / (1 - E17)</f>
        <v/>
      </c>
      <c r="F18" s="42">
        <f>($B$7 * F17) / (1 - F17)</f>
        <v/>
      </c>
      <c r="G18" s="42">
        <f>($B$7 * G17) / (1 - G17)</f>
        <v/>
      </c>
      <c r="H18" s="17" t="n"/>
    </row>
    <row r="19">
      <c r="A19" s="13" t="inlineStr">
        <is>
          <t>[ACTUAL] Nivel Presión Sonora (Lp) [dB]</t>
        </is>
      </c>
      <c r="B19" s="42">
        <f>B12 + 10*LOG10( ($F$5 / (4 * PI() * ($F$4^2))) + (4 / B18) )</f>
        <v/>
      </c>
      <c r="C19" s="42">
        <f>C12 + 10*LOG10( ($F$5 / (4 * PI() * ($F$4^2))) + (4 / C18) )</f>
        <v/>
      </c>
      <c r="D19" s="42">
        <f>D12 + 10*LOG10( ($F$5 / (4 * PI() * ($F$4^2))) + (4 / D18) )</f>
        <v/>
      </c>
      <c r="E19" s="42">
        <f>E12 + 10*LOG10( ($F$5 / (4 * PI() * ($F$4^2))) + (4 / E18) )</f>
        <v/>
      </c>
      <c r="F19" s="42">
        <f>F12 + 10*LOG10( ($F$5 / (4 * PI() * ($F$4^2))) + (4 / F18) )</f>
        <v/>
      </c>
      <c r="G19" s="42">
        <f>G12 + 10*LOG10( ($F$5 / (4 * PI() * ($F$4^2))) + (4 / G18) )</f>
        <v/>
      </c>
      <c r="H19" s="17" t="n"/>
    </row>
    <row r="20">
      <c r="A20" s="14" t="inlineStr">
        <is>
          <t>Corrección Ponderación A [dB] (Valores fijos):</t>
        </is>
      </c>
      <c r="B20" s="17" t="n">
        <v>-16.1</v>
      </c>
      <c r="C20" s="17" t="n">
        <v>-8.6</v>
      </c>
      <c r="D20" s="17" t="n">
        <v>-3.2</v>
      </c>
      <c r="E20" s="17" t="n">
        <v>0</v>
      </c>
      <c r="F20" s="17" t="n">
        <v>1.2</v>
      </c>
      <c r="G20" s="17" t="n">
        <v>1</v>
      </c>
      <c r="H20" s="17" t="n"/>
    </row>
    <row r="21">
      <c r="A21" s="13" t="inlineStr">
        <is>
          <t>[ACTUAL] Nivel de Ruido [dBA]</t>
        </is>
      </c>
      <c r="B21" s="20">
        <f>B19 + B20</f>
        <v/>
      </c>
      <c r="C21" s="20">
        <f>C19 + C20</f>
        <v/>
      </c>
      <c r="D21" s="20">
        <f>D19 + D20</f>
        <v/>
      </c>
      <c r="E21" s="20">
        <f>E19 + E20</f>
        <v/>
      </c>
      <c r="F21" s="20">
        <f>F19 + F20</f>
        <v/>
      </c>
      <c r="G21" s="20">
        <f>G19 + G20</f>
        <v/>
      </c>
      <c r="H21" s="43">
        <f>10 *LOG10(10^(B21/10) + 10^(C21/10) + 10^(D21/10) + 10^(E21/10) + 10^(F21/10) + 10^(G21/10))</f>
        <v/>
      </c>
    </row>
    <row r="22">
      <c r="A22" s="13" t="inlineStr">
        <is>
          <t>[ACTUAL] Distancia Crítica (rc) [m]</t>
        </is>
      </c>
      <c r="B22" s="42">
        <f>SQRT(($F$5 * B18) / (16 * PI()))</f>
        <v/>
      </c>
      <c r="C22" s="42">
        <f>SQRT(($F$5 * C18) / (16 * PI()))</f>
        <v/>
      </c>
      <c r="D22" s="42">
        <f>SQRT(($F$5 * D18) / (16 * PI()))</f>
        <v/>
      </c>
      <c r="E22" s="42">
        <f>SQRT(($F$5 * E18) / (16 * PI()))</f>
        <v/>
      </c>
      <c r="F22" s="42">
        <f>SQRT(($F$5 * F18) / (16 * PI()))</f>
        <v/>
      </c>
      <c r="G22" s="42">
        <f>SQRT(($F$5 * G18) / (16 * PI()))</f>
        <v/>
      </c>
      <c r="H22" s="17" t="n"/>
    </row>
    <row r="23">
      <c r="A23" s="13" t="n"/>
      <c r="B23" s="7" t="n"/>
      <c r="C23" s="7" t="n"/>
      <c r="D23" s="7" t="n"/>
      <c r="E23" s="7" t="n"/>
      <c r="F23" s="7" t="n"/>
      <c r="G23" s="7" t="n"/>
      <c r="H23" s="7" t="n"/>
    </row>
    <row r="24">
      <c r="A24" s="13" t="inlineStr">
        <is>
          <t>[PROPUESTO] α - Piso</t>
        </is>
      </c>
      <c r="B24" s="1" t="n">
        <v>0.01</v>
      </c>
      <c r="C24" s="1" t="n">
        <v>0.01</v>
      </c>
      <c r="D24" s="1" t="n">
        <v>0.015</v>
      </c>
      <c r="E24" s="1" t="n">
        <v>0.02</v>
      </c>
      <c r="F24" s="1" t="n">
        <v>0.02</v>
      </c>
      <c r="G24" s="1" t="n">
        <v>0.02</v>
      </c>
      <c r="H24" s="7" t="n"/>
    </row>
    <row r="25">
      <c r="A25" s="13" t="inlineStr">
        <is>
          <t>[PROPUESTO] α - Techo</t>
        </is>
      </c>
      <c r="B25" s="1" t="n">
        <v>0.29</v>
      </c>
      <c r="C25" s="1" t="n">
        <v>0.1</v>
      </c>
      <c r="D25" s="1" t="n">
        <v>0.05</v>
      </c>
      <c r="E25" s="1" t="n">
        <v>0.04</v>
      </c>
      <c r="F25" s="1" t="n">
        <v>0.07000000000000001</v>
      </c>
      <c r="G25" s="1" t="n">
        <v>0.09</v>
      </c>
      <c r="H25" s="7" t="n"/>
    </row>
    <row r="26">
      <c r="A26" s="13" t="inlineStr">
        <is>
          <t>[PROPUESTO] α - Paredes (Lana/Fibra de Vidrio)</t>
        </is>
      </c>
      <c r="B26" s="1" t="n">
        <v>0.22</v>
      </c>
      <c r="C26" s="1" t="n">
        <v>0.82</v>
      </c>
      <c r="D26" s="1" t="n">
        <v>0.99</v>
      </c>
      <c r="E26" s="1" t="n">
        <v>0.99</v>
      </c>
      <c r="F26" s="1" t="n">
        <v>0.99</v>
      </c>
      <c r="G26" s="1" t="n">
        <v>0.99</v>
      </c>
      <c r="H26" s="7" t="n"/>
    </row>
    <row r="27">
      <c r="A27" s="13" t="inlineStr">
        <is>
          <t>[PROPUESTO] Absorbancia Promedio (α_prom)</t>
        </is>
      </c>
      <c r="B27" s="21">
        <f>((($B$4*$B$5)*B24) + (($B$4*$B$5)*B25) + (2*($B$4+$B$5)*$B$6*B26)) / $B$7</f>
        <v/>
      </c>
      <c r="C27" s="21">
        <f>((($B$4*$B$5)*C24) + (($B$4*$B$5)*C25) + (2*($B$4+$B$5)*$B$6*C26)) / $B$7</f>
        <v/>
      </c>
      <c r="D27" s="21">
        <f>((($B$4*$B$5)*D24) + (($B$4*$B$5)*D25) + (2*($B$4+$B$5)*$B$6*D26)) / $B$7</f>
        <v/>
      </c>
      <c r="E27" s="17">
        <f>((($B$4*$B$5)*E24) + (($B$4*$B$5)*E25) + (2*($B$4+$B$5)*$B$6*E26)) / $B$7</f>
        <v/>
      </c>
      <c r="F27" s="21">
        <f>((($B$4*$B$5)*F24) + (($B$4*$B$5)*F25) + (2*($B$4+$B$5)*$B$6*F26)) / $B$7</f>
        <v/>
      </c>
      <c r="G27" s="21">
        <f>((($B$4*$B$5)*G24) + (($B$4*$B$5)*G25) + (2*($B$4+$B$5)*$B$6*G26)) / $B$7</f>
        <v/>
      </c>
      <c r="H27" s="17" t="n"/>
    </row>
    <row r="28">
      <c r="A28" s="13" t="inlineStr">
        <is>
          <t>[PROPUESTO] Constante del Recinto (R) [m²]</t>
        </is>
      </c>
      <c r="B28" s="20">
        <f>($B$7 * B27) / (1 - B27)</f>
        <v/>
      </c>
      <c r="C28" s="17">
        <f>($B$7 * C27) / (1 - C27)</f>
        <v/>
      </c>
      <c r="D28" s="20">
        <f>($B$7 * D27) / (1 - D27)</f>
        <v/>
      </c>
      <c r="E28" s="20">
        <f>($B$7 * E27) / (1 - E27)</f>
        <v/>
      </c>
      <c r="F28" s="20">
        <f>($B$7 * F27) / (1 - F27)</f>
        <v/>
      </c>
      <c r="G28" s="20">
        <f>($B$7 * G27) / (1 - G27)</f>
        <v/>
      </c>
      <c r="H28" s="17" t="n"/>
    </row>
    <row r="29">
      <c r="A29" s="13" t="inlineStr">
        <is>
          <t>[PROPUESTO] Nivel Presión Sonora (Lp) [dB]</t>
        </is>
      </c>
      <c r="B29" s="20">
        <f>B12 + 10*LOG10( ($F$5 / (4 * PI() * ($F$4^2))) + (4 / B28) )</f>
        <v/>
      </c>
      <c r="C29" s="20">
        <f>C12 + 10*LOG10( ($F$5 / (4 * PI() * ($F$4^2))) + (4 / C28) )</f>
        <v/>
      </c>
      <c r="D29" s="20">
        <f>D12 + 10*LOG10( ($F$5 / (4 * PI() * ($F$4^2))) + (4 / D28) )</f>
        <v/>
      </c>
      <c r="E29" s="20">
        <f>E12 + 10*LOG10( ($F$5 / (4 * PI() * ($F$4^2))) + (4 / E28) )</f>
        <v/>
      </c>
      <c r="F29" s="20">
        <f>F12 + 10*LOG10( ($F$5 / (4 * PI() * ($F$4^2))) + (4 / F28) )</f>
        <v/>
      </c>
      <c r="G29" s="20">
        <f>G12 + 10*LOG10( ($F$5 / (4 * PI() * ($F$4^2))) + (4 / G28) )</f>
        <v/>
      </c>
      <c r="H29" s="17" t="n"/>
    </row>
    <row r="30">
      <c r="A30" s="13" t="inlineStr">
        <is>
          <t>[PROPUESTO] Nivel de Ruido [dBA]</t>
        </is>
      </c>
      <c r="B30" s="20">
        <f>B29 + B20</f>
        <v/>
      </c>
      <c r="C30" s="20">
        <f>C29 + C20</f>
        <v/>
      </c>
      <c r="D30" s="20">
        <f>D29 + D20</f>
        <v/>
      </c>
      <c r="E30" s="20">
        <f>E29 + E20</f>
        <v/>
      </c>
      <c r="F30" s="20">
        <f>F29 + F20</f>
        <v/>
      </c>
      <c r="G30" s="20">
        <f>G29 + G20</f>
        <v/>
      </c>
      <c r="H30" s="43">
        <f>10 *LOG10(10^(B30/10) + 10^(C30/10) + 10^(D30/10) + 10^(E30/10) + 10^(F30/10) + 10^(G30/10))</f>
        <v/>
      </c>
    </row>
    <row r="31">
      <c r="A31" s="13" t="inlineStr">
        <is>
          <t>[PROPUESTO] Distancia Crítica (rc) [m]</t>
        </is>
      </c>
      <c r="B31" s="42">
        <f>SQRT(($F$5 * B28) / (16 * PI()))</f>
        <v/>
      </c>
      <c r="C31" s="42">
        <f>SQRT(($F$5 * C28) / (16 * PI()))</f>
        <v/>
      </c>
      <c r="D31" s="42">
        <f>SQRT(($F$5 * D28) / (16 * PI()))</f>
        <v/>
      </c>
      <c r="E31" s="42">
        <f>SQRT(($F$5 * E28) / (16 * PI()))</f>
        <v/>
      </c>
      <c r="F31" s="42">
        <f>SQRT(($F$5 * F28) / (16 * PI()))</f>
        <v/>
      </c>
      <c r="G31" s="42">
        <f>SQRT(($F$5 * G28) / (16 * PI()))</f>
        <v/>
      </c>
      <c r="H31" s="17" t="n"/>
    </row>
    <row r="32">
      <c r="A32" s="13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3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5" t="inlineStr">
        <is>
          <t>RESUMEN DE EVALUACIÓN ACÚSTICA</t>
        </is>
      </c>
      <c r="B34" s="23" t="n"/>
      <c r="C34" s="23" t="n"/>
      <c r="D34" s="23" t="n"/>
      <c r="E34" s="23" t="n"/>
      <c r="F34" s="23" t="n"/>
      <c r="G34" s="24" t="n"/>
      <c r="H34" s="24" t="n"/>
    </row>
    <row r="35">
      <c r="A35" s="13" t="inlineStr">
        <is>
          <t>Nivel de Ruido Actual (Sin Tratamiento):</t>
        </is>
      </c>
      <c r="B35" s="17" t="n"/>
      <c r="C35" s="43">
        <f>H21</f>
        <v/>
      </c>
      <c r="D35" s="17" t="inlineStr">
        <is>
          <t>dBA</t>
        </is>
      </c>
      <c r="E35" s="17" t="n"/>
      <c r="F35" s="17" t="n"/>
      <c r="G35" s="17" t="n"/>
      <c r="H35" s="17" t="n"/>
    </row>
    <row r="36">
      <c r="A36" s="13" t="inlineStr">
        <is>
          <t>Nivel de Ruido Proyectado (Con Tratamiento)</t>
        </is>
      </c>
      <c r="B36" s="17" t="n"/>
      <c r="C36" s="43">
        <f>H30</f>
        <v/>
      </c>
      <c r="D36" s="17" t="inlineStr">
        <is>
          <t>dBA</t>
        </is>
      </c>
      <c r="E36" s="17" t="n"/>
      <c r="F36" s="17" t="n"/>
      <c r="G36" s="17" t="n"/>
      <c r="H36" s="17" t="n"/>
    </row>
    <row r="37">
      <c r="A37" s="14" t="inlineStr">
        <is>
          <t>Reducción Total Lograda (Δ dBA):</t>
        </is>
      </c>
      <c r="B37" s="17" t="n"/>
      <c r="C37" s="43">
        <f>C35 - C36</f>
        <v/>
      </c>
      <c r="D37" s="17" t="inlineStr">
        <is>
          <t>dBA</t>
        </is>
      </c>
      <c r="E37" s="17" t="n"/>
      <c r="F37" s="17" t="n"/>
      <c r="G37" s="17" t="n"/>
      <c r="H37" s="17" t="n"/>
    </row>
    <row r="38">
      <c r="A38" s="13" t="inlineStr">
        <is>
          <t>Evaluación de Cumplimiento (Norma 85 dBA):</t>
        </is>
      </c>
      <c r="B38" s="17" t="n"/>
      <c r="C38" s="17">
        <f>IF(C36&lt;=85, "CUMPLE NORMA", "EXCEDE LÍMITE")</f>
        <v/>
      </c>
      <c r="D38" s="17" t="n"/>
      <c r="E38" s="17" t="n"/>
      <c r="F38" s="17" t="n"/>
      <c r="G38" s="17" t="n"/>
      <c r="H38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lq6mZ66/drnewPClJsGhw==" formatRows="1" sort="1" spinCount="100000" hashValue="D0L6aOQ+sbKg28P2uDZ1mIQ/e8g4nzbSWXPyVliv4vz1ZbvFA2fzc238bmIEFPtebwmVeY9E8113zaU2IY52fQ=="/>
  <mergeCells count="2">
    <mergeCell ref="A2:H2"/>
    <mergeCell ref="A1:H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22"/>
  <sheetViews>
    <sheetView workbookViewId="0" showGridLines="0">
      <selection activeCell="B10" sqref="B10:G11"/>
    </sheetView>
  </sheetViews>
  <sheetFormatPr baseColWidth="10" defaultRowHeight="14.4" defaultColWidth="9.6945"/>
  <cols>
    <col width="48.9379" customWidth="1" style="3" min="1" max="1"/>
    <col width="13.1576" customWidth="1" style="8" min="2" max="8"/>
    <col width="13.2879" customWidth="1" style="3" min="9" max="16384"/>
  </cols>
  <sheetData>
    <row r="1" ht="18" customHeight="1">
      <c r="A1" s="30" t="inlineStr">
        <is>
          <t>NOISERISK — MÓDULO 2: AISLAMIENTO ACÚSTICO Y PÉRDIDA POR TRANSMISIÓN (TL)</t>
        </is>
      </c>
    </row>
    <row r="2">
      <c r="A2" s="32" t="n"/>
      <c r="B2" s="31" t="n"/>
      <c r="C2" s="31" t="n"/>
      <c r="D2" s="31" t="n"/>
      <c r="E2" s="31" t="n"/>
      <c r="F2" s="31" t="n"/>
      <c r="G2" s="31" t="n"/>
      <c r="H2" s="32" t="n"/>
    </row>
    <row r="3">
      <c r="A3" s="37" t="inlineStr">
        <is>
          <t>DESCRIPCIÓN DEL SISTEMA Y FUENTE</t>
        </is>
      </c>
      <c r="B3" s="27" t="n"/>
      <c r="C3" s="44" t="n"/>
      <c r="D3" s="44" t="n"/>
      <c r="E3" s="44" t="n"/>
      <c r="F3" s="44" t="n"/>
      <c r="G3" s="44" t="n"/>
      <c r="H3" s="45" t="n"/>
    </row>
    <row r="4">
      <c r="A4" s="13" t="inlineStr">
        <is>
          <t>Fuente / Equipo Ruidoso:</t>
        </is>
      </c>
      <c r="B4" s="1" t="inlineStr">
        <is>
          <t>Compresor Industrial / Generador</t>
        </is>
      </c>
      <c r="C4" s="46" t="n"/>
      <c r="D4" s="46" t="n"/>
      <c r="E4" s="46" t="n"/>
      <c r="F4" s="46" t="n"/>
      <c r="G4" s="46" t="n"/>
      <c r="H4" s="47" t="n"/>
    </row>
    <row r="5">
      <c r="A5" s="13" t="inlineStr">
        <is>
          <t>Material del Cerramiento / Muro:</t>
        </is>
      </c>
      <c r="B5" s="1" t="inlineStr">
        <is>
          <t>Muro de Mampostería / Panel Acústico</t>
        </is>
      </c>
      <c r="C5" s="46" t="n"/>
      <c r="D5" s="46" t="n"/>
      <c r="E5" s="46" t="n"/>
      <c r="F5" s="46" t="n"/>
      <c r="G5" s="46" t="n"/>
      <c r="H5" s="47" t="n"/>
    </row>
    <row r="6">
      <c r="A6" s="13" t="inlineStr">
        <is>
          <t>Límite Máximo Permitido (Norma)</t>
        </is>
      </c>
      <c r="B6" s="1" t="n">
        <v>85</v>
      </c>
      <c r="C6" s="47" t="n"/>
      <c r="D6" s="16" t="inlineStr">
        <is>
          <t>dBA</t>
        </is>
      </c>
      <c r="E6" s="17" t="n"/>
      <c r="F6" s="17" t="n"/>
      <c r="G6" s="17" t="n"/>
      <c r="H6" s="17" t="n"/>
    </row>
    <row r="7">
      <c r="A7" s="13" t="n"/>
      <c r="B7" s="17" t="n"/>
      <c r="C7" s="17" t="n"/>
      <c r="D7" s="17" t="n"/>
      <c r="E7" s="17" t="n"/>
      <c r="F7" s="17" t="n"/>
      <c r="G7" s="17" t="n"/>
      <c r="H7" s="17" t="n"/>
    </row>
    <row r="8">
      <c r="A8" s="13" t="n"/>
      <c r="B8" s="17" t="n"/>
      <c r="C8" s="17" t="n"/>
      <c r="D8" s="17" t="n"/>
      <c r="E8" s="17" t="n"/>
      <c r="F8" s="17" t="n"/>
      <c r="G8" s="17" t="n"/>
      <c r="H8" s="17" t="n"/>
    </row>
    <row r="9">
      <c r="A9" s="13" t="inlineStr">
        <is>
          <t>Frecuencia / Parámetro</t>
        </is>
      </c>
      <c r="B9" s="17" t="inlineStr">
        <is>
          <t>125 Hz</t>
        </is>
      </c>
      <c r="C9" s="17" t="inlineStr">
        <is>
          <t>250 Hz</t>
        </is>
      </c>
      <c r="D9" s="17" t="inlineStr">
        <is>
          <t>500 Hz</t>
        </is>
      </c>
      <c r="E9" s="17" t="inlineStr">
        <is>
          <t>1000 Hz</t>
        </is>
      </c>
      <c r="F9" s="17" t="inlineStr">
        <is>
          <t>2000 Hz</t>
        </is>
      </c>
      <c r="G9" s="17" t="inlineStr">
        <is>
          <t>4000 Hz</t>
        </is>
      </c>
      <c r="H9" s="17" t="inlineStr">
        <is>
          <t>GLOBAL</t>
        </is>
      </c>
    </row>
    <row r="10">
      <c r="A10" s="13" t="inlineStr">
        <is>
          <t>Nivel de Sonido de la Fuente (Lp1) [dB]</t>
        </is>
      </c>
      <c r="B10" s="1" t="n">
        <v>95</v>
      </c>
      <c r="C10" s="1" t="n">
        <v>98</v>
      </c>
      <c r="D10" s="1" t="n">
        <v>102</v>
      </c>
      <c r="E10" s="1" t="n">
        <v>100</v>
      </c>
      <c r="F10" s="1" t="n">
        <v>96</v>
      </c>
      <c r="G10" s="1" t="n">
        <v>90</v>
      </c>
      <c r="H10" s="7" t="n"/>
    </row>
    <row r="11">
      <c r="A11" s="13" t="inlineStr">
        <is>
          <t>Pérdida por Transmisión del Material (TL) [dB]</t>
        </is>
      </c>
      <c r="B11" s="1" t="n">
        <v>25</v>
      </c>
      <c r="C11" s="1" t="n">
        <v>30</v>
      </c>
      <c r="D11" s="1" t="n">
        <v>38</v>
      </c>
      <c r="E11" s="1" t="n">
        <v>45</v>
      </c>
      <c r="F11" s="1" t="n">
        <v>52</v>
      </c>
      <c r="G11" s="1" t="n">
        <v>55</v>
      </c>
      <c r="H11" s="7" t="n"/>
    </row>
    <row r="12">
      <c r="A12" s="13" t="inlineStr">
        <is>
          <t>Nivel Transmitido al Otro Lado (Lp2) [dB]</t>
        </is>
      </c>
      <c r="B12" s="17">
        <f>B10 - B11</f>
        <v/>
      </c>
      <c r="C12" s="17">
        <f>C10 - C11</f>
        <v/>
      </c>
      <c r="D12" s="17">
        <f>D10 - D11</f>
        <v/>
      </c>
      <c r="E12" s="17">
        <f>E10 - E11</f>
        <v/>
      </c>
      <c r="F12" s="17">
        <f>F10 - F11</f>
        <v/>
      </c>
      <c r="G12" s="17">
        <f>G10 - G11</f>
        <v/>
      </c>
      <c r="H12" s="17" t="n"/>
    </row>
    <row r="13">
      <c r="A13" s="13" t="inlineStr">
        <is>
          <t>Corrección Ponderación A [dB]</t>
        </is>
      </c>
      <c r="B13" s="17" t="n">
        <v>-16.1</v>
      </c>
      <c r="C13" s="17" t="n">
        <v>-8.6</v>
      </c>
      <c r="D13" s="17" t="n">
        <v>-3.2</v>
      </c>
      <c r="E13" s="17" t="n">
        <v>0</v>
      </c>
      <c r="F13" s="17" t="n">
        <v>1.2</v>
      </c>
      <c r="G13" s="17" t="n">
        <v>1</v>
      </c>
      <c r="H13" s="17" t="n"/>
    </row>
    <row r="14">
      <c r="A14" s="13" t="inlineStr">
        <is>
          <t>Ruido Fuente [dBA]</t>
        </is>
      </c>
      <c r="B14" s="20">
        <f>B10 + B13</f>
        <v/>
      </c>
      <c r="C14" s="20">
        <f>C10 + C13</f>
        <v/>
      </c>
      <c r="D14" s="20">
        <f>D10 + D13</f>
        <v/>
      </c>
      <c r="E14" s="20">
        <f>E10 + E13</f>
        <v/>
      </c>
      <c r="F14" s="20">
        <f>F10 + F13</f>
        <v/>
      </c>
      <c r="G14" s="20">
        <f>G10 + G13</f>
        <v/>
      </c>
      <c r="H14" s="20">
        <f>10 *LOG10(10^(B14/10) + 10^(C14/10) + 10^(D14/10) + 10^(E14/10) + 10^(F14/10) + 10^(G14/10))</f>
        <v/>
      </c>
    </row>
    <row r="15">
      <c r="A15" s="14" t="inlineStr">
        <is>
          <t>Ruido Transmitido [dBA]</t>
        </is>
      </c>
      <c r="B15" s="20">
        <f>B12 + B13</f>
        <v/>
      </c>
      <c r="C15" s="20">
        <f>C12 + C13</f>
        <v/>
      </c>
      <c r="D15" s="20">
        <f>D12 + D13</f>
        <v/>
      </c>
      <c r="E15" s="20">
        <f>E12 + E13</f>
        <v/>
      </c>
      <c r="F15" s="17">
        <f>F12 + F13</f>
        <v/>
      </c>
      <c r="G15" s="20">
        <f>G12 + G13</f>
        <v/>
      </c>
      <c r="H15" s="20">
        <f>10 *LOG10(10^(B15/10) + 10^(C15/10) + 10^(D15/10) + 10^(E15/10) + 10^(F15/10) + 10^(G15/10))</f>
        <v/>
      </c>
    </row>
    <row r="16">
      <c r="A16" s="13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3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27" t="inlineStr">
        <is>
          <t>RESUMEN DE AISLAMIENTO ACÚSTICO</t>
        </is>
      </c>
      <c r="B18" s="44" t="n"/>
      <c r="C18" s="44" t="n"/>
      <c r="D18" s="45" t="n"/>
      <c r="E18" s="17" t="n"/>
      <c r="F18" s="17" t="n"/>
      <c r="G18" s="17" t="n"/>
      <c r="H18" s="17" t="n"/>
    </row>
    <row r="19">
      <c r="A19" s="13" t="inlineStr">
        <is>
          <t>Ruido Generado por la Fuente:</t>
        </is>
      </c>
      <c r="B19" s="17" t="n"/>
      <c r="C19" s="43">
        <f>H14</f>
        <v/>
      </c>
      <c r="D19" s="17" t="inlineStr">
        <is>
          <t>dBA</t>
        </is>
      </c>
      <c r="E19" s="17" t="n"/>
      <c r="F19" s="17" t="n"/>
      <c r="G19" s="17" t="n"/>
      <c r="H19" s="17" t="n"/>
    </row>
    <row r="20">
      <c r="A20" s="13" t="inlineStr">
        <is>
          <t>Ruido Transmitido al Receptor:</t>
        </is>
      </c>
      <c r="B20" s="17" t="n"/>
      <c r="C20" s="43">
        <f>H15</f>
        <v/>
      </c>
      <c r="D20" s="17" t="inlineStr">
        <is>
          <t>dBA</t>
        </is>
      </c>
      <c r="E20" s="17" t="n"/>
      <c r="F20" s="17" t="n"/>
      <c r="G20" s="17" t="n"/>
      <c r="H20" s="17" t="n"/>
    </row>
    <row r="21">
      <c r="A21" s="13" t="inlineStr">
        <is>
          <t>Aislamiento Neto Logrado (Δ dBA):</t>
        </is>
      </c>
      <c r="B21" s="17" t="n"/>
      <c r="C21" s="43">
        <f>C19 - C20</f>
        <v/>
      </c>
      <c r="D21" s="17" t="inlineStr">
        <is>
          <t>dBA</t>
        </is>
      </c>
      <c r="E21" s="17" t="n"/>
      <c r="F21" s="17" t="n"/>
      <c r="G21" s="17" t="n"/>
      <c r="H21" s="17" t="n"/>
    </row>
    <row r="22">
      <c r="A22" s="13" t="inlineStr">
        <is>
          <t>Evaluación de Cumplimiento:</t>
        </is>
      </c>
      <c r="B22" s="17" t="n"/>
      <c r="C22" s="17">
        <f>IF(C20&lt;=B6, "CUMPLE NORMA", "REQUIERE MAYOR AISLAMIENTO")</f>
        <v/>
      </c>
      <c r="D22" s="17" t="n"/>
      <c r="E22" s="17" t="n"/>
      <c r="F22" s="17" t="n"/>
      <c r="G22" s="17" t="n"/>
      <c r="H22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8ZfKTAxFPfqng7hf/uEYA==" formatRows="1" sort="1" spinCount="100000" hashValue="HCoaSEu8bMt4s4wIoGnClD00eYeaMVE6lb9rDYRaytksSOwZU3FWEYWfIy3O8A1v32LlCxJwDNaUkV80mHdyKw=="/>
  <mergeCells count="7">
    <mergeCell ref="B6:C6"/>
    <mergeCell ref="A18:D18"/>
    <mergeCell ref="B4:H4"/>
    <mergeCell ref="A2:H2"/>
    <mergeCell ref="A1:H1"/>
    <mergeCell ref="B3:H3"/>
    <mergeCell ref="B5:H5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I27"/>
  <sheetViews>
    <sheetView workbookViewId="0" showGridLines="0">
      <selection activeCell="F24" sqref="F24"/>
    </sheetView>
  </sheetViews>
  <sheetFormatPr baseColWidth="10" defaultRowHeight="14.4" defaultColWidth="9.6945"/>
  <cols>
    <col width="44.4637" customWidth="1" style="3" min="1" max="1"/>
    <col width="13.1576" customWidth="1" style="8" min="2" max="9"/>
    <col width="13.2879" customWidth="1" style="3" min="10" max="16384"/>
  </cols>
  <sheetData>
    <row r="1" ht="18" customHeight="1">
      <c r="A1" s="30" t="inlineStr">
        <is>
          <t>NOISERISK — MÓDULO 3: DISEÑO DE BARRERAS Y PANTALLAS ACÚSTICAS (IL)</t>
        </is>
      </c>
    </row>
    <row r="2">
      <c r="A2" s="32" t="n"/>
      <c r="B2" s="31" t="n"/>
      <c r="C2" s="31" t="n"/>
      <c r="D2" s="31" t="n"/>
      <c r="E2" s="31" t="n"/>
      <c r="F2" s="31" t="n"/>
      <c r="G2" s="31" t="n"/>
      <c r="H2" s="31" t="n"/>
      <c r="I2" s="32" t="n"/>
    </row>
    <row r="3">
      <c r="A3" s="37" t="inlineStr">
        <is>
          <t>GEOMETRÍA Y DISTANCIAS DEL PROYECTO</t>
        </is>
      </c>
      <c r="B3" s="34" t="n"/>
      <c r="C3" s="34" t="n"/>
      <c r="D3" s="34" t="n"/>
      <c r="E3" s="17" t="n"/>
      <c r="F3" s="17" t="n"/>
      <c r="G3" s="17" t="n"/>
      <c r="H3" s="17" t="n"/>
      <c r="I3" s="17" t="n"/>
    </row>
    <row r="4">
      <c r="A4" s="35" t="inlineStr">
        <is>
          <t>Altura de la Barrera (h)</t>
        </is>
      </c>
      <c r="B4" s="1" t="n">
        <v>3</v>
      </c>
      <c r="C4" s="17" t="inlineStr">
        <is>
          <t>m</t>
        </is>
      </c>
      <c r="D4" s="17" t="n"/>
      <c r="E4" s="17" t="n"/>
      <c r="F4" s="17" t="n"/>
      <c r="G4" s="17" t="n"/>
      <c r="H4" s="17" t="n"/>
      <c r="I4" s="17" t="n"/>
    </row>
    <row r="5">
      <c r="A5" s="13" t="inlineStr">
        <is>
          <t>Ancho / Longitud de la Barrera (w)</t>
        </is>
      </c>
      <c r="B5" s="1" t="n">
        <v>10</v>
      </c>
      <c r="C5" s="17" t="inlineStr">
        <is>
          <t>m</t>
        </is>
      </c>
      <c r="D5" s="17" t="n"/>
      <c r="E5" s="17" t="n"/>
      <c r="F5" s="17" t="n"/>
      <c r="G5" s="17" t="n"/>
      <c r="H5" s="17" t="n"/>
      <c r="I5" s="17" t="n"/>
    </row>
    <row r="6">
      <c r="A6" s="13" t="inlineStr">
        <is>
          <t>Distancia Fuente a Barrera (ds)</t>
        </is>
      </c>
      <c r="B6" s="1" t="n">
        <v>5</v>
      </c>
      <c r="C6" s="17" t="inlineStr">
        <is>
          <t>m</t>
        </is>
      </c>
      <c r="D6" s="17" t="n"/>
      <c r="E6" s="17" t="n"/>
      <c r="F6" s="17" t="n"/>
      <c r="G6" s="17" t="n"/>
      <c r="H6" s="17" t="n"/>
      <c r="I6" s="17" t="n"/>
    </row>
    <row r="7">
      <c r="A7" s="13" t="inlineStr">
        <is>
          <t>Distancia Barrera a Receptor (dr)</t>
        </is>
      </c>
      <c r="B7" s="1" t="n">
        <v>15</v>
      </c>
      <c r="C7" s="17" t="inlineStr">
        <is>
          <t>m</t>
        </is>
      </c>
      <c r="D7" s="17" t="n"/>
      <c r="E7" s="17" t="n"/>
      <c r="F7" s="17" t="n"/>
      <c r="G7" s="17" t="n"/>
      <c r="H7" s="17" t="n"/>
      <c r="I7" s="17" t="n"/>
    </row>
    <row r="8">
      <c r="A8" s="13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3" t="inlineStr">
        <is>
          <t>Distancia Fuente  a Receptor (dr)</t>
        </is>
      </c>
      <c r="B9" s="17">
        <f>B6 + B7</f>
        <v/>
      </c>
      <c r="C9" s="17" t="inlineStr">
        <is>
          <t>m</t>
        </is>
      </c>
      <c r="D9" s="17" t="n"/>
      <c r="E9" s="17" t="n"/>
      <c r="F9" s="17" t="n"/>
      <c r="G9" s="17" t="n"/>
      <c r="H9" s="17" t="n"/>
      <c r="I9" s="17" t="n"/>
    </row>
    <row r="10">
      <c r="A10" s="13" t="inlineStr">
        <is>
          <t>Trayectoria Sobre Barrera</t>
        </is>
      </c>
      <c r="B10" s="20">
        <f>SQRT(B6^2 + B4^2) + SQRT(B7^2 + B4^2)</f>
        <v/>
      </c>
      <c r="C10" s="17" t="inlineStr">
        <is>
          <t>m</t>
        </is>
      </c>
      <c r="D10" s="17" t="n"/>
      <c r="E10" s="17" t="n"/>
      <c r="F10" s="17" t="n"/>
      <c r="G10" s="17" t="n"/>
      <c r="H10" s="17" t="n"/>
      <c r="I10" s="17" t="n"/>
    </row>
    <row r="11">
      <c r="A11" s="13" t="inlineStr">
        <is>
          <t>Diferencia de Recorrido (δ)</t>
        </is>
      </c>
      <c r="B11" s="42">
        <f>B10 - B9</f>
        <v/>
      </c>
      <c r="C11" s="17" t="inlineStr">
        <is>
          <t>m</t>
        </is>
      </c>
      <c r="D11" s="17" t="n"/>
      <c r="E11" s="17" t="n"/>
      <c r="F11" s="17" t="n"/>
      <c r="G11" s="17" t="n"/>
      <c r="H11" s="17" t="n"/>
      <c r="I11" s="17" t="n"/>
    </row>
    <row r="12">
      <c r="A12" s="13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3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3" t="inlineStr">
        <is>
          <t>Frecuencia / Parámetro</t>
        </is>
      </c>
      <c r="B14" s="16" t="n">
        <v>63</v>
      </c>
      <c r="C14" s="16" t="n">
        <v>125</v>
      </c>
      <c r="D14" s="16" t="n">
        <v>250</v>
      </c>
      <c r="E14" s="16" t="n">
        <v>500</v>
      </c>
      <c r="F14" s="16" t="n">
        <v>1000</v>
      </c>
      <c r="G14" s="16" t="n">
        <v>2000</v>
      </c>
      <c r="H14" s="16" t="n">
        <v>4000</v>
      </c>
      <c r="I14" s="16" t="n">
        <v>8000</v>
      </c>
    </row>
    <row r="15">
      <c r="A15" s="13" t="inlineStr">
        <is>
          <t>Ruido Inicial en Receptor [dBA]</t>
        </is>
      </c>
      <c r="B15" s="1" t="n">
        <v>70</v>
      </c>
      <c r="C15" s="1" t="n">
        <v>75</v>
      </c>
      <c r="D15" s="1" t="n">
        <v>82</v>
      </c>
      <c r="E15" s="1" t="n">
        <v>88</v>
      </c>
      <c r="F15" s="1" t="n">
        <v>90</v>
      </c>
      <c r="G15" s="1" t="n">
        <v>86</v>
      </c>
      <c r="H15" s="1" t="n">
        <v>80</v>
      </c>
      <c r="I15" s="1" t="n">
        <v>72</v>
      </c>
    </row>
    <row r="16">
      <c r="A16" s="36" t="inlineStr">
        <is>
          <t>Numero de Fresnel ( adimensional )</t>
        </is>
      </c>
      <c r="B16" s="21">
        <f>(2 * B14 * $B$11) / 343</f>
        <v/>
      </c>
      <c r="C16" s="21">
        <f>(2 * C14 * $B$11) / 343</f>
        <v/>
      </c>
      <c r="D16" s="21">
        <f>(2 * D14 * $B$11) / 343</f>
        <v/>
      </c>
      <c r="E16" s="21">
        <f>(2 * E14 * $B$11) / 343</f>
        <v/>
      </c>
      <c r="F16" s="21">
        <f>(2 * F14 * $B$11) / 343</f>
        <v/>
      </c>
      <c r="G16" s="21">
        <f>(2 * G14 * $B$11) / 343</f>
        <v/>
      </c>
      <c r="H16" s="21">
        <f>(2 * H14 * $B$11) / 343</f>
        <v/>
      </c>
      <c r="I16" s="21">
        <f>(2 * I14 * $B$11) / 343</f>
        <v/>
      </c>
    </row>
    <row r="17">
      <c r="A17" s="13" t="inlineStr">
        <is>
          <t>Atenuación Teórica [dB]</t>
        </is>
      </c>
      <c r="B17" s="20">
        <f>10 *LOG10(3 + 20 * B16)</f>
        <v/>
      </c>
      <c r="C17" s="20">
        <f>10 *LOG10(3 + 20 * C16)</f>
        <v/>
      </c>
      <c r="D17" s="20">
        <f>10 *LOG10(3 + 20 * D16)</f>
        <v/>
      </c>
      <c r="E17" s="20">
        <f>10 *LOG10(3 + 20 * E16)</f>
        <v/>
      </c>
      <c r="F17" s="20">
        <f>10 *LOG10(3 + 20 * F16)</f>
        <v/>
      </c>
      <c r="G17" s="20">
        <f>10 *LOG10(3 + 20 * G16)</f>
        <v/>
      </c>
      <c r="H17" s="20">
        <f>10 *LOG10(3 + 20 * H16)</f>
        <v/>
      </c>
      <c r="I17" s="20">
        <f>10 *LOG10(3 + 20 * I16)</f>
        <v/>
      </c>
    </row>
    <row r="18">
      <c r="A18" s="13" t="inlineStr">
        <is>
          <t>Atenuación Real Barrera (IL) [dB]</t>
        </is>
      </c>
      <c r="B18" s="20">
        <f>MIN(20, B17)</f>
        <v/>
      </c>
      <c r="C18" s="20">
        <f>MIN(20, C17)</f>
        <v/>
      </c>
      <c r="D18" s="20">
        <f>MIN(20, D17)</f>
        <v/>
      </c>
      <c r="E18" s="20">
        <f>MIN(20, E17)</f>
        <v/>
      </c>
      <c r="F18" s="20">
        <f>MIN(20, F17)</f>
        <v/>
      </c>
      <c r="G18" s="17">
        <f>MIN(20, G17)</f>
        <v/>
      </c>
      <c r="H18" s="17">
        <f>MIN(20, H17)</f>
        <v/>
      </c>
      <c r="I18" s="17">
        <f>MIN(20, I17)</f>
        <v/>
      </c>
    </row>
    <row r="19">
      <c r="A19" s="13" t="inlineStr">
        <is>
          <t>Ruido Final en Receptor [dBA]</t>
        </is>
      </c>
      <c r="B19" s="20">
        <f>B15 - B18</f>
        <v/>
      </c>
      <c r="C19" s="20">
        <f>C15 - C18</f>
        <v/>
      </c>
      <c r="D19" s="20">
        <f>D15 - D18</f>
        <v/>
      </c>
      <c r="E19" s="20">
        <f>E15 - E18</f>
        <v/>
      </c>
      <c r="F19" s="20">
        <f>F15 - F18</f>
        <v/>
      </c>
      <c r="G19" s="17">
        <f>G15 - G18</f>
        <v/>
      </c>
      <c r="H19" s="17">
        <f>H15 - H18</f>
        <v/>
      </c>
      <c r="I19" s="17">
        <f>I15 - I18</f>
        <v/>
      </c>
    </row>
    <row r="20">
      <c r="A20" s="13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3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3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37" t="inlineStr">
        <is>
          <t>RESUMEN DE EVALUACIÓN DE LA BARRERA</t>
        </is>
      </c>
      <c r="B23" s="44" t="n"/>
      <c r="C23" s="44" t="n"/>
      <c r="D23" s="45" t="n"/>
      <c r="E23" s="17" t="n"/>
      <c r="F23" s="17" t="n"/>
      <c r="G23" s="17" t="n"/>
      <c r="H23" s="17" t="n"/>
      <c r="I23" s="17" t="n"/>
    </row>
    <row r="24">
      <c r="A24" s="13" t="inlineStr">
        <is>
          <t>Ruido Inicial Global Sin Barrera</t>
        </is>
      </c>
      <c r="B24" s="17" t="n"/>
      <c r="C24" s="43">
        <f>10 *LOG10(10^(B15/10) + 10^(C15/10) + 10^(D15/10) + 10^(E15/10) + 10^(F15/10) + 10^(G15/10) + 10^(H15/10) + 10^(I15/10))</f>
        <v/>
      </c>
      <c r="D24" s="17" t="inlineStr">
        <is>
          <t>dBA</t>
        </is>
      </c>
      <c r="E24" s="17" t="n"/>
      <c r="F24" s="17" t="n"/>
      <c r="G24" s="17" t="n"/>
      <c r="H24" s="17" t="n"/>
      <c r="I24" s="17" t="n"/>
    </row>
    <row r="25">
      <c r="A25" s="13" t="inlineStr">
        <is>
          <t>Ruido Final Global Con Barrera:</t>
        </is>
      </c>
      <c r="B25" s="17" t="n"/>
      <c r="C25" s="43">
        <f>10 *LOG10(10^(B19/10) + 10^(C19/10) + 10^(D19/10) + 10^(E19/10) + 10^(F19/10) + 10^(G19/10) + 10^(H19/10) + 10^(I19/10))</f>
        <v/>
      </c>
      <c r="D25" s="17" t="inlineStr">
        <is>
          <t>dBA</t>
        </is>
      </c>
      <c r="E25" s="17" t="n"/>
      <c r="F25" s="17" t="n"/>
      <c r="G25" s="17" t="n"/>
      <c r="H25" s="17" t="n"/>
      <c r="I25" s="17" t="n"/>
    </row>
    <row r="26">
      <c r="A26" s="13" t="inlineStr">
        <is>
          <t>Atenuación Neta de la Barrera (Δ dBA):</t>
        </is>
      </c>
      <c r="B26" s="17" t="n"/>
      <c r="C26" s="43">
        <f>C24 - C25</f>
        <v/>
      </c>
      <c r="D26" s="17" t="inlineStr">
        <is>
          <t>dBA</t>
        </is>
      </c>
      <c r="E26" s="17" t="n"/>
      <c r="F26" s="17" t="n"/>
      <c r="G26" s="17" t="n"/>
      <c r="H26" s="17" t="n"/>
      <c r="I26" s="17" t="n"/>
    </row>
    <row r="27">
      <c r="A27" s="13" t="inlineStr">
        <is>
          <t>Evaluación de Cumplimiento (Norma 85 dBA):</t>
        </is>
      </c>
      <c r="B27" s="17" t="n"/>
      <c r="C27" s="17">
        <f>IF(C25&lt;=85, "CUMPLE NORMA", "REQUIERE MAYOR ALTURA")</f>
        <v/>
      </c>
      <c r="D27" s="17" t="n"/>
      <c r="E27" s="17" t="n"/>
      <c r="F27" s="17" t="n"/>
      <c r="G27" s="17" t="n"/>
      <c r="H27" s="17" t="n"/>
      <c r="I27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1AsheQ6tGxxU3BMQtmsGgQ==" formatRows="1" sort="1" spinCount="100000" hashValue="PuWelsvtyiKyTmtjNHC2V73oy8bCTRD9xypag/OY2kN38iJBM6t/zzuW1pLIMbf63afQtWQfTgXFaTr7VNDKKQ=="/>
  <mergeCells count="3">
    <mergeCell ref="A1:I1"/>
    <mergeCell ref="A23:D23"/>
    <mergeCell ref="A2:I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5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30"/>
  <sheetViews>
    <sheetView workbookViewId="0" showGridLines="0">
      <selection activeCell="A1" sqref="A1"/>
    </sheetView>
  </sheetViews>
  <sheetFormatPr baseColWidth="8" defaultRowHeight="15" defaultColWidth="9.6945"/>
  <cols>
    <col width="41.4000" customWidth="1" min="1" max="1"/>
    <col width="20.7000" customWidth="1" min="2" max="2"/>
    <col width="13.8000" customWidth="1" min="3" max="3"/>
    <col width="14.9500" customWidth="1" min="4" max="4"/>
    <col width="17.2500" customWidth="1" min="5" max="5"/>
    <col width="16.1000" customWidth="1" min="6" max="6"/>
    <col width="4.6000" customWidth="1" min="7" max="7"/>
    <col width="4.6000" customWidth="1" min="8" max="8"/>
  </cols>
  <sheetData>
    <row r="1" ht="18" customHeight="1">
      <c r="A1" s="2" t="inlineStr">
        <is>
          <t>NOISERISK — MÓDULO 4: DOSIMETRÍA Y EXPOSICIÓN OCUPACIONAL (TWA / DOSIS)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7" t="inlineStr">
        <is>
          <t>CRITERIO DE EVALUACIÓN</t>
        </is>
      </c>
      <c r="B3" s="37" t="n"/>
      <c r="C3" s="37" t="n"/>
    </row>
    <row r="4">
      <c r="A4" s="13" t="inlineStr">
        <is>
          <t>Criterio</t>
        </is>
      </c>
      <c r="B4" s="1" t="inlineStr">
        <is>
          <t>ACGIH / NIOSH (85 dBA, Q=3)</t>
        </is>
      </c>
      <c r="C4" s="47" t="n"/>
    </row>
    <row r="5">
      <c r="A5" s="13" t="inlineStr">
        <is>
          <t>Nivel criterio (C)</t>
        </is>
      </c>
      <c r="B5" s="17">
        <f>INDEX('Datos de Referencia'!$B$5:$B$7,MATCH($B$4,'Datos de Referencia'!$A$5:$A$7,0))</f>
        <v/>
      </c>
      <c r="C5" s="17" t="inlineStr">
        <is>
          <t>dBA</t>
        </is>
      </c>
    </row>
    <row r="6">
      <c r="A6" s="13" t="inlineStr">
        <is>
          <t>Tasa de intercambio (Q)</t>
        </is>
      </c>
      <c r="B6" s="17">
        <f>INDEX('Datos de Referencia'!$C$5:$C$7,MATCH($B$4,'Datos de Referencia'!$A$5:$A$7,0))</f>
        <v/>
      </c>
      <c r="C6" s="17" t="inlineStr">
        <is>
          <t>dB</t>
        </is>
      </c>
    </row>
    <row r="7">
      <c r="A7" s="13" t="inlineStr">
        <is>
          <t>Umbral (no acumula dosis por debajo)</t>
        </is>
      </c>
      <c r="B7" s="17">
        <f>INDEX('Datos de Referencia'!$D$5:$D$7,MATCH($B$4,'Datos de Referencia'!$A$5:$A$7,0))</f>
        <v/>
      </c>
      <c r="C7" s="17" t="inlineStr">
        <is>
          <t>dBA</t>
        </is>
      </c>
    </row>
    <row r="9">
      <c r="A9" s="37" t="inlineStr">
        <is>
          <t>DESGLOSE DE TAREAS / EXPOSICIONES</t>
        </is>
      </c>
      <c r="B9" s="37" t="n"/>
      <c r="C9" s="37" t="n"/>
      <c r="D9" s="37" t="n"/>
      <c r="E9" s="37" t="n"/>
      <c r="F9" s="37" t="n"/>
    </row>
    <row r="10">
      <c r="A10" s="13" t="inlineStr">
        <is>
          <t>Tarea / Actividad</t>
        </is>
      </c>
      <c r="B10" s="17" t="inlineStr">
        <is>
          <t>Leq medido [dBA]</t>
        </is>
      </c>
      <c r="C10" s="17" t="inlineStr">
        <is>
          <t>Duración [h]</t>
        </is>
      </c>
      <c r="D10" s="17" t="inlineStr">
        <is>
          <t>¿Sobre umbral?</t>
        </is>
      </c>
      <c r="E10" s="17" t="inlineStr">
        <is>
          <t>Tiempo permitido T [h]</t>
        </is>
      </c>
      <c r="F10" s="17" t="inlineStr">
        <is>
          <t>Dosis parcial [%]</t>
        </is>
      </c>
    </row>
    <row r="11">
      <c r="A11" s="13" t="inlineStr">
        <is>
          <t>Operación de troqueladora</t>
        </is>
      </c>
      <c r="B11" s="48" t="n">
        <v>95</v>
      </c>
      <c r="C11" s="49" t="n">
        <v>3</v>
      </c>
      <c r="D11" s="17">
        <f>IF(N(B11)=0,"",IF(B11&gt;=$B$7,"Sí","No"))</f>
        <v/>
      </c>
      <c r="E11" s="21">
        <f>IF(D11="Sí",8/2^((B11-$B$5)/$B$6),"")</f>
        <v/>
      </c>
      <c r="F11" s="42">
        <f>IF(AND(D11="Sí",N(C11)&gt;0),C11/E11*100,IF(D11="No",0,""))</f>
        <v/>
      </c>
    </row>
    <row r="12">
      <c r="A12" s="13" t="inlineStr">
        <is>
          <t>Ensamble manual (zona alejada)</t>
        </is>
      </c>
      <c r="B12" s="48" t="n">
        <v>78</v>
      </c>
      <c r="C12" s="49" t="n">
        <v>2</v>
      </c>
      <c r="D12" s="17">
        <f>IF(N(B12)=0,"",IF(B12&gt;=$B$7,"Sí","No"))</f>
        <v/>
      </c>
      <c r="E12" s="21">
        <f>IF(D12="Sí",8/2^((B12-$B$5)/$B$6),"")</f>
        <v/>
      </c>
      <c r="F12" s="42">
        <f>IF(AND(D12="Sí",N(C12)&gt;0),C12/E12*100,IF(D12="No",0,""))</f>
        <v/>
      </c>
    </row>
    <row r="13">
      <c r="A13" s="13" t="inlineStr">
        <is>
          <t>Corte con sierra circular</t>
        </is>
      </c>
      <c r="B13" s="48" t="n">
        <v>98</v>
      </c>
      <c r="C13" s="49" t="n">
        <v>1.5</v>
      </c>
      <c r="D13" s="17">
        <f>IF(N(B13)=0,"",IF(B13&gt;=$B$7,"Sí","No"))</f>
        <v/>
      </c>
      <c r="E13" s="21">
        <f>IF(D13="Sí",8/2^((B13-$B$5)/$B$6),"")</f>
        <v/>
      </c>
      <c r="F13" s="42">
        <f>IF(AND(D13="Sí",N(C13)&gt;0),C13/E13*100,IF(D13="No",0,""))</f>
        <v/>
      </c>
    </row>
    <row r="14">
      <c r="A14" s="13" t="inlineStr">
        <is>
          <t>Almuerzo / descanso (fuera de planta)</t>
        </is>
      </c>
      <c r="B14" s="48" t="n">
        <v>65</v>
      </c>
      <c r="C14" s="49" t="n">
        <v>1</v>
      </c>
      <c r="D14" s="17">
        <f>IF(N(B14)=0,"",IF(B14&gt;=$B$7,"Sí","No"))</f>
        <v/>
      </c>
      <c r="E14" s="21">
        <f>IF(D14="Sí",8/2^((B14-$B$5)/$B$6),"")</f>
        <v/>
      </c>
      <c r="F14" s="42">
        <f>IF(AND(D14="Sí",N(C14)&gt;0),C14/E14*100,IF(D14="No",0,""))</f>
        <v/>
      </c>
    </row>
    <row r="15">
      <c r="A15" s="13" t="inlineStr">
        <is>
          <t>Mantenimiento y limpieza</t>
        </is>
      </c>
      <c r="B15" s="48" t="n">
        <v>88</v>
      </c>
      <c r="C15" s="49" t="n">
        <v>0.5</v>
      </c>
      <c r="D15" s="17">
        <f>IF(N(B15)=0,"",IF(B15&gt;=$B$7,"Sí","No"))</f>
        <v/>
      </c>
      <c r="E15" s="21">
        <f>IF(D15="Sí",8/2^((B15-$B$5)/$B$6),"")</f>
        <v/>
      </c>
      <c r="F15" s="42">
        <f>IF(AND(D15="Sí",N(C15)&gt;0),C15/E15*100,IF(D15="No",0,""))</f>
        <v/>
      </c>
    </row>
    <row r="16">
      <c r="A16" s="13" t="n"/>
      <c r="B16" s="48" t="n"/>
      <c r="C16" s="49" t="n"/>
      <c r="D16" s="17">
        <f>IF(N(B16)=0,"",IF(B16&gt;=$B$7,"Sí","No"))</f>
        <v/>
      </c>
      <c r="E16" s="21">
        <f>IF(D16="Sí",8/2^((B16-$B$5)/$B$6),"")</f>
        <v/>
      </c>
      <c r="F16" s="42">
        <f>IF(AND(D16="Sí",N(C16)&gt;0),C16/E16*100,IF(D16="No",0,""))</f>
        <v/>
      </c>
    </row>
    <row r="17">
      <c r="A17" s="13" t="n"/>
      <c r="B17" s="48" t="n"/>
      <c r="C17" s="49" t="n"/>
      <c r="D17" s="17">
        <f>IF(N(B17)=0,"",IF(B17&gt;=$B$7,"Sí","No"))</f>
        <v/>
      </c>
      <c r="E17" s="21">
        <f>IF(D17="Sí",8/2^((B17-$B$5)/$B$6),"")</f>
        <v/>
      </c>
      <c r="F17" s="42">
        <f>IF(AND(D17="Sí",N(C17)&gt;0),C17/E17*100,IF(D17="No",0,""))</f>
        <v/>
      </c>
    </row>
    <row r="18">
      <c r="A18" s="13" t="n"/>
      <c r="B18" s="48" t="n"/>
      <c r="C18" s="49" t="n"/>
      <c r="D18" s="17">
        <f>IF(N(B18)=0,"",IF(B18&gt;=$B$7,"Sí","No"))</f>
        <v/>
      </c>
      <c r="E18" s="21">
        <f>IF(D18="Sí",8/2^((B18-$B$5)/$B$6),"")</f>
        <v/>
      </c>
      <c r="F18" s="42">
        <f>IF(AND(D18="Sí",N(C18)&gt;0),C18/E18*100,IF(D18="No",0,""))</f>
        <v/>
      </c>
    </row>
    <row r="19">
      <c r="A19" s="50" t="inlineStr">
        <is>
          <t>TOTAL</t>
        </is>
      </c>
      <c r="B19" s="17" t="n"/>
      <c r="C19" s="21">
        <f>SUM(C11:C18)</f>
        <v/>
      </c>
      <c r="D19" s="17" t="n"/>
      <c r="E19" s="17" t="n"/>
      <c r="F19" s="42">
        <f>SUM(F11:F18)</f>
        <v/>
      </c>
    </row>
    <row r="21">
      <c r="A21" s="15" t="inlineStr">
        <is>
          <t>RESULTADOS</t>
        </is>
      </c>
      <c r="B21" s="15" t="n"/>
      <c r="C21" s="15" t="n"/>
      <c r="D21" s="15" t="n"/>
    </row>
    <row r="22">
      <c r="A22" s="13" t="inlineStr">
        <is>
          <t>Duración total evaluada</t>
        </is>
      </c>
      <c r="C22" s="51">
        <f>C19</f>
        <v/>
      </c>
      <c r="D22" s="45" t="n"/>
    </row>
    <row r="23">
      <c r="A23" s="13" t="inlineStr">
        <is>
          <t>Dosis total</t>
        </is>
      </c>
      <c r="C23" s="52">
        <f>F19</f>
        <v/>
      </c>
      <c r="D23" s="45" t="n"/>
    </row>
    <row r="24">
      <c r="A24" s="13" t="inlineStr">
        <is>
          <t>TWA equivalente (8 h)</t>
        </is>
      </c>
      <c r="C24" s="53">
        <f>IF(C23&gt;0,$B$5+$B$6*LOG10(C23/100)/LOG10(2),"N/D (sin dosis)")</f>
        <v/>
      </c>
      <c r="D24" s="45" t="n"/>
    </row>
    <row r="25">
      <c r="A25" s="13" t="inlineStr">
        <is>
          <t>Clasificación (severidad)</t>
        </is>
      </c>
      <c r="C25" s="54">
        <f>IF(C23=0,"SIN DATOS",IF(C23&lt;50,"ACEPTABLE",IF(C23&lt;100,"PRECAUCIÓN",IF(C23&lt;200,"MODERADO",IF(C23&lt;400,"ALTO","EXTREMADAMENTE ALTO")))))</f>
        <v/>
      </c>
      <c r="D25" s="45" t="n"/>
    </row>
    <row r="26">
      <c r="A26" s="13" t="inlineStr">
        <is>
          <t>Evaluación de cumplimiento</t>
        </is>
      </c>
      <c r="C26" s="54">
        <f>IF(C23=0,"SIN DATOS",IF(C23&lt;=100,"CUMPLE CRITERIO","EXCEDE CRITERIO"))</f>
        <v/>
      </c>
      <c r="D26" s="45" t="n"/>
    </row>
    <row r="28">
      <c r="A28" s="55" t="inlineStr">
        <is>
          <t>Nota: la Dosis y el TWA se calculan combinando todas las tareas con SUM(Cn/Tn) × 100, el método estándar para exposiciones variables (ACGIH/NIOSH/OSHA). Solo se acumula dosis en tareas cuyo nivel medido está en o por encima del umbral del criterio seleccionado. Para exposiciones simples y homogéneas basta con diligenciar una sola fila con la duración total de la jornada.</t>
        </is>
      </c>
    </row>
    <row r="29"/>
    <row r="30"/>
  </sheetData>
  <mergeCells count="11">
    <mergeCell ref="A28:F30"/>
    <mergeCell ref="C24:D24"/>
    <mergeCell ref="C25:D25"/>
    <mergeCell ref="A21:D21"/>
    <mergeCell ref="A9:F9"/>
    <mergeCell ref="C26:D26"/>
    <mergeCell ref="A3:C3"/>
    <mergeCell ref="C22:D22"/>
    <mergeCell ref="A1:H1"/>
    <mergeCell ref="C23:D23"/>
    <mergeCell ref="B4:C4"/>
  </mergeCells>
  <conditionalFormatting sqref="C25">
    <cfRule type="expression" priority="1" dxfId="0" stopIfTrue="1">
      <formula>$C$25="ACEPTABLE"</formula>
    </cfRule>
    <cfRule type="expression" priority="2" dxfId="1" stopIfTrue="1">
      <formula>$C$25="PRECAUCIÓN"</formula>
    </cfRule>
    <cfRule type="expression" priority="3" dxfId="2" stopIfTrue="1">
      <formula>$C$25="MODERADO"</formula>
    </cfRule>
    <cfRule type="expression" priority="4" dxfId="3" stopIfTrue="1">
      <formula>$C$25="ALTO"</formula>
    </cfRule>
    <cfRule type="expression" priority="5" dxfId="4" stopIfTrue="1">
      <formula>$C$25="EXTREMADAMENTE ALTO"</formula>
    </cfRule>
    <cfRule type="expression" priority="6" dxfId="5" stopIfTrue="1">
      <formula>$C$25="SIN DATOS"</formula>
    </cfRule>
  </conditionalFormatting>
  <conditionalFormatting sqref="C26">
    <cfRule type="expression" priority="7" dxfId="0" stopIfTrue="1">
      <formula>$C$26="CUMPLE CRITERIO"</formula>
    </cfRule>
    <cfRule type="expression" priority="8" dxfId="3" stopIfTrue="1">
      <formula>$C$26="EXCEDE CRITERIO"</formula>
    </cfRule>
  </conditionalFormatting>
  <dataValidations count="1">
    <dataValidation sqref="B4" showDropDown="0" showInputMessage="0" showErrorMessage="0" allowBlank="0" type="list">
      <formula1>='Datos de Referencia'!$A$5:$A$7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6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23"/>
  <sheetViews>
    <sheetView workbookViewId="0" showGridLines="0">
      <selection activeCell="A1" sqref="A1"/>
    </sheetView>
  </sheetViews>
  <sheetFormatPr baseColWidth="8" defaultRowHeight="15" defaultColWidth="9.6945"/>
  <cols>
    <col width="46.0000" customWidth="1" min="1" max="1"/>
    <col width="23.0000" customWidth="1" min="2" max="2"/>
    <col width="14.9500" customWidth="1" min="3" max="3"/>
    <col width="4.6000" customWidth="1" min="4" max="4"/>
    <col width="4.6000" customWidth="1" min="5" max="5"/>
    <col width="4.6000" customWidth="1" min="6" max="6"/>
  </cols>
  <sheetData>
    <row r="1" ht="18" customHeight="1">
      <c r="A1" s="2" t="inlineStr">
        <is>
          <t>NOISERISK — MÓDULO 5: SELECCIÓN Y VERIFICACIÓN DE PROTECCIÓN AUDITIVA (NRR)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7" t="inlineStr">
        <is>
          <t>EXPOSICIÓN SIN PROTECCIÓN (desde Módulo 4)</t>
        </is>
      </c>
      <c r="B3" s="37" t="n"/>
      <c r="C3" s="37" t="n"/>
    </row>
    <row r="4">
      <c r="A4" s="13" t="inlineStr">
        <is>
          <t>TWA sin protección</t>
        </is>
      </c>
      <c r="B4" s="53">
        <f>IF(ISNUMBER('Dosimetria y TWA'!C24),'Dosimetria y TWA'!C24,"")</f>
        <v/>
      </c>
      <c r="C4" s="45" t="n"/>
    </row>
    <row r="5">
      <c r="A5" s="13" t="inlineStr">
        <is>
          <t>Dosis sin protección</t>
        </is>
      </c>
      <c r="B5" s="52">
        <f>'Dosimetria y TWA'!C23</f>
        <v/>
      </c>
      <c r="C5" s="45" t="n"/>
    </row>
    <row r="7">
      <c r="A7" s="37" t="inlineStr">
        <is>
          <t>PROTECTOR AUDITIVO SELECCIONADO (celdas amarillas)</t>
        </is>
      </c>
      <c r="B7" s="37" t="n"/>
      <c r="C7" s="37" t="n"/>
    </row>
    <row r="8">
      <c r="A8" s="13" t="inlineStr">
        <is>
          <t>Tipo de protector</t>
        </is>
      </c>
      <c r="B8" s="1" t="inlineStr">
        <is>
          <t>Doble protección</t>
        </is>
      </c>
      <c r="C8" s="47" t="n"/>
    </row>
    <row r="9">
      <c r="A9" s="13" t="inlineStr">
        <is>
          <t>NRR etiquetado del fabricante</t>
        </is>
      </c>
      <c r="B9" s="56" t="n">
        <v>29</v>
      </c>
      <c r="C9" s="17" t="inlineStr">
        <is>
          <t>dB</t>
        </is>
      </c>
    </row>
    <row r="10">
      <c r="A10" s="13" t="inlineStr">
        <is>
          <t>Método de derating</t>
        </is>
      </c>
      <c r="B10" s="1" t="inlineStr">
        <is>
          <t>NIOSH (según tipo)</t>
        </is>
      </c>
      <c r="C10" s="47" t="n"/>
    </row>
    <row r="12">
      <c r="A12" s="15" t="inlineStr">
        <is>
          <t>RESULTADO</t>
        </is>
      </c>
      <c r="B12" s="15" t="n"/>
      <c r="C12" s="15" t="n"/>
    </row>
    <row r="13">
      <c r="A13" s="13" t="inlineStr">
        <is>
          <t>NRR efectivo aplicado</t>
        </is>
      </c>
      <c r="B13" s="42">
        <f>IF($B$8="Ninguno",0,IF($B$10="OSHA ((NRR-7)/2)",MAX(0,($B$9-7)/2),IF($B$8="Orejeras (earmuffs)",MAX(0,0.75*$B$9-7),IF($B$8="Tapones moldeables (foam)",MAX(0,0.5*$B$9-7),IF($B$8="Otros tapones (premoldeados)",MAX(0,0.3*$B$9-7),IF($B$8="Doble protección",MAX(0,0.75*$B$9-7)+5,0))))))</f>
        <v/>
      </c>
      <c r="C13" s="45" t="n"/>
    </row>
    <row r="14">
      <c r="A14" s="13" t="inlineStr">
        <is>
          <t>Nivel estimado en el oído protegido</t>
        </is>
      </c>
      <c r="B14" s="53">
        <f>IF(B4="","",MAX(B4-B13,0))</f>
        <v/>
      </c>
      <c r="C14" s="45" t="n"/>
    </row>
    <row r="15">
      <c r="A15" s="13" t="inlineStr">
        <is>
          <t>Dosis protegida estimada</t>
        </is>
      </c>
      <c r="B15" s="52">
        <f>IF(OR(B4="",$B$5=0),$B$5,$B$5*2^(-$B$13/'Dosimetria y TWA'!$B$6))</f>
        <v/>
      </c>
      <c r="C15" s="45" t="n"/>
    </row>
    <row r="16">
      <c r="A16" s="13" t="inlineStr">
        <is>
          <t>TWA protegida estimada</t>
        </is>
      </c>
      <c r="B16" s="53">
        <f>IF(B15&gt;0,'Dosimetria y TWA'!$B$5+'Dosimetria y TWA'!$B$6*LOG10(B15/100)/LOG10(2),"N/D")</f>
        <v/>
      </c>
      <c r="C16" s="45" t="n"/>
    </row>
    <row r="17">
      <c r="A17" s="13" t="inlineStr">
        <is>
          <t>Evaluación</t>
        </is>
      </c>
      <c r="B17" s="54">
        <f>IF(B4="","Complete el Módulo 4 (Dosimetría)",IF($B$8="Ninguno",IF('Dosimetria y TWA'!C23&lt;='Dosimetria y TWA'!0+100,"SIN DATOS DE PROTECCIÓN — evalúe si se requiere","SIN PROTECCIÓN — REQUERIDA"),IF(B16&lt;'Dosimetria y TWA'!$B$5,"ADECUADA (bajo el criterio)","INSUFICIENTE — revisar selección")))</f>
        <v/>
      </c>
      <c r="C17" s="45" t="n"/>
    </row>
    <row r="18">
      <c r="A18" s="13" t="inlineStr">
        <is>
          <t>¿Se recomienda doble protección?</t>
        </is>
      </c>
      <c r="B18" s="43">
        <f>IF(B4="","",IF(B4&gt;=100,"Sí — TWA sin protección ≥ 100 dBA","No es necesaria"))</f>
        <v/>
      </c>
      <c r="C18" s="45" t="n"/>
    </row>
    <row r="20" ht="20" customHeight="1">
      <c r="A20" s="55" t="inlineStr">
        <is>
          <t>Notas: el NRR de fábrica sobreestima sistemáticamente la atenuación real; por eso se aplica un factor de derating. El método NIOSH varía según el tipo de protector (más preciso); el método OSHA aplica el mismo factor (NRR−7)/2 a cualquier protector (más simple, uso regulatorio en EE. UU.). La recomendación de doble protección a partir de 100 dBA es una guía práctica habitual (NIOSH), no un límite normativo fijo — verifique el criterio de su programa de conservación auditiva. Este módulo estima la dosis protegida asumiendo una atenuación constante durante toda la jornada; no reemplaza la verificación individual (fit-testing) ni la audiometría.</t>
        </is>
      </c>
    </row>
    <row r="21" ht="20" customHeight="1"/>
    <row r="22" ht="20" customHeight="1"/>
    <row r="23" ht="20" customHeight="1"/>
  </sheetData>
  <mergeCells count="15">
    <mergeCell ref="B13:C13"/>
    <mergeCell ref="B18:C18"/>
    <mergeCell ref="B16:C16"/>
    <mergeCell ref="B15:C15"/>
    <mergeCell ref="B5:C5"/>
    <mergeCell ref="B10:C10"/>
    <mergeCell ref="B14:C14"/>
    <mergeCell ref="A3:C3"/>
    <mergeCell ref="A20:D23"/>
    <mergeCell ref="A1:H1"/>
    <mergeCell ref="A12:C12"/>
    <mergeCell ref="A7:C7"/>
    <mergeCell ref="B8:C8"/>
    <mergeCell ref="B4:C4"/>
    <mergeCell ref="B17:C17"/>
  </mergeCells>
  <conditionalFormatting sqref="B17">
    <cfRule type="expression" priority="1" dxfId="0" stopIfTrue="1">
      <formula>LEFT($B$17,27)="ADECUADA (bajo el criterio)"</formula>
    </cfRule>
    <cfRule type="expression" priority="2" dxfId="3" stopIfTrue="1">
      <formula>LEFT($B$17,32)="INSUFICIENTE — revisar selección"</formula>
    </cfRule>
    <cfRule type="expression" priority="3" dxfId="3" stopIfTrue="1">
      <formula>LEFT($B$17,26)="SIN PROTECCIÓN — REQUERIDA"</formula>
    </cfRule>
  </conditionalFormatting>
  <dataValidations count="2">
    <dataValidation sqref="B8" showDropDown="0" showInputMessage="0" showErrorMessage="0" allowBlank="0" type="list">
      <formula1>='Datos de Referencia'!$B$35:$B$39</formula1>
    </dataValidation>
    <dataValidation sqref="B10" showDropDown="0" showInputMessage="0" showErrorMessage="0" allowBlank="0" type="list">
      <formula1>='Datos de Referencia'!$C$35:$C$36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7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42"/>
  <sheetViews>
    <sheetView workbookViewId="0" showGridLines="0">
      <selection activeCell="A1" sqref="A1"/>
    </sheetView>
  </sheetViews>
  <sheetFormatPr baseColWidth="8" defaultRowHeight="15" defaultColWidth="9.6945"/>
  <cols>
    <col width="6.9000" customWidth="1" min="1" max="1"/>
    <col width="25.3000" customWidth="1" min="2" max="2"/>
    <col width="29.9000" customWidth="1" min="3" max="3"/>
    <col width="115.0000" customWidth="1" min="4" max="4"/>
    <col width="18.4000" customWidth="1" min="6" max="6"/>
    <col width="10.3500" customWidth="1" min="7" max="7"/>
    <col width="52.9000" customWidth="1" min="8" max="8"/>
  </cols>
  <sheetData>
    <row r="1" ht="18" customHeight="1">
      <c r="A1" s="2" t="inlineStr">
        <is>
          <t>NOISERISK — PLAN DE CONTROL AUTOMÁTICO</t>
        </is>
      </c>
      <c r="B1" s="2" t="n"/>
      <c r="C1" s="2" t="n"/>
      <c r="D1" s="2" t="n"/>
    </row>
    <row r="2" ht="30" customHeight="1">
      <c r="A2" s="55" t="inlineStr">
        <is>
          <t>Genera recomendaciones a partir de la severidad (Dosis/TWA del Módulo 4) y del resultado del Módulo 5 (Protección Auditiva). Las reglas se pueden editar en 'Biblioteca de Controles'. Es una ayuda para el profesional: la decisión final es del higienista/SST responsable.</t>
        </is>
      </c>
    </row>
    <row r="4">
      <c r="A4" s="37" t="inlineStr">
        <is>
          <t>ENTRADAS (celdas amarillas)</t>
        </is>
      </c>
      <c r="B4" s="37" t="n"/>
      <c r="C4" s="37" t="n"/>
      <c r="D4" s="37" t="n"/>
      <c r="F4" s="13" t="inlineStr">
        <is>
          <t>CONDICIONES EVALUADAS</t>
        </is>
      </c>
      <c r="G4" s="17" t="inlineStr">
        <is>
          <t>Cumple</t>
        </is>
      </c>
      <c r="H4" s="13" t="inlineStr">
        <is>
          <t>Descripción</t>
        </is>
      </c>
    </row>
    <row r="5">
      <c r="A5" s="13" t="inlineStr">
        <is>
          <t>Tipo de fuente de ruido</t>
        </is>
      </c>
      <c r="D5" s="57" t="inlineStr">
        <is>
          <t>Continua</t>
        </is>
      </c>
      <c r="F5" t="inlineStr">
        <is>
          <t>S</t>
        </is>
      </c>
      <c r="G5">
        <f>1</f>
        <v/>
      </c>
      <c r="H5" t="inlineStr">
        <is>
          <t>Siempre</t>
        </is>
      </c>
    </row>
    <row r="6">
      <c r="F6" t="inlineStr">
        <is>
          <t>IMPULSIVO</t>
        </is>
      </c>
      <c r="G6">
        <f>IF($D$5='Datos de Referencia'!$D$37,1,0)</f>
        <v/>
      </c>
      <c r="H6" t="inlineStr">
        <is>
          <t>Fuente impulsiva o de impacto</t>
        </is>
      </c>
    </row>
    <row r="7">
      <c r="A7" s="37" t="inlineStr">
        <is>
          <t>RESULTADO DE LA EVALUACIÓN (automático)</t>
        </is>
      </c>
      <c r="B7" s="37" t="n"/>
      <c r="C7" s="37" t="n"/>
      <c r="D7" s="37" t="n"/>
      <c r="F7" t="inlineStr">
        <is>
          <t>PROT_NONE</t>
        </is>
      </c>
      <c r="G7">
        <f>IF('Proteccion Auditiva'!$B$8="Ninguno",1,0)</f>
        <v/>
      </c>
      <c r="H7" t="inlineStr">
        <is>
          <t>No se usa protección auditiva</t>
        </is>
      </c>
    </row>
    <row r="8">
      <c r="A8" s="13" t="inlineStr">
        <is>
          <t>Dosis total</t>
        </is>
      </c>
      <c r="D8" s="58">
        <f>'Dosimetria y TWA'!C23</f>
        <v/>
      </c>
      <c r="F8" t="inlineStr">
        <is>
          <t>PROT_INSUF</t>
        </is>
      </c>
      <c r="G8">
        <f>IF(LEFT('Proteccion Auditiva'!$B$17,12)="INSUFICIENTE",1,0)</f>
        <v/>
      </c>
      <c r="H8" t="inlineStr">
        <is>
          <t>Protección seleccionada insuficiente</t>
        </is>
      </c>
    </row>
    <row r="9">
      <c r="A9" s="13" t="inlineStr">
        <is>
          <t>TWA equivalente</t>
        </is>
      </c>
      <c r="D9" s="59">
        <f>'Dosimetria y TWA'!C24</f>
        <v/>
      </c>
      <c r="F9" t="inlineStr">
        <is>
          <t>PROT_OK</t>
        </is>
      </c>
      <c r="G9">
        <f>IF(LEFT('Proteccion Auditiva'!$B$17,8)="ADECUADA",1,0)</f>
        <v/>
      </c>
      <c r="H9" t="inlineStr">
        <is>
          <t>Protección seleccionada adecuada</t>
        </is>
      </c>
    </row>
    <row r="10">
      <c r="A10" s="13" t="inlineStr">
        <is>
          <t>Severidad</t>
        </is>
      </c>
      <c r="D10" s="60">
        <f>'Dosimetria y TWA'!C25</f>
        <v/>
      </c>
      <c r="F10" t="inlineStr">
        <is>
          <t>DOBLE_REQ</t>
        </is>
      </c>
      <c r="G10">
        <f>IF(LEFT('Proteccion Auditiva'!$B$18,2)="Sí",1,0)</f>
        <v/>
      </c>
      <c r="H10" t="inlineStr">
        <is>
          <t>TWA sin protección ≥ 100 dBA</t>
        </is>
      </c>
    </row>
    <row r="11">
      <c r="A11" s="13" t="inlineStr">
        <is>
          <t>Nivel de severidad (0-5)</t>
        </is>
      </c>
      <c r="D11" s="61">
        <f>IF(D10="ACEPTABLE",1,IF(D10="PRECAUCIÓN",2,IF(D10="MODERADO",3,IF(D10="ALTO",4,IF(D10="EXTREMADAMENTE ALTO",5,0)))))</f>
        <v/>
      </c>
    </row>
    <row r="12">
      <c r="A12" s="13" t="inlineStr">
        <is>
          <t>Protección auditiva evaluada</t>
        </is>
      </c>
      <c r="D12" s="62">
        <f>IF('Proteccion Auditiva'!B8="Ninguno","No","Sí")</f>
        <v/>
      </c>
    </row>
    <row r="13">
      <c r="A13" s="13" t="inlineStr">
        <is>
          <t>Resultado protección auditiva</t>
        </is>
      </c>
      <c r="D13" s="62">
        <f>'Proteccion Auditiva'!B17</f>
        <v/>
      </c>
    </row>
    <row r="14">
      <c r="A14" s="13" t="inlineStr">
        <is>
          <t>¿Doble protección recomendada?</t>
        </is>
      </c>
      <c r="D14" s="62">
        <f>'Proteccion Auditiva'!B18</f>
        <v/>
      </c>
    </row>
    <row r="16">
      <c r="A16" s="15" t="inlineStr">
        <is>
          <t>RESUMEN</t>
        </is>
      </c>
      <c r="B16" s="15" t="n"/>
      <c r="C16" s="15" t="n"/>
      <c r="D16" s="15" t="n"/>
    </row>
    <row r="17" ht="34" customHeight="1">
      <c r="A17" s="63">
        <f>IF(D11=0,"Complete el Módulo 4 (Dosimetría) para generar el plan.","Severidad "&amp;D10&amp;": dosis "&amp;ROUND(D8,0)&amp;"% (TWA "&amp;ROUND(D9,1)&amp;" dBA). "&amp;IF(D12="No","Aún no se ha evaluado la protección auditiva (Módulo 5). ","Protección auditiva: "&amp;D13&amp;". "))</f>
        <v/>
      </c>
    </row>
    <row r="19">
      <c r="A19" s="37" t="inlineStr">
        <is>
          <t>PLAN DE CONTROL RECOMENDADO</t>
        </is>
      </c>
      <c r="B19" s="37" t="n"/>
      <c r="C19" s="37" t="n"/>
      <c r="D19" s="37" t="n"/>
    </row>
    <row r="20">
      <c r="A20" s="13" t="inlineStr">
        <is>
          <t>N°</t>
        </is>
      </c>
      <c r="B20" s="13" t="inlineStr">
        <is>
          <t>Nivel</t>
        </is>
      </c>
      <c r="C20" s="13" t="inlineStr">
        <is>
          <t>Tipo de control</t>
        </is>
      </c>
      <c r="D20" s="13" t="inlineStr">
        <is>
          <t>Recomendación</t>
        </is>
      </c>
    </row>
    <row r="21" ht="40" customHeight="1">
      <c r="A21" s="17">
        <f>IF(1&lt;=COUNTIF('Biblioteca de Controles'!$H$5:$H$23,1),1,"")</f>
        <v/>
      </c>
      <c r="B21" s="55">
        <f>IF($A21="","",INDEX('Biblioteca de Controles'!$B$5:$B$23,MATCH($A21,'Biblioteca de Controles'!$I$5:$I$23,0)))</f>
        <v/>
      </c>
      <c r="C21" s="55">
        <f>IF($A21="","",INDEX('Biblioteca de Controles'!$C$5:$C$23,MATCH($A21,'Biblioteca de Controles'!$I$5:$I$23,0)))</f>
        <v/>
      </c>
      <c r="D21" s="55">
        <f>IF($A21="","",INDEX('Biblioteca de Controles'!$D$5:$D$23,MATCH($A21,'Biblioteca de Controles'!$I$5:$I$23,0)))</f>
        <v/>
      </c>
    </row>
    <row r="22" ht="40" customHeight="1">
      <c r="A22" s="17">
        <f>IF(2&lt;=COUNTIF('Biblioteca de Controles'!$H$5:$H$23,1),2,"")</f>
        <v/>
      </c>
      <c r="B22" s="55">
        <f>IF($A22="","",INDEX('Biblioteca de Controles'!$B$5:$B$23,MATCH($A22,'Biblioteca de Controles'!$I$5:$I$23,0)))</f>
        <v/>
      </c>
      <c r="C22" s="55">
        <f>IF($A22="","",INDEX('Biblioteca de Controles'!$C$5:$C$23,MATCH($A22,'Biblioteca de Controles'!$I$5:$I$23,0)))</f>
        <v/>
      </c>
      <c r="D22" s="55">
        <f>IF($A22="","",INDEX('Biblioteca de Controles'!$D$5:$D$23,MATCH($A22,'Biblioteca de Controles'!$I$5:$I$23,0)))</f>
        <v/>
      </c>
    </row>
    <row r="23" ht="40" customHeight="1">
      <c r="A23" s="17">
        <f>IF(3&lt;=COUNTIF('Biblioteca de Controles'!$H$5:$H$23,1),3,"")</f>
        <v/>
      </c>
      <c r="B23" s="55">
        <f>IF($A23="","",INDEX('Biblioteca de Controles'!$B$5:$B$23,MATCH($A23,'Biblioteca de Controles'!$I$5:$I$23,0)))</f>
        <v/>
      </c>
      <c r="C23" s="55">
        <f>IF($A23="","",INDEX('Biblioteca de Controles'!$C$5:$C$23,MATCH($A23,'Biblioteca de Controles'!$I$5:$I$23,0)))</f>
        <v/>
      </c>
      <c r="D23" s="55">
        <f>IF($A23="","",INDEX('Biblioteca de Controles'!$D$5:$D$23,MATCH($A23,'Biblioteca de Controles'!$I$5:$I$23,0)))</f>
        <v/>
      </c>
    </row>
    <row r="24" ht="40" customHeight="1">
      <c r="A24" s="17">
        <f>IF(4&lt;=COUNTIF('Biblioteca de Controles'!$H$5:$H$23,1),4,"")</f>
        <v/>
      </c>
      <c r="B24" s="55">
        <f>IF($A24="","",INDEX('Biblioteca de Controles'!$B$5:$B$23,MATCH($A24,'Biblioteca de Controles'!$I$5:$I$23,0)))</f>
        <v/>
      </c>
      <c r="C24" s="55">
        <f>IF($A24="","",INDEX('Biblioteca de Controles'!$C$5:$C$23,MATCH($A24,'Biblioteca de Controles'!$I$5:$I$23,0)))</f>
        <v/>
      </c>
      <c r="D24" s="55">
        <f>IF($A24="","",INDEX('Biblioteca de Controles'!$D$5:$D$23,MATCH($A24,'Biblioteca de Controles'!$I$5:$I$23,0)))</f>
        <v/>
      </c>
    </row>
    <row r="25" ht="40" customHeight="1">
      <c r="A25" s="17">
        <f>IF(5&lt;=COUNTIF('Biblioteca de Controles'!$H$5:$H$23,1),5,"")</f>
        <v/>
      </c>
      <c r="B25" s="55">
        <f>IF($A25="","",INDEX('Biblioteca de Controles'!$B$5:$B$23,MATCH($A25,'Biblioteca de Controles'!$I$5:$I$23,0)))</f>
        <v/>
      </c>
      <c r="C25" s="55">
        <f>IF($A25="","",INDEX('Biblioteca de Controles'!$C$5:$C$23,MATCH($A25,'Biblioteca de Controles'!$I$5:$I$23,0)))</f>
        <v/>
      </c>
      <c r="D25" s="55">
        <f>IF($A25="","",INDEX('Biblioteca de Controles'!$D$5:$D$23,MATCH($A25,'Biblioteca de Controles'!$I$5:$I$23,0)))</f>
        <v/>
      </c>
    </row>
    <row r="26" ht="40" customHeight="1">
      <c r="A26" s="17">
        <f>IF(6&lt;=COUNTIF('Biblioteca de Controles'!$H$5:$H$23,1),6,"")</f>
        <v/>
      </c>
      <c r="B26" s="55">
        <f>IF($A26="","",INDEX('Biblioteca de Controles'!$B$5:$B$23,MATCH($A26,'Biblioteca de Controles'!$I$5:$I$23,0)))</f>
        <v/>
      </c>
      <c r="C26" s="55">
        <f>IF($A26="","",INDEX('Biblioteca de Controles'!$C$5:$C$23,MATCH($A26,'Biblioteca de Controles'!$I$5:$I$23,0)))</f>
        <v/>
      </c>
      <c r="D26" s="55">
        <f>IF($A26="","",INDEX('Biblioteca de Controles'!$D$5:$D$23,MATCH($A26,'Biblioteca de Controles'!$I$5:$I$23,0)))</f>
        <v/>
      </c>
    </row>
    <row r="27" ht="40" customHeight="1">
      <c r="A27" s="17">
        <f>IF(7&lt;=COUNTIF('Biblioteca de Controles'!$H$5:$H$23,1),7,"")</f>
        <v/>
      </c>
      <c r="B27" s="55">
        <f>IF($A27="","",INDEX('Biblioteca de Controles'!$B$5:$B$23,MATCH($A27,'Biblioteca de Controles'!$I$5:$I$23,0)))</f>
        <v/>
      </c>
      <c r="C27" s="55">
        <f>IF($A27="","",INDEX('Biblioteca de Controles'!$C$5:$C$23,MATCH($A27,'Biblioteca de Controles'!$I$5:$I$23,0)))</f>
        <v/>
      </c>
      <c r="D27" s="55">
        <f>IF($A27="","",INDEX('Biblioteca de Controles'!$D$5:$D$23,MATCH($A27,'Biblioteca de Controles'!$I$5:$I$23,0)))</f>
        <v/>
      </c>
    </row>
    <row r="28" ht="40" customHeight="1">
      <c r="A28" s="17">
        <f>IF(8&lt;=COUNTIF('Biblioteca de Controles'!$H$5:$H$23,1),8,"")</f>
        <v/>
      </c>
      <c r="B28" s="55">
        <f>IF($A28="","",INDEX('Biblioteca de Controles'!$B$5:$B$23,MATCH($A28,'Biblioteca de Controles'!$I$5:$I$23,0)))</f>
        <v/>
      </c>
      <c r="C28" s="55">
        <f>IF($A28="","",INDEX('Biblioteca de Controles'!$C$5:$C$23,MATCH($A28,'Biblioteca de Controles'!$I$5:$I$23,0)))</f>
        <v/>
      </c>
      <c r="D28" s="55">
        <f>IF($A28="","",INDEX('Biblioteca de Controles'!$D$5:$D$23,MATCH($A28,'Biblioteca de Controles'!$I$5:$I$23,0)))</f>
        <v/>
      </c>
    </row>
    <row r="29" ht="40" customHeight="1">
      <c r="A29" s="17">
        <f>IF(9&lt;=COUNTIF('Biblioteca de Controles'!$H$5:$H$23,1),9,"")</f>
        <v/>
      </c>
      <c r="B29" s="55">
        <f>IF($A29="","",INDEX('Biblioteca de Controles'!$B$5:$B$23,MATCH($A29,'Biblioteca de Controles'!$I$5:$I$23,0)))</f>
        <v/>
      </c>
      <c r="C29" s="55">
        <f>IF($A29="","",INDEX('Biblioteca de Controles'!$C$5:$C$23,MATCH($A29,'Biblioteca de Controles'!$I$5:$I$23,0)))</f>
        <v/>
      </c>
      <c r="D29" s="55">
        <f>IF($A29="","",INDEX('Biblioteca de Controles'!$D$5:$D$23,MATCH($A29,'Biblioteca de Controles'!$I$5:$I$23,0)))</f>
        <v/>
      </c>
    </row>
    <row r="30" ht="40" customHeight="1">
      <c r="A30" s="17">
        <f>IF(10&lt;=COUNTIF('Biblioteca de Controles'!$H$5:$H$23,1),10,"")</f>
        <v/>
      </c>
      <c r="B30" s="55">
        <f>IF($A30="","",INDEX('Biblioteca de Controles'!$B$5:$B$23,MATCH($A30,'Biblioteca de Controles'!$I$5:$I$23,0)))</f>
        <v/>
      </c>
      <c r="C30" s="55">
        <f>IF($A30="","",INDEX('Biblioteca de Controles'!$C$5:$C$23,MATCH($A30,'Biblioteca de Controles'!$I$5:$I$23,0)))</f>
        <v/>
      </c>
      <c r="D30" s="55">
        <f>IF($A30="","",INDEX('Biblioteca de Controles'!$D$5:$D$23,MATCH($A30,'Biblioteca de Controles'!$I$5:$I$23,0)))</f>
        <v/>
      </c>
    </row>
    <row r="31" ht="40" customHeight="1">
      <c r="A31" s="17">
        <f>IF(11&lt;=COUNTIF('Biblioteca de Controles'!$H$5:$H$23,1),11,"")</f>
        <v/>
      </c>
      <c r="B31" s="55">
        <f>IF($A31="","",INDEX('Biblioteca de Controles'!$B$5:$B$23,MATCH($A31,'Biblioteca de Controles'!$I$5:$I$23,0)))</f>
        <v/>
      </c>
      <c r="C31" s="55">
        <f>IF($A31="","",INDEX('Biblioteca de Controles'!$C$5:$C$23,MATCH($A31,'Biblioteca de Controles'!$I$5:$I$23,0)))</f>
        <v/>
      </c>
      <c r="D31" s="55">
        <f>IF($A31="","",INDEX('Biblioteca de Controles'!$D$5:$D$23,MATCH($A31,'Biblioteca de Controles'!$I$5:$I$23,0)))</f>
        <v/>
      </c>
    </row>
    <row r="32" ht="40" customHeight="1">
      <c r="A32" s="17">
        <f>IF(12&lt;=COUNTIF('Biblioteca de Controles'!$H$5:$H$23,1),12,"")</f>
        <v/>
      </c>
      <c r="B32" s="55">
        <f>IF($A32="","",INDEX('Biblioteca de Controles'!$B$5:$B$23,MATCH($A32,'Biblioteca de Controles'!$I$5:$I$23,0)))</f>
        <v/>
      </c>
      <c r="C32" s="55">
        <f>IF($A32="","",INDEX('Biblioteca de Controles'!$C$5:$C$23,MATCH($A32,'Biblioteca de Controles'!$I$5:$I$23,0)))</f>
        <v/>
      </c>
      <c r="D32" s="55">
        <f>IF($A32="","",INDEX('Biblioteca de Controles'!$D$5:$D$23,MATCH($A32,'Biblioteca de Controles'!$I$5:$I$23,0)))</f>
        <v/>
      </c>
    </row>
    <row r="33" ht="40" customHeight="1">
      <c r="A33" s="17">
        <f>IF(13&lt;=COUNTIF('Biblioteca de Controles'!$H$5:$H$23,1),13,"")</f>
        <v/>
      </c>
      <c r="B33" s="55">
        <f>IF($A33="","",INDEX('Biblioteca de Controles'!$B$5:$B$23,MATCH($A33,'Biblioteca de Controles'!$I$5:$I$23,0)))</f>
        <v/>
      </c>
      <c r="C33" s="55">
        <f>IF($A33="","",INDEX('Biblioteca de Controles'!$C$5:$C$23,MATCH($A33,'Biblioteca de Controles'!$I$5:$I$23,0)))</f>
        <v/>
      </c>
      <c r="D33" s="55">
        <f>IF($A33="","",INDEX('Biblioteca de Controles'!$D$5:$D$23,MATCH($A33,'Biblioteca de Controles'!$I$5:$I$23,0)))</f>
        <v/>
      </c>
    </row>
    <row r="34" ht="40" customHeight="1">
      <c r="A34" s="17">
        <f>IF(14&lt;=COUNTIF('Biblioteca de Controles'!$H$5:$H$23,1),14,"")</f>
        <v/>
      </c>
      <c r="B34" s="55">
        <f>IF($A34="","",INDEX('Biblioteca de Controles'!$B$5:$B$23,MATCH($A34,'Biblioteca de Controles'!$I$5:$I$23,0)))</f>
        <v/>
      </c>
      <c r="C34" s="55">
        <f>IF($A34="","",INDEX('Biblioteca de Controles'!$C$5:$C$23,MATCH($A34,'Biblioteca de Controles'!$I$5:$I$23,0)))</f>
        <v/>
      </c>
      <c r="D34" s="55">
        <f>IF($A34="","",INDEX('Biblioteca de Controles'!$D$5:$D$23,MATCH($A34,'Biblioteca de Controles'!$I$5:$I$23,0)))</f>
        <v/>
      </c>
    </row>
    <row r="35" ht="40" customHeight="1">
      <c r="A35" s="17">
        <f>IF(15&lt;=COUNTIF('Biblioteca de Controles'!$H$5:$H$23,1),15,"")</f>
        <v/>
      </c>
      <c r="B35" s="55">
        <f>IF($A35="","",INDEX('Biblioteca de Controles'!$B$5:$B$23,MATCH($A35,'Biblioteca de Controles'!$I$5:$I$23,0)))</f>
        <v/>
      </c>
      <c r="C35" s="55">
        <f>IF($A35="","",INDEX('Biblioteca de Controles'!$C$5:$C$23,MATCH($A35,'Biblioteca de Controles'!$I$5:$I$23,0)))</f>
        <v/>
      </c>
      <c r="D35" s="55">
        <f>IF($A35="","",INDEX('Biblioteca de Controles'!$D$5:$D$23,MATCH($A35,'Biblioteca de Controles'!$I$5:$I$23,0)))</f>
        <v/>
      </c>
    </row>
    <row r="36" ht="40" customHeight="1">
      <c r="A36" s="17">
        <f>IF(16&lt;=COUNTIF('Biblioteca de Controles'!$H$5:$H$23,1),16,"")</f>
        <v/>
      </c>
      <c r="B36" s="55">
        <f>IF($A36="","",INDEX('Biblioteca de Controles'!$B$5:$B$23,MATCH($A36,'Biblioteca de Controles'!$I$5:$I$23,0)))</f>
        <v/>
      </c>
      <c r="C36" s="55">
        <f>IF($A36="","",INDEX('Biblioteca de Controles'!$C$5:$C$23,MATCH($A36,'Biblioteca de Controles'!$I$5:$I$23,0)))</f>
        <v/>
      </c>
      <c r="D36" s="55">
        <f>IF($A36="","",INDEX('Biblioteca de Controles'!$D$5:$D$23,MATCH($A36,'Biblioteca de Controles'!$I$5:$I$23,0)))</f>
        <v/>
      </c>
    </row>
    <row r="37" ht="40" customHeight="1">
      <c r="A37" s="17">
        <f>IF(17&lt;=COUNTIF('Biblioteca de Controles'!$H$5:$H$23,1),17,"")</f>
        <v/>
      </c>
      <c r="B37" s="55">
        <f>IF($A37="","",INDEX('Biblioteca de Controles'!$B$5:$B$23,MATCH($A37,'Biblioteca de Controles'!$I$5:$I$23,0)))</f>
        <v/>
      </c>
      <c r="C37" s="55">
        <f>IF($A37="","",INDEX('Biblioteca de Controles'!$C$5:$C$23,MATCH($A37,'Biblioteca de Controles'!$I$5:$I$23,0)))</f>
        <v/>
      </c>
      <c r="D37" s="55">
        <f>IF($A37="","",INDEX('Biblioteca de Controles'!$D$5:$D$23,MATCH($A37,'Biblioteca de Controles'!$I$5:$I$23,0)))</f>
        <v/>
      </c>
    </row>
    <row r="38" ht="40" customHeight="1">
      <c r="A38" s="17">
        <f>IF(18&lt;=COUNTIF('Biblioteca de Controles'!$H$5:$H$23,1),18,"")</f>
        <v/>
      </c>
      <c r="B38" s="55">
        <f>IF($A38="","",INDEX('Biblioteca de Controles'!$B$5:$B$23,MATCH($A38,'Biblioteca de Controles'!$I$5:$I$23,0)))</f>
        <v/>
      </c>
      <c r="C38" s="55">
        <f>IF($A38="","",INDEX('Biblioteca de Controles'!$C$5:$C$23,MATCH($A38,'Biblioteca de Controles'!$I$5:$I$23,0)))</f>
        <v/>
      </c>
      <c r="D38" s="55">
        <f>IF($A38="","",INDEX('Biblioteca de Controles'!$D$5:$D$23,MATCH($A38,'Biblioteca de Controles'!$I$5:$I$23,0)))</f>
        <v/>
      </c>
    </row>
    <row r="39" ht="40" customHeight="1">
      <c r="A39" s="17">
        <f>IF(19&lt;=COUNTIF('Biblioteca de Controles'!$H$5:$H$23,1),19,"")</f>
        <v/>
      </c>
      <c r="B39" s="55">
        <f>IF($A39="","",INDEX('Biblioteca de Controles'!$B$5:$B$23,MATCH($A39,'Biblioteca de Controles'!$I$5:$I$23,0)))</f>
        <v/>
      </c>
      <c r="C39" s="55">
        <f>IF($A39="","",INDEX('Biblioteca de Controles'!$C$5:$C$23,MATCH($A39,'Biblioteca de Controles'!$I$5:$I$23,0)))</f>
        <v/>
      </c>
      <c r="D39" s="55">
        <f>IF($A39="","",INDEX('Biblioteca de Controles'!$D$5:$D$23,MATCH($A39,'Biblioteca de Controles'!$I$5:$I$23,0)))</f>
        <v/>
      </c>
    </row>
    <row r="41">
      <c r="A41" s="55" t="inlineStr">
        <is>
          <t>Aviso: las recomendaciones son orientativas y se generan a partir de reglas editables; no sustituyen el criterio del profesional en higiene ocupacional ni la evaluación médica. Referencias: ACGIH (TLV Noise), NIOSH REL, OSHA 29 CFR 1910.95.</t>
        </is>
      </c>
    </row>
    <row r="42"/>
  </sheetData>
  <mergeCells count="16">
    <mergeCell ref="A10:C10"/>
    <mergeCell ref="A1:D1"/>
    <mergeCell ref="A17:D17"/>
    <mergeCell ref="A13:C13"/>
    <mergeCell ref="A11:C11"/>
    <mergeCell ref="A5:C5"/>
    <mergeCell ref="A4:D4"/>
    <mergeCell ref="A8:C8"/>
    <mergeCell ref="A14:C14"/>
    <mergeCell ref="A41:D42"/>
    <mergeCell ref="A9:C9"/>
    <mergeCell ref="A7:D7"/>
    <mergeCell ref="A2:D2"/>
    <mergeCell ref="A16:D16"/>
    <mergeCell ref="A12:C12"/>
    <mergeCell ref="A19:D19"/>
  </mergeCells>
  <conditionalFormatting sqref="D10">
    <cfRule type="expression" priority="1" dxfId="0" stopIfTrue="1">
      <formula>$D$10="ACEPTABLE"</formula>
    </cfRule>
    <cfRule type="expression" priority="2" dxfId="1" stopIfTrue="1">
      <formula>$D$10="PRECAUCIÓN"</formula>
    </cfRule>
    <cfRule type="expression" priority="3" dxfId="2" stopIfTrue="1">
      <formula>$D$10="MODERADO"</formula>
    </cfRule>
    <cfRule type="expression" priority="4" dxfId="3" stopIfTrue="1">
      <formula>$D$10="ALTO"</formula>
    </cfRule>
    <cfRule type="expression" priority="5" dxfId="4" stopIfTrue="1">
      <formula>$D$10="EXTREMADAMENTE ALTO"</formula>
    </cfRule>
    <cfRule type="expression" priority="6" dxfId="5" stopIfTrue="1">
      <formula>$D$10="SIN DATOS"</formula>
    </cfRule>
  </conditionalFormatting>
  <conditionalFormatting sqref="B21:B39">
    <cfRule type="expression" priority="7" dxfId="6">
      <formula>LEFT($B21,19)="Prioridad inmediata"</formula>
    </cfRule>
    <cfRule type="expression" priority="8" dxfId="7">
      <formula>LEFT($B21,7)="Nivel 1"</formula>
    </cfRule>
    <cfRule type="expression" priority="9" dxfId="8">
      <formula>LEFT($B21,7)="Nivel 2"</formula>
    </cfRule>
    <cfRule type="expression" priority="10" dxfId="9">
      <formula>LEFT($B21,7)="Nivel 3"</formula>
    </cfRule>
  </conditionalFormatting>
  <dataValidations count="1">
    <dataValidation sqref="D5" showDropDown="0" showInputMessage="0" showErrorMessage="0" allowBlank="0" type="list">
      <formula1>='Datos de Referencia'!$D$35:$D$37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8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I23"/>
  <sheetViews>
    <sheetView workbookViewId="0" showGridLines="0">
      <pane ySplit="4" topLeftCell="A5" activePane="bottomLeft" state="frozen"/>
      <selection pane="bottomLeft" activeCell="A1" sqref="A1"/>
    </sheetView>
  </sheetViews>
  <sheetFormatPr baseColWidth="8" defaultRowHeight="15" defaultColWidth="9.6945"/>
  <cols>
    <col width="5.7500" customWidth="1" min="1" max="1"/>
    <col width="25.3000" customWidth="1" min="2" max="2"/>
    <col width="27.6000" customWidth="1" min="3" max="3"/>
    <col width="115.0000" customWidth="1" min="4" max="4"/>
    <col width="10.3500" customWidth="1" min="5" max="5"/>
    <col width="13.8000" customWidth="1" min="6" max="6"/>
    <col width="13.8000" customWidth="1" min="7" max="7"/>
    <col width="10.3500" customWidth="1" min="8" max="8"/>
    <col width="10.3500" customWidth="1" min="9" max="9"/>
  </cols>
  <sheetData>
    <row r="1" ht="18" customHeight="1">
      <c r="A1" s="2" t="inlineStr">
        <is>
          <t>NOISERISK — Biblioteca de Controles (editable)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55" t="inlineStr">
        <is>
          <t>Cada fila es una recomendación del Plan de Control. Se incluye cuando la severidad alcanza el mínimo (columna E) y se cumplen las condiciones 1 y 2 (códigos de la hoja 'Plan de Control', columna F). Puede editar el texto, los umbrales, o agregar filas al final.</t>
        </is>
      </c>
    </row>
    <row r="4">
      <c r="A4" s="13" t="inlineStr">
        <is>
          <t>#</t>
        </is>
      </c>
      <c r="B4" s="13" t="inlineStr">
        <is>
          <t>Nivel</t>
        </is>
      </c>
      <c r="C4" s="13" t="inlineStr">
        <is>
          <t>Tipo de control</t>
        </is>
      </c>
      <c r="D4" s="13" t="inlineStr">
        <is>
          <t>Recomendación</t>
        </is>
      </c>
      <c r="E4" s="13" t="inlineStr">
        <is>
          <t>Sev. mín.</t>
        </is>
      </c>
      <c r="F4" s="13" t="inlineStr">
        <is>
          <t>Cond. 1</t>
        </is>
      </c>
      <c r="G4" s="13" t="inlineStr">
        <is>
          <t>Cond. 2</t>
        </is>
      </c>
      <c r="H4" s="13" t="inlineStr">
        <is>
          <t>Aplica</t>
        </is>
      </c>
      <c r="I4" s="13" t="inlineStr">
        <is>
          <t>N°</t>
        </is>
      </c>
    </row>
    <row r="5" ht="44.5" customHeight="1">
      <c r="A5" s="17" t="n">
        <v>1</v>
      </c>
      <c r="B5" s="13" t="inlineStr">
        <is>
          <t>Prioridad inmediata</t>
        </is>
      </c>
      <c r="C5" s="13" t="inlineStr">
        <is>
          <t>Protección auditiva</t>
        </is>
      </c>
      <c r="D5" s="55" t="inlineStr">
        <is>
          <t>No se registra uso de protección auditiva pese a una exposición Extremadamente Alta. Suministre protección auditiva certificada de inmediato y restrinja la tarea mientras se implementan controles de ingeniería.</t>
        </is>
      </c>
      <c r="E5" s="56" t="n">
        <v>5</v>
      </c>
      <c r="F5" s="1" t="inlineStr">
        <is>
          <t>PROT_NONE</t>
        </is>
      </c>
      <c r="G5" s="1" t="inlineStr">
        <is>
          <t>S</t>
        </is>
      </c>
      <c r="H5" s="17">
        <f>IF(AND('Plan de Control'!$D$11&gt;=E5,IFERROR(INDEX('Plan de Control'!$G$5:$G$10,MATCH(F5,'Plan de Control'!$F$5:$F$10,0)),0)=1,IFERROR(INDEX('Plan de Control'!$G$5:$G$10,MATCH(G5,'Plan de Control'!$F$5:$F$10,0)),0)=1),1,0)</f>
        <v/>
      </c>
      <c r="I5" s="17">
        <f>IF(H5=1,COUNTIF(H$5:H5,1),0)</f>
        <v/>
      </c>
    </row>
    <row r="6" ht="44.5" customHeight="1">
      <c r="A6" s="17" t="n">
        <v>2</v>
      </c>
      <c r="B6" s="13" t="inlineStr">
        <is>
          <t>Prioridad inmediata</t>
        </is>
      </c>
      <c r="C6" s="13" t="inlineStr">
        <is>
          <t>Protección auditiva</t>
        </is>
      </c>
      <c r="D6" s="55" t="inlineStr">
        <is>
          <t>La protección auditiva seleccionada es insuficiente para el nivel de exposición estimado (Módulo 5). Seleccione un protector de mayor NRR, considere doble protección, o reduzca la exposición en la fuente.</t>
        </is>
      </c>
      <c r="E6" s="56" t="n">
        <v>4</v>
      </c>
      <c r="F6" s="1" t="inlineStr">
        <is>
          <t>PROT_INSUF</t>
        </is>
      </c>
      <c r="G6" s="1" t="inlineStr">
        <is>
          <t>S</t>
        </is>
      </c>
      <c r="H6" s="17">
        <f>IF(AND('Plan de Control'!$D$11&gt;=E6,IFERROR(INDEX('Plan de Control'!$G$5:$G$10,MATCH(F6,'Plan de Control'!$F$5:$F$10,0)),0)=1,IFERROR(INDEX('Plan de Control'!$G$5:$G$10,MATCH(G6,'Plan de Control'!$F$5:$F$10,0)),0)=1),1,0)</f>
        <v/>
      </c>
      <c r="I6" s="17">
        <f>IF(H6=1,COUNTIF(H$5:H6,1),0)</f>
        <v/>
      </c>
    </row>
    <row r="7" ht="31" customHeight="1">
      <c r="A7" s="17" t="n">
        <v>3</v>
      </c>
      <c r="B7" s="13" t="inlineStr">
        <is>
          <t>Prioridad inmediata</t>
        </is>
      </c>
      <c r="C7" s="13" t="inlineStr">
        <is>
          <t>Ingeniería</t>
        </is>
      </c>
      <c r="D7" s="55" t="inlineStr">
        <is>
          <t>Riesgo EXTREMADAMENTE ALTO: evalúe restringir la tarea hasta implementar controles de ingeniería significativos en la fuente, la vía de transmisión o el encerramiento del equipo.</t>
        </is>
      </c>
      <c r="E7" s="56" t="n">
        <v>5</v>
      </c>
      <c r="F7" s="1" t="inlineStr">
        <is>
          <t>S</t>
        </is>
      </c>
      <c r="G7" s="1" t="inlineStr">
        <is>
          <t>S</t>
        </is>
      </c>
      <c r="H7" s="17">
        <f>IF(AND('Plan de Control'!$D$11&gt;=E7,IFERROR(INDEX('Plan de Control'!$G$5:$G$10,MATCH(F7,'Plan de Control'!$F$5:$F$10,0)),0)=1,IFERROR(INDEX('Plan de Control'!$G$5:$G$10,MATCH(G7,'Plan de Control'!$F$5:$F$10,0)),0)=1),1,0)</f>
        <v/>
      </c>
      <c r="I7" s="17">
        <f>IF(H7=1,COUNTIF(H$5:H7,1),0)</f>
        <v/>
      </c>
    </row>
    <row r="8" ht="44.5" customHeight="1">
      <c r="A8" s="17" t="n">
        <v>4</v>
      </c>
      <c r="B8" s="13" t="inlineStr">
        <is>
          <t>Nivel 1 – General</t>
        </is>
      </c>
      <c r="C8" s="13" t="inlineStr">
        <is>
          <t>Gestión</t>
        </is>
      </c>
      <c r="D8" s="55" t="inlineStr">
        <is>
          <t>Establecer o mantener un Programa de Conservación Auditiva (PCA) documentado: monitoreo, controles, protección auditiva, capacitación, vigilancia médica y evaluación de la efectividad.</t>
        </is>
      </c>
      <c r="E8" s="56" t="n">
        <v>2</v>
      </c>
      <c r="F8" s="1" t="inlineStr">
        <is>
          <t>S</t>
        </is>
      </c>
      <c r="G8" s="1" t="inlineStr">
        <is>
          <t>S</t>
        </is>
      </c>
      <c r="H8" s="17">
        <f>IF(AND('Plan de Control'!$D$11&gt;=E8,IFERROR(INDEX('Plan de Control'!$G$5:$G$10,MATCH(F8,'Plan de Control'!$F$5:$F$10,0)),0)=1,IFERROR(INDEX('Plan de Control'!$G$5:$G$10,MATCH(G8,'Plan de Control'!$F$5:$F$10,0)),0)=1),1,0)</f>
        <v/>
      </c>
      <c r="I8" s="17">
        <f>IF(H8=1,COUNTIF(H$5:H8,1),0)</f>
        <v/>
      </c>
    </row>
    <row r="9" ht="31" customHeight="1">
      <c r="A9" s="17" t="n">
        <v>5</v>
      </c>
      <c r="B9" s="13" t="inlineStr">
        <is>
          <t>Nivel 1 – General</t>
        </is>
      </c>
      <c r="C9" s="13" t="inlineStr">
        <is>
          <t>Medición</t>
        </is>
      </c>
      <c r="D9" s="55" t="inlineStr">
        <is>
          <t>Realizar dosimetría o sonometría en el puesto de trabajo con instrumento calibrado (verificación anual), registrando hora, tarea y condiciones.</t>
        </is>
      </c>
      <c r="E9" s="56" t="n">
        <v>2</v>
      </c>
      <c r="F9" s="1" t="inlineStr">
        <is>
          <t>S</t>
        </is>
      </c>
      <c r="G9" s="1" t="inlineStr">
        <is>
          <t>S</t>
        </is>
      </c>
      <c r="H9" s="17">
        <f>IF(AND('Plan de Control'!$D$11&gt;=E9,IFERROR(INDEX('Plan de Control'!$G$5:$G$10,MATCH(F9,'Plan de Control'!$F$5:$F$10,0)),0)=1,IFERROR(INDEX('Plan de Control'!$G$5:$G$10,MATCH(G9,'Plan de Control'!$F$5:$F$10,0)),0)=1),1,0)</f>
        <v/>
      </c>
      <c r="I9" s="17">
        <f>IF(H9=1,COUNTIF(H$5:H9,1),0)</f>
        <v/>
      </c>
    </row>
    <row r="10" ht="28" customHeight="1">
      <c r="A10" s="17" t="n">
        <v>6</v>
      </c>
      <c r="B10" s="13" t="inlineStr">
        <is>
          <t>Nivel 1 – General</t>
        </is>
      </c>
      <c r="C10" s="13" t="inlineStr">
        <is>
          <t>Señalización</t>
        </is>
      </c>
      <c r="D10" s="55" t="inlineStr">
        <is>
          <t>Señalizar el área como zona de uso obligatorio de protección auditiva.</t>
        </is>
      </c>
      <c r="E10" s="56" t="n">
        <v>2</v>
      </c>
      <c r="F10" s="1" t="inlineStr">
        <is>
          <t>S</t>
        </is>
      </c>
      <c r="G10" s="1" t="inlineStr">
        <is>
          <t>S</t>
        </is>
      </c>
      <c r="H10" s="17">
        <f>IF(AND('Plan de Control'!$D$11&gt;=E10,IFERROR(INDEX('Plan de Control'!$G$5:$G$10,MATCH(F10,'Plan de Control'!$F$5:$F$10,0)),0)=1,IFERROR(INDEX('Plan de Control'!$G$5:$G$10,MATCH(G10,'Plan de Control'!$F$5:$F$10,0)),0)=1),1,0)</f>
        <v/>
      </c>
      <c r="I10" s="17">
        <f>IF(H10=1,COUNTIF(H$5:H10,1),0)</f>
        <v/>
      </c>
    </row>
    <row r="11" ht="31" customHeight="1">
      <c r="A11" s="17" t="n">
        <v>7</v>
      </c>
      <c r="B11" s="13" t="inlineStr">
        <is>
          <t>Nivel 1 – General</t>
        </is>
      </c>
      <c r="C11" s="13" t="inlineStr">
        <is>
          <t>Protección auditiva</t>
        </is>
      </c>
      <c r="D11" s="55" t="inlineStr">
        <is>
          <t>Suministrar protección auditiva certificada, ajustada al nivel de exposición (ver Módulo 5), y verificar su uso correcto y consistente.</t>
        </is>
      </c>
      <c r="E11" s="56" t="n">
        <v>2</v>
      </c>
      <c r="F11" s="1" t="inlineStr">
        <is>
          <t>S</t>
        </is>
      </c>
      <c r="G11" s="1" t="inlineStr">
        <is>
          <t>S</t>
        </is>
      </c>
      <c r="H11" s="17">
        <f>IF(AND('Plan de Control'!$D$11&gt;=E11,IFERROR(INDEX('Plan de Control'!$G$5:$G$10,MATCH(F11,'Plan de Control'!$F$5:$F$10,0)),0)=1,IFERROR(INDEX('Plan de Control'!$G$5:$G$10,MATCH(G11,'Plan de Control'!$F$5:$F$10,0)),0)=1),1,0)</f>
        <v/>
      </c>
      <c r="I11" s="17">
        <f>IF(H11=1,COUNTIF(H$5:H11,1),0)</f>
        <v/>
      </c>
    </row>
    <row r="12" ht="31" customHeight="1">
      <c r="A12" s="17" t="n">
        <v>8</v>
      </c>
      <c r="B12" s="13" t="inlineStr">
        <is>
          <t>Nivel 1 – General</t>
        </is>
      </c>
      <c r="C12" s="13" t="inlineStr">
        <is>
          <t>Capacitación</t>
        </is>
      </c>
      <c r="D12" s="55" t="inlineStr">
        <is>
          <t>Capacitar a los trabajadores en riesgos del ruido, uso y cuidado de la protección auditiva, y reconocimiento de señales de pérdida auditiva. Actualizar anualmente.</t>
        </is>
      </c>
      <c r="E12" s="56" t="n">
        <v>1</v>
      </c>
      <c r="F12" s="1" t="inlineStr">
        <is>
          <t>S</t>
        </is>
      </c>
      <c r="G12" s="1" t="inlineStr">
        <is>
          <t>S</t>
        </is>
      </c>
      <c r="H12" s="17">
        <f>IF(AND('Plan de Control'!$D$11&gt;=E12,IFERROR(INDEX('Plan de Control'!$G$5:$G$10,MATCH(F12,'Plan de Control'!$F$5:$F$10,0)),0)=1,IFERROR(INDEX('Plan de Control'!$G$5:$G$10,MATCH(G12,'Plan de Control'!$F$5:$F$10,0)),0)=1),1,0)</f>
        <v/>
      </c>
      <c r="I12" s="17">
        <f>IF(H12=1,COUNTIF(H$5:H12,1),0)</f>
        <v/>
      </c>
    </row>
    <row r="13" ht="31" customHeight="1">
      <c r="A13" s="17" t="n">
        <v>9</v>
      </c>
      <c r="B13" s="13" t="inlineStr">
        <is>
          <t>Nivel 1 – General</t>
        </is>
      </c>
      <c r="C13" s="13" t="inlineStr">
        <is>
          <t>Vigilancia médica</t>
        </is>
      </c>
      <c r="D13" s="55" t="inlineStr">
        <is>
          <t>Incluir audiometría de ingreso y periódica (anual) dentro del programa de vigilancia médica para todos los expuestos por encima del nivel de acción.</t>
        </is>
      </c>
      <c r="E13" s="56" t="n">
        <v>2</v>
      </c>
      <c r="F13" s="1" t="inlineStr">
        <is>
          <t>S</t>
        </is>
      </c>
      <c r="G13" s="1" t="inlineStr">
        <is>
          <t>S</t>
        </is>
      </c>
      <c r="H13" s="17">
        <f>IF(AND('Plan de Control'!$D$11&gt;=E13,IFERROR(INDEX('Plan de Control'!$G$5:$G$10,MATCH(F13,'Plan de Control'!$F$5:$F$10,0)),0)=1,IFERROR(INDEX('Plan de Control'!$G$5:$G$10,MATCH(G13,'Plan de Control'!$F$5:$F$10,0)),0)=1),1,0)</f>
        <v/>
      </c>
      <c r="I13" s="17">
        <f>IF(H13=1,COUNTIF(H$5:H13,1),0)</f>
        <v/>
      </c>
    </row>
    <row r="14" ht="31" customHeight="1">
      <c r="A14" s="17" t="n">
        <v>10</v>
      </c>
      <c r="B14" s="13" t="inlineStr">
        <is>
          <t>Nivel 2 – Específico</t>
        </is>
      </c>
      <c r="C14" s="13" t="inlineStr">
        <is>
          <t>Ingeniería — fuente</t>
        </is>
      </c>
      <c r="D14" s="55" t="inlineStr">
        <is>
          <t>Evaluar mantenimiento predictivo del equipo (lubricación, balanceo, ajuste de holguras) como primer control en la fuente, antes de recurrir a EPP.</t>
        </is>
      </c>
      <c r="E14" s="56" t="n">
        <v>3</v>
      </c>
      <c r="F14" s="1" t="inlineStr">
        <is>
          <t>S</t>
        </is>
      </c>
      <c r="G14" s="1" t="inlineStr">
        <is>
          <t>S</t>
        </is>
      </c>
      <c r="H14" s="17">
        <f>IF(AND('Plan de Control'!$D$11&gt;=E14,IFERROR(INDEX('Plan de Control'!$G$5:$G$10,MATCH(F14,'Plan de Control'!$F$5:$F$10,0)),0)=1,IFERROR(INDEX('Plan de Control'!$G$5:$G$10,MATCH(G14,'Plan de Control'!$F$5:$F$10,0)),0)=1),1,0)</f>
        <v/>
      </c>
      <c r="I14" s="17">
        <f>IF(H14=1,COUNTIF(H$5:H14,1),0)</f>
        <v/>
      </c>
    </row>
    <row r="15" ht="44.5" customHeight="1">
      <c r="A15" s="17" t="n">
        <v>11</v>
      </c>
      <c r="B15" s="13" t="inlineStr">
        <is>
          <t>Nivel 2 – Específico</t>
        </is>
      </c>
      <c r="C15" s="13" t="inlineStr">
        <is>
          <t>Ingeniería — recinto</t>
        </is>
      </c>
      <c r="D15" s="55" t="inlineStr">
        <is>
          <t>Evaluar tratamiento acústico del recinto con el Módulo 1 (Acondicionamiento Acústico) de esta misma herramienta si el campo reverberante contribuye significativamente al nivel en el puesto de trabajo.</t>
        </is>
      </c>
      <c r="E15" s="56" t="n">
        <v>3</v>
      </c>
      <c r="F15" s="1" t="inlineStr">
        <is>
          <t>S</t>
        </is>
      </c>
      <c r="G15" s="1" t="inlineStr">
        <is>
          <t>S</t>
        </is>
      </c>
      <c r="H15" s="17">
        <f>IF(AND('Plan de Control'!$D$11&gt;=E15,IFERROR(INDEX('Plan de Control'!$G$5:$G$10,MATCH(F15,'Plan de Control'!$F$5:$F$10,0)),0)=1,IFERROR(INDEX('Plan de Control'!$G$5:$G$10,MATCH(G15,'Plan de Control'!$F$5:$F$10,0)),0)=1),1,0)</f>
        <v/>
      </c>
      <c r="I15" s="17">
        <f>IF(H15=1,COUNTIF(H$5:H15,1),0)</f>
        <v/>
      </c>
    </row>
    <row r="16" ht="31" customHeight="1">
      <c r="A16" s="17" t="n">
        <v>12</v>
      </c>
      <c r="B16" s="13" t="inlineStr">
        <is>
          <t>Nivel 2 – Específico</t>
        </is>
      </c>
      <c r="C16" s="13" t="inlineStr">
        <is>
          <t>Ingeniería — encerramiento</t>
        </is>
      </c>
      <c r="D16" s="55" t="inlineStr">
        <is>
          <t>Evaluar encerrar la fuente o el puesto de trabajo con el Módulo 2 (Aislamiento y Transmisión) de esta herramienta para estimar la pérdida por transmisión requerida.</t>
        </is>
      </c>
      <c r="E16" s="56" t="n">
        <v>3</v>
      </c>
      <c r="F16" s="1" t="inlineStr">
        <is>
          <t>S</t>
        </is>
      </c>
      <c r="G16" s="1" t="inlineStr">
        <is>
          <t>S</t>
        </is>
      </c>
      <c r="H16" s="17">
        <f>IF(AND('Plan de Control'!$D$11&gt;=E16,IFERROR(INDEX('Plan de Control'!$G$5:$G$10,MATCH(F16,'Plan de Control'!$F$5:$F$10,0)),0)=1,IFERROR(INDEX('Plan de Control'!$G$5:$G$10,MATCH(G16,'Plan de Control'!$F$5:$F$10,0)),0)=1),1,0)</f>
        <v/>
      </c>
      <c r="I16" s="17">
        <f>IF(H16=1,COUNTIF(H$5:H16,1),0)</f>
        <v/>
      </c>
    </row>
    <row r="17" ht="31" customHeight="1">
      <c r="A17" s="17" t="n">
        <v>13</v>
      </c>
      <c r="B17" s="13" t="inlineStr">
        <is>
          <t>Nivel 2 – Específico</t>
        </is>
      </c>
      <c r="C17" s="13" t="inlineStr">
        <is>
          <t>Ingeniería — barrera</t>
        </is>
      </c>
      <c r="D17" s="55" t="inlineStr">
        <is>
          <t>Si existe línea de vista directa entre la fuente y el receptor, evaluar una barrera o pantalla acústica con el Módulo 3 (Barreras Acústicas) de esta herramienta.</t>
        </is>
      </c>
      <c r="E17" s="56" t="n">
        <v>3</v>
      </c>
      <c r="F17" s="1" t="inlineStr">
        <is>
          <t>S</t>
        </is>
      </c>
      <c r="G17" s="1" t="inlineStr">
        <is>
          <t>S</t>
        </is>
      </c>
      <c r="H17" s="17">
        <f>IF(AND('Plan de Control'!$D$11&gt;=E17,IFERROR(INDEX('Plan de Control'!$G$5:$G$10,MATCH(F17,'Plan de Control'!$F$5:$F$10,0)),0)=1,IFERROR(INDEX('Plan de Control'!$G$5:$G$10,MATCH(G17,'Plan de Control'!$F$5:$F$10,0)),0)=1),1,0)</f>
        <v/>
      </c>
      <c r="I17" s="17">
        <f>IF(H17=1,COUNTIF(H$5:H17,1),0)</f>
        <v/>
      </c>
    </row>
    <row r="18" ht="31" customHeight="1">
      <c r="A18" s="17" t="n">
        <v>14</v>
      </c>
      <c r="B18" s="13" t="inlineStr">
        <is>
          <t>Nivel 2 – Específico</t>
        </is>
      </c>
      <c r="C18" s="13" t="inlineStr">
        <is>
          <t>Administrativo</t>
        </is>
      </c>
      <c r="D18" s="55" t="inlineStr">
        <is>
          <t>Reducir el tiempo de exposición mediante rotación de personal o reorganización de tareas, verificando el efecto en la dosis con el Módulo 4.</t>
        </is>
      </c>
      <c r="E18" s="56" t="n">
        <v>3</v>
      </c>
      <c r="F18" s="1" t="inlineStr">
        <is>
          <t>S</t>
        </is>
      </c>
      <c r="G18" s="1" t="inlineStr">
        <is>
          <t>S</t>
        </is>
      </c>
      <c r="H18" s="17">
        <f>IF(AND('Plan de Control'!$D$11&gt;=E18,IFERROR(INDEX('Plan de Control'!$G$5:$G$10,MATCH(F18,'Plan de Control'!$F$5:$F$10,0)),0)=1,IFERROR(INDEX('Plan de Control'!$G$5:$G$10,MATCH(G18,'Plan de Control'!$F$5:$F$10,0)),0)=1),1,0)</f>
        <v/>
      </c>
      <c r="I18" s="17">
        <f>IF(H18=1,COUNTIF(H$5:H18,1),0)</f>
        <v/>
      </c>
    </row>
    <row r="19" ht="31" customHeight="1">
      <c r="A19" s="17" t="n">
        <v>15</v>
      </c>
      <c r="B19" s="13" t="inlineStr">
        <is>
          <t>Nivel 2 – Específico</t>
        </is>
      </c>
      <c r="C19" s="13" t="inlineStr">
        <is>
          <t>Protección auditiva</t>
        </is>
      </c>
      <c r="D19" s="55" t="inlineStr">
        <is>
          <t>Verificar el ajuste individual del protector (fit-testing) y considerar doble protección (orejeras + tapones) cuando el TWA sin protección sea ≥100 dBA.</t>
        </is>
      </c>
      <c r="E19" s="56" t="n">
        <v>2</v>
      </c>
      <c r="F19" s="1" t="inlineStr">
        <is>
          <t>DOBLE_REQ</t>
        </is>
      </c>
      <c r="G19" s="1" t="inlineStr">
        <is>
          <t>S</t>
        </is>
      </c>
      <c r="H19" s="17">
        <f>IF(AND('Plan de Control'!$D$11&gt;=E19,IFERROR(INDEX('Plan de Control'!$G$5:$G$10,MATCH(F19,'Plan de Control'!$F$5:$F$10,0)),0)=1,IFERROR(INDEX('Plan de Control'!$G$5:$G$10,MATCH(G19,'Plan de Control'!$F$5:$F$10,0)),0)=1),1,0)</f>
        <v/>
      </c>
      <c r="I19" s="17">
        <f>IF(H19=1,COUNTIF(H$5:H19,1),0)</f>
        <v/>
      </c>
    </row>
    <row r="20" ht="44.5" customHeight="1">
      <c r="A20" s="17" t="n">
        <v>16</v>
      </c>
      <c r="B20" s="13" t="inlineStr">
        <is>
          <t>Nivel 2 – Específico</t>
        </is>
      </c>
      <c r="C20" s="13" t="inlineStr">
        <is>
          <t>Ruido impulsivo</t>
        </is>
      </c>
      <c r="D20" s="55" t="inlineStr">
        <is>
          <t>Para fuentes impulsivas o de impacto, verificar adicionalmente el nivel pico (dB pico) contra el límite normativo aplicable (habitualmente 140 dB pico); la dosis por TWA no captura completamente el riesgo de este tipo de ruido.</t>
        </is>
      </c>
      <c r="E20" s="56" t="n">
        <v>1</v>
      </c>
      <c r="F20" s="1" t="inlineStr">
        <is>
          <t>IMPULSIVO</t>
        </is>
      </c>
      <c r="G20" s="1" t="inlineStr">
        <is>
          <t>S</t>
        </is>
      </c>
      <c r="H20" s="17">
        <f>IF(AND('Plan de Control'!$D$11&gt;=E20,IFERROR(INDEX('Plan de Control'!$G$5:$G$10,MATCH(F20,'Plan de Control'!$F$5:$F$10,0)),0)=1,IFERROR(INDEX('Plan de Control'!$G$5:$G$10,MATCH(G20,'Plan de Control'!$F$5:$F$10,0)),0)=1),1,0)</f>
        <v/>
      </c>
      <c r="I20" s="17">
        <f>IF(H20=1,COUNTIF(H$5:H20,1),0)</f>
        <v/>
      </c>
    </row>
    <row r="21" ht="31" customHeight="1">
      <c r="A21" s="17" t="n">
        <v>17</v>
      </c>
      <c r="B21" s="13" t="inlineStr">
        <is>
          <t>Nivel 3 – Monitoreo</t>
        </is>
      </c>
      <c r="C21" s="13" t="inlineStr">
        <is>
          <t>Monitoreo audiométrico</t>
        </is>
      </c>
      <c r="D21" s="55" t="inlineStr">
        <is>
          <t>Aumentar la frecuencia de audiometrías (semestral) y vigilar cambios de umbral estándar (STS, Standard Threshold Shift) respecto a la línea base.</t>
        </is>
      </c>
      <c r="E21" s="56" t="n">
        <v>4</v>
      </c>
      <c r="F21" s="1" t="inlineStr">
        <is>
          <t>S</t>
        </is>
      </c>
      <c r="G21" s="1" t="inlineStr">
        <is>
          <t>S</t>
        </is>
      </c>
      <c r="H21" s="17">
        <f>IF(AND('Plan de Control'!$D$11&gt;=E21,IFERROR(INDEX('Plan de Control'!$G$5:$G$10,MATCH(F21,'Plan de Control'!$F$5:$F$10,0)),0)=1,IFERROR(INDEX('Plan de Control'!$G$5:$G$10,MATCH(G21,'Plan de Control'!$F$5:$F$10,0)),0)=1),1,0)</f>
        <v/>
      </c>
      <c r="I21" s="17">
        <f>IF(H21=1,COUNTIF(H$5:H21,1),0)</f>
        <v/>
      </c>
    </row>
    <row r="22" ht="31" customHeight="1">
      <c r="A22" s="17" t="n">
        <v>18</v>
      </c>
      <c r="B22" s="13" t="inlineStr">
        <is>
          <t>Nivel 3 – Monitoreo</t>
        </is>
      </c>
      <c r="C22" s="13" t="inlineStr">
        <is>
          <t>Dosimetría personal</t>
        </is>
      </c>
      <c r="D22" s="55" t="inlineStr">
        <is>
          <t>Implementar dosimetría personal periódica para los trabajadores más expuestos, verificando que la protección auditiva asignada sea efectiva en campo.</t>
        </is>
      </c>
      <c r="E22" s="56" t="n">
        <v>4</v>
      </c>
      <c r="F22" s="1" t="inlineStr">
        <is>
          <t>S</t>
        </is>
      </c>
      <c r="G22" s="1" t="inlineStr">
        <is>
          <t>S</t>
        </is>
      </c>
      <c r="H22" s="17">
        <f>IF(AND('Plan de Control'!$D$11&gt;=E22,IFERROR(INDEX('Plan de Control'!$G$5:$G$10,MATCH(F22,'Plan de Control'!$F$5:$F$10,0)),0)=1,IFERROR(INDEX('Plan de Control'!$G$5:$G$10,MATCH(G22,'Plan de Control'!$F$5:$F$10,0)),0)=1),1,0)</f>
        <v/>
      </c>
      <c r="I22" s="17">
        <f>IF(H22=1,COUNTIF(H$5:H22,1),0)</f>
        <v/>
      </c>
    </row>
    <row r="23" ht="31" customHeight="1">
      <c r="A23" s="17" t="n">
        <v>19</v>
      </c>
      <c r="B23" s="13" t="inlineStr">
        <is>
          <t>Nivel 3 – Monitoreo</t>
        </is>
      </c>
      <c r="C23" s="13" t="inlineStr">
        <is>
          <t>Revisión de controles</t>
        </is>
      </c>
      <c r="D23" s="55" t="inlineStr">
        <is>
          <t>Revisar y documentar la efectividad de los controles de ingeniería y administrativos implementados; ajustar el programa si persisten hallazgos de STS.</t>
        </is>
      </c>
      <c r="E23" s="56" t="n">
        <v>3</v>
      </c>
      <c r="F23" s="1" t="inlineStr">
        <is>
          <t>S</t>
        </is>
      </c>
      <c r="G23" s="1" t="inlineStr">
        <is>
          <t>S</t>
        </is>
      </c>
      <c r="H23" s="17">
        <f>IF(AND('Plan de Control'!$D$11&gt;=E23,IFERROR(INDEX('Plan de Control'!$G$5:$G$10,MATCH(F23,'Plan de Control'!$F$5:$F$10,0)),0)=1,IFERROR(INDEX('Plan de Control'!$G$5:$G$10,MATCH(G23,'Plan de Control'!$F$5:$F$10,0)),0)=1),1,0)</f>
        <v/>
      </c>
      <c r="I23" s="17">
        <f>IF(H23=1,COUNTIF(H$5:H23,1),0)</f>
        <v/>
      </c>
    </row>
  </sheetData>
  <mergeCells count="2">
    <mergeCell ref="A1:I1"/>
    <mergeCell ref="A2:I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9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E39"/>
  <sheetViews>
    <sheetView workbookViewId="0" showGridLines="0">
      <selection activeCell="A1" sqref="A1"/>
    </sheetView>
  </sheetViews>
  <sheetFormatPr baseColWidth="8" defaultRowHeight="15" defaultColWidth="9.6945"/>
  <cols>
    <col width="48.3000" customWidth="1" min="1" max="1"/>
    <col width="25.3000" customWidth="1" min="2" max="2"/>
    <col width="18.4000" customWidth="1" min="3" max="3"/>
    <col width="23.0000" customWidth="1" min="4" max="4"/>
    <col width="4.6000" customWidth="1" min="5" max="5"/>
  </cols>
  <sheetData>
    <row r="1" ht="18" customHeight="1">
      <c r="A1" s="2" t="inlineStr">
        <is>
          <t>NOISERISK — DATOS DE REFERENCIA</t>
        </is>
      </c>
      <c r="B1" s="2" t="n"/>
      <c r="C1" s="2" t="n"/>
      <c r="D1" s="2" t="n"/>
      <c r="E1" s="2" t="n"/>
    </row>
    <row r="3">
      <c r="A3" s="37" t="inlineStr">
        <is>
          <t>CRITERIOS DE EVALUACIÓN DE DOSIS / TWA</t>
        </is>
      </c>
      <c r="B3" s="37" t="n"/>
      <c r="C3" s="37" t="n"/>
      <c r="D3" s="37" t="n"/>
    </row>
    <row r="4">
      <c r="A4" s="13" t="inlineStr">
        <is>
          <t>Criterio</t>
        </is>
      </c>
      <c r="B4" s="13" t="inlineStr">
        <is>
          <t>Nivel criterio C (dBA)</t>
        </is>
      </c>
      <c r="C4" s="13" t="inlineStr">
        <is>
          <t>Tasa de intercambio Q (dB)</t>
        </is>
      </c>
      <c r="D4" s="13" t="inlineStr">
        <is>
          <t>Umbral (dBA)</t>
        </is>
      </c>
    </row>
    <row r="5">
      <c r="A5" s="13" t="inlineStr">
        <is>
          <t>ACGIH / NIOSH (85 dBA, Q=3)</t>
        </is>
      </c>
      <c r="B5" s="17" t="n">
        <v>85</v>
      </c>
      <c r="C5" s="17" t="n">
        <v>3</v>
      </c>
      <c r="D5" s="17" t="n">
        <v>80</v>
      </c>
    </row>
    <row r="6">
      <c r="A6" s="13" t="inlineStr">
        <is>
          <t>OSHA PEL (90 dBA, Q=5)</t>
        </is>
      </c>
      <c r="B6" s="17" t="n">
        <v>90</v>
      </c>
      <c r="C6" s="17" t="n">
        <v>5</v>
      </c>
      <c r="D6" s="17" t="n">
        <v>90</v>
      </c>
    </row>
    <row r="7">
      <c r="A7" s="13" t="inlineStr">
        <is>
          <t>OSHA Nivel de Acción (85 dBA, Q=5)</t>
        </is>
      </c>
      <c r="B7" s="17" t="n">
        <v>85</v>
      </c>
      <c r="C7" s="17" t="n">
        <v>5</v>
      </c>
      <c r="D7" s="17" t="n">
        <v>80</v>
      </c>
    </row>
    <row r="8" ht="40" customHeight="1">
      <c r="A8" s="55" t="inlineStr">
        <is>
          <t>El criterio ACGIH/NIOSH (85 dBA-Q3, "85-3") es el más protector y el usado por defecto en el Comité de Agentes Físicos ACGIH. OSHA PEL (90 dBA-Q5) es la referencia legal mínima en EE. UU. Verifique el límite aplicable según la normativa colombiana vigente para su sector.</t>
        </is>
      </c>
    </row>
    <row r="9"/>
    <row r="10"/>
    <row r="12">
      <c r="A12" s="37" t="inlineStr">
        <is>
          <t>NIVELES DE SEVERIDAD (por Dosis, %)</t>
        </is>
      </c>
      <c r="B12" s="37" t="n"/>
      <c r="C12" s="37" t="n"/>
      <c r="D12" s="37" t="n"/>
    </row>
    <row r="13">
      <c r="A13" s="13" t="inlineStr">
        <is>
          <t>Nivel</t>
        </is>
      </c>
      <c r="B13" s="13" t="inlineStr">
        <is>
          <t>Rango de Dosis</t>
        </is>
      </c>
      <c r="C13" s="13" t="inlineStr">
        <is>
          <t>Rango TWA equivalente*</t>
        </is>
      </c>
      <c r="D13" s="13" t="inlineStr">
        <is>
          <t>Acción</t>
        </is>
      </c>
    </row>
    <row r="14">
      <c r="A14" s="13" t="inlineStr">
        <is>
          <t>ACEPTABLE</t>
        </is>
      </c>
      <c r="B14" s="17" t="inlineStr">
        <is>
          <t>&lt; 50 %</t>
        </is>
      </c>
      <c r="C14" s="17" t="inlineStr">
        <is>
          <t>&lt; C − Q</t>
        </is>
      </c>
      <c r="D14" s="17" t="inlineStr">
        <is>
          <t>Conciencia general</t>
        </is>
      </c>
    </row>
    <row r="15">
      <c r="A15" s="13" t="inlineStr">
        <is>
          <t>PRECAUCIÓN</t>
        </is>
      </c>
      <c r="B15" s="17" t="inlineStr">
        <is>
          <t>50 % a &lt;100 %</t>
        </is>
      </c>
      <c r="C15" s="17" t="inlineStr">
        <is>
          <t>C − Q a &lt;C</t>
        </is>
      </c>
      <c r="D15" s="17" t="inlineStr">
        <is>
          <t>Nivel de Acción: Controles Nivel 1</t>
        </is>
      </c>
    </row>
    <row r="16">
      <c r="A16" s="13" t="inlineStr">
        <is>
          <t>MODERADO</t>
        </is>
      </c>
      <c r="B16" s="17" t="inlineStr">
        <is>
          <t>100 % a &lt;200 %</t>
        </is>
      </c>
      <c r="C16" s="17" t="inlineStr">
        <is>
          <t>C a &lt;C+Q</t>
        </is>
      </c>
      <c r="D16" s="17" t="inlineStr">
        <is>
          <t>Niveles 1 + 2</t>
        </is>
      </c>
    </row>
    <row r="17">
      <c r="A17" s="13" t="inlineStr">
        <is>
          <t>ALTO</t>
        </is>
      </c>
      <c r="B17" s="17" t="inlineStr">
        <is>
          <t>200 % a &lt;400 %</t>
        </is>
      </c>
      <c r="C17" s="17" t="inlineStr">
        <is>
          <t>C+Q a &lt;C+2Q</t>
        </is>
      </c>
      <c r="D17" s="17" t="inlineStr">
        <is>
          <t>Niveles 1 + 2 + 3</t>
        </is>
      </c>
    </row>
    <row r="18">
      <c r="A18" s="13" t="inlineStr">
        <is>
          <t>EXTREMADAMENTE ALTO</t>
        </is>
      </c>
      <c r="B18" s="17" t="inlineStr">
        <is>
          <t>≥ 400 %</t>
        </is>
      </c>
      <c r="C18" s="17" t="inlineStr">
        <is>
          <t>≥ C+2Q</t>
        </is>
      </c>
      <c r="D18" s="17" t="inlineStr">
        <is>
          <t>Todos los niveles + acción inmediata</t>
        </is>
      </c>
    </row>
    <row r="20">
      <c r="A20" s="13" t="inlineStr">
        <is>
          <t>*C = nivel criterio, Q = tasa de intercambio del criterio seleccionado.</t>
        </is>
      </c>
    </row>
    <row r="22">
      <c r="A22" s="37" t="inlineStr">
        <is>
          <t>DERATING DEL NRR (Atenuación real estimada del protector)</t>
        </is>
      </c>
      <c r="B22" s="37" t="n"/>
      <c r="C22" s="37" t="n"/>
      <c r="D22" s="37" t="n"/>
    </row>
    <row r="23">
      <c r="A23" s="13" t="inlineStr">
        <is>
          <t>Método</t>
        </is>
      </c>
      <c r="B23" s="13" t="inlineStr">
        <is>
          <t>Tipo de protector</t>
        </is>
      </c>
      <c r="C23" s="13" t="inlineStr">
        <is>
          <t>NRR efectivo</t>
        </is>
      </c>
      <c r="D23" s="13" t="inlineStr"/>
    </row>
    <row r="24">
      <c r="A24" s="13" t="inlineStr">
        <is>
          <t>OSHA</t>
        </is>
      </c>
      <c r="B24" s="17" t="inlineStr">
        <is>
          <t>Cualquier tipo</t>
        </is>
      </c>
      <c r="C24" s="17" t="inlineStr">
        <is>
          <t>(NRR − 7) / 2</t>
        </is>
      </c>
      <c r="D24" s="17" t="inlineStr"/>
    </row>
    <row r="25">
      <c r="A25" s="13" t="inlineStr">
        <is>
          <t>NIOSH</t>
        </is>
      </c>
      <c r="B25" s="17" t="inlineStr">
        <is>
          <t>Orejeras (earmuffs)</t>
        </is>
      </c>
      <c r="C25" s="17" t="inlineStr">
        <is>
          <t>0.75 × NRR − 7</t>
        </is>
      </c>
      <c r="D25" s="17" t="inlineStr"/>
    </row>
    <row r="26">
      <c r="A26" s="13" t="inlineStr">
        <is>
          <t>NIOSH</t>
        </is>
      </c>
      <c r="B26" s="17" t="inlineStr">
        <is>
          <t>Tapones moldeables (foam)</t>
        </is>
      </c>
      <c r="C26" s="17" t="inlineStr">
        <is>
          <t>0.50 × NRR − 7</t>
        </is>
      </c>
      <c r="D26" s="17" t="inlineStr"/>
    </row>
    <row r="27">
      <c r="A27" s="13" t="inlineStr">
        <is>
          <t>NIOSH</t>
        </is>
      </c>
      <c r="B27" s="17" t="inlineStr">
        <is>
          <t>Otros tapones (premoldeados)</t>
        </is>
      </c>
      <c r="C27" s="17" t="inlineStr">
        <is>
          <t>0.30 × NRR − 7</t>
        </is>
      </c>
      <c r="D27" s="17" t="inlineStr"/>
    </row>
    <row r="28">
      <c r="A28" s="13" t="inlineStr">
        <is>
          <t>NIOSH</t>
        </is>
      </c>
      <c r="B28" s="17" t="inlineStr">
        <is>
          <t>Doble protección (orejeras+tapones)</t>
        </is>
      </c>
      <c r="C28" s="17" t="inlineStr">
        <is>
          <t>Mayor NRR individual (derateado) + 5 dB</t>
        </is>
      </c>
      <c r="D28" s="17" t="inlineStr"/>
    </row>
    <row r="30" ht="40" customHeight="1">
      <c r="A30" s="55" t="inlineStr">
        <is>
          <t>OSHA aplica el mismo derating (NRR−7)/2 a cualquier protector. NIOSH usa un factor distinto por tipo de protector, lo que suele dar una estimación más realista (Berger et al.). Fuente: NIOSH (1998); OSHA CPL 02-02-03.</t>
        </is>
      </c>
    </row>
    <row r="31"/>
    <row r="34">
      <c r="A34" s="37" t="inlineStr">
        <is>
          <t>LISTAS DESPLEGABLES</t>
        </is>
      </c>
      <c r="B34" s="37" t="n"/>
      <c r="C34" s="37" t="n"/>
      <c r="D34" s="37" t="n"/>
    </row>
    <row r="35">
      <c r="A35" s="13" t="inlineStr">
        <is>
          <t>Sí</t>
        </is>
      </c>
      <c r="B35" s="13" t="inlineStr">
        <is>
          <t>Ninguno</t>
        </is>
      </c>
      <c r="C35" s="13" t="inlineStr">
        <is>
          <t>OSHA ((NRR-7)/2)</t>
        </is>
      </c>
      <c r="D35" s="13" t="inlineStr">
        <is>
          <t>Continua</t>
        </is>
      </c>
    </row>
    <row r="36">
      <c r="A36" s="13" t="inlineStr">
        <is>
          <t>No</t>
        </is>
      </c>
      <c r="B36" s="13" t="inlineStr">
        <is>
          <t>Orejeras (earmuffs)</t>
        </is>
      </c>
      <c r="C36" s="13" t="inlineStr">
        <is>
          <t>NIOSH (según tipo)</t>
        </is>
      </c>
      <c r="D36" s="13" t="inlineStr">
        <is>
          <t>Intermitente</t>
        </is>
      </c>
    </row>
    <row r="37">
      <c r="B37" s="13" t="inlineStr">
        <is>
          <t>Tapones moldeables (foam)</t>
        </is>
      </c>
      <c r="D37" s="13" t="inlineStr">
        <is>
          <t>Impulsiva / Impacto</t>
        </is>
      </c>
    </row>
    <row r="38">
      <c r="B38" s="13" t="inlineStr">
        <is>
          <t>Otros tapones (premoldeados)</t>
        </is>
      </c>
    </row>
    <row r="39">
      <c r="B39" s="13" t="inlineStr">
        <is>
          <t>Doble protección</t>
        </is>
      </c>
    </row>
  </sheetData>
  <mergeCells count="8">
    <mergeCell ref="A30:D31"/>
    <mergeCell ref="A22:D22"/>
    <mergeCell ref="A34:D34"/>
    <mergeCell ref="A8:D10"/>
    <mergeCell ref="A12:D12"/>
    <mergeCell ref="A20:D20"/>
    <mergeCell ref="A3:D3"/>
    <mergeCell ref="A1:E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2026-08-01T11:43:58Z</dcterms:created>
  <dcterms:modified xmlns:dcterms="http://purl.org/dc/terms/" xmlns:xsi="http://www.w3.org/2001/XMLSchema-instance" xsi:type="dcterms:W3CDTF">2026-09-25T23:31:42Z</dcterms:modified>
  <cp:lastModifiedBy>AK16492</cp:lastModifiedBy>
  <cp:lastPrinted>2026-08-14T16:28:15Z</cp:lastPrinted>
  <dc:title xmlns:dc="http://purl.org/dc/elements/1.1/">NoiseRisk V2 (Ejemplo) — SCHO</dc:title>
  <dc:creator xmlns:dc="http://purl.org/dc/elements/1.1/">Álvaro Araque García — SCHO</dc:creator>
</cp:coreProperties>
</file>