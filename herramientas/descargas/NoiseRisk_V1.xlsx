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c\Desktop\SCHO\2026\SCHO Risk\NOISERISK\"/>
    </mc:Choice>
  </mc:AlternateContent>
  <xr:revisionPtr revIDLastSave="0" documentId="13_ncr:1_{EA218FFD-A854-4405-816A-1CAA0AAEDCC6}" xr6:coauthVersionLast="47" xr6:coauthVersionMax="47" xr10:uidLastSave="{00000000-0000-0000-0000-000000000000}"/>
  <bookViews>
    <workbookView xWindow="28692" yWindow="-108" windowWidth="29016" windowHeight="15696" activeTab="0" xr2:uid="{AFCF738C-0614-46B8-9598-910CE9243A0E}" firstSheet="0"/>
  </bookViews>
  <sheets>
    <sheet name="Portada" sheetId="4" r:id="rId1"/>
    <sheet name="Acondicionamiento Acustico" sheetId="1" r:id="rId2"/>
    <sheet name="Aislamiento y Transmision" sheetId="2" r:id="rId3"/>
    <sheet name="Barreras Acustic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3" l="1"/>
  <c r="B10" i="3"/>
  <c r="B11" i="3" s="1"/>
  <c r="B9" i="3"/>
  <c r="H16" i="3" l="1"/>
  <c r="H17" i="3" s="1"/>
  <c r="H18" i="3" s="1"/>
  <c r="H19" i="3" s="1"/>
  <c r="I16" i="3"/>
  <c r="I17" i="3" s="1"/>
  <c r="I18" i="3" s="1"/>
  <c r="I19" i="3" s="1"/>
  <c r="B16" i="3"/>
  <c r="B17" i="3" s="1"/>
  <c r="B18" i="3" s="1"/>
  <c r="B19" i="3" s="1"/>
  <c r="C16" i="3"/>
  <c r="C17" i="3" s="1"/>
  <c r="C18" i="3" s="1"/>
  <c r="C19" i="3" s="1"/>
  <c r="E16" i="3"/>
  <c r="E17" i="3" s="1"/>
  <c r="E18" i="3" s="1"/>
  <c r="E19" i="3" s="1"/>
  <c r="F16" i="3"/>
  <c r="F17" i="3" s="1"/>
  <c r="F18" i="3" s="1"/>
  <c r="F19" i="3" s="1"/>
  <c r="G16" i="3"/>
  <c r="G17" i="3" s="1"/>
  <c r="G18" i="3" s="1"/>
  <c r="G19" i="3" s="1"/>
  <c r="D16" i="3"/>
  <c r="D17" i="3" s="1"/>
  <c r="D18" i="3" s="1"/>
  <c r="D19" i="3" s="1"/>
  <c r="D14" i="2"/>
  <c r="E14" i="2"/>
  <c r="F14" i="2"/>
  <c r="G14" i="2"/>
  <c r="C12" i="2"/>
  <c r="D15" i="2" s="1"/>
  <c r="D12" i="2"/>
  <c r="E15" i="2" s="1"/>
  <c r="E12" i="2"/>
  <c r="F15" i="2" s="1"/>
  <c r="F12" i="2"/>
  <c r="G15" i="2" s="1"/>
  <c r="G12" i="2"/>
  <c r="C14" i="2"/>
  <c r="B14" i="2"/>
  <c r="B12" i="2"/>
  <c r="B15" i="2" s="1"/>
  <c r="B8" i="1"/>
  <c r="B7" i="1"/>
  <c r="C15" i="2" l="1"/>
  <c r="H15" i="2" s="1"/>
  <c r="C20" i="2" s="1"/>
  <c r="C22" i="2" s="1"/>
  <c r="H14" i="2"/>
  <c r="C19" i="2" s="1"/>
  <c r="C25" i="3"/>
  <c r="E27" i="1"/>
  <c r="E28" i="1" s="1"/>
  <c r="D27" i="1"/>
  <c r="D28" i="1" s="1"/>
  <c r="B17" i="1"/>
  <c r="B18" i="1" s="1"/>
  <c r="B12" i="1" s="1"/>
  <c r="C27" i="1"/>
  <c r="C28" i="1" s="1"/>
  <c r="G17" i="1"/>
  <c r="G18" i="1" s="1"/>
  <c r="G12" i="1" s="1"/>
  <c r="F17" i="1"/>
  <c r="F18" i="1" s="1"/>
  <c r="F12" i="1" s="1"/>
  <c r="E17" i="1"/>
  <c r="E18" i="1" s="1"/>
  <c r="E12" i="1" s="1"/>
  <c r="B27" i="1"/>
  <c r="B28" i="1" s="1"/>
  <c r="D17" i="1"/>
  <c r="D18" i="1" s="1"/>
  <c r="D12" i="1" s="1"/>
  <c r="G27" i="1"/>
  <c r="G28" i="1" s="1"/>
  <c r="C17" i="1"/>
  <c r="C18" i="1" s="1"/>
  <c r="C12" i="1" s="1"/>
  <c r="F27" i="1"/>
  <c r="F28" i="1" s="1"/>
  <c r="C21" i="2" l="1"/>
  <c r="C26" i="3"/>
  <c r="C27" i="3"/>
  <c r="F31" i="1"/>
  <c r="F29" i="1"/>
  <c r="F30" i="1" s="1"/>
  <c r="G31" i="1"/>
  <c r="G29" i="1"/>
  <c r="G30" i="1" s="1"/>
  <c r="E22" i="1"/>
  <c r="E19" i="1"/>
  <c r="E21" i="1" s="1"/>
  <c r="G19" i="1"/>
  <c r="G21" i="1" s="1"/>
  <c r="G22" i="1"/>
  <c r="C29" i="1"/>
  <c r="C30" i="1" s="1"/>
  <c r="C31" i="1"/>
  <c r="D29" i="1"/>
  <c r="D30" i="1" s="1"/>
  <c r="D31" i="1"/>
  <c r="D19" i="1"/>
  <c r="D21" i="1" s="1"/>
  <c r="D22" i="1"/>
  <c r="E29" i="1"/>
  <c r="E30" i="1" s="1"/>
  <c r="E31" i="1"/>
  <c r="B31" i="1"/>
  <c r="B29" i="1"/>
  <c r="B30" i="1" s="1"/>
  <c r="C22" i="1"/>
  <c r="C19" i="1"/>
  <c r="C21" i="1" s="1"/>
  <c r="F22" i="1"/>
  <c r="F19" i="1"/>
  <c r="F21" i="1" s="1"/>
  <c r="B22" i="1"/>
  <c r="B19" i="1"/>
  <c r="B21" i="1" s="1"/>
  <c r="H30" i="1" l="1"/>
  <c r="C36" i="1" s="1"/>
  <c r="C38" i="1" s="1"/>
  <c r="H21" i="1"/>
  <c r="C35" i="1" s="1"/>
  <c r="C37" i="1" l="1"/>
</calcChain>
</file>

<file path=xl/sharedStrings.xml><?xml version="1.0" encoding="utf-8"?>
<sst xmlns="http://schemas.openxmlformats.org/spreadsheetml/2006/main" count="111" uniqueCount="81">
  <si>
    <t>NOISERISK — MÓDULO 1: ACONDICIONAMIENTO ACÚSTICO INTERIOR (SABINE)</t>
  </si>
  <si>
    <t>UBICACIÓN Y FUENTE</t>
  </si>
  <si>
    <t>Superficie Total (S)</t>
  </si>
  <si>
    <t>Distancia al Operador (r)</t>
  </si>
  <si>
    <t>Factor de Directividad (Q)</t>
  </si>
  <si>
    <t>m</t>
  </si>
  <si>
    <t>m²</t>
  </si>
  <si>
    <t>m³</t>
  </si>
  <si>
    <t>Frecuencia / Parámetro</t>
  </si>
  <si>
    <t>125 Hz</t>
  </si>
  <si>
    <t>250 Hz</t>
  </si>
  <si>
    <t>500 Hz</t>
  </si>
  <si>
    <t>1000 Hz</t>
  </si>
  <si>
    <t>2000 Hz</t>
  </si>
  <si>
    <t>4000 Hz</t>
  </si>
  <si>
    <t>GLOBAL</t>
  </si>
  <si>
    <t>Potencia Acústica Fuente (Lw) [dB]</t>
  </si>
  <si>
    <t>[ACTUAL] α - Piso (ej. Concreto)</t>
  </si>
  <si>
    <t>[ACTUAL] α - Techo (ej. Placa yeso)</t>
  </si>
  <si>
    <t>[ACTUAL] α - Paredes (ej. Placa yeso)</t>
  </si>
  <si>
    <t>[ACTUAL] Absorbancia Promedio (α_prom)</t>
  </si>
  <si>
    <t>[ACTUAL] Constante del Recinto (R) [m²]</t>
  </si>
  <si>
    <t>[ACTUAL] Nivel Presión Sonora (Lp) [dB]</t>
  </si>
  <si>
    <r>
      <t>Corrección Ponderación A [dB]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(Valores fijos)</t>
    </r>
    <r>
      <rPr>
        <sz val="11"/>
        <color theme="1"/>
        <rFont val="Calibri"/>
        <family val="2"/>
      </rPr>
      <t>:</t>
    </r>
  </si>
  <si>
    <t>[ACTUAL] Nivel de Ruido [dBA]</t>
  </si>
  <si>
    <t>[ACTUAL] Distancia Crítica (rc) [m]</t>
  </si>
  <si>
    <t>[PROPUESTO] α - Piso</t>
  </si>
  <si>
    <t>[PROPUESTO] α - Paredes (Lana/Fibra de Vidrio)</t>
  </si>
  <si>
    <t>[PROPUESTO] α - Techo</t>
  </si>
  <si>
    <t>[PROPUESTO] Absorbancia Promedio (α_prom)</t>
  </si>
  <si>
    <t>[PROPUESTO] Constante del Recinto (R) [m²]</t>
  </si>
  <si>
    <t>[PROPUESTO] Nivel Presión Sonora (Lp) [dB]</t>
  </si>
  <si>
    <t>[PROPUESTO] Nivel de Ruido [dBA]</t>
  </si>
  <si>
    <t>[PROPUESTO] Distancia Crítica (rc) [m]</t>
  </si>
  <si>
    <t>RESUMEN DE EVALUACIÓN ACÚSTICA</t>
  </si>
  <si>
    <t>Nivel de Ruido Actual (Sin Tratamiento):</t>
  </si>
  <si>
    <t>Nivel de Ruido Proyectado (Con Tratamiento)</t>
  </si>
  <si>
    <t>Reducción Total Lograda (Δ dBA):</t>
  </si>
  <si>
    <t>dBA</t>
  </si>
  <si>
    <t>Evaluación de Cumplimiento (Norma 85 dBA):</t>
  </si>
  <si>
    <t>NOISERISK — MÓDULO 2: AISLAMIENTO ACÚSTICO Y PÉRDIDA POR TRANSMISIÓN (TL)</t>
  </si>
  <si>
    <t>DESCRIPCIÓN DEL SISTEMA Y FUENTE</t>
  </si>
  <si>
    <t>Fuente / Equipo Ruidoso:</t>
  </si>
  <si>
    <t>Material del Cerramiento / Muro:</t>
  </si>
  <si>
    <t>Límite Máximo Permitido (Norma)</t>
  </si>
  <si>
    <t>Nivel de Sonido de la Fuente (Lp1) [dB]</t>
  </si>
  <si>
    <t>Pérdida por Transmisión del Material (TL) [dB]</t>
  </si>
  <si>
    <t>Nivel Transmitido al Otro Lado (Lp2) [dB]</t>
  </si>
  <si>
    <t>Corrección Ponderación A [dB]</t>
  </si>
  <si>
    <t>Ruido Fuente [dBA]</t>
  </si>
  <si>
    <t>Ruido Transmitido [dBA]</t>
  </si>
  <si>
    <t>RESUMEN DE AISLAMIENTO ACÚSTICO</t>
  </si>
  <si>
    <t>Ruido Generado por la Fuente:</t>
  </si>
  <si>
    <t>Ruido Transmitido al Receptor:</t>
  </si>
  <si>
    <t>Aislamiento Neto Logrado (Δ dBA):</t>
  </si>
  <si>
    <t>Evaluación de Cumplimiento:</t>
  </si>
  <si>
    <t>NOISERISK — MÓDULO 3: DISEÑO DE BARRERAS Y PANTALLAS ACÚSTICAS (IL)</t>
  </si>
  <si>
    <t>GEOMETRÍA Y DISTANCIAS DEL PROYECTO</t>
  </si>
  <si>
    <t>Altura de la Barrera (h)</t>
  </si>
  <si>
    <t>Ancho / Longitud de la Barrera (w)</t>
  </si>
  <si>
    <t>Distancia Fuente a Barrera (ds)</t>
  </si>
  <si>
    <t>Distancia Barrera a Receptor (dr)</t>
  </si>
  <si>
    <t>Diferencia de Recorrido (δ)</t>
  </si>
  <si>
    <t>Ruido Inicial en Receptor [dBA]</t>
  </si>
  <si>
    <t>Atenuación Teórica [dB]</t>
  </si>
  <si>
    <t>Atenuación Real Barrera (IL) [dB]</t>
  </si>
  <si>
    <t>Ruido Final en Receptor [dBA]</t>
  </si>
  <si>
    <t>RESUMEN DE EVALUACIÓN DE LA BARRERA</t>
  </si>
  <si>
    <t>Ruido Inicial Global Sin Barrera</t>
  </si>
  <si>
    <t>Ruido Final Global Con Barrera:</t>
  </si>
  <si>
    <t>Atenuación Neta de la Barrera (Δ dBA):</t>
  </si>
  <si>
    <t>Trayectoria Sobre Barrera</t>
  </si>
  <si>
    <t>Largo del salon o taller(L)</t>
  </si>
  <si>
    <t>Ancho del salon o taller(W)</t>
  </si>
  <si>
    <t>Alto del salon o taller(H)</t>
  </si>
  <si>
    <t>Volumen del salon o taller(V)</t>
  </si>
  <si>
    <t>GEOMETRÍA DEL SALON O TALLER</t>
  </si>
  <si>
    <t>Distancia Sonómetro (r_med)</t>
  </si>
  <si>
    <t>[MEDIDO] Presión Sonora con Sonómetro (Lp) [dB]</t>
  </si>
  <si>
    <t>Numero de Fresnel ( adimensional )</t>
  </si>
  <si>
    <t>Distancia Fuente  a Receptor (dr)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</si>
</sst>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4" formatCode="General\ &quot;dBA&quot;"/>
  </numFmts>
  <fonts count="9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0" tint="-0.14999847407452621"/>
      <name val="Calibri"/>
      <family val="2"/>
    </font>
    <font>
      <sz val="11"/>
      <color theme="0" tint="-0.1499984740745262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5" borderId="1" xfId="0" applyFill="1" applyBorder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/>
    <xf numFmtId="0" fontId="0" fillId="0" borderId="1" xfId="0" applyBorder="1" applyProtection="1"/>
    <xf numFmtId="0" fontId="3" fillId="0" borderId="1" xfId="0" applyFont="1" applyBorder="1" applyProtection="1"/>
    <xf numFmtId="0" fontId="8" fillId="6" borderId="1" xfId="0" applyFont="1" applyFill="1" applyBorder="1" applyProtection="1"/>
    <xf numFmtId="0" fontId="0" fillId="3" borderId="1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165" fontId="0" fillId="3" borderId="1" xfId="0" applyNumberFormat="1" applyFill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" fontId="0" fillId="0" borderId="1" xfId="0" applyNumberForma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174" fontId="0" fillId="0" borderId="1" xfId="0" applyNumberFormat="1" applyBorder="1" applyAlignment="1" applyProtection="1">
      <alignment horizontal="center"/>
    </xf>
    <xf numFmtId="0" fontId="6" fillId="6" borderId="1" xfId="0" applyFont="1" applyFill="1" applyBorder="1" applyAlignment="1" applyProtection="1">
      <alignment horizontal="center"/>
    </xf>
    <xf numFmtId="0" fontId="7" fillId="6" borderId="1" xfId="0" applyFont="1" applyFill="1" applyBorder="1" applyAlignment="1" applyProtection="1">
      <alignment horizontal="center"/>
    </xf>
    <xf numFmtId="164" fontId="0" fillId="0" borderId="1" xfId="0" applyNumberFormat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0" fillId="0" borderId="0" xfId="0" applyProtection="1"/>
    <xf numFmtId="0" fontId="0" fillId="5" borderId="1" xfId="0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0" fontId="0" fillId="5" borderId="5" xfId="0" applyFill="1" applyBorder="1" applyAlignment="1" applyProtection="1">
      <alignment horizontal="center"/>
    </xf>
    <xf numFmtId="0" fontId="0" fillId="5" borderId="6" xfId="0" applyFill="1" applyBorder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0" fontId="2" fillId="4" borderId="0" xfId="0" applyFont="1" applyFill="1" applyAlignment="1" applyProtection="1">
      <alignment horizontal="center"/>
    </xf>
    <xf numFmtId="0" fontId="0" fillId="0" borderId="3" xfId="0" applyBorder="1" applyProtection="1"/>
    <xf numFmtId="0" fontId="0" fillId="0" borderId="2" xfId="0" applyBorder="1" applyProtection="1"/>
    <xf numFmtId="0" fontId="1" fillId="2" borderId="4" xfId="0" applyFon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3" borderId="1" xfId="0" applyFill="1" applyBorder="1" applyProtection="1"/>
    <xf numFmtId="0" fontId="5" fillId="0" borderId="1" xfId="0" applyFont="1" applyBorder="1" applyProtection="1"/>
    <xf numFmtId="0" fontId="1" fillId="2" borderId="1" xfId="0" applyFont="1" applyFill="1" applyBorder="1" applyProtection="1"/>
    <xf numFmtId="0" fontId="0" fillId="2" borderId="1" xfId="0" applyFill="1" applyBorder="1" applyProtection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B9"/>
      <color rgb="FFFFE0A3"/>
      <color rgb="FFFF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9905-0887-4D69-A3B7-670B37B4C601}">
  <sheetPr>
    <tabColor rgb="FFE77725"/>
    <pageSetUpPr fitToPage="1"/>
  </sheetPr>
  <dimension ref="A1"/>
  <sheetViews>
    <sheetView workbookViewId="0" showGridLines="0" tabSelected="1">
      <selection activeCell="O22" sqref="O22"/>
    </sheetView>
  </sheetViews>
  <sheetFormatPr baseColWidth="10" defaultRowHeight="14.4"/>
  <cols>
    <col min="1" max="16384" width="11.5546875" style="43"/>
  </cols>
  <sheetData/>
  <sheetProtection algorithmName="SHA-512" hashValue="OvJWtTdKG1HJY/onjbF04bk3+wuql+rSEq4qz+/gXvJ69Hq4spW7JRTOTZ9on1AK/F4ZrE1hQYmccZ0K8hf8AA==" saltValue="PBlNx81dwWQB/6viwx3Ryw==" spinCount="100000" sheet="1" objects="1" scenarios="1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5B1B-00FA-4DA9-A457-E8ED4838414F}">
  <sheetPr>
    <tabColor rgb="FF007199"/>
    <pageSetUpPr fitToPage="1"/>
  </sheetPr>
  <dimension ref="A1:H38"/>
  <sheetViews>
    <sheetView workbookViewId="0" showGridLines="0">
      <selection activeCell="B10" sqref="B10"/>
    </sheetView>
  </sheetViews>
  <sheetFormatPr baseColWidth="10" defaultRowHeight="14.4" defaultColWidth="9.6945"/>
  <cols>
    <col min="1" max="1" width="53.6637" style="3" customWidth="1"/>
    <col min="2" max="2" width="21.4637" style="8" customWidth="1"/>
    <col min="3" max="3" width="20.3137" style="8" customWidth="1"/>
    <col min="4" max="4" width="8.8137" style="8" customWidth="1"/>
    <col min="5" max="5" width="30.0258" style="8" customWidth="1"/>
    <col min="6" max="8" width="16.8637" style="8" customWidth="1"/>
    <col min="9" max="9" width="16.8637" style="3" customWidth="1"/>
    <col min="10" max="16384" width="13.2879" style="3" customWidth="1"/>
  </cols>
  <sheetData>
    <row r="1" spans="1:8" ht="1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4"/>
      <c r="B2" s="4"/>
      <c r="C2" s="4"/>
      <c r="D2" s="4"/>
      <c r="E2" s="4"/>
      <c r="F2" s="4"/>
      <c r="G2" s="4"/>
      <c r="H2" s="5"/>
    </row>
    <row r="3" spans="1:8">
      <c r="A3" s="11" t="s">
        <v>76</v>
      </c>
      <c r="B3" s="6"/>
      <c r="C3" s="16"/>
      <c r="D3" s="16"/>
      <c r="E3" s="25" t="s">
        <v>1</v>
      </c>
      <c r="F3" s="6"/>
      <c r="G3" s="16"/>
      <c r="H3" s="16"/>
    </row>
    <row r="4" spans="1:8">
      <c r="A4" s="12" t="s">
        <v>72</v>
      </c>
      <c r="B4" s="1"/>
      <c r="C4" s="16" t="s">
        <v>5</v>
      </c>
      <c r="D4" s="16"/>
      <c r="E4" s="16" t="s">
        <v>3</v>
      </c>
      <c r="F4" s="1"/>
      <c r="G4" s="16" t="s">
        <v>5</v>
      </c>
      <c r="H4" s="16"/>
    </row>
    <row r="5" spans="1:8">
      <c r="A5" s="12" t="s">
        <v>73</v>
      </c>
      <c r="B5" s="1"/>
      <c r="C5" s="16" t="s">
        <v>5</v>
      </c>
      <c r="D5" s="16"/>
      <c r="E5" s="16" t="s">
        <v>4</v>
      </c>
      <c r="F5" s="1"/>
      <c r="G5" s="16"/>
      <c r="H5" s="16"/>
    </row>
    <row r="6" spans="1:8">
      <c r="A6" s="12" t="s">
        <v>74</v>
      </c>
      <c r="B6" s="1"/>
      <c r="C6" s="16" t="s">
        <v>5</v>
      </c>
      <c r="D6" s="16"/>
      <c r="E6" s="16" t="s">
        <v>77</v>
      </c>
      <c r="F6" s="1"/>
      <c r="G6" s="16" t="s">
        <v>5</v>
      </c>
      <c r="H6" s="16"/>
    </row>
    <row r="7" spans="1:8">
      <c r="A7" s="13" t="s">
        <v>2</v>
      </c>
      <c r="B7" s="15">
        <f>2 * (B4*B5 + B4*B6 + B5*B6)</f>
        <v>0</v>
      </c>
      <c r="C7" s="16" t="s">
        <v>6</v>
      </c>
      <c r="D7" s="16"/>
      <c r="E7" s="16"/>
      <c r="F7" s="16"/>
      <c r="G7" s="16"/>
      <c r="H7" s="16"/>
    </row>
    <row r="8" spans="1:8">
      <c r="A8" s="12" t="s">
        <v>75</v>
      </c>
      <c r="B8" s="16">
        <f>B4 * B5 * B6</f>
        <v>0</v>
      </c>
      <c r="C8" s="16" t="s">
        <v>7</v>
      </c>
      <c r="D8" s="16"/>
      <c r="E8" s="16"/>
      <c r="F8" s="16"/>
      <c r="G8" s="16"/>
      <c r="H8" s="16"/>
    </row>
    <row r="9" spans="1:8">
      <c r="A9" s="12"/>
      <c r="B9" s="16"/>
      <c r="C9" s="16"/>
      <c r="D9" s="16"/>
      <c r="E9" s="16"/>
      <c r="F9" s="16"/>
      <c r="G9" s="16"/>
      <c r="H9" s="16"/>
    </row>
    <row r="10" spans="1:8">
      <c r="A10" s="12" t="s">
        <v>8</v>
      </c>
      <c r="B10" s="16" t="s">
        <v>9</v>
      </c>
      <c r="C10" s="16" t="s">
        <v>10</v>
      </c>
      <c r="D10" s="16" t="s">
        <v>11</v>
      </c>
      <c r="E10" s="16" t="s">
        <v>12</v>
      </c>
      <c r="F10" s="16" t="s">
        <v>13</v>
      </c>
      <c r="G10" s="16" t="s">
        <v>14</v>
      </c>
      <c r="H10" s="16" t="s">
        <v>15</v>
      </c>
    </row>
    <row r="11" spans="1:8">
      <c r="A11" s="12" t="s">
        <v>78</v>
      </c>
      <c r="B11" s="1"/>
      <c r="C11" s="1"/>
      <c r="D11" s="1"/>
      <c r="E11" s="1"/>
      <c r="F11" s="1"/>
      <c r="G11" s="1"/>
      <c r="H11" s="7"/>
    </row>
    <row r="12" spans="1:8">
      <c r="A12" s="12" t="s">
        <v>16</v>
      </c>
      <c r="B12" s="17" t="e">
        <f>B11 - 10*LOG10( ($F$5 / (4 * PI() * $F$6^2)) + (4 / B18) )</f>
        <v>#DIV/0!</v>
      </c>
      <c r="C12" s="17" t="e">
        <f t="shared" ref="C12:G12" si="0">C11 - 10*LOG10( ($F$5 / (4 * PI() * $F$6^2)) + (4 / C18) )</f>
        <v>#DIV/0!</v>
      </c>
      <c r="D12" s="17" t="e">
        <f t="shared" si="0"/>
        <v>#DIV/0!</v>
      </c>
      <c r="E12" s="17" t="e">
        <f t="shared" si="0"/>
        <v>#DIV/0!</v>
      </c>
      <c r="F12" s="17" t="e">
        <f t="shared" si="0"/>
        <v>#DIV/0!</v>
      </c>
      <c r="G12" s="17" t="e">
        <f t="shared" si="0"/>
        <v>#DIV/0!</v>
      </c>
      <c r="H12" s="16"/>
    </row>
    <row r="13" spans="1:8">
      <c r="A13" s="12"/>
      <c r="B13" s="7"/>
      <c r="C13" s="7"/>
      <c r="D13" s="7"/>
      <c r="E13" s="7"/>
      <c r="F13" s="7"/>
      <c r="G13" s="7"/>
      <c r="H13" s="7"/>
    </row>
    <row r="14" spans="1:8">
      <c r="A14" s="12" t="s">
        <v>17</v>
      </c>
      <c r="B14" s="1"/>
      <c r="C14" s="1"/>
      <c r="D14" s="1"/>
      <c r="E14" s="1"/>
      <c r="F14" s="1"/>
      <c r="G14" s="1"/>
      <c r="H14" s="7"/>
    </row>
    <row r="15" spans="1:8">
      <c r="A15" s="12" t="s">
        <v>18</v>
      </c>
      <c r="B15" s="1"/>
      <c r="C15" s="1"/>
      <c r="D15" s="1"/>
      <c r="E15" s="1"/>
      <c r="F15" s="1"/>
      <c r="G15" s="1"/>
      <c r="H15" s="7"/>
    </row>
    <row r="16" spans="1:8">
      <c r="A16" s="12" t="s">
        <v>19</v>
      </c>
      <c r="B16" s="1"/>
      <c r="C16" s="1"/>
      <c r="D16" s="1"/>
      <c r="E16" s="1"/>
      <c r="F16" s="1"/>
      <c r="G16" s="1"/>
      <c r="H16" s="7"/>
    </row>
    <row r="17" spans="1:8">
      <c r="A17" s="12" t="s">
        <v>20</v>
      </c>
      <c r="B17" s="16" t="e">
        <f>((($B$4*$B$5)*B14) + (($B$4*$B$5)*B15) + (2*($B$4+$B$5)*$B$6*B16)) / $B$7</f>
        <v>#DIV/0!</v>
      </c>
      <c r="C17" s="20" t="e">
        <f t="shared" ref="C17:G17" si="1">((($B$4*$B$5)*C14) + (($B$4*$B$5)*C15) + (2*($B$4+$B$5)*$B$6*C16)) / $B$7</f>
        <v>#DIV/0!</v>
      </c>
      <c r="D17" s="24" t="e">
        <f t="shared" si="1"/>
        <v>#DIV/0!</v>
      </c>
      <c r="E17" s="20" t="e">
        <f t="shared" si="1"/>
        <v>#DIV/0!</v>
      </c>
      <c r="F17" s="24" t="e">
        <f t="shared" si="1"/>
        <v>#DIV/0!</v>
      </c>
      <c r="G17" s="20" t="e">
        <f t="shared" si="1"/>
        <v>#DIV/0!</v>
      </c>
      <c r="H17" s="16"/>
    </row>
    <row r="18" spans="1:8">
      <c r="A18" s="12" t="s">
        <v>21</v>
      </c>
      <c r="B18" s="18" t="e">
        <f>($B$7 * B17) / (1 - B17)</f>
        <v>#DIV/0!</v>
      </c>
      <c r="C18" s="18" t="e">
        <f t="shared" ref="C18:G18" si="2">($B$7 * C17) / (1 - C17)</f>
        <v>#DIV/0!</v>
      </c>
      <c r="D18" s="18" t="e">
        <f t="shared" si="2"/>
        <v>#DIV/0!</v>
      </c>
      <c r="E18" s="18" t="e">
        <f t="shared" si="2"/>
        <v>#DIV/0!</v>
      </c>
      <c r="F18" s="18" t="e">
        <f t="shared" si="2"/>
        <v>#DIV/0!</v>
      </c>
      <c r="G18" s="18" t="e">
        <f t="shared" si="2"/>
        <v>#DIV/0!</v>
      </c>
      <c r="H18" s="16"/>
    </row>
    <row r="19" spans="1:8">
      <c r="A19" s="12" t="s">
        <v>22</v>
      </c>
      <c r="B19" s="18" t="e">
        <f>B12 + 10*LOG10( ($F$5 / (4 * PI() * ($F$4^2))) + (4 / B18) )</f>
        <v>#DIV/0!</v>
      </c>
      <c r="C19" s="18" t="e">
        <f t="shared" ref="C19:G19" si="3">C12 + 10*LOG10( ($F$5 / (4 * PI() * ($F$4^2))) + (4 / C18) )</f>
        <v>#DIV/0!</v>
      </c>
      <c r="D19" s="18" t="e">
        <f t="shared" si="3"/>
        <v>#DIV/0!</v>
      </c>
      <c r="E19" s="18" t="e">
        <f t="shared" si="3"/>
        <v>#DIV/0!</v>
      </c>
      <c r="F19" s="18" t="e">
        <f t="shared" si="3"/>
        <v>#DIV/0!</v>
      </c>
      <c r="G19" s="18" t="e">
        <f t="shared" si="3"/>
        <v>#DIV/0!</v>
      </c>
      <c r="H19" s="16"/>
    </row>
    <row r="20" spans="1:8">
      <c r="A20" s="13" t="s">
        <v>23</v>
      </c>
      <c r="B20" s="16">
        <v>-16.100000000000001</v>
      </c>
      <c r="C20" s="16">
        <v>-8.6</v>
      </c>
      <c r="D20" s="16">
        <v>-3.2</v>
      </c>
      <c r="E20" s="16">
        <v>0</v>
      </c>
      <c r="F20" s="16">
        <v>1.2</v>
      </c>
      <c r="G20" s="16">
        <v>1</v>
      </c>
      <c r="H20" s="16"/>
    </row>
    <row r="21" spans="1:8">
      <c r="A21" s="12" t="s">
        <v>24</v>
      </c>
      <c r="B21" s="19" t="e">
        <f>B19 + B20</f>
        <v>#DIV/0!</v>
      </c>
      <c r="C21" s="19" t="e">
        <f t="shared" ref="C21:G21" si="4">C19 + C20</f>
        <v>#DIV/0!</v>
      </c>
      <c r="D21" s="19" t="e">
        <f t="shared" si="4"/>
        <v>#DIV/0!</v>
      </c>
      <c r="E21" s="19" t="e">
        <f t="shared" si="4"/>
        <v>#DIV/0!</v>
      </c>
      <c r="F21" s="19" t="e">
        <f t="shared" si="4"/>
        <v>#DIV/0!</v>
      </c>
      <c r="G21" s="19" t="e">
        <f t="shared" si="4"/>
        <v>#DIV/0!</v>
      </c>
      <c r="H21" s="21" t="e">
        <f>10 *LOG10(10^(B21/10) + 10^(C21/10) + 10^(D21/10) + 10^(E21/10) + 10^(F21/10) + 10^(G21/10))</f>
        <v>#DIV/0!</v>
      </c>
    </row>
    <row r="22" spans="1:8">
      <c r="A22" s="12" t="s">
        <v>25</v>
      </c>
      <c r="B22" s="18" t="e">
        <f>SQRT(($F$5 * B18) / (16 * PI()))</f>
        <v>#DIV/0!</v>
      </c>
      <c r="C22" s="18" t="e">
        <f t="shared" ref="C22:G22" si="5">SQRT(($F$5 * C18) / (16 * PI()))</f>
        <v>#DIV/0!</v>
      </c>
      <c r="D22" s="18" t="e">
        <f t="shared" si="5"/>
        <v>#DIV/0!</v>
      </c>
      <c r="E22" s="18" t="e">
        <f t="shared" si="5"/>
        <v>#DIV/0!</v>
      </c>
      <c r="F22" s="18" t="e">
        <f t="shared" si="5"/>
        <v>#DIV/0!</v>
      </c>
      <c r="G22" s="18" t="e">
        <f t="shared" si="5"/>
        <v>#DIV/0!</v>
      </c>
      <c r="H22" s="16"/>
    </row>
    <row r="23" spans="1:8">
      <c r="A23" s="12"/>
      <c r="B23" s="7"/>
      <c r="C23" s="7"/>
      <c r="D23" s="7"/>
      <c r="E23" s="7"/>
      <c r="F23" s="7"/>
      <c r="G23" s="7"/>
      <c r="H23" s="7"/>
    </row>
    <row r="24" spans="1:8">
      <c r="A24" s="12" t="s">
        <v>26</v>
      </c>
      <c r="B24" s="1"/>
      <c r="C24" s="1"/>
      <c r="D24" s="1"/>
      <c r="E24" s="1"/>
      <c r="F24" s="1"/>
      <c r="G24" s="1"/>
      <c r="H24" s="7"/>
    </row>
    <row r="25" spans="1:8">
      <c r="A25" s="12" t="s">
        <v>28</v>
      </c>
      <c r="B25" s="1"/>
      <c r="C25" s="1"/>
      <c r="D25" s="1"/>
      <c r="E25" s="1"/>
      <c r="F25" s="1"/>
      <c r="G25" s="1"/>
      <c r="H25" s="7"/>
    </row>
    <row r="26" spans="1:8">
      <c r="A26" s="12" t="s">
        <v>27</v>
      </c>
      <c r="B26" s="1"/>
      <c r="C26" s="1"/>
      <c r="D26" s="1"/>
      <c r="E26" s="1"/>
      <c r="F26" s="1"/>
      <c r="G26" s="1"/>
      <c r="H26" s="7"/>
    </row>
    <row r="27" spans="1:8">
      <c r="A27" s="12" t="s">
        <v>29</v>
      </c>
      <c r="B27" s="20" t="e">
        <f>((($B$4*$B$5)*B24) + (($B$4*$B$5)*B25) + (2*($B$4+$B$5)*$B$6*B26)) / $B$7</f>
        <v>#DIV/0!</v>
      </c>
      <c r="C27" s="20" t="e">
        <f t="shared" ref="C27:G27" si="6">((($B$4*$B$5)*C24) + (($B$4*$B$5)*C25) + (2*($B$4+$B$5)*$B$6*C26)) / $B$7</f>
        <v>#DIV/0!</v>
      </c>
      <c r="D27" s="20" t="e">
        <f t="shared" si="6"/>
        <v>#DIV/0!</v>
      </c>
      <c r="E27" s="16" t="e">
        <f t="shared" si="6"/>
        <v>#DIV/0!</v>
      </c>
      <c r="F27" s="20" t="e">
        <f t="shared" si="6"/>
        <v>#DIV/0!</v>
      </c>
      <c r="G27" s="20" t="e">
        <f t="shared" si="6"/>
        <v>#DIV/0!</v>
      </c>
      <c r="H27" s="16"/>
    </row>
    <row r="28" spans="1:8">
      <c r="A28" s="12" t="s">
        <v>30</v>
      </c>
      <c r="B28" s="19" t="e">
        <f>($B$7 * B27) / (1 - B27)</f>
        <v>#DIV/0!</v>
      </c>
      <c r="C28" s="16" t="e">
        <f t="shared" ref="C28:G28" si="7">($B$7 * C27) / (1 - C27)</f>
        <v>#DIV/0!</v>
      </c>
      <c r="D28" s="19" t="e">
        <f t="shared" si="7"/>
        <v>#DIV/0!</v>
      </c>
      <c r="E28" s="19" t="e">
        <f t="shared" si="7"/>
        <v>#DIV/0!</v>
      </c>
      <c r="F28" s="19" t="e">
        <f t="shared" si="7"/>
        <v>#DIV/0!</v>
      </c>
      <c r="G28" s="19" t="e">
        <f t="shared" si="7"/>
        <v>#DIV/0!</v>
      </c>
      <c r="H28" s="16"/>
    </row>
    <row r="29" spans="1:8">
      <c r="A29" s="12" t="s">
        <v>31</v>
      </c>
      <c r="B29" s="19" t="e">
        <f>B12 + 10*LOG10( ($F$5 / (4 * PI() * ($F$4^2))) + (4 / B28) )</f>
        <v>#DIV/0!</v>
      </c>
      <c r="C29" s="19" t="e">
        <f t="shared" ref="C29:G29" si="8">C12 + 10*LOG10( ($F$5 / (4 * PI() * ($F$4^2))) + (4 / C28) )</f>
        <v>#DIV/0!</v>
      </c>
      <c r="D29" s="19" t="e">
        <f t="shared" si="8"/>
        <v>#DIV/0!</v>
      </c>
      <c r="E29" s="19" t="e">
        <f t="shared" si="8"/>
        <v>#DIV/0!</v>
      </c>
      <c r="F29" s="19" t="e">
        <f t="shared" si="8"/>
        <v>#DIV/0!</v>
      </c>
      <c r="G29" s="19" t="e">
        <f t="shared" si="8"/>
        <v>#DIV/0!</v>
      </c>
      <c r="H29" s="16"/>
    </row>
    <row r="30" spans="1:8">
      <c r="A30" s="12" t="s">
        <v>32</v>
      </c>
      <c r="B30" s="19" t="e">
        <f>B29 + B20</f>
        <v>#DIV/0!</v>
      </c>
      <c r="C30" s="19" t="e">
        <f t="shared" ref="C30:G30" si="9">C29 + C20</f>
        <v>#DIV/0!</v>
      </c>
      <c r="D30" s="19" t="e">
        <f>D29 + D20</f>
        <v>#DIV/0!</v>
      </c>
      <c r="E30" s="19" t="e">
        <f t="shared" si="9"/>
        <v>#DIV/0!</v>
      </c>
      <c r="F30" s="19" t="e">
        <f t="shared" si="9"/>
        <v>#DIV/0!</v>
      </c>
      <c r="G30" s="19" t="e">
        <f t="shared" si="9"/>
        <v>#DIV/0!</v>
      </c>
      <c r="H30" s="21" t="e">
        <f>10 *LOG10(10^(B30/10) + 10^(C30/10) + 10^(D30/10) + 10^(E30/10) + 10^(F30/10) + 10^(G30/10))</f>
        <v>#DIV/0!</v>
      </c>
    </row>
    <row r="31" spans="1:8">
      <c r="A31" s="12" t="s">
        <v>33</v>
      </c>
      <c r="B31" s="18" t="e">
        <f>SQRT(($F$5 * B28) / (16 * PI()))</f>
        <v>#DIV/0!</v>
      </c>
      <c r="C31" s="18" t="e">
        <f t="shared" ref="C31:G31" si="10">SQRT(($F$5 * C28) / (16 * PI()))</f>
        <v>#DIV/0!</v>
      </c>
      <c r="D31" s="18" t="e">
        <f t="shared" si="10"/>
        <v>#DIV/0!</v>
      </c>
      <c r="E31" s="18" t="e">
        <f t="shared" si="10"/>
        <v>#DIV/0!</v>
      </c>
      <c r="F31" s="18" t="e">
        <f t="shared" si="10"/>
        <v>#DIV/0!</v>
      </c>
      <c r="G31" s="18" t="e">
        <f t="shared" si="10"/>
        <v>#DIV/0!</v>
      </c>
      <c r="H31" s="16"/>
    </row>
    <row r="32" spans="1:8">
      <c r="A32" s="12"/>
      <c r="B32" s="16"/>
      <c r="C32" s="16"/>
      <c r="D32" s="16"/>
      <c r="E32" s="16"/>
      <c r="F32" s="16"/>
      <c r="G32" s="16"/>
      <c r="H32" s="16"/>
    </row>
    <row r="33" spans="1:8">
      <c r="A33" s="12"/>
      <c r="B33" s="16"/>
      <c r="C33" s="16"/>
      <c r="D33" s="16"/>
      <c r="E33" s="16"/>
      <c r="F33" s="16"/>
      <c r="G33" s="16"/>
      <c r="H33" s="16"/>
    </row>
    <row r="34" spans="1:8">
      <c r="A34" s="14" t="s">
        <v>34</v>
      </c>
      <c r="B34" s="22"/>
      <c r="C34" s="22"/>
      <c r="D34" s="22"/>
      <c r="E34" s="22"/>
      <c r="F34" s="22"/>
      <c r="G34" s="23"/>
      <c r="H34" s="23"/>
    </row>
    <row r="35" spans="1:8">
      <c r="A35" s="12" t="s">
        <v>35</v>
      </c>
      <c r="B35" s="16"/>
      <c r="C35" s="21" t="e">
        <f>H21</f>
        <v>#DIV/0!</v>
      </c>
      <c r="D35" s="16" t="s">
        <v>38</v>
      </c>
      <c r="E35" s="16"/>
      <c r="F35" s="16"/>
      <c r="G35" s="16"/>
      <c r="H35" s="16"/>
    </row>
    <row r="36" spans="1:8">
      <c r="A36" s="12" t="s">
        <v>36</v>
      </c>
      <c r="B36" s="16"/>
      <c r="C36" s="21" t="e">
        <f>H30</f>
        <v>#DIV/0!</v>
      </c>
      <c r="D36" s="16" t="s">
        <v>38</v>
      </c>
      <c r="E36" s="16"/>
      <c r="F36" s="16"/>
      <c r="G36" s="16"/>
      <c r="H36" s="16"/>
    </row>
    <row r="37" spans="1:8">
      <c r="A37" s="13" t="s">
        <v>37</v>
      </c>
      <c r="B37" s="16"/>
      <c r="C37" s="21" t="e">
        <f>C35 - C36</f>
        <v>#DIV/0!</v>
      </c>
      <c r="D37" s="16" t="s">
        <v>38</v>
      </c>
      <c r="E37" s="16"/>
      <c r="F37" s="16"/>
      <c r="G37" s="16"/>
      <c r="H37" s="16"/>
    </row>
    <row r="38" spans="1:8">
      <c r="A38" s="12" t="s">
        <v>39</v>
      </c>
      <c r="B38" s="16"/>
      <c r="C38" s="16" t="e">
        <f>IF(C36&lt;=85, "CUMPLE NORMA", "EXCEDE LÍMITE")</f>
        <v>#DIV/0!</v>
      </c>
      <c r="D38" s="16"/>
      <c r="E38" s="16"/>
      <c r="F38" s="16"/>
      <c r="G38" s="16"/>
      <c r="H38" s="16"/>
    </row>
  </sheetData>
  <sheetProtection algorithmName="SHA-512" hashValue="D0L6aOQ+sbKg28P2uDZ1mIQ/e8g4nzbSWXPyVliv4vz1ZbvFA2fzc238bmIEFPtebwmVeY9E8113zaU2IY52fQ==" saltValue="blq6mZ66/drnewPClJsGhw==" spinCount="100000" sheet="1" objects="1" scenarios="1"/>
  <mergeCells count="2">
    <mergeCell ref="A1:H1"/>
    <mergeCell ref="A2:H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B9E8-DEBB-4CBE-AC19-B1C5BA0ACF38}">
  <sheetPr>
    <tabColor rgb="FF007199"/>
    <pageSetUpPr fitToPage="1"/>
  </sheetPr>
  <dimension ref="A1:H38"/>
  <sheetViews>
    <sheetView workbookViewId="0" showGridLines="0">
      <selection activeCell="A19" sqref="A19"/>
    </sheetView>
  </sheetViews>
  <sheetFormatPr baseColWidth="10" defaultRowHeight="14.4" defaultColWidth="9.6945"/>
  <cols>
    <col min="1" max="1" width="48.9379" style="3" customWidth="1"/>
    <col min="2" max="8" width="13.1576" style="8" customWidth="1"/>
    <col min="9" max="16384" width="13.2879" style="3" customWidth="1"/>
  </cols>
  <sheetData>
    <row r="1" spans="1:8" ht="18">
      <c r="A1" s="34" t="s">
        <v>40</v>
      </c>
      <c r="B1" s="34"/>
      <c r="C1" s="34"/>
      <c r="D1" s="34"/>
      <c r="E1" s="34"/>
      <c r="F1" s="34"/>
      <c r="G1" s="34"/>
      <c r="H1" s="34"/>
    </row>
    <row r="2" spans="1:8">
      <c r="A2" s="35"/>
      <c r="B2" s="35"/>
      <c r="C2" s="35"/>
      <c r="D2" s="35"/>
      <c r="E2" s="35"/>
      <c r="F2" s="35"/>
      <c r="G2" s="35"/>
      <c r="H2" s="36"/>
    </row>
    <row r="3" spans="1:8">
      <c r="A3" s="11" t="s">
        <v>41</v>
      </c>
      <c r="B3" s="37"/>
      <c r="C3" s="30"/>
      <c r="D3" s="30"/>
      <c r="E3" s="30"/>
      <c r="F3" s="30"/>
      <c r="G3" s="30"/>
      <c r="H3" s="33"/>
    </row>
    <row r="4" spans="1:8">
      <c r="A4" s="12" t="s">
        <v>42</v>
      </c>
      <c r="B4" s="9"/>
      <c r="C4" s="31"/>
      <c r="D4" s="31"/>
      <c r="E4" s="31"/>
      <c r="F4" s="10"/>
      <c r="G4" s="31"/>
      <c r="H4" s="32"/>
    </row>
    <row r="5" spans="1:8">
      <c r="A5" s="12" t="s">
        <v>43</v>
      </c>
      <c r="B5" s="9"/>
      <c r="C5" s="31"/>
      <c r="D5" s="31"/>
      <c r="E5" s="31"/>
      <c r="F5" s="10"/>
      <c r="G5" s="31"/>
      <c r="H5" s="32"/>
    </row>
    <row r="6" spans="1:8">
      <c r="A6" s="12" t="s">
        <v>44</v>
      </c>
      <c r="B6" s="9"/>
      <c r="C6" s="32"/>
      <c r="D6" s="15" t="s">
        <v>38</v>
      </c>
      <c r="E6" s="16"/>
      <c r="F6" s="16"/>
      <c r="G6" s="16"/>
      <c r="H6" s="16"/>
    </row>
    <row r="7" spans="1:8">
      <c r="A7" s="12"/>
      <c r="B7" s="16"/>
      <c r="C7" s="16"/>
      <c r="D7" s="16"/>
      <c r="E7" s="16"/>
      <c r="F7" s="16"/>
      <c r="G7" s="16"/>
      <c r="H7" s="16"/>
    </row>
    <row r="8" spans="1:8">
      <c r="A8" s="12"/>
      <c r="B8" s="16"/>
      <c r="C8" s="16"/>
      <c r="D8" s="16"/>
      <c r="E8" s="16"/>
      <c r="F8" s="16"/>
      <c r="G8" s="16"/>
      <c r="H8" s="16"/>
    </row>
    <row r="9" spans="1:8">
      <c r="A9" s="12" t="s">
        <v>8</v>
      </c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  <c r="H9" s="16" t="s">
        <v>15</v>
      </c>
    </row>
    <row r="10" spans="1:8">
      <c r="A10" s="12" t="s">
        <v>45</v>
      </c>
      <c r="B10" s="28"/>
      <c r="C10" s="28"/>
      <c r="D10" s="28"/>
      <c r="E10" s="28"/>
      <c r="F10" s="28"/>
      <c r="G10" s="28"/>
      <c r="H10" s="16"/>
    </row>
    <row r="11" spans="1:8">
      <c r="A11" s="12" t="s">
        <v>46</v>
      </c>
      <c r="B11" s="1"/>
      <c r="C11" s="1"/>
      <c r="D11" s="1"/>
      <c r="E11" s="1"/>
      <c r="F11" s="1"/>
      <c r="G11" s="1"/>
      <c r="H11" s="7"/>
    </row>
    <row r="12" spans="1:8">
      <c r="A12" s="12" t="s">
        <v>47</v>
      </c>
      <c r="B12" s="16">
        <f>B10 - B11</f>
        <v>0</v>
      </c>
      <c r="C12" s="16">
        <f t="shared" ref="C12:G12" si="0">C10 - C11</f>
        <v>0</v>
      </c>
      <c r="D12" s="16">
        <f t="shared" si="0"/>
        <v>0</v>
      </c>
      <c r="E12" s="16">
        <f t="shared" si="0"/>
        <v>0</v>
      </c>
      <c r="F12" s="16">
        <f t="shared" si="0"/>
        <v>0</v>
      </c>
      <c r="G12" s="16">
        <f t="shared" si="0"/>
        <v>0</v>
      </c>
      <c r="H12" s="16"/>
    </row>
    <row r="13" spans="1:8">
      <c r="A13" s="12" t="s">
        <v>48</v>
      </c>
      <c r="B13" s="16">
        <v>-16.100000000000001</v>
      </c>
      <c r="C13" s="16">
        <v>-8.6</v>
      </c>
      <c r="D13" s="16">
        <v>-3.2</v>
      </c>
      <c r="E13" s="16">
        <v>0</v>
      </c>
      <c r="F13" s="16">
        <v>1.2</v>
      </c>
      <c r="G13" s="16">
        <v>1</v>
      </c>
      <c r="H13" s="16"/>
    </row>
    <row r="14" spans="1:8">
      <c r="A14" s="12" t="s">
        <v>49</v>
      </c>
      <c r="B14" s="19">
        <f>B10 + B13</f>
        <v>-16.100000000000001</v>
      </c>
      <c r="C14" s="19">
        <f>B10 + B13</f>
        <v>-16.100000000000001</v>
      </c>
      <c r="D14" s="19">
        <f t="shared" ref="D14:G14" si="1">C10 + C13</f>
        <v>-8.6</v>
      </c>
      <c r="E14" s="19">
        <f t="shared" si="1"/>
        <v>-3.2</v>
      </c>
      <c r="F14" s="19">
        <f t="shared" si="1"/>
        <v>0</v>
      </c>
      <c r="G14" s="19">
        <f t="shared" si="1"/>
        <v>1.2</v>
      </c>
      <c r="H14" s="19">
        <f>10 *LOG10(10^(B14/10) + 10^(C14/10) + 10^(D14/10) + 10^(E14/10) + 10^(F14/10) + 10^(G14/10))</f>
        <v>4.7480164747669571</v>
      </c>
    </row>
    <row r="15" spans="1:8">
      <c r="A15" s="13" t="s">
        <v>50</v>
      </c>
      <c r="B15" s="19">
        <f>B12 + B13</f>
        <v>-16.100000000000001</v>
      </c>
      <c r="C15" s="19">
        <f>B12 + B13</f>
        <v>-16.100000000000001</v>
      </c>
      <c r="D15" s="19">
        <f t="shared" ref="D15:G15" si="2">C12 + C13</f>
        <v>-8.6</v>
      </c>
      <c r="E15" s="19">
        <f t="shared" si="2"/>
        <v>-3.2</v>
      </c>
      <c r="F15" s="16">
        <f t="shared" si="2"/>
        <v>0</v>
      </c>
      <c r="G15" s="19">
        <f t="shared" si="2"/>
        <v>1.2</v>
      </c>
      <c r="H15" s="19">
        <f>10 *LOG10(10^(B15/10) + 10^(C15/10) + 10^(D15/10) + 10^(E15/10) + 10^(F15/10) + 10^(G15/10))</f>
        <v>4.7480164747669571</v>
      </c>
    </row>
    <row r="16" spans="1:8">
      <c r="A16" s="12"/>
      <c r="B16" s="16"/>
      <c r="C16" s="16"/>
      <c r="D16" s="16"/>
      <c r="E16" s="16"/>
      <c r="F16" s="16"/>
      <c r="G16" s="16"/>
      <c r="H16" s="16"/>
    </row>
    <row r="17" spans="1:8">
      <c r="A17" s="12"/>
      <c r="B17" s="16"/>
      <c r="C17" s="16"/>
      <c r="D17" s="16"/>
      <c r="E17" s="16"/>
      <c r="F17" s="16"/>
      <c r="G17" s="16"/>
      <c r="H17" s="16"/>
    </row>
    <row r="18" spans="1:8">
      <c r="A18" s="26" t="s">
        <v>51</v>
      </c>
      <c r="B18" s="26"/>
      <c r="C18" s="26"/>
      <c r="D18" s="26"/>
      <c r="E18" s="16"/>
      <c r="F18" s="16"/>
      <c r="G18" s="16"/>
      <c r="H18" s="16"/>
    </row>
    <row r="19" spans="1:8">
      <c r="A19" s="12" t="s">
        <v>52</v>
      </c>
      <c r="B19" s="16"/>
      <c r="C19" s="21">
        <f>H14</f>
        <v>4.7480164747669571</v>
      </c>
      <c r="D19" s="16" t="s">
        <v>38</v>
      </c>
      <c r="E19" s="16"/>
      <c r="F19" s="16"/>
      <c r="G19" s="16"/>
      <c r="H19" s="16"/>
    </row>
    <row r="20" spans="1:8">
      <c r="A20" s="12" t="s">
        <v>53</v>
      </c>
      <c r="B20" s="16"/>
      <c r="C20" s="21">
        <f>H15</f>
        <v>4.7480164747669571</v>
      </c>
      <c r="D20" s="16" t="s">
        <v>38</v>
      </c>
      <c r="E20" s="16"/>
      <c r="F20" s="16"/>
      <c r="G20" s="16"/>
      <c r="H20" s="16"/>
    </row>
    <row r="21" spans="1:8">
      <c r="A21" s="12" t="s">
        <v>54</v>
      </c>
      <c r="B21" s="16"/>
      <c r="C21" s="21">
        <f>C19 - C20</f>
        <v>0</v>
      </c>
      <c r="D21" s="16" t="s">
        <v>38</v>
      </c>
      <c r="E21" s="16"/>
      <c r="F21" s="16"/>
      <c r="G21" s="16"/>
      <c r="H21" s="16"/>
    </row>
    <row r="22" spans="1:8">
      <c r="A22" s="12" t="s">
        <v>55</v>
      </c>
      <c r="B22" s="16"/>
      <c r="C22" s="16" t="str">
        <f>IF(C20&lt;=B6, "CUMPLE NORMA", "REQUIERE MAYOR AISLAMIENTO")</f>
        <v>REQUIERE MAYOR AISLAMIENTO</v>
      </c>
      <c r="D22" s="16"/>
      <c r="E22" s="16"/>
      <c r="F22" s="16"/>
      <c r="G22" s="16"/>
      <c r="H22" s="16"/>
    </row>
    <row r="23" spans="1:8">
      <c r="A23" s="27"/>
    </row>
    <row r="24" spans="1:8">
      <c r="A24" s="27"/>
    </row>
    <row r="25" spans="1:8">
      <c r="A25" s="27"/>
    </row>
    <row r="26" spans="1:8">
      <c r="A26" s="27"/>
    </row>
    <row r="27" spans="1:8">
      <c r="A27" s="27"/>
      <c r="B27" s="29"/>
      <c r="C27" s="29"/>
      <c r="D27" s="29"/>
      <c r="E27" s="29"/>
      <c r="F27" s="29"/>
      <c r="G27" s="29"/>
      <c r="H27" s="29"/>
    </row>
    <row r="28" spans="1:8">
      <c r="A28" s="27"/>
      <c r="B28" s="29"/>
      <c r="C28" s="29"/>
      <c r="D28" s="29"/>
      <c r="E28" s="29"/>
      <c r="F28" s="29"/>
      <c r="G28" s="29"/>
      <c r="H28" s="29"/>
    </row>
    <row r="29" spans="1:8">
      <c r="A29" s="27"/>
      <c r="B29" s="29"/>
      <c r="C29" s="29"/>
      <c r="D29" s="29"/>
      <c r="E29" s="29"/>
      <c r="F29" s="29"/>
      <c r="G29" s="29"/>
      <c r="H29" s="29"/>
    </row>
    <row r="30" spans="1:8">
      <c r="A30" s="27"/>
      <c r="B30" s="29"/>
      <c r="C30" s="29"/>
      <c r="D30" s="29"/>
      <c r="E30" s="29"/>
      <c r="F30" s="29"/>
      <c r="G30" s="29"/>
      <c r="H30" s="29"/>
    </row>
    <row r="31" spans="1:8">
      <c r="A31" s="27"/>
      <c r="B31" s="29"/>
      <c r="C31" s="29"/>
      <c r="D31" s="29"/>
      <c r="E31" s="29"/>
      <c r="F31" s="29"/>
      <c r="G31" s="29"/>
      <c r="H31" s="29"/>
    </row>
    <row r="32" spans="1:8">
      <c r="A32" s="27"/>
      <c r="B32" s="29"/>
      <c r="C32" s="29"/>
      <c r="D32" s="29"/>
      <c r="E32" s="29"/>
      <c r="F32" s="29"/>
      <c r="G32" s="29"/>
      <c r="H32" s="29"/>
    </row>
    <row r="33" spans="1:8">
      <c r="A33" s="27"/>
      <c r="B33" s="29"/>
      <c r="C33" s="29"/>
      <c r="D33" s="29"/>
      <c r="E33" s="29"/>
      <c r="F33" s="29"/>
      <c r="G33" s="29"/>
      <c r="H33" s="29"/>
    </row>
    <row r="34" spans="1:8">
      <c r="A34" s="27"/>
      <c r="B34" s="29"/>
      <c r="C34" s="29"/>
      <c r="D34" s="29"/>
      <c r="E34" s="29"/>
      <c r="F34" s="29"/>
      <c r="G34" s="29"/>
      <c r="H34" s="29"/>
    </row>
    <row r="35" spans="1:8">
      <c r="A35" s="27"/>
      <c r="B35" s="29"/>
      <c r="C35" s="29"/>
      <c r="D35" s="29"/>
      <c r="E35" s="29"/>
      <c r="F35" s="29"/>
      <c r="G35" s="29"/>
      <c r="H35" s="29"/>
    </row>
    <row r="36" spans="1:8">
      <c r="A36" s="27"/>
      <c r="B36" s="29"/>
      <c r="C36" s="29"/>
      <c r="D36" s="29"/>
      <c r="E36" s="29"/>
      <c r="F36" s="29"/>
      <c r="G36" s="29"/>
      <c r="H36" s="29"/>
    </row>
    <row r="37" spans="1:8">
      <c r="A37" s="27"/>
      <c r="B37" s="29"/>
      <c r="C37" s="29"/>
      <c r="D37" s="29"/>
      <c r="E37" s="29"/>
      <c r="F37" s="29"/>
      <c r="G37" s="29"/>
      <c r="H37" s="29"/>
    </row>
    <row r="38" spans="1:8">
      <c r="A38" s="27"/>
      <c r="B38" s="29"/>
      <c r="C38" s="29"/>
      <c r="D38" s="29"/>
      <c r="E38" s="29"/>
      <c r="F38" s="29"/>
      <c r="G38" s="29"/>
      <c r="H38" s="29"/>
    </row>
  </sheetData>
  <sheetProtection algorithmName="SHA-512" hashValue="og/fLZxUDkT4ZKAyznnNP9zBNnwf3stIDD+dNGfDOJn7g/avsXulo7mAidIgHVDyeifNFuV/dq7CSndwOEQD/g==" saltValue="F8CzTiK3ffd4ZmJMj3f7OA==" spinCount="100000" sheet="1" objects="1" scenarios="1"/>
  <mergeCells count="7">
    <mergeCell ref="A1:H1"/>
    <mergeCell ref="A18:D18"/>
    <mergeCell ref="A2:H2"/>
    <mergeCell ref="B4:H4"/>
    <mergeCell ref="B3:H3"/>
    <mergeCell ref="B5:H5"/>
    <mergeCell ref="B6:C6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5E6-F654-4FE0-8AF1-EEA66B4ABF9E}">
  <sheetPr>
    <tabColor rgb="FF007199"/>
    <pageSetUpPr fitToPage="1"/>
  </sheetPr>
  <dimension ref="A1:I27"/>
  <sheetViews>
    <sheetView workbookViewId="0" showGridLines="0">
      <selection activeCell="D21" sqref="D21"/>
    </sheetView>
  </sheetViews>
  <sheetFormatPr baseColWidth="10" defaultRowHeight="14.4" defaultColWidth="9.6945"/>
  <cols>
    <col min="1" max="1" width="44.4637" style="3" customWidth="1"/>
    <col min="2" max="9" width="13.1576" style="8" customWidth="1"/>
    <col min="10" max="16384" width="13.2879" style="3" customWidth="1"/>
  </cols>
  <sheetData>
    <row r="1" spans="1:9" ht="18">
      <c r="A1" s="34" t="s">
        <v>56</v>
      </c>
      <c r="B1" s="34"/>
      <c r="C1" s="34"/>
      <c r="D1" s="34"/>
      <c r="E1" s="34"/>
      <c r="F1" s="34"/>
      <c r="G1" s="34"/>
      <c r="H1" s="34"/>
      <c r="I1" s="34"/>
    </row>
    <row r="2" spans="1:9">
      <c r="A2" s="35"/>
      <c r="B2" s="35"/>
      <c r="C2" s="35"/>
      <c r="D2" s="35"/>
      <c r="E2" s="35"/>
      <c r="F2" s="35"/>
      <c r="G2" s="35"/>
      <c r="H2" s="35"/>
      <c r="I2" s="36"/>
    </row>
    <row r="3" spans="1:9">
      <c r="A3" s="11" t="s">
        <v>57</v>
      </c>
      <c r="B3" s="38"/>
      <c r="C3" s="38"/>
      <c r="D3" s="38"/>
      <c r="E3" s="16"/>
      <c r="F3" s="16"/>
      <c r="G3" s="16"/>
      <c r="H3" s="16"/>
      <c r="I3" s="16"/>
    </row>
    <row r="4" spans="1:9">
      <c r="A4" s="39" t="s">
        <v>58</v>
      </c>
      <c r="B4" s="1"/>
      <c r="C4" s="16" t="s">
        <v>5</v>
      </c>
      <c r="D4" s="16"/>
      <c r="E4" s="16"/>
      <c r="F4" s="16"/>
      <c r="G4" s="16"/>
      <c r="H4" s="16"/>
      <c r="I4" s="16"/>
    </row>
    <row r="5" spans="1:9">
      <c r="A5" s="12" t="s">
        <v>59</v>
      </c>
      <c r="B5" s="1"/>
      <c r="C5" s="16" t="s">
        <v>5</v>
      </c>
      <c r="D5" s="16"/>
      <c r="E5" s="16"/>
      <c r="F5" s="16"/>
      <c r="G5" s="16"/>
      <c r="H5" s="16"/>
      <c r="I5" s="16"/>
    </row>
    <row r="6" spans="1:9">
      <c r="A6" s="12" t="s">
        <v>60</v>
      </c>
      <c r="B6" s="1"/>
      <c r="C6" s="16" t="s">
        <v>5</v>
      </c>
      <c r="D6" s="16"/>
      <c r="E6" s="16"/>
      <c r="F6" s="16"/>
      <c r="G6" s="16"/>
      <c r="H6" s="16"/>
      <c r="I6" s="16"/>
    </row>
    <row r="7" spans="1:9">
      <c r="A7" s="12" t="s">
        <v>61</v>
      </c>
      <c r="B7" s="1"/>
      <c r="C7" s="16" t="s">
        <v>5</v>
      </c>
      <c r="D7" s="16"/>
      <c r="E7" s="16"/>
      <c r="F7" s="16"/>
      <c r="G7" s="16"/>
      <c r="H7" s="16"/>
      <c r="I7" s="16"/>
    </row>
    <row r="8" spans="1:9">
      <c r="A8" s="12"/>
      <c r="B8" s="16"/>
      <c r="C8" s="16"/>
      <c r="D8" s="16"/>
      <c r="E8" s="16"/>
      <c r="F8" s="16"/>
      <c r="G8" s="16"/>
      <c r="H8" s="16"/>
      <c r="I8" s="16"/>
    </row>
    <row r="9" spans="1:9">
      <c r="A9" s="12" t="s">
        <v>80</v>
      </c>
      <c r="B9" s="16">
        <f>B6 + B7</f>
        <v>0</v>
      </c>
      <c r="C9" s="16" t="s">
        <v>5</v>
      </c>
      <c r="D9" s="16"/>
      <c r="E9" s="16"/>
      <c r="F9" s="16"/>
      <c r="G9" s="16"/>
      <c r="H9" s="16"/>
      <c r="I9" s="16"/>
    </row>
    <row r="10" spans="1:9">
      <c r="A10" s="12" t="s">
        <v>71</v>
      </c>
      <c r="B10" s="19">
        <f>SQRT(B6^2 + B4^2) + SQRT(B7^2 + B4^2)</f>
        <v>0</v>
      </c>
      <c r="C10" s="16" t="s">
        <v>5</v>
      </c>
      <c r="D10" s="16"/>
      <c r="E10" s="16"/>
      <c r="F10" s="16"/>
      <c r="G10" s="16"/>
      <c r="H10" s="16"/>
      <c r="I10" s="16"/>
    </row>
    <row r="11" spans="1:9">
      <c r="A11" s="12" t="s">
        <v>62</v>
      </c>
      <c r="B11" s="18">
        <f>B10 - B9</f>
        <v>0</v>
      </c>
      <c r="C11" s="16" t="s">
        <v>5</v>
      </c>
      <c r="D11" s="16"/>
      <c r="E11" s="16"/>
      <c r="F11" s="16"/>
      <c r="G11" s="16"/>
      <c r="H11" s="16"/>
      <c r="I11" s="16"/>
    </row>
    <row r="12" spans="1:9">
      <c r="A12" s="12"/>
      <c r="B12" s="16"/>
      <c r="C12" s="16"/>
      <c r="D12" s="16"/>
      <c r="E12" s="16"/>
      <c r="F12" s="16"/>
      <c r="G12" s="16"/>
      <c r="H12" s="16"/>
      <c r="I12" s="16"/>
    </row>
    <row r="13" spans="1:9">
      <c r="A13" s="12"/>
      <c r="B13" s="16"/>
      <c r="C13" s="16"/>
      <c r="D13" s="16"/>
      <c r="E13" s="16"/>
      <c r="F13" s="16"/>
      <c r="G13" s="16"/>
      <c r="H13" s="16"/>
      <c r="I13" s="16"/>
    </row>
    <row r="14" spans="1:9">
      <c r="A14" s="12" t="s">
        <v>8</v>
      </c>
      <c r="B14" s="15">
        <v>63</v>
      </c>
      <c r="C14" s="15">
        <v>125</v>
      </c>
      <c r="D14" s="15">
        <v>250</v>
      </c>
      <c r="E14" s="15">
        <v>500</v>
      </c>
      <c r="F14" s="15">
        <v>1000</v>
      </c>
      <c r="G14" s="15">
        <v>2000</v>
      </c>
      <c r="H14" s="15">
        <v>4000</v>
      </c>
      <c r="I14" s="15">
        <v>8000</v>
      </c>
    </row>
    <row r="15" spans="1:9">
      <c r="A15" s="12" t="s">
        <v>63</v>
      </c>
      <c r="B15" s="1"/>
      <c r="C15" s="1"/>
      <c r="D15" s="1"/>
      <c r="E15" s="1"/>
      <c r="F15" s="1"/>
      <c r="G15" s="1"/>
      <c r="H15" s="1"/>
      <c r="I15" s="1"/>
    </row>
    <row r="16" spans="1:9">
      <c r="A16" s="40" t="s">
        <v>79</v>
      </c>
      <c r="B16" s="20">
        <f>(2 * B14 * $B$11) / 343</f>
        <v>0</v>
      </c>
      <c r="C16" s="20">
        <f>(2 * C14 * $B$11) / 343</f>
        <v>0</v>
      </c>
      <c r="D16" s="20">
        <f t="shared" ref="D16:I16" si="0">(2 * D14 * $B$11) / 343</f>
        <v>0</v>
      </c>
      <c r="E16" s="20">
        <f t="shared" si="0"/>
        <v>0</v>
      </c>
      <c r="F16" s="20">
        <f t="shared" si="0"/>
        <v>0</v>
      </c>
      <c r="G16" s="20">
        <f t="shared" si="0"/>
        <v>0</v>
      </c>
      <c r="H16" s="20">
        <f t="shared" si="0"/>
        <v>0</v>
      </c>
      <c r="I16" s="20">
        <f t="shared" si="0"/>
        <v>0</v>
      </c>
    </row>
    <row r="17" spans="1:9">
      <c r="A17" s="12" t="s">
        <v>64</v>
      </c>
      <c r="B17" s="19">
        <f>10 *LOG10(3 + 20 * B16)</f>
        <v>4.7712125471966242</v>
      </c>
      <c r="C17" s="19">
        <f t="shared" ref="C17:I17" si="1">10 *LOG10(3 + 20 * C16)</f>
        <v>4.7712125471966242</v>
      </c>
      <c r="D17" s="19">
        <f t="shared" si="1"/>
        <v>4.7712125471966242</v>
      </c>
      <c r="E17" s="19">
        <f t="shared" si="1"/>
        <v>4.7712125471966242</v>
      </c>
      <c r="F17" s="19">
        <f t="shared" si="1"/>
        <v>4.7712125471966242</v>
      </c>
      <c r="G17" s="19">
        <f t="shared" si="1"/>
        <v>4.7712125471966242</v>
      </c>
      <c r="H17" s="19">
        <f t="shared" si="1"/>
        <v>4.7712125471966242</v>
      </c>
      <c r="I17" s="19">
        <f t="shared" si="1"/>
        <v>4.7712125471966242</v>
      </c>
    </row>
    <row r="18" spans="1:9">
      <c r="A18" s="12" t="s">
        <v>65</v>
      </c>
      <c r="B18" s="19">
        <f>MIN(20, B17)</f>
        <v>4.7712125471966242</v>
      </c>
      <c r="C18" s="19">
        <f t="shared" ref="C18:I18" si="2">MIN(20, C17)</f>
        <v>4.7712125471966242</v>
      </c>
      <c r="D18" s="19">
        <f t="shared" si="2"/>
        <v>4.7712125471966242</v>
      </c>
      <c r="E18" s="19">
        <f t="shared" si="2"/>
        <v>4.7712125471966242</v>
      </c>
      <c r="F18" s="19">
        <f t="shared" si="2"/>
        <v>4.7712125471966242</v>
      </c>
      <c r="G18" s="16">
        <f t="shared" si="2"/>
        <v>4.7712125471966242</v>
      </c>
      <c r="H18" s="16">
        <f t="shared" si="2"/>
        <v>4.7712125471966242</v>
      </c>
      <c r="I18" s="16">
        <f t="shared" si="2"/>
        <v>4.7712125471966242</v>
      </c>
    </row>
    <row r="19" spans="1:9">
      <c r="A19" s="12" t="s">
        <v>66</v>
      </c>
      <c r="B19" s="19">
        <f>B15 - B18</f>
        <v>-4.7712125471966242</v>
      </c>
      <c r="C19" s="19">
        <f t="shared" ref="C19:I19" si="3">C15 - C18</f>
        <v>-4.7712125471966242</v>
      </c>
      <c r="D19" s="19">
        <f t="shared" si="3"/>
        <v>-4.7712125471966242</v>
      </c>
      <c r="E19" s="19">
        <f t="shared" si="3"/>
        <v>-4.7712125471966242</v>
      </c>
      <c r="F19" s="19">
        <f t="shared" si="3"/>
        <v>-4.7712125471966242</v>
      </c>
      <c r="G19" s="16">
        <f t="shared" si="3"/>
        <v>-4.7712125471966242</v>
      </c>
      <c r="H19" s="16">
        <f t="shared" si="3"/>
        <v>-4.7712125471966242</v>
      </c>
      <c r="I19" s="16">
        <f t="shared" si="3"/>
        <v>-4.7712125471966242</v>
      </c>
    </row>
    <row r="20" spans="1:9">
      <c r="A20" s="12"/>
      <c r="B20" s="16"/>
      <c r="C20" s="16"/>
      <c r="D20" s="16"/>
      <c r="E20" s="16"/>
      <c r="F20" s="16"/>
      <c r="G20" s="16"/>
      <c r="H20" s="16"/>
      <c r="I20" s="16"/>
    </row>
    <row r="21" spans="1:9">
      <c r="A21" s="12"/>
      <c r="B21" s="16"/>
      <c r="C21" s="16"/>
      <c r="D21" s="16"/>
      <c r="E21" s="16"/>
      <c r="F21" s="16"/>
      <c r="G21" s="16"/>
      <c r="H21" s="16"/>
      <c r="I21" s="16"/>
    </row>
    <row r="22" spans="1:9">
      <c r="A22" s="12"/>
      <c r="B22" s="16"/>
      <c r="C22" s="16"/>
      <c r="D22" s="16"/>
      <c r="E22" s="16"/>
      <c r="F22" s="16"/>
      <c r="G22" s="16"/>
      <c r="H22" s="16"/>
      <c r="I22" s="16"/>
    </row>
    <row r="23" spans="1:9">
      <c r="A23" s="41" t="s">
        <v>67</v>
      </c>
      <c r="B23" s="42"/>
      <c r="C23" s="42"/>
      <c r="D23" s="42"/>
      <c r="E23" s="16"/>
      <c r="F23" s="16"/>
      <c r="G23" s="16"/>
      <c r="H23" s="16"/>
      <c r="I23" s="16"/>
    </row>
    <row r="24" spans="1:9">
      <c r="A24" s="12" t="s">
        <v>68</v>
      </c>
      <c r="B24" s="16"/>
      <c r="C24" s="21">
        <f>10 *LOG10(10^(B15/10) + 10^(C15/10) + 10^(D15/10) + 10^(E15/10) + 10^(F15/10) + 10^(G15/10) + 10^(H15/10) + 10^(I15/10))</f>
        <v>9.0308998699194358</v>
      </c>
      <c r="D24" s="16" t="s">
        <v>38</v>
      </c>
      <c r="E24" s="16"/>
      <c r="F24" s="16"/>
      <c r="G24" s="16"/>
      <c r="H24" s="16"/>
      <c r="I24" s="16"/>
    </row>
    <row r="25" spans="1:9">
      <c r="A25" s="12" t="s">
        <v>69</v>
      </c>
      <c r="B25" s="16"/>
      <c r="C25" s="21">
        <f>10 *LOG10(10^(B19/10) + 10^(C19/10) + 10^(D19/10) + 10^(E19/10) + 10^(F19/10) + 10^(G19/10) + 10^(H19/10) + 10^(I19/10))</f>
        <v>4.2596873227228107</v>
      </c>
      <c r="D25" s="16" t="s">
        <v>38</v>
      </c>
      <c r="E25" s="16"/>
      <c r="F25" s="16"/>
      <c r="G25" s="16"/>
      <c r="H25" s="16"/>
      <c r="I25" s="16"/>
    </row>
    <row r="26" spans="1:9">
      <c r="A26" s="12" t="s">
        <v>70</v>
      </c>
      <c r="B26" s="16"/>
      <c r="C26" s="21">
        <f>C24 - C25</f>
        <v>4.7712125471966251</v>
      </c>
      <c r="D26" s="16" t="s">
        <v>38</v>
      </c>
      <c r="E26" s="16"/>
      <c r="F26" s="16"/>
      <c r="G26" s="16"/>
      <c r="H26" s="16"/>
      <c r="I26" s="16"/>
    </row>
    <row r="27" spans="1:9">
      <c r="A27" s="12" t="s">
        <v>39</v>
      </c>
      <c r="B27" s="16"/>
      <c r="C27" s="16" t="str">
        <f>IF(C25&lt;=85, "CUMPLE NORMA", "REQUIERE MAYOR ALTURA")</f>
        <v>CUMPLE NORMA</v>
      </c>
      <c r="D27" s="16"/>
      <c r="E27" s="16"/>
      <c r="F27" s="16"/>
      <c r="G27" s="16"/>
      <c r="H27" s="16"/>
      <c r="I27" s="16"/>
    </row>
  </sheetData>
  <sheetProtection algorithmName="SHA-512" hashValue="PuWelsvtyiKyTmtjNHC2V73oy8bCTRD9xypag/OY2kN38iJBM6t/zzuW1pLIMbf63afQtWQfTgXFaTr7VNDKKQ==" saltValue="1AsheQ6tGxxU3BMQtmsGgQ==" spinCount="100000" sheet="1" objects="1" scenarios="1"/>
  <mergeCells count="3">
    <mergeCell ref="A1:I1"/>
    <mergeCell ref="A23:D23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Acondicionamiento Acustico</vt:lpstr>
      <vt:lpstr>Aislamiento y Transmision</vt:lpstr>
      <vt:lpstr>Barreras Acusticas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AK16492</cp:lastModifiedBy>
  <dcterms:created xsi:type="dcterms:W3CDTF">2026-08-01T11:43:58Z</dcterms:created>
  <dcterms:modified xsi:type="dcterms:W3CDTF">2026-08-14T16:24:33Z</dcterms:modified>
  <dc:title>NoiseRisk V1 — SCHO</dc:title>
  <dc:creator>Álvaro Araque García — SCHO</dc:creator>
</cp:coreProperties>
</file>