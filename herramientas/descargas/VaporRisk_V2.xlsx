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var\Desktop\REVISION HERRAMIENTAS RISK\VaporRisk_V2 Ultimo\"/>
    </mc:Choice>
  </mc:AlternateContent>
  <xr:revisionPtr revIDLastSave="0" documentId="13_ncr:1_{FC137A07-A0BE-4A58-B6C4-E45A4338D48C}" xr6:coauthVersionLast="47" xr6:coauthVersionMax="47" xr10:uidLastSave="{00000000-0000-0000-0000-000000000000}"/>
  <bookViews>
    <workbookView xWindow="-120" yWindow="-120" windowWidth="20730" windowHeight="11040" tabRatio="500" activeTab="0" xr2:uid="{00000000-000D-0000-FFFF-FFFF00000000}" firstSheet="0"/>
  </bookViews>
  <sheets>
    <sheet name="Portada" sheetId="1" r:id="rId1"/>
    <sheet name="Tabla NIOSH VP-SG" sheetId="2" r:id="rId2"/>
    <sheet name="Calculadora Antoine" sheetId="3" r:id="rId3"/>
    <sheet name="VaporRisk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F14" i="4" l="1"/>
  <c r="AE14" i="4"/>
  <c r="AD14" i="4"/>
  <c r="AG14" i="4" s="1"/>
  <c r="AH14" i="4" s="1"/>
  <c r="AB14" i="4"/>
  <c r="AC14" i="4" s="1"/>
  <c r="V14" i="4"/>
  <c r="U14" i="4"/>
  <c r="G14" i="4"/>
  <c r="H14" i="4" s="1"/>
  <c r="I14" i="4" s="1"/>
  <c r="AG13" i="4"/>
  <c r="AH13" i="4" s="1"/>
  <c r="AF13" i="4"/>
  <c r="AE13" i="4"/>
  <c r="AD13" i="4"/>
  <c r="AB13" i="4"/>
  <c r="AC13" i="4" s="1"/>
  <c r="V13" i="4"/>
  <c r="U13" i="4"/>
  <c r="G13" i="4"/>
  <c r="H13" i="4" s="1"/>
  <c r="I13" i="4" s="1"/>
  <c r="AH12" i="4"/>
  <c r="AG12" i="4"/>
  <c r="AF12" i="4"/>
  <c r="AE12" i="4"/>
  <c r="AD12" i="4"/>
  <c r="AB12" i="4"/>
  <c r="AC12" i="4" s="1"/>
  <c r="V12" i="4"/>
  <c r="U12" i="4"/>
  <c r="G12" i="4"/>
  <c r="H12" i="4" s="1"/>
  <c r="I12" i="4" s="1"/>
  <c r="AG11" i="4"/>
  <c r="AH11" i="4" s="1"/>
  <c r="AF11" i="4"/>
  <c r="AE11" i="4"/>
  <c r="AD11" i="4"/>
  <c r="AB11" i="4"/>
  <c r="AC11" i="4" s="1"/>
  <c r="V11" i="4"/>
  <c r="U11" i="4"/>
  <c r="G11" i="4"/>
  <c r="H11" i="4" s="1"/>
  <c r="I11" i="4" s="1"/>
  <c r="AF10" i="4"/>
  <c r="AE10" i="4"/>
  <c r="AD10" i="4"/>
  <c r="AG10" i="4" s="1"/>
  <c r="AH10" i="4" s="1"/>
  <c r="AB10" i="4"/>
  <c r="AC10" i="4" s="1"/>
  <c r="V10" i="4"/>
  <c r="U10" i="4"/>
  <c r="G10" i="4"/>
  <c r="H10" i="4" s="1"/>
  <c r="I10" i="4" s="1"/>
  <c r="AF9" i="4"/>
  <c r="AE9" i="4"/>
  <c r="AD9" i="4"/>
  <c r="AG9" i="4" s="1"/>
  <c r="AH9" i="4" s="1"/>
  <c r="AB9" i="4"/>
  <c r="AC9" i="4" s="1"/>
  <c r="V9" i="4"/>
  <c r="U9" i="4"/>
  <c r="G9" i="4"/>
  <c r="H9" i="4" s="1"/>
  <c r="I9" i="4" s="1"/>
  <c r="AF8" i="4"/>
  <c r="AE8" i="4"/>
  <c r="AD8" i="4"/>
  <c r="AG8" i="4" s="1"/>
  <c r="AH8" i="4" s="1"/>
  <c r="AB8" i="4"/>
  <c r="AC8" i="4" s="1"/>
  <c r="V8" i="4"/>
  <c r="U8" i="4"/>
  <c r="G8" i="4"/>
  <c r="H8" i="4" s="1"/>
  <c r="I8" i="4" s="1"/>
  <c r="AP7" i="4"/>
  <c r="AM7" i="4"/>
  <c r="AN7" i="4" s="1"/>
  <c r="AF7" i="4"/>
  <c r="AE7" i="4"/>
  <c r="AD7" i="4"/>
  <c r="AG7" i="4" s="1"/>
  <c r="Z7" i="4"/>
  <c r="AB7" i="4" s="1"/>
  <c r="AC7" i="4" s="1"/>
  <c r="V7" i="4"/>
  <c r="U7" i="4"/>
  <c r="G7" i="4"/>
  <c r="H7" i="4" s="1"/>
  <c r="I7" i="4" s="1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L11" i="4" l="1"/>
  <c r="J11" i="4"/>
  <c r="K11" i="4" s="1"/>
  <c r="L12" i="4"/>
  <c r="J12" i="4"/>
  <c r="K12" i="4" s="1"/>
  <c r="L14" i="4"/>
  <c r="J14" i="4"/>
  <c r="K14" i="4" s="1"/>
  <c r="J10" i="4"/>
  <c r="K10" i="4" s="1"/>
  <c r="L10" i="4"/>
  <c r="L8" i="4"/>
  <c r="J8" i="4"/>
  <c r="K8" i="4" s="1"/>
  <c r="L13" i="4"/>
  <c r="J13" i="4"/>
  <c r="K13" i="4" s="1"/>
  <c r="L7" i="4"/>
  <c r="J7" i="4"/>
  <c r="K7" i="4" s="1"/>
  <c r="AG15" i="4"/>
  <c r="AH15" i="4" s="1"/>
  <c r="AH7" i="4"/>
  <c r="J9" i="4"/>
  <c r="K9" i="4" s="1"/>
  <c r="L9" i="4"/>
</calcChain>
</file>

<file path=xl/sharedStrings.xml><?xml version="1.0" encoding="utf-8"?>
<sst xmlns="http://schemas.openxmlformats.org/spreadsheetml/2006/main" count="1804" uniqueCount="1589">
  <si>
    <t>TABLA DE CONSULTA NIOSH - PRESIÓN DE VAPOR (SUSTANCIAS LÍQUIDAS, 20°C)</t>
  </si>
  <si>
    <t>Fuente: NIOSH Pocket Guide to Chemical Hazards (cdc.gov/niosh/npg). Presión de vapor (VP) reportada por NIOSH a 68°F (20°C). Solo se incluyen sustancias que el NIOSH Pocket Guide describe como líquidas a condiciones normales (se excluyen gases y sólidos). Para sustancias o temperaturas distintas de 20°C, consultar: https://webbook.nist.gov/chemistry/</t>
  </si>
  <si>
    <t>Sustancia</t>
  </si>
  <si>
    <t>CAS</t>
  </si>
  <si>
    <t>Presión de Vapor
(mmHg, 20°C)</t>
  </si>
  <si>
    <t>Ácido acético</t>
  </si>
  <si>
    <t>64-19-7</t>
  </si>
  <si>
    <t>Acetona</t>
  </si>
  <si>
    <t>67-64-1</t>
  </si>
  <si>
    <t>Anilina</t>
  </si>
  <si>
    <t>62-53-3</t>
  </si>
  <si>
    <t>Benceno</t>
  </si>
  <si>
    <t>71-43-2</t>
  </si>
  <si>
    <t>Tetracloruro de carbono</t>
  </si>
  <si>
    <t>56-23-5</t>
  </si>
  <si>
    <t>Cloroformo</t>
  </si>
  <si>
    <t>67-66-3</t>
  </si>
  <si>
    <t>Ciclohexano</t>
  </si>
  <si>
    <t>110-82-7</t>
  </si>
  <si>
    <t>Alcohol etílico</t>
  </si>
  <si>
    <t>64-17-5</t>
  </si>
  <si>
    <t>Cloruro de metileno (diclorometano)</t>
  </si>
  <si>
    <t>75-09-2</t>
  </si>
  <si>
    <t>Acetato de propilo</t>
  </si>
  <si>
    <t>109-60-4</t>
  </si>
  <si>
    <t>Tolueno</t>
  </si>
  <si>
    <t>108-88-3</t>
  </si>
  <si>
    <t>n-Hexano</t>
  </si>
  <si>
    <t>110-54-3</t>
  </si>
  <si>
    <t>n-Heptano</t>
  </si>
  <si>
    <t>142-82-5</t>
  </si>
  <si>
    <t>Alcohol metílico (metanol)</t>
  </si>
  <si>
    <t>67-56-1</t>
  </si>
  <si>
    <t>Metil etil cetona (2-butanona)</t>
  </si>
  <si>
    <t>78-93-3</t>
  </si>
  <si>
    <t>Estireno</t>
  </si>
  <si>
    <t>100-42-5</t>
  </si>
  <si>
    <t>Tetracloroetileno</t>
  </si>
  <si>
    <t>127-18-4</t>
  </si>
  <si>
    <t>Etilbenceno</t>
  </si>
  <si>
    <t>100-41-4</t>
  </si>
  <si>
    <t>o-Diclorobenceno</t>
  </si>
  <si>
    <t>95-50-1</t>
  </si>
  <si>
    <t>Dicloruro de etileno (1,2-dicloroetano)</t>
  </si>
  <si>
    <t>107-06-2</t>
  </si>
  <si>
    <t>Acetato de etilo</t>
  </si>
  <si>
    <t>141-78-6</t>
  </si>
  <si>
    <t>Ácido fórmico</t>
  </si>
  <si>
    <t>64-18-6</t>
  </si>
  <si>
    <t>Ácido propiónico</t>
  </si>
  <si>
    <t>79-09-4</t>
  </si>
  <si>
    <t>Acetato de vinilo</t>
  </si>
  <si>
    <t>108-05-4</t>
  </si>
  <si>
    <t>n-Pentano</t>
  </si>
  <si>
    <t>109-66-0</t>
  </si>
  <si>
    <t>o-Xileno</t>
  </si>
  <si>
    <t>95-47-6</t>
  </si>
  <si>
    <t>m-Xileno</t>
  </si>
  <si>
    <t>108-38-3</t>
  </si>
  <si>
    <t>p-Xileno</t>
  </si>
  <si>
    <t>106-42-3</t>
  </si>
  <si>
    <t>Alcohol isopropílico (isopropanol, IPA)</t>
  </si>
  <si>
    <t>67-63-0</t>
  </si>
  <si>
    <t>Alcohol n-butílico (n-butanol)</t>
  </si>
  <si>
    <t>71-36-3</t>
  </si>
  <si>
    <t>Tricloroetileno</t>
  </si>
  <si>
    <t>79-01-6</t>
  </si>
  <si>
    <t>Metil isobutil cetona (MIBK)</t>
  </si>
  <si>
    <t>108-10-1</t>
  </si>
  <si>
    <t>Dimetilformamida (DMF)</t>
  </si>
  <si>
    <t>68-12-2</t>
  </si>
  <si>
    <t>Acetonitrilo</t>
  </si>
  <si>
    <t>75-05-8</t>
  </si>
  <si>
    <t>Éter etílico (dietil éter)</t>
  </si>
  <si>
    <t>60-29-7</t>
  </si>
  <si>
    <t>Ciclohexanona</t>
  </si>
  <si>
    <t>108-94-1</t>
  </si>
  <si>
    <t>1,1,1-Tricloroetano (cloroformo de metilo)</t>
  </si>
  <si>
    <t>71-55-6</t>
  </si>
  <si>
    <t>Etilenglicol</t>
  </si>
  <si>
    <t>107-21-1</t>
  </si>
  <si>
    <t>Clorobenceno</t>
  </si>
  <si>
    <t>108-90-7</t>
  </si>
  <si>
    <t>Nitrobenceno</t>
  </si>
  <si>
    <t>98-95-3</t>
  </si>
  <si>
    <t>Furfural</t>
  </si>
  <si>
    <t>98-01-1</t>
  </si>
  <si>
    <t>Trietilamina</t>
  </si>
  <si>
    <t>121-44-8</t>
  </si>
  <si>
    <t>Ácido sulfúrico (96-98%)</t>
  </si>
  <si>
    <t>7664-93-9</t>
  </si>
  <si>
    <t>Piridina</t>
  </si>
  <si>
    <t>110-86-1</t>
  </si>
  <si>
    <t>Acetato de n-butilo</t>
  </si>
  <si>
    <t>123-86-4</t>
  </si>
  <si>
    <t>Formiato de metilo</t>
  </si>
  <si>
    <t>107-31-3</t>
  </si>
  <si>
    <t>Acrilato de metilo</t>
  </si>
  <si>
    <t>96-33-3</t>
  </si>
  <si>
    <t>Acetato de isopropilo</t>
  </si>
  <si>
    <t>108-21-4</t>
  </si>
  <si>
    <t>Dietilamina</t>
  </si>
  <si>
    <t>109-89-7</t>
  </si>
  <si>
    <t>Etilendiamina</t>
  </si>
  <si>
    <t>107-15-3</t>
  </si>
  <si>
    <t>2-Dietilaminoetanol</t>
  </si>
  <si>
    <t>100-37-8</t>
  </si>
  <si>
    <t>Anhídrido acético</t>
  </si>
  <si>
    <t>108-24-7</t>
  </si>
  <si>
    <t>Acetato de sec-hexilo</t>
  </si>
  <si>
    <t>108-84-9</t>
  </si>
  <si>
    <t>Metil terc-butil éter (MTBE)</t>
  </si>
  <si>
    <t>1634-04-4</t>
  </si>
  <si>
    <t>Acetato de metilo</t>
  </si>
  <si>
    <t>79-20-9</t>
  </si>
  <si>
    <t>Acetato de metil Cellosolve (2-metoxietil acetato)</t>
  </si>
  <si>
    <t>110-49-6</t>
  </si>
  <si>
    <t>Acetato de sec-amilo</t>
  </si>
  <si>
    <t>626-38-0</t>
  </si>
  <si>
    <t>Cumeno (isopropilbenceno)</t>
  </si>
  <si>
    <t>98-82-8</t>
  </si>
  <si>
    <t>Tetrahidrofurano (THF)</t>
  </si>
  <si>
    <t>109-99-9</t>
  </si>
  <si>
    <t>Morfolina</t>
  </si>
  <si>
    <t>110-91-8</t>
  </si>
  <si>
    <t>Alcohol n-propílico (n-propanol)</t>
  </si>
  <si>
    <t>71-23-8</t>
  </si>
  <si>
    <t>n-Propil nitrato</t>
  </si>
  <si>
    <t>627-13-4</t>
  </si>
  <si>
    <t>Alcohol sec-butílico (2-butanol)</t>
  </si>
  <si>
    <t>78-92-2</t>
  </si>
  <si>
    <t>2-Butoxietanol (éter monobutílico de etilenglicol)</t>
  </si>
  <si>
    <t>111-76-2</t>
  </si>
  <si>
    <t>Metacrilato de metilo</t>
  </si>
  <si>
    <t>80-62-6</t>
  </si>
  <si>
    <t>Disulfuro de carbono</t>
  </si>
  <si>
    <t>75-15-0</t>
  </si>
  <si>
    <t>Alcohol isoamílico (primario)</t>
  </si>
  <si>
    <t>123-51-3</t>
  </si>
  <si>
    <t>Acetato de isoamilo</t>
  </si>
  <si>
    <t>123-92-2</t>
  </si>
  <si>
    <t>Alcohol isobutílico (isobutanol)</t>
  </si>
  <si>
    <t>78-83-1</t>
  </si>
  <si>
    <t>Ciclohexeno</t>
  </si>
  <si>
    <t>110-83-8</t>
  </si>
  <si>
    <t>Metilciclohexano</t>
  </si>
  <si>
    <t>108-87-2</t>
  </si>
  <si>
    <t>Dimetilacetamida (DMAC)</t>
  </si>
  <si>
    <t>127-19-5</t>
  </si>
  <si>
    <t>Nitroetano</t>
  </si>
  <si>
    <t>79-24-3</t>
  </si>
  <si>
    <t>2-Nitropropano</t>
  </si>
  <si>
    <t>79-46-9</t>
  </si>
  <si>
    <t>1,1-Dicloro-1-nitroetano</t>
  </si>
  <si>
    <t>594-72-9</t>
  </si>
  <si>
    <t>Nitrometano</t>
  </si>
  <si>
    <t>75-52-5</t>
  </si>
  <si>
    <t>Etanolamina (monoetanolamina)</t>
  </si>
  <si>
    <t>141-43-5</t>
  </si>
  <si>
    <t>Dietilcetona (3-pentanona)</t>
  </si>
  <si>
    <t>96-22-0</t>
  </si>
  <si>
    <t>Etil butil cetona (3-heptanona)</t>
  </si>
  <si>
    <t>106-35-4</t>
  </si>
  <si>
    <t>Diisobutil cetona</t>
  </si>
  <si>
    <t>108-83-8</t>
  </si>
  <si>
    <t>Methyl Cellosolve (2-metoxietanol)</t>
  </si>
  <si>
    <t>109-86-4</t>
  </si>
  <si>
    <t>2-Etoxietanol (Cellosolve)</t>
  </si>
  <si>
    <t>110-80-5</t>
  </si>
  <si>
    <t>Metilal (dimetoximetano)</t>
  </si>
  <si>
    <t>109-87-5</t>
  </si>
  <si>
    <t>Acetato de n-amilo</t>
  </si>
  <si>
    <t>628-63-7</t>
  </si>
  <si>
    <t>Ciclohexilamina</t>
  </si>
  <si>
    <t>108-91-8</t>
  </si>
  <si>
    <t>Diacetona alcohol</t>
  </si>
  <si>
    <t>123-42-2</t>
  </si>
  <si>
    <t>Metil propil cetona (2-pentanona)</t>
  </si>
  <si>
    <t>107-87-9</t>
  </si>
  <si>
    <t>Alcohol furfurílico</t>
  </si>
  <si>
    <t>98-00-0</t>
  </si>
  <si>
    <t>Diglicidil éter</t>
  </si>
  <si>
    <t>2238-07-5</t>
  </si>
  <si>
    <t>Alil glicidil éter</t>
  </si>
  <si>
    <t>106-92-3</t>
  </si>
  <si>
    <t>Alcohol alílico</t>
  </si>
  <si>
    <t>107-18-6</t>
  </si>
  <si>
    <t>Cloruro de alilo</t>
  </si>
  <si>
    <t>107-05-1</t>
  </si>
  <si>
    <t>Ácido acrílico</t>
  </si>
  <si>
    <t>79-10-7</t>
  </si>
  <si>
    <t>Acroleína</t>
  </si>
  <si>
    <t>107-02-8</t>
  </si>
  <si>
    <t>Acrilonitrilo</t>
  </si>
  <si>
    <t>107-13-1</t>
  </si>
  <si>
    <t>Bromoformo</t>
  </si>
  <si>
    <t>75-25-2</t>
  </si>
  <si>
    <t>Difluorodibromometano</t>
  </si>
  <si>
    <t>75-61-6</t>
  </si>
  <si>
    <t>1-Bromopropano (n-propil bromuro)</t>
  </si>
  <si>
    <t>106-94-5</t>
  </si>
  <si>
    <t>1,2-Dicloroetileno (mezcla isómeros)</t>
  </si>
  <si>
    <t>540-59-0</t>
  </si>
  <si>
    <t>1,1-Dicloroetano</t>
  </si>
  <si>
    <t>75-34-3</t>
  </si>
  <si>
    <t>Éter isopropílico (diisopropil éter)</t>
  </si>
  <si>
    <t>108-20-3</t>
  </si>
  <si>
    <t>Etilenclorhidrina (2-cloroetanol)</t>
  </si>
  <si>
    <t>107-07-3</t>
  </si>
  <si>
    <t>Etil amil cetona (5-metil-3-heptanona)</t>
  </si>
  <si>
    <t>541-85-5</t>
  </si>
  <si>
    <t>Metil n-amil cetona (2-heptanona)</t>
  </si>
  <si>
    <t>110-43-0</t>
  </si>
  <si>
    <t>Metilciclohexanol</t>
  </si>
  <si>
    <t>25639-42-3</t>
  </si>
  <si>
    <t>o-Metilciclohexanona</t>
  </si>
  <si>
    <t>583-60-8</t>
  </si>
  <si>
    <t>Metil isobutil carbinol (MIBC)</t>
  </si>
  <si>
    <t>108-11-2</t>
  </si>
  <si>
    <t>Metil isopropil cetona (MIPK)</t>
  </si>
  <si>
    <t>563-80-4</t>
  </si>
  <si>
    <t>Óxido de mesitilo</t>
  </si>
  <si>
    <t>141-79-7</t>
  </si>
  <si>
    <t>Metil isoamil cetona (MIAK)</t>
  </si>
  <si>
    <t>110-12-3</t>
  </si>
  <si>
    <t>Dietilentriamina (DETA)</t>
  </si>
  <si>
    <t>111-40-0</t>
  </si>
  <si>
    <t>o-Clorostireno</t>
  </si>
  <si>
    <t>2039-87-4</t>
  </si>
  <si>
    <t>1-Cloro-1-nitropropano</t>
  </si>
  <si>
    <t>600-25-9</t>
  </si>
  <si>
    <t>1,4-Dioxano</t>
  </si>
  <si>
    <t>123-91-1</t>
  </si>
  <si>
    <t>Diisocianato de tolueno (TDI, mezcla 2,4-/2,6-)</t>
  </si>
  <si>
    <t>584-84-9</t>
  </si>
  <si>
    <t>Carbitol (dietilenglicol monoetil éter)</t>
  </si>
  <si>
    <t>111-90-0</t>
  </si>
  <si>
    <t>Dietanolamina</t>
  </si>
  <si>
    <t>111-42-2</t>
  </si>
  <si>
    <t>CALCULADORA DE PRESIÓN DE VAPOR (ECUACIÓN DE ANTOINE)</t>
  </si>
  <si>
    <t>Calcula la presión de vapor (mmHg) de una sustancia pura a la temperatura que el usuario ingrese, mediante la ecuación de Antoine: log10(VP) = A − B / (T + C), con T en °C. Constantes A, B, C válidas para el rango de temperatura habitual de trabajo en higiene industrial. Modifique la columna 'Temperatura (°C)' (celdas rosadas) para recalcular. Para sustancias no incluidas aquí, consulte la hoja 'Tabla NIOSH VP-SG' (valor fijo a 20°C) o https://webbook.nist.gov/chemistry/ (sección 'Antoine Equation Parameters' o 'Fluid Properties').</t>
  </si>
  <si>
    <t>A</t>
  </si>
  <si>
    <t>B</t>
  </si>
  <si>
    <t>C</t>
  </si>
  <si>
    <t>Temperatura (°C)</t>
  </si>
  <si>
    <t>Presión de Vapor (mmHg)</t>
  </si>
  <si>
    <t>Alcohol bencílico</t>
  </si>
  <si>
    <t>100-51-6</t>
  </si>
  <si>
    <t>Bifenilo</t>
  </si>
  <si>
    <t>92-52-4</t>
  </si>
  <si>
    <t>Cloruro de n-butilo</t>
  </si>
  <si>
    <t>109-69-3</t>
  </si>
  <si>
    <t>Mercaptano de terc-butilo</t>
  </si>
  <si>
    <t>75-66-1</t>
  </si>
  <si>
    <t>Dicloruro de etileno</t>
  </si>
  <si>
    <t>Alcohol metílico</t>
  </si>
  <si>
    <t>Cloruro de metileno</t>
  </si>
  <si>
    <t>Metil etil cetona</t>
  </si>
  <si>
    <t>Fenol</t>
  </si>
  <si>
    <t>108-95-2</t>
  </si>
  <si>
    <t>Agua</t>
  </si>
  <si>
    <t>7732-18-5</t>
  </si>
  <si>
    <t>LIQUIDOS</t>
  </si>
  <si>
    <t>SOLIDOS</t>
  </si>
  <si>
    <t>CONTROL PROPUESTO</t>
  </si>
  <si>
    <t xml:space="preserve">                                          FASE 2: VENTILACIÓN GENERAL (ACH)</t>
  </si>
  <si>
    <t>DILUCIÓN QUÍMICA (CONSUMO G)</t>
  </si>
  <si>
    <t xml:space="preserve"> EXTRACCIÓN  LOCALIZADA (LEV)</t>
  </si>
  <si>
    <t xml:space="preserve">Sustancia </t>
  </si>
  <si>
    <t>%  Peso Ficha de Datos de Seguridad</t>
  </si>
  <si>
    <t>TLV-TWA</t>
  </si>
  <si>
    <t>Peso Molecular</t>
  </si>
  <si>
    <t>Presion de Vapor 
(mmHg)</t>
  </si>
  <si>
    <t>Moles</t>
  </si>
  <si>
    <t>Fraccion Molar</t>
  </si>
  <si>
    <t>Presion de Vapor Ajustada</t>
  </si>
  <si>
    <t>Razon de Riesgo de Vapor Ajustado</t>
  </si>
  <si>
    <t>Ratio de Riesgo (%)</t>
  </si>
  <si>
    <t>PM</t>
  </si>
  <si>
    <t>PV</t>
  </si>
  <si>
    <t>Concentracion Medida</t>
  </si>
  <si>
    <t>Indice de Exposicion</t>
  </si>
  <si>
    <t>Ancho (m)</t>
  </si>
  <si>
    <t>Largo (m)</t>
  </si>
  <si>
    <t>Alto (m)</t>
  </si>
  <si>
    <t>Volumen (m³)</t>
  </si>
  <si>
    <t>ACH Requerido</t>
  </si>
  <si>
    <t>Caudal (m³/h)</t>
  </si>
  <si>
    <t>Caudal (CFM)</t>
  </si>
  <si>
    <t>Consumo G (L/h)</t>
  </si>
  <si>
    <t>Densidad Sustancia (kg/L)</t>
  </si>
  <si>
    <t>Factor K</t>
  </si>
  <si>
    <t>Q Dilución (m³/h)</t>
  </si>
  <si>
    <t>Q Dilución (CFM)</t>
  </si>
  <si>
    <t>Tipo de Campana</t>
  </si>
  <si>
    <t>Distancia x (m)</t>
  </si>
  <si>
    <t>Área Campana A (m²)</t>
  </si>
  <si>
    <t>Velocidad Captura Recomendada (ACGIH) Vc (m/s)</t>
  </si>
  <si>
    <t>Q Captura (m³/h)</t>
  </si>
  <si>
    <t>Q Captura (CFM)</t>
  </si>
  <si>
    <t>Velocidad Ducto Vd (m/s)</t>
  </si>
  <si>
    <t>Diámetro Ducto (pulg)</t>
  </si>
  <si>
    <t>Acetaldehído</t>
  </si>
  <si>
    <t>75-07-0</t>
  </si>
  <si>
    <t>Acetamida</t>
  </si>
  <si>
    <t>60-35-5</t>
  </si>
  <si>
    <t>Acetamiprida</t>
  </si>
  <si>
    <t>135410-20-7</t>
  </si>
  <si>
    <t>108-24-8</t>
  </si>
  <si>
    <t>108-24-9</t>
  </si>
  <si>
    <t>108-24-10</t>
  </si>
  <si>
    <t>108-24-11</t>
  </si>
  <si>
    <t>108-24-12</t>
  </si>
  <si>
    <t>108-24-13</t>
  </si>
  <si>
    <t>108-24-14</t>
  </si>
  <si>
    <t>0107-02-08</t>
  </si>
  <si>
    <t>Acrilamida</t>
  </si>
  <si>
    <t>79-06-1</t>
  </si>
  <si>
    <t>Consumo Total Mezcla (L/h)</t>
  </si>
  <si>
    <t>Densidad Mezcla (kg/L)</t>
  </si>
  <si>
    <t>Factor K Global</t>
  </si>
  <si>
    <t>Ácido adípico</t>
  </si>
  <si>
    <t>0124-04-09</t>
  </si>
  <si>
    <t>Adiponitrilo</t>
  </si>
  <si>
    <t>111-69-3</t>
  </si>
  <si>
    <t>Alacloro</t>
  </si>
  <si>
    <t>15972-60-8</t>
  </si>
  <si>
    <t>Aldicarb</t>
  </si>
  <si>
    <t>0116-06-03</t>
  </si>
  <si>
    <t>Aldrín</t>
  </si>
  <si>
    <t>309-00-2</t>
  </si>
  <si>
    <t>alcohol alílico</t>
  </si>
  <si>
    <t>bromuro de alilo</t>
  </si>
  <si>
    <t>106-95-6</t>
  </si>
  <si>
    <t>cloruro de alilo</t>
  </si>
  <si>
    <t>0107-05-01</t>
  </si>
  <si>
    <t>Éter alílico glicidílico</t>
  </si>
  <si>
    <t>metacrilato de alilo</t>
  </si>
  <si>
    <t>96-05-9</t>
  </si>
  <si>
    <t>disulfuro de alilpropilo</t>
  </si>
  <si>
    <t>2179-59-1</t>
  </si>
  <si>
    <t>Metal de aluminio</t>
  </si>
  <si>
    <t>7429-90-5</t>
  </si>
  <si>
    <t>4-aminodifenilo</t>
  </si>
  <si>
    <t>92-67-1</t>
  </si>
  <si>
    <t>2-aminopiridina</t>
  </si>
  <si>
    <t>504-29-0</t>
  </si>
  <si>
    <t>Amitrol</t>
  </si>
  <si>
    <t>61-82-5</t>
  </si>
  <si>
    <t>Amoníaco</t>
  </si>
  <si>
    <t>7664-41-7</t>
  </si>
  <si>
    <t>Cloruro de amonio, humo</t>
  </si>
  <si>
    <t>1212-02-09</t>
  </si>
  <si>
    <t>Perfluorooctanoato de amonio</t>
  </si>
  <si>
    <t>3825-26-1</t>
  </si>
  <si>
    <t>sulfamato de amonio</t>
  </si>
  <si>
    <t>7773-06-0</t>
  </si>
  <si>
    <t>éter metílico de terc-amilo</t>
  </si>
  <si>
    <t>0994-05-08</t>
  </si>
  <si>
    <t>Isómero orto de anisidina (2002)</t>
  </si>
  <si>
    <t>90-04-0</t>
  </si>
  <si>
    <t>Isómero para de anisidina (2002)</t>
  </si>
  <si>
    <t>104-94-9</t>
  </si>
  <si>
    <t>Antimonio</t>
  </si>
  <si>
    <t>7440-36-0</t>
  </si>
  <si>
    <t>hidruro de antimonio</t>
  </si>
  <si>
    <t>7803-52-3</t>
  </si>
  <si>
    <t>Trióxido de antimonio</t>
  </si>
  <si>
    <t>1309-64-4</t>
  </si>
  <si>
    <t>ANTU</t>
  </si>
  <si>
    <t>86-88-4</t>
  </si>
  <si>
    <t>Argón</t>
  </si>
  <si>
    <t>7440-37-1</t>
  </si>
  <si>
    <t>Arsénico</t>
  </si>
  <si>
    <t>7440-38-2</t>
  </si>
  <si>
    <t>Arsina</t>
  </si>
  <si>
    <t>7784-42-1</t>
  </si>
  <si>
    <t>Amianto</t>
  </si>
  <si>
    <t>1332-21-4</t>
  </si>
  <si>
    <t>Humos de asfalto (betún)</t>
  </si>
  <si>
    <t>8052-42-4</t>
  </si>
  <si>
    <t>Atrazina</t>
  </si>
  <si>
    <t>1912-24-9</t>
  </si>
  <si>
    <t>Azinfos-metil</t>
  </si>
  <si>
    <t>86-50-0</t>
  </si>
  <si>
    <t>Bario</t>
  </si>
  <si>
    <t>7440-39-3</t>
  </si>
  <si>
    <t>sulfato de bario</t>
  </si>
  <si>
    <t>7727-43-7</t>
  </si>
  <si>
    <t>Bendiocarb</t>
  </si>
  <si>
    <t>22781-23-3</t>
  </si>
  <si>
    <t>Benomilo</t>
  </si>
  <si>
    <t>17804-35-2</t>
  </si>
  <si>
    <t>Benz</t>
  </si>
  <si>
    <t>56-55-3</t>
  </si>
  <si>
    <t>Bensulida</t>
  </si>
  <si>
    <t>741-58-2</t>
  </si>
  <si>
    <t>Benzidina</t>
  </si>
  <si>
    <t>92-87-5</t>
  </si>
  <si>
    <t>Benzo</t>
  </si>
  <si>
    <t>205-99-2</t>
  </si>
  <si>
    <t>50-32-8</t>
  </si>
  <si>
    <t>Ácido benzoico y benzoatos alcalinos (2021) Ácido benzoico</t>
  </si>
  <si>
    <t>65-85-0</t>
  </si>
  <si>
    <t>Benzoato de sodio, como benzoato</t>
  </si>
  <si>
    <t>532-32-1</t>
  </si>
  <si>
    <t>Benzoato de potasio, como benzoato</t>
  </si>
  <si>
    <t>582-25-2</t>
  </si>
  <si>
    <t>Benzoquinona</t>
  </si>
  <si>
    <t>106-51-4</t>
  </si>
  <si>
    <t>Benzotricloruro</t>
  </si>
  <si>
    <t>98-07-7</t>
  </si>
  <si>
    <t>cloruro de benzoilo</t>
  </si>
  <si>
    <t>98-88-4</t>
  </si>
  <si>
    <t>Peróxido de benzoilo</t>
  </si>
  <si>
    <t>94-36-0</t>
  </si>
  <si>
    <t>acetato de bencilo</t>
  </si>
  <si>
    <t>0140-11-4</t>
  </si>
  <si>
    <t>cloruro de bencilo</t>
  </si>
  <si>
    <t>100-44-7</t>
  </si>
  <si>
    <t>Berilio</t>
  </si>
  <si>
    <t>7440-41-7</t>
  </si>
  <si>
    <t>Sin dopar, como Bi2Te3</t>
  </si>
  <si>
    <t>Telururo de bismuto</t>
  </si>
  <si>
    <t>1304-82-1</t>
  </si>
  <si>
    <t>Compuestos de borato, inorgánicos</t>
  </si>
  <si>
    <t>1303-96-4; 1330-43-4</t>
  </si>
  <si>
    <t>óxido de boro</t>
  </si>
  <si>
    <t>1303-86-2</t>
  </si>
  <si>
    <t>Tribromuro de boro</t>
  </si>
  <si>
    <t>10294-33-4</t>
  </si>
  <si>
    <t>tricloruro de boro</t>
  </si>
  <si>
    <t>10294-34-5</t>
  </si>
  <si>
    <t>Trifluoruro de boro</t>
  </si>
  <si>
    <t>Éteres de trifluoruro de boro</t>
  </si>
  <si>
    <t>109-63-7; 353-42-4</t>
  </si>
  <si>
    <t>Bromacilo</t>
  </si>
  <si>
    <t>314-40-9</t>
  </si>
  <si>
    <t>Bromo</t>
  </si>
  <si>
    <t>7726-95-6</t>
  </si>
  <si>
    <t>pentafluoruro de bromo</t>
  </si>
  <si>
    <t>7789-30-2</t>
  </si>
  <si>
    <t>Bromoform</t>
  </si>
  <si>
    <t>1-bromopropano</t>
  </si>
  <si>
    <t>Buprofezina</t>
  </si>
  <si>
    <t>69327-76-0</t>
  </si>
  <si>
    <t>1,3-butadieno</t>
  </si>
  <si>
    <t>106-99-0</t>
  </si>
  <si>
    <t>Butano, isómeros</t>
  </si>
  <si>
    <t>75-28-5; 106-97-8</t>
  </si>
  <si>
    <t>n-butanol</t>
  </si>
  <si>
    <t>sec-butanol</t>
  </si>
  <si>
    <t>terc-butanol</t>
  </si>
  <si>
    <t>75-65-0</t>
  </si>
  <si>
    <t>Butenos, todos los isómeros</t>
  </si>
  <si>
    <t>106-98-9; 107-01-7;, 590-18-1; 624-64-6; 25167-67-3</t>
  </si>
  <si>
    <t>2-butoxietanol</t>
  </si>
  <si>
    <t>acetato de 2-butoxietilo</t>
  </si>
  <si>
    <t>0112-07-02</t>
  </si>
  <si>
    <t>Acetatos de butilo, todos los isómeros</t>
  </si>
  <si>
    <t>105-46-4; 110-19-0;, 123-86-4; 540-88-5</t>
  </si>
  <si>
    <t>hidroxitolueno butilado</t>
  </si>
  <si>
    <t>128-37-0</t>
  </si>
  <si>
    <t>acrilato de n-butilo</t>
  </si>
  <si>
    <t>141-32-2</t>
  </si>
  <si>
    <t>n-butilamina</t>
  </si>
  <si>
    <t>109-73-9</t>
  </si>
  <si>
    <t>n-butil glicidil éter</t>
  </si>
  <si>
    <t>lactato de n-butilo</t>
  </si>
  <si>
    <t>138-22-7</t>
  </si>
  <si>
    <t>n-butil mercaptano</t>
  </si>
  <si>
    <t>109-79-5</t>
  </si>
  <si>
    <t>o-sec-butilfenol</t>
  </si>
  <si>
    <t>89-72-5</t>
  </si>
  <si>
    <t>p-terc-butiltolueno</t>
  </si>
  <si>
    <t>98-51-1</t>
  </si>
  <si>
    <t>Ácido 4-terc-butilbenzoico</t>
  </si>
  <si>
    <t>98-73-7</t>
  </si>
  <si>
    <t>cromato de terc-butilo, como CrO3</t>
  </si>
  <si>
    <t>1189-85-1</t>
  </si>
  <si>
    <t>hidroperóxido de terc-butilo</t>
  </si>
  <si>
    <t>75-91-2</t>
  </si>
  <si>
    <t>Cadmio</t>
  </si>
  <si>
    <t>7440-43-9</t>
  </si>
  <si>
    <t>Cadusafos</t>
  </si>
  <si>
    <t>95465-99-9</t>
  </si>
  <si>
    <t>cianamida de calcio</t>
  </si>
  <si>
    <t>156-62-7</t>
  </si>
  <si>
    <t>hidróxido de calcio</t>
  </si>
  <si>
    <t>1305-62-0</t>
  </si>
  <si>
    <t>Óxido de calcio</t>
  </si>
  <si>
    <t>1305-78-8</t>
  </si>
  <si>
    <t>Silicato de calcio, que se presenta de forma natural como wollastonita</t>
  </si>
  <si>
    <t>13983-17-0</t>
  </si>
  <si>
    <t>sulfato de calcio</t>
  </si>
  <si>
    <t>7778-18-9; 10034-76-1; 10101-41-4; 13397-24-5</t>
  </si>
  <si>
    <t>Alcanfor sintético</t>
  </si>
  <si>
    <t>76-22-2</t>
  </si>
  <si>
    <t>Caprolactama</t>
  </si>
  <si>
    <t>105-60-2</t>
  </si>
  <si>
    <t>Captafol</t>
  </si>
  <si>
    <t>Capitán</t>
  </si>
  <si>
    <t>0133-06-02</t>
  </si>
  <si>
    <t>Carbaril</t>
  </si>
  <si>
    <t>63-25-2</t>
  </si>
  <si>
    <t>Carbofurano</t>
  </si>
  <si>
    <t>1563-66-2</t>
  </si>
  <si>
    <t>Negro carbón</t>
  </si>
  <si>
    <t>1333-86-4</t>
  </si>
  <si>
    <t>Dióxido de carbono</t>
  </si>
  <si>
    <t>124-38-9</t>
  </si>
  <si>
    <t>disulfuro de carbono</t>
  </si>
  <si>
    <t>‡ Monóxido de carbono</t>
  </si>
  <si>
    <t>630-08-0</t>
  </si>
  <si>
    <t>Tetrabromuro de carbono</t>
  </si>
  <si>
    <t>558-13-4</t>
  </si>
  <si>
    <t>fluoruro de carbonilo</t>
  </si>
  <si>
    <t>353-50-4</t>
  </si>
  <si>
    <t>sulfuro de carbonilo</t>
  </si>
  <si>
    <t>463-58-1</t>
  </si>
  <si>
    <t>Carfentrazona-etilo</t>
  </si>
  <si>
    <t>128639-02-1</t>
  </si>
  <si>
    <t>Catecol</t>
  </si>
  <si>
    <t>120-80-9</t>
  </si>
  <si>
    <t>Celulosa</t>
  </si>
  <si>
    <t>9004-34-6</t>
  </si>
  <si>
    <t>hidróxido de cesio</t>
  </si>
  <si>
    <t>21351-79-1</t>
  </si>
  <si>
    <t>Clordano</t>
  </si>
  <si>
    <t>57-74-9</t>
  </si>
  <si>
    <t>Canfeno clorado</t>
  </si>
  <si>
    <t>8001-35-2</t>
  </si>
  <si>
    <t>Óxido de difenilo clorado</t>
  </si>
  <si>
    <t>31242-93-0</t>
  </si>
  <si>
    <t>Cloro</t>
  </si>
  <si>
    <t>7782-50-5</t>
  </si>
  <si>
    <t>dióxido de cloro</t>
  </si>
  <si>
    <t>1004-04-04</t>
  </si>
  <si>
    <t>Trifluoruro de cloro</t>
  </si>
  <si>
    <t>7790-91-2</t>
  </si>
  <si>
    <t>Cloroacetaldehído</t>
  </si>
  <si>
    <t>107-20-0</t>
  </si>
  <si>
    <t>Cloroacetona</t>
  </si>
  <si>
    <t>78-95-5</t>
  </si>
  <si>
    <t>2-cloroacetofenona</t>
  </si>
  <si>
    <t>532-27-4</t>
  </si>
  <si>
    <t>Cloruro de cloroacetilo</t>
  </si>
  <si>
    <t>79-04-9</t>
  </si>
  <si>
    <t>o-clorobencilideno malononitrilo</t>
  </si>
  <si>
    <t>2698-41-1</t>
  </si>
  <si>
    <t>Clorobromometano</t>
  </si>
  <si>
    <t>74-97-5</t>
  </si>
  <si>
    <t>Clorodifluorometano</t>
  </si>
  <si>
    <t>75-45-6</t>
  </si>
  <si>
    <t>Clorodifenilo (42% cloro)</t>
  </si>
  <si>
    <t>53469-21-9</t>
  </si>
  <si>
    <t>Clorodifenilo (54% cloro)</t>
  </si>
  <si>
    <t>11097-69-1</t>
  </si>
  <si>
    <t>éter bis(clorometílico)</t>
  </si>
  <si>
    <t>542-88-1</t>
  </si>
  <si>
    <t>éter metílico de clorometilo</t>
  </si>
  <si>
    <t>107-30-2</t>
  </si>
  <si>
    <t>1-cloro-1-nitropropano</t>
  </si>
  <si>
    <t>Clorpentafluoroetano</t>
  </si>
  <si>
    <t>76-15-3</t>
  </si>
  <si>
    <t>Cloropicrina</t>
  </si>
  <si>
    <t>76-06-2</t>
  </si>
  <si>
    <t>E-cloropreno</t>
  </si>
  <si>
    <t>126-99-8</t>
  </si>
  <si>
    <t>1-Cloro-2-propanol</t>
  </si>
  <si>
    <t>127-00-4</t>
  </si>
  <si>
    <t>2-cloro-1-propanol</t>
  </si>
  <si>
    <t>78-89-7</t>
  </si>
  <si>
    <t>Ácido 2-cloropropiónico</t>
  </si>
  <si>
    <t>598-78-7</t>
  </si>
  <si>
    <t>o-cloroestireno</t>
  </si>
  <si>
    <t>o-clorotolueno</t>
  </si>
  <si>
    <t>95-49-8</t>
  </si>
  <si>
    <t>Clorpirifos</t>
  </si>
  <si>
    <t>2921-88-2</t>
  </si>
  <si>
    <t>Cromo,</t>
  </si>
  <si>
    <t>7440-47-3</t>
  </si>
  <si>
    <t>Cromo metálico, como Cr(0)</t>
  </si>
  <si>
    <t>Compuestos de cromo trivalente, como Cr(III)</t>
  </si>
  <si>
    <t>Compuestos de cromo hexavalente, como Cr(VI)</t>
  </si>
  <si>
    <t>Cloruro de cromilo</t>
  </si>
  <si>
    <t>14977-61-8</t>
  </si>
  <si>
    <t>Criseno</t>
  </si>
  <si>
    <t>0218-01-09</t>
  </si>
  <si>
    <t>Citral</t>
  </si>
  <si>
    <t>5392-40-5</t>
  </si>
  <si>
    <t>Clopidol</t>
  </si>
  <si>
    <t>2971-90-6</t>
  </si>
  <si>
    <t>Clotianidina</t>
  </si>
  <si>
    <t>210880-92-5</t>
  </si>
  <si>
    <t>Polvo de carbón (1998) Antracita</t>
  </si>
  <si>
    <t>Polvo de carbón (1998) Bituminoso o lignito</t>
  </si>
  <si>
    <t>308062-82-0</t>
  </si>
  <si>
    <t>Volátiles de brea de hulla</t>
  </si>
  <si>
    <t>65996-93-2</t>
  </si>
  <si>
    <t>Cobalto</t>
  </si>
  <si>
    <t>7440-48-4</t>
  </si>
  <si>
    <t>Carbonilo de cobalto</t>
  </si>
  <si>
    <t>10210-68-1</t>
  </si>
  <si>
    <t>Hidrocarburo de cobalto</t>
  </si>
  <si>
    <t>1684-03-08</t>
  </si>
  <si>
    <t>Cobre</t>
  </si>
  <si>
    <t>7440-50-8</t>
  </si>
  <si>
    <t>Polvos y nieblas, como Cu</t>
  </si>
  <si>
    <t>Polvo de algodón, crudo, sin tratar (2010)</t>
  </si>
  <si>
    <t>Cumafos</t>
  </si>
  <si>
    <t>56-72-4</t>
  </si>
  <si>
    <t>Cresol, todos los isómeros</t>
  </si>
  <si>
    <t>95-48-7; 106-44-5;108-39-4; 1319-77-3] (2010)</t>
  </si>
  <si>
    <t>Crotonaldehído</t>
  </si>
  <si>
    <t>4170-30-3</t>
  </si>
  <si>
    <t>Crufomato</t>
  </si>
  <si>
    <t>299-86-5</t>
  </si>
  <si>
    <t>Cumeno</t>
  </si>
  <si>
    <t>Cianamida</t>
  </si>
  <si>
    <t>0420-04-02</t>
  </si>
  <si>
    <t>Cianazina</t>
  </si>
  <si>
    <t>21725-46-2</t>
  </si>
  <si>
    <t>Cianoacrilatos, Etilo</t>
  </si>
  <si>
    <t>7085-85-0</t>
  </si>
  <si>
    <t>Cianogeno</t>
  </si>
  <si>
    <t>460-19-5</t>
  </si>
  <si>
    <t>bromuro de cianógeno</t>
  </si>
  <si>
    <t>506-68-3</t>
  </si>
  <si>
    <t>cloruro de cianógeno</t>
  </si>
  <si>
    <t>506-77-4</t>
  </si>
  <si>
    <t>ciclohexano</t>
  </si>
  <si>
    <t>Ciclohexanol</t>
  </si>
  <si>
    <t>108-93-0</t>
  </si>
  <si>
    <t>ciclohexanona</t>
  </si>
  <si>
    <t>ciclohexeno</t>
  </si>
  <si>
    <t>ciclohexilamina</t>
  </si>
  <si>
    <t>Ciclonita</t>
  </si>
  <si>
    <t>121-82-4</t>
  </si>
  <si>
    <t>ciclopentano</t>
  </si>
  <si>
    <t>287-92-3</t>
  </si>
  <si>
    <t>Cihexatina</t>
  </si>
  <si>
    <t>13121-70-5</t>
  </si>
  <si>
    <t>Ciromazina</t>
  </si>
  <si>
    <t>66215-27-8</t>
  </si>
  <si>
    <t>2,4-D</t>
  </si>
  <si>
    <t>94-75-7</t>
  </si>
  <si>
    <t>DDT</t>
  </si>
  <si>
    <t>50-29-3</t>
  </si>
  <si>
    <t>Decaborano</t>
  </si>
  <si>
    <t>17702-41-9</t>
  </si>
  <si>
    <t>Demetón</t>
  </si>
  <si>
    <t>8065-48-3</t>
  </si>
  <si>
    <t>Demeton-S-metilo</t>
  </si>
  <si>
    <t>919-86-8</t>
  </si>
  <si>
    <t>Desflurano</t>
  </si>
  <si>
    <t>57041-67-5</t>
  </si>
  <si>
    <t>Alcohol de diacetona</t>
  </si>
  <si>
    <t>Diacetilo</t>
  </si>
  <si>
    <t>0431-03-08</t>
  </si>
  <si>
    <t>Diazinón</t>
  </si>
  <si>
    <t>333-41-5</t>
  </si>
  <si>
    <t>Diazometano</t>
  </si>
  <si>
    <t>334-88-3</t>
  </si>
  <si>
    <t>Diborano</t>
  </si>
  <si>
    <t>19287-45-7</t>
  </si>
  <si>
    <t>2-N-dibutilaminoetanol</t>
  </si>
  <si>
    <t>102-81-8</t>
  </si>
  <si>
    <t>Fosfato de dibutilfenilo</t>
  </si>
  <si>
    <t>2528-36-1</t>
  </si>
  <si>
    <t>Fosfato de dibutilo</t>
  </si>
  <si>
    <t>107-66-4</t>
  </si>
  <si>
    <t>ftalato de dibutilo</t>
  </si>
  <si>
    <t>84-74-2</t>
  </si>
  <si>
    <t>Ácido dicloroacético</t>
  </si>
  <si>
    <t>79-43-6</t>
  </si>
  <si>
    <t>Dicloroacetileno</t>
  </si>
  <si>
    <t>7572-29-4</t>
  </si>
  <si>
    <t>o-diclorobenceno</t>
  </si>
  <si>
    <t>p-diclorobenceno</t>
  </si>
  <si>
    <t>106-46-7</t>
  </si>
  <si>
    <t>3,3’-Diclorobencidina</t>
  </si>
  <si>
    <t>91-94-1</t>
  </si>
  <si>
    <t>1,4-dicloro-2-buteno</t>
  </si>
  <si>
    <t>764-41-0</t>
  </si>
  <si>
    <t>Diclorodifluorometano</t>
  </si>
  <si>
    <t>75-71-8</t>
  </si>
  <si>
    <t>1,3-Dicloro-5,5-dimetilhidantoína</t>
  </si>
  <si>
    <t>118-52-5</t>
  </si>
  <si>
    <t>1,1-dicloroetano</t>
  </si>
  <si>
    <t>1,2-Dicloroetileno, todos los isómeros</t>
  </si>
  <si>
    <t>[156-59-2; 156-60-5; 540-59-0] (1990)</t>
  </si>
  <si>
    <t>Éter dicloroetílico</t>
  </si>
  <si>
    <t>111-44-4</t>
  </si>
  <si>
    <t>Diclorofluorometano</t>
  </si>
  <si>
    <t>75-43-4</t>
  </si>
  <si>
    <t>Diclorometano</t>
  </si>
  <si>
    <t>1,1-dicloro-1-nitroetano</t>
  </si>
  <si>
    <t>1,3-dicloropropeno</t>
  </si>
  <si>
    <t>542-75-6</t>
  </si>
  <si>
    <t>Ácido 2,2-dicloropropiónico</t>
  </si>
  <si>
    <t>75-99-0</t>
  </si>
  <si>
    <t>Diclorotetrafluoroetano</t>
  </si>
  <si>
    <t>76-14-2</t>
  </si>
  <si>
    <t>Diclorvos</t>
  </si>
  <si>
    <t>62-73-7</t>
  </si>
  <si>
    <t>Dicrotofos</t>
  </si>
  <si>
    <t>141-66-2</t>
  </si>
  <si>
    <t>Diciclopentadieno</t>
  </si>
  <si>
    <t>77-73-6</t>
  </si>
  <si>
    <t>Hierro diciclopentadienílico, como Fe</t>
  </si>
  <si>
    <t>102-54-5</t>
  </si>
  <si>
    <t>Dieldrín</t>
  </si>
  <si>
    <t>60-57-1</t>
  </si>
  <si>
    <t>Gasóleo</t>
  </si>
  <si>
    <t>68334-30-5; 68476-30-2; 68476-31-3;, 68476-34-6</t>
  </si>
  <si>
    <t>2-dietilaminoetanol</t>
  </si>
  <si>
    <t>Éter monobutílico de dietilenglicol</t>
  </si>
  <si>
    <t>112-34-5</t>
  </si>
  <si>
    <t>Dietilentriamina</t>
  </si>
  <si>
    <t>ftalato de di(2-etilhexilo)</t>
  </si>
  <si>
    <t>117-81-7</t>
  </si>
  <si>
    <t>N,N-Dietilhidroxilamina</t>
  </si>
  <si>
    <t>3710-84-7</t>
  </si>
  <si>
    <t>Dietilcetona</t>
  </si>
  <si>
    <t>ftalato de dietilo</t>
  </si>
  <si>
    <t>84-66-2</t>
  </si>
  <si>
    <t>Éter diglicidílico</t>
  </si>
  <si>
    <t>Diisobutilcetona</t>
  </si>
  <si>
    <t>Diisopropilamina</t>
  </si>
  <si>
    <t>108-18-9</t>
  </si>
  <si>
    <t>Dimetenamida-P</t>
  </si>
  <si>
    <t>163515-14-8</t>
  </si>
  <si>
    <t>Dimetilacetamida</t>
  </si>
  <si>
    <t>Dimetilamina</t>
  </si>
  <si>
    <t>124-40-3</t>
  </si>
  <si>
    <t>éter bis(2-dimetilaminoetílico)</t>
  </si>
  <si>
    <t>3033-62-3</t>
  </si>
  <si>
    <t>Dimetilanilina</t>
  </si>
  <si>
    <t>121-69-7</t>
  </si>
  <si>
    <t>cloruro de dimetilcarbamoilo</t>
  </si>
  <si>
    <t>79-44-7</t>
  </si>
  <si>
    <t>disulfuro de dimetilo</t>
  </si>
  <si>
    <t>624-92-0</t>
  </si>
  <si>
    <t>Dimetiletoxisilano</t>
  </si>
  <si>
    <t>14857-34-2</t>
  </si>
  <si>
    <t>Dimetilformamida</t>
  </si>
  <si>
    <t>1,1-dimetilhidrazina</t>
  </si>
  <si>
    <t>57-14-7</t>
  </si>
  <si>
    <t>Dimetilfenol, todos los isómeros</t>
  </si>
  <si>
    <t>ftalato de dimetilo</t>
  </si>
  <si>
    <t>0131-11-3</t>
  </si>
  <si>
    <t>sulfato de dimetilo</t>
  </si>
  <si>
    <t>77-78-1</t>
  </si>
  <si>
    <t>sulfuro de dimetilo</t>
  </si>
  <si>
    <t>75-18-3</t>
  </si>
  <si>
    <t>Dinitrobenceno, todos los isómeros</t>
  </si>
  <si>
    <t>99-65-0; 100-25-4;, 528-29-0; 25154-54-5</t>
  </si>
  <si>
    <t>Dinitro-o-cresol</t>
  </si>
  <si>
    <t>534-52-1</t>
  </si>
  <si>
    <t>3,5-Dinitro-o-toluamida</t>
  </si>
  <si>
    <t>0148-01-06</t>
  </si>
  <si>
    <t>Dinitrotolueno</t>
  </si>
  <si>
    <t>25321-14-6</t>
  </si>
  <si>
    <t>Dioxatión</t>
  </si>
  <si>
    <t>78-34-2</t>
  </si>
  <si>
    <t>1,3-dioxolano</t>
  </si>
  <si>
    <t>646-06-0</t>
  </si>
  <si>
    <t>Difenilamina</t>
  </si>
  <si>
    <t>122-39-4</t>
  </si>
  <si>
    <t>Dipropilcetona</t>
  </si>
  <si>
    <t>123-19-3</t>
  </si>
  <si>
    <t>Éter metílico de dipropilenglicol (DPGME)</t>
  </si>
  <si>
    <t>13429-07-7; 13588-28-8; 20324-32-7; 34590-, 94-8; 55956-21-3</t>
  </si>
  <si>
    <t>Diquat</t>
  </si>
  <si>
    <t>85-00-7; 2764-72-9; 6385-62-2</t>
  </si>
  <si>
    <t>Disulfiram</t>
  </si>
  <si>
    <t>97-77-8</t>
  </si>
  <si>
    <t>Disulfoton</t>
  </si>
  <si>
    <t>0298-04-04</t>
  </si>
  <si>
    <t>Diurón</t>
  </si>
  <si>
    <t>330-54-1</t>
  </si>
  <si>
    <t>Divinilbenceno</t>
  </si>
  <si>
    <t>1321-74-0</t>
  </si>
  <si>
    <t>Mezclas de divinilbenceno y etilestireno, como isómeros totales de divinilbenceno</t>
  </si>
  <si>
    <t>69011-19-4; 7525-62-4; 108-57-6; 105-06-6</t>
  </si>
  <si>
    <t>Dodecil mercaptano</t>
  </si>
  <si>
    <t>112-55-0</t>
  </si>
  <si>
    <t>Endosulfán</t>
  </si>
  <si>
    <t>115-29-7</t>
  </si>
  <si>
    <t>Endotoxinas</t>
  </si>
  <si>
    <t>67924-63-4</t>
  </si>
  <si>
    <t>Endrina</t>
  </si>
  <si>
    <t>72-20-8</t>
  </si>
  <si>
    <t>Enflurano</t>
  </si>
  <si>
    <t>13838-16-9</t>
  </si>
  <si>
    <t>Epiclorhidrina</t>
  </si>
  <si>
    <t>106-89-8</t>
  </si>
  <si>
    <t>EPN</t>
  </si>
  <si>
    <t>2104-64-5</t>
  </si>
  <si>
    <t>Etano</t>
  </si>
  <si>
    <t>74-84-0</t>
  </si>
  <si>
    <t>Etanol</t>
  </si>
  <si>
    <t>Etanolamina</t>
  </si>
  <si>
    <t>Etión</t>
  </si>
  <si>
    <t>0563-12-2</t>
  </si>
  <si>
    <t>2-etoxietanol</t>
  </si>
  <si>
    <t>acetato de 2-etoxietilo</t>
  </si>
  <si>
    <t>111-15-9</t>
  </si>
  <si>
    <t>acetato de etilo</t>
  </si>
  <si>
    <t>acrilato de etilo</t>
  </si>
  <si>
    <t>140-88-5</t>
  </si>
  <si>
    <t>Etilamina</t>
  </si>
  <si>
    <t>75-04-7</t>
  </si>
  <si>
    <t>Etil amil cetona</t>
  </si>
  <si>
    <t>bromuro de etilo</t>
  </si>
  <si>
    <t>74-96-4</t>
  </si>
  <si>
    <t>Éter etílico terc-butílico</t>
  </si>
  <si>
    <t>637-92-3</t>
  </si>
  <si>
    <t>Etilbutilcetona</t>
  </si>
  <si>
    <t>cloruro de etilo</t>
  </si>
  <si>
    <t>75-00-3</t>
  </si>
  <si>
    <t>Etileno</t>
  </si>
  <si>
    <t>74-85-1</t>
  </si>
  <si>
    <t>Clorhidrina de etileno</t>
  </si>
  <si>
    <t>0107-07-03</t>
  </si>
  <si>
    <t>etilendiamina</t>
  </si>
  <si>
    <t>Dibromuro de etileno</t>
  </si>
  <si>
    <t>106-93-4</t>
  </si>
  <si>
    <t>dicloruro de etileno</t>
  </si>
  <si>
    <t>0107-06-02</t>
  </si>
  <si>
    <t>Glicol etileno</t>
  </si>
  <si>
    <t>Éter dimetílico de etilenglicol</t>
  </si>
  <si>
    <t>110-71-4</t>
  </si>
  <si>
    <t>Dinitrato de etilenglicol</t>
  </si>
  <si>
    <t>628-96-6</t>
  </si>
  <si>
    <t>Óxido de etileno</t>
  </si>
  <si>
    <t>75-21-8</t>
  </si>
  <si>
    <t>Etilenimina</t>
  </si>
  <si>
    <t>151-56-4</t>
  </si>
  <si>
    <t>Éter etílico</t>
  </si>
  <si>
    <t>formato de etilo</t>
  </si>
  <si>
    <t>109-94-4</t>
  </si>
  <si>
    <t>Ácido 2-etilhexanoico</t>
  </si>
  <si>
    <t>149-57-5</t>
  </si>
  <si>
    <t>2-etil-1-hexanol</t>
  </si>
  <si>
    <t>104-76-7</t>
  </si>
  <si>
    <t>Etilideno norborneno</t>
  </si>
  <si>
    <t>16219-75-3</t>
  </si>
  <si>
    <t>isocianato de etilo</t>
  </si>
  <si>
    <t>109-90-0</t>
  </si>
  <si>
    <t>Etilmercaptano</t>
  </si>
  <si>
    <t>75-08-1</t>
  </si>
  <si>
    <t>N-etilmorfolina</t>
  </si>
  <si>
    <t>100-74-3</t>
  </si>
  <si>
    <t>silicato de etilo</t>
  </si>
  <si>
    <t>78-10-4</t>
  </si>
  <si>
    <t>Fenamifos</t>
  </si>
  <si>
    <t>22224-92-6</t>
  </si>
  <si>
    <t>Fenoxicarb</t>
  </si>
  <si>
    <t>Fensulfotión</t>
  </si>
  <si>
    <t>115-90-2</t>
  </si>
  <si>
    <t>Fentanilo</t>
  </si>
  <si>
    <t>437-38-7</t>
  </si>
  <si>
    <t>como Fentanilo (2023)</t>
  </si>
  <si>
    <t>fentión</t>
  </si>
  <si>
    <t>55-38-9</t>
  </si>
  <si>
    <t>Ferbam</t>
  </si>
  <si>
    <t>14484-64-1</t>
  </si>
  <si>
    <t>polvo de ferrovanadio</t>
  </si>
  <si>
    <t>12604-58-9</t>
  </si>
  <si>
    <t>Polvo de harina (2014) — RSEN — Asma; urt irr; bronquitis Fludioxonil</t>
  </si>
  <si>
    <t>131341-86-1, as F (1996) 2.5 mg/m3 — A4; BEI Varies Bone dam; fluorosis Fluorine [7782-41-4</t>
  </si>
  <si>
    <t>Folpet</t>
  </si>
  <si>
    <t>0133-07-03</t>
  </si>
  <si>
    <t>Fonofos</t>
  </si>
  <si>
    <t>944-22-9</t>
  </si>
  <si>
    <t>alcohol furfurílico</t>
  </si>
  <si>
    <t>arseniuro de galio</t>
  </si>
  <si>
    <t>1303-00-0</t>
  </si>
  <si>
    <t>Gasolina</t>
  </si>
  <si>
    <t>86290-81-5</t>
  </si>
  <si>
    <t>tetrahidruro de germanio</t>
  </si>
  <si>
    <t>7782-65-2</t>
  </si>
  <si>
    <t>Glutaraldehído</t>
  </si>
  <si>
    <t>111-30-8</t>
  </si>
  <si>
    <t>Glicidol</t>
  </si>
  <si>
    <t>556-52-5</t>
  </si>
  <si>
    <t>metacrilato de glicidilo</t>
  </si>
  <si>
    <t>106-91-2</t>
  </si>
  <si>
    <t>Glioxal</t>
  </si>
  <si>
    <t>107-22-2</t>
  </si>
  <si>
    <t>Glifosato</t>
  </si>
  <si>
    <t>1071-83-6</t>
  </si>
  <si>
    <t>Polvo de grano (avena, trigo, cebada) (1986)</t>
  </si>
  <si>
    <t>Grafito (todas las formas excepto las fibras de grafito)</t>
  </si>
  <si>
    <t>7782-42-5</t>
  </si>
  <si>
    <t>Hafnio</t>
  </si>
  <si>
    <t>7440-58-6</t>
  </si>
  <si>
    <t>Halotano</t>
  </si>
  <si>
    <t>151-67-7</t>
  </si>
  <si>
    <t>Metales duros que contienen cobalto</t>
  </si>
  <si>
    <t>carburo de tungsteno</t>
  </si>
  <si>
    <t>1207-12-1</t>
  </si>
  <si>
    <t>Heptacloro</t>
  </si>
  <si>
    <t>76-44-8</t>
  </si>
  <si>
    <t>Epóxido de heptacloro</t>
  </si>
  <si>
    <t>1024-57-3</t>
  </si>
  <si>
    <t>Heptano, isómeros lineales y ramificados</t>
  </si>
  <si>
    <t>108-08-7, 142-82-5; 464-06-2; 562-49-2; 565-59-3;, 589-34-4; 590-35-2; 591-76-4; 617-78-7;, 31394-54-4</t>
  </si>
  <si>
    <t>Hexaclorobenceno</t>
  </si>
  <si>
    <t>118-74-1</t>
  </si>
  <si>
    <t>Hexaclorobutadieno</t>
  </si>
  <si>
    <t>87-68-3</t>
  </si>
  <si>
    <t>Hexaclorociclopentadieno</t>
  </si>
  <si>
    <t>77-47-4</t>
  </si>
  <si>
    <t>Hexacloroetano</t>
  </si>
  <si>
    <t>67-72-1</t>
  </si>
  <si>
    <t>Hexacloronaftaleno</t>
  </si>
  <si>
    <t>1335-87-1</t>
  </si>
  <si>
    <t>Hexafluoroacetona</t>
  </si>
  <si>
    <t>684-16-2</t>
  </si>
  <si>
    <t>Hexafluoropropileno</t>
  </si>
  <si>
    <t>116-15-4</t>
  </si>
  <si>
    <t>Anhídrido hexahidroftálico, todos los isómeros</t>
  </si>
  <si>
    <t>85-42-7, 13149-00-3, 14166-21-3</t>
  </si>
  <si>
    <t>diisocianato de hexametileno</t>
  </si>
  <si>
    <t>822-06-0</t>
  </si>
  <si>
    <t>Hexametilentetramina</t>
  </si>
  <si>
    <t>100-97-0</t>
  </si>
  <si>
    <t>Hexametilfosforamida</t>
  </si>
  <si>
    <t>680-31-9</t>
  </si>
  <si>
    <t>Hexano (comercial, &lt;54% n-hexano) y</t>
  </si>
  <si>
    <t>Hexano (comercial, &lt;54 % n-hexano)</t>
  </si>
  <si>
    <t>Isómeros de hexano ramificados</t>
  </si>
  <si>
    <t>,</t>
  </si>
  <si>
    <t>107-83-5, 96-14-0</t>
  </si>
  <si>
    <t>n-hexano</t>
  </si>
  <si>
    <t>1,6-hexanodiamina</t>
  </si>
  <si>
    <t>0124-09-04</t>
  </si>
  <si>
    <t>Hexazinona</t>
  </si>
  <si>
    <t>1-hexeno</t>
  </si>
  <si>
    <t>592-41-6</t>
  </si>
  <si>
    <t>acetato de sec-hexilo</t>
  </si>
  <si>
    <t>Hexilenglicol</t>
  </si>
  <si>
    <t>107-41-5</t>
  </si>
  <si>
    <t>Hidracina</t>
  </si>
  <si>
    <t>0302-01-02</t>
  </si>
  <si>
    <t>Isómeros de hexano ramificados (2023)</t>
  </si>
  <si>
    <t>incluido ,</t>
  </si>
  <si>
    <t>64742-49-0, 64742-89-8</t>
  </si>
  <si>
    <t>Terfenilos hidrogenados (no irradiados)</t>
  </si>
  <si>
    <t>61788-32-7</t>
  </si>
  <si>
    <t>bromuro de hidrógeno</t>
  </si>
  <si>
    <t>1003-10-6</t>
  </si>
  <si>
    <t>Cloruro de hidrógeno</t>
  </si>
  <si>
    <t>7647-01-0</t>
  </si>
  <si>
    <t>Cianuro de hidrógeno y sales de cianuro, como CN (1994)</t>
  </si>
  <si>
    <t>cianuro de hidrógeno</t>
  </si>
  <si>
    <t>74-90-8</t>
  </si>
  <si>
    <t>fluoruro de hidrógeno</t>
  </si>
  <si>
    <t>7664-39-3</t>
  </si>
  <si>
    <t>Peróxido de hidrógeno</t>
  </si>
  <si>
    <t>7722-84-1</t>
  </si>
  <si>
    <t>seleniuro de hidrógeno</t>
  </si>
  <si>
    <t>sulfuro de hidrógeno</t>
  </si>
  <si>
    <t>hidroquinona</t>
  </si>
  <si>
    <t>123-31-9</t>
  </si>
  <si>
    <t>acrilato de 2-hidroxipropilo</t>
  </si>
  <si>
    <t>999-61-1</t>
  </si>
  <si>
    <t>Imazosulfurón</t>
  </si>
  <si>
    <t>122548-33-8</t>
  </si>
  <si>
    <t>Imidacloprid</t>
  </si>
  <si>
    <t>138261-41-3</t>
  </si>
  <si>
    <t>Indeno</t>
  </si>
  <si>
    <t>95-13-6</t>
  </si>
  <si>
    <t>Indio</t>
  </si>
  <si>
    <t>7440-74-6</t>
  </si>
  <si>
    <t>erosión dental; malestar</t>
  </si>
  <si>
    <t>óxido de indio y estaño</t>
  </si>
  <si>
    <t>Yodo y yoduros, (2022) Efecto reproductivo tiroideo y materno; fetal y</t>
  </si>
  <si>
    <t>presa neonatal</t>
  </si>
  <si>
    <t>Yodo, como yo</t>
  </si>
  <si>
    <t>7553-56-2</t>
  </si>
  <si>
    <t>Yoduros, como I — Piel; A4</t>
  </si>
  <si>
    <t>Yodoformo</t>
  </si>
  <si>
    <t>75-47-8</t>
  </si>
  <si>
    <t>Óxido de hierro (Fe2O3)</t>
  </si>
  <si>
    <t>1309-37-1</t>
  </si>
  <si>
    <t>pentacarbonilo de hierro</t>
  </si>
  <si>
    <t>13463-40-6</t>
  </si>
  <si>
    <t>Sales de hierro, solubles, como Fe (1990) — — Varía URT e irritación cutánea</t>
  </si>
  <si>
    <t>alcohol isoamílico</t>
  </si>
  <si>
    <t>Isobutanol</t>
  </si>
  <si>
    <t>nitrito de isobutilo</t>
  </si>
  <si>
    <t>542-56-3</t>
  </si>
  <si>
    <t>Isoflurano</t>
  </si>
  <si>
    <t>26675-46-7</t>
  </si>
  <si>
    <t>alcohol isooctílico</t>
  </si>
  <si>
    <t>26952-21-6</t>
  </si>
  <si>
    <t>Isoforona</t>
  </si>
  <si>
    <t>78-59-1</t>
  </si>
  <si>
    <t>Diisocianato de isoforona</t>
  </si>
  <si>
    <t>4098-71-9</t>
  </si>
  <si>
    <t>2-isopropoxietanol</t>
  </si>
  <si>
    <t>109-59-1</t>
  </si>
  <si>
    <t>Isopropilamina</t>
  </si>
  <si>
    <t>75-31-0</t>
  </si>
  <si>
    <t>N-isopropilanilina</t>
  </si>
  <si>
    <t>768-52-5</t>
  </si>
  <si>
    <t>éter isopropílico</t>
  </si>
  <si>
    <t>Éter isopropílico glicidílico</t>
  </si>
  <si>
    <t>4016-14-2</t>
  </si>
  <si>
    <t>Caolín</t>
  </si>
  <si>
    <t>1332-58-7</t>
  </si>
  <si>
    <t>Queroseno</t>
  </si>
  <si>
    <t>8008-20-6; 64742-81-0</t>
  </si>
  <si>
    <t>como vapor total de hidrocarburos (2003)</t>
  </si>
  <si>
    <t>Cetena</t>
  </si>
  <si>
    <t>463-51-4</t>
  </si>
  <si>
    <t>irr</t>
  </si>
  <si>
    <t>Dirigir</t>
  </si>
  <si>
    <t>7439-92-1</t>
  </si>
  <si>
    <t>Compuestos inorgánicos, como Pb (1995) Varía el efecto hematológico.</t>
  </si>
  <si>
    <t>cromato de plomo</t>
  </si>
  <si>
    <t>7758-97-6</t>
  </si>
  <si>
    <t>lindano</t>
  </si>
  <si>
    <t>58-89-9</t>
  </si>
  <si>
    <t>hidruro de litio</t>
  </si>
  <si>
    <t>7580-67-8</t>
  </si>
  <si>
    <t>Óxido de magnesio</t>
  </si>
  <si>
    <t>1309-48-4</t>
  </si>
  <si>
    <t>‡ Malatión</t>
  </si>
  <si>
    <t>121-75-5</t>
  </si>
  <si>
    <t>anhídrido maleico</t>
  </si>
  <si>
    <t>108-31-6</t>
  </si>
  <si>
    <t>TLV–CS</t>
  </si>
  <si>
    <t>Manganeso</t>
  </si>
  <si>
    <t>7439-96-5</t>
  </si>
  <si>
    <t>compuestos inorgánicos, como Mn (2013) Varía</t>
  </si>
  <si>
    <t>Ciclopentadienil tricarbonilo de manganeso — Piel 204.10 Irritación cutánea; deterioro del SNC</t>
  </si>
  <si>
    <t>Mercurio</t>
  </si>
  <si>
    <t>7439-97-6</t>
  </si>
  <si>
    <t>Compuestos arílicos — Piel Varía Daño al SNC; daño renal</t>
  </si>
  <si>
    <t>Formas elementales e inorgánicas — Piel; A4; BEI Varía. Alteración del SNC; daño renal.</t>
  </si>
  <si>
    <t>Ácido metacrílico</t>
  </si>
  <si>
    <t>79-41-4</t>
  </si>
  <si>
    <t>Metanol</t>
  </si>
  <si>
    <t>Metomilo</t>
  </si>
  <si>
    <t>16752-77-5</t>
  </si>
  <si>
    <t>Metoxicloro</t>
  </si>
  <si>
    <t>72-43-5</t>
  </si>
  <si>
    <t>2-Metoxietanol</t>
  </si>
  <si>
    <t>acetato de 2-metoxietilo</t>
  </si>
  <si>
    <t>4-Metoxifenol</t>
  </si>
  <si>
    <t>150-76-5</t>
  </si>
  <si>
    <t>1-Metoxi-2-propanol</t>
  </si>
  <si>
    <t>107-98-2</t>
  </si>
  <si>
    <t>acetato de metilo</t>
  </si>
  <si>
    <t>Metilacetileno</t>
  </si>
  <si>
    <t>74-99-7</t>
  </si>
  <si>
    <t>Mezcla de metilacetileno y propadieno</t>
  </si>
  <si>
    <t>59355-75-8</t>
  </si>
  <si>
    <t>acrilato de metilo</t>
  </si>
  <si>
    <t>Metilacrilonitrilo</t>
  </si>
  <si>
    <t>126-98-7</t>
  </si>
  <si>
    <t>Metilal</t>
  </si>
  <si>
    <t>Metilamina</t>
  </si>
  <si>
    <t>74-89-5</t>
  </si>
  <si>
    <t>Metil-n-amil cetona</t>
  </si>
  <si>
    <t>N-metilanilina</t>
  </si>
  <si>
    <t>100-61-8</t>
  </si>
  <si>
    <t>2-Metil-2-buteno</t>
  </si>
  <si>
    <t>513-35-9</t>
  </si>
  <si>
    <t>bromuro de metilo</t>
  </si>
  <si>
    <t>74-83-9</t>
  </si>
  <si>
    <t>éter metil terc-butílico</t>
  </si>
  <si>
    <t>1634-04-04</t>
  </si>
  <si>
    <t>Metil n-butil cetona</t>
  </si>
  <si>
    <t>591-78-6</t>
  </si>
  <si>
    <t>cloruro de metilo</t>
  </si>
  <si>
    <t>74-87-3</t>
  </si>
  <si>
    <t>metilcloroformo</t>
  </si>
  <si>
    <t>Metilciclohexanona, todos los isómeros</t>
  </si>
  <si>
    <t>583-60-8; 589-92-4; 591-24-2; 1331-22-2</t>
  </si>
  <si>
    <t>2-Metilciclopentadienil manganeso tricarbonilo</t>
  </si>
  <si>
    <t>12108-13-3</t>
  </si>
  <si>
    <t>Metil demetón</t>
  </si>
  <si>
    <t>8022-00-2</t>
  </si>
  <si>
    <t>isocianato de metilenbisfenilo</t>
  </si>
  <si>
    <t>101-68-8</t>
  </si>
  <si>
    <t>4,4ƍ-Metileno bis(2-cloroanilina)</t>
  </si>
  <si>
    <t>101-14-4</t>
  </si>
  <si>
    <t>Metileno bis(4-ciclohexilisocianato)</t>
  </si>
  <si>
    <t>5124-30-1</t>
  </si>
  <si>
    <t>4,4ƍ-metilendianilina</t>
  </si>
  <si>
    <t>101-77-9</t>
  </si>
  <si>
    <t>Metiletilcetona</t>
  </si>
  <si>
    <t>Peróxido de metil etil cetona</t>
  </si>
  <si>
    <t>1338-23-4</t>
  </si>
  <si>
    <t>formato de metilo</t>
  </si>
  <si>
    <t>Metilhidrazina</t>
  </si>
  <si>
    <t>60-34-4</t>
  </si>
  <si>
    <t>Yoduro de metilo</t>
  </si>
  <si>
    <t>74-88-4</t>
  </si>
  <si>
    <t>Metil isoamil cetona</t>
  </si>
  <si>
    <t>0110-12-3</t>
  </si>
  <si>
    <t>Metil isobutil carbinol</t>
  </si>
  <si>
    <t>0108-11-2</t>
  </si>
  <si>
    <t>Metil isobutil cetona</t>
  </si>
  <si>
    <t>0108-10-1</t>
  </si>
  <si>
    <t>isocianato de metilo</t>
  </si>
  <si>
    <t>624-83-9</t>
  </si>
  <si>
    <t>Metil isopropil cetona</t>
  </si>
  <si>
    <t>Metilmercaptano</t>
  </si>
  <si>
    <t>74-93-1</t>
  </si>
  <si>
    <t>metacrilato de metilo</t>
  </si>
  <si>
    <t>Metilnaftaleno, todos los isómeros</t>
  </si>
  <si>
    <t>1321-94-4; 90-12-0; 91-57-6</t>
  </si>
  <si>
    <t>Metil paratión</t>
  </si>
  <si>
    <t>298-00-0</t>
  </si>
  <si>
    <t>Metilpropilcetona</t>
  </si>
  <si>
    <t>silicato de metilo</t>
  </si>
  <si>
    <t>681-84-5</t>
  </si>
  <si>
    <t>D-metilestireno</t>
  </si>
  <si>
    <t>98-83-9</t>
  </si>
  <si>
    <t>Isómeros del anhídrido metiltetrahidroftálico (2019)</t>
  </si>
  <si>
    <t>19438-64-3, 26590-20-5, 42498-58-8</t>
  </si>
  <si>
    <t>Metil vinil cetona</t>
  </si>
  <si>
    <t>78-94-4</t>
  </si>
  <si>
    <t>Metribuzin</t>
  </si>
  <si>
    <t>21087-64-9</t>
  </si>
  <si>
    <t>Mevinfos</t>
  </si>
  <si>
    <t>7786-34-7</t>
  </si>
  <si>
    <t>Mica</t>
  </si>
  <si>
    <t>12001-26-2</t>
  </si>
  <si>
    <t>Varía los fluidos de trabajo URT irr (2010)</t>
  </si>
  <si>
    <t>Aceite mineral, excluido el metal Puro, altamente y severamente refinado — A4</t>
  </si>
  <si>
    <t>Aceite mineral Pobre y ligeramente refinado — A2</t>
  </si>
  <si>
    <t>‡ Molibdeno</t>
  </si>
  <si>
    <t>7439-98-7</t>
  </si>
  <si>
    <t>Ácido monocloroacético</t>
  </si>
  <si>
    <t>79-11-8</t>
  </si>
  <si>
    <t>efecto teratogénico</t>
  </si>
  <si>
    <t>Naled</t>
  </si>
  <si>
    <t>300-76-5</t>
  </si>
  <si>
    <t>Naftalina</t>
  </si>
  <si>
    <t>91-20-3</t>
  </si>
  <si>
    <t>E-naftilamina</t>
  </si>
  <si>
    <t>91-59-8</t>
  </si>
  <si>
    <t>Látex de caucho natural</t>
  </si>
  <si>
    <t>Níquel</t>
  </si>
  <si>
    <t>7440-02-0</t>
  </si>
  <si>
    <t>Subsulfuro de níquel, como Ni (1998) Elemental</t>
  </si>
  <si>
    <t>Compuestos inorgánicos solubles (NOS)</t>
  </si>
  <si>
    <t>Compuestos inorgánicos insolubles (NOS) Subsulfuro de níquel</t>
  </si>
  <si>
    <t>12035-72-2</t>
  </si>
  <si>
    <t>Carbonilo de níquel</t>
  </si>
  <si>
    <t>13463-39-3</t>
  </si>
  <si>
    <t>‡ Nicotina</t>
  </si>
  <si>
    <t>54-11-5</t>
  </si>
  <si>
    <t>Nitrapirina</t>
  </si>
  <si>
    <t>1929-82-4</t>
  </si>
  <si>
    <t>‡ Ácido nítrico</t>
  </si>
  <si>
    <t>7697-37-2</t>
  </si>
  <si>
    <t>Óxido nítrico</t>
  </si>
  <si>
    <t>10102-43-9</t>
  </si>
  <si>
    <t>p-Nitroanilina</t>
  </si>
  <si>
    <t>0100-01-06</t>
  </si>
  <si>
    <t>p-Nitroclorobenceno</t>
  </si>
  <si>
    <t>100-00-5</t>
  </si>
  <si>
    <t>4-Nitrodifenilo</t>
  </si>
  <si>
    <t>92-93-3</t>
  </si>
  <si>
    <t>Dióxido de nitrógeno</t>
  </si>
  <si>
    <t>10102-44-0</t>
  </si>
  <si>
    <t>Trifluoruro de nitrógeno</t>
  </si>
  <si>
    <t>7783-54-2</t>
  </si>
  <si>
    <t>Nitroglicerina</t>
  </si>
  <si>
    <t>55-63-0</t>
  </si>
  <si>
    <t>1-Nitropropano</t>
  </si>
  <si>
    <t>0108-03-02</t>
  </si>
  <si>
    <t>N-nitrosodimetilamina</t>
  </si>
  <si>
    <t>62-75-9</t>
  </si>
  <si>
    <t>Nitrotolueno, isómeros</t>
  </si>
  <si>
    <t>88-72-2, 99-08-1, 99-99-0</t>
  </si>
  <si>
    <t>5-Nitro-o-toluidina</t>
  </si>
  <si>
    <t>99-55-8</t>
  </si>
  <si>
    <t>Óxido nitroso</t>
  </si>
  <si>
    <t>10024-97-2</t>
  </si>
  <si>
    <t>Nonano</t>
  </si>
  <si>
    <t>111-84-2</t>
  </si>
  <si>
    <t>Octacloronaftaleno</t>
  </si>
  <si>
    <t>2234-13-1</t>
  </si>
  <si>
    <t>Octano</t>
  </si>
  <si>
    <t>111-65-9</t>
  </si>
  <si>
    <t>Tetróxido de osmio</t>
  </si>
  <si>
    <t>20816-12-0</t>
  </si>
  <si>
    <t>Ácido oxálico anhidro</t>
  </si>
  <si>
    <t>144-62-7</t>
  </si>
  <si>
    <t>p,pƍ-Oxibis(bencenosulfonil hidrazida)</t>
  </si>
  <si>
    <t>80-51-3</t>
  </si>
  <si>
    <t>Difluoruro de oxígeno</t>
  </si>
  <si>
    <t>7783-41-7</t>
  </si>
  <si>
    <t>Ozono</t>
  </si>
  <si>
    <t>10028-15-6</t>
  </si>
  <si>
    <t>Trabajo pesado</t>
  </si>
  <si>
    <t>Trabajo moderado</t>
  </si>
  <si>
    <t>Trabajo ligero</t>
  </si>
  <si>
    <t>Cargas de trabajo pesadas, moderadas o ligeras (&lt;2 horas)</t>
  </si>
  <si>
    <t>humo de cera de parafina</t>
  </si>
  <si>
    <t>8002-74-2</t>
  </si>
  <si>
    <t>Paraquat</t>
  </si>
  <si>
    <t>4685-14-7</t>
  </si>
  <si>
    <t>Paratión</t>
  </si>
  <si>
    <t>56-38-2</t>
  </si>
  <si>
    <t>Partículas (insolubles o poco solubles)
no especificadas de otra manera</t>
  </si>
  <si>
    <t>Pentaborano</t>
  </si>
  <si>
    <t>19624-22-7</t>
  </si>
  <si>
    <t>pentacloronaftaleno</t>
  </si>
  <si>
    <t>1321-64-8</t>
  </si>
  <si>
    <t>Pentacloronitrobenceno</t>
  </si>
  <si>
    <t>82-68-8</t>
  </si>
  <si>
    <t>pentaclorofenol</t>
  </si>
  <si>
    <t>87-86-5</t>
  </si>
  <si>
    <t>Pentaeritritol</t>
  </si>
  <si>
    <t>115-77-5</t>
  </si>
  <si>
    <t>Pentano, todos los isómeros</t>
  </si>
  <si>
    <t>78-78-4; 109-66-0; 463-82-1</t>
  </si>
  <si>
    <t>2,4-pentanodiona</t>
  </si>
  <si>
    <t>123-54-6</t>
  </si>
  <si>
    <t>Acetato de pentilo, todos los isómeros</t>
  </si>
  <si>
    <t>-2000</t>
  </si>
  <si>
    <t>624-41-9, 625-16-1, 626-38-0, 628-63-7</t>
  </si>
  <si>
    <t>Ácido peracético</t>
  </si>
  <si>
    <t>79-21-0</t>
  </si>
  <si>
    <t>Perclorometilmercaptano</t>
  </si>
  <si>
    <t>594-42-3</t>
  </si>
  <si>
    <t>fluoruro de perclorilo</t>
  </si>
  <si>
    <t>7616-94-6</t>
  </si>
  <si>
    <t>Perfluorobutil etileno</t>
  </si>
  <si>
    <t>19430-93-4</t>
  </si>
  <si>
    <t>Perfluoroisobutileno</t>
  </si>
  <si>
    <t>382-21-8</t>
  </si>
  <si>
    <t>Persulfatos, como persulfato</t>
  </si>
  <si>
    <t>7727-21-1; 7727-54-0;, 7775-27-1</t>
  </si>
  <si>
    <t>Fenotiazina</t>
  </si>
  <si>
    <t>92-84-2</t>
  </si>
  <si>
    <t>N-fenil-b-naftilamina</t>
  </si>
  <si>
    <t>135-88-6</t>
  </si>
  <si>
    <t>m-fenilendiamina</t>
  </si>
  <si>
    <t>108-45-2</t>
  </si>
  <si>
    <t>o-fenilendiamina</t>
  </si>
  <si>
    <t>95-54-5</t>
  </si>
  <si>
    <t>p-fenilendiamina</t>
  </si>
  <si>
    <t>106-50-3</t>
  </si>
  <si>
    <t>Éter fenilo</t>
  </si>
  <si>
    <t>101-84-8</t>
  </si>
  <si>
    <t>alcohol feniletílico</t>
  </si>
  <si>
    <t>60-12-8</t>
  </si>
  <si>
    <t>Éter fenil glicidílico</t>
  </si>
  <si>
    <t>122-60-1</t>
  </si>
  <si>
    <t>Fenilhidrazina</t>
  </si>
  <si>
    <t>100-63-0</t>
  </si>
  <si>
    <t>isocianato de fenilo</t>
  </si>
  <si>
    <t>103-71-9</t>
  </si>
  <si>
    <t>fenilmercaptano</t>
  </si>
  <si>
    <t>108-98-5</t>
  </si>
  <si>
    <t>Fenilfosfina</t>
  </si>
  <si>
    <t>638-21-1</t>
  </si>
  <si>
    <t>Forato</t>
  </si>
  <si>
    <t>0298-02-02</t>
  </si>
  <si>
    <t>Fosgeno</t>
  </si>
  <si>
    <t>75-44-5</t>
  </si>
  <si>
    <t>Fosfina</t>
  </si>
  <si>
    <t>7803-51-2</t>
  </si>
  <si>
    <t>Ácido fosfórico</t>
  </si>
  <si>
    <t>7664-38-2</t>
  </si>
  <si>
    <t>Fósforo (amarillo)</t>
  </si>
  <si>
    <t>1218-10-3</t>
  </si>
  <si>
    <t>oxicloruro de fósforo</t>
  </si>
  <si>
    <t>10025-87-3</t>
  </si>
  <si>
    <t>pentacloruro de fósforo</t>
  </si>
  <si>
    <t>10026-13-8</t>
  </si>
  <si>
    <t>pentasulfuro de fósforo</t>
  </si>
  <si>
    <t>1314-80-3</t>
  </si>
  <si>
    <t>tricloruro de fósforo</t>
  </si>
  <si>
    <t>o-ftalaldehído</t>
  </si>
  <si>
    <t>643-79-8</t>
  </si>
  <si>
    <t>anhídrido ftálico</t>
  </si>
  <si>
    <t>85-44-9</t>
  </si>
  <si>
    <t>m-ftalodinitrilo</t>
  </si>
  <si>
    <t>626-17-5</t>
  </si>
  <si>
    <t>o-ftalodinitrilo</t>
  </si>
  <si>
    <t>91-15-6</t>
  </si>
  <si>
    <t>Picloram</t>
  </si>
  <si>
    <t>Ácido pícrico</t>
  </si>
  <si>
    <t>88-89-1</t>
  </si>
  <si>
    <t>Pindone</t>
  </si>
  <si>
    <t>83-26-1</t>
  </si>
  <si>
    <t>Piperazina y sales</t>
  </si>
  <si>
    <t>110-85-0</t>
  </si>
  <si>
    <t>Platino</t>
  </si>
  <si>
    <t>Metal</t>
  </si>
  <si>
    <t>Sales solubles, como Pt</t>
  </si>
  <si>
    <t>cloruro de polivinilo</t>
  </si>
  <si>
    <t>9002-86-2</t>
  </si>
  <si>
    <t>cemento Portland</t>
  </si>
  <si>
    <t>65997-15-1</t>
  </si>
  <si>
    <t>hidróxido de potasio</t>
  </si>
  <si>
    <t>1310-58-3</t>
  </si>
  <si>
    <t>Prometón</t>
  </si>
  <si>
    <t>1610-18-0</t>
  </si>
  <si>
    <t>Prometrina</t>
  </si>
  <si>
    <t>7287-19-6</t>
  </si>
  <si>
    <t>Propano sultona</t>
  </si>
  <si>
    <t>1120-71-4</t>
  </si>
  <si>
    <t>n-propanol (alcohol n-propílico)</t>
  </si>
  <si>
    <t>2-propanol</t>
  </si>
  <si>
    <t>‡ Alcohol propargílico</t>
  </si>
  <si>
    <t>107-19-7</t>
  </si>
  <si>
    <t>E-Propiolactona</t>
  </si>
  <si>
    <t>57-57-8</t>
  </si>
  <si>
    <t>propionaldehído</t>
  </si>
  <si>
    <t>123-38-6</t>
  </si>
  <si>
    <t>propionitrilo</t>
  </si>
  <si>
    <t>107-12-0</t>
  </si>
  <si>
    <t>Propoxur</t>
  </si>
  <si>
    <t>114-26-1</t>
  </si>
  <si>
    <t>Isómeros de acetato de propilo</t>
  </si>
  <si>
    <t>108-21-4; 109-60-4</t>
  </si>
  <si>
    <t>Propileno</t>
  </si>
  <si>
    <t>0115-07-01</t>
  </si>
  <si>
    <t>dicloruro de propileno</t>
  </si>
  <si>
    <t>78-87-5</t>
  </si>
  <si>
    <t>dinitrato de propilenglicol</t>
  </si>
  <si>
    <t>6423-43-4</t>
  </si>
  <si>
    <t>Éter etílico de propilenglicol</t>
  </si>
  <si>
    <t>1569-02-04</t>
  </si>
  <si>
    <t>Óxido de propileno</t>
  </si>
  <si>
    <t>75-56-9</t>
  </si>
  <si>
    <t>Propilenimina</t>
  </si>
  <si>
    <t>75-55-8</t>
  </si>
  <si>
    <t>Nitrato de n-propilo</t>
  </si>
  <si>
    <t>Pelitre</t>
  </si>
  <si>
    <t>8003-34-7</t>
  </si>
  <si>
    <t>Ácidos resínicos, como ácidos resínicos totales</t>
  </si>
  <si>
    <t>Resorcinol</t>
  </si>
  <si>
    <t>108-46-3</t>
  </si>
  <si>
    <t>Rodio</t>
  </si>
  <si>
    <t>7440-16-6</t>
  </si>
  <si>
    <t>Metales y compuestos insolubles</t>
  </si>
  <si>
    <t>Compuestos solubles</t>
  </si>
  <si>
    <t>Ronnel</t>
  </si>
  <si>
    <t>299-84-3</t>
  </si>
  <si>
    <t>Rotenona (comercial)</t>
  </si>
  <si>
    <t>83-79-4</t>
  </si>
  <si>
    <t>Selenio</t>
  </si>
  <si>
    <t>7782-49-2</t>
  </si>
  <si>
    <t>hexafluoruro de selenio</t>
  </si>
  <si>
    <t>7783-79-1</t>
  </si>
  <si>
    <t>Sesone</t>
  </si>
  <si>
    <t>136-78-7</t>
  </si>
  <si>
    <t>Sevoflurano</t>
  </si>
  <si>
    <t>28523-86-6</t>
  </si>
  <si>
    <t>Sílice cristalina: un cuarzo</t>
  </si>
  <si>
    <t>1317-95-9, 14808-60-7</t>
  </si>
  <si>
    <t>carburo de silicio</t>
  </si>
  <si>
    <t>409-21-2</t>
  </si>
  <si>
    <t>Tetrahidruro de silicio</t>
  </si>
  <si>
    <t>7803-62-5</t>
  </si>
  <si>
    <t>Plata</t>
  </si>
  <si>
    <t>7440-22-4</t>
  </si>
  <si>
    <t>Compuestos solubles, como Ag</t>
  </si>
  <si>
    <t>Simazina</t>
  </si>
  <si>
    <t>122-34-9</t>
  </si>
  <si>
    <t>Azida de sodio</t>
  </si>
  <si>
    <t>26628-22-8</t>
  </si>
  <si>
    <t>como vapor de ácido hidrazoico</t>
  </si>
  <si>
    <t>bisulfito de sodio</t>
  </si>
  <si>
    <t>7631-90-5</t>
  </si>
  <si>
    <t>fluoroacetato de sodio</t>
  </si>
  <si>
    <t>62-74-8</t>
  </si>
  <si>
    <t>hidróxido de sodio</t>
  </si>
  <si>
    <t>1310-73-2</t>
  </si>
  <si>
    <t>metabisulfito de sodio</t>
  </si>
  <si>
    <t>7681-57-4</t>
  </si>
  <si>
    <t>Almidón</t>
  </si>
  <si>
    <t>9005-25-8</t>
  </si>
  <si>
    <t>Estearatos(J)</t>
  </si>
  <si>
    <t>-2017</t>
  </si>
  <si>
    <t>557-05-1, 822-16-2</t>
  </si>
  <si>
    <t>Disolvente Stoddard</t>
  </si>
  <si>
    <t>8052-41-3</t>
  </si>
  <si>
    <t>Estricnina</t>
  </si>
  <si>
    <t>57-24-9</t>
  </si>
  <si>
    <t>óxido de estireno</t>
  </si>
  <si>
    <t>96-09-3</t>
  </si>
  <si>
    <t>Subtilisinas</t>
  </si>
  <si>
    <t>1395-21-7; 9014-01-1</t>
  </si>
  <si>
    <t>Sacarosa</t>
  </si>
  <si>
    <t>57-50-1</t>
  </si>
  <si>
    <t>Sulfometurón metil</t>
  </si>
  <si>
    <t>74222-97-2</t>
  </si>
  <si>
    <t>Sulfotepp</t>
  </si>
  <si>
    <t>3689-24-5</t>
  </si>
  <si>
    <t>Sulfoxaflor</t>
  </si>
  <si>
    <t>946578-00-3</t>
  </si>
  <si>
    <t>dióxido de azufre</t>
  </si>
  <si>
    <t>hexafluoruro de azufre</t>
  </si>
  <si>
    <t>2551-62-4</t>
  </si>
  <si>
    <t>monocloruro de azufre</t>
  </si>
  <si>
    <t>10025-67-9</t>
  </si>
  <si>
    <t>pentafluoruro de azufre</t>
  </si>
  <si>
    <t>5714-22-7</t>
  </si>
  <si>
    <t>Tetrafluoruro de azufre</t>
  </si>
  <si>
    <t>7783-60-0</t>
  </si>
  <si>
    <t>Ácido sulfúrico</t>
  </si>
  <si>
    <t>fluoruro de sulfurilo</t>
  </si>
  <si>
    <t>2699-79-8</t>
  </si>
  <si>
    <t>Fibras de vidrio de filamento continuo</t>
  </si>
  <si>
    <t>Fibras de lana de vidrio — A3 — Piel y membranas mucosas irr Fibras de lana de roca 1 f/cc (F) — A3 — Piel y membranas mucosas irr Fibras de lana de escoria 1 f/cc (F) — A3 — Piel y membranas mucosas irr Fibras de vidrio para fines especiales 1 f/cc (F) — A3 — Piel y membranas mucosas irr Fibras cerámicas refractarias 0,2 f/cc (F) — A2 — Fibrosis pulmonar; función pulmonar</t>
  </si>
  <si>
    <t>2,4,5-T</t>
  </si>
  <si>
    <t>93-76-5</t>
  </si>
  <si>
    <t>Talco</t>
  </si>
  <si>
    <t>14807-96-6</t>
  </si>
  <si>
    <t>Telurio</t>
  </si>
  <si>
    <t>13494-80-9</t>
  </si>
  <si>
    <t>hexafluoruro de telurio</t>
  </si>
  <si>
    <t>7783-80-4</t>
  </si>
  <si>
    <t>Temefos</t>
  </si>
  <si>
    <t>3383-96-8</t>
  </si>
  <si>
    <t>Terbufos</t>
  </si>
  <si>
    <t>13071-79-9</t>
  </si>
  <si>
    <t>Ácido tereftálico</t>
  </si>
  <si>
    <t>100-21-0</t>
  </si>
  <si>
    <t>Terfenilos (isómeros o-, m-, p-)</t>
  </si>
  <si>
    <t>26140-60-3</t>
  </si>
  <si>
    <t>1,1,2,2-tetrabromoetano</t>
  </si>
  <si>
    <t>79-27-6</t>
  </si>
  <si>
    <t>1,1,1,2-Tetracloro-2,2-difluoroetano</t>
  </si>
  <si>
    <t>76-11-9</t>
  </si>
  <si>
    <t>1,1,2,2-Tetracloro-1,2-difluoroetano</t>
  </si>
  <si>
    <t>76-12-0</t>
  </si>
  <si>
    <t>1,1,2,2-tetracloroetano</t>
  </si>
  <si>
    <t>79-34-5</t>
  </si>
  <si>
    <t>Tetracloronaftaleno</t>
  </si>
  <si>
    <t>1335-88-2</t>
  </si>
  <si>
    <t>Tetraclorvinfos</t>
  </si>
  <si>
    <t>22248-79-9; 22350-76-1;, 961-11-5</t>
  </si>
  <si>
    <t>Tetraetilo de plomo</t>
  </si>
  <si>
    <t>78-00-2</t>
  </si>
  <si>
    <t>pirofosfato de tetraetilo</t>
  </si>
  <si>
    <t>107-49-3</t>
  </si>
  <si>
    <t>Tetrafluoroetileno</t>
  </si>
  <si>
    <t>116-14-3</t>
  </si>
  <si>
    <t>Tetrahidrofurano</t>
  </si>
  <si>
    <t>Sales de tetrakis (hidroximetil) fosfonio (2014) Sales de tetrakis (hidroximetil) fosfonio</t>
  </si>
  <si>
    <t>sulfato de tetrakis (hidroximetil) fosfonio</t>
  </si>
  <si>
    <t>55566-30-8</t>
  </si>
  <si>
    <t>Tetrametil plomo</t>
  </si>
  <si>
    <t>75-74-1</t>
  </si>
  <si>
    <t>Tetrametilsuccinitrilo</t>
  </si>
  <si>
    <t>3333-52-6</t>
  </si>
  <si>
    <t>Tetranitrometano</t>
  </si>
  <si>
    <t>509-14-8</t>
  </si>
  <si>
    <t>Tetril</t>
  </si>
  <si>
    <t>479-45-8</t>
  </si>
  <si>
    <t>cloruro</t>
  </si>
  <si>
    <t>124-64-1</t>
  </si>
  <si>
    <t>Talio</t>
  </si>
  <si>
    <t>7440-28-0</t>
  </si>
  <si>
    <t>Tiacloprid</t>
  </si>
  <si>
    <t>111988-49-9</t>
  </si>
  <si>
    <t>4,4’-Tiobis(6-terc-butil-m-cresol)</t>
  </si>
  <si>
    <t>96-69-5</t>
  </si>
  <si>
    <t>Tiodicarb</t>
  </si>
  <si>
    <t>59669-26-0</t>
  </si>
  <si>
    <t>Ácido tioglicólico</t>
  </si>
  <si>
    <t>68-11-1</t>
  </si>
  <si>
    <t>cloruro de tionilo</t>
  </si>
  <si>
    <t>Tiram</t>
  </si>
  <si>
    <t>137-26-8</t>
  </si>
  <si>
    <t>Estaño</t>
  </si>
  <si>
    <t>7440-31-5</t>
  </si>
  <si>
    <t>Tetracloruro de titanio, como HCl</t>
  </si>
  <si>
    <t>7550-45-0</t>
  </si>
  <si>
    <t>92.14</t>
  </si>
  <si>
    <t>Diisocianato de tolueno, 2,4- o 2,6- (o como mezcla)</t>
  </si>
  <si>
    <t>584-84-9; 91-08-7</t>
  </si>
  <si>
    <t>m-toluidina</t>
  </si>
  <si>
    <t>108-44-1</t>
  </si>
  <si>
    <t>o-toluidina</t>
  </si>
  <si>
    <t>95-53-4</t>
  </si>
  <si>
    <t>p-toluidina</t>
  </si>
  <si>
    <t>106-49-0</t>
  </si>
  <si>
    <t>Fosfato de tributilo</t>
  </si>
  <si>
    <t>126-73-8</t>
  </si>
  <si>
    <t>Triclorfón</t>
  </si>
  <si>
    <t>52-68-6</t>
  </si>
  <si>
    <t>Ácido tricloroacético</t>
  </si>
  <si>
    <t>76-03-9</t>
  </si>
  <si>
    <t>1,2,4-triclorobenceno</t>
  </si>
  <si>
    <t>120-82-1</t>
  </si>
  <si>
    <t>1,1,2-tricloroetano</t>
  </si>
  <si>
    <t>79-00-5</t>
  </si>
  <si>
    <t>Triclorofluorometano</t>
  </si>
  <si>
    <t>75-69-4</t>
  </si>
  <si>
    <t>Tricloronaftaleno</t>
  </si>
  <si>
    <t>1321-65-9</t>
  </si>
  <si>
    <t>1,2,3-tricloropropano</t>
  </si>
  <si>
    <t>96-18-4</t>
  </si>
  <si>
    <t>1,1,2-Tricloro-1,2,2-trifluoroetano</t>
  </si>
  <si>
    <t>76-13-1</t>
  </si>
  <si>
    <t>Triclosán</t>
  </si>
  <si>
    <t>3380-34-5</t>
  </si>
  <si>
    <t>Trietilenglicol</t>
  </si>
  <si>
    <t>112-27-6</t>
  </si>
  <si>
    <t>1,3,5-Triglicidil-s-triazinatriona</t>
  </si>
  <si>
    <t>2451-62-9</t>
  </si>
  <si>
    <t>Anhídrido trimelítico</t>
  </si>
  <si>
    <t>552-30-7</t>
  </si>
  <si>
    <t>Fosfato de trimetacresilo</t>
  </si>
  <si>
    <t>0563-04-02</t>
  </si>
  <si>
    <t>Trimetilolpropano</t>
  </si>
  <si>
    <t>77-99-6</t>
  </si>
  <si>
    <t>Fosfato de triparacresilo</t>
  </si>
  <si>
    <t>78-32-0</t>
  </si>
  <si>
    <t>Trimetilamina</t>
  </si>
  <si>
    <t>75-50-3</t>
  </si>
  <si>
    <t>Trimetilbenceno, isómeros</t>
  </si>
  <si>
    <t>25551-13-7, , 526-73-8, 95-63-6, 108-67-8</t>
  </si>
  <si>
    <t>Fosfito de trimetilo</t>
  </si>
  <si>
    <t>121-45-9</t>
  </si>
  <si>
    <t>2,4,6-Trinitrotolueno</t>
  </si>
  <si>
    <t>118-96-7</t>
  </si>
  <si>
    <t>Fosfato de triortocresilo</t>
  </si>
  <si>
    <t>78-30-8</t>
  </si>
  <si>
    <t>Fosfato de trifenilo</t>
  </si>
  <si>
    <t>115-86-6</t>
  </si>
  <si>
    <t>Tungsteno</t>
  </si>
  <si>
    <t>7440-33-7</t>
  </si>
  <si>
    <t>Trementina</t>
  </si>
  <si>
    <t>8006-64-2</t>
  </si>
  <si>
    <t>Uranio (natural)</t>
  </si>
  <si>
    <t>7440-61-1</t>
  </si>
  <si>
    <t>n-Valeraldehído</t>
  </si>
  <si>
    <t>110-62-3</t>
  </si>
  <si>
    <t>pentóxido de vanadio</t>
  </si>
  <si>
    <t>1314-62-1</t>
  </si>
  <si>
    <t>acetato de vinilo</t>
  </si>
  <si>
    <t>0108-05-04</t>
  </si>
  <si>
    <t>bromuro de vinilo</t>
  </si>
  <si>
    <t>593-60-2</t>
  </si>
  <si>
    <t>cloruro de vinilo</t>
  </si>
  <si>
    <t>75-01-4</t>
  </si>
  <si>
    <t>4-vinil ciclohexeno</t>
  </si>
  <si>
    <t>100-40-3</t>
  </si>
  <si>
    <t>dióxido de vinil ciclohexeno</t>
  </si>
  <si>
    <t>106-87-6</t>
  </si>
  <si>
    <t>fluoruro de vinilo</t>
  </si>
  <si>
    <t>75-02-5</t>
  </si>
  <si>
    <t>N-vinil-2-pirrolidona</t>
  </si>
  <si>
    <t>88-12-0</t>
  </si>
  <si>
    <t>cloruro de vinilideno</t>
  </si>
  <si>
    <t>75-35-4</t>
  </si>
  <si>
    <t>fluoruro de vinilideno</t>
  </si>
  <si>
    <t>75-38-7</t>
  </si>
  <si>
    <t>viniltolueno</t>
  </si>
  <si>
    <t>25013-15-4</t>
  </si>
  <si>
    <t>Warfarina</t>
  </si>
  <si>
    <t>81-81-2</t>
  </si>
  <si>
    <t>Polvo de madera (2015) Cedro rojo occidental</t>
  </si>
  <si>
    <t>Todas las demás especies</t>
  </si>
  <si>
    <t>Xileno, todos los isómeros</t>
  </si>
  <si>
    <t>1330-20-7; 95-47-6;</t>
  </si>
  <si>
    <t>Xilidin (isómeros mixtos)</t>
  </si>
  <si>
    <t>1300-73-8</t>
  </si>
  <si>
    <t>Itrio</t>
  </si>
  <si>
    <t>7440-65-5</t>
  </si>
  <si>
    <t>Humo de cloruro de zinc</t>
  </si>
  <si>
    <t>7646-85-7</t>
  </si>
  <si>
    <t>Óxido de zinc</t>
  </si>
  <si>
    <t>1314-13-2</t>
  </si>
  <si>
    <t>Circonio</t>
  </si>
  <si>
    <t>7440-67-7</t>
  </si>
  <si>
    <t>Formaldehido</t>
  </si>
  <si>
    <t>50-00-0</t>
  </si>
  <si>
    <t>Formamida</t>
  </si>
  <si>
    <t>75-12-7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</si>
</sst>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"/>
    <numFmt numFmtId="165" formatCode="0.0"/>
    <numFmt numFmtId="166" formatCode="0.0000"/>
    <numFmt numFmtId="167" formatCode="0.000"/>
    <numFmt numFmtId="168" formatCode="_-* #,##0_-;\-* #,##0_-;_-* \-??_-;_-@_-"/>
  </numFmts>
  <fonts count="27">
    <font>
      <sz val="10"/>
      <color rgb="FF000000"/>
      <name val="Calibri"/>
      <charset val="1"/>
    </font>
    <font>
      <b/>
      <sz val="12"/>
      <color rgb="FF007199"/>
      <name val="Calibri"/>
      <charset val="1"/>
    </font>
    <font>
      <sz val="12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i/>
      <sz val="9"/>
      <color rgb="FF595959"/>
      <name val="Calibri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name val="Calibri"/>
      <family val="2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sz val="10"/>
      <color rgb="FF0000FF"/>
      <name val="Calibri"/>
      <family val="2"/>
      <charset val="1"/>
    </font>
    <font>
      <i/>
      <sz val="9"/>
      <color rgb="FFC00000"/>
      <name val="Calibri"/>
      <charset val="1"/>
    </font>
    <font>
      <b/>
      <sz val="10"/>
      <name val="Calibri"/>
      <charset val="1"/>
    </font>
    <font>
      <b/>
      <sz val="14"/>
      <color theme="0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4"/>
      <color theme="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rgb="FF000000"/>
      <name val="Calibri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charset val="1"/>
    </font>
    <font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rgb="FFFFFF99"/>
      <name val="Calibri"/>
      <family val="2"/>
      <charset val="1"/>
    </font>
    <font>
      <sz val="10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007199"/>
        <bgColor indexed="64"/>
      </patternFill>
    </fill>
    <fill>
      <patternFill patternType="solid">
        <fgColor rgb="FFFCE4EC"/>
        <bgColor rgb="FFFBD9D7"/>
      </patternFill>
    </fill>
    <fill>
      <patternFill patternType="solid">
        <fgColor rgb="FFFFF2CC"/>
        <bgColor indexed="64"/>
      </patternFill>
    </fill>
    <fill>
      <patternFill patternType="solid">
        <fgColor rgb="FF4A9CC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theme="5" tint="0.79989013336588644"/>
        <bgColor rgb="FFFCE4EC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4" fillId="0" borderId="0" xfId="0" applyFont="1" applyAlignment="1">
      <alignment horizontal="left" vertical="center" wrapText="1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0" xfId="0" applyFont="1"/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64" fontId="7" fillId="0" borderId="4" xfId="0" applyNumberFormat="1" applyFont="1" applyBorder="1" applyAlignment="1">
      <alignment horizontal="right"/>
    </xf>
    <xf numFmtId="0" fontId="8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165" fontId="9" fillId="0" borderId="5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164" fontId="9" fillId="0" borderId="5" xfId="0" applyNumberFormat="1" applyFont="1" applyBorder="1" applyAlignment="1" applyProtection="1">
      <alignment horizontal="left" vertical="center" wrapText="1"/>
      <protection locked="0"/>
    </xf>
    <xf numFmtId="164" fontId="9" fillId="0" borderId="5" xfId="0" applyNumberFormat="1" applyFont="1" applyBorder="1" applyAlignment="1" applyProtection="1">
      <alignment horizontal="center" vertical="center" wrapText="1"/>
      <protection locked="0"/>
    </xf>
    <xf numFmtId="165" fontId="9" fillId="0" borderId="5" xfId="0" applyNumberFormat="1" applyFont="1" applyBorder="1" applyAlignment="1" applyProtection="1">
      <alignment horizontal="center" vertical="center" wrapText="1"/>
      <protection locked="0"/>
    </xf>
    <xf numFmtId="164" fontId="10" fillId="0" borderId="6" xfId="0" applyNumberFormat="1" applyFont="1" applyBorder="1" applyAlignment="1" applyProtection="1">
      <alignment horizontal="center"/>
      <protection locked="0"/>
    </xf>
    <xf numFmtId="165" fontId="10" fillId="0" borderId="7" xfId="0" applyNumberFormat="1" applyFont="1" applyBorder="1" applyAlignment="1" applyProtection="1">
      <alignment horizontal="right"/>
      <protection locked="0"/>
    </xf>
    <xf numFmtId="166" fontId="6" fillId="0" borderId="4" xfId="0" applyNumberFormat="1" applyFont="1" applyBorder="1" applyAlignment="1" applyProtection="1">
      <alignment horizontal="right"/>
      <protection locked="0"/>
    </xf>
    <xf numFmtId="164" fontId="10" fillId="0" borderId="0" xfId="0" applyNumberFormat="1" applyFont="1" applyAlignment="1" applyProtection="1">
      <alignment horizontal="center"/>
      <protection locked="0"/>
    </xf>
    <xf numFmtId="165" fontId="10" fillId="0" borderId="8" xfId="0" applyNumberFormat="1" applyFont="1" applyBorder="1" applyAlignment="1" applyProtection="1">
      <alignment horizontal="right"/>
      <protection locked="0"/>
    </xf>
    <xf numFmtId="2" fontId="9" fillId="0" borderId="5" xfId="0" applyNumberFormat="1" applyFont="1" applyBorder="1" applyAlignment="1" applyProtection="1">
      <alignment horizontal="center" vertical="center" wrapText="1"/>
      <protection locked="0"/>
    </xf>
    <xf numFmtId="2" fontId="9" fillId="0" borderId="5" xfId="0" applyNumberFormat="1" applyFont="1" applyBorder="1" applyAlignment="1">
      <alignment horizontal="center" vertical="center" wrapText="1"/>
    </xf>
    <xf numFmtId="0" fontId="10" fillId="0" borderId="8" xfId="0" applyFont="1" applyBorder="1" applyAlignment="1" applyProtection="1">
      <alignment horizontal="right"/>
      <protection locked="0"/>
    </xf>
    <xf numFmtId="167" fontId="9" fillId="0" borderId="5" xfId="0" applyNumberFormat="1" applyFont="1" applyBorder="1" applyAlignment="1">
      <alignment horizontal="center" vertical="center" wrapText="1"/>
    </xf>
    <xf numFmtId="164" fontId="10" fillId="0" borderId="9" xfId="0" applyNumberFormat="1" applyFont="1" applyBorder="1" applyAlignment="1" applyProtection="1">
      <alignment horizontal="center"/>
      <protection locked="0"/>
    </xf>
    <xf numFmtId="165" fontId="10" fillId="0" borderId="10" xfId="0" applyNumberFormat="1" applyFont="1" applyBorder="1" applyAlignment="1" applyProtection="1">
      <alignment horizontal="right"/>
      <protection locked="0"/>
    </xf>
    <xf numFmtId="0" fontId="9" fillId="0" borderId="5" xfId="0" applyFont="1" applyBorder="1" applyAlignment="1" applyProtection="1">
      <alignment horizontal="left"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0" xfId="0" applyFont="1"/>
    <xf numFmtId="0" fontId="9" fillId="4" borderId="5" xfId="0" applyFont="1" applyFill="1" applyBorder="1" applyAlignment="1">
      <alignment horizontal="center" vertical="center" wrapText="1"/>
    </xf>
    <xf numFmtId="2" fontId="12" fillId="5" borderId="5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2" fontId="0" fillId="0" borderId="0" xfId="0" applyNumberFormat="1" applyAlignment="1" applyProtection="1">
      <alignment horizontal="center"/>
      <protection locked="0"/>
    </xf>
    <xf numFmtId="0" fontId="14" fillId="6" borderId="0" xfId="0" applyFont="1" applyFill="1" applyAlignment="1">
      <alignment horizontal="center"/>
    </xf>
    <xf numFmtId="0" fontId="14" fillId="6" borderId="0" xfId="0" applyFont="1" applyFill="1"/>
    <xf numFmtId="0" fontId="14" fillId="6" borderId="11" xfId="0" applyFont="1" applyFill="1" applyBorder="1"/>
    <xf numFmtId="0" fontId="14" fillId="6" borderId="11" xfId="0" applyFont="1" applyFill="1" applyBorder="1" applyAlignment="1" applyProtection="1">
      <alignment horizontal="center" vertical="center" wrapText="1"/>
      <protection locked="0"/>
    </xf>
    <xf numFmtId="0" fontId="14" fillId="6" borderId="11" xfId="0" applyFont="1" applyFill="1" applyBorder="1" applyAlignment="1">
      <alignment horizontal="center" vertical="center" wrapText="1"/>
    </xf>
    <xf numFmtId="0" fontId="14" fillId="6" borderId="12" xfId="0" applyFont="1" applyFill="1" applyBorder="1"/>
    <xf numFmtId="0" fontId="14" fillId="6" borderId="11" xfId="0" applyFont="1" applyFill="1" applyBorder="1" applyAlignment="1" applyProtection="1">
      <alignment horizontal="center" vertical="center"/>
      <protection locked="0"/>
    </xf>
    <xf numFmtId="0" fontId="14" fillId="6" borderId="13" xfId="0" applyFont="1" applyFill="1" applyBorder="1" applyAlignment="1" applyProtection="1">
      <alignment horizontal="center" vertical="center"/>
      <protection locked="0"/>
    </xf>
    <xf numFmtId="2" fontId="14" fillId="6" borderId="11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/>
    <xf numFmtId="0" fontId="0" fillId="0" borderId="11" xfId="0" applyBorder="1" applyAlignment="1" applyProtection="1">
      <alignment horizontal="center"/>
      <protection locked="0"/>
    </xf>
    <xf numFmtId="0" fontId="0" fillId="0" borderId="11" xfId="0" applyBorder="1" applyAlignment="1">
      <alignment horizontal="center"/>
    </xf>
    <xf numFmtId="0" fontId="0" fillId="0" borderId="11" xfId="0" applyBorder="1" applyProtection="1">
      <protection locked="0"/>
    </xf>
    <xf numFmtId="0" fontId="0" fillId="0" borderId="11" xfId="0" applyBorder="1"/>
    <xf numFmtId="0" fontId="0" fillId="0" borderId="14" xfId="0" applyBorder="1" applyAlignment="1" applyProtection="1">
      <alignment horizontal="center"/>
      <protection locked="0"/>
    </xf>
    <xf numFmtId="0" fontId="16" fillId="2" borderId="11" xfId="0" applyFont="1" applyFill="1" applyBorder="1" applyAlignment="1" applyProtection="1">
      <alignment horizontal="center"/>
      <protection locked="0"/>
    </xf>
    <xf numFmtId="2" fontId="17" fillId="0" borderId="11" xfId="0" applyNumberFormat="1" applyFont="1" applyBorder="1" applyAlignment="1" applyProtection="1">
      <alignment horizontal="center"/>
      <protection locked="0"/>
    </xf>
    <xf numFmtId="0" fontId="0" fillId="7" borderId="11" xfId="0" applyFill="1" applyBorder="1" applyAlignment="1" applyProtection="1">
      <alignment horizontal="center"/>
      <protection locked="0"/>
    </xf>
    <xf numFmtId="0" fontId="0" fillId="7" borderId="11" xfId="0" applyFill="1" applyBorder="1" applyAlignment="1">
      <alignment horizontal="center"/>
    </xf>
    <xf numFmtId="0" fontId="0" fillId="7" borderId="11" xfId="0" applyFill="1" applyBorder="1" applyProtection="1">
      <protection locked="0"/>
    </xf>
    <xf numFmtId="0" fontId="0" fillId="7" borderId="11" xfId="0" applyFill="1" applyBorder="1"/>
    <xf numFmtId="0" fontId="18" fillId="8" borderId="11" xfId="0" applyFont="1" applyFill="1" applyBorder="1" applyAlignment="1" applyProtection="1">
      <alignment horizontal="center" vertical="center" wrapText="1"/>
      <protection locked="0"/>
    </xf>
    <xf numFmtId="1" fontId="18" fillId="8" borderId="11" xfId="0" applyNumberFormat="1" applyFont="1" applyFill="1" applyBorder="1" applyAlignment="1" applyProtection="1">
      <alignment horizontal="center" vertical="center" wrapText="1"/>
      <protection locked="0"/>
    </xf>
    <xf numFmtId="2" fontId="18" fillId="9" borderId="11" xfId="0" applyNumberFormat="1" applyFont="1" applyFill="1" applyBorder="1" applyAlignment="1">
      <alignment horizontal="center"/>
    </xf>
    <xf numFmtId="165" fontId="18" fillId="9" borderId="11" xfId="0" applyNumberFormat="1" applyFont="1" applyFill="1" applyBorder="1" applyAlignment="1">
      <alignment horizontal="center"/>
    </xf>
    <xf numFmtId="1" fontId="18" fillId="9" borderId="11" xfId="0" applyNumberFormat="1" applyFont="1" applyFill="1" applyBorder="1" applyAlignment="1">
      <alignment horizontal="center"/>
    </xf>
    <xf numFmtId="9" fontId="18" fillId="9" borderId="11" xfId="0" applyNumberFormat="1" applyFont="1" applyFill="1" applyBorder="1" applyAlignment="1">
      <alignment horizontal="center"/>
    </xf>
    <xf numFmtId="0" fontId="18" fillId="9" borderId="11" xfId="0" applyFont="1" applyFill="1" applyBorder="1" applyAlignment="1">
      <alignment horizontal="center"/>
    </xf>
    <xf numFmtId="0" fontId="18" fillId="9" borderId="11" xfId="0" applyFont="1" applyFill="1" applyBorder="1" applyAlignment="1" applyProtection="1">
      <alignment horizontal="center"/>
      <protection locked="0"/>
    </xf>
    <xf numFmtId="0" fontId="19" fillId="9" borderId="11" xfId="0" applyFont="1" applyFill="1" applyBorder="1"/>
    <xf numFmtId="0" fontId="18" fillId="9" borderId="11" xfId="0" applyFont="1" applyFill="1" applyBorder="1"/>
    <xf numFmtId="0" fontId="18" fillId="9" borderId="12" xfId="0" applyFont="1" applyFill="1" applyBorder="1"/>
    <xf numFmtId="165" fontId="18" fillId="9" borderId="11" xfId="0" applyNumberFormat="1" applyFont="1" applyFill="1" applyBorder="1" applyAlignment="1" applyProtection="1">
      <alignment horizontal="center"/>
      <protection locked="0"/>
    </xf>
    <xf numFmtId="168" fontId="18" fillId="9" borderId="11" xfId="0" applyNumberFormat="1" applyFont="1" applyFill="1" applyBorder="1" applyAlignment="1" applyProtection="1">
      <alignment horizontal="center"/>
      <protection locked="0"/>
    </xf>
    <xf numFmtId="168" fontId="18" fillId="9" borderId="11" xfId="0" applyNumberFormat="1" applyFont="1" applyFill="1" applyBorder="1" applyAlignment="1" applyProtection="1">
      <alignment horizontal="right"/>
      <protection locked="0"/>
    </xf>
    <xf numFmtId="0" fontId="22" fillId="9" borderId="11" xfId="0" applyFont="1" applyFill="1" applyBorder="1"/>
    <xf numFmtId="2" fontId="19" fillId="9" borderId="11" xfId="0" applyNumberFormat="1" applyFont="1" applyFill="1" applyBorder="1" applyAlignment="1">
      <alignment horizontal="center"/>
    </xf>
    <xf numFmtId="165" fontId="19" fillId="9" borderId="11" xfId="0" applyNumberFormat="1" applyFont="1" applyFill="1" applyBorder="1" applyAlignment="1">
      <alignment horizontal="center"/>
    </xf>
    <xf numFmtId="1" fontId="19" fillId="9" borderId="11" xfId="0" applyNumberFormat="1" applyFont="1" applyFill="1" applyBorder="1" applyAlignment="1">
      <alignment horizontal="center"/>
    </xf>
    <xf numFmtId="9" fontId="19" fillId="9" borderId="11" xfId="0" applyNumberFormat="1" applyFont="1" applyFill="1" applyBorder="1" applyAlignment="1">
      <alignment horizontal="center"/>
    </xf>
    <xf numFmtId="0" fontId="19" fillId="9" borderId="11" xfId="0" applyFont="1" applyFill="1" applyBorder="1" applyAlignment="1">
      <alignment horizontal="center"/>
    </xf>
    <xf numFmtId="0" fontId="19" fillId="9" borderId="11" xfId="0" applyFont="1" applyFill="1" applyBorder="1" applyAlignment="1" applyProtection="1">
      <alignment horizontal="center"/>
      <protection locked="0"/>
    </xf>
    <xf numFmtId="0" fontId="19" fillId="9" borderId="12" xfId="0" applyFont="1" applyFill="1" applyBorder="1"/>
    <xf numFmtId="168" fontId="19" fillId="9" borderId="11" xfId="0" applyNumberFormat="1" applyFont="1" applyFill="1" applyBorder="1" applyAlignment="1" applyProtection="1">
      <alignment horizontal="center"/>
      <protection locked="0"/>
    </xf>
    <xf numFmtId="168" fontId="19" fillId="9" borderId="11" xfId="0" applyNumberFormat="1" applyFont="1" applyFill="1" applyBorder="1" applyAlignment="1" applyProtection="1">
      <alignment horizontal="right"/>
      <protection locked="0"/>
    </xf>
    <xf numFmtId="0" fontId="23" fillId="10" borderId="11" xfId="0" applyFont="1" applyFill="1" applyBorder="1" applyAlignment="1" applyProtection="1">
      <alignment horizontal="center"/>
      <protection locked="0"/>
    </xf>
    <xf numFmtId="0" fontId="23" fillId="10" borderId="11" xfId="0" applyFont="1" applyFill="1" applyBorder="1" applyAlignment="1">
      <alignment horizontal="center"/>
    </xf>
    <xf numFmtId="0" fontId="23" fillId="10" borderId="11" xfId="0" applyFont="1" applyFill="1" applyBorder="1" applyProtection="1">
      <protection locked="0"/>
    </xf>
    <xf numFmtId="0" fontId="23" fillId="10" borderId="11" xfId="0" applyFont="1" applyFill="1" applyBorder="1"/>
    <xf numFmtId="0" fontId="23" fillId="10" borderId="12" xfId="0" applyFont="1" applyFill="1" applyBorder="1"/>
    <xf numFmtId="165" fontId="18" fillId="10" borderId="11" xfId="0" applyNumberFormat="1" applyFont="1" applyFill="1" applyBorder="1" applyAlignment="1" applyProtection="1">
      <alignment horizontal="center"/>
      <protection locked="0"/>
    </xf>
    <xf numFmtId="0" fontId="18" fillId="10" borderId="11" xfId="0" applyFont="1" applyFill="1" applyBorder="1" applyAlignment="1" applyProtection="1">
      <alignment horizontal="center"/>
      <protection locked="0"/>
    </xf>
    <xf numFmtId="168" fontId="23" fillId="10" borderId="11" xfId="0" applyNumberFormat="1" applyFont="1" applyFill="1" applyBorder="1" applyAlignment="1" applyProtection="1">
      <alignment horizontal="center"/>
      <protection locked="0"/>
    </xf>
    <xf numFmtId="168" fontId="23" fillId="10" borderId="11" xfId="0" applyNumberFormat="1" applyFont="1" applyFill="1" applyBorder="1" applyAlignment="1" applyProtection="1">
      <alignment horizontal="right"/>
      <protection locked="0"/>
    </xf>
    <xf numFmtId="2" fontId="23" fillId="10" borderId="11" xfId="0" applyNumberFormat="1" applyFont="1" applyFill="1" applyBorder="1" applyAlignment="1" applyProtection="1">
      <alignment horizontal="center"/>
      <protection locked="0"/>
    </xf>
    <xf numFmtId="0" fontId="24" fillId="2" borderId="0" xfId="0" applyFont="1" applyFill="1"/>
    <xf numFmtId="0" fontId="18" fillId="0" borderId="11" xfId="0" applyFont="1" applyBorder="1" applyAlignment="1" applyProtection="1">
      <alignment horizontal="center"/>
      <protection locked="0"/>
    </xf>
    <xf numFmtId="0" fontId="18" fillId="0" borderId="11" xfId="0" applyFont="1" applyBorder="1" applyAlignment="1">
      <alignment horizontal="center"/>
    </xf>
    <xf numFmtId="0" fontId="18" fillId="0" borderId="11" xfId="0" applyFont="1" applyBorder="1" applyProtection="1">
      <protection locked="0"/>
    </xf>
    <xf numFmtId="0" fontId="18" fillId="0" borderId="11" xfId="0" applyFont="1" applyBorder="1"/>
    <xf numFmtId="2" fontId="18" fillId="0" borderId="11" xfId="0" applyNumberFormat="1" applyFont="1" applyBorder="1" applyAlignment="1" applyProtection="1">
      <alignment horizontal="center"/>
      <protection locked="0"/>
    </xf>
    <xf numFmtId="0" fontId="18" fillId="8" borderId="11" xfId="0" applyFont="1" applyFill="1" applyBorder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 wrapText="1"/>
    </xf>
    <xf numFmtId="0" fontId="26" fillId="0" borderId="0" xfId="0" applyFont="1" applyAlignment="1">
      <alignment horizontal="center"/>
    </xf>
    <xf numFmtId="0" fontId="1" fillId="3" borderId="1" xfId="0" applyFont="1" applyFill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3" fillId="6" borderId="11" xfId="0" applyFont="1" applyFill="1" applyBorder="1" applyAlignment="1" applyProtection="1">
      <alignment horizontal="center"/>
      <protection locked="0"/>
    </xf>
    <xf numFmtId="0" fontId="14" fillId="6" borderId="9" xfId="0" applyFont="1" applyFill="1" applyBorder="1" applyAlignment="1" applyProtection="1">
      <alignment horizontal="center"/>
      <protection locked="0"/>
    </xf>
    <xf numFmtId="0" fontId="13" fillId="6" borderId="9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 applyProtection="1">
      <alignment horizontal="center"/>
      <protection locked="0"/>
    </xf>
    <xf numFmtId="1" fontId="20" fillId="9" borderId="11" xfId="0" applyNumberFormat="1" applyFont="1" applyFill="1" applyBorder="1" applyAlignment="1" applyProtection="1">
      <alignment horizontal="center" vertical="center"/>
      <protection locked="0"/>
    </xf>
    <xf numFmtId="0" fontId="18" fillId="8" borderId="11" xfId="0" applyFont="1" applyFill="1" applyBorder="1" applyAlignment="1" applyProtection="1">
      <alignment horizontal="center" vertical="center"/>
      <protection locked="0"/>
    </xf>
    <xf numFmtId="1" fontId="21" fillId="9" borderId="11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F2F2F2"/>
      <rgbColor rgb="FF660066"/>
      <rgbColor rgb="FFFF8080"/>
      <rgbColor rgb="FF0D5BD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D9D7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77725"/>
    <pageSetUpPr fitToPage="1"/>
  </sheetPr>
  <dimension ref="A1"/>
  <sheetViews>
    <sheetView topLeftCell="E2" zoomScaleNormal="100" workbookViewId="0" showGridLines="0" tabSelected="1">
      <selection activeCell="E4" sqref="E4"/>
    </sheetView>
  </sheetViews>
  <sheetFormatPr baseColWidth="10" defaultColWidth="11.5703125" defaultRowHeight="12.75"/>
  <cols>
    <col min="1" max="16384" width="11.5703125" style="2"/>
  </cols>
  <sheetData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V2&amp;"Calibri,Normal"&amp;K595959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199"/>
    <pageSetUpPr fitToPage="1"/>
  </sheetPr>
  <dimension ref="A1:H124"/>
  <sheetViews>
    <sheetView topLeftCell="A122" zoomScaleNormal="100" workbookViewId="0" showGridLines="0">
      <selection activeCell="A129" sqref="A129"/>
    </sheetView>
  </sheetViews>
  <sheetFormatPr baseColWidth="10" defaultColWidth="10.7109375" defaultRowHeight="12.75"/>
  <cols>
    <col min="1" max="1" width="45" customWidth="1"/>
    <col min="2" max="2" width="14" customWidth="1"/>
    <col min="3" max="3" width="20" customWidth="1"/>
    <col min="4" max="7" width="2" customWidth="1"/>
    <col min="9" max="9" width="13" customWidth="1"/>
  </cols>
  <sheetData>
    <row r="1" spans="1:8" ht="30" customHeight="1">
      <c r="A1" s="110" t="s">
        <v>0</v>
      </c>
      <c r="B1" s="110"/>
      <c r="C1" s="110"/>
      <c r="D1" s="3"/>
      <c r="E1" s="4"/>
      <c r="F1" s="4"/>
      <c r="G1" s="4"/>
      <c r="H1" s="5"/>
    </row>
    <row r="2" spans="1:8" ht="45" customHeight="1">
      <c r="A2" s="111" t="s">
        <v>1</v>
      </c>
      <c r="B2" s="111"/>
      <c r="C2" s="111"/>
    </row>
    <row r="3" spans="1:8" ht="13.5" customHeight="1">
      <c r="A3" s="6"/>
      <c r="B3" s="7"/>
      <c r="C3" s="8"/>
      <c r="D3" s="7"/>
      <c r="E3" s="7"/>
      <c r="F3" s="9"/>
      <c r="G3" s="8"/>
      <c r="H3" s="10"/>
    </row>
    <row r="4" spans="1:8" ht="31.5" customHeight="1">
      <c r="A4" s="11" t="s">
        <v>2</v>
      </c>
      <c r="B4" s="11" t="s">
        <v>3</v>
      </c>
      <c r="C4" s="11" t="s">
        <v>4</v>
      </c>
      <c r="D4" s="8"/>
      <c r="E4" s="8"/>
      <c r="F4" s="8"/>
      <c r="G4" s="8"/>
      <c r="H4" s="12"/>
    </row>
    <row r="5" spans="1:8" ht="12.75" customHeight="1">
      <c r="A5" s="13" t="s">
        <v>5</v>
      </c>
      <c r="B5" s="14" t="s">
        <v>6</v>
      </c>
      <c r="C5" s="15">
        <v>11</v>
      </c>
      <c r="D5" s="8"/>
      <c r="E5" s="8"/>
      <c r="F5" s="8"/>
      <c r="G5" s="8"/>
      <c r="H5" s="16"/>
    </row>
    <row r="6" spans="1:8" ht="12.75" customHeight="1">
      <c r="A6" s="17" t="s">
        <v>7</v>
      </c>
      <c r="B6" s="18" t="s">
        <v>8</v>
      </c>
      <c r="C6" s="19">
        <v>180</v>
      </c>
      <c r="D6" s="20"/>
      <c r="E6" s="20"/>
      <c r="F6" s="21"/>
      <c r="G6" s="8"/>
      <c r="H6" s="22"/>
    </row>
    <row r="7" spans="1:8" ht="12.75" customHeight="1">
      <c r="A7" s="17" t="s">
        <v>9</v>
      </c>
      <c r="B7" s="18" t="s">
        <v>10</v>
      </c>
      <c r="C7" s="19">
        <v>0.6</v>
      </c>
      <c r="D7" s="23"/>
      <c r="E7" s="23"/>
      <c r="F7" s="24"/>
      <c r="G7" s="8"/>
      <c r="H7" s="22"/>
    </row>
    <row r="8" spans="1:8" ht="12.75" customHeight="1">
      <c r="A8" s="17" t="s">
        <v>11</v>
      </c>
      <c r="B8" s="18" t="s">
        <v>12</v>
      </c>
      <c r="C8" s="19">
        <v>75</v>
      </c>
      <c r="D8" s="23"/>
      <c r="E8" s="23"/>
      <c r="F8" s="24"/>
      <c r="G8" s="8"/>
      <c r="H8" s="22"/>
    </row>
    <row r="9" spans="1:8" ht="12.75" customHeight="1">
      <c r="A9" s="17" t="s">
        <v>13</v>
      </c>
      <c r="B9" s="18" t="s">
        <v>14</v>
      </c>
      <c r="C9" s="19">
        <v>91</v>
      </c>
      <c r="D9" s="23"/>
      <c r="E9" s="23"/>
      <c r="F9" s="24"/>
      <c r="G9" s="8"/>
      <c r="H9" s="22"/>
    </row>
    <row r="10" spans="1:8" ht="12.75" customHeight="1">
      <c r="A10" s="17" t="s">
        <v>15</v>
      </c>
      <c r="B10" s="18" t="s">
        <v>16</v>
      </c>
      <c r="C10" s="19">
        <v>160</v>
      </c>
      <c r="D10" s="23"/>
      <c r="E10" s="23"/>
      <c r="F10" s="24"/>
      <c r="G10" s="8"/>
      <c r="H10" s="22"/>
    </row>
    <row r="11" spans="1:8" ht="12.75" customHeight="1">
      <c r="A11" s="17" t="s">
        <v>17</v>
      </c>
      <c r="B11" s="18" t="s">
        <v>18</v>
      </c>
      <c r="C11" s="19">
        <v>78</v>
      </c>
      <c r="D11" s="23"/>
      <c r="E11" s="23"/>
      <c r="F11" s="24"/>
      <c r="G11" s="8"/>
      <c r="H11" s="22"/>
    </row>
    <row r="12" spans="1:8" ht="12.75" customHeight="1">
      <c r="A12" s="17" t="s">
        <v>19</v>
      </c>
      <c r="B12" s="18" t="s">
        <v>20</v>
      </c>
      <c r="C12" s="19">
        <v>44</v>
      </c>
      <c r="D12" s="23"/>
      <c r="E12" s="23"/>
      <c r="F12" s="24"/>
      <c r="G12" s="8"/>
      <c r="H12" s="22"/>
    </row>
    <row r="13" spans="1:8" ht="12.75" customHeight="1">
      <c r="A13" s="17" t="s">
        <v>21</v>
      </c>
      <c r="B13" s="18" t="s">
        <v>22</v>
      </c>
      <c r="C13" s="19">
        <v>350</v>
      </c>
      <c r="D13" s="23"/>
      <c r="E13" s="23"/>
      <c r="F13" s="24"/>
      <c r="G13" s="8"/>
      <c r="H13" s="22"/>
    </row>
    <row r="14" spans="1:8" ht="12.75" customHeight="1">
      <c r="A14" s="17" t="s">
        <v>23</v>
      </c>
      <c r="B14" s="18" t="s">
        <v>24</v>
      </c>
      <c r="C14" s="19">
        <v>25</v>
      </c>
      <c r="D14" s="23"/>
      <c r="E14" s="23"/>
      <c r="F14" s="24"/>
      <c r="G14" s="8"/>
      <c r="H14" s="22"/>
    </row>
    <row r="15" spans="1:8" ht="12.75" customHeight="1">
      <c r="A15" s="17" t="s">
        <v>25</v>
      </c>
      <c r="B15" s="18" t="s">
        <v>26</v>
      </c>
      <c r="C15" s="19">
        <v>21</v>
      </c>
      <c r="D15" s="23"/>
      <c r="E15" s="23"/>
      <c r="F15" s="24"/>
      <c r="G15" s="8"/>
      <c r="H15" s="22"/>
    </row>
    <row r="16" spans="1:8" ht="12.75" customHeight="1">
      <c r="A16" s="17" t="s">
        <v>27</v>
      </c>
      <c r="B16" s="18" t="s">
        <v>28</v>
      </c>
      <c r="C16" s="19">
        <v>124</v>
      </c>
      <c r="D16" s="23"/>
      <c r="E16" s="23"/>
      <c r="F16" s="24"/>
      <c r="G16" s="8"/>
      <c r="H16" s="22"/>
    </row>
    <row r="17" spans="1:8" ht="12.75" customHeight="1">
      <c r="A17" s="17" t="s">
        <v>29</v>
      </c>
      <c r="B17" s="18" t="s">
        <v>30</v>
      </c>
      <c r="C17" s="19">
        <v>40</v>
      </c>
      <c r="D17" s="23"/>
      <c r="E17" s="23"/>
      <c r="F17" s="24"/>
      <c r="G17" s="8"/>
      <c r="H17" s="22"/>
    </row>
    <row r="18" spans="1:8" ht="12.75" customHeight="1">
      <c r="A18" s="17" t="s">
        <v>31</v>
      </c>
      <c r="B18" s="18" t="s">
        <v>32</v>
      </c>
      <c r="C18" s="19">
        <v>96</v>
      </c>
      <c r="D18" s="23"/>
      <c r="E18" s="23"/>
      <c r="F18" s="24"/>
      <c r="G18" s="8"/>
      <c r="H18" s="22"/>
    </row>
    <row r="19" spans="1:8" ht="12.75" customHeight="1">
      <c r="A19" s="17" t="s">
        <v>33</v>
      </c>
      <c r="B19" s="18" t="s">
        <v>34</v>
      </c>
      <c r="C19" s="19">
        <v>78</v>
      </c>
      <c r="D19" s="23"/>
      <c r="E19" s="23"/>
      <c r="F19" s="24"/>
      <c r="G19" s="8"/>
      <c r="H19" s="22"/>
    </row>
    <row r="20" spans="1:8" ht="12.75" customHeight="1">
      <c r="A20" s="17" t="s">
        <v>35</v>
      </c>
      <c r="B20" s="18" t="s">
        <v>36</v>
      </c>
      <c r="C20" s="19">
        <v>5</v>
      </c>
      <c r="D20" s="23"/>
      <c r="E20" s="23"/>
      <c r="F20" s="24"/>
      <c r="G20" s="8"/>
      <c r="H20" s="22"/>
    </row>
    <row r="21" spans="1:8" ht="12.75" customHeight="1">
      <c r="A21" s="17" t="s">
        <v>37</v>
      </c>
      <c r="B21" s="18" t="s">
        <v>38</v>
      </c>
      <c r="C21" s="19">
        <v>14</v>
      </c>
      <c r="D21" s="23"/>
      <c r="E21" s="23"/>
      <c r="F21" s="24"/>
      <c r="G21" s="8"/>
      <c r="H21" s="22"/>
    </row>
    <row r="22" spans="1:8" ht="12.75" customHeight="1">
      <c r="A22" s="17" t="s">
        <v>39</v>
      </c>
      <c r="B22" s="18" t="s">
        <v>40</v>
      </c>
      <c r="C22" s="19">
        <v>7</v>
      </c>
      <c r="D22" s="23"/>
      <c r="E22" s="23"/>
      <c r="F22" s="24"/>
      <c r="G22" s="8"/>
      <c r="H22" s="22"/>
    </row>
    <row r="23" spans="1:8" ht="30" customHeight="1">
      <c r="A23" s="17" t="s">
        <v>41</v>
      </c>
      <c r="B23" s="14" t="s">
        <v>42</v>
      </c>
      <c r="C23" s="15">
        <v>1</v>
      </c>
      <c r="D23" s="23"/>
      <c r="E23" s="23"/>
      <c r="F23" s="24"/>
      <c r="G23" s="8"/>
      <c r="H23" s="22"/>
    </row>
    <row r="24" spans="1:8" ht="30" customHeight="1">
      <c r="A24" s="17" t="s">
        <v>43</v>
      </c>
      <c r="B24" s="14" t="s">
        <v>44</v>
      </c>
      <c r="C24" s="15">
        <v>64</v>
      </c>
      <c r="D24" s="23"/>
      <c r="E24" s="23"/>
      <c r="F24" s="24"/>
      <c r="G24" s="8"/>
      <c r="H24" s="22"/>
    </row>
    <row r="25" spans="1:8" ht="12.75" customHeight="1">
      <c r="A25" s="17" t="s">
        <v>45</v>
      </c>
      <c r="B25" s="18" t="s">
        <v>46</v>
      </c>
      <c r="C25" s="19">
        <v>73</v>
      </c>
      <c r="D25" s="23"/>
      <c r="E25" s="23"/>
      <c r="F25" s="24"/>
      <c r="G25" s="8"/>
      <c r="H25" s="22"/>
    </row>
    <row r="26" spans="1:8" ht="12.75" customHeight="1">
      <c r="A26" s="17" t="s">
        <v>47</v>
      </c>
      <c r="B26" s="18" t="s">
        <v>48</v>
      </c>
      <c r="C26" s="19">
        <v>35</v>
      </c>
      <c r="D26" s="23"/>
      <c r="E26" s="23"/>
      <c r="F26" s="24"/>
      <c r="G26" s="8"/>
      <c r="H26" s="22"/>
    </row>
    <row r="27" spans="1:8" ht="12.75" customHeight="1">
      <c r="A27" s="17" t="s">
        <v>49</v>
      </c>
      <c r="B27" s="18" t="s">
        <v>50</v>
      </c>
      <c r="C27" s="19">
        <v>3</v>
      </c>
      <c r="D27" s="23"/>
      <c r="E27" s="23"/>
      <c r="F27" s="24"/>
      <c r="G27" s="8"/>
      <c r="H27" s="22"/>
    </row>
    <row r="28" spans="1:8" ht="12.75" customHeight="1">
      <c r="A28" s="17" t="s">
        <v>51</v>
      </c>
      <c r="B28" s="18" t="s">
        <v>52</v>
      </c>
      <c r="C28" s="19">
        <v>83</v>
      </c>
      <c r="D28" s="23"/>
      <c r="E28" s="23"/>
      <c r="F28" s="24"/>
      <c r="G28" s="8"/>
      <c r="H28" s="22"/>
    </row>
    <row r="29" spans="1:8" ht="12.75" customHeight="1">
      <c r="A29" s="17" t="s">
        <v>53</v>
      </c>
      <c r="B29" s="18" t="s">
        <v>54</v>
      </c>
      <c r="C29" s="19">
        <v>420</v>
      </c>
      <c r="D29" s="23"/>
      <c r="E29" s="23"/>
      <c r="F29" s="24"/>
      <c r="G29" s="8"/>
      <c r="H29" s="22"/>
    </row>
    <row r="30" spans="1:8" ht="12.75" customHeight="1">
      <c r="A30" s="17" t="s">
        <v>55</v>
      </c>
      <c r="B30" s="18" t="s">
        <v>56</v>
      </c>
      <c r="C30" s="19">
        <v>7</v>
      </c>
      <c r="D30" s="23"/>
      <c r="E30" s="23"/>
      <c r="F30" s="24"/>
      <c r="G30" s="8"/>
      <c r="H30" s="22"/>
    </row>
    <row r="31" spans="1:8" ht="12.75" customHeight="1">
      <c r="A31" s="17" t="s">
        <v>57</v>
      </c>
      <c r="B31" s="18" t="s">
        <v>58</v>
      </c>
      <c r="C31" s="19">
        <v>9</v>
      </c>
      <c r="D31" s="23"/>
      <c r="E31" s="23"/>
      <c r="F31" s="24"/>
      <c r="G31" s="8"/>
      <c r="H31" s="22"/>
    </row>
    <row r="32" spans="1:8" ht="12.75" customHeight="1">
      <c r="A32" s="17" t="s">
        <v>59</v>
      </c>
      <c r="B32" s="18" t="s">
        <v>60</v>
      </c>
      <c r="C32" s="19">
        <v>9</v>
      </c>
      <c r="D32" s="23"/>
      <c r="E32" s="23"/>
      <c r="F32" s="24"/>
      <c r="G32" s="8"/>
      <c r="H32" s="22"/>
    </row>
    <row r="33" spans="1:8" ht="12.75" customHeight="1">
      <c r="A33" s="17" t="s">
        <v>61</v>
      </c>
      <c r="B33" s="18" t="s">
        <v>62</v>
      </c>
      <c r="C33" s="19">
        <v>33</v>
      </c>
      <c r="D33" s="23"/>
      <c r="E33" s="23"/>
      <c r="F33" s="24"/>
      <c r="G33" s="8"/>
      <c r="H33" s="22"/>
    </row>
    <row r="34" spans="1:8" ht="30" customHeight="1">
      <c r="A34" s="17" t="s">
        <v>63</v>
      </c>
      <c r="B34" s="14" t="s">
        <v>64</v>
      </c>
      <c r="C34" s="15">
        <v>6</v>
      </c>
      <c r="D34" s="23"/>
      <c r="E34" s="23"/>
      <c r="F34" s="24"/>
      <c r="G34" s="8"/>
      <c r="H34" s="22"/>
    </row>
    <row r="35" spans="1:8" ht="12.75" customHeight="1">
      <c r="A35" s="17" t="s">
        <v>65</v>
      </c>
      <c r="B35" s="18" t="s">
        <v>66</v>
      </c>
      <c r="C35" s="19">
        <v>58</v>
      </c>
      <c r="D35" s="23"/>
      <c r="E35" s="23"/>
      <c r="F35" s="24"/>
      <c r="G35" s="8"/>
      <c r="H35" s="22"/>
    </row>
    <row r="36" spans="1:8" ht="12.75" customHeight="1">
      <c r="A36" s="17" t="s">
        <v>67</v>
      </c>
      <c r="B36" s="18" t="s">
        <v>68</v>
      </c>
      <c r="C36" s="19">
        <v>16</v>
      </c>
      <c r="D36" s="23"/>
      <c r="E36" s="23"/>
      <c r="F36" s="24"/>
      <c r="G36" s="8"/>
      <c r="H36" s="22"/>
    </row>
    <row r="37" spans="1:8" ht="12.75" customHeight="1">
      <c r="A37" s="17" t="s">
        <v>69</v>
      </c>
      <c r="B37" s="18" t="s">
        <v>70</v>
      </c>
      <c r="C37" s="19">
        <v>3</v>
      </c>
      <c r="D37" s="23"/>
      <c r="E37" s="23"/>
      <c r="F37" s="24"/>
      <c r="G37" s="8"/>
      <c r="H37" s="22"/>
    </row>
    <row r="38" spans="1:8" ht="12.75" customHeight="1">
      <c r="A38" s="17" t="s">
        <v>71</v>
      </c>
      <c r="B38" s="18" t="s">
        <v>72</v>
      </c>
      <c r="C38" s="19">
        <v>73</v>
      </c>
      <c r="D38" s="23"/>
      <c r="E38" s="23"/>
      <c r="F38" s="24"/>
      <c r="G38" s="8"/>
      <c r="H38" s="22"/>
    </row>
    <row r="39" spans="1:8" ht="12.75" customHeight="1">
      <c r="A39" s="17" t="s">
        <v>73</v>
      </c>
      <c r="B39" s="18" t="s">
        <v>74</v>
      </c>
      <c r="C39" s="19">
        <v>440</v>
      </c>
      <c r="D39" s="23"/>
      <c r="E39" s="23"/>
      <c r="F39" s="24"/>
      <c r="G39" s="8"/>
      <c r="H39" s="22"/>
    </row>
    <row r="40" spans="1:8" ht="12.75" customHeight="1">
      <c r="A40" s="17" t="s">
        <v>75</v>
      </c>
      <c r="B40" s="18" t="s">
        <v>76</v>
      </c>
      <c r="C40" s="19">
        <v>5</v>
      </c>
      <c r="D40" s="23"/>
      <c r="E40" s="23"/>
      <c r="F40" s="24"/>
      <c r="G40" s="8"/>
      <c r="H40" s="22"/>
    </row>
    <row r="41" spans="1:8" ht="12.75" customHeight="1">
      <c r="A41" s="17" t="s">
        <v>77</v>
      </c>
      <c r="B41" s="18" t="s">
        <v>78</v>
      </c>
      <c r="C41" s="19">
        <v>100</v>
      </c>
      <c r="D41" s="23"/>
      <c r="E41" s="23"/>
      <c r="F41" s="24"/>
      <c r="G41" s="7"/>
      <c r="H41" s="22"/>
    </row>
    <row r="42" spans="1:8" ht="12.75" customHeight="1">
      <c r="A42" s="17" t="s">
        <v>79</v>
      </c>
      <c r="B42" s="18" t="s">
        <v>80</v>
      </c>
      <c r="C42" s="25">
        <v>0.06</v>
      </c>
      <c r="D42" s="23"/>
      <c r="E42" s="23"/>
      <c r="F42" s="24"/>
      <c r="G42" s="8"/>
      <c r="H42" s="22"/>
    </row>
    <row r="43" spans="1:8" ht="30" customHeight="1">
      <c r="A43" s="17" t="s">
        <v>81</v>
      </c>
      <c r="B43" s="14" t="s">
        <v>82</v>
      </c>
      <c r="C43" s="26">
        <v>9</v>
      </c>
      <c r="D43" s="23"/>
      <c r="E43" s="23"/>
      <c r="F43" s="27"/>
      <c r="G43" s="8"/>
      <c r="H43" s="22"/>
    </row>
    <row r="44" spans="1:8" ht="12.75" customHeight="1">
      <c r="A44" s="17" t="s">
        <v>83</v>
      </c>
      <c r="B44" s="18" t="s">
        <v>84</v>
      </c>
      <c r="C44" s="25">
        <v>0.3</v>
      </c>
      <c r="D44" s="23"/>
      <c r="E44" s="23"/>
      <c r="F44" s="27"/>
      <c r="G44" s="8"/>
      <c r="H44" s="22"/>
    </row>
    <row r="45" spans="1:8" ht="12.75" customHeight="1">
      <c r="A45" s="17" t="s">
        <v>85</v>
      </c>
      <c r="B45" s="18" t="s">
        <v>86</v>
      </c>
      <c r="C45" s="25">
        <v>2</v>
      </c>
      <c r="D45" s="23"/>
      <c r="E45" s="23"/>
      <c r="F45" s="27"/>
      <c r="G45" s="8"/>
      <c r="H45" s="22"/>
    </row>
    <row r="46" spans="1:8" ht="12.75" customHeight="1">
      <c r="A46" s="17" t="s">
        <v>87</v>
      </c>
      <c r="B46" s="18" t="s">
        <v>88</v>
      </c>
      <c r="C46" s="19">
        <v>54</v>
      </c>
      <c r="D46" s="23"/>
      <c r="E46" s="23"/>
      <c r="F46" s="27"/>
      <c r="G46" s="8"/>
      <c r="H46" s="22"/>
    </row>
    <row r="47" spans="1:8" ht="54.75" customHeight="1">
      <c r="A47" s="17" t="s">
        <v>89</v>
      </c>
      <c r="B47" s="14" t="s">
        <v>90</v>
      </c>
      <c r="C47" s="28">
        <v>1E-3</v>
      </c>
      <c r="D47" s="23"/>
      <c r="E47" s="23"/>
      <c r="F47" s="24"/>
      <c r="G47" s="8"/>
      <c r="H47" s="22"/>
    </row>
    <row r="48" spans="1:8" ht="12.75" customHeight="1">
      <c r="A48" s="17" t="s">
        <v>91</v>
      </c>
      <c r="B48" s="18" t="s">
        <v>92</v>
      </c>
      <c r="C48" s="19">
        <v>16</v>
      </c>
      <c r="D48" s="23"/>
      <c r="E48" s="23"/>
      <c r="F48" s="24"/>
      <c r="G48" s="8"/>
      <c r="H48" s="22"/>
    </row>
    <row r="49" spans="1:8" ht="12.75" customHeight="1">
      <c r="A49" s="17" t="s">
        <v>93</v>
      </c>
      <c r="B49" s="18" t="s">
        <v>94</v>
      </c>
      <c r="C49" s="19">
        <v>10</v>
      </c>
      <c r="D49" s="23"/>
      <c r="E49" s="23"/>
      <c r="F49" s="24"/>
      <c r="G49" s="8"/>
      <c r="H49" s="22"/>
    </row>
    <row r="50" spans="1:8" ht="54.75" customHeight="1">
      <c r="A50" s="17" t="s">
        <v>95</v>
      </c>
      <c r="B50" s="14" t="s">
        <v>96</v>
      </c>
      <c r="C50" s="15">
        <v>476</v>
      </c>
      <c r="D50" s="23"/>
      <c r="E50" s="23"/>
      <c r="F50" s="24"/>
      <c r="G50" s="8"/>
      <c r="H50" s="22"/>
    </row>
    <row r="51" spans="1:8" ht="12.75" customHeight="1">
      <c r="A51" s="17" t="s">
        <v>97</v>
      </c>
      <c r="B51" s="18" t="s">
        <v>98</v>
      </c>
      <c r="C51" s="19">
        <v>65</v>
      </c>
      <c r="D51" s="23"/>
      <c r="E51" s="23"/>
      <c r="F51" s="24"/>
      <c r="G51" s="8"/>
      <c r="H51" s="22"/>
    </row>
    <row r="52" spans="1:8" ht="12.75" customHeight="1">
      <c r="A52" s="17" t="s">
        <v>99</v>
      </c>
      <c r="B52" s="18" t="s">
        <v>100</v>
      </c>
      <c r="C52" s="19">
        <v>42</v>
      </c>
      <c r="D52" s="23"/>
      <c r="E52" s="23"/>
      <c r="F52" s="24"/>
      <c r="G52" s="8"/>
      <c r="H52" s="22"/>
    </row>
    <row r="53" spans="1:8" ht="12.75" customHeight="1">
      <c r="A53" s="17" t="s">
        <v>101</v>
      </c>
      <c r="B53" s="18" t="s">
        <v>102</v>
      </c>
      <c r="C53" s="19">
        <v>192</v>
      </c>
      <c r="D53" s="23"/>
      <c r="E53" s="23"/>
      <c r="F53" s="24"/>
      <c r="G53" s="8"/>
      <c r="H53" s="22"/>
    </row>
    <row r="54" spans="1:8" ht="54.75" customHeight="1">
      <c r="A54" s="17" t="s">
        <v>103</v>
      </c>
      <c r="B54" s="14" t="s">
        <v>104</v>
      </c>
      <c r="C54" s="15">
        <v>11</v>
      </c>
      <c r="D54" s="29"/>
      <c r="E54" s="29"/>
      <c r="F54" s="30"/>
      <c r="G54" s="8"/>
      <c r="H54" s="22"/>
    </row>
    <row r="55" spans="1:8" ht="12.75" customHeight="1">
      <c r="A55" s="31" t="s">
        <v>105</v>
      </c>
      <c r="B55" s="32" t="s">
        <v>106</v>
      </c>
      <c r="C55" s="19">
        <v>1</v>
      </c>
      <c r="D55" s="33"/>
      <c r="E55" s="33"/>
      <c r="F55" s="33"/>
      <c r="G55" s="8"/>
      <c r="H55" s="34"/>
    </row>
    <row r="56" spans="1:8" ht="9.75" customHeight="1">
      <c r="A56" s="31" t="s">
        <v>107</v>
      </c>
      <c r="B56" s="32" t="s">
        <v>108</v>
      </c>
      <c r="C56" s="19">
        <v>4</v>
      </c>
      <c r="D56" s="33"/>
      <c r="E56" s="33"/>
      <c r="F56" s="33"/>
      <c r="G56" s="8"/>
      <c r="H56" s="34"/>
    </row>
    <row r="57" spans="1:8" ht="54.75" hidden="1" customHeight="1">
      <c r="A57" s="13" t="s">
        <v>109</v>
      </c>
      <c r="B57" s="14" t="s">
        <v>110</v>
      </c>
      <c r="C57" s="15">
        <v>3</v>
      </c>
      <c r="D57" s="35"/>
      <c r="E57" s="35"/>
      <c r="F57" s="35"/>
      <c r="G57" s="35"/>
      <c r="H57" s="35"/>
    </row>
    <row r="58" spans="1:8" ht="48.75" customHeight="1">
      <c r="A58" s="31" t="s">
        <v>111</v>
      </c>
      <c r="B58" s="14" t="s">
        <v>112</v>
      </c>
      <c r="C58" s="15">
        <v>204</v>
      </c>
    </row>
    <row r="59" spans="1:8" ht="12.75" customHeight="1">
      <c r="A59" s="13" t="s">
        <v>113</v>
      </c>
      <c r="B59" s="14" t="s">
        <v>114</v>
      </c>
      <c r="C59" s="15">
        <v>173</v>
      </c>
    </row>
    <row r="60" spans="1:8" ht="54.75" customHeight="1">
      <c r="A60" s="13" t="s">
        <v>115</v>
      </c>
      <c r="B60" s="14" t="s">
        <v>116</v>
      </c>
      <c r="C60" s="15">
        <v>2</v>
      </c>
    </row>
    <row r="61" spans="1:8" ht="12.75" customHeight="1">
      <c r="A61" s="13" t="s">
        <v>117</v>
      </c>
      <c r="B61" s="14" t="s">
        <v>118</v>
      </c>
      <c r="C61" s="15">
        <v>7</v>
      </c>
    </row>
    <row r="62" spans="1:8" ht="12.75" customHeight="1">
      <c r="A62" s="13" t="s">
        <v>119</v>
      </c>
      <c r="B62" s="14" t="s">
        <v>120</v>
      </c>
      <c r="C62" s="15">
        <v>8</v>
      </c>
    </row>
    <row r="63" spans="1:8" ht="54.75" customHeight="1">
      <c r="A63" s="13" t="s">
        <v>121</v>
      </c>
      <c r="B63" s="14" t="s">
        <v>122</v>
      </c>
      <c r="C63" s="15">
        <v>132</v>
      </c>
    </row>
    <row r="65" spans="1:3" ht="69.75" customHeight="1">
      <c r="A65" s="13" t="s">
        <v>123</v>
      </c>
      <c r="B65" s="14" t="s">
        <v>124</v>
      </c>
      <c r="C65" s="15">
        <v>6</v>
      </c>
    </row>
    <row r="66" spans="1:3" ht="12.75" customHeight="1">
      <c r="A66" s="13" t="s">
        <v>125</v>
      </c>
      <c r="B66" s="14" t="s">
        <v>126</v>
      </c>
      <c r="C66" s="15">
        <v>15</v>
      </c>
    </row>
    <row r="67" spans="1:3" ht="12.75" customHeight="1">
      <c r="A67" s="13" t="s">
        <v>127</v>
      </c>
      <c r="B67" s="14" t="s">
        <v>128</v>
      </c>
      <c r="C67" s="15">
        <v>18</v>
      </c>
    </row>
    <row r="68" spans="1:3" ht="12.75" customHeight="1">
      <c r="A68" s="13" t="s">
        <v>129</v>
      </c>
      <c r="B68" s="14" t="s">
        <v>130</v>
      </c>
      <c r="C68" s="15">
        <v>12</v>
      </c>
    </row>
    <row r="69" spans="1:3" ht="23.25" customHeight="1">
      <c r="A69" s="13" t="s">
        <v>131</v>
      </c>
      <c r="B69" s="14" t="s">
        <v>132</v>
      </c>
      <c r="C69" s="26">
        <v>0.8</v>
      </c>
    </row>
    <row r="70" spans="1:3" ht="54.75" customHeight="1">
      <c r="A70" s="13" t="s">
        <v>133</v>
      </c>
      <c r="B70" s="14" t="s">
        <v>134</v>
      </c>
      <c r="C70" s="15">
        <v>29</v>
      </c>
    </row>
    <row r="71" spans="1:3" ht="12.75" customHeight="1">
      <c r="A71" s="13" t="s">
        <v>135</v>
      </c>
      <c r="B71" s="14" t="s">
        <v>136</v>
      </c>
      <c r="C71" s="15">
        <v>297</v>
      </c>
    </row>
    <row r="72" spans="1:3" ht="79.5" customHeight="1">
      <c r="A72" s="13" t="s">
        <v>137</v>
      </c>
      <c r="B72" s="14" t="s">
        <v>138</v>
      </c>
      <c r="C72" s="15">
        <v>28</v>
      </c>
    </row>
    <row r="73" spans="1:3" ht="12.75" customHeight="1">
      <c r="A73" s="13" t="s">
        <v>139</v>
      </c>
      <c r="B73" s="14" t="s">
        <v>140</v>
      </c>
      <c r="C73" s="15">
        <v>4</v>
      </c>
    </row>
    <row r="74" spans="1:3" ht="12.75" customHeight="1">
      <c r="A74" s="13" t="s">
        <v>141</v>
      </c>
      <c r="B74" s="14" t="s">
        <v>142</v>
      </c>
      <c r="C74" s="15">
        <v>9</v>
      </c>
    </row>
    <row r="75" spans="1:3" ht="79.5" customHeight="1">
      <c r="A75" s="13" t="s">
        <v>143</v>
      </c>
      <c r="B75" s="14" t="s">
        <v>144</v>
      </c>
      <c r="C75" s="15">
        <v>67</v>
      </c>
    </row>
    <row r="76" spans="1:3" ht="12.75" customHeight="1">
      <c r="A76" s="13" t="s">
        <v>145</v>
      </c>
      <c r="B76" s="14" t="s">
        <v>146</v>
      </c>
      <c r="C76" s="15">
        <v>37</v>
      </c>
    </row>
    <row r="77" spans="1:3" ht="12.75" customHeight="1">
      <c r="A77" s="13" t="s">
        <v>147</v>
      </c>
      <c r="B77" s="14" t="s">
        <v>148</v>
      </c>
      <c r="C77" s="15">
        <v>2</v>
      </c>
    </row>
    <row r="78" spans="1:3" ht="79.5" customHeight="1">
      <c r="A78" s="13" t="s">
        <v>149</v>
      </c>
      <c r="B78" s="14" t="s">
        <v>150</v>
      </c>
      <c r="C78" s="15">
        <v>21</v>
      </c>
    </row>
    <row r="79" spans="1:3" ht="12.75" customHeight="1">
      <c r="A79" s="13" t="s">
        <v>151</v>
      </c>
      <c r="B79" s="14" t="s">
        <v>152</v>
      </c>
      <c r="C79" s="15">
        <v>13</v>
      </c>
    </row>
    <row r="80" spans="1:3" ht="12.75" customHeight="1">
      <c r="A80" s="13" t="s">
        <v>153</v>
      </c>
      <c r="B80" s="14" t="s">
        <v>154</v>
      </c>
      <c r="C80" s="15">
        <v>15</v>
      </c>
    </row>
    <row r="81" spans="1:3" ht="12.75" customHeight="1">
      <c r="A81" s="13" t="s">
        <v>155</v>
      </c>
      <c r="B81" s="14" t="s">
        <v>156</v>
      </c>
      <c r="C81" s="15">
        <v>28</v>
      </c>
    </row>
    <row r="82" spans="1:3" ht="79.5" customHeight="1">
      <c r="A82" s="13" t="s">
        <v>157</v>
      </c>
      <c r="B82" s="14" t="s">
        <v>158</v>
      </c>
      <c r="C82" s="26">
        <v>0.4</v>
      </c>
    </row>
    <row r="83" spans="1:3" ht="12.75" customHeight="1">
      <c r="A83" s="13" t="s">
        <v>159</v>
      </c>
      <c r="B83" s="14" t="s">
        <v>160</v>
      </c>
      <c r="C83" s="15">
        <v>35</v>
      </c>
    </row>
    <row r="84" spans="1:3" ht="79.5" customHeight="1">
      <c r="A84" s="13" t="s">
        <v>161</v>
      </c>
      <c r="B84" s="14" t="s">
        <v>162</v>
      </c>
      <c r="C84" s="15">
        <v>4</v>
      </c>
    </row>
    <row r="85" spans="1:3" ht="12.75" customHeight="1">
      <c r="A85" s="13" t="s">
        <v>163</v>
      </c>
      <c r="B85" s="14" t="s">
        <v>164</v>
      </c>
      <c r="C85" s="15">
        <v>2</v>
      </c>
    </row>
    <row r="86" spans="1:3" ht="79.5" customHeight="1">
      <c r="A86" s="13" t="s">
        <v>165</v>
      </c>
      <c r="B86" s="14" t="s">
        <v>166</v>
      </c>
      <c r="C86" s="15">
        <v>6</v>
      </c>
    </row>
    <row r="87" spans="1:3" ht="147.75" customHeight="1">
      <c r="A87" s="13" t="s">
        <v>167</v>
      </c>
      <c r="B87" s="14" t="s">
        <v>168</v>
      </c>
      <c r="C87" s="15">
        <v>4</v>
      </c>
    </row>
    <row r="88" spans="1:3" ht="79.5" customHeight="1">
      <c r="A88" s="13" t="s">
        <v>169</v>
      </c>
      <c r="B88" s="14" t="s">
        <v>170</v>
      </c>
      <c r="C88" s="15">
        <v>330</v>
      </c>
    </row>
    <row r="89" spans="1:3" ht="12.75" customHeight="1">
      <c r="A89" s="13" t="s">
        <v>171</v>
      </c>
      <c r="B89" s="14" t="s">
        <v>172</v>
      </c>
      <c r="C89" s="15">
        <v>4</v>
      </c>
    </row>
    <row r="90" spans="1:3" ht="94.5" customHeight="1">
      <c r="A90" s="13" t="s">
        <v>173</v>
      </c>
      <c r="B90" s="14" t="s">
        <v>174</v>
      </c>
      <c r="C90" s="15">
        <v>11</v>
      </c>
    </row>
    <row r="91" spans="1:3" ht="94.5" customHeight="1">
      <c r="A91" s="13" t="s">
        <v>175</v>
      </c>
      <c r="B91" s="14" t="s">
        <v>176</v>
      </c>
      <c r="C91" s="15">
        <v>1</v>
      </c>
    </row>
    <row r="92" spans="1:3" ht="94.5" customHeight="1">
      <c r="A92" s="13" t="s">
        <v>177</v>
      </c>
      <c r="B92" s="14" t="s">
        <v>178</v>
      </c>
      <c r="C92" s="15">
        <v>27</v>
      </c>
    </row>
    <row r="93" spans="1:3" ht="12.75" customHeight="1">
      <c r="A93" s="13" t="s">
        <v>179</v>
      </c>
      <c r="B93" s="14" t="s">
        <v>180</v>
      </c>
      <c r="C93" s="26">
        <v>0.6</v>
      </c>
    </row>
    <row r="94" spans="1:3" ht="12.75" customHeight="1">
      <c r="A94" s="13" t="s">
        <v>181</v>
      </c>
      <c r="B94" s="14" t="s">
        <v>182</v>
      </c>
      <c r="C94" s="26">
        <v>0.09</v>
      </c>
    </row>
    <row r="95" spans="1:3" ht="94.5" customHeight="1">
      <c r="A95" s="13" t="s">
        <v>183</v>
      </c>
      <c r="B95" s="14" t="s">
        <v>184</v>
      </c>
      <c r="C95" s="15">
        <v>2</v>
      </c>
    </row>
    <row r="96" spans="1:3" ht="12.75" customHeight="1">
      <c r="A96" s="13" t="s">
        <v>185</v>
      </c>
      <c r="B96" s="14" t="s">
        <v>186</v>
      </c>
      <c r="C96" s="15">
        <v>17</v>
      </c>
    </row>
    <row r="97" spans="1:3" ht="94.5" customHeight="1">
      <c r="A97" s="13" t="s">
        <v>187</v>
      </c>
      <c r="B97" s="14" t="s">
        <v>188</v>
      </c>
      <c r="C97" s="15">
        <v>295</v>
      </c>
    </row>
    <row r="98" spans="1:3" ht="12.75" customHeight="1">
      <c r="A98" s="13" t="s">
        <v>189</v>
      </c>
      <c r="B98" s="14" t="s">
        <v>190</v>
      </c>
      <c r="C98" s="15">
        <v>3</v>
      </c>
    </row>
    <row r="99" spans="1:3" ht="94.5" customHeight="1">
      <c r="A99" s="13" t="s">
        <v>191</v>
      </c>
      <c r="B99" s="14" t="s">
        <v>192</v>
      </c>
      <c r="C99" s="15">
        <v>210</v>
      </c>
    </row>
    <row r="100" spans="1:3" ht="12.75" customHeight="1">
      <c r="A100" s="13" t="s">
        <v>193</v>
      </c>
      <c r="B100" s="14" t="s">
        <v>194</v>
      </c>
      <c r="C100" s="15">
        <v>83</v>
      </c>
    </row>
    <row r="101" spans="1:3" ht="109.5" customHeight="1">
      <c r="A101" s="13" t="s">
        <v>195</v>
      </c>
      <c r="B101" s="14" t="s">
        <v>196</v>
      </c>
      <c r="C101" s="15">
        <v>5</v>
      </c>
    </row>
    <row r="102" spans="1:3" ht="109.5" customHeight="1">
      <c r="A102" s="13" t="s">
        <v>197</v>
      </c>
      <c r="B102" s="14" t="s">
        <v>198</v>
      </c>
      <c r="C102" s="15">
        <v>620</v>
      </c>
    </row>
    <row r="103" spans="1:3" ht="12.75" customHeight="1">
      <c r="A103" s="13" t="s">
        <v>199</v>
      </c>
      <c r="B103" s="14" t="s">
        <v>200</v>
      </c>
      <c r="C103" s="15">
        <v>146</v>
      </c>
    </row>
    <row r="104" spans="1:3" ht="109.5" customHeight="1">
      <c r="A104" s="13" t="s">
        <v>201</v>
      </c>
      <c r="B104" s="14" t="s">
        <v>202</v>
      </c>
      <c r="C104" s="15">
        <v>220</v>
      </c>
    </row>
    <row r="105" spans="1:3" ht="109.5" customHeight="1">
      <c r="A105" s="13" t="s">
        <v>203</v>
      </c>
      <c r="B105" s="14" t="s">
        <v>204</v>
      </c>
      <c r="C105" s="15">
        <v>182</v>
      </c>
    </row>
    <row r="106" spans="1:3" ht="12.75" customHeight="1">
      <c r="A106" s="13" t="s">
        <v>205</v>
      </c>
      <c r="B106" s="14" t="s">
        <v>206</v>
      </c>
      <c r="C106" s="15">
        <v>119</v>
      </c>
    </row>
    <row r="107" spans="1:3" ht="124.5" customHeight="1">
      <c r="A107" s="13" t="s">
        <v>207</v>
      </c>
      <c r="B107" s="14" t="s">
        <v>208</v>
      </c>
      <c r="C107" s="15">
        <v>5</v>
      </c>
    </row>
    <row r="108" spans="1:3" ht="12.75" customHeight="1">
      <c r="A108" s="13" t="s">
        <v>209</v>
      </c>
      <c r="B108" s="14" t="s">
        <v>210</v>
      </c>
      <c r="C108" s="15">
        <v>2</v>
      </c>
    </row>
    <row r="109" spans="1:3" ht="124.5" customHeight="1">
      <c r="A109" s="13" t="s">
        <v>211</v>
      </c>
      <c r="B109" s="14" t="s">
        <v>212</v>
      </c>
      <c r="C109" s="15">
        <v>3</v>
      </c>
    </row>
    <row r="110" spans="1:3" ht="12.75" customHeight="1">
      <c r="A110" s="13" t="s">
        <v>213</v>
      </c>
      <c r="B110" s="14" t="s">
        <v>214</v>
      </c>
      <c r="C110" s="15">
        <v>2</v>
      </c>
    </row>
    <row r="111" spans="1:3" ht="124.5" customHeight="1">
      <c r="A111" s="13" t="s">
        <v>215</v>
      </c>
      <c r="B111" s="14" t="s">
        <v>216</v>
      </c>
      <c r="C111" s="15">
        <v>1</v>
      </c>
    </row>
    <row r="112" spans="1:3" ht="124.5" customHeight="1">
      <c r="A112" s="13" t="s">
        <v>217</v>
      </c>
      <c r="B112" s="14" t="s">
        <v>218</v>
      </c>
      <c r="C112" s="15">
        <v>3</v>
      </c>
    </row>
    <row r="113" spans="1:3" ht="124.5" customHeight="1">
      <c r="A113" s="13" t="s">
        <v>219</v>
      </c>
      <c r="B113" s="14" t="s">
        <v>220</v>
      </c>
      <c r="C113" s="15">
        <v>40</v>
      </c>
    </row>
    <row r="114" spans="1:3" ht="124.5" customHeight="1">
      <c r="A114" s="13" t="s">
        <v>221</v>
      </c>
      <c r="B114" s="14" t="s">
        <v>222</v>
      </c>
      <c r="C114" s="15">
        <v>9</v>
      </c>
    </row>
    <row r="115" spans="1:3" ht="12.75" customHeight="1">
      <c r="A115" s="13" t="s">
        <v>223</v>
      </c>
      <c r="B115" s="14" t="s">
        <v>224</v>
      </c>
      <c r="C115" s="15">
        <v>5</v>
      </c>
    </row>
    <row r="116" spans="1:3" ht="12.75" customHeight="1">
      <c r="A116" s="13" t="s">
        <v>225</v>
      </c>
      <c r="B116" s="14" t="s">
        <v>226</v>
      </c>
      <c r="C116" s="26">
        <v>0.4</v>
      </c>
    </row>
    <row r="117" spans="1:3" ht="139.5" customHeight="1">
      <c r="A117" s="13" t="s">
        <v>227</v>
      </c>
      <c r="B117" s="14" t="s">
        <v>228</v>
      </c>
      <c r="C117" s="26">
        <v>0.96</v>
      </c>
    </row>
    <row r="118" spans="1:3" ht="139.5" customHeight="1">
      <c r="A118" s="13" t="s">
        <v>229</v>
      </c>
      <c r="B118" s="14" t="s">
        <v>230</v>
      </c>
      <c r="C118" s="15">
        <v>6</v>
      </c>
    </row>
    <row r="119" spans="1:3" ht="12.75" customHeight="1">
      <c r="A119" s="13" t="s">
        <v>231</v>
      </c>
      <c r="B119" s="14" t="s">
        <v>232</v>
      </c>
      <c r="C119" s="15">
        <v>29</v>
      </c>
    </row>
    <row r="120" spans="1:3" ht="139.5" customHeight="1">
      <c r="A120" s="13" t="s">
        <v>233</v>
      </c>
      <c r="B120" s="14" t="s">
        <v>234</v>
      </c>
      <c r="C120" s="26">
        <v>0.01</v>
      </c>
    </row>
    <row r="121" spans="1:3" ht="139.5" customHeight="1">
      <c r="A121" s="13" t="s">
        <v>235</v>
      </c>
      <c r="B121" s="14" t="s">
        <v>236</v>
      </c>
      <c r="C121" s="26">
        <v>0.12</v>
      </c>
    </row>
    <row r="122" spans="1:3" ht="12.75" customHeight="1">
      <c r="A122" s="13" t="s">
        <v>237</v>
      </c>
      <c r="B122" s="14" t="s">
        <v>238</v>
      </c>
      <c r="C122" s="26">
        <v>0.57999999999999996</v>
      </c>
    </row>
    <row r="124" spans="1:3" ht="169.5" customHeight="1">
      <c r="A124" s="112"/>
      <c r="B124" s="112"/>
      <c r="C124" s="112"/>
    </row>
  </sheetData>
  <mergeCells count="3">
    <mergeCell ref="A1:C1"/>
    <mergeCell ref="A2:C2"/>
    <mergeCell ref="A124:C124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199"/>
    <pageSetUpPr fitToPage="1"/>
  </sheetPr>
  <dimension ref="A1:G51"/>
  <sheetViews>
    <sheetView showGridLines="0" topLeftCell="A40" zoomScaleNormal="100" workbookViewId="0">
      <selection activeCell="E48" sqref="E48"/>
    </sheetView>
  </sheetViews>
  <sheetFormatPr baseColWidth="10" defaultColWidth="8.7109375" defaultRowHeight="12.75"/>
  <cols>
    <col min="1" max="1" width="32" customWidth="1"/>
    <col min="2" max="2" width="13" customWidth="1"/>
    <col min="3" max="5" width="10" customWidth="1"/>
    <col min="6" max="6" width="16" customWidth="1"/>
    <col min="7" max="7" width="20" customWidth="1"/>
  </cols>
  <sheetData>
    <row r="1" spans="1:7" ht="15" customHeight="1">
      <c r="A1" s="113" t="s">
        <v>239</v>
      </c>
      <c r="B1" s="113"/>
      <c r="C1" s="113"/>
      <c r="D1" s="113"/>
      <c r="E1" s="113"/>
      <c r="F1" s="113"/>
      <c r="G1" s="113"/>
    </row>
    <row r="2" spans="1:7" ht="60" customHeight="1">
      <c r="A2" s="114" t="s">
        <v>240</v>
      </c>
      <c r="B2" s="114"/>
      <c r="C2" s="114"/>
      <c r="D2" s="114"/>
      <c r="E2" s="114"/>
      <c r="F2" s="114"/>
      <c r="G2" s="114"/>
    </row>
    <row r="4" spans="1:7" ht="23.25" customHeight="1">
      <c r="A4" s="11" t="s">
        <v>2</v>
      </c>
      <c r="B4" s="11" t="s">
        <v>3</v>
      </c>
      <c r="C4" s="11" t="s">
        <v>241</v>
      </c>
      <c r="D4" s="11" t="s">
        <v>242</v>
      </c>
      <c r="E4" s="11" t="s">
        <v>243</v>
      </c>
      <c r="F4" s="11" t="s">
        <v>244</v>
      </c>
      <c r="G4" s="11" t="s">
        <v>245</v>
      </c>
    </row>
    <row r="5" spans="1:7" ht="15" customHeight="1">
      <c r="A5" s="13" t="s">
        <v>5</v>
      </c>
      <c r="B5" s="14" t="s">
        <v>6</v>
      </c>
      <c r="C5" s="14">
        <v>7.8</v>
      </c>
      <c r="D5" s="14">
        <v>1651.2</v>
      </c>
      <c r="E5" s="14">
        <v>225</v>
      </c>
      <c r="F5" s="36">
        <v>20</v>
      </c>
      <c r="G5" s="37">
        <f t="shared" ref="G5:G38" si="0">10^(C5-(D5/(F5+E5)))</f>
        <v>11.492331986919096</v>
      </c>
    </row>
    <row r="6" spans="1:7" ht="15" customHeight="1">
      <c r="A6" s="13" t="s">
        <v>7</v>
      </c>
      <c r="B6" s="14" t="s">
        <v>8</v>
      </c>
      <c r="C6" s="14">
        <v>7.12</v>
      </c>
      <c r="D6" s="14">
        <v>1210.5999999999999</v>
      </c>
      <c r="E6" s="14">
        <v>229.66</v>
      </c>
      <c r="F6" s="36">
        <v>20</v>
      </c>
      <c r="G6" s="37">
        <f t="shared" si="0"/>
        <v>186.64027569364777</v>
      </c>
    </row>
    <row r="7" spans="1:7" ht="15" customHeight="1">
      <c r="A7" s="13" t="s">
        <v>9</v>
      </c>
      <c r="B7" s="14" t="s">
        <v>10</v>
      </c>
      <c r="C7" s="14">
        <v>7.24</v>
      </c>
      <c r="D7" s="14">
        <v>1675.3</v>
      </c>
      <c r="E7" s="14">
        <v>200</v>
      </c>
      <c r="F7" s="36">
        <v>20</v>
      </c>
      <c r="G7" s="37">
        <f t="shared" si="0"/>
        <v>0.42169650342858223</v>
      </c>
    </row>
    <row r="8" spans="1:7" ht="15" customHeight="1">
      <c r="A8" s="13" t="s">
        <v>11</v>
      </c>
      <c r="B8" s="14" t="s">
        <v>12</v>
      </c>
      <c r="C8" s="14">
        <v>6.9056499999999996</v>
      </c>
      <c r="D8" s="14">
        <v>1211.0329999999999</v>
      </c>
      <c r="E8" s="14">
        <v>220.79</v>
      </c>
      <c r="F8" s="36">
        <v>20</v>
      </c>
      <c r="G8" s="37">
        <f t="shared" si="0"/>
        <v>75.202854677602744</v>
      </c>
    </row>
    <row r="9" spans="1:7" ht="15" customHeight="1">
      <c r="A9" s="13" t="s">
        <v>246</v>
      </c>
      <c r="B9" s="14" t="s">
        <v>247</v>
      </c>
      <c r="C9" s="14">
        <v>7.82</v>
      </c>
      <c r="D9" s="14">
        <v>1950.3</v>
      </c>
      <c r="E9" s="14">
        <v>194.36</v>
      </c>
      <c r="F9" s="36">
        <v>20</v>
      </c>
      <c r="G9" s="37">
        <f t="shared" si="0"/>
        <v>5.2693137514038528E-2</v>
      </c>
    </row>
    <row r="10" spans="1:7" ht="15" customHeight="1">
      <c r="A10" s="13" t="s">
        <v>248</v>
      </c>
      <c r="B10" s="14" t="s">
        <v>249</v>
      </c>
      <c r="C10" s="14">
        <v>7.25</v>
      </c>
      <c r="D10" s="14">
        <v>1998.73</v>
      </c>
      <c r="E10" s="14">
        <v>202.73</v>
      </c>
      <c r="F10" s="36">
        <v>20</v>
      </c>
      <c r="G10" s="37">
        <f t="shared" si="0"/>
        <v>1.8889483675821873E-2</v>
      </c>
    </row>
    <row r="11" spans="1:7" ht="15" customHeight="1">
      <c r="A11" s="13" t="s">
        <v>250</v>
      </c>
      <c r="B11" s="14" t="s">
        <v>251</v>
      </c>
      <c r="C11" s="14">
        <v>6.84</v>
      </c>
      <c r="D11" s="14">
        <v>1173.79</v>
      </c>
      <c r="E11" s="14">
        <v>218.13</v>
      </c>
      <c r="F11" s="36">
        <v>20</v>
      </c>
      <c r="G11" s="37">
        <f t="shared" si="0"/>
        <v>81.433230336348757</v>
      </c>
    </row>
    <row r="12" spans="1:7" ht="15" customHeight="1">
      <c r="A12" s="13" t="s">
        <v>252</v>
      </c>
      <c r="B12" s="14" t="s">
        <v>253</v>
      </c>
      <c r="C12" s="14">
        <v>6.79</v>
      </c>
      <c r="D12" s="14">
        <v>1115.57</v>
      </c>
      <c r="E12" s="14">
        <v>211.31</v>
      </c>
      <c r="F12" s="36">
        <v>20</v>
      </c>
      <c r="G12" s="37">
        <f t="shared" si="0"/>
        <v>92.718168387475799</v>
      </c>
    </row>
    <row r="13" spans="1:7" ht="15" customHeight="1">
      <c r="A13" s="13" t="s">
        <v>13</v>
      </c>
      <c r="B13" s="14" t="s">
        <v>14</v>
      </c>
      <c r="C13" s="14">
        <v>6.93</v>
      </c>
      <c r="D13" s="14">
        <v>1242.43</v>
      </c>
      <c r="E13" s="14">
        <v>230</v>
      </c>
      <c r="F13" s="36">
        <v>20</v>
      </c>
      <c r="G13" s="37">
        <f t="shared" si="0"/>
        <v>91.259902406161899</v>
      </c>
    </row>
    <row r="14" spans="1:7" ht="15" customHeight="1">
      <c r="A14" s="13" t="s">
        <v>15</v>
      </c>
      <c r="B14" s="14" t="s">
        <v>16</v>
      </c>
      <c r="C14" s="14">
        <v>6.9</v>
      </c>
      <c r="D14" s="14">
        <v>1163.03</v>
      </c>
      <c r="E14" s="14">
        <v>227.4</v>
      </c>
      <c r="F14" s="36">
        <v>20</v>
      </c>
      <c r="G14" s="37">
        <f t="shared" si="0"/>
        <v>158.12097758237888</v>
      </c>
    </row>
    <row r="15" spans="1:7" ht="15" customHeight="1">
      <c r="A15" s="13" t="s">
        <v>17</v>
      </c>
      <c r="B15" s="14" t="s">
        <v>18</v>
      </c>
      <c r="C15" s="14">
        <v>6.84</v>
      </c>
      <c r="D15" s="14">
        <v>1203.53</v>
      </c>
      <c r="E15" s="14">
        <v>222.86</v>
      </c>
      <c r="F15" s="36">
        <v>20</v>
      </c>
      <c r="G15" s="37">
        <f t="shared" si="0"/>
        <v>76.620774408988737</v>
      </c>
    </row>
    <row r="16" spans="1:7" ht="15" customHeight="1">
      <c r="A16" s="13" t="s">
        <v>41</v>
      </c>
      <c r="B16" s="14" t="s">
        <v>42</v>
      </c>
      <c r="C16" s="14">
        <v>6.92</v>
      </c>
      <c r="D16" s="14">
        <v>1538.3</v>
      </c>
      <c r="E16" s="14">
        <v>200</v>
      </c>
      <c r="F16" s="36">
        <v>20</v>
      </c>
      <c r="G16" s="37">
        <f t="shared" si="0"/>
        <v>0.84669554119276202</v>
      </c>
    </row>
    <row r="17" spans="1:7" ht="15" customHeight="1">
      <c r="A17" s="13" t="s">
        <v>45</v>
      </c>
      <c r="B17" s="14" t="s">
        <v>46</v>
      </c>
      <c r="C17" s="14">
        <v>7.1</v>
      </c>
      <c r="D17" s="14">
        <v>1244.95</v>
      </c>
      <c r="E17" s="14">
        <v>217.88</v>
      </c>
      <c r="F17" s="36">
        <v>20</v>
      </c>
      <c r="G17" s="37">
        <f t="shared" si="0"/>
        <v>73.532426400202766</v>
      </c>
    </row>
    <row r="18" spans="1:7" ht="15" customHeight="1">
      <c r="A18" s="13" t="s">
        <v>19</v>
      </c>
      <c r="B18" s="14" t="s">
        <v>20</v>
      </c>
      <c r="C18" s="14">
        <v>8.0399999999999991</v>
      </c>
      <c r="D18" s="14">
        <v>1554.3</v>
      </c>
      <c r="E18" s="14">
        <v>222.65</v>
      </c>
      <c r="F18" s="36">
        <v>20</v>
      </c>
      <c r="G18" s="37">
        <f t="shared" si="0"/>
        <v>43.10003697086853</v>
      </c>
    </row>
    <row r="19" spans="1:7" ht="15" customHeight="1">
      <c r="A19" s="13" t="s">
        <v>39</v>
      </c>
      <c r="B19" s="14" t="s">
        <v>40</v>
      </c>
      <c r="C19" s="14">
        <v>6.96</v>
      </c>
      <c r="D19" s="14">
        <v>1424.26</v>
      </c>
      <c r="E19" s="14">
        <v>213.21</v>
      </c>
      <c r="F19" s="36">
        <v>20</v>
      </c>
      <c r="G19" s="37">
        <f t="shared" si="0"/>
        <v>7.1252561268071819</v>
      </c>
    </row>
    <row r="20" spans="1:7" ht="15" customHeight="1">
      <c r="A20" s="13" t="s">
        <v>254</v>
      </c>
      <c r="B20" s="14" t="s">
        <v>44</v>
      </c>
      <c r="C20" s="14">
        <v>7.18</v>
      </c>
      <c r="D20" s="14">
        <v>1358.46</v>
      </c>
      <c r="E20" s="14">
        <v>232.2</v>
      </c>
      <c r="F20" s="36">
        <v>20</v>
      </c>
      <c r="G20" s="37">
        <f t="shared" si="0"/>
        <v>62.167108226507317</v>
      </c>
    </row>
    <row r="21" spans="1:7" ht="15" customHeight="1">
      <c r="A21" s="13" t="s">
        <v>47</v>
      </c>
      <c r="B21" s="14" t="s">
        <v>48</v>
      </c>
      <c r="C21" s="14">
        <v>6.94</v>
      </c>
      <c r="D21" s="14">
        <v>1295.26</v>
      </c>
      <c r="E21" s="14">
        <v>218</v>
      </c>
      <c r="F21" s="36">
        <v>20</v>
      </c>
      <c r="G21" s="37">
        <f t="shared" si="0"/>
        <v>31.457998865643923</v>
      </c>
    </row>
    <row r="22" spans="1:7" ht="15" customHeight="1">
      <c r="A22" s="13" t="s">
        <v>29</v>
      </c>
      <c r="B22" s="14" t="s">
        <v>30</v>
      </c>
      <c r="C22" s="14">
        <v>6.9</v>
      </c>
      <c r="D22" s="14">
        <v>1268.1199999999999</v>
      </c>
      <c r="E22" s="14">
        <v>216.9</v>
      </c>
      <c r="F22" s="36">
        <v>20</v>
      </c>
      <c r="G22" s="37">
        <f t="shared" si="0"/>
        <v>35.23903936361058</v>
      </c>
    </row>
    <row r="23" spans="1:7" ht="15" customHeight="1">
      <c r="A23" s="13" t="s">
        <v>27</v>
      </c>
      <c r="B23" s="14" t="s">
        <v>28</v>
      </c>
      <c r="C23" s="14">
        <v>6.88</v>
      </c>
      <c r="D23" s="14">
        <v>1171.53</v>
      </c>
      <c r="E23" s="14">
        <v>224.37</v>
      </c>
      <c r="F23" s="36">
        <v>20</v>
      </c>
      <c r="G23" s="37">
        <f t="shared" si="0"/>
        <v>121.87573746689037</v>
      </c>
    </row>
    <row r="24" spans="1:7" ht="15" customHeight="1">
      <c r="A24" s="13" t="s">
        <v>255</v>
      </c>
      <c r="B24" s="14" t="s">
        <v>32</v>
      </c>
      <c r="C24" s="14">
        <v>7.9</v>
      </c>
      <c r="D24" s="14">
        <v>1474.08</v>
      </c>
      <c r="E24" s="14">
        <v>229.13</v>
      </c>
      <c r="F24" s="36">
        <v>20</v>
      </c>
      <c r="G24" s="37">
        <f t="shared" si="0"/>
        <v>96.180969458687244</v>
      </c>
    </row>
    <row r="25" spans="1:7" ht="15" customHeight="1">
      <c r="A25" s="13" t="s">
        <v>256</v>
      </c>
      <c r="B25" s="14" t="s">
        <v>22</v>
      </c>
      <c r="C25" s="14">
        <v>7.41</v>
      </c>
      <c r="D25" s="14">
        <v>1325.9</v>
      </c>
      <c r="E25" s="14">
        <v>252.6</v>
      </c>
      <c r="F25" s="36">
        <v>20</v>
      </c>
      <c r="G25" s="37">
        <f t="shared" si="0"/>
        <v>351.63884524457399</v>
      </c>
    </row>
    <row r="26" spans="1:7" ht="15" customHeight="1">
      <c r="A26" s="13" t="s">
        <v>257</v>
      </c>
      <c r="B26" s="14" t="s">
        <v>34</v>
      </c>
      <c r="C26" s="14">
        <v>7.06</v>
      </c>
      <c r="D26" s="14">
        <v>1261.3399999999999</v>
      </c>
      <c r="E26" s="14">
        <v>221.97</v>
      </c>
      <c r="F26" s="36">
        <v>20</v>
      </c>
      <c r="G26" s="37">
        <f t="shared" si="0"/>
        <v>70.340431057614055</v>
      </c>
    </row>
    <row r="27" spans="1:7" ht="15" customHeight="1">
      <c r="A27" s="13" t="s">
        <v>53</v>
      </c>
      <c r="B27" s="14" t="s">
        <v>54</v>
      </c>
      <c r="C27" s="14">
        <v>6.85</v>
      </c>
      <c r="D27" s="14">
        <v>1064.6300000000001</v>
      </c>
      <c r="E27" s="14">
        <v>232</v>
      </c>
      <c r="F27" s="36">
        <v>20</v>
      </c>
      <c r="G27" s="37">
        <f t="shared" si="0"/>
        <v>421.96630972731202</v>
      </c>
    </row>
    <row r="28" spans="1:7" ht="15" customHeight="1">
      <c r="A28" s="13" t="s">
        <v>258</v>
      </c>
      <c r="B28" s="14" t="s">
        <v>259</v>
      </c>
      <c r="C28" s="14">
        <v>7.14</v>
      </c>
      <c r="D28" s="14">
        <v>1518.1</v>
      </c>
      <c r="E28" s="14">
        <v>175</v>
      </c>
      <c r="F28" s="36">
        <v>20</v>
      </c>
      <c r="G28" s="37">
        <f t="shared" si="0"/>
        <v>0.22639758759744208</v>
      </c>
    </row>
    <row r="29" spans="1:7" ht="15" customHeight="1">
      <c r="A29" s="13" t="s">
        <v>49</v>
      </c>
      <c r="B29" s="14" t="s">
        <v>50</v>
      </c>
      <c r="C29" s="14">
        <v>7.72</v>
      </c>
      <c r="D29" s="14">
        <v>1690</v>
      </c>
      <c r="E29" s="14">
        <v>210</v>
      </c>
      <c r="F29" s="36">
        <v>20</v>
      </c>
      <c r="G29" s="37">
        <f t="shared" si="0"/>
        <v>2.3559925512488022</v>
      </c>
    </row>
    <row r="30" spans="1:7" ht="15" customHeight="1">
      <c r="A30" s="13" t="s">
        <v>23</v>
      </c>
      <c r="B30" s="14" t="s">
        <v>24</v>
      </c>
      <c r="C30" s="14">
        <v>7.07</v>
      </c>
      <c r="D30" s="14">
        <v>1304.0999999999999</v>
      </c>
      <c r="E30" s="14">
        <v>210</v>
      </c>
      <c r="F30" s="36">
        <v>20</v>
      </c>
      <c r="G30" s="37">
        <f t="shared" si="0"/>
        <v>25.118864315095834</v>
      </c>
    </row>
    <row r="31" spans="1:7" ht="15" customHeight="1">
      <c r="A31" s="13" t="s">
        <v>35</v>
      </c>
      <c r="B31" s="14" t="s">
        <v>36</v>
      </c>
      <c r="C31" s="14">
        <v>7.58</v>
      </c>
      <c r="D31" s="14">
        <v>1882.37</v>
      </c>
      <c r="E31" s="14">
        <v>255.35</v>
      </c>
      <c r="F31" s="36">
        <v>20</v>
      </c>
      <c r="G31" s="37">
        <f t="shared" si="0"/>
        <v>5.5426684802073725</v>
      </c>
    </row>
    <row r="32" spans="1:7" ht="15" customHeight="1">
      <c r="A32" s="13" t="s">
        <v>37</v>
      </c>
      <c r="B32" s="14" t="s">
        <v>38</v>
      </c>
      <c r="C32" s="14">
        <v>7.02</v>
      </c>
      <c r="D32" s="14">
        <v>1415.49</v>
      </c>
      <c r="E32" s="14">
        <v>221</v>
      </c>
      <c r="F32" s="36">
        <v>20</v>
      </c>
      <c r="G32" s="37">
        <f t="shared" si="0"/>
        <v>14.01514225904366</v>
      </c>
    </row>
    <row r="33" spans="1:7" ht="15" customHeight="1">
      <c r="A33" s="13" t="s">
        <v>25</v>
      </c>
      <c r="B33" s="14" t="s">
        <v>26</v>
      </c>
      <c r="C33" s="14">
        <v>6.9546400000000004</v>
      </c>
      <c r="D33" s="14">
        <v>1344.8</v>
      </c>
      <c r="E33" s="14">
        <v>219.48</v>
      </c>
      <c r="F33" s="36">
        <v>20</v>
      </c>
      <c r="G33" s="37">
        <f t="shared" si="0"/>
        <v>21.834323946425211</v>
      </c>
    </row>
    <row r="34" spans="1:7" ht="15" customHeight="1">
      <c r="A34" s="13" t="s">
        <v>51</v>
      </c>
      <c r="B34" s="14" t="s">
        <v>52</v>
      </c>
      <c r="C34" s="14">
        <v>7.21</v>
      </c>
      <c r="D34" s="14">
        <v>1296.1300000000001</v>
      </c>
      <c r="E34" s="14">
        <v>226.66</v>
      </c>
      <c r="F34" s="36">
        <v>20</v>
      </c>
      <c r="G34" s="37">
        <f t="shared" si="0"/>
        <v>90.214614856545239</v>
      </c>
    </row>
    <row r="35" spans="1:7" ht="15" customHeight="1">
      <c r="A35" s="13" t="s">
        <v>55</v>
      </c>
      <c r="B35" s="14" t="s">
        <v>56</v>
      </c>
      <c r="C35" s="14">
        <v>7</v>
      </c>
      <c r="D35" s="14">
        <v>1474.68</v>
      </c>
      <c r="E35" s="14">
        <v>213.69</v>
      </c>
      <c r="F35" s="36">
        <v>20</v>
      </c>
      <c r="G35" s="37">
        <f t="shared" si="0"/>
        <v>4.893152728220703</v>
      </c>
    </row>
    <row r="36" spans="1:7" ht="15" customHeight="1">
      <c r="A36" s="13" t="s">
        <v>57</v>
      </c>
      <c r="B36" s="14" t="s">
        <v>58</v>
      </c>
      <c r="C36" s="14">
        <v>7.01</v>
      </c>
      <c r="D36" s="14">
        <v>1462.27</v>
      </c>
      <c r="E36" s="14">
        <v>215.11</v>
      </c>
      <c r="F36" s="36">
        <v>20</v>
      </c>
      <c r="G36" s="37">
        <f t="shared" si="0"/>
        <v>6.1728500899207983</v>
      </c>
    </row>
    <row r="37" spans="1:7" ht="15" customHeight="1">
      <c r="A37" s="13" t="s">
        <v>59</v>
      </c>
      <c r="B37" s="14" t="s">
        <v>60</v>
      </c>
      <c r="C37" s="14">
        <v>6.99</v>
      </c>
      <c r="D37" s="14">
        <v>1453.43</v>
      </c>
      <c r="E37" s="14">
        <v>215.31</v>
      </c>
      <c r="F37" s="36">
        <v>20</v>
      </c>
      <c r="G37" s="37">
        <f t="shared" si="0"/>
        <v>6.5063800041210529</v>
      </c>
    </row>
    <row r="38" spans="1:7" ht="15" customHeight="1">
      <c r="A38" s="13" t="s">
        <v>260</v>
      </c>
      <c r="B38" s="14" t="s">
        <v>261</v>
      </c>
      <c r="C38" s="14">
        <v>8.0371039999999994</v>
      </c>
      <c r="D38" s="14">
        <v>1705.854</v>
      </c>
      <c r="E38" s="14">
        <v>230.911</v>
      </c>
      <c r="F38" s="36">
        <v>20</v>
      </c>
      <c r="G38" s="37">
        <f t="shared" si="0"/>
        <v>17.316585061041032</v>
      </c>
    </row>
    <row r="39" spans="1:7" ht="15" customHeight="1">
      <c r="A39" s="38"/>
      <c r="B39" s="39"/>
      <c r="C39" s="39"/>
      <c r="D39" s="39"/>
      <c r="E39" s="39"/>
      <c r="F39" s="39"/>
      <c r="G39" s="40"/>
    </row>
    <row r="40" spans="1:7" ht="64.5" customHeight="1">
      <c r="A40" s="114"/>
      <c r="B40" s="114"/>
      <c r="C40" s="114"/>
      <c r="D40" s="114"/>
      <c r="E40" s="114"/>
      <c r="F40" s="114"/>
      <c r="G40" s="114"/>
    </row>
    <row r="41" spans="1:7" ht="15" customHeight="1">
      <c r="A41" s="38"/>
      <c r="B41" s="39"/>
      <c r="C41" s="39"/>
      <c r="D41" s="39"/>
      <c r="E41" s="39"/>
      <c r="F41" s="39"/>
      <c r="G41" s="40"/>
    </row>
    <row r="42" spans="1:7" ht="15" customHeight="1">
      <c r="A42" s="38"/>
      <c r="B42" s="39"/>
      <c r="C42" s="39"/>
      <c r="D42" s="39"/>
      <c r="E42" s="39"/>
      <c r="F42" s="39"/>
      <c r="G42" s="40"/>
    </row>
    <row r="43" spans="1:7" ht="15" customHeight="1">
      <c r="A43" s="38"/>
      <c r="B43" s="39"/>
      <c r="C43" s="39"/>
      <c r="D43" s="39"/>
      <c r="E43" s="39"/>
      <c r="F43" s="39"/>
      <c r="G43" s="40"/>
    </row>
    <row r="44" spans="1:7" ht="15" customHeight="1">
      <c r="A44" s="38"/>
      <c r="B44" s="39"/>
      <c r="C44" s="39"/>
      <c r="D44" s="39"/>
      <c r="E44" s="39"/>
      <c r="F44" s="39"/>
      <c r="G44" s="40"/>
    </row>
    <row r="45" spans="1:7" ht="15" customHeight="1">
      <c r="A45" s="38"/>
      <c r="B45" s="39"/>
      <c r="C45" s="39"/>
      <c r="D45" s="39"/>
      <c r="E45" s="39"/>
      <c r="F45" s="39"/>
      <c r="G45" s="40"/>
    </row>
    <row r="46" spans="1:7" ht="15" customHeight="1">
      <c r="A46" s="38"/>
      <c r="B46" s="39"/>
      <c r="C46" s="39"/>
      <c r="D46" s="39"/>
      <c r="E46" s="39"/>
      <c r="F46" s="39"/>
      <c r="G46" s="40"/>
    </row>
    <row r="47" spans="1:7" ht="15" customHeight="1">
      <c r="A47" s="38"/>
      <c r="B47" s="39"/>
      <c r="C47" s="39"/>
      <c r="D47" s="39"/>
      <c r="E47" s="39"/>
      <c r="F47" s="39"/>
      <c r="G47" s="40"/>
    </row>
    <row r="48" spans="1:7" ht="15" customHeight="1">
      <c r="A48" s="38"/>
      <c r="B48" s="39"/>
      <c r="C48" s="39"/>
      <c r="D48" s="39"/>
      <c r="E48" s="39"/>
      <c r="F48" s="39"/>
      <c r="G48" s="40"/>
    </row>
    <row r="49" spans="1:7" ht="15" customHeight="1">
      <c r="A49" s="38"/>
      <c r="B49" s="39"/>
      <c r="C49" s="39"/>
      <c r="D49" s="39"/>
      <c r="E49" s="39"/>
      <c r="F49" s="39"/>
      <c r="G49" s="40"/>
    </row>
    <row r="51" spans="1:7" ht="49.5" customHeight="1">
      <c r="A51" s="1"/>
    </row>
  </sheetData>
  <mergeCells count="3">
    <mergeCell ref="A1:G1"/>
    <mergeCell ref="A2:G2"/>
    <mergeCell ref="A40:G40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199"/>
  </sheetPr>
  <dimension ref="A1:AR749"/>
  <sheetViews>
    <sheetView zoomScale="69" zoomScaleNormal="69" workbookViewId="0">
      <selection activeCell="J6" sqref="J6"/>
    </sheetView>
  </sheetViews>
  <sheetFormatPr baseColWidth="10" defaultColWidth="10.7109375" defaultRowHeight="12.75"/>
  <cols>
    <col min="1" max="1" width="14" style="41" customWidth="1"/>
    <col min="2" max="2" width="19.7109375" style="41" customWidth="1"/>
    <col min="3" max="3" width="16.5703125" style="41" customWidth="1"/>
    <col min="4" max="4" width="11.5703125" style="41" customWidth="1"/>
    <col min="5" max="5" width="10.7109375" style="41"/>
    <col min="6" max="6" width="10.42578125" style="41" customWidth="1"/>
    <col min="7" max="7" width="7.5703125" style="42" customWidth="1"/>
    <col min="8" max="8" width="10.42578125" style="42" customWidth="1"/>
    <col min="9" max="9" width="11.85546875" style="42" customWidth="1"/>
    <col min="10" max="10" width="12.5703125" style="42" customWidth="1"/>
    <col min="11" max="11" width="10.42578125" style="42" customWidth="1"/>
    <col min="12" max="12" width="16.5703125" style="42" hidden="1" customWidth="1"/>
    <col min="13" max="17" width="11.42578125" style="42" hidden="1" customWidth="1"/>
    <col min="18" max="18" width="0.140625" style="42" customWidth="1"/>
    <col min="19" max="19" width="11.42578125" style="41" hidden="1" customWidth="1"/>
    <col min="20" max="20" width="15.7109375" style="43" hidden="1" customWidth="1"/>
    <col min="21" max="21" width="11.5703125" hidden="1" customWidth="1"/>
    <col min="22" max="22" width="31.140625" style="42" customWidth="1"/>
    <col min="23" max="23" width="10" hidden="1" customWidth="1"/>
    <col min="24" max="27" width="11.5703125" hidden="1" customWidth="1"/>
    <col min="28" max="28" width="13" hidden="1" customWidth="1"/>
    <col min="29" max="29" width="12.85546875" hidden="1" customWidth="1"/>
    <col min="30" max="30" width="26.7109375" style="41" customWidth="1"/>
    <col min="31" max="31" width="16.28515625" style="41" customWidth="1"/>
    <col min="32" max="32" width="14.5703125" style="41" customWidth="1"/>
    <col min="33" max="34" width="27.140625" style="41" customWidth="1"/>
    <col min="35" max="35" width="23" style="43" customWidth="1"/>
    <col min="36" max="36" width="19" style="43" customWidth="1"/>
    <col min="37" max="37" width="24.7109375" style="43" customWidth="1"/>
    <col min="38" max="38" width="31.5703125" style="43" customWidth="1"/>
    <col min="39" max="39" width="22.28515625" style="41" customWidth="1"/>
    <col min="40" max="40" width="23.28515625" style="41" customWidth="1"/>
    <col min="41" max="41" width="27.5703125" style="41" customWidth="1"/>
    <col min="42" max="42" width="23.7109375" style="44" customWidth="1"/>
  </cols>
  <sheetData>
    <row r="1" spans="1:42" ht="18.75" customHeight="1">
      <c r="A1" s="115" t="s">
        <v>262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45"/>
      <c r="N1" s="45"/>
      <c r="O1" s="45"/>
      <c r="P1" s="45"/>
      <c r="Q1" s="45"/>
      <c r="R1" s="45"/>
      <c r="S1" s="116" t="s">
        <v>263</v>
      </c>
      <c r="T1" s="116"/>
      <c r="U1" s="116"/>
      <c r="V1" s="117" t="s">
        <v>264</v>
      </c>
      <c r="W1" s="46" t="s">
        <v>265</v>
      </c>
      <c r="X1" s="46"/>
      <c r="Y1" s="46"/>
      <c r="Z1" s="46"/>
      <c r="AA1" s="46"/>
      <c r="AB1" s="46"/>
      <c r="AC1" s="47"/>
      <c r="AD1" s="115" t="s">
        <v>266</v>
      </c>
      <c r="AE1" s="115"/>
      <c r="AF1" s="115"/>
      <c r="AG1" s="115"/>
      <c r="AH1" s="115"/>
      <c r="AI1" s="118" t="s">
        <v>267</v>
      </c>
      <c r="AJ1" s="118"/>
      <c r="AK1" s="118"/>
      <c r="AL1" s="118"/>
      <c r="AM1" s="118"/>
      <c r="AN1" s="118"/>
      <c r="AO1" s="118"/>
      <c r="AP1" s="118"/>
    </row>
    <row r="2" spans="1:42" s="54" customFormat="1" ht="60" customHeight="1">
      <c r="A2" s="48" t="s">
        <v>3</v>
      </c>
      <c r="B2" s="48" t="s">
        <v>268</v>
      </c>
      <c r="C2" s="48" t="s">
        <v>269</v>
      </c>
      <c r="D2" s="48" t="s">
        <v>270</v>
      </c>
      <c r="E2" s="48" t="s">
        <v>271</v>
      </c>
      <c r="F2" s="48" t="s">
        <v>272</v>
      </c>
      <c r="G2" s="49" t="s">
        <v>273</v>
      </c>
      <c r="H2" s="49" t="s">
        <v>274</v>
      </c>
      <c r="I2" s="49" t="s">
        <v>275</v>
      </c>
      <c r="J2" s="49" t="s">
        <v>276</v>
      </c>
      <c r="K2" s="49" t="s">
        <v>277</v>
      </c>
      <c r="L2" s="49"/>
      <c r="M2" s="49" t="s">
        <v>2</v>
      </c>
      <c r="N2" s="49" t="s">
        <v>3</v>
      </c>
      <c r="O2" s="49" t="s">
        <v>270</v>
      </c>
      <c r="P2" s="49" t="s">
        <v>278</v>
      </c>
      <c r="Q2" s="49" t="s">
        <v>3</v>
      </c>
      <c r="R2" s="49" t="s">
        <v>279</v>
      </c>
      <c r="S2" s="48" t="s">
        <v>270</v>
      </c>
      <c r="T2" s="48" t="s">
        <v>280</v>
      </c>
      <c r="U2" s="49" t="s">
        <v>281</v>
      </c>
      <c r="V2" s="117"/>
      <c r="W2" s="47" t="s">
        <v>282</v>
      </c>
      <c r="X2" s="47" t="s">
        <v>283</v>
      </c>
      <c r="Y2" s="47" t="s">
        <v>284</v>
      </c>
      <c r="Z2" s="47" t="s">
        <v>285</v>
      </c>
      <c r="AA2" s="47" t="s">
        <v>286</v>
      </c>
      <c r="AB2" s="50" t="s">
        <v>287</v>
      </c>
      <c r="AC2" s="47" t="s">
        <v>288</v>
      </c>
      <c r="AD2" s="51" t="s">
        <v>289</v>
      </c>
      <c r="AE2" s="48" t="s">
        <v>290</v>
      </c>
      <c r="AF2" s="51" t="s">
        <v>291</v>
      </c>
      <c r="AG2" s="51" t="s">
        <v>292</v>
      </c>
      <c r="AH2" s="52" t="s">
        <v>293</v>
      </c>
      <c r="AI2" s="51" t="s">
        <v>294</v>
      </c>
      <c r="AJ2" s="51" t="s">
        <v>295</v>
      </c>
      <c r="AK2" s="51" t="s">
        <v>296</v>
      </c>
      <c r="AL2" s="48" t="s">
        <v>297</v>
      </c>
      <c r="AM2" s="51" t="s">
        <v>298</v>
      </c>
      <c r="AN2" s="51" t="s">
        <v>299</v>
      </c>
      <c r="AO2" s="51" t="s">
        <v>300</v>
      </c>
      <c r="AP2" s="53" t="s">
        <v>301</v>
      </c>
    </row>
    <row r="3" spans="1:42" ht="12.75" hidden="1" customHeight="1">
      <c r="A3" s="55"/>
      <c r="B3" s="55"/>
      <c r="C3" s="55"/>
      <c r="D3" s="55"/>
      <c r="E3" s="55"/>
      <c r="F3" s="55"/>
      <c r="G3" s="56"/>
      <c r="H3" s="56"/>
      <c r="I3" s="56"/>
      <c r="J3" s="56"/>
      <c r="K3" s="56"/>
      <c r="L3" s="56"/>
      <c r="M3" s="56" t="s">
        <v>302</v>
      </c>
      <c r="N3" s="56" t="s">
        <v>303</v>
      </c>
      <c r="O3" s="56"/>
      <c r="P3" s="56"/>
      <c r="Q3" s="56" t="s">
        <v>12</v>
      </c>
      <c r="R3" s="56">
        <v>119.25</v>
      </c>
      <c r="S3" s="55"/>
      <c r="T3" s="57"/>
      <c r="U3" s="58"/>
      <c r="V3" s="56"/>
      <c r="AC3" s="58"/>
      <c r="AD3" s="55"/>
      <c r="AE3" s="55"/>
      <c r="AF3" s="55"/>
      <c r="AG3" s="55"/>
      <c r="AH3" s="59"/>
      <c r="AI3" s="57"/>
      <c r="AJ3" s="57"/>
      <c r="AK3" s="57"/>
      <c r="AL3" s="57"/>
      <c r="AM3" s="60" t="s">
        <v>298</v>
      </c>
      <c r="AN3" s="60" t="s">
        <v>299</v>
      </c>
      <c r="AO3" s="55"/>
      <c r="AP3" s="61" t="s">
        <v>301</v>
      </c>
    </row>
    <row r="4" spans="1:42" ht="12.75" hidden="1" customHeight="1">
      <c r="A4" s="55"/>
      <c r="B4" s="55"/>
      <c r="C4" s="55"/>
      <c r="D4" s="55"/>
      <c r="E4" s="55"/>
      <c r="F4" s="55"/>
      <c r="G4" s="56"/>
      <c r="H4" s="56"/>
      <c r="I4" s="56"/>
      <c r="J4" s="56"/>
      <c r="K4" s="56"/>
      <c r="L4" s="56"/>
      <c r="M4" s="56" t="s">
        <v>304</v>
      </c>
      <c r="N4" s="56" t="s">
        <v>305</v>
      </c>
      <c r="O4" s="56"/>
      <c r="P4" s="56"/>
      <c r="Q4" s="56" t="s">
        <v>26</v>
      </c>
      <c r="R4" s="56">
        <v>36.659999999999997</v>
      </c>
      <c r="S4" s="55"/>
      <c r="T4" s="57"/>
      <c r="U4" s="58"/>
      <c r="V4" s="56"/>
      <c r="AC4" s="58"/>
      <c r="AD4" s="55"/>
      <c r="AE4" s="55"/>
      <c r="AF4" s="55"/>
      <c r="AG4" s="55"/>
      <c r="AH4" s="55"/>
      <c r="AI4" s="57"/>
      <c r="AJ4" s="57"/>
      <c r="AK4" s="57"/>
      <c r="AL4" s="57"/>
      <c r="AM4" s="60" t="s">
        <v>298</v>
      </c>
      <c r="AN4" s="60" t="s">
        <v>299</v>
      </c>
      <c r="AO4" s="55"/>
      <c r="AP4" s="61" t="s">
        <v>301</v>
      </c>
    </row>
    <row r="5" spans="1:42" ht="12.75" hidden="1" customHeight="1">
      <c r="A5" s="55"/>
      <c r="B5" s="55"/>
      <c r="C5" s="55"/>
      <c r="D5" s="55"/>
      <c r="E5" s="55"/>
      <c r="F5" s="55"/>
      <c r="G5" s="56"/>
      <c r="H5" s="56"/>
      <c r="I5" s="56"/>
      <c r="J5" s="56"/>
      <c r="K5" s="56"/>
      <c r="L5" s="56"/>
      <c r="M5" s="56" t="s">
        <v>306</v>
      </c>
      <c r="N5" s="56" t="s">
        <v>307</v>
      </c>
      <c r="O5" s="56">
        <v>0.05</v>
      </c>
      <c r="P5" s="56"/>
      <c r="Q5" s="56"/>
      <c r="R5" s="56"/>
      <c r="S5" s="55"/>
      <c r="T5" s="57"/>
      <c r="U5" s="58"/>
      <c r="V5" s="56"/>
      <c r="AC5" s="58"/>
      <c r="AD5" s="55"/>
      <c r="AE5" s="55"/>
      <c r="AF5" s="55"/>
      <c r="AG5" s="55"/>
      <c r="AH5" s="55"/>
      <c r="AI5" s="57"/>
      <c r="AJ5" s="57"/>
      <c r="AK5" s="57"/>
      <c r="AL5" s="57"/>
      <c r="AM5" s="60" t="s">
        <v>298</v>
      </c>
      <c r="AN5" s="60" t="s">
        <v>299</v>
      </c>
      <c r="AO5" s="55"/>
      <c r="AP5" s="61" t="s">
        <v>301</v>
      </c>
    </row>
    <row r="6" spans="1:42" ht="12.75" hidden="1" customHeight="1">
      <c r="A6" s="62"/>
      <c r="B6" s="62"/>
      <c r="C6" s="62"/>
      <c r="D6" s="62"/>
      <c r="E6" s="62"/>
      <c r="F6" s="62"/>
      <c r="G6" s="63"/>
      <c r="H6" s="63"/>
      <c r="I6" s="63"/>
      <c r="J6" s="63"/>
      <c r="K6" s="63"/>
      <c r="L6" s="63"/>
      <c r="M6" s="63" t="s">
        <v>5</v>
      </c>
      <c r="N6" s="63" t="s">
        <v>6</v>
      </c>
      <c r="O6" s="63">
        <v>10</v>
      </c>
      <c r="P6" s="63"/>
      <c r="Q6" s="63"/>
      <c r="R6" s="63"/>
      <c r="S6" s="62"/>
      <c r="T6" s="64"/>
      <c r="U6" s="65"/>
      <c r="V6" s="63"/>
      <c r="AC6" s="58"/>
      <c r="AD6" s="55"/>
      <c r="AE6" s="55"/>
      <c r="AF6" s="55"/>
      <c r="AG6" s="55"/>
      <c r="AH6" s="55"/>
      <c r="AI6" s="57"/>
      <c r="AJ6" s="57"/>
      <c r="AK6" s="57"/>
      <c r="AL6" s="57"/>
      <c r="AM6" s="60" t="s">
        <v>298</v>
      </c>
      <c r="AN6" s="60" t="s">
        <v>299</v>
      </c>
      <c r="AO6" s="55"/>
      <c r="AP6" s="61" t="s">
        <v>301</v>
      </c>
    </row>
    <row r="7" spans="1:42" ht="14.25" customHeight="1">
      <c r="A7" s="66"/>
      <c r="B7" s="66"/>
      <c r="C7" s="66"/>
      <c r="D7" s="66"/>
      <c r="E7" s="67"/>
      <c r="F7" s="67"/>
      <c r="G7" s="68" t="str">
        <f t="shared" ref="G7:G14" si="0">IF(A7="", "", IF(E7="", "", C7/E7))</f>
        <v/>
      </c>
      <c r="H7" s="68" t="str">
        <f t="shared" ref="H7:H14" si="1">IF(G7="", "", G7/SUM(G$7:G$14))</f>
        <v/>
      </c>
      <c r="I7" s="69" t="str">
        <f t="shared" ref="I7:I14" si="2">IF(H7="", "", H7*F7)</f>
        <v/>
      </c>
      <c r="J7" s="70" t="str">
        <f t="shared" ref="J7:J14" si="3">IF(OR(I7="",D7=""), "", (I7*1000000)/(760*D7))</f>
        <v/>
      </c>
      <c r="K7" s="71" t="str">
        <f t="shared" ref="K7:K14" si="4">IF(J7="", "", J7/SUM(J$7:J$14))</f>
        <v/>
      </c>
      <c r="L7" s="72" t="str">
        <f t="shared" ref="L7:L14" si="5">IF(OR(I7="",D7=""), "", I7/D7)</f>
        <v/>
      </c>
      <c r="M7" s="72" t="s">
        <v>107</v>
      </c>
      <c r="N7" s="72" t="s">
        <v>108</v>
      </c>
      <c r="O7" s="72">
        <v>1</v>
      </c>
      <c r="P7" s="72">
        <v>78.11</v>
      </c>
      <c r="Q7" s="72"/>
      <c r="R7" s="72"/>
      <c r="S7" s="73"/>
      <c r="T7" s="73"/>
      <c r="U7" s="74" t="str">
        <f t="shared" ref="U7:U14" si="6">IF(AND(S7&lt;&gt;"", T7&lt;&gt;""), T7/S7, "")</f>
        <v/>
      </c>
      <c r="V7" s="72" t="str">
        <f t="shared" ref="V7:V14" si="7">IF(A7="", "", IF(U7&lt;&gt;"", IF(U7&lt;=0.5, "Banda 1: Ventilación General", IF(U7&lt;=1, "Banda 2: Extracción Local (LEV)", "Banda 3: Aislamiento / HEPA")), IF(J7&lt;&gt;"", IF(J7&lt;=100, "Banda 1: Dilución (ACH)", IF(J7&lt;=10000, "Banda 2: Extracción Local (LEV)", "Banda 3: Encerramiento")), "")))</f>
        <v/>
      </c>
      <c r="W7" s="75">
        <v>10</v>
      </c>
      <c r="X7" s="75">
        <v>8</v>
      </c>
      <c r="Y7" s="75">
        <v>3</v>
      </c>
      <c r="Z7" s="75">
        <f>IF(OR(W7="", X7="", Y7=""), "", W7*X7*Y7)</f>
        <v>240</v>
      </c>
      <c r="AA7" s="75">
        <v>6</v>
      </c>
      <c r="AB7" s="76">
        <f t="shared" ref="AB7:AB14" si="8">IF(OR(Z7="", AA7=""), "", Z7*AA7)</f>
        <v>1440</v>
      </c>
      <c r="AC7" s="75">
        <f t="shared" ref="AC7:AC14" si="9">IF(AB7="", "", AB7*0.5886)</f>
        <v>847.58400000000006</v>
      </c>
      <c r="AD7" s="77">
        <f t="shared" ref="AD7:AD14" si="10">AD$18 * (C7 / 100)</f>
        <v>0</v>
      </c>
      <c r="AE7" s="73">
        <f t="shared" ref="AE7:AF14" si="11">AE$18</f>
        <v>0</v>
      </c>
      <c r="AF7" s="73">
        <f t="shared" si="11"/>
        <v>0</v>
      </c>
      <c r="AG7" s="78" t="str">
        <f t="shared" ref="AG7:AG14" si="12">IF(OR(AD7="", D7="", E7=""), "", (24450000 * AD7 * IF(AE7="", 1, AE7) * IF(AF7="", 5, AF7)) / (E7 * D7))</f>
        <v/>
      </c>
      <c r="AH7" s="79" t="str">
        <f t="shared" ref="AH7:AH15" si="13">IF(AG7="", "", AG7 * 0.5886)</f>
        <v/>
      </c>
      <c r="AI7" s="120"/>
      <c r="AJ7" s="120"/>
      <c r="AK7" s="120"/>
      <c r="AL7" s="120"/>
      <c r="AM7" s="119" t="str">
        <f>IF(OR(AJ7="", AK7="", AL7=""), "", IF(AI7="Campana Simple", AL7 * (10 * (AJ7^2) + AK7) * 3600, IF(AI7="Campana con Pestaña", 0.75 * AL7 * (10 * (AJ7^2) + AK7) * 3600, IF(AI7="Cabina", AL7 * AK7 * 3600, IF(AI7="Campana Elevada", 1.4 * (4 * SQRT(AK7)) * AL7 * AJ7 * 3600, AL7 * (10 * (AJ7^2) + AK7) * 3600)))))</f>
        <v/>
      </c>
      <c r="AN7" s="119" t="str">
        <f>IF(AM7="", "", AM7 * 0.5886)</f>
        <v/>
      </c>
      <c r="AO7" s="120"/>
      <c r="AP7" s="121" t="str">
        <f>IF(OR(AM7="", AO7=""), "", SQRT((4 * (AM7 / 3600)) / (PI() * AO7)) * 39.3701)</f>
        <v/>
      </c>
    </row>
    <row r="8" spans="1:42" ht="14.25" customHeight="1">
      <c r="A8" s="66"/>
      <c r="B8" s="66"/>
      <c r="C8" s="66"/>
      <c r="D8" s="66"/>
      <c r="E8" s="67"/>
      <c r="F8" s="67"/>
      <c r="G8" s="68" t="str">
        <f t="shared" si="0"/>
        <v/>
      </c>
      <c r="H8" s="68" t="str">
        <f t="shared" si="1"/>
        <v/>
      </c>
      <c r="I8" s="69" t="str">
        <f t="shared" si="2"/>
        <v/>
      </c>
      <c r="J8" s="70" t="str">
        <f t="shared" si="3"/>
        <v/>
      </c>
      <c r="K8" s="71" t="str">
        <f t="shared" si="4"/>
        <v/>
      </c>
      <c r="L8" s="72" t="str">
        <f t="shared" si="5"/>
        <v/>
      </c>
      <c r="M8" s="72" t="s">
        <v>107</v>
      </c>
      <c r="N8" s="72" t="s">
        <v>308</v>
      </c>
      <c r="O8" s="72">
        <v>1</v>
      </c>
      <c r="P8" s="72">
        <v>78.11</v>
      </c>
      <c r="Q8" s="72"/>
      <c r="R8" s="72"/>
      <c r="S8" s="73"/>
      <c r="T8" s="73"/>
      <c r="U8" s="80" t="str">
        <f t="shared" si="6"/>
        <v/>
      </c>
      <c r="V8" s="72" t="str">
        <f t="shared" si="7"/>
        <v/>
      </c>
      <c r="W8" s="75"/>
      <c r="X8" s="75"/>
      <c r="Y8" s="75"/>
      <c r="Z8" s="75"/>
      <c r="AA8" s="75"/>
      <c r="AB8" s="76" t="str">
        <f t="shared" si="8"/>
        <v/>
      </c>
      <c r="AC8" s="75" t="str">
        <f t="shared" si="9"/>
        <v/>
      </c>
      <c r="AD8" s="77">
        <f t="shared" si="10"/>
        <v>0</v>
      </c>
      <c r="AE8" s="73">
        <f t="shared" si="11"/>
        <v>0</v>
      </c>
      <c r="AF8" s="73">
        <f t="shared" si="11"/>
        <v>0</v>
      </c>
      <c r="AG8" s="78" t="str">
        <f t="shared" si="12"/>
        <v/>
      </c>
      <c r="AH8" s="79" t="str">
        <f t="shared" si="13"/>
        <v/>
      </c>
      <c r="AI8" s="120"/>
      <c r="AJ8" s="120"/>
      <c r="AK8" s="120"/>
      <c r="AL8" s="120"/>
      <c r="AM8" s="120"/>
      <c r="AN8" s="120"/>
      <c r="AO8" s="120"/>
      <c r="AP8" s="120"/>
    </row>
    <row r="9" spans="1:42" ht="14.25" customHeight="1">
      <c r="A9" s="66"/>
      <c r="B9" s="66"/>
      <c r="C9" s="66"/>
      <c r="D9" s="66"/>
      <c r="E9" s="67"/>
      <c r="F9" s="67"/>
      <c r="G9" s="68" t="str">
        <f t="shared" si="0"/>
        <v/>
      </c>
      <c r="H9" s="68" t="str">
        <f t="shared" si="1"/>
        <v/>
      </c>
      <c r="I9" s="69" t="str">
        <f t="shared" si="2"/>
        <v/>
      </c>
      <c r="J9" s="70" t="str">
        <f t="shared" si="3"/>
        <v/>
      </c>
      <c r="K9" s="71" t="str">
        <f t="shared" si="4"/>
        <v/>
      </c>
      <c r="L9" s="72" t="str">
        <f t="shared" si="5"/>
        <v/>
      </c>
      <c r="M9" s="72" t="s">
        <v>107</v>
      </c>
      <c r="N9" s="72" t="s">
        <v>309</v>
      </c>
      <c r="O9" s="72">
        <v>1</v>
      </c>
      <c r="P9" s="72">
        <v>78.11</v>
      </c>
      <c r="Q9" s="72"/>
      <c r="R9" s="72"/>
      <c r="S9" s="73"/>
      <c r="T9" s="73"/>
      <c r="U9" s="80" t="str">
        <f t="shared" si="6"/>
        <v/>
      </c>
      <c r="V9" s="72" t="str">
        <f t="shared" si="7"/>
        <v/>
      </c>
      <c r="W9" s="75"/>
      <c r="X9" s="75"/>
      <c r="Y9" s="75"/>
      <c r="Z9" s="75"/>
      <c r="AA9" s="75"/>
      <c r="AB9" s="76" t="str">
        <f t="shared" si="8"/>
        <v/>
      </c>
      <c r="AC9" s="75" t="str">
        <f t="shared" si="9"/>
        <v/>
      </c>
      <c r="AD9" s="77">
        <f t="shared" si="10"/>
        <v>0</v>
      </c>
      <c r="AE9" s="73">
        <f t="shared" si="11"/>
        <v>0</v>
      </c>
      <c r="AF9" s="73">
        <f t="shared" si="11"/>
        <v>0</v>
      </c>
      <c r="AG9" s="78" t="str">
        <f t="shared" si="12"/>
        <v/>
      </c>
      <c r="AH9" s="79" t="str">
        <f t="shared" si="13"/>
        <v/>
      </c>
      <c r="AI9" s="120"/>
      <c r="AJ9" s="120"/>
      <c r="AK9" s="120"/>
      <c r="AL9" s="120"/>
      <c r="AM9" s="120"/>
      <c r="AN9" s="120"/>
      <c r="AO9" s="120"/>
      <c r="AP9" s="120"/>
    </row>
    <row r="10" spans="1:42" s="2" customFormat="1" ht="14.25" customHeight="1">
      <c r="A10" s="66"/>
      <c r="B10" s="66"/>
      <c r="C10" s="66"/>
      <c r="D10" s="66"/>
      <c r="E10" s="67"/>
      <c r="F10" s="67"/>
      <c r="G10" s="81" t="str">
        <f t="shared" si="0"/>
        <v/>
      </c>
      <c r="H10" s="81" t="str">
        <f t="shared" si="1"/>
        <v/>
      </c>
      <c r="I10" s="82" t="str">
        <f t="shared" si="2"/>
        <v/>
      </c>
      <c r="J10" s="83" t="str">
        <f t="shared" si="3"/>
        <v/>
      </c>
      <c r="K10" s="84" t="str">
        <f t="shared" si="4"/>
        <v/>
      </c>
      <c r="L10" s="85" t="str">
        <f t="shared" si="5"/>
        <v/>
      </c>
      <c r="M10" s="85" t="s">
        <v>107</v>
      </c>
      <c r="N10" s="85" t="s">
        <v>310</v>
      </c>
      <c r="O10" s="85">
        <v>1</v>
      </c>
      <c r="P10" s="85">
        <v>78.11</v>
      </c>
      <c r="Q10" s="85"/>
      <c r="R10" s="85"/>
      <c r="S10" s="86"/>
      <c r="T10" s="86"/>
      <c r="U10" s="74" t="str">
        <f t="shared" si="6"/>
        <v/>
      </c>
      <c r="V10" s="85" t="str">
        <f t="shared" si="7"/>
        <v/>
      </c>
      <c r="W10" s="74"/>
      <c r="X10" s="74"/>
      <c r="Y10" s="74"/>
      <c r="Z10" s="74"/>
      <c r="AA10" s="74"/>
      <c r="AB10" s="87" t="str">
        <f t="shared" si="8"/>
        <v/>
      </c>
      <c r="AC10" s="74" t="str">
        <f t="shared" si="9"/>
        <v/>
      </c>
      <c r="AD10" s="77">
        <f t="shared" si="10"/>
        <v>0</v>
      </c>
      <c r="AE10" s="73">
        <f t="shared" si="11"/>
        <v>0</v>
      </c>
      <c r="AF10" s="73">
        <f t="shared" si="11"/>
        <v>0</v>
      </c>
      <c r="AG10" s="88" t="str">
        <f t="shared" si="12"/>
        <v/>
      </c>
      <c r="AH10" s="89" t="str">
        <f t="shared" si="13"/>
        <v/>
      </c>
      <c r="AI10" s="120"/>
      <c r="AJ10" s="120"/>
      <c r="AK10" s="120"/>
      <c r="AL10" s="120"/>
      <c r="AM10" s="120"/>
      <c r="AN10" s="120"/>
      <c r="AO10" s="120"/>
      <c r="AP10" s="120"/>
    </row>
    <row r="11" spans="1:42" ht="14.25" customHeight="1">
      <c r="A11" s="66"/>
      <c r="B11" s="66"/>
      <c r="C11" s="66"/>
      <c r="D11" s="66"/>
      <c r="E11" s="67"/>
      <c r="F11" s="67"/>
      <c r="G11" s="68" t="str">
        <f t="shared" si="0"/>
        <v/>
      </c>
      <c r="H11" s="68" t="str">
        <f t="shared" si="1"/>
        <v/>
      </c>
      <c r="I11" s="69" t="str">
        <f t="shared" si="2"/>
        <v/>
      </c>
      <c r="J11" s="70" t="str">
        <f t="shared" si="3"/>
        <v/>
      </c>
      <c r="K11" s="71" t="str">
        <f t="shared" si="4"/>
        <v/>
      </c>
      <c r="L11" s="72" t="str">
        <f t="shared" si="5"/>
        <v/>
      </c>
      <c r="M11" s="72" t="s">
        <v>107</v>
      </c>
      <c r="N11" s="72" t="s">
        <v>311</v>
      </c>
      <c r="O11" s="72">
        <v>1</v>
      </c>
      <c r="P11" s="72">
        <v>78.11</v>
      </c>
      <c r="Q11" s="72"/>
      <c r="R11" s="72"/>
      <c r="S11" s="73"/>
      <c r="T11" s="73"/>
      <c r="U11" s="80" t="str">
        <f t="shared" si="6"/>
        <v/>
      </c>
      <c r="V11" s="72" t="str">
        <f t="shared" si="7"/>
        <v/>
      </c>
      <c r="W11" s="75"/>
      <c r="X11" s="75"/>
      <c r="Y11" s="75"/>
      <c r="Z11" s="75"/>
      <c r="AA11" s="75"/>
      <c r="AB11" s="76" t="str">
        <f t="shared" si="8"/>
        <v/>
      </c>
      <c r="AC11" s="75" t="str">
        <f t="shared" si="9"/>
        <v/>
      </c>
      <c r="AD11" s="77">
        <f t="shared" si="10"/>
        <v>0</v>
      </c>
      <c r="AE11" s="73">
        <f t="shared" si="11"/>
        <v>0</v>
      </c>
      <c r="AF11" s="73">
        <f t="shared" si="11"/>
        <v>0</v>
      </c>
      <c r="AG11" s="78" t="str">
        <f t="shared" si="12"/>
        <v/>
      </c>
      <c r="AH11" s="79" t="str">
        <f t="shared" si="13"/>
        <v/>
      </c>
      <c r="AI11" s="120"/>
      <c r="AJ11" s="120"/>
      <c r="AK11" s="120"/>
      <c r="AL11" s="120"/>
      <c r="AM11" s="120"/>
      <c r="AN11" s="120"/>
      <c r="AO11" s="120"/>
      <c r="AP11" s="120"/>
    </row>
    <row r="12" spans="1:42" ht="14.25" customHeight="1">
      <c r="A12" s="66"/>
      <c r="B12" s="66"/>
      <c r="C12" s="66"/>
      <c r="D12" s="66"/>
      <c r="E12" s="67"/>
      <c r="F12" s="67"/>
      <c r="G12" s="68" t="str">
        <f t="shared" si="0"/>
        <v/>
      </c>
      <c r="H12" s="68" t="str">
        <f t="shared" si="1"/>
        <v/>
      </c>
      <c r="I12" s="69" t="str">
        <f t="shared" si="2"/>
        <v/>
      </c>
      <c r="J12" s="70" t="str">
        <f t="shared" si="3"/>
        <v/>
      </c>
      <c r="K12" s="71" t="str">
        <f t="shared" si="4"/>
        <v/>
      </c>
      <c r="L12" s="72" t="str">
        <f t="shared" si="5"/>
        <v/>
      </c>
      <c r="M12" s="72" t="s">
        <v>107</v>
      </c>
      <c r="N12" s="72" t="s">
        <v>312</v>
      </c>
      <c r="O12" s="72">
        <v>1</v>
      </c>
      <c r="P12" s="72">
        <v>78.11</v>
      </c>
      <c r="Q12" s="72"/>
      <c r="R12" s="72"/>
      <c r="S12" s="73"/>
      <c r="T12" s="73"/>
      <c r="U12" s="80" t="str">
        <f t="shared" si="6"/>
        <v/>
      </c>
      <c r="V12" s="72" t="str">
        <f t="shared" si="7"/>
        <v/>
      </c>
      <c r="W12" s="75"/>
      <c r="X12" s="75"/>
      <c r="Y12" s="75"/>
      <c r="Z12" s="75"/>
      <c r="AA12" s="75"/>
      <c r="AB12" s="76" t="str">
        <f t="shared" si="8"/>
        <v/>
      </c>
      <c r="AC12" s="75" t="str">
        <f t="shared" si="9"/>
        <v/>
      </c>
      <c r="AD12" s="77">
        <f t="shared" si="10"/>
        <v>0</v>
      </c>
      <c r="AE12" s="73">
        <f t="shared" si="11"/>
        <v>0</v>
      </c>
      <c r="AF12" s="73">
        <f t="shared" si="11"/>
        <v>0</v>
      </c>
      <c r="AG12" s="78" t="str">
        <f t="shared" si="12"/>
        <v/>
      </c>
      <c r="AH12" s="79" t="str">
        <f t="shared" si="13"/>
        <v/>
      </c>
      <c r="AI12" s="120"/>
      <c r="AJ12" s="120"/>
      <c r="AK12" s="120"/>
      <c r="AL12" s="120"/>
      <c r="AM12" s="120"/>
      <c r="AN12" s="120"/>
      <c r="AO12" s="120"/>
      <c r="AP12" s="120"/>
    </row>
    <row r="13" spans="1:42" ht="14.25" customHeight="1">
      <c r="A13" s="66"/>
      <c r="B13" s="66"/>
      <c r="C13" s="66"/>
      <c r="D13" s="66"/>
      <c r="E13" s="67"/>
      <c r="F13" s="67"/>
      <c r="G13" s="68" t="str">
        <f t="shared" si="0"/>
        <v/>
      </c>
      <c r="H13" s="68" t="str">
        <f t="shared" si="1"/>
        <v/>
      </c>
      <c r="I13" s="69" t="str">
        <f t="shared" si="2"/>
        <v/>
      </c>
      <c r="J13" s="70" t="str">
        <f t="shared" si="3"/>
        <v/>
      </c>
      <c r="K13" s="71" t="str">
        <f t="shared" si="4"/>
        <v/>
      </c>
      <c r="L13" s="72" t="str">
        <f t="shared" si="5"/>
        <v/>
      </c>
      <c r="M13" s="72" t="s">
        <v>107</v>
      </c>
      <c r="N13" s="72" t="s">
        <v>313</v>
      </c>
      <c r="O13" s="72">
        <v>1</v>
      </c>
      <c r="P13" s="72">
        <v>78.11</v>
      </c>
      <c r="Q13" s="72"/>
      <c r="R13" s="72"/>
      <c r="S13" s="73"/>
      <c r="T13" s="73"/>
      <c r="U13" s="80" t="str">
        <f t="shared" si="6"/>
        <v/>
      </c>
      <c r="V13" s="72" t="str">
        <f t="shared" si="7"/>
        <v/>
      </c>
      <c r="W13" s="75"/>
      <c r="X13" s="75"/>
      <c r="Y13" s="75"/>
      <c r="Z13" s="75"/>
      <c r="AA13" s="75"/>
      <c r="AB13" s="76" t="str">
        <f t="shared" si="8"/>
        <v/>
      </c>
      <c r="AC13" s="75" t="str">
        <f t="shared" si="9"/>
        <v/>
      </c>
      <c r="AD13" s="77">
        <f t="shared" si="10"/>
        <v>0</v>
      </c>
      <c r="AE13" s="73">
        <f t="shared" si="11"/>
        <v>0</v>
      </c>
      <c r="AF13" s="73">
        <f t="shared" si="11"/>
        <v>0</v>
      </c>
      <c r="AG13" s="78" t="str">
        <f t="shared" si="12"/>
        <v/>
      </c>
      <c r="AH13" s="79" t="str">
        <f t="shared" si="13"/>
        <v/>
      </c>
      <c r="AI13" s="120"/>
      <c r="AJ13" s="120"/>
      <c r="AK13" s="120"/>
      <c r="AL13" s="120"/>
      <c r="AM13" s="120"/>
      <c r="AN13" s="120"/>
      <c r="AO13" s="120"/>
      <c r="AP13" s="120"/>
    </row>
    <row r="14" spans="1:42" ht="14.25" customHeight="1">
      <c r="A14" s="66"/>
      <c r="B14" s="66"/>
      <c r="C14" s="66"/>
      <c r="D14" s="66"/>
      <c r="E14" s="67"/>
      <c r="F14" s="67"/>
      <c r="G14" s="68" t="str">
        <f t="shared" si="0"/>
        <v/>
      </c>
      <c r="H14" s="68" t="str">
        <f t="shared" si="1"/>
        <v/>
      </c>
      <c r="I14" s="69" t="str">
        <f t="shared" si="2"/>
        <v/>
      </c>
      <c r="J14" s="70" t="str">
        <f t="shared" si="3"/>
        <v/>
      </c>
      <c r="K14" s="71" t="str">
        <f t="shared" si="4"/>
        <v/>
      </c>
      <c r="L14" s="72" t="str">
        <f t="shared" si="5"/>
        <v/>
      </c>
      <c r="M14" s="72" t="s">
        <v>107</v>
      </c>
      <c r="N14" s="72" t="s">
        <v>314</v>
      </c>
      <c r="O14" s="72">
        <v>1</v>
      </c>
      <c r="P14" s="72">
        <v>78.11</v>
      </c>
      <c r="Q14" s="72"/>
      <c r="R14" s="72"/>
      <c r="S14" s="73"/>
      <c r="T14" s="73"/>
      <c r="U14" s="80" t="str">
        <f t="shared" si="6"/>
        <v/>
      </c>
      <c r="V14" s="72" t="str">
        <f t="shared" si="7"/>
        <v/>
      </c>
      <c r="W14" s="75"/>
      <c r="X14" s="75"/>
      <c r="Y14" s="75"/>
      <c r="Z14" s="75"/>
      <c r="AA14" s="75"/>
      <c r="AB14" s="76" t="str">
        <f t="shared" si="8"/>
        <v/>
      </c>
      <c r="AC14" s="75" t="str">
        <f t="shared" si="9"/>
        <v/>
      </c>
      <c r="AD14" s="77">
        <f t="shared" si="10"/>
        <v>0</v>
      </c>
      <c r="AE14" s="73">
        <f t="shared" si="11"/>
        <v>0</v>
      </c>
      <c r="AF14" s="73">
        <f t="shared" si="11"/>
        <v>0</v>
      </c>
      <c r="AG14" s="78" t="str">
        <f t="shared" si="12"/>
        <v/>
      </c>
      <c r="AH14" s="79" t="str">
        <f t="shared" si="13"/>
        <v/>
      </c>
      <c r="AI14" s="120"/>
      <c r="AJ14" s="120"/>
      <c r="AK14" s="120"/>
      <c r="AL14" s="120"/>
      <c r="AM14" s="120"/>
      <c r="AN14" s="120"/>
      <c r="AO14" s="120"/>
      <c r="AP14" s="120"/>
    </row>
    <row r="15" spans="1:42" s="100" customFormat="1" ht="15" customHeight="1">
      <c r="A15" s="90"/>
      <c r="B15" s="90"/>
      <c r="C15" s="90"/>
      <c r="D15" s="90"/>
      <c r="E15" s="90"/>
      <c r="F15" s="90"/>
      <c r="G15" s="91"/>
      <c r="H15" s="91"/>
      <c r="I15" s="91"/>
      <c r="J15" s="91"/>
      <c r="K15" s="91"/>
      <c r="L15" s="91"/>
      <c r="M15" s="91" t="s">
        <v>191</v>
      </c>
      <c r="N15" s="91" t="s">
        <v>315</v>
      </c>
      <c r="O15" s="91"/>
      <c r="P15" s="91"/>
      <c r="Q15" s="91"/>
      <c r="R15" s="91"/>
      <c r="S15" s="90"/>
      <c r="T15" s="92"/>
      <c r="U15" s="93"/>
      <c r="V15" s="91"/>
      <c r="W15" s="93"/>
      <c r="X15" s="93"/>
      <c r="Y15" s="93"/>
      <c r="Z15" s="93"/>
      <c r="AA15" s="93"/>
      <c r="AB15" s="94"/>
      <c r="AC15" s="93"/>
      <c r="AD15" s="95"/>
      <c r="AE15" s="90"/>
      <c r="AF15" s="96"/>
      <c r="AG15" s="97">
        <f>SUM(AG7:AG14)</f>
        <v>0</v>
      </c>
      <c r="AH15" s="98">
        <f t="shared" si="13"/>
        <v>0</v>
      </c>
      <c r="AI15" s="92"/>
      <c r="AJ15" s="92"/>
      <c r="AK15" s="92"/>
      <c r="AL15" s="92"/>
      <c r="AM15" s="90"/>
      <c r="AN15" s="90"/>
      <c r="AO15" s="90"/>
      <c r="AP15" s="99"/>
    </row>
    <row r="16" spans="1:42" ht="14.25" customHeight="1">
      <c r="A16" s="101"/>
      <c r="B16" s="101"/>
      <c r="C16" s="101"/>
      <c r="D16" s="101"/>
      <c r="E16" s="101"/>
      <c r="F16" s="101"/>
      <c r="G16" s="102"/>
      <c r="H16" s="102"/>
      <c r="I16" s="102"/>
      <c r="J16" s="102"/>
      <c r="K16" s="102"/>
      <c r="L16" s="102"/>
      <c r="M16" s="102" t="s">
        <v>316</v>
      </c>
      <c r="N16" s="102" t="s">
        <v>317</v>
      </c>
      <c r="O16" s="102">
        <v>0.03</v>
      </c>
      <c r="P16" s="102"/>
      <c r="Q16" s="102"/>
      <c r="R16" s="102"/>
      <c r="S16" s="101"/>
      <c r="T16" s="103"/>
      <c r="U16" s="104"/>
      <c r="V16" s="102"/>
      <c r="W16" s="104"/>
      <c r="X16" s="104"/>
      <c r="Y16" s="104"/>
      <c r="Z16" s="104"/>
      <c r="AA16" s="104"/>
      <c r="AB16" s="104"/>
      <c r="AC16" s="104"/>
      <c r="AD16" s="101"/>
      <c r="AE16" s="101"/>
      <c r="AF16" s="101"/>
      <c r="AG16" s="101"/>
      <c r="AH16" s="101"/>
      <c r="AI16" s="103"/>
      <c r="AJ16" s="103"/>
      <c r="AK16" s="103"/>
      <c r="AL16" s="103"/>
      <c r="AM16" s="101"/>
      <c r="AN16" s="101"/>
      <c r="AO16" s="101"/>
      <c r="AP16" s="105"/>
    </row>
    <row r="17" spans="1:44" ht="14.25" customHeight="1">
      <c r="A17" s="101"/>
      <c r="B17" s="101"/>
      <c r="C17" s="101"/>
      <c r="D17" s="101"/>
      <c r="E17" s="101"/>
      <c r="F17" s="101"/>
      <c r="G17" s="102"/>
      <c r="H17" s="102"/>
      <c r="I17" s="102"/>
      <c r="J17" s="102"/>
      <c r="K17" s="102"/>
      <c r="L17" s="102"/>
      <c r="M17" s="102" t="s">
        <v>189</v>
      </c>
      <c r="N17" s="102" t="s">
        <v>190</v>
      </c>
      <c r="O17" s="102">
        <v>2</v>
      </c>
      <c r="P17" s="102"/>
      <c r="Q17" s="102"/>
      <c r="R17" s="102"/>
      <c r="S17" s="101"/>
      <c r="T17" s="103"/>
      <c r="U17" s="104"/>
      <c r="V17" s="102"/>
      <c r="W17" s="104"/>
      <c r="X17" s="104"/>
      <c r="Y17" s="104"/>
      <c r="Z17" s="104"/>
      <c r="AA17" s="104"/>
      <c r="AB17" s="104"/>
      <c r="AC17" s="104"/>
      <c r="AD17" s="104" t="s">
        <v>318</v>
      </c>
      <c r="AE17" s="104" t="s">
        <v>319</v>
      </c>
      <c r="AF17" s="104" t="s">
        <v>320</v>
      </c>
      <c r="AG17" s="101"/>
      <c r="AH17" s="101"/>
      <c r="AI17" s="103"/>
      <c r="AJ17" s="103"/>
      <c r="AK17" s="103"/>
      <c r="AL17" s="103"/>
      <c r="AM17" s="101"/>
      <c r="AN17" s="101"/>
      <c r="AO17" s="101"/>
      <c r="AP17" s="105"/>
    </row>
    <row r="18" spans="1:44" ht="14.25" customHeight="1">
      <c r="A18" s="101"/>
      <c r="B18" s="101"/>
      <c r="C18" s="101"/>
      <c r="D18" s="101"/>
      <c r="E18" s="101"/>
      <c r="F18" s="101"/>
      <c r="G18" s="102"/>
      <c r="H18" s="102"/>
      <c r="I18" s="102"/>
      <c r="J18" s="102"/>
      <c r="K18" s="102"/>
      <c r="L18" s="102"/>
      <c r="M18" s="102" t="s">
        <v>193</v>
      </c>
      <c r="N18" s="102" t="s">
        <v>194</v>
      </c>
      <c r="O18" s="102">
        <v>2</v>
      </c>
      <c r="P18" s="102"/>
      <c r="Q18" s="102"/>
      <c r="R18" s="102"/>
      <c r="S18" s="101"/>
      <c r="T18" s="103"/>
      <c r="U18" s="104"/>
      <c r="V18" s="102"/>
      <c r="W18" s="104"/>
      <c r="X18" s="104"/>
      <c r="Y18" s="104"/>
      <c r="Z18" s="104"/>
      <c r="AA18" s="104"/>
      <c r="AB18" s="104"/>
      <c r="AC18" s="104"/>
      <c r="AD18" s="106"/>
      <c r="AE18" s="106"/>
      <c r="AF18" s="106"/>
      <c r="AG18" s="101"/>
      <c r="AH18" s="101"/>
      <c r="AI18" s="103"/>
      <c r="AJ18" s="103"/>
      <c r="AK18" s="103"/>
      <c r="AL18" s="103"/>
      <c r="AM18" s="101"/>
      <c r="AN18" s="101"/>
      <c r="AO18" s="101"/>
      <c r="AP18" s="105"/>
    </row>
    <row r="19" spans="1:44" ht="12.75" customHeight="1">
      <c r="M19" s="42" t="s">
        <v>321</v>
      </c>
      <c r="N19" s="42" t="s">
        <v>322</v>
      </c>
      <c r="O19" s="42">
        <v>5</v>
      </c>
    </row>
    <row r="20" spans="1:44" ht="12.75" customHeight="1">
      <c r="M20" s="42" t="s">
        <v>323</v>
      </c>
      <c r="N20" s="42" t="s">
        <v>324</v>
      </c>
      <c r="O20" s="42">
        <v>2</v>
      </c>
      <c r="AR20" s="43"/>
    </row>
    <row r="21" spans="1:44" ht="12.75" customHeight="1">
      <c r="E21" s="107"/>
      <c r="M21" s="42" t="s">
        <v>325</v>
      </c>
      <c r="N21" s="42" t="s">
        <v>326</v>
      </c>
      <c r="O21" s="42">
        <v>1</v>
      </c>
    </row>
    <row r="22" spans="1:44" ht="12.75" customHeight="1">
      <c r="M22" s="42" t="s">
        <v>327</v>
      </c>
      <c r="N22" s="42" t="s">
        <v>328</v>
      </c>
      <c r="O22" s="42">
        <v>5.0000000000000001E-3</v>
      </c>
    </row>
    <row r="23" spans="1:44" ht="12.75" customHeight="1">
      <c r="M23" s="42" t="s">
        <v>329</v>
      </c>
      <c r="N23" s="42" t="s">
        <v>330</v>
      </c>
      <c r="O23" s="42">
        <v>0.05</v>
      </c>
    </row>
    <row r="24" spans="1:44" ht="12.75" customHeight="1">
      <c r="M24" s="42" t="s">
        <v>331</v>
      </c>
      <c r="N24" s="42" t="s">
        <v>186</v>
      </c>
      <c r="O24" s="42">
        <v>0.5</v>
      </c>
    </row>
    <row r="25" spans="1:44" ht="12.75" customHeight="1">
      <c r="M25" s="42" t="s">
        <v>332</v>
      </c>
      <c r="N25" s="42" t="s">
        <v>333</v>
      </c>
      <c r="O25" s="42">
        <v>0.1</v>
      </c>
    </row>
    <row r="26" spans="1:44" ht="12.75" customHeight="1">
      <c r="M26" s="42" t="s">
        <v>334</v>
      </c>
      <c r="N26" s="42" t="s">
        <v>335</v>
      </c>
      <c r="O26" s="42">
        <v>1</v>
      </c>
    </row>
    <row r="27" spans="1:44" ht="12.75" customHeight="1">
      <c r="M27" s="42" t="s">
        <v>336</v>
      </c>
      <c r="N27" s="42" t="s">
        <v>184</v>
      </c>
      <c r="O27" s="42">
        <v>1</v>
      </c>
    </row>
    <row r="28" spans="1:44" ht="12.75" customHeight="1">
      <c r="M28" s="42" t="s">
        <v>337</v>
      </c>
      <c r="N28" s="42" t="s">
        <v>338</v>
      </c>
      <c r="O28" s="42">
        <v>1</v>
      </c>
    </row>
    <row r="29" spans="1:44" ht="12.75" customHeight="1">
      <c r="M29" s="42" t="s">
        <v>339</v>
      </c>
      <c r="N29" s="42" t="s">
        <v>340</v>
      </c>
      <c r="O29" s="42">
        <v>0.5</v>
      </c>
    </row>
    <row r="30" spans="1:44" ht="12.75" customHeight="1">
      <c r="M30" s="42" t="s">
        <v>341</v>
      </c>
      <c r="N30" s="42" t="s">
        <v>342</v>
      </c>
      <c r="O30" s="42">
        <v>1</v>
      </c>
    </row>
    <row r="31" spans="1:44" ht="12.75" customHeight="1">
      <c r="M31" s="42" t="s">
        <v>343</v>
      </c>
      <c r="N31" s="42" t="s">
        <v>344</v>
      </c>
    </row>
    <row r="32" spans="1:44" ht="12.75" customHeight="1">
      <c r="M32" s="42" t="s">
        <v>345</v>
      </c>
      <c r="N32" s="42" t="s">
        <v>346</v>
      </c>
      <c r="O32" s="42">
        <v>0.5</v>
      </c>
    </row>
    <row r="33" spans="13:15" ht="12.75" customHeight="1">
      <c r="M33" s="42" t="s">
        <v>347</v>
      </c>
      <c r="N33" s="42" t="s">
        <v>348</v>
      </c>
      <c r="O33" s="42">
        <v>0.2</v>
      </c>
    </row>
    <row r="34" spans="13:15" ht="12.75" customHeight="1">
      <c r="M34" s="42" t="s">
        <v>349</v>
      </c>
      <c r="N34" s="42" t="s">
        <v>350</v>
      </c>
      <c r="O34" s="42">
        <v>25</v>
      </c>
    </row>
    <row r="35" spans="13:15" ht="12.75" customHeight="1">
      <c r="M35" s="42" t="s">
        <v>351</v>
      </c>
      <c r="N35" s="42" t="s">
        <v>352</v>
      </c>
      <c r="O35" s="42">
        <v>10</v>
      </c>
    </row>
    <row r="36" spans="13:15" ht="12.75" customHeight="1">
      <c r="M36" s="42" t="s">
        <v>353</v>
      </c>
      <c r="N36" s="42" t="s">
        <v>354</v>
      </c>
      <c r="O36" s="42">
        <v>0.01</v>
      </c>
    </row>
    <row r="37" spans="13:15" ht="12.75" customHeight="1">
      <c r="M37" s="42" t="s">
        <v>355</v>
      </c>
      <c r="N37" s="42" t="s">
        <v>356</v>
      </c>
      <c r="O37" s="42">
        <v>10</v>
      </c>
    </row>
    <row r="38" spans="13:15" ht="12.75" customHeight="1">
      <c r="M38" s="42" t="s">
        <v>357</v>
      </c>
      <c r="N38" s="42" t="s">
        <v>358</v>
      </c>
      <c r="O38" s="42">
        <v>20</v>
      </c>
    </row>
    <row r="39" spans="13:15" ht="12.75" customHeight="1">
      <c r="M39" s="42" t="s">
        <v>9</v>
      </c>
      <c r="N39" s="42" t="s">
        <v>10</v>
      </c>
      <c r="O39" s="42">
        <v>2</v>
      </c>
    </row>
    <row r="40" spans="13:15" ht="12.75" customHeight="1">
      <c r="M40" s="42" t="s">
        <v>359</v>
      </c>
      <c r="N40" s="42" t="s">
        <v>360</v>
      </c>
      <c r="O40" s="42">
        <v>0.5</v>
      </c>
    </row>
    <row r="41" spans="13:15" ht="12.75" customHeight="1">
      <c r="M41" s="42" t="s">
        <v>361</v>
      </c>
      <c r="N41" s="42" t="s">
        <v>362</v>
      </c>
      <c r="O41" s="42">
        <v>0.5</v>
      </c>
    </row>
    <row r="42" spans="13:15" ht="12.75" customHeight="1">
      <c r="M42" s="42" t="s">
        <v>363</v>
      </c>
      <c r="N42" s="42" t="s">
        <v>364</v>
      </c>
      <c r="O42" s="42">
        <v>0.5</v>
      </c>
    </row>
    <row r="43" spans="13:15" ht="12.75" customHeight="1">
      <c r="M43" s="42" t="s">
        <v>365</v>
      </c>
      <c r="N43" s="42" t="s">
        <v>366</v>
      </c>
      <c r="O43" s="42">
        <v>5.0000000000000001E-3</v>
      </c>
    </row>
    <row r="44" spans="13:15" ht="12.75" customHeight="1">
      <c r="M44" s="42" t="s">
        <v>367</v>
      </c>
      <c r="N44" s="42" t="s">
        <v>368</v>
      </c>
      <c r="O44" s="42">
        <v>0.02</v>
      </c>
    </row>
    <row r="45" spans="13:15" ht="12.75" customHeight="1">
      <c r="M45" s="42" t="s">
        <v>369</v>
      </c>
      <c r="N45" s="42" t="s">
        <v>370</v>
      </c>
      <c r="O45" s="42">
        <v>0.3</v>
      </c>
    </row>
    <row r="46" spans="13:15" ht="12.75" customHeight="1">
      <c r="M46" s="42" t="s">
        <v>371</v>
      </c>
      <c r="N46" s="42" t="s">
        <v>372</v>
      </c>
    </row>
    <row r="47" spans="13:15" ht="12.75" customHeight="1">
      <c r="M47" s="42" t="s">
        <v>373</v>
      </c>
      <c r="N47" s="42" t="s">
        <v>374</v>
      </c>
      <c r="O47" s="42">
        <v>0.01</v>
      </c>
    </row>
    <row r="48" spans="13:15" ht="12.75" customHeight="1">
      <c r="M48" s="42" t="s">
        <v>375</v>
      </c>
      <c r="N48" s="42" t="s">
        <v>376</v>
      </c>
      <c r="O48" s="42">
        <v>5.0000000000000001E-3</v>
      </c>
    </row>
    <row r="49" spans="13:16" ht="12.75" customHeight="1">
      <c r="M49" s="42" t="s">
        <v>377</v>
      </c>
      <c r="N49" s="42" t="s">
        <v>378</v>
      </c>
      <c r="O49" s="42">
        <v>0.1</v>
      </c>
    </row>
    <row r="50" spans="13:16" ht="12.75" customHeight="1">
      <c r="M50" s="42" t="s">
        <v>379</v>
      </c>
      <c r="N50" s="42" t="s">
        <v>380</v>
      </c>
      <c r="O50" s="42">
        <v>0.5</v>
      </c>
    </row>
    <row r="51" spans="13:16" ht="12.75" customHeight="1">
      <c r="M51" s="42" t="s">
        <v>381</v>
      </c>
      <c r="N51" s="42" t="s">
        <v>382</v>
      </c>
      <c r="O51" s="42">
        <v>2</v>
      </c>
    </row>
    <row r="52" spans="13:16" ht="12.75" customHeight="1">
      <c r="M52" s="42" t="s">
        <v>383</v>
      </c>
      <c r="N52" s="42" t="s">
        <v>384</v>
      </c>
      <c r="O52" s="42">
        <v>0.2</v>
      </c>
    </row>
    <row r="53" spans="13:16" ht="12.75" customHeight="1">
      <c r="M53" s="42" t="s">
        <v>385</v>
      </c>
      <c r="N53" s="42" t="s">
        <v>386</v>
      </c>
      <c r="O53" s="42">
        <v>0.5</v>
      </c>
    </row>
    <row r="54" spans="13:16" ht="12.75" customHeight="1">
      <c r="M54" s="42" t="s">
        <v>387</v>
      </c>
      <c r="N54" s="42" t="s">
        <v>388</v>
      </c>
      <c r="O54" s="42">
        <v>5</v>
      </c>
    </row>
    <row r="55" spans="13:16" ht="12.75" customHeight="1">
      <c r="M55" s="42" t="s">
        <v>389</v>
      </c>
      <c r="N55" s="42" t="s">
        <v>390</v>
      </c>
      <c r="O55" s="42">
        <v>0.1</v>
      </c>
    </row>
    <row r="56" spans="13:16" ht="12.75" customHeight="1">
      <c r="M56" s="42" t="s">
        <v>391</v>
      </c>
      <c r="N56" s="42" t="s">
        <v>392</v>
      </c>
      <c r="O56" s="42">
        <v>1</v>
      </c>
    </row>
    <row r="57" spans="13:16" ht="12.75" customHeight="1">
      <c r="M57" s="42" t="s">
        <v>393</v>
      </c>
      <c r="N57" s="42" t="s">
        <v>394</v>
      </c>
    </row>
    <row r="58" spans="13:16" ht="12.75" customHeight="1">
      <c r="M58" s="42" t="s">
        <v>395</v>
      </c>
      <c r="N58" s="42" t="s">
        <v>396</v>
      </c>
      <c r="O58" s="42">
        <v>0.1</v>
      </c>
    </row>
    <row r="59" spans="13:16" ht="12.75" customHeight="1">
      <c r="M59" s="42" t="s">
        <v>11</v>
      </c>
      <c r="N59" s="42" t="s">
        <v>12</v>
      </c>
      <c r="O59" s="42">
        <v>0.02</v>
      </c>
      <c r="P59" s="42">
        <v>78.11</v>
      </c>
    </row>
    <row r="60" spans="13:16" ht="12.75" customHeight="1">
      <c r="M60" s="42" t="s">
        <v>397</v>
      </c>
      <c r="N60" s="42" t="s">
        <v>398</v>
      </c>
    </row>
    <row r="61" spans="13:16" ht="12.75" customHeight="1">
      <c r="M61" s="42" t="s">
        <v>399</v>
      </c>
      <c r="N61" s="42" t="s">
        <v>400</v>
      </c>
    </row>
    <row r="62" spans="13:16" ht="12.75" customHeight="1">
      <c r="M62" s="42" t="s">
        <v>399</v>
      </c>
      <c r="N62" s="42" t="s">
        <v>401</v>
      </c>
    </row>
    <row r="63" spans="13:16" ht="12.75" customHeight="1">
      <c r="M63" s="42" t="s">
        <v>402</v>
      </c>
      <c r="N63" s="42" t="s">
        <v>403</v>
      </c>
      <c r="O63" s="42">
        <v>0.5</v>
      </c>
    </row>
    <row r="64" spans="13:16" ht="12.75" customHeight="1">
      <c r="M64" s="42" t="s">
        <v>404</v>
      </c>
      <c r="N64" s="42" t="s">
        <v>405</v>
      </c>
      <c r="O64" s="42">
        <v>2.5</v>
      </c>
    </row>
    <row r="65" spans="13:15" ht="12.75" customHeight="1">
      <c r="M65" s="42" t="s">
        <v>406</v>
      </c>
      <c r="N65" s="42" t="s">
        <v>407</v>
      </c>
      <c r="O65" s="42">
        <v>2.5</v>
      </c>
    </row>
    <row r="66" spans="13:15" ht="12.75" customHeight="1">
      <c r="M66" s="42" t="s">
        <v>408</v>
      </c>
      <c r="N66" s="42" t="s">
        <v>409</v>
      </c>
      <c r="O66" s="42">
        <v>0.1</v>
      </c>
    </row>
    <row r="67" spans="13:15" ht="12.75" customHeight="1">
      <c r="M67" s="42" t="s">
        <v>410</v>
      </c>
      <c r="N67" s="42" t="s">
        <v>411</v>
      </c>
    </row>
    <row r="68" spans="13:15" ht="12.75" customHeight="1">
      <c r="M68" s="42" t="s">
        <v>412</v>
      </c>
      <c r="N68" s="42" t="s">
        <v>413</v>
      </c>
    </row>
    <row r="69" spans="13:15" ht="12.75" customHeight="1">
      <c r="M69" s="42" t="s">
        <v>414</v>
      </c>
      <c r="N69" s="42" t="s">
        <v>415</v>
      </c>
      <c r="O69" s="42">
        <v>5</v>
      </c>
    </row>
    <row r="70" spans="13:15" ht="12.75" customHeight="1">
      <c r="M70" s="42" t="s">
        <v>416</v>
      </c>
      <c r="N70" s="42" t="s">
        <v>417</v>
      </c>
      <c r="O70" s="42">
        <v>10</v>
      </c>
    </row>
    <row r="71" spans="13:15" ht="12.75" customHeight="1">
      <c r="M71" s="42" t="s">
        <v>418</v>
      </c>
      <c r="N71" s="42" t="s">
        <v>419</v>
      </c>
      <c r="O71" s="42">
        <v>1</v>
      </c>
    </row>
    <row r="72" spans="13:15" ht="12.75" customHeight="1">
      <c r="M72" s="42" t="s">
        <v>420</v>
      </c>
      <c r="N72" s="42" t="s">
        <v>421</v>
      </c>
      <c r="O72" s="42">
        <v>5.0000000000000002E-5</v>
      </c>
    </row>
    <row r="73" spans="13:15" ht="12.75" customHeight="1">
      <c r="M73" s="42" t="s">
        <v>248</v>
      </c>
      <c r="N73" s="42" t="s">
        <v>249</v>
      </c>
      <c r="O73" s="42">
        <v>0.2</v>
      </c>
    </row>
    <row r="74" spans="13:15" ht="12.75" customHeight="1">
      <c r="M74" s="42" t="s">
        <v>422</v>
      </c>
      <c r="O74" s="42">
        <v>10</v>
      </c>
    </row>
    <row r="75" spans="13:15" ht="12.75" customHeight="1">
      <c r="M75" s="42" t="s">
        <v>423</v>
      </c>
      <c r="N75" s="42" t="s">
        <v>424</v>
      </c>
      <c r="O75" s="42">
        <v>5</v>
      </c>
    </row>
    <row r="76" spans="13:15" ht="12.75" customHeight="1">
      <c r="M76" s="42" t="s">
        <v>425</v>
      </c>
      <c r="N76" s="42" t="s">
        <v>426</v>
      </c>
      <c r="O76" s="42">
        <v>2</v>
      </c>
    </row>
    <row r="77" spans="13:15" ht="12.75" customHeight="1">
      <c r="M77" s="42" t="s">
        <v>427</v>
      </c>
      <c r="N77" s="42" t="s">
        <v>428</v>
      </c>
      <c r="O77" s="42">
        <v>10</v>
      </c>
    </row>
    <row r="78" spans="13:15" ht="12.75" customHeight="1">
      <c r="M78" s="42" t="s">
        <v>429</v>
      </c>
      <c r="N78" s="42" t="s">
        <v>430</v>
      </c>
    </row>
    <row r="79" spans="13:15" ht="12.75" customHeight="1">
      <c r="M79" s="42" t="s">
        <v>431</v>
      </c>
      <c r="N79" s="42" t="s">
        <v>432</v>
      </c>
    </row>
    <row r="80" spans="13:15" ht="12.75" customHeight="1">
      <c r="M80" s="42" t="s">
        <v>433</v>
      </c>
      <c r="N80" s="42">
        <v>2095581</v>
      </c>
      <c r="O80" s="42">
        <v>0.1</v>
      </c>
    </row>
    <row r="81" spans="13:15" ht="12.75" customHeight="1">
      <c r="M81" s="42" t="s">
        <v>434</v>
      </c>
      <c r="N81" s="42" t="s">
        <v>435</v>
      </c>
      <c r="O81" s="42">
        <v>0.1</v>
      </c>
    </row>
    <row r="82" spans="13:15" ht="12.75" customHeight="1">
      <c r="M82" s="42" t="s">
        <v>436</v>
      </c>
      <c r="N82" s="42" t="s">
        <v>437</v>
      </c>
      <c r="O82" s="42">
        <v>10</v>
      </c>
    </row>
    <row r="83" spans="13:15" ht="12.75" customHeight="1">
      <c r="M83" s="42" t="s">
        <v>438</v>
      </c>
      <c r="N83" s="42" t="s">
        <v>439</v>
      </c>
      <c r="O83" s="42">
        <v>0.1</v>
      </c>
    </row>
    <row r="84" spans="13:15" ht="12.75" customHeight="1">
      <c r="M84" s="42" t="s">
        <v>440</v>
      </c>
      <c r="N84" s="42" t="s">
        <v>441</v>
      </c>
      <c r="O84" s="42">
        <v>0.1</v>
      </c>
    </row>
    <row r="85" spans="13:15" ht="12.75" customHeight="1">
      <c r="M85" s="42" t="s">
        <v>442</v>
      </c>
      <c r="N85" s="42" t="s">
        <v>196</v>
      </c>
      <c r="O85" s="42">
        <v>0.5</v>
      </c>
    </row>
    <row r="86" spans="13:15" ht="12.75" customHeight="1">
      <c r="M86" s="42" t="s">
        <v>443</v>
      </c>
      <c r="N86" s="42" t="s">
        <v>200</v>
      </c>
      <c r="O86" s="42">
        <v>0.1</v>
      </c>
    </row>
    <row r="87" spans="13:15" ht="12.75" customHeight="1">
      <c r="M87" s="42" t="s">
        <v>444</v>
      </c>
      <c r="N87" s="42" t="s">
        <v>445</v>
      </c>
      <c r="O87" s="42">
        <v>0.5</v>
      </c>
    </row>
    <row r="88" spans="13:15" ht="12.75" customHeight="1">
      <c r="M88" s="42" t="s">
        <v>446</v>
      </c>
      <c r="N88" s="42" t="s">
        <v>447</v>
      </c>
      <c r="O88" s="42">
        <v>2</v>
      </c>
    </row>
    <row r="89" spans="13:15" ht="12.75" customHeight="1">
      <c r="M89" s="42" t="s">
        <v>448</v>
      </c>
      <c r="N89" s="42" t="s">
        <v>449</v>
      </c>
    </row>
    <row r="90" spans="13:15" ht="12.75" customHeight="1">
      <c r="M90" s="42" t="s">
        <v>450</v>
      </c>
      <c r="N90" s="42" t="s">
        <v>64</v>
      </c>
      <c r="O90" s="42">
        <v>20</v>
      </c>
    </row>
    <row r="91" spans="13:15" ht="12.75" customHeight="1">
      <c r="M91" s="42" t="s">
        <v>451</v>
      </c>
      <c r="N91" s="42" t="s">
        <v>130</v>
      </c>
      <c r="O91" s="42">
        <v>100</v>
      </c>
    </row>
    <row r="92" spans="13:15" ht="12.75" customHeight="1">
      <c r="M92" s="42" t="s">
        <v>452</v>
      </c>
      <c r="N92" s="42" t="s">
        <v>453</v>
      </c>
      <c r="O92" s="42">
        <v>100</v>
      </c>
    </row>
    <row r="93" spans="13:15" ht="12.75" customHeight="1">
      <c r="M93" s="42" t="s">
        <v>454</v>
      </c>
      <c r="N93" s="42" t="s">
        <v>455</v>
      </c>
      <c r="O93" s="42">
        <v>250</v>
      </c>
    </row>
    <row r="94" spans="13:15" ht="12.75" customHeight="1">
      <c r="M94" s="42" t="s">
        <v>456</v>
      </c>
      <c r="N94" s="42" t="s">
        <v>132</v>
      </c>
      <c r="O94" s="42">
        <v>20</v>
      </c>
    </row>
    <row r="95" spans="13:15" ht="12.75" customHeight="1">
      <c r="M95" s="42" t="s">
        <v>457</v>
      </c>
      <c r="N95" s="42" t="s">
        <v>458</v>
      </c>
      <c r="O95" s="42">
        <v>20</v>
      </c>
    </row>
    <row r="96" spans="13:15" ht="12.75" customHeight="1">
      <c r="M96" s="42" t="s">
        <v>459</v>
      </c>
      <c r="N96" s="42" t="s">
        <v>460</v>
      </c>
      <c r="O96" s="42">
        <v>50</v>
      </c>
    </row>
    <row r="97" spans="13:15" ht="12.75" customHeight="1">
      <c r="M97" s="42" t="s">
        <v>461</v>
      </c>
      <c r="N97" s="42" t="s">
        <v>462</v>
      </c>
      <c r="O97" s="42">
        <v>2</v>
      </c>
    </row>
    <row r="98" spans="13:15" ht="12.75" customHeight="1">
      <c r="M98" s="42" t="s">
        <v>463</v>
      </c>
      <c r="N98" s="42" t="s">
        <v>464</v>
      </c>
      <c r="O98" s="42">
        <v>2</v>
      </c>
    </row>
    <row r="99" spans="13:15" ht="12.75" customHeight="1">
      <c r="M99" s="42" t="s">
        <v>465</v>
      </c>
      <c r="N99" s="42" t="s">
        <v>466</v>
      </c>
    </row>
    <row r="100" spans="13:15" ht="12.75" customHeight="1">
      <c r="M100" s="42" t="s">
        <v>467</v>
      </c>
      <c r="N100" s="42">
        <v>192337</v>
      </c>
      <c r="O100" s="42">
        <v>3</v>
      </c>
    </row>
    <row r="101" spans="13:15" ht="12.75" customHeight="1">
      <c r="M101" s="42" t="s">
        <v>468</v>
      </c>
      <c r="N101" s="42" t="s">
        <v>469</v>
      </c>
      <c r="O101" s="42">
        <v>5</v>
      </c>
    </row>
    <row r="102" spans="13:15" ht="12.75" customHeight="1">
      <c r="M102" s="42" t="s">
        <v>470</v>
      </c>
      <c r="N102" s="42" t="s">
        <v>471</v>
      </c>
      <c r="O102" s="42">
        <v>0.5</v>
      </c>
    </row>
    <row r="103" spans="13:15" ht="12.75" customHeight="1">
      <c r="M103" s="42" t="s">
        <v>472</v>
      </c>
      <c r="N103" s="42" t="s">
        <v>473</v>
      </c>
      <c r="O103" s="42">
        <v>5</v>
      </c>
    </row>
    <row r="104" spans="13:15" ht="12.75" customHeight="1">
      <c r="M104" s="42" t="s">
        <v>474</v>
      </c>
      <c r="N104" s="42" t="s">
        <v>475</v>
      </c>
      <c r="O104" s="42">
        <v>1</v>
      </c>
    </row>
    <row r="105" spans="13:15" ht="12.75" customHeight="1">
      <c r="M105" s="42" t="s">
        <v>476</v>
      </c>
      <c r="N105" s="42" t="s">
        <v>477</v>
      </c>
      <c r="O105" s="42">
        <v>0.1</v>
      </c>
    </row>
    <row r="106" spans="13:15" ht="12.75" customHeight="1">
      <c r="M106" s="42" t="s">
        <v>478</v>
      </c>
      <c r="N106" s="42" t="s">
        <v>479</v>
      </c>
    </row>
    <row r="107" spans="13:15" ht="12.75" customHeight="1">
      <c r="M107" s="42" t="s">
        <v>480</v>
      </c>
      <c r="N107" s="42" t="s">
        <v>481</v>
      </c>
      <c r="O107" s="42">
        <v>0.1</v>
      </c>
    </row>
    <row r="108" spans="13:15" ht="12.75" customHeight="1">
      <c r="M108" s="42" t="s">
        <v>482</v>
      </c>
      <c r="N108" s="42" t="s">
        <v>483</v>
      </c>
      <c r="O108" s="42">
        <v>0.01</v>
      </c>
    </row>
    <row r="109" spans="13:15" ht="12.75" customHeight="1">
      <c r="M109" s="42" t="s">
        <v>484</v>
      </c>
      <c r="N109" s="42" t="s">
        <v>485</v>
      </c>
      <c r="O109" s="42">
        <v>1E-3</v>
      </c>
    </row>
    <row r="110" spans="13:15" ht="12.75" customHeight="1">
      <c r="M110" s="42" t="s">
        <v>486</v>
      </c>
      <c r="N110" s="42" t="s">
        <v>487</v>
      </c>
      <c r="O110" s="42">
        <v>0.5</v>
      </c>
    </row>
    <row r="111" spans="13:15" ht="12.75" customHeight="1">
      <c r="M111" s="42" t="s">
        <v>488</v>
      </c>
      <c r="N111" s="42" t="s">
        <v>489</v>
      </c>
      <c r="O111" s="42">
        <v>5</v>
      </c>
    </row>
    <row r="112" spans="13:15" ht="12.75" customHeight="1">
      <c r="M112" s="42" t="s">
        <v>490</v>
      </c>
      <c r="N112" s="42" t="s">
        <v>491</v>
      </c>
      <c r="O112" s="42">
        <v>2</v>
      </c>
    </row>
    <row r="113" spans="13:15" ht="12.75" customHeight="1">
      <c r="M113" s="42" t="s">
        <v>492</v>
      </c>
      <c r="N113" s="42" t="s">
        <v>493</v>
      </c>
      <c r="O113" s="42">
        <v>1</v>
      </c>
    </row>
    <row r="114" spans="13:15" ht="12.75" customHeight="1">
      <c r="M114" s="42" t="s">
        <v>494</v>
      </c>
      <c r="N114" s="42" t="s">
        <v>495</v>
      </c>
      <c r="O114" s="42">
        <v>10</v>
      </c>
    </row>
    <row r="115" spans="13:15" ht="12.75" customHeight="1">
      <c r="M115" s="42" t="s">
        <v>496</v>
      </c>
      <c r="N115" s="42" t="s">
        <v>497</v>
      </c>
      <c r="O115" s="42">
        <v>2</v>
      </c>
    </row>
    <row r="116" spans="13:15" ht="12.75" customHeight="1">
      <c r="M116" s="42" t="s">
        <v>498</v>
      </c>
      <c r="N116" s="42" t="s">
        <v>499</v>
      </c>
      <c r="O116" s="42">
        <v>5</v>
      </c>
    </row>
    <row r="117" spans="13:15" ht="12.75" customHeight="1">
      <c r="M117" s="42" t="s">
        <v>500</v>
      </c>
      <c r="N117" s="42">
        <v>191906</v>
      </c>
      <c r="O117" s="42">
        <v>0.1</v>
      </c>
    </row>
    <row r="118" spans="13:15" ht="12.75" customHeight="1">
      <c r="M118" s="42" t="s">
        <v>501</v>
      </c>
      <c r="N118" s="42" t="s">
        <v>502</v>
      </c>
      <c r="O118" s="42">
        <v>5</v>
      </c>
    </row>
    <row r="119" spans="13:15" ht="12.75" customHeight="1">
      <c r="M119" s="42" t="s">
        <v>503</v>
      </c>
      <c r="N119" s="42" t="s">
        <v>504</v>
      </c>
      <c r="O119" s="42">
        <v>0.5</v>
      </c>
    </row>
    <row r="120" spans="13:15" ht="12.75" customHeight="1">
      <c r="M120" s="42" t="s">
        <v>505</v>
      </c>
      <c r="N120" s="42" t="s">
        <v>506</v>
      </c>
      <c r="O120" s="42">
        <v>0.1</v>
      </c>
    </row>
    <row r="121" spans="13:15" ht="12.75" customHeight="1">
      <c r="M121" s="42" t="s">
        <v>507</v>
      </c>
      <c r="N121" s="42" t="s">
        <v>508</v>
      </c>
      <c r="O121" s="42">
        <v>3</v>
      </c>
    </row>
    <row r="122" spans="13:15" ht="12.75" customHeight="1">
      <c r="M122" s="42" t="s">
        <v>509</v>
      </c>
      <c r="N122" s="42" t="s">
        <v>510</v>
      </c>
      <c r="O122" s="42">
        <v>5</v>
      </c>
    </row>
    <row r="123" spans="13:15" ht="12.75" customHeight="1">
      <c r="M123" s="42" t="s">
        <v>511</v>
      </c>
      <c r="N123" s="42" t="s">
        <v>136</v>
      </c>
      <c r="O123" s="42">
        <v>1</v>
      </c>
    </row>
    <row r="124" spans="13:15" ht="12.75" customHeight="1">
      <c r="M124" s="42" t="s">
        <v>512</v>
      </c>
      <c r="N124" s="42" t="s">
        <v>513</v>
      </c>
      <c r="O124" s="42">
        <v>25</v>
      </c>
    </row>
    <row r="125" spans="13:15" ht="12.75" customHeight="1">
      <c r="M125" s="42" t="s">
        <v>514</v>
      </c>
      <c r="N125" s="42" t="s">
        <v>515</v>
      </c>
      <c r="O125" s="42">
        <v>0.1</v>
      </c>
    </row>
    <row r="126" spans="13:15" ht="12.75" customHeight="1">
      <c r="M126" s="42" t="s">
        <v>13</v>
      </c>
      <c r="N126" s="42" t="s">
        <v>14</v>
      </c>
      <c r="O126" s="42">
        <v>5</v>
      </c>
    </row>
    <row r="127" spans="13:15" ht="12.75" customHeight="1">
      <c r="M127" s="42" t="s">
        <v>516</v>
      </c>
      <c r="N127" s="42" t="s">
        <v>517</v>
      </c>
      <c r="O127" s="42">
        <v>2</v>
      </c>
    </row>
    <row r="128" spans="13:15" ht="12.75" customHeight="1">
      <c r="M128" s="42" t="s">
        <v>518</v>
      </c>
      <c r="N128" s="42" t="s">
        <v>519</v>
      </c>
      <c r="O128" s="42">
        <v>5</v>
      </c>
    </row>
    <row r="129" spans="13:15" ht="12.75" customHeight="1">
      <c r="M129" s="42" t="s">
        <v>520</v>
      </c>
      <c r="N129" s="42" t="s">
        <v>521</v>
      </c>
      <c r="O129" s="42">
        <v>1</v>
      </c>
    </row>
    <row r="130" spans="13:15" ht="12.75" customHeight="1">
      <c r="M130" s="42" t="s">
        <v>522</v>
      </c>
      <c r="N130" s="42" t="s">
        <v>523</v>
      </c>
      <c r="O130" s="42">
        <v>5</v>
      </c>
    </row>
    <row r="131" spans="13:15" ht="12.75" customHeight="1">
      <c r="M131" s="42" t="s">
        <v>524</v>
      </c>
      <c r="N131" s="42" t="s">
        <v>525</v>
      </c>
      <c r="O131" s="42">
        <v>10</v>
      </c>
    </row>
    <row r="132" spans="13:15" ht="12.75" customHeight="1">
      <c r="M132" s="42" t="s">
        <v>526</v>
      </c>
      <c r="N132" s="42" t="s">
        <v>527</v>
      </c>
      <c r="O132" s="42">
        <v>2</v>
      </c>
    </row>
    <row r="133" spans="13:15" ht="12.75" customHeight="1">
      <c r="M133" s="42" t="s">
        <v>528</v>
      </c>
      <c r="N133" s="42" t="s">
        <v>529</v>
      </c>
      <c r="O133" s="42">
        <v>0.5</v>
      </c>
    </row>
    <row r="134" spans="13:15" ht="12.75" customHeight="1">
      <c r="M134" s="42" t="s">
        <v>530</v>
      </c>
      <c r="N134" s="42" t="s">
        <v>531</v>
      </c>
      <c r="O134" s="42">
        <v>0.5</v>
      </c>
    </row>
    <row r="135" spans="13:15" ht="12.75" customHeight="1">
      <c r="M135" s="42" t="s">
        <v>532</v>
      </c>
      <c r="N135" s="42" t="s">
        <v>533</v>
      </c>
      <c r="O135" s="42">
        <v>0.5</v>
      </c>
    </row>
    <row r="136" spans="13:15" ht="12.75" customHeight="1">
      <c r="M136" s="42" t="s">
        <v>534</v>
      </c>
      <c r="N136" s="42" t="s">
        <v>535</v>
      </c>
      <c r="O136" s="42">
        <v>0.1</v>
      </c>
    </row>
    <row r="137" spans="13:15" ht="12.75" customHeight="1">
      <c r="M137" s="42" t="s">
        <v>536</v>
      </c>
      <c r="N137" s="42" t="s">
        <v>537</v>
      </c>
    </row>
    <row r="138" spans="13:15" ht="12.75" customHeight="1">
      <c r="M138" s="42" t="s">
        <v>538</v>
      </c>
      <c r="N138" s="42" t="s">
        <v>539</v>
      </c>
    </row>
    <row r="139" spans="13:15" ht="12.75" customHeight="1">
      <c r="M139" s="42" t="s">
        <v>540</v>
      </c>
      <c r="N139" s="42" t="s">
        <v>541</v>
      </c>
    </row>
    <row r="140" spans="13:15" ht="12.75" customHeight="1">
      <c r="M140" s="42" t="s">
        <v>542</v>
      </c>
      <c r="N140" s="42" t="s">
        <v>543</v>
      </c>
    </row>
    <row r="141" spans="13:15" ht="12.75" customHeight="1">
      <c r="M141" s="42" t="s">
        <v>544</v>
      </c>
      <c r="N141" s="42" t="s">
        <v>545</v>
      </c>
      <c r="O141" s="42">
        <v>0.05</v>
      </c>
    </row>
    <row r="142" spans="13:15" ht="12.75" customHeight="1">
      <c r="M142" s="42" t="s">
        <v>546</v>
      </c>
      <c r="N142" s="42" t="s">
        <v>547</v>
      </c>
      <c r="O142" s="42">
        <v>0.05</v>
      </c>
    </row>
    <row r="143" spans="13:15" ht="12.75" customHeight="1">
      <c r="M143" s="42" t="s">
        <v>81</v>
      </c>
      <c r="N143" s="42" t="s">
        <v>82</v>
      </c>
      <c r="O143" s="42">
        <v>10</v>
      </c>
    </row>
    <row r="144" spans="13:15" ht="12.75" customHeight="1">
      <c r="M144" s="42" t="s">
        <v>548</v>
      </c>
      <c r="N144" s="42" t="s">
        <v>549</v>
      </c>
    </row>
    <row r="145" spans="13:15" ht="12.75" customHeight="1">
      <c r="M145" s="42" t="s">
        <v>550</v>
      </c>
      <c r="N145" s="42" t="s">
        <v>551</v>
      </c>
      <c r="O145" s="42">
        <v>200</v>
      </c>
    </row>
    <row r="146" spans="13:15" ht="12.75" customHeight="1">
      <c r="M146" s="42" t="s">
        <v>552</v>
      </c>
      <c r="N146" s="42" t="s">
        <v>553</v>
      </c>
      <c r="O146" s="42">
        <v>1</v>
      </c>
    </row>
    <row r="147" spans="13:15" ht="12.75" customHeight="1">
      <c r="M147" s="42" t="s">
        <v>554</v>
      </c>
      <c r="N147" s="42" t="s">
        <v>555</v>
      </c>
      <c r="O147" s="42">
        <v>1</v>
      </c>
    </row>
    <row r="148" spans="13:15" ht="12.75" customHeight="1">
      <c r="M148" s="42" t="s">
        <v>556</v>
      </c>
      <c r="N148" s="42" t="s">
        <v>557</v>
      </c>
      <c r="O148" s="42">
        <v>0.5</v>
      </c>
    </row>
    <row r="149" spans="13:15" ht="12.75" customHeight="1">
      <c r="M149" s="42" t="s">
        <v>15</v>
      </c>
      <c r="N149" s="42" t="s">
        <v>16</v>
      </c>
      <c r="O149" s="42">
        <v>10</v>
      </c>
    </row>
    <row r="150" spans="13:15" ht="12.75" customHeight="1">
      <c r="M150" s="42" t="s">
        <v>558</v>
      </c>
      <c r="N150" s="42" t="s">
        <v>559</v>
      </c>
      <c r="O150" s="42">
        <v>1E-3</v>
      </c>
    </row>
    <row r="151" spans="13:15" ht="12.75" customHeight="1">
      <c r="M151" s="42" t="s">
        <v>560</v>
      </c>
      <c r="N151" s="42" t="s">
        <v>561</v>
      </c>
    </row>
    <row r="152" spans="13:15" ht="12.75" customHeight="1">
      <c r="M152" s="42" t="s">
        <v>562</v>
      </c>
      <c r="N152" s="42" t="s">
        <v>230</v>
      </c>
      <c r="O152" s="42">
        <v>2</v>
      </c>
    </row>
    <row r="153" spans="13:15" ht="12.75" customHeight="1">
      <c r="M153" s="42" t="s">
        <v>563</v>
      </c>
      <c r="N153" s="42" t="s">
        <v>564</v>
      </c>
      <c r="O153" s="42">
        <v>1</v>
      </c>
    </row>
    <row r="154" spans="13:15" ht="12.75" customHeight="1">
      <c r="M154" s="42" t="s">
        <v>565</v>
      </c>
      <c r="N154" s="42" t="s">
        <v>566</v>
      </c>
      <c r="O154" s="42">
        <v>0.1</v>
      </c>
    </row>
    <row r="155" spans="13:15" ht="12.75" customHeight="1">
      <c r="M155" s="42" t="s">
        <v>567</v>
      </c>
      <c r="N155" s="42" t="s">
        <v>568</v>
      </c>
      <c r="O155" s="42">
        <v>1</v>
      </c>
    </row>
    <row r="156" spans="13:15" ht="12.75" customHeight="1">
      <c r="M156" s="42" t="s">
        <v>569</v>
      </c>
      <c r="N156" s="42" t="s">
        <v>570</v>
      </c>
      <c r="O156" s="42">
        <v>1</v>
      </c>
    </row>
    <row r="157" spans="13:15" ht="12.75" customHeight="1">
      <c r="M157" s="42" t="s">
        <v>571</v>
      </c>
      <c r="N157" s="42" t="s">
        <v>572</v>
      </c>
      <c r="O157" s="42">
        <v>1</v>
      </c>
    </row>
    <row r="158" spans="13:15" ht="12.75" customHeight="1">
      <c r="M158" s="42" t="s">
        <v>573</v>
      </c>
      <c r="N158" s="42" t="s">
        <v>574</v>
      </c>
      <c r="O158" s="42">
        <v>0.1</v>
      </c>
    </row>
    <row r="159" spans="13:15" ht="12.75" customHeight="1">
      <c r="M159" s="42" t="s">
        <v>575</v>
      </c>
      <c r="N159" s="42" t="s">
        <v>228</v>
      </c>
      <c r="O159" s="42">
        <v>50</v>
      </c>
    </row>
    <row r="160" spans="13:15" ht="12.75" customHeight="1">
      <c r="M160" s="42" t="s">
        <v>576</v>
      </c>
      <c r="N160" s="42" t="s">
        <v>577</v>
      </c>
      <c r="O160" s="42">
        <v>50</v>
      </c>
    </row>
    <row r="161" spans="13:15" ht="12.75" customHeight="1">
      <c r="M161" s="42" t="s">
        <v>578</v>
      </c>
      <c r="N161" s="42" t="s">
        <v>579</v>
      </c>
      <c r="O161" s="42">
        <v>0.1</v>
      </c>
    </row>
    <row r="162" spans="13:15" ht="12.75" customHeight="1">
      <c r="M162" s="42" t="s">
        <v>580</v>
      </c>
      <c r="N162" s="42" t="s">
        <v>581</v>
      </c>
    </row>
    <row r="163" spans="13:15" ht="12.75" customHeight="1">
      <c r="M163" s="42" t="s">
        <v>582</v>
      </c>
      <c r="O163" s="42">
        <v>0.5</v>
      </c>
    </row>
    <row r="164" spans="13:15" ht="12.75" customHeight="1">
      <c r="M164" s="42" t="s">
        <v>583</v>
      </c>
      <c r="O164" s="42">
        <v>3.0000000000000001E-3</v>
      </c>
    </row>
    <row r="165" spans="13:15" ht="12.75" customHeight="1">
      <c r="M165" s="42" t="s">
        <v>584</v>
      </c>
      <c r="O165" s="42">
        <v>2.0000000000000001E-4</v>
      </c>
    </row>
    <row r="166" spans="13:15" ht="12.75" customHeight="1">
      <c r="M166" s="42" t="s">
        <v>585</v>
      </c>
      <c r="N166" s="42" t="s">
        <v>586</v>
      </c>
      <c r="O166" s="42">
        <v>1E-4</v>
      </c>
    </row>
    <row r="167" spans="13:15" ht="12.75" customHeight="1">
      <c r="M167" s="42" t="s">
        <v>587</v>
      </c>
      <c r="N167" s="42" t="s">
        <v>588</v>
      </c>
    </row>
    <row r="168" spans="13:15" ht="12.75" customHeight="1">
      <c r="M168" s="42" t="s">
        <v>589</v>
      </c>
      <c r="N168" s="42" t="s">
        <v>590</v>
      </c>
      <c r="O168" s="42">
        <v>5</v>
      </c>
    </row>
    <row r="169" spans="13:15" ht="12.75" customHeight="1">
      <c r="M169" s="42" t="s">
        <v>591</v>
      </c>
      <c r="N169" s="42" t="s">
        <v>592</v>
      </c>
      <c r="O169" s="42">
        <v>3</v>
      </c>
    </row>
    <row r="170" spans="13:15" ht="12.75" customHeight="1">
      <c r="M170" s="42" t="s">
        <v>593</v>
      </c>
      <c r="N170" s="42" t="s">
        <v>594</v>
      </c>
      <c r="O170" s="42">
        <v>0.1</v>
      </c>
    </row>
    <row r="171" spans="13:15" ht="12.75" customHeight="1">
      <c r="M171" s="42" t="s">
        <v>595</v>
      </c>
      <c r="N171" s="42">
        <v>2238851</v>
      </c>
      <c r="O171" s="42">
        <v>0.4</v>
      </c>
    </row>
    <row r="172" spans="13:15" ht="12.75" customHeight="1">
      <c r="M172" s="42" t="s">
        <v>596</v>
      </c>
      <c r="N172" s="42" t="s">
        <v>597</v>
      </c>
      <c r="O172" s="42">
        <v>0.9</v>
      </c>
    </row>
    <row r="173" spans="13:15" ht="12.75" customHeight="1">
      <c r="M173" s="42" t="s">
        <v>598</v>
      </c>
      <c r="N173" s="42" t="s">
        <v>599</v>
      </c>
      <c r="O173" s="42">
        <v>0.2</v>
      </c>
    </row>
    <row r="174" spans="13:15" ht="12.75" customHeight="1">
      <c r="M174" s="42" t="s">
        <v>600</v>
      </c>
      <c r="N174" s="42" t="s">
        <v>601</v>
      </c>
      <c r="O174" s="42">
        <v>0.02</v>
      </c>
    </row>
    <row r="175" spans="13:15" ht="12.75" customHeight="1">
      <c r="M175" s="42" t="s">
        <v>602</v>
      </c>
      <c r="N175" s="42" t="s">
        <v>603</v>
      </c>
      <c r="O175" s="42">
        <v>0.1</v>
      </c>
    </row>
    <row r="176" spans="13:15" ht="12.75" customHeight="1">
      <c r="M176" s="42" t="s">
        <v>604</v>
      </c>
      <c r="N176" s="42" t="s">
        <v>605</v>
      </c>
      <c r="O176" s="42">
        <v>0.1</v>
      </c>
    </row>
    <row r="177" spans="13:15" ht="12.75" customHeight="1">
      <c r="M177" s="42" t="s">
        <v>606</v>
      </c>
      <c r="N177" s="42" t="s">
        <v>607</v>
      </c>
      <c r="O177" s="42">
        <v>0.2</v>
      </c>
    </row>
    <row r="178" spans="13:15" ht="12.75" customHeight="1">
      <c r="M178" s="42" t="s">
        <v>608</v>
      </c>
      <c r="O178" s="42">
        <v>1</v>
      </c>
    </row>
    <row r="179" spans="13:15" ht="12.75" customHeight="1">
      <c r="M179" s="42" t="s">
        <v>609</v>
      </c>
      <c r="O179" s="42">
        <v>0.1</v>
      </c>
    </row>
    <row r="180" spans="13:15" ht="12.75" customHeight="1">
      <c r="M180" s="42" t="s">
        <v>610</v>
      </c>
      <c r="N180" s="42" t="s">
        <v>611</v>
      </c>
      <c r="O180" s="42">
        <v>0.05</v>
      </c>
    </row>
    <row r="181" spans="13:15" ht="12.75" customHeight="1">
      <c r="M181" s="42" t="s">
        <v>612</v>
      </c>
      <c r="N181" s="42" t="s">
        <v>613</v>
      </c>
      <c r="O181" s="42">
        <v>20</v>
      </c>
    </row>
    <row r="182" spans="13:15" ht="12.75" customHeight="1">
      <c r="M182" s="42" t="s">
        <v>614</v>
      </c>
      <c r="N182" s="42" t="s">
        <v>615</v>
      </c>
    </row>
    <row r="183" spans="13:15" ht="12.75" customHeight="1">
      <c r="M183" s="42" t="s">
        <v>616</v>
      </c>
      <c r="N183" s="42" t="s">
        <v>617</v>
      </c>
      <c r="O183" s="42">
        <v>5</v>
      </c>
    </row>
    <row r="184" spans="13:15" ht="12.75" customHeight="1">
      <c r="M184" s="42" t="s">
        <v>618</v>
      </c>
      <c r="N184" s="42" t="s">
        <v>120</v>
      </c>
      <c r="O184" s="42">
        <v>5</v>
      </c>
    </row>
    <row r="185" spans="13:15" ht="12.75" customHeight="1">
      <c r="M185" s="42" t="s">
        <v>619</v>
      </c>
      <c r="N185" s="42" t="s">
        <v>620</v>
      </c>
      <c r="O185" s="42">
        <v>2</v>
      </c>
    </row>
    <row r="186" spans="13:15" ht="12.75" customHeight="1">
      <c r="M186" s="42" t="s">
        <v>621</v>
      </c>
      <c r="N186" s="42" t="s">
        <v>622</v>
      </c>
      <c r="O186" s="42">
        <v>0.1</v>
      </c>
    </row>
    <row r="187" spans="13:15" ht="12.75" customHeight="1">
      <c r="M187" s="42" t="s">
        <v>623</v>
      </c>
      <c r="N187" s="42" t="s">
        <v>624</v>
      </c>
      <c r="O187" s="42">
        <v>0.2</v>
      </c>
    </row>
    <row r="188" spans="13:15" ht="12.75" customHeight="1">
      <c r="M188" s="42" t="s">
        <v>625</v>
      </c>
      <c r="N188" s="42" t="s">
        <v>626</v>
      </c>
    </row>
    <row r="189" spans="13:15" ht="12.75" customHeight="1">
      <c r="M189" s="42" t="s">
        <v>627</v>
      </c>
      <c r="N189" s="42" t="s">
        <v>628</v>
      </c>
    </row>
    <row r="190" spans="13:15" ht="12.75" customHeight="1">
      <c r="M190" s="42" t="s">
        <v>629</v>
      </c>
      <c r="N190" s="42" t="s">
        <v>630</v>
      </c>
    </row>
    <row r="191" spans="13:15" ht="12.75" customHeight="1">
      <c r="M191" s="42" t="s">
        <v>631</v>
      </c>
      <c r="N191" s="42" t="s">
        <v>18</v>
      </c>
      <c r="O191" s="42">
        <v>100</v>
      </c>
    </row>
    <row r="192" spans="13:15" ht="12.75" customHeight="1">
      <c r="M192" s="42" t="s">
        <v>632</v>
      </c>
      <c r="N192" s="42" t="s">
        <v>633</v>
      </c>
      <c r="O192" s="42">
        <v>50</v>
      </c>
    </row>
    <row r="193" spans="13:15" ht="12.75" customHeight="1">
      <c r="M193" s="42" t="s">
        <v>634</v>
      </c>
      <c r="N193" s="42" t="s">
        <v>76</v>
      </c>
      <c r="O193" s="42">
        <v>20</v>
      </c>
    </row>
    <row r="194" spans="13:15" ht="12.75" customHeight="1">
      <c r="M194" s="42" t="s">
        <v>635</v>
      </c>
      <c r="N194" s="42" t="s">
        <v>144</v>
      </c>
      <c r="O194" s="42">
        <v>20</v>
      </c>
    </row>
    <row r="195" spans="13:15" ht="12.75" customHeight="1">
      <c r="M195" s="42" t="s">
        <v>636</v>
      </c>
      <c r="N195" s="42" t="s">
        <v>174</v>
      </c>
      <c r="O195" s="42">
        <v>10</v>
      </c>
    </row>
    <row r="196" spans="13:15" ht="12.75" customHeight="1">
      <c r="M196" s="42" t="s">
        <v>637</v>
      </c>
      <c r="N196" s="42" t="s">
        <v>638</v>
      </c>
      <c r="O196" s="42">
        <v>0.5</v>
      </c>
    </row>
    <row r="197" spans="13:15" ht="12.75" customHeight="1">
      <c r="M197" s="42" t="s">
        <v>639</v>
      </c>
      <c r="N197" s="42" t="s">
        <v>640</v>
      </c>
      <c r="O197" s="42">
        <v>1</v>
      </c>
    </row>
    <row r="198" spans="13:15" ht="12.75" customHeight="1">
      <c r="M198" s="42" t="s">
        <v>641</v>
      </c>
      <c r="N198" s="42" t="s">
        <v>642</v>
      </c>
      <c r="O198" s="42">
        <v>5</v>
      </c>
    </row>
    <row r="199" spans="13:15" ht="12.75" customHeight="1">
      <c r="M199" s="42" t="s">
        <v>643</v>
      </c>
      <c r="N199" s="42" t="s">
        <v>644</v>
      </c>
      <c r="O199" s="42">
        <v>2</v>
      </c>
    </row>
    <row r="200" spans="13:15" ht="12.75" customHeight="1">
      <c r="M200" s="42" t="s">
        <v>645</v>
      </c>
      <c r="N200" s="42" t="s">
        <v>646</v>
      </c>
      <c r="O200" s="42">
        <v>10</v>
      </c>
    </row>
    <row r="201" spans="13:15" ht="12.75" customHeight="1">
      <c r="M201" s="42" t="s">
        <v>647</v>
      </c>
      <c r="N201" s="42" t="s">
        <v>648</v>
      </c>
      <c r="O201" s="42">
        <v>1</v>
      </c>
    </row>
    <row r="202" spans="13:15" ht="12.75" customHeight="1">
      <c r="M202" s="42" t="s">
        <v>649</v>
      </c>
      <c r="N202" s="42" t="s">
        <v>650</v>
      </c>
      <c r="O202" s="42">
        <v>0.05</v>
      </c>
    </row>
    <row r="203" spans="13:15" ht="12.75" customHeight="1">
      <c r="M203" s="42" t="s">
        <v>651</v>
      </c>
      <c r="N203" s="42" t="s">
        <v>652</v>
      </c>
      <c r="O203" s="42">
        <v>0.05</v>
      </c>
    </row>
    <row r="204" spans="13:15" ht="12.75" customHeight="1">
      <c r="M204" s="42" t="s">
        <v>653</v>
      </c>
      <c r="N204" s="42" t="s">
        <v>654</v>
      </c>
      <c r="O204" s="42">
        <v>0.05</v>
      </c>
    </row>
    <row r="205" spans="13:15" ht="12.75" customHeight="1">
      <c r="M205" s="42" t="s">
        <v>655</v>
      </c>
      <c r="N205" s="42" t="s">
        <v>656</v>
      </c>
      <c r="O205" s="42">
        <v>100</v>
      </c>
    </row>
    <row r="206" spans="13:15" ht="12.75" customHeight="1">
      <c r="M206" s="42" t="s">
        <v>657</v>
      </c>
      <c r="N206" s="42" t="s">
        <v>176</v>
      </c>
      <c r="O206" s="42">
        <v>10</v>
      </c>
    </row>
    <row r="207" spans="13:15" ht="12.75" customHeight="1">
      <c r="M207" s="42" t="s">
        <v>658</v>
      </c>
      <c r="N207" s="42" t="s">
        <v>659</v>
      </c>
      <c r="O207" s="42">
        <v>0.01</v>
      </c>
    </row>
    <row r="208" spans="13:15" ht="12.75" customHeight="1">
      <c r="M208" s="42" t="s">
        <v>660</v>
      </c>
      <c r="N208" s="42" t="s">
        <v>661</v>
      </c>
      <c r="O208" s="42">
        <v>0.01</v>
      </c>
    </row>
    <row r="209" spans="13:15" ht="12.75" customHeight="1">
      <c r="M209" s="42" t="s">
        <v>662</v>
      </c>
      <c r="N209" s="42" t="s">
        <v>663</v>
      </c>
      <c r="O209" s="42">
        <v>0.2</v>
      </c>
    </row>
    <row r="210" spans="13:15" ht="12.75" customHeight="1">
      <c r="M210" s="42" t="s">
        <v>664</v>
      </c>
      <c r="N210" s="42" t="s">
        <v>665</v>
      </c>
      <c r="O210" s="42">
        <v>0.1</v>
      </c>
    </row>
    <row r="211" spans="13:15" ht="12.75" customHeight="1">
      <c r="M211" s="42" t="s">
        <v>666</v>
      </c>
      <c r="N211" s="42" t="s">
        <v>667</v>
      </c>
      <c r="O211" s="42">
        <v>0.5</v>
      </c>
    </row>
    <row r="212" spans="13:15" ht="12.75" customHeight="1">
      <c r="M212" s="42" t="s">
        <v>668</v>
      </c>
      <c r="N212" s="42" t="s">
        <v>669</v>
      </c>
      <c r="O212" s="42">
        <v>0.3</v>
      </c>
    </row>
    <row r="213" spans="13:15" ht="12.75" customHeight="1">
      <c r="M213" s="42" t="s">
        <v>670</v>
      </c>
      <c r="N213" s="42" t="s">
        <v>671</v>
      </c>
      <c r="O213" s="42">
        <v>5</v>
      </c>
    </row>
    <row r="214" spans="13:15" ht="12.75" customHeight="1">
      <c r="M214" s="42" t="s">
        <v>672</v>
      </c>
      <c r="N214" s="42" t="s">
        <v>673</v>
      </c>
      <c r="O214" s="42">
        <v>5</v>
      </c>
    </row>
    <row r="215" spans="13:15" ht="12.75" customHeight="1">
      <c r="M215" s="42" t="s">
        <v>674</v>
      </c>
      <c r="N215" s="42" t="s">
        <v>675</v>
      </c>
      <c r="O215" s="42">
        <v>0.5</v>
      </c>
    </row>
    <row r="216" spans="13:15" ht="12.75" customHeight="1">
      <c r="M216" s="42" t="s">
        <v>676</v>
      </c>
      <c r="N216" s="42" t="s">
        <v>677</v>
      </c>
    </row>
    <row r="217" spans="13:15" ht="12.75" customHeight="1">
      <c r="M217" s="42" t="s">
        <v>678</v>
      </c>
      <c r="N217" s="42" t="s">
        <v>42</v>
      </c>
      <c r="O217" s="42">
        <v>25</v>
      </c>
    </row>
    <row r="218" spans="13:15" ht="12.75" customHeight="1">
      <c r="M218" s="42" t="s">
        <v>679</v>
      </c>
      <c r="N218" s="42" t="s">
        <v>680</v>
      </c>
      <c r="O218" s="42">
        <v>10</v>
      </c>
    </row>
    <row r="219" spans="13:15" ht="12.75" customHeight="1">
      <c r="M219" s="42" t="s">
        <v>681</v>
      </c>
      <c r="N219" s="42" t="s">
        <v>682</v>
      </c>
    </row>
    <row r="220" spans="13:15" ht="12.75" customHeight="1">
      <c r="M220" s="42" t="s">
        <v>683</v>
      </c>
      <c r="N220" s="42" t="s">
        <v>684</v>
      </c>
      <c r="O220" s="42">
        <v>5.0000000000000001E-3</v>
      </c>
    </row>
    <row r="221" spans="13:15" ht="12.75" customHeight="1">
      <c r="M221" s="42" t="s">
        <v>685</v>
      </c>
      <c r="N221" s="42" t="s">
        <v>686</v>
      </c>
      <c r="O221" s="42">
        <v>1</v>
      </c>
    </row>
    <row r="222" spans="13:15" ht="12.75" customHeight="1">
      <c r="M222" s="42" t="s">
        <v>687</v>
      </c>
      <c r="N222" s="42" t="s">
        <v>688</v>
      </c>
      <c r="O222" s="42">
        <v>0.2</v>
      </c>
    </row>
    <row r="223" spans="13:15" ht="12.75" customHeight="1">
      <c r="M223" s="42" t="s">
        <v>689</v>
      </c>
      <c r="N223" s="42" t="s">
        <v>204</v>
      </c>
      <c r="O223" s="42">
        <v>100</v>
      </c>
    </row>
    <row r="224" spans="13:15" ht="12.75" customHeight="1">
      <c r="M224" s="42" t="s">
        <v>690</v>
      </c>
      <c r="N224" s="42" t="s">
        <v>691</v>
      </c>
      <c r="O224" s="42">
        <v>200</v>
      </c>
    </row>
    <row r="225" spans="13:15" ht="12.75" customHeight="1">
      <c r="M225" s="42" t="s">
        <v>692</v>
      </c>
      <c r="N225" s="42" t="s">
        <v>693</v>
      </c>
      <c r="O225" s="42">
        <v>5</v>
      </c>
    </row>
    <row r="226" spans="13:15" ht="12.75" customHeight="1">
      <c r="M226" s="42" t="s">
        <v>694</v>
      </c>
      <c r="N226" s="42" t="s">
        <v>695</v>
      </c>
      <c r="O226" s="42">
        <v>10</v>
      </c>
    </row>
    <row r="227" spans="13:15" ht="12.75" customHeight="1">
      <c r="M227" s="42" t="s">
        <v>696</v>
      </c>
      <c r="N227" s="42" t="s">
        <v>22</v>
      </c>
      <c r="O227" s="42">
        <v>50</v>
      </c>
    </row>
    <row r="228" spans="13:15" ht="12.75" customHeight="1">
      <c r="M228" s="42" t="s">
        <v>697</v>
      </c>
      <c r="N228" s="42" t="s">
        <v>154</v>
      </c>
      <c r="O228" s="42">
        <v>2</v>
      </c>
    </row>
    <row r="229" spans="13:15" ht="12.75" customHeight="1">
      <c r="M229" s="42" t="s">
        <v>698</v>
      </c>
      <c r="N229" s="42" t="s">
        <v>699</v>
      </c>
      <c r="O229" s="42">
        <v>1</v>
      </c>
    </row>
    <row r="230" spans="13:15" ht="12.75" customHeight="1">
      <c r="M230" s="42" t="s">
        <v>700</v>
      </c>
      <c r="N230" s="42" t="s">
        <v>701</v>
      </c>
      <c r="O230" s="42">
        <v>5</v>
      </c>
    </row>
    <row r="231" spans="13:15" ht="12.75" customHeight="1">
      <c r="M231" s="42" t="s">
        <v>702</v>
      </c>
      <c r="N231" s="42" t="s">
        <v>703</v>
      </c>
      <c r="O231" s="42">
        <v>1</v>
      </c>
    </row>
    <row r="232" spans="13:15" ht="12.75" customHeight="1">
      <c r="M232" s="42" t="s">
        <v>704</v>
      </c>
      <c r="N232" s="42" t="s">
        <v>705</v>
      </c>
      <c r="O232" s="42">
        <v>0.1</v>
      </c>
    </row>
    <row r="233" spans="13:15" ht="12.75" customHeight="1">
      <c r="M233" s="42" t="s">
        <v>706</v>
      </c>
      <c r="N233" s="42" t="s">
        <v>707</v>
      </c>
      <c r="O233" s="42">
        <v>0.05</v>
      </c>
    </row>
    <row r="234" spans="13:15" ht="12.75" customHeight="1">
      <c r="M234" s="42" t="s">
        <v>708</v>
      </c>
      <c r="N234" s="42" t="s">
        <v>709</v>
      </c>
      <c r="O234" s="42">
        <v>0.5</v>
      </c>
    </row>
    <row r="235" spans="13:15" ht="12.75" customHeight="1">
      <c r="M235" s="42" t="s">
        <v>710</v>
      </c>
      <c r="N235" s="42" t="s">
        <v>711</v>
      </c>
      <c r="O235" s="42">
        <v>10</v>
      </c>
    </row>
    <row r="236" spans="13:15" ht="12.75" customHeight="1">
      <c r="M236" s="42" t="s">
        <v>712</v>
      </c>
      <c r="N236" s="42" t="s">
        <v>713</v>
      </c>
      <c r="O236" s="42">
        <v>0.1</v>
      </c>
    </row>
    <row r="237" spans="13:15" ht="12.75" customHeight="1">
      <c r="M237" s="42" t="s">
        <v>714</v>
      </c>
      <c r="N237" s="42" t="s">
        <v>715</v>
      </c>
      <c r="O237" s="42">
        <v>100</v>
      </c>
    </row>
    <row r="238" spans="13:15" ht="12.75" customHeight="1">
      <c r="M238" s="42" t="s">
        <v>237</v>
      </c>
      <c r="N238" s="42" t="s">
        <v>238</v>
      </c>
      <c r="O238" s="42">
        <v>1</v>
      </c>
    </row>
    <row r="239" spans="13:15" ht="12.75" customHeight="1">
      <c r="M239" s="42" t="s">
        <v>101</v>
      </c>
      <c r="N239" s="42" t="s">
        <v>102</v>
      </c>
      <c r="O239" s="42">
        <v>5</v>
      </c>
    </row>
    <row r="240" spans="13:15" ht="12.75" customHeight="1">
      <c r="M240" s="42" t="s">
        <v>716</v>
      </c>
      <c r="N240" s="42" t="s">
        <v>106</v>
      </c>
      <c r="O240" s="42">
        <v>2</v>
      </c>
    </row>
    <row r="241" spans="13:15" ht="12.75" customHeight="1">
      <c r="M241" s="42" t="s">
        <v>717</v>
      </c>
      <c r="N241" s="42" t="s">
        <v>718</v>
      </c>
      <c r="O241" s="42">
        <v>10</v>
      </c>
    </row>
    <row r="242" spans="13:15" ht="12.75" customHeight="1">
      <c r="M242" s="42" t="s">
        <v>719</v>
      </c>
      <c r="N242" s="42" t="s">
        <v>226</v>
      </c>
      <c r="O242" s="42">
        <v>1</v>
      </c>
    </row>
    <row r="243" spans="13:15" ht="12.75" customHeight="1">
      <c r="M243" s="42" t="s">
        <v>720</v>
      </c>
      <c r="N243" s="42" t="s">
        <v>721</v>
      </c>
      <c r="O243" s="42">
        <v>0.1</v>
      </c>
    </row>
    <row r="244" spans="13:15" ht="12.75" customHeight="1">
      <c r="M244" s="42" t="s">
        <v>722</v>
      </c>
      <c r="N244" s="42" t="s">
        <v>723</v>
      </c>
      <c r="O244" s="42">
        <v>2</v>
      </c>
    </row>
    <row r="245" spans="13:15" ht="12.75" customHeight="1">
      <c r="M245" s="42" t="s">
        <v>724</v>
      </c>
      <c r="N245" s="42" t="s">
        <v>160</v>
      </c>
      <c r="O245" s="42">
        <v>200</v>
      </c>
    </row>
    <row r="246" spans="13:15" ht="12.75" customHeight="1">
      <c r="M246" s="42" t="s">
        <v>725</v>
      </c>
      <c r="N246" s="42" t="s">
        <v>726</v>
      </c>
      <c r="O246" s="42">
        <v>5</v>
      </c>
    </row>
    <row r="247" spans="13:15" ht="12.75" customHeight="1">
      <c r="M247" s="42" t="s">
        <v>197</v>
      </c>
      <c r="N247" s="42" t="s">
        <v>198</v>
      </c>
      <c r="O247" s="42">
        <v>100</v>
      </c>
    </row>
    <row r="248" spans="13:15" ht="12.75" customHeight="1">
      <c r="M248" s="42" t="s">
        <v>727</v>
      </c>
      <c r="N248" s="42">
        <v>123639</v>
      </c>
      <c r="O248" s="42">
        <v>0.01</v>
      </c>
    </row>
    <row r="249" spans="13:15" ht="12.75" customHeight="1">
      <c r="M249" s="42" t="s">
        <v>728</v>
      </c>
      <c r="N249" s="42" t="s">
        <v>164</v>
      </c>
      <c r="O249" s="42">
        <v>25</v>
      </c>
    </row>
    <row r="250" spans="13:15" ht="12.75" customHeight="1">
      <c r="M250" s="42" t="s">
        <v>729</v>
      </c>
      <c r="N250" s="42" t="s">
        <v>730</v>
      </c>
      <c r="O250" s="42">
        <v>5</v>
      </c>
    </row>
    <row r="251" spans="13:15" ht="12.75" customHeight="1">
      <c r="M251" s="42" t="s">
        <v>731</v>
      </c>
      <c r="N251" s="42" t="s">
        <v>732</v>
      </c>
      <c r="O251" s="42">
        <v>0.2</v>
      </c>
    </row>
    <row r="252" spans="13:15" ht="12.75" customHeight="1">
      <c r="M252" s="42" t="s">
        <v>733</v>
      </c>
      <c r="N252" s="42" t="s">
        <v>148</v>
      </c>
      <c r="O252" s="42">
        <v>10</v>
      </c>
    </row>
    <row r="253" spans="13:15" ht="12.75" customHeight="1">
      <c r="M253" s="42" t="s">
        <v>734</v>
      </c>
      <c r="N253" s="42" t="s">
        <v>735</v>
      </c>
      <c r="O253" s="42">
        <v>5</v>
      </c>
    </row>
    <row r="254" spans="13:15" ht="12.75" customHeight="1">
      <c r="M254" s="42" t="s">
        <v>736</v>
      </c>
      <c r="N254" s="42" t="s">
        <v>737</v>
      </c>
      <c r="O254" s="42">
        <v>0.05</v>
      </c>
    </row>
    <row r="255" spans="13:15" ht="12.75" customHeight="1">
      <c r="M255" s="42" t="s">
        <v>738</v>
      </c>
      <c r="N255" s="42" t="s">
        <v>739</v>
      </c>
      <c r="O255" s="42">
        <v>5</v>
      </c>
    </row>
    <row r="256" spans="13:15" ht="12.75" customHeight="1">
      <c r="M256" s="42" t="s">
        <v>740</v>
      </c>
      <c r="N256" s="42" t="s">
        <v>741</v>
      </c>
      <c r="O256" s="42">
        <v>5.0000000000000001E-3</v>
      </c>
    </row>
    <row r="257" spans="13:15" ht="12.75" customHeight="1">
      <c r="M257" s="42" t="s">
        <v>742</v>
      </c>
      <c r="N257" s="42" t="s">
        <v>743</v>
      </c>
      <c r="O257" s="42">
        <v>0.5</v>
      </c>
    </row>
    <row r="258" spans="13:15" ht="12.75" customHeight="1">
      <c r="M258" s="42" t="s">
        <v>744</v>
      </c>
      <c r="N258" s="42" t="s">
        <v>745</v>
      </c>
      <c r="O258" s="42">
        <v>0.5</v>
      </c>
    </row>
    <row r="259" spans="13:15" ht="12.75" customHeight="1">
      <c r="M259" s="42" t="s">
        <v>746</v>
      </c>
      <c r="N259" s="42" t="s">
        <v>70</v>
      </c>
      <c r="O259" s="42">
        <v>5</v>
      </c>
    </row>
    <row r="260" spans="13:15" ht="12.75" customHeight="1">
      <c r="M260" s="42" t="s">
        <v>747</v>
      </c>
      <c r="N260" s="42" t="s">
        <v>748</v>
      </c>
      <c r="O260" s="42">
        <v>0.01</v>
      </c>
    </row>
    <row r="261" spans="13:15" ht="12.75" customHeight="1">
      <c r="M261" s="42" t="s">
        <v>749</v>
      </c>
      <c r="O261" s="42">
        <v>1</v>
      </c>
    </row>
    <row r="262" spans="13:15" ht="12.75" customHeight="1">
      <c r="M262" s="42" t="s">
        <v>750</v>
      </c>
      <c r="N262" s="42" t="s">
        <v>751</v>
      </c>
      <c r="O262" s="42">
        <v>5</v>
      </c>
    </row>
    <row r="263" spans="13:15" ht="12.75" customHeight="1">
      <c r="M263" s="42" t="s">
        <v>752</v>
      </c>
      <c r="N263" s="42" t="s">
        <v>753</v>
      </c>
      <c r="O263" s="42">
        <v>0.1</v>
      </c>
    </row>
    <row r="264" spans="13:15" ht="12.75" customHeight="1">
      <c r="M264" s="42" t="s">
        <v>754</v>
      </c>
      <c r="N264" s="42" t="s">
        <v>755</v>
      </c>
      <c r="O264" s="42">
        <v>10</v>
      </c>
    </row>
    <row r="265" spans="13:15" ht="12.75" customHeight="1">
      <c r="M265" s="42" t="s">
        <v>756</v>
      </c>
      <c r="N265" s="42" t="s">
        <v>757</v>
      </c>
      <c r="O265" s="42">
        <v>0.15</v>
      </c>
    </row>
    <row r="266" spans="13:15" ht="12.75" customHeight="1">
      <c r="M266" s="42" t="s">
        <v>758</v>
      </c>
      <c r="N266" s="42" t="s">
        <v>759</v>
      </c>
      <c r="O266" s="42">
        <v>0.2</v>
      </c>
    </row>
    <row r="267" spans="13:15" ht="12.75" customHeight="1">
      <c r="M267" s="42" t="s">
        <v>760</v>
      </c>
      <c r="N267" s="42" t="s">
        <v>761</v>
      </c>
      <c r="O267" s="42">
        <v>1</v>
      </c>
    </row>
    <row r="268" spans="13:15" ht="12.75" customHeight="1">
      <c r="M268" s="42" t="s">
        <v>762</v>
      </c>
      <c r="N268" s="42" t="s">
        <v>763</v>
      </c>
      <c r="O268" s="42">
        <v>0.2</v>
      </c>
    </row>
    <row r="269" spans="13:15" ht="12.75" customHeight="1">
      <c r="M269" s="42" t="s">
        <v>231</v>
      </c>
      <c r="N269" s="42" t="s">
        <v>232</v>
      </c>
      <c r="O269" s="42">
        <v>20</v>
      </c>
    </row>
    <row r="270" spans="13:15" ht="12.75" customHeight="1">
      <c r="M270" s="42" t="s">
        <v>764</v>
      </c>
      <c r="N270" s="42" t="s">
        <v>765</v>
      </c>
      <c r="O270" s="42">
        <v>0.1</v>
      </c>
    </row>
    <row r="271" spans="13:15" ht="12.75" customHeight="1">
      <c r="M271" s="42" t="s">
        <v>766</v>
      </c>
      <c r="N271" s="42" t="s">
        <v>767</v>
      </c>
      <c r="O271" s="42">
        <v>20</v>
      </c>
    </row>
    <row r="272" spans="13:15" ht="12.75" customHeight="1">
      <c r="M272" s="42" t="s">
        <v>768</v>
      </c>
      <c r="N272" s="42" t="s">
        <v>769</v>
      </c>
      <c r="O272" s="42">
        <v>10</v>
      </c>
    </row>
    <row r="273" spans="13:15" ht="12.75" customHeight="1">
      <c r="M273" s="42" t="s">
        <v>770</v>
      </c>
      <c r="N273" s="42" t="s">
        <v>771</v>
      </c>
      <c r="O273" s="42">
        <v>50</v>
      </c>
    </row>
    <row r="274" spans="13:15" ht="12.75" customHeight="1">
      <c r="M274" s="42" t="s">
        <v>772</v>
      </c>
      <c r="N274" s="42" t="s">
        <v>773</v>
      </c>
      <c r="O274" s="42">
        <v>50</v>
      </c>
    </row>
    <row r="275" spans="13:15" ht="12.75" customHeight="1">
      <c r="M275" s="42" t="s">
        <v>774</v>
      </c>
      <c r="N275" s="42" t="s">
        <v>775</v>
      </c>
      <c r="O275" s="42">
        <v>0.5</v>
      </c>
    </row>
    <row r="276" spans="13:15" ht="12.75" customHeight="1">
      <c r="M276" s="42" t="s">
        <v>776</v>
      </c>
      <c r="N276" s="42" t="s">
        <v>777</v>
      </c>
      <c r="O276" s="42">
        <v>2</v>
      </c>
    </row>
    <row r="277" spans="13:15" ht="12.75" customHeight="1">
      <c r="M277" s="42" t="s">
        <v>778</v>
      </c>
      <c r="N277" s="42" t="s">
        <v>779</v>
      </c>
      <c r="O277" s="42">
        <v>0.05</v>
      </c>
    </row>
    <row r="278" spans="13:15" ht="12.75" customHeight="1">
      <c r="M278" s="42" t="s">
        <v>780</v>
      </c>
      <c r="N278" s="42" t="s">
        <v>781</v>
      </c>
      <c r="O278" s="42">
        <v>10</v>
      </c>
    </row>
    <row r="279" spans="13:15" ht="12.75" customHeight="1">
      <c r="M279" s="42" t="s">
        <v>782</v>
      </c>
      <c r="N279" s="42" t="s">
        <v>783</v>
      </c>
      <c r="O279" s="42">
        <v>10</v>
      </c>
    </row>
    <row r="280" spans="13:15" ht="12.75" customHeight="1">
      <c r="M280" s="42" t="s">
        <v>784</v>
      </c>
      <c r="N280" s="42" t="s">
        <v>785</v>
      </c>
      <c r="O280" s="42">
        <v>0.5</v>
      </c>
    </row>
    <row r="281" spans="13:15" ht="12.75" customHeight="1">
      <c r="M281" s="42" t="s">
        <v>786</v>
      </c>
      <c r="N281" s="42" t="s">
        <v>787</v>
      </c>
      <c r="O281" s="42">
        <v>0.1</v>
      </c>
    </row>
    <row r="282" spans="13:15" ht="12.75" customHeight="1">
      <c r="M282" s="42" t="s">
        <v>788</v>
      </c>
      <c r="N282" s="42" t="s">
        <v>789</v>
      </c>
      <c r="O282" s="42">
        <v>0.1</v>
      </c>
    </row>
    <row r="283" spans="13:15" ht="12.75" customHeight="1">
      <c r="M283" s="42" t="s">
        <v>790</v>
      </c>
      <c r="N283" s="42" t="s">
        <v>791</v>
      </c>
      <c r="O283" s="42">
        <v>90</v>
      </c>
    </row>
    <row r="284" spans="13:15" ht="12.75" customHeight="1">
      <c r="M284" s="42" t="s">
        <v>792</v>
      </c>
      <c r="N284" s="42" t="s">
        <v>793</v>
      </c>
      <c r="O284" s="42">
        <v>0.1</v>
      </c>
    </row>
    <row r="285" spans="13:15" ht="12.75" customHeight="1">
      <c r="M285" s="42" t="s">
        <v>794</v>
      </c>
      <c r="N285" s="42" t="s">
        <v>795</v>
      </c>
      <c r="O285" s="42">
        <v>50</v>
      </c>
    </row>
    <row r="286" spans="13:15" ht="12.75" customHeight="1">
      <c r="M286" s="42" t="s">
        <v>796</v>
      </c>
      <c r="N286" s="42" t="s">
        <v>797</v>
      </c>
      <c r="O286" s="42">
        <v>0.1</v>
      </c>
    </row>
    <row r="287" spans="13:15" ht="12.75" customHeight="1">
      <c r="M287" s="42" t="s">
        <v>798</v>
      </c>
      <c r="N287" s="42" t="s">
        <v>799</v>
      </c>
      <c r="O287" s="42">
        <v>0.1</v>
      </c>
    </row>
    <row r="288" spans="13:15" ht="12.75" customHeight="1">
      <c r="M288" s="42" t="s">
        <v>800</v>
      </c>
      <c r="N288" s="42" t="s">
        <v>801</v>
      </c>
    </row>
    <row r="289" spans="13:15" ht="12.75" customHeight="1">
      <c r="M289" s="42" t="s">
        <v>802</v>
      </c>
      <c r="N289" s="42" t="s">
        <v>20</v>
      </c>
    </row>
    <row r="290" spans="13:15" ht="12.75" customHeight="1">
      <c r="M290" s="42" t="s">
        <v>803</v>
      </c>
      <c r="N290" s="42" t="s">
        <v>158</v>
      </c>
      <c r="O290" s="42">
        <v>3</v>
      </c>
    </row>
    <row r="291" spans="13:15" ht="12.75" customHeight="1">
      <c r="M291" s="42" t="s">
        <v>804</v>
      </c>
      <c r="N291" s="42" t="s">
        <v>805</v>
      </c>
      <c r="O291" s="42">
        <v>0.05</v>
      </c>
    </row>
    <row r="292" spans="13:15" ht="12.75" customHeight="1">
      <c r="M292" s="42" t="s">
        <v>806</v>
      </c>
      <c r="N292" s="42" t="s">
        <v>168</v>
      </c>
      <c r="O292" s="42">
        <v>5</v>
      </c>
    </row>
    <row r="293" spans="13:15" ht="12.75" customHeight="1">
      <c r="M293" s="42" t="s">
        <v>807</v>
      </c>
      <c r="N293" s="42" t="s">
        <v>808</v>
      </c>
      <c r="O293" s="42">
        <v>5</v>
      </c>
    </row>
    <row r="294" spans="13:15" ht="12.75" customHeight="1">
      <c r="M294" s="42" t="s">
        <v>809</v>
      </c>
      <c r="N294" s="42" t="s">
        <v>46</v>
      </c>
      <c r="O294" s="42">
        <v>400</v>
      </c>
    </row>
    <row r="295" spans="13:15" ht="12.75" customHeight="1">
      <c r="M295" s="42" t="s">
        <v>810</v>
      </c>
      <c r="N295" s="42" t="s">
        <v>811</v>
      </c>
      <c r="O295" s="42">
        <v>5</v>
      </c>
    </row>
    <row r="296" spans="13:15" ht="12.75" customHeight="1">
      <c r="M296" s="42" t="s">
        <v>812</v>
      </c>
      <c r="N296" s="42" t="s">
        <v>813</v>
      </c>
      <c r="O296" s="42">
        <v>5</v>
      </c>
    </row>
    <row r="297" spans="13:15" ht="12.75" customHeight="1">
      <c r="M297" s="42" t="s">
        <v>814</v>
      </c>
      <c r="N297" s="42" t="s">
        <v>210</v>
      </c>
      <c r="O297" s="42">
        <v>10</v>
      </c>
    </row>
    <row r="298" spans="13:15" ht="12.75" customHeight="1">
      <c r="M298" s="42" t="s">
        <v>39</v>
      </c>
      <c r="N298" s="42" t="s">
        <v>40</v>
      </c>
      <c r="O298" s="42">
        <v>20</v>
      </c>
    </row>
    <row r="299" spans="13:15" ht="12.75" customHeight="1">
      <c r="M299" s="42" t="s">
        <v>815</v>
      </c>
      <c r="N299" s="42" t="s">
        <v>816</v>
      </c>
      <c r="O299" s="42">
        <v>5</v>
      </c>
    </row>
    <row r="300" spans="13:15" ht="12.75" customHeight="1">
      <c r="M300" s="42" t="s">
        <v>817</v>
      </c>
      <c r="N300" s="42" t="s">
        <v>818</v>
      </c>
      <c r="O300" s="42">
        <v>25</v>
      </c>
    </row>
    <row r="301" spans="13:15" ht="12.75" customHeight="1">
      <c r="M301" s="42" t="s">
        <v>819</v>
      </c>
      <c r="N301" s="42" t="s">
        <v>162</v>
      </c>
      <c r="O301" s="42">
        <v>50</v>
      </c>
    </row>
    <row r="302" spans="13:15" ht="12.75" customHeight="1">
      <c r="M302" s="42" t="s">
        <v>820</v>
      </c>
      <c r="N302" s="42" t="s">
        <v>821</v>
      </c>
      <c r="O302" s="42">
        <v>100</v>
      </c>
    </row>
    <row r="303" spans="13:15" ht="12.75" customHeight="1">
      <c r="M303" s="42" t="s">
        <v>822</v>
      </c>
      <c r="N303" s="42" t="s">
        <v>823</v>
      </c>
      <c r="O303" s="42">
        <v>200</v>
      </c>
    </row>
    <row r="304" spans="13:15" ht="12.75" customHeight="1">
      <c r="M304" s="42" t="s">
        <v>824</v>
      </c>
      <c r="N304" s="42" t="s">
        <v>825</v>
      </c>
    </row>
    <row r="305" spans="13:15" ht="12.75" customHeight="1">
      <c r="M305" s="42" t="s">
        <v>826</v>
      </c>
      <c r="N305" s="42" t="s">
        <v>104</v>
      </c>
      <c r="O305" s="42">
        <v>10</v>
      </c>
    </row>
    <row r="306" spans="13:15" ht="12.75" customHeight="1">
      <c r="M306" s="42" t="s">
        <v>827</v>
      </c>
      <c r="N306" s="42" t="s">
        <v>828</v>
      </c>
    </row>
    <row r="307" spans="13:15" ht="12.75" customHeight="1">
      <c r="M307" s="42" t="s">
        <v>829</v>
      </c>
      <c r="N307" s="42" t="s">
        <v>830</v>
      </c>
      <c r="O307" s="42">
        <v>10</v>
      </c>
    </row>
    <row r="308" spans="13:15" ht="12.75" customHeight="1">
      <c r="M308" s="42" t="s">
        <v>831</v>
      </c>
      <c r="N308" s="42" t="s">
        <v>80</v>
      </c>
      <c r="O308" s="42">
        <v>25</v>
      </c>
    </row>
    <row r="309" spans="13:15" ht="12.75" customHeight="1">
      <c r="M309" s="42" t="s">
        <v>832</v>
      </c>
      <c r="N309" s="42" t="s">
        <v>833</v>
      </c>
      <c r="O309" s="42">
        <v>0.5</v>
      </c>
    </row>
    <row r="310" spans="13:15" ht="12.75" customHeight="1">
      <c r="M310" s="42" t="s">
        <v>834</v>
      </c>
      <c r="N310" s="42" t="s">
        <v>835</v>
      </c>
      <c r="O310" s="42">
        <v>0.02</v>
      </c>
    </row>
    <row r="311" spans="13:15" ht="12.75" customHeight="1">
      <c r="M311" s="42" t="s">
        <v>836</v>
      </c>
      <c r="N311" s="42" t="s">
        <v>837</v>
      </c>
      <c r="O311" s="42">
        <v>1</v>
      </c>
    </row>
    <row r="312" spans="13:15" ht="12.75" customHeight="1">
      <c r="M312" s="42" t="s">
        <v>838</v>
      </c>
      <c r="N312" s="42" t="s">
        <v>839</v>
      </c>
      <c r="O312" s="42">
        <v>0.05</v>
      </c>
    </row>
    <row r="313" spans="13:15" ht="12.75" customHeight="1">
      <c r="M313" s="42" t="s">
        <v>840</v>
      </c>
      <c r="N313" s="42" t="s">
        <v>74</v>
      </c>
      <c r="O313" s="42">
        <v>400</v>
      </c>
    </row>
    <row r="314" spans="13:15" ht="12.75" customHeight="1">
      <c r="M314" s="42" t="s">
        <v>841</v>
      </c>
      <c r="N314" s="42" t="s">
        <v>842</v>
      </c>
    </row>
    <row r="315" spans="13:15" ht="12.75" customHeight="1">
      <c r="M315" s="42" t="s">
        <v>843</v>
      </c>
      <c r="N315" s="42" t="s">
        <v>844</v>
      </c>
      <c r="O315" s="42">
        <v>5</v>
      </c>
    </row>
    <row r="316" spans="13:15" ht="12.75" customHeight="1">
      <c r="M316" s="42" t="s">
        <v>845</v>
      </c>
      <c r="N316" s="42" t="s">
        <v>846</v>
      </c>
      <c r="O316" s="42">
        <v>5</v>
      </c>
    </row>
    <row r="317" spans="13:15" ht="12.75" customHeight="1">
      <c r="M317" s="42" t="s">
        <v>847</v>
      </c>
      <c r="N317" s="42" t="s">
        <v>848</v>
      </c>
      <c r="O317" s="42">
        <v>2</v>
      </c>
    </row>
    <row r="318" spans="13:15" ht="12.75" customHeight="1">
      <c r="M318" s="42" t="s">
        <v>849</v>
      </c>
      <c r="N318" s="42" t="s">
        <v>850</v>
      </c>
      <c r="O318" s="42">
        <v>0.02</v>
      </c>
    </row>
    <row r="319" spans="13:15" ht="12.75" customHeight="1">
      <c r="M319" s="42" t="s">
        <v>851</v>
      </c>
      <c r="N319" s="42" t="s">
        <v>852</v>
      </c>
      <c r="O319" s="42">
        <v>0.5</v>
      </c>
    </row>
    <row r="320" spans="13:15" ht="12.75" customHeight="1">
      <c r="M320" s="42" t="s">
        <v>853</v>
      </c>
      <c r="N320" s="42" t="s">
        <v>854</v>
      </c>
      <c r="O320" s="42">
        <v>5</v>
      </c>
    </row>
    <row r="321" spans="13:15" ht="12.75" customHeight="1">
      <c r="M321" s="42" t="s">
        <v>855</v>
      </c>
      <c r="N321" s="42" t="s">
        <v>856</v>
      </c>
      <c r="O321" s="42">
        <v>10</v>
      </c>
    </row>
    <row r="322" spans="13:15" ht="12.75" customHeight="1">
      <c r="M322" s="42" t="s">
        <v>857</v>
      </c>
      <c r="N322" s="42" t="s">
        <v>858</v>
      </c>
      <c r="O322" s="42">
        <v>0.05</v>
      </c>
    </row>
    <row r="323" spans="13:15" ht="12.75" customHeight="1">
      <c r="M323" s="42" t="s">
        <v>859</v>
      </c>
      <c r="N323" s="42">
        <v>1953692</v>
      </c>
      <c r="O323" s="42">
        <v>1</v>
      </c>
    </row>
    <row r="324" spans="13:15" ht="12.75" customHeight="1">
      <c r="M324" s="42" t="s">
        <v>860</v>
      </c>
      <c r="N324" s="42" t="s">
        <v>861</v>
      </c>
      <c r="O324" s="42">
        <v>0.01</v>
      </c>
    </row>
    <row r="325" spans="13:15" ht="12.75" customHeight="1">
      <c r="M325" s="42" t="s">
        <v>862</v>
      </c>
      <c r="N325" s="42" t="s">
        <v>863</v>
      </c>
      <c r="O325" s="42">
        <v>1E-4</v>
      </c>
    </row>
    <row r="326" spans="13:15" ht="12.75" customHeight="1">
      <c r="M326" s="42" t="s">
        <v>864</v>
      </c>
      <c r="O326" s="42">
        <v>1E-3</v>
      </c>
    </row>
    <row r="327" spans="13:15" ht="12.75" customHeight="1">
      <c r="M327" s="42" t="s">
        <v>865</v>
      </c>
      <c r="N327" s="42" t="s">
        <v>866</v>
      </c>
      <c r="O327" s="42">
        <v>0.05</v>
      </c>
    </row>
    <row r="328" spans="13:15" ht="12.75" customHeight="1">
      <c r="M328" s="42" t="s">
        <v>867</v>
      </c>
      <c r="N328" s="42" t="s">
        <v>868</v>
      </c>
      <c r="O328" s="42">
        <v>5</v>
      </c>
    </row>
    <row r="329" spans="13:15" ht="12.75" customHeight="1">
      <c r="M329" s="42" t="s">
        <v>869</v>
      </c>
      <c r="N329" s="42" t="s">
        <v>870</v>
      </c>
      <c r="O329" s="42">
        <v>1</v>
      </c>
    </row>
    <row r="330" spans="13:15" ht="12.75" customHeight="1">
      <c r="M330" s="42" t="s">
        <v>871</v>
      </c>
      <c r="N330" s="42" t="s">
        <v>872</v>
      </c>
      <c r="O330" s="42">
        <v>0.5</v>
      </c>
    </row>
    <row r="331" spans="13:15" ht="12.75" customHeight="1">
      <c r="M331" s="42" t="s">
        <v>873</v>
      </c>
      <c r="N331" s="42" t="s">
        <v>874</v>
      </c>
      <c r="O331" s="42">
        <v>1</v>
      </c>
    </row>
    <row r="332" spans="13:15" ht="12.75" customHeight="1">
      <c r="M332" s="42" t="s">
        <v>875</v>
      </c>
      <c r="N332" s="42" t="s">
        <v>876</v>
      </c>
      <c r="O332" s="42">
        <v>0.1</v>
      </c>
    </row>
    <row r="333" spans="13:15" ht="12.75" customHeight="1">
      <c r="M333" s="42" t="s">
        <v>47</v>
      </c>
      <c r="N333" s="42" t="s">
        <v>48</v>
      </c>
      <c r="O333" s="42">
        <v>5</v>
      </c>
    </row>
    <row r="334" spans="13:15" ht="12.75" customHeight="1">
      <c r="M334" s="42" t="s">
        <v>85</v>
      </c>
      <c r="N334" s="42" t="s">
        <v>86</v>
      </c>
      <c r="O334" s="42">
        <v>0.2</v>
      </c>
    </row>
    <row r="335" spans="13:15" ht="12.75" customHeight="1">
      <c r="M335" s="42" t="s">
        <v>877</v>
      </c>
      <c r="N335" s="42" t="s">
        <v>180</v>
      </c>
      <c r="O335" s="42">
        <v>0.2</v>
      </c>
    </row>
    <row r="336" spans="13:15" ht="12.75" customHeight="1">
      <c r="M336" s="42" t="s">
        <v>878</v>
      </c>
      <c r="N336" s="42" t="s">
        <v>879</v>
      </c>
      <c r="O336" s="42">
        <v>2.9999999999999997E-4</v>
      </c>
    </row>
    <row r="337" spans="13:15" ht="12.75" customHeight="1">
      <c r="M337" s="42" t="s">
        <v>880</v>
      </c>
      <c r="N337" s="42" t="s">
        <v>881</v>
      </c>
      <c r="O337" s="42">
        <v>300</v>
      </c>
    </row>
    <row r="338" spans="13:15" ht="12.75" customHeight="1">
      <c r="M338" s="42" t="s">
        <v>882</v>
      </c>
      <c r="N338" s="42" t="s">
        <v>883</v>
      </c>
      <c r="O338" s="42">
        <v>0.2</v>
      </c>
    </row>
    <row r="339" spans="13:15" ht="12.75" customHeight="1">
      <c r="M339" s="42" t="s">
        <v>884</v>
      </c>
      <c r="N339" s="42" t="s">
        <v>885</v>
      </c>
    </row>
    <row r="340" spans="13:15" ht="12.75" customHeight="1">
      <c r="M340" s="42" t="s">
        <v>886</v>
      </c>
      <c r="N340" s="42" t="s">
        <v>887</v>
      </c>
      <c r="O340" s="42">
        <v>2</v>
      </c>
    </row>
    <row r="341" spans="13:15" ht="12.75" customHeight="1">
      <c r="M341" s="42" t="s">
        <v>888</v>
      </c>
      <c r="N341" s="42" t="s">
        <v>889</v>
      </c>
      <c r="O341" s="42">
        <v>0.01</v>
      </c>
    </row>
    <row r="342" spans="13:15" ht="12.75" customHeight="1">
      <c r="M342" s="42" t="s">
        <v>890</v>
      </c>
      <c r="N342" s="42" t="s">
        <v>891</v>
      </c>
      <c r="O342" s="42">
        <v>0.1</v>
      </c>
    </row>
    <row r="343" spans="13:15" ht="12.75" customHeight="1">
      <c r="M343" s="42" t="s">
        <v>892</v>
      </c>
      <c r="N343" s="42" t="s">
        <v>893</v>
      </c>
      <c r="O343" s="42">
        <v>5</v>
      </c>
    </row>
    <row r="344" spans="13:15" ht="12.75" customHeight="1">
      <c r="M344" s="42" t="s">
        <v>894</v>
      </c>
      <c r="O344" s="42">
        <v>4</v>
      </c>
    </row>
    <row r="345" spans="13:15" ht="12.75" customHeight="1">
      <c r="M345" s="42" t="s">
        <v>895</v>
      </c>
      <c r="N345" s="42" t="s">
        <v>896</v>
      </c>
      <c r="O345" s="42">
        <v>2</v>
      </c>
    </row>
    <row r="346" spans="13:15" ht="12.75" customHeight="1">
      <c r="M346" s="42" t="s">
        <v>897</v>
      </c>
      <c r="N346" s="42" t="s">
        <v>898</v>
      </c>
      <c r="O346" s="42">
        <v>0.5</v>
      </c>
    </row>
    <row r="347" spans="13:15" ht="12.75" customHeight="1">
      <c r="M347" s="42" t="s">
        <v>899</v>
      </c>
      <c r="N347" s="42" t="s">
        <v>900</v>
      </c>
      <c r="O347" s="42">
        <v>5</v>
      </c>
    </row>
    <row r="348" spans="13:15" ht="12.75" customHeight="1">
      <c r="M348" s="42" t="s">
        <v>901</v>
      </c>
      <c r="N348" s="42" t="s">
        <v>601</v>
      </c>
      <c r="O348" s="42">
        <v>5.0000000000000001E-3</v>
      </c>
    </row>
    <row r="349" spans="13:15" ht="12.75" customHeight="1">
      <c r="M349" s="42" t="s">
        <v>902</v>
      </c>
      <c r="N349" s="42" t="s">
        <v>903</v>
      </c>
    </row>
    <row r="350" spans="13:15" ht="12.75" customHeight="1">
      <c r="M350" s="42" t="s">
        <v>904</v>
      </c>
      <c r="N350" s="42" t="s">
        <v>905</v>
      </c>
      <c r="O350" s="42">
        <v>0.05</v>
      </c>
    </row>
    <row r="351" spans="13:15" ht="12.75" customHeight="1">
      <c r="M351" s="42" t="s">
        <v>906</v>
      </c>
      <c r="N351" s="42" t="s">
        <v>907</v>
      </c>
    </row>
    <row r="352" spans="13:15" ht="12.75" customHeight="1">
      <c r="M352" s="42" t="s">
        <v>908</v>
      </c>
      <c r="N352" s="42" t="s">
        <v>909</v>
      </c>
      <c r="O352" s="42">
        <v>200</v>
      </c>
    </row>
    <row r="353" spans="13:15" ht="12.75" customHeight="1">
      <c r="M353" s="42" t="s">
        <v>910</v>
      </c>
      <c r="N353" s="42" t="s">
        <v>911</v>
      </c>
      <c r="O353" s="42">
        <v>2E-3</v>
      </c>
    </row>
    <row r="354" spans="13:15" ht="12.75" customHeight="1">
      <c r="M354" s="42" t="s">
        <v>912</v>
      </c>
      <c r="N354" s="42" t="s">
        <v>913</v>
      </c>
      <c r="O354" s="42">
        <v>0.02</v>
      </c>
    </row>
    <row r="355" spans="13:15" ht="12.75" customHeight="1">
      <c r="M355" s="42" t="s">
        <v>914</v>
      </c>
      <c r="N355" s="42" t="s">
        <v>915</v>
      </c>
      <c r="O355" s="42">
        <v>0.01</v>
      </c>
    </row>
    <row r="356" spans="13:15" ht="12.75" customHeight="1">
      <c r="M356" s="42" t="s">
        <v>916</v>
      </c>
      <c r="N356" s="42" t="s">
        <v>917</v>
      </c>
      <c r="O356" s="42">
        <v>1</v>
      </c>
    </row>
    <row r="357" spans="13:15" ht="12.75" customHeight="1">
      <c r="M357" s="42" t="s">
        <v>918</v>
      </c>
      <c r="N357" s="42" t="s">
        <v>919</v>
      </c>
      <c r="O357" s="42">
        <v>0.2</v>
      </c>
    </row>
    <row r="358" spans="13:15" ht="12.75" customHeight="1">
      <c r="M358" s="42" t="s">
        <v>920</v>
      </c>
      <c r="N358" s="42" t="s">
        <v>921</v>
      </c>
      <c r="O358" s="42">
        <v>0.1</v>
      </c>
    </row>
    <row r="359" spans="13:15" ht="12.75" customHeight="1">
      <c r="M359" s="42" t="s">
        <v>922</v>
      </c>
      <c r="N359" s="42" t="s">
        <v>923</v>
      </c>
      <c r="O359" s="42">
        <v>0.1</v>
      </c>
    </row>
    <row r="360" spans="13:15" ht="12.75" customHeight="1">
      <c r="M360" s="42" t="s">
        <v>924</v>
      </c>
      <c r="N360" s="42" t="s">
        <v>925</v>
      </c>
    </row>
    <row r="361" spans="13:15" ht="12.75" customHeight="1">
      <c r="M361" s="42" t="s">
        <v>926</v>
      </c>
      <c r="N361" s="42" t="s">
        <v>927</v>
      </c>
      <c r="O361" s="42">
        <v>5.0000000000000001E-3</v>
      </c>
    </row>
    <row r="362" spans="13:15" ht="12.75" customHeight="1">
      <c r="M362" s="42" t="s">
        <v>928</v>
      </c>
      <c r="N362" s="42" t="s">
        <v>929</v>
      </c>
      <c r="O362" s="42">
        <v>1</v>
      </c>
    </row>
    <row r="363" spans="13:15" ht="12.75" customHeight="1">
      <c r="M363" s="42" t="s">
        <v>930</v>
      </c>
      <c r="N363" s="42" t="s">
        <v>931</v>
      </c>
    </row>
    <row r="364" spans="13:15" ht="12.75" customHeight="1">
      <c r="M364" s="42" t="s">
        <v>932</v>
      </c>
    </row>
    <row r="365" spans="13:15" ht="12.75" customHeight="1">
      <c r="M365" s="42" t="s">
        <v>933</v>
      </c>
      <c r="O365" s="42">
        <v>100</v>
      </c>
    </row>
    <row r="366" spans="13:15" ht="12.75" customHeight="1">
      <c r="M366" s="42" t="s">
        <v>934</v>
      </c>
      <c r="O366" s="42">
        <v>200</v>
      </c>
    </row>
    <row r="367" spans="13:15" ht="12.75" customHeight="1">
      <c r="M367" s="42" t="s">
        <v>935</v>
      </c>
      <c r="N367" s="42" t="s">
        <v>936</v>
      </c>
    </row>
    <row r="368" spans="13:15" ht="12.75" customHeight="1">
      <c r="M368" s="42" t="s">
        <v>937</v>
      </c>
      <c r="N368" s="42" t="s">
        <v>28</v>
      </c>
      <c r="O368" s="42">
        <v>50</v>
      </c>
    </row>
    <row r="369" spans="13:15" ht="12.75" customHeight="1">
      <c r="M369" s="42" t="s">
        <v>938</v>
      </c>
      <c r="N369" s="42" t="s">
        <v>939</v>
      </c>
      <c r="O369" s="42">
        <v>0.5</v>
      </c>
    </row>
    <row r="370" spans="13:15" ht="12.75" customHeight="1">
      <c r="M370" s="42" t="s">
        <v>940</v>
      </c>
      <c r="N370" s="42">
        <v>1177269</v>
      </c>
      <c r="O370" s="42">
        <v>3</v>
      </c>
    </row>
    <row r="371" spans="13:15" ht="12.75" customHeight="1">
      <c r="M371" s="42" t="s">
        <v>941</v>
      </c>
      <c r="N371" s="42" t="s">
        <v>942</v>
      </c>
      <c r="O371" s="42">
        <v>50</v>
      </c>
    </row>
    <row r="372" spans="13:15" ht="12.75" customHeight="1">
      <c r="M372" s="42" t="s">
        <v>943</v>
      </c>
      <c r="N372" s="42" t="s">
        <v>110</v>
      </c>
      <c r="O372" s="42">
        <v>20</v>
      </c>
    </row>
    <row r="373" spans="13:15" ht="12.75" customHeight="1">
      <c r="M373" s="42" t="s">
        <v>944</v>
      </c>
      <c r="N373" s="42" t="s">
        <v>945</v>
      </c>
      <c r="O373" s="42">
        <v>25</v>
      </c>
    </row>
    <row r="374" spans="13:15" ht="12.75" customHeight="1">
      <c r="M374" s="42" t="s">
        <v>946</v>
      </c>
      <c r="N374" s="42" t="s">
        <v>947</v>
      </c>
      <c r="O374" s="42">
        <v>0.01</v>
      </c>
    </row>
    <row r="375" spans="13:15" ht="12.75" customHeight="1">
      <c r="M375" s="42" t="s">
        <v>948</v>
      </c>
    </row>
    <row r="376" spans="13:15" ht="12.75" customHeight="1">
      <c r="M376" s="42" t="s">
        <v>949</v>
      </c>
      <c r="N376" s="42" t="s">
        <v>950</v>
      </c>
    </row>
    <row r="377" spans="13:15" ht="12.75" customHeight="1">
      <c r="M377" s="42" t="s">
        <v>951</v>
      </c>
      <c r="N377" s="42" t="s">
        <v>952</v>
      </c>
      <c r="O377" s="42">
        <v>0.5</v>
      </c>
    </row>
    <row r="378" spans="13:15" ht="12.75" customHeight="1">
      <c r="M378" s="42" t="s">
        <v>953</v>
      </c>
      <c r="N378" s="42" t="s">
        <v>954</v>
      </c>
    </row>
    <row r="379" spans="13:15" ht="12.75" customHeight="1">
      <c r="M379" s="42" t="s">
        <v>955</v>
      </c>
      <c r="N379" s="42" t="s">
        <v>956</v>
      </c>
    </row>
    <row r="380" spans="13:15" ht="12.75" customHeight="1">
      <c r="M380" s="42" t="s">
        <v>957</v>
      </c>
    </row>
    <row r="381" spans="13:15" ht="12.75" customHeight="1">
      <c r="M381" s="42" t="s">
        <v>958</v>
      </c>
      <c r="N381" s="42" t="s">
        <v>959</v>
      </c>
    </row>
    <row r="382" spans="13:15" ht="12.75" customHeight="1">
      <c r="M382" s="42" t="s">
        <v>960</v>
      </c>
      <c r="N382" s="42" t="s">
        <v>961</v>
      </c>
      <c r="O382" s="42">
        <v>0.5</v>
      </c>
    </row>
    <row r="383" spans="13:15" ht="12.75" customHeight="1">
      <c r="M383" s="42" t="s">
        <v>962</v>
      </c>
      <c r="N383" s="42" t="s">
        <v>963</v>
      </c>
      <c r="O383" s="42">
        <v>1</v>
      </c>
    </row>
    <row r="384" spans="13:15" ht="12.75" customHeight="1">
      <c r="M384" s="42" t="s">
        <v>964</v>
      </c>
      <c r="N384" s="42">
        <v>2148909</v>
      </c>
      <c r="O384" s="42">
        <v>0.05</v>
      </c>
    </row>
    <row r="385" spans="13:15" ht="12.75" customHeight="1">
      <c r="M385" s="42" t="s">
        <v>965</v>
      </c>
      <c r="N385" s="42">
        <v>2148878</v>
      </c>
      <c r="O385" s="42">
        <v>1</v>
      </c>
    </row>
    <row r="386" spans="13:15" ht="12.75" customHeight="1">
      <c r="M386" s="42" t="s">
        <v>966</v>
      </c>
      <c r="N386" s="42" t="s">
        <v>967</v>
      </c>
      <c r="O386" s="42">
        <v>1</v>
      </c>
    </row>
    <row r="387" spans="13:15" ht="12.75" customHeight="1">
      <c r="M387" s="42" t="s">
        <v>968</v>
      </c>
      <c r="N387" s="42" t="s">
        <v>969</v>
      </c>
      <c r="O387" s="42">
        <v>0.5</v>
      </c>
    </row>
    <row r="388" spans="13:15" ht="12.75" customHeight="1">
      <c r="M388" s="42" t="s">
        <v>970</v>
      </c>
      <c r="N388" s="42" t="s">
        <v>971</v>
      </c>
      <c r="O388" s="42">
        <v>10</v>
      </c>
    </row>
    <row r="389" spans="13:15" ht="12.75" customHeight="1">
      <c r="M389" s="42" t="s">
        <v>972</v>
      </c>
      <c r="N389" s="42" t="s">
        <v>973</v>
      </c>
      <c r="O389" s="42">
        <v>5.0000000000000001E-3</v>
      </c>
    </row>
    <row r="390" spans="13:15" ht="12.75" customHeight="1">
      <c r="M390" s="42" t="s">
        <v>974</v>
      </c>
      <c r="N390" s="42" t="s">
        <v>975</v>
      </c>
      <c r="O390" s="42">
        <v>5</v>
      </c>
    </row>
    <row r="391" spans="13:15" ht="12.75" customHeight="1">
      <c r="M391" s="42" t="s">
        <v>976</v>
      </c>
      <c r="N391" s="42" t="s">
        <v>977</v>
      </c>
      <c r="O391" s="42">
        <v>0.1</v>
      </c>
    </row>
    <row r="392" spans="13:15" ht="12.75" customHeight="1">
      <c r="M392" s="42" t="s">
        <v>978</v>
      </c>
    </row>
    <row r="393" spans="13:15" ht="12.75" customHeight="1">
      <c r="M393" s="42" t="s">
        <v>979</v>
      </c>
      <c r="N393" s="42">
        <v>1166169</v>
      </c>
      <c r="O393" s="42">
        <v>1E-4</v>
      </c>
    </row>
    <row r="394" spans="13:15" ht="12.75" customHeight="1">
      <c r="M394" s="42" t="s">
        <v>980</v>
      </c>
    </row>
    <row r="395" spans="13:15" ht="12.75" customHeight="1">
      <c r="M395" s="42" t="s">
        <v>981</v>
      </c>
    </row>
    <row r="396" spans="13:15" ht="12.75" customHeight="1">
      <c r="M396" s="42" t="s">
        <v>982</v>
      </c>
      <c r="N396" s="42" t="s">
        <v>983</v>
      </c>
      <c r="O396" s="42">
        <v>1E-3</v>
      </c>
    </row>
    <row r="397" spans="13:15" ht="12.75" customHeight="1">
      <c r="M397" s="42" t="s">
        <v>984</v>
      </c>
      <c r="O397" s="42">
        <v>0.01</v>
      </c>
    </row>
    <row r="398" spans="13:15" ht="12.75" customHeight="1">
      <c r="M398" s="42" t="s">
        <v>985</v>
      </c>
      <c r="N398" s="42" t="s">
        <v>986</v>
      </c>
      <c r="O398" s="42">
        <v>1E-3</v>
      </c>
    </row>
    <row r="399" spans="13:15" ht="12.75" customHeight="1">
      <c r="M399" s="42" t="s">
        <v>987</v>
      </c>
      <c r="N399" s="42" t="s">
        <v>988</v>
      </c>
      <c r="O399" s="42">
        <v>5</v>
      </c>
    </row>
    <row r="400" spans="13:15" ht="12.75" customHeight="1">
      <c r="M400" s="42" t="s">
        <v>989</v>
      </c>
      <c r="N400" s="42" t="s">
        <v>990</v>
      </c>
      <c r="O400" s="42">
        <v>0.1</v>
      </c>
    </row>
    <row r="401" spans="13:15" ht="12.75" customHeight="1">
      <c r="M401" s="42" t="s">
        <v>991</v>
      </c>
      <c r="O401" s="42">
        <v>1</v>
      </c>
    </row>
    <row r="402" spans="13:15" ht="12.75" customHeight="1">
      <c r="M402" s="42" t="s">
        <v>992</v>
      </c>
      <c r="N402" s="42" t="s">
        <v>138</v>
      </c>
      <c r="O402" s="42">
        <v>100</v>
      </c>
    </row>
    <row r="403" spans="13:15" ht="12.75" customHeight="1">
      <c r="M403" s="42" t="s">
        <v>993</v>
      </c>
      <c r="N403" s="42" t="s">
        <v>142</v>
      </c>
      <c r="O403" s="42">
        <v>50</v>
      </c>
    </row>
    <row r="404" spans="13:15" ht="12.75" customHeight="1">
      <c r="M404" s="42" t="s">
        <v>994</v>
      </c>
      <c r="N404" s="42" t="s">
        <v>995</v>
      </c>
    </row>
    <row r="405" spans="13:15" ht="12.75" customHeight="1">
      <c r="M405" s="42" t="s">
        <v>996</v>
      </c>
      <c r="N405" s="42" t="s">
        <v>997</v>
      </c>
      <c r="O405" s="42">
        <v>50</v>
      </c>
    </row>
    <row r="406" spans="13:15" ht="12.75" customHeight="1">
      <c r="M406" s="42" t="s">
        <v>998</v>
      </c>
      <c r="N406" s="42" t="s">
        <v>999</v>
      </c>
      <c r="O406" s="42">
        <v>50</v>
      </c>
    </row>
    <row r="407" spans="13:15" ht="12.75" customHeight="1">
      <c r="M407" s="42" t="s">
        <v>1000</v>
      </c>
      <c r="N407" s="42" t="s">
        <v>1001</v>
      </c>
    </row>
    <row r="408" spans="13:15" ht="12.75" customHeight="1">
      <c r="M408" s="42" t="s">
        <v>1002</v>
      </c>
      <c r="N408" s="42" t="s">
        <v>1003</v>
      </c>
      <c r="O408" s="42">
        <v>5.0000000000000001E-3</v>
      </c>
    </row>
    <row r="409" spans="13:15" ht="12.75" customHeight="1">
      <c r="M409" s="42" t="s">
        <v>1004</v>
      </c>
      <c r="N409" s="42" t="s">
        <v>1005</v>
      </c>
      <c r="O409" s="42">
        <v>25</v>
      </c>
    </row>
    <row r="410" spans="13:15" ht="12.75" customHeight="1">
      <c r="M410" s="42" t="s">
        <v>1006</v>
      </c>
      <c r="N410" s="42" t="s">
        <v>1007</v>
      </c>
      <c r="O410" s="42">
        <v>2</v>
      </c>
    </row>
    <row r="411" spans="13:15" ht="12.75" customHeight="1">
      <c r="M411" s="42" t="s">
        <v>1008</v>
      </c>
      <c r="N411" s="42" t="s">
        <v>1009</v>
      </c>
      <c r="O411" s="42">
        <v>2</v>
      </c>
    </row>
    <row r="412" spans="13:15" ht="12.75" customHeight="1">
      <c r="M412" s="42" t="s">
        <v>1010</v>
      </c>
      <c r="N412" s="42" t="s">
        <v>206</v>
      </c>
      <c r="O412" s="42">
        <v>20</v>
      </c>
    </row>
    <row r="413" spans="13:15" ht="12.75" customHeight="1">
      <c r="M413" s="42" t="s">
        <v>1011</v>
      </c>
      <c r="N413" s="42" t="s">
        <v>1012</v>
      </c>
      <c r="O413" s="42">
        <v>50</v>
      </c>
    </row>
    <row r="414" spans="13:15" ht="12.75" customHeight="1">
      <c r="M414" s="42" t="s">
        <v>1013</v>
      </c>
      <c r="N414" s="42" t="s">
        <v>1014</v>
      </c>
      <c r="O414" s="42">
        <v>2</v>
      </c>
    </row>
    <row r="415" spans="13:15" ht="12.75" customHeight="1">
      <c r="M415" s="42" t="s">
        <v>1015</v>
      </c>
      <c r="N415" s="42" t="s">
        <v>1016</v>
      </c>
      <c r="O415" s="42">
        <v>200</v>
      </c>
    </row>
    <row r="416" spans="13:15" ht="12.75" customHeight="1">
      <c r="M416" s="42" t="s">
        <v>1017</v>
      </c>
    </row>
    <row r="417" spans="13:15" ht="12.75" customHeight="1">
      <c r="M417" s="42" t="s">
        <v>1018</v>
      </c>
      <c r="N417" s="42" t="s">
        <v>1019</v>
      </c>
    </row>
    <row r="418" spans="13:15" ht="12.75" customHeight="1">
      <c r="M418" s="42" t="s">
        <v>1020</v>
      </c>
    </row>
    <row r="419" spans="13:15" ht="12.75" customHeight="1">
      <c r="M419" s="42" t="s">
        <v>1021</v>
      </c>
      <c r="N419" s="42" t="s">
        <v>1022</v>
      </c>
      <c r="O419" s="42">
        <v>0.05</v>
      </c>
    </row>
    <row r="420" spans="13:15" ht="12.75" customHeight="1">
      <c r="M420" s="42" t="s">
        <v>1023</v>
      </c>
    </row>
    <row r="421" spans="13:15" ht="12.75" customHeight="1">
      <c r="M421" s="42" t="s">
        <v>1024</v>
      </c>
      <c r="N421" s="42" t="s">
        <v>1025</v>
      </c>
      <c r="O421" s="42">
        <v>2.0000000000000001E-4</v>
      </c>
    </row>
    <row r="422" spans="13:15" ht="12.75" customHeight="1">
      <c r="M422" s="42" t="s">
        <v>1026</v>
      </c>
      <c r="N422" s="42" t="s">
        <v>1027</v>
      </c>
      <c r="O422" s="42">
        <v>0.5</v>
      </c>
    </row>
    <row r="423" spans="13:15" ht="12.75" customHeight="1">
      <c r="M423" s="42" t="s">
        <v>1028</v>
      </c>
      <c r="N423" s="42" t="s">
        <v>1029</v>
      </c>
    </row>
    <row r="424" spans="13:15" ht="12.75" customHeight="1">
      <c r="M424" s="42" t="s">
        <v>1030</v>
      </c>
      <c r="N424" s="42" t="s">
        <v>1031</v>
      </c>
      <c r="O424" s="42">
        <v>10</v>
      </c>
    </row>
    <row r="425" spans="13:15" ht="12.75" customHeight="1">
      <c r="M425" s="42" t="s">
        <v>1032</v>
      </c>
      <c r="N425" s="42" t="s">
        <v>1033</v>
      </c>
      <c r="O425" s="42">
        <v>1</v>
      </c>
    </row>
    <row r="426" spans="13:15" ht="12.75" customHeight="1">
      <c r="M426" s="42" t="s">
        <v>1034</v>
      </c>
      <c r="N426" s="42" t="s">
        <v>1035</v>
      </c>
      <c r="O426" s="42">
        <v>0.01</v>
      </c>
    </row>
    <row r="427" spans="13:15" ht="12.75" customHeight="1">
      <c r="M427" s="42" t="s">
        <v>1036</v>
      </c>
    </row>
    <row r="428" spans="13:15" ht="12.75" customHeight="1">
      <c r="M428" s="42" t="s">
        <v>1037</v>
      </c>
      <c r="N428" s="42" t="s">
        <v>1038</v>
      </c>
      <c r="O428" s="42">
        <v>0.02</v>
      </c>
    </row>
    <row r="429" spans="13:15" ht="12.75" customHeight="1">
      <c r="M429" s="42" t="s">
        <v>1039</v>
      </c>
      <c r="O429" s="42">
        <v>0.1</v>
      </c>
    </row>
    <row r="430" spans="13:15" ht="12.75" customHeight="1">
      <c r="M430" s="42" t="s">
        <v>1040</v>
      </c>
      <c r="O430" s="42">
        <v>0.1</v>
      </c>
    </row>
    <row r="431" spans="13:15" ht="12.75" customHeight="1">
      <c r="M431" s="42" t="s">
        <v>1041</v>
      </c>
      <c r="N431" s="42" t="s">
        <v>1042</v>
      </c>
      <c r="O431" s="42">
        <v>0.01</v>
      </c>
    </row>
    <row r="432" spans="13:15" ht="12.75" customHeight="1">
      <c r="M432" s="42" t="s">
        <v>1041</v>
      </c>
      <c r="N432" s="42" t="s">
        <v>1042</v>
      </c>
    </row>
    <row r="433" spans="13:15" ht="12.75" customHeight="1">
      <c r="M433" s="42" t="s">
        <v>1043</v>
      </c>
      <c r="O433" s="42">
        <v>0.1</v>
      </c>
    </row>
    <row r="434" spans="13:15" ht="12.75" customHeight="1">
      <c r="M434" s="42" t="s">
        <v>1044</v>
      </c>
      <c r="O434" s="42">
        <v>2.5000000000000001E-2</v>
      </c>
    </row>
    <row r="435" spans="13:15" ht="12.75" customHeight="1">
      <c r="M435" s="42" t="s">
        <v>221</v>
      </c>
      <c r="N435" s="42" t="s">
        <v>222</v>
      </c>
      <c r="O435" s="42">
        <v>1</v>
      </c>
    </row>
    <row r="436" spans="13:15" ht="12.75" customHeight="1">
      <c r="M436" s="42" t="s">
        <v>1045</v>
      </c>
      <c r="N436" s="42" t="s">
        <v>1046</v>
      </c>
    </row>
    <row r="437" spans="13:15" ht="12.75" customHeight="1">
      <c r="M437" s="42" t="s">
        <v>1047</v>
      </c>
      <c r="N437" s="42" t="s">
        <v>32</v>
      </c>
      <c r="O437" s="42">
        <v>200</v>
      </c>
    </row>
    <row r="438" spans="13:15" ht="12.75" customHeight="1">
      <c r="M438" s="42" t="s">
        <v>1048</v>
      </c>
      <c r="N438" s="42" t="s">
        <v>1049</v>
      </c>
      <c r="O438" s="42">
        <v>0.2</v>
      </c>
    </row>
    <row r="439" spans="13:15" ht="12.75" customHeight="1">
      <c r="M439" s="42" t="s">
        <v>1050</v>
      </c>
      <c r="N439" s="42" t="s">
        <v>1051</v>
      </c>
      <c r="O439" s="42">
        <v>10</v>
      </c>
    </row>
    <row r="440" spans="13:15" ht="12.75" customHeight="1">
      <c r="M440" s="42" t="s">
        <v>1052</v>
      </c>
      <c r="N440" s="42" t="s">
        <v>166</v>
      </c>
      <c r="O440" s="42">
        <v>0.1</v>
      </c>
    </row>
    <row r="441" spans="13:15" ht="12.75" customHeight="1">
      <c r="M441" s="42" t="s">
        <v>1053</v>
      </c>
      <c r="N441" s="42" t="s">
        <v>116</v>
      </c>
      <c r="O441" s="42">
        <v>0.1</v>
      </c>
    </row>
    <row r="442" spans="13:15" ht="12.75" customHeight="1">
      <c r="M442" s="42" t="s">
        <v>1054</v>
      </c>
      <c r="N442" s="42" t="s">
        <v>1055</v>
      </c>
      <c r="O442" s="42">
        <v>5</v>
      </c>
    </row>
    <row r="443" spans="13:15" ht="12.75" customHeight="1">
      <c r="M443" s="42" t="s">
        <v>1056</v>
      </c>
      <c r="N443" s="42" t="s">
        <v>1057</v>
      </c>
      <c r="O443" s="42">
        <v>50</v>
      </c>
    </row>
    <row r="444" spans="13:15" ht="12.75" customHeight="1">
      <c r="M444" s="42" t="s">
        <v>1058</v>
      </c>
      <c r="N444" s="42" t="s">
        <v>114</v>
      </c>
      <c r="O444" s="42">
        <v>200</v>
      </c>
    </row>
    <row r="445" spans="13:15" ht="12.75" customHeight="1">
      <c r="M445" s="42" t="s">
        <v>1059</v>
      </c>
      <c r="N445" s="42" t="s">
        <v>1060</v>
      </c>
      <c r="O445" s="42">
        <v>1</v>
      </c>
    </row>
    <row r="446" spans="13:15" ht="12.75" customHeight="1">
      <c r="M446" s="42" t="s">
        <v>1061</v>
      </c>
      <c r="N446" s="42" t="s">
        <v>1062</v>
      </c>
      <c r="O446" s="42">
        <v>1</v>
      </c>
    </row>
    <row r="447" spans="13:15" ht="12.75" customHeight="1">
      <c r="M447" s="42" t="s">
        <v>1063</v>
      </c>
      <c r="N447" s="42" t="s">
        <v>98</v>
      </c>
      <c r="O447" s="42">
        <v>2</v>
      </c>
    </row>
    <row r="448" spans="13:15" ht="12.75" customHeight="1">
      <c r="M448" s="42" t="s">
        <v>1064</v>
      </c>
      <c r="N448" s="42" t="s">
        <v>1065</v>
      </c>
      <c r="O448" s="42">
        <v>1</v>
      </c>
    </row>
    <row r="449" spans="13:15" ht="12.75" customHeight="1">
      <c r="M449" s="42" t="s">
        <v>1066</v>
      </c>
      <c r="N449" s="42" t="s">
        <v>170</v>
      </c>
      <c r="O449" s="42">
        <v>1</v>
      </c>
    </row>
    <row r="450" spans="13:15" ht="12.75" customHeight="1">
      <c r="M450" s="42" t="s">
        <v>1067</v>
      </c>
      <c r="N450" s="42" t="s">
        <v>1068</v>
      </c>
      <c r="O450" s="42">
        <v>5</v>
      </c>
    </row>
    <row r="451" spans="13:15" ht="12.75" customHeight="1">
      <c r="M451" s="42" t="s">
        <v>1069</v>
      </c>
      <c r="N451" s="42" t="s">
        <v>212</v>
      </c>
      <c r="O451" s="42">
        <v>50</v>
      </c>
    </row>
    <row r="452" spans="13:15" ht="12.75" customHeight="1">
      <c r="M452" s="42" t="s">
        <v>1070</v>
      </c>
      <c r="N452" s="42" t="s">
        <v>1071</v>
      </c>
      <c r="O452" s="42">
        <v>0.5</v>
      </c>
    </row>
    <row r="453" spans="13:15" ht="12.75" customHeight="1">
      <c r="M453" s="42" t="s">
        <v>1072</v>
      </c>
      <c r="N453" s="42" t="s">
        <v>1073</v>
      </c>
      <c r="O453" s="42">
        <v>10</v>
      </c>
    </row>
    <row r="454" spans="13:15" ht="12.75" customHeight="1">
      <c r="M454" s="42" t="s">
        <v>1074</v>
      </c>
      <c r="N454" s="42" t="s">
        <v>1075</v>
      </c>
      <c r="O454" s="42">
        <v>1</v>
      </c>
    </row>
    <row r="455" spans="13:15" ht="12.75" customHeight="1">
      <c r="M455" s="42" t="s">
        <v>1076</v>
      </c>
      <c r="N455" s="42" t="s">
        <v>1077</v>
      </c>
      <c r="O455" s="42">
        <v>50</v>
      </c>
    </row>
    <row r="456" spans="13:15" ht="12.75" customHeight="1">
      <c r="M456" s="42" t="s">
        <v>1078</v>
      </c>
      <c r="N456" s="42" t="s">
        <v>1079</v>
      </c>
      <c r="O456" s="42">
        <v>5</v>
      </c>
    </row>
    <row r="457" spans="13:15" ht="12.75" customHeight="1">
      <c r="M457" s="42" t="s">
        <v>1080</v>
      </c>
      <c r="N457" s="42" t="s">
        <v>1081</v>
      </c>
      <c r="O457" s="42">
        <v>50</v>
      </c>
    </row>
    <row r="458" spans="13:15" ht="12.75" customHeight="1">
      <c r="M458" s="42" t="s">
        <v>1082</v>
      </c>
      <c r="N458" s="42" t="s">
        <v>78</v>
      </c>
      <c r="O458" s="42">
        <v>350</v>
      </c>
    </row>
    <row r="459" spans="13:15" ht="12.75" customHeight="1">
      <c r="M459" s="42" t="s">
        <v>145</v>
      </c>
      <c r="N459" s="42" t="s">
        <v>146</v>
      </c>
      <c r="O459" s="42">
        <v>100</v>
      </c>
    </row>
    <row r="460" spans="13:15" ht="12.75" customHeight="1">
      <c r="M460" s="42" t="s">
        <v>213</v>
      </c>
      <c r="N460" s="42" t="s">
        <v>214</v>
      </c>
      <c r="O460" s="42">
        <v>50</v>
      </c>
    </row>
    <row r="461" spans="13:15" ht="12.75" customHeight="1">
      <c r="M461" s="42" t="s">
        <v>1083</v>
      </c>
      <c r="N461" s="42" t="s">
        <v>1084</v>
      </c>
      <c r="O461" s="42">
        <v>20</v>
      </c>
    </row>
    <row r="462" spans="13:15" ht="12.75" customHeight="1">
      <c r="M462" s="42" t="s">
        <v>1085</v>
      </c>
      <c r="N462" s="42" t="s">
        <v>1086</v>
      </c>
      <c r="O462" s="42">
        <v>0.2</v>
      </c>
    </row>
    <row r="463" spans="13:15" ht="12.75" customHeight="1">
      <c r="M463" s="42" t="s">
        <v>1087</v>
      </c>
      <c r="N463" s="42" t="s">
        <v>1088</v>
      </c>
      <c r="O463" s="42">
        <v>0.05</v>
      </c>
    </row>
    <row r="464" spans="13:15" ht="12.75" customHeight="1">
      <c r="M464" s="42" t="s">
        <v>1089</v>
      </c>
      <c r="N464" s="42" t="s">
        <v>1090</v>
      </c>
      <c r="O464" s="42">
        <v>5.0000000000000001E-3</v>
      </c>
    </row>
    <row r="465" spans="13:15" ht="12.75" customHeight="1">
      <c r="M465" s="42" t="s">
        <v>1091</v>
      </c>
      <c r="N465" s="42" t="s">
        <v>1092</v>
      </c>
      <c r="O465" s="42">
        <v>0.01</v>
      </c>
    </row>
    <row r="466" spans="13:15" ht="12.75" customHeight="1">
      <c r="M466" s="42" t="s">
        <v>1093</v>
      </c>
      <c r="N466" s="42" t="s">
        <v>1094</v>
      </c>
      <c r="O466" s="42">
        <v>5.0000000000000001E-3</v>
      </c>
    </row>
    <row r="467" spans="13:15" ht="12.75" customHeight="1">
      <c r="M467" s="42" t="s">
        <v>1095</v>
      </c>
      <c r="N467" s="42" t="s">
        <v>1096</v>
      </c>
      <c r="O467" s="42">
        <v>0.1</v>
      </c>
    </row>
    <row r="468" spans="13:15" ht="12.75" customHeight="1">
      <c r="M468" s="42" t="s">
        <v>1097</v>
      </c>
      <c r="N468" s="42" t="s">
        <v>34</v>
      </c>
      <c r="O468" s="42">
        <v>75</v>
      </c>
    </row>
    <row r="469" spans="13:15" ht="12.75" customHeight="1">
      <c r="M469" s="42" t="s">
        <v>1098</v>
      </c>
      <c r="N469" s="42" t="s">
        <v>1099</v>
      </c>
    </row>
    <row r="470" spans="13:15" ht="12.75" customHeight="1">
      <c r="M470" s="42" t="s">
        <v>1100</v>
      </c>
      <c r="N470" s="42" t="s">
        <v>96</v>
      </c>
      <c r="O470" s="42">
        <v>50</v>
      </c>
    </row>
    <row r="471" spans="13:15" ht="12.75" customHeight="1">
      <c r="M471" s="42" t="s">
        <v>1101</v>
      </c>
      <c r="N471" s="42" t="s">
        <v>1102</v>
      </c>
      <c r="O471" s="42">
        <v>0.01</v>
      </c>
    </row>
    <row r="472" spans="13:15" ht="12.75" customHeight="1">
      <c r="M472" s="42" t="s">
        <v>1103</v>
      </c>
      <c r="N472" s="42" t="s">
        <v>1104</v>
      </c>
      <c r="O472" s="42">
        <v>2</v>
      </c>
    </row>
    <row r="473" spans="13:15" ht="12.75" customHeight="1">
      <c r="M473" s="42" t="s">
        <v>1105</v>
      </c>
      <c r="N473" s="42" t="s">
        <v>1106</v>
      </c>
      <c r="O473" s="42">
        <v>20</v>
      </c>
    </row>
    <row r="474" spans="13:15" ht="12.75" customHeight="1">
      <c r="M474" s="42" t="s">
        <v>1107</v>
      </c>
      <c r="N474" s="42" t="s">
        <v>1108</v>
      </c>
      <c r="O474" s="42">
        <v>20</v>
      </c>
    </row>
    <row r="475" spans="13:15" ht="12.75" customHeight="1">
      <c r="M475" s="42" t="s">
        <v>1109</v>
      </c>
      <c r="N475" s="42" t="s">
        <v>1110</v>
      </c>
      <c r="O475" s="42">
        <v>20</v>
      </c>
    </row>
    <row r="476" spans="13:15" ht="12.75" customHeight="1">
      <c r="M476" s="42" t="s">
        <v>1111</v>
      </c>
      <c r="N476" s="42" t="s">
        <v>1112</v>
      </c>
      <c r="O476" s="42">
        <v>0.02</v>
      </c>
    </row>
    <row r="477" spans="13:15" ht="12.75" customHeight="1">
      <c r="M477" s="42" t="s">
        <v>1036</v>
      </c>
    </row>
    <row r="478" spans="13:15" ht="12.75" customHeight="1">
      <c r="M478" s="42" t="s">
        <v>1113</v>
      </c>
      <c r="N478" s="42" t="s">
        <v>220</v>
      </c>
      <c r="O478" s="42">
        <v>20</v>
      </c>
    </row>
    <row r="479" spans="13:15" ht="12.75" customHeight="1">
      <c r="M479" s="42" t="s">
        <v>1114</v>
      </c>
      <c r="N479" s="42" t="s">
        <v>1115</v>
      </c>
      <c r="O479" s="42">
        <v>0.5</v>
      </c>
    </row>
    <row r="480" spans="13:15" ht="12.75" customHeight="1">
      <c r="M480" s="42" t="s">
        <v>1116</v>
      </c>
      <c r="N480" s="42" t="s">
        <v>134</v>
      </c>
      <c r="O480" s="42">
        <v>50</v>
      </c>
    </row>
    <row r="481" spans="13:15" ht="12.75" customHeight="1">
      <c r="M481" s="42" t="s">
        <v>1117</v>
      </c>
      <c r="N481" s="42" t="s">
        <v>1118</v>
      </c>
      <c r="O481" s="42">
        <v>0.05</v>
      </c>
    </row>
    <row r="482" spans="13:15" ht="12.75" customHeight="1">
      <c r="M482" s="42" t="s">
        <v>1119</v>
      </c>
      <c r="N482" s="42" t="s">
        <v>1120</v>
      </c>
      <c r="O482" s="42">
        <v>0.02</v>
      </c>
    </row>
    <row r="483" spans="13:15" ht="12.75" customHeight="1">
      <c r="M483" s="42" t="s">
        <v>1121</v>
      </c>
      <c r="N483" s="42" t="s">
        <v>178</v>
      </c>
    </row>
    <row r="484" spans="13:15" ht="12.75" customHeight="1">
      <c r="M484" s="42" t="s">
        <v>1122</v>
      </c>
      <c r="N484" s="42" t="s">
        <v>1123</v>
      </c>
      <c r="O484" s="42">
        <v>1</v>
      </c>
    </row>
    <row r="485" spans="13:15" ht="12.75" customHeight="1">
      <c r="M485" s="42" t="s">
        <v>1124</v>
      </c>
      <c r="N485" s="42" t="s">
        <v>1125</v>
      </c>
      <c r="O485" s="42">
        <v>10</v>
      </c>
    </row>
    <row r="486" spans="13:15" ht="12.75" customHeight="1">
      <c r="M486" s="42" t="s">
        <v>1126</v>
      </c>
      <c r="N486" s="42" t="s">
        <v>1127</v>
      </c>
      <c r="O486" s="42">
        <v>6.9999999999999994E-5</v>
      </c>
    </row>
    <row r="487" spans="13:15" ht="12.75" customHeight="1">
      <c r="M487" s="42" t="s">
        <v>1128</v>
      </c>
      <c r="N487" s="42" t="s">
        <v>1129</v>
      </c>
    </row>
    <row r="488" spans="13:15" ht="12.75" customHeight="1">
      <c r="M488" s="42" t="s">
        <v>1130</v>
      </c>
      <c r="N488" s="42" t="s">
        <v>1131</v>
      </c>
      <c r="O488" s="42">
        <v>1</v>
      </c>
    </row>
    <row r="489" spans="13:15" ht="12.75" customHeight="1">
      <c r="M489" s="42" t="s">
        <v>1132</v>
      </c>
      <c r="N489" s="42" t="s">
        <v>1133</v>
      </c>
      <c r="O489" s="42">
        <v>0.01</v>
      </c>
    </row>
    <row r="490" spans="13:15" ht="12.75" customHeight="1">
      <c r="M490" s="42" t="s">
        <v>1134</v>
      </c>
      <c r="N490" s="42" t="s">
        <v>1135</v>
      </c>
      <c r="O490" s="42">
        <v>0.1</v>
      </c>
    </row>
    <row r="491" spans="13:15" ht="12.75" customHeight="1">
      <c r="M491" s="42" t="s">
        <v>1136</v>
      </c>
    </row>
    <row r="492" spans="13:15" ht="12.75" customHeight="1">
      <c r="M492" s="42" t="s">
        <v>1137</v>
      </c>
      <c r="O492" s="42">
        <v>5</v>
      </c>
    </row>
    <row r="493" spans="13:15" ht="12.75" customHeight="1">
      <c r="M493" s="42" t="s">
        <v>1138</v>
      </c>
    </row>
    <row r="494" spans="13:15" ht="12.75" customHeight="1">
      <c r="M494" s="42" t="s">
        <v>1139</v>
      </c>
      <c r="N494" s="42" t="s">
        <v>1140</v>
      </c>
      <c r="O494" s="42">
        <v>10</v>
      </c>
    </row>
    <row r="495" spans="13:15" ht="12.75" customHeight="1">
      <c r="M495" s="42" t="s">
        <v>1141</v>
      </c>
      <c r="N495" s="42" t="s">
        <v>1142</v>
      </c>
      <c r="O495" s="42">
        <v>0.5</v>
      </c>
    </row>
    <row r="496" spans="13:15" ht="12.75" customHeight="1">
      <c r="M496" s="42" t="s">
        <v>1143</v>
      </c>
    </row>
    <row r="497" spans="13:15" ht="12.75" customHeight="1">
      <c r="M497" s="42" t="s">
        <v>123</v>
      </c>
      <c r="N497" s="42" t="s">
        <v>124</v>
      </c>
      <c r="O497" s="42">
        <v>20</v>
      </c>
    </row>
    <row r="498" spans="13:15" ht="12.75" customHeight="1">
      <c r="M498" s="42" t="s">
        <v>1144</v>
      </c>
      <c r="N498" s="42" t="s">
        <v>1145</v>
      </c>
      <c r="O498" s="42">
        <v>0.1</v>
      </c>
    </row>
    <row r="499" spans="13:15" ht="12.75" customHeight="1">
      <c r="M499" s="42" t="s">
        <v>1146</v>
      </c>
      <c r="N499" s="42" t="s">
        <v>1147</v>
      </c>
      <c r="O499" s="42">
        <v>10</v>
      </c>
    </row>
    <row r="500" spans="13:15" ht="12.75" customHeight="1">
      <c r="M500" s="42" t="s">
        <v>1148</v>
      </c>
      <c r="N500" s="42" t="s">
        <v>1149</v>
      </c>
    </row>
    <row r="501" spans="13:15" ht="12.75" customHeight="1">
      <c r="M501" s="42" t="s">
        <v>1150</v>
      </c>
      <c r="N501" s="42">
        <v>2595510</v>
      </c>
      <c r="O501" s="42">
        <v>1E-4</v>
      </c>
    </row>
    <row r="502" spans="13:15" ht="12.75" customHeight="1">
      <c r="M502" s="42" t="s">
        <v>1151</v>
      </c>
      <c r="N502" s="42" t="s">
        <v>1152</v>
      </c>
    </row>
    <row r="503" spans="13:15" ht="12.75" customHeight="1">
      <c r="M503" s="42" t="s">
        <v>1153</v>
      </c>
      <c r="N503" s="42" t="s">
        <v>1152</v>
      </c>
    </row>
    <row r="504" spans="13:15" ht="12.75" customHeight="1">
      <c r="M504" s="42" t="s">
        <v>1154</v>
      </c>
    </row>
    <row r="505" spans="13:15" ht="12.75" customHeight="1">
      <c r="M505" s="42" t="s">
        <v>1155</v>
      </c>
      <c r="N505" s="42" t="s">
        <v>1156</v>
      </c>
    </row>
    <row r="506" spans="13:15" ht="12.75" customHeight="1">
      <c r="M506" s="42" t="s">
        <v>1157</v>
      </c>
      <c r="N506" s="42" t="s">
        <v>1158</v>
      </c>
    </row>
    <row r="507" spans="13:15" ht="12.75" customHeight="1">
      <c r="M507" s="42" t="s">
        <v>1159</v>
      </c>
      <c r="N507" s="42" t="s">
        <v>1160</v>
      </c>
    </row>
    <row r="508" spans="13:15" ht="12.75" customHeight="1">
      <c r="M508" s="42" t="s">
        <v>1161</v>
      </c>
      <c r="N508" s="42" t="s">
        <v>1162</v>
      </c>
    </row>
    <row r="509" spans="13:15" ht="12.75" customHeight="1">
      <c r="M509" s="42" t="s">
        <v>1163</v>
      </c>
      <c r="N509" s="42" t="s">
        <v>1164</v>
      </c>
    </row>
    <row r="510" spans="13:15" ht="12.75" customHeight="1">
      <c r="M510" s="42" t="s">
        <v>1165</v>
      </c>
      <c r="N510" s="42" t="s">
        <v>1166</v>
      </c>
    </row>
    <row r="511" spans="13:15" ht="12.75" customHeight="1">
      <c r="M511" s="42" t="s">
        <v>1167</v>
      </c>
      <c r="N511" s="42" t="s">
        <v>1168</v>
      </c>
    </row>
    <row r="512" spans="13:15" ht="12.75" customHeight="1">
      <c r="M512" s="42" t="s">
        <v>83</v>
      </c>
      <c r="N512" s="42" t="s">
        <v>84</v>
      </c>
    </row>
    <row r="513" spans="13:15" ht="12.75" customHeight="1">
      <c r="M513" s="42" t="s">
        <v>1169</v>
      </c>
      <c r="N513" s="42" t="s">
        <v>1170</v>
      </c>
    </row>
    <row r="514" spans="13:15" ht="12.75" customHeight="1">
      <c r="M514" s="42" t="s">
        <v>1171</v>
      </c>
      <c r="N514" s="42" t="s">
        <v>1172</v>
      </c>
    </row>
    <row r="515" spans="13:15" ht="12.75" customHeight="1">
      <c r="M515" s="42" t="s">
        <v>149</v>
      </c>
      <c r="N515" s="42" t="s">
        <v>150</v>
      </c>
      <c r="O515" s="42">
        <v>100</v>
      </c>
    </row>
    <row r="516" spans="13:15" ht="12.75" customHeight="1">
      <c r="M516" s="42" t="s">
        <v>1173</v>
      </c>
      <c r="N516" s="42" t="s">
        <v>1174</v>
      </c>
      <c r="O516" s="42">
        <v>0.2</v>
      </c>
    </row>
    <row r="517" spans="13:15" ht="12.75" customHeight="1">
      <c r="M517" s="42" t="s">
        <v>1175</v>
      </c>
      <c r="N517" s="42" t="s">
        <v>1176</v>
      </c>
      <c r="O517" s="42">
        <v>10</v>
      </c>
    </row>
    <row r="518" spans="13:15" ht="12.75" customHeight="1">
      <c r="M518" s="42" t="s">
        <v>1177</v>
      </c>
      <c r="N518" s="42" t="s">
        <v>1178</v>
      </c>
      <c r="O518" s="42">
        <v>0.05</v>
      </c>
    </row>
    <row r="519" spans="13:15" ht="12.75" customHeight="1">
      <c r="M519" s="42" t="s">
        <v>155</v>
      </c>
      <c r="N519" s="42" t="s">
        <v>156</v>
      </c>
      <c r="O519" s="42">
        <v>20</v>
      </c>
    </row>
    <row r="520" spans="13:15" ht="12.75" customHeight="1">
      <c r="M520" s="42" t="s">
        <v>1179</v>
      </c>
      <c r="N520" s="42" t="s">
        <v>1180</v>
      </c>
      <c r="O520" s="42">
        <v>25</v>
      </c>
    </row>
    <row r="521" spans="13:15" ht="12.75" customHeight="1">
      <c r="M521" s="42" t="s">
        <v>151</v>
      </c>
      <c r="N521" s="42" t="s">
        <v>152</v>
      </c>
      <c r="O521" s="42">
        <v>10</v>
      </c>
    </row>
    <row r="522" spans="13:15" ht="12.75" customHeight="1">
      <c r="M522" s="42" t="s">
        <v>1181</v>
      </c>
      <c r="N522" s="42" t="s">
        <v>1182</v>
      </c>
    </row>
    <row r="523" spans="13:15" ht="12.75" customHeight="1">
      <c r="M523" s="42" t="s">
        <v>1183</v>
      </c>
      <c r="N523" s="42" t="s">
        <v>1184</v>
      </c>
      <c r="O523" s="42">
        <v>2</v>
      </c>
    </row>
    <row r="524" spans="13:15" ht="12.75" customHeight="1">
      <c r="M524" s="42" t="s">
        <v>1185</v>
      </c>
      <c r="N524" s="42" t="s">
        <v>1186</v>
      </c>
      <c r="O524" s="42">
        <v>1</v>
      </c>
    </row>
    <row r="525" spans="13:15" ht="12.75" customHeight="1">
      <c r="M525" s="42" t="s">
        <v>1187</v>
      </c>
      <c r="N525" s="42" t="s">
        <v>1188</v>
      </c>
      <c r="O525" s="42">
        <v>50</v>
      </c>
    </row>
    <row r="526" spans="13:15" ht="12.75" customHeight="1">
      <c r="M526" s="42" t="s">
        <v>1189</v>
      </c>
      <c r="N526" s="42" t="s">
        <v>1190</v>
      </c>
      <c r="O526" s="42">
        <v>200</v>
      </c>
    </row>
    <row r="527" spans="13:15" ht="12.75" customHeight="1">
      <c r="M527" s="42" t="s">
        <v>1191</v>
      </c>
      <c r="N527" s="42" t="s">
        <v>1192</v>
      </c>
      <c r="O527" s="42">
        <v>0.1</v>
      </c>
    </row>
    <row r="528" spans="13:15" ht="12.75" customHeight="1">
      <c r="M528" s="42" t="s">
        <v>1193</v>
      </c>
      <c r="N528" s="42" t="s">
        <v>1194</v>
      </c>
      <c r="O528" s="42">
        <v>300</v>
      </c>
    </row>
    <row r="529" spans="13:15" ht="12.75" customHeight="1">
      <c r="M529" s="42" t="s">
        <v>1195</v>
      </c>
      <c r="N529" s="42" t="s">
        <v>1196</v>
      </c>
      <c r="O529" s="42">
        <v>2.0000000000000001E-4</v>
      </c>
    </row>
    <row r="530" spans="13:15" ht="12.75" customHeight="1">
      <c r="M530" s="42" t="s">
        <v>1197</v>
      </c>
      <c r="N530" s="42" t="s">
        <v>1198</v>
      </c>
      <c r="O530" s="42">
        <v>1</v>
      </c>
    </row>
    <row r="531" spans="13:15" ht="12.75" customHeight="1">
      <c r="M531" s="42" t="s">
        <v>1199</v>
      </c>
      <c r="N531" s="42" t="s">
        <v>1200</v>
      </c>
      <c r="O531" s="42">
        <v>0.1</v>
      </c>
    </row>
    <row r="532" spans="13:15" ht="12.75" customHeight="1">
      <c r="M532" s="42" t="s">
        <v>1201</v>
      </c>
      <c r="N532" s="42" t="s">
        <v>1202</v>
      </c>
    </row>
    <row r="533" spans="13:15" ht="12.75" customHeight="1">
      <c r="M533" s="42" t="s">
        <v>1203</v>
      </c>
      <c r="N533" s="42" t="s">
        <v>1204</v>
      </c>
    </row>
    <row r="534" spans="13:15" ht="12.75" customHeight="1">
      <c r="M534" s="42" t="s">
        <v>1205</v>
      </c>
      <c r="O534" s="42">
        <v>0.05</v>
      </c>
    </row>
    <row r="535" spans="13:15" ht="12.75" customHeight="1">
      <c r="M535" s="42" t="s">
        <v>1206</v>
      </c>
      <c r="O535" s="42">
        <v>0.08</v>
      </c>
    </row>
    <row r="536" spans="13:15" ht="12.75" customHeight="1">
      <c r="M536" s="42" t="s">
        <v>1207</v>
      </c>
      <c r="O536" s="42">
        <v>0.1</v>
      </c>
    </row>
    <row r="537" spans="13:15" ht="12.75" customHeight="1">
      <c r="M537" s="42" t="s">
        <v>1208</v>
      </c>
      <c r="O537" s="42">
        <v>0.2</v>
      </c>
    </row>
    <row r="538" spans="13:15" ht="12.75" customHeight="1">
      <c r="M538" s="42" t="s">
        <v>1209</v>
      </c>
      <c r="N538" s="42" t="s">
        <v>1210</v>
      </c>
      <c r="O538" s="42">
        <v>2</v>
      </c>
    </row>
    <row r="539" spans="13:15" ht="12.75" customHeight="1">
      <c r="M539" s="42" t="s">
        <v>1211</v>
      </c>
      <c r="N539" s="42" t="s">
        <v>1212</v>
      </c>
      <c r="O539" s="42">
        <v>0.05</v>
      </c>
    </row>
    <row r="540" spans="13:15" ht="12.75" customHeight="1">
      <c r="M540" s="42" t="s">
        <v>1213</v>
      </c>
      <c r="N540" s="42" t="s">
        <v>1214</v>
      </c>
      <c r="O540" s="42">
        <v>0.05</v>
      </c>
    </row>
    <row r="541" spans="13:15" ht="12.75" customHeight="1">
      <c r="M541" s="108" t="s">
        <v>1215</v>
      </c>
    </row>
    <row r="542" spans="13:15" ht="12.75" customHeight="1">
      <c r="M542" s="42" t="s">
        <v>1216</v>
      </c>
      <c r="N542" s="42" t="s">
        <v>1217</v>
      </c>
    </row>
    <row r="543" spans="13:15" ht="12.75" customHeight="1">
      <c r="M543" s="42" t="s">
        <v>1218</v>
      </c>
      <c r="N543" s="42" t="s">
        <v>1219</v>
      </c>
      <c r="O543" s="42">
        <v>0.5</v>
      </c>
    </row>
    <row r="544" spans="13:15" ht="12.75" customHeight="1">
      <c r="M544" s="42" t="s">
        <v>1220</v>
      </c>
      <c r="N544" s="42" t="s">
        <v>1221</v>
      </c>
      <c r="O544" s="42">
        <v>0.5</v>
      </c>
    </row>
    <row r="545" spans="13:15" ht="12.75" customHeight="1">
      <c r="M545" s="42" t="s">
        <v>1222</v>
      </c>
      <c r="N545" s="42" t="s">
        <v>1223</v>
      </c>
      <c r="O545" s="42">
        <v>0.5</v>
      </c>
    </row>
    <row r="546" spans="13:15" ht="12.75" customHeight="1">
      <c r="M546" s="42" t="s">
        <v>1224</v>
      </c>
      <c r="N546" s="42" t="s">
        <v>1225</v>
      </c>
      <c r="O546" s="42">
        <v>10</v>
      </c>
    </row>
    <row r="547" spans="13:15" ht="12.75" customHeight="1">
      <c r="M547" s="42" t="s">
        <v>1226</v>
      </c>
      <c r="N547" s="42" t="s">
        <v>1227</v>
      </c>
      <c r="O547" s="42">
        <v>1</v>
      </c>
    </row>
    <row r="548" spans="13:15" ht="12.75" customHeight="1">
      <c r="M548" s="42" t="s">
        <v>1228</v>
      </c>
      <c r="N548" s="42" t="s">
        <v>1229</v>
      </c>
      <c r="O548" s="42">
        <v>25</v>
      </c>
    </row>
    <row r="549" spans="13:15" ht="12.75" customHeight="1">
      <c r="M549" s="42" t="s">
        <v>1230</v>
      </c>
      <c r="O549" s="42">
        <v>50</v>
      </c>
    </row>
    <row r="550" spans="13:15" ht="12.75" customHeight="1">
      <c r="M550" s="42" t="s">
        <v>1231</v>
      </c>
      <c r="N550" s="42" t="s">
        <v>1232</v>
      </c>
    </row>
    <row r="551" spans="13:15" ht="12.75" customHeight="1">
      <c r="M551" s="42" t="s">
        <v>1233</v>
      </c>
      <c r="N551" s="42" t="s">
        <v>1234</v>
      </c>
    </row>
    <row r="552" spans="13:15" ht="12.75" customHeight="1">
      <c r="M552" s="42" t="s">
        <v>1235</v>
      </c>
      <c r="N552" s="42" t="s">
        <v>1236</v>
      </c>
      <c r="O552" s="42">
        <v>0.1</v>
      </c>
    </row>
    <row r="553" spans="13:15" ht="12.75" customHeight="1">
      <c r="M553" s="42" t="s">
        <v>1237</v>
      </c>
      <c r="N553" s="42" t="s">
        <v>1238</v>
      </c>
      <c r="O553" s="42">
        <v>0.5</v>
      </c>
    </row>
    <row r="554" spans="13:15" ht="12.75" customHeight="1">
      <c r="M554" s="42" t="s">
        <v>1239</v>
      </c>
      <c r="N554" s="42" t="s">
        <v>1240</v>
      </c>
      <c r="O554" s="42">
        <v>100</v>
      </c>
    </row>
    <row r="555" spans="13:15" ht="12.75" customHeight="1">
      <c r="M555" s="42" t="s">
        <v>1036</v>
      </c>
    </row>
    <row r="556" spans="13:15" ht="12.75" customHeight="1">
      <c r="M556" s="42" t="s">
        <v>1241</v>
      </c>
      <c r="N556" s="42" t="s">
        <v>1242</v>
      </c>
    </row>
    <row r="557" spans="13:15" ht="12.75" customHeight="1">
      <c r="M557" s="42" t="s">
        <v>1243</v>
      </c>
      <c r="N557" s="42" t="s">
        <v>1244</v>
      </c>
      <c r="O557" s="42">
        <v>0.1</v>
      </c>
    </row>
    <row r="558" spans="13:15" ht="12.75" customHeight="1">
      <c r="M558" s="42" t="s">
        <v>258</v>
      </c>
      <c r="N558" s="42" t="s">
        <v>259</v>
      </c>
      <c r="O558" s="42">
        <v>5</v>
      </c>
    </row>
    <row r="559" spans="13:15" ht="12.75" customHeight="1">
      <c r="M559" s="42" t="s">
        <v>1245</v>
      </c>
      <c r="N559" s="42" t="s">
        <v>1246</v>
      </c>
      <c r="O559" s="42">
        <v>0.5</v>
      </c>
    </row>
    <row r="560" spans="13:15" ht="12.75" customHeight="1">
      <c r="M560" s="42" t="s">
        <v>1247</v>
      </c>
      <c r="N560" s="42" t="s">
        <v>1248</v>
      </c>
    </row>
    <row r="561" spans="13:15" ht="12.75" customHeight="1">
      <c r="M561" s="42" t="s">
        <v>1249</v>
      </c>
      <c r="N561" s="42" t="s">
        <v>1250</v>
      </c>
      <c r="O561" s="42">
        <v>0.1</v>
      </c>
    </row>
    <row r="562" spans="13:15" ht="12.75" customHeight="1">
      <c r="M562" s="42" t="s">
        <v>1251</v>
      </c>
      <c r="N562" s="42" t="s">
        <v>1252</v>
      </c>
      <c r="O562" s="42">
        <v>0.1</v>
      </c>
    </row>
    <row r="563" spans="13:15" ht="12.75" customHeight="1">
      <c r="M563" s="42" t="s">
        <v>1253</v>
      </c>
      <c r="N563" s="42" t="s">
        <v>1254</v>
      </c>
      <c r="O563" s="42">
        <v>0.1</v>
      </c>
    </row>
    <row r="564" spans="13:15" ht="12.75" customHeight="1">
      <c r="M564" s="42" t="s">
        <v>1255</v>
      </c>
      <c r="N564" s="42" t="s">
        <v>1256</v>
      </c>
      <c r="O564" s="42">
        <v>1</v>
      </c>
    </row>
    <row r="565" spans="13:15" ht="12.75" customHeight="1">
      <c r="M565" s="42" t="s">
        <v>1257</v>
      </c>
      <c r="N565" s="42" t="s">
        <v>1258</v>
      </c>
      <c r="O565" s="42">
        <v>0.5</v>
      </c>
    </row>
    <row r="566" spans="13:15" ht="12.75" customHeight="1">
      <c r="M566" s="42" t="s">
        <v>1259</v>
      </c>
      <c r="N566" s="42" t="s">
        <v>1260</v>
      </c>
      <c r="O566" s="42">
        <v>0.1</v>
      </c>
    </row>
    <row r="567" spans="13:15" ht="12.75" customHeight="1">
      <c r="M567" s="42" t="s">
        <v>1261</v>
      </c>
      <c r="N567" s="42" t="s">
        <v>1262</v>
      </c>
      <c r="O567" s="42">
        <v>0.1</v>
      </c>
    </row>
    <row r="568" spans="13:15" ht="12.75" customHeight="1">
      <c r="M568" s="42" t="s">
        <v>1263</v>
      </c>
      <c r="N568" s="42" t="s">
        <v>1264</v>
      </c>
      <c r="O568" s="42">
        <v>5.0000000000000001E-3</v>
      </c>
    </row>
    <row r="569" spans="13:15" ht="12.75" customHeight="1">
      <c r="M569" s="42" t="s">
        <v>1265</v>
      </c>
      <c r="N569" s="42" t="s">
        <v>1266</v>
      </c>
      <c r="O569" s="42">
        <v>0.1</v>
      </c>
    </row>
    <row r="570" spans="13:15" ht="12.75" customHeight="1">
      <c r="M570" s="42" t="s">
        <v>1267</v>
      </c>
      <c r="N570" s="42" t="s">
        <v>1268</v>
      </c>
    </row>
    <row r="571" spans="13:15" ht="12.75" customHeight="1">
      <c r="M571" s="42" t="s">
        <v>1269</v>
      </c>
      <c r="N571" s="42" t="s">
        <v>1270</v>
      </c>
      <c r="O571" s="42">
        <v>0.05</v>
      </c>
    </row>
    <row r="572" spans="13:15" ht="12.75" customHeight="1">
      <c r="M572" s="42" t="s">
        <v>1271</v>
      </c>
      <c r="N572" s="42" t="s">
        <v>1272</v>
      </c>
    </row>
    <row r="573" spans="13:15" ht="12.75" customHeight="1">
      <c r="M573" s="42" t="s">
        <v>1273</v>
      </c>
      <c r="N573" s="42" t="s">
        <v>1274</v>
      </c>
      <c r="O573" s="42">
        <v>0.05</v>
      </c>
    </row>
    <row r="574" spans="13:15" ht="12.75" customHeight="1">
      <c r="M574" s="42" t="s">
        <v>1275</v>
      </c>
      <c r="N574" s="42" t="s">
        <v>1276</v>
      </c>
      <c r="O574" s="42">
        <v>1</v>
      </c>
    </row>
    <row r="575" spans="13:15" ht="12.75" customHeight="1">
      <c r="M575" s="42" t="s">
        <v>1277</v>
      </c>
      <c r="N575" s="42" t="s">
        <v>1278</v>
      </c>
      <c r="O575" s="42">
        <v>0.1</v>
      </c>
    </row>
    <row r="576" spans="13:15" ht="12.75" customHeight="1">
      <c r="M576" s="42" t="s">
        <v>1279</v>
      </c>
      <c r="N576" s="42" t="s">
        <v>1280</v>
      </c>
      <c r="O576" s="42">
        <v>0.1</v>
      </c>
    </row>
    <row r="577" spans="13:15" ht="12.75" customHeight="1">
      <c r="M577" s="42" t="s">
        <v>1281</v>
      </c>
      <c r="N577" s="42" t="s">
        <v>1282</v>
      </c>
      <c r="O577" s="42">
        <v>0.1</v>
      </c>
    </row>
    <row r="578" spans="13:15" ht="12.75" customHeight="1">
      <c r="M578" s="42" t="s">
        <v>1283</v>
      </c>
      <c r="N578" s="42" t="s">
        <v>1284</v>
      </c>
      <c r="O578" s="42">
        <v>1</v>
      </c>
    </row>
    <row r="579" spans="13:15" ht="12.75" customHeight="1">
      <c r="M579" s="42" t="s">
        <v>1285</v>
      </c>
      <c r="N579" s="42">
        <v>2125683</v>
      </c>
      <c r="O579" s="42">
        <v>0.2</v>
      </c>
    </row>
    <row r="580" spans="13:15" ht="12.75" customHeight="1">
      <c r="M580" s="42" t="s">
        <v>1286</v>
      </c>
      <c r="N580" s="42" t="s">
        <v>1287</v>
      </c>
      <c r="O580" s="42">
        <v>2.5000000000000001E-2</v>
      </c>
    </row>
    <row r="581" spans="13:15" ht="12.75" customHeight="1">
      <c r="M581" s="42" t="s">
        <v>1288</v>
      </c>
      <c r="N581" s="42" t="s">
        <v>1289</v>
      </c>
      <c r="O581" s="42">
        <v>2E-3</v>
      </c>
    </row>
    <row r="582" spans="13:15" ht="12.75" customHeight="1">
      <c r="M582" s="42" t="s">
        <v>1290</v>
      </c>
      <c r="N582" s="42" t="s">
        <v>1291</v>
      </c>
      <c r="O582" s="42">
        <v>5</v>
      </c>
    </row>
    <row r="583" spans="13:15" ht="12.75" customHeight="1">
      <c r="M583" s="42" t="s">
        <v>1292</v>
      </c>
      <c r="N583" s="42" t="s">
        <v>1293</v>
      </c>
      <c r="O583" s="42">
        <v>1</v>
      </c>
    </row>
    <row r="584" spans="13:15" ht="12.75" customHeight="1">
      <c r="M584" s="42" t="s">
        <v>1294</v>
      </c>
      <c r="N584" s="42">
        <v>6607</v>
      </c>
      <c r="O584" s="42">
        <v>10</v>
      </c>
    </row>
    <row r="585" spans="13:15" ht="12.75" customHeight="1">
      <c r="M585" s="42" t="s">
        <v>1295</v>
      </c>
      <c r="N585" s="42" t="s">
        <v>1296</v>
      </c>
      <c r="O585" s="42">
        <v>0.1</v>
      </c>
    </row>
    <row r="586" spans="13:15" ht="12.75" customHeight="1">
      <c r="M586" s="42" t="s">
        <v>1297</v>
      </c>
      <c r="N586" s="42" t="s">
        <v>1298</v>
      </c>
      <c r="O586" s="42">
        <v>0.1</v>
      </c>
    </row>
    <row r="587" spans="13:15" ht="12.75" customHeight="1">
      <c r="M587" s="42" t="s">
        <v>1299</v>
      </c>
      <c r="N587" s="42" t="s">
        <v>1300</v>
      </c>
      <c r="O587" s="42">
        <v>0.03</v>
      </c>
    </row>
    <row r="588" spans="13:15" ht="12.75" customHeight="1">
      <c r="M588" s="42" t="s">
        <v>1301</v>
      </c>
      <c r="N588" s="42">
        <v>2023600</v>
      </c>
    </row>
    <row r="589" spans="13:15" ht="12.75" customHeight="1">
      <c r="M589" s="42" t="s">
        <v>1302</v>
      </c>
      <c r="O589" s="42">
        <v>1</v>
      </c>
    </row>
    <row r="590" spans="13:15" ht="12.75" customHeight="1">
      <c r="M590" s="42" t="s">
        <v>1303</v>
      </c>
      <c r="O590" s="42">
        <v>2E-3</v>
      </c>
    </row>
    <row r="591" spans="13:15" ht="12.75" customHeight="1">
      <c r="M591" s="42" t="s">
        <v>1304</v>
      </c>
      <c r="N591" s="42" t="s">
        <v>1305</v>
      </c>
      <c r="O591" s="42">
        <v>1</v>
      </c>
    </row>
    <row r="592" spans="13:15" ht="12.75" customHeight="1">
      <c r="M592" s="42" t="s">
        <v>1306</v>
      </c>
      <c r="N592" s="42" t="s">
        <v>1307</v>
      </c>
      <c r="O592" s="42">
        <v>1</v>
      </c>
    </row>
    <row r="593" spans="13:15" ht="12.75" customHeight="1">
      <c r="M593" s="42" t="s">
        <v>1308</v>
      </c>
      <c r="N593" s="42" t="s">
        <v>1309</v>
      </c>
    </row>
    <row r="594" spans="13:15" ht="12.75" customHeight="1">
      <c r="M594" s="42" t="s">
        <v>1310</v>
      </c>
      <c r="N594" s="42" t="s">
        <v>1311</v>
      </c>
      <c r="O594" s="42">
        <v>0.5</v>
      </c>
    </row>
    <row r="595" spans="13:15" ht="12.75" customHeight="1">
      <c r="M595" s="42" t="s">
        <v>1312</v>
      </c>
      <c r="N595" s="42" t="s">
        <v>1313</v>
      </c>
      <c r="O595" s="42">
        <v>1</v>
      </c>
    </row>
    <row r="596" spans="13:15" ht="12.75" customHeight="1">
      <c r="M596" s="42" t="s">
        <v>1314</v>
      </c>
      <c r="N596" s="42" t="s">
        <v>1315</v>
      </c>
    </row>
    <row r="597" spans="13:15" ht="12.75" customHeight="1">
      <c r="M597" s="42" t="s">
        <v>1316</v>
      </c>
      <c r="N597" s="42" t="s">
        <v>126</v>
      </c>
      <c r="O597" s="42">
        <v>100</v>
      </c>
    </row>
    <row r="598" spans="13:15" ht="12.75" customHeight="1">
      <c r="M598" s="42" t="s">
        <v>1317</v>
      </c>
      <c r="N598" s="42" t="s">
        <v>62</v>
      </c>
      <c r="O598" s="42">
        <v>200</v>
      </c>
    </row>
    <row r="599" spans="13:15" ht="12.75" customHeight="1">
      <c r="M599" s="42" t="s">
        <v>1318</v>
      </c>
      <c r="N599" s="42" t="s">
        <v>1319</v>
      </c>
      <c r="O599" s="42">
        <v>1</v>
      </c>
    </row>
    <row r="600" spans="13:15" ht="12.75" customHeight="1">
      <c r="M600" s="42" t="s">
        <v>1320</v>
      </c>
      <c r="N600" s="42" t="s">
        <v>1321</v>
      </c>
      <c r="O600" s="42">
        <v>0.5</v>
      </c>
    </row>
    <row r="601" spans="13:15" ht="12.75" customHeight="1">
      <c r="M601" s="42" t="s">
        <v>1322</v>
      </c>
      <c r="N601" s="42" t="s">
        <v>1323</v>
      </c>
      <c r="O601" s="42">
        <v>20</v>
      </c>
    </row>
    <row r="602" spans="13:15" ht="12.75" customHeight="1">
      <c r="M602" s="42" t="s">
        <v>49</v>
      </c>
      <c r="N602" s="42" t="s">
        <v>50</v>
      </c>
      <c r="O602" s="42">
        <v>10</v>
      </c>
    </row>
    <row r="603" spans="13:15" ht="12.75" customHeight="1">
      <c r="M603" s="42" t="s">
        <v>1324</v>
      </c>
      <c r="N603" s="42" t="s">
        <v>1325</v>
      </c>
    </row>
    <row r="604" spans="13:15" ht="12.75" customHeight="1">
      <c r="M604" s="42" t="s">
        <v>1326</v>
      </c>
      <c r="N604" s="42" t="s">
        <v>1327</v>
      </c>
      <c r="O604" s="42">
        <v>0.5</v>
      </c>
    </row>
    <row r="605" spans="13:15" ht="12.75" customHeight="1">
      <c r="M605" s="42" t="s">
        <v>1328</v>
      </c>
      <c r="N605" s="42" t="s">
        <v>1329</v>
      </c>
      <c r="O605" s="42">
        <v>100</v>
      </c>
    </row>
    <row r="606" spans="13:15" ht="12.75" customHeight="1">
      <c r="M606" s="42" t="s">
        <v>1330</v>
      </c>
      <c r="N606" s="42" t="s">
        <v>1331</v>
      </c>
      <c r="O606" s="42">
        <v>500</v>
      </c>
    </row>
    <row r="607" spans="13:15" ht="12.75" customHeight="1">
      <c r="M607" s="42" t="s">
        <v>1332</v>
      </c>
      <c r="N607" s="42" t="s">
        <v>1333</v>
      </c>
      <c r="O607" s="42">
        <v>10</v>
      </c>
    </row>
    <row r="608" spans="13:15" ht="12.75" customHeight="1">
      <c r="M608" s="42" t="s">
        <v>1334</v>
      </c>
      <c r="N608" s="42" t="s">
        <v>1335</v>
      </c>
      <c r="O608" s="42">
        <v>0.02</v>
      </c>
    </row>
    <row r="609" spans="13:15" ht="12.75" customHeight="1">
      <c r="M609" s="42" t="s">
        <v>1336</v>
      </c>
      <c r="N609" s="42" t="s">
        <v>1337</v>
      </c>
      <c r="O609" s="42">
        <v>50</v>
      </c>
    </row>
    <row r="610" spans="13:15" ht="12.75" customHeight="1">
      <c r="M610" s="42" t="s">
        <v>1338</v>
      </c>
      <c r="N610" s="42" t="s">
        <v>1339</v>
      </c>
      <c r="O610" s="42">
        <v>2</v>
      </c>
    </row>
    <row r="611" spans="13:15" ht="12.75" customHeight="1">
      <c r="M611" s="42" t="s">
        <v>1340</v>
      </c>
      <c r="N611" s="42" t="s">
        <v>1341</v>
      </c>
      <c r="O611" s="42">
        <v>0.2</v>
      </c>
    </row>
    <row r="612" spans="13:15" ht="12.75" customHeight="1">
      <c r="M612" s="42" t="s">
        <v>1342</v>
      </c>
      <c r="N612" s="42" t="s">
        <v>128</v>
      </c>
      <c r="O612" s="42">
        <v>5</v>
      </c>
    </row>
    <row r="613" spans="13:15" ht="12.75" customHeight="1">
      <c r="M613" s="42" t="s">
        <v>1343</v>
      </c>
      <c r="N613" s="42" t="s">
        <v>1344</v>
      </c>
      <c r="O613" s="42">
        <v>5</v>
      </c>
    </row>
    <row r="614" spans="13:15" ht="12.75" customHeight="1">
      <c r="M614" s="42" t="s">
        <v>91</v>
      </c>
      <c r="N614" s="42" t="s">
        <v>92</v>
      </c>
      <c r="O614" s="42">
        <v>1</v>
      </c>
    </row>
    <row r="615" spans="13:15" ht="12.75" customHeight="1">
      <c r="M615" s="42" t="s">
        <v>1345</v>
      </c>
      <c r="N615" s="42">
        <v>2246493</v>
      </c>
      <c r="O615" s="42">
        <v>1E-3</v>
      </c>
    </row>
    <row r="616" spans="13:15" ht="12.75" customHeight="1">
      <c r="M616" s="42" t="s">
        <v>1346</v>
      </c>
      <c r="N616" s="42" t="s">
        <v>1347</v>
      </c>
      <c r="O616" s="42">
        <v>10</v>
      </c>
    </row>
    <row r="617" spans="13:15" ht="12.75" customHeight="1">
      <c r="M617" s="42" t="s">
        <v>1348</v>
      </c>
      <c r="N617" s="42" t="s">
        <v>1349</v>
      </c>
    </row>
    <row r="618" spans="13:15" ht="12.75" customHeight="1">
      <c r="M618" s="42" t="s">
        <v>1350</v>
      </c>
      <c r="O618" s="42">
        <v>1</v>
      </c>
    </row>
    <row r="619" spans="13:15" ht="12.75" customHeight="1">
      <c r="M619" s="42" t="s">
        <v>1351</v>
      </c>
      <c r="O619" s="42">
        <v>0.01</v>
      </c>
    </row>
    <row r="620" spans="13:15" ht="12.75" customHeight="1">
      <c r="M620" s="42" t="s">
        <v>1352</v>
      </c>
      <c r="N620" s="42" t="s">
        <v>1353</v>
      </c>
      <c r="O620" s="42">
        <v>5</v>
      </c>
    </row>
    <row r="621" spans="13:15" ht="12.75" customHeight="1">
      <c r="M621" s="42" t="s">
        <v>1354</v>
      </c>
      <c r="N621" s="42" t="s">
        <v>1355</v>
      </c>
      <c r="O621" s="42">
        <v>5</v>
      </c>
    </row>
    <row r="622" spans="13:15" ht="12.75" customHeight="1">
      <c r="M622" s="42" t="s">
        <v>1356</v>
      </c>
      <c r="N622" s="42" t="s">
        <v>1357</v>
      </c>
      <c r="O622" s="42">
        <v>0.2</v>
      </c>
    </row>
    <row r="623" spans="13:15" ht="12.75" customHeight="1">
      <c r="M623" s="42" t="s">
        <v>1358</v>
      </c>
      <c r="N623" s="42" t="s">
        <v>1359</v>
      </c>
      <c r="O623" s="42">
        <v>0.05</v>
      </c>
    </row>
    <row r="624" spans="13:15" ht="12.75" customHeight="1">
      <c r="M624" s="42" t="s">
        <v>1360</v>
      </c>
      <c r="N624" s="42" t="s">
        <v>1361</v>
      </c>
      <c r="O624" s="42">
        <v>10</v>
      </c>
    </row>
    <row r="625" spans="13:15" ht="12.75" customHeight="1">
      <c r="M625" s="42" t="s">
        <v>1362</v>
      </c>
      <c r="N625" s="42" t="s">
        <v>1363</v>
      </c>
      <c r="O625" s="42">
        <v>50</v>
      </c>
    </row>
    <row r="626" spans="13:15" ht="12.75" customHeight="1">
      <c r="M626" s="42" t="s">
        <v>1364</v>
      </c>
      <c r="N626" s="42" t="s">
        <v>1365</v>
      </c>
      <c r="O626" s="42">
        <v>2.5000000000000001E-2</v>
      </c>
    </row>
    <row r="627" spans="13:15" ht="12.75" customHeight="1">
      <c r="M627" s="42" t="s">
        <v>1366</v>
      </c>
      <c r="N627" s="42" t="s">
        <v>1367</v>
      </c>
    </row>
    <row r="628" spans="13:15" ht="12.75" customHeight="1">
      <c r="M628" s="42" t="s">
        <v>1368</v>
      </c>
      <c r="N628" s="42" t="s">
        <v>1369</v>
      </c>
      <c r="O628" s="42">
        <v>5</v>
      </c>
    </row>
    <row r="629" spans="13:15" ht="12.75" customHeight="1">
      <c r="M629" s="42" t="s">
        <v>1370</v>
      </c>
      <c r="N629" s="42" t="s">
        <v>1371</v>
      </c>
      <c r="O629" s="42">
        <v>0.1</v>
      </c>
    </row>
    <row r="630" spans="13:15" ht="12.75" customHeight="1">
      <c r="M630" s="42" t="s">
        <v>1372</v>
      </c>
      <c r="O630" s="42">
        <v>0.01</v>
      </c>
    </row>
    <row r="631" spans="13:15" ht="12.75" customHeight="1">
      <c r="M631" s="42" t="s">
        <v>1373</v>
      </c>
      <c r="N631" s="42" t="s">
        <v>1374</v>
      </c>
      <c r="O631" s="42">
        <v>0.5</v>
      </c>
    </row>
    <row r="632" spans="13:15" ht="12.75" customHeight="1">
      <c r="M632" s="42" t="s">
        <v>1375</v>
      </c>
      <c r="N632" s="42" t="s">
        <v>1376</v>
      </c>
    </row>
    <row r="633" spans="13:15" ht="12.75" customHeight="1">
      <c r="M633" s="42" t="s">
        <v>1377</v>
      </c>
    </row>
    <row r="634" spans="13:15" ht="12.75" customHeight="1">
      <c r="M634" s="42" t="s">
        <v>1378</v>
      </c>
      <c r="N634" s="42" t="s">
        <v>1379</v>
      </c>
      <c r="O634" s="42">
        <v>5</v>
      </c>
    </row>
    <row r="635" spans="13:15" ht="12.75" customHeight="1">
      <c r="M635" s="42" t="s">
        <v>1380</v>
      </c>
      <c r="N635" s="42" t="s">
        <v>1381</v>
      </c>
      <c r="O635" s="42">
        <v>0.05</v>
      </c>
    </row>
    <row r="636" spans="13:15" ht="12.75" customHeight="1">
      <c r="M636" s="42" t="s">
        <v>1382</v>
      </c>
      <c r="N636" s="42" t="s">
        <v>1383</v>
      </c>
    </row>
    <row r="637" spans="13:15" ht="12.75" customHeight="1">
      <c r="M637" s="42" t="s">
        <v>1384</v>
      </c>
      <c r="N637" s="42" t="s">
        <v>1385</v>
      </c>
      <c r="O637" s="42">
        <v>5</v>
      </c>
    </row>
    <row r="638" spans="13:15" ht="12.75" customHeight="1">
      <c r="M638" s="42" t="s">
        <v>1386</v>
      </c>
      <c r="N638" s="42" t="s">
        <v>1387</v>
      </c>
      <c r="O638" s="42">
        <v>10</v>
      </c>
    </row>
    <row r="639" spans="13:15" ht="12.75" customHeight="1">
      <c r="M639" s="42" t="s">
        <v>1388</v>
      </c>
      <c r="O639" s="42">
        <v>10</v>
      </c>
    </row>
    <row r="640" spans="13:15" ht="12.75" customHeight="1">
      <c r="M640" s="42" t="s">
        <v>1389</v>
      </c>
      <c r="N640" s="42" t="s">
        <v>1390</v>
      </c>
      <c r="O640" s="42">
        <v>3</v>
      </c>
    </row>
    <row r="641" spans="13:15" ht="12.75" customHeight="1">
      <c r="M641" s="42" t="s">
        <v>1391</v>
      </c>
      <c r="N641" s="42" t="s">
        <v>1392</v>
      </c>
      <c r="O641" s="42">
        <v>100</v>
      </c>
    </row>
    <row r="642" spans="13:15" ht="12.75" customHeight="1">
      <c r="M642" s="42" t="s">
        <v>1393</v>
      </c>
      <c r="N642" s="42" t="s">
        <v>1394</v>
      </c>
      <c r="O642" s="42">
        <v>0.15</v>
      </c>
    </row>
    <row r="643" spans="13:15" ht="12.75" customHeight="1">
      <c r="M643" s="42" t="s">
        <v>35</v>
      </c>
      <c r="N643" s="42" t="s">
        <v>36</v>
      </c>
      <c r="O643" s="42">
        <v>10</v>
      </c>
    </row>
    <row r="644" spans="13:15" ht="12.75" customHeight="1">
      <c r="M644" s="42" t="s">
        <v>1395</v>
      </c>
      <c r="N644" s="42" t="s">
        <v>1396</v>
      </c>
      <c r="O644" s="42">
        <v>1</v>
      </c>
    </row>
    <row r="645" spans="13:15" ht="12.75" customHeight="1">
      <c r="M645" s="42" t="s">
        <v>1397</v>
      </c>
      <c r="N645" s="42" t="s">
        <v>1398</v>
      </c>
    </row>
    <row r="646" spans="13:15" ht="12.75" customHeight="1">
      <c r="M646" s="42" t="s">
        <v>1399</v>
      </c>
      <c r="N646" s="42" t="s">
        <v>1400</v>
      </c>
      <c r="O646" s="42">
        <v>10</v>
      </c>
    </row>
    <row r="647" spans="13:15" ht="12.75" customHeight="1">
      <c r="M647" s="42" t="s">
        <v>1401</v>
      </c>
      <c r="N647" s="42" t="s">
        <v>1402</v>
      </c>
      <c r="O647" s="42">
        <v>5</v>
      </c>
    </row>
    <row r="648" spans="13:15" ht="12.75" customHeight="1">
      <c r="M648" s="42" t="s">
        <v>1403</v>
      </c>
      <c r="N648" s="42" t="s">
        <v>1404</v>
      </c>
      <c r="O648" s="42">
        <v>0.1</v>
      </c>
    </row>
    <row r="649" spans="13:15" ht="12.75" customHeight="1">
      <c r="M649" s="42" t="s">
        <v>1405</v>
      </c>
      <c r="N649" s="42" t="s">
        <v>1406</v>
      </c>
      <c r="O649" s="42">
        <v>0.1</v>
      </c>
    </row>
    <row r="650" spans="13:15" ht="12.75" customHeight="1">
      <c r="M650" s="42" t="s">
        <v>1407</v>
      </c>
      <c r="N650" s="42">
        <v>2025884</v>
      </c>
    </row>
    <row r="651" spans="13:15" ht="12.75" customHeight="1">
      <c r="M651" s="42" t="s">
        <v>1408</v>
      </c>
      <c r="N651" s="42" t="s">
        <v>1409</v>
      </c>
      <c r="O651" s="42">
        <v>1</v>
      </c>
    </row>
    <row r="652" spans="13:15" ht="12.75" customHeight="1">
      <c r="M652" s="42" t="s">
        <v>1410</v>
      </c>
      <c r="N652" s="42" t="s">
        <v>1411</v>
      </c>
    </row>
    <row r="653" spans="13:15" ht="12.75" customHeight="1">
      <c r="M653" s="42" t="s">
        <v>1412</v>
      </c>
      <c r="N653" s="42" t="s">
        <v>1413</v>
      </c>
    </row>
    <row r="654" spans="13:15" ht="12.75" customHeight="1">
      <c r="M654" s="42" t="s">
        <v>1414</v>
      </c>
      <c r="N654" s="42" t="s">
        <v>1415</v>
      </c>
    </row>
    <row r="655" spans="13:15" ht="12.75" customHeight="1">
      <c r="M655" s="42" t="s">
        <v>1416</v>
      </c>
      <c r="N655" s="42" t="s">
        <v>90</v>
      </c>
      <c r="O655" s="42">
        <v>0.2</v>
      </c>
    </row>
    <row r="656" spans="13:15" ht="12.75" customHeight="1">
      <c r="M656" s="42" t="s">
        <v>1417</v>
      </c>
      <c r="N656" s="42" t="s">
        <v>1418</v>
      </c>
      <c r="O656" s="42">
        <v>5</v>
      </c>
    </row>
    <row r="657" spans="13:15" ht="12.75" customHeight="1">
      <c r="M657" s="42" t="s">
        <v>1419</v>
      </c>
      <c r="O657" s="42">
        <v>1</v>
      </c>
    </row>
    <row r="658" spans="13:15" ht="12.75" customHeight="1">
      <c r="M658" s="42" t="s">
        <v>1419</v>
      </c>
      <c r="O658" s="42">
        <v>5</v>
      </c>
    </row>
    <row r="659" spans="13:15" ht="12.75" customHeight="1">
      <c r="M659" s="42" t="s">
        <v>1420</v>
      </c>
      <c r="O659" s="42">
        <v>1</v>
      </c>
    </row>
    <row r="660" spans="13:15" ht="12.75" customHeight="1">
      <c r="M660" s="42" t="s">
        <v>1421</v>
      </c>
      <c r="N660" s="42" t="s">
        <v>1422</v>
      </c>
      <c r="O660" s="42">
        <v>10</v>
      </c>
    </row>
    <row r="661" spans="13:15" ht="12.75" customHeight="1">
      <c r="M661" s="42" t="s">
        <v>1423</v>
      </c>
      <c r="N661" s="42" t="s">
        <v>1424</v>
      </c>
      <c r="O661" s="42">
        <v>2</v>
      </c>
    </row>
    <row r="662" spans="13:15" ht="12.75" customHeight="1">
      <c r="M662" s="42" t="s">
        <v>1425</v>
      </c>
      <c r="N662" s="42" t="s">
        <v>1426</v>
      </c>
      <c r="O662" s="42">
        <v>0.1</v>
      </c>
    </row>
    <row r="663" spans="13:15" ht="12.75" customHeight="1">
      <c r="M663" s="42" t="s">
        <v>1427</v>
      </c>
      <c r="N663" s="42" t="s">
        <v>1428</v>
      </c>
      <c r="O663" s="42">
        <v>0.02</v>
      </c>
    </row>
    <row r="664" spans="13:15" ht="12.75" customHeight="1">
      <c r="M664" s="42" t="s">
        <v>1429</v>
      </c>
      <c r="N664" s="42" t="s">
        <v>1430</v>
      </c>
      <c r="O664" s="42">
        <v>1</v>
      </c>
    </row>
    <row r="665" spans="13:15" ht="12.75" customHeight="1">
      <c r="M665" s="42" t="s">
        <v>1431</v>
      </c>
      <c r="N665" s="42" t="s">
        <v>1432</v>
      </c>
      <c r="O665" s="42">
        <v>0.01</v>
      </c>
    </row>
    <row r="666" spans="13:15" ht="12.75" customHeight="1">
      <c r="M666" s="42" t="s">
        <v>1433</v>
      </c>
      <c r="N666" s="42" t="s">
        <v>1434</v>
      </c>
      <c r="O666" s="42">
        <v>10</v>
      </c>
    </row>
    <row r="667" spans="13:15" ht="12.75" customHeight="1">
      <c r="M667" s="42" t="s">
        <v>1435</v>
      </c>
      <c r="N667" s="42" t="s">
        <v>1436</v>
      </c>
    </row>
    <row r="668" spans="13:15" ht="12.75" customHeight="1">
      <c r="M668" s="42" t="s">
        <v>1437</v>
      </c>
      <c r="N668" s="42" t="s">
        <v>1438</v>
      </c>
      <c r="O668" s="42">
        <v>0.1</v>
      </c>
    </row>
    <row r="669" spans="13:15" ht="12.75" customHeight="1">
      <c r="M669" s="42" t="s">
        <v>1439</v>
      </c>
      <c r="N669" s="42" t="s">
        <v>1440</v>
      </c>
      <c r="O669" s="42">
        <v>100</v>
      </c>
    </row>
    <row r="670" spans="13:15" ht="12.75" customHeight="1">
      <c r="M670" s="42" t="s">
        <v>1441</v>
      </c>
      <c r="N670" s="42" t="s">
        <v>1442</v>
      </c>
      <c r="O670" s="42">
        <v>50</v>
      </c>
    </row>
    <row r="671" spans="13:15" ht="12.75" customHeight="1">
      <c r="M671" s="42" t="s">
        <v>1443</v>
      </c>
      <c r="N671" s="42" t="s">
        <v>1444</v>
      </c>
      <c r="O671" s="42">
        <v>1</v>
      </c>
    </row>
    <row r="672" spans="13:15" ht="12.75" customHeight="1">
      <c r="M672" s="42" t="s">
        <v>37</v>
      </c>
      <c r="N672" s="42" t="s">
        <v>38</v>
      </c>
      <c r="O672" s="42">
        <v>25</v>
      </c>
    </row>
    <row r="673" spans="13:15" ht="12.75" customHeight="1">
      <c r="M673" s="42" t="s">
        <v>1445</v>
      </c>
      <c r="N673" s="42" t="s">
        <v>1446</v>
      </c>
      <c r="O673" s="42">
        <v>2</v>
      </c>
    </row>
    <row r="674" spans="13:15" ht="12.75" customHeight="1">
      <c r="M674" s="42" t="s">
        <v>1447</v>
      </c>
      <c r="N674" s="42" t="s">
        <v>1448</v>
      </c>
      <c r="O674" s="42">
        <v>0.5</v>
      </c>
    </row>
    <row r="675" spans="13:15" ht="12.75" customHeight="1">
      <c r="M675" s="42" t="s">
        <v>1449</v>
      </c>
      <c r="N675" s="42" t="s">
        <v>1450</v>
      </c>
      <c r="O675" s="42">
        <v>0.1</v>
      </c>
    </row>
    <row r="676" spans="13:15" ht="12.75" customHeight="1">
      <c r="M676" s="42" t="s">
        <v>1451</v>
      </c>
      <c r="N676" s="42" t="s">
        <v>1452</v>
      </c>
      <c r="O676" s="42">
        <v>0.01</v>
      </c>
    </row>
    <row r="677" spans="13:15" ht="12.75" customHeight="1">
      <c r="M677" s="42" t="s">
        <v>1453</v>
      </c>
      <c r="N677" s="42" t="s">
        <v>1454</v>
      </c>
      <c r="O677" s="42">
        <v>2</v>
      </c>
    </row>
    <row r="678" spans="13:15" ht="12.75" customHeight="1">
      <c r="M678" s="42" t="s">
        <v>1455</v>
      </c>
      <c r="N678" s="42" t="s">
        <v>122</v>
      </c>
      <c r="O678" s="42">
        <v>50</v>
      </c>
    </row>
    <row r="679" spans="13:15" ht="12.75" customHeight="1">
      <c r="M679" s="42" t="s">
        <v>1456</v>
      </c>
      <c r="O679" s="42">
        <v>2</v>
      </c>
    </row>
    <row r="680" spans="13:15" ht="12.75" customHeight="1">
      <c r="M680" s="42" t="s">
        <v>1457</v>
      </c>
      <c r="N680" s="42" t="s">
        <v>1458</v>
      </c>
      <c r="O680" s="42">
        <v>2</v>
      </c>
    </row>
    <row r="681" spans="13:15" ht="12.75" customHeight="1">
      <c r="M681" s="42" t="s">
        <v>1459</v>
      </c>
      <c r="N681" s="42" t="s">
        <v>1460</v>
      </c>
      <c r="O681" s="42">
        <v>0.15</v>
      </c>
    </row>
    <row r="682" spans="13:15" ht="12.75" customHeight="1">
      <c r="M682" s="42" t="s">
        <v>1461</v>
      </c>
      <c r="N682" s="42" t="s">
        <v>1462</v>
      </c>
      <c r="O682" s="42">
        <v>0.5</v>
      </c>
    </row>
    <row r="683" spans="13:15" ht="12.75" customHeight="1">
      <c r="M683" s="42" t="s">
        <v>1463</v>
      </c>
      <c r="N683" s="42" t="s">
        <v>1464</v>
      </c>
      <c r="O683" s="42">
        <v>5.0000000000000001E-3</v>
      </c>
    </row>
    <row r="684" spans="13:15" ht="12.75" customHeight="1">
      <c r="M684" s="42" t="s">
        <v>1465</v>
      </c>
      <c r="N684" s="42" t="s">
        <v>1466</v>
      </c>
      <c r="O684" s="42">
        <v>1.5</v>
      </c>
    </row>
    <row r="685" spans="13:15" ht="12.75" customHeight="1">
      <c r="M685" s="42" t="s">
        <v>1467</v>
      </c>
      <c r="N685" s="42" t="s">
        <v>1468</v>
      </c>
    </row>
    <row r="686" spans="13:15" ht="12.75" customHeight="1">
      <c r="M686" s="42" t="s">
        <v>1469</v>
      </c>
      <c r="N686" s="42" t="s">
        <v>1470</v>
      </c>
      <c r="O686" s="42">
        <v>0.02</v>
      </c>
    </row>
    <row r="687" spans="13:15" ht="12.75" customHeight="1">
      <c r="M687" s="42" t="s">
        <v>1471</v>
      </c>
      <c r="N687" s="42" t="s">
        <v>1472</v>
      </c>
      <c r="O687" s="42">
        <v>0.2</v>
      </c>
    </row>
    <row r="688" spans="13:15" ht="12.75" customHeight="1">
      <c r="M688" s="42" t="s">
        <v>1473</v>
      </c>
      <c r="N688" s="42" t="s">
        <v>1474</v>
      </c>
      <c r="O688" s="42">
        <v>1</v>
      </c>
    </row>
    <row r="689" spans="13:16" ht="12.75" customHeight="1">
      <c r="M689" s="42" t="s">
        <v>1475</v>
      </c>
      <c r="N689" s="42" t="s">
        <v>1476</v>
      </c>
      <c r="O689" s="42">
        <v>0.1</v>
      </c>
    </row>
    <row r="690" spans="13:16" ht="12.75" customHeight="1">
      <c r="M690" s="42" t="s">
        <v>1477</v>
      </c>
      <c r="N690" s="42" t="s">
        <v>1478</v>
      </c>
      <c r="O690" s="42">
        <v>1</v>
      </c>
    </row>
    <row r="691" spans="13:16" ht="12.75" customHeight="1">
      <c r="M691" s="42" t="s">
        <v>1479</v>
      </c>
      <c r="N691" s="42">
        <v>2125597</v>
      </c>
    </row>
    <row r="692" spans="13:16" ht="12.75" customHeight="1">
      <c r="M692" s="42" t="s">
        <v>1480</v>
      </c>
      <c r="N692" s="42" t="s">
        <v>1481</v>
      </c>
      <c r="O692" s="42">
        <v>0.05</v>
      </c>
    </row>
    <row r="693" spans="13:16" ht="12.75" customHeight="1">
      <c r="M693" s="42" t="s">
        <v>1482</v>
      </c>
      <c r="N693" s="42" t="s">
        <v>1483</v>
      </c>
      <c r="O693" s="42">
        <v>2</v>
      </c>
    </row>
    <row r="694" spans="13:16" ht="12.75" customHeight="1">
      <c r="M694" s="42" t="s">
        <v>1482</v>
      </c>
      <c r="N694" s="42" t="s">
        <v>1483</v>
      </c>
      <c r="O694" s="42">
        <v>0.1</v>
      </c>
    </row>
    <row r="695" spans="13:16" ht="12.75" customHeight="1">
      <c r="M695" s="42" t="s">
        <v>1484</v>
      </c>
      <c r="N695" s="42" t="s">
        <v>1485</v>
      </c>
      <c r="O695" s="42">
        <v>0.5</v>
      </c>
    </row>
    <row r="696" spans="13:16" ht="12.75" customHeight="1">
      <c r="M696" s="42" t="s">
        <v>25</v>
      </c>
      <c r="N696" s="42" t="s">
        <v>26</v>
      </c>
      <c r="O696" s="42">
        <v>20</v>
      </c>
      <c r="P696" s="109" t="s">
        <v>1486</v>
      </c>
    </row>
    <row r="697" spans="13:16" ht="12.75" customHeight="1">
      <c r="M697" s="42" t="s">
        <v>1487</v>
      </c>
      <c r="N697" s="42" t="s">
        <v>1488</v>
      </c>
      <c r="O697" s="42">
        <v>1E-3</v>
      </c>
    </row>
    <row r="698" spans="13:16" ht="12.75" customHeight="1">
      <c r="M698" s="42" t="s">
        <v>1489</v>
      </c>
      <c r="N698" s="42" t="s">
        <v>1490</v>
      </c>
      <c r="O698" s="42">
        <v>2</v>
      </c>
    </row>
    <row r="699" spans="13:16" ht="12.75" customHeight="1">
      <c r="M699" s="42" t="s">
        <v>1491</v>
      </c>
      <c r="N699" s="42" t="s">
        <v>1492</v>
      </c>
      <c r="O699" s="42">
        <v>2</v>
      </c>
    </row>
    <row r="700" spans="13:16" ht="12.75" customHeight="1">
      <c r="M700" s="42" t="s">
        <v>1493</v>
      </c>
      <c r="N700" s="42" t="s">
        <v>1494</v>
      </c>
      <c r="O700" s="42">
        <v>2</v>
      </c>
    </row>
    <row r="701" spans="13:16" ht="12.75" customHeight="1">
      <c r="M701" s="42" t="s">
        <v>1495</v>
      </c>
      <c r="N701" s="42" t="s">
        <v>1496</v>
      </c>
      <c r="O701" s="42">
        <v>5</v>
      </c>
    </row>
    <row r="702" spans="13:16" ht="12.75" customHeight="1">
      <c r="M702" s="42" t="s">
        <v>1497</v>
      </c>
      <c r="N702" s="42" t="s">
        <v>1498</v>
      </c>
      <c r="O702" s="42">
        <v>0.1</v>
      </c>
    </row>
    <row r="703" spans="13:16" ht="12.75" customHeight="1">
      <c r="M703" s="42" t="s">
        <v>1499</v>
      </c>
      <c r="N703" s="42" t="s">
        <v>1500</v>
      </c>
      <c r="O703" s="42">
        <v>0.5</v>
      </c>
    </row>
    <row r="704" spans="13:16" ht="12.75" customHeight="1">
      <c r="M704" s="42" t="s">
        <v>1501</v>
      </c>
      <c r="N704" s="42" t="s">
        <v>1502</v>
      </c>
    </row>
    <row r="705" spans="13:15" ht="12.75" customHeight="1">
      <c r="M705" s="42" t="s">
        <v>1503</v>
      </c>
      <c r="N705" s="42" t="s">
        <v>1504</v>
      </c>
      <c r="O705" s="42">
        <v>10</v>
      </c>
    </row>
    <row r="706" spans="13:15" ht="12.75" customHeight="1">
      <c r="M706" s="42" t="s">
        <v>65</v>
      </c>
      <c r="N706" s="42" t="s">
        <v>66</v>
      </c>
      <c r="O706" s="42">
        <v>10</v>
      </c>
    </row>
    <row r="707" spans="13:15" ht="12.75" customHeight="1">
      <c r="M707" s="42" t="s">
        <v>1505</v>
      </c>
      <c r="N707" s="42" t="s">
        <v>1506</v>
      </c>
    </row>
    <row r="708" spans="13:15" ht="12.75" customHeight="1">
      <c r="M708" s="42" t="s">
        <v>1507</v>
      </c>
      <c r="N708" s="42" t="s">
        <v>1508</v>
      </c>
      <c r="O708" s="42">
        <v>5</v>
      </c>
    </row>
    <row r="709" spans="13:15" ht="12.75" customHeight="1">
      <c r="M709" s="42" t="s">
        <v>1509</v>
      </c>
      <c r="N709" s="42" t="s">
        <v>1510</v>
      </c>
      <c r="O709" s="42">
        <v>5.0000000000000001E-3</v>
      </c>
    </row>
    <row r="710" spans="13:15" ht="12.75" customHeight="1">
      <c r="M710" s="42" t="s">
        <v>1511</v>
      </c>
      <c r="N710" s="42" t="s">
        <v>1512</v>
      </c>
      <c r="O710" s="42">
        <v>1</v>
      </c>
    </row>
    <row r="711" spans="13:15" ht="12.75" customHeight="1">
      <c r="M711" s="42" t="s">
        <v>1513</v>
      </c>
      <c r="N711" s="42" t="s">
        <v>1514</v>
      </c>
      <c r="O711" s="42">
        <v>1</v>
      </c>
    </row>
    <row r="712" spans="13:15" ht="12.75" customHeight="1">
      <c r="M712" s="42" t="s">
        <v>1515</v>
      </c>
      <c r="N712" s="42" t="s">
        <v>1516</v>
      </c>
      <c r="O712" s="42">
        <v>10</v>
      </c>
    </row>
    <row r="713" spans="13:15" ht="12.75" customHeight="1">
      <c r="M713" s="42" t="s">
        <v>1517</v>
      </c>
      <c r="N713" s="42" t="s">
        <v>1518</v>
      </c>
      <c r="O713" s="42">
        <v>0.05</v>
      </c>
    </row>
    <row r="714" spans="13:15" ht="12.75" customHeight="1">
      <c r="M714" s="42" t="s">
        <v>1519</v>
      </c>
      <c r="N714" s="42" t="s">
        <v>1520</v>
      </c>
      <c r="O714" s="42">
        <v>5.0000000000000001E-4</v>
      </c>
    </row>
    <row r="715" spans="13:15" ht="12.75" customHeight="1">
      <c r="M715" s="42" t="s">
        <v>1521</v>
      </c>
      <c r="N715" s="42" t="s">
        <v>1522</v>
      </c>
      <c r="O715" s="42">
        <v>0.05</v>
      </c>
    </row>
    <row r="716" spans="13:15" ht="12.75" customHeight="1">
      <c r="M716" s="42" t="s">
        <v>1523</v>
      </c>
      <c r="N716" s="42" t="s">
        <v>1524</v>
      </c>
      <c r="O716" s="42">
        <v>0.5</v>
      </c>
    </row>
    <row r="717" spans="13:15" ht="12.75" customHeight="1">
      <c r="M717" s="42" t="s">
        <v>1525</v>
      </c>
      <c r="N717" s="42" t="s">
        <v>1526</v>
      </c>
      <c r="O717" s="42">
        <v>0.05</v>
      </c>
    </row>
    <row r="718" spans="13:15" ht="12.75" customHeight="1">
      <c r="M718" s="42" t="s">
        <v>1527</v>
      </c>
      <c r="N718" s="42" t="s">
        <v>1528</v>
      </c>
      <c r="O718" s="42">
        <v>5</v>
      </c>
    </row>
    <row r="719" spans="13:15" ht="12.75" customHeight="1">
      <c r="M719" s="42" t="s">
        <v>1529</v>
      </c>
      <c r="N719" s="42" t="s">
        <v>1530</v>
      </c>
      <c r="O719" s="42">
        <v>10</v>
      </c>
    </row>
    <row r="720" spans="13:15" ht="12.75" customHeight="1">
      <c r="M720" s="42" t="s">
        <v>1531</v>
      </c>
      <c r="N720" s="42" t="s">
        <v>1532</v>
      </c>
      <c r="O720" s="42">
        <v>2</v>
      </c>
    </row>
    <row r="721" spans="13:15" ht="12.75" customHeight="1">
      <c r="M721" s="42" t="s">
        <v>1533</v>
      </c>
      <c r="N721" s="42" t="s">
        <v>1534</v>
      </c>
      <c r="O721" s="42">
        <v>0.1</v>
      </c>
    </row>
    <row r="722" spans="13:15" ht="12.75" customHeight="1">
      <c r="M722" s="42" t="s">
        <v>1535</v>
      </c>
      <c r="N722" s="42" t="s">
        <v>1536</v>
      </c>
      <c r="O722" s="42">
        <v>0.02</v>
      </c>
    </row>
    <row r="723" spans="13:15" ht="12.75" customHeight="1">
      <c r="M723" s="42" t="s">
        <v>1537</v>
      </c>
      <c r="N723" s="42" t="s">
        <v>1538</v>
      </c>
      <c r="O723" s="42">
        <v>3</v>
      </c>
    </row>
    <row r="724" spans="13:15" ht="12.75" customHeight="1">
      <c r="M724" s="42" t="s">
        <v>1539</v>
      </c>
      <c r="N724" s="42" t="s">
        <v>1540</v>
      </c>
      <c r="O724" s="42">
        <v>3</v>
      </c>
    </row>
    <row r="725" spans="13:15" ht="12.75" customHeight="1">
      <c r="M725" s="42" t="s">
        <v>1541</v>
      </c>
      <c r="N725" s="42" t="s">
        <v>1542</v>
      </c>
      <c r="O725" s="42">
        <v>20</v>
      </c>
    </row>
    <row r="726" spans="13:15" ht="12.75" customHeight="1">
      <c r="M726" s="42" t="s">
        <v>1543</v>
      </c>
      <c r="N726" s="42" t="s">
        <v>1544</v>
      </c>
      <c r="O726" s="42">
        <v>0.2</v>
      </c>
    </row>
    <row r="727" spans="13:15" ht="12.75" customHeight="1">
      <c r="M727" s="42" t="s">
        <v>1545</v>
      </c>
      <c r="N727" s="42" t="s">
        <v>1546</v>
      </c>
      <c r="O727" s="42">
        <v>50</v>
      </c>
    </row>
    <row r="728" spans="13:15" ht="12.75" customHeight="1">
      <c r="M728" s="42" t="s">
        <v>1547</v>
      </c>
      <c r="N728" s="42" t="s">
        <v>1548</v>
      </c>
      <c r="O728" s="42">
        <v>0.05</v>
      </c>
    </row>
    <row r="729" spans="13:15" ht="12.75" customHeight="1">
      <c r="M729" s="42" t="s">
        <v>1549</v>
      </c>
      <c r="N729" s="42" t="s">
        <v>1550</v>
      </c>
      <c r="O729" s="42">
        <v>10</v>
      </c>
    </row>
    <row r="730" spans="13:15" ht="12.75" customHeight="1">
      <c r="M730" s="42" t="s">
        <v>1551</v>
      </c>
      <c r="N730" s="42" t="s">
        <v>1552</v>
      </c>
      <c r="O730" s="42">
        <v>0.5</v>
      </c>
    </row>
    <row r="731" spans="13:15" ht="12.75" customHeight="1">
      <c r="M731" s="42" t="s">
        <v>1553</v>
      </c>
      <c r="N731" s="42" t="s">
        <v>1554</v>
      </c>
      <c r="O731" s="42">
        <v>1</v>
      </c>
    </row>
    <row r="732" spans="13:15" ht="12.75" customHeight="1">
      <c r="M732" s="42" t="s">
        <v>1555</v>
      </c>
      <c r="N732" s="42" t="s">
        <v>1556</v>
      </c>
      <c r="O732" s="42">
        <v>0.1</v>
      </c>
    </row>
    <row r="733" spans="13:15" ht="12.75" customHeight="1">
      <c r="M733" s="42" t="s">
        <v>1557</v>
      </c>
      <c r="N733" s="42" t="s">
        <v>1558</v>
      </c>
      <c r="O733" s="42">
        <v>0.1</v>
      </c>
    </row>
    <row r="734" spans="13:15" ht="12.75" customHeight="1">
      <c r="M734" s="42" t="s">
        <v>1559</v>
      </c>
      <c r="N734" s="42" t="s">
        <v>1560</v>
      </c>
      <c r="O734" s="42">
        <v>1</v>
      </c>
    </row>
    <row r="735" spans="13:15" ht="12.75" customHeight="1">
      <c r="M735" s="42" t="s">
        <v>1561</v>
      </c>
      <c r="N735" s="42" t="s">
        <v>1562</v>
      </c>
      <c r="O735" s="42">
        <v>0.05</v>
      </c>
    </row>
    <row r="736" spans="13:15" ht="12.75" customHeight="1">
      <c r="M736" s="42" t="s">
        <v>1563</v>
      </c>
      <c r="N736" s="42" t="s">
        <v>1564</v>
      </c>
      <c r="O736" s="42">
        <v>5</v>
      </c>
    </row>
    <row r="737" spans="13:15" ht="12.75" customHeight="1">
      <c r="M737" s="42" t="s">
        <v>1565</v>
      </c>
      <c r="N737" s="42" t="s">
        <v>1566</v>
      </c>
      <c r="O737" s="42">
        <v>500</v>
      </c>
    </row>
    <row r="738" spans="13:15" ht="12.75" customHeight="1">
      <c r="M738" s="42" t="s">
        <v>1567</v>
      </c>
      <c r="N738" s="42" t="s">
        <v>1568</v>
      </c>
      <c r="O738" s="42">
        <v>10</v>
      </c>
    </row>
    <row r="739" spans="13:15" ht="12.75" customHeight="1">
      <c r="M739" s="42" t="s">
        <v>1569</v>
      </c>
      <c r="N739" s="42" t="s">
        <v>1570</v>
      </c>
      <c r="O739" s="42">
        <v>0.01</v>
      </c>
    </row>
    <row r="740" spans="13:15" ht="12.75" customHeight="1">
      <c r="M740" s="42" t="s">
        <v>1571</v>
      </c>
      <c r="O740" s="42">
        <v>0.5</v>
      </c>
    </row>
    <row r="741" spans="13:15" ht="12.75" customHeight="1">
      <c r="M741" s="42" t="s">
        <v>1572</v>
      </c>
      <c r="O741" s="42">
        <v>1</v>
      </c>
    </row>
    <row r="742" spans="13:15" ht="12.75" customHeight="1">
      <c r="M742" s="42" t="s">
        <v>1573</v>
      </c>
      <c r="N742" s="42" t="s">
        <v>1574</v>
      </c>
      <c r="O742" s="42">
        <v>20</v>
      </c>
    </row>
    <row r="743" spans="13:15" ht="12.75" customHeight="1">
      <c r="M743" s="42" t="s">
        <v>1575</v>
      </c>
      <c r="N743" s="42" t="s">
        <v>1576</v>
      </c>
      <c r="O743" s="42">
        <v>0.5</v>
      </c>
    </row>
    <row r="744" spans="13:15" ht="12.75" customHeight="1">
      <c r="M744" s="42" t="s">
        <v>1577</v>
      </c>
      <c r="N744" s="42" t="s">
        <v>1578</v>
      </c>
      <c r="O744" s="42">
        <v>1</v>
      </c>
    </row>
    <row r="745" spans="13:15" ht="12.75" customHeight="1">
      <c r="M745" s="42" t="s">
        <v>1579</v>
      </c>
      <c r="N745" s="42" t="s">
        <v>1580</v>
      </c>
      <c r="O745" s="42">
        <v>1</v>
      </c>
    </row>
    <row r="746" spans="13:15" ht="12.75" customHeight="1">
      <c r="M746" s="42" t="s">
        <v>1581</v>
      </c>
      <c r="N746" s="42" t="s">
        <v>1582</v>
      </c>
      <c r="O746" s="42">
        <v>2</v>
      </c>
    </row>
    <row r="747" spans="13:15" ht="12.75" customHeight="1">
      <c r="M747" s="42" t="s">
        <v>1583</v>
      </c>
      <c r="N747" s="42" t="s">
        <v>1584</v>
      </c>
      <c r="O747" s="42">
        <v>5</v>
      </c>
    </row>
    <row r="748" spans="13:15" ht="12.75" customHeight="1">
      <c r="M748" s="42" t="s">
        <v>1585</v>
      </c>
      <c r="N748" s="42" t="s">
        <v>1586</v>
      </c>
      <c r="O748" s="42">
        <v>0.1</v>
      </c>
    </row>
    <row r="749" spans="13:15" ht="12.75" customHeight="1">
      <c r="M749" s="42" t="s">
        <v>1587</v>
      </c>
      <c r="N749" s="42" t="s">
        <v>1588</v>
      </c>
      <c r="O749" s="42">
        <v>1</v>
      </c>
    </row>
  </sheetData>
  <mergeCells count="13">
    <mergeCell ref="AN7:AN14"/>
    <mergeCell ref="AO7:AO14"/>
    <mergeCell ref="AP7:AP14"/>
    <mergeCell ref="AI7:AI14"/>
    <mergeCell ref="AJ7:AJ14"/>
    <mergeCell ref="AK7:AK14"/>
    <mergeCell ref="AL7:AL14"/>
    <mergeCell ref="AM7:AM14"/>
    <mergeCell ref="A1:L1"/>
    <mergeCell ref="S1:U1"/>
    <mergeCell ref="V1:V2"/>
    <mergeCell ref="AD1:AH1"/>
    <mergeCell ref="AI1:AP1"/>
  </mergeCells>
  <dataValidations count="1">
    <dataValidation type="list" allowBlank="1" showInputMessage="1" showErrorMessage="1" sqref="AI7:AI14" xr:uid="{00000000-0002-0000-0300-000000000000}">
      <formula1>"Campana Simple,Campana con Pestaña,Cabina,Campana Elevada"</formula1>
      <formula2>0</formula2>
    </dataValidation>
  </dataValidations>
  <printOptions horizontalCentered="1"/>
  <pageMargins left="0.5" right="0.5" top="0.75" bottom="0.7" header="0.3" footer="0.3"/>
  <pageSetup paperSize="1" orientation="landscape"/>
  <headerFooter>
    <oddHeader>&amp;L&amp;"Calibri,Negrita"&amp;9&amp;K007199SCHO&amp;"Calibri,Normal"&amp;K595959  ·  Sociedad Colombiana de Higienistas Ocupacionales&amp;R&amp;"Calibri,Negrita"&amp;9&amp;K007199VaporRisk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Tabla NIOSH VP-SG</vt:lpstr>
      <vt:lpstr>Calculadora Antoine</vt:lpstr>
      <vt:lpstr>VaporRisk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description/>
  <cp:lastModifiedBy>AK18574</cp:lastModifiedBy>
  <cp:revision>0</cp:revision>
  <dcterms:created xsi:type="dcterms:W3CDTF">2026-06-27T16:38:34Z</dcterms:created>
  <dcterms:modified xsi:type="dcterms:W3CDTF">2026-08-25T15:49:15Z</dcterms:modified>
  <dc:language>en-US</dc:language>
  <dc:title>VaporRisk V2 — SCHO</dc:title>
  <dc:creator>Álvaro Araque García — SCHO</dc:creator>
</cp:coreProperties>
</file>