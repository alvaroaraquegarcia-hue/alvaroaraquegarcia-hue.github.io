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01.xml" ContentType="application/vnd.openxmlformats-officedocument.spreadsheetml.worksheet+xml"/>
  <Override PartName="/xl/drawings/drawing_portada.xml" ContentType="application/vnd.openxmlformats-officedocument.drawing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ortada" sheetId="7" r:id="rIdPortada"/>
    <sheet name="Light" sheetId="1" state="visible" r:id="rId3"/>
    <sheet name="Tabla Iluminancia por Tarea" sheetId="2" state="visible" r:id="rId4"/>
    <sheet name="Factor de Mantenimiento" sheetId="3" state="visible" r:id="rId5"/>
    <sheet name="Uniformidad y Deslumbramiento" sheetId="4" state="visible" r:id="rId6"/>
    <sheet name="Biblioteca de Controles" sheetId="5" state="visible" r:id="rId7"/>
    <sheet name="Plan de Control" sheetId="6" state="visible" r:id="rId8"/>
  </sheets>
  <definedNames>
    <definedName function="false" hidden="false" localSheetId="5" name="_xlnm.Print_Area" vbProcedure="false">'Biblioteca de Controles'!$A$1:$C$7</definedName>
    <definedName function="false" hidden="false" localSheetId="3" name="_xlnm.Print_Area" vbProcedure="false">'Factor de Mantenimiento'!$A$1:$C$35</definedName>
    <definedName function="false" hidden="false" localSheetId="6" name="_xlnm.Print_Area" vbProcedure="false">'Plan de Control'!$A$1:$C$9</definedName>
    <definedName function="false" hidden="false" localSheetId="2" name="_xlnm.Print_Area" vbProcedure="false">'Tabla Iluminancia por Tarea'!$A$1:$D$25</definedName>
    <definedName function="false" hidden="false" localSheetId="4" name="_xlnm.Print_Area" vbProcedure="false">'Uniformidad y Deslumbramiento'!$A$1:$C$23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<sst xmlns="http://schemas.openxmlformats.org/spreadsheetml/2006/main" count="180" uniqueCount="137">
  <si>
    <t xml:space="preserve">DISEÑO DE ILUMINACION</t>
  </si>
  <si>
    <t xml:space="preserve">Largo del local (L)</t>
  </si>
  <si>
    <t xml:space="preserve">m</t>
  </si>
  <si>
    <t xml:space="preserve">Ancho de local (W)</t>
  </si>
  <si>
    <t xml:space="preserve">Alto del local (H)</t>
  </si>
  <si>
    <t xml:space="preserve">Altura plano de trabajo (hp)</t>
  </si>
  <si>
    <t xml:space="preserve">Altura suspensión lámpara (hd)</t>
  </si>
  <si>
    <t xml:space="preserve">Iluminancia requerida (Ereq)</t>
  </si>
  <si>
    <t xml:space="preserve">Lux</t>
  </si>
  <si>
    <t xml:space="preserve">Área del local (S)</t>
  </si>
  <si>
    <t xml:space="preserve">m²</t>
  </si>
  <si>
    <t xml:space="preserve">Altura útil de montaje (hm)</t>
  </si>
  <si>
    <t xml:space="preserve">Índice del local (K)</t>
  </si>
  <si>
    <t xml:space="preserve">DATOS DE LUMINARIAS</t>
  </si>
  <si>
    <t xml:space="preserve">Flujo por lámpara (Φ (phi))</t>
  </si>
  <si>
    <t xml:space="preserve">lm</t>
  </si>
  <si>
    <t xml:space="preserve">Número de lámparas (n_l)</t>
  </si>
  <si>
    <t xml:space="preserve">Coeficiente de Utilización (CU)</t>
  </si>
  <si>
    <t xml:space="preserve">Factor de Mantenimiento (FM)</t>
  </si>
  <si>
    <t xml:space="preserve">Flujo luminoso total requerido</t>
  </si>
  <si>
    <t xml:space="preserve">Número teórico de luminarias</t>
  </si>
  <si>
    <t xml:space="preserve">Unidades</t>
  </si>
  <si>
    <t xml:space="preserve">Luminarias a lo largo (NL)</t>
  </si>
  <si>
    <t xml:space="preserve">filas</t>
  </si>
  <si>
    <t xml:space="preserve">Luminarias a lo ancho (NW)</t>
  </si>
  <si>
    <t xml:space="preserve">columnas</t>
  </si>
  <si>
    <t xml:space="preserve">Número real instalado</t>
  </si>
  <si>
    <t xml:space="preserve">luminarias</t>
  </si>
  <si>
    <t xml:space="preserve">Distancia entre luminarias (Largo</t>
  </si>
  <si>
    <t xml:space="preserve">Distancia entre luminarias (Ancho)</t>
  </si>
  <si>
    <t xml:space="preserve">Distancia a la pared</t>
  </si>
  <si>
    <t xml:space="preserve">Iluminancia requerida</t>
  </si>
  <si>
    <t xml:space="preserve">Iluminancia real proyectada</t>
  </si>
  <si>
    <t xml:space="preserve">Evaluación de cumplimiento</t>
  </si>
  <si>
    <t xml:space="preserve">TABLA DE ILUMINANCIA REQUERIDA POR TIPO DE TAREA VISUAL</t>
  </si>
  <si>
    <t xml:space="preserve">Tipo de Espacio / Tarea Visual</t>
  </si>
  <si>
    <t xml:space="preserve">Em (lux)</t>
  </si>
  <si>
    <t xml:space="preserve">UGR Máximo</t>
  </si>
  <si>
    <t xml:space="preserve">Fuente</t>
  </si>
  <si>
    <t xml:space="preserve">Circulación, pasillos, escaleras</t>
  </si>
  <si>
    <t xml:space="preserve">EN 12464-1 / RETILAP</t>
  </si>
  <si>
    <t xml:space="preserve">Áreas de descanso, comedores</t>
  </si>
  <si>
    <t xml:space="preserve">Vestieres, baños</t>
  </si>
  <si>
    <t xml:space="preserve">Bodegas — manipulación ocasional</t>
  </si>
  <si>
    <t xml:space="preserve">Bodegas — lectura de etiquetas / picking</t>
  </si>
  <si>
    <t xml:space="preserve">Recepción, portería</t>
  </si>
  <si>
    <t xml:space="preserve">Oficinas generales, lectura y escritura</t>
  </si>
  <si>
    <t xml:space="preserve">Salas de reunión, capacitación</t>
  </si>
  <si>
    <t xml:space="preserve">Salas de control / monitoreo</t>
  </si>
  <si>
    <t xml:space="preserve">CAD, diseño técnico</t>
  </si>
  <si>
    <t xml:space="preserve">Talleres mecánicos generales</t>
  </si>
  <si>
    <t xml:space="preserve">Trabajo de ensamblaje, mediana precisión</t>
  </si>
  <si>
    <t xml:space="preserve">Trabajo de ensamblaje, alta precisión</t>
  </si>
  <si>
    <t xml:space="preserve">Soldadura</t>
  </si>
  <si>
    <t xml:space="preserve">Pintura, acabados</t>
  </si>
  <si>
    <t xml:space="preserve">Inspección de calidad, control fino</t>
  </si>
  <si>
    <t xml:space="preserve">Electrónica de precisión</t>
  </si>
  <si>
    <t xml:space="preserve">Laboratorios</t>
  </si>
  <si>
    <t xml:space="preserve">Cuartos eléctricos / de máquinas</t>
  </si>
  <si>
    <t xml:space="preserve">Enfermería / primeros auxilios</t>
  </si>
  <si>
    <t xml:space="preserve">Áreas exteriores de circulación / parqueaderos</t>
  </si>
  <si>
    <t xml:space="preserve">—</t>
  </si>
  <si>
    <t xml:space="preserve">EN 12464-2 / RETILAP</t>
  </si>
  <si>
    <t xml:space="preserve">Nota técnica: valores orientativos según EN 12464-1 (iluminación de interiores) y el Reglamento Técnico de Iluminación y Alumbrado Público (RETILAP) de Colombia. Consulte el valor correspondiente a la tarea visual evaluada y trasládelo manualmente a la celda B9 (Ereq) de la hoja "Light"; el UGR Máximo se usa en la hoja "Uniformidad y Deslumbramiento".</t>
  </si>
  <si>
    <t xml:space="preserve">FACTOR DE MANTENIMIENTO (DESAGREGADO)</t>
  </si>
  <si>
    <t xml:space="preserve">Componente</t>
  </si>
  <si>
    <t xml:space="preserve">Selección</t>
  </si>
  <si>
    <t xml:space="preserve">Valor</t>
  </si>
  <si>
    <t xml:space="preserve">LLMF — Depreciación del flujo de la lámpara</t>
  </si>
  <si>
    <t xml:space="preserve">LED — mantenimiento cada 50.000 h</t>
  </si>
  <si>
    <t xml:space="preserve">LSF — Factor de Supervivencia de la Lámpara</t>
  </si>
  <si>
    <t xml:space="preserve">LED (fuente sólida, sin reposición grupal)</t>
  </si>
  <si>
    <t xml:space="preserve">LMF — Depreciación por suciedad de la luminaria</t>
  </si>
  <si>
    <t xml:space="preserve">Ambiente industrial normal</t>
  </si>
  <si>
    <t xml:space="preserve">RSMF — Depreciación por suciedad del local</t>
  </si>
  <si>
    <t xml:space="preserve">Local industrial normal</t>
  </si>
  <si>
    <t xml:space="preserve">Factor de Mantenimiento Total (FM)</t>
  </si>
  <si>
    <t xml:space="preserve">Tablas de referencia</t>
  </si>
  <si>
    <t xml:space="preserve">LLMF (según tecnología y periodo entre mantenimientos)</t>
  </si>
  <si>
    <t xml:space="preserve">LED — mantenimiento cada 25.000 h</t>
  </si>
  <si>
    <t xml:space="preserve">LED — mantenimiento cada 100.000 h</t>
  </si>
  <si>
    <t xml:space="preserve">Fluorescente/HID — mantenimiento cada 10.000 h</t>
  </si>
  <si>
    <t xml:space="preserve">Fluorescente/HID — mantenimiento cada 20.000 h</t>
  </si>
  <si>
    <t xml:space="preserve">LSF (según tecnología y política de reposición)</t>
  </si>
  <si>
    <t xml:space="preserve">Fluorescente/HID con reposición grupal programada</t>
  </si>
  <si>
    <t xml:space="preserve">Fluorescente/HID con reposición individual al fallo</t>
  </si>
  <si>
    <t xml:space="preserve">LMF (según ambiente)</t>
  </si>
  <si>
    <t xml:space="preserve">Ambiente limpio (oficinas, comercio, salud)</t>
  </si>
  <si>
    <t xml:space="preserve">Ambiente industrial con alta suciedad</t>
  </si>
  <si>
    <t xml:space="preserve">RSMF (según ambiente del local)</t>
  </si>
  <si>
    <t xml:space="preserve">Local limpio, mantenimiento regular</t>
  </si>
  <si>
    <t xml:space="preserve">Local con alta suciedad o bajo mantenimiento</t>
  </si>
  <si>
    <t xml:space="preserve">Nota técnica: FM = LLMF × LSF × LMF × RSMF (método IES/CIE 97). Los valores de esta tabla son órdenes de magnitud orientativos de la literatura técnica de iluminación; verifique contra la ficha del fabricante y el plan de mantenimiento real del recinto cuando estén disponibles. Este valor alimenta automáticamente la celda B18 (FM) de la hoja "Light".</t>
  </si>
  <si>
    <t xml:space="preserve">UNIFORMIDAD Y DESLUMBRAMIENTO</t>
  </si>
  <si>
    <t xml:space="preserve">1. Uniformidad (relación distancia / altura — SHR)</t>
  </si>
  <si>
    <t xml:space="preserve">Distancia entre luminarias — Largo</t>
  </si>
  <si>
    <t xml:space="preserve">Distancia entre luminarias — Ancho</t>
  </si>
  <si>
    <t xml:space="preserve">SHR Largo (Distancia Largo / hm)</t>
  </si>
  <si>
    <t xml:space="preserve">SHR Ancho (Distancia Ancho / hm)</t>
  </si>
  <si>
    <t xml:space="preserve">SHR Máximo Recomendado</t>
  </si>
  <si>
    <t xml:space="preserve">Evaluación de Uniformidad</t>
  </si>
  <si>
    <t xml:space="preserve">2. Deslumbramiento (UGR)</t>
  </si>
  <si>
    <t xml:space="preserve">UGR reportado por el fabricante de la luminaria</t>
  </si>
  <si>
    <t xml:space="preserve">UGR Máximo permitido (ver tabla de tarea visual)</t>
  </si>
  <si>
    <t xml:space="preserve">Evaluación UGR</t>
  </si>
  <si>
    <t xml:space="preserve">3. Cumplimiento Integral</t>
  </si>
  <si>
    <t xml:space="preserve">Iluminancia (hoja "Light")</t>
  </si>
  <si>
    <t xml:space="preserve">Uniformidad</t>
  </si>
  <si>
    <t xml:space="preserve">Deslumbramiento (UGR)</t>
  </si>
  <si>
    <t xml:space="preserve">Resultado Integral</t>
  </si>
  <si>
    <t xml:space="preserve">Nota técnica: el SHR (Spacing to Height Ratio) es una regla práctica de diseño lumínico — un SHR ≤ 1,5 (valor típico para luminarias de distribución media) sugiere una uniformidad razonable sin necesidad de cálculo punto a punto; luminarias de óptica muy concentrada pueden requerir un SHR máximo menor, según su curva fotométrica. El UGR depende de la curva de intensidad luminosa de la luminaria y debe tomarse de la ficha fotométrica del fabricante para la configuración instalada.</t>
  </si>
  <si>
    <t xml:space="preserve">BIBLIOTECA DE CONTROLES (EDITABLE)</t>
  </si>
  <si>
    <t xml:space="preserve">Categoría</t>
  </si>
  <si>
    <t xml:space="preserve">Condición de Activación</t>
  </si>
  <si>
    <t xml:space="preserve">Recomendación</t>
  </si>
  <si>
    <t xml:space="preserve">Iluminancia insuficiente</t>
  </si>
  <si>
    <t xml:space="preserve">Evaluación de cumplimiento = INSUFICIENTE (hoja Light, celda B33)</t>
  </si>
  <si>
    <t xml:space="preserve">Aumentar el número de luminarias, mejorar el Coeficiente de Utilización (luminaria de óptica más eficiente o superficies más claras) o seleccionar una luminaria de mayor flujo luminoso.</t>
  </si>
  <si>
    <t xml:space="preserve">Uniformidad deficiente</t>
  </si>
  <si>
    <t xml:space="preserve">Evaluación de Uniformidad = "REVISAR DISTRIBUCIÓN" (hoja Uniformidad y Deslumbramiento)</t>
  </si>
  <si>
    <t xml:space="preserve">Reducir la distancia entre luminarias (aumentar NL y/o NW en la hoja "Light") hasta cumplir la relación distancia/altura (SHR) recomendada.</t>
  </si>
  <si>
    <t xml:space="preserve">Deslumbramiento excesivo</t>
  </si>
  <si>
    <t xml:space="preserve">Evaluación UGR = EXCEDE LÍMITE (hoja Uniformidad y Deslumbramiento)</t>
  </si>
  <si>
    <t xml:space="preserve">Seleccionar una luminaria con óptica de menor deslumbramiento (difusor, parabólica o louvers) o reubicarla fuera del campo visual directo del observador.</t>
  </si>
  <si>
    <t xml:space="preserve">Factor de Mantenimiento bajo</t>
  </si>
  <si>
    <t xml:space="preserve">FM Total &lt; 0,60 (hoja Factor de Mantenimiento)</t>
  </si>
  <si>
    <t xml:space="preserve">Implementar o incrementar la frecuencia del programa de limpieza de luminarias y relamping; revisar la selección de tecnología (LED reduce la depreciación del flujo frente a fuentes convencionales).</t>
  </si>
  <si>
    <t xml:space="preserve">Monitoreo y verificación</t>
  </si>
  <si>
    <t xml:space="preserve">Siempre que se evalúe un diseño</t>
  </si>
  <si>
    <t xml:space="preserve">Verificar en campo el diseño con mediciones periódicas de luxómetro en varios puntos del área de trabajo, no solo en el punto de cálculo promedio.</t>
  </si>
  <si>
    <t xml:space="preserve">PLAN DE CONTROL AUTOMÁTICO</t>
  </si>
  <si>
    <t xml:space="preserve">Prioridad</t>
  </si>
  <si>
    <t xml:space="preserve">Prioridad inmediata</t>
  </si>
  <si>
    <t xml:space="preserve">Nivel 1</t>
  </si>
  <si>
    <t xml:space="preserve">Nivel 2</t>
  </si>
  <si>
    <t xml:space="preserve">Nivel 3</t>
  </si>
  <si>
    <t xml:space="preserve">Aviso: las recomendaciones del Plan de Control se generan a partir de reglas editables en la hoja "Biblioteca de Controles" y son orientativas; no sustituyen el criterio del profesional en higiene ocupacional o diseño lumínico. Un guion (—) indica que la condición de esa fila no se cumple con los datos actuales.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</si>
</sst>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.00"/>
    <numFmt numFmtId="166" formatCode="0.000"/>
    <numFmt numFmtId="167" formatCode="0.0"/>
    <numFmt numFmtId="168" formatCode="0"/>
  </numFmts>
  <fonts count="8">
    <font>
      <sz val="11"/>
      <color theme="1"/>
      <name val="Calibri"/>
      <family val="2"/>
      <charset val="1"/>
    </font>
    <font>
      <sz val="10"/>
      <name val="Calibri"/>
      <family val="0"/>
    </font>
    <font>
      <sz val="10"/>
      <name val="Calibri"/>
      <family val="0"/>
    </font>
    <font>
      <sz val="10"/>
      <name val="Calibri"/>
      <family val="0"/>
    </font>
    <font>
      <b val="true"/>
      <sz val="14"/>
      <color theme="0"/>
      <name val="Calibri"/>
      <family val="2"/>
      <charset val="1"/>
    </font>
    <font>
      <b val="true"/>
      <sz val="11"/>
      <color theme="1"/>
      <name val="Calibri"/>
      <family val="2"/>
      <charset val="1"/>
    </font>
    <font>
      <i val="true"/>
      <sz val="10"/>
      <color theme="1"/>
      <name val="Calibri"/>
      <family val="2"/>
      <charset val="1"/>
    </font>
    <font>
      <b val="true"/>
      <sz val="12"/>
      <color theme="1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7199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theme="0"/>
        <bgColor rgb="FFFFF3CD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0" fillId="4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true" indent="0" shrinkToFit="false"/>
      <protection locked="true" hidden="false"/>
    </xf>
    <xf numFmtId="168" fontId="0" fillId="3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3CD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04862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'1.0' encoding='UTF-8' standalone='yes'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Relationship Id="rIdPortada" Type="http://schemas.openxmlformats.org/officeDocument/2006/relationships/worksheet" Target="worksheets/sheet101.xml"/></Relationships>
</file>

<file path=xl/drawings/_rels/drawing_portada.xml.rels><?xml version="1.0" encoding="UTF-8" standalone="yes"?><Relationships xmlns="http://schemas.openxmlformats.org/package/2006/relationships"><Relationship Id="rId1" Type="http://schemas.openxmlformats.org/officeDocument/2006/relationships/image" Target="../media/portada_scho.png"/></Relationships>
</file>

<file path=xl/drawings/drawing_portada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</xdr:row>
      <xdr:rowOff>0</xdr:rowOff>
    </xdr:from>
    <xdr:ext cx="8915400" cy="5695950"/>
    <xdr:pic>
      <xdr:nvPicPr>
        <xdr:cNvPr id="2" name="Portada SCH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8915400" cy="5695950"/>
        </a:xfrm>
        <a:prstGeom prst="rect">
          <a:avLst/>
        </a:prstGeom>
        <a:ln w="9525">
          <a:solidFill>
            <a:srgbClr val="D9E1E6"/>
          </a:solidFill>
        </a:ln>
      </xdr:spPr>
    </xdr:pic>
    <xdr:clientData/>
  </xdr:oneCellAnchor>
</xdr:wsDr>
</file>

<file path=xl/theme/theme1.xml><?xml version="1.0" encoding="utf-8"?>
<a:theme xmlns:a="http://schemas.openxmlformats.org/drawingml/2006/main" xmlns:r="http://schemas.openxmlformats.org/officeDocument/2006/relationships" name="Tema de Office">
  <a:themeElements>
    <a:clrScheme name="Office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 panose="02110004020202020204" pitchFamily="0" charset="1"/>
        <a:ea typeface=""/>
        <a:cs typeface=""/>
      </a:majorFont>
      <a:minorFont>
        <a:latin typeface="Calibri" panose="0211000402020202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  <a:ln w="2540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0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_portada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33"/>
  <sheetViews>
    <sheetView showFormulas="false" showGridLines="0" showRowColHeaders="true" showZeros="true" rightToLeft="false" showOutlineSymbols="true" defaultGridColor="true" view="normal" topLeftCell="A7" colorId="64" zoomScale="118" zoomScaleNormal="118" zoomScalePageLayoutView="100" workbookViewId="0">
      <selection pane="topLeft" activeCell="A12" activeCellId="0" sqref="A12"/>
    </sheetView>
  </sheetViews>
  <sheetFormatPr defaultColWidth="12.1199" defaultRowHeight="15" zeroHeight="false" outlineLevelRow="0" outlineLevelCol="0"/>
  <cols>
    <col collapsed="false" customWidth="1" hidden="false" outlineLevel="0" max="1" min="1" style="1" width="35.1555"/>
    <col collapsed="false" customWidth="1" hidden="false" outlineLevel="0" max="2" min="2" style="2" width="23.8165"/>
    <col collapsed="false" customWidth="1" hidden="false" outlineLevel="0" max="3" min="3" style="2" width="13.1445"/>
  </cols>
  <sheetData>
    <row r="1" customFormat="false" ht="18.75" hidden="false" customHeight="true" outlineLevel="0" collapsed="false">
      <c r="A1" s="3" t="s">
        <v>0</v>
      </c>
      <c r="B1" s="3"/>
      <c r="C1" s="3"/>
    </row>
    <row r="2" customFormat="false" ht="15" hidden="false" customHeight="true" outlineLevel="0" collapsed="false">
      <c r="A2" s="4"/>
      <c r="B2" s="5"/>
      <c r="C2" s="5"/>
    </row>
    <row r="3" customFormat="false" ht="15" hidden="false" customHeight="true" outlineLevel="0" collapsed="false">
      <c r="A3" s="4"/>
      <c r="B3" s="5"/>
      <c r="C3" s="5"/>
    </row>
    <row r="4" customFormat="false" ht="15" hidden="false" customHeight="true" outlineLevel="0" collapsed="false">
      <c r="A4" s="4" t="s">
        <v>1</v>
      </c>
      <c r="B4" s="6" t="n">
        <v>15</v>
      </c>
      <c r="C4" s="5" t="s">
        <v>2</v>
      </c>
    </row>
    <row r="5" customFormat="false" ht="15" hidden="false" customHeight="true" outlineLevel="0" collapsed="false">
      <c r="A5" s="4" t="s">
        <v>3</v>
      </c>
      <c r="B5" s="6" t="n">
        <v>10</v>
      </c>
      <c r="C5" s="5" t="s">
        <v>2</v>
      </c>
    </row>
    <row r="6" customFormat="false" ht="15" hidden="false" customHeight="true" outlineLevel="0" collapsed="false">
      <c r="A6" s="4" t="s">
        <v>4</v>
      </c>
      <c r="B6" s="6" t="n">
        <v>4</v>
      </c>
      <c r="C6" s="5" t="s">
        <v>2</v>
      </c>
    </row>
    <row r="7" customFormat="false" ht="15" hidden="false" customHeight="true" outlineLevel="0" collapsed="false">
      <c r="A7" s="4" t="s">
        <v>5</v>
      </c>
      <c r="B7" s="6" t="n">
        <v>0.85</v>
      </c>
      <c r="C7" s="5" t="s">
        <v>2</v>
      </c>
    </row>
    <row r="8" customFormat="false" ht="15" hidden="false" customHeight="true" outlineLevel="0" collapsed="false">
      <c r="A8" s="4" t="s">
        <v>6</v>
      </c>
      <c r="B8" s="6" t="n">
        <v>0</v>
      </c>
      <c r="C8" s="5" t="s">
        <v>2</v>
      </c>
    </row>
    <row r="9" customFormat="false" ht="15" hidden="false" customHeight="true" outlineLevel="0" collapsed="false">
      <c r="A9" s="4" t="s">
        <v>7</v>
      </c>
      <c r="B9" s="6" t="n">
        <v>500</v>
      </c>
      <c r="C9" s="5" t="s">
        <v>8</v>
      </c>
    </row>
    <row r="10" customFormat="false" ht="15" hidden="false" customHeight="true" outlineLevel="0" collapsed="false">
      <c r="A10" s="4" t="s">
        <v>9</v>
      </c>
      <c r="B10" s="5" t="n">
        <f aca="false">B4 * B5</f>
        <v>150</v>
      </c>
      <c r="C10" s="5" t="s">
        <v>10</v>
      </c>
    </row>
    <row r="11" customFormat="false" ht="15" hidden="false" customHeight="true" outlineLevel="0" collapsed="false">
      <c r="A11" s="4" t="s">
        <v>11</v>
      </c>
      <c r="B11" s="5" t="n">
        <f aca="false">B6 - B7 - B8</f>
        <v>3.15</v>
      </c>
      <c r="C11" s="5" t="s">
        <v>2</v>
      </c>
    </row>
    <row r="12" customFormat="false" ht="15" hidden="false" customHeight="true" outlineLevel="0" collapsed="false">
      <c r="A12" s="4" t="s">
        <v>12</v>
      </c>
      <c r="B12" s="7" t="n">
        <f aca="false">(B4 * B5) / (B11 * (B4 + B5))</f>
        <v>1.9047619047619</v>
      </c>
      <c r="C12" s="5"/>
    </row>
    <row r="13" customFormat="false" ht="15" hidden="false" customHeight="true" outlineLevel="0" collapsed="false">
      <c r="A13" s="4"/>
      <c r="B13" s="5"/>
      <c r="C13" s="5"/>
    </row>
    <row r="14" customFormat="false" ht="15" hidden="false" customHeight="true" outlineLevel="0" collapsed="false">
      <c r="A14" s="4" t="s">
        <v>13</v>
      </c>
      <c r="B14" s="5"/>
      <c r="C14" s="5"/>
    </row>
    <row r="15" customFormat="false" ht="15" hidden="false" customHeight="true" outlineLevel="0" collapsed="false">
      <c r="A15" s="4" t="s">
        <v>14</v>
      </c>
      <c r="B15" s="6" t="n">
        <v>10000</v>
      </c>
      <c r="C15" s="5" t="s">
        <v>15</v>
      </c>
    </row>
    <row r="16" customFormat="false" ht="15" hidden="false" customHeight="true" outlineLevel="0" collapsed="false">
      <c r="A16" s="4" t="s">
        <v>16</v>
      </c>
      <c r="B16" s="6" t="n">
        <v>1</v>
      </c>
      <c r="C16" s="5"/>
    </row>
    <row r="17" customFormat="false" ht="15" hidden="false" customHeight="true" outlineLevel="0" collapsed="false">
      <c r="A17" s="4" t="s">
        <v>17</v>
      </c>
      <c r="B17" s="6" t="n">
        <v>0.55</v>
      </c>
      <c r="C17" s="5"/>
    </row>
    <row r="18" customFormat="false" ht="15" hidden="false" customHeight="true" outlineLevel="0" collapsed="false">
      <c r="A18" s="4" t="s">
        <v>18</v>
      </c>
      <c r="B18" s="8" t="n">
        <f aca="false">'Factor de Mantenimiento'!C9</f>
        <v>0.6075</v>
      </c>
      <c r="C18" s="5"/>
    </row>
    <row r="19" customFormat="false" ht="15" hidden="false" customHeight="true" outlineLevel="0" collapsed="false">
      <c r="A19" s="4" t="s">
        <v>19</v>
      </c>
      <c r="B19" s="9" t="n">
        <f aca="false">(B9 * B10) / (B17 * B18)</f>
        <v>224466.891133558</v>
      </c>
      <c r="C19" s="5" t="s">
        <v>15</v>
      </c>
    </row>
    <row r="20" customFormat="false" ht="15" hidden="false" customHeight="true" outlineLevel="0" collapsed="false">
      <c r="A20" s="4" t="s">
        <v>20</v>
      </c>
      <c r="B20" s="7" t="n">
        <f aca="false">B19 / (B16 * B15)</f>
        <v>22.4466891133558</v>
      </c>
      <c r="C20" s="5" t="s">
        <v>21</v>
      </c>
    </row>
    <row r="21" customFormat="false" ht="15" hidden="false" customHeight="true" outlineLevel="0" collapsed="false">
      <c r="A21" s="4"/>
      <c r="B21" s="5"/>
      <c r="C21" s="5"/>
    </row>
    <row r="22" customFormat="false" ht="15" hidden="false" customHeight="true" outlineLevel="0" collapsed="false">
      <c r="A22" s="4"/>
      <c r="B22" s="5"/>
      <c r="C22" s="5"/>
    </row>
    <row r="23" customFormat="false" ht="15" hidden="false" customHeight="true" outlineLevel="0" collapsed="false">
      <c r="A23" s="4" t="s">
        <v>22</v>
      </c>
      <c r="B23" s="5" t="n">
        <f aca="false">ROUND(SQRT(B20 * (B4 / B5)), 0)</f>
        <v>6</v>
      </c>
      <c r="C23" s="5" t="s">
        <v>23</v>
      </c>
    </row>
    <row r="24" customFormat="false" ht="15" hidden="false" customHeight="true" outlineLevel="0" collapsed="false">
      <c r="A24" s="4" t="s">
        <v>24</v>
      </c>
      <c r="B24" s="5" t="n">
        <f aca="false">ROUND(B20 / B23, 0)</f>
        <v>4</v>
      </c>
      <c r="C24" s="5" t="s">
        <v>25</v>
      </c>
    </row>
    <row r="25" customFormat="false" ht="15" hidden="false" customHeight="true" outlineLevel="0" collapsed="false">
      <c r="A25" s="4" t="s">
        <v>26</v>
      </c>
      <c r="B25" s="5" t="n">
        <f aca="false">B23 * B24</f>
        <v>24</v>
      </c>
      <c r="C25" s="5" t="s">
        <v>27</v>
      </c>
    </row>
    <row r="26" customFormat="false" ht="15" hidden="false" customHeight="true" outlineLevel="0" collapsed="false">
      <c r="A26" s="4" t="s">
        <v>28</v>
      </c>
      <c r="B26" s="5" t="n">
        <f aca="false">B4 / B23</f>
        <v>2.5</v>
      </c>
      <c r="C26" s="5" t="s">
        <v>2</v>
      </c>
    </row>
    <row r="27" customFormat="false" ht="15" hidden="false" customHeight="true" outlineLevel="0" collapsed="false">
      <c r="A27" s="4" t="s">
        <v>29</v>
      </c>
      <c r="B27" s="5" t="n">
        <f aca="false">B5 / B24</f>
        <v>2.5</v>
      </c>
      <c r="C27" s="5" t="s">
        <v>2</v>
      </c>
    </row>
    <row r="28" customFormat="false" ht="15" hidden="false" customHeight="true" outlineLevel="0" collapsed="false">
      <c r="A28" s="4" t="s">
        <v>30</v>
      </c>
      <c r="B28" s="5" t="n">
        <f aca="false">B26 / 2</f>
        <v>1.25</v>
      </c>
      <c r="C28" s="5" t="s">
        <v>2</v>
      </c>
    </row>
    <row r="29" customFormat="false" ht="15" hidden="false" customHeight="true" outlineLevel="0" collapsed="false">
      <c r="A29" s="4"/>
      <c r="B29" s="5"/>
      <c r="C29" s="5"/>
    </row>
    <row r="30" customFormat="false" ht="15" hidden="false" customHeight="true" outlineLevel="0" collapsed="false">
      <c r="A30" s="4"/>
      <c r="B30" s="5"/>
      <c r="C30" s="5"/>
    </row>
    <row r="31" customFormat="false" ht="15" hidden="false" customHeight="true" outlineLevel="0" collapsed="false">
      <c r="A31" s="4" t="s">
        <v>31</v>
      </c>
      <c r="B31" s="5" t="n">
        <f aca="false">B9</f>
        <v>500</v>
      </c>
      <c r="C31" s="5" t="s">
        <v>8</v>
      </c>
    </row>
    <row r="32" customFormat="false" ht="15" hidden="false" customHeight="true" outlineLevel="0" collapsed="false">
      <c r="A32" s="4" t="s">
        <v>32</v>
      </c>
      <c r="B32" s="7" t="n">
        <f aca="false">(B25 * B16 * B15 * B17 * B18) / B10</f>
        <v>534.6</v>
      </c>
      <c r="C32" s="5" t="s">
        <v>8</v>
      </c>
    </row>
    <row r="33" customFormat="false" ht="15" hidden="false" customHeight="true" outlineLevel="0" collapsed="false">
      <c r="A33" s="4" t="s">
        <v>33</v>
      </c>
      <c r="B33" s="5" t="str">
        <f aca="false">IF(B32&gt;=B31, "CUMPLE NORMA", "INSUFICIENTE")</f>
        <v>CUMPLE NORMA</v>
      </c>
      <c r="C33" s="5"/>
    </row>
  </sheetData>
  <mergeCells count="1">
    <mergeCell ref="A1:C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D25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199" defaultRowHeight="15" zeroHeight="false" outlineLevelRow="0" outlineLevelCol="0"/>
  <cols>
    <col collapsed="false" customWidth="1" hidden="false" outlineLevel="0" max="1" min="1" style="0" width="48.3000"/>
    <col collapsed="false" customWidth="1" hidden="false" outlineLevel="0" max="3" min="2" style="0" width="16.1000"/>
    <col collapsed="false" customWidth="1" hidden="false" outlineLevel="0" max="4" min="4" style="0" width="34.5000"/>
  </cols>
  <sheetData>
    <row r="1" customFormat="false" ht="17.35" hidden="false" customHeight="false" outlineLevel="0" collapsed="false">
      <c r="A1" s="10" t="s">
        <v>34</v>
      </c>
      <c r="B1" s="10"/>
      <c r="C1" s="10"/>
      <c r="D1" s="10"/>
    </row>
    <row r="2" customFormat="false" ht="15" hidden="false" customHeight="false" outlineLevel="0" collapsed="false">
      <c r="A2" s="11" t="s">
        <v>35</v>
      </c>
      <c r="B2" s="11" t="s">
        <v>36</v>
      </c>
      <c r="C2" s="11" t="s">
        <v>37</v>
      </c>
      <c r="D2" s="11" t="s">
        <v>38</v>
      </c>
    </row>
    <row r="3" customFormat="false" ht="15" hidden="false" customHeight="false" outlineLevel="0" collapsed="false">
      <c r="A3" s="5" t="s">
        <v>39</v>
      </c>
      <c r="B3" s="5" t="n">
        <v>100</v>
      </c>
      <c r="C3" s="5" t="n">
        <v>25</v>
      </c>
      <c r="D3" s="5" t="s">
        <v>40</v>
      </c>
    </row>
    <row r="4" customFormat="false" ht="15" hidden="false" customHeight="false" outlineLevel="0" collapsed="false">
      <c r="A4" s="5" t="s">
        <v>41</v>
      </c>
      <c r="B4" s="5" t="n">
        <v>200</v>
      </c>
      <c r="C4" s="5" t="n">
        <v>22</v>
      </c>
      <c r="D4" s="5" t="s">
        <v>40</v>
      </c>
    </row>
    <row r="5" customFormat="false" ht="15" hidden="false" customHeight="false" outlineLevel="0" collapsed="false">
      <c r="A5" s="5" t="s">
        <v>42</v>
      </c>
      <c r="B5" s="5" t="n">
        <v>150</v>
      </c>
      <c r="C5" s="5" t="n">
        <v>25</v>
      </c>
      <c r="D5" s="5" t="s">
        <v>40</v>
      </c>
    </row>
    <row r="6" customFormat="false" ht="15" hidden="false" customHeight="false" outlineLevel="0" collapsed="false">
      <c r="A6" s="5" t="s">
        <v>43</v>
      </c>
      <c r="B6" s="5" t="n">
        <v>100</v>
      </c>
      <c r="C6" s="5" t="n">
        <v>25</v>
      </c>
      <c r="D6" s="5" t="s">
        <v>40</v>
      </c>
    </row>
    <row r="7" customFormat="false" ht="15" hidden="false" customHeight="false" outlineLevel="0" collapsed="false">
      <c r="A7" s="5" t="s">
        <v>44</v>
      </c>
      <c r="B7" s="5" t="n">
        <v>200</v>
      </c>
      <c r="C7" s="5" t="n">
        <v>25</v>
      </c>
      <c r="D7" s="5" t="s">
        <v>40</v>
      </c>
    </row>
    <row r="8" customFormat="false" ht="15" hidden="false" customHeight="false" outlineLevel="0" collapsed="false">
      <c r="A8" s="5" t="s">
        <v>45</v>
      </c>
      <c r="B8" s="5" t="n">
        <v>300</v>
      </c>
      <c r="C8" s="5" t="n">
        <v>22</v>
      </c>
      <c r="D8" s="5" t="s">
        <v>40</v>
      </c>
    </row>
    <row r="9" customFormat="false" ht="15" hidden="false" customHeight="false" outlineLevel="0" collapsed="false">
      <c r="A9" s="5" t="s">
        <v>46</v>
      </c>
      <c r="B9" s="5" t="n">
        <v>500</v>
      </c>
      <c r="C9" s="5" t="n">
        <v>19</v>
      </c>
      <c r="D9" s="5" t="s">
        <v>40</v>
      </c>
    </row>
    <row r="10" customFormat="false" ht="15" hidden="false" customHeight="false" outlineLevel="0" collapsed="false">
      <c r="A10" s="5" t="s">
        <v>47</v>
      </c>
      <c r="B10" s="5" t="n">
        <v>500</v>
      </c>
      <c r="C10" s="5" t="n">
        <v>19</v>
      </c>
      <c r="D10" s="5" t="s">
        <v>40</v>
      </c>
    </row>
    <row r="11" customFormat="false" ht="15" hidden="false" customHeight="false" outlineLevel="0" collapsed="false">
      <c r="A11" s="5" t="s">
        <v>48</v>
      </c>
      <c r="B11" s="5" t="n">
        <v>500</v>
      </c>
      <c r="C11" s="5" t="n">
        <v>16</v>
      </c>
      <c r="D11" s="5" t="s">
        <v>40</v>
      </c>
    </row>
    <row r="12" customFormat="false" ht="15" hidden="false" customHeight="false" outlineLevel="0" collapsed="false">
      <c r="A12" s="5" t="s">
        <v>49</v>
      </c>
      <c r="B12" s="5" t="n">
        <v>750</v>
      </c>
      <c r="C12" s="5" t="n">
        <v>19</v>
      </c>
      <c r="D12" s="5" t="s">
        <v>40</v>
      </c>
    </row>
    <row r="13" customFormat="false" ht="15" hidden="false" customHeight="false" outlineLevel="0" collapsed="false">
      <c r="A13" s="5" t="s">
        <v>50</v>
      </c>
      <c r="B13" s="5" t="n">
        <v>300</v>
      </c>
      <c r="C13" s="5" t="n">
        <v>25</v>
      </c>
      <c r="D13" s="5" t="s">
        <v>40</v>
      </c>
    </row>
    <row r="14" customFormat="false" ht="15" hidden="false" customHeight="false" outlineLevel="0" collapsed="false">
      <c r="A14" s="5" t="s">
        <v>51</v>
      </c>
      <c r="B14" s="5" t="n">
        <v>500</v>
      </c>
      <c r="C14" s="5" t="n">
        <v>22</v>
      </c>
      <c r="D14" s="5" t="s">
        <v>40</v>
      </c>
    </row>
    <row r="15" customFormat="false" ht="15" hidden="false" customHeight="false" outlineLevel="0" collapsed="false">
      <c r="A15" s="5" t="s">
        <v>52</v>
      </c>
      <c r="B15" s="5" t="n">
        <v>750</v>
      </c>
      <c r="C15" s="5" t="n">
        <v>19</v>
      </c>
      <c r="D15" s="5" t="s">
        <v>40</v>
      </c>
    </row>
    <row r="16" customFormat="false" ht="15" hidden="false" customHeight="false" outlineLevel="0" collapsed="false">
      <c r="A16" s="5" t="s">
        <v>53</v>
      </c>
      <c r="B16" s="5" t="n">
        <v>300</v>
      </c>
      <c r="C16" s="5" t="n">
        <v>25</v>
      </c>
      <c r="D16" s="5" t="s">
        <v>40</v>
      </c>
    </row>
    <row r="17" customFormat="false" ht="15" hidden="false" customHeight="false" outlineLevel="0" collapsed="false">
      <c r="A17" s="5" t="s">
        <v>54</v>
      </c>
      <c r="B17" s="5" t="n">
        <v>750</v>
      </c>
      <c r="C17" s="5" t="n">
        <v>22</v>
      </c>
      <c r="D17" s="5" t="s">
        <v>40</v>
      </c>
    </row>
    <row r="18" customFormat="false" ht="15" hidden="false" customHeight="false" outlineLevel="0" collapsed="false">
      <c r="A18" s="5" t="s">
        <v>55</v>
      </c>
      <c r="B18" s="5" t="n">
        <v>1000</v>
      </c>
      <c r="C18" s="5" t="n">
        <v>16</v>
      </c>
      <c r="D18" s="5" t="s">
        <v>40</v>
      </c>
    </row>
    <row r="19" customFormat="false" ht="15" hidden="false" customHeight="false" outlineLevel="0" collapsed="false">
      <c r="A19" s="5" t="s">
        <v>56</v>
      </c>
      <c r="B19" s="5" t="n">
        <v>1500</v>
      </c>
      <c r="C19" s="5" t="n">
        <v>16</v>
      </c>
      <c r="D19" s="5" t="s">
        <v>40</v>
      </c>
    </row>
    <row r="20" customFormat="false" ht="15" hidden="false" customHeight="false" outlineLevel="0" collapsed="false">
      <c r="A20" s="5" t="s">
        <v>57</v>
      </c>
      <c r="B20" s="5" t="n">
        <v>500</v>
      </c>
      <c r="C20" s="5" t="n">
        <v>19</v>
      </c>
      <c r="D20" s="5" t="s">
        <v>40</v>
      </c>
    </row>
    <row r="21" customFormat="false" ht="15" hidden="false" customHeight="false" outlineLevel="0" collapsed="false">
      <c r="A21" s="5" t="s">
        <v>58</v>
      </c>
      <c r="B21" s="5" t="n">
        <v>200</v>
      </c>
      <c r="C21" s="5" t="n">
        <v>25</v>
      </c>
      <c r="D21" s="5" t="s">
        <v>40</v>
      </c>
    </row>
    <row r="22" customFormat="false" ht="15" hidden="false" customHeight="false" outlineLevel="0" collapsed="false">
      <c r="A22" s="5" t="s">
        <v>59</v>
      </c>
      <c r="B22" s="5" t="n">
        <v>500</v>
      </c>
      <c r="C22" s="5" t="n">
        <v>19</v>
      </c>
      <c r="D22" s="5" t="s">
        <v>40</v>
      </c>
    </row>
    <row r="23" customFormat="false" ht="15" hidden="false" customHeight="false" outlineLevel="0" collapsed="false">
      <c r="A23" s="5" t="s">
        <v>60</v>
      </c>
      <c r="B23" s="5" t="n">
        <v>50</v>
      </c>
      <c r="C23" s="5" t="s">
        <v>61</v>
      </c>
      <c r="D23" s="5" t="s">
        <v>62</v>
      </c>
    </row>
    <row r="25" customFormat="false" ht="60" hidden="false" customHeight="true" outlineLevel="0" collapsed="false">
      <c r="A25" s="12" t="s">
        <v>63</v>
      </c>
      <c r="B25" s="12"/>
      <c r="C25" s="12"/>
      <c r="D25" s="12"/>
    </row>
  </sheetData>
  <mergeCells count="2">
    <mergeCell ref="A1:D1"/>
    <mergeCell ref="A25:D25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35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199" defaultRowHeight="15" zeroHeight="false" outlineLevelRow="0" outlineLevelCol="0"/>
  <cols>
    <col collapsed="false" customWidth="1" hidden="false" outlineLevel="0" max="2" min="1" style="0" width="50.6000"/>
    <col collapsed="false" customWidth="1" hidden="false" outlineLevel="0" max="3" min="3" style="0" width="13.8000"/>
  </cols>
  <sheetData>
    <row r="1" customFormat="false" ht="17.35" hidden="false" customHeight="false" outlineLevel="0" collapsed="false">
      <c r="A1" s="10" t="s">
        <v>64</v>
      </c>
      <c r="B1" s="10"/>
      <c r="C1" s="10"/>
    </row>
    <row r="3" customFormat="false" ht="15" hidden="false" customHeight="false" outlineLevel="0" collapsed="false">
      <c r="A3" s="11" t="s">
        <v>65</v>
      </c>
      <c r="B3" s="11" t="s">
        <v>66</v>
      </c>
      <c r="C3" s="11" t="s">
        <v>67</v>
      </c>
    </row>
    <row r="4" customFormat="false" ht="15" hidden="false" customHeight="false" outlineLevel="0" collapsed="false">
      <c r="A4" s="5" t="s">
        <v>68</v>
      </c>
      <c r="B4" s="13" t="s">
        <v>69</v>
      </c>
      <c r="C4" s="7" t="n">
        <f aca="false">IFERROR(_xlfn.IFS(B4="LED — mantenimiento cada 25.000 h",0.95,B4="LED — mantenimiento cada 50.000 h",0.9,B4="LED — mantenimiento cada 100.000 h",0.8,B4="Fluorescente/HID — mantenimiento cada 10.000 h",0.85,B4="Fluorescente/HID — mantenimiento cada 20.000 h",0.75), "")</f>
        <v>0.9</v>
      </c>
    </row>
    <row r="5" customFormat="false" ht="15" hidden="false" customHeight="false" outlineLevel="0" collapsed="false">
      <c r="A5" s="5" t="s">
        <v>70</v>
      </c>
      <c r="B5" s="13" t="s">
        <v>71</v>
      </c>
      <c r="C5" s="7" t="n">
        <f aca="false">IFERROR(_xlfn.IFS(B5="LED (fuente sólida, sin reposición grupal)",1,B5="Fluorescente/HID con reposición grupal programada",0.95,B5="Fluorescente/HID con reposición individual al fallo",0.85), "")</f>
        <v>1</v>
      </c>
    </row>
    <row r="6" customFormat="false" ht="15" hidden="false" customHeight="false" outlineLevel="0" collapsed="false">
      <c r="A6" s="5" t="s">
        <v>72</v>
      </c>
      <c r="B6" s="13" t="s">
        <v>73</v>
      </c>
      <c r="C6" s="7" t="n">
        <f aca="false">IFERROR(_xlfn.IFS(B6="Ambiente limpio (oficinas, comercio, salud)",0.85,B6="Ambiente industrial normal",0.75,B6="Ambiente industrial con alta suciedad",0.65), "")</f>
        <v>0.75</v>
      </c>
    </row>
    <row r="7" customFormat="false" ht="15" hidden="false" customHeight="false" outlineLevel="0" collapsed="false">
      <c r="A7" s="5" t="s">
        <v>74</v>
      </c>
      <c r="B7" s="13" t="s">
        <v>75</v>
      </c>
      <c r="C7" s="7" t="n">
        <f aca="false">IFERROR(_xlfn.IFS(B7="Local limpio, mantenimiento regular",0.95,B7="Local industrial normal",0.9,B7="Local con alta suciedad o bajo mantenimiento",0.8), "")</f>
        <v>0.9</v>
      </c>
    </row>
    <row r="9" customFormat="false" ht="15" hidden="false" customHeight="false" outlineLevel="0" collapsed="false">
      <c r="A9" s="11" t="s">
        <v>76</v>
      </c>
      <c r="C9" s="14" t="n">
        <f aca="false">IF(OR(C4="",C5="",C6="",C7=""), "", C4*C5*C6*C7)</f>
        <v>0.6075</v>
      </c>
    </row>
    <row r="12" customFormat="false" ht="15" hidden="false" customHeight="false" outlineLevel="0" collapsed="false">
      <c r="A12" s="15" t="s">
        <v>77</v>
      </c>
    </row>
    <row r="13" customFormat="false" ht="15" hidden="false" customHeight="false" outlineLevel="0" collapsed="false">
      <c r="A13" s="11" t="s">
        <v>78</v>
      </c>
    </row>
    <row r="14" customFormat="false" ht="15" hidden="false" customHeight="false" outlineLevel="0" collapsed="false">
      <c r="A14" s="5" t="s">
        <v>79</v>
      </c>
      <c r="B14" s="7" t="n">
        <v>0.95</v>
      </c>
    </row>
    <row r="15" customFormat="false" ht="15" hidden="false" customHeight="false" outlineLevel="0" collapsed="false">
      <c r="A15" s="5" t="s">
        <v>69</v>
      </c>
      <c r="B15" s="7" t="n">
        <v>0.9</v>
      </c>
    </row>
    <row r="16" customFormat="false" ht="15" hidden="false" customHeight="false" outlineLevel="0" collapsed="false">
      <c r="A16" s="5" t="s">
        <v>80</v>
      </c>
      <c r="B16" s="7" t="n">
        <v>0.8</v>
      </c>
    </row>
    <row r="17" customFormat="false" ht="15" hidden="false" customHeight="false" outlineLevel="0" collapsed="false">
      <c r="A17" s="5" t="s">
        <v>81</v>
      </c>
      <c r="B17" s="7" t="n">
        <v>0.85</v>
      </c>
    </row>
    <row r="18" customFormat="false" ht="15" hidden="false" customHeight="false" outlineLevel="0" collapsed="false">
      <c r="A18" s="5" t="s">
        <v>82</v>
      </c>
      <c r="B18" s="7" t="n">
        <v>0.75</v>
      </c>
    </row>
    <row r="20" customFormat="false" ht="15" hidden="false" customHeight="false" outlineLevel="0" collapsed="false">
      <c r="A20" s="11" t="s">
        <v>83</v>
      </c>
    </row>
    <row r="21" customFormat="false" ht="15" hidden="false" customHeight="false" outlineLevel="0" collapsed="false">
      <c r="A21" s="5" t="s">
        <v>71</v>
      </c>
      <c r="B21" s="7" t="n">
        <v>1</v>
      </c>
    </row>
    <row r="22" customFormat="false" ht="15" hidden="false" customHeight="false" outlineLevel="0" collapsed="false">
      <c r="A22" s="5" t="s">
        <v>84</v>
      </c>
      <c r="B22" s="7" t="n">
        <v>0.95</v>
      </c>
    </row>
    <row r="23" customFormat="false" ht="15" hidden="false" customHeight="false" outlineLevel="0" collapsed="false">
      <c r="A23" s="5" t="s">
        <v>85</v>
      </c>
      <c r="B23" s="7" t="n">
        <v>0.85</v>
      </c>
    </row>
    <row r="25" customFormat="false" ht="15" hidden="false" customHeight="false" outlineLevel="0" collapsed="false">
      <c r="A25" s="11" t="s">
        <v>86</v>
      </c>
    </row>
    <row r="26" customFormat="false" ht="15" hidden="false" customHeight="false" outlineLevel="0" collapsed="false">
      <c r="A26" s="5" t="s">
        <v>87</v>
      </c>
      <c r="B26" s="7" t="n">
        <v>0.85</v>
      </c>
    </row>
    <row r="27" customFormat="false" ht="15" hidden="false" customHeight="false" outlineLevel="0" collapsed="false">
      <c r="A27" s="5" t="s">
        <v>73</v>
      </c>
      <c r="B27" s="7" t="n">
        <v>0.75</v>
      </c>
    </row>
    <row r="28" customFormat="false" ht="15" hidden="false" customHeight="false" outlineLevel="0" collapsed="false">
      <c r="A28" s="5" t="s">
        <v>88</v>
      </c>
      <c r="B28" s="7" t="n">
        <v>0.65</v>
      </c>
    </row>
    <row r="30" customFormat="false" ht="15" hidden="false" customHeight="false" outlineLevel="0" collapsed="false">
      <c r="A30" s="11" t="s">
        <v>89</v>
      </c>
    </row>
    <row r="31" customFormat="false" ht="15" hidden="false" customHeight="false" outlineLevel="0" collapsed="false">
      <c r="A31" s="5" t="s">
        <v>90</v>
      </c>
      <c r="B31" s="7" t="n">
        <v>0.95</v>
      </c>
    </row>
    <row r="32" customFormat="false" ht="15" hidden="false" customHeight="false" outlineLevel="0" collapsed="false">
      <c r="A32" s="5" t="s">
        <v>75</v>
      </c>
      <c r="B32" s="7" t="n">
        <v>0.9</v>
      </c>
    </row>
    <row r="33" customFormat="false" ht="15" hidden="false" customHeight="false" outlineLevel="0" collapsed="false">
      <c r="A33" s="5" t="s">
        <v>91</v>
      </c>
      <c r="B33" s="7" t="n">
        <v>0.8</v>
      </c>
    </row>
    <row r="35" customFormat="false" ht="60" hidden="false" customHeight="true" outlineLevel="0" collapsed="false">
      <c r="A35" s="12" t="s">
        <v>92</v>
      </c>
      <c r="B35" s="12"/>
      <c r="C35" s="12"/>
    </row>
  </sheetData>
  <mergeCells count="2">
    <mergeCell ref="A1:C1"/>
    <mergeCell ref="A35:C35"/>
  </mergeCells>
  <dataValidations count="4">
    <dataValidation allowBlank="true" errorStyle="stop" operator="between" showDropDown="false" showErrorMessage="false" showInputMessage="false" sqref="B4" type="list">
      <formula1>"LED — mantenimiento cada 25.000 h,LED — mantenimiento cada 50.000 h,LED — mantenimiento cada 100.000 h,Fluorescente/HID — mantenimiento cada 10.000 h,Fluorescente/HID — mantenimiento cada 20.000 h"</formula1>
      <formula2>0</formula2>
    </dataValidation>
    <dataValidation allowBlank="true" errorStyle="stop" operator="between" showDropDown="false" showErrorMessage="false" showInputMessage="false" sqref="B5" type="list">
      <formula1>"LED (fuente sólida,sin reposición grupal),Fluorescente/HID con reposición grupal programada,Fluorescente/HID con reposición individual al fallo"</formula1>
      <formula2>0</formula2>
    </dataValidation>
    <dataValidation allowBlank="true" errorStyle="stop" operator="between" showDropDown="false" showErrorMessage="false" showInputMessage="false" sqref="B6" type="list">
      <formula1>"Ambiente limpio (oficinas,comercio,salud),Ambiente industrial normal,Ambiente industrial con alta suciedad"</formula1>
      <formula2>0</formula2>
    </dataValidation>
    <dataValidation allowBlank="true" errorStyle="stop" operator="between" showDropDown="false" showErrorMessage="false" showInputMessage="false" sqref="B7" type="list">
      <formula1>"Local limpio,mantenimiento regular,Local industrial normal,Local con alta suciedad o bajo mantenimiento"</formula1>
      <formula2>0</formula2>
    </dataValidation>
  </dataValidation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23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199" defaultRowHeight="15" zeroHeight="false" outlineLevelRow="0" outlineLevelCol="0"/>
  <cols>
    <col collapsed="false" customWidth="1" hidden="false" outlineLevel="0" max="1" min="1" style="0" width="50.6000"/>
    <col collapsed="false" customWidth="1" hidden="false" outlineLevel="0" max="2" min="2" style="0" width="39.1000"/>
    <col collapsed="false" customWidth="1" hidden="false" outlineLevel="0" max="3" min="3" style="0" width="34.5000"/>
  </cols>
  <sheetData>
    <row r="1" customFormat="false" ht="17.35" hidden="false" customHeight="false" outlineLevel="0" collapsed="false">
      <c r="A1" s="10" t="s">
        <v>93</v>
      </c>
      <c r="B1" s="10"/>
      <c r="C1" s="10"/>
    </row>
    <row r="3" customFormat="false" ht="15" hidden="false" customHeight="false" outlineLevel="0" collapsed="false">
      <c r="A3" s="15" t="s">
        <v>94</v>
      </c>
    </row>
    <row r="4" customFormat="false" ht="15" hidden="false" customHeight="false" outlineLevel="0" collapsed="false">
      <c r="A4" s="5" t="s">
        <v>11</v>
      </c>
      <c r="B4" s="7" t="n">
        <f aca="false">Light!B11</f>
        <v>3.15</v>
      </c>
    </row>
    <row r="5" customFormat="false" ht="15" hidden="false" customHeight="false" outlineLevel="0" collapsed="false">
      <c r="A5" s="5" t="s">
        <v>95</v>
      </c>
      <c r="B5" s="7" t="n">
        <f aca="false">Light!B26</f>
        <v>2.5</v>
      </c>
    </row>
    <row r="6" customFormat="false" ht="15" hidden="false" customHeight="false" outlineLevel="0" collapsed="false">
      <c r="A6" s="5" t="s">
        <v>96</v>
      </c>
      <c r="B6" s="7" t="n">
        <f aca="false">Light!B27</f>
        <v>2.5</v>
      </c>
    </row>
    <row r="7" customFormat="false" ht="15" hidden="false" customHeight="false" outlineLevel="0" collapsed="false">
      <c r="A7" s="5" t="s">
        <v>97</v>
      </c>
      <c r="B7" s="7" t="n">
        <f aca="false">IF(B4=0,"",B5/B4)</f>
        <v>0.793650793650794</v>
      </c>
    </row>
    <row r="8" customFormat="false" ht="15" hidden="false" customHeight="false" outlineLevel="0" collapsed="false">
      <c r="A8" s="5" t="s">
        <v>98</v>
      </c>
      <c r="B8" s="7" t="n">
        <f aca="false">IF(B4=0,"",B6/B4)</f>
        <v>0.793650793650794</v>
      </c>
    </row>
    <row r="9" customFormat="false" ht="15" hidden="false" customHeight="false" outlineLevel="0" collapsed="false">
      <c r="A9" s="5" t="s">
        <v>99</v>
      </c>
      <c r="B9" s="16" t="n">
        <v>1.5</v>
      </c>
    </row>
    <row r="10" customFormat="false" ht="30" hidden="false" customHeight="true" outlineLevel="0" collapsed="false">
      <c r="A10" s="5" t="s">
        <v>100</v>
      </c>
      <c r="B10" s="17" t="str">
        <f aca="false">IF(OR(B7="",B8=""), "", IF(AND(B7&lt;=B9,B8&lt;=B9), "UNIFORMIDAD ADECUADA (regla práctica)", "REVISAR DISTRIBUCIÓN — RIESGO DE UNIFORMIDAD DEFICIENTE"))</f>
        <v>UNIFORMIDAD ADECUADA (regla práctica)</v>
      </c>
    </row>
    <row r="12" customFormat="false" ht="15" hidden="false" customHeight="false" outlineLevel="0" collapsed="false">
      <c r="A12" s="15" t="s">
        <v>101</v>
      </c>
    </row>
    <row r="13" customFormat="false" ht="15" hidden="false" customHeight="false" outlineLevel="0" collapsed="false">
      <c r="A13" s="5" t="s">
        <v>102</v>
      </c>
      <c r="B13" s="18" t="n">
        <v>19</v>
      </c>
    </row>
    <row r="14" customFormat="false" ht="15" hidden="false" customHeight="false" outlineLevel="0" collapsed="false">
      <c r="A14" s="5" t="s">
        <v>103</v>
      </c>
      <c r="B14" s="18" t="n">
        <v>22</v>
      </c>
    </row>
    <row r="15" customFormat="false" ht="15" hidden="false" customHeight="false" outlineLevel="0" collapsed="false">
      <c r="A15" s="5" t="s">
        <v>104</v>
      </c>
      <c r="B15" s="19" t="str">
        <f aca="false">IF(OR(B13="",B14=""), "", IF(B13&lt;=B14, "CUMPLE", "EXCEDE LÍMITE"))</f>
        <v>CUMPLE</v>
      </c>
    </row>
    <row r="17" customFormat="false" ht="15" hidden="false" customHeight="false" outlineLevel="0" collapsed="false">
      <c r="A17" s="15" t="s">
        <v>105</v>
      </c>
    </row>
    <row r="18" customFormat="false" ht="27.75" hidden="false" customHeight="true" outlineLevel="0" collapsed="false">
      <c r="A18" s="5" t="s">
        <v>106</v>
      </c>
      <c r="B18" s="17" t="str">
        <f aca="false">Light!B33</f>
        <v>CUMPLE NORMA</v>
      </c>
    </row>
    <row r="19" customFormat="false" ht="27.75" hidden="false" customHeight="true" outlineLevel="0" collapsed="false">
      <c r="A19" s="5" t="s">
        <v>107</v>
      </c>
      <c r="B19" s="17" t="str">
        <f aca="false">B10</f>
        <v>UNIFORMIDAD ADECUADA (regla práctica)</v>
      </c>
    </row>
    <row r="20" customFormat="false" ht="27.75" hidden="false" customHeight="true" outlineLevel="0" collapsed="false">
      <c r="A20" s="5" t="s">
        <v>108</v>
      </c>
      <c r="B20" s="17" t="str">
        <f aca="false">B15</f>
        <v>CUMPLE</v>
      </c>
    </row>
    <row r="21" customFormat="false" ht="27.75" hidden="false" customHeight="true" outlineLevel="0" collapsed="false">
      <c r="A21" s="5" t="s">
        <v>109</v>
      </c>
      <c r="B21" s="17" t="str">
        <f aca="false">IF(OR(B18="",B19="",B20=""), "", IF(AND(B18="CUMPLE NORMA",B19="UNIFORMIDAD ADECUADA (regla práctica)",B20="CUMPLE"), "CUMPLE INTEGRALMENTE", "NO CUMPLE — VER DETALLE POR CRITERIO"))</f>
        <v>CUMPLE INTEGRALMENTE</v>
      </c>
    </row>
    <row r="23" customFormat="false" ht="69.75" hidden="false" customHeight="true" outlineLevel="0" collapsed="false">
      <c r="A23" s="12" t="s">
        <v>110</v>
      </c>
      <c r="B23" s="12"/>
      <c r="C23" s="12"/>
    </row>
  </sheetData>
  <mergeCells count="2">
    <mergeCell ref="A1:C1"/>
    <mergeCell ref="A23:C23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7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199" defaultRowHeight="15" zeroHeight="false" outlineLevelRow="0" outlineLevelCol="0"/>
  <cols>
    <col collapsed="false" customWidth="1" hidden="false" outlineLevel="0" max="1" min="1" style="0" width="29.9000"/>
    <col collapsed="false" customWidth="1" hidden="false" outlineLevel="0" max="2" min="2" style="0" width="39.1000"/>
    <col collapsed="false" customWidth="1" hidden="false" outlineLevel="0" max="3" min="3" style="0" width="78.2000"/>
  </cols>
  <sheetData>
    <row r="1" customFormat="false" ht="17.35" hidden="false" customHeight="false" outlineLevel="0" collapsed="false">
      <c r="A1" s="10" t="s">
        <v>111</v>
      </c>
      <c r="B1" s="10"/>
      <c r="C1" s="10"/>
    </row>
    <row r="2" customFormat="false" ht="15" hidden="false" customHeight="false" outlineLevel="0" collapsed="false">
      <c r="A2" s="11" t="s">
        <v>112</v>
      </c>
      <c r="B2" s="11" t="s">
        <v>113</v>
      </c>
      <c r="C2" s="11" t="s">
        <v>114</v>
      </c>
    </row>
    <row r="3" customFormat="false" ht="49.5" hidden="false" customHeight="true" outlineLevel="0" collapsed="false">
      <c r="A3" s="20" t="s">
        <v>115</v>
      </c>
      <c r="B3" s="20" t="s">
        <v>116</v>
      </c>
      <c r="C3" s="20" t="s">
        <v>117</v>
      </c>
    </row>
    <row r="4" customFormat="false" ht="49.5" hidden="false" customHeight="true" outlineLevel="0" collapsed="false">
      <c r="A4" s="20" t="s">
        <v>118</v>
      </c>
      <c r="B4" s="20" t="s">
        <v>119</v>
      </c>
      <c r="C4" s="20" t="s">
        <v>120</v>
      </c>
    </row>
    <row r="5" customFormat="false" ht="49.5" hidden="false" customHeight="true" outlineLevel="0" collapsed="false">
      <c r="A5" s="20" t="s">
        <v>121</v>
      </c>
      <c r="B5" s="20" t="s">
        <v>122</v>
      </c>
      <c r="C5" s="20" t="s">
        <v>123</v>
      </c>
    </row>
    <row r="6" customFormat="false" ht="49.5" hidden="false" customHeight="true" outlineLevel="0" collapsed="false">
      <c r="A6" s="20" t="s">
        <v>124</v>
      </c>
      <c r="B6" s="20" t="s">
        <v>125</v>
      </c>
      <c r="C6" s="20" t="s">
        <v>126</v>
      </c>
    </row>
    <row r="7" customFormat="false" ht="49.5" hidden="false" customHeight="true" outlineLevel="0" collapsed="false">
      <c r="A7" s="20" t="s">
        <v>127</v>
      </c>
      <c r="B7" s="20" t="s">
        <v>128</v>
      </c>
      <c r="C7" s="20" t="s">
        <v>129</v>
      </c>
    </row>
  </sheetData>
  <mergeCells count="1">
    <mergeCell ref="A1:C1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7199"/>
    <pageSetUpPr fitToPage="1"/>
  </sheetPr>
  <dimension ref="A1:C9"/>
  <sheetViews>
    <sheetView showFormulas="false" showGridLines="0" showRowColHeaders="true" showZeros="true" rightToLeft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9.8199" defaultRowHeight="15" zeroHeight="false" outlineLevelRow="0" outlineLevelCol="0"/>
  <cols>
    <col collapsed="false" customWidth="1" hidden="false" outlineLevel="0" max="1" min="1" style="0" width="29.9000"/>
    <col collapsed="false" customWidth="1" hidden="false" outlineLevel="0" max="2" min="2" style="0" width="39.1000"/>
    <col collapsed="false" customWidth="1" hidden="false" outlineLevel="0" max="3" min="3" style="0" width="78.2000"/>
  </cols>
  <sheetData>
    <row r="1" customFormat="false" ht="17.35" hidden="false" customHeight="false" outlineLevel="0" collapsed="false">
      <c r="A1" s="10" t="s">
        <v>130</v>
      </c>
      <c r="B1" s="10"/>
      <c r="C1" s="10"/>
    </row>
    <row r="2" customFormat="false" ht="15" hidden="false" customHeight="false" outlineLevel="0" collapsed="false">
      <c r="A2" s="11" t="s">
        <v>131</v>
      </c>
      <c r="B2" s="11" t="s">
        <v>112</v>
      </c>
      <c r="C2" s="11" t="s">
        <v>114</v>
      </c>
    </row>
    <row r="3" customFormat="false" ht="43.5" hidden="false" customHeight="true" outlineLevel="0" collapsed="false">
      <c r="A3" s="5" t="s">
        <v>132</v>
      </c>
      <c r="B3" s="5" t="s">
        <v>115</v>
      </c>
      <c r="C3" s="20" t="str">
        <f aca="false">IF(Light!B33="INSUFICIENTE",'Biblioteca de Controles'!C3,"—")</f>
        <v>—</v>
      </c>
    </row>
    <row r="4" customFormat="false" ht="43.5" hidden="false" customHeight="true" outlineLevel="0" collapsed="false">
      <c r="A4" s="5" t="s">
        <v>133</v>
      </c>
      <c r="B4" s="5" t="s">
        <v>118</v>
      </c>
      <c r="C4" s="20" t="str">
        <f aca="false">IF('Uniformidad y Deslumbramiento'!B10="REVISAR DISTRIBUCIÓN — RIESGO DE UNIFORMIDAD DEFICIENTE",'Biblioteca de Controles'!C4,"—")</f>
        <v>—</v>
      </c>
    </row>
    <row r="5" customFormat="false" ht="43.5" hidden="false" customHeight="true" outlineLevel="0" collapsed="false">
      <c r="A5" s="5" t="s">
        <v>133</v>
      </c>
      <c r="B5" s="5" t="s">
        <v>121</v>
      </c>
      <c r="C5" s="20" t="str">
        <f aca="false">IF('Uniformidad y Deslumbramiento'!B15="EXCEDE LÍMITE",'Biblioteca de Controles'!C5,"—")</f>
        <v>—</v>
      </c>
    </row>
    <row r="6" customFormat="false" ht="43.5" hidden="false" customHeight="true" outlineLevel="0" collapsed="false">
      <c r="A6" s="5" t="s">
        <v>134</v>
      </c>
      <c r="B6" s="5" t="s">
        <v>124</v>
      </c>
      <c r="C6" s="20" t="str">
        <f aca="false">IF(AND('Factor de Mantenimiento'!C9&lt;&gt;"",'Factor de Mantenimiento'!C9&lt;0.6),'Biblioteca de Controles'!C6,"—")</f>
        <v>—</v>
      </c>
    </row>
    <row r="7" customFormat="false" ht="43.5" hidden="false" customHeight="true" outlineLevel="0" collapsed="false">
      <c r="A7" s="5" t="s">
        <v>135</v>
      </c>
      <c r="B7" s="5" t="s">
        <v>127</v>
      </c>
      <c r="C7" s="20" t="str">
        <f aca="false">'Biblioteca de Controles'!C7</f>
        <v>Verificar en campo el diseño con mediciones periódicas de luxómetro en varios puntos del área de trabajo, no solo en el punto de cálculo promedio.</v>
      </c>
    </row>
    <row r="9" customFormat="false" ht="49.5" hidden="false" customHeight="true" outlineLevel="0" collapsed="false">
      <c r="A9" s="12" t="s">
        <v>136</v>
      </c>
      <c r="B9" s="12"/>
      <c r="C9" s="12"/>
    </row>
  </sheetData>
  <mergeCells count="2">
    <mergeCell ref="A1:C1"/>
    <mergeCell ref="A9:C9"/>
  </mergeCells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</worksheet>
</file>

<file path=xl/worksheets/sheet101.xml><?xml version="1.0" encoding="utf-8"?>
<worksheet xmlns="http://schemas.openxmlformats.org/spreadsheetml/2006/main" xmlns:r="http://schemas.openxmlformats.org/officeDocument/2006/relationships">
  <sheetPr>
    <tabColor rgb="FFE77725"/>
    <pageSetUpPr fitToPage="1"/>
  </sheetPr>
  <dimension ref="A1"/>
  <sheetViews>
    <sheetView showGridLines="0" workbookViewId="0" tabSelected="1"/>
  </sheetViews>
  <sheetFormatPr defaultRowHeight="15"/>
  <cols>
    <col min="1" max="1" width="3.7109375" customWidth="1"/>
  </cols>
  <sheetData/>
  <printOptions horizontalCentered="1"/>
  <pageMargins left="0.5" right="0.5" top="0.75" bottom="0.7" header="0.3" footer="0.3"/>
  <pageSetup paperSize="1" orientation="landscape" fitToWidth="1" fitToHeight="0"/>
  <headerFooter>
    <oddHeader>&amp;L&amp;"Calibri,Negrita"&amp;9&amp;K007199SCHO&amp;"Calibri,Normal"&amp;K595959  ·  Sociedad Colombiana de Higienistas Ocupacionales&amp;R&amp;"Calibri,Negrita"&amp;9&amp;K007199LuxRisk V2&amp;"Calibri,Normal"&amp;K595959  ·  &amp;A</oddHeader>
    <oddFooter>&amp;L&amp;"Calibri,Normal"&amp;8&amp;K595959Álvaro Araque García  |  Comité Académico SCHO&amp;R&amp;"Calibri,Normal"&amp;8&amp;K595959Página &amp;P de &amp;N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2026-08-03T14:52:56Z</dcterms:created>
  <dc:description/>
  <dc:language>en-US</dc:language>
  <cp:lastModifiedBy>AK18574</cp:lastModifiedBy>
  <dcterms:modified xsi:type="dcterms:W3CDTF">2026-09-26T01:59:12Z</dcterms:modified>
  <cp:revision>0</cp:revision>
  <dc:subject/>
  <dc:title>LuxRisk V2 (Ejemplo) — SCHO</dc:title>
  <dc:creator>Álvaro Araque García — SCHO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