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Tabla NIOSH VP-SG" sheetId="2" state="visible" r:id="rId4"/>
    <sheet name="Calculadora Antoine" sheetId="3" state="visible" r:id="rId5"/>
    <sheet name="VaporRisk" sheetId="4" state="visible" r:id="rId6"/>
    <sheet name="Monitoreo y Mezcla" sheetId="5" state="visible" r:id="rId7"/>
    <sheet name="Proteccion Respiratoria" sheetId="6" state="visible" r:id="rId8"/>
    <sheet name="Biblioteca de Controles" sheetId="7" state="visible" r:id="rId9"/>
    <sheet name="Plan de Control" sheetId="8" state="visible" r:id="rId10"/>
  </sheets>
  <definedNames>
    <definedName function="false" hidden="false" localSheetId="6" name="_xlnm.Print_Area" vbProcedure="false">'Biblioteca de Controles'!$A$1:$C$10</definedName>
    <definedName function="false" hidden="false" localSheetId="4" name="_xlnm.Print_Area" vbProcedure="false">'Monitoreo y Mezcla'!$A$1:$F$26</definedName>
    <definedName function="false" hidden="false" localSheetId="7" name="_xlnm.Print_Area" vbProcedure="false">'Plan de Control'!$A$1:$C$12</definedName>
    <definedName function="false" hidden="false" localSheetId="5" name="_xlnm.Print_Area" vbProcedure="false">'Proteccion Respiratoria'!$A$1:$G$23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<sst xmlns="http://schemas.openxmlformats.org/spreadsheetml/2006/main" count="1942" uniqueCount="1682">
  <si>
    <t xml:space="preserve">TABLA DE CONSULTA NIOSH - PRESIÓN DE VAPOR (SUSTANCIAS LÍQUIDAS, 20°C)</t>
  </si>
  <si>
    <t xml:space="preserve">Fuente: NIOSH Pocket Guide to Chemical Hazards (cdc.gov/niosh/npg). Presión de vapor (VP) reportada por NIOSH a 68°F (20°C). Solo se incluyen sustancias que el NIOSH Pocket Guide describe como líquidas a condiciones normales (se excluyen gases y sólidos). Para sustancias o temperaturas distintas de 20°C, consultar: https://webbook.nist.gov/chemistry/</t>
  </si>
  <si>
    <t xml:space="preserve">Sustancia</t>
  </si>
  <si>
    <t xml:space="preserve">CAS</t>
  </si>
  <si>
    <t xml:space="preserve">Presión de Vapor
(mmHg, 20°C)</t>
  </si>
  <si>
    <t xml:space="preserve">Ácido acético</t>
  </si>
  <si>
    <t xml:space="preserve">64-19-7</t>
  </si>
  <si>
    <t xml:space="preserve">Acetona</t>
  </si>
  <si>
    <t xml:space="preserve">67-64-1</t>
  </si>
  <si>
    <t xml:space="preserve">Anilina</t>
  </si>
  <si>
    <t xml:space="preserve">62-53-3</t>
  </si>
  <si>
    <t xml:space="preserve">Benceno</t>
  </si>
  <si>
    <t xml:space="preserve">71-43-2</t>
  </si>
  <si>
    <t xml:space="preserve">Tetracloruro de carbono</t>
  </si>
  <si>
    <t xml:space="preserve">56-23-5</t>
  </si>
  <si>
    <t xml:space="preserve">Cloroformo</t>
  </si>
  <si>
    <t xml:space="preserve">67-66-3</t>
  </si>
  <si>
    <t xml:space="preserve">Ciclohexano</t>
  </si>
  <si>
    <t xml:space="preserve">110-82-7</t>
  </si>
  <si>
    <t xml:space="preserve">Alcohol etílico</t>
  </si>
  <si>
    <t xml:space="preserve">64-17-5</t>
  </si>
  <si>
    <t xml:space="preserve">Cloruro de metileno (diclorometano)</t>
  </si>
  <si>
    <t xml:space="preserve">75-09-2</t>
  </si>
  <si>
    <t xml:space="preserve">Acetato de propilo</t>
  </si>
  <si>
    <t xml:space="preserve">109-60-4</t>
  </si>
  <si>
    <t xml:space="preserve">Tolueno</t>
  </si>
  <si>
    <t xml:space="preserve">108-88-3</t>
  </si>
  <si>
    <t xml:space="preserve">n-Hexano</t>
  </si>
  <si>
    <t xml:space="preserve">110-54-3</t>
  </si>
  <si>
    <t xml:space="preserve">n-Heptano</t>
  </si>
  <si>
    <t xml:space="preserve">142-82-5</t>
  </si>
  <si>
    <t xml:space="preserve">Alcohol metílico (metanol)</t>
  </si>
  <si>
    <t xml:space="preserve">67-56-1</t>
  </si>
  <si>
    <t xml:space="preserve">Metil etil cetona (2-butanona)</t>
  </si>
  <si>
    <t xml:space="preserve">78-93-3</t>
  </si>
  <si>
    <t xml:space="preserve">Estireno</t>
  </si>
  <si>
    <t xml:space="preserve">100-42-5</t>
  </si>
  <si>
    <t xml:space="preserve">Tetracloroetileno</t>
  </si>
  <si>
    <t xml:space="preserve">127-18-4</t>
  </si>
  <si>
    <t xml:space="preserve">Etilbenceno</t>
  </si>
  <si>
    <t xml:space="preserve">100-41-4</t>
  </si>
  <si>
    <t xml:space="preserve">o-Diclorobenceno</t>
  </si>
  <si>
    <t xml:space="preserve">95-50-1</t>
  </si>
  <si>
    <t xml:space="preserve">Dicloruro de etileno (1,2-dicloroetano)</t>
  </si>
  <si>
    <t xml:space="preserve">107-06-2</t>
  </si>
  <si>
    <t xml:space="preserve">Acetato de etilo</t>
  </si>
  <si>
    <t xml:space="preserve">141-78-6</t>
  </si>
  <si>
    <t xml:space="preserve">Ácido fórmico</t>
  </si>
  <si>
    <t xml:space="preserve">64-18-6</t>
  </si>
  <si>
    <t xml:space="preserve">Ácido propiónico</t>
  </si>
  <si>
    <t xml:space="preserve">79-09-4</t>
  </si>
  <si>
    <t xml:space="preserve">Acetato de vinilo</t>
  </si>
  <si>
    <t xml:space="preserve">108-05-4</t>
  </si>
  <si>
    <t xml:space="preserve">n-Pentano</t>
  </si>
  <si>
    <t xml:space="preserve">109-66-0</t>
  </si>
  <si>
    <t xml:space="preserve">o-Xileno</t>
  </si>
  <si>
    <t xml:space="preserve">95-47-6</t>
  </si>
  <si>
    <t xml:space="preserve">m-Xileno</t>
  </si>
  <si>
    <t xml:space="preserve">108-38-3</t>
  </si>
  <si>
    <t xml:space="preserve">p-Xileno</t>
  </si>
  <si>
    <t xml:space="preserve">106-42-3</t>
  </si>
  <si>
    <t xml:space="preserve">Alcohol isopropílico (isopropanol, IPA)</t>
  </si>
  <si>
    <t xml:space="preserve">67-63-0</t>
  </si>
  <si>
    <t xml:space="preserve">Alcohol n-butílico (n-butanol)</t>
  </si>
  <si>
    <t xml:space="preserve">71-36-3</t>
  </si>
  <si>
    <t xml:space="preserve">Tricloroetileno</t>
  </si>
  <si>
    <t xml:space="preserve">79-01-6</t>
  </si>
  <si>
    <t xml:space="preserve">Metil isobutil cetona (MIBK)</t>
  </si>
  <si>
    <t xml:space="preserve">108-10-1</t>
  </si>
  <si>
    <t xml:space="preserve">Dimetilformamida (DMF)</t>
  </si>
  <si>
    <t xml:space="preserve">68-12-2</t>
  </si>
  <si>
    <t xml:space="preserve">Acetonitrilo</t>
  </si>
  <si>
    <t xml:space="preserve">75-05-8</t>
  </si>
  <si>
    <t xml:space="preserve">Éter etílico (dietil éter)</t>
  </si>
  <si>
    <t xml:space="preserve">60-29-7</t>
  </si>
  <si>
    <t xml:space="preserve">Ciclohexanona</t>
  </si>
  <si>
    <t xml:space="preserve">108-94-1</t>
  </si>
  <si>
    <t xml:space="preserve">1,1,1-Tricloroetano (cloroformo de metilo)</t>
  </si>
  <si>
    <t xml:space="preserve">71-55-6</t>
  </si>
  <si>
    <t xml:space="preserve">Etilenglicol</t>
  </si>
  <si>
    <t xml:space="preserve">107-21-1</t>
  </si>
  <si>
    <t xml:space="preserve">Clorobenceno</t>
  </si>
  <si>
    <t xml:space="preserve">108-90-7</t>
  </si>
  <si>
    <t xml:space="preserve">Nitrobenceno</t>
  </si>
  <si>
    <t xml:space="preserve">98-95-3</t>
  </si>
  <si>
    <t xml:space="preserve">Furfural</t>
  </si>
  <si>
    <t xml:space="preserve">98-01-1</t>
  </si>
  <si>
    <t xml:space="preserve">Trietilamina</t>
  </si>
  <si>
    <t xml:space="preserve">121-44-8</t>
  </si>
  <si>
    <t xml:space="preserve">Ácido sulfúrico (96-98%)</t>
  </si>
  <si>
    <t xml:space="preserve">7664-93-9</t>
  </si>
  <si>
    <t xml:space="preserve">Piridina</t>
  </si>
  <si>
    <t xml:space="preserve">110-86-1</t>
  </si>
  <si>
    <t xml:space="preserve">Acetato de n-butilo</t>
  </si>
  <si>
    <t xml:space="preserve">123-86-4</t>
  </si>
  <si>
    <t xml:space="preserve">Formiato de metilo</t>
  </si>
  <si>
    <t xml:space="preserve">107-31-3</t>
  </si>
  <si>
    <t xml:space="preserve">Acrilato de metilo</t>
  </si>
  <si>
    <t xml:space="preserve">96-33-3</t>
  </si>
  <si>
    <t xml:space="preserve">Acetato de isopropilo</t>
  </si>
  <si>
    <t xml:space="preserve">108-21-4</t>
  </si>
  <si>
    <t xml:space="preserve">Dietilamina</t>
  </si>
  <si>
    <t xml:space="preserve">109-89-7</t>
  </si>
  <si>
    <t xml:space="preserve">Etilendiamina</t>
  </si>
  <si>
    <t xml:space="preserve">107-15-3</t>
  </si>
  <si>
    <t xml:space="preserve">2-Dietilaminoetanol</t>
  </si>
  <si>
    <t xml:space="preserve">100-37-8</t>
  </si>
  <si>
    <t xml:space="preserve">Anhídrido acético</t>
  </si>
  <si>
    <t xml:space="preserve">108-24-7</t>
  </si>
  <si>
    <t xml:space="preserve">Acetato de sec-hexilo</t>
  </si>
  <si>
    <t xml:space="preserve">108-84-9</t>
  </si>
  <si>
    <t xml:space="preserve">Metil terc-butil éter (MTBE)</t>
  </si>
  <si>
    <t xml:space="preserve">1634-04-4</t>
  </si>
  <si>
    <t xml:space="preserve">Acetato de metilo</t>
  </si>
  <si>
    <t xml:space="preserve">79-20-9</t>
  </si>
  <si>
    <t xml:space="preserve">Acetato de metil Cellosolve (2-metoxietil acetato)</t>
  </si>
  <si>
    <t xml:space="preserve">110-49-6</t>
  </si>
  <si>
    <t xml:space="preserve">Acetato de sec-amilo</t>
  </si>
  <si>
    <t xml:space="preserve">626-38-0</t>
  </si>
  <si>
    <t xml:space="preserve">Cumeno (isopropilbenceno)</t>
  </si>
  <si>
    <t xml:space="preserve">98-82-8</t>
  </si>
  <si>
    <t xml:space="preserve">Tetrahidrofurano (THF)</t>
  </si>
  <si>
    <t xml:space="preserve">109-99-9</t>
  </si>
  <si>
    <t xml:space="preserve">Morfolina</t>
  </si>
  <si>
    <t xml:space="preserve">110-91-8</t>
  </si>
  <si>
    <t xml:space="preserve">Alcohol n-propílico (n-propanol)</t>
  </si>
  <si>
    <t xml:space="preserve">71-23-8</t>
  </si>
  <si>
    <t xml:space="preserve">n-Propil nitrato</t>
  </si>
  <si>
    <t xml:space="preserve">627-13-4</t>
  </si>
  <si>
    <t xml:space="preserve">Alcohol sec-butílico (2-butanol)</t>
  </si>
  <si>
    <t xml:space="preserve">78-92-2</t>
  </si>
  <si>
    <t xml:space="preserve">2-Butoxietanol (éter monobutílico de etilenglicol)</t>
  </si>
  <si>
    <t xml:space="preserve">111-76-2</t>
  </si>
  <si>
    <t xml:space="preserve">Metacrilato de metilo</t>
  </si>
  <si>
    <t xml:space="preserve">80-62-6</t>
  </si>
  <si>
    <t xml:space="preserve">Disulfuro de carbono</t>
  </si>
  <si>
    <t xml:space="preserve">75-15-0</t>
  </si>
  <si>
    <t xml:space="preserve">Alcohol isoamílico (primario)</t>
  </si>
  <si>
    <t xml:space="preserve">123-51-3</t>
  </si>
  <si>
    <t xml:space="preserve">Acetato de isoamilo</t>
  </si>
  <si>
    <t xml:space="preserve">123-92-2</t>
  </si>
  <si>
    <t xml:space="preserve">Alcohol isobutílico (isobutanol)</t>
  </si>
  <si>
    <t xml:space="preserve">78-83-1</t>
  </si>
  <si>
    <t xml:space="preserve">Ciclohexeno</t>
  </si>
  <si>
    <t xml:space="preserve">110-83-8</t>
  </si>
  <si>
    <t xml:space="preserve">Metilciclohexano</t>
  </si>
  <si>
    <t xml:space="preserve">108-87-2</t>
  </si>
  <si>
    <t xml:space="preserve">Dimetilacetamida (DMAC)</t>
  </si>
  <si>
    <t xml:space="preserve">127-19-5</t>
  </si>
  <si>
    <t xml:space="preserve">Nitroetano</t>
  </si>
  <si>
    <t xml:space="preserve">79-24-3</t>
  </si>
  <si>
    <t xml:space="preserve">2-Nitropropano</t>
  </si>
  <si>
    <t xml:space="preserve">79-46-9</t>
  </si>
  <si>
    <t xml:space="preserve">1,1-Dicloro-1-nitroetano</t>
  </si>
  <si>
    <t xml:space="preserve">594-72-9</t>
  </si>
  <si>
    <t xml:space="preserve">Nitrometano</t>
  </si>
  <si>
    <t xml:space="preserve">75-52-5</t>
  </si>
  <si>
    <t xml:space="preserve">Etanolamina (monoetanolamina)</t>
  </si>
  <si>
    <t xml:space="preserve">141-43-5</t>
  </si>
  <si>
    <t xml:space="preserve">Dietilcetona (3-pentanona)</t>
  </si>
  <si>
    <t xml:space="preserve">96-22-0</t>
  </si>
  <si>
    <t xml:space="preserve">Etil butil cetona (3-heptanona)</t>
  </si>
  <si>
    <t xml:space="preserve">106-35-4</t>
  </si>
  <si>
    <t xml:space="preserve">Diisobutil cetona</t>
  </si>
  <si>
    <t xml:space="preserve">108-83-8</t>
  </si>
  <si>
    <t xml:space="preserve">Methyl Cellosolve (2-metoxietanol)</t>
  </si>
  <si>
    <t xml:space="preserve">109-86-4</t>
  </si>
  <si>
    <t xml:space="preserve">2-Etoxietanol (Cellosolve)</t>
  </si>
  <si>
    <t xml:space="preserve">110-80-5</t>
  </si>
  <si>
    <t xml:space="preserve">Metilal (dimetoximetano)</t>
  </si>
  <si>
    <t xml:space="preserve">109-87-5</t>
  </si>
  <si>
    <t xml:space="preserve">Acetato de n-amilo</t>
  </si>
  <si>
    <t xml:space="preserve">628-63-7</t>
  </si>
  <si>
    <t xml:space="preserve">Ciclohexilamina</t>
  </si>
  <si>
    <t xml:space="preserve">108-91-8</t>
  </si>
  <si>
    <t xml:space="preserve">Diacetona alcohol</t>
  </si>
  <si>
    <t xml:space="preserve">123-42-2</t>
  </si>
  <si>
    <t xml:space="preserve">Metil propil cetona (2-pentanona)</t>
  </si>
  <si>
    <t xml:space="preserve">107-87-9</t>
  </si>
  <si>
    <t xml:space="preserve">Alcohol furfurílico</t>
  </si>
  <si>
    <t xml:space="preserve">98-00-0</t>
  </si>
  <si>
    <t xml:space="preserve">Diglicidil éter</t>
  </si>
  <si>
    <t xml:space="preserve">2238-07-5</t>
  </si>
  <si>
    <t xml:space="preserve">Alil glicidil éter</t>
  </si>
  <si>
    <t xml:space="preserve">106-92-3</t>
  </si>
  <si>
    <t xml:space="preserve">Alcohol alílico</t>
  </si>
  <si>
    <t xml:space="preserve">107-18-6</t>
  </si>
  <si>
    <t xml:space="preserve">Cloruro de alilo</t>
  </si>
  <si>
    <t xml:space="preserve">107-05-1</t>
  </si>
  <si>
    <t xml:space="preserve">Ácido acrílico</t>
  </si>
  <si>
    <t xml:space="preserve">79-10-7</t>
  </si>
  <si>
    <t xml:space="preserve">Acroleína</t>
  </si>
  <si>
    <t xml:space="preserve">107-02-8</t>
  </si>
  <si>
    <t xml:space="preserve">Acrilonitrilo</t>
  </si>
  <si>
    <t xml:space="preserve">107-13-1</t>
  </si>
  <si>
    <t xml:space="preserve">Bromoformo</t>
  </si>
  <si>
    <t xml:space="preserve">75-25-2</t>
  </si>
  <si>
    <t xml:space="preserve">Difluorodibromometano</t>
  </si>
  <si>
    <t xml:space="preserve">75-61-6</t>
  </si>
  <si>
    <t xml:space="preserve">1-Bromopropano (n-propil bromuro)</t>
  </si>
  <si>
    <t xml:space="preserve">106-94-5</t>
  </si>
  <si>
    <t xml:space="preserve">1,2-Dicloroetileno (mezcla isómeros)</t>
  </si>
  <si>
    <t xml:space="preserve">540-59-0</t>
  </si>
  <si>
    <t xml:space="preserve">1,1-Dicloroetano</t>
  </si>
  <si>
    <t xml:space="preserve">75-34-3</t>
  </si>
  <si>
    <t xml:space="preserve">Éter isopropílico (diisopropil éter)</t>
  </si>
  <si>
    <t xml:space="preserve">108-20-3</t>
  </si>
  <si>
    <t xml:space="preserve">Etilenclorhidrina (2-cloroetanol)</t>
  </si>
  <si>
    <t xml:space="preserve">107-07-3</t>
  </si>
  <si>
    <t xml:space="preserve">Etil amil cetona (5-metil-3-heptanona)</t>
  </si>
  <si>
    <t xml:space="preserve">541-85-5</t>
  </si>
  <si>
    <t xml:space="preserve">Metil n-amil cetona (2-heptanona)</t>
  </si>
  <si>
    <t xml:space="preserve">110-43-0</t>
  </si>
  <si>
    <t xml:space="preserve">Metilciclohexanol</t>
  </si>
  <si>
    <t xml:space="preserve">25639-42-3</t>
  </si>
  <si>
    <t xml:space="preserve">o-Metilciclohexanona</t>
  </si>
  <si>
    <t xml:space="preserve">583-60-8</t>
  </si>
  <si>
    <t xml:space="preserve">Metil isobutil carbinol (MIBC)</t>
  </si>
  <si>
    <t xml:space="preserve">108-11-2</t>
  </si>
  <si>
    <t xml:space="preserve">Metil isopropil cetona (MIPK)</t>
  </si>
  <si>
    <t xml:space="preserve">563-80-4</t>
  </si>
  <si>
    <t xml:space="preserve">Óxido de mesitilo</t>
  </si>
  <si>
    <t xml:space="preserve">141-79-7</t>
  </si>
  <si>
    <t xml:space="preserve">Metil isoamil cetona (MIAK)</t>
  </si>
  <si>
    <t xml:space="preserve">110-12-3</t>
  </si>
  <si>
    <t xml:space="preserve">Dietilentriamina (DETA)</t>
  </si>
  <si>
    <t xml:space="preserve">111-40-0</t>
  </si>
  <si>
    <t xml:space="preserve">o-Clorostireno</t>
  </si>
  <si>
    <t xml:space="preserve">2039-87-4</t>
  </si>
  <si>
    <t xml:space="preserve">1-Cloro-1-nitropropano</t>
  </si>
  <si>
    <t xml:space="preserve">600-25-9</t>
  </si>
  <si>
    <t xml:space="preserve">1,4-Dioxano</t>
  </si>
  <si>
    <t xml:space="preserve">123-91-1</t>
  </si>
  <si>
    <t xml:space="preserve">Diisocianato de tolueno (TDI, mezcla 2,4-/2,6-)</t>
  </si>
  <si>
    <t xml:space="preserve">584-84-9</t>
  </si>
  <si>
    <t xml:space="preserve">Carbitol (dietilenglicol monoetil éter)</t>
  </si>
  <si>
    <t xml:space="preserve">111-90-0</t>
  </si>
  <si>
    <t xml:space="preserve">Dietanolamina</t>
  </si>
  <si>
    <t xml:space="preserve">111-42-2</t>
  </si>
  <si>
    <t xml:space="preserve">CALCULADORA DE PRESIÓN DE VAPOR (ECUACIÓN DE ANTOINE)</t>
  </si>
  <si>
    <t xml:space="preserve">Calcula la presión de vapor (mmHg) de una sustancia pura a la temperatura que el usuario ingrese, mediante la ecuación de Antoine: log10(VP) = A − B / (T + C), con T en °C. Constantes A, B, C válidas para el rango de temperatura habitual de trabajo en higiene industrial. Modifique la columna 'Temperatura (°C)' (celdas rosadas) para recalcular. Para sustancias no incluidas aquí, consulte la hoja 'Tabla NIOSH VP-SG' (valor fijo a 20°C) o https://webbook.nist.gov/chemistry/ (sección 'Antoine Equation Parameters' o 'Fluid Properties').</t>
  </si>
  <si>
    <t xml:space="preserve">A</t>
  </si>
  <si>
    <t xml:space="preserve">B</t>
  </si>
  <si>
    <t xml:space="preserve">C</t>
  </si>
  <si>
    <t xml:space="preserve">Temperatura (°C)</t>
  </si>
  <si>
    <t xml:space="preserve">Presión de Vapor (mmHg)</t>
  </si>
  <si>
    <t xml:space="preserve">Alcohol bencílico</t>
  </si>
  <si>
    <t xml:space="preserve">100-51-6</t>
  </si>
  <si>
    <t xml:space="preserve">Bifenilo</t>
  </si>
  <si>
    <t xml:space="preserve">92-52-4</t>
  </si>
  <si>
    <t xml:space="preserve">Cloruro de n-butilo</t>
  </si>
  <si>
    <t xml:space="preserve">109-69-3</t>
  </si>
  <si>
    <t xml:space="preserve">Mercaptano de terc-butilo</t>
  </si>
  <si>
    <t xml:space="preserve">75-66-1</t>
  </si>
  <si>
    <t xml:space="preserve">Dicloruro de etileno</t>
  </si>
  <si>
    <t xml:space="preserve">Alcohol metílico</t>
  </si>
  <si>
    <t xml:space="preserve">Cloruro de metileno</t>
  </si>
  <si>
    <t xml:space="preserve">Metil etil cetona</t>
  </si>
  <si>
    <t xml:space="preserve">Fenol</t>
  </si>
  <si>
    <t xml:space="preserve">108-95-2</t>
  </si>
  <si>
    <t xml:space="preserve">Agua</t>
  </si>
  <si>
    <t xml:space="preserve">7732-18-5</t>
  </si>
  <si>
    <t xml:space="preserve">LIQUIDOS</t>
  </si>
  <si>
    <t xml:space="preserve">SOLIDOS</t>
  </si>
  <si>
    <t xml:space="preserve">CONTROL PROPUESTO</t>
  </si>
  <si>
    <t xml:space="preserve">                                          FASE 2: VENTILACIÓN GENERAL (ACH)</t>
  </si>
  <si>
    <t xml:space="preserve">DILUCIÓN QUÍMICA (CONSUMO G)</t>
  </si>
  <si>
    <t xml:space="preserve"> EXTRACCIÓN  LOCALIZADA (LEV)</t>
  </si>
  <si>
    <t xml:space="preserve">Sustancia </t>
  </si>
  <si>
    <t xml:space="preserve">%  Peso Ficha de Datos de Seguridad</t>
  </si>
  <si>
    <t xml:space="preserve">TLV-TWA</t>
  </si>
  <si>
    <t xml:space="preserve">Peso Molecular</t>
  </si>
  <si>
    <t xml:space="preserve">Presion de Vapor 
(mmHg)</t>
  </si>
  <si>
    <t xml:space="preserve">Moles</t>
  </si>
  <si>
    <t xml:space="preserve">Fraccion Molar</t>
  </si>
  <si>
    <t xml:space="preserve">Presion de Vapor Ajustada</t>
  </si>
  <si>
    <t xml:space="preserve">Razon de Riesgo de Vapor Ajustado</t>
  </si>
  <si>
    <t xml:space="preserve">Ratio de Riesgo (%)</t>
  </si>
  <si>
    <t xml:space="preserve">PM</t>
  </si>
  <si>
    <t xml:space="preserve">PV</t>
  </si>
  <si>
    <t xml:space="preserve">Concentracion Medida</t>
  </si>
  <si>
    <t xml:space="preserve">Indice de Exposicion</t>
  </si>
  <si>
    <t xml:space="preserve">Ancho (m)</t>
  </si>
  <si>
    <t xml:space="preserve">Largo (m)</t>
  </si>
  <si>
    <t xml:space="preserve">Alto (m)</t>
  </si>
  <si>
    <t xml:space="preserve">Volumen (m³)</t>
  </si>
  <si>
    <t xml:space="preserve">ACH Requerido</t>
  </si>
  <si>
    <t xml:space="preserve">Caudal (m³/h)</t>
  </si>
  <si>
    <t xml:space="preserve">Caudal (CFM)</t>
  </si>
  <si>
    <t xml:space="preserve">Consumo G (L/h)</t>
  </si>
  <si>
    <t xml:space="preserve">Densidad Sustancia (kg/L)</t>
  </si>
  <si>
    <t xml:space="preserve">Factor K</t>
  </si>
  <si>
    <t xml:space="preserve">Q Dilución (m³/h)</t>
  </si>
  <si>
    <t xml:space="preserve">Q Dilución (CFM)</t>
  </si>
  <si>
    <t xml:space="preserve">Tipo de Campana</t>
  </si>
  <si>
    <t xml:space="preserve">Distancia x (m)</t>
  </si>
  <si>
    <t xml:space="preserve">Área Campana A (m²)</t>
  </si>
  <si>
    <t xml:space="preserve">Velocidad Captura Recomendada (ACGIH) Vc (m/s)</t>
  </si>
  <si>
    <t xml:space="preserve">Q Captura (m³/h)</t>
  </si>
  <si>
    <t xml:space="preserve">Q Captura (CFM)</t>
  </si>
  <si>
    <t xml:space="preserve">Velocidad Ducto Vd (m/s)</t>
  </si>
  <si>
    <t xml:space="preserve">Diámetro Ducto (pulg)</t>
  </si>
  <si>
    <t xml:space="preserve">Acetaldehído</t>
  </si>
  <si>
    <t xml:space="preserve">75-07-0</t>
  </si>
  <si>
    <t xml:space="preserve">Acetamida</t>
  </si>
  <si>
    <t xml:space="preserve">60-35-5</t>
  </si>
  <si>
    <t xml:space="preserve">Acetamiprida</t>
  </si>
  <si>
    <t xml:space="preserve">135410-20-7</t>
  </si>
  <si>
    <t xml:space="preserve">111-11-1</t>
  </si>
  <si>
    <t xml:space="preserve">Solvente A</t>
  </si>
  <si>
    <t xml:space="preserve">Campana con Pestaña</t>
  </si>
  <si>
    <t xml:space="preserve">222-22-2</t>
  </si>
  <si>
    <t xml:space="preserve">Solvente B</t>
  </si>
  <si>
    <t xml:space="preserve">108-24-8</t>
  </si>
  <si>
    <t xml:space="preserve">333-33-3</t>
  </si>
  <si>
    <t xml:space="preserve">Solvente C</t>
  </si>
  <si>
    <t xml:space="preserve">108-24-9</t>
  </si>
  <si>
    <t xml:space="preserve">444-44-4</t>
  </si>
  <si>
    <t xml:space="preserve">Resina X</t>
  </si>
  <si>
    <t xml:space="preserve">108-24-10</t>
  </si>
  <si>
    <t xml:space="preserve">555-55-5</t>
  </si>
  <si>
    <t xml:space="preserve">Aditivo Y</t>
  </si>
  <si>
    <t xml:space="preserve">108-24-11</t>
  </si>
  <si>
    <t xml:space="preserve">666-66-6</t>
  </si>
  <si>
    <t xml:space="preserve">Estabilizante Z</t>
  </si>
  <si>
    <t xml:space="preserve">108-24-12</t>
  </si>
  <si>
    <t xml:space="preserve">777-77-7</t>
  </si>
  <si>
    <t xml:space="preserve">Catalizador K</t>
  </si>
  <si>
    <t xml:space="preserve">108-24-13</t>
  </si>
  <si>
    <t xml:space="preserve">888-88-8</t>
  </si>
  <si>
    <t xml:space="preserve">Impureza M</t>
  </si>
  <si>
    <t xml:space="preserve">108-24-14</t>
  </si>
  <si>
    <t xml:space="preserve">0107-02-08</t>
  </si>
  <si>
    <t xml:space="preserve">Acrilamida</t>
  </si>
  <si>
    <t xml:space="preserve">79-06-1</t>
  </si>
  <si>
    <t xml:space="preserve">Consumo Total Mezcla (L/h)</t>
  </si>
  <si>
    <t xml:space="preserve">Densidad Mezcla (kg/L)</t>
  </si>
  <si>
    <t xml:space="preserve">Factor K Global</t>
  </si>
  <si>
    <t xml:space="preserve">Ácido adípico</t>
  </si>
  <si>
    <t xml:space="preserve">0124-04-09</t>
  </si>
  <si>
    <t xml:space="preserve">Adiponitrilo</t>
  </si>
  <si>
    <t xml:space="preserve">111-69-3</t>
  </si>
  <si>
    <t xml:space="preserve">Alacloro</t>
  </si>
  <si>
    <t xml:space="preserve">15972-60-8</t>
  </si>
  <si>
    <t xml:space="preserve">Aldicarb</t>
  </si>
  <si>
    <t xml:space="preserve">0116-06-03</t>
  </si>
  <si>
    <t xml:space="preserve">Aldrín</t>
  </si>
  <si>
    <t xml:space="preserve">309-00-2</t>
  </si>
  <si>
    <t xml:space="preserve">alcohol alílico</t>
  </si>
  <si>
    <t xml:space="preserve">bromuro de alilo</t>
  </si>
  <si>
    <t xml:space="preserve">106-95-6</t>
  </si>
  <si>
    <t xml:space="preserve">cloruro de alilo</t>
  </si>
  <si>
    <t xml:space="preserve">0107-05-01</t>
  </si>
  <si>
    <t xml:space="preserve">Éter alílico glicidílico</t>
  </si>
  <si>
    <t xml:space="preserve">metacrilato de alilo</t>
  </si>
  <si>
    <t xml:space="preserve">96-05-9</t>
  </si>
  <si>
    <t xml:space="preserve">disulfuro de alilpropilo</t>
  </si>
  <si>
    <t xml:space="preserve">2179-59-1</t>
  </si>
  <si>
    <t xml:space="preserve">Metal de aluminio</t>
  </si>
  <si>
    <t xml:space="preserve">7429-90-5</t>
  </si>
  <si>
    <t xml:space="preserve">4-aminodifenilo</t>
  </si>
  <si>
    <t xml:space="preserve">92-67-1</t>
  </si>
  <si>
    <t xml:space="preserve">2-aminopiridina</t>
  </si>
  <si>
    <t xml:space="preserve">504-29-0</t>
  </si>
  <si>
    <t xml:space="preserve">Amitrol</t>
  </si>
  <si>
    <t xml:space="preserve">61-82-5</t>
  </si>
  <si>
    <t xml:space="preserve">Amoníaco</t>
  </si>
  <si>
    <t xml:space="preserve">7664-41-7</t>
  </si>
  <si>
    <t xml:space="preserve">Cloruro de amonio, humo</t>
  </si>
  <si>
    <t xml:space="preserve">1212-02-09</t>
  </si>
  <si>
    <t xml:space="preserve">Perfluorooctanoato de amonio</t>
  </si>
  <si>
    <t xml:space="preserve">3825-26-1</t>
  </si>
  <si>
    <t xml:space="preserve">sulfamato de amonio</t>
  </si>
  <si>
    <t xml:space="preserve">7773-06-0</t>
  </si>
  <si>
    <t xml:space="preserve">éter metílico de terc-amilo</t>
  </si>
  <si>
    <t xml:space="preserve">0994-05-08</t>
  </si>
  <si>
    <t xml:space="preserve">Isómero orto de anisidina (2002)</t>
  </si>
  <si>
    <t xml:space="preserve">90-04-0</t>
  </si>
  <si>
    <t xml:space="preserve">Isómero para de anisidina (2002)</t>
  </si>
  <si>
    <t xml:space="preserve">104-94-9</t>
  </si>
  <si>
    <t xml:space="preserve">Antimonio</t>
  </si>
  <si>
    <t xml:space="preserve">7440-36-0</t>
  </si>
  <si>
    <t xml:space="preserve">hidruro de antimonio</t>
  </si>
  <si>
    <t xml:space="preserve">7803-52-3</t>
  </si>
  <si>
    <t xml:space="preserve">Trióxido de antimonio</t>
  </si>
  <si>
    <t xml:space="preserve">1309-64-4</t>
  </si>
  <si>
    <t xml:space="preserve">ANTU</t>
  </si>
  <si>
    <t xml:space="preserve">86-88-4</t>
  </si>
  <si>
    <t xml:space="preserve">Argón</t>
  </si>
  <si>
    <t xml:space="preserve">7440-37-1</t>
  </si>
  <si>
    <t xml:space="preserve">Arsénico</t>
  </si>
  <si>
    <t xml:space="preserve">7440-38-2</t>
  </si>
  <si>
    <t xml:space="preserve">Arsina</t>
  </si>
  <si>
    <t xml:space="preserve">7784-42-1</t>
  </si>
  <si>
    <t xml:space="preserve">Amianto</t>
  </si>
  <si>
    <t xml:space="preserve">1332-21-4</t>
  </si>
  <si>
    <t xml:space="preserve">Humos de asfalto (betún)</t>
  </si>
  <si>
    <t xml:space="preserve">8052-42-4</t>
  </si>
  <si>
    <t xml:space="preserve">Atrazina</t>
  </si>
  <si>
    <t xml:space="preserve">1912-24-9</t>
  </si>
  <si>
    <t xml:space="preserve">Azinfos-metil</t>
  </si>
  <si>
    <t xml:space="preserve">86-50-0</t>
  </si>
  <si>
    <t xml:space="preserve">Bario</t>
  </si>
  <si>
    <t xml:space="preserve">7440-39-3</t>
  </si>
  <si>
    <t xml:space="preserve">sulfato de bario</t>
  </si>
  <si>
    <t xml:space="preserve">7727-43-7</t>
  </si>
  <si>
    <t xml:space="preserve">Bendiocarb</t>
  </si>
  <si>
    <t xml:space="preserve">22781-23-3</t>
  </si>
  <si>
    <t xml:space="preserve">Benomilo</t>
  </si>
  <si>
    <t xml:space="preserve">17804-35-2</t>
  </si>
  <si>
    <t xml:space="preserve">Benz</t>
  </si>
  <si>
    <t xml:space="preserve">56-55-3</t>
  </si>
  <si>
    <t xml:space="preserve">Bensulida</t>
  </si>
  <si>
    <t xml:space="preserve">741-58-2</t>
  </si>
  <si>
    <t xml:space="preserve">Benzidina</t>
  </si>
  <si>
    <t xml:space="preserve">92-87-5</t>
  </si>
  <si>
    <t xml:space="preserve">Benzo</t>
  </si>
  <si>
    <t xml:space="preserve">205-99-2</t>
  </si>
  <si>
    <t xml:space="preserve">50-32-8</t>
  </si>
  <si>
    <t xml:space="preserve">Ácido benzoico y benzoatos alcalinos (2021) Ácido benzoico</t>
  </si>
  <si>
    <t xml:space="preserve">65-85-0</t>
  </si>
  <si>
    <t xml:space="preserve">Benzoato de sodio, como benzoato</t>
  </si>
  <si>
    <t xml:space="preserve">532-32-1</t>
  </si>
  <si>
    <t xml:space="preserve">Benzoato de potasio, como benzoato</t>
  </si>
  <si>
    <t xml:space="preserve">582-25-2</t>
  </si>
  <si>
    <t xml:space="preserve">Benzoquinona</t>
  </si>
  <si>
    <t xml:space="preserve">106-51-4</t>
  </si>
  <si>
    <t xml:space="preserve">Benzotricloruro</t>
  </si>
  <si>
    <t xml:space="preserve">98-07-7</t>
  </si>
  <si>
    <t xml:space="preserve">cloruro de benzoilo</t>
  </si>
  <si>
    <t xml:space="preserve">98-88-4</t>
  </si>
  <si>
    <t xml:space="preserve">Peróxido de benzoilo</t>
  </si>
  <si>
    <t xml:space="preserve">94-36-0</t>
  </si>
  <si>
    <t xml:space="preserve">acetato de bencilo</t>
  </si>
  <si>
    <t xml:space="preserve">0140-11-4</t>
  </si>
  <si>
    <t xml:space="preserve">cloruro de bencilo</t>
  </si>
  <si>
    <t xml:space="preserve">100-44-7</t>
  </si>
  <si>
    <t xml:space="preserve">Berilio</t>
  </si>
  <si>
    <t xml:space="preserve">7440-41-7</t>
  </si>
  <si>
    <t xml:space="preserve">Sin dopar, como Bi2Te3</t>
  </si>
  <si>
    <t xml:space="preserve">Telururo de bismuto</t>
  </si>
  <si>
    <t xml:space="preserve">1304-82-1</t>
  </si>
  <si>
    <t xml:space="preserve">Compuestos de borato, inorgánicos</t>
  </si>
  <si>
    <t xml:space="preserve">1303-96-4; 1330-43-4</t>
  </si>
  <si>
    <t xml:space="preserve">óxido de boro</t>
  </si>
  <si>
    <t xml:space="preserve">1303-86-2</t>
  </si>
  <si>
    <t xml:space="preserve">Tribromuro de boro</t>
  </si>
  <si>
    <t xml:space="preserve">10294-33-4</t>
  </si>
  <si>
    <t xml:space="preserve">tricloruro de boro</t>
  </si>
  <si>
    <t xml:space="preserve">10294-34-5</t>
  </si>
  <si>
    <t xml:space="preserve">Trifluoruro de boro</t>
  </si>
  <si>
    <t xml:space="preserve">Éteres de trifluoruro de boro</t>
  </si>
  <si>
    <t xml:space="preserve">109-63-7; 353-42-4</t>
  </si>
  <si>
    <t xml:space="preserve">Bromacilo</t>
  </si>
  <si>
    <t xml:space="preserve">314-40-9</t>
  </si>
  <si>
    <t xml:space="preserve">Bromo</t>
  </si>
  <si>
    <t xml:space="preserve">7726-95-6</t>
  </si>
  <si>
    <t xml:space="preserve">pentafluoruro de bromo</t>
  </si>
  <si>
    <t xml:space="preserve">7789-30-2</t>
  </si>
  <si>
    <t xml:space="preserve">Bromoform</t>
  </si>
  <si>
    <t xml:space="preserve">1-bromopropano</t>
  </si>
  <si>
    <t xml:space="preserve">Buprofezina</t>
  </si>
  <si>
    <t xml:space="preserve">69327-76-0</t>
  </si>
  <si>
    <t xml:space="preserve">1,3-butadieno</t>
  </si>
  <si>
    <t xml:space="preserve">106-99-0</t>
  </si>
  <si>
    <t xml:space="preserve">Butano, isómeros</t>
  </si>
  <si>
    <t xml:space="preserve">75-28-5; 106-97-8</t>
  </si>
  <si>
    <t xml:space="preserve">n-butanol</t>
  </si>
  <si>
    <t xml:space="preserve">sec-butanol</t>
  </si>
  <si>
    <t xml:space="preserve">terc-butanol</t>
  </si>
  <si>
    <t xml:space="preserve">75-65-0</t>
  </si>
  <si>
    <t xml:space="preserve">Butenos, todos los isómeros</t>
  </si>
  <si>
    <t xml:space="preserve">106-98-9; 107-01-7;, 590-18-1; 624-64-6; 25167-67-3</t>
  </si>
  <si>
    <t xml:space="preserve">2-butoxietanol</t>
  </si>
  <si>
    <t xml:space="preserve">acetato de 2-butoxietilo</t>
  </si>
  <si>
    <t xml:space="preserve">0112-07-02</t>
  </si>
  <si>
    <t xml:space="preserve">Acetatos de butilo, todos los isómeros</t>
  </si>
  <si>
    <t xml:space="preserve">105-46-4; 110-19-0;, 123-86-4; 540-88-5</t>
  </si>
  <si>
    <t xml:space="preserve">hidroxitolueno butilado</t>
  </si>
  <si>
    <t xml:space="preserve">128-37-0</t>
  </si>
  <si>
    <t xml:space="preserve">acrilato de n-butilo</t>
  </si>
  <si>
    <t xml:space="preserve">141-32-2</t>
  </si>
  <si>
    <t xml:space="preserve">n-butilamina</t>
  </si>
  <si>
    <t xml:space="preserve">109-73-9</t>
  </si>
  <si>
    <t xml:space="preserve">n-butil glicidil éter</t>
  </si>
  <si>
    <t xml:space="preserve">lactato de n-butilo</t>
  </si>
  <si>
    <t xml:space="preserve">138-22-7</t>
  </si>
  <si>
    <t xml:space="preserve">n-butil mercaptano</t>
  </si>
  <si>
    <t xml:space="preserve">109-79-5</t>
  </si>
  <si>
    <t xml:space="preserve">o-sec-butilfenol</t>
  </si>
  <si>
    <t xml:space="preserve">89-72-5</t>
  </si>
  <si>
    <t xml:space="preserve">p-terc-butiltolueno</t>
  </si>
  <si>
    <t xml:space="preserve">98-51-1</t>
  </si>
  <si>
    <t xml:space="preserve">Ácido 4-terc-butilbenzoico</t>
  </si>
  <si>
    <t xml:space="preserve">98-73-7</t>
  </si>
  <si>
    <t xml:space="preserve">cromato de terc-butilo, como CrO3</t>
  </si>
  <si>
    <t xml:space="preserve">1189-85-1</t>
  </si>
  <si>
    <t xml:space="preserve">hidroperóxido de terc-butilo</t>
  </si>
  <si>
    <t xml:space="preserve">75-91-2</t>
  </si>
  <si>
    <t xml:space="preserve">Cadmio</t>
  </si>
  <si>
    <t xml:space="preserve">7440-43-9</t>
  </si>
  <si>
    <t xml:space="preserve">Cadusafos</t>
  </si>
  <si>
    <t xml:space="preserve">95465-99-9</t>
  </si>
  <si>
    <t xml:space="preserve">cianamida de calcio</t>
  </si>
  <si>
    <t xml:space="preserve">156-62-7</t>
  </si>
  <si>
    <t xml:space="preserve">hidróxido de calcio</t>
  </si>
  <si>
    <t xml:space="preserve">1305-62-0</t>
  </si>
  <si>
    <t xml:space="preserve">Óxido de calcio</t>
  </si>
  <si>
    <t xml:space="preserve">1305-78-8</t>
  </si>
  <si>
    <t xml:space="preserve">Silicato de calcio, que se presenta de forma natural como wollastonita</t>
  </si>
  <si>
    <t xml:space="preserve">13983-17-0</t>
  </si>
  <si>
    <t xml:space="preserve">sulfato de calcio</t>
  </si>
  <si>
    <t xml:space="preserve">7778-18-9; 10034-76-1; 10101-41-4; 13397-24-5</t>
  </si>
  <si>
    <t xml:space="preserve">Alcanfor sintético</t>
  </si>
  <si>
    <t xml:space="preserve">76-22-2</t>
  </si>
  <si>
    <t xml:space="preserve">Caprolactama</t>
  </si>
  <si>
    <t xml:space="preserve">105-60-2</t>
  </si>
  <si>
    <t xml:space="preserve">Captafol</t>
  </si>
  <si>
    <t xml:space="preserve">Capitán</t>
  </si>
  <si>
    <t xml:space="preserve">0133-06-02</t>
  </si>
  <si>
    <t xml:space="preserve">Carbaril</t>
  </si>
  <si>
    <t xml:space="preserve">63-25-2</t>
  </si>
  <si>
    <t xml:space="preserve">Carbofurano</t>
  </si>
  <si>
    <t xml:space="preserve">1563-66-2</t>
  </si>
  <si>
    <t xml:space="preserve">Negro carbón</t>
  </si>
  <si>
    <t xml:space="preserve">1333-86-4</t>
  </si>
  <si>
    <t xml:space="preserve">Dióxido de carbono</t>
  </si>
  <si>
    <t xml:space="preserve">124-38-9</t>
  </si>
  <si>
    <t xml:space="preserve">disulfuro de carbono</t>
  </si>
  <si>
    <t xml:space="preserve">‡ Monóxido de carbono</t>
  </si>
  <si>
    <t xml:space="preserve">630-08-0</t>
  </si>
  <si>
    <t xml:space="preserve">Tetrabromuro de carbono</t>
  </si>
  <si>
    <t xml:space="preserve">558-13-4</t>
  </si>
  <si>
    <t xml:space="preserve">fluoruro de carbonilo</t>
  </si>
  <si>
    <t xml:space="preserve">353-50-4</t>
  </si>
  <si>
    <t xml:space="preserve">sulfuro de carbonilo</t>
  </si>
  <si>
    <t xml:space="preserve">463-58-1</t>
  </si>
  <si>
    <t xml:space="preserve">Carfentrazona-etilo</t>
  </si>
  <si>
    <t xml:space="preserve">128639-02-1</t>
  </si>
  <si>
    <t xml:space="preserve">Catecol</t>
  </si>
  <si>
    <t xml:space="preserve">120-80-9</t>
  </si>
  <si>
    <t xml:space="preserve">Celulosa</t>
  </si>
  <si>
    <t xml:space="preserve">9004-34-6</t>
  </si>
  <si>
    <t xml:space="preserve">hidróxido de cesio</t>
  </si>
  <si>
    <t xml:space="preserve">21351-79-1</t>
  </si>
  <si>
    <t xml:space="preserve">Clordano</t>
  </si>
  <si>
    <t xml:space="preserve">57-74-9</t>
  </si>
  <si>
    <t xml:space="preserve">Canfeno clorado</t>
  </si>
  <si>
    <t xml:space="preserve">8001-35-2</t>
  </si>
  <si>
    <t xml:space="preserve">Óxido de difenilo clorado</t>
  </si>
  <si>
    <t xml:space="preserve">31242-93-0</t>
  </si>
  <si>
    <t xml:space="preserve">Cloro</t>
  </si>
  <si>
    <t xml:space="preserve">7782-50-5</t>
  </si>
  <si>
    <t xml:space="preserve">dióxido de cloro</t>
  </si>
  <si>
    <t xml:space="preserve">1004-04-04</t>
  </si>
  <si>
    <t xml:space="preserve">Trifluoruro de cloro</t>
  </si>
  <si>
    <t xml:space="preserve">7790-91-2</t>
  </si>
  <si>
    <t xml:space="preserve">Cloroacetaldehído</t>
  </si>
  <si>
    <t xml:space="preserve">107-20-0</t>
  </si>
  <si>
    <t xml:space="preserve">Cloroacetona</t>
  </si>
  <si>
    <t xml:space="preserve">78-95-5</t>
  </si>
  <si>
    <t xml:space="preserve">2-cloroacetofenona</t>
  </si>
  <si>
    <t xml:space="preserve">532-27-4</t>
  </si>
  <si>
    <t xml:space="preserve">Cloruro de cloroacetilo</t>
  </si>
  <si>
    <t xml:space="preserve">79-04-9</t>
  </si>
  <si>
    <t xml:space="preserve">o-clorobencilideno malononitrilo</t>
  </si>
  <si>
    <t xml:space="preserve">2698-41-1</t>
  </si>
  <si>
    <t xml:space="preserve">Clorobromometano</t>
  </si>
  <si>
    <t xml:space="preserve">74-97-5</t>
  </si>
  <si>
    <t xml:space="preserve">Clorodifluorometano</t>
  </si>
  <si>
    <t xml:space="preserve">75-45-6</t>
  </si>
  <si>
    <t xml:space="preserve">Clorodifenilo (42% cloro)</t>
  </si>
  <si>
    <t xml:space="preserve">53469-21-9</t>
  </si>
  <si>
    <t xml:space="preserve">Clorodifenilo (54% cloro)</t>
  </si>
  <si>
    <t xml:space="preserve">11097-69-1</t>
  </si>
  <si>
    <t xml:space="preserve">éter bis(clorometílico)</t>
  </si>
  <si>
    <t xml:space="preserve">542-88-1</t>
  </si>
  <si>
    <t xml:space="preserve">éter metílico de clorometilo</t>
  </si>
  <si>
    <t xml:space="preserve">107-30-2</t>
  </si>
  <si>
    <t xml:space="preserve">1-cloro-1-nitropropano</t>
  </si>
  <si>
    <t xml:space="preserve">Clorpentafluoroetano</t>
  </si>
  <si>
    <t xml:space="preserve">76-15-3</t>
  </si>
  <si>
    <t xml:space="preserve">Cloropicrina</t>
  </si>
  <si>
    <t xml:space="preserve">76-06-2</t>
  </si>
  <si>
    <t xml:space="preserve">E-cloropreno</t>
  </si>
  <si>
    <t xml:space="preserve">126-99-8</t>
  </si>
  <si>
    <t xml:space="preserve">1-Cloro-2-propanol</t>
  </si>
  <si>
    <t xml:space="preserve">127-00-4</t>
  </si>
  <si>
    <t xml:space="preserve">2-cloro-1-propanol</t>
  </si>
  <si>
    <t xml:space="preserve">78-89-7</t>
  </si>
  <si>
    <t xml:space="preserve">Ácido 2-cloropropiónico</t>
  </si>
  <si>
    <t xml:space="preserve">598-78-7</t>
  </si>
  <si>
    <t xml:space="preserve">o-cloroestireno</t>
  </si>
  <si>
    <t xml:space="preserve">o-clorotolueno</t>
  </si>
  <si>
    <t xml:space="preserve">95-49-8</t>
  </si>
  <si>
    <t xml:space="preserve">Clorpirifos</t>
  </si>
  <si>
    <t xml:space="preserve">2921-88-2</t>
  </si>
  <si>
    <t xml:space="preserve">Cromo,</t>
  </si>
  <si>
    <t xml:space="preserve">7440-47-3</t>
  </si>
  <si>
    <t xml:space="preserve">Cromo metálico, como Cr(0)</t>
  </si>
  <si>
    <t xml:space="preserve">Compuestos de cromo trivalente, como Cr(III)</t>
  </si>
  <si>
    <t xml:space="preserve">Compuestos de cromo hexavalente, como Cr(VI)</t>
  </si>
  <si>
    <t xml:space="preserve">Cloruro de cromilo</t>
  </si>
  <si>
    <t xml:space="preserve">14977-61-8</t>
  </si>
  <si>
    <t xml:space="preserve">Criseno</t>
  </si>
  <si>
    <t xml:space="preserve">0218-01-09</t>
  </si>
  <si>
    <t xml:space="preserve">Citral</t>
  </si>
  <si>
    <t xml:space="preserve">5392-40-5</t>
  </si>
  <si>
    <t xml:space="preserve">Clopidol</t>
  </si>
  <si>
    <t xml:space="preserve">2971-90-6</t>
  </si>
  <si>
    <t xml:space="preserve">Clotianidina</t>
  </si>
  <si>
    <t xml:space="preserve">210880-92-5</t>
  </si>
  <si>
    <t xml:space="preserve">Polvo de carbón (1998) Antracita</t>
  </si>
  <si>
    <t xml:space="preserve">Polvo de carbón (1998) Bituminoso o lignito</t>
  </si>
  <si>
    <t xml:space="preserve">308062-82-0</t>
  </si>
  <si>
    <t xml:space="preserve">Volátiles de brea de hulla</t>
  </si>
  <si>
    <t xml:space="preserve">65996-93-2</t>
  </si>
  <si>
    <t xml:space="preserve">Cobalto</t>
  </si>
  <si>
    <t xml:space="preserve">7440-48-4</t>
  </si>
  <si>
    <t xml:space="preserve">Carbonilo de cobalto</t>
  </si>
  <si>
    <t xml:space="preserve">10210-68-1</t>
  </si>
  <si>
    <t xml:space="preserve">Hidrocarburo de cobalto</t>
  </si>
  <si>
    <t xml:space="preserve">1684-03-08</t>
  </si>
  <si>
    <t xml:space="preserve">Cobre</t>
  </si>
  <si>
    <t xml:space="preserve">7440-50-8</t>
  </si>
  <si>
    <t xml:space="preserve">Polvos y nieblas, como Cu</t>
  </si>
  <si>
    <t xml:space="preserve">Polvo de algodón, crudo, sin tratar (2010)</t>
  </si>
  <si>
    <t xml:space="preserve">Cumafos</t>
  </si>
  <si>
    <t xml:space="preserve">56-72-4</t>
  </si>
  <si>
    <t xml:space="preserve">Cresol, todos los isómeros</t>
  </si>
  <si>
    <t xml:space="preserve">95-48-7; 106-44-5;108-39-4; 1319-77-3] (2010)</t>
  </si>
  <si>
    <t xml:space="preserve">Crotonaldehído</t>
  </si>
  <si>
    <t xml:space="preserve">4170-30-3</t>
  </si>
  <si>
    <t xml:space="preserve">Crufomato</t>
  </si>
  <si>
    <t xml:space="preserve">299-86-5</t>
  </si>
  <si>
    <t xml:space="preserve">Cumeno</t>
  </si>
  <si>
    <t xml:space="preserve">Cianamida</t>
  </si>
  <si>
    <t xml:space="preserve">0420-04-02</t>
  </si>
  <si>
    <t xml:space="preserve">Cianazina</t>
  </si>
  <si>
    <t xml:space="preserve">21725-46-2</t>
  </si>
  <si>
    <t xml:space="preserve">Cianoacrilatos, Etilo</t>
  </si>
  <si>
    <t xml:space="preserve">7085-85-0</t>
  </si>
  <si>
    <t xml:space="preserve">Cianogeno</t>
  </si>
  <si>
    <t xml:space="preserve">460-19-5</t>
  </si>
  <si>
    <t xml:space="preserve">bromuro de cianógeno</t>
  </si>
  <si>
    <t xml:space="preserve">506-68-3</t>
  </si>
  <si>
    <t xml:space="preserve">cloruro de cianógeno</t>
  </si>
  <si>
    <t xml:space="preserve">506-77-4</t>
  </si>
  <si>
    <t xml:space="preserve">ciclohexano</t>
  </si>
  <si>
    <t xml:space="preserve">Ciclohexanol</t>
  </si>
  <si>
    <t xml:space="preserve">108-93-0</t>
  </si>
  <si>
    <t xml:space="preserve">ciclohexanona</t>
  </si>
  <si>
    <t xml:space="preserve">ciclohexeno</t>
  </si>
  <si>
    <t xml:space="preserve">ciclohexilamina</t>
  </si>
  <si>
    <t xml:space="preserve">Ciclonita</t>
  </si>
  <si>
    <t xml:space="preserve">121-82-4</t>
  </si>
  <si>
    <t xml:space="preserve">ciclopentano</t>
  </si>
  <si>
    <t xml:space="preserve">287-92-3</t>
  </si>
  <si>
    <t xml:space="preserve">Cihexatina</t>
  </si>
  <si>
    <t xml:space="preserve">13121-70-5</t>
  </si>
  <si>
    <t xml:space="preserve">Ciromazina</t>
  </si>
  <si>
    <t xml:space="preserve">66215-27-8</t>
  </si>
  <si>
    <t xml:space="preserve">2,4-D</t>
  </si>
  <si>
    <t xml:space="preserve">94-75-7</t>
  </si>
  <si>
    <t xml:space="preserve">DDT</t>
  </si>
  <si>
    <t xml:space="preserve">50-29-3</t>
  </si>
  <si>
    <t xml:space="preserve">Decaborano</t>
  </si>
  <si>
    <t xml:space="preserve">17702-41-9</t>
  </si>
  <si>
    <t xml:space="preserve">Demetón</t>
  </si>
  <si>
    <t xml:space="preserve">8065-48-3</t>
  </si>
  <si>
    <t xml:space="preserve">Demeton-S-metilo</t>
  </si>
  <si>
    <t xml:space="preserve">919-86-8</t>
  </si>
  <si>
    <t xml:space="preserve">Desflurano</t>
  </si>
  <si>
    <t xml:space="preserve">57041-67-5</t>
  </si>
  <si>
    <t xml:space="preserve">Alcohol de diacetona</t>
  </si>
  <si>
    <t xml:space="preserve">Diacetilo</t>
  </si>
  <si>
    <t xml:space="preserve">0431-03-08</t>
  </si>
  <si>
    <t xml:space="preserve">Diazinón</t>
  </si>
  <si>
    <t xml:space="preserve">333-41-5</t>
  </si>
  <si>
    <t xml:space="preserve">Diazometano</t>
  </si>
  <si>
    <t xml:space="preserve">334-88-3</t>
  </si>
  <si>
    <t xml:space="preserve">Diborano</t>
  </si>
  <si>
    <t xml:space="preserve">19287-45-7</t>
  </si>
  <si>
    <t xml:space="preserve">2-N-dibutilaminoetanol</t>
  </si>
  <si>
    <t xml:space="preserve">102-81-8</t>
  </si>
  <si>
    <t xml:space="preserve">Fosfato de dibutilfenilo</t>
  </si>
  <si>
    <t xml:space="preserve">2528-36-1</t>
  </si>
  <si>
    <t xml:space="preserve">Fosfato de dibutilo</t>
  </si>
  <si>
    <t xml:space="preserve">107-66-4</t>
  </si>
  <si>
    <t xml:space="preserve">ftalato de dibutilo</t>
  </si>
  <si>
    <t xml:space="preserve">84-74-2</t>
  </si>
  <si>
    <t xml:space="preserve">Ácido dicloroacético</t>
  </si>
  <si>
    <t xml:space="preserve">79-43-6</t>
  </si>
  <si>
    <t xml:space="preserve">Dicloroacetileno</t>
  </si>
  <si>
    <t xml:space="preserve">7572-29-4</t>
  </si>
  <si>
    <t xml:space="preserve">o-diclorobenceno</t>
  </si>
  <si>
    <t xml:space="preserve">p-diclorobenceno</t>
  </si>
  <si>
    <t xml:space="preserve">106-46-7</t>
  </si>
  <si>
    <t xml:space="preserve">3,3’-Diclorobencidina</t>
  </si>
  <si>
    <t xml:space="preserve">91-94-1</t>
  </si>
  <si>
    <t xml:space="preserve">1,4-dicloro-2-buteno</t>
  </si>
  <si>
    <t xml:space="preserve">764-41-0</t>
  </si>
  <si>
    <t xml:space="preserve">Diclorodifluorometano</t>
  </si>
  <si>
    <t xml:space="preserve">75-71-8</t>
  </si>
  <si>
    <t xml:space="preserve">1,3-Dicloro-5,5-dimetilhidantoína</t>
  </si>
  <si>
    <t xml:space="preserve">118-52-5</t>
  </si>
  <si>
    <t xml:space="preserve">1,1-dicloroetano</t>
  </si>
  <si>
    <t xml:space="preserve">1,2-Dicloroetileno, todos los isómeros</t>
  </si>
  <si>
    <t xml:space="preserve">[156-59-2; 156-60-5; 540-59-0] (1990)</t>
  </si>
  <si>
    <t xml:space="preserve">Éter dicloroetílico</t>
  </si>
  <si>
    <t xml:space="preserve">111-44-4</t>
  </si>
  <si>
    <t xml:space="preserve">Diclorofluorometano</t>
  </si>
  <si>
    <t xml:space="preserve">75-43-4</t>
  </si>
  <si>
    <t xml:space="preserve">Diclorometano</t>
  </si>
  <si>
    <t xml:space="preserve">1,1-dicloro-1-nitroetano</t>
  </si>
  <si>
    <t xml:space="preserve">1,3-dicloropropeno</t>
  </si>
  <si>
    <t xml:space="preserve">542-75-6</t>
  </si>
  <si>
    <t xml:space="preserve">Ácido 2,2-dicloropropiónico</t>
  </si>
  <si>
    <t xml:space="preserve">75-99-0</t>
  </si>
  <si>
    <t xml:space="preserve">Diclorotetrafluoroetano</t>
  </si>
  <si>
    <t xml:space="preserve">76-14-2</t>
  </si>
  <si>
    <t xml:space="preserve">Diclorvos</t>
  </si>
  <si>
    <t xml:space="preserve">62-73-7</t>
  </si>
  <si>
    <t xml:space="preserve">Dicrotofos</t>
  </si>
  <si>
    <t xml:space="preserve">141-66-2</t>
  </si>
  <si>
    <t xml:space="preserve">Diciclopentadieno</t>
  </si>
  <si>
    <t xml:space="preserve">77-73-6</t>
  </si>
  <si>
    <t xml:space="preserve">Hierro diciclopentadienílico, como Fe</t>
  </si>
  <si>
    <t xml:space="preserve">102-54-5</t>
  </si>
  <si>
    <t xml:space="preserve">Dieldrín</t>
  </si>
  <si>
    <t xml:space="preserve">60-57-1</t>
  </si>
  <si>
    <t xml:space="preserve">Gasóleo</t>
  </si>
  <si>
    <t xml:space="preserve">68334-30-5; 68476-30-2; 68476-31-3;, 68476-34-6</t>
  </si>
  <si>
    <t xml:space="preserve">2-dietilaminoetanol</t>
  </si>
  <si>
    <t xml:space="preserve">Éter monobutílico de dietilenglicol</t>
  </si>
  <si>
    <t xml:space="preserve">112-34-5</t>
  </si>
  <si>
    <t xml:space="preserve">Dietilentriamina</t>
  </si>
  <si>
    <t xml:space="preserve">ftalato de di(2-etilhexilo)</t>
  </si>
  <si>
    <t xml:space="preserve">117-81-7</t>
  </si>
  <si>
    <t xml:space="preserve">N,N-Dietilhidroxilamina</t>
  </si>
  <si>
    <t xml:space="preserve">3710-84-7</t>
  </si>
  <si>
    <t xml:space="preserve">Dietilcetona</t>
  </si>
  <si>
    <t xml:space="preserve">ftalato de dietilo</t>
  </si>
  <si>
    <t xml:space="preserve">84-66-2</t>
  </si>
  <si>
    <t xml:space="preserve">Éter diglicidílico</t>
  </si>
  <si>
    <t xml:space="preserve">Diisobutilcetona</t>
  </si>
  <si>
    <t xml:space="preserve">Diisopropilamina</t>
  </si>
  <si>
    <t xml:space="preserve">108-18-9</t>
  </si>
  <si>
    <t xml:space="preserve">Dimetenamida-P</t>
  </si>
  <si>
    <t xml:space="preserve">163515-14-8</t>
  </si>
  <si>
    <t xml:space="preserve">Dimetilacetamida</t>
  </si>
  <si>
    <t xml:space="preserve">Dimetilamina</t>
  </si>
  <si>
    <t xml:space="preserve">124-40-3</t>
  </si>
  <si>
    <t xml:space="preserve">éter bis(2-dimetilaminoetílico)</t>
  </si>
  <si>
    <t xml:space="preserve">3033-62-3</t>
  </si>
  <si>
    <t xml:space="preserve">Dimetilanilina</t>
  </si>
  <si>
    <t xml:space="preserve">121-69-7</t>
  </si>
  <si>
    <t xml:space="preserve">cloruro de dimetilcarbamoilo</t>
  </si>
  <si>
    <t xml:space="preserve">79-44-7</t>
  </si>
  <si>
    <t xml:space="preserve">disulfuro de dimetilo</t>
  </si>
  <si>
    <t xml:space="preserve">624-92-0</t>
  </si>
  <si>
    <t xml:space="preserve">Dimetiletoxisilano</t>
  </si>
  <si>
    <t xml:space="preserve">14857-34-2</t>
  </si>
  <si>
    <t xml:space="preserve">Dimetilformamida</t>
  </si>
  <si>
    <t xml:space="preserve">1,1-dimetilhidrazina</t>
  </si>
  <si>
    <t xml:space="preserve">57-14-7</t>
  </si>
  <si>
    <t xml:space="preserve">Dimetilfenol, todos los isómeros</t>
  </si>
  <si>
    <t xml:space="preserve">ftalato de dimetilo</t>
  </si>
  <si>
    <t xml:space="preserve">0131-11-3</t>
  </si>
  <si>
    <t xml:space="preserve">sulfato de dimetilo</t>
  </si>
  <si>
    <t xml:space="preserve">77-78-1</t>
  </si>
  <si>
    <t xml:space="preserve">sulfuro de dimetilo</t>
  </si>
  <si>
    <t xml:space="preserve">75-18-3</t>
  </si>
  <si>
    <t xml:space="preserve">Dinitrobenceno, todos los isómeros</t>
  </si>
  <si>
    <t xml:space="preserve">99-65-0; 100-25-4;, 528-29-0; 25154-54-5</t>
  </si>
  <si>
    <t xml:space="preserve">Dinitro-o-cresol</t>
  </si>
  <si>
    <t xml:space="preserve">534-52-1</t>
  </si>
  <si>
    <t xml:space="preserve">3,5-Dinitro-o-toluamida</t>
  </si>
  <si>
    <t xml:space="preserve">0148-01-06</t>
  </si>
  <si>
    <t xml:space="preserve">Dinitrotolueno</t>
  </si>
  <si>
    <t xml:space="preserve">25321-14-6</t>
  </si>
  <si>
    <t xml:space="preserve">Dioxatión</t>
  </si>
  <si>
    <t xml:space="preserve">78-34-2</t>
  </si>
  <si>
    <t xml:space="preserve">1,3-dioxolano</t>
  </si>
  <si>
    <t xml:space="preserve">646-06-0</t>
  </si>
  <si>
    <t xml:space="preserve">Difenilamina</t>
  </si>
  <si>
    <t xml:space="preserve">122-39-4</t>
  </si>
  <si>
    <t xml:space="preserve">Dipropilcetona</t>
  </si>
  <si>
    <t xml:space="preserve">123-19-3</t>
  </si>
  <si>
    <t xml:space="preserve">Éter metílico de dipropilenglicol (DPGME)</t>
  </si>
  <si>
    <t xml:space="preserve">13429-07-7; 13588-28-8; 20324-32-7; 34590-, 94-8; 55956-21-3</t>
  </si>
  <si>
    <t xml:space="preserve">Diquat</t>
  </si>
  <si>
    <t xml:space="preserve">85-00-7; 2764-72-9; 6385-62-2</t>
  </si>
  <si>
    <t xml:space="preserve">Disulfiram</t>
  </si>
  <si>
    <t xml:space="preserve">97-77-8</t>
  </si>
  <si>
    <t xml:space="preserve">Disulfoton</t>
  </si>
  <si>
    <t xml:space="preserve">0298-04-04</t>
  </si>
  <si>
    <t xml:space="preserve">Diurón</t>
  </si>
  <si>
    <t xml:space="preserve">330-54-1</t>
  </si>
  <si>
    <t xml:space="preserve">Divinilbenceno</t>
  </si>
  <si>
    <t xml:space="preserve">1321-74-0</t>
  </si>
  <si>
    <t xml:space="preserve">Mezclas de divinilbenceno y etilestireno, como isómeros totales de divinilbenceno</t>
  </si>
  <si>
    <t xml:space="preserve">69011-19-4; 7525-62-4; 108-57-6; 105-06-6</t>
  </si>
  <si>
    <t xml:space="preserve">Dodecil mercaptano</t>
  </si>
  <si>
    <t xml:space="preserve">112-55-0</t>
  </si>
  <si>
    <t xml:space="preserve">Endosulfán</t>
  </si>
  <si>
    <t xml:space="preserve">115-29-7</t>
  </si>
  <si>
    <t xml:space="preserve">Endotoxinas</t>
  </si>
  <si>
    <t xml:space="preserve">67924-63-4</t>
  </si>
  <si>
    <t xml:space="preserve">Endrina</t>
  </si>
  <si>
    <t xml:space="preserve">72-20-8</t>
  </si>
  <si>
    <t xml:space="preserve">Enflurano</t>
  </si>
  <si>
    <t xml:space="preserve">13838-16-9</t>
  </si>
  <si>
    <t xml:space="preserve">Epiclorhidrina</t>
  </si>
  <si>
    <t xml:space="preserve">106-89-8</t>
  </si>
  <si>
    <t xml:space="preserve">EPN</t>
  </si>
  <si>
    <t xml:space="preserve">2104-64-5</t>
  </si>
  <si>
    <t xml:space="preserve">Etano</t>
  </si>
  <si>
    <t xml:space="preserve">74-84-0</t>
  </si>
  <si>
    <t xml:space="preserve">Etanol</t>
  </si>
  <si>
    <t xml:space="preserve">Etanolamina</t>
  </si>
  <si>
    <t xml:space="preserve">Etión</t>
  </si>
  <si>
    <t xml:space="preserve">0563-12-2</t>
  </si>
  <si>
    <t xml:space="preserve">2-etoxietanol</t>
  </si>
  <si>
    <t xml:space="preserve">acetato de 2-etoxietilo</t>
  </si>
  <si>
    <t xml:space="preserve">111-15-9</t>
  </si>
  <si>
    <t xml:space="preserve">acetato de etilo</t>
  </si>
  <si>
    <t xml:space="preserve">acrilato de etilo</t>
  </si>
  <si>
    <t xml:space="preserve">140-88-5</t>
  </si>
  <si>
    <t xml:space="preserve">Etilamina</t>
  </si>
  <si>
    <t xml:space="preserve">75-04-7</t>
  </si>
  <si>
    <t xml:space="preserve">Etil amil cetona</t>
  </si>
  <si>
    <t xml:space="preserve">bromuro de etilo</t>
  </si>
  <si>
    <t xml:space="preserve">74-96-4</t>
  </si>
  <si>
    <t xml:space="preserve">Éter etílico terc-butílico</t>
  </si>
  <si>
    <t xml:space="preserve">637-92-3</t>
  </si>
  <si>
    <t xml:space="preserve">Etilbutilcetona</t>
  </si>
  <si>
    <t xml:space="preserve">cloruro de etilo</t>
  </si>
  <si>
    <t xml:space="preserve">75-00-3</t>
  </si>
  <si>
    <t xml:space="preserve">Etileno</t>
  </si>
  <si>
    <t xml:space="preserve">74-85-1</t>
  </si>
  <si>
    <t xml:space="preserve">Clorhidrina de etileno</t>
  </si>
  <si>
    <t xml:space="preserve">0107-07-03</t>
  </si>
  <si>
    <t xml:space="preserve">etilendiamina</t>
  </si>
  <si>
    <t xml:space="preserve">Dibromuro de etileno</t>
  </si>
  <si>
    <t xml:space="preserve">106-93-4</t>
  </si>
  <si>
    <t xml:space="preserve">dicloruro de etileno</t>
  </si>
  <si>
    <t xml:space="preserve">0107-06-02</t>
  </si>
  <si>
    <t xml:space="preserve">Glicol etileno</t>
  </si>
  <si>
    <t xml:space="preserve">Éter dimetílico de etilenglicol</t>
  </si>
  <si>
    <t xml:space="preserve">110-71-4</t>
  </si>
  <si>
    <t xml:space="preserve">Dinitrato de etilenglicol</t>
  </si>
  <si>
    <t xml:space="preserve">628-96-6</t>
  </si>
  <si>
    <t xml:space="preserve">Óxido de etileno</t>
  </si>
  <si>
    <t xml:space="preserve">75-21-8</t>
  </si>
  <si>
    <t xml:space="preserve">Etilenimina</t>
  </si>
  <si>
    <t xml:space="preserve">151-56-4</t>
  </si>
  <si>
    <t xml:space="preserve">Éter etílico</t>
  </si>
  <si>
    <t xml:space="preserve">formato de etilo</t>
  </si>
  <si>
    <t xml:space="preserve">109-94-4</t>
  </si>
  <si>
    <t xml:space="preserve">Ácido 2-etilhexanoico</t>
  </si>
  <si>
    <t xml:space="preserve">149-57-5</t>
  </si>
  <si>
    <t xml:space="preserve">2-etil-1-hexanol</t>
  </si>
  <si>
    <t xml:space="preserve">104-76-7</t>
  </si>
  <si>
    <t xml:space="preserve">Etilideno norborneno</t>
  </si>
  <si>
    <t xml:space="preserve">16219-75-3</t>
  </si>
  <si>
    <t xml:space="preserve">isocianato de etilo</t>
  </si>
  <si>
    <t xml:space="preserve">109-90-0</t>
  </si>
  <si>
    <t xml:space="preserve">Etilmercaptano</t>
  </si>
  <si>
    <t xml:space="preserve">75-08-1</t>
  </si>
  <si>
    <t xml:space="preserve">N-etilmorfolina</t>
  </si>
  <si>
    <t xml:space="preserve">100-74-3</t>
  </si>
  <si>
    <t xml:space="preserve">silicato de etilo</t>
  </si>
  <si>
    <t xml:space="preserve">78-10-4</t>
  </si>
  <si>
    <t xml:space="preserve">Fenamifos</t>
  </si>
  <si>
    <t xml:space="preserve">22224-92-6</t>
  </si>
  <si>
    <t xml:space="preserve">Fenoxicarb</t>
  </si>
  <si>
    <t xml:space="preserve">Fensulfotión</t>
  </si>
  <si>
    <t xml:space="preserve">115-90-2</t>
  </si>
  <si>
    <t xml:space="preserve">Fentanilo</t>
  </si>
  <si>
    <t xml:space="preserve">437-38-7</t>
  </si>
  <si>
    <t xml:space="preserve">como Fentanilo (2023)</t>
  </si>
  <si>
    <t xml:space="preserve">fentión</t>
  </si>
  <si>
    <t xml:space="preserve">55-38-9</t>
  </si>
  <si>
    <t xml:space="preserve">Ferbam</t>
  </si>
  <si>
    <t xml:space="preserve">14484-64-1</t>
  </si>
  <si>
    <t xml:space="preserve">polvo de ferrovanadio</t>
  </si>
  <si>
    <t xml:space="preserve">12604-58-9</t>
  </si>
  <si>
    <t xml:space="preserve">Polvo de harina (2014) — RSEN — Asma; urt irr; bronquitis Fludioxonil</t>
  </si>
  <si>
    <t xml:space="preserve">131341-86-1, as F (1996) 2.5 mg/m3 — A4; BEI Varies Bone dam; fluorosis Fluorine [7782-41-4</t>
  </si>
  <si>
    <t xml:space="preserve">Folpet</t>
  </si>
  <si>
    <t xml:space="preserve">0133-07-03</t>
  </si>
  <si>
    <t xml:space="preserve">Fonofos</t>
  </si>
  <si>
    <t xml:space="preserve">944-22-9</t>
  </si>
  <si>
    <t xml:space="preserve">alcohol furfurílico</t>
  </si>
  <si>
    <t xml:space="preserve">arseniuro de galio</t>
  </si>
  <si>
    <t xml:space="preserve">1303-00-0</t>
  </si>
  <si>
    <t xml:space="preserve">Gasolina</t>
  </si>
  <si>
    <t xml:space="preserve">86290-81-5</t>
  </si>
  <si>
    <t xml:space="preserve">tetrahidruro de germanio</t>
  </si>
  <si>
    <t xml:space="preserve">7782-65-2</t>
  </si>
  <si>
    <t xml:space="preserve">Glutaraldehído</t>
  </si>
  <si>
    <t xml:space="preserve">111-30-8</t>
  </si>
  <si>
    <t xml:space="preserve">Glicidol</t>
  </si>
  <si>
    <t xml:space="preserve">556-52-5</t>
  </si>
  <si>
    <t xml:space="preserve">metacrilato de glicidilo</t>
  </si>
  <si>
    <t xml:space="preserve">106-91-2</t>
  </si>
  <si>
    <t xml:space="preserve">Glioxal</t>
  </si>
  <si>
    <t xml:space="preserve">107-22-2</t>
  </si>
  <si>
    <t xml:space="preserve">Glifosato</t>
  </si>
  <si>
    <t xml:space="preserve">1071-83-6</t>
  </si>
  <si>
    <t xml:space="preserve">Polvo de grano (avena, trigo, cebada) (1986)</t>
  </si>
  <si>
    <t xml:space="preserve">Grafito (todas las formas excepto las fibras de grafito)</t>
  </si>
  <si>
    <t xml:space="preserve">7782-42-5</t>
  </si>
  <si>
    <t xml:space="preserve">Hafnio</t>
  </si>
  <si>
    <t xml:space="preserve">7440-58-6</t>
  </si>
  <si>
    <t xml:space="preserve">Halotano</t>
  </si>
  <si>
    <t xml:space="preserve">151-67-7</t>
  </si>
  <si>
    <t xml:space="preserve">Metales duros que contienen cobalto</t>
  </si>
  <si>
    <t xml:space="preserve">carburo de tungsteno</t>
  </si>
  <si>
    <t xml:space="preserve">1207-12-1</t>
  </si>
  <si>
    <t xml:space="preserve">Heptacloro</t>
  </si>
  <si>
    <t xml:space="preserve">76-44-8</t>
  </si>
  <si>
    <t xml:space="preserve">Epóxido de heptacloro</t>
  </si>
  <si>
    <t xml:space="preserve">1024-57-3</t>
  </si>
  <si>
    <t xml:space="preserve">Heptano, isómeros lineales y ramificados</t>
  </si>
  <si>
    <t xml:space="preserve">108-08-7, 142-82-5; 464-06-2; 562-49-2; 565-59-3;, 589-34-4; 590-35-2; 591-76-4; 617-78-7;, 31394-54-4</t>
  </si>
  <si>
    <t xml:space="preserve">Hexaclorobenceno</t>
  </si>
  <si>
    <t xml:space="preserve">118-74-1</t>
  </si>
  <si>
    <t xml:space="preserve">Hexaclorobutadieno</t>
  </si>
  <si>
    <t xml:space="preserve">87-68-3</t>
  </si>
  <si>
    <t xml:space="preserve">Hexaclorociclopentadieno</t>
  </si>
  <si>
    <t xml:space="preserve">77-47-4</t>
  </si>
  <si>
    <t xml:space="preserve">Hexacloroetano</t>
  </si>
  <si>
    <t xml:space="preserve">67-72-1</t>
  </si>
  <si>
    <t xml:space="preserve">Hexacloronaftaleno</t>
  </si>
  <si>
    <t xml:space="preserve">1335-87-1</t>
  </si>
  <si>
    <t xml:space="preserve">Hexafluoroacetona</t>
  </si>
  <si>
    <t xml:space="preserve">684-16-2</t>
  </si>
  <si>
    <t xml:space="preserve">Hexafluoropropileno</t>
  </si>
  <si>
    <t xml:space="preserve">116-15-4</t>
  </si>
  <si>
    <t xml:space="preserve">Anhídrido hexahidroftálico, todos los isómeros</t>
  </si>
  <si>
    <t xml:space="preserve">85-42-7, 13149-00-3, 14166-21-3</t>
  </si>
  <si>
    <t xml:space="preserve">diisocianato de hexametileno</t>
  </si>
  <si>
    <t xml:space="preserve">822-06-0</t>
  </si>
  <si>
    <t xml:space="preserve">Hexametilentetramina</t>
  </si>
  <si>
    <t xml:space="preserve">100-97-0</t>
  </si>
  <si>
    <t xml:space="preserve">Hexametilfosforamida</t>
  </si>
  <si>
    <t xml:space="preserve">680-31-9</t>
  </si>
  <si>
    <t xml:space="preserve">Hexano (comercial, &lt;54% n-hexano) y</t>
  </si>
  <si>
    <t xml:space="preserve">Hexano (comercial, &lt;54 % n-hexano)</t>
  </si>
  <si>
    <t xml:space="preserve">Isómeros de hexano ramificados</t>
  </si>
  <si>
    <t xml:space="preserve">,</t>
  </si>
  <si>
    <t xml:space="preserve">107-83-5, 96-14-0</t>
  </si>
  <si>
    <t xml:space="preserve">n-hexano</t>
  </si>
  <si>
    <t xml:space="preserve">1,6-hexanodiamina</t>
  </si>
  <si>
    <t xml:space="preserve">0124-09-04</t>
  </si>
  <si>
    <t xml:space="preserve">Hexazinona</t>
  </si>
  <si>
    <t xml:space="preserve">1-hexeno</t>
  </si>
  <si>
    <t xml:space="preserve">592-41-6</t>
  </si>
  <si>
    <t xml:space="preserve">acetato de sec-hexilo</t>
  </si>
  <si>
    <t xml:space="preserve">Hexilenglicol</t>
  </si>
  <si>
    <t xml:space="preserve">107-41-5</t>
  </si>
  <si>
    <t xml:space="preserve">Hidracina</t>
  </si>
  <si>
    <t xml:space="preserve">0302-01-02</t>
  </si>
  <si>
    <t xml:space="preserve">Isómeros de hexano ramificados (2023)</t>
  </si>
  <si>
    <t xml:space="preserve">incluido ,</t>
  </si>
  <si>
    <t xml:space="preserve">64742-49-0, 64742-89-8</t>
  </si>
  <si>
    <t xml:space="preserve">Terfenilos hidrogenados (no irradiados)</t>
  </si>
  <si>
    <t xml:space="preserve">61788-32-7</t>
  </si>
  <si>
    <t xml:space="preserve">bromuro de hidrógeno</t>
  </si>
  <si>
    <t xml:space="preserve">1003-10-6</t>
  </si>
  <si>
    <t xml:space="preserve">Cloruro de hidrógeno</t>
  </si>
  <si>
    <t xml:space="preserve">7647-01-0</t>
  </si>
  <si>
    <t xml:space="preserve">Cianuro de hidrógeno y sales de cianuro, como CN (1994)</t>
  </si>
  <si>
    <t xml:space="preserve">cianuro de hidrógeno</t>
  </si>
  <si>
    <t xml:space="preserve">74-90-8</t>
  </si>
  <si>
    <t xml:space="preserve">fluoruro de hidrógeno</t>
  </si>
  <si>
    <t xml:space="preserve">7664-39-3</t>
  </si>
  <si>
    <t xml:space="preserve">Peróxido de hidrógeno</t>
  </si>
  <si>
    <t xml:space="preserve">7722-84-1</t>
  </si>
  <si>
    <t xml:space="preserve">seleniuro de hidrógeno</t>
  </si>
  <si>
    <t xml:space="preserve">sulfuro de hidrógeno</t>
  </si>
  <si>
    <t xml:space="preserve">hidroquinona</t>
  </si>
  <si>
    <t xml:space="preserve">123-31-9</t>
  </si>
  <si>
    <t xml:space="preserve">acrilato de 2-hidroxipropilo</t>
  </si>
  <si>
    <t xml:space="preserve">999-61-1</t>
  </si>
  <si>
    <t xml:space="preserve">Imazosulfurón</t>
  </si>
  <si>
    <t xml:space="preserve">122548-33-8</t>
  </si>
  <si>
    <t xml:space="preserve">Imidacloprid</t>
  </si>
  <si>
    <t xml:space="preserve">138261-41-3</t>
  </si>
  <si>
    <t xml:space="preserve">Indeno</t>
  </si>
  <si>
    <t xml:space="preserve">95-13-6</t>
  </si>
  <si>
    <t xml:space="preserve">Indio</t>
  </si>
  <si>
    <t xml:space="preserve">7440-74-6</t>
  </si>
  <si>
    <t xml:space="preserve">erosión dental; malestar</t>
  </si>
  <si>
    <t xml:space="preserve">óxido de indio y estaño</t>
  </si>
  <si>
    <t xml:space="preserve">Yodo y yoduros, (2022) Efecto reproductivo tiroideo y materno; fetal y</t>
  </si>
  <si>
    <t xml:space="preserve">presa neonatal</t>
  </si>
  <si>
    <t xml:space="preserve">Yodo, como yo</t>
  </si>
  <si>
    <t xml:space="preserve">7553-56-2</t>
  </si>
  <si>
    <t xml:space="preserve">Yoduros, como I — Piel; A4</t>
  </si>
  <si>
    <t xml:space="preserve">Yodoformo</t>
  </si>
  <si>
    <t xml:space="preserve">75-47-8</t>
  </si>
  <si>
    <t xml:space="preserve">Óxido de hierro (Fe2O3)</t>
  </si>
  <si>
    <t xml:space="preserve">1309-37-1</t>
  </si>
  <si>
    <t xml:space="preserve">pentacarbonilo de hierro</t>
  </si>
  <si>
    <t xml:space="preserve">13463-40-6</t>
  </si>
  <si>
    <t xml:space="preserve">Sales de hierro, solubles, como Fe (1990) — — Varía URT e irritación cutánea</t>
  </si>
  <si>
    <t xml:space="preserve">alcohol isoamílico</t>
  </si>
  <si>
    <t xml:space="preserve">Isobutanol</t>
  </si>
  <si>
    <t xml:space="preserve">nitrito de isobutilo</t>
  </si>
  <si>
    <t xml:space="preserve">542-56-3</t>
  </si>
  <si>
    <t xml:space="preserve">Isoflurano</t>
  </si>
  <si>
    <t xml:space="preserve">26675-46-7</t>
  </si>
  <si>
    <t xml:space="preserve">alcohol isooctílico</t>
  </si>
  <si>
    <t xml:space="preserve">26952-21-6</t>
  </si>
  <si>
    <t xml:space="preserve">Isoforona</t>
  </si>
  <si>
    <t xml:space="preserve">78-59-1</t>
  </si>
  <si>
    <t xml:space="preserve">Diisocianato de isoforona</t>
  </si>
  <si>
    <t xml:space="preserve">4098-71-9</t>
  </si>
  <si>
    <t xml:space="preserve">2-isopropoxietanol</t>
  </si>
  <si>
    <t xml:space="preserve">109-59-1</t>
  </si>
  <si>
    <t xml:space="preserve">Isopropilamina</t>
  </si>
  <si>
    <t xml:space="preserve">75-31-0</t>
  </si>
  <si>
    <t xml:space="preserve">N-isopropilanilina</t>
  </si>
  <si>
    <t xml:space="preserve">768-52-5</t>
  </si>
  <si>
    <t xml:space="preserve">éter isopropílico</t>
  </si>
  <si>
    <t xml:space="preserve">Éter isopropílico glicidílico</t>
  </si>
  <si>
    <t xml:space="preserve">4016-14-2</t>
  </si>
  <si>
    <t xml:space="preserve">Caolín</t>
  </si>
  <si>
    <t xml:space="preserve">1332-58-7</t>
  </si>
  <si>
    <t xml:space="preserve">Queroseno</t>
  </si>
  <si>
    <t xml:space="preserve">8008-20-6; 64742-81-0</t>
  </si>
  <si>
    <t xml:space="preserve">como vapor total de hidrocarburos (2003)</t>
  </si>
  <si>
    <t xml:space="preserve">Cetena</t>
  </si>
  <si>
    <t xml:space="preserve">463-51-4</t>
  </si>
  <si>
    <t xml:space="preserve">irr</t>
  </si>
  <si>
    <t xml:space="preserve">Dirigir</t>
  </si>
  <si>
    <t xml:space="preserve">7439-92-1</t>
  </si>
  <si>
    <t xml:space="preserve">Compuestos inorgánicos, como Pb (1995) Varía el efecto hematológico.</t>
  </si>
  <si>
    <t xml:space="preserve">cromato de plomo</t>
  </si>
  <si>
    <t xml:space="preserve">7758-97-6</t>
  </si>
  <si>
    <t xml:space="preserve">lindano</t>
  </si>
  <si>
    <t xml:space="preserve">58-89-9</t>
  </si>
  <si>
    <t xml:space="preserve">hidruro de litio</t>
  </si>
  <si>
    <t xml:space="preserve">7580-67-8</t>
  </si>
  <si>
    <t xml:space="preserve">Óxido de magnesio</t>
  </si>
  <si>
    <t xml:space="preserve">1309-48-4</t>
  </si>
  <si>
    <t xml:space="preserve">‡ Malatión</t>
  </si>
  <si>
    <t xml:space="preserve">121-75-5</t>
  </si>
  <si>
    <t xml:space="preserve">anhídrido maleico</t>
  </si>
  <si>
    <t xml:space="preserve">108-31-6</t>
  </si>
  <si>
    <t xml:space="preserve">TLV–CS</t>
  </si>
  <si>
    <t xml:space="preserve">Manganeso</t>
  </si>
  <si>
    <t xml:space="preserve">7439-96-5</t>
  </si>
  <si>
    <t xml:space="preserve">compuestos inorgánicos, como Mn (2013) Varía</t>
  </si>
  <si>
    <t xml:space="preserve">Ciclopentadienil tricarbonilo de manganeso — Piel 204.10 Irritación cutánea; deterioro del SNC</t>
  </si>
  <si>
    <t xml:space="preserve">Mercurio</t>
  </si>
  <si>
    <t xml:space="preserve">7439-97-6</t>
  </si>
  <si>
    <t xml:space="preserve">Compuestos arílicos — Piel Varía Daño al SNC; daño renal</t>
  </si>
  <si>
    <t xml:space="preserve">Formas elementales e inorgánicas — Piel; A4; BEI Varía. Alteración del SNC; daño renal.</t>
  </si>
  <si>
    <t xml:space="preserve">Ácido metacrílico</t>
  </si>
  <si>
    <t xml:space="preserve">79-41-4</t>
  </si>
  <si>
    <t xml:space="preserve">Metanol</t>
  </si>
  <si>
    <t xml:space="preserve">Metomilo</t>
  </si>
  <si>
    <t xml:space="preserve">16752-77-5</t>
  </si>
  <si>
    <t xml:space="preserve">Metoxicloro</t>
  </si>
  <si>
    <t xml:space="preserve">72-43-5</t>
  </si>
  <si>
    <t xml:space="preserve">2-Metoxietanol</t>
  </si>
  <si>
    <t xml:space="preserve">acetato de 2-metoxietilo</t>
  </si>
  <si>
    <t xml:space="preserve">4-Metoxifenol</t>
  </si>
  <si>
    <t xml:space="preserve">150-76-5</t>
  </si>
  <si>
    <t xml:space="preserve">1-Metoxi-2-propanol</t>
  </si>
  <si>
    <t xml:space="preserve">107-98-2</t>
  </si>
  <si>
    <t xml:space="preserve">acetato de metilo</t>
  </si>
  <si>
    <t xml:space="preserve">Metilacetileno</t>
  </si>
  <si>
    <t xml:space="preserve">74-99-7</t>
  </si>
  <si>
    <t xml:space="preserve">Mezcla de metilacetileno y propadieno</t>
  </si>
  <si>
    <t xml:space="preserve">59355-75-8</t>
  </si>
  <si>
    <t xml:space="preserve">acrilato de metilo</t>
  </si>
  <si>
    <t xml:space="preserve">Metilacrilonitrilo</t>
  </si>
  <si>
    <t xml:space="preserve">126-98-7</t>
  </si>
  <si>
    <t xml:space="preserve">Metilal</t>
  </si>
  <si>
    <t xml:space="preserve">Metilamina</t>
  </si>
  <si>
    <t xml:space="preserve">74-89-5</t>
  </si>
  <si>
    <t xml:space="preserve">Metil-n-amil cetona</t>
  </si>
  <si>
    <t xml:space="preserve">N-metilanilina</t>
  </si>
  <si>
    <t xml:space="preserve">100-61-8</t>
  </si>
  <si>
    <t xml:space="preserve">2-Metil-2-buteno</t>
  </si>
  <si>
    <t xml:space="preserve">513-35-9</t>
  </si>
  <si>
    <t xml:space="preserve">bromuro de metilo</t>
  </si>
  <si>
    <t xml:space="preserve">74-83-9</t>
  </si>
  <si>
    <t xml:space="preserve">éter metil terc-butílico</t>
  </si>
  <si>
    <t xml:space="preserve">1634-04-04</t>
  </si>
  <si>
    <t xml:space="preserve">Metil n-butil cetona</t>
  </si>
  <si>
    <t xml:space="preserve">591-78-6</t>
  </si>
  <si>
    <t xml:space="preserve">cloruro de metilo</t>
  </si>
  <si>
    <t xml:space="preserve">74-87-3</t>
  </si>
  <si>
    <t xml:space="preserve">metilcloroformo</t>
  </si>
  <si>
    <t xml:space="preserve">Metilciclohexanona, todos los isómeros</t>
  </si>
  <si>
    <t xml:space="preserve">583-60-8; 589-92-4; 591-24-2; 1331-22-2</t>
  </si>
  <si>
    <t xml:space="preserve">2-Metilciclopentadienil manganeso tricarbonilo</t>
  </si>
  <si>
    <t xml:space="preserve">12108-13-3</t>
  </si>
  <si>
    <t xml:space="preserve">Metil demetón</t>
  </si>
  <si>
    <t xml:space="preserve">8022-00-2</t>
  </si>
  <si>
    <t xml:space="preserve">isocianato de metilenbisfenilo</t>
  </si>
  <si>
    <t xml:space="preserve">101-68-8</t>
  </si>
  <si>
    <t xml:space="preserve">4,4ƍ-Metileno bis(2-cloroanilina)</t>
  </si>
  <si>
    <t xml:space="preserve">101-14-4</t>
  </si>
  <si>
    <t xml:space="preserve">Metileno bis(4-ciclohexilisocianato)</t>
  </si>
  <si>
    <t xml:space="preserve">5124-30-1</t>
  </si>
  <si>
    <t xml:space="preserve">4,4ƍ-metilendianilina</t>
  </si>
  <si>
    <t xml:space="preserve">101-77-9</t>
  </si>
  <si>
    <t xml:space="preserve">Metiletilcetona</t>
  </si>
  <si>
    <t xml:space="preserve">Peróxido de metil etil cetona</t>
  </si>
  <si>
    <t xml:space="preserve">1338-23-4</t>
  </si>
  <si>
    <t xml:space="preserve">formato de metilo</t>
  </si>
  <si>
    <t xml:space="preserve">Metilhidrazina</t>
  </si>
  <si>
    <t xml:space="preserve">60-34-4</t>
  </si>
  <si>
    <t xml:space="preserve">Yoduro de metilo</t>
  </si>
  <si>
    <t xml:space="preserve">74-88-4</t>
  </si>
  <si>
    <t xml:space="preserve">Metil isoamil cetona</t>
  </si>
  <si>
    <t xml:space="preserve">0110-12-3</t>
  </si>
  <si>
    <t xml:space="preserve">Metil isobutil carbinol</t>
  </si>
  <si>
    <t xml:space="preserve">0108-11-2</t>
  </si>
  <si>
    <t xml:space="preserve">Metil isobutil cetona</t>
  </si>
  <si>
    <t xml:space="preserve">0108-10-1</t>
  </si>
  <si>
    <t xml:space="preserve">isocianato de metilo</t>
  </si>
  <si>
    <t xml:space="preserve">624-83-9</t>
  </si>
  <si>
    <t xml:space="preserve">Metil isopropil cetona</t>
  </si>
  <si>
    <t xml:space="preserve">Metilmercaptano</t>
  </si>
  <si>
    <t xml:space="preserve">74-93-1</t>
  </si>
  <si>
    <t xml:space="preserve">metacrilato de metilo</t>
  </si>
  <si>
    <t xml:space="preserve">Metilnaftaleno, todos los isómeros</t>
  </si>
  <si>
    <t xml:space="preserve">1321-94-4; 90-12-0; 91-57-6</t>
  </si>
  <si>
    <t xml:space="preserve">Metil paratión</t>
  </si>
  <si>
    <t xml:space="preserve">298-00-0</t>
  </si>
  <si>
    <t xml:space="preserve">Metilpropilcetona</t>
  </si>
  <si>
    <t xml:space="preserve">silicato de metilo</t>
  </si>
  <si>
    <t xml:space="preserve">681-84-5</t>
  </si>
  <si>
    <t xml:space="preserve">D-metilestireno</t>
  </si>
  <si>
    <t xml:space="preserve">98-83-9</t>
  </si>
  <si>
    <t xml:space="preserve">Isómeros del anhídrido metiltetrahidroftálico (2019)</t>
  </si>
  <si>
    <t xml:space="preserve">19438-64-3, 26590-20-5, 42498-58-8</t>
  </si>
  <si>
    <t xml:space="preserve">Metil vinil cetona</t>
  </si>
  <si>
    <t xml:space="preserve">78-94-4</t>
  </si>
  <si>
    <t xml:space="preserve">Metribuzin</t>
  </si>
  <si>
    <t xml:space="preserve">21087-64-9</t>
  </si>
  <si>
    <t xml:space="preserve">Mevinfos</t>
  </si>
  <si>
    <t xml:space="preserve">7786-34-7</t>
  </si>
  <si>
    <t xml:space="preserve">Mica</t>
  </si>
  <si>
    <t xml:space="preserve">12001-26-2</t>
  </si>
  <si>
    <t xml:space="preserve">Varía los fluidos de trabajo URT irr (2010)</t>
  </si>
  <si>
    <t xml:space="preserve">Aceite mineral, excluido el metal Puro, altamente y severamente refinado — A4</t>
  </si>
  <si>
    <t xml:space="preserve">Aceite mineral Pobre y ligeramente refinado — A2</t>
  </si>
  <si>
    <t xml:space="preserve">‡ Molibdeno</t>
  </si>
  <si>
    <t xml:space="preserve">7439-98-7</t>
  </si>
  <si>
    <t xml:space="preserve">Ácido monocloroacético</t>
  </si>
  <si>
    <t xml:space="preserve">79-11-8</t>
  </si>
  <si>
    <t xml:space="preserve">efecto teratogénico</t>
  </si>
  <si>
    <t xml:space="preserve">Naled</t>
  </si>
  <si>
    <t xml:space="preserve">300-76-5</t>
  </si>
  <si>
    <t xml:space="preserve">Naftalina</t>
  </si>
  <si>
    <t xml:space="preserve">91-20-3</t>
  </si>
  <si>
    <t xml:space="preserve">E-naftilamina</t>
  </si>
  <si>
    <t xml:space="preserve">91-59-8</t>
  </si>
  <si>
    <t xml:space="preserve">Látex de caucho natural</t>
  </si>
  <si>
    <t xml:space="preserve">Níquel</t>
  </si>
  <si>
    <t xml:space="preserve">7440-02-0</t>
  </si>
  <si>
    <t xml:space="preserve">Subsulfuro de níquel, como Ni (1998) Elemental</t>
  </si>
  <si>
    <t xml:space="preserve">Compuestos inorgánicos solubles (NOS)</t>
  </si>
  <si>
    <t xml:space="preserve">Compuestos inorgánicos insolubles (NOS) Subsulfuro de níquel</t>
  </si>
  <si>
    <t xml:space="preserve">12035-72-2</t>
  </si>
  <si>
    <t xml:space="preserve">Carbonilo de níquel</t>
  </si>
  <si>
    <t xml:space="preserve">13463-39-3</t>
  </si>
  <si>
    <t xml:space="preserve">‡ Nicotina</t>
  </si>
  <si>
    <t xml:space="preserve">54-11-5</t>
  </si>
  <si>
    <t xml:space="preserve">Nitrapirina</t>
  </si>
  <si>
    <t xml:space="preserve">1929-82-4</t>
  </si>
  <si>
    <t xml:space="preserve">‡ Ácido nítrico</t>
  </si>
  <si>
    <t xml:space="preserve">7697-37-2</t>
  </si>
  <si>
    <t xml:space="preserve">Óxido nítrico</t>
  </si>
  <si>
    <t xml:space="preserve">10102-43-9</t>
  </si>
  <si>
    <t xml:space="preserve">p-Nitroanilina</t>
  </si>
  <si>
    <t xml:space="preserve">0100-01-06</t>
  </si>
  <si>
    <t xml:space="preserve">p-Nitroclorobenceno</t>
  </si>
  <si>
    <t xml:space="preserve">100-00-5</t>
  </si>
  <si>
    <t xml:space="preserve">4-Nitrodifenilo</t>
  </si>
  <si>
    <t xml:space="preserve">92-93-3</t>
  </si>
  <si>
    <t xml:space="preserve">Dióxido de nitrógeno</t>
  </si>
  <si>
    <t xml:space="preserve">10102-44-0</t>
  </si>
  <si>
    <t xml:space="preserve">Trifluoruro de nitrógeno</t>
  </si>
  <si>
    <t xml:space="preserve">7783-54-2</t>
  </si>
  <si>
    <t xml:space="preserve">Nitroglicerina</t>
  </si>
  <si>
    <t xml:space="preserve">55-63-0</t>
  </si>
  <si>
    <t xml:space="preserve">1-Nitropropano</t>
  </si>
  <si>
    <t xml:space="preserve">0108-03-02</t>
  </si>
  <si>
    <t xml:space="preserve">N-nitrosodimetilamina</t>
  </si>
  <si>
    <t xml:space="preserve">62-75-9</t>
  </si>
  <si>
    <t xml:space="preserve">Nitrotolueno, isómeros</t>
  </si>
  <si>
    <t xml:space="preserve">88-72-2, 99-08-1, 99-99-0</t>
  </si>
  <si>
    <t xml:space="preserve">5-Nitro-o-toluidina</t>
  </si>
  <si>
    <t xml:space="preserve">99-55-8</t>
  </si>
  <si>
    <t xml:space="preserve">Óxido nitroso</t>
  </si>
  <si>
    <t xml:space="preserve">10024-97-2</t>
  </si>
  <si>
    <t xml:space="preserve">Nonano</t>
  </si>
  <si>
    <t xml:space="preserve">111-84-2</t>
  </si>
  <si>
    <t xml:space="preserve">Octacloronaftaleno</t>
  </si>
  <si>
    <t xml:space="preserve">2234-13-1</t>
  </si>
  <si>
    <t xml:space="preserve">Octano</t>
  </si>
  <si>
    <t xml:space="preserve">111-65-9</t>
  </si>
  <si>
    <t xml:space="preserve">Tetróxido de osmio</t>
  </si>
  <si>
    <t xml:space="preserve">20816-12-0</t>
  </si>
  <si>
    <t xml:space="preserve">Ácido oxálico anhidro</t>
  </si>
  <si>
    <t xml:space="preserve">144-62-7</t>
  </si>
  <si>
    <t xml:space="preserve">p,pƍ-Oxibis(bencenosulfonil hidrazida)</t>
  </si>
  <si>
    <t xml:space="preserve">80-51-3</t>
  </si>
  <si>
    <t xml:space="preserve">Difluoruro de oxígeno</t>
  </si>
  <si>
    <t xml:space="preserve">7783-41-7</t>
  </si>
  <si>
    <t xml:space="preserve">Ozono</t>
  </si>
  <si>
    <t xml:space="preserve">10028-15-6</t>
  </si>
  <si>
    <t xml:space="preserve">Trabajo pesado</t>
  </si>
  <si>
    <t xml:space="preserve">Trabajo moderado</t>
  </si>
  <si>
    <t xml:space="preserve">Trabajo ligero</t>
  </si>
  <si>
    <t xml:space="preserve">Cargas de trabajo pesadas, moderadas o ligeras (&lt;2 horas)</t>
  </si>
  <si>
    <t xml:space="preserve">humo de cera de parafina</t>
  </si>
  <si>
    <t xml:space="preserve">8002-74-2</t>
  </si>
  <si>
    <t xml:space="preserve">Paraquat</t>
  </si>
  <si>
    <t xml:space="preserve">4685-14-7</t>
  </si>
  <si>
    <t xml:space="preserve">Paratión</t>
  </si>
  <si>
    <t xml:space="preserve">56-38-2</t>
  </si>
  <si>
    <t xml:space="preserve">Partículas (insolubles o poco solubles)
no especificadas de otra manera</t>
  </si>
  <si>
    <t xml:space="preserve">Pentaborano</t>
  </si>
  <si>
    <t xml:space="preserve">19624-22-7</t>
  </si>
  <si>
    <t xml:space="preserve">pentacloronaftaleno</t>
  </si>
  <si>
    <t xml:space="preserve">1321-64-8</t>
  </si>
  <si>
    <t xml:space="preserve">Pentacloronitrobenceno</t>
  </si>
  <si>
    <t xml:space="preserve">82-68-8</t>
  </si>
  <si>
    <t xml:space="preserve">pentaclorofenol</t>
  </si>
  <si>
    <t xml:space="preserve">87-86-5</t>
  </si>
  <si>
    <t xml:space="preserve">Pentaeritritol</t>
  </si>
  <si>
    <t xml:space="preserve">115-77-5</t>
  </si>
  <si>
    <t xml:space="preserve">Pentano, todos los isómeros</t>
  </si>
  <si>
    <t xml:space="preserve">78-78-4; 109-66-0; 463-82-1</t>
  </si>
  <si>
    <t xml:space="preserve">2,4-pentanodiona</t>
  </si>
  <si>
    <t xml:space="preserve">123-54-6</t>
  </si>
  <si>
    <t xml:space="preserve">Acetato de pentilo, todos los isómeros</t>
  </si>
  <si>
    <t xml:space="preserve">-2000</t>
  </si>
  <si>
    <t xml:space="preserve">624-41-9, 625-16-1, 626-38-0, 628-63-7</t>
  </si>
  <si>
    <t xml:space="preserve">Ácido peracético</t>
  </si>
  <si>
    <t xml:space="preserve">79-21-0</t>
  </si>
  <si>
    <t xml:space="preserve">Perclorometilmercaptano</t>
  </si>
  <si>
    <t xml:space="preserve">594-42-3</t>
  </si>
  <si>
    <t xml:space="preserve">fluoruro de perclorilo</t>
  </si>
  <si>
    <t xml:space="preserve">7616-94-6</t>
  </si>
  <si>
    <t xml:space="preserve">Perfluorobutil etileno</t>
  </si>
  <si>
    <t xml:space="preserve">19430-93-4</t>
  </si>
  <si>
    <t xml:space="preserve">Perfluoroisobutileno</t>
  </si>
  <si>
    <t xml:space="preserve">382-21-8</t>
  </si>
  <si>
    <t xml:space="preserve">Persulfatos, como persulfato</t>
  </si>
  <si>
    <t xml:space="preserve">7727-21-1; 7727-54-0;, 7775-27-1</t>
  </si>
  <si>
    <t xml:space="preserve">Fenotiazina</t>
  </si>
  <si>
    <t xml:space="preserve">92-84-2</t>
  </si>
  <si>
    <t xml:space="preserve">N-fenil-b-naftilamina</t>
  </si>
  <si>
    <t xml:space="preserve">135-88-6</t>
  </si>
  <si>
    <t xml:space="preserve">m-fenilendiamina</t>
  </si>
  <si>
    <t xml:space="preserve">108-45-2</t>
  </si>
  <si>
    <t xml:space="preserve">o-fenilendiamina</t>
  </si>
  <si>
    <t xml:space="preserve">95-54-5</t>
  </si>
  <si>
    <t xml:space="preserve">p-fenilendiamina</t>
  </si>
  <si>
    <t xml:space="preserve">106-50-3</t>
  </si>
  <si>
    <t xml:space="preserve">Éter fenilo</t>
  </si>
  <si>
    <t xml:space="preserve">101-84-8</t>
  </si>
  <si>
    <t xml:space="preserve">alcohol feniletílico</t>
  </si>
  <si>
    <t xml:space="preserve">60-12-8</t>
  </si>
  <si>
    <t xml:space="preserve">Éter fenil glicidílico</t>
  </si>
  <si>
    <t xml:space="preserve">122-60-1</t>
  </si>
  <si>
    <t xml:space="preserve">Fenilhidrazina</t>
  </si>
  <si>
    <t xml:space="preserve">100-63-0</t>
  </si>
  <si>
    <t xml:space="preserve">isocianato de fenilo</t>
  </si>
  <si>
    <t xml:space="preserve">103-71-9</t>
  </si>
  <si>
    <t xml:space="preserve">fenilmercaptano</t>
  </si>
  <si>
    <t xml:space="preserve">108-98-5</t>
  </si>
  <si>
    <t xml:space="preserve">Fenilfosfina</t>
  </si>
  <si>
    <t xml:space="preserve">638-21-1</t>
  </si>
  <si>
    <t xml:space="preserve">Forato</t>
  </si>
  <si>
    <t xml:space="preserve">0298-02-02</t>
  </si>
  <si>
    <t xml:space="preserve">Fosgeno</t>
  </si>
  <si>
    <t xml:space="preserve">75-44-5</t>
  </si>
  <si>
    <t xml:space="preserve">Fosfina</t>
  </si>
  <si>
    <t xml:space="preserve">7803-51-2</t>
  </si>
  <si>
    <t xml:space="preserve">Ácido fosfórico</t>
  </si>
  <si>
    <t xml:space="preserve">7664-38-2</t>
  </si>
  <si>
    <t xml:space="preserve">Fósforo (amarillo)</t>
  </si>
  <si>
    <t xml:space="preserve">1218-10-3</t>
  </si>
  <si>
    <t xml:space="preserve">oxicloruro de fósforo</t>
  </si>
  <si>
    <t xml:space="preserve">10025-87-3</t>
  </si>
  <si>
    <t xml:space="preserve">pentacloruro de fósforo</t>
  </si>
  <si>
    <t xml:space="preserve">10026-13-8</t>
  </si>
  <si>
    <t xml:space="preserve">pentasulfuro de fósforo</t>
  </si>
  <si>
    <t xml:space="preserve">1314-80-3</t>
  </si>
  <si>
    <t xml:space="preserve">tricloruro de fósforo</t>
  </si>
  <si>
    <t xml:space="preserve">o-ftalaldehído</t>
  </si>
  <si>
    <t xml:space="preserve">643-79-8</t>
  </si>
  <si>
    <t xml:space="preserve">anhídrido ftálico</t>
  </si>
  <si>
    <t xml:space="preserve">85-44-9</t>
  </si>
  <si>
    <t xml:space="preserve">m-ftalodinitrilo</t>
  </si>
  <si>
    <t xml:space="preserve">626-17-5</t>
  </si>
  <si>
    <t xml:space="preserve">o-ftalodinitrilo</t>
  </si>
  <si>
    <t xml:space="preserve">91-15-6</t>
  </si>
  <si>
    <t xml:space="preserve">Picloram</t>
  </si>
  <si>
    <t xml:space="preserve">Ácido pícrico</t>
  </si>
  <si>
    <t xml:space="preserve">88-89-1</t>
  </si>
  <si>
    <t xml:space="preserve">Pindone</t>
  </si>
  <si>
    <t xml:space="preserve">83-26-1</t>
  </si>
  <si>
    <t xml:space="preserve">Piperazina y sales</t>
  </si>
  <si>
    <t xml:space="preserve">110-85-0</t>
  </si>
  <si>
    <t xml:space="preserve">Platino</t>
  </si>
  <si>
    <t xml:space="preserve">Metal</t>
  </si>
  <si>
    <t xml:space="preserve">Sales solubles, como Pt</t>
  </si>
  <si>
    <t xml:space="preserve">cloruro de polivinilo</t>
  </si>
  <si>
    <t xml:space="preserve">9002-86-2</t>
  </si>
  <si>
    <t xml:space="preserve">cemento Portland</t>
  </si>
  <si>
    <t xml:space="preserve">65997-15-1</t>
  </si>
  <si>
    <t xml:space="preserve">hidróxido de potasio</t>
  </si>
  <si>
    <t xml:space="preserve">1310-58-3</t>
  </si>
  <si>
    <t xml:space="preserve">Prometón</t>
  </si>
  <si>
    <t xml:space="preserve">1610-18-0</t>
  </si>
  <si>
    <t xml:space="preserve">Prometrina</t>
  </si>
  <si>
    <t xml:space="preserve">7287-19-6</t>
  </si>
  <si>
    <t xml:space="preserve">Propano sultona</t>
  </si>
  <si>
    <t xml:space="preserve">1120-71-4</t>
  </si>
  <si>
    <t xml:space="preserve">n-propanol (alcohol n-propílico)</t>
  </si>
  <si>
    <t xml:space="preserve">2-propanol</t>
  </si>
  <si>
    <t xml:space="preserve">‡ Alcohol propargílico</t>
  </si>
  <si>
    <t xml:space="preserve">107-19-7</t>
  </si>
  <si>
    <t xml:space="preserve">E-Propiolactona</t>
  </si>
  <si>
    <t xml:space="preserve">57-57-8</t>
  </si>
  <si>
    <t xml:space="preserve">propionaldehído</t>
  </si>
  <si>
    <t xml:space="preserve">123-38-6</t>
  </si>
  <si>
    <t xml:space="preserve">propionitrilo</t>
  </si>
  <si>
    <t xml:space="preserve">107-12-0</t>
  </si>
  <si>
    <t xml:space="preserve">Propoxur</t>
  </si>
  <si>
    <t xml:space="preserve">114-26-1</t>
  </si>
  <si>
    <t xml:space="preserve">Isómeros de acetato de propilo</t>
  </si>
  <si>
    <t xml:space="preserve">108-21-4; 109-60-4</t>
  </si>
  <si>
    <t xml:space="preserve">Propileno</t>
  </si>
  <si>
    <t xml:space="preserve">0115-07-01</t>
  </si>
  <si>
    <t xml:space="preserve">dicloruro de propileno</t>
  </si>
  <si>
    <t xml:space="preserve">78-87-5</t>
  </si>
  <si>
    <t xml:space="preserve">dinitrato de propilenglicol</t>
  </si>
  <si>
    <t xml:space="preserve">6423-43-4</t>
  </si>
  <si>
    <t xml:space="preserve">Éter etílico de propilenglicol</t>
  </si>
  <si>
    <t xml:space="preserve">1569-02-04</t>
  </si>
  <si>
    <t xml:space="preserve">Óxido de propileno</t>
  </si>
  <si>
    <t xml:space="preserve">75-56-9</t>
  </si>
  <si>
    <t xml:space="preserve">Propilenimina</t>
  </si>
  <si>
    <t xml:space="preserve">75-55-8</t>
  </si>
  <si>
    <t xml:space="preserve">Nitrato de n-propilo</t>
  </si>
  <si>
    <t xml:space="preserve">Pelitre</t>
  </si>
  <si>
    <t xml:space="preserve">8003-34-7</t>
  </si>
  <si>
    <t xml:space="preserve">Ácidos resínicos, como ácidos resínicos totales</t>
  </si>
  <si>
    <t xml:space="preserve">Resorcinol</t>
  </si>
  <si>
    <t xml:space="preserve">108-46-3</t>
  </si>
  <si>
    <t xml:space="preserve">Rodio</t>
  </si>
  <si>
    <t xml:space="preserve">7440-16-6</t>
  </si>
  <si>
    <t xml:space="preserve">Metales y compuestos insolubles</t>
  </si>
  <si>
    <t xml:space="preserve">Compuestos solubles</t>
  </si>
  <si>
    <t xml:space="preserve">Ronnel</t>
  </si>
  <si>
    <t xml:space="preserve">299-84-3</t>
  </si>
  <si>
    <t xml:space="preserve">Rotenona (comercial)</t>
  </si>
  <si>
    <t xml:space="preserve">83-79-4</t>
  </si>
  <si>
    <t xml:space="preserve">Selenio</t>
  </si>
  <si>
    <t xml:space="preserve">7782-49-2</t>
  </si>
  <si>
    <t xml:space="preserve">hexafluoruro de selenio</t>
  </si>
  <si>
    <t xml:space="preserve">7783-79-1</t>
  </si>
  <si>
    <t xml:space="preserve">Sesone</t>
  </si>
  <si>
    <t xml:space="preserve">136-78-7</t>
  </si>
  <si>
    <t xml:space="preserve">Sevoflurano</t>
  </si>
  <si>
    <t xml:space="preserve">28523-86-6</t>
  </si>
  <si>
    <t xml:space="preserve">Sílice cristalina: un cuarzo</t>
  </si>
  <si>
    <t xml:space="preserve">1317-95-9, 14808-60-7</t>
  </si>
  <si>
    <t xml:space="preserve">carburo de silicio</t>
  </si>
  <si>
    <t xml:space="preserve">409-21-2</t>
  </si>
  <si>
    <t xml:space="preserve">Tetrahidruro de silicio</t>
  </si>
  <si>
    <t xml:space="preserve">7803-62-5</t>
  </si>
  <si>
    <t xml:space="preserve">Plata</t>
  </si>
  <si>
    <t xml:space="preserve">7440-22-4</t>
  </si>
  <si>
    <t xml:space="preserve">Compuestos solubles, como Ag</t>
  </si>
  <si>
    <t xml:space="preserve">Simazina</t>
  </si>
  <si>
    <t xml:space="preserve">122-34-9</t>
  </si>
  <si>
    <t xml:space="preserve">Azida de sodio</t>
  </si>
  <si>
    <t xml:space="preserve">26628-22-8</t>
  </si>
  <si>
    <t xml:space="preserve">como vapor de ácido hidrazoico</t>
  </si>
  <si>
    <t xml:space="preserve">bisulfito de sodio</t>
  </si>
  <si>
    <t xml:space="preserve">7631-90-5</t>
  </si>
  <si>
    <t xml:space="preserve">fluoroacetato de sodio</t>
  </si>
  <si>
    <t xml:space="preserve">62-74-8</t>
  </si>
  <si>
    <t xml:space="preserve">hidróxido de sodio</t>
  </si>
  <si>
    <t xml:space="preserve">1310-73-2</t>
  </si>
  <si>
    <t xml:space="preserve">metabisulfito de sodio</t>
  </si>
  <si>
    <t xml:space="preserve">7681-57-4</t>
  </si>
  <si>
    <t xml:space="preserve">Almidón</t>
  </si>
  <si>
    <t xml:space="preserve">9005-25-8</t>
  </si>
  <si>
    <t xml:space="preserve">Estearatos(J)</t>
  </si>
  <si>
    <t xml:space="preserve">-2017</t>
  </si>
  <si>
    <t xml:space="preserve">557-05-1, 822-16-2</t>
  </si>
  <si>
    <t xml:space="preserve">Disolvente Stoddard</t>
  </si>
  <si>
    <t xml:space="preserve">8052-41-3</t>
  </si>
  <si>
    <t xml:space="preserve">Estricnina</t>
  </si>
  <si>
    <t xml:space="preserve">57-24-9</t>
  </si>
  <si>
    <t xml:space="preserve">óxido de estireno</t>
  </si>
  <si>
    <t xml:space="preserve">96-09-3</t>
  </si>
  <si>
    <t xml:space="preserve">Subtilisinas</t>
  </si>
  <si>
    <t xml:space="preserve">1395-21-7; 9014-01-1</t>
  </si>
  <si>
    <t xml:space="preserve">Sacarosa</t>
  </si>
  <si>
    <t xml:space="preserve">57-50-1</t>
  </si>
  <si>
    <t xml:space="preserve">Sulfometurón metil</t>
  </si>
  <si>
    <t xml:space="preserve">74222-97-2</t>
  </si>
  <si>
    <t xml:space="preserve">Sulfotepp</t>
  </si>
  <si>
    <t xml:space="preserve">3689-24-5</t>
  </si>
  <si>
    <t xml:space="preserve">Sulfoxaflor</t>
  </si>
  <si>
    <t xml:space="preserve">946578-00-3</t>
  </si>
  <si>
    <t xml:space="preserve">dióxido de azufre</t>
  </si>
  <si>
    <t xml:space="preserve">hexafluoruro de azufre</t>
  </si>
  <si>
    <t xml:space="preserve">2551-62-4</t>
  </si>
  <si>
    <t xml:space="preserve">monocloruro de azufre</t>
  </si>
  <si>
    <t xml:space="preserve">10025-67-9</t>
  </si>
  <si>
    <t xml:space="preserve">pentafluoruro de azufre</t>
  </si>
  <si>
    <t xml:space="preserve">5714-22-7</t>
  </si>
  <si>
    <t xml:space="preserve">Tetrafluoruro de azufre</t>
  </si>
  <si>
    <t xml:space="preserve">7783-60-0</t>
  </si>
  <si>
    <t xml:space="preserve">Ácido sulfúrico</t>
  </si>
  <si>
    <t xml:space="preserve">fluoruro de sulfurilo</t>
  </si>
  <si>
    <t xml:space="preserve">2699-79-8</t>
  </si>
  <si>
    <t xml:space="preserve">Fibras de vidrio de filamento continuo</t>
  </si>
  <si>
    <t xml:space="preserve">Fibras de lana de vidrio — A3 — Piel y membranas mucosas irr Fibras de lana de roca 1 f/cc (F) — A3 — Piel y membranas mucosas irr Fibras de lana de escoria 1 f/cc (F) — A3 — Piel y membranas mucosas irr Fibras de vidrio para fines especiales 1 f/cc (F) — A3 — Piel y membranas mucosas irr Fibras cerámicas refractarias 0,2 f/cc (F) — A2 — Fibrosis pulmonar; función pulmonar</t>
  </si>
  <si>
    <t xml:space="preserve">2,4,5-T</t>
  </si>
  <si>
    <t xml:space="preserve">93-76-5</t>
  </si>
  <si>
    <t xml:space="preserve">Talco</t>
  </si>
  <si>
    <t xml:space="preserve">14807-96-6</t>
  </si>
  <si>
    <t xml:space="preserve">Telurio</t>
  </si>
  <si>
    <t xml:space="preserve">13494-80-9</t>
  </si>
  <si>
    <t xml:space="preserve">hexafluoruro de telurio</t>
  </si>
  <si>
    <t xml:space="preserve">7783-80-4</t>
  </si>
  <si>
    <t xml:space="preserve">Temefos</t>
  </si>
  <si>
    <t xml:space="preserve">3383-96-8</t>
  </si>
  <si>
    <t xml:space="preserve">Terbufos</t>
  </si>
  <si>
    <t xml:space="preserve">13071-79-9</t>
  </si>
  <si>
    <t xml:space="preserve">Ácido tereftálico</t>
  </si>
  <si>
    <t xml:space="preserve">100-21-0</t>
  </si>
  <si>
    <t xml:space="preserve">Terfenilos (isómeros o-, m-, p-)</t>
  </si>
  <si>
    <t xml:space="preserve">26140-60-3</t>
  </si>
  <si>
    <t xml:space="preserve">1,1,2,2-tetrabromoetano</t>
  </si>
  <si>
    <t xml:space="preserve">79-27-6</t>
  </si>
  <si>
    <t xml:space="preserve">1,1,1,2-Tetracloro-2,2-difluoroetano</t>
  </si>
  <si>
    <t xml:space="preserve">76-11-9</t>
  </si>
  <si>
    <t xml:space="preserve">1,1,2,2-Tetracloro-1,2-difluoroetano</t>
  </si>
  <si>
    <t xml:space="preserve">76-12-0</t>
  </si>
  <si>
    <t xml:space="preserve">1,1,2,2-tetracloroetano</t>
  </si>
  <si>
    <t xml:space="preserve">79-34-5</t>
  </si>
  <si>
    <t xml:space="preserve">Tetracloronaftaleno</t>
  </si>
  <si>
    <t xml:space="preserve">1335-88-2</t>
  </si>
  <si>
    <t xml:space="preserve">Tetraclorvinfos</t>
  </si>
  <si>
    <t xml:space="preserve">22248-79-9; 22350-76-1;, 961-11-5</t>
  </si>
  <si>
    <t xml:space="preserve">Tetraetilo de plomo</t>
  </si>
  <si>
    <t xml:space="preserve">78-00-2</t>
  </si>
  <si>
    <t xml:space="preserve">pirofosfato de tetraetilo</t>
  </si>
  <si>
    <t xml:space="preserve">107-49-3</t>
  </si>
  <si>
    <t xml:space="preserve">Tetrafluoroetileno</t>
  </si>
  <si>
    <t xml:space="preserve">116-14-3</t>
  </si>
  <si>
    <t xml:space="preserve">Tetrahidrofurano</t>
  </si>
  <si>
    <t xml:space="preserve">Sales de tetrakis (hidroximetil) fosfonio (2014) Sales de tetrakis (hidroximetil) fosfonio</t>
  </si>
  <si>
    <t xml:space="preserve">sulfato de tetrakis (hidroximetil) fosfonio</t>
  </si>
  <si>
    <t xml:space="preserve">55566-30-8</t>
  </si>
  <si>
    <t xml:space="preserve">Tetrametil plomo</t>
  </si>
  <si>
    <t xml:space="preserve">75-74-1</t>
  </si>
  <si>
    <t xml:space="preserve">Tetrametilsuccinitrilo</t>
  </si>
  <si>
    <t xml:space="preserve">3333-52-6</t>
  </si>
  <si>
    <t xml:space="preserve">Tetranitrometano</t>
  </si>
  <si>
    <t xml:space="preserve">509-14-8</t>
  </si>
  <si>
    <t xml:space="preserve">Tetril</t>
  </si>
  <si>
    <t xml:space="preserve">479-45-8</t>
  </si>
  <si>
    <t xml:space="preserve">cloruro</t>
  </si>
  <si>
    <t xml:space="preserve">124-64-1</t>
  </si>
  <si>
    <t xml:space="preserve">Talio</t>
  </si>
  <si>
    <t xml:space="preserve">7440-28-0</t>
  </si>
  <si>
    <t xml:space="preserve">Tiacloprid</t>
  </si>
  <si>
    <t xml:space="preserve">111988-49-9</t>
  </si>
  <si>
    <t xml:space="preserve">4,4’-Tiobis(6-terc-butil-m-cresol)</t>
  </si>
  <si>
    <t xml:space="preserve">96-69-5</t>
  </si>
  <si>
    <t xml:space="preserve">Tiodicarb</t>
  </si>
  <si>
    <t xml:space="preserve">59669-26-0</t>
  </si>
  <si>
    <t xml:space="preserve">Ácido tioglicólico</t>
  </si>
  <si>
    <t xml:space="preserve">68-11-1</t>
  </si>
  <si>
    <t xml:space="preserve">cloruro de tionilo</t>
  </si>
  <si>
    <t xml:space="preserve">Tiram</t>
  </si>
  <si>
    <t xml:space="preserve">137-26-8</t>
  </si>
  <si>
    <t xml:space="preserve">Estaño</t>
  </si>
  <si>
    <t xml:space="preserve">7440-31-5</t>
  </si>
  <si>
    <t xml:space="preserve">Tetracloruro de titanio, como HCl</t>
  </si>
  <si>
    <t xml:space="preserve">7550-45-0</t>
  </si>
  <si>
    <t xml:space="preserve">92.14</t>
  </si>
  <si>
    <t xml:space="preserve">Diisocianato de tolueno, 2,4- o 2,6- (o como mezcla)</t>
  </si>
  <si>
    <t xml:space="preserve">584-84-9; 91-08-7</t>
  </si>
  <si>
    <t xml:space="preserve">m-toluidina</t>
  </si>
  <si>
    <t xml:space="preserve">108-44-1</t>
  </si>
  <si>
    <t xml:space="preserve">o-toluidina</t>
  </si>
  <si>
    <t xml:space="preserve">95-53-4</t>
  </si>
  <si>
    <t xml:space="preserve">p-toluidina</t>
  </si>
  <si>
    <t xml:space="preserve">106-49-0</t>
  </si>
  <si>
    <t xml:space="preserve">Fosfato de tributilo</t>
  </si>
  <si>
    <t xml:space="preserve">126-73-8</t>
  </si>
  <si>
    <t xml:space="preserve">Triclorfón</t>
  </si>
  <si>
    <t xml:space="preserve">52-68-6</t>
  </si>
  <si>
    <t xml:space="preserve">Ácido tricloroacético</t>
  </si>
  <si>
    <t xml:space="preserve">76-03-9</t>
  </si>
  <si>
    <t xml:space="preserve">1,2,4-triclorobenceno</t>
  </si>
  <si>
    <t xml:space="preserve">120-82-1</t>
  </si>
  <si>
    <t xml:space="preserve">1,1,2-tricloroetano</t>
  </si>
  <si>
    <t xml:space="preserve">79-00-5</t>
  </si>
  <si>
    <t xml:space="preserve">Triclorofluorometano</t>
  </si>
  <si>
    <t xml:space="preserve">75-69-4</t>
  </si>
  <si>
    <t xml:space="preserve">Tricloronaftaleno</t>
  </si>
  <si>
    <t xml:space="preserve">1321-65-9</t>
  </si>
  <si>
    <t xml:space="preserve">1,2,3-tricloropropano</t>
  </si>
  <si>
    <t xml:space="preserve">96-18-4</t>
  </si>
  <si>
    <t xml:space="preserve">1,1,2-Tricloro-1,2,2-trifluoroetano</t>
  </si>
  <si>
    <t xml:space="preserve">76-13-1</t>
  </si>
  <si>
    <t xml:space="preserve">Triclosán</t>
  </si>
  <si>
    <t xml:space="preserve">3380-34-5</t>
  </si>
  <si>
    <t xml:space="preserve">Trietilenglicol</t>
  </si>
  <si>
    <t xml:space="preserve">112-27-6</t>
  </si>
  <si>
    <t xml:space="preserve">1,3,5-Triglicidil-s-triazinatriona</t>
  </si>
  <si>
    <t xml:space="preserve">2451-62-9</t>
  </si>
  <si>
    <t xml:space="preserve">Anhídrido trimelítico</t>
  </si>
  <si>
    <t xml:space="preserve">552-30-7</t>
  </si>
  <si>
    <t xml:space="preserve">Fosfato de trimetacresilo</t>
  </si>
  <si>
    <t xml:space="preserve">0563-04-02</t>
  </si>
  <si>
    <t xml:space="preserve">Trimetilolpropano</t>
  </si>
  <si>
    <t xml:space="preserve">77-99-6</t>
  </si>
  <si>
    <t xml:space="preserve">Fosfato de triparacresilo</t>
  </si>
  <si>
    <t xml:space="preserve">78-32-0</t>
  </si>
  <si>
    <t xml:space="preserve">Trimetilamina</t>
  </si>
  <si>
    <t xml:space="preserve">75-50-3</t>
  </si>
  <si>
    <t xml:space="preserve">Trimetilbenceno, isómeros</t>
  </si>
  <si>
    <t xml:space="preserve">25551-13-7, , 526-73-8, 95-63-6, 108-67-8</t>
  </si>
  <si>
    <t xml:space="preserve">Fosfito de trimetilo</t>
  </si>
  <si>
    <t xml:space="preserve">121-45-9</t>
  </si>
  <si>
    <t xml:space="preserve">2,4,6-Trinitrotolueno</t>
  </si>
  <si>
    <t xml:space="preserve">118-96-7</t>
  </si>
  <si>
    <t xml:space="preserve">Fosfato de triortocresilo</t>
  </si>
  <si>
    <t xml:space="preserve">78-30-8</t>
  </si>
  <si>
    <t xml:space="preserve">Fosfato de trifenilo</t>
  </si>
  <si>
    <t xml:space="preserve">115-86-6</t>
  </si>
  <si>
    <t xml:space="preserve">Tungsteno</t>
  </si>
  <si>
    <t xml:space="preserve">7440-33-7</t>
  </si>
  <si>
    <t xml:space="preserve">Trementina</t>
  </si>
  <si>
    <t xml:space="preserve">8006-64-2</t>
  </si>
  <si>
    <t xml:space="preserve">Uranio (natural)</t>
  </si>
  <si>
    <t xml:space="preserve">7440-61-1</t>
  </si>
  <si>
    <t xml:space="preserve">n-Valeraldehído</t>
  </si>
  <si>
    <t xml:space="preserve">110-62-3</t>
  </si>
  <si>
    <t xml:space="preserve">pentóxido de vanadio</t>
  </si>
  <si>
    <t xml:space="preserve">1314-62-1</t>
  </si>
  <si>
    <t xml:space="preserve">acetato de vinilo</t>
  </si>
  <si>
    <t xml:space="preserve">0108-05-04</t>
  </si>
  <si>
    <t xml:space="preserve">bromuro de vinilo</t>
  </si>
  <si>
    <t xml:space="preserve">593-60-2</t>
  </si>
  <si>
    <t xml:space="preserve">cloruro de vinilo</t>
  </si>
  <si>
    <t xml:space="preserve">75-01-4</t>
  </si>
  <si>
    <t xml:space="preserve">4-vinil ciclohexeno</t>
  </si>
  <si>
    <t xml:space="preserve">100-40-3</t>
  </si>
  <si>
    <t xml:space="preserve">dióxido de vinil ciclohexeno</t>
  </si>
  <si>
    <t xml:space="preserve">106-87-6</t>
  </si>
  <si>
    <t xml:space="preserve">fluoruro de vinilo</t>
  </si>
  <si>
    <t xml:space="preserve">75-02-5</t>
  </si>
  <si>
    <t xml:space="preserve">N-vinil-2-pirrolidona</t>
  </si>
  <si>
    <t xml:space="preserve">88-12-0</t>
  </si>
  <si>
    <t xml:space="preserve">cloruro de vinilideno</t>
  </si>
  <si>
    <t xml:space="preserve">75-35-4</t>
  </si>
  <si>
    <t xml:space="preserve">fluoruro de vinilideno</t>
  </si>
  <si>
    <t xml:space="preserve">75-38-7</t>
  </si>
  <si>
    <t xml:space="preserve">viniltolueno</t>
  </si>
  <si>
    <t xml:space="preserve">25013-15-4</t>
  </si>
  <si>
    <t xml:space="preserve">Warfarina</t>
  </si>
  <si>
    <t xml:space="preserve">81-81-2</t>
  </si>
  <si>
    <t xml:space="preserve">Polvo de madera (2015) Cedro rojo occidental</t>
  </si>
  <si>
    <t xml:space="preserve">Todas las demás especies</t>
  </si>
  <si>
    <t xml:space="preserve">Xileno, todos los isómeros</t>
  </si>
  <si>
    <t xml:space="preserve">1330-20-7; 95-47-6;</t>
  </si>
  <si>
    <t xml:space="preserve">Xilidin (isómeros mixtos)</t>
  </si>
  <si>
    <t xml:space="preserve">1300-73-8</t>
  </si>
  <si>
    <t xml:space="preserve">Itrio</t>
  </si>
  <si>
    <t xml:space="preserve">7440-65-5</t>
  </si>
  <si>
    <t xml:space="preserve">Humo de cloruro de zinc</t>
  </si>
  <si>
    <t xml:space="preserve">7646-85-7</t>
  </si>
  <si>
    <t xml:space="preserve">Óxido de zinc</t>
  </si>
  <si>
    <t xml:space="preserve">1314-13-2</t>
  </si>
  <si>
    <t xml:space="preserve">Circonio</t>
  </si>
  <si>
    <t xml:space="preserve">7440-67-7</t>
  </si>
  <si>
    <t xml:space="preserve">Formaldehido</t>
  </si>
  <si>
    <t xml:space="preserve">50-00-0</t>
  </si>
  <si>
    <t xml:space="preserve">Formamida</t>
  </si>
  <si>
    <t xml:space="preserve">75-12-7</t>
  </si>
  <si>
    <t xml:space="preserve">MONITOREO AMBIENTAL Y REGLA DE MEZCLAS (ACGIH)</t>
  </si>
  <si>
    <t xml:space="preserve">TLV-TWA (ppm)</t>
  </si>
  <si>
    <t xml:space="preserve">Concentración Medida (ppm)</t>
  </si>
  <si>
    <t xml:space="preserve">Índice Individual
(C/TLV)</t>
  </si>
  <si>
    <t xml:space="preserve">% Aporte al Índice</t>
  </si>
  <si>
    <t xml:space="preserve">ÍNDICE DE MEZCLA TOTAL (Σ Ci/TLVi)</t>
  </si>
  <si>
    <t xml:space="preserve">% del Criterio ACGIH (Índice = 100%)</t>
  </si>
  <si>
    <t xml:space="preserve">Clasificación de Severidad</t>
  </si>
  <si>
    <t xml:space="preserve">Cumplimiento (criterio ACGIH: índice ≤ 1)</t>
  </si>
  <si>
    <t xml:space="preserve">Nivel</t>
  </si>
  <si>
    <t xml:space="preserve">Índice de Mezcla</t>
  </si>
  <si>
    <t xml:space="preserve">% del Criterio</t>
  </si>
  <si>
    <t xml:space="preserve">ACEPTABLE</t>
  </si>
  <si>
    <t xml:space="preserve">&lt; 0,50</t>
  </si>
  <si>
    <t xml:space="preserve">&lt; 50 %</t>
  </si>
  <si>
    <t xml:space="preserve">PRECAUCIÓN</t>
  </si>
  <si>
    <t xml:space="preserve">0,50 a &lt; 1,00</t>
  </si>
  <si>
    <t xml:space="preserve">50 % a &lt; 100 %</t>
  </si>
  <si>
    <t xml:space="preserve">MODERADO</t>
  </si>
  <si>
    <t xml:space="preserve">1,00 a &lt; 2,00</t>
  </si>
  <si>
    <t xml:space="preserve">100 % a &lt; 200 %</t>
  </si>
  <si>
    <t xml:space="preserve">ALTO</t>
  </si>
  <si>
    <t xml:space="preserve">2,00 a &lt; 4,00</t>
  </si>
  <si>
    <t xml:space="preserve">200 % a &lt; 400 %</t>
  </si>
  <si>
    <t xml:space="preserve">EXTREMADAMENTE ALTO</t>
  </si>
  <si>
    <t xml:space="preserve">≥ 4,00</t>
  </si>
  <si>
    <t xml:space="preserve">≥ 400 %</t>
  </si>
  <si>
    <t xml:space="preserve">Nota técnica: el Índice de Mezcla aplica la regla de mezclas de la ACGIH (Σ Ci/TLVi ≤ 1) asumiendo efectos tóxicos aditivos entre sustancias — el criterio recomendado cuando no se dispone de evidencia toxicológica de que los componentes actúan de forma independiente. Diligencie la Concentración Medida solo cuando exista monitoreo ambiental real (personal o de área); este módulo evalúa cumplimiento normativo, a diferencia del Control Banding de la hoja "VaporRisk" (columna V), que es una estimación de tamizaje previa a la medición, basada en la presión de vapor.</t>
  </si>
  <si>
    <t xml:space="preserve">SELECCIÓN Y EVALUACIÓN DE PROTECCIÓN RESPIRATORIA (APF)</t>
  </si>
  <si>
    <t xml:space="preserve">Tipo de Respirador</t>
  </si>
  <si>
    <t xml:space="preserve">APF</t>
  </si>
  <si>
    <t xml:space="preserve">Concentración Efectiva (ppm)</t>
  </si>
  <si>
    <t xml:space="preserve">Evaluación</t>
  </si>
  <si>
    <t xml:space="preserve">Media máscara con cartucho para vapores orgánicos</t>
  </si>
  <si>
    <t xml:space="preserve">Máscara completa con cartucho para vapores orgánicos</t>
  </si>
  <si>
    <t xml:space="preserve">Respirador purificador de aire motorizado (PAPR) - capucha/casco</t>
  </si>
  <si>
    <t xml:space="preserve">Respirador purificador de aire motorizado (PAPR) - máscara completa</t>
  </si>
  <si>
    <t xml:space="preserve">Línea de aire (SAR), modo demanda, máscara completa</t>
  </si>
  <si>
    <t xml:space="preserve">Línea de aire (SAR), modo presión-demanda, máscara completa</t>
  </si>
  <si>
    <t xml:space="preserve">Equipo autónomo (SCBA), modo presión-demanda</t>
  </si>
  <si>
    <t xml:space="preserve">Fuente: Factores de Protección Asignada (APF) según OSHA 29 CFR 1910.134, Tabla 1. La Concentración Efectiva estima la exposición residual tras el uso del respirador (Concentración Medida ÷ APF); si supera el TLV-TWA, el respirador seleccionado es insuficiente para esa sustancia y debe reevaluarse la selección (mayor APF) o priorizar el control de ingeniería. El APF es una estimación de fábrica: no reemplaza la prueba de ajuste (fit-testing) individual ni el programa de protección respiratoria documentado.</t>
  </si>
  <si>
    <t xml:space="preserve">BIBLIOTECA DE CONTROLES (EDITABLE)</t>
  </si>
  <si>
    <t xml:space="preserve">Categoría</t>
  </si>
  <si>
    <t xml:space="preserve">Condición de Activación</t>
  </si>
  <si>
    <t xml:space="preserve">Recomendación</t>
  </si>
  <si>
    <t xml:space="preserve">Eliminación / Sustitución</t>
  </si>
  <si>
    <t xml:space="preserve">Índice de mezcla EXTREMADAMENTE ALTO (≥ 400 %)</t>
  </si>
  <si>
    <t xml:space="preserve">Evaluar sustitución del producto o de las sustancias de mayor Ratio de Riesgo por alternativas de menor volatilidad o toxicidad, o eliminar la operación si es técnicamente viable.</t>
  </si>
  <si>
    <t xml:space="preserve">Ingeniería — Encerramiento</t>
  </si>
  <si>
    <t xml:space="preserve">Alguna sustancia en Banda 3 (hoja VaporRisk, columna V)</t>
  </si>
  <si>
    <t xml:space="preserve">Diseñar encerramiento o aislamiento total del proceso; la extracción localizada por sí sola puede ser insuficiente para el nivel de riesgo estimado.</t>
  </si>
  <si>
    <t xml:space="preserve">Ingeniería — Extracción Localizada (LEV)</t>
  </si>
  <si>
    <t xml:space="preserve">Alguna sustancia en Banda 2 (hoja VaporRisk, columna V)</t>
  </si>
  <si>
    <t xml:space="preserve">Instalar o verificar el sistema de extracción localizada dimensionado en la hoja "VaporRisk" (módulo LEV, columnas AI-AP) para el punto de emisión de mayor Ratio de Riesgo.</t>
  </si>
  <si>
    <t xml:space="preserve">Ingeniería — Ventilación General</t>
  </si>
  <si>
    <t xml:space="preserve">Todas las sustancias en Banda 1 (hoja VaporRisk, columna V)</t>
  </si>
  <si>
    <t xml:space="preserve">Verificar que el caudal de dilución general instalado sea igual o superior al calculado en el módulo de dilución (columnas AD-AH); mantener registro de mantenimiento del sistema.</t>
  </si>
  <si>
    <t xml:space="preserve">Administrativo</t>
  </si>
  <si>
    <t xml:space="preserve">Índice de mezcla ALTO o superior (≥ 200 %)</t>
  </si>
  <si>
    <t xml:space="preserve">Reducir el tiempo de exposición del personal en la tarea, rotar personal entre puestos, y restringir el acceso al área mientras se implementan los controles de ingeniería.</t>
  </si>
  <si>
    <t xml:space="preserve">EPP — Protección Respiratoria</t>
  </si>
  <si>
    <t xml:space="preserve">Alguna evaluación INSUFICIENTE (hoja Proteccion Respiratoria, columna G)</t>
  </si>
  <si>
    <t xml:space="preserve">Seleccionar un respirador de mayor Factor de Protección Asignado (APF) para la sustancia marcada como insuficiente, según la tabla de referencia de la hoja "Proteccion Respiratoria".</t>
  </si>
  <si>
    <t xml:space="preserve">EPP — Programa de Protección Respiratoria</t>
  </si>
  <si>
    <t xml:space="preserve">Se requiere el uso de cualquier respirador</t>
  </si>
  <si>
    <t xml:space="preserve">Documentar el programa de protección respiratoria (selección, prueba de ajuste, capacitación, mantenimiento) conforme a la normatividad vigente.</t>
  </si>
  <si>
    <t xml:space="preserve">Monitoreo y Vigilancia</t>
  </si>
  <si>
    <t xml:space="preserve">Siempre que se evalúe una mezcla</t>
  </si>
  <si>
    <t xml:space="preserve">Programar monitoreo ambiental periódico (personal y/o de área) y vigilancia médica ocupacional (espirometría y demás pruebas pertinentes según las sustancias involucradas).</t>
  </si>
  <si>
    <t xml:space="preserve">PLAN DE CONTROL AUTOMÁTICO</t>
  </si>
  <si>
    <t xml:space="preserve">Prioridad</t>
  </si>
  <si>
    <t xml:space="preserve">Prioridad inmediata</t>
  </si>
  <si>
    <t xml:space="preserve">Nivel 1</t>
  </si>
  <si>
    <t xml:space="preserve">Nivel 2</t>
  </si>
  <si>
    <t xml:space="preserve">Nivel 3</t>
  </si>
  <si>
    <t xml:space="preserve">Aviso: las recomendaciones del Plan de Control se generan a partir de reglas editables en la hoja "Biblioteca de Controles" y son orientativas; no sustituyen el criterio del profesional en higiene ocupacional ni la evaluación médica. Un guion (—) indica que la condición de esa fila no se cumple con los datos actuales.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</si>
</sst>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_)"/>
    <numFmt numFmtId="166" formatCode="0.0"/>
    <numFmt numFmtId="167" formatCode="0.0000"/>
    <numFmt numFmtId="168" formatCode="0.00"/>
    <numFmt numFmtId="169" formatCode="0.000"/>
    <numFmt numFmtId="170" formatCode="0"/>
    <numFmt numFmtId="171" formatCode="0%"/>
    <numFmt numFmtId="172" formatCode="General"/>
    <numFmt numFmtId="173" formatCode="_-* #,##0_-;\-* #,##0_-;_-* \-??_-;_-@_-"/>
    <numFmt numFmtId="174" formatCode="0.0%"/>
    <numFmt numFmtId="175" formatCode="0.0\%"/>
  </numFmts>
  <fonts count="31">
    <font>
      <sz val="10"/>
      <color rgb="FF000000"/>
      <name val="Calibri"/>
      <family val="0"/>
      <charset val="1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12"/>
      <color rgb="FF007199"/>
      <name val="Calibri"/>
      <family val="0"/>
      <charset val="1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2"/>
      <charset val="1"/>
    </font>
    <font>
      <i val="true"/>
      <sz val="9"/>
      <color rgb="FFC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FFFF99"/>
      <name val="Calibri"/>
      <family val="2"/>
      <charset val="1"/>
    </font>
    <font>
      <sz val="10"/>
      <color rgb="FF000000"/>
      <name val="Calibri"/>
      <family val="2"/>
      <charset val="1"/>
    </font>
    <font>
      <i val="true"/>
      <sz val="10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007199"/>
        <bgColor indexed="64"/>
      </patternFill>
    </fill>
    <fill>
      <patternFill patternType="solid">
        <fgColor rgb="FFFCE4EC"/>
        <bgColor rgb="FFFBD9D7"/>
      </patternFill>
    </fill>
    <fill>
      <patternFill patternType="solid">
        <fgColor rgb="FFFFF2CC"/>
        <bgColor indexed="64"/>
      </patternFill>
    </fill>
    <fill>
      <patternFill patternType="solid">
        <fgColor rgb="FF4A9CC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theme="5" tint="0.7998"/>
        <bgColor rgb="FFFCE4EC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3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3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9" fillId="0" borderId="4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13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3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3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2" fillId="0" borderId="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6" fillId="6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6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6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7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20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1" fillId="8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1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1" fillId="9" borderId="1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21" fillId="8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3" fillId="9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9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2" fillId="9" borderId="1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26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1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6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6" fillId="10" borderId="1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26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8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1" fillId="9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2F2F2"/>
      <rgbColor rgb="FF660066"/>
      <rgbColor rgb="FFFF8080"/>
      <rgbColor rgb="FF0D5BD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9D7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7725"/>
    <pageSetUpPr fitToPage="1"/>
  </sheetPr>
  <dimension ref="A1"/>
  <sheetViews>
    <sheetView showFormulas="false" showGridLines="0" showRowColHeaders="true" showZeros="true" rightToLeft="false" tabSelected="1" showOutlineSymbols="true" defaultGridColor="true" view="normal" topLeftCell="E2" colorId="64" zoomScale="100" zoomScaleNormal="100" zoomScalePageLayoutView="100" workbookViewId="0">
      <selection pane="topLeft" activeCell="E4" activeCellId="0" sqref="E4"/>
    </sheetView>
  </sheetViews>
  <sheetFormatPr defaultColWidth="11.5703125" defaultRowHeight="12.75" zeroHeight="false" outlineLevelRow="0" outlineLevelCol="0"/>
  <cols>
    <col collapsed="false" customWidth="false" hidden="false" outlineLevel="0" max="16384" min="1" style="1" width="11.57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H124"/>
  <sheetViews>
    <sheetView showFormulas="false" showGridLines="0" showRowColHeaders="true" showZeros="true" rightToLeft="false" showOutlineSymbols="true" defaultGridColor="true" view="normal" topLeftCell="A124" colorId="64" zoomScale="100" zoomScaleNormal="100" zoomScalePageLayoutView="100" workbookViewId="0">
      <selection pane="topLeft" activeCell="A132" activeCellId="0" sqref="A132"/>
    </sheetView>
  </sheetViews>
  <sheetFormatPr defaultColWidth="10.71484375" defaultRowHeight="12.7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7" min="4" style="0" width="2"/>
    <col collapsed="false" customWidth="true" hidden="false" outlineLevel="0" max="9" min="9" style="0" width="13"/>
  </cols>
  <sheetData>
    <row r="1" customFormat="false" ht="30" hidden="false" customHeight="true" outlineLevel="0" collapsed="false">
      <c r="A1" s="2" t="s">
        <v>0</v>
      </c>
      <c r="B1" s="2"/>
      <c r="C1" s="2"/>
      <c r="D1" s="3"/>
      <c r="E1" s="4"/>
      <c r="F1" s="4"/>
      <c r="G1" s="4"/>
      <c r="H1" s="5"/>
    </row>
    <row r="2" customFormat="false" ht="45" hidden="false" customHeight="true" outlineLevel="0" collapsed="false">
      <c r="A2" s="6" t="s">
        <v>1</v>
      </c>
      <c r="B2" s="6"/>
      <c r="C2" s="6"/>
    </row>
    <row r="3" customFormat="false" ht="13.5" hidden="false" customHeight="true" outlineLevel="0" collapsed="false">
      <c r="A3" s="7"/>
      <c r="B3" s="8"/>
      <c r="C3" s="9"/>
      <c r="D3" s="8"/>
      <c r="E3" s="8"/>
      <c r="F3" s="10"/>
      <c r="G3" s="9"/>
      <c r="H3" s="11"/>
    </row>
    <row r="4" customFormat="false" ht="31.5" hidden="false" customHeight="true" outlineLevel="0" collapsed="false">
      <c r="A4" s="12" t="s">
        <v>2</v>
      </c>
      <c r="B4" s="12" t="s">
        <v>3</v>
      </c>
      <c r="C4" s="12" t="s">
        <v>4</v>
      </c>
      <c r="D4" s="9"/>
      <c r="E4" s="9"/>
      <c r="F4" s="9"/>
      <c r="G4" s="9"/>
      <c r="H4" s="13"/>
    </row>
    <row r="5" customFormat="false" ht="12.75" hidden="false" customHeight="true" outlineLevel="0" collapsed="false">
      <c r="A5" s="14" t="s">
        <v>5</v>
      </c>
      <c r="B5" s="15" t="s">
        <v>6</v>
      </c>
      <c r="C5" s="16" t="n">
        <v>11</v>
      </c>
      <c r="D5" s="9"/>
      <c r="E5" s="9"/>
      <c r="F5" s="9"/>
      <c r="G5" s="9"/>
      <c r="H5" s="17"/>
    </row>
    <row r="6" customFormat="false" ht="12.75" hidden="false" customHeight="true" outlineLevel="0" collapsed="false">
      <c r="A6" s="18" t="s">
        <v>7</v>
      </c>
      <c r="B6" s="19" t="s">
        <v>8</v>
      </c>
      <c r="C6" s="20" t="n">
        <v>180</v>
      </c>
      <c r="D6" s="21"/>
      <c r="E6" s="21"/>
      <c r="F6" s="22"/>
      <c r="G6" s="9"/>
      <c r="H6" s="23"/>
    </row>
    <row r="7" customFormat="false" ht="12.75" hidden="false" customHeight="true" outlineLevel="0" collapsed="false">
      <c r="A7" s="18" t="s">
        <v>9</v>
      </c>
      <c r="B7" s="19" t="s">
        <v>10</v>
      </c>
      <c r="C7" s="20" t="n">
        <v>0.6</v>
      </c>
      <c r="D7" s="24"/>
      <c r="E7" s="24"/>
      <c r="F7" s="25"/>
      <c r="G7" s="9"/>
      <c r="H7" s="23"/>
    </row>
    <row r="8" customFormat="false" ht="12.75" hidden="false" customHeight="true" outlineLevel="0" collapsed="false">
      <c r="A8" s="18" t="s">
        <v>11</v>
      </c>
      <c r="B8" s="19" t="s">
        <v>12</v>
      </c>
      <c r="C8" s="20" t="n">
        <v>75</v>
      </c>
      <c r="D8" s="24"/>
      <c r="E8" s="24"/>
      <c r="F8" s="25"/>
      <c r="G8" s="9"/>
      <c r="H8" s="23"/>
    </row>
    <row r="9" customFormat="false" ht="12.75" hidden="false" customHeight="true" outlineLevel="0" collapsed="false">
      <c r="A9" s="18" t="s">
        <v>13</v>
      </c>
      <c r="B9" s="19" t="s">
        <v>14</v>
      </c>
      <c r="C9" s="20" t="n">
        <v>91</v>
      </c>
      <c r="D9" s="24"/>
      <c r="E9" s="24"/>
      <c r="F9" s="25"/>
      <c r="G9" s="9"/>
      <c r="H9" s="23"/>
    </row>
    <row r="10" customFormat="false" ht="12.75" hidden="false" customHeight="true" outlineLevel="0" collapsed="false">
      <c r="A10" s="18" t="s">
        <v>15</v>
      </c>
      <c r="B10" s="19" t="s">
        <v>16</v>
      </c>
      <c r="C10" s="20" t="n">
        <v>160</v>
      </c>
      <c r="D10" s="24"/>
      <c r="E10" s="24"/>
      <c r="F10" s="25"/>
      <c r="G10" s="9"/>
      <c r="H10" s="23"/>
    </row>
    <row r="11" customFormat="false" ht="12.75" hidden="false" customHeight="true" outlineLevel="0" collapsed="false">
      <c r="A11" s="18" t="s">
        <v>17</v>
      </c>
      <c r="B11" s="19" t="s">
        <v>18</v>
      </c>
      <c r="C11" s="20" t="n">
        <v>78</v>
      </c>
      <c r="D11" s="24"/>
      <c r="E11" s="24"/>
      <c r="F11" s="25"/>
      <c r="G11" s="9"/>
      <c r="H11" s="23"/>
    </row>
    <row r="12" customFormat="false" ht="12.75" hidden="false" customHeight="true" outlineLevel="0" collapsed="false">
      <c r="A12" s="18" t="s">
        <v>19</v>
      </c>
      <c r="B12" s="19" t="s">
        <v>20</v>
      </c>
      <c r="C12" s="20" t="n">
        <v>44</v>
      </c>
      <c r="D12" s="24"/>
      <c r="E12" s="24"/>
      <c r="F12" s="25"/>
      <c r="G12" s="9"/>
      <c r="H12" s="23"/>
    </row>
    <row r="13" customFormat="false" ht="12.75" hidden="false" customHeight="true" outlineLevel="0" collapsed="false">
      <c r="A13" s="18" t="s">
        <v>21</v>
      </c>
      <c r="B13" s="19" t="s">
        <v>22</v>
      </c>
      <c r="C13" s="20" t="n">
        <v>350</v>
      </c>
      <c r="D13" s="24"/>
      <c r="E13" s="24"/>
      <c r="F13" s="25"/>
      <c r="G13" s="9"/>
      <c r="H13" s="23"/>
    </row>
    <row r="14" customFormat="false" ht="12.75" hidden="false" customHeight="true" outlineLevel="0" collapsed="false">
      <c r="A14" s="18" t="s">
        <v>23</v>
      </c>
      <c r="B14" s="19" t="s">
        <v>24</v>
      </c>
      <c r="C14" s="20" t="n">
        <v>25</v>
      </c>
      <c r="D14" s="24"/>
      <c r="E14" s="24"/>
      <c r="F14" s="25"/>
      <c r="G14" s="9"/>
      <c r="H14" s="23"/>
    </row>
    <row r="15" customFormat="false" ht="12.75" hidden="false" customHeight="true" outlineLevel="0" collapsed="false">
      <c r="A15" s="18" t="s">
        <v>25</v>
      </c>
      <c r="B15" s="19" t="s">
        <v>26</v>
      </c>
      <c r="C15" s="20" t="n">
        <v>21</v>
      </c>
      <c r="D15" s="24"/>
      <c r="E15" s="24"/>
      <c r="F15" s="25"/>
      <c r="G15" s="9"/>
      <c r="H15" s="23"/>
    </row>
    <row r="16" customFormat="false" ht="12.75" hidden="false" customHeight="true" outlineLevel="0" collapsed="false">
      <c r="A16" s="18" t="s">
        <v>27</v>
      </c>
      <c r="B16" s="19" t="s">
        <v>28</v>
      </c>
      <c r="C16" s="20" t="n">
        <v>124</v>
      </c>
      <c r="D16" s="24"/>
      <c r="E16" s="24"/>
      <c r="F16" s="25"/>
      <c r="G16" s="9"/>
      <c r="H16" s="23"/>
    </row>
    <row r="17" customFormat="false" ht="12.75" hidden="false" customHeight="true" outlineLevel="0" collapsed="false">
      <c r="A17" s="18" t="s">
        <v>29</v>
      </c>
      <c r="B17" s="19" t="s">
        <v>30</v>
      </c>
      <c r="C17" s="20" t="n">
        <v>40</v>
      </c>
      <c r="D17" s="24"/>
      <c r="E17" s="24"/>
      <c r="F17" s="25"/>
      <c r="G17" s="9"/>
      <c r="H17" s="23"/>
    </row>
    <row r="18" customFormat="false" ht="12.75" hidden="false" customHeight="true" outlineLevel="0" collapsed="false">
      <c r="A18" s="18" t="s">
        <v>31</v>
      </c>
      <c r="B18" s="19" t="s">
        <v>32</v>
      </c>
      <c r="C18" s="20" t="n">
        <v>96</v>
      </c>
      <c r="D18" s="24"/>
      <c r="E18" s="24"/>
      <c r="F18" s="25"/>
      <c r="G18" s="9"/>
      <c r="H18" s="23"/>
    </row>
    <row r="19" customFormat="false" ht="12.75" hidden="false" customHeight="true" outlineLevel="0" collapsed="false">
      <c r="A19" s="18" t="s">
        <v>33</v>
      </c>
      <c r="B19" s="19" t="s">
        <v>34</v>
      </c>
      <c r="C19" s="20" t="n">
        <v>78</v>
      </c>
      <c r="D19" s="24"/>
      <c r="E19" s="24"/>
      <c r="F19" s="25"/>
      <c r="G19" s="9"/>
      <c r="H19" s="23"/>
    </row>
    <row r="20" customFormat="false" ht="12.75" hidden="false" customHeight="true" outlineLevel="0" collapsed="false">
      <c r="A20" s="18" t="s">
        <v>35</v>
      </c>
      <c r="B20" s="19" t="s">
        <v>36</v>
      </c>
      <c r="C20" s="20" t="n">
        <v>5</v>
      </c>
      <c r="D20" s="24"/>
      <c r="E20" s="24"/>
      <c r="F20" s="25"/>
      <c r="G20" s="9"/>
      <c r="H20" s="23"/>
    </row>
    <row r="21" customFormat="false" ht="12.75" hidden="false" customHeight="true" outlineLevel="0" collapsed="false">
      <c r="A21" s="18" t="s">
        <v>37</v>
      </c>
      <c r="B21" s="19" t="s">
        <v>38</v>
      </c>
      <c r="C21" s="20" t="n">
        <v>14</v>
      </c>
      <c r="D21" s="24"/>
      <c r="E21" s="24"/>
      <c r="F21" s="25"/>
      <c r="G21" s="9"/>
      <c r="H21" s="23"/>
    </row>
    <row r="22" customFormat="false" ht="12.75" hidden="false" customHeight="true" outlineLevel="0" collapsed="false">
      <c r="A22" s="18" t="s">
        <v>39</v>
      </c>
      <c r="B22" s="19" t="s">
        <v>40</v>
      </c>
      <c r="C22" s="20" t="n">
        <v>7</v>
      </c>
      <c r="D22" s="24"/>
      <c r="E22" s="24"/>
      <c r="F22" s="25"/>
      <c r="G22" s="9"/>
      <c r="H22" s="23"/>
    </row>
    <row r="23" customFormat="false" ht="30" hidden="false" customHeight="true" outlineLevel="0" collapsed="false">
      <c r="A23" s="18" t="s">
        <v>41</v>
      </c>
      <c r="B23" s="15" t="s">
        <v>42</v>
      </c>
      <c r="C23" s="16" t="n">
        <v>1</v>
      </c>
      <c r="D23" s="24"/>
      <c r="E23" s="24"/>
      <c r="F23" s="25"/>
      <c r="G23" s="9"/>
      <c r="H23" s="23"/>
    </row>
    <row r="24" customFormat="false" ht="30" hidden="false" customHeight="true" outlineLevel="0" collapsed="false">
      <c r="A24" s="18" t="s">
        <v>43</v>
      </c>
      <c r="B24" s="15" t="s">
        <v>44</v>
      </c>
      <c r="C24" s="16" t="n">
        <v>64</v>
      </c>
      <c r="D24" s="24"/>
      <c r="E24" s="24"/>
      <c r="F24" s="25"/>
      <c r="G24" s="9"/>
      <c r="H24" s="23"/>
    </row>
    <row r="25" customFormat="false" ht="12.75" hidden="false" customHeight="true" outlineLevel="0" collapsed="false">
      <c r="A25" s="18" t="s">
        <v>45</v>
      </c>
      <c r="B25" s="19" t="s">
        <v>46</v>
      </c>
      <c r="C25" s="20" t="n">
        <v>73</v>
      </c>
      <c r="D25" s="24"/>
      <c r="E25" s="24"/>
      <c r="F25" s="25"/>
      <c r="G25" s="9"/>
      <c r="H25" s="23"/>
    </row>
    <row r="26" customFormat="false" ht="12.75" hidden="false" customHeight="true" outlineLevel="0" collapsed="false">
      <c r="A26" s="18" t="s">
        <v>47</v>
      </c>
      <c r="B26" s="19" t="s">
        <v>48</v>
      </c>
      <c r="C26" s="20" t="n">
        <v>35</v>
      </c>
      <c r="D26" s="24"/>
      <c r="E26" s="24"/>
      <c r="F26" s="25"/>
      <c r="G26" s="9"/>
      <c r="H26" s="23"/>
    </row>
    <row r="27" customFormat="false" ht="12.75" hidden="false" customHeight="true" outlineLevel="0" collapsed="false">
      <c r="A27" s="18" t="s">
        <v>49</v>
      </c>
      <c r="B27" s="19" t="s">
        <v>50</v>
      </c>
      <c r="C27" s="20" t="n">
        <v>3</v>
      </c>
      <c r="D27" s="24"/>
      <c r="E27" s="24"/>
      <c r="F27" s="25"/>
      <c r="G27" s="9"/>
      <c r="H27" s="23"/>
    </row>
    <row r="28" customFormat="false" ht="12.75" hidden="false" customHeight="true" outlineLevel="0" collapsed="false">
      <c r="A28" s="18" t="s">
        <v>51</v>
      </c>
      <c r="B28" s="19" t="s">
        <v>52</v>
      </c>
      <c r="C28" s="20" t="n">
        <v>83</v>
      </c>
      <c r="D28" s="24"/>
      <c r="E28" s="24"/>
      <c r="F28" s="25"/>
      <c r="G28" s="9"/>
      <c r="H28" s="23"/>
    </row>
    <row r="29" customFormat="false" ht="12.75" hidden="false" customHeight="true" outlineLevel="0" collapsed="false">
      <c r="A29" s="18" t="s">
        <v>53</v>
      </c>
      <c r="B29" s="19" t="s">
        <v>54</v>
      </c>
      <c r="C29" s="20" t="n">
        <v>420</v>
      </c>
      <c r="D29" s="24"/>
      <c r="E29" s="24"/>
      <c r="F29" s="25"/>
      <c r="G29" s="9"/>
      <c r="H29" s="23"/>
    </row>
    <row r="30" customFormat="false" ht="12.75" hidden="false" customHeight="true" outlineLevel="0" collapsed="false">
      <c r="A30" s="18" t="s">
        <v>55</v>
      </c>
      <c r="B30" s="19" t="s">
        <v>56</v>
      </c>
      <c r="C30" s="20" t="n">
        <v>7</v>
      </c>
      <c r="D30" s="24"/>
      <c r="E30" s="24"/>
      <c r="F30" s="25"/>
      <c r="G30" s="9"/>
      <c r="H30" s="23"/>
    </row>
    <row r="31" customFormat="false" ht="12.75" hidden="false" customHeight="true" outlineLevel="0" collapsed="false">
      <c r="A31" s="18" t="s">
        <v>57</v>
      </c>
      <c r="B31" s="19" t="s">
        <v>58</v>
      </c>
      <c r="C31" s="20" t="n">
        <v>9</v>
      </c>
      <c r="D31" s="24"/>
      <c r="E31" s="24"/>
      <c r="F31" s="25"/>
      <c r="G31" s="9"/>
      <c r="H31" s="23"/>
    </row>
    <row r="32" customFormat="false" ht="12.75" hidden="false" customHeight="true" outlineLevel="0" collapsed="false">
      <c r="A32" s="18" t="s">
        <v>59</v>
      </c>
      <c r="B32" s="19" t="s">
        <v>60</v>
      </c>
      <c r="C32" s="20" t="n">
        <v>9</v>
      </c>
      <c r="D32" s="24"/>
      <c r="E32" s="24"/>
      <c r="F32" s="25"/>
      <c r="G32" s="9"/>
      <c r="H32" s="23"/>
    </row>
    <row r="33" customFormat="false" ht="12.75" hidden="false" customHeight="true" outlineLevel="0" collapsed="false">
      <c r="A33" s="18" t="s">
        <v>61</v>
      </c>
      <c r="B33" s="19" t="s">
        <v>62</v>
      </c>
      <c r="C33" s="20" t="n">
        <v>33</v>
      </c>
      <c r="D33" s="24"/>
      <c r="E33" s="24"/>
      <c r="F33" s="25"/>
      <c r="G33" s="9"/>
      <c r="H33" s="23"/>
    </row>
    <row r="34" customFormat="false" ht="30" hidden="false" customHeight="true" outlineLevel="0" collapsed="false">
      <c r="A34" s="18" t="s">
        <v>63</v>
      </c>
      <c r="B34" s="15" t="s">
        <v>64</v>
      </c>
      <c r="C34" s="16" t="n">
        <v>6</v>
      </c>
      <c r="D34" s="24"/>
      <c r="E34" s="24"/>
      <c r="F34" s="25"/>
      <c r="G34" s="9"/>
      <c r="H34" s="23"/>
    </row>
    <row r="35" customFormat="false" ht="12.75" hidden="false" customHeight="true" outlineLevel="0" collapsed="false">
      <c r="A35" s="18" t="s">
        <v>65</v>
      </c>
      <c r="B35" s="19" t="s">
        <v>66</v>
      </c>
      <c r="C35" s="20" t="n">
        <v>58</v>
      </c>
      <c r="D35" s="24"/>
      <c r="E35" s="24"/>
      <c r="F35" s="25"/>
      <c r="G35" s="9"/>
      <c r="H35" s="23"/>
    </row>
    <row r="36" customFormat="false" ht="12.75" hidden="false" customHeight="true" outlineLevel="0" collapsed="false">
      <c r="A36" s="18" t="s">
        <v>67</v>
      </c>
      <c r="B36" s="19" t="s">
        <v>68</v>
      </c>
      <c r="C36" s="20" t="n">
        <v>16</v>
      </c>
      <c r="D36" s="24"/>
      <c r="E36" s="24"/>
      <c r="F36" s="25"/>
      <c r="G36" s="9"/>
      <c r="H36" s="23"/>
    </row>
    <row r="37" customFormat="false" ht="12.75" hidden="false" customHeight="true" outlineLevel="0" collapsed="false">
      <c r="A37" s="18" t="s">
        <v>69</v>
      </c>
      <c r="B37" s="19" t="s">
        <v>70</v>
      </c>
      <c r="C37" s="20" t="n">
        <v>3</v>
      </c>
      <c r="D37" s="24"/>
      <c r="E37" s="24"/>
      <c r="F37" s="25"/>
      <c r="G37" s="9"/>
      <c r="H37" s="23"/>
    </row>
    <row r="38" customFormat="false" ht="12.75" hidden="false" customHeight="true" outlineLevel="0" collapsed="false">
      <c r="A38" s="18" t="s">
        <v>71</v>
      </c>
      <c r="B38" s="19" t="s">
        <v>72</v>
      </c>
      <c r="C38" s="20" t="n">
        <v>73</v>
      </c>
      <c r="D38" s="24"/>
      <c r="E38" s="24"/>
      <c r="F38" s="25"/>
      <c r="G38" s="9"/>
      <c r="H38" s="23"/>
    </row>
    <row r="39" customFormat="false" ht="12.75" hidden="false" customHeight="true" outlineLevel="0" collapsed="false">
      <c r="A39" s="18" t="s">
        <v>73</v>
      </c>
      <c r="B39" s="19" t="s">
        <v>74</v>
      </c>
      <c r="C39" s="20" t="n">
        <v>440</v>
      </c>
      <c r="D39" s="24"/>
      <c r="E39" s="24"/>
      <c r="F39" s="25"/>
      <c r="G39" s="9"/>
      <c r="H39" s="23"/>
    </row>
    <row r="40" customFormat="false" ht="12.75" hidden="false" customHeight="true" outlineLevel="0" collapsed="false">
      <c r="A40" s="18" t="s">
        <v>75</v>
      </c>
      <c r="B40" s="19" t="s">
        <v>76</v>
      </c>
      <c r="C40" s="20" t="n">
        <v>5</v>
      </c>
      <c r="D40" s="24"/>
      <c r="E40" s="24"/>
      <c r="F40" s="25"/>
      <c r="G40" s="9"/>
      <c r="H40" s="23"/>
    </row>
    <row r="41" customFormat="false" ht="12.75" hidden="false" customHeight="true" outlineLevel="0" collapsed="false">
      <c r="A41" s="18" t="s">
        <v>77</v>
      </c>
      <c r="B41" s="19" t="s">
        <v>78</v>
      </c>
      <c r="C41" s="20" t="n">
        <v>100</v>
      </c>
      <c r="D41" s="24"/>
      <c r="E41" s="24"/>
      <c r="F41" s="25"/>
      <c r="G41" s="8"/>
      <c r="H41" s="23"/>
    </row>
    <row r="42" customFormat="false" ht="12.75" hidden="false" customHeight="true" outlineLevel="0" collapsed="false">
      <c r="A42" s="18" t="s">
        <v>79</v>
      </c>
      <c r="B42" s="19" t="s">
        <v>80</v>
      </c>
      <c r="C42" s="26" t="n">
        <v>0.06</v>
      </c>
      <c r="D42" s="24"/>
      <c r="E42" s="24"/>
      <c r="F42" s="25"/>
      <c r="G42" s="9"/>
      <c r="H42" s="23"/>
    </row>
    <row r="43" customFormat="false" ht="30" hidden="false" customHeight="true" outlineLevel="0" collapsed="false">
      <c r="A43" s="18" t="s">
        <v>81</v>
      </c>
      <c r="B43" s="15" t="s">
        <v>82</v>
      </c>
      <c r="C43" s="27" t="n">
        <v>9</v>
      </c>
      <c r="D43" s="24"/>
      <c r="E43" s="24"/>
      <c r="F43" s="28"/>
      <c r="G43" s="9"/>
      <c r="H43" s="23"/>
    </row>
    <row r="44" customFormat="false" ht="12.75" hidden="false" customHeight="true" outlineLevel="0" collapsed="false">
      <c r="A44" s="18" t="s">
        <v>83</v>
      </c>
      <c r="B44" s="19" t="s">
        <v>84</v>
      </c>
      <c r="C44" s="26" t="n">
        <v>0.3</v>
      </c>
      <c r="D44" s="24"/>
      <c r="E44" s="24"/>
      <c r="F44" s="28"/>
      <c r="G44" s="9"/>
      <c r="H44" s="23"/>
    </row>
    <row r="45" customFormat="false" ht="12.75" hidden="false" customHeight="true" outlineLevel="0" collapsed="false">
      <c r="A45" s="18" t="s">
        <v>85</v>
      </c>
      <c r="B45" s="19" t="s">
        <v>86</v>
      </c>
      <c r="C45" s="26" t="n">
        <v>2</v>
      </c>
      <c r="D45" s="24"/>
      <c r="E45" s="24"/>
      <c r="F45" s="28"/>
      <c r="G45" s="9"/>
      <c r="H45" s="23"/>
    </row>
    <row r="46" customFormat="false" ht="12.75" hidden="false" customHeight="true" outlineLevel="0" collapsed="false">
      <c r="A46" s="18" t="s">
        <v>87</v>
      </c>
      <c r="B46" s="19" t="s">
        <v>88</v>
      </c>
      <c r="C46" s="20" t="n">
        <v>54</v>
      </c>
      <c r="D46" s="24"/>
      <c r="E46" s="24"/>
      <c r="F46" s="28"/>
      <c r="G46" s="9"/>
      <c r="H46" s="23"/>
    </row>
    <row r="47" customFormat="false" ht="54.75" hidden="false" customHeight="true" outlineLevel="0" collapsed="false">
      <c r="A47" s="18" t="s">
        <v>89</v>
      </c>
      <c r="B47" s="15" t="s">
        <v>90</v>
      </c>
      <c r="C47" s="29" t="n">
        <v>0.001</v>
      </c>
      <c r="D47" s="24"/>
      <c r="E47" s="24"/>
      <c r="F47" s="25"/>
      <c r="G47" s="9"/>
      <c r="H47" s="23"/>
    </row>
    <row r="48" customFormat="false" ht="12.75" hidden="false" customHeight="true" outlineLevel="0" collapsed="false">
      <c r="A48" s="18" t="s">
        <v>91</v>
      </c>
      <c r="B48" s="19" t="s">
        <v>92</v>
      </c>
      <c r="C48" s="20" t="n">
        <v>16</v>
      </c>
      <c r="D48" s="24"/>
      <c r="E48" s="24"/>
      <c r="F48" s="25"/>
      <c r="G48" s="9"/>
      <c r="H48" s="23"/>
    </row>
    <row r="49" customFormat="false" ht="12.75" hidden="false" customHeight="true" outlineLevel="0" collapsed="false">
      <c r="A49" s="18" t="s">
        <v>93</v>
      </c>
      <c r="B49" s="19" t="s">
        <v>94</v>
      </c>
      <c r="C49" s="20" t="n">
        <v>10</v>
      </c>
      <c r="D49" s="24"/>
      <c r="E49" s="24"/>
      <c r="F49" s="25"/>
      <c r="G49" s="9"/>
      <c r="H49" s="23"/>
    </row>
    <row r="50" customFormat="false" ht="54.75" hidden="false" customHeight="true" outlineLevel="0" collapsed="false">
      <c r="A50" s="18" t="s">
        <v>95</v>
      </c>
      <c r="B50" s="15" t="s">
        <v>96</v>
      </c>
      <c r="C50" s="16" t="n">
        <v>476</v>
      </c>
      <c r="D50" s="24"/>
      <c r="E50" s="24"/>
      <c r="F50" s="25"/>
      <c r="G50" s="9"/>
      <c r="H50" s="23"/>
    </row>
    <row r="51" customFormat="false" ht="12.75" hidden="false" customHeight="true" outlineLevel="0" collapsed="false">
      <c r="A51" s="18" t="s">
        <v>97</v>
      </c>
      <c r="B51" s="19" t="s">
        <v>98</v>
      </c>
      <c r="C51" s="20" t="n">
        <v>65</v>
      </c>
      <c r="D51" s="24"/>
      <c r="E51" s="24"/>
      <c r="F51" s="25"/>
      <c r="G51" s="9"/>
      <c r="H51" s="23"/>
    </row>
    <row r="52" customFormat="false" ht="12.75" hidden="false" customHeight="true" outlineLevel="0" collapsed="false">
      <c r="A52" s="18" t="s">
        <v>99</v>
      </c>
      <c r="B52" s="19" t="s">
        <v>100</v>
      </c>
      <c r="C52" s="20" t="n">
        <v>42</v>
      </c>
      <c r="D52" s="24"/>
      <c r="E52" s="24"/>
      <c r="F52" s="25"/>
      <c r="G52" s="9"/>
      <c r="H52" s="23"/>
    </row>
    <row r="53" customFormat="false" ht="12.75" hidden="false" customHeight="true" outlineLevel="0" collapsed="false">
      <c r="A53" s="18" t="s">
        <v>101</v>
      </c>
      <c r="B53" s="19" t="s">
        <v>102</v>
      </c>
      <c r="C53" s="20" t="n">
        <v>192</v>
      </c>
      <c r="D53" s="24"/>
      <c r="E53" s="24"/>
      <c r="F53" s="25"/>
      <c r="G53" s="9"/>
      <c r="H53" s="23"/>
    </row>
    <row r="54" customFormat="false" ht="54.75" hidden="false" customHeight="true" outlineLevel="0" collapsed="false">
      <c r="A54" s="18" t="s">
        <v>103</v>
      </c>
      <c r="B54" s="15" t="s">
        <v>104</v>
      </c>
      <c r="C54" s="16" t="n">
        <v>11</v>
      </c>
      <c r="D54" s="30"/>
      <c r="E54" s="30"/>
      <c r="F54" s="31"/>
      <c r="G54" s="9"/>
      <c r="H54" s="23"/>
    </row>
    <row r="55" customFormat="false" ht="12.75" hidden="false" customHeight="true" outlineLevel="0" collapsed="false">
      <c r="A55" s="32" t="s">
        <v>105</v>
      </c>
      <c r="B55" s="33" t="s">
        <v>106</v>
      </c>
      <c r="C55" s="20" t="n">
        <v>1</v>
      </c>
      <c r="D55" s="34"/>
      <c r="E55" s="34"/>
      <c r="F55" s="34"/>
      <c r="G55" s="9"/>
      <c r="H55" s="35"/>
    </row>
    <row r="56" customFormat="false" ht="9.75" hidden="false" customHeight="true" outlineLevel="0" collapsed="false">
      <c r="A56" s="32" t="s">
        <v>107</v>
      </c>
      <c r="B56" s="33" t="s">
        <v>108</v>
      </c>
      <c r="C56" s="20" t="n">
        <v>4</v>
      </c>
      <c r="D56" s="34"/>
      <c r="E56" s="34"/>
      <c r="F56" s="34"/>
      <c r="G56" s="9"/>
      <c r="H56" s="35"/>
    </row>
    <row r="57" customFormat="false" ht="54.75" hidden="true" customHeight="true" outlineLevel="0" collapsed="false">
      <c r="A57" s="14" t="s">
        <v>109</v>
      </c>
      <c r="B57" s="15" t="s">
        <v>110</v>
      </c>
      <c r="C57" s="16" t="n">
        <v>3</v>
      </c>
      <c r="D57" s="36"/>
      <c r="E57" s="36"/>
      <c r="F57" s="36"/>
      <c r="G57" s="36"/>
      <c r="H57" s="36"/>
    </row>
    <row r="58" customFormat="false" ht="48.75" hidden="false" customHeight="true" outlineLevel="0" collapsed="false">
      <c r="A58" s="32" t="s">
        <v>111</v>
      </c>
      <c r="B58" s="15" t="s">
        <v>112</v>
      </c>
      <c r="C58" s="16" t="n">
        <v>204</v>
      </c>
    </row>
    <row r="59" customFormat="false" ht="12.75" hidden="false" customHeight="true" outlineLevel="0" collapsed="false">
      <c r="A59" s="14" t="s">
        <v>113</v>
      </c>
      <c r="B59" s="15" t="s">
        <v>114</v>
      </c>
      <c r="C59" s="16" t="n">
        <v>173</v>
      </c>
    </row>
    <row r="60" customFormat="false" ht="54.75" hidden="false" customHeight="true" outlineLevel="0" collapsed="false">
      <c r="A60" s="14" t="s">
        <v>115</v>
      </c>
      <c r="B60" s="15" t="s">
        <v>116</v>
      </c>
      <c r="C60" s="16" t="n">
        <v>2</v>
      </c>
    </row>
    <row r="61" customFormat="false" ht="12.75" hidden="false" customHeight="true" outlineLevel="0" collapsed="false">
      <c r="A61" s="14" t="s">
        <v>117</v>
      </c>
      <c r="B61" s="15" t="s">
        <v>118</v>
      </c>
      <c r="C61" s="16" t="n">
        <v>7</v>
      </c>
    </row>
    <row r="62" customFormat="false" ht="12.75" hidden="false" customHeight="true" outlineLevel="0" collapsed="false">
      <c r="A62" s="14" t="s">
        <v>119</v>
      </c>
      <c r="B62" s="15" t="s">
        <v>120</v>
      </c>
      <c r="C62" s="16" t="n">
        <v>8</v>
      </c>
    </row>
    <row r="63" customFormat="false" ht="54.75" hidden="false" customHeight="true" outlineLevel="0" collapsed="false">
      <c r="A63" s="14" t="s">
        <v>121</v>
      </c>
      <c r="B63" s="15" t="s">
        <v>122</v>
      </c>
      <c r="C63" s="16" t="n">
        <v>132</v>
      </c>
    </row>
    <row r="65" customFormat="false" ht="69.75" hidden="false" customHeight="true" outlineLevel="0" collapsed="false">
      <c r="A65" s="14" t="s">
        <v>123</v>
      </c>
      <c r="B65" s="15" t="s">
        <v>124</v>
      </c>
      <c r="C65" s="16" t="n">
        <v>6</v>
      </c>
    </row>
    <row r="66" customFormat="false" ht="12.75" hidden="false" customHeight="true" outlineLevel="0" collapsed="false">
      <c r="A66" s="14" t="s">
        <v>125</v>
      </c>
      <c r="B66" s="15" t="s">
        <v>126</v>
      </c>
      <c r="C66" s="16" t="n">
        <v>15</v>
      </c>
    </row>
    <row r="67" customFormat="false" ht="12.75" hidden="false" customHeight="true" outlineLevel="0" collapsed="false">
      <c r="A67" s="14" t="s">
        <v>127</v>
      </c>
      <c r="B67" s="15" t="s">
        <v>128</v>
      </c>
      <c r="C67" s="16" t="n">
        <v>18</v>
      </c>
    </row>
    <row r="68" customFormat="false" ht="12.75" hidden="false" customHeight="true" outlineLevel="0" collapsed="false">
      <c r="A68" s="14" t="s">
        <v>129</v>
      </c>
      <c r="B68" s="15" t="s">
        <v>130</v>
      </c>
      <c r="C68" s="16" t="n">
        <v>12</v>
      </c>
    </row>
    <row r="69" customFormat="false" ht="23.25" hidden="false" customHeight="true" outlineLevel="0" collapsed="false">
      <c r="A69" s="14" t="s">
        <v>131</v>
      </c>
      <c r="B69" s="15" t="s">
        <v>132</v>
      </c>
      <c r="C69" s="27" t="n">
        <v>0.8</v>
      </c>
    </row>
    <row r="70" customFormat="false" ht="54.75" hidden="false" customHeight="true" outlineLevel="0" collapsed="false">
      <c r="A70" s="14" t="s">
        <v>133</v>
      </c>
      <c r="B70" s="15" t="s">
        <v>134</v>
      </c>
      <c r="C70" s="16" t="n">
        <v>29</v>
      </c>
    </row>
    <row r="71" customFormat="false" ht="12.75" hidden="false" customHeight="true" outlineLevel="0" collapsed="false">
      <c r="A71" s="14" t="s">
        <v>135</v>
      </c>
      <c r="B71" s="15" t="s">
        <v>136</v>
      </c>
      <c r="C71" s="16" t="n">
        <v>297</v>
      </c>
    </row>
    <row r="72" customFormat="false" ht="79.5" hidden="false" customHeight="true" outlineLevel="0" collapsed="false">
      <c r="A72" s="14" t="s">
        <v>137</v>
      </c>
      <c r="B72" s="15" t="s">
        <v>138</v>
      </c>
      <c r="C72" s="16" t="n">
        <v>28</v>
      </c>
    </row>
    <row r="73" customFormat="false" ht="12.75" hidden="false" customHeight="true" outlineLevel="0" collapsed="false">
      <c r="A73" s="14" t="s">
        <v>139</v>
      </c>
      <c r="B73" s="15" t="s">
        <v>140</v>
      </c>
      <c r="C73" s="16" t="n">
        <v>4</v>
      </c>
    </row>
    <row r="74" customFormat="false" ht="12.75" hidden="false" customHeight="true" outlineLevel="0" collapsed="false">
      <c r="A74" s="14" t="s">
        <v>141</v>
      </c>
      <c r="B74" s="15" t="s">
        <v>142</v>
      </c>
      <c r="C74" s="16" t="n">
        <v>9</v>
      </c>
    </row>
    <row r="75" customFormat="false" ht="79.5" hidden="false" customHeight="true" outlineLevel="0" collapsed="false">
      <c r="A75" s="14" t="s">
        <v>143</v>
      </c>
      <c r="B75" s="15" t="s">
        <v>144</v>
      </c>
      <c r="C75" s="16" t="n">
        <v>67</v>
      </c>
    </row>
    <row r="76" customFormat="false" ht="12.75" hidden="false" customHeight="true" outlineLevel="0" collapsed="false">
      <c r="A76" s="14" t="s">
        <v>145</v>
      </c>
      <c r="B76" s="15" t="s">
        <v>146</v>
      </c>
      <c r="C76" s="16" t="n">
        <v>37</v>
      </c>
    </row>
    <row r="77" customFormat="false" ht="12.75" hidden="false" customHeight="true" outlineLevel="0" collapsed="false">
      <c r="A77" s="14" t="s">
        <v>147</v>
      </c>
      <c r="B77" s="15" t="s">
        <v>148</v>
      </c>
      <c r="C77" s="16" t="n">
        <v>2</v>
      </c>
    </row>
    <row r="78" customFormat="false" ht="79.5" hidden="false" customHeight="true" outlineLevel="0" collapsed="false">
      <c r="A78" s="14" t="s">
        <v>149</v>
      </c>
      <c r="B78" s="15" t="s">
        <v>150</v>
      </c>
      <c r="C78" s="16" t="n">
        <v>21</v>
      </c>
    </row>
    <row r="79" customFormat="false" ht="12.75" hidden="false" customHeight="true" outlineLevel="0" collapsed="false">
      <c r="A79" s="14" t="s">
        <v>151</v>
      </c>
      <c r="B79" s="15" t="s">
        <v>152</v>
      </c>
      <c r="C79" s="16" t="n">
        <v>13</v>
      </c>
    </row>
    <row r="80" customFormat="false" ht="12.75" hidden="false" customHeight="true" outlineLevel="0" collapsed="false">
      <c r="A80" s="14" t="s">
        <v>153</v>
      </c>
      <c r="B80" s="15" t="s">
        <v>154</v>
      </c>
      <c r="C80" s="16" t="n">
        <v>15</v>
      </c>
    </row>
    <row r="81" customFormat="false" ht="12.75" hidden="false" customHeight="true" outlineLevel="0" collapsed="false">
      <c r="A81" s="14" t="s">
        <v>155</v>
      </c>
      <c r="B81" s="15" t="s">
        <v>156</v>
      </c>
      <c r="C81" s="16" t="n">
        <v>28</v>
      </c>
    </row>
    <row r="82" customFormat="false" ht="79.5" hidden="false" customHeight="true" outlineLevel="0" collapsed="false">
      <c r="A82" s="14" t="s">
        <v>157</v>
      </c>
      <c r="B82" s="15" t="s">
        <v>158</v>
      </c>
      <c r="C82" s="27" t="n">
        <v>0.4</v>
      </c>
    </row>
    <row r="83" customFormat="false" ht="12.75" hidden="false" customHeight="true" outlineLevel="0" collapsed="false">
      <c r="A83" s="14" t="s">
        <v>159</v>
      </c>
      <c r="B83" s="15" t="s">
        <v>160</v>
      </c>
      <c r="C83" s="16" t="n">
        <v>35</v>
      </c>
    </row>
    <row r="84" customFormat="false" ht="79.5" hidden="false" customHeight="true" outlineLevel="0" collapsed="false">
      <c r="A84" s="14" t="s">
        <v>161</v>
      </c>
      <c r="B84" s="15" t="s">
        <v>162</v>
      </c>
      <c r="C84" s="16" t="n">
        <v>4</v>
      </c>
    </row>
    <row r="85" customFormat="false" ht="12.75" hidden="false" customHeight="true" outlineLevel="0" collapsed="false">
      <c r="A85" s="14" t="s">
        <v>163</v>
      </c>
      <c r="B85" s="15" t="s">
        <v>164</v>
      </c>
      <c r="C85" s="16" t="n">
        <v>2</v>
      </c>
    </row>
    <row r="86" customFormat="false" ht="79.5" hidden="false" customHeight="true" outlineLevel="0" collapsed="false">
      <c r="A86" s="14" t="s">
        <v>165</v>
      </c>
      <c r="B86" s="15" t="s">
        <v>166</v>
      </c>
      <c r="C86" s="16" t="n">
        <v>6</v>
      </c>
    </row>
    <row r="87" customFormat="false" ht="147.75" hidden="false" customHeight="true" outlineLevel="0" collapsed="false">
      <c r="A87" s="14" t="s">
        <v>167</v>
      </c>
      <c r="B87" s="15" t="s">
        <v>168</v>
      </c>
      <c r="C87" s="16" t="n">
        <v>4</v>
      </c>
    </row>
    <row r="88" customFormat="false" ht="79.5" hidden="false" customHeight="true" outlineLevel="0" collapsed="false">
      <c r="A88" s="14" t="s">
        <v>169</v>
      </c>
      <c r="B88" s="15" t="s">
        <v>170</v>
      </c>
      <c r="C88" s="16" t="n">
        <v>330</v>
      </c>
    </row>
    <row r="89" customFormat="false" ht="12.75" hidden="false" customHeight="true" outlineLevel="0" collapsed="false">
      <c r="A89" s="14" t="s">
        <v>171</v>
      </c>
      <c r="B89" s="15" t="s">
        <v>172</v>
      </c>
      <c r="C89" s="16" t="n">
        <v>4</v>
      </c>
    </row>
    <row r="90" customFormat="false" ht="94.5" hidden="false" customHeight="true" outlineLevel="0" collapsed="false">
      <c r="A90" s="14" t="s">
        <v>173</v>
      </c>
      <c r="B90" s="15" t="s">
        <v>174</v>
      </c>
      <c r="C90" s="16" t="n">
        <v>11</v>
      </c>
    </row>
    <row r="91" customFormat="false" ht="94.5" hidden="false" customHeight="true" outlineLevel="0" collapsed="false">
      <c r="A91" s="14" t="s">
        <v>175</v>
      </c>
      <c r="B91" s="15" t="s">
        <v>176</v>
      </c>
      <c r="C91" s="16" t="n">
        <v>1</v>
      </c>
    </row>
    <row r="92" customFormat="false" ht="94.5" hidden="false" customHeight="true" outlineLevel="0" collapsed="false">
      <c r="A92" s="14" t="s">
        <v>177</v>
      </c>
      <c r="B92" s="15" t="s">
        <v>178</v>
      </c>
      <c r="C92" s="16" t="n">
        <v>27</v>
      </c>
    </row>
    <row r="93" customFormat="false" ht="12.75" hidden="false" customHeight="true" outlineLevel="0" collapsed="false">
      <c r="A93" s="14" t="s">
        <v>179</v>
      </c>
      <c r="B93" s="15" t="s">
        <v>180</v>
      </c>
      <c r="C93" s="27" t="n">
        <v>0.6</v>
      </c>
    </row>
    <row r="94" customFormat="false" ht="12.75" hidden="false" customHeight="true" outlineLevel="0" collapsed="false">
      <c r="A94" s="14" t="s">
        <v>181</v>
      </c>
      <c r="B94" s="15" t="s">
        <v>182</v>
      </c>
      <c r="C94" s="27" t="n">
        <v>0.09</v>
      </c>
    </row>
    <row r="95" customFormat="false" ht="94.5" hidden="false" customHeight="true" outlineLevel="0" collapsed="false">
      <c r="A95" s="14" t="s">
        <v>183</v>
      </c>
      <c r="B95" s="15" t="s">
        <v>184</v>
      </c>
      <c r="C95" s="16" t="n">
        <v>2</v>
      </c>
    </row>
    <row r="96" customFormat="false" ht="12.75" hidden="false" customHeight="true" outlineLevel="0" collapsed="false">
      <c r="A96" s="14" t="s">
        <v>185</v>
      </c>
      <c r="B96" s="15" t="s">
        <v>186</v>
      </c>
      <c r="C96" s="16" t="n">
        <v>17</v>
      </c>
    </row>
    <row r="97" customFormat="false" ht="94.5" hidden="false" customHeight="true" outlineLevel="0" collapsed="false">
      <c r="A97" s="14" t="s">
        <v>187</v>
      </c>
      <c r="B97" s="15" t="s">
        <v>188</v>
      </c>
      <c r="C97" s="16" t="n">
        <v>295</v>
      </c>
    </row>
    <row r="98" customFormat="false" ht="12.75" hidden="false" customHeight="true" outlineLevel="0" collapsed="false">
      <c r="A98" s="14" t="s">
        <v>189</v>
      </c>
      <c r="B98" s="15" t="s">
        <v>190</v>
      </c>
      <c r="C98" s="16" t="n">
        <v>3</v>
      </c>
    </row>
    <row r="99" customFormat="false" ht="94.5" hidden="false" customHeight="true" outlineLevel="0" collapsed="false">
      <c r="A99" s="14" t="s">
        <v>191</v>
      </c>
      <c r="B99" s="15" t="s">
        <v>192</v>
      </c>
      <c r="C99" s="16" t="n">
        <v>210</v>
      </c>
    </row>
    <row r="100" customFormat="false" ht="12.75" hidden="false" customHeight="true" outlineLevel="0" collapsed="false">
      <c r="A100" s="14" t="s">
        <v>193</v>
      </c>
      <c r="B100" s="15" t="s">
        <v>194</v>
      </c>
      <c r="C100" s="16" t="n">
        <v>83</v>
      </c>
    </row>
    <row r="101" customFormat="false" ht="109.5" hidden="false" customHeight="true" outlineLevel="0" collapsed="false">
      <c r="A101" s="14" t="s">
        <v>195</v>
      </c>
      <c r="B101" s="15" t="s">
        <v>196</v>
      </c>
      <c r="C101" s="16" t="n">
        <v>5</v>
      </c>
    </row>
    <row r="102" customFormat="false" ht="109.5" hidden="false" customHeight="true" outlineLevel="0" collapsed="false">
      <c r="A102" s="14" t="s">
        <v>197</v>
      </c>
      <c r="B102" s="15" t="s">
        <v>198</v>
      </c>
      <c r="C102" s="16" t="n">
        <v>620</v>
      </c>
    </row>
    <row r="103" customFormat="false" ht="12.75" hidden="false" customHeight="true" outlineLevel="0" collapsed="false">
      <c r="A103" s="14" t="s">
        <v>199</v>
      </c>
      <c r="B103" s="15" t="s">
        <v>200</v>
      </c>
      <c r="C103" s="16" t="n">
        <v>146</v>
      </c>
    </row>
    <row r="104" customFormat="false" ht="109.5" hidden="false" customHeight="true" outlineLevel="0" collapsed="false">
      <c r="A104" s="14" t="s">
        <v>201</v>
      </c>
      <c r="B104" s="15" t="s">
        <v>202</v>
      </c>
      <c r="C104" s="16" t="n">
        <v>220</v>
      </c>
    </row>
    <row r="105" customFormat="false" ht="109.5" hidden="false" customHeight="true" outlineLevel="0" collapsed="false">
      <c r="A105" s="14" t="s">
        <v>203</v>
      </c>
      <c r="B105" s="15" t="s">
        <v>204</v>
      </c>
      <c r="C105" s="16" t="n">
        <v>182</v>
      </c>
    </row>
    <row r="106" customFormat="false" ht="12.75" hidden="false" customHeight="true" outlineLevel="0" collapsed="false">
      <c r="A106" s="14" t="s">
        <v>205</v>
      </c>
      <c r="B106" s="15" t="s">
        <v>206</v>
      </c>
      <c r="C106" s="16" t="n">
        <v>119</v>
      </c>
    </row>
    <row r="107" customFormat="false" ht="124.5" hidden="false" customHeight="true" outlineLevel="0" collapsed="false">
      <c r="A107" s="14" t="s">
        <v>207</v>
      </c>
      <c r="B107" s="15" t="s">
        <v>208</v>
      </c>
      <c r="C107" s="16" t="n">
        <v>5</v>
      </c>
    </row>
    <row r="108" customFormat="false" ht="12.75" hidden="false" customHeight="true" outlineLevel="0" collapsed="false">
      <c r="A108" s="14" t="s">
        <v>209</v>
      </c>
      <c r="B108" s="15" t="s">
        <v>210</v>
      </c>
      <c r="C108" s="16" t="n">
        <v>2</v>
      </c>
    </row>
    <row r="109" customFormat="false" ht="124.5" hidden="false" customHeight="true" outlineLevel="0" collapsed="false">
      <c r="A109" s="14" t="s">
        <v>211</v>
      </c>
      <c r="B109" s="15" t="s">
        <v>212</v>
      </c>
      <c r="C109" s="16" t="n">
        <v>3</v>
      </c>
    </row>
    <row r="110" customFormat="false" ht="12.75" hidden="false" customHeight="true" outlineLevel="0" collapsed="false">
      <c r="A110" s="14" t="s">
        <v>213</v>
      </c>
      <c r="B110" s="15" t="s">
        <v>214</v>
      </c>
      <c r="C110" s="16" t="n">
        <v>2</v>
      </c>
    </row>
    <row r="111" customFormat="false" ht="124.5" hidden="false" customHeight="true" outlineLevel="0" collapsed="false">
      <c r="A111" s="14" t="s">
        <v>215</v>
      </c>
      <c r="B111" s="15" t="s">
        <v>216</v>
      </c>
      <c r="C111" s="16" t="n">
        <v>1</v>
      </c>
    </row>
    <row r="112" customFormat="false" ht="124.5" hidden="false" customHeight="true" outlineLevel="0" collapsed="false">
      <c r="A112" s="14" t="s">
        <v>217</v>
      </c>
      <c r="B112" s="15" t="s">
        <v>218</v>
      </c>
      <c r="C112" s="16" t="n">
        <v>3</v>
      </c>
    </row>
    <row r="113" customFormat="false" ht="124.5" hidden="false" customHeight="true" outlineLevel="0" collapsed="false">
      <c r="A113" s="14" t="s">
        <v>219</v>
      </c>
      <c r="B113" s="15" t="s">
        <v>220</v>
      </c>
      <c r="C113" s="16" t="n">
        <v>40</v>
      </c>
    </row>
    <row r="114" customFormat="false" ht="124.5" hidden="false" customHeight="true" outlineLevel="0" collapsed="false">
      <c r="A114" s="14" t="s">
        <v>221</v>
      </c>
      <c r="B114" s="15" t="s">
        <v>222</v>
      </c>
      <c r="C114" s="16" t="n">
        <v>9</v>
      </c>
    </row>
    <row r="115" customFormat="false" ht="12.75" hidden="false" customHeight="true" outlineLevel="0" collapsed="false">
      <c r="A115" s="14" t="s">
        <v>223</v>
      </c>
      <c r="B115" s="15" t="s">
        <v>224</v>
      </c>
      <c r="C115" s="16" t="n">
        <v>5</v>
      </c>
    </row>
    <row r="116" customFormat="false" ht="12.75" hidden="false" customHeight="true" outlineLevel="0" collapsed="false">
      <c r="A116" s="14" t="s">
        <v>225</v>
      </c>
      <c r="B116" s="15" t="s">
        <v>226</v>
      </c>
      <c r="C116" s="27" t="n">
        <v>0.4</v>
      </c>
    </row>
    <row r="117" customFormat="false" ht="139.5" hidden="false" customHeight="true" outlineLevel="0" collapsed="false">
      <c r="A117" s="14" t="s">
        <v>227</v>
      </c>
      <c r="B117" s="15" t="s">
        <v>228</v>
      </c>
      <c r="C117" s="27" t="n">
        <v>0.96</v>
      </c>
    </row>
    <row r="118" customFormat="false" ht="139.5" hidden="false" customHeight="true" outlineLevel="0" collapsed="false">
      <c r="A118" s="14" t="s">
        <v>229</v>
      </c>
      <c r="B118" s="15" t="s">
        <v>230</v>
      </c>
      <c r="C118" s="16" t="n">
        <v>6</v>
      </c>
    </row>
    <row r="119" customFormat="false" ht="12.75" hidden="false" customHeight="true" outlineLevel="0" collapsed="false">
      <c r="A119" s="14" t="s">
        <v>231</v>
      </c>
      <c r="B119" s="15" t="s">
        <v>232</v>
      </c>
      <c r="C119" s="16" t="n">
        <v>29</v>
      </c>
    </row>
    <row r="120" customFormat="false" ht="139.5" hidden="false" customHeight="true" outlineLevel="0" collapsed="false">
      <c r="A120" s="14" t="s">
        <v>233</v>
      </c>
      <c r="B120" s="15" t="s">
        <v>234</v>
      </c>
      <c r="C120" s="27" t="n">
        <v>0.01</v>
      </c>
    </row>
    <row r="121" customFormat="false" ht="139.5" hidden="false" customHeight="true" outlineLevel="0" collapsed="false">
      <c r="A121" s="14" t="s">
        <v>235</v>
      </c>
      <c r="B121" s="15" t="s">
        <v>236</v>
      </c>
      <c r="C121" s="27" t="n">
        <v>0.12</v>
      </c>
    </row>
    <row r="122" customFormat="false" ht="12.75" hidden="false" customHeight="true" outlineLevel="0" collapsed="false">
      <c r="A122" s="14" t="s">
        <v>237</v>
      </c>
      <c r="B122" s="15" t="s">
        <v>238</v>
      </c>
      <c r="C122" s="27" t="n">
        <v>0.58</v>
      </c>
    </row>
    <row r="124" customFormat="false" ht="169.5" hidden="false" customHeight="true" outlineLevel="0" collapsed="false">
      <c r="A124" s="37"/>
      <c r="B124" s="37"/>
      <c r="C124" s="37"/>
    </row>
  </sheetData>
  <mergeCells count="3">
    <mergeCell ref="A1:C1"/>
    <mergeCell ref="A2:C2"/>
    <mergeCell ref="A124:C124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G51"/>
  <sheetViews>
    <sheetView showFormulas="false" showGridLines="0" showRowColHeaders="true" showZeros="true" rightToLeft="false" showOutlineSymbols="true" defaultGridColor="true" view="normal" topLeftCell="A36" colorId="64" zoomScale="100" zoomScaleNormal="100" zoomScalePageLayoutView="100" workbookViewId="0">
      <selection pane="topLeft" activeCell="A45" activeCellId="0" sqref="A45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5" min="3" style="0" width="10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5" hidden="false" customHeight="true" outlineLevel="0" collapsed="false">
      <c r="A1" s="38" t="s">
        <v>239</v>
      </c>
      <c r="B1" s="38"/>
      <c r="C1" s="38"/>
      <c r="D1" s="38"/>
      <c r="E1" s="38"/>
      <c r="F1" s="38"/>
      <c r="G1" s="38"/>
    </row>
    <row r="2" customFormat="false" ht="60" hidden="false" customHeight="true" outlineLevel="0" collapsed="false">
      <c r="A2" s="39" t="s">
        <v>240</v>
      </c>
      <c r="B2" s="39"/>
      <c r="C2" s="39"/>
      <c r="D2" s="39"/>
      <c r="E2" s="39"/>
      <c r="F2" s="39"/>
      <c r="G2" s="39"/>
    </row>
    <row r="4" customFormat="false" ht="23.25" hidden="false" customHeight="true" outlineLevel="0" collapsed="false">
      <c r="A4" s="12" t="s">
        <v>2</v>
      </c>
      <c r="B4" s="12" t="s">
        <v>3</v>
      </c>
      <c r="C4" s="12" t="s">
        <v>241</v>
      </c>
      <c r="D4" s="12" t="s">
        <v>242</v>
      </c>
      <c r="E4" s="12" t="s">
        <v>243</v>
      </c>
      <c r="F4" s="12" t="s">
        <v>244</v>
      </c>
      <c r="G4" s="12" t="s">
        <v>245</v>
      </c>
    </row>
    <row r="5" customFormat="false" ht="15" hidden="false" customHeight="true" outlineLevel="0" collapsed="false">
      <c r="A5" s="14" t="s">
        <v>5</v>
      </c>
      <c r="B5" s="15" t="s">
        <v>6</v>
      </c>
      <c r="C5" s="15" t="n">
        <v>7.8</v>
      </c>
      <c r="D5" s="15" t="n">
        <v>1651.2</v>
      </c>
      <c r="E5" s="15" t="n">
        <v>225</v>
      </c>
      <c r="F5" s="40" t="n">
        <v>20</v>
      </c>
      <c r="G5" s="41" t="n">
        <f aca="false">10^(C5-(D5/(F5+E5)))</f>
        <v>11.4923319869191</v>
      </c>
    </row>
    <row r="6" customFormat="false" ht="15" hidden="false" customHeight="true" outlineLevel="0" collapsed="false">
      <c r="A6" s="14" t="s">
        <v>7</v>
      </c>
      <c r="B6" s="15" t="s">
        <v>8</v>
      </c>
      <c r="C6" s="15" t="n">
        <v>7.12</v>
      </c>
      <c r="D6" s="15" t="n">
        <v>1210.6</v>
      </c>
      <c r="E6" s="15" t="n">
        <v>229.66</v>
      </c>
      <c r="F6" s="40" t="n">
        <v>20</v>
      </c>
      <c r="G6" s="41" t="n">
        <f aca="false">10^(C6-(D6/(F6+E6)))</f>
        <v>186.640275693648</v>
      </c>
    </row>
    <row r="7" customFormat="false" ht="15" hidden="false" customHeight="true" outlineLevel="0" collapsed="false">
      <c r="A7" s="14" t="s">
        <v>9</v>
      </c>
      <c r="B7" s="15" t="s">
        <v>10</v>
      </c>
      <c r="C7" s="15" t="n">
        <v>7.24</v>
      </c>
      <c r="D7" s="15" t="n">
        <v>1675.3</v>
      </c>
      <c r="E7" s="15" t="n">
        <v>200</v>
      </c>
      <c r="F7" s="40" t="n">
        <v>20</v>
      </c>
      <c r="G7" s="41" t="n">
        <f aca="false">10^(C7-(D7/(F7+E7)))</f>
        <v>0.421696503428582</v>
      </c>
    </row>
    <row r="8" customFormat="false" ht="15" hidden="false" customHeight="true" outlineLevel="0" collapsed="false">
      <c r="A8" s="14" t="s">
        <v>11</v>
      </c>
      <c r="B8" s="15" t="s">
        <v>12</v>
      </c>
      <c r="C8" s="15" t="n">
        <v>6.90565</v>
      </c>
      <c r="D8" s="15" t="n">
        <v>1211.033</v>
      </c>
      <c r="E8" s="15" t="n">
        <v>220.79</v>
      </c>
      <c r="F8" s="40" t="n">
        <v>20</v>
      </c>
      <c r="G8" s="41" t="n">
        <f aca="false">10^(C8-(D8/(F8+E8)))</f>
        <v>75.2028546776027</v>
      </c>
    </row>
    <row r="9" customFormat="false" ht="15" hidden="false" customHeight="true" outlineLevel="0" collapsed="false">
      <c r="A9" s="14" t="s">
        <v>246</v>
      </c>
      <c r="B9" s="15" t="s">
        <v>247</v>
      </c>
      <c r="C9" s="15" t="n">
        <v>7.82</v>
      </c>
      <c r="D9" s="15" t="n">
        <v>1950.3</v>
      </c>
      <c r="E9" s="15" t="n">
        <v>194.36</v>
      </c>
      <c r="F9" s="40" t="n">
        <v>20</v>
      </c>
      <c r="G9" s="41" t="n">
        <f aca="false">10^(C9-(D9/(F9+E9)))</f>
        <v>0.0526931375140386</v>
      </c>
    </row>
    <row r="10" customFormat="false" ht="15" hidden="false" customHeight="true" outlineLevel="0" collapsed="false">
      <c r="A10" s="14" t="s">
        <v>248</v>
      </c>
      <c r="B10" s="15" t="s">
        <v>249</v>
      </c>
      <c r="C10" s="15" t="n">
        <v>7.25</v>
      </c>
      <c r="D10" s="15" t="n">
        <v>1998.73</v>
      </c>
      <c r="E10" s="15" t="n">
        <v>202.73</v>
      </c>
      <c r="F10" s="40" t="n">
        <v>20</v>
      </c>
      <c r="G10" s="41" t="n">
        <f aca="false">10^(C10-(D10/(F10+E10)))</f>
        <v>0.0188894836758219</v>
      </c>
    </row>
    <row r="11" customFormat="false" ht="15" hidden="false" customHeight="true" outlineLevel="0" collapsed="false">
      <c r="A11" s="14" t="s">
        <v>250</v>
      </c>
      <c r="B11" s="15" t="s">
        <v>251</v>
      </c>
      <c r="C11" s="15" t="n">
        <v>6.84</v>
      </c>
      <c r="D11" s="15" t="n">
        <v>1173.79</v>
      </c>
      <c r="E11" s="15" t="n">
        <v>218.13</v>
      </c>
      <c r="F11" s="40" t="n">
        <v>20</v>
      </c>
      <c r="G11" s="41" t="n">
        <f aca="false">10^(C11-(D11/(F11+E11)))</f>
        <v>81.4332303363487</v>
      </c>
    </row>
    <row r="12" customFormat="false" ht="15" hidden="false" customHeight="true" outlineLevel="0" collapsed="false">
      <c r="A12" s="14" t="s">
        <v>252</v>
      </c>
      <c r="B12" s="15" t="s">
        <v>253</v>
      </c>
      <c r="C12" s="15" t="n">
        <v>6.79</v>
      </c>
      <c r="D12" s="15" t="n">
        <v>1115.57</v>
      </c>
      <c r="E12" s="15" t="n">
        <v>211.31</v>
      </c>
      <c r="F12" s="40" t="n">
        <v>20</v>
      </c>
      <c r="G12" s="41" t="n">
        <f aca="false">10^(C12-(D12/(F12+E12)))</f>
        <v>92.7181683874757</v>
      </c>
    </row>
    <row r="13" customFormat="false" ht="15" hidden="false" customHeight="true" outlineLevel="0" collapsed="false">
      <c r="A13" s="14" t="s">
        <v>13</v>
      </c>
      <c r="B13" s="15" t="s">
        <v>14</v>
      </c>
      <c r="C13" s="15" t="n">
        <v>6.93</v>
      </c>
      <c r="D13" s="15" t="n">
        <v>1242.43</v>
      </c>
      <c r="E13" s="15" t="n">
        <v>230</v>
      </c>
      <c r="F13" s="40" t="n">
        <v>20</v>
      </c>
      <c r="G13" s="41" t="n">
        <f aca="false">10^(C13-(D13/(F13+E13)))</f>
        <v>91.2599024061619</v>
      </c>
    </row>
    <row r="14" customFormat="false" ht="15" hidden="false" customHeight="true" outlineLevel="0" collapsed="false">
      <c r="A14" s="14" t="s">
        <v>15</v>
      </c>
      <c r="B14" s="15" t="s">
        <v>16</v>
      </c>
      <c r="C14" s="15" t="n">
        <v>6.9</v>
      </c>
      <c r="D14" s="15" t="n">
        <v>1163.03</v>
      </c>
      <c r="E14" s="15" t="n">
        <v>227.4</v>
      </c>
      <c r="F14" s="40" t="n">
        <v>20</v>
      </c>
      <c r="G14" s="41" t="n">
        <f aca="false">10^(C14-(D14/(F14+E14)))</f>
        <v>158.120977582379</v>
      </c>
    </row>
    <row r="15" customFormat="false" ht="15" hidden="false" customHeight="true" outlineLevel="0" collapsed="false">
      <c r="A15" s="14" t="s">
        <v>17</v>
      </c>
      <c r="B15" s="15" t="s">
        <v>18</v>
      </c>
      <c r="C15" s="15" t="n">
        <v>6.84</v>
      </c>
      <c r="D15" s="15" t="n">
        <v>1203.53</v>
      </c>
      <c r="E15" s="15" t="n">
        <v>222.86</v>
      </c>
      <c r="F15" s="40" t="n">
        <v>20</v>
      </c>
      <c r="G15" s="41" t="n">
        <f aca="false">10^(C15-(D15/(F15+E15)))</f>
        <v>76.6207744089887</v>
      </c>
    </row>
    <row r="16" customFormat="false" ht="15" hidden="false" customHeight="true" outlineLevel="0" collapsed="false">
      <c r="A16" s="14" t="s">
        <v>41</v>
      </c>
      <c r="B16" s="15" t="s">
        <v>42</v>
      </c>
      <c r="C16" s="15" t="n">
        <v>6.92</v>
      </c>
      <c r="D16" s="15" t="n">
        <v>1538.3</v>
      </c>
      <c r="E16" s="15" t="n">
        <v>200</v>
      </c>
      <c r="F16" s="40" t="n">
        <v>20</v>
      </c>
      <c r="G16" s="41" t="n">
        <f aca="false">10^(C16-(D16/(F16+E16)))</f>
        <v>0.846695541192762</v>
      </c>
    </row>
    <row r="17" customFormat="false" ht="15" hidden="false" customHeight="true" outlineLevel="0" collapsed="false">
      <c r="A17" s="14" t="s">
        <v>45</v>
      </c>
      <c r="B17" s="15" t="s">
        <v>46</v>
      </c>
      <c r="C17" s="15" t="n">
        <v>7.1</v>
      </c>
      <c r="D17" s="15" t="n">
        <v>1244.95</v>
      </c>
      <c r="E17" s="15" t="n">
        <v>217.88</v>
      </c>
      <c r="F17" s="40" t="n">
        <v>20</v>
      </c>
      <c r="G17" s="41" t="n">
        <f aca="false">10^(C17-(D17/(F17+E17)))</f>
        <v>73.5324264002027</v>
      </c>
    </row>
    <row r="18" customFormat="false" ht="15" hidden="false" customHeight="true" outlineLevel="0" collapsed="false">
      <c r="A18" s="14" t="s">
        <v>19</v>
      </c>
      <c r="B18" s="15" t="s">
        <v>20</v>
      </c>
      <c r="C18" s="15" t="n">
        <v>8.04</v>
      </c>
      <c r="D18" s="15" t="n">
        <v>1554.3</v>
      </c>
      <c r="E18" s="15" t="n">
        <v>222.65</v>
      </c>
      <c r="F18" s="40" t="n">
        <v>20</v>
      </c>
      <c r="G18" s="41" t="n">
        <f aca="false">10^(C18-(D18/(F18+E18)))</f>
        <v>43.1000369708685</v>
      </c>
    </row>
    <row r="19" customFormat="false" ht="15" hidden="false" customHeight="true" outlineLevel="0" collapsed="false">
      <c r="A19" s="14" t="s">
        <v>39</v>
      </c>
      <c r="B19" s="15" t="s">
        <v>40</v>
      </c>
      <c r="C19" s="15" t="n">
        <v>6.96</v>
      </c>
      <c r="D19" s="15" t="n">
        <v>1424.26</v>
      </c>
      <c r="E19" s="15" t="n">
        <v>213.21</v>
      </c>
      <c r="F19" s="40" t="n">
        <v>20</v>
      </c>
      <c r="G19" s="41" t="n">
        <f aca="false">10^(C19-(D19/(F19+E19)))</f>
        <v>7.12525612680718</v>
      </c>
    </row>
    <row r="20" customFormat="false" ht="15" hidden="false" customHeight="true" outlineLevel="0" collapsed="false">
      <c r="A20" s="14" t="s">
        <v>254</v>
      </c>
      <c r="B20" s="15" t="s">
        <v>44</v>
      </c>
      <c r="C20" s="15" t="n">
        <v>7.18</v>
      </c>
      <c r="D20" s="15" t="n">
        <v>1358.46</v>
      </c>
      <c r="E20" s="15" t="n">
        <v>232.2</v>
      </c>
      <c r="F20" s="40" t="n">
        <v>20</v>
      </c>
      <c r="G20" s="41" t="n">
        <f aca="false">10^(C20-(D20/(F20+E20)))</f>
        <v>62.1671082265073</v>
      </c>
    </row>
    <row r="21" customFormat="false" ht="15" hidden="false" customHeight="true" outlineLevel="0" collapsed="false">
      <c r="A21" s="14" t="s">
        <v>47</v>
      </c>
      <c r="B21" s="15" t="s">
        <v>48</v>
      </c>
      <c r="C21" s="15" t="n">
        <v>6.94</v>
      </c>
      <c r="D21" s="15" t="n">
        <v>1295.26</v>
      </c>
      <c r="E21" s="15" t="n">
        <v>218</v>
      </c>
      <c r="F21" s="40" t="n">
        <v>20</v>
      </c>
      <c r="G21" s="41" t="n">
        <f aca="false">10^(C21-(D21/(F21+E21)))</f>
        <v>31.4579988656439</v>
      </c>
    </row>
    <row r="22" customFormat="false" ht="15" hidden="false" customHeight="true" outlineLevel="0" collapsed="false">
      <c r="A22" s="14" t="s">
        <v>29</v>
      </c>
      <c r="B22" s="15" t="s">
        <v>30</v>
      </c>
      <c r="C22" s="15" t="n">
        <v>6.9</v>
      </c>
      <c r="D22" s="15" t="n">
        <v>1268.12</v>
      </c>
      <c r="E22" s="15" t="n">
        <v>216.9</v>
      </c>
      <c r="F22" s="40" t="n">
        <v>20</v>
      </c>
      <c r="G22" s="41" t="n">
        <f aca="false">10^(C22-(D22/(F22+E22)))</f>
        <v>35.2390393636106</v>
      </c>
    </row>
    <row r="23" customFormat="false" ht="15" hidden="false" customHeight="true" outlineLevel="0" collapsed="false">
      <c r="A23" s="14" t="s">
        <v>27</v>
      </c>
      <c r="B23" s="15" t="s">
        <v>28</v>
      </c>
      <c r="C23" s="15" t="n">
        <v>6.88</v>
      </c>
      <c r="D23" s="15" t="n">
        <v>1171.53</v>
      </c>
      <c r="E23" s="15" t="n">
        <v>224.37</v>
      </c>
      <c r="F23" s="40" t="n">
        <v>20</v>
      </c>
      <c r="G23" s="41" t="n">
        <f aca="false">10^(C23-(D23/(F23+E23)))</f>
        <v>121.87573746689</v>
      </c>
    </row>
    <row r="24" customFormat="false" ht="15" hidden="false" customHeight="true" outlineLevel="0" collapsed="false">
      <c r="A24" s="14" t="s">
        <v>255</v>
      </c>
      <c r="B24" s="15" t="s">
        <v>32</v>
      </c>
      <c r="C24" s="15" t="n">
        <v>7.9</v>
      </c>
      <c r="D24" s="15" t="n">
        <v>1474.08</v>
      </c>
      <c r="E24" s="15" t="n">
        <v>229.13</v>
      </c>
      <c r="F24" s="40" t="n">
        <v>20</v>
      </c>
      <c r="G24" s="41" t="n">
        <f aca="false">10^(C24-(D24/(F24+E24)))</f>
        <v>96.1809694586872</v>
      </c>
    </row>
    <row r="25" customFormat="false" ht="15" hidden="false" customHeight="true" outlineLevel="0" collapsed="false">
      <c r="A25" s="14" t="s">
        <v>256</v>
      </c>
      <c r="B25" s="15" t="s">
        <v>22</v>
      </c>
      <c r="C25" s="15" t="n">
        <v>7.41</v>
      </c>
      <c r="D25" s="15" t="n">
        <v>1325.9</v>
      </c>
      <c r="E25" s="15" t="n">
        <v>252.6</v>
      </c>
      <c r="F25" s="40" t="n">
        <v>20</v>
      </c>
      <c r="G25" s="41" t="n">
        <f aca="false">10^(C25-(D25/(F25+E25)))</f>
        <v>351.638845244574</v>
      </c>
    </row>
    <row r="26" customFormat="false" ht="15" hidden="false" customHeight="true" outlineLevel="0" collapsed="false">
      <c r="A26" s="14" t="s">
        <v>257</v>
      </c>
      <c r="B26" s="15" t="s">
        <v>34</v>
      </c>
      <c r="C26" s="15" t="n">
        <v>7.06</v>
      </c>
      <c r="D26" s="15" t="n">
        <v>1261.34</v>
      </c>
      <c r="E26" s="15" t="n">
        <v>221.97</v>
      </c>
      <c r="F26" s="40" t="n">
        <v>20</v>
      </c>
      <c r="G26" s="41" t="n">
        <f aca="false">10^(C26-(D26/(F26+E26)))</f>
        <v>70.340431057614</v>
      </c>
    </row>
    <row r="27" customFormat="false" ht="15" hidden="false" customHeight="true" outlineLevel="0" collapsed="false">
      <c r="A27" s="14" t="s">
        <v>53</v>
      </c>
      <c r="B27" s="15" t="s">
        <v>54</v>
      </c>
      <c r="C27" s="15" t="n">
        <v>6.85</v>
      </c>
      <c r="D27" s="15" t="n">
        <v>1064.63</v>
      </c>
      <c r="E27" s="15" t="n">
        <v>232</v>
      </c>
      <c r="F27" s="40" t="n">
        <v>20</v>
      </c>
      <c r="G27" s="41" t="n">
        <f aca="false">10^(C27-(D27/(F27+E27)))</f>
        <v>421.966309727312</v>
      </c>
    </row>
    <row r="28" customFormat="false" ht="15" hidden="false" customHeight="true" outlineLevel="0" collapsed="false">
      <c r="A28" s="14" t="s">
        <v>258</v>
      </c>
      <c r="B28" s="15" t="s">
        <v>259</v>
      </c>
      <c r="C28" s="15" t="n">
        <v>7.14</v>
      </c>
      <c r="D28" s="15" t="n">
        <v>1518.1</v>
      </c>
      <c r="E28" s="15" t="n">
        <v>175</v>
      </c>
      <c r="F28" s="40" t="n">
        <v>20</v>
      </c>
      <c r="G28" s="41" t="n">
        <f aca="false">10^(C28-(D28/(F28+E28)))</f>
        <v>0.226397587597442</v>
      </c>
    </row>
    <row r="29" customFormat="false" ht="15" hidden="false" customHeight="true" outlineLevel="0" collapsed="false">
      <c r="A29" s="14" t="s">
        <v>49</v>
      </c>
      <c r="B29" s="15" t="s">
        <v>50</v>
      </c>
      <c r="C29" s="15" t="n">
        <v>7.72</v>
      </c>
      <c r="D29" s="15" t="n">
        <v>1690</v>
      </c>
      <c r="E29" s="15" t="n">
        <v>210</v>
      </c>
      <c r="F29" s="40" t="n">
        <v>20</v>
      </c>
      <c r="G29" s="41" t="n">
        <f aca="false">10^(C29-(D29/(F29+E29)))</f>
        <v>2.3559925512488</v>
      </c>
    </row>
    <row r="30" customFormat="false" ht="15" hidden="false" customHeight="true" outlineLevel="0" collapsed="false">
      <c r="A30" s="14" t="s">
        <v>23</v>
      </c>
      <c r="B30" s="15" t="s">
        <v>24</v>
      </c>
      <c r="C30" s="15" t="n">
        <v>7.07</v>
      </c>
      <c r="D30" s="15" t="n">
        <v>1304.1</v>
      </c>
      <c r="E30" s="15" t="n">
        <v>210</v>
      </c>
      <c r="F30" s="40" t="n">
        <v>20</v>
      </c>
      <c r="G30" s="41" t="n">
        <f aca="false">10^(C30-(D30/(F30+E30)))</f>
        <v>25.1188643150958</v>
      </c>
    </row>
    <row r="31" customFormat="false" ht="15" hidden="false" customHeight="true" outlineLevel="0" collapsed="false">
      <c r="A31" s="14" t="s">
        <v>35</v>
      </c>
      <c r="B31" s="15" t="s">
        <v>36</v>
      </c>
      <c r="C31" s="15" t="n">
        <v>7.58</v>
      </c>
      <c r="D31" s="15" t="n">
        <v>1882.37</v>
      </c>
      <c r="E31" s="15" t="n">
        <v>255.35</v>
      </c>
      <c r="F31" s="40" t="n">
        <v>20</v>
      </c>
      <c r="G31" s="41" t="n">
        <f aca="false">10^(C31-(D31/(F31+E31)))</f>
        <v>5.54266848020737</v>
      </c>
    </row>
    <row r="32" customFormat="false" ht="15" hidden="false" customHeight="true" outlineLevel="0" collapsed="false">
      <c r="A32" s="14" t="s">
        <v>37</v>
      </c>
      <c r="B32" s="15" t="s">
        <v>38</v>
      </c>
      <c r="C32" s="15" t="n">
        <v>7.02</v>
      </c>
      <c r="D32" s="15" t="n">
        <v>1415.49</v>
      </c>
      <c r="E32" s="15" t="n">
        <v>221</v>
      </c>
      <c r="F32" s="40" t="n">
        <v>20</v>
      </c>
      <c r="G32" s="41" t="n">
        <f aca="false">10^(C32-(D32/(F32+E32)))</f>
        <v>14.0151422590437</v>
      </c>
    </row>
    <row r="33" customFormat="false" ht="15" hidden="false" customHeight="true" outlineLevel="0" collapsed="false">
      <c r="A33" s="14" t="s">
        <v>25</v>
      </c>
      <c r="B33" s="15" t="s">
        <v>26</v>
      </c>
      <c r="C33" s="15" t="n">
        <v>6.95464</v>
      </c>
      <c r="D33" s="15" t="n">
        <v>1344.8</v>
      </c>
      <c r="E33" s="15" t="n">
        <v>219.48</v>
      </c>
      <c r="F33" s="40" t="n">
        <v>20</v>
      </c>
      <c r="G33" s="41" t="n">
        <f aca="false">10^(C33-(D33/(F33+E33)))</f>
        <v>21.8343239464252</v>
      </c>
    </row>
    <row r="34" customFormat="false" ht="15" hidden="false" customHeight="true" outlineLevel="0" collapsed="false">
      <c r="A34" s="14" t="s">
        <v>51</v>
      </c>
      <c r="B34" s="15" t="s">
        <v>52</v>
      </c>
      <c r="C34" s="15" t="n">
        <v>7.21</v>
      </c>
      <c r="D34" s="15" t="n">
        <v>1296.13</v>
      </c>
      <c r="E34" s="15" t="n">
        <v>226.66</v>
      </c>
      <c r="F34" s="40" t="n">
        <v>20</v>
      </c>
      <c r="G34" s="41" t="n">
        <f aca="false">10^(C34-(D34/(F34+E34)))</f>
        <v>90.2146148565452</v>
      </c>
    </row>
    <row r="35" customFormat="false" ht="15" hidden="false" customHeight="true" outlineLevel="0" collapsed="false">
      <c r="A35" s="14" t="s">
        <v>55</v>
      </c>
      <c r="B35" s="15" t="s">
        <v>56</v>
      </c>
      <c r="C35" s="15" t="n">
        <v>7</v>
      </c>
      <c r="D35" s="15" t="n">
        <v>1474.68</v>
      </c>
      <c r="E35" s="15" t="n">
        <v>213.69</v>
      </c>
      <c r="F35" s="40" t="n">
        <v>20</v>
      </c>
      <c r="G35" s="41" t="n">
        <f aca="false">10^(C35-(D35/(F35+E35)))</f>
        <v>4.8931527282207</v>
      </c>
    </row>
    <row r="36" customFormat="false" ht="15" hidden="false" customHeight="true" outlineLevel="0" collapsed="false">
      <c r="A36" s="14" t="s">
        <v>57</v>
      </c>
      <c r="B36" s="15" t="s">
        <v>58</v>
      </c>
      <c r="C36" s="15" t="n">
        <v>7.01</v>
      </c>
      <c r="D36" s="15" t="n">
        <v>1462.27</v>
      </c>
      <c r="E36" s="15" t="n">
        <v>215.11</v>
      </c>
      <c r="F36" s="40" t="n">
        <v>20</v>
      </c>
      <c r="G36" s="41" t="n">
        <f aca="false">10^(C36-(D36/(F36+E36)))</f>
        <v>6.1728500899208</v>
      </c>
    </row>
    <row r="37" customFormat="false" ht="15" hidden="false" customHeight="true" outlineLevel="0" collapsed="false">
      <c r="A37" s="14" t="s">
        <v>59</v>
      </c>
      <c r="B37" s="15" t="s">
        <v>60</v>
      </c>
      <c r="C37" s="15" t="n">
        <v>6.99</v>
      </c>
      <c r="D37" s="15" t="n">
        <v>1453.43</v>
      </c>
      <c r="E37" s="15" t="n">
        <v>215.31</v>
      </c>
      <c r="F37" s="40" t="n">
        <v>20</v>
      </c>
      <c r="G37" s="41" t="n">
        <f aca="false">10^(C37-(D37/(F37+E37)))</f>
        <v>6.50638000412105</v>
      </c>
    </row>
    <row r="38" customFormat="false" ht="15" hidden="false" customHeight="true" outlineLevel="0" collapsed="false">
      <c r="A38" s="14" t="s">
        <v>260</v>
      </c>
      <c r="B38" s="15" t="s">
        <v>261</v>
      </c>
      <c r="C38" s="15" t="n">
        <v>8.037104</v>
      </c>
      <c r="D38" s="15" t="n">
        <v>1705.854</v>
      </c>
      <c r="E38" s="15" t="n">
        <v>230.911</v>
      </c>
      <c r="F38" s="40" t="n">
        <v>20</v>
      </c>
      <c r="G38" s="41" t="n">
        <f aca="false">10^(C38-(D38/(F38+E38)))</f>
        <v>17.316585061041</v>
      </c>
    </row>
    <row r="39" customFormat="false" ht="15" hidden="false" customHeight="true" outlineLevel="0" collapsed="false">
      <c r="A39" s="42"/>
      <c r="B39" s="43"/>
      <c r="C39" s="43"/>
      <c r="D39" s="43"/>
      <c r="E39" s="43"/>
      <c r="F39" s="43"/>
      <c r="G39" s="44"/>
    </row>
    <row r="40" customFormat="false" ht="64.5" hidden="false" customHeight="true" outlineLevel="0" collapsed="false">
      <c r="A40" s="39"/>
      <c r="B40" s="39"/>
      <c r="C40" s="39"/>
      <c r="D40" s="39"/>
      <c r="E40" s="39"/>
      <c r="F40" s="39"/>
      <c r="G40" s="39"/>
    </row>
    <row r="41" customFormat="false" ht="15" hidden="false" customHeight="true" outlineLevel="0" collapsed="false">
      <c r="A41" s="42"/>
      <c r="B41" s="43"/>
      <c r="C41" s="43"/>
      <c r="D41" s="43"/>
      <c r="E41" s="43"/>
      <c r="F41" s="43"/>
      <c r="G41" s="44"/>
    </row>
    <row r="42" customFormat="false" ht="15" hidden="false" customHeight="true" outlineLevel="0" collapsed="false">
      <c r="A42" s="42"/>
      <c r="B42" s="43"/>
      <c r="C42" s="43"/>
      <c r="D42" s="43"/>
      <c r="E42" s="43"/>
      <c r="F42" s="43"/>
      <c r="G42" s="44"/>
    </row>
    <row r="43" customFormat="false" ht="15" hidden="false" customHeight="true" outlineLevel="0" collapsed="false">
      <c r="A43" s="42"/>
      <c r="B43" s="43"/>
      <c r="C43" s="43"/>
      <c r="D43" s="43"/>
      <c r="E43" s="43"/>
      <c r="F43" s="43"/>
      <c r="G43" s="44"/>
    </row>
    <row r="44" customFormat="false" ht="15" hidden="false" customHeight="true" outlineLevel="0" collapsed="false">
      <c r="A44" s="42"/>
      <c r="B44" s="43"/>
      <c r="C44" s="43"/>
      <c r="D44" s="43"/>
      <c r="E44" s="43"/>
      <c r="F44" s="43"/>
      <c r="G44" s="44"/>
    </row>
    <row r="45" customFormat="false" ht="15" hidden="false" customHeight="true" outlineLevel="0" collapsed="false">
      <c r="A45" s="42"/>
      <c r="B45" s="43"/>
      <c r="C45" s="43"/>
      <c r="D45" s="43"/>
      <c r="E45" s="43"/>
      <c r="F45" s="43"/>
      <c r="G45" s="44"/>
    </row>
    <row r="46" customFormat="false" ht="15" hidden="false" customHeight="true" outlineLevel="0" collapsed="false">
      <c r="A46" s="42"/>
      <c r="B46" s="43"/>
      <c r="C46" s="43"/>
      <c r="D46" s="43"/>
      <c r="E46" s="43"/>
      <c r="F46" s="43"/>
      <c r="G46" s="44"/>
    </row>
    <row r="47" customFormat="false" ht="15" hidden="false" customHeight="true" outlineLevel="0" collapsed="false">
      <c r="A47" s="42"/>
      <c r="B47" s="43"/>
      <c r="C47" s="43"/>
      <c r="D47" s="43"/>
      <c r="E47" s="43"/>
      <c r="F47" s="43"/>
      <c r="G47" s="44"/>
    </row>
    <row r="48" customFormat="false" ht="15" hidden="false" customHeight="true" outlineLevel="0" collapsed="false">
      <c r="A48" s="42"/>
      <c r="B48" s="43"/>
      <c r="C48" s="43"/>
      <c r="D48" s="43"/>
      <c r="E48" s="43"/>
      <c r="F48" s="43"/>
      <c r="G48" s="44"/>
    </row>
    <row r="49" customFormat="false" ht="15" hidden="false" customHeight="true" outlineLevel="0" collapsed="false">
      <c r="A49" s="42"/>
      <c r="B49" s="43"/>
      <c r="C49" s="43"/>
      <c r="D49" s="43"/>
      <c r="E49" s="43"/>
      <c r="F49" s="43"/>
      <c r="G49" s="44"/>
    </row>
    <row r="51" customFormat="false" ht="49.5" hidden="false" customHeight="true" outlineLevel="0" collapsed="false">
      <c r="A51" s="45"/>
    </row>
  </sheetData>
  <mergeCells count="3">
    <mergeCell ref="A1:G1"/>
    <mergeCell ref="A2:G2"/>
    <mergeCell ref="A40:G40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/>
  </sheetPr>
  <dimension ref="A1:AR749"/>
  <sheetViews>
    <sheetView showFormulas="false" showGridLines="true" showRowColHeaders="true" showZeros="true" rightToLeft="false" showOutlineSymbols="true" defaultGridColor="true" view="normal" topLeftCell="AG1" colorId="64" zoomScale="69" zoomScaleNormal="69" zoomScalePageLayoutView="100" workbookViewId="0">
      <selection pane="topLeft" activeCell="AN26" activeCellId="0" sqref="AN26"/>
    </sheetView>
  </sheetViews>
  <sheetFormatPr defaultColWidth="10.71484375" defaultRowHeight="12.75" zeroHeight="false" outlineLevelRow="0" outlineLevelCol="0"/>
  <cols>
    <col collapsed="false" customWidth="true" hidden="false" outlineLevel="0" max="1" min="1" style="46" width="14"/>
    <col collapsed="false" customWidth="true" hidden="false" outlineLevel="0" max="2" min="2" style="46" width="19.71"/>
    <col collapsed="false" customWidth="true" hidden="false" outlineLevel="0" max="3" min="3" style="46" width="16.57"/>
    <col collapsed="false" customWidth="true" hidden="false" outlineLevel="0" max="4" min="4" style="46" width="11.57"/>
    <col collapsed="false" customWidth="false" hidden="false" outlineLevel="0" max="5" min="5" style="46" width="10.71"/>
    <col collapsed="false" customWidth="true" hidden="false" outlineLevel="0" max="6" min="6" style="46" width="10.42"/>
    <col collapsed="false" customWidth="true" hidden="false" outlineLevel="0" max="7" min="7" style="47" width="7.57"/>
    <col collapsed="false" customWidth="true" hidden="false" outlineLevel="0" max="8" min="8" style="47" width="10.42"/>
    <col collapsed="false" customWidth="true" hidden="false" outlineLevel="0" max="9" min="9" style="47" width="11.85"/>
    <col collapsed="false" customWidth="true" hidden="false" outlineLevel="0" max="10" min="10" style="47" width="12.57"/>
    <col collapsed="false" customWidth="true" hidden="false" outlineLevel="0" max="11" min="11" style="47" width="10.42"/>
    <col collapsed="false" customWidth="true" hidden="true" outlineLevel="0" max="12" min="12" style="47" width="16.57"/>
    <col collapsed="false" customWidth="true" hidden="true" outlineLevel="0" max="17" min="13" style="47" width="11.43"/>
    <col collapsed="false" customWidth="true" hidden="false" outlineLevel="0" max="18" min="18" style="47" width="0.14"/>
    <col collapsed="false" customWidth="true" hidden="true" outlineLevel="0" max="19" min="19" style="46" width="11.43"/>
    <col collapsed="false" customWidth="true" hidden="true" outlineLevel="0" max="20" min="20" style="48" width="15.71"/>
    <col collapsed="false" customWidth="true" hidden="true" outlineLevel="0" max="21" min="21" style="0" width="11.57"/>
    <col collapsed="false" customWidth="true" hidden="false" outlineLevel="0" max="22" min="22" style="47" width="31.15"/>
    <col collapsed="false" customWidth="true" hidden="true" outlineLevel="0" max="23" min="23" style="0" width="10"/>
    <col collapsed="false" customWidth="true" hidden="true" outlineLevel="0" max="27" min="24" style="0" width="11.57"/>
    <col collapsed="false" customWidth="true" hidden="true" outlineLevel="0" max="28" min="28" style="0" width="13"/>
    <col collapsed="false" customWidth="true" hidden="true" outlineLevel="0" max="29" min="29" style="0" width="12.86"/>
    <col collapsed="false" customWidth="true" hidden="false" outlineLevel="0" max="30" min="30" style="46" width="26.71"/>
    <col collapsed="false" customWidth="true" hidden="false" outlineLevel="0" max="31" min="31" style="46" width="16.29"/>
    <col collapsed="false" customWidth="true" hidden="false" outlineLevel="0" max="32" min="32" style="46" width="14.57"/>
    <col collapsed="false" customWidth="true" hidden="false" outlineLevel="0" max="34" min="33" style="46" width="27.15"/>
    <col collapsed="false" customWidth="true" hidden="false" outlineLevel="0" max="35" min="35" style="48" width="23"/>
    <col collapsed="false" customWidth="true" hidden="false" outlineLevel="0" max="36" min="36" style="48" width="19"/>
    <col collapsed="false" customWidth="true" hidden="false" outlineLevel="0" max="37" min="37" style="48" width="24.71"/>
    <col collapsed="false" customWidth="true" hidden="false" outlineLevel="0" max="38" min="38" style="48" width="31.57"/>
    <col collapsed="false" customWidth="true" hidden="false" outlineLevel="0" max="39" min="39" style="46" width="22.29"/>
    <col collapsed="false" customWidth="true" hidden="false" outlineLevel="0" max="40" min="40" style="46" width="23.29"/>
    <col collapsed="false" customWidth="true" hidden="false" outlineLevel="0" max="41" min="41" style="46" width="27.57"/>
    <col collapsed="false" customWidth="true" hidden="false" outlineLevel="0" max="42" min="42" style="49" width="23.71"/>
  </cols>
  <sheetData>
    <row r="1" customFormat="false" ht="18.75" hidden="false" customHeight="true" outlineLevel="0" collapsed="false">
      <c r="A1" s="50" t="s">
        <v>262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1"/>
      <c r="O1" s="51"/>
      <c r="P1" s="51"/>
      <c r="Q1" s="51"/>
      <c r="R1" s="51"/>
      <c r="S1" s="52" t="s">
        <v>263</v>
      </c>
      <c r="T1" s="52"/>
      <c r="U1" s="52"/>
      <c r="V1" s="53" t="s">
        <v>264</v>
      </c>
      <c r="W1" s="54" t="s">
        <v>265</v>
      </c>
      <c r="X1" s="54"/>
      <c r="Y1" s="54"/>
      <c r="Z1" s="54"/>
      <c r="AA1" s="54"/>
      <c r="AB1" s="54"/>
      <c r="AC1" s="55"/>
      <c r="AD1" s="50" t="s">
        <v>266</v>
      </c>
      <c r="AE1" s="50"/>
      <c r="AF1" s="50"/>
      <c r="AG1" s="50"/>
      <c r="AH1" s="50"/>
      <c r="AI1" s="56" t="s">
        <v>267</v>
      </c>
      <c r="AJ1" s="56"/>
      <c r="AK1" s="56"/>
      <c r="AL1" s="56"/>
      <c r="AM1" s="56"/>
      <c r="AN1" s="56"/>
      <c r="AO1" s="56"/>
      <c r="AP1" s="56"/>
    </row>
    <row r="2" s="63" customFormat="true" ht="60" hidden="false" customHeight="true" outlineLevel="0" collapsed="false">
      <c r="A2" s="57" t="s">
        <v>3</v>
      </c>
      <c r="B2" s="57" t="s">
        <v>268</v>
      </c>
      <c r="C2" s="57" t="s">
        <v>269</v>
      </c>
      <c r="D2" s="57" t="s">
        <v>270</v>
      </c>
      <c r="E2" s="57" t="s">
        <v>271</v>
      </c>
      <c r="F2" s="57" t="s">
        <v>272</v>
      </c>
      <c r="G2" s="58" t="s">
        <v>273</v>
      </c>
      <c r="H2" s="58" t="s">
        <v>274</v>
      </c>
      <c r="I2" s="58" t="s">
        <v>275</v>
      </c>
      <c r="J2" s="58" t="s">
        <v>276</v>
      </c>
      <c r="K2" s="58" t="s">
        <v>277</v>
      </c>
      <c r="L2" s="58"/>
      <c r="M2" s="58" t="s">
        <v>2</v>
      </c>
      <c r="N2" s="58" t="s">
        <v>3</v>
      </c>
      <c r="O2" s="58" t="s">
        <v>270</v>
      </c>
      <c r="P2" s="58" t="s">
        <v>278</v>
      </c>
      <c r="Q2" s="58" t="s">
        <v>3</v>
      </c>
      <c r="R2" s="58" t="s">
        <v>279</v>
      </c>
      <c r="S2" s="57" t="s">
        <v>270</v>
      </c>
      <c r="T2" s="57" t="s">
        <v>280</v>
      </c>
      <c r="U2" s="58" t="s">
        <v>281</v>
      </c>
      <c r="V2" s="53"/>
      <c r="W2" s="55" t="s">
        <v>282</v>
      </c>
      <c r="X2" s="55" t="s">
        <v>283</v>
      </c>
      <c r="Y2" s="55" t="s">
        <v>284</v>
      </c>
      <c r="Z2" s="55" t="s">
        <v>285</v>
      </c>
      <c r="AA2" s="55" t="s">
        <v>286</v>
      </c>
      <c r="AB2" s="59" t="s">
        <v>287</v>
      </c>
      <c r="AC2" s="55" t="s">
        <v>288</v>
      </c>
      <c r="AD2" s="60" t="s">
        <v>289</v>
      </c>
      <c r="AE2" s="57" t="s">
        <v>290</v>
      </c>
      <c r="AF2" s="60" t="s">
        <v>291</v>
      </c>
      <c r="AG2" s="60" t="s">
        <v>292</v>
      </c>
      <c r="AH2" s="61" t="s">
        <v>293</v>
      </c>
      <c r="AI2" s="60" t="s">
        <v>294</v>
      </c>
      <c r="AJ2" s="60" t="s">
        <v>295</v>
      </c>
      <c r="AK2" s="60" t="s">
        <v>296</v>
      </c>
      <c r="AL2" s="57" t="s">
        <v>297</v>
      </c>
      <c r="AM2" s="60" t="s">
        <v>298</v>
      </c>
      <c r="AN2" s="60" t="s">
        <v>299</v>
      </c>
      <c r="AO2" s="60" t="s">
        <v>300</v>
      </c>
      <c r="AP2" s="62" t="s">
        <v>301</v>
      </c>
    </row>
    <row r="3" customFormat="false" ht="12.75" hidden="true" customHeight="true" outlineLevel="0" collapsed="false">
      <c r="A3" s="64"/>
      <c r="B3" s="64"/>
      <c r="C3" s="64"/>
      <c r="D3" s="64"/>
      <c r="E3" s="64"/>
      <c r="F3" s="64"/>
      <c r="G3" s="65"/>
      <c r="H3" s="65"/>
      <c r="I3" s="65"/>
      <c r="J3" s="65"/>
      <c r="K3" s="65"/>
      <c r="L3" s="65"/>
      <c r="M3" s="65" t="s">
        <v>302</v>
      </c>
      <c r="N3" s="65" t="s">
        <v>303</v>
      </c>
      <c r="O3" s="65"/>
      <c r="P3" s="65"/>
      <c r="Q3" s="65" t="s">
        <v>12</v>
      </c>
      <c r="R3" s="65" t="n">
        <v>119.25</v>
      </c>
      <c r="S3" s="64"/>
      <c r="T3" s="66"/>
      <c r="U3" s="67"/>
      <c r="V3" s="65"/>
      <c r="AC3" s="67"/>
      <c r="AD3" s="64"/>
      <c r="AE3" s="64"/>
      <c r="AF3" s="64"/>
      <c r="AG3" s="64"/>
      <c r="AH3" s="68"/>
      <c r="AI3" s="66"/>
      <c r="AJ3" s="66"/>
      <c r="AK3" s="66"/>
      <c r="AL3" s="66"/>
      <c r="AM3" s="69" t="s">
        <v>298</v>
      </c>
      <c r="AN3" s="69" t="s">
        <v>299</v>
      </c>
      <c r="AO3" s="64"/>
      <c r="AP3" s="70" t="s">
        <v>301</v>
      </c>
    </row>
    <row r="4" customFormat="false" ht="12.75" hidden="true" customHeight="true" outlineLevel="0" collapsed="false">
      <c r="A4" s="64"/>
      <c r="B4" s="64"/>
      <c r="C4" s="64"/>
      <c r="D4" s="64"/>
      <c r="E4" s="64"/>
      <c r="F4" s="64"/>
      <c r="G4" s="65"/>
      <c r="H4" s="65"/>
      <c r="I4" s="65"/>
      <c r="J4" s="65"/>
      <c r="K4" s="65"/>
      <c r="L4" s="65"/>
      <c r="M4" s="65" t="s">
        <v>304</v>
      </c>
      <c r="N4" s="65" t="s">
        <v>305</v>
      </c>
      <c r="O4" s="65"/>
      <c r="P4" s="65"/>
      <c r="Q4" s="65" t="s">
        <v>26</v>
      </c>
      <c r="R4" s="65" t="n">
        <v>36.66</v>
      </c>
      <c r="S4" s="64"/>
      <c r="T4" s="66"/>
      <c r="U4" s="67"/>
      <c r="V4" s="65"/>
      <c r="AC4" s="67"/>
      <c r="AD4" s="64"/>
      <c r="AE4" s="64"/>
      <c r="AF4" s="64"/>
      <c r="AG4" s="64"/>
      <c r="AH4" s="64"/>
      <c r="AI4" s="66"/>
      <c r="AJ4" s="66"/>
      <c r="AK4" s="66"/>
      <c r="AL4" s="66"/>
      <c r="AM4" s="69" t="s">
        <v>298</v>
      </c>
      <c r="AN4" s="69" t="s">
        <v>299</v>
      </c>
      <c r="AO4" s="64"/>
      <c r="AP4" s="70" t="s">
        <v>301</v>
      </c>
    </row>
    <row r="5" customFormat="false" ht="12.75" hidden="true" customHeight="true" outlineLevel="0" collapsed="false">
      <c r="A5" s="64"/>
      <c r="B5" s="64"/>
      <c r="C5" s="64"/>
      <c r="D5" s="64"/>
      <c r="E5" s="64"/>
      <c r="F5" s="64"/>
      <c r="G5" s="65"/>
      <c r="H5" s="65"/>
      <c r="I5" s="65"/>
      <c r="J5" s="65"/>
      <c r="K5" s="65"/>
      <c r="L5" s="65"/>
      <c r="M5" s="65" t="s">
        <v>306</v>
      </c>
      <c r="N5" s="65" t="s">
        <v>307</v>
      </c>
      <c r="O5" s="65" t="n">
        <v>0.05</v>
      </c>
      <c r="P5" s="65"/>
      <c r="Q5" s="65"/>
      <c r="R5" s="65"/>
      <c r="S5" s="64"/>
      <c r="T5" s="66"/>
      <c r="U5" s="67"/>
      <c r="V5" s="65"/>
      <c r="AC5" s="67"/>
      <c r="AD5" s="64"/>
      <c r="AE5" s="64"/>
      <c r="AF5" s="64"/>
      <c r="AG5" s="64"/>
      <c r="AH5" s="64"/>
      <c r="AI5" s="66"/>
      <c r="AJ5" s="66"/>
      <c r="AK5" s="66"/>
      <c r="AL5" s="66"/>
      <c r="AM5" s="69" t="s">
        <v>298</v>
      </c>
      <c r="AN5" s="69" t="s">
        <v>299</v>
      </c>
      <c r="AO5" s="64"/>
      <c r="AP5" s="70" t="s">
        <v>301</v>
      </c>
    </row>
    <row r="6" customFormat="false" ht="12.75" hidden="true" customHeight="true" outlineLevel="0" collapsed="false">
      <c r="A6" s="71"/>
      <c r="B6" s="71"/>
      <c r="C6" s="71"/>
      <c r="D6" s="71"/>
      <c r="E6" s="71"/>
      <c r="F6" s="71"/>
      <c r="G6" s="72"/>
      <c r="H6" s="72"/>
      <c r="I6" s="72"/>
      <c r="J6" s="72"/>
      <c r="K6" s="72"/>
      <c r="L6" s="72"/>
      <c r="M6" s="72" t="s">
        <v>5</v>
      </c>
      <c r="N6" s="72" t="s">
        <v>6</v>
      </c>
      <c r="O6" s="72" t="n">
        <v>10</v>
      </c>
      <c r="P6" s="72"/>
      <c r="Q6" s="72"/>
      <c r="R6" s="72"/>
      <c r="S6" s="71"/>
      <c r="T6" s="73"/>
      <c r="U6" s="74"/>
      <c r="V6" s="72"/>
      <c r="AC6" s="67"/>
      <c r="AD6" s="64"/>
      <c r="AE6" s="64"/>
      <c r="AF6" s="64"/>
      <c r="AG6" s="64"/>
      <c r="AH6" s="64"/>
      <c r="AI6" s="66"/>
      <c r="AJ6" s="66"/>
      <c r="AK6" s="66"/>
      <c r="AL6" s="66"/>
      <c r="AM6" s="69" t="s">
        <v>298</v>
      </c>
      <c r="AN6" s="69" t="s">
        <v>299</v>
      </c>
      <c r="AO6" s="64"/>
      <c r="AP6" s="70" t="s">
        <v>301</v>
      </c>
    </row>
    <row r="7" customFormat="false" ht="14.25" hidden="false" customHeight="true" outlineLevel="0" collapsed="false">
      <c r="A7" s="75" t="s">
        <v>308</v>
      </c>
      <c r="B7" s="75" t="s">
        <v>309</v>
      </c>
      <c r="C7" s="75" t="n">
        <v>32.5</v>
      </c>
      <c r="D7" s="75" t="n">
        <v>100</v>
      </c>
      <c r="E7" s="76" t="n">
        <v>72.15</v>
      </c>
      <c r="F7" s="76" t="n">
        <v>145.8</v>
      </c>
      <c r="G7" s="77" t="n">
        <f aca="false">IF(A7="", "", IF(E7="", "", C7/E7))</f>
        <v>0.45045045045045</v>
      </c>
      <c r="H7" s="77" t="n">
        <f aca="false">IF(G7="", "", G7/SUM(G$7:G$14))</f>
        <v>0.404198640811967</v>
      </c>
      <c r="I7" s="78" t="n">
        <f aca="false">IF(H7="", "", H7*F7)</f>
        <v>58.9321618303848</v>
      </c>
      <c r="J7" s="79" t="n">
        <f aca="false">IF(OR(I7="",D7=""), "", (I7*1000000)/(760*D7))</f>
        <v>775.423181978748</v>
      </c>
      <c r="K7" s="80" t="n">
        <f aca="false">IF(J7="", "", J7/SUM(J$7:J$14))</f>
        <v>0.528335935424549</v>
      </c>
      <c r="L7" s="81" t="n">
        <f aca="false">IF(OR(I7="",D7=""), "", I7/D7)</f>
        <v>0.589321618303848</v>
      </c>
      <c r="M7" s="81" t="s">
        <v>107</v>
      </c>
      <c r="N7" s="81" t="s">
        <v>108</v>
      </c>
      <c r="O7" s="81" t="n">
        <v>1</v>
      </c>
      <c r="P7" s="81" t="n">
        <v>78.11</v>
      </c>
      <c r="Q7" s="81"/>
      <c r="R7" s="81"/>
      <c r="S7" s="82"/>
      <c r="T7" s="82"/>
      <c r="U7" s="83" t="str">
        <f aca="false">IF(AND(S7&lt;&gt;"", T7&lt;&gt;""), T7/S7, "")</f>
        <v/>
      </c>
      <c r="V7" s="81" t="str">
        <f aca="false">IF(A7="", "", IF(U7&lt;&gt;"", IF(U7&lt;=0.5, "Banda 1: Ventilación General", IF(U7&lt;=1, "Banda 2: Extracción Local (LEV)", "Banda 3: Aislamiento / HEPA")), IF(J7&lt;&gt;"", IF(J7&lt;=100, "Banda 1: Dilución (ACH)", IF(J7&lt;=10000, "Banda 2: Extracción Local (LEV)", "Banda 3: Encerramiento")), "")))</f>
        <v>Banda 2: Extracción Local (LEV)</v>
      </c>
      <c r="W7" s="84" t="n">
        <v>10</v>
      </c>
      <c r="X7" s="84" t="n">
        <v>8</v>
      </c>
      <c r="Y7" s="84" t="n">
        <v>3</v>
      </c>
      <c r="Z7" s="84" t="n">
        <f aca="false">IF(OR(W7="", X7="", Y7=""), "", W7*X7*Y7)</f>
        <v>240</v>
      </c>
      <c r="AA7" s="84" t="n">
        <v>6</v>
      </c>
      <c r="AB7" s="85" t="n">
        <f aca="false">IF(OR(Z7="", AA7=""), "", Z7*AA7)</f>
        <v>1440</v>
      </c>
      <c r="AC7" s="84" t="n">
        <f aca="false">IF(AB7="", "", AB7*0.5886)</f>
        <v>847.584</v>
      </c>
      <c r="AD7" s="86" t="n">
        <f aca="false">AD$18 * (C7 / 100)</f>
        <v>0.845</v>
      </c>
      <c r="AE7" s="82" t="n">
        <f aca="false">AE$18</f>
        <v>0.85</v>
      </c>
      <c r="AF7" s="82" t="n">
        <f aca="false">AF$18</f>
        <v>5</v>
      </c>
      <c r="AG7" s="87" t="n">
        <f aca="false">IF(OR(AD7="", D7="", E7=""), "", (24450000 * AD7 * IF(AE7="", 1, AE7) * IF(AF7="", 5, AF7)) / (E7 * D7))</f>
        <v>12169.9324324324</v>
      </c>
      <c r="AH7" s="88" t="n">
        <f aca="false">IF(AG7="", "", AG7 * 0.5886)</f>
        <v>7163.22222972973</v>
      </c>
      <c r="AI7" s="89" t="s">
        <v>310</v>
      </c>
      <c r="AJ7" s="89" t="n">
        <v>0.2</v>
      </c>
      <c r="AK7" s="89" t="n">
        <v>1.2</v>
      </c>
      <c r="AL7" s="89" t="n">
        <v>0.5</v>
      </c>
      <c r="AM7" s="90" t="n">
        <f aca="false">IF(OR(AJ7="", AK7="", AL7=""), "", IF(AI7="Campana Simple", AL7 * (10 * (AJ7^2) + AK7) * 3600, IF(AI7="Campana con Pestaña", 0.75 * AL7 * (10 * (AJ7^2) + AK7) * 3600, IF(AI7="Cabina", AL7 * AK7 * 3600, IF(AI7="Campana Elevada", 1.4 * (4 * SQRT(AK7)) * AL7 * AJ7 * 3600, AL7 * (10 * (AJ7^2) + AK7) * 3600)))))</f>
        <v>2160</v>
      </c>
      <c r="AN7" s="90" t="n">
        <f aca="false">IF(AM7="", "", AM7 * 0.5886)</f>
        <v>1271.376</v>
      </c>
      <c r="AO7" s="89" t="n">
        <v>10</v>
      </c>
      <c r="AP7" s="91" t="n">
        <f aca="false">IF(OR(AM7="", AO7=""), "", SQRT((4 * (AM7 / 3600)) / (PI() * AO7)) * 39.3701)</f>
        <v>10.8817113712811</v>
      </c>
    </row>
    <row r="8" customFormat="false" ht="14.25" hidden="false" customHeight="true" outlineLevel="0" collapsed="false">
      <c r="A8" s="75" t="s">
        <v>311</v>
      </c>
      <c r="B8" s="75" t="s">
        <v>312</v>
      </c>
      <c r="C8" s="75" t="n">
        <v>21</v>
      </c>
      <c r="D8" s="75" t="n">
        <v>50</v>
      </c>
      <c r="E8" s="76" t="n">
        <v>88.43</v>
      </c>
      <c r="F8" s="76" t="n">
        <v>62.4</v>
      </c>
      <c r="G8" s="77" t="n">
        <f aca="false">IF(A8="", "", IF(E8="", "", C8/E8))</f>
        <v>0.237475969693543</v>
      </c>
      <c r="H8" s="77" t="n">
        <f aca="false">IF(G8="", "", G8/SUM(G$7:G$14))</f>
        <v>0.213092170469907</v>
      </c>
      <c r="I8" s="78" t="n">
        <f aca="false">IF(H8="", "", H8*F8)</f>
        <v>13.2969514373222</v>
      </c>
      <c r="J8" s="79" t="n">
        <f aca="false">IF(OR(I8="",D8=""), "", (I8*1000000)/(760*D8))</f>
        <v>349.919774666374</v>
      </c>
      <c r="K8" s="80" t="n">
        <f aca="false">IF(J8="", "", J8/SUM(J$7:J$14))</f>
        <v>0.238418447846937</v>
      </c>
      <c r="L8" s="81" t="n">
        <f aca="false">IF(OR(I8="",D8=""), "", I8/D8)</f>
        <v>0.265939028746445</v>
      </c>
      <c r="M8" s="81" t="s">
        <v>107</v>
      </c>
      <c r="N8" s="81" t="s">
        <v>313</v>
      </c>
      <c r="O8" s="81" t="n">
        <v>1</v>
      </c>
      <c r="P8" s="81" t="n">
        <v>78.11</v>
      </c>
      <c r="Q8" s="81"/>
      <c r="R8" s="81"/>
      <c r="S8" s="82"/>
      <c r="T8" s="82"/>
      <c r="U8" s="92" t="str">
        <f aca="false">IF(AND(S8&lt;&gt;"", T8&lt;&gt;""), T8/S8, "")</f>
        <v/>
      </c>
      <c r="V8" s="81" t="str">
        <f aca="false">IF(A8="", "", IF(U8&lt;&gt;"", IF(U8&lt;=0.5, "Banda 1: Ventilación General", IF(U8&lt;=1, "Banda 2: Extracción Local (LEV)", "Banda 3: Aislamiento / HEPA")), IF(J8&lt;&gt;"", IF(J8&lt;=100, "Banda 1: Dilución (ACH)", IF(J8&lt;=10000, "Banda 2: Extracción Local (LEV)", "Banda 3: Encerramiento")), "")))</f>
        <v>Banda 2: Extracción Local (LEV)</v>
      </c>
      <c r="W8" s="84"/>
      <c r="X8" s="84"/>
      <c r="Y8" s="84"/>
      <c r="Z8" s="84"/>
      <c r="AA8" s="84"/>
      <c r="AB8" s="85" t="str">
        <f aca="false">IF(OR(Z8="", AA8=""), "", Z8*AA8)</f>
        <v/>
      </c>
      <c r="AC8" s="84" t="str">
        <f aca="false">IF(AB8="", "", AB8*0.5886)</f>
        <v/>
      </c>
      <c r="AD8" s="86" t="n">
        <f aca="false">AD$18 * (C8 / 100)</f>
        <v>0.546</v>
      </c>
      <c r="AE8" s="82" t="n">
        <f aca="false">AE$18</f>
        <v>0.85</v>
      </c>
      <c r="AF8" s="82" t="n">
        <f aca="false">AF$18</f>
        <v>5</v>
      </c>
      <c r="AG8" s="87" t="n">
        <f aca="false">IF(OR(AD8="", D8="", E8=""), "", (24450000 * AD8 * IF(AE8="", 1, AE8) * IF(AF8="", 5, AF8)) / (E8 * D8))</f>
        <v>12831.8952844057</v>
      </c>
      <c r="AH8" s="88" t="n">
        <f aca="false">IF(AG8="", "", AG8 * 0.5886)</f>
        <v>7552.85356440122</v>
      </c>
      <c r="AI8" s="89"/>
      <c r="AJ8" s="89"/>
      <c r="AK8" s="89"/>
      <c r="AL8" s="89"/>
      <c r="AM8" s="89"/>
      <c r="AN8" s="89"/>
      <c r="AO8" s="89"/>
      <c r="AP8" s="89"/>
    </row>
    <row r="9" customFormat="false" ht="14.25" hidden="false" customHeight="true" outlineLevel="0" collapsed="false">
      <c r="A9" s="75" t="s">
        <v>314</v>
      </c>
      <c r="B9" s="75" t="s">
        <v>315</v>
      </c>
      <c r="C9" s="75" t="n">
        <v>15.8</v>
      </c>
      <c r="D9" s="75" t="n">
        <v>25</v>
      </c>
      <c r="E9" s="76" t="n">
        <v>104.2</v>
      </c>
      <c r="F9" s="76" t="n">
        <v>18.7</v>
      </c>
      <c r="G9" s="77" t="n">
        <f aca="false">IF(A9="", "", IF(E9="", "", C9/E9))</f>
        <v>0.151631477927063</v>
      </c>
      <c r="H9" s="77" t="n">
        <f aca="false">IF(G9="", "", G9/SUM(G$7:G$14))</f>
        <v>0.136062106766992</v>
      </c>
      <c r="I9" s="78" t="n">
        <f aca="false">IF(H9="", "", H9*F9)</f>
        <v>2.54436139654275</v>
      </c>
      <c r="J9" s="79" t="n">
        <f aca="false">IF(OR(I9="",D9=""), "", (I9*1000000)/(760*D9))</f>
        <v>133.913757712776</v>
      </c>
      <c r="K9" s="80" t="n">
        <f aca="false">IF(J9="", "", J9/SUM(J$7:J$14))</f>
        <v>0.0912423720256215</v>
      </c>
      <c r="L9" s="81" t="n">
        <f aca="false">IF(OR(I9="",D9=""), "", I9/D9)</f>
        <v>0.10177445586171</v>
      </c>
      <c r="M9" s="81" t="s">
        <v>107</v>
      </c>
      <c r="N9" s="81" t="s">
        <v>316</v>
      </c>
      <c r="O9" s="81" t="n">
        <v>1</v>
      </c>
      <c r="P9" s="81" t="n">
        <v>78.11</v>
      </c>
      <c r="Q9" s="81"/>
      <c r="R9" s="81"/>
      <c r="S9" s="82"/>
      <c r="T9" s="82"/>
      <c r="U9" s="92" t="str">
        <f aca="false">IF(AND(S9&lt;&gt;"", T9&lt;&gt;""), T9/S9, "")</f>
        <v/>
      </c>
      <c r="V9" s="81" t="str">
        <f aca="false">IF(A9="", "", IF(U9&lt;&gt;"", IF(U9&lt;=0.5, "Banda 1: Ventilación General", IF(U9&lt;=1, "Banda 2: Extracción Local (LEV)", "Banda 3: Aislamiento / HEPA")), IF(J9&lt;&gt;"", IF(J9&lt;=100, "Banda 1: Dilución (ACH)", IF(J9&lt;=10000, "Banda 2: Extracción Local (LEV)", "Banda 3: Encerramiento")), "")))</f>
        <v>Banda 2: Extracción Local (LEV)</v>
      </c>
      <c r="W9" s="84"/>
      <c r="X9" s="84"/>
      <c r="Y9" s="84"/>
      <c r="Z9" s="84"/>
      <c r="AA9" s="84"/>
      <c r="AB9" s="85" t="str">
        <f aca="false">IF(OR(Z9="", AA9=""), "", Z9*AA9)</f>
        <v/>
      </c>
      <c r="AC9" s="84" t="str">
        <f aca="false">IF(AB9="", "", AB9*0.5886)</f>
        <v/>
      </c>
      <c r="AD9" s="86" t="n">
        <f aca="false">AD$18 * (C9 / 100)</f>
        <v>0.4108</v>
      </c>
      <c r="AE9" s="82" t="n">
        <f aca="false">AE$18</f>
        <v>0.85</v>
      </c>
      <c r="AF9" s="82" t="n">
        <f aca="false">AF$18</f>
        <v>5</v>
      </c>
      <c r="AG9" s="87" t="n">
        <f aca="false">IF(OR(AD9="", D9="", E9=""), "", (24450000 * AD9 * IF(AE9="", 1, AE9) * IF(AF9="", 5, AF9)) / (E9 * D9))</f>
        <v>16386.6621880998</v>
      </c>
      <c r="AH9" s="88" t="n">
        <f aca="false">IF(AG9="", "", AG9 * 0.5886)</f>
        <v>9645.18936391555</v>
      </c>
      <c r="AI9" s="89"/>
      <c r="AJ9" s="89"/>
      <c r="AK9" s="89"/>
      <c r="AL9" s="89"/>
      <c r="AM9" s="89"/>
      <c r="AN9" s="89"/>
      <c r="AO9" s="89"/>
      <c r="AP9" s="89"/>
    </row>
    <row r="10" s="1" customFormat="true" ht="14.25" hidden="false" customHeight="true" outlineLevel="0" collapsed="false">
      <c r="A10" s="75" t="s">
        <v>317</v>
      </c>
      <c r="B10" s="75" t="s">
        <v>318</v>
      </c>
      <c r="C10" s="75" t="n">
        <v>12</v>
      </c>
      <c r="D10" s="75" t="n">
        <v>10</v>
      </c>
      <c r="E10" s="76" t="n">
        <v>156.3</v>
      </c>
      <c r="F10" s="76" t="n">
        <v>2.1</v>
      </c>
      <c r="G10" s="93" t="n">
        <f aca="false">IF(A10="", "", IF(E10="", "", C10/E10))</f>
        <v>0.0767754318618042</v>
      </c>
      <c r="H10" s="93" t="n">
        <f aca="false">IF(G10="", "", G10/SUM(G$7:G$14))</f>
        <v>0.0688922059579706</v>
      </c>
      <c r="I10" s="94" t="n">
        <f aca="false">IF(H10="", "", H10*F10)</f>
        <v>0.144673632511738</v>
      </c>
      <c r="J10" s="95" t="n">
        <f aca="false">IF(OR(I10="",D10=""), "", (I10*1000000)/(760*D10))</f>
        <v>19.0360042778603</v>
      </c>
      <c r="K10" s="96" t="n">
        <f aca="false">IF(J10="", "", J10/SUM(J$7:J$14))</f>
        <v>0.0129702146655253</v>
      </c>
      <c r="L10" s="97" t="n">
        <f aca="false">IF(OR(I10="",D10=""), "", I10/D10)</f>
        <v>0.0144673632511738</v>
      </c>
      <c r="M10" s="97" t="s">
        <v>107</v>
      </c>
      <c r="N10" s="97" t="s">
        <v>319</v>
      </c>
      <c r="O10" s="97" t="n">
        <v>1</v>
      </c>
      <c r="P10" s="97" t="n">
        <v>78.11</v>
      </c>
      <c r="Q10" s="97"/>
      <c r="R10" s="97"/>
      <c r="S10" s="98"/>
      <c r="T10" s="98"/>
      <c r="U10" s="83" t="str">
        <f aca="false">IF(AND(S10&lt;&gt;"", T10&lt;&gt;""), T10/S10, "")</f>
        <v/>
      </c>
      <c r="V10" s="97" t="str">
        <f aca="false">IF(A10="", "", IF(U10&lt;&gt;"", IF(U10&lt;=0.5, "Banda 1: Ventilación General", IF(U10&lt;=1, "Banda 2: Extracción Local (LEV)", "Banda 3: Aislamiento / HEPA")), IF(J10&lt;&gt;"", IF(J10&lt;=100, "Banda 1: Dilución (ACH)", IF(J10&lt;=10000, "Banda 2: Extracción Local (LEV)", "Banda 3: Encerramiento")), "")))</f>
        <v>Banda 1: Dilución (ACH)</v>
      </c>
      <c r="W10" s="83"/>
      <c r="X10" s="83"/>
      <c r="Y10" s="83"/>
      <c r="Z10" s="83"/>
      <c r="AA10" s="83"/>
      <c r="AB10" s="99" t="str">
        <f aca="false">IF(OR(Z10="", AA10=""), "", Z10*AA10)</f>
        <v/>
      </c>
      <c r="AC10" s="83" t="str">
        <f aca="false">IF(AB10="", "", AB10*0.5886)</f>
        <v/>
      </c>
      <c r="AD10" s="86" t="n">
        <f aca="false">AD$18 * (C10 / 100)</f>
        <v>0.312</v>
      </c>
      <c r="AE10" s="82" t="n">
        <f aca="false">AE$18</f>
        <v>0.85</v>
      </c>
      <c r="AF10" s="82" t="n">
        <f aca="false">AF$18</f>
        <v>5</v>
      </c>
      <c r="AG10" s="100" t="n">
        <f aca="false">IF(OR(AD10="", D10="", E10=""), "", (24450000 * AD10 * IF(AE10="", 1, AE10) * IF(AF10="", 5, AF10)) / (E10 * D10))</f>
        <v>20742.6103646833</v>
      </c>
      <c r="AH10" s="101" t="n">
        <f aca="false">IF(AG10="", "", AG10 * 0.5886)</f>
        <v>12209.1004606526</v>
      </c>
      <c r="AI10" s="89"/>
      <c r="AJ10" s="89"/>
      <c r="AK10" s="89"/>
      <c r="AL10" s="89"/>
      <c r="AM10" s="89"/>
      <c r="AN10" s="89"/>
      <c r="AO10" s="89"/>
      <c r="AP10" s="89"/>
    </row>
    <row r="11" customFormat="false" ht="14.25" hidden="false" customHeight="true" outlineLevel="0" collapsed="false">
      <c r="A11" s="75" t="s">
        <v>320</v>
      </c>
      <c r="B11" s="75" t="s">
        <v>321</v>
      </c>
      <c r="C11" s="75" t="n">
        <v>8.7</v>
      </c>
      <c r="D11" s="75" t="n">
        <v>75</v>
      </c>
      <c r="E11" s="76" t="n">
        <v>94.85</v>
      </c>
      <c r="F11" s="76" t="n">
        <v>35.6</v>
      </c>
      <c r="G11" s="77" t="n">
        <f aca="false">IF(A11="", "", IF(E11="", "", C11/E11))</f>
        <v>0.091723774380601</v>
      </c>
      <c r="H11" s="77" t="n">
        <f aca="false">IF(G11="", "", G11/SUM(G$7:G$14))</f>
        <v>0.082305667355217</v>
      </c>
      <c r="I11" s="78" t="n">
        <f aca="false">IF(H11="", "", H11*F11)</f>
        <v>2.93008175784573</v>
      </c>
      <c r="J11" s="79" t="n">
        <f aca="false">IF(OR(I11="",D11=""), "", (I11*1000000)/(760*D11))</f>
        <v>51.4049431201005</v>
      </c>
      <c r="K11" s="80" t="n">
        <f aca="false">IF(J11="", "", J11/SUM(J$7:J$14))</f>
        <v>0.0350248475155188</v>
      </c>
      <c r="L11" s="81" t="n">
        <f aca="false">IF(OR(I11="",D11=""), "", I11/D11)</f>
        <v>0.0390677567712764</v>
      </c>
      <c r="M11" s="81" t="s">
        <v>107</v>
      </c>
      <c r="N11" s="81" t="s">
        <v>322</v>
      </c>
      <c r="O11" s="81" t="n">
        <v>1</v>
      </c>
      <c r="P11" s="81" t="n">
        <v>78.11</v>
      </c>
      <c r="Q11" s="81"/>
      <c r="R11" s="81"/>
      <c r="S11" s="82"/>
      <c r="T11" s="82"/>
      <c r="U11" s="92" t="str">
        <f aca="false">IF(AND(S11&lt;&gt;"", T11&lt;&gt;""), T11/S11, "")</f>
        <v/>
      </c>
      <c r="V11" s="81" t="str">
        <f aca="false">IF(A11="", "", IF(U11&lt;&gt;"", IF(U11&lt;=0.5, "Banda 1: Ventilación General", IF(U11&lt;=1, "Banda 2: Extracción Local (LEV)", "Banda 3: Aislamiento / HEPA")), IF(J11&lt;&gt;"", IF(J11&lt;=100, "Banda 1: Dilución (ACH)", IF(J11&lt;=10000, "Banda 2: Extracción Local (LEV)", "Banda 3: Encerramiento")), "")))</f>
        <v>Banda 1: Dilución (ACH)</v>
      </c>
      <c r="W11" s="84"/>
      <c r="X11" s="84"/>
      <c r="Y11" s="84"/>
      <c r="Z11" s="84"/>
      <c r="AA11" s="84"/>
      <c r="AB11" s="85" t="str">
        <f aca="false">IF(OR(Z11="", AA11=""), "", Z11*AA11)</f>
        <v/>
      </c>
      <c r="AC11" s="84" t="str">
        <f aca="false">IF(AB11="", "", AB11*0.5886)</f>
        <v/>
      </c>
      <c r="AD11" s="86" t="n">
        <f aca="false">AD$18 * (C11 / 100)</f>
        <v>0.2262</v>
      </c>
      <c r="AE11" s="82" t="n">
        <f aca="false">AE$18</f>
        <v>0.85</v>
      </c>
      <c r="AF11" s="82" t="n">
        <f aca="false">AF$18</f>
        <v>5</v>
      </c>
      <c r="AG11" s="87" t="n">
        <f aca="false">IF(OR(AD11="", D11="", E11=""), "", (24450000 * AD11 * IF(AE11="", 1, AE11) * IF(AF11="", 5, AF11)) / (E11 * D11))</f>
        <v>3304.16552451239</v>
      </c>
      <c r="AH11" s="88" t="n">
        <f aca="false">IF(AG11="", "", AG11 * 0.5886)</f>
        <v>1944.83182772799</v>
      </c>
      <c r="AI11" s="89"/>
      <c r="AJ11" s="89"/>
      <c r="AK11" s="89"/>
      <c r="AL11" s="89"/>
      <c r="AM11" s="89"/>
      <c r="AN11" s="89"/>
      <c r="AO11" s="89"/>
      <c r="AP11" s="89"/>
    </row>
    <row r="12" customFormat="false" ht="14.25" hidden="false" customHeight="true" outlineLevel="0" collapsed="false">
      <c r="A12" s="75" t="s">
        <v>323</v>
      </c>
      <c r="B12" s="75" t="s">
        <v>324</v>
      </c>
      <c r="C12" s="75" t="n">
        <v>5</v>
      </c>
      <c r="D12" s="75" t="n">
        <v>150</v>
      </c>
      <c r="E12" s="76" t="n">
        <v>67.22</v>
      </c>
      <c r="F12" s="76" t="n">
        <v>210.3</v>
      </c>
      <c r="G12" s="77" t="n">
        <f aca="false">IF(A12="", "", IF(E12="", "", C12/E12))</f>
        <v>0.0743826242189825</v>
      </c>
      <c r="H12" s="77" t="n">
        <f aca="false">IF(G12="", "", G12/SUM(G$7:G$14))</f>
        <v>0.0667450894527349</v>
      </c>
      <c r="I12" s="78" t="n">
        <f aca="false">IF(H12="", "", H12*F12)</f>
        <v>14.0364923119101</v>
      </c>
      <c r="J12" s="79" t="n">
        <f aca="false">IF(OR(I12="",D12=""), "", (I12*1000000)/(760*D12))</f>
        <v>123.127125543071</v>
      </c>
      <c r="K12" s="80" t="n">
        <f aca="false">IF(J12="", "", J12/SUM(J$7:J$14))</f>
        <v>0.0838928814120977</v>
      </c>
      <c r="L12" s="81" t="n">
        <f aca="false">IF(OR(I12="",D12=""), "", I12/D12)</f>
        <v>0.0935766154127343</v>
      </c>
      <c r="M12" s="81" t="s">
        <v>107</v>
      </c>
      <c r="N12" s="81" t="s">
        <v>325</v>
      </c>
      <c r="O12" s="81" t="n">
        <v>1</v>
      </c>
      <c r="P12" s="81" t="n">
        <v>78.11</v>
      </c>
      <c r="Q12" s="81"/>
      <c r="R12" s="81"/>
      <c r="S12" s="82"/>
      <c r="T12" s="82"/>
      <c r="U12" s="92" t="str">
        <f aca="false">IF(AND(S12&lt;&gt;"", T12&lt;&gt;""), T12/S12, "")</f>
        <v/>
      </c>
      <c r="V12" s="81" t="str">
        <f aca="false">IF(A12="", "", IF(U12&lt;&gt;"", IF(U12&lt;=0.5, "Banda 1: Ventilación General", IF(U12&lt;=1, "Banda 2: Extracción Local (LEV)", "Banda 3: Aislamiento / HEPA")), IF(J12&lt;&gt;"", IF(J12&lt;=100, "Banda 1: Dilución (ACH)", IF(J12&lt;=10000, "Banda 2: Extracción Local (LEV)", "Banda 3: Encerramiento")), "")))</f>
        <v>Banda 2: Extracción Local (LEV)</v>
      </c>
      <c r="W12" s="84"/>
      <c r="X12" s="84"/>
      <c r="Y12" s="84"/>
      <c r="Z12" s="84"/>
      <c r="AA12" s="84"/>
      <c r="AB12" s="85" t="str">
        <f aca="false">IF(OR(Z12="", AA12=""), "", Z12*AA12)</f>
        <v/>
      </c>
      <c r="AC12" s="84" t="str">
        <f aca="false">IF(AB12="", "", AB12*0.5886)</f>
        <v/>
      </c>
      <c r="AD12" s="86" t="n">
        <f aca="false">AD$18 * (C12 / 100)</f>
        <v>0.13</v>
      </c>
      <c r="AE12" s="82" t="n">
        <f aca="false">AE$18</f>
        <v>0.85</v>
      </c>
      <c r="AF12" s="82" t="n">
        <f aca="false">AF$18</f>
        <v>5</v>
      </c>
      <c r="AG12" s="87" t="n">
        <f aca="false">IF(OR(AD12="", D12="", E12=""), "", (24450000 * AD12 * IF(AE12="", 1, AE12) * IF(AF12="", 5, AF12)) / (E12 * D12))</f>
        <v>1339.7426361202</v>
      </c>
      <c r="AH12" s="88" t="n">
        <f aca="false">IF(AG12="", "", AG12 * 0.5886)</f>
        <v>788.572515620351</v>
      </c>
      <c r="AI12" s="89"/>
      <c r="AJ12" s="89"/>
      <c r="AK12" s="89"/>
      <c r="AL12" s="89"/>
      <c r="AM12" s="89"/>
      <c r="AN12" s="89"/>
      <c r="AO12" s="89"/>
      <c r="AP12" s="89"/>
    </row>
    <row r="13" customFormat="false" ht="14.25" hidden="false" customHeight="true" outlineLevel="0" collapsed="false">
      <c r="A13" s="75" t="s">
        <v>326</v>
      </c>
      <c r="B13" s="75" t="s">
        <v>327</v>
      </c>
      <c r="C13" s="75" t="n">
        <v>3</v>
      </c>
      <c r="D13" s="75" t="n">
        <v>5</v>
      </c>
      <c r="E13" s="76" t="n">
        <v>180.55</v>
      </c>
      <c r="F13" s="76" t="n">
        <v>0.8</v>
      </c>
      <c r="G13" s="77" t="n">
        <f aca="false">IF(A13="", "", IF(E13="", "", C13/E13))</f>
        <v>0.0166158958737192</v>
      </c>
      <c r="H13" s="77" t="n">
        <f aca="false">IF(G13="", "", G13/SUM(G$7:G$14))</f>
        <v>0.0149097920122276</v>
      </c>
      <c r="I13" s="78" t="n">
        <f aca="false">IF(H13="", "", H13*F13)</f>
        <v>0.0119278336097821</v>
      </c>
      <c r="J13" s="79" t="n">
        <f aca="false">IF(OR(I13="",D13=""), "", (I13*1000000)/(760*D13))</f>
        <v>3.13890358152161</v>
      </c>
      <c r="K13" s="80" t="n">
        <f aca="false">IF(J13="", "", J13/SUM(J$7:J$14))</f>
        <v>0.00213869742160499</v>
      </c>
      <c r="L13" s="81" t="n">
        <f aca="false">IF(OR(I13="",D13=""), "", I13/D13)</f>
        <v>0.00238556672195642</v>
      </c>
      <c r="M13" s="81" t="s">
        <v>107</v>
      </c>
      <c r="N13" s="81" t="s">
        <v>328</v>
      </c>
      <c r="O13" s="81" t="n">
        <v>1</v>
      </c>
      <c r="P13" s="81" t="n">
        <v>78.11</v>
      </c>
      <c r="Q13" s="81"/>
      <c r="R13" s="81"/>
      <c r="S13" s="82"/>
      <c r="T13" s="82"/>
      <c r="U13" s="92" t="str">
        <f aca="false">IF(AND(S13&lt;&gt;"", T13&lt;&gt;""), T13/S13, "")</f>
        <v/>
      </c>
      <c r="V13" s="81" t="str">
        <f aca="false">IF(A13="", "", IF(U13&lt;&gt;"", IF(U13&lt;=0.5, "Banda 1: Ventilación General", IF(U13&lt;=1, "Banda 2: Extracción Local (LEV)", "Banda 3: Aislamiento / HEPA")), IF(J13&lt;&gt;"", IF(J13&lt;=100, "Banda 1: Dilución (ACH)", IF(J13&lt;=10000, "Banda 2: Extracción Local (LEV)", "Banda 3: Encerramiento")), "")))</f>
        <v>Banda 1: Dilución (ACH)</v>
      </c>
      <c r="W13" s="84"/>
      <c r="X13" s="84"/>
      <c r="Y13" s="84"/>
      <c r="Z13" s="84"/>
      <c r="AA13" s="84"/>
      <c r="AB13" s="85" t="str">
        <f aca="false">IF(OR(Z13="", AA13=""), "", Z13*AA13)</f>
        <v/>
      </c>
      <c r="AC13" s="84" t="str">
        <f aca="false">IF(AB13="", "", AB13*0.5886)</f>
        <v/>
      </c>
      <c r="AD13" s="86" t="n">
        <f aca="false">AD$18 * (C13 / 100)</f>
        <v>0.078</v>
      </c>
      <c r="AE13" s="82" t="n">
        <f aca="false">AE$18</f>
        <v>0.85</v>
      </c>
      <c r="AF13" s="82" t="n">
        <f aca="false">AF$18</f>
        <v>5</v>
      </c>
      <c r="AG13" s="87" t="n">
        <f aca="false">IF(OR(AD13="", D13="", E13=""), "", (24450000 * AD13 * IF(AE13="", 1, AE13) * IF(AF13="", 5, AF13)) / (E13 * D13))</f>
        <v>8978.3162558848</v>
      </c>
      <c r="AH13" s="88" t="n">
        <f aca="false">IF(AG13="", "", AG13 * 0.5886)</f>
        <v>5284.63694821379</v>
      </c>
      <c r="AI13" s="89"/>
      <c r="AJ13" s="89"/>
      <c r="AK13" s="89"/>
      <c r="AL13" s="89"/>
      <c r="AM13" s="89"/>
      <c r="AN13" s="89"/>
      <c r="AO13" s="89"/>
      <c r="AP13" s="89"/>
    </row>
    <row r="14" customFormat="false" ht="14.25" hidden="false" customHeight="true" outlineLevel="0" collapsed="false">
      <c r="A14" s="75" t="s">
        <v>329</v>
      </c>
      <c r="B14" s="75" t="s">
        <v>330</v>
      </c>
      <c r="C14" s="75" t="n">
        <v>2</v>
      </c>
      <c r="D14" s="75" t="n">
        <v>20</v>
      </c>
      <c r="E14" s="76" t="n">
        <v>130.1</v>
      </c>
      <c r="F14" s="76" t="n">
        <v>12.9</v>
      </c>
      <c r="G14" s="77" t="n">
        <f aca="false">IF(A14="", "", IF(E14="", "", C14/E14))</f>
        <v>0.0153727901614143</v>
      </c>
      <c r="H14" s="77" t="n">
        <f aca="false">IF(G14="", "", G14/SUM(G$7:G$14))</f>
        <v>0.0137943271729834</v>
      </c>
      <c r="I14" s="78" t="n">
        <f aca="false">IF(H14="", "", H14*F14)</f>
        <v>0.177946820531485</v>
      </c>
      <c r="J14" s="79" t="n">
        <f aca="false">IF(OR(I14="",D14=""), "", (I14*1000000)/(760*D14))</f>
        <v>11.7070276665451</v>
      </c>
      <c r="K14" s="80" t="n">
        <f aca="false">IF(J14="", "", J14/SUM(J$7:J$14))</f>
        <v>0.00797660368814547</v>
      </c>
      <c r="L14" s="81" t="n">
        <f aca="false">IF(OR(I14="",D14=""), "", I14/D14)</f>
        <v>0.00889734102657427</v>
      </c>
      <c r="M14" s="81" t="s">
        <v>107</v>
      </c>
      <c r="N14" s="81" t="s">
        <v>331</v>
      </c>
      <c r="O14" s="81" t="n">
        <v>1</v>
      </c>
      <c r="P14" s="81" t="n">
        <v>78.11</v>
      </c>
      <c r="Q14" s="81"/>
      <c r="R14" s="81"/>
      <c r="S14" s="82"/>
      <c r="T14" s="82"/>
      <c r="U14" s="92" t="str">
        <f aca="false">IF(AND(S14&lt;&gt;"", T14&lt;&gt;""), T14/S14, "")</f>
        <v/>
      </c>
      <c r="V14" s="81" t="str">
        <f aca="false">IF(A14="", "", IF(U14&lt;&gt;"", IF(U14&lt;=0.5, "Banda 1: Ventilación General", IF(U14&lt;=1, "Banda 2: Extracción Local (LEV)", "Banda 3: Aislamiento / HEPA")), IF(J14&lt;&gt;"", IF(J14&lt;=100, "Banda 1: Dilución (ACH)", IF(J14&lt;=10000, "Banda 2: Extracción Local (LEV)", "Banda 3: Encerramiento")), "")))</f>
        <v>Banda 1: Dilución (ACH)</v>
      </c>
      <c r="W14" s="84"/>
      <c r="X14" s="84"/>
      <c r="Y14" s="84"/>
      <c r="Z14" s="84"/>
      <c r="AA14" s="84"/>
      <c r="AB14" s="85" t="str">
        <f aca="false">IF(OR(Z14="", AA14=""), "", Z14*AA14)</f>
        <v/>
      </c>
      <c r="AC14" s="84" t="str">
        <f aca="false">IF(AB14="", "", AB14*0.5886)</f>
        <v/>
      </c>
      <c r="AD14" s="86" t="n">
        <f aca="false">AD$18 * (C14 / 100)</f>
        <v>0.052</v>
      </c>
      <c r="AE14" s="82" t="n">
        <f aca="false">AE$18</f>
        <v>0.85</v>
      </c>
      <c r="AF14" s="82" t="n">
        <f aca="false">AF$18</f>
        <v>5</v>
      </c>
      <c r="AG14" s="87" t="n">
        <f aca="false">IF(OR(AD14="", D14="", E14=""), "", (24450000 * AD14 * IF(AE14="", 1, AE14) * IF(AF14="", 5, AF14)) / (E14 * D14))</f>
        <v>2076.65257494235</v>
      </c>
      <c r="AH14" s="88" t="n">
        <f aca="false">IF(AG14="", "", AG14 * 0.5886)</f>
        <v>1222.31770561107</v>
      </c>
      <c r="AI14" s="89"/>
      <c r="AJ14" s="89"/>
      <c r="AK14" s="89"/>
      <c r="AL14" s="89"/>
      <c r="AM14" s="89"/>
      <c r="AN14" s="89"/>
      <c r="AO14" s="89"/>
      <c r="AP14" s="89"/>
    </row>
    <row r="15" s="112" customFormat="true" ht="15" hidden="false" customHeight="true" outlineLevel="0" collapsed="false">
      <c r="A15" s="102"/>
      <c r="B15" s="102"/>
      <c r="C15" s="102"/>
      <c r="D15" s="102"/>
      <c r="E15" s="102"/>
      <c r="F15" s="102"/>
      <c r="G15" s="103"/>
      <c r="H15" s="103"/>
      <c r="I15" s="103"/>
      <c r="J15" s="103"/>
      <c r="K15" s="103"/>
      <c r="L15" s="103"/>
      <c r="M15" s="103" t="s">
        <v>191</v>
      </c>
      <c r="N15" s="103" t="s">
        <v>332</v>
      </c>
      <c r="O15" s="103"/>
      <c r="P15" s="103"/>
      <c r="Q15" s="103"/>
      <c r="R15" s="103"/>
      <c r="S15" s="102"/>
      <c r="T15" s="104"/>
      <c r="U15" s="105"/>
      <c r="V15" s="103"/>
      <c r="W15" s="105"/>
      <c r="X15" s="105"/>
      <c r="Y15" s="105"/>
      <c r="Z15" s="105"/>
      <c r="AA15" s="105"/>
      <c r="AB15" s="106"/>
      <c r="AC15" s="105"/>
      <c r="AD15" s="107"/>
      <c r="AE15" s="102"/>
      <c r="AF15" s="108"/>
      <c r="AG15" s="109" t="n">
        <f aca="false">SUM(AG7:AG14)</f>
        <v>77829.977261081</v>
      </c>
      <c r="AH15" s="110" t="n">
        <f aca="false">IF(AG15="", "", AG15 * 0.5886)</f>
        <v>45810.7246158723</v>
      </c>
      <c r="AI15" s="104"/>
      <c r="AJ15" s="104"/>
      <c r="AK15" s="104"/>
      <c r="AL15" s="104"/>
      <c r="AM15" s="102"/>
      <c r="AN15" s="102"/>
      <c r="AO15" s="102"/>
      <c r="AP15" s="111"/>
    </row>
    <row r="16" customFormat="false" ht="14.25" hidden="false" customHeight="true" outlineLevel="0" collapsed="false">
      <c r="A16" s="113"/>
      <c r="B16" s="113"/>
      <c r="C16" s="113"/>
      <c r="D16" s="113"/>
      <c r="E16" s="113"/>
      <c r="F16" s="113"/>
      <c r="G16" s="114"/>
      <c r="H16" s="114"/>
      <c r="I16" s="114"/>
      <c r="J16" s="114"/>
      <c r="K16" s="114"/>
      <c r="L16" s="114"/>
      <c r="M16" s="114" t="s">
        <v>333</v>
      </c>
      <c r="N16" s="114" t="s">
        <v>334</v>
      </c>
      <c r="O16" s="114" t="n">
        <v>0.03</v>
      </c>
      <c r="P16" s="114"/>
      <c r="Q16" s="114"/>
      <c r="R16" s="114"/>
      <c r="S16" s="113"/>
      <c r="T16" s="115"/>
      <c r="U16" s="116"/>
      <c r="V16" s="114"/>
      <c r="W16" s="116"/>
      <c r="X16" s="116"/>
      <c r="Y16" s="116"/>
      <c r="Z16" s="116"/>
      <c r="AA16" s="116"/>
      <c r="AB16" s="116"/>
      <c r="AC16" s="116"/>
      <c r="AD16" s="113"/>
      <c r="AE16" s="113"/>
      <c r="AF16" s="113"/>
      <c r="AG16" s="113"/>
      <c r="AH16" s="113"/>
      <c r="AI16" s="115"/>
      <c r="AJ16" s="115"/>
      <c r="AK16" s="115"/>
      <c r="AL16" s="115"/>
      <c r="AM16" s="113"/>
      <c r="AN16" s="113"/>
      <c r="AO16" s="113"/>
      <c r="AP16" s="117"/>
    </row>
    <row r="17" customFormat="false" ht="14.25" hidden="false" customHeight="true" outlineLevel="0" collapsed="false">
      <c r="A17" s="113"/>
      <c r="B17" s="113"/>
      <c r="C17" s="113"/>
      <c r="D17" s="113"/>
      <c r="E17" s="113"/>
      <c r="F17" s="113"/>
      <c r="G17" s="114"/>
      <c r="H17" s="114"/>
      <c r="I17" s="114"/>
      <c r="J17" s="114"/>
      <c r="K17" s="114"/>
      <c r="L17" s="114"/>
      <c r="M17" s="114" t="s">
        <v>189</v>
      </c>
      <c r="N17" s="114" t="s">
        <v>190</v>
      </c>
      <c r="O17" s="114" t="n">
        <v>2</v>
      </c>
      <c r="P17" s="114"/>
      <c r="Q17" s="114"/>
      <c r="R17" s="114"/>
      <c r="S17" s="113"/>
      <c r="T17" s="115"/>
      <c r="U17" s="116"/>
      <c r="V17" s="114"/>
      <c r="W17" s="116"/>
      <c r="X17" s="116"/>
      <c r="Y17" s="116"/>
      <c r="Z17" s="116"/>
      <c r="AA17" s="116"/>
      <c r="AB17" s="116"/>
      <c r="AC17" s="116"/>
      <c r="AD17" s="116" t="s">
        <v>335</v>
      </c>
      <c r="AE17" s="116" t="s">
        <v>336</v>
      </c>
      <c r="AF17" s="116" t="s">
        <v>337</v>
      </c>
      <c r="AG17" s="113"/>
      <c r="AH17" s="113"/>
      <c r="AI17" s="115"/>
      <c r="AJ17" s="115"/>
      <c r="AK17" s="115"/>
      <c r="AL17" s="115"/>
      <c r="AM17" s="113"/>
      <c r="AN17" s="113"/>
      <c r="AO17" s="113"/>
      <c r="AP17" s="117"/>
    </row>
    <row r="18" customFormat="false" ht="14.25" hidden="false" customHeight="true" outlineLevel="0" collapsed="false">
      <c r="A18" s="113"/>
      <c r="B18" s="113"/>
      <c r="C18" s="113"/>
      <c r="D18" s="113"/>
      <c r="E18" s="113"/>
      <c r="F18" s="113"/>
      <c r="G18" s="114"/>
      <c r="H18" s="114"/>
      <c r="I18" s="114"/>
      <c r="J18" s="114"/>
      <c r="K18" s="114"/>
      <c r="L18" s="114"/>
      <c r="M18" s="114" t="s">
        <v>193</v>
      </c>
      <c r="N18" s="114" t="s">
        <v>194</v>
      </c>
      <c r="O18" s="114" t="n">
        <v>2</v>
      </c>
      <c r="P18" s="114"/>
      <c r="Q18" s="114"/>
      <c r="R18" s="114"/>
      <c r="S18" s="113"/>
      <c r="T18" s="115"/>
      <c r="U18" s="116"/>
      <c r="V18" s="114"/>
      <c r="W18" s="116"/>
      <c r="X18" s="116"/>
      <c r="Y18" s="116"/>
      <c r="Z18" s="116"/>
      <c r="AA18" s="116"/>
      <c r="AB18" s="116"/>
      <c r="AC18" s="116"/>
      <c r="AD18" s="118" t="n">
        <v>2.6</v>
      </c>
      <c r="AE18" s="118" t="n">
        <v>0.85</v>
      </c>
      <c r="AF18" s="118" t="n">
        <v>5</v>
      </c>
      <c r="AG18" s="113"/>
      <c r="AH18" s="113"/>
      <c r="AI18" s="115"/>
      <c r="AJ18" s="115"/>
      <c r="AK18" s="115"/>
      <c r="AL18" s="115"/>
      <c r="AM18" s="113"/>
      <c r="AN18" s="113"/>
      <c r="AO18" s="113"/>
      <c r="AP18" s="117"/>
    </row>
    <row r="19" customFormat="false" ht="12.75" hidden="false" customHeight="true" outlineLevel="0" collapsed="false">
      <c r="M19" s="47" t="s">
        <v>338</v>
      </c>
      <c r="N19" s="47" t="s">
        <v>339</v>
      </c>
      <c r="O19" s="47" t="n">
        <v>5</v>
      </c>
    </row>
    <row r="20" customFormat="false" ht="12.75" hidden="false" customHeight="true" outlineLevel="0" collapsed="false">
      <c r="M20" s="47" t="s">
        <v>340</v>
      </c>
      <c r="N20" s="47" t="s">
        <v>341</v>
      </c>
      <c r="O20" s="47" t="n">
        <v>2</v>
      </c>
      <c r="AR20" s="48"/>
    </row>
    <row r="21" customFormat="false" ht="12.75" hidden="false" customHeight="true" outlineLevel="0" collapsed="false">
      <c r="E21" s="119"/>
      <c r="M21" s="47" t="s">
        <v>342</v>
      </c>
      <c r="N21" s="47" t="s">
        <v>343</v>
      </c>
      <c r="O21" s="47" t="n">
        <v>1</v>
      </c>
    </row>
    <row r="22" customFormat="false" ht="12.75" hidden="false" customHeight="true" outlineLevel="0" collapsed="false">
      <c r="M22" s="47" t="s">
        <v>344</v>
      </c>
      <c r="N22" s="47" t="s">
        <v>345</v>
      </c>
      <c r="O22" s="47" t="n">
        <v>0.005</v>
      </c>
    </row>
    <row r="23" customFormat="false" ht="12.75" hidden="false" customHeight="true" outlineLevel="0" collapsed="false">
      <c r="M23" s="47" t="s">
        <v>346</v>
      </c>
      <c r="N23" s="47" t="s">
        <v>347</v>
      </c>
      <c r="O23" s="47" t="n">
        <v>0.05</v>
      </c>
    </row>
    <row r="24" customFormat="false" ht="12.75" hidden="false" customHeight="true" outlineLevel="0" collapsed="false">
      <c r="M24" s="47" t="s">
        <v>348</v>
      </c>
      <c r="N24" s="47" t="s">
        <v>186</v>
      </c>
      <c r="O24" s="47" t="n">
        <v>0.5</v>
      </c>
    </row>
    <row r="25" customFormat="false" ht="12.75" hidden="false" customHeight="true" outlineLevel="0" collapsed="false">
      <c r="M25" s="47" t="s">
        <v>349</v>
      </c>
      <c r="N25" s="47" t="s">
        <v>350</v>
      </c>
      <c r="O25" s="47" t="n">
        <v>0.1</v>
      </c>
    </row>
    <row r="26" customFormat="false" ht="12.75" hidden="false" customHeight="true" outlineLevel="0" collapsed="false">
      <c r="M26" s="47" t="s">
        <v>351</v>
      </c>
      <c r="N26" s="47" t="s">
        <v>352</v>
      </c>
      <c r="O26" s="47" t="n">
        <v>1</v>
      </c>
    </row>
    <row r="27" customFormat="false" ht="12.75" hidden="false" customHeight="true" outlineLevel="0" collapsed="false">
      <c r="M27" s="47" t="s">
        <v>353</v>
      </c>
      <c r="N27" s="47" t="s">
        <v>184</v>
      </c>
      <c r="O27" s="47" t="n">
        <v>1</v>
      </c>
    </row>
    <row r="28" customFormat="false" ht="12.75" hidden="false" customHeight="true" outlineLevel="0" collapsed="false">
      <c r="M28" s="47" t="s">
        <v>354</v>
      </c>
      <c r="N28" s="47" t="s">
        <v>355</v>
      </c>
      <c r="O28" s="47" t="n">
        <v>1</v>
      </c>
    </row>
    <row r="29" customFormat="false" ht="12.75" hidden="false" customHeight="true" outlineLevel="0" collapsed="false">
      <c r="M29" s="47" t="s">
        <v>356</v>
      </c>
      <c r="N29" s="47" t="s">
        <v>357</v>
      </c>
      <c r="O29" s="47" t="n">
        <v>0.5</v>
      </c>
    </row>
    <row r="30" customFormat="false" ht="12.75" hidden="false" customHeight="true" outlineLevel="0" collapsed="false">
      <c r="M30" s="47" t="s">
        <v>358</v>
      </c>
      <c r="N30" s="47" t="s">
        <v>359</v>
      </c>
      <c r="O30" s="47" t="n">
        <v>1</v>
      </c>
    </row>
    <row r="31" customFormat="false" ht="12.75" hidden="false" customHeight="true" outlineLevel="0" collapsed="false">
      <c r="M31" s="47" t="s">
        <v>360</v>
      </c>
      <c r="N31" s="47" t="s">
        <v>361</v>
      </c>
    </row>
    <row r="32" customFormat="false" ht="12.75" hidden="false" customHeight="true" outlineLevel="0" collapsed="false">
      <c r="M32" s="47" t="s">
        <v>362</v>
      </c>
      <c r="N32" s="47" t="s">
        <v>363</v>
      </c>
      <c r="O32" s="47" t="n">
        <v>0.5</v>
      </c>
    </row>
    <row r="33" customFormat="false" ht="12.75" hidden="false" customHeight="true" outlineLevel="0" collapsed="false">
      <c r="M33" s="47" t="s">
        <v>364</v>
      </c>
      <c r="N33" s="47" t="s">
        <v>365</v>
      </c>
      <c r="O33" s="47" t="n">
        <v>0.2</v>
      </c>
    </row>
    <row r="34" customFormat="false" ht="12.75" hidden="false" customHeight="true" outlineLevel="0" collapsed="false">
      <c r="M34" s="47" t="s">
        <v>366</v>
      </c>
      <c r="N34" s="47" t="s">
        <v>367</v>
      </c>
      <c r="O34" s="47" t="n">
        <v>25</v>
      </c>
    </row>
    <row r="35" customFormat="false" ht="12.75" hidden="false" customHeight="true" outlineLevel="0" collapsed="false">
      <c r="M35" s="47" t="s">
        <v>368</v>
      </c>
      <c r="N35" s="47" t="s">
        <v>369</v>
      </c>
      <c r="O35" s="47" t="n">
        <v>10</v>
      </c>
    </row>
    <row r="36" customFormat="false" ht="12.75" hidden="false" customHeight="true" outlineLevel="0" collapsed="false">
      <c r="M36" s="47" t="s">
        <v>370</v>
      </c>
      <c r="N36" s="47" t="s">
        <v>371</v>
      </c>
      <c r="O36" s="47" t="n">
        <v>0.01</v>
      </c>
    </row>
    <row r="37" customFormat="false" ht="12.75" hidden="false" customHeight="true" outlineLevel="0" collapsed="false">
      <c r="M37" s="47" t="s">
        <v>372</v>
      </c>
      <c r="N37" s="47" t="s">
        <v>373</v>
      </c>
      <c r="O37" s="47" t="n">
        <v>10</v>
      </c>
    </row>
    <row r="38" customFormat="false" ht="12.75" hidden="false" customHeight="true" outlineLevel="0" collapsed="false">
      <c r="M38" s="47" t="s">
        <v>374</v>
      </c>
      <c r="N38" s="47" t="s">
        <v>375</v>
      </c>
      <c r="O38" s="47" t="n">
        <v>20</v>
      </c>
    </row>
    <row r="39" customFormat="false" ht="12.75" hidden="false" customHeight="true" outlineLevel="0" collapsed="false">
      <c r="M39" s="47" t="s">
        <v>9</v>
      </c>
      <c r="N39" s="47" t="s">
        <v>10</v>
      </c>
      <c r="O39" s="47" t="n">
        <v>2</v>
      </c>
    </row>
    <row r="40" customFormat="false" ht="12.75" hidden="false" customHeight="true" outlineLevel="0" collapsed="false">
      <c r="M40" s="47" t="s">
        <v>376</v>
      </c>
      <c r="N40" s="47" t="s">
        <v>377</v>
      </c>
      <c r="O40" s="47" t="n">
        <v>0.5</v>
      </c>
    </row>
    <row r="41" customFormat="false" ht="12.75" hidden="false" customHeight="true" outlineLevel="0" collapsed="false">
      <c r="M41" s="47" t="s">
        <v>378</v>
      </c>
      <c r="N41" s="47" t="s">
        <v>379</v>
      </c>
      <c r="O41" s="47" t="n">
        <v>0.5</v>
      </c>
    </row>
    <row r="42" customFormat="false" ht="12.75" hidden="false" customHeight="true" outlineLevel="0" collapsed="false">
      <c r="M42" s="47" t="s">
        <v>380</v>
      </c>
      <c r="N42" s="47" t="s">
        <v>381</v>
      </c>
      <c r="O42" s="47" t="n">
        <v>0.5</v>
      </c>
    </row>
    <row r="43" customFormat="false" ht="12.75" hidden="false" customHeight="true" outlineLevel="0" collapsed="false">
      <c r="M43" s="47" t="s">
        <v>382</v>
      </c>
      <c r="N43" s="47" t="s">
        <v>383</v>
      </c>
      <c r="O43" s="47" t="n">
        <v>0.005</v>
      </c>
    </row>
    <row r="44" customFormat="false" ht="12.75" hidden="false" customHeight="true" outlineLevel="0" collapsed="false">
      <c r="M44" s="47" t="s">
        <v>384</v>
      </c>
      <c r="N44" s="47" t="s">
        <v>385</v>
      </c>
      <c r="O44" s="47" t="n">
        <v>0.02</v>
      </c>
    </row>
    <row r="45" customFormat="false" ht="12.75" hidden="false" customHeight="true" outlineLevel="0" collapsed="false">
      <c r="M45" s="47" t="s">
        <v>386</v>
      </c>
      <c r="N45" s="47" t="s">
        <v>387</v>
      </c>
      <c r="O45" s="47" t="n">
        <v>0.3</v>
      </c>
    </row>
    <row r="46" customFormat="false" ht="12.75" hidden="false" customHeight="true" outlineLevel="0" collapsed="false">
      <c r="M46" s="47" t="s">
        <v>388</v>
      </c>
      <c r="N46" s="47" t="s">
        <v>389</v>
      </c>
    </row>
    <row r="47" customFormat="false" ht="12.75" hidden="false" customHeight="true" outlineLevel="0" collapsed="false">
      <c r="M47" s="47" t="s">
        <v>390</v>
      </c>
      <c r="N47" s="47" t="s">
        <v>391</v>
      </c>
      <c r="O47" s="47" t="n">
        <v>0.01</v>
      </c>
    </row>
    <row r="48" customFormat="false" ht="12.75" hidden="false" customHeight="true" outlineLevel="0" collapsed="false">
      <c r="M48" s="47" t="s">
        <v>392</v>
      </c>
      <c r="N48" s="47" t="s">
        <v>393</v>
      </c>
      <c r="O48" s="47" t="n">
        <v>0.005</v>
      </c>
    </row>
    <row r="49" customFormat="false" ht="12.75" hidden="false" customHeight="true" outlineLevel="0" collapsed="false">
      <c r="M49" s="47" t="s">
        <v>394</v>
      </c>
      <c r="N49" s="47" t="s">
        <v>395</v>
      </c>
      <c r="O49" s="47" t="n">
        <v>0.1</v>
      </c>
    </row>
    <row r="50" customFormat="false" ht="12.75" hidden="false" customHeight="true" outlineLevel="0" collapsed="false">
      <c r="M50" s="47" t="s">
        <v>396</v>
      </c>
      <c r="N50" s="47" t="s">
        <v>397</v>
      </c>
      <c r="O50" s="47" t="n">
        <v>0.5</v>
      </c>
    </row>
    <row r="51" customFormat="false" ht="12.75" hidden="false" customHeight="true" outlineLevel="0" collapsed="false">
      <c r="M51" s="47" t="s">
        <v>398</v>
      </c>
      <c r="N51" s="47" t="s">
        <v>399</v>
      </c>
      <c r="O51" s="47" t="n">
        <v>2</v>
      </c>
    </row>
    <row r="52" customFormat="false" ht="12.75" hidden="false" customHeight="true" outlineLevel="0" collapsed="false">
      <c r="M52" s="47" t="s">
        <v>400</v>
      </c>
      <c r="N52" s="47" t="s">
        <v>401</v>
      </c>
      <c r="O52" s="47" t="n">
        <v>0.2</v>
      </c>
    </row>
    <row r="53" customFormat="false" ht="12.75" hidden="false" customHeight="true" outlineLevel="0" collapsed="false">
      <c r="M53" s="47" t="s">
        <v>402</v>
      </c>
      <c r="N53" s="47" t="s">
        <v>403</v>
      </c>
      <c r="O53" s="47" t="n">
        <v>0.5</v>
      </c>
    </row>
    <row r="54" customFormat="false" ht="12.75" hidden="false" customHeight="true" outlineLevel="0" collapsed="false">
      <c r="M54" s="47" t="s">
        <v>404</v>
      </c>
      <c r="N54" s="47" t="s">
        <v>405</v>
      </c>
      <c r="O54" s="47" t="n">
        <v>5</v>
      </c>
    </row>
    <row r="55" customFormat="false" ht="12.75" hidden="false" customHeight="true" outlineLevel="0" collapsed="false">
      <c r="M55" s="47" t="s">
        <v>406</v>
      </c>
      <c r="N55" s="47" t="s">
        <v>407</v>
      </c>
      <c r="O55" s="47" t="n">
        <v>0.1</v>
      </c>
    </row>
    <row r="56" customFormat="false" ht="12.75" hidden="false" customHeight="true" outlineLevel="0" collapsed="false">
      <c r="M56" s="47" t="s">
        <v>408</v>
      </c>
      <c r="N56" s="47" t="s">
        <v>409</v>
      </c>
      <c r="O56" s="47" t="n">
        <v>1</v>
      </c>
    </row>
    <row r="57" customFormat="false" ht="12.75" hidden="false" customHeight="true" outlineLevel="0" collapsed="false">
      <c r="M57" s="47" t="s">
        <v>410</v>
      </c>
      <c r="N57" s="47" t="s">
        <v>411</v>
      </c>
    </row>
    <row r="58" customFormat="false" ht="12.75" hidden="false" customHeight="true" outlineLevel="0" collapsed="false">
      <c r="M58" s="47" t="s">
        <v>412</v>
      </c>
      <c r="N58" s="47" t="s">
        <v>413</v>
      </c>
      <c r="O58" s="47" t="n">
        <v>0.1</v>
      </c>
    </row>
    <row r="59" customFormat="false" ht="12.75" hidden="false" customHeight="true" outlineLevel="0" collapsed="false">
      <c r="M59" s="47" t="s">
        <v>11</v>
      </c>
      <c r="N59" s="47" t="s">
        <v>12</v>
      </c>
      <c r="O59" s="47" t="n">
        <v>0.02</v>
      </c>
      <c r="P59" s="47" t="n">
        <v>78.11</v>
      </c>
    </row>
    <row r="60" customFormat="false" ht="12.75" hidden="false" customHeight="true" outlineLevel="0" collapsed="false">
      <c r="M60" s="47" t="s">
        <v>414</v>
      </c>
      <c r="N60" s="47" t="s">
        <v>415</v>
      </c>
    </row>
    <row r="61" customFormat="false" ht="12.75" hidden="false" customHeight="true" outlineLevel="0" collapsed="false">
      <c r="M61" s="47" t="s">
        <v>416</v>
      </c>
      <c r="N61" s="47" t="s">
        <v>417</v>
      </c>
    </row>
    <row r="62" customFormat="false" ht="12.75" hidden="false" customHeight="true" outlineLevel="0" collapsed="false">
      <c r="M62" s="47" t="s">
        <v>416</v>
      </c>
      <c r="N62" s="47" t="s">
        <v>418</v>
      </c>
    </row>
    <row r="63" customFormat="false" ht="12.75" hidden="false" customHeight="true" outlineLevel="0" collapsed="false">
      <c r="M63" s="47" t="s">
        <v>419</v>
      </c>
      <c r="N63" s="47" t="s">
        <v>420</v>
      </c>
      <c r="O63" s="47" t="n">
        <v>0.5</v>
      </c>
    </row>
    <row r="64" customFormat="false" ht="12.75" hidden="false" customHeight="true" outlineLevel="0" collapsed="false">
      <c r="M64" s="47" t="s">
        <v>421</v>
      </c>
      <c r="N64" s="47" t="s">
        <v>422</v>
      </c>
      <c r="O64" s="47" t="n">
        <v>2.5</v>
      </c>
    </row>
    <row r="65" customFormat="false" ht="12.75" hidden="false" customHeight="true" outlineLevel="0" collapsed="false">
      <c r="M65" s="47" t="s">
        <v>423</v>
      </c>
      <c r="N65" s="47" t="s">
        <v>424</v>
      </c>
      <c r="O65" s="47" t="n">
        <v>2.5</v>
      </c>
    </row>
    <row r="66" customFormat="false" ht="12.75" hidden="false" customHeight="true" outlineLevel="0" collapsed="false">
      <c r="M66" s="47" t="s">
        <v>425</v>
      </c>
      <c r="N66" s="47" t="s">
        <v>426</v>
      </c>
      <c r="O66" s="47" t="n">
        <v>0.1</v>
      </c>
    </row>
    <row r="67" customFormat="false" ht="12.75" hidden="false" customHeight="true" outlineLevel="0" collapsed="false">
      <c r="M67" s="47" t="s">
        <v>427</v>
      </c>
      <c r="N67" s="47" t="s">
        <v>428</v>
      </c>
    </row>
    <row r="68" customFormat="false" ht="12.75" hidden="false" customHeight="true" outlineLevel="0" collapsed="false">
      <c r="M68" s="47" t="s">
        <v>429</v>
      </c>
      <c r="N68" s="47" t="s">
        <v>430</v>
      </c>
    </row>
    <row r="69" customFormat="false" ht="12.75" hidden="false" customHeight="true" outlineLevel="0" collapsed="false">
      <c r="M69" s="47" t="s">
        <v>431</v>
      </c>
      <c r="N69" s="47" t="s">
        <v>432</v>
      </c>
      <c r="O69" s="47" t="n">
        <v>5</v>
      </c>
    </row>
    <row r="70" customFormat="false" ht="12.75" hidden="false" customHeight="true" outlineLevel="0" collapsed="false">
      <c r="M70" s="47" t="s">
        <v>433</v>
      </c>
      <c r="N70" s="47" t="s">
        <v>434</v>
      </c>
      <c r="O70" s="47" t="n">
        <v>10</v>
      </c>
    </row>
    <row r="71" customFormat="false" ht="12.75" hidden="false" customHeight="true" outlineLevel="0" collapsed="false">
      <c r="M71" s="47" t="s">
        <v>435</v>
      </c>
      <c r="N71" s="47" t="s">
        <v>436</v>
      </c>
      <c r="O71" s="47" t="n">
        <v>1</v>
      </c>
    </row>
    <row r="72" customFormat="false" ht="12.75" hidden="false" customHeight="true" outlineLevel="0" collapsed="false">
      <c r="M72" s="47" t="s">
        <v>437</v>
      </c>
      <c r="N72" s="47" t="s">
        <v>438</v>
      </c>
      <c r="O72" s="47" t="n">
        <v>5E-005</v>
      </c>
    </row>
    <row r="73" customFormat="false" ht="12.75" hidden="false" customHeight="true" outlineLevel="0" collapsed="false">
      <c r="M73" s="47" t="s">
        <v>248</v>
      </c>
      <c r="N73" s="47" t="s">
        <v>249</v>
      </c>
      <c r="O73" s="47" t="n">
        <v>0.2</v>
      </c>
    </row>
    <row r="74" customFormat="false" ht="12.75" hidden="false" customHeight="true" outlineLevel="0" collapsed="false">
      <c r="M74" s="47" t="s">
        <v>439</v>
      </c>
      <c r="O74" s="47" t="n">
        <v>10</v>
      </c>
    </row>
    <row r="75" customFormat="false" ht="12.75" hidden="false" customHeight="true" outlineLevel="0" collapsed="false">
      <c r="M75" s="47" t="s">
        <v>440</v>
      </c>
      <c r="N75" s="47" t="s">
        <v>441</v>
      </c>
      <c r="O75" s="47" t="n">
        <v>5</v>
      </c>
    </row>
    <row r="76" customFormat="false" ht="12.75" hidden="false" customHeight="true" outlineLevel="0" collapsed="false">
      <c r="M76" s="47" t="s">
        <v>442</v>
      </c>
      <c r="N76" s="47" t="s">
        <v>443</v>
      </c>
      <c r="O76" s="47" t="n">
        <v>2</v>
      </c>
    </row>
    <row r="77" customFormat="false" ht="12.75" hidden="false" customHeight="true" outlineLevel="0" collapsed="false">
      <c r="M77" s="47" t="s">
        <v>444</v>
      </c>
      <c r="N77" s="47" t="s">
        <v>445</v>
      </c>
      <c r="O77" s="47" t="n">
        <v>10</v>
      </c>
    </row>
    <row r="78" customFormat="false" ht="12.75" hidden="false" customHeight="true" outlineLevel="0" collapsed="false">
      <c r="M78" s="47" t="s">
        <v>446</v>
      </c>
      <c r="N78" s="47" t="s">
        <v>447</v>
      </c>
    </row>
    <row r="79" customFormat="false" ht="12.75" hidden="false" customHeight="true" outlineLevel="0" collapsed="false">
      <c r="M79" s="47" t="s">
        <v>448</v>
      </c>
      <c r="N79" s="47" t="s">
        <v>449</v>
      </c>
    </row>
    <row r="80" customFormat="false" ht="12.75" hidden="false" customHeight="true" outlineLevel="0" collapsed="false">
      <c r="M80" s="47" t="s">
        <v>450</v>
      </c>
      <c r="N80" s="47" t="n">
        <v>2095581</v>
      </c>
      <c r="O80" s="47" t="n">
        <v>0.1</v>
      </c>
    </row>
    <row r="81" customFormat="false" ht="12.75" hidden="false" customHeight="true" outlineLevel="0" collapsed="false">
      <c r="M81" s="47" t="s">
        <v>451</v>
      </c>
      <c r="N81" s="47" t="s">
        <v>452</v>
      </c>
      <c r="O81" s="47" t="n">
        <v>0.1</v>
      </c>
    </row>
    <row r="82" customFormat="false" ht="12.75" hidden="false" customHeight="true" outlineLevel="0" collapsed="false">
      <c r="M82" s="47" t="s">
        <v>453</v>
      </c>
      <c r="N82" s="47" t="s">
        <v>454</v>
      </c>
      <c r="O82" s="47" t="n">
        <v>10</v>
      </c>
    </row>
    <row r="83" customFormat="false" ht="12.75" hidden="false" customHeight="true" outlineLevel="0" collapsed="false">
      <c r="M83" s="47" t="s">
        <v>455</v>
      </c>
      <c r="N83" s="47" t="s">
        <v>456</v>
      </c>
      <c r="O83" s="47" t="n">
        <v>0.1</v>
      </c>
    </row>
    <row r="84" customFormat="false" ht="12.75" hidden="false" customHeight="true" outlineLevel="0" collapsed="false">
      <c r="M84" s="47" t="s">
        <v>457</v>
      </c>
      <c r="N84" s="47" t="s">
        <v>458</v>
      </c>
      <c r="O84" s="47" t="n">
        <v>0.1</v>
      </c>
    </row>
    <row r="85" customFormat="false" ht="12.75" hidden="false" customHeight="true" outlineLevel="0" collapsed="false">
      <c r="M85" s="47" t="s">
        <v>459</v>
      </c>
      <c r="N85" s="47" t="s">
        <v>196</v>
      </c>
      <c r="O85" s="47" t="n">
        <v>0.5</v>
      </c>
    </row>
    <row r="86" customFormat="false" ht="12.75" hidden="false" customHeight="true" outlineLevel="0" collapsed="false">
      <c r="M86" s="47" t="s">
        <v>460</v>
      </c>
      <c r="N86" s="47" t="s">
        <v>200</v>
      </c>
      <c r="O86" s="47" t="n">
        <v>0.1</v>
      </c>
    </row>
    <row r="87" customFormat="false" ht="12.75" hidden="false" customHeight="true" outlineLevel="0" collapsed="false">
      <c r="M87" s="47" t="s">
        <v>461</v>
      </c>
      <c r="N87" s="47" t="s">
        <v>462</v>
      </c>
      <c r="O87" s="47" t="n">
        <v>0.5</v>
      </c>
    </row>
    <row r="88" customFormat="false" ht="12.75" hidden="false" customHeight="true" outlineLevel="0" collapsed="false">
      <c r="M88" s="47" t="s">
        <v>463</v>
      </c>
      <c r="N88" s="47" t="s">
        <v>464</v>
      </c>
      <c r="O88" s="47" t="n">
        <v>2</v>
      </c>
    </row>
    <row r="89" customFormat="false" ht="12.75" hidden="false" customHeight="true" outlineLevel="0" collapsed="false">
      <c r="M89" s="47" t="s">
        <v>465</v>
      </c>
      <c r="N89" s="47" t="s">
        <v>466</v>
      </c>
    </row>
    <row r="90" customFormat="false" ht="12.75" hidden="false" customHeight="true" outlineLevel="0" collapsed="false">
      <c r="M90" s="47" t="s">
        <v>467</v>
      </c>
      <c r="N90" s="47" t="s">
        <v>64</v>
      </c>
      <c r="O90" s="47" t="n">
        <v>20</v>
      </c>
    </row>
    <row r="91" customFormat="false" ht="12.75" hidden="false" customHeight="true" outlineLevel="0" collapsed="false">
      <c r="M91" s="47" t="s">
        <v>468</v>
      </c>
      <c r="N91" s="47" t="s">
        <v>130</v>
      </c>
      <c r="O91" s="47" t="n">
        <v>100</v>
      </c>
    </row>
    <row r="92" customFormat="false" ht="12.75" hidden="false" customHeight="true" outlineLevel="0" collapsed="false">
      <c r="M92" s="47" t="s">
        <v>469</v>
      </c>
      <c r="N92" s="47" t="s">
        <v>470</v>
      </c>
      <c r="O92" s="47" t="n">
        <v>100</v>
      </c>
    </row>
    <row r="93" customFormat="false" ht="12.75" hidden="false" customHeight="true" outlineLevel="0" collapsed="false">
      <c r="M93" s="47" t="s">
        <v>471</v>
      </c>
      <c r="N93" s="47" t="s">
        <v>472</v>
      </c>
      <c r="O93" s="47" t="n">
        <v>250</v>
      </c>
    </row>
    <row r="94" customFormat="false" ht="12.75" hidden="false" customHeight="true" outlineLevel="0" collapsed="false">
      <c r="M94" s="47" t="s">
        <v>473</v>
      </c>
      <c r="N94" s="47" t="s">
        <v>132</v>
      </c>
      <c r="O94" s="47" t="n">
        <v>20</v>
      </c>
    </row>
    <row r="95" customFormat="false" ht="12.75" hidden="false" customHeight="true" outlineLevel="0" collapsed="false">
      <c r="M95" s="47" t="s">
        <v>474</v>
      </c>
      <c r="N95" s="47" t="s">
        <v>475</v>
      </c>
      <c r="O95" s="47" t="n">
        <v>20</v>
      </c>
    </row>
    <row r="96" customFormat="false" ht="12.75" hidden="false" customHeight="true" outlineLevel="0" collapsed="false">
      <c r="M96" s="47" t="s">
        <v>476</v>
      </c>
      <c r="N96" s="47" t="s">
        <v>477</v>
      </c>
      <c r="O96" s="47" t="n">
        <v>50</v>
      </c>
    </row>
    <row r="97" customFormat="false" ht="12.75" hidden="false" customHeight="true" outlineLevel="0" collapsed="false">
      <c r="M97" s="47" t="s">
        <v>478</v>
      </c>
      <c r="N97" s="47" t="s">
        <v>479</v>
      </c>
      <c r="O97" s="47" t="n">
        <v>2</v>
      </c>
    </row>
    <row r="98" customFormat="false" ht="12.75" hidden="false" customHeight="true" outlineLevel="0" collapsed="false">
      <c r="M98" s="47" t="s">
        <v>480</v>
      </c>
      <c r="N98" s="47" t="s">
        <v>481</v>
      </c>
      <c r="O98" s="47" t="n">
        <v>2</v>
      </c>
    </row>
    <row r="99" customFormat="false" ht="12.75" hidden="false" customHeight="true" outlineLevel="0" collapsed="false">
      <c r="M99" s="47" t="s">
        <v>482</v>
      </c>
      <c r="N99" s="47" t="s">
        <v>483</v>
      </c>
    </row>
    <row r="100" customFormat="false" ht="12.75" hidden="false" customHeight="true" outlineLevel="0" collapsed="false">
      <c r="M100" s="47" t="s">
        <v>484</v>
      </c>
      <c r="N100" s="47" t="n">
        <v>192337</v>
      </c>
      <c r="O100" s="47" t="n">
        <v>3</v>
      </c>
    </row>
    <row r="101" customFormat="false" ht="12.75" hidden="false" customHeight="true" outlineLevel="0" collapsed="false">
      <c r="M101" s="47" t="s">
        <v>485</v>
      </c>
      <c r="N101" s="47" t="s">
        <v>486</v>
      </c>
      <c r="O101" s="47" t="n">
        <v>5</v>
      </c>
    </row>
    <row r="102" customFormat="false" ht="12.75" hidden="false" customHeight="true" outlineLevel="0" collapsed="false">
      <c r="M102" s="47" t="s">
        <v>487</v>
      </c>
      <c r="N102" s="47" t="s">
        <v>488</v>
      </c>
      <c r="O102" s="47" t="n">
        <v>0.5</v>
      </c>
    </row>
    <row r="103" customFormat="false" ht="12.75" hidden="false" customHeight="true" outlineLevel="0" collapsed="false">
      <c r="M103" s="47" t="s">
        <v>489</v>
      </c>
      <c r="N103" s="47" t="s">
        <v>490</v>
      </c>
      <c r="O103" s="47" t="n">
        <v>5</v>
      </c>
    </row>
    <row r="104" customFormat="false" ht="12.75" hidden="false" customHeight="true" outlineLevel="0" collapsed="false">
      <c r="M104" s="47" t="s">
        <v>491</v>
      </c>
      <c r="N104" s="47" t="s">
        <v>492</v>
      </c>
      <c r="O104" s="47" t="n">
        <v>1</v>
      </c>
    </row>
    <row r="105" customFormat="false" ht="12.75" hidden="false" customHeight="true" outlineLevel="0" collapsed="false">
      <c r="M105" s="47" t="s">
        <v>493</v>
      </c>
      <c r="N105" s="47" t="s">
        <v>494</v>
      </c>
      <c r="O105" s="47" t="n">
        <v>0.1</v>
      </c>
    </row>
    <row r="106" customFormat="false" ht="12.75" hidden="false" customHeight="true" outlineLevel="0" collapsed="false">
      <c r="M106" s="47" t="s">
        <v>495</v>
      </c>
      <c r="N106" s="47" t="s">
        <v>496</v>
      </c>
    </row>
    <row r="107" customFormat="false" ht="12.75" hidden="false" customHeight="true" outlineLevel="0" collapsed="false">
      <c r="M107" s="47" t="s">
        <v>497</v>
      </c>
      <c r="N107" s="47" t="s">
        <v>498</v>
      </c>
      <c r="O107" s="47" t="n">
        <v>0.1</v>
      </c>
    </row>
    <row r="108" customFormat="false" ht="12.75" hidden="false" customHeight="true" outlineLevel="0" collapsed="false">
      <c r="M108" s="47" t="s">
        <v>499</v>
      </c>
      <c r="N108" s="47" t="s">
        <v>500</v>
      </c>
      <c r="O108" s="47" t="n">
        <v>0.01</v>
      </c>
    </row>
    <row r="109" customFormat="false" ht="12.75" hidden="false" customHeight="true" outlineLevel="0" collapsed="false">
      <c r="M109" s="47" t="s">
        <v>501</v>
      </c>
      <c r="N109" s="47" t="s">
        <v>502</v>
      </c>
      <c r="O109" s="47" t="n">
        <v>0.001</v>
      </c>
    </row>
    <row r="110" customFormat="false" ht="12.75" hidden="false" customHeight="true" outlineLevel="0" collapsed="false">
      <c r="M110" s="47" t="s">
        <v>503</v>
      </c>
      <c r="N110" s="47" t="s">
        <v>504</v>
      </c>
      <c r="O110" s="47" t="n">
        <v>0.5</v>
      </c>
    </row>
    <row r="111" customFormat="false" ht="12.75" hidden="false" customHeight="true" outlineLevel="0" collapsed="false">
      <c r="M111" s="47" t="s">
        <v>505</v>
      </c>
      <c r="N111" s="47" t="s">
        <v>506</v>
      </c>
      <c r="O111" s="47" t="n">
        <v>5</v>
      </c>
    </row>
    <row r="112" customFormat="false" ht="12.75" hidden="false" customHeight="true" outlineLevel="0" collapsed="false">
      <c r="M112" s="47" t="s">
        <v>507</v>
      </c>
      <c r="N112" s="47" t="s">
        <v>508</v>
      </c>
      <c r="O112" s="47" t="n">
        <v>2</v>
      </c>
    </row>
    <row r="113" customFormat="false" ht="12.75" hidden="false" customHeight="true" outlineLevel="0" collapsed="false">
      <c r="M113" s="47" t="s">
        <v>509</v>
      </c>
      <c r="N113" s="47" t="s">
        <v>510</v>
      </c>
      <c r="O113" s="47" t="n">
        <v>1</v>
      </c>
    </row>
    <row r="114" customFormat="false" ht="12.75" hidden="false" customHeight="true" outlineLevel="0" collapsed="false">
      <c r="M114" s="47" t="s">
        <v>511</v>
      </c>
      <c r="N114" s="47" t="s">
        <v>512</v>
      </c>
      <c r="O114" s="47" t="n">
        <v>10</v>
      </c>
    </row>
    <row r="115" customFormat="false" ht="12.75" hidden="false" customHeight="true" outlineLevel="0" collapsed="false">
      <c r="M115" s="47" t="s">
        <v>513</v>
      </c>
      <c r="N115" s="47" t="s">
        <v>514</v>
      </c>
      <c r="O115" s="47" t="n">
        <v>2</v>
      </c>
    </row>
    <row r="116" customFormat="false" ht="12.75" hidden="false" customHeight="true" outlineLevel="0" collapsed="false">
      <c r="M116" s="47" t="s">
        <v>515</v>
      </c>
      <c r="N116" s="47" t="s">
        <v>516</v>
      </c>
      <c r="O116" s="47" t="n">
        <v>5</v>
      </c>
    </row>
    <row r="117" customFormat="false" ht="12.75" hidden="false" customHeight="true" outlineLevel="0" collapsed="false">
      <c r="M117" s="47" t="s">
        <v>517</v>
      </c>
      <c r="N117" s="47" t="n">
        <v>191906</v>
      </c>
      <c r="O117" s="47" t="n">
        <v>0.1</v>
      </c>
    </row>
    <row r="118" customFormat="false" ht="12.75" hidden="false" customHeight="true" outlineLevel="0" collapsed="false">
      <c r="M118" s="47" t="s">
        <v>518</v>
      </c>
      <c r="N118" s="47" t="s">
        <v>519</v>
      </c>
      <c r="O118" s="47" t="n">
        <v>5</v>
      </c>
    </row>
    <row r="119" customFormat="false" ht="12.75" hidden="false" customHeight="true" outlineLevel="0" collapsed="false">
      <c r="M119" s="47" t="s">
        <v>520</v>
      </c>
      <c r="N119" s="47" t="s">
        <v>521</v>
      </c>
      <c r="O119" s="47" t="n">
        <v>0.5</v>
      </c>
    </row>
    <row r="120" customFormat="false" ht="12.75" hidden="false" customHeight="true" outlineLevel="0" collapsed="false">
      <c r="M120" s="47" t="s">
        <v>522</v>
      </c>
      <c r="N120" s="47" t="s">
        <v>523</v>
      </c>
      <c r="O120" s="47" t="n">
        <v>0.1</v>
      </c>
    </row>
    <row r="121" customFormat="false" ht="12.75" hidden="false" customHeight="true" outlineLevel="0" collapsed="false">
      <c r="M121" s="47" t="s">
        <v>524</v>
      </c>
      <c r="N121" s="47" t="s">
        <v>525</v>
      </c>
      <c r="O121" s="47" t="n">
        <v>3</v>
      </c>
    </row>
    <row r="122" customFormat="false" ht="12.75" hidden="false" customHeight="true" outlineLevel="0" collapsed="false">
      <c r="M122" s="47" t="s">
        <v>526</v>
      </c>
      <c r="N122" s="47" t="s">
        <v>527</v>
      </c>
      <c r="O122" s="47" t="n">
        <v>5</v>
      </c>
    </row>
    <row r="123" customFormat="false" ht="12.75" hidden="false" customHeight="true" outlineLevel="0" collapsed="false">
      <c r="M123" s="47" t="s">
        <v>528</v>
      </c>
      <c r="N123" s="47" t="s">
        <v>136</v>
      </c>
      <c r="O123" s="47" t="n">
        <v>1</v>
      </c>
    </row>
    <row r="124" customFormat="false" ht="12.75" hidden="false" customHeight="true" outlineLevel="0" collapsed="false">
      <c r="M124" s="47" t="s">
        <v>529</v>
      </c>
      <c r="N124" s="47" t="s">
        <v>530</v>
      </c>
      <c r="O124" s="47" t="n">
        <v>25</v>
      </c>
    </row>
    <row r="125" customFormat="false" ht="12.75" hidden="false" customHeight="true" outlineLevel="0" collapsed="false">
      <c r="M125" s="47" t="s">
        <v>531</v>
      </c>
      <c r="N125" s="47" t="s">
        <v>532</v>
      </c>
      <c r="O125" s="47" t="n">
        <v>0.1</v>
      </c>
    </row>
    <row r="126" customFormat="false" ht="12.75" hidden="false" customHeight="true" outlineLevel="0" collapsed="false">
      <c r="M126" s="47" t="s">
        <v>13</v>
      </c>
      <c r="N126" s="47" t="s">
        <v>14</v>
      </c>
      <c r="O126" s="47" t="n">
        <v>5</v>
      </c>
    </row>
    <row r="127" customFormat="false" ht="12.75" hidden="false" customHeight="true" outlineLevel="0" collapsed="false">
      <c r="M127" s="47" t="s">
        <v>533</v>
      </c>
      <c r="N127" s="47" t="s">
        <v>534</v>
      </c>
      <c r="O127" s="47" t="n">
        <v>2</v>
      </c>
    </row>
    <row r="128" customFormat="false" ht="12.75" hidden="false" customHeight="true" outlineLevel="0" collapsed="false">
      <c r="M128" s="47" t="s">
        <v>535</v>
      </c>
      <c r="N128" s="47" t="s">
        <v>536</v>
      </c>
      <c r="O128" s="47" t="n">
        <v>5</v>
      </c>
    </row>
    <row r="129" customFormat="false" ht="12.75" hidden="false" customHeight="true" outlineLevel="0" collapsed="false">
      <c r="M129" s="47" t="s">
        <v>537</v>
      </c>
      <c r="N129" s="47" t="s">
        <v>538</v>
      </c>
      <c r="O129" s="47" t="n">
        <v>1</v>
      </c>
    </row>
    <row r="130" customFormat="false" ht="12.75" hidden="false" customHeight="true" outlineLevel="0" collapsed="false">
      <c r="M130" s="47" t="s">
        <v>539</v>
      </c>
      <c r="N130" s="47" t="s">
        <v>540</v>
      </c>
      <c r="O130" s="47" t="n">
        <v>5</v>
      </c>
    </row>
    <row r="131" customFormat="false" ht="12.75" hidden="false" customHeight="true" outlineLevel="0" collapsed="false">
      <c r="M131" s="47" t="s">
        <v>541</v>
      </c>
      <c r="N131" s="47" t="s">
        <v>542</v>
      </c>
      <c r="O131" s="47" t="n">
        <v>10</v>
      </c>
    </row>
    <row r="132" customFormat="false" ht="12.75" hidden="false" customHeight="true" outlineLevel="0" collapsed="false">
      <c r="M132" s="47" t="s">
        <v>543</v>
      </c>
      <c r="N132" s="47" t="s">
        <v>544</v>
      </c>
      <c r="O132" s="47" t="n">
        <v>2</v>
      </c>
    </row>
    <row r="133" customFormat="false" ht="12.75" hidden="false" customHeight="true" outlineLevel="0" collapsed="false">
      <c r="M133" s="47" t="s">
        <v>545</v>
      </c>
      <c r="N133" s="47" t="s">
        <v>546</v>
      </c>
      <c r="O133" s="47" t="n">
        <v>0.5</v>
      </c>
    </row>
    <row r="134" customFormat="false" ht="12.75" hidden="false" customHeight="true" outlineLevel="0" collapsed="false">
      <c r="M134" s="47" t="s">
        <v>547</v>
      </c>
      <c r="N134" s="47" t="s">
        <v>548</v>
      </c>
      <c r="O134" s="47" t="n">
        <v>0.5</v>
      </c>
    </row>
    <row r="135" customFormat="false" ht="12.75" hidden="false" customHeight="true" outlineLevel="0" collapsed="false">
      <c r="M135" s="47" t="s">
        <v>549</v>
      </c>
      <c r="N135" s="47" t="s">
        <v>550</v>
      </c>
      <c r="O135" s="47" t="n">
        <v>0.5</v>
      </c>
    </row>
    <row r="136" customFormat="false" ht="12.75" hidden="false" customHeight="true" outlineLevel="0" collapsed="false">
      <c r="M136" s="47" t="s">
        <v>551</v>
      </c>
      <c r="N136" s="47" t="s">
        <v>552</v>
      </c>
      <c r="O136" s="47" t="n">
        <v>0.1</v>
      </c>
    </row>
    <row r="137" customFormat="false" ht="12.75" hidden="false" customHeight="true" outlineLevel="0" collapsed="false">
      <c r="M137" s="47" t="s">
        <v>553</v>
      </c>
      <c r="N137" s="47" t="s">
        <v>554</v>
      </c>
    </row>
    <row r="138" customFormat="false" ht="12.75" hidden="false" customHeight="true" outlineLevel="0" collapsed="false">
      <c r="M138" s="47" t="s">
        <v>555</v>
      </c>
      <c r="N138" s="47" t="s">
        <v>556</v>
      </c>
    </row>
    <row r="139" customFormat="false" ht="12.75" hidden="false" customHeight="true" outlineLevel="0" collapsed="false">
      <c r="M139" s="47" t="s">
        <v>557</v>
      </c>
      <c r="N139" s="47" t="s">
        <v>558</v>
      </c>
    </row>
    <row r="140" customFormat="false" ht="12.75" hidden="false" customHeight="true" outlineLevel="0" collapsed="false">
      <c r="M140" s="47" t="s">
        <v>559</v>
      </c>
      <c r="N140" s="47" t="s">
        <v>560</v>
      </c>
    </row>
    <row r="141" customFormat="false" ht="12.75" hidden="false" customHeight="true" outlineLevel="0" collapsed="false">
      <c r="M141" s="47" t="s">
        <v>561</v>
      </c>
      <c r="N141" s="47" t="s">
        <v>562</v>
      </c>
      <c r="O141" s="47" t="n">
        <v>0.05</v>
      </c>
    </row>
    <row r="142" customFormat="false" ht="12.75" hidden="false" customHeight="true" outlineLevel="0" collapsed="false">
      <c r="M142" s="47" t="s">
        <v>563</v>
      </c>
      <c r="N142" s="47" t="s">
        <v>564</v>
      </c>
      <c r="O142" s="47" t="n">
        <v>0.05</v>
      </c>
    </row>
    <row r="143" customFormat="false" ht="12.75" hidden="false" customHeight="true" outlineLevel="0" collapsed="false">
      <c r="M143" s="47" t="s">
        <v>81</v>
      </c>
      <c r="N143" s="47" t="s">
        <v>82</v>
      </c>
      <c r="O143" s="47" t="n">
        <v>10</v>
      </c>
    </row>
    <row r="144" customFormat="false" ht="12.75" hidden="false" customHeight="true" outlineLevel="0" collapsed="false">
      <c r="M144" s="47" t="s">
        <v>565</v>
      </c>
      <c r="N144" s="47" t="s">
        <v>566</v>
      </c>
    </row>
    <row r="145" customFormat="false" ht="12.75" hidden="false" customHeight="true" outlineLevel="0" collapsed="false">
      <c r="M145" s="47" t="s">
        <v>567</v>
      </c>
      <c r="N145" s="47" t="s">
        <v>568</v>
      </c>
      <c r="O145" s="47" t="n">
        <v>200</v>
      </c>
    </row>
    <row r="146" customFormat="false" ht="12.75" hidden="false" customHeight="true" outlineLevel="0" collapsed="false">
      <c r="M146" s="47" t="s">
        <v>569</v>
      </c>
      <c r="N146" s="47" t="s">
        <v>570</v>
      </c>
      <c r="O146" s="47" t="n">
        <v>1</v>
      </c>
    </row>
    <row r="147" customFormat="false" ht="12.75" hidden="false" customHeight="true" outlineLevel="0" collapsed="false">
      <c r="M147" s="47" t="s">
        <v>571</v>
      </c>
      <c r="N147" s="47" t="s">
        <v>572</v>
      </c>
      <c r="O147" s="47" t="n">
        <v>1</v>
      </c>
    </row>
    <row r="148" customFormat="false" ht="12.75" hidden="false" customHeight="true" outlineLevel="0" collapsed="false">
      <c r="M148" s="47" t="s">
        <v>573</v>
      </c>
      <c r="N148" s="47" t="s">
        <v>574</v>
      </c>
      <c r="O148" s="47" t="n">
        <v>0.5</v>
      </c>
    </row>
    <row r="149" customFormat="false" ht="12.75" hidden="false" customHeight="true" outlineLevel="0" collapsed="false">
      <c r="M149" s="47" t="s">
        <v>15</v>
      </c>
      <c r="N149" s="47" t="s">
        <v>16</v>
      </c>
      <c r="O149" s="47" t="n">
        <v>10</v>
      </c>
    </row>
    <row r="150" customFormat="false" ht="12.75" hidden="false" customHeight="true" outlineLevel="0" collapsed="false">
      <c r="M150" s="47" t="s">
        <v>575</v>
      </c>
      <c r="N150" s="47" t="s">
        <v>576</v>
      </c>
      <c r="O150" s="47" t="n">
        <v>0.001</v>
      </c>
    </row>
    <row r="151" customFormat="false" ht="12.75" hidden="false" customHeight="true" outlineLevel="0" collapsed="false">
      <c r="M151" s="47" t="s">
        <v>577</v>
      </c>
      <c r="N151" s="47" t="s">
        <v>578</v>
      </c>
    </row>
    <row r="152" customFormat="false" ht="12.75" hidden="false" customHeight="true" outlineLevel="0" collapsed="false">
      <c r="M152" s="47" t="s">
        <v>579</v>
      </c>
      <c r="N152" s="47" t="s">
        <v>230</v>
      </c>
      <c r="O152" s="47" t="n">
        <v>2</v>
      </c>
    </row>
    <row r="153" customFormat="false" ht="12.75" hidden="false" customHeight="true" outlineLevel="0" collapsed="false">
      <c r="M153" s="47" t="s">
        <v>580</v>
      </c>
      <c r="N153" s="47" t="s">
        <v>581</v>
      </c>
      <c r="O153" s="47" t="n">
        <v>1</v>
      </c>
    </row>
    <row r="154" customFormat="false" ht="12.75" hidden="false" customHeight="true" outlineLevel="0" collapsed="false">
      <c r="M154" s="47" t="s">
        <v>582</v>
      </c>
      <c r="N154" s="47" t="s">
        <v>583</v>
      </c>
      <c r="O154" s="47" t="n">
        <v>0.1</v>
      </c>
    </row>
    <row r="155" customFormat="false" ht="12.75" hidden="false" customHeight="true" outlineLevel="0" collapsed="false">
      <c r="M155" s="47" t="s">
        <v>584</v>
      </c>
      <c r="N155" s="47" t="s">
        <v>585</v>
      </c>
      <c r="O155" s="47" t="n">
        <v>1</v>
      </c>
    </row>
    <row r="156" customFormat="false" ht="12.75" hidden="false" customHeight="true" outlineLevel="0" collapsed="false">
      <c r="M156" s="47" t="s">
        <v>586</v>
      </c>
      <c r="N156" s="47" t="s">
        <v>587</v>
      </c>
      <c r="O156" s="47" t="n">
        <v>1</v>
      </c>
    </row>
    <row r="157" customFormat="false" ht="12.75" hidden="false" customHeight="true" outlineLevel="0" collapsed="false">
      <c r="M157" s="47" t="s">
        <v>588</v>
      </c>
      <c r="N157" s="47" t="s">
        <v>589</v>
      </c>
      <c r="O157" s="47" t="n">
        <v>1</v>
      </c>
    </row>
    <row r="158" customFormat="false" ht="12.75" hidden="false" customHeight="true" outlineLevel="0" collapsed="false">
      <c r="M158" s="47" t="s">
        <v>590</v>
      </c>
      <c r="N158" s="47" t="s">
        <v>591</v>
      </c>
      <c r="O158" s="47" t="n">
        <v>0.1</v>
      </c>
    </row>
    <row r="159" customFormat="false" ht="12.75" hidden="false" customHeight="true" outlineLevel="0" collapsed="false">
      <c r="M159" s="47" t="s">
        <v>592</v>
      </c>
      <c r="N159" s="47" t="s">
        <v>228</v>
      </c>
      <c r="O159" s="47" t="n">
        <v>50</v>
      </c>
    </row>
    <row r="160" customFormat="false" ht="12.75" hidden="false" customHeight="true" outlineLevel="0" collapsed="false">
      <c r="M160" s="47" t="s">
        <v>593</v>
      </c>
      <c r="N160" s="47" t="s">
        <v>594</v>
      </c>
      <c r="O160" s="47" t="n">
        <v>50</v>
      </c>
    </row>
    <row r="161" customFormat="false" ht="12.75" hidden="false" customHeight="true" outlineLevel="0" collapsed="false">
      <c r="M161" s="47" t="s">
        <v>595</v>
      </c>
      <c r="N161" s="47" t="s">
        <v>596</v>
      </c>
      <c r="O161" s="47" t="n">
        <v>0.1</v>
      </c>
    </row>
    <row r="162" customFormat="false" ht="12.75" hidden="false" customHeight="true" outlineLevel="0" collapsed="false">
      <c r="M162" s="47" t="s">
        <v>597</v>
      </c>
      <c r="N162" s="47" t="s">
        <v>598</v>
      </c>
    </row>
    <row r="163" customFormat="false" ht="12.75" hidden="false" customHeight="true" outlineLevel="0" collapsed="false">
      <c r="M163" s="47" t="s">
        <v>599</v>
      </c>
      <c r="O163" s="47" t="n">
        <v>0.5</v>
      </c>
    </row>
    <row r="164" customFormat="false" ht="12.75" hidden="false" customHeight="true" outlineLevel="0" collapsed="false">
      <c r="M164" s="47" t="s">
        <v>600</v>
      </c>
      <c r="O164" s="47" t="n">
        <v>0.003</v>
      </c>
    </row>
    <row r="165" customFormat="false" ht="12.75" hidden="false" customHeight="true" outlineLevel="0" collapsed="false">
      <c r="M165" s="47" t="s">
        <v>601</v>
      </c>
      <c r="O165" s="47" t="n">
        <v>0.0002</v>
      </c>
    </row>
    <row r="166" customFormat="false" ht="12.75" hidden="false" customHeight="true" outlineLevel="0" collapsed="false">
      <c r="M166" s="47" t="s">
        <v>602</v>
      </c>
      <c r="N166" s="47" t="s">
        <v>603</v>
      </c>
      <c r="O166" s="47" t="n">
        <v>0.0001</v>
      </c>
    </row>
    <row r="167" customFormat="false" ht="12.75" hidden="false" customHeight="true" outlineLevel="0" collapsed="false">
      <c r="M167" s="47" t="s">
        <v>604</v>
      </c>
      <c r="N167" s="47" t="s">
        <v>605</v>
      </c>
    </row>
    <row r="168" customFormat="false" ht="12.75" hidden="false" customHeight="true" outlineLevel="0" collapsed="false">
      <c r="M168" s="47" t="s">
        <v>606</v>
      </c>
      <c r="N168" s="47" t="s">
        <v>607</v>
      </c>
      <c r="O168" s="47" t="n">
        <v>5</v>
      </c>
    </row>
    <row r="169" customFormat="false" ht="12.75" hidden="false" customHeight="true" outlineLevel="0" collapsed="false">
      <c r="M169" s="47" t="s">
        <v>608</v>
      </c>
      <c r="N169" s="47" t="s">
        <v>609</v>
      </c>
      <c r="O169" s="47" t="n">
        <v>3</v>
      </c>
    </row>
    <row r="170" customFormat="false" ht="12.75" hidden="false" customHeight="true" outlineLevel="0" collapsed="false">
      <c r="M170" s="47" t="s">
        <v>610</v>
      </c>
      <c r="N170" s="47" t="s">
        <v>611</v>
      </c>
      <c r="O170" s="47" t="n">
        <v>0.1</v>
      </c>
    </row>
    <row r="171" customFormat="false" ht="12.75" hidden="false" customHeight="true" outlineLevel="0" collapsed="false">
      <c r="M171" s="47" t="s">
        <v>612</v>
      </c>
      <c r="N171" s="47" t="n">
        <v>2238851</v>
      </c>
      <c r="O171" s="47" t="n">
        <v>0.4</v>
      </c>
    </row>
    <row r="172" customFormat="false" ht="12.75" hidden="false" customHeight="true" outlineLevel="0" collapsed="false">
      <c r="M172" s="47" t="s">
        <v>613</v>
      </c>
      <c r="N172" s="47" t="s">
        <v>614</v>
      </c>
      <c r="O172" s="47" t="n">
        <v>0.9</v>
      </c>
    </row>
    <row r="173" customFormat="false" ht="12.75" hidden="false" customHeight="true" outlineLevel="0" collapsed="false">
      <c r="M173" s="47" t="s">
        <v>615</v>
      </c>
      <c r="N173" s="47" t="s">
        <v>616</v>
      </c>
      <c r="O173" s="47" t="n">
        <v>0.2</v>
      </c>
    </row>
    <row r="174" customFormat="false" ht="12.75" hidden="false" customHeight="true" outlineLevel="0" collapsed="false">
      <c r="M174" s="47" t="s">
        <v>617</v>
      </c>
      <c r="N174" s="47" t="s">
        <v>618</v>
      </c>
      <c r="O174" s="47" t="n">
        <v>0.02</v>
      </c>
    </row>
    <row r="175" customFormat="false" ht="12.75" hidden="false" customHeight="true" outlineLevel="0" collapsed="false">
      <c r="M175" s="47" t="s">
        <v>619</v>
      </c>
      <c r="N175" s="47" t="s">
        <v>620</v>
      </c>
      <c r="O175" s="47" t="n">
        <v>0.1</v>
      </c>
    </row>
    <row r="176" customFormat="false" ht="12.75" hidden="false" customHeight="true" outlineLevel="0" collapsed="false">
      <c r="M176" s="47" t="s">
        <v>621</v>
      </c>
      <c r="N176" s="47" t="s">
        <v>622</v>
      </c>
      <c r="O176" s="47" t="n">
        <v>0.1</v>
      </c>
    </row>
    <row r="177" customFormat="false" ht="12.75" hidden="false" customHeight="true" outlineLevel="0" collapsed="false">
      <c r="M177" s="47" t="s">
        <v>623</v>
      </c>
      <c r="N177" s="47" t="s">
        <v>624</v>
      </c>
      <c r="O177" s="47" t="n">
        <v>0.2</v>
      </c>
    </row>
    <row r="178" customFormat="false" ht="12.75" hidden="false" customHeight="true" outlineLevel="0" collapsed="false">
      <c r="M178" s="47" t="s">
        <v>625</v>
      </c>
      <c r="O178" s="47" t="n">
        <v>1</v>
      </c>
    </row>
    <row r="179" customFormat="false" ht="12.75" hidden="false" customHeight="true" outlineLevel="0" collapsed="false">
      <c r="M179" s="47" t="s">
        <v>626</v>
      </c>
      <c r="O179" s="47" t="n">
        <v>0.1</v>
      </c>
    </row>
    <row r="180" customFormat="false" ht="12.75" hidden="false" customHeight="true" outlineLevel="0" collapsed="false">
      <c r="M180" s="47" t="s">
        <v>627</v>
      </c>
      <c r="N180" s="47" t="s">
        <v>628</v>
      </c>
      <c r="O180" s="47" t="n">
        <v>0.05</v>
      </c>
    </row>
    <row r="181" customFormat="false" ht="12.75" hidden="false" customHeight="true" outlineLevel="0" collapsed="false">
      <c r="M181" s="47" t="s">
        <v>629</v>
      </c>
      <c r="N181" s="47" t="s">
        <v>630</v>
      </c>
      <c r="O181" s="47" t="n">
        <v>20</v>
      </c>
    </row>
    <row r="182" customFormat="false" ht="12.75" hidden="false" customHeight="true" outlineLevel="0" collapsed="false">
      <c r="M182" s="47" t="s">
        <v>631</v>
      </c>
      <c r="N182" s="47" t="s">
        <v>632</v>
      </c>
    </row>
    <row r="183" customFormat="false" ht="12.75" hidden="false" customHeight="true" outlineLevel="0" collapsed="false">
      <c r="M183" s="47" t="s">
        <v>633</v>
      </c>
      <c r="N183" s="47" t="s">
        <v>634</v>
      </c>
      <c r="O183" s="47" t="n">
        <v>5</v>
      </c>
    </row>
    <row r="184" customFormat="false" ht="12.75" hidden="false" customHeight="true" outlineLevel="0" collapsed="false">
      <c r="M184" s="47" t="s">
        <v>635</v>
      </c>
      <c r="N184" s="47" t="s">
        <v>120</v>
      </c>
      <c r="O184" s="47" t="n">
        <v>5</v>
      </c>
    </row>
    <row r="185" customFormat="false" ht="12.75" hidden="false" customHeight="true" outlineLevel="0" collapsed="false">
      <c r="M185" s="47" t="s">
        <v>636</v>
      </c>
      <c r="N185" s="47" t="s">
        <v>637</v>
      </c>
      <c r="O185" s="47" t="n">
        <v>2</v>
      </c>
    </row>
    <row r="186" customFormat="false" ht="12.75" hidden="false" customHeight="true" outlineLevel="0" collapsed="false">
      <c r="M186" s="47" t="s">
        <v>638</v>
      </c>
      <c r="N186" s="47" t="s">
        <v>639</v>
      </c>
      <c r="O186" s="47" t="n">
        <v>0.1</v>
      </c>
    </row>
    <row r="187" customFormat="false" ht="12.75" hidden="false" customHeight="true" outlineLevel="0" collapsed="false">
      <c r="M187" s="47" t="s">
        <v>640</v>
      </c>
      <c r="N187" s="47" t="s">
        <v>641</v>
      </c>
      <c r="O187" s="47" t="n">
        <v>0.2</v>
      </c>
    </row>
    <row r="188" customFormat="false" ht="12.75" hidden="false" customHeight="true" outlineLevel="0" collapsed="false">
      <c r="M188" s="47" t="s">
        <v>642</v>
      </c>
      <c r="N188" s="47" t="s">
        <v>643</v>
      </c>
    </row>
    <row r="189" customFormat="false" ht="12.75" hidden="false" customHeight="true" outlineLevel="0" collapsed="false">
      <c r="M189" s="47" t="s">
        <v>644</v>
      </c>
      <c r="N189" s="47" t="s">
        <v>645</v>
      </c>
    </row>
    <row r="190" customFormat="false" ht="12.75" hidden="false" customHeight="true" outlineLevel="0" collapsed="false">
      <c r="M190" s="47" t="s">
        <v>646</v>
      </c>
      <c r="N190" s="47" t="s">
        <v>647</v>
      </c>
    </row>
    <row r="191" customFormat="false" ht="12.75" hidden="false" customHeight="true" outlineLevel="0" collapsed="false">
      <c r="M191" s="47" t="s">
        <v>648</v>
      </c>
      <c r="N191" s="47" t="s">
        <v>18</v>
      </c>
      <c r="O191" s="47" t="n">
        <v>100</v>
      </c>
    </row>
    <row r="192" customFormat="false" ht="12.75" hidden="false" customHeight="true" outlineLevel="0" collapsed="false">
      <c r="M192" s="47" t="s">
        <v>649</v>
      </c>
      <c r="N192" s="47" t="s">
        <v>650</v>
      </c>
      <c r="O192" s="47" t="n">
        <v>50</v>
      </c>
    </row>
    <row r="193" customFormat="false" ht="12.75" hidden="false" customHeight="true" outlineLevel="0" collapsed="false">
      <c r="M193" s="47" t="s">
        <v>651</v>
      </c>
      <c r="N193" s="47" t="s">
        <v>76</v>
      </c>
      <c r="O193" s="47" t="n">
        <v>20</v>
      </c>
    </row>
    <row r="194" customFormat="false" ht="12.75" hidden="false" customHeight="true" outlineLevel="0" collapsed="false">
      <c r="M194" s="47" t="s">
        <v>652</v>
      </c>
      <c r="N194" s="47" t="s">
        <v>144</v>
      </c>
      <c r="O194" s="47" t="n">
        <v>20</v>
      </c>
    </row>
    <row r="195" customFormat="false" ht="12.75" hidden="false" customHeight="true" outlineLevel="0" collapsed="false">
      <c r="M195" s="47" t="s">
        <v>653</v>
      </c>
      <c r="N195" s="47" t="s">
        <v>174</v>
      </c>
      <c r="O195" s="47" t="n">
        <v>10</v>
      </c>
    </row>
    <row r="196" customFormat="false" ht="12.75" hidden="false" customHeight="true" outlineLevel="0" collapsed="false">
      <c r="M196" s="47" t="s">
        <v>654</v>
      </c>
      <c r="N196" s="47" t="s">
        <v>655</v>
      </c>
      <c r="O196" s="47" t="n">
        <v>0.5</v>
      </c>
    </row>
    <row r="197" customFormat="false" ht="12.75" hidden="false" customHeight="true" outlineLevel="0" collapsed="false">
      <c r="M197" s="47" t="s">
        <v>656</v>
      </c>
      <c r="N197" s="47" t="s">
        <v>657</v>
      </c>
      <c r="O197" s="47" t="n">
        <v>1</v>
      </c>
    </row>
    <row r="198" customFormat="false" ht="12.75" hidden="false" customHeight="true" outlineLevel="0" collapsed="false">
      <c r="M198" s="47" t="s">
        <v>658</v>
      </c>
      <c r="N198" s="47" t="s">
        <v>659</v>
      </c>
      <c r="O198" s="47" t="n">
        <v>5</v>
      </c>
    </row>
    <row r="199" customFormat="false" ht="12.75" hidden="false" customHeight="true" outlineLevel="0" collapsed="false">
      <c r="M199" s="47" t="s">
        <v>660</v>
      </c>
      <c r="N199" s="47" t="s">
        <v>661</v>
      </c>
      <c r="O199" s="47" t="n">
        <v>2</v>
      </c>
    </row>
    <row r="200" customFormat="false" ht="12.75" hidden="false" customHeight="true" outlineLevel="0" collapsed="false">
      <c r="M200" s="47" t="s">
        <v>662</v>
      </c>
      <c r="N200" s="47" t="s">
        <v>663</v>
      </c>
      <c r="O200" s="47" t="n">
        <v>10</v>
      </c>
    </row>
    <row r="201" customFormat="false" ht="12.75" hidden="false" customHeight="true" outlineLevel="0" collapsed="false">
      <c r="M201" s="47" t="s">
        <v>664</v>
      </c>
      <c r="N201" s="47" t="s">
        <v>665</v>
      </c>
      <c r="O201" s="47" t="n">
        <v>1</v>
      </c>
    </row>
    <row r="202" customFormat="false" ht="12.75" hidden="false" customHeight="true" outlineLevel="0" collapsed="false">
      <c r="M202" s="47" t="s">
        <v>666</v>
      </c>
      <c r="N202" s="47" t="s">
        <v>667</v>
      </c>
      <c r="O202" s="47" t="n">
        <v>0.05</v>
      </c>
    </row>
    <row r="203" customFormat="false" ht="12.75" hidden="false" customHeight="true" outlineLevel="0" collapsed="false">
      <c r="M203" s="47" t="s">
        <v>668</v>
      </c>
      <c r="N203" s="47" t="s">
        <v>669</v>
      </c>
      <c r="O203" s="47" t="n">
        <v>0.05</v>
      </c>
    </row>
    <row r="204" customFormat="false" ht="12.75" hidden="false" customHeight="true" outlineLevel="0" collapsed="false">
      <c r="M204" s="47" t="s">
        <v>670</v>
      </c>
      <c r="N204" s="47" t="s">
        <v>671</v>
      </c>
      <c r="O204" s="47" t="n">
        <v>0.05</v>
      </c>
    </row>
    <row r="205" customFormat="false" ht="12.75" hidden="false" customHeight="true" outlineLevel="0" collapsed="false">
      <c r="M205" s="47" t="s">
        <v>672</v>
      </c>
      <c r="N205" s="47" t="s">
        <v>673</v>
      </c>
      <c r="O205" s="47" t="n">
        <v>100</v>
      </c>
    </row>
    <row r="206" customFormat="false" ht="12.75" hidden="false" customHeight="true" outlineLevel="0" collapsed="false">
      <c r="M206" s="47" t="s">
        <v>674</v>
      </c>
      <c r="N206" s="47" t="s">
        <v>176</v>
      </c>
      <c r="O206" s="47" t="n">
        <v>10</v>
      </c>
    </row>
    <row r="207" customFormat="false" ht="12.75" hidden="false" customHeight="true" outlineLevel="0" collapsed="false">
      <c r="M207" s="47" t="s">
        <v>675</v>
      </c>
      <c r="N207" s="47" t="s">
        <v>676</v>
      </c>
      <c r="O207" s="47" t="n">
        <v>0.01</v>
      </c>
    </row>
    <row r="208" customFormat="false" ht="12.75" hidden="false" customHeight="true" outlineLevel="0" collapsed="false">
      <c r="M208" s="47" t="s">
        <v>677</v>
      </c>
      <c r="N208" s="47" t="s">
        <v>678</v>
      </c>
      <c r="O208" s="47" t="n">
        <v>0.01</v>
      </c>
    </row>
    <row r="209" customFormat="false" ht="12.75" hidden="false" customHeight="true" outlineLevel="0" collapsed="false">
      <c r="M209" s="47" t="s">
        <v>679</v>
      </c>
      <c r="N209" s="47" t="s">
        <v>680</v>
      </c>
      <c r="O209" s="47" t="n">
        <v>0.2</v>
      </c>
    </row>
    <row r="210" customFormat="false" ht="12.75" hidden="false" customHeight="true" outlineLevel="0" collapsed="false">
      <c r="M210" s="47" t="s">
        <v>681</v>
      </c>
      <c r="N210" s="47" t="s">
        <v>682</v>
      </c>
      <c r="O210" s="47" t="n">
        <v>0.1</v>
      </c>
    </row>
    <row r="211" customFormat="false" ht="12.75" hidden="false" customHeight="true" outlineLevel="0" collapsed="false">
      <c r="M211" s="47" t="s">
        <v>683</v>
      </c>
      <c r="N211" s="47" t="s">
        <v>684</v>
      </c>
      <c r="O211" s="47" t="n">
        <v>0.5</v>
      </c>
    </row>
    <row r="212" customFormat="false" ht="12.75" hidden="false" customHeight="true" outlineLevel="0" collapsed="false">
      <c r="M212" s="47" t="s">
        <v>685</v>
      </c>
      <c r="N212" s="47" t="s">
        <v>686</v>
      </c>
      <c r="O212" s="47" t="n">
        <v>0.3</v>
      </c>
    </row>
    <row r="213" customFormat="false" ht="12.75" hidden="false" customHeight="true" outlineLevel="0" collapsed="false">
      <c r="M213" s="47" t="s">
        <v>687</v>
      </c>
      <c r="N213" s="47" t="s">
        <v>688</v>
      </c>
      <c r="O213" s="47" t="n">
        <v>5</v>
      </c>
    </row>
    <row r="214" customFormat="false" ht="12.75" hidden="false" customHeight="true" outlineLevel="0" collapsed="false">
      <c r="M214" s="47" t="s">
        <v>689</v>
      </c>
      <c r="N214" s="47" t="s">
        <v>690</v>
      </c>
      <c r="O214" s="47" t="n">
        <v>5</v>
      </c>
    </row>
    <row r="215" customFormat="false" ht="12.75" hidden="false" customHeight="true" outlineLevel="0" collapsed="false">
      <c r="M215" s="47" t="s">
        <v>691</v>
      </c>
      <c r="N215" s="47" t="s">
        <v>692</v>
      </c>
      <c r="O215" s="47" t="n">
        <v>0.5</v>
      </c>
    </row>
    <row r="216" customFormat="false" ht="12.75" hidden="false" customHeight="true" outlineLevel="0" collapsed="false">
      <c r="M216" s="47" t="s">
        <v>693</v>
      </c>
      <c r="N216" s="47" t="s">
        <v>694</v>
      </c>
    </row>
    <row r="217" customFormat="false" ht="12.75" hidden="false" customHeight="true" outlineLevel="0" collapsed="false">
      <c r="M217" s="47" t="s">
        <v>695</v>
      </c>
      <c r="N217" s="47" t="s">
        <v>42</v>
      </c>
      <c r="O217" s="47" t="n">
        <v>25</v>
      </c>
    </row>
    <row r="218" customFormat="false" ht="12.75" hidden="false" customHeight="true" outlineLevel="0" collapsed="false">
      <c r="M218" s="47" t="s">
        <v>696</v>
      </c>
      <c r="N218" s="47" t="s">
        <v>697</v>
      </c>
      <c r="O218" s="47" t="n">
        <v>10</v>
      </c>
    </row>
    <row r="219" customFormat="false" ht="12.75" hidden="false" customHeight="true" outlineLevel="0" collapsed="false">
      <c r="M219" s="47" t="s">
        <v>698</v>
      </c>
      <c r="N219" s="47" t="s">
        <v>699</v>
      </c>
    </row>
    <row r="220" customFormat="false" ht="12.75" hidden="false" customHeight="true" outlineLevel="0" collapsed="false">
      <c r="M220" s="47" t="s">
        <v>700</v>
      </c>
      <c r="N220" s="47" t="s">
        <v>701</v>
      </c>
      <c r="O220" s="47" t="n">
        <v>0.005</v>
      </c>
    </row>
    <row r="221" customFormat="false" ht="12.75" hidden="false" customHeight="true" outlineLevel="0" collapsed="false">
      <c r="M221" s="47" t="s">
        <v>702</v>
      </c>
      <c r="N221" s="47" t="s">
        <v>703</v>
      </c>
      <c r="O221" s="47" t="n">
        <v>1</v>
      </c>
    </row>
    <row r="222" customFormat="false" ht="12.75" hidden="false" customHeight="true" outlineLevel="0" collapsed="false">
      <c r="M222" s="47" t="s">
        <v>704</v>
      </c>
      <c r="N222" s="47" t="s">
        <v>705</v>
      </c>
      <c r="O222" s="47" t="n">
        <v>0.2</v>
      </c>
    </row>
    <row r="223" customFormat="false" ht="12.75" hidden="false" customHeight="true" outlineLevel="0" collapsed="false">
      <c r="M223" s="47" t="s">
        <v>706</v>
      </c>
      <c r="N223" s="47" t="s">
        <v>204</v>
      </c>
      <c r="O223" s="47" t="n">
        <v>100</v>
      </c>
    </row>
    <row r="224" customFormat="false" ht="12.75" hidden="false" customHeight="true" outlineLevel="0" collapsed="false">
      <c r="M224" s="47" t="s">
        <v>707</v>
      </c>
      <c r="N224" s="47" t="s">
        <v>708</v>
      </c>
      <c r="O224" s="47" t="n">
        <v>200</v>
      </c>
    </row>
    <row r="225" customFormat="false" ht="12.75" hidden="false" customHeight="true" outlineLevel="0" collapsed="false">
      <c r="M225" s="47" t="s">
        <v>709</v>
      </c>
      <c r="N225" s="47" t="s">
        <v>710</v>
      </c>
      <c r="O225" s="47" t="n">
        <v>5</v>
      </c>
    </row>
    <row r="226" customFormat="false" ht="12.75" hidden="false" customHeight="true" outlineLevel="0" collapsed="false">
      <c r="M226" s="47" t="s">
        <v>711</v>
      </c>
      <c r="N226" s="47" t="s">
        <v>712</v>
      </c>
      <c r="O226" s="47" t="n">
        <v>10</v>
      </c>
    </row>
    <row r="227" customFormat="false" ht="12.75" hidden="false" customHeight="true" outlineLevel="0" collapsed="false">
      <c r="M227" s="47" t="s">
        <v>713</v>
      </c>
      <c r="N227" s="47" t="s">
        <v>22</v>
      </c>
      <c r="O227" s="47" t="n">
        <v>50</v>
      </c>
    </row>
    <row r="228" customFormat="false" ht="12.75" hidden="false" customHeight="true" outlineLevel="0" collapsed="false">
      <c r="M228" s="47" t="s">
        <v>714</v>
      </c>
      <c r="N228" s="47" t="s">
        <v>154</v>
      </c>
      <c r="O228" s="47" t="n">
        <v>2</v>
      </c>
    </row>
    <row r="229" customFormat="false" ht="12.75" hidden="false" customHeight="true" outlineLevel="0" collapsed="false">
      <c r="M229" s="47" t="s">
        <v>715</v>
      </c>
      <c r="N229" s="47" t="s">
        <v>716</v>
      </c>
      <c r="O229" s="47" t="n">
        <v>1</v>
      </c>
    </row>
    <row r="230" customFormat="false" ht="12.75" hidden="false" customHeight="true" outlineLevel="0" collapsed="false">
      <c r="M230" s="47" t="s">
        <v>717</v>
      </c>
      <c r="N230" s="47" t="s">
        <v>718</v>
      </c>
      <c r="O230" s="47" t="n">
        <v>5</v>
      </c>
    </row>
    <row r="231" customFormat="false" ht="12.75" hidden="false" customHeight="true" outlineLevel="0" collapsed="false">
      <c r="M231" s="47" t="s">
        <v>719</v>
      </c>
      <c r="N231" s="47" t="s">
        <v>720</v>
      </c>
      <c r="O231" s="47" t="n">
        <v>1</v>
      </c>
    </row>
    <row r="232" customFormat="false" ht="12.75" hidden="false" customHeight="true" outlineLevel="0" collapsed="false">
      <c r="M232" s="47" t="s">
        <v>721</v>
      </c>
      <c r="N232" s="47" t="s">
        <v>722</v>
      </c>
      <c r="O232" s="47" t="n">
        <v>0.1</v>
      </c>
    </row>
    <row r="233" customFormat="false" ht="12.75" hidden="false" customHeight="true" outlineLevel="0" collapsed="false">
      <c r="M233" s="47" t="s">
        <v>723</v>
      </c>
      <c r="N233" s="47" t="s">
        <v>724</v>
      </c>
      <c r="O233" s="47" t="n">
        <v>0.05</v>
      </c>
    </row>
    <row r="234" customFormat="false" ht="12.75" hidden="false" customHeight="true" outlineLevel="0" collapsed="false">
      <c r="M234" s="47" t="s">
        <v>725</v>
      </c>
      <c r="N234" s="47" t="s">
        <v>726</v>
      </c>
      <c r="O234" s="47" t="n">
        <v>0.5</v>
      </c>
    </row>
    <row r="235" customFormat="false" ht="12.75" hidden="false" customHeight="true" outlineLevel="0" collapsed="false">
      <c r="M235" s="47" t="s">
        <v>727</v>
      </c>
      <c r="N235" s="47" t="s">
        <v>728</v>
      </c>
      <c r="O235" s="47" t="n">
        <v>10</v>
      </c>
    </row>
    <row r="236" customFormat="false" ht="12.75" hidden="false" customHeight="true" outlineLevel="0" collapsed="false">
      <c r="M236" s="47" t="s">
        <v>729</v>
      </c>
      <c r="N236" s="47" t="s">
        <v>730</v>
      </c>
      <c r="O236" s="47" t="n">
        <v>0.1</v>
      </c>
    </row>
    <row r="237" customFormat="false" ht="12.75" hidden="false" customHeight="true" outlineLevel="0" collapsed="false">
      <c r="M237" s="47" t="s">
        <v>731</v>
      </c>
      <c r="N237" s="47" t="s">
        <v>732</v>
      </c>
      <c r="O237" s="47" t="n">
        <v>100</v>
      </c>
    </row>
    <row r="238" customFormat="false" ht="12.75" hidden="false" customHeight="true" outlineLevel="0" collapsed="false">
      <c r="M238" s="47" t="s">
        <v>237</v>
      </c>
      <c r="N238" s="47" t="s">
        <v>238</v>
      </c>
      <c r="O238" s="47" t="n">
        <v>1</v>
      </c>
    </row>
    <row r="239" customFormat="false" ht="12.75" hidden="false" customHeight="true" outlineLevel="0" collapsed="false">
      <c r="M239" s="47" t="s">
        <v>101</v>
      </c>
      <c r="N239" s="47" t="s">
        <v>102</v>
      </c>
      <c r="O239" s="47" t="n">
        <v>5</v>
      </c>
    </row>
    <row r="240" customFormat="false" ht="12.75" hidden="false" customHeight="true" outlineLevel="0" collapsed="false">
      <c r="M240" s="47" t="s">
        <v>733</v>
      </c>
      <c r="N240" s="47" t="s">
        <v>106</v>
      </c>
      <c r="O240" s="47" t="n">
        <v>2</v>
      </c>
    </row>
    <row r="241" customFormat="false" ht="12.75" hidden="false" customHeight="true" outlineLevel="0" collapsed="false">
      <c r="M241" s="47" t="s">
        <v>734</v>
      </c>
      <c r="N241" s="47" t="s">
        <v>735</v>
      </c>
      <c r="O241" s="47" t="n">
        <v>10</v>
      </c>
    </row>
    <row r="242" customFormat="false" ht="12.75" hidden="false" customHeight="true" outlineLevel="0" collapsed="false">
      <c r="M242" s="47" t="s">
        <v>736</v>
      </c>
      <c r="N242" s="47" t="s">
        <v>226</v>
      </c>
      <c r="O242" s="47" t="n">
        <v>1</v>
      </c>
    </row>
    <row r="243" customFormat="false" ht="12.75" hidden="false" customHeight="true" outlineLevel="0" collapsed="false">
      <c r="M243" s="47" t="s">
        <v>737</v>
      </c>
      <c r="N243" s="47" t="s">
        <v>738</v>
      </c>
      <c r="O243" s="47" t="n">
        <v>0.1</v>
      </c>
    </row>
    <row r="244" customFormat="false" ht="12.75" hidden="false" customHeight="true" outlineLevel="0" collapsed="false">
      <c r="M244" s="47" t="s">
        <v>739</v>
      </c>
      <c r="N244" s="47" t="s">
        <v>740</v>
      </c>
      <c r="O244" s="47" t="n">
        <v>2</v>
      </c>
    </row>
    <row r="245" customFormat="false" ht="12.75" hidden="false" customHeight="true" outlineLevel="0" collapsed="false">
      <c r="M245" s="47" t="s">
        <v>741</v>
      </c>
      <c r="N245" s="47" t="s">
        <v>160</v>
      </c>
      <c r="O245" s="47" t="n">
        <v>200</v>
      </c>
    </row>
    <row r="246" customFormat="false" ht="12.75" hidden="false" customHeight="true" outlineLevel="0" collapsed="false">
      <c r="M246" s="47" t="s">
        <v>742</v>
      </c>
      <c r="N246" s="47" t="s">
        <v>743</v>
      </c>
      <c r="O246" s="47" t="n">
        <v>5</v>
      </c>
    </row>
    <row r="247" customFormat="false" ht="12.75" hidden="false" customHeight="true" outlineLevel="0" collapsed="false">
      <c r="M247" s="47" t="s">
        <v>197</v>
      </c>
      <c r="N247" s="47" t="s">
        <v>198</v>
      </c>
      <c r="O247" s="47" t="n">
        <v>100</v>
      </c>
    </row>
    <row r="248" customFormat="false" ht="12.75" hidden="false" customHeight="true" outlineLevel="0" collapsed="false">
      <c r="M248" s="47" t="s">
        <v>744</v>
      </c>
      <c r="N248" s="47" t="n">
        <v>123639</v>
      </c>
      <c r="O248" s="47" t="n">
        <v>0.01</v>
      </c>
    </row>
    <row r="249" customFormat="false" ht="12.75" hidden="false" customHeight="true" outlineLevel="0" collapsed="false">
      <c r="M249" s="47" t="s">
        <v>745</v>
      </c>
      <c r="N249" s="47" t="s">
        <v>164</v>
      </c>
      <c r="O249" s="47" t="n">
        <v>25</v>
      </c>
    </row>
    <row r="250" customFormat="false" ht="12.75" hidden="false" customHeight="true" outlineLevel="0" collapsed="false">
      <c r="M250" s="47" t="s">
        <v>746</v>
      </c>
      <c r="N250" s="47" t="s">
        <v>747</v>
      </c>
      <c r="O250" s="47" t="n">
        <v>5</v>
      </c>
    </row>
    <row r="251" customFormat="false" ht="12.75" hidden="false" customHeight="true" outlineLevel="0" collapsed="false">
      <c r="M251" s="47" t="s">
        <v>748</v>
      </c>
      <c r="N251" s="47" t="s">
        <v>749</v>
      </c>
      <c r="O251" s="47" t="n">
        <v>0.2</v>
      </c>
    </row>
    <row r="252" customFormat="false" ht="12.75" hidden="false" customHeight="true" outlineLevel="0" collapsed="false">
      <c r="M252" s="47" t="s">
        <v>750</v>
      </c>
      <c r="N252" s="47" t="s">
        <v>148</v>
      </c>
      <c r="O252" s="47" t="n">
        <v>10</v>
      </c>
    </row>
    <row r="253" customFormat="false" ht="12.75" hidden="false" customHeight="true" outlineLevel="0" collapsed="false">
      <c r="M253" s="47" t="s">
        <v>751</v>
      </c>
      <c r="N253" s="47" t="s">
        <v>752</v>
      </c>
      <c r="O253" s="47" t="n">
        <v>5</v>
      </c>
    </row>
    <row r="254" customFormat="false" ht="12.75" hidden="false" customHeight="true" outlineLevel="0" collapsed="false">
      <c r="M254" s="47" t="s">
        <v>753</v>
      </c>
      <c r="N254" s="47" t="s">
        <v>754</v>
      </c>
      <c r="O254" s="47" t="n">
        <v>0.05</v>
      </c>
    </row>
    <row r="255" customFormat="false" ht="12.75" hidden="false" customHeight="true" outlineLevel="0" collapsed="false">
      <c r="M255" s="47" t="s">
        <v>755</v>
      </c>
      <c r="N255" s="47" t="s">
        <v>756</v>
      </c>
      <c r="O255" s="47" t="n">
        <v>5</v>
      </c>
    </row>
    <row r="256" customFormat="false" ht="12.75" hidden="false" customHeight="true" outlineLevel="0" collapsed="false">
      <c r="M256" s="47" t="s">
        <v>757</v>
      </c>
      <c r="N256" s="47" t="s">
        <v>758</v>
      </c>
      <c r="O256" s="47" t="n">
        <v>0.005</v>
      </c>
    </row>
    <row r="257" customFormat="false" ht="12.75" hidden="false" customHeight="true" outlineLevel="0" collapsed="false">
      <c r="M257" s="47" t="s">
        <v>759</v>
      </c>
      <c r="N257" s="47" t="s">
        <v>760</v>
      </c>
      <c r="O257" s="47" t="n">
        <v>0.5</v>
      </c>
    </row>
    <row r="258" customFormat="false" ht="12.75" hidden="false" customHeight="true" outlineLevel="0" collapsed="false">
      <c r="M258" s="47" t="s">
        <v>761</v>
      </c>
      <c r="N258" s="47" t="s">
        <v>762</v>
      </c>
      <c r="O258" s="47" t="n">
        <v>0.5</v>
      </c>
    </row>
    <row r="259" customFormat="false" ht="12.75" hidden="false" customHeight="true" outlineLevel="0" collapsed="false">
      <c r="M259" s="47" t="s">
        <v>763</v>
      </c>
      <c r="N259" s="47" t="s">
        <v>70</v>
      </c>
      <c r="O259" s="47" t="n">
        <v>5</v>
      </c>
    </row>
    <row r="260" customFormat="false" ht="12.75" hidden="false" customHeight="true" outlineLevel="0" collapsed="false">
      <c r="M260" s="47" t="s">
        <v>764</v>
      </c>
      <c r="N260" s="47" t="s">
        <v>765</v>
      </c>
      <c r="O260" s="47" t="n">
        <v>0.01</v>
      </c>
    </row>
    <row r="261" customFormat="false" ht="12.75" hidden="false" customHeight="true" outlineLevel="0" collapsed="false">
      <c r="M261" s="47" t="s">
        <v>766</v>
      </c>
      <c r="O261" s="47" t="n">
        <v>1</v>
      </c>
    </row>
    <row r="262" customFormat="false" ht="12.75" hidden="false" customHeight="true" outlineLevel="0" collapsed="false">
      <c r="M262" s="47" t="s">
        <v>767</v>
      </c>
      <c r="N262" s="47" t="s">
        <v>768</v>
      </c>
      <c r="O262" s="47" t="n">
        <v>5</v>
      </c>
    </row>
    <row r="263" customFormat="false" ht="12.75" hidden="false" customHeight="true" outlineLevel="0" collapsed="false">
      <c r="M263" s="47" t="s">
        <v>769</v>
      </c>
      <c r="N263" s="47" t="s">
        <v>770</v>
      </c>
      <c r="O263" s="47" t="n">
        <v>0.1</v>
      </c>
    </row>
    <row r="264" customFormat="false" ht="12.75" hidden="false" customHeight="true" outlineLevel="0" collapsed="false">
      <c r="M264" s="47" t="s">
        <v>771</v>
      </c>
      <c r="N264" s="47" t="s">
        <v>772</v>
      </c>
      <c r="O264" s="47" t="n">
        <v>10</v>
      </c>
    </row>
    <row r="265" customFormat="false" ht="12.75" hidden="false" customHeight="true" outlineLevel="0" collapsed="false">
      <c r="M265" s="47" t="s">
        <v>773</v>
      </c>
      <c r="N265" s="47" t="s">
        <v>774</v>
      </c>
      <c r="O265" s="47" t="n">
        <v>0.15</v>
      </c>
    </row>
    <row r="266" customFormat="false" ht="12.75" hidden="false" customHeight="true" outlineLevel="0" collapsed="false">
      <c r="M266" s="47" t="s">
        <v>775</v>
      </c>
      <c r="N266" s="47" t="s">
        <v>776</v>
      </c>
      <c r="O266" s="47" t="n">
        <v>0.2</v>
      </c>
    </row>
    <row r="267" customFormat="false" ht="12.75" hidden="false" customHeight="true" outlineLevel="0" collapsed="false">
      <c r="M267" s="47" t="s">
        <v>777</v>
      </c>
      <c r="N267" s="47" t="s">
        <v>778</v>
      </c>
      <c r="O267" s="47" t="n">
        <v>1</v>
      </c>
    </row>
    <row r="268" customFormat="false" ht="12.75" hidden="false" customHeight="true" outlineLevel="0" collapsed="false">
      <c r="M268" s="47" t="s">
        <v>779</v>
      </c>
      <c r="N268" s="47" t="s">
        <v>780</v>
      </c>
      <c r="O268" s="47" t="n">
        <v>0.2</v>
      </c>
    </row>
    <row r="269" customFormat="false" ht="12.75" hidden="false" customHeight="true" outlineLevel="0" collapsed="false">
      <c r="M269" s="47" t="s">
        <v>231</v>
      </c>
      <c r="N269" s="47" t="s">
        <v>232</v>
      </c>
      <c r="O269" s="47" t="n">
        <v>20</v>
      </c>
    </row>
    <row r="270" customFormat="false" ht="12.75" hidden="false" customHeight="true" outlineLevel="0" collapsed="false">
      <c r="M270" s="47" t="s">
        <v>781</v>
      </c>
      <c r="N270" s="47" t="s">
        <v>782</v>
      </c>
      <c r="O270" s="47" t="n">
        <v>0.1</v>
      </c>
    </row>
    <row r="271" customFormat="false" ht="12.75" hidden="false" customHeight="true" outlineLevel="0" collapsed="false">
      <c r="M271" s="47" t="s">
        <v>783</v>
      </c>
      <c r="N271" s="47" t="s">
        <v>784</v>
      </c>
      <c r="O271" s="47" t="n">
        <v>20</v>
      </c>
    </row>
    <row r="272" customFormat="false" ht="12.75" hidden="false" customHeight="true" outlineLevel="0" collapsed="false">
      <c r="M272" s="47" t="s">
        <v>785</v>
      </c>
      <c r="N272" s="47" t="s">
        <v>786</v>
      </c>
      <c r="O272" s="47" t="n">
        <v>10</v>
      </c>
    </row>
    <row r="273" customFormat="false" ht="12.75" hidden="false" customHeight="true" outlineLevel="0" collapsed="false">
      <c r="M273" s="47" t="s">
        <v>787</v>
      </c>
      <c r="N273" s="47" t="s">
        <v>788</v>
      </c>
      <c r="O273" s="47" t="n">
        <v>50</v>
      </c>
    </row>
    <row r="274" customFormat="false" ht="12.75" hidden="false" customHeight="true" outlineLevel="0" collapsed="false">
      <c r="M274" s="47" t="s">
        <v>789</v>
      </c>
      <c r="N274" s="47" t="s">
        <v>790</v>
      </c>
      <c r="O274" s="47" t="n">
        <v>50</v>
      </c>
    </row>
    <row r="275" customFormat="false" ht="12.75" hidden="false" customHeight="true" outlineLevel="0" collapsed="false">
      <c r="M275" s="47" t="s">
        <v>791</v>
      </c>
      <c r="N275" s="47" t="s">
        <v>792</v>
      </c>
      <c r="O275" s="47" t="n">
        <v>0.5</v>
      </c>
    </row>
    <row r="276" customFormat="false" ht="12.75" hidden="false" customHeight="true" outlineLevel="0" collapsed="false">
      <c r="M276" s="47" t="s">
        <v>793</v>
      </c>
      <c r="N276" s="47" t="s">
        <v>794</v>
      </c>
      <c r="O276" s="47" t="n">
        <v>2</v>
      </c>
    </row>
    <row r="277" customFormat="false" ht="12.75" hidden="false" customHeight="true" outlineLevel="0" collapsed="false">
      <c r="M277" s="47" t="s">
        <v>795</v>
      </c>
      <c r="N277" s="47" t="s">
        <v>796</v>
      </c>
      <c r="O277" s="47" t="n">
        <v>0.05</v>
      </c>
    </row>
    <row r="278" customFormat="false" ht="12.75" hidden="false" customHeight="true" outlineLevel="0" collapsed="false">
      <c r="M278" s="47" t="s">
        <v>797</v>
      </c>
      <c r="N278" s="47" t="s">
        <v>798</v>
      </c>
      <c r="O278" s="47" t="n">
        <v>10</v>
      </c>
    </row>
    <row r="279" customFormat="false" ht="12.75" hidden="false" customHeight="true" outlineLevel="0" collapsed="false">
      <c r="M279" s="47" t="s">
        <v>799</v>
      </c>
      <c r="N279" s="47" t="s">
        <v>800</v>
      </c>
      <c r="O279" s="47" t="n">
        <v>10</v>
      </c>
    </row>
    <row r="280" customFormat="false" ht="12.75" hidden="false" customHeight="true" outlineLevel="0" collapsed="false">
      <c r="M280" s="47" t="s">
        <v>801</v>
      </c>
      <c r="N280" s="47" t="s">
        <v>802</v>
      </c>
      <c r="O280" s="47" t="n">
        <v>0.5</v>
      </c>
    </row>
    <row r="281" customFormat="false" ht="12.75" hidden="false" customHeight="true" outlineLevel="0" collapsed="false">
      <c r="M281" s="47" t="s">
        <v>803</v>
      </c>
      <c r="N281" s="47" t="s">
        <v>804</v>
      </c>
      <c r="O281" s="47" t="n">
        <v>0.1</v>
      </c>
    </row>
    <row r="282" customFormat="false" ht="12.75" hidden="false" customHeight="true" outlineLevel="0" collapsed="false">
      <c r="M282" s="47" t="s">
        <v>805</v>
      </c>
      <c r="N282" s="47" t="s">
        <v>806</v>
      </c>
      <c r="O282" s="47" t="n">
        <v>0.1</v>
      </c>
    </row>
    <row r="283" customFormat="false" ht="12.75" hidden="false" customHeight="true" outlineLevel="0" collapsed="false">
      <c r="M283" s="47" t="s">
        <v>807</v>
      </c>
      <c r="N283" s="47" t="s">
        <v>808</v>
      </c>
      <c r="O283" s="47" t="n">
        <v>90</v>
      </c>
    </row>
    <row r="284" customFormat="false" ht="12.75" hidden="false" customHeight="true" outlineLevel="0" collapsed="false">
      <c r="M284" s="47" t="s">
        <v>809</v>
      </c>
      <c r="N284" s="47" t="s">
        <v>810</v>
      </c>
      <c r="O284" s="47" t="n">
        <v>0.1</v>
      </c>
    </row>
    <row r="285" customFormat="false" ht="12.75" hidden="false" customHeight="true" outlineLevel="0" collapsed="false">
      <c r="M285" s="47" t="s">
        <v>811</v>
      </c>
      <c r="N285" s="47" t="s">
        <v>812</v>
      </c>
      <c r="O285" s="47" t="n">
        <v>50</v>
      </c>
    </row>
    <row r="286" customFormat="false" ht="12.75" hidden="false" customHeight="true" outlineLevel="0" collapsed="false">
      <c r="M286" s="47" t="s">
        <v>813</v>
      </c>
      <c r="N286" s="47" t="s">
        <v>814</v>
      </c>
      <c r="O286" s="47" t="n">
        <v>0.1</v>
      </c>
    </row>
    <row r="287" customFormat="false" ht="12.75" hidden="false" customHeight="true" outlineLevel="0" collapsed="false">
      <c r="M287" s="47" t="s">
        <v>815</v>
      </c>
      <c r="N287" s="47" t="s">
        <v>816</v>
      </c>
      <c r="O287" s="47" t="n">
        <v>0.1</v>
      </c>
    </row>
    <row r="288" customFormat="false" ht="12.75" hidden="false" customHeight="true" outlineLevel="0" collapsed="false">
      <c r="M288" s="47" t="s">
        <v>817</v>
      </c>
      <c r="N288" s="47" t="s">
        <v>818</v>
      </c>
    </row>
    <row r="289" customFormat="false" ht="12.75" hidden="false" customHeight="true" outlineLevel="0" collapsed="false">
      <c r="M289" s="47" t="s">
        <v>819</v>
      </c>
      <c r="N289" s="47" t="s">
        <v>20</v>
      </c>
    </row>
    <row r="290" customFormat="false" ht="12.75" hidden="false" customHeight="true" outlineLevel="0" collapsed="false">
      <c r="M290" s="47" t="s">
        <v>820</v>
      </c>
      <c r="N290" s="47" t="s">
        <v>158</v>
      </c>
      <c r="O290" s="47" t="n">
        <v>3</v>
      </c>
    </row>
    <row r="291" customFormat="false" ht="12.75" hidden="false" customHeight="true" outlineLevel="0" collapsed="false">
      <c r="M291" s="47" t="s">
        <v>821</v>
      </c>
      <c r="N291" s="47" t="s">
        <v>822</v>
      </c>
      <c r="O291" s="47" t="n">
        <v>0.05</v>
      </c>
    </row>
    <row r="292" customFormat="false" ht="12.75" hidden="false" customHeight="true" outlineLevel="0" collapsed="false">
      <c r="M292" s="47" t="s">
        <v>823</v>
      </c>
      <c r="N292" s="47" t="s">
        <v>168</v>
      </c>
      <c r="O292" s="47" t="n">
        <v>5</v>
      </c>
    </row>
    <row r="293" customFormat="false" ht="12.75" hidden="false" customHeight="true" outlineLevel="0" collapsed="false">
      <c r="M293" s="47" t="s">
        <v>824</v>
      </c>
      <c r="N293" s="47" t="s">
        <v>825</v>
      </c>
      <c r="O293" s="47" t="n">
        <v>5</v>
      </c>
    </row>
    <row r="294" customFormat="false" ht="12.75" hidden="false" customHeight="true" outlineLevel="0" collapsed="false">
      <c r="M294" s="47" t="s">
        <v>826</v>
      </c>
      <c r="N294" s="47" t="s">
        <v>46</v>
      </c>
      <c r="O294" s="47" t="n">
        <v>400</v>
      </c>
    </row>
    <row r="295" customFormat="false" ht="12.75" hidden="false" customHeight="true" outlineLevel="0" collapsed="false">
      <c r="M295" s="47" t="s">
        <v>827</v>
      </c>
      <c r="N295" s="47" t="s">
        <v>828</v>
      </c>
      <c r="O295" s="47" t="n">
        <v>5</v>
      </c>
    </row>
    <row r="296" customFormat="false" ht="12.75" hidden="false" customHeight="true" outlineLevel="0" collapsed="false">
      <c r="M296" s="47" t="s">
        <v>829</v>
      </c>
      <c r="N296" s="47" t="s">
        <v>830</v>
      </c>
      <c r="O296" s="47" t="n">
        <v>5</v>
      </c>
    </row>
    <row r="297" customFormat="false" ht="12.75" hidden="false" customHeight="true" outlineLevel="0" collapsed="false">
      <c r="M297" s="47" t="s">
        <v>831</v>
      </c>
      <c r="N297" s="47" t="s">
        <v>210</v>
      </c>
      <c r="O297" s="47" t="n">
        <v>10</v>
      </c>
    </row>
    <row r="298" customFormat="false" ht="12.75" hidden="false" customHeight="true" outlineLevel="0" collapsed="false">
      <c r="M298" s="47" t="s">
        <v>39</v>
      </c>
      <c r="N298" s="47" t="s">
        <v>40</v>
      </c>
      <c r="O298" s="47" t="n">
        <v>20</v>
      </c>
    </row>
    <row r="299" customFormat="false" ht="12.75" hidden="false" customHeight="true" outlineLevel="0" collapsed="false">
      <c r="M299" s="47" t="s">
        <v>832</v>
      </c>
      <c r="N299" s="47" t="s">
        <v>833</v>
      </c>
      <c r="O299" s="47" t="n">
        <v>5</v>
      </c>
    </row>
    <row r="300" customFormat="false" ht="12.75" hidden="false" customHeight="true" outlineLevel="0" collapsed="false">
      <c r="M300" s="47" t="s">
        <v>834</v>
      </c>
      <c r="N300" s="47" t="s">
        <v>835</v>
      </c>
      <c r="O300" s="47" t="n">
        <v>25</v>
      </c>
    </row>
    <row r="301" customFormat="false" ht="12.75" hidden="false" customHeight="true" outlineLevel="0" collapsed="false">
      <c r="M301" s="47" t="s">
        <v>836</v>
      </c>
      <c r="N301" s="47" t="s">
        <v>162</v>
      </c>
      <c r="O301" s="47" t="n">
        <v>50</v>
      </c>
    </row>
    <row r="302" customFormat="false" ht="12.75" hidden="false" customHeight="true" outlineLevel="0" collapsed="false">
      <c r="M302" s="47" t="s">
        <v>837</v>
      </c>
      <c r="N302" s="47" t="s">
        <v>838</v>
      </c>
      <c r="O302" s="47" t="n">
        <v>100</v>
      </c>
    </row>
    <row r="303" customFormat="false" ht="12.75" hidden="false" customHeight="true" outlineLevel="0" collapsed="false">
      <c r="M303" s="47" t="s">
        <v>839</v>
      </c>
      <c r="N303" s="47" t="s">
        <v>840</v>
      </c>
      <c r="O303" s="47" t="n">
        <v>200</v>
      </c>
    </row>
    <row r="304" customFormat="false" ht="12.75" hidden="false" customHeight="true" outlineLevel="0" collapsed="false">
      <c r="M304" s="47" t="s">
        <v>841</v>
      </c>
      <c r="N304" s="47" t="s">
        <v>842</v>
      </c>
    </row>
    <row r="305" customFormat="false" ht="12.75" hidden="false" customHeight="true" outlineLevel="0" collapsed="false">
      <c r="M305" s="47" t="s">
        <v>843</v>
      </c>
      <c r="N305" s="47" t="s">
        <v>104</v>
      </c>
      <c r="O305" s="47" t="n">
        <v>10</v>
      </c>
    </row>
    <row r="306" customFormat="false" ht="12.75" hidden="false" customHeight="true" outlineLevel="0" collapsed="false">
      <c r="M306" s="47" t="s">
        <v>844</v>
      </c>
      <c r="N306" s="47" t="s">
        <v>845</v>
      </c>
    </row>
    <row r="307" customFormat="false" ht="12.75" hidden="false" customHeight="true" outlineLevel="0" collapsed="false">
      <c r="M307" s="47" t="s">
        <v>846</v>
      </c>
      <c r="N307" s="47" t="s">
        <v>847</v>
      </c>
      <c r="O307" s="47" t="n">
        <v>10</v>
      </c>
    </row>
    <row r="308" customFormat="false" ht="12.75" hidden="false" customHeight="true" outlineLevel="0" collapsed="false">
      <c r="M308" s="47" t="s">
        <v>848</v>
      </c>
      <c r="N308" s="47" t="s">
        <v>80</v>
      </c>
      <c r="O308" s="47" t="n">
        <v>25</v>
      </c>
    </row>
    <row r="309" customFormat="false" ht="12.75" hidden="false" customHeight="true" outlineLevel="0" collapsed="false">
      <c r="M309" s="47" t="s">
        <v>849</v>
      </c>
      <c r="N309" s="47" t="s">
        <v>850</v>
      </c>
      <c r="O309" s="47" t="n">
        <v>0.5</v>
      </c>
    </row>
    <row r="310" customFormat="false" ht="12.75" hidden="false" customHeight="true" outlineLevel="0" collapsed="false">
      <c r="M310" s="47" t="s">
        <v>851</v>
      </c>
      <c r="N310" s="47" t="s">
        <v>852</v>
      </c>
      <c r="O310" s="47" t="n">
        <v>0.02</v>
      </c>
    </row>
    <row r="311" customFormat="false" ht="12.75" hidden="false" customHeight="true" outlineLevel="0" collapsed="false">
      <c r="M311" s="47" t="s">
        <v>853</v>
      </c>
      <c r="N311" s="47" t="s">
        <v>854</v>
      </c>
      <c r="O311" s="47" t="n">
        <v>1</v>
      </c>
    </row>
    <row r="312" customFormat="false" ht="12.75" hidden="false" customHeight="true" outlineLevel="0" collapsed="false">
      <c r="M312" s="47" t="s">
        <v>855</v>
      </c>
      <c r="N312" s="47" t="s">
        <v>856</v>
      </c>
      <c r="O312" s="47" t="n">
        <v>0.05</v>
      </c>
    </row>
    <row r="313" customFormat="false" ht="12.75" hidden="false" customHeight="true" outlineLevel="0" collapsed="false">
      <c r="M313" s="47" t="s">
        <v>857</v>
      </c>
      <c r="N313" s="47" t="s">
        <v>74</v>
      </c>
      <c r="O313" s="47" t="n">
        <v>400</v>
      </c>
    </row>
    <row r="314" customFormat="false" ht="12.75" hidden="false" customHeight="true" outlineLevel="0" collapsed="false">
      <c r="M314" s="47" t="s">
        <v>858</v>
      </c>
      <c r="N314" s="47" t="s">
        <v>859</v>
      </c>
    </row>
    <row r="315" customFormat="false" ht="12.75" hidden="false" customHeight="true" outlineLevel="0" collapsed="false">
      <c r="M315" s="47" t="s">
        <v>860</v>
      </c>
      <c r="N315" s="47" t="s">
        <v>861</v>
      </c>
      <c r="O315" s="47" t="n">
        <v>5</v>
      </c>
    </row>
    <row r="316" customFormat="false" ht="12.75" hidden="false" customHeight="true" outlineLevel="0" collapsed="false">
      <c r="M316" s="47" t="s">
        <v>862</v>
      </c>
      <c r="N316" s="47" t="s">
        <v>863</v>
      </c>
      <c r="O316" s="47" t="n">
        <v>5</v>
      </c>
    </row>
    <row r="317" customFormat="false" ht="12.75" hidden="false" customHeight="true" outlineLevel="0" collapsed="false">
      <c r="M317" s="47" t="s">
        <v>864</v>
      </c>
      <c r="N317" s="47" t="s">
        <v>865</v>
      </c>
      <c r="O317" s="47" t="n">
        <v>2</v>
      </c>
    </row>
    <row r="318" customFormat="false" ht="12.75" hidden="false" customHeight="true" outlineLevel="0" collapsed="false">
      <c r="M318" s="47" t="s">
        <v>866</v>
      </c>
      <c r="N318" s="47" t="s">
        <v>867</v>
      </c>
      <c r="O318" s="47" t="n">
        <v>0.02</v>
      </c>
    </row>
    <row r="319" customFormat="false" ht="12.75" hidden="false" customHeight="true" outlineLevel="0" collapsed="false">
      <c r="M319" s="47" t="s">
        <v>868</v>
      </c>
      <c r="N319" s="47" t="s">
        <v>869</v>
      </c>
      <c r="O319" s="47" t="n">
        <v>0.5</v>
      </c>
    </row>
    <row r="320" customFormat="false" ht="12.75" hidden="false" customHeight="true" outlineLevel="0" collapsed="false">
      <c r="M320" s="47" t="s">
        <v>870</v>
      </c>
      <c r="N320" s="47" t="s">
        <v>871</v>
      </c>
      <c r="O320" s="47" t="n">
        <v>5</v>
      </c>
    </row>
    <row r="321" customFormat="false" ht="12.75" hidden="false" customHeight="true" outlineLevel="0" collapsed="false">
      <c r="M321" s="47" t="s">
        <v>872</v>
      </c>
      <c r="N321" s="47" t="s">
        <v>873</v>
      </c>
      <c r="O321" s="47" t="n">
        <v>10</v>
      </c>
    </row>
    <row r="322" customFormat="false" ht="12.75" hidden="false" customHeight="true" outlineLevel="0" collapsed="false">
      <c r="M322" s="47" t="s">
        <v>874</v>
      </c>
      <c r="N322" s="47" t="s">
        <v>875</v>
      </c>
      <c r="O322" s="47" t="n">
        <v>0.05</v>
      </c>
    </row>
    <row r="323" customFormat="false" ht="12.75" hidden="false" customHeight="true" outlineLevel="0" collapsed="false">
      <c r="M323" s="47" t="s">
        <v>876</v>
      </c>
      <c r="N323" s="47" t="n">
        <v>1953692</v>
      </c>
      <c r="O323" s="47" t="n">
        <v>1</v>
      </c>
    </row>
    <row r="324" customFormat="false" ht="12.75" hidden="false" customHeight="true" outlineLevel="0" collapsed="false">
      <c r="M324" s="47" t="s">
        <v>877</v>
      </c>
      <c r="N324" s="47" t="s">
        <v>878</v>
      </c>
      <c r="O324" s="47" t="n">
        <v>0.01</v>
      </c>
    </row>
    <row r="325" customFormat="false" ht="12.75" hidden="false" customHeight="true" outlineLevel="0" collapsed="false">
      <c r="M325" s="47" t="s">
        <v>879</v>
      </c>
      <c r="N325" s="47" t="s">
        <v>880</v>
      </c>
      <c r="O325" s="47" t="n">
        <v>0.0001</v>
      </c>
    </row>
    <row r="326" customFormat="false" ht="12.75" hidden="false" customHeight="true" outlineLevel="0" collapsed="false">
      <c r="M326" s="47" t="s">
        <v>881</v>
      </c>
      <c r="O326" s="47" t="n">
        <v>0.001</v>
      </c>
    </row>
    <row r="327" customFormat="false" ht="12.75" hidden="false" customHeight="true" outlineLevel="0" collapsed="false">
      <c r="M327" s="47" t="s">
        <v>882</v>
      </c>
      <c r="N327" s="47" t="s">
        <v>883</v>
      </c>
      <c r="O327" s="47" t="n">
        <v>0.05</v>
      </c>
    </row>
    <row r="328" customFormat="false" ht="12.75" hidden="false" customHeight="true" outlineLevel="0" collapsed="false">
      <c r="M328" s="47" t="s">
        <v>884</v>
      </c>
      <c r="N328" s="47" t="s">
        <v>885</v>
      </c>
      <c r="O328" s="47" t="n">
        <v>5</v>
      </c>
    </row>
    <row r="329" customFormat="false" ht="12.75" hidden="false" customHeight="true" outlineLevel="0" collapsed="false">
      <c r="M329" s="47" t="s">
        <v>886</v>
      </c>
      <c r="N329" s="47" t="s">
        <v>887</v>
      </c>
      <c r="O329" s="47" t="n">
        <v>1</v>
      </c>
    </row>
    <row r="330" customFormat="false" ht="12.75" hidden="false" customHeight="true" outlineLevel="0" collapsed="false">
      <c r="M330" s="47" t="s">
        <v>888</v>
      </c>
      <c r="N330" s="47" t="s">
        <v>889</v>
      </c>
      <c r="O330" s="47" t="n">
        <v>0.5</v>
      </c>
    </row>
    <row r="331" customFormat="false" ht="12.75" hidden="false" customHeight="true" outlineLevel="0" collapsed="false">
      <c r="M331" s="47" t="s">
        <v>890</v>
      </c>
      <c r="N331" s="47" t="s">
        <v>891</v>
      </c>
      <c r="O331" s="47" t="n">
        <v>1</v>
      </c>
    </row>
    <row r="332" customFormat="false" ht="12.75" hidden="false" customHeight="true" outlineLevel="0" collapsed="false">
      <c r="M332" s="47" t="s">
        <v>892</v>
      </c>
      <c r="N332" s="47" t="s">
        <v>893</v>
      </c>
      <c r="O332" s="47" t="n">
        <v>0.1</v>
      </c>
    </row>
    <row r="333" customFormat="false" ht="12.75" hidden="false" customHeight="true" outlineLevel="0" collapsed="false">
      <c r="M333" s="47" t="s">
        <v>47</v>
      </c>
      <c r="N333" s="47" t="s">
        <v>48</v>
      </c>
      <c r="O333" s="47" t="n">
        <v>5</v>
      </c>
    </row>
    <row r="334" customFormat="false" ht="12.75" hidden="false" customHeight="true" outlineLevel="0" collapsed="false">
      <c r="M334" s="47" t="s">
        <v>85</v>
      </c>
      <c r="N334" s="47" t="s">
        <v>86</v>
      </c>
      <c r="O334" s="47" t="n">
        <v>0.2</v>
      </c>
    </row>
    <row r="335" customFormat="false" ht="12.75" hidden="false" customHeight="true" outlineLevel="0" collapsed="false">
      <c r="M335" s="47" t="s">
        <v>894</v>
      </c>
      <c r="N335" s="47" t="s">
        <v>180</v>
      </c>
      <c r="O335" s="47" t="n">
        <v>0.2</v>
      </c>
    </row>
    <row r="336" customFormat="false" ht="12.75" hidden="false" customHeight="true" outlineLevel="0" collapsed="false">
      <c r="M336" s="47" t="s">
        <v>895</v>
      </c>
      <c r="N336" s="47" t="s">
        <v>896</v>
      </c>
      <c r="O336" s="47" t="n">
        <v>0.0003</v>
      </c>
    </row>
    <row r="337" customFormat="false" ht="12.75" hidden="false" customHeight="true" outlineLevel="0" collapsed="false">
      <c r="M337" s="47" t="s">
        <v>897</v>
      </c>
      <c r="N337" s="47" t="s">
        <v>898</v>
      </c>
      <c r="O337" s="47" t="n">
        <v>300</v>
      </c>
    </row>
    <row r="338" customFormat="false" ht="12.75" hidden="false" customHeight="true" outlineLevel="0" collapsed="false">
      <c r="M338" s="47" t="s">
        <v>899</v>
      </c>
      <c r="N338" s="47" t="s">
        <v>900</v>
      </c>
      <c r="O338" s="47" t="n">
        <v>0.2</v>
      </c>
    </row>
    <row r="339" customFormat="false" ht="12.75" hidden="false" customHeight="true" outlineLevel="0" collapsed="false">
      <c r="M339" s="47" t="s">
        <v>901</v>
      </c>
      <c r="N339" s="47" t="s">
        <v>902</v>
      </c>
    </row>
    <row r="340" customFormat="false" ht="12.75" hidden="false" customHeight="true" outlineLevel="0" collapsed="false">
      <c r="M340" s="47" t="s">
        <v>903</v>
      </c>
      <c r="N340" s="47" t="s">
        <v>904</v>
      </c>
      <c r="O340" s="47" t="n">
        <v>2</v>
      </c>
    </row>
    <row r="341" customFormat="false" ht="12.75" hidden="false" customHeight="true" outlineLevel="0" collapsed="false">
      <c r="M341" s="47" t="s">
        <v>905</v>
      </c>
      <c r="N341" s="47" t="s">
        <v>906</v>
      </c>
      <c r="O341" s="47" t="n">
        <v>0.01</v>
      </c>
    </row>
    <row r="342" customFormat="false" ht="12.75" hidden="false" customHeight="true" outlineLevel="0" collapsed="false">
      <c r="M342" s="47" t="s">
        <v>907</v>
      </c>
      <c r="N342" s="47" t="s">
        <v>908</v>
      </c>
      <c r="O342" s="47" t="n">
        <v>0.1</v>
      </c>
    </row>
    <row r="343" customFormat="false" ht="12.75" hidden="false" customHeight="true" outlineLevel="0" collapsed="false">
      <c r="M343" s="47" t="s">
        <v>909</v>
      </c>
      <c r="N343" s="47" t="s">
        <v>910</v>
      </c>
      <c r="O343" s="47" t="n">
        <v>5</v>
      </c>
    </row>
    <row r="344" customFormat="false" ht="12.75" hidden="false" customHeight="true" outlineLevel="0" collapsed="false">
      <c r="M344" s="47" t="s">
        <v>911</v>
      </c>
      <c r="O344" s="47" t="n">
        <v>4</v>
      </c>
    </row>
    <row r="345" customFormat="false" ht="12.75" hidden="false" customHeight="true" outlineLevel="0" collapsed="false">
      <c r="M345" s="47" t="s">
        <v>912</v>
      </c>
      <c r="N345" s="47" t="s">
        <v>913</v>
      </c>
      <c r="O345" s="47" t="n">
        <v>2</v>
      </c>
    </row>
    <row r="346" customFormat="false" ht="12.75" hidden="false" customHeight="true" outlineLevel="0" collapsed="false">
      <c r="M346" s="47" t="s">
        <v>914</v>
      </c>
      <c r="N346" s="47" t="s">
        <v>915</v>
      </c>
      <c r="O346" s="47" t="n">
        <v>0.5</v>
      </c>
    </row>
    <row r="347" customFormat="false" ht="12.75" hidden="false" customHeight="true" outlineLevel="0" collapsed="false">
      <c r="M347" s="47" t="s">
        <v>916</v>
      </c>
      <c r="N347" s="47" t="s">
        <v>917</v>
      </c>
      <c r="O347" s="47" t="n">
        <v>5</v>
      </c>
    </row>
    <row r="348" customFormat="false" ht="12.75" hidden="false" customHeight="true" outlineLevel="0" collapsed="false">
      <c r="M348" s="47" t="s">
        <v>918</v>
      </c>
      <c r="N348" s="47" t="s">
        <v>618</v>
      </c>
      <c r="O348" s="47" t="n">
        <v>0.005</v>
      </c>
    </row>
    <row r="349" customFormat="false" ht="12.75" hidden="false" customHeight="true" outlineLevel="0" collapsed="false">
      <c r="M349" s="47" t="s">
        <v>919</v>
      </c>
      <c r="N349" s="47" t="s">
        <v>920</v>
      </c>
    </row>
    <row r="350" customFormat="false" ht="12.75" hidden="false" customHeight="true" outlineLevel="0" collapsed="false">
      <c r="M350" s="47" t="s">
        <v>921</v>
      </c>
      <c r="N350" s="47" t="s">
        <v>922</v>
      </c>
      <c r="O350" s="47" t="n">
        <v>0.05</v>
      </c>
    </row>
    <row r="351" customFormat="false" ht="12.75" hidden="false" customHeight="true" outlineLevel="0" collapsed="false">
      <c r="M351" s="47" t="s">
        <v>923</v>
      </c>
      <c r="N351" s="47" t="s">
        <v>924</v>
      </c>
    </row>
    <row r="352" customFormat="false" ht="12.75" hidden="false" customHeight="true" outlineLevel="0" collapsed="false">
      <c r="M352" s="47" t="s">
        <v>925</v>
      </c>
      <c r="N352" s="47" t="s">
        <v>926</v>
      </c>
      <c r="O352" s="47" t="n">
        <v>200</v>
      </c>
    </row>
    <row r="353" customFormat="false" ht="12.75" hidden="false" customHeight="true" outlineLevel="0" collapsed="false">
      <c r="M353" s="47" t="s">
        <v>927</v>
      </c>
      <c r="N353" s="47" t="s">
        <v>928</v>
      </c>
      <c r="O353" s="47" t="n">
        <v>0.002</v>
      </c>
    </row>
    <row r="354" customFormat="false" ht="12.75" hidden="false" customHeight="true" outlineLevel="0" collapsed="false">
      <c r="M354" s="47" t="s">
        <v>929</v>
      </c>
      <c r="N354" s="47" t="s">
        <v>930</v>
      </c>
      <c r="O354" s="47" t="n">
        <v>0.02</v>
      </c>
    </row>
    <row r="355" customFormat="false" ht="12.75" hidden="false" customHeight="true" outlineLevel="0" collapsed="false">
      <c r="M355" s="47" t="s">
        <v>931</v>
      </c>
      <c r="N355" s="47" t="s">
        <v>932</v>
      </c>
      <c r="O355" s="47" t="n">
        <v>0.01</v>
      </c>
    </row>
    <row r="356" customFormat="false" ht="12.75" hidden="false" customHeight="true" outlineLevel="0" collapsed="false">
      <c r="M356" s="47" t="s">
        <v>933</v>
      </c>
      <c r="N356" s="47" t="s">
        <v>934</v>
      </c>
      <c r="O356" s="47" t="n">
        <v>1</v>
      </c>
    </row>
    <row r="357" customFormat="false" ht="12.75" hidden="false" customHeight="true" outlineLevel="0" collapsed="false">
      <c r="M357" s="47" t="s">
        <v>935</v>
      </c>
      <c r="N357" s="47" t="s">
        <v>936</v>
      </c>
      <c r="O357" s="47" t="n">
        <v>0.2</v>
      </c>
    </row>
    <row r="358" customFormat="false" ht="12.75" hidden="false" customHeight="true" outlineLevel="0" collapsed="false">
      <c r="M358" s="47" t="s">
        <v>937</v>
      </c>
      <c r="N358" s="47" t="s">
        <v>938</v>
      </c>
      <c r="O358" s="47" t="n">
        <v>0.1</v>
      </c>
    </row>
    <row r="359" customFormat="false" ht="12.75" hidden="false" customHeight="true" outlineLevel="0" collapsed="false">
      <c r="M359" s="47" t="s">
        <v>939</v>
      </c>
      <c r="N359" s="47" t="s">
        <v>940</v>
      </c>
      <c r="O359" s="47" t="n">
        <v>0.1</v>
      </c>
    </row>
    <row r="360" customFormat="false" ht="12.75" hidden="false" customHeight="true" outlineLevel="0" collapsed="false">
      <c r="M360" s="47" t="s">
        <v>941</v>
      </c>
      <c r="N360" s="47" t="s">
        <v>942</v>
      </c>
    </row>
    <row r="361" customFormat="false" ht="12.75" hidden="false" customHeight="true" outlineLevel="0" collapsed="false">
      <c r="M361" s="47" t="s">
        <v>943</v>
      </c>
      <c r="N361" s="47" t="s">
        <v>944</v>
      </c>
      <c r="O361" s="47" t="n">
        <v>0.005</v>
      </c>
    </row>
    <row r="362" customFormat="false" ht="12.75" hidden="false" customHeight="true" outlineLevel="0" collapsed="false">
      <c r="M362" s="47" t="s">
        <v>945</v>
      </c>
      <c r="N362" s="47" t="s">
        <v>946</v>
      </c>
      <c r="O362" s="47" t="n">
        <v>1</v>
      </c>
    </row>
    <row r="363" customFormat="false" ht="12.75" hidden="false" customHeight="true" outlineLevel="0" collapsed="false">
      <c r="M363" s="47" t="s">
        <v>947</v>
      </c>
      <c r="N363" s="47" t="s">
        <v>948</v>
      </c>
    </row>
    <row r="364" customFormat="false" ht="12.75" hidden="false" customHeight="true" outlineLevel="0" collapsed="false">
      <c r="M364" s="47" t="s">
        <v>949</v>
      </c>
    </row>
    <row r="365" customFormat="false" ht="12.75" hidden="false" customHeight="true" outlineLevel="0" collapsed="false">
      <c r="M365" s="47" t="s">
        <v>950</v>
      </c>
      <c r="O365" s="47" t="n">
        <v>100</v>
      </c>
    </row>
    <row r="366" customFormat="false" ht="12.75" hidden="false" customHeight="true" outlineLevel="0" collapsed="false">
      <c r="M366" s="47" t="s">
        <v>951</v>
      </c>
      <c r="O366" s="47" t="n">
        <v>200</v>
      </c>
    </row>
    <row r="367" customFormat="false" ht="12.75" hidden="false" customHeight="true" outlineLevel="0" collapsed="false">
      <c r="M367" s="47" t="s">
        <v>952</v>
      </c>
      <c r="N367" s="47" t="s">
        <v>953</v>
      </c>
    </row>
    <row r="368" customFormat="false" ht="12.75" hidden="false" customHeight="true" outlineLevel="0" collapsed="false">
      <c r="M368" s="47" t="s">
        <v>954</v>
      </c>
      <c r="N368" s="47" t="s">
        <v>28</v>
      </c>
      <c r="O368" s="47" t="n">
        <v>50</v>
      </c>
    </row>
    <row r="369" customFormat="false" ht="12.75" hidden="false" customHeight="true" outlineLevel="0" collapsed="false">
      <c r="M369" s="47" t="s">
        <v>955</v>
      </c>
      <c r="N369" s="47" t="s">
        <v>956</v>
      </c>
      <c r="O369" s="47" t="n">
        <v>0.5</v>
      </c>
    </row>
    <row r="370" customFormat="false" ht="12.75" hidden="false" customHeight="true" outlineLevel="0" collapsed="false">
      <c r="M370" s="47" t="s">
        <v>957</v>
      </c>
      <c r="N370" s="47" t="n">
        <v>1177269</v>
      </c>
      <c r="O370" s="47" t="n">
        <v>3</v>
      </c>
    </row>
    <row r="371" customFormat="false" ht="12.75" hidden="false" customHeight="true" outlineLevel="0" collapsed="false">
      <c r="M371" s="47" t="s">
        <v>958</v>
      </c>
      <c r="N371" s="47" t="s">
        <v>959</v>
      </c>
      <c r="O371" s="47" t="n">
        <v>50</v>
      </c>
    </row>
    <row r="372" customFormat="false" ht="12.75" hidden="false" customHeight="true" outlineLevel="0" collapsed="false">
      <c r="M372" s="47" t="s">
        <v>960</v>
      </c>
      <c r="N372" s="47" t="s">
        <v>110</v>
      </c>
      <c r="O372" s="47" t="n">
        <v>20</v>
      </c>
    </row>
    <row r="373" customFormat="false" ht="12.75" hidden="false" customHeight="true" outlineLevel="0" collapsed="false">
      <c r="M373" s="47" t="s">
        <v>961</v>
      </c>
      <c r="N373" s="47" t="s">
        <v>962</v>
      </c>
      <c r="O373" s="47" t="n">
        <v>25</v>
      </c>
    </row>
    <row r="374" customFormat="false" ht="12.75" hidden="false" customHeight="true" outlineLevel="0" collapsed="false">
      <c r="M374" s="47" t="s">
        <v>963</v>
      </c>
      <c r="N374" s="47" t="s">
        <v>964</v>
      </c>
      <c r="O374" s="47" t="n">
        <v>0.01</v>
      </c>
    </row>
    <row r="375" customFormat="false" ht="12.75" hidden="false" customHeight="true" outlineLevel="0" collapsed="false">
      <c r="M375" s="47" t="s">
        <v>965</v>
      </c>
    </row>
    <row r="376" customFormat="false" ht="12.75" hidden="false" customHeight="true" outlineLevel="0" collapsed="false">
      <c r="M376" s="47" t="s">
        <v>966</v>
      </c>
      <c r="N376" s="47" t="s">
        <v>967</v>
      </c>
    </row>
    <row r="377" customFormat="false" ht="12.75" hidden="false" customHeight="true" outlineLevel="0" collapsed="false">
      <c r="M377" s="47" t="s">
        <v>968</v>
      </c>
      <c r="N377" s="47" t="s">
        <v>969</v>
      </c>
      <c r="O377" s="47" t="n">
        <v>0.5</v>
      </c>
    </row>
    <row r="378" customFormat="false" ht="12.75" hidden="false" customHeight="true" outlineLevel="0" collapsed="false">
      <c r="M378" s="47" t="s">
        <v>970</v>
      </c>
      <c r="N378" s="47" t="s">
        <v>971</v>
      </c>
    </row>
    <row r="379" customFormat="false" ht="12.75" hidden="false" customHeight="true" outlineLevel="0" collapsed="false">
      <c r="M379" s="47" t="s">
        <v>972</v>
      </c>
      <c r="N379" s="47" t="s">
        <v>973</v>
      </c>
    </row>
    <row r="380" customFormat="false" ht="12.75" hidden="false" customHeight="true" outlineLevel="0" collapsed="false">
      <c r="M380" s="47" t="s">
        <v>974</v>
      </c>
    </row>
    <row r="381" customFormat="false" ht="12.75" hidden="false" customHeight="true" outlineLevel="0" collapsed="false">
      <c r="M381" s="47" t="s">
        <v>975</v>
      </c>
      <c r="N381" s="47" t="s">
        <v>976</v>
      </c>
    </row>
    <row r="382" customFormat="false" ht="12.75" hidden="false" customHeight="true" outlineLevel="0" collapsed="false">
      <c r="M382" s="47" t="s">
        <v>977</v>
      </c>
      <c r="N382" s="47" t="s">
        <v>978</v>
      </c>
      <c r="O382" s="47" t="n">
        <v>0.5</v>
      </c>
    </row>
    <row r="383" customFormat="false" ht="12.75" hidden="false" customHeight="true" outlineLevel="0" collapsed="false">
      <c r="M383" s="47" t="s">
        <v>979</v>
      </c>
      <c r="N383" s="47" t="s">
        <v>980</v>
      </c>
      <c r="O383" s="47" t="n">
        <v>1</v>
      </c>
    </row>
    <row r="384" customFormat="false" ht="12.75" hidden="false" customHeight="true" outlineLevel="0" collapsed="false">
      <c r="M384" s="47" t="s">
        <v>981</v>
      </c>
      <c r="N384" s="47" t="n">
        <v>2148909</v>
      </c>
      <c r="O384" s="47" t="n">
        <v>0.05</v>
      </c>
    </row>
    <row r="385" customFormat="false" ht="12.75" hidden="false" customHeight="true" outlineLevel="0" collapsed="false">
      <c r="M385" s="47" t="s">
        <v>982</v>
      </c>
      <c r="N385" s="47" t="n">
        <v>2148878</v>
      </c>
      <c r="O385" s="47" t="n">
        <v>1</v>
      </c>
    </row>
    <row r="386" customFormat="false" ht="12.75" hidden="false" customHeight="true" outlineLevel="0" collapsed="false">
      <c r="M386" s="47" t="s">
        <v>983</v>
      </c>
      <c r="N386" s="47" t="s">
        <v>984</v>
      </c>
      <c r="O386" s="47" t="n">
        <v>1</v>
      </c>
    </row>
    <row r="387" customFormat="false" ht="12.75" hidden="false" customHeight="true" outlineLevel="0" collapsed="false">
      <c r="M387" s="47" t="s">
        <v>985</v>
      </c>
      <c r="N387" s="47" t="s">
        <v>986</v>
      </c>
      <c r="O387" s="47" t="n">
        <v>0.5</v>
      </c>
    </row>
    <row r="388" customFormat="false" ht="12.75" hidden="false" customHeight="true" outlineLevel="0" collapsed="false">
      <c r="M388" s="47" t="s">
        <v>987</v>
      </c>
      <c r="N388" s="47" t="s">
        <v>988</v>
      </c>
      <c r="O388" s="47" t="n">
        <v>10</v>
      </c>
    </row>
    <row r="389" customFormat="false" ht="12.75" hidden="false" customHeight="true" outlineLevel="0" collapsed="false">
      <c r="M389" s="47" t="s">
        <v>989</v>
      </c>
      <c r="N389" s="47" t="s">
        <v>990</v>
      </c>
      <c r="O389" s="47" t="n">
        <v>0.005</v>
      </c>
    </row>
    <row r="390" customFormat="false" ht="12.75" hidden="false" customHeight="true" outlineLevel="0" collapsed="false">
      <c r="M390" s="47" t="s">
        <v>991</v>
      </c>
      <c r="N390" s="47" t="s">
        <v>992</v>
      </c>
      <c r="O390" s="47" t="n">
        <v>5</v>
      </c>
    </row>
    <row r="391" customFormat="false" ht="12.75" hidden="false" customHeight="true" outlineLevel="0" collapsed="false">
      <c r="M391" s="47" t="s">
        <v>993</v>
      </c>
      <c r="N391" s="47" t="s">
        <v>994</v>
      </c>
      <c r="O391" s="47" t="n">
        <v>0.1</v>
      </c>
    </row>
    <row r="392" customFormat="false" ht="12.75" hidden="false" customHeight="true" outlineLevel="0" collapsed="false">
      <c r="M392" s="47" t="s">
        <v>995</v>
      </c>
    </row>
    <row r="393" customFormat="false" ht="12.75" hidden="false" customHeight="true" outlineLevel="0" collapsed="false">
      <c r="M393" s="47" t="s">
        <v>996</v>
      </c>
      <c r="N393" s="47" t="n">
        <v>1166169</v>
      </c>
      <c r="O393" s="47" t="n">
        <v>0.0001</v>
      </c>
    </row>
    <row r="394" customFormat="false" ht="12.75" hidden="false" customHeight="true" outlineLevel="0" collapsed="false">
      <c r="M394" s="47" t="s">
        <v>997</v>
      </c>
    </row>
    <row r="395" customFormat="false" ht="12.75" hidden="false" customHeight="true" outlineLevel="0" collapsed="false">
      <c r="M395" s="47" t="s">
        <v>998</v>
      </c>
    </row>
    <row r="396" customFormat="false" ht="12.75" hidden="false" customHeight="true" outlineLevel="0" collapsed="false">
      <c r="M396" s="47" t="s">
        <v>999</v>
      </c>
      <c r="N396" s="47" t="s">
        <v>1000</v>
      </c>
      <c r="O396" s="47" t="n">
        <v>0.001</v>
      </c>
    </row>
    <row r="397" customFormat="false" ht="12.75" hidden="false" customHeight="true" outlineLevel="0" collapsed="false">
      <c r="M397" s="47" t="s">
        <v>1001</v>
      </c>
      <c r="O397" s="47" t="n">
        <v>0.01</v>
      </c>
    </row>
    <row r="398" customFormat="false" ht="12.75" hidden="false" customHeight="true" outlineLevel="0" collapsed="false">
      <c r="M398" s="47" t="s">
        <v>1002</v>
      </c>
      <c r="N398" s="47" t="s">
        <v>1003</v>
      </c>
      <c r="O398" s="47" t="n">
        <v>0.001</v>
      </c>
    </row>
    <row r="399" customFormat="false" ht="12.75" hidden="false" customHeight="true" outlineLevel="0" collapsed="false">
      <c r="M399" s="47" t="s">
        <v>1004</v>
      </c>
      <c r="N399" s="47" t="s">
        <v>1005</v>
      </c>
      <c r="O399" s="47" t="n">
        <v>5</v>
      </c>
    </row>
    <row r="400" customFormat="false" ht="12.75" hidden="false" customHeight="true" outlineLevel="0" collapsed="false">
      <c r="M400" s="47" t="s">
        <v>1006</v>
      </c>
      <c r="N400" s="47" t="s">
        <v>1007</v>
      </c>
      <c r="O400" s="47" t="n">
        <v>0.1</v>
      </c>
    </row>
    <row r="401" customFormat="false" ht="12.75" hidden="false" customHeight="true" outlineLevel="0" collapsed="false">
      <c r="M401" s="47" t="s">
        <v>1008</v>
      </c>
      <c r="O401" s="47" t="n">
        <v>1</v>
      </c>
    </row>
    <row r="402" customFormat="false" ht="12.75" hidden="false" customHeight="true" outlineLevel="0" collapsed="false">
      <c r="M402" s="47" t="s">
        <v>1009</v>
      </c>
      <c r="N402" s="47" t="s">
        <v>138</v>
      </c>
      <c r="O402" s="47" t="n">
        <v>100</v>
      </c>
    </row>
    <row r="403" customFormat="false" ht="12.75" hidden="false" customHeight="true" outlineLevel="0" collapsed="false">
      <c r="M403" s="47" t="s">
        <v>1010</v>
      </c>
      <c r="N403" s="47" t="s">
        <v>142</v>
      </c>
      <c r="O403" s="47" t="n">
        <v>50</v>
      </c>
    </row>
    <row r="404" customFormat="false" ht="12.75" hidden="false" customHeight="true" outlineLevel="0" collapsed="false">
      <c r="M404" s="47" t="s">
        <v>1011</v>
      </c>
      <c r="N404" s="47" t="s">
        <v>1012</v>
      </c>
    </row>
    <row r="405" customFormat="false" ht="12.75" hidden="false" customHeight="true" outlineLevel="0" collapsed="false">
      <c r="M405" s="47" t="s">
        <v>1013</v>
      </c>
      <c r="N405" s="47" t="s">
        <v>1014</v>
      </c>
      <c r="O405" s="47" t="n">
        <v>50</v>
      </c>
    </row>
    <row r="406" customFormat="false" ht="12.75" hidden="false" customHeight="true" outlineLevel="0" collapsed="false">
      <c r="M406" s="47" t="s">
        <v>1015</v>
      </c>
      <c r="N406" s="47" t="s">
        <v>1016</v>
      </c>
      <c r="O406" s="47" t="n">
        <v>50</v>
      </c>
    </row>
    <row r="407" customFormat="false" ht="12.75" hidden="false" customHeight="true" outlineLevel="0" collapsed="false">
      <c r="M407" s="47" t="s">
        <v>1017</v>
      </c>
      <c r="N407" s="47" t="s">
        <v>1018</v>
      </c>
    </row>
    <row r="408" customFormat="false" ht="12.75" hidden="false" customHeight="true" outlineLevel="0" collapsed="false">
      <c r="M408" s="47" t="s">
        <v>1019</v>
      </c>
      <c r="N408" s="47" t="s">
        <v>1020</v>
      </c>
      <c r="O408" s="47" t="n">
        <v>0.005</v>
      </c>
    </row>
    <row r="409" customFormat="false" ht="12.75" hidden="false" customHeight="true" outlineLevel="0" collapsed="false">
      <c r="M409" s="47" t="s">
        <v>1021</v>
      </c>
      <c r="N409" s="47" t="s">
        <v>1022</v>
      </c>
      <c r="O409" s="47" t="n">
        <v>25</v>
      </c>
    </row>
    <row r="410" customFormat="false" ht="12.75" hidden="false" customHeight="true" outlineLevel="0" collapsed="false">
      <c r="M410" s="47" t="s">
        <v>1023</v>
      </c>
      <c r="N410" s="47" t="s">
        <v>1024</v>
      </c>
      <c r="O410" s="47" t="n">
        <v>2</v>
      </c>
    </row>
    <row r="411" customFormat="false" ht="12.75" hidden="false" customHeight="true" outlineLevel="0" collapsed="false">
      <c r="M411" s="47" t="s">
        <v>1025</v>
      </c>
      <c r="N411" s="47" t="s">
        <v>1026</v>
      </c>
      <c r="O411" s="47" t="n">
        <v>2</v>
      </c>
    </row>
    <row r="412" customFormat="false" ht="12.75" hidden="false" customHeight="true" outlineLevel="0" collapsed="false">
      <c r="M412" s="47" t="s">
        <v>1027</v>
      </c>
      <c r="N412" s="47" t="s">
        <v>206</v>
      </c>
      <c r="O412" s="47" t="n">
        <v>20</v>
      </c>
    </row>
    <row r="413" customFormat="false" ht="12.75" hidden="false" customHeight="true" outlineLevel="0" collapsed="false">
      <c r="M413" s="47" t="s">
        <v>1028</v>
      </c>
      <c r="N413" s="47" t="s">
        <v>1029</v>
      </c>
      <c r="O413" s="47" t="n">
        <v>50</v>
      </c>
    </row>
    <row r="414" customFormat="false" ht="12.75" hidden="false" customHeight="true" outlineLevel="0" collapsed="false">
      <c r="M414" s="47" t="s">
        <v>1030</v>
      </c>
      <c r="N414" s="47" t="s">
        <v>1031</v>
      </c>
      <c r="O414" s="47" t="n">
        <v>2</v>
      </c>
    </row>
    <row r="415" customFormat="false" ht="12.75" hidden="false" customHeight="true" outlineLevel="0" collapsed="false">
      <c r="M415" s="47" t="s">
        <v>1032</v>
      </c>
      <c r="N415" s="47" t="s">
        <v>1033</v>
      </c>
      <c r="O415" s="47" t="n">
        <v>200</v>
      </c>
    </row>
    <row r="416" customFormat="false" ht="12.75" hidden="false" customHeight="true" outlineLevel="0" collapsed="false">
      <c r="M416" s="47" t="s">
        <v>1034</v>
      </c>
    </row>
    <row r="417" customFormat="false" ht="12.75" hidden="false" customHeight="true" outlineLevel="0" collapsed="false">
      <c r="M417" s="47" t="s">
        <v>1035</v>
      </c>
      <c r="N417" s="47" t="s">
        <v>1036</v>
      </c>
    </row>
    <row r="418" customFormat="false" ht="12.75" hidden="false" customHeight="true" outlineLevel="0" collapsed="false">
      <c r="M418" s="47" t="s">
        <v>1037</v>
      </c>
    </row>
    <row r="419" customFormat="false" ht="12.75" hidden="false" customHeight="true" outlineLevel="0" collapsed="false">
      <c r="M419" s="47" t="s">
        <v>1038</v>
      </c>
      <c r="N419" s="47" t="s">
        <v>1039</v>
      </c>
      <c r="O419" s="47" t="n">
        <v>0.05</v>
      </c>
    </row>
    <row r="420" customFormat="false" ht="12.75" hidden="false" customHeight="true" outlineLevel="0" collapsed="false">
      <c r="M420" s="47" t="s">
        <v>1040</v>
      </c>
    </row>
    <row r="421" customFormat="false" ht="12.75" hidden="false" customHeight="true" outlineLevel="0" collapsed="false">
      <c r="M421" s="47" t="s">
        <v>1041</v>
      </c>
      <c r="N421" s="47" t="s">
        <v>1042</v>
      </c>
      <c r="O421" s="47" t="n">
        <v>0.0002</v>
      </c>
    </row>
    <row r="422" customFormat="false" ht="12.75" hidden="false" customHeight="true" outlineLevel="0" collapsed="false">
      <c r="M422" s="47" t="s">
        <v>1043</v>
      </c>
      <c r="N422" s="47" t="s">
        <v>1044</v>
      </c>
      <c r="O422" s="47" t="n">
        <v>0.5</v>
      </c>
    </row>
    <row r="423" customFormat="false" ht="12.75" hidden="false" customHeight="true" outlineLevel="0" collapsed="false">
      <c r="M423" s="47" t="s">
        <v>1045</v>
      </c>
      <c r="N423" s="47" t="s">
        <v>1046</v>
      </c>
    </row>
    <row r="424" customFormat="false" ht="12.75" hidden="false" customHeight="true" outlineLevel="0" collapsed="false">
      <c r="M424" s="47" t="s">
        <v>1047</v>
      </c>
      <c r="N424" s="47" t="s">
        <v>1048</v>
      </c>
      <c r="O424" s="47" t="n">
        <v>10</v>
      </c>
    </row>
    <row r="425" customFormat="false" ht="12.75" hidden="false" customHeight="true" outlineLevel="0" collapsed="false">
      <c r="M425" s="47" t="s">
        <v>1049</v>
      </c>
      <c r="N425" s="47" t="s">
        <v>1050</v>
      </c>
      <c r="O425" s="47" t="n">
        <v>1</v>
      </c>
    </row>
    <row r="426" customFormat="false" ht="12.75" hidden="false" customHeight="true" outlineLevel="0" collapsed="false">
      <c r="M426" s="47" t="s">
        <v>1051</v>
      </c>
      <c r="N426" s="47" t="s">
        <v>1052</v>
      </c>
      <c r="O426" s="47" t="n">
        <v>0.01</v>
      </c>
    </row>
    <row r="427" customFormat="false" ht="12.75" hidden="false" customHeight="true" outlineLevel="0" collapsed="false">
      <c r="M427" s="47" t="s">
        <v>1053</v>
      </c>
    </row>
    <row r="428" customFormat="false" ht="12.75" hidden="false" customHeight="true" outlineLevel="0" collapsed="false">
      <c r="M428" s="47" t="s">
        <v>1054</v>
      </c>
      <c r="N428" s="47" t="s">
        <v>1055</v>
      </c>
      <c r="O428" s="47" t="n">
        <v>0.02</v>
      </c>
    </row>
    <row r="429" customFormat="false" ht="12.75" hidden="false" customHeight="true" outlineLevel="0" collapsed="false">
      <c r="M429" s="47" t="s">
        <v>1056</v>
      </c>
      <c r="O429" s="47" t="n">
        <v>0.1</v>
      </c>
    </row>
    <row r="430" customFormat="false" ht="12.75" hidden="false" customHeight="true" outlineLevel="0" collapsed="false">
      <c r="M430" s="47" t="s">
        <v>1057</v>
      </c>
      <c r="O430" s="47" t="n">
        <v>0.1</v>
      </c>
    </row>
    <row r="431" customFormat="false" ht="12.75" hidden="false" customHeight="true" outlineLevel="0" collapsed="false">
      <c r="M431" s="47" t="s">
        <v>1058</v>
      </c>
      <c r="N431" s="47" t="s">
        <v>1059</v>
      </c>
      <c r="O431" s="47" t="n">
        <v>0.01</v>
      </c>
    </row>
    <row r="432" customFormat="false" ht="12.75" hidden="false" customHeight="true" outlineLevel="0" collapsed="false">
      <c r="M432" s="47" t="s">
        <v>1058</v>
      </c>
      <c r="N432" s="47" t="s">
        <v>1059</v>
      </c>
    </row>
    <row r="433" customFormat="false" ht="12.75" hidden="false" customHeight="true" outlineLevel="0" collapsed="false">
      <c r="M433" s="47" t="s">
        <v>1060</v>
      </c>
      <c r="O433" s="47" t="n">
        <v>0.1</v>
      </c>
    </row>
    <row r="434" customFormat="false" ht="12.75" hidden="false" customHeight="true" outlineLevel="0" collapsed="false">
      <c r="M434" s="47" t="s">
        <v>1061</v>
      </c>
      <c r="O434" s="47" t="n">
        <v>0.025</v>
      </c>
    </row>
    <row r="435" customFormat="false" ht="12.75" hidden="false" customHeight="true" outlineLevel="0" collapsed="false">
      <c r="M435" s="47" t="s">
        <v>221</v>
      </c>
      <c r="N435" s="47" t="s">
        <v>222</v>
      </c>
      <c r="O435" s="47" t="n">
        <v>1</v>
      </c>
    </row>
    <row r="436" customFormat="false" ht="12.75" hidden="false" customHeight="true" outlineLevel="0" collapsed="false">
      <c r="M436" s="47" t="s">
        <v>1062</v>
      </c>
      <c r="N436" s="47" t="s">
        <v>1063</v>
      </c>
    </row>
    <row r="437" customFormat="false" ht="12.75" hidden="false" customHeight="true" outlineLevel="0" collapsed="false">
      <c r="M437" s="47" t="s">
        <v>1064</v>
      </c>
      <c r="N437" s="47" t="s">
        <v>32</v>
      </c>
      <c r="O437" s="47" t="n">
        <v>200</v>
      </c>
    </row>
    <row r="438" customFormat="false" ht="12.75" hidden="false" customHeight="true" outlineLevel="0" collapsed="false">
      <c r="M438" s="47" t="s">
        <v>1065</v>
      </c>
      <c r="N438" s="47" t="s">
        <v>1066</v>
      </c>
      <c r="O438" s="47" t="n">
        <v>0.2</v>
      </c>
    </row>
    <row r="439" customFormat="false" ht="12.75" hidden="false" customHeight="true" outlineLevel="0" collapsed="false">
      <c r="M439" s="47" t="s">
        <v>1067</v>
      </c>
      <c r="N439" s="47" t="s">
        <v>1068</v>
      </c>
      <c r="O439" s="47" t="n">
        <v>10</v>
      </c>
    </row>
    <row r="440" customFormat="false" ht="12.75" hidden="false" customHeight="true" outlineLevel="0" collapsed="false">
      <c r="M440" s="47" t="s">
        <v>1069</v>
      </c>
      <c r="N440" s="47" t="s">
        <v>166</v>
      </c>
      <c r="O440" s="47" t="n">
        <v>0.1</v>
      </c>
    </row>
    <row r="441" customFormat="false" ht="12.75" hidden="false" customHeight="true" outlineLevel="0" collapsed="false">
      <c r="M441" s="47" t="s">
        <v>1070</v>
      </c>
      <c r="N441" s="47" t="s">
        <v>116</v>
      </c>
      <c r="O441" s="47" t="n">
        <v>0.1</v>
      </c>
    </row>
    <row r="442" customFormat="false" ht="12.75" hidden="false" customHeight="true" outlineLevel="0" collapsed="false">
      <c r="M442" s="47" t="s">
        <v>1071</v>
      </c>
      <c r="N442" s="47" t="s">
        <v>1072</v>
      </c>
      <c r="O442" s="47" t="n">
        <v>5</v>
      </c>
    </row>
    <row r="443" customFormat="false" ht="12.75" hidden="false" customHeight="true" outlineLevel="0" collapsed="false">
      <c r="M443" s="47" t="s">
        <v>1073</v>
      </c>
      <c r="N443" s="47" t="s">
        <v>1074</v>
      </c>
      <c r="O443" s="47" t="n">
        <v>50</v>
      </c>
    </row>
    <row r="444" customFormat="false" ht="12.75" hidden="false" customHeight="true" outlineLevel="0" collapsed="false">
      <c r="M444" s="47" t="s">
        <v>1075</v>
      </c>
      <c r="N444" s="47" t="s">
        <v>114</v>
      </c>
      <c r="O444" s="47" t="n">
        <v>200</v>
      </c>
    </row>
    <row r="445" customFormat="false" ht="12.75" hidden="false" customHeight="true" outlineLevel="0" collapsed="false">
      <c r="M445" s="47" t="s">
        <v>1076</v>
      </c>
      <c r="N445" s="47" t="s">
        <v>1077</v>
      </c>
      <c r="O445" s="47" t="n">
        <v>1</v>
      </c>
    </row>
    <row r="446" customFormat="false" ht="12.75" hidden="false" customHeight="true" outlineLevel="0" collapsed="false">
      <c r="M446" s="47" t="s">
        <v>1078</v>
      </c>
      <c r="N446" s="47" t="s">
        <v>1079</v>
      </c>
      <c r="O446" s="47" t="n">
        <v>1</v>
      </c>
    </row>
    <row r="447" customFormat="false" ht="12.75" hidden="false" customHeight="true" outlineLevel="0" collapsed="false">
      <c r="M447" s="47" t="s">
        <v>1080</v>
      </c>
      <c r="N447" s="47" t="s">
        <v>98</v>
      </c>
      <c r="O447" s="47" t="n">
        <v>2</v>
      </c>
    </row>
    <row r="448" customFormat="false" ht="12.75" hidden="false" customHeight="true" outlineLevel="0" collapsed="false">
      <c r="M448" s="47" t="s">
        <v>1081</v>
      </c>
      <c r="N448" s="47" t="s">
        <v>1082</v>
      </c>
      <c r="O448" s="47" t="n">
        <v>1</v>
      </c>
    </row>
    <row r="449" customFormat="false" ht="12.75" hidden="false" customHeight="true" outlineLevel="0" collapsed="false">
      <c r="M449" s="47" t="s">
        <v>1083</v>
      </c>
      <c r="N449" s="47" t="s">
        <v>170</v>
      </c>
      <c r="O449" s="47" t="n">
        <v>1</v>
      </c>
    </row>
    <row r="450" customFormat="false" ht="12.75" hidden="false" customHeight="true" outlineLevel="0" collapsed="false">
      <c r="M450" s="47" t="s">
        <v>1084</v>
      </c>
      <c r="N450" s="47" t="s">
        <v>1085</v>
      </c>
      <c r="O450" s="47" t="n">
        <v>5</v>
      </c>
    </row>
    <row r="451" customFormat="false" ht="12.75" hidden="false" customHeight="true" outlineLevel="0" collapsed="false">
      <c r="M451" s="47" t="s">
        <v>1086</v>
      </c>
      <c r="N451" s="47" t="s">
        <v>212</v>
      </c>
      <c r="O451" s="47" t="n">
        <v>50</v>
      </c>
    </row>
    <row r="452" customFormat="false" ht="12.75" hidden="false" customHeight="true" outlineLevel="0" collapsed="false">
      <c r="M452" s="47" t="s">
        <v>1087</v>
      </c>
      <c r="N452" s="47" t="s">
        <v>1088</v>
      </c>
      <c r="O452" s="47" t="n">
        <v>0.5</v>
      </c>
    </row>
    <row r="453" customFormat="false" ht="12.75" hidden="false" customHeight="true" outlineLevel="0" collapsed="false">
      <c r="M453" s="47" t="s">
        <v>1089</v>
      </c>
      <c r="N453" s="47" t="s">
        <v>1090</v>
      </c>
      <c r="O453" s="47" t="n">
        <v>10</v>
      </c>
    </row>
    <row r="454" customFormat="false" ht="12.75" hidden="false" customHeight="true" outlineLevel="0" collapsed="false">
      <c r="M454" s="47" t="s">
        <v>1091</v>
      </c>
      <c r="N454" s="47" t="s">
        <v>1092</v>
      </c>
      <c r="O454" s="47" t="n">
        <v>1</v>
      </c>
    </row>
    <row r="455" customFormat="false" ht="12.75" hidden="false" customHeight="true" outlineLevel="0" collapsed="false">
      <c r="M455" s="47" t="s">
        <v>1093</v>
      </c>
      <c r="N455" s="47" t="s">
        <v>1094</v>
      </c>
      <c r="O455" s="47" t="n">
        <v>50</v>
      </c>
    </row>
    <row r="456" customFormat="false" ht="12.75" hidden="false" customHeight="true" outlineLevel="0" collapsed="false">
      <c r="M456" s="47" t="s">
        <v>1095</v>
      </c>
      <c r="N456" s="47" t="s">
        <v>1096</v>
      </c>
      <c r="O456" s="47" t="n">
        <v>5</v>
      </c>
    </row>
    <row r="457" customFormat="false" ht="12.75" hidden="false" customHeight="true" outlineLevel="0" collapsed="false">
      <c r="M457" s="47" t="s">
        <v>1097</v>
      </c>
      <c r="N457" s="47" t="s">
        <v>1098</v>
      </c>
      <c r="O457" s="47" t="n">
        <v>50</v>
      </c>
    </row>
    <row r="458" customFormat="false" ht="12.75" hidden="false" customHeight="true" outlineLevel="0" collapsed="false">
      <c r="M458" s="47" t="s">
        <v>1099</v>
      </c>
      <c r="N458" s="47" t="s">
        <v>78</v>
      </c>
      <c r="O458" s="47" t="n">
        <v>350</v>
      </c>
    </row>
    <row r="459" customFormat="false" ht="12.75" hidden="false" customHeight="true" outlineLevel="0" collapsed="false">
      <c r="M459" s="47" t="s">
        <v>145</v>
      </c>
      <c r="N459" s="47" t="s">
        <v>146</v>
      </c>
      <c r="O459" s="47" t="n">
        <v>100</v>
      </c>
    </row>
    <row r="460" customFormat="false" ht="12.75" hidden="false" customHeight="true" outlineLevel="0" collapsed="false">
      <c r="M460" s="47" t="s">
        <v>213</v>
      </c>
      <c r="N460" s="47" t="s">
        <v>214</v>
      </c>
      <c r="O460" s="47" t="n">
        <v>50</v>
      </c>
    </row>
    <row r="461" customFormat="false" ht="12.75" hidden="false" customHeight="true" outlineLevel="0" collapsed="false">
      <c r="M461" s="47" t="s">
        <v>1100</v>
      </c>
      <c r="N461" s="47" t="s">
        <v>1101</v>
      </c>
      <c r="O461" s="47" t="n">
        <v>20</v>
      </c>
    </row>
    <row r="462" customFormat="false" ht="12.75" hidden="false" customHeight="true" outlineLevel="0" collapsed="false">
      <c r="M462" s="47" t="s">
        <v>1102</v>
      </c>
      <c r="N462" s="47" t="s">
        <v>1103</v>
      </c>
      <c r="O462" s="47" t="n">
        <v>0.2</v>
      </c>
    </row>
    <row r="463" customFormat="false" ht="12.75" hidden="false" customHeight="true" outlineLevel="0" collapsed="false">
      <c r="M463" s="47" t="s">
        <v>1104</v>
      </c>
      <c r="N463" s="47" t="s">
        <v>1105</v>
      </c>
      <c r="O463" s="47" t="n">
        <v>0.05</v>
      </c>
    </row>
    <row r="464" customFormat="false" ht="12.75" hidden="false" customHeight="true" outlineLevel="0" collapsed="false">
      <c r="M464" s="47" t="s">
        <v>1106</v>
      </c>
      <c r="N464" s="47" t="s">
        <v>1107</v>
      </c>
      <c r="O464" s="47" t="n">
        <v>0.005</v>
      </c>
    </row>
    <row r="465" customFormat="false" ht="12.75" hidden="false" customHeight="true" outlineLevel="0" collapsed="false">
      <c r="M465" s="47" t="s">
        <v>1108</v>
      </c>
      <c r="N465" s="47" t="s">
        <v>1109</v>
      </c>
      <c r="O465" s="47" t="n">
        <v>0.01</v>
      </c>
    </row>
    <row r="466" customFormat="false" ht="12.75" hidden="false" customHeight="true" outlineLevel="0" collapsed="false">
      <c r="M466" s="47" t="s">
        <v>1110</v>
      </c>
      <c r="N466" s="47" t="s">
        <v>1111</v>
      </c>
      <c r="O466" s="47" t="n">
        <v>0.005</v>
      </c>
    </row>
    <row r="467" customFormat="false" ht="12.75" hidden="false" customHeight="true" outlineLevel="0" collapsed="false">
      <c r="M467" s="47" t="s">
        <v>1112</v>
      </c>
      <c r="N467" s="47" t="s">
        <v>1113</v>
      </c>
      <c r="O467" s="47" t="n">
        <v>0.1</v>
      </c>
    </row>
    <row r="468" customFormat="false" ht="12.75" hidden="false" customHeight="true" outlineLevel="0" collapsed="false">
      <c r="M468" s="47" t="s">
        <v>1114</v>
      </c>
      <c r="N468" s="47" t="s">
        <v>34</v>
      </c>
      <c r="O468" s="47" t="n">
        <v>75</v>
      </c>
    </row>
    <row r="469" customFormat="false" ht="12.75" hidden="false" customHeight="true" outlineLevel="0" collapsed="false">
      <c r="M469" s="47" t="s">
        <v>1115</v>
      </c>
      <c r="N469" s="47" t="s">
        <v>1116</v>
      </c>
    </row>
    <row r="470" customFormat="false" ht="12.75" hidden="false" customHeight="true" outlineLevel="0" collapsed="false">
      <c r="M470" s="47" t="s">
        <v>1117</v>
      </c>
      <c r="N470" s="47" t="s">
        <v>96</v>
      </c>
      <c r="O470" s="47" t="n">
        <v>50</v>
      </c>
    </row>
    <row r="471" customFormat="false" ht="12.75" hidden="false" customHeight="true" outlineLevel="0" collapsed="false">
      <c r="M471" s="47" t="s">
        <v>1118</v>
      </c>
      <c r="N471" s="47" t="s">
        <v>1119</v>
      </c>
      <c r="O471" s="47" t="n">
        <v>0.01</v>
      </c>
    </row>
    <row r="472" customFormat="false" ht="12.75" hidden="false" customHeight="true" outlineLevel="0" collapsed="false">
      <c r="M472" s="47" t="s">
        <v>1120</v>
      </c>
      <c r="N472" s="47" t="s">
        <v>1121</v>
      </c>
      <c r="O472" s="47" t="n">
        <v>2</v>
      </c>
    </row>
    <row r="473" customFormat="false" ht="12.75" hidden="false" customHeight="true" outlineLevel="0" collapsed="false">
      <c r="M473" s="47" t="s">
        <v>1122</v>
      </c>
      <c r="N473" s="47" t="s">
        <v>1123</v>
      </c>
      <c r="O473" s="47" t="n">
        <v>20</v>
      </c>
    </row>
    <row r="474" customFormat="false" ht="12.75" hidden="false" customHeight="true" outlineLevel="0" collapsed="false">
      <c r="M474" s="47" t="s">
        <v>1124</v>
      </c>
      <c r="N474" s="47" t="s">
        <v>1125</v>
      </c>
      <c r="O474" s="47" t="n">
        <v>20</v>
      </c>
    </row>
    <row r="475" customFormat="false" ht="12.75" hidden="false" customHeight="true" outlineLevel="0" collapsed="false">
      <c r="M475" s="47" t="s">
        <v>1126</v>
      </c>
      <c r="N475" s="47" t="s">
        <v>1127</v>
      </c>
      <c r="O475" s="47" t="n">
        <v>20</v>
      </c>
    </row>
    <row r="476" customFormat="false" ht="12.75" hidden="false" customHeight="true" outlineLevel="0" collapsed="false">
      <c r="M476" s="47" t="s">
        <v>1128</v>
      </c>
      <c r="N476" s="47" t="s">
        <v>1129</v>
      </c>
      <c r="O476" s="47" t="n">
        <v>0.02</v>
      </c>
    </row>
    <row r="477" customFormat="false" ht="12.75" hidden="false" customHeight="true" outlineLevel="0" collapsed="false">
      <c r="M477" s="47" t="s">
        <v>1053</v>
      </c>
    </row>
    <row r="478" customFormat="false" ht="12.75" hidden="false" customHeight="true" outlineLevel="0" collapsed="false">
      <c r="M478" s="47" t="s">
        <v>1130</v>
      </c>
      <c r="N478" s="47" t="s">
        <v>220</v>
      </c>
      <c r="O478" s="47" t="n">
        <v>20</v>
      </c>
    </row>
    <row r="479" customFormat="false" ht="12.75" hidden="false" customHeight="true" outlineLevel="0" collapsed="false">
      <c r="M479" s="47" t="s">
        <v>1131</v>
      </c>
      <c r="N479" s="47" t="s">
        <v>1132</v>
      </c>
      <c r="O479" s="47" t="n">
        <v>0.5</v>
      </c>
    </row>
    <row r="480" customFormat="false" ht="12.75" hidden="false" customHeight="true" outlineLevel="0" collapsed="false">
      <c r="M480" s="47" t="s">
        <v>1133</v>
      </c>
      <c r="N480" s="47" t="s">
        <v>134</v>
      </c>
      <c r="O480" s="47" t="n">
        <v>50</v>
      </c>
    </row>
    <row r="481" customFormat="false" ht="12.75" hidden="false" customHeight="true" outlineLevel="0" collapsed="false">
      <c r="M481" s="47" t="s">
        <v>1134</v>
      </c>
      <c r="N481" s="47" t="s">
        <v>1135</v>
      </c>
      <c r="O481" s="47" t="n">
        <v>0.05</v>
      </c>
    </row>
    <row r="482" customFormat="false" ht="12.75" hidden="false" customHeight="true" outlineLevel="0" collapsed="false">
      <c r="M482" s="47" t="s">
        <v>1136</v>
      </c>
      <c r="N482" s="47" t="s">
        <v>1137</v>
      </c>
      <c r="O482" s="47" t="n">
        <v>0.02</v>
      </c>
    </row>
    <row r="483" customFormat="false" ht="12.75" hidden="false" customHeight="true" outlineLevel="0" collapsed="false">
      <c r="M483" s="47" t="s">
        <v>1138</v>
      </c>
      <c r="N483" s="47" t="s">
        <v>178</v>
      </c>
    </row>
    <row r="484" customFormat="false" ht="12.75" hidden="false" customHeight="true" outlineLevel="0" collapsed="false">
      <c r="M484" s="47" t="s">
        <v>1139</v>
      </c>
      <c r="N484" s="47" t="s">
        <v>1140</v>
      </c>
      <c r="O484" s="47" t="n">
        <v>1</v>
      </c>
    </row>
    <row r="485" customFormat="false" ht="12.75" hidden="false" customHeight="true" outlineLevel="0" collapsed="false">
      <c r="M485" s="47" t="s">
        <v>1141</v>
      </c>
      <c r="N485" s="47" t="s">
        <v>1142</v>
      </c>
      <c r="O485" s="47" t="n">
        <v>10</v>
      </c>
    </row>
    <row r="486" customFormat="false" ht="12.75" hidden="false" customHeight="true" outlineLevel="0" collapsed="false">
      <c r="M486" s="47" t="s">
        <v>1143</v>
      </c>
      <c r="N486" s="47" t="s">
        <v>1144</v>
      </c>
      <c r="O486" s="47" t="n">
        <v>7E-005</v>
      </c>
    </row>
    <row r="487" customFormat="false" ht="12.75" hidden="false" customHeight="true" outlineLevel="0" collapsed="false">
      <c r="M487" s="47" t="s">
        <v>1145</v>
      </c>
      <c r="N487" s="47" t="s">
        <v>1146</v>
      </c>
    </row>
    <row r="488" customFormat="false" ht="12.75" hidden="false" customHeight="true" outlineLevel="0" collapsed="false">
      <c r="M488" s="47" t="s">
        <v>1147</v>
      </c>
      <c r="N488" s="47" t="s">
        <v>1148</v>
      </c>
      <c r="O488" s="47" t="n">
        <v>1</v>
      </c>
    </row>
    <row r="489" customFormat="false" ht="12.75" hidden="false" customHeight="true" outlineLevel="0" collapsed="false">
      <c r="M489" s="47" t="s">
        <v>1149</v>
      </c>
      <c r="N489" s="47" t="s">
        <v>1150</v>
      </c>
      <c r="O489" s="47" t="n">
        <v>0.01</v>
      </c>
    </row>
    <row r="490" customFormat="false" ht="12.75" hidden="false" customHeight="true" outlineLevel="0" collapsed="false">
      <c r="M490" s="47" t="s">
        <v>1151</v>
      </c>
      <c r="N490" s="47" t="s">
        <v>1152</v>
      </c>
      <c r="O490" s="47" t="n">
        <v>0.1</v>
      </c>
    </row>
    <row r="491" customFormat="false" ht="12.75" hidden="false" customHeight="true" outlineLevel="0" collapsed="false">
      <c r="M491" s="47" t="s">
        <v>1153</v>
      </c>
    </row>
    <row r="492" customFormat="false" ht="12.75" hidden="false" customHeight="true" outlineLevel="0" collapsed="false">
      <c r="M492" s="47" t="s">
        <v>1154</v>
      </c>
      <c r="O492" s="47" t="n">
        <v>5</v>
      </c>
    </row>
    <row r="493" customFormat="false" ht="12.75" hidden="false" customHeight="true" outlineLevel="0" collapsed="false">
      <c r="M493" s="47" t="s">
        <v>1155</v>
      </c>
    </row>
    <row r="494" customFormat="false" ht="12.75" hidden="false" customHeight="true" outlineLevel="0" collapsed="false">
      <c r="M494" s="47" t="s">
        <v>1156</v>
      </c>
      <c r="N494" s="47" t="s">
        <v>1157</v>
      </c>
      <c r="O494" s="47" t="n">
        <v>10</v>
      </c>
    </row>
    <row r="495" customFormat="false" ht="12.75" hidden="false" customHeight="true" outlineLevel="0" collapsed="false">
      <c r="M495" s="47" t="s">
        <v>1158</v>
      </c>
      <c r="N495" s="47" t="s">
        <v>1159</v>
      </c>
      <c r="O495" s="47" t="n">
        <v>0.5</v>
      </c>
    </row>
    <row r="496" customFormat="false" ht="12.75" hidden="false" customHeight="true" outlineLevel="0" collapsed="false">
      <c r="M496" s="47" t="s">
        <v>1160</v>
      </c>
    </row>
    <row r="497" customFormat="false" ht="12.75" hidden="false" customHeight="true" outlineLevel="0" collapsed="false">
      <c r="M497" s="47" t="s">
        <v>123</v>
      </c>
      <c r="N497" s="47" t="s">
        <v>124</v>
      </c>
      <c r="O497" s="47" t="n">
        <v>20</v>
      </c>
    </row>
    <row r="498" customFormat="false" ht="12.75" hidden="false" customHeight="true" outlineLevel="0" collapsed="false">
      <c r="M498" s="47" t="s">
        <v>1161</v>
      </c>
      <c r="N498" s="47" t="s">
        <v>1162</v>
      </c>
      <c r="O498" s="47" t="n">
        <v>0.1</v>
      </c>
    </row>
    <row r="499" customFormat="false" ht="12.75" hidden="false" customHeight="true" outlineLevel="0" collapsed="false">
      <c r="M499" s="47" t="s">
        <v>1163</v>
      </c>
      <c r="N499" s="47" t="s">
        <v>1164</v>
      </c>
      <c r="O499" s="47" t="n">
        <v>10</v>
      </c>
    </row>
    <row r="500" customFormat="false" ht="12.75" hidden="false" customHeight="true" outlineLevel="0" collapsed="false">
      <c r="M500" s="47" t="s">
        <v>1165</v>
      </c>
      <c r="N500" s="47" t="s">
        <v>1166</v>
      </c>
    </row>
    <row r="501" customFormat="false" ht="12.75" hidden="false" customHeight="true" outlineLevel="0" collapsed="false">
      <c r="M501" s="47" t="s">
        <v>1167</v>
      </c>
      <c r="N501" s="47" t="n">
        <v>2595510</v>
      </c>
      <c r="O501" s="47" t="n">
        <v>0.0001</v>
      </c>
    </row>
    <row r="502" customFormat="false" ht="12.75" hidden="false" customHeight="true" outlineLevel="0" collapsed="false">
      <c r="M502" s="47" t="s">
        <v>1168</v>
      </c>
      <c r="N502" s="47" t="s">
        <v>1169</v>
      </c>
    </row>
    <row r="503" customFormat="false" ht="12.75" hidden="false" customHeight="true" outlineLevel="0" collapsed="false">
      <c r="M503" s="47" t="s">
        <v>1170</v>
      </c>
      <c r="N503" s="47" t="s">
        <v>1169</v>
      </c>
    </row>
    <row r="504" customFormat="false" ht="12.75" hidden="false" customHeight="true" outlineLevel="0" collapsed="false">
      <c r="M504" s="47" t="s">
        <v>1171</v>
      </c>
    </row>
    <row r="505" customFormat="false" ht="12.75" hidden="false" customHeight="true" outlineLevel="0" collapsed="false">
      <c r="M505" s="47" t="s">
        <v>1172</v>
      </c>
      <c r="N505" s="47" t="s">
        <v>1173</v>
      </c>
    </row>
    <row r="506" customFormat="false" ht="12.75" hidden="false" customHeight="true" outlineLevel="0" collapsed="false">
      <c r="M506" s="47" t="s">
        <v>1174</v>
      </c>
      <c r="N506" s="47" t="s">
        <v>1175</v>
      </c>
    </row>
    <row r="507" customFormat="false" ht="12.75" hidden="false" customHeight="true" outlineLevel="0" collapsed="false">
      <c r="M507" s="47" t="s">
        <v>1176</v>
      </c>
      <c r="N507" s="47" t="s">
        <v>1177</v>
      </c>
    </row>
    <row r="508" customFormat="false" ht="12.75" hidden="false" customHeight="true" outlineLevel="0" collapsed="false">
      <c r="M508" s="47" t="s">
        <v>1178</v>
      </c>
      <c r="N508" s="47" t="s">
        <v>1179</v>
      </c>
    </row>
    <row r="509" customFormat="false" ht="12.75" hidden="false" customHeight="true" outlineLevel="0" collapsed="false">
      <c r="M509" s="47" t="s">
        <v>1180</v>
      </c>
      <c r="N509" s="47" t="s">
        <v>1181</v>
      </c>
    </row>
    <row r="510" customFormat="false" ht="12.75" hidden="false" customHeight="true" outlineLevel="0" collapsed="false">
      <c r="M510" s="47" t="s">
        <v>1182</v>
      </c>
      <c r="N510" s="47" t="s">
        <v>1183</v>
      </c>
    </row>
    <row r="511" customFormat="false" ht="12.75" hidden="false" customHeight="true" outlineLevel="0" collapsed="false">
      <c r="M511" s="47" t="s">
        <v>1184</v>
      </c>
      <c r="N511" s="47" t="s">
        <v>1185</v>
      </c>
    </row>
    <row r="512" customFormat="false" ht="12.75" hidden="false" customHeight="true" outlineLevel="0" collapsed="false">
      <c r="M512" s="47" t="s">
        <v>83</v>
      </c>
      <c r="N512" s="47" t="s">
        <v>84</v>
      </c>
    </row>
    <row r="513" customFormat="false" ht="12.75" hidden="false" customHeight="true" outlineLevel="0" collapsed="false">
      <c r="M513" s="47" t="s">
        <v>1186</v>
      </c>
      <c r="N513" s="47" t="s">
        <v>1187</v>
      </c>
    </row>
    <row r="514" customFormat="false" ht="12.75" hidden="false" customHeight="true" outlineLevel="0" collapsed="false">
      <c r="M514" s="47" t="s">
        <v>1188</v>
      </c>
      <c r="N514" s="47" t="s">
        <v>1189</v>
      </c>
    </row>
    <row r="515" customFormat="false" ht="12.75" hidden="false" customHeight="true" outlineLevel="0" collapsed="false">
      <c r="M515" s="47" t="s">
        <v>149</v>
      </c>
      <c r="N515" s="47" t="s">
        <v>150</v>
      </c>
      <c r="O515" s="47" t="n">
        <v>100</v>
      </c>
    </row>
    <row r="516" customFormat="false" ht="12.75" hidden="false" customHeight="true" outlineLevel="0" collapsed="false">
      <c r="M516" s="47" t="s">
        <v>1190</v>
      </c>
      <c r="N516" s="47" t="s">
        <v>1191</v>
      </c>
      <c r="O516" s="47" t="n">
        <v>0.2</v>
      </c>
    </row>
    <row r="517" customFormat="false" ht="12.75" hidden="false" customHeight="true" outlineLevel="0" collapsed="false">
      <c r="M517" s="47" t="s">
        <v>1192</v>
      </c>
      <c r="N517" s="47" t="s">
        <v>1193</v>
      </c>
      <c r="O517" s="47" t="n">
        <v>10</v>
      </c>
    </row>
    <row r="518" customFormat="false" ht="12.75" hidden="false" customHeight="true" outlineLevel="0" collapsed="false">
      <c r="M518" s="47" t="s">
        <v>1194</v>
      </c>
      <c r="N518" s="47" t="s">
        <v>1195</v>
      </c>
      <c r="O518" s="47" t="n">
        <v>0.05</v>
      </c>
    </row>
    <row r="519" customFormat="false" ht="12.75" hidden="false" customHeight="true" outlineLevel="0" collapsed="false">
      <c r="M519" s="47" t="s">
        <v>155</v>
      </c>
      <c r="N519" s="47" t="s">
        <v>156</v>
      </c>
      <c r="O519" s="47" t="n">
        <v>20</v>
      </c>
    </row>
    <row r="520" customFormat="false" ht="12.75" hidden="false" customHeight="true" outlineLevel="0" collapsed="false">
      <c r="M520" s="47" t="s">
        <v>1196</v>
      </c>
      <c r="N520" s="47" t="s">
        <v>1197</v>
      </c>
      <c r="O520" s="47" t="n">
        <v>25</v>
      </c>
    </row>
    <row r="521" customFormat="false" ht="12.75" hidden="false" customHeight="true" outlineLevel="0" collapsed="false">
      <c r="M521" s="47" t="s">
        <v>151</v>
      </c>
      <c r="N521" s="47" t="s">
        <v>152</v>
      </c>
      <c r="O521" s="47" t="n">
        <v>10</v>
      </c>
    </row>
    <row r="522" customFormat="false" ht="12.75" hidden="false" customHeight="true" outlineLevel="0" collapsed="false">
      <c r="M522" s="47" t="s">
        <v>1198</v>
      </c>
      <c r="N522" s="47" t="s">
        <v>1199</v>
      </c>
    </row>
    <row r="523" customFormat="false" ht="12.75" hidden="false" customHeight="true" outlineLevel="0" collapsed="false">
      <c r="M523" s="47" t="s">
        <v>1200</v>
      </c>
      <c r="N523" s="47" t="s">
        <v>1201</v>
      </c>
      <c r="O523" s="47" t="n">
        <v>2</v>
      </c>
    </row>
    <row r="524" customFormat="false" ht="12.75" hidden="false" customHeight="true" outlineLevel="0" collapsed="false">
      <c r="M524" s="47" t="s">
        <v>1202</v>
      </c>
      <c r="N524" s="47" t="s">
        <v>1203</v>
      </c>
      <c r="O524" s="47" t="n">
        <v>1</v>
      </c>
    </row>
    <row r="525" customFormat="false" ht="12.75" hidden="false" customHeight="true" outlineLevel="0" collapsed="false">
      <c r="M525" s="47" t="s">
        <v>1204</v>
      </c>
      <c r="N525" s="47" t="s">
        <v>1205</v>
      </c>
      <c r="O525" s="47" t="n">
        <v>50</v>
      </c>
    </row>
    <row r="526" customFormat="false" ht="12.75" hidden="false" customHeight="true" outlineLevel="0" collapsed="false">
      <c r="M526" s="47" t="s">
        <v>1206</v>
      </c>
      <c r="N526" s="47" t="s">
        <v>1207</v>
      </c>
      <c r="O526" s="47" t="n">
        <v>200</v>
      </c>
    </row>
    <row r="527" customFormat="false" ht="12.75" hidden="false" customHeight="true" outlineLevel="0" collapsed="false">
      <c r="M527" s="47" t="s">
        <v>1208</v>
      </c>
      <c r="N527" s="47" t="s">
        <v>1209</v>
      </c>
      <c r="O527" s="47" t="n">
        <v>0.1</v>
      </c>
    </row>
    <row r="528" customFormat="false" ht="12.75" hidden="false" customHeight="true" outlineLevel="0" collapsed="false">
      <c r="M528" s="47" t="s">
        <v>1210</v>
      </c>
      <c r="N528" s="47" t="s">
        <v>1211</v>
      </c>
      <c r="O528" s="47" t="n">
        <v>300</v>
      </c>
    </row>
    <row r="529" customFormat="false" ht="12.75" hidden="false" customHeight="true" outlineLevel="0" collapsed="false">
      <c r="M529" s="47" t="s">
        <v>1212</v>
      </c>
      <c r="N529" s="47" t="s">
        <v>1213</v>
      </c>
      <c r="O529" s="47" t="n">
        <v>0.0002</v>
      </c>
    </row>
    <row r="530" customFormat="false" ht="12.75" hidden="false" customHeight="true" outlineLevel="0" collapsed="false">
      <c r="M530" s="47" t="s">
        <v>1214</v>
      </c>
      <c r="N530" s="47" t="s">
        <v>1215</v>
      </c>
      <c r="O530" s="47" t="n">
        <v>1</v>
      </c>
    </row>
    <row r="531" customFormat="false" ht="12.75" hidden="false" customHeight="true" outlineLevel="0" collapsed="false">
      <c r="M531" s="47" t="s">
        <v>1216</v>
      </c>
      <c r="N531" s="47" t="s">
        <v>1217</v>
      </c>
      <c r="O531" s="47" t="n">
        <v>0.1</v>
      </c>
    </row>
    <row r="532" customFormat="false" ht="12.75" hidden="false" customHeight="true" outlineLevel="0" collapsed="false">
      <c r="M532" s="47" t="s">
        <v>1218</v>
      </c>
      <c r="N532" s="47" t="s">
        <v>1219</v>
      </c>
    </row>
    <row r="533" customFormat="false" ht="12.75" hidden="false" customHeight="true" outlineLevel="0" collapsed="false">
      <c r="M533" s="47" t="s">
        <v>1220</v>
      </c>
      <c r="N533" s="47" t="s">
        <v>1221</v>
      </c>
    </row>
    <row r="534" customFormat="false" ht="12.75" hidden="false" customHeight="true" outlineLevel="0" collapsed="false">
      <c r="M534" s="47" t="s">
        <v>1222</v>
      </c>
      <c r="O534" s="47" t="n">
        <v>0.05</v>
      </c>
    </row>
    <row r="535" customFormat="false" ht="12.75" hidden="false" customHeight="true" outlineLevel="0" collapsed="false">
      <c r="M535" s="47" t="s">
        <v>1223</v>
      </c>
      <c r="O535" s="47" t="n">
        <v>0.08</v>
      </c>
    </row>
    <row r="536" customFormat="false" ht="12.75" hidden="false" customHeight="true" outlineLevel="0" collapsed="false">
      <c r="M536" s="47" t="s">
        <v>1224</v>
      </c>
      <c r="O536" s="47" t="n">
        <v>0.1</v>
      </c>
    </row>
    <row r="537" customFormat="false" ht="12.75" hidden="false" customHeight="true" outlineLevel="0" collapsed="false">
      <c r="M537" s="47" t="s">
        <v>1225</v>
      </c>
      <c r="O537" s="47" t="n">
        <v>0.2</v>
      </c>
    </row>
    <row r="538" customFormat="false" ht="12.75" hidden="false" customHeight="true" outlineLevel="0" collapsed="false">
      <c r="M538" s="47" t="s">
        <v>1226</v>
      </c>
      <c r="N538" s="47" t="s">
        <v>1227</v>
      </c>
      <c r="O538" s="47" t="n">
        <v>2</v>
      </c>
    </row>
    <row r="539" customFormat="false" ht="12.75" hidden="false" customHeight="true" outlineLevel="0" collapsed="false">
      <c r="M539" s="47" t="s">
        <v>1228</v>
      </c>
      <c r="N539" s="47" t="s">
        <v>1229</v>
      </c>
      <c r="O539" s="47" t="n">
        <v>0.05</v>
      </c>
    </row>
    <row r="540" customFormat="false" ht="12.75" hidden="false" customHeight="true" outlineLevel="0" collapsed="false">
      <c r="M540" s="47" t="s">
        <v>1230</v>
      </c>
      <c r="N540" s="47" t="s">
        <v>1231</v>
      </c>
      <c r="O540" s="47" t="n">
        <v>0.05</v>
      </c>
    </row>
    <row r="541" customFormat="false" ht="12.75" hidden="false" customHeight="true" outlineLevel="0" collapsed="false">
      <c r="M541" s="120" t="s">
        <v>1232</v>
      </c>
    </row>
    <row r="542" customFormat="false" ht="12.75" hidden="false" customHeight="true" outlineLevel="0" collapsed="false">
      <c r="M542" s="47" t="s">
        <v>1233</v>
      </c>
      <c r="N542" s="47" t="s">
        <v>1234</v>
      </c>
    </row>
    <row r="543" customFormat="false" ht="12.75" hidden="false" customHeight="true" outlineLevel="0" collapsed="false">
      <c r="M543" s="47" t="s">
        <v>1235</v>
      </c>
      <c r="N543" s="47" t="s">
        <v>1236</v>
      </c>
      <c r="O543" s="47" t="n">
        <v>0.5</v>
      </c>
    </row>
    <row r="544" customFormat="false" ht="12.75" hidden="false" customHeight="true" outlineLevel="0" collapsed="false">
      <c r="M544" s="47" t="s">
        <v>1237</v>
      </c>
      <c r="N544" s="47" t="s">
        <v>1238</v>
      </c>
      <c r="O544" s="47" t="n">
        <v>0.5</v>
      </c>
    </row>
    <row r="545" customFormat="false" ht="12.75" hidden="false" customHeight="true" outlineLevel="0" collapsed="false">
      <c r="M545" s="47" t="s">
        <v>1239</v>
      </c>
      <c r="N545" s="47" t="s">
        <v>1240</v>
      </c>
      <c r="O545" s="47" t="n">
        <v>0.5</v>
      </c>
    </row>
    <row r="546" customFormat="false" ht="12.75" hidden="false" customHeight="true" outlineLevel="0" collapsed="false">
      <c r="M546" s="47" t="s">
        <v>1241</v>
      </c>
      <c r="N546" s="47" t="s">
        <v>1242</v>
      </c>
      <c r="O546" s="47" t="n">
        <v>10</v>
      </c>
    </row>
    <row r="547" customFormat="false" ht="12.75" hidden="false" customHeight="true" outlineLevel="0" collapsed="false">
      <c r="M547" s="47" t="s">
        <v>1243</v>
      </c>
      <c r="N547" s="47" t="s">
        <v>1244</v>
      </c>
      <c r="O547" s="47" t="n">
        <v>1</v>
      </c>
    </row>
    <row r="548" customFormat="false" ht="12.75" hidden="false" customHeight="true" outlineLevel="0" collapsed="false">
      <c r="M548" s="47" t="s">
        <v>1245</v>
      </c>
      <c r="N548" s="47" t="s">
        <v>1246</v>
      </c>
      <c r="O548" s="47" t="n">
        <v>25</v>
      </c>
    </row>
    <row r="549" customFormat="false" ht="12.75" hidden="false" customHeight="true" outlineLevel="0" collapsed="false">
      <c r="M549" s="47" t="s">
        <v>1247</v>
      </c>
      <c r="O549" s="47" t="n">
        <v>50</v>
      </c>
    </row>
    <row r="550" customFormat="false" ht="12.75" hidden="false" customHeight="true" outlineLevel="0" collapsed="false">
      <c r="M550" s="47" t="s">
        <v>1248</v>
      </c>
      <c r="N550" s="47" t="s">
        <v>1249</v>
      </c>
    </row>
    <row r="551" customFormat="false" ht="12.75" hidden="false" customHeight="true" outlineLevel="0" collapsed="false">
      <c r="M551" s="47" t="s">
        <v>1250</v>
      </c>
      <c r="N551" s="47" t="s">
        <v>1251</v>
      </c>
    </row>
    <row r="552" customFormat="false" ht="12.75" hidden="false" customHeight="true" outlineLevel="0" collapsed="false">
      <c r="M552" s="47" t="s">
        <v>1252</v>
      </c>
      <c r="N552" s="47" t="s">
        <v>1253</v>
      </c>
      <c r="O552" s="47" t="n">
        <v>0.1</v>
      </c>
    </row>
    <row r="553" customFormat="false" ht="12.75" hidden="false" customHeight="true" outlineLevel="0" collapsed="false">
      <c r="M553" s="47" t="s">
        <v>1254</v>
      </c>
      <c r="N553" s="47" t="s">
        <v>1255</v>
      </c>
      <c r="O553" s="47" t="n">
        <v>0.5</v>
      </c>
    </row>
    <row r="554" customFormat="false" ht="12.75" hidden="false" customHeight="true" outlineLevel="0" collapsed="false">
      <c r="M554" s="47" t="s">
        <v>1256</v>
      </c>
      <c r="N554" s="47" t="s">
        <v>1257</v>
      </c>
      <c r="O554" s="47" t="n">
        <v>100</v>
      </c>
    </row>
    <row r="555" customFormat="false" ht="12.75" hidden="false" customHeight="true" outlineLevel="0" collapsed="false">
      <c r="M555" s="47" t="s">
        <v>1053</v>
      </c>
    </row>
    <row r="556" customFormat="false" ht="12.75" hidden="false" customHeight="true" outlineLevel="0" collapsed="false">
      <c r="M556" s="47" t="s">
        <v>1258</v>
      </c>
      <c r="N556" s="47" t="s">
        <v>1259</v>
      </c>
    </row>
    <row r="557" customFormat="false" ht="12.75" hidden="false" customHeight="true" outlineLevel="0" collapsed="false">
      <c r="M557" s="47" t="s">
        <v>1260</v>
      </c>
      <c r="N557" s="47" t="s">
        <v>1261</v>
      </c>
      <c r="O557" s="47" t="n">
        <v>0.1</v>
      </c>
    </row>
    <row r="558" customFormat="false" ht="12.75" hidden="false" customHeight="true" outlineLevel="0" collapsed="false">
      <c r="M558" s="47" t="s">
        <v>258</v>
      </c>
      <c r="N558" s="47" t="s">
        <v>259</v>
      </c>
      <c r="O558" s="47" t="n">
        <v>5</v>
      </c>
    </row>
    <row r="559" customFormat="false" ht="12.75" hidden="false" customHeight="true" outlineLevel="0" collapsed="false">
      <c r="M559" s="47" t="s">
        <v>1262</v>
      </c>
      <c r="N559" s="47" t="s">
        <v>1263</v>
      </c>
      <c r="O559" s="47" t="n">
        <v>0.5</v>
      </c>
    </row>
    <row r="560" customFormat="false" ht="12.75" hidden="false" customHeight="true" outlineLevel="0" collapsed="false">
      <c r="M560" s="47" t="s">
        <v>1264</v>
      </c>
      <c r="N560" s="47" t="s">
        <v>1265</v>
      </c>
    </row>
    <row r="561" customFormat="false" ht="12.75" hidden="false" customHeight="true" outlineLevel="0" collapsed="false">
      <c r="M561" s="47" t="s">
        <v>1266</v>
      </c>
      <c r="N561" s="47" t="s">
        <v>1267</v>
      </c>
      <c r="O561" s="47" t="n">
        <v>0.1</v>
      </c>
    </row>
    <row r="562" customFormat="false" ht="12.75" hidden="false" customHeight="true" outlineLevel="0" collapsed="false">
      <c r="M562" s="47" t="s">
        <v>1268</v>
      </c>
      <c r="N562" s="47" t="s">
        <v>1269</v>
      </c>
      <c r="O562" s="47" t="n">
        <v>0.1</v>
      </c>
    </row>
    <row r="563" customFormat="false" ht="12.75" hidden="false" customHeight="true" outlineLevel="0" collapsed="false">
      <c r="M563" s="47" t="s">
        <v>1270</v>
      </c>
      <c r="N563" s="47" t="s">
        <v>1271</v>
      </c>
      <c r="O563" s="47" t="n">
        <v>0.1</v>
      </c>
    </row>
    <row r="564" customFormat="false" ht="12.75" hidden="false" customHeight="true" outlineLevel="0" collapsed="false">
      <c r="M564" s="47" t="s">
        <v>1272</v>
      </c>
      <c r="N564" s="47" t="s">
        <v>1273</v>
      </c>
      <c r="O564" s="47" t="n">
        <v>1</v>
      </c>
    </row>
    <row r="565" customFormat="false" ht="12.75" hidden="false" customHeight="true" outlineLevel="0" collapsed="false">
      <c r="M565" s="47" t="s">
        <v>1274</v>
      </c>
      <c r="N565" s="47" t="s">
        <v>1275</v>
      </c>
      <c r="O565" s="47" t="n">
        <v>0.5</v>
      </c>
    </row>
    <row r="566" customFormat="false" ht="12.75" hidden="false" customHeight="true" outlineLevel="0" collapsed="false">
      <c r="M566" s="47" t="s">
        <v>1276</v>
      </c>
      <c r="N566" s="47" t="s">
        <v>1277</v>
      </c>
      <c r="O566" s="47" t="n">
        <v>0.1</v>
      </c>
    </row>
    <row r="567" customFormat="false" ht="12.75" hidden="false" customHeight="true" outlineLevel="0" collapsed="false">
      <c r="M567" s="47" t="s">
        <v>1278</v>
      </c>
      <c r="N567" s="47" t="s">
        <v>1279</v>
      </c>
      <c r="O567" s="47" t="n">
        <v>0.1</v>
      </c>
    </row>
    <row r="568" customFormat="false" ht="12.75" hidden="false" customHeight="true" outlineLevel="0" collapsed="false">
      <c r="M568" s="47" t="s">
        <v>1280</v>
      </c>
      <c r="N568" s="47" t="s">
        <v>1281</v>
      </c>
      <c r="O568" s="47" t="n">
        <v>0.005</v>
      </c>
    </row>
    <row r="569" customFormat="false" ht="12.75" hidden="false" customHeight="true" outlineLevel="0" collapsed="false">
      <c r="M569" s="47" t="s">
        <v>1282</v>
      </c>
      <c r="N569" s="47" t="s">
        <v>1283</v>
      </c>
      <c r="O569" s="47" t="n">
        <v>0.1</v>
      </c>
    </row>
    <row r="570" customFormat="false" ht="12.75" hidden="false" customHeight="true" outlineLevel="0" collapsed="false">
      <c r="M570" s="47" t="s">
        <v>1284</v>
      </c>
      <c r="N570" s="47" t="s">
        <v>1285</v>
      </c>
    </row>
    <row r="571" customFormat="false" ht="12.75" hidden="false" customHeight="true" outlineLevel="0" collapsed="false">
      <c r="M571" s="47" t="s">
        <v>1286</v>
      </c>
      <c r="N571" s="47" t="s">
        <v>1287</v>
      </c>
      <c r="O571" s="47" t="n">
        <v>0.05</v>
      </c>
    </row>
    <row r="572" customFormat="false" ht="12.75" hidden="false" customHeight="true" outlineLevel="0" collapsed="false">
      <c r="M572" s="47" t="s">
        <v>1288</v>
      </c>
      <c r="N572" s="47" t="s">
        <v>1289</v>
      </c>
    </row>
    <row r="573" customFormat="false" ht="12.75" hidden="false" customHeight="true" outlineLevel="0" collapsed="false">
      <c r="M573" s="47" t="s">
        <v>1290</v>
      </c>
      <c r="N573" s="47" t="s">
        <v>1291</v>
      </c>
      <c r="O573" s="47" t="n">
        <v>0.05</v>
      </c>
    </row>
    <row r="574" customFormat="false" ht="12.75" hidden="false" customHeight="true" outlineLevel="0" collapsed="false">
      <c r="M574" s="47" t="s">
        <v>1292</v>
      </c>
      <c r="N574" s="47" t="s">
        <v>1293</v>
      </c>
      <c r="O574" s="47" t="n">
        <v>1</v>
      </c>
    </row>
    <row r="575" customFormat="false" ht="12.75" hidden="false" customHeight="true" outlineLevel="0" collapsed="false">
      <c r="M575" s="47" t="s">
        <v>1294</v>
      </c>
      <c r="N575" s="47" t="s">
        <v>1295</v>
      </c>
      <c r="O575" s="47" t="n">
        <v>0.1</v>
      </c>
    </row>
    <row r="576" customFormat="false" ht="12.75" hidden="false" customHeight="true" outlineLevel="0" collapsed="false">
      <c r="M576" s="47" t="s">
        <v>1296</v>
      </c>
      <c r="N576" s="47" t="s">
        <v>1297</v>
      </c>
      <c r="O576" s="47" t="n">
        <v>0.1</v>
      </c>
    </row>
    <row r="577" customFormat="false" ht="12.75" hidden="false" customHeight="true" outlineLevel="0" collapsed="false">
      <c r="M577" s="47" t="s">
        <v>1298</v>
      </c>
      <c r="N577" s="47" t="s">
        <v>1299</v>
      </c>
      <c r="O577" s="47" t="n">
        <v>0.1</v>
      </c>
    </row>
    <row r="578" customFormat="false" ht="12.75" hidden="false" customHeight="true" outlineLevel="0" collapsed="false">
      <c r="M578" s="47" t="s">
        <v>1300</v>
      </c>
      <c r="N578" s="47" t="s">
        <v>1301</v>
      </c>
      <c r="O578" s="47" t="n">
        <v>1</v>
      </c>
    </row>
    <row r="579" customFormat="false" ht="12.75" hidden="false" customHeight="true" outlineLevel="0" collapsed="false">
      <c r="M579" s="47" t="s">
        <v>1302</v>
      </c>
      <c r="N579" s="47" t="n">
        <v>2125683</v>
      </c>
      <c r="O579" s="47" t="n">
        <v>0.2</v>
      </c>
    </row>
    <row r="580" customFormat="false" ht="12.75" hidden="false" customHeight="true" outlineLevel="0" collapsed="false">
      <c r="M580" s="47" t="s">
        <v>1303</v>
      </c>
      <c r="N580" s="47" t="s">
        <v>1304</v>
      </c>
      <c r="O580" s="47" t="n">
        <v>0.025</v>
      </c>
    </row>
    <row r="581" customFormat="false" ht="12.75" hidden="false" customHeight="true" outlineLevel="0" collapsed="false">
      <c r="M581" s="47" t="s">
        <v>1305</v>
      </c>
      <c r="N581" s="47" t="s">
        <v>1306</v>
      </c>
      <c r="O581" s="47" t="n">
        <v>0.002</v>
      </c>
    </row>
    <row r="582" customFormat="false" ht="12.75" hidden="false" customHeight="true" outlineLevel="0" collapsed="false">
      <c r="M582" s="47" t="s">
        <v>1307</v>
      </c>
      <c r="N582" s="47" t="s">
        <v>1308</v>
      </c>
      <c r="O582" s="47" t="n">
        <v>5</v>
      </c>
    </row>
    <row r="583" customFormat="false" ht="12.75" hidden="false" customHeight="true" outlineLevel="0" collapsed="false">
      <c r="M583" s="47" t="s">
        <v>1309</v>
      </c>
      <c r="N583" s="47" t="s">
        <v>1310</v>
      </c>
      <c r="O583" s="47" t="n">
        <v>1</v>
      </c>
    </row>
    <row r="584" customFormat="false" ht="12.75" hidden="false" customHeight="true" outlineLevel="0" collapsed="false">
      <c r="M584" s="47" t="s">
        <v>1311</v>
      </c>
      <c r="N584" s="47" t="n">
        <v>6607</v>
      </c>
      <c r="O584" s="47" t="n">
        <v>10</v>
      </c>
    </row>
    <row r="585" customFormat="false" ht="12.75" hidden="false" customHeight="true" outlineLevel="0" collapsed="false">
      <c r="M585" s="47" t="s">
        <v>1312</v>
      </c>
      <c r="N585" s="47" t="s">
        <v>1313</v>
      </c>
      <c r="O585" s="47" t="n">
        <v>0.1</v>
      </c>
    </row>
    <row r="586" customFormat="false" ht="12.75" hidden="false" customHeight="true" outlineLevel="0" collapsed="false">
      <c r="M586" s="47" t="s">
        <v>1314</v>
      </c>
      <c r="N586" s="47" t="s">
        <v>1315</v>
      </c>
      <c r="O586" s="47" t="n">
        <v>0.1</v>
      </c>
    </row>
    <row r="587" customFormat="false" ht="12.75" hidden="false" customHeight="true" outlineLevel="0" collapsed="false">
      <c r="M587" s="47" t="s">
        <v>1316</v>
      </c>
      <c r="N587" s="47" t="s">
        <v>1317</v>
      </c>
      <c r="O587" s="47" t="n">
        <v>0.03</v>
      </c>
    </row>
    <row r="588" customFormat="false" ht="12.75" hidden="false" customHeight="true" outlineLevel="0" collapsed="false">
      <c r="M588" s="47" t="s">
        <v>1318</v>
      </c>
      <c r="N588" s="47" t="n">
        <v>2023600</v>
      </c>
    </row>
    <row r="589" customFormat="false" ht="12.75" hidden="false" customHeight="true" outlineLevel="0" collapsed="false">
      <c r="M589" s="47" t="s">
        <v>1319</v>
      </c>
      <c r="O589" s="47" t="n">
        <v>1</v>
      </c>
    </row>
    <row r="590" customFormat="false" ht="12.75" hidden="false" customHeight="true" outlineLevel="0" collapsed="false">
      <c r="M590" s="47" t="s">
        <v>1320</v>
      </c>
      <c r="O590" s="47" t="n">
        <v>0.002</v>
      </c>
    </row>
    <row r="591" customFormat="false" ht="12.75" hidden="false" customHeight="true" outlineLevel="0" collapsed="false">
      <c r="M591" s="47" t="s">
        <v>1321</v>
      </c>
      <c r="N591" s="47" t="s">
        <v>1322</v>
      </c>
      <c r="O591" s="47" t="n">
        <v>1</v>
      </c>
    </row>
    <row r="592" customFormat="false" ht="12.75" hidden="false" customHeight="true" outlineLevel="0" collapsed="false">
      <c r="M592" s="47" t="s">
        <v>1323</v>
      </c>
      <c r="N592" s="47" t="s">
        <v>1324</v>
      </c>
      <c r="O592" s="47" t="n">
        <v>1</v>
      </c>
    </row>
    <row r="593" customFormat="false" ht="12.75" hidden="false" customHeight="true" outlineLevel="0" collapsed="false">
      <c r="M593" s="47" t="s">
        <v>1325</v>
      </c>
      <c r="N593" s="47" t="s">
        <v>1326</v>
      </c>
    </row>
    <row r="594" customFormat="false" ht="12.75" hidden="false" customHeight="true" outlineLevel="0" collapsed="false">
      <c r="M594" s="47" t="s">
        <v>1327</v>
      </c>
      <c r="N594" s="47" t="s">
        <v>1328</v>
      </c>
      <c r="O594" s="47" t="n">
        <v>0.5</v>
      </c>
    </row>
    <row r="595" customFormat="false" ht="12.75" hidden="false" customHeight="true" outlineLevel="0" collapsed="false">
      <c r="M595" s="47" t="s">
        <v>1329</v>
      </c>
      <c r="N595" s="47" t="s">
        <v>1330</v>
      </c>
      <c r="O595" s="47" t="n">
        <v>1</v>
      </c>
    </row>
    <row r="596" customFormat="false" ht="12.75" hidden="false" customHeight="true" outlineLevel="0" collapsed="false">
      <c r="M596" s="47" t="s">
        <v>1331</v>
      </c>
      <c r="N596" s="47" t="s">
        <v>1332</v>
      </c>
    </row>
    <row r="597" customFormat="false" ht="12.75" hidden="false" customHeight="true" outlineLevel="0" collapsed="false">
      <c r="M597" s="47" t="s">
        <v>1333</v>
      </c>
      <c r="N597" s="47" t="s">
        <v>126</v>
      </c>
      <c r="O597" s="47" t="n">
        <v>100</v>
      </c>
    </row>
    <row r="598" customFormat="false" ht="12.75" hidden="false" customHeight="true" outlineLevel="0" collapsed="false">
      <c r="M598" s="47" t="s">
        <v>1334</v>
      </c>
      <c r="N598" s="47" t="s">
        <v>62</v>
      </c>
      <c r="O598" s="47" t="n">
        <v>200</v>
      </c>
    </row>
    <row r="599" customFormat="false" ht="12.75" hidden="false" customHeight="true" outlineLevel="0" collapsed="false">
      <c r="M599" s="47" t="s">
        <v>1335</v>
      </c>
      <c r="N599" s="47" t="s">
        <v>1336</v>
      </c>
      <c r="O599" s="47" t="n">
        <v>1</v>
      </c>
    </row>
    <row r="600" customFormat="false" ht="12.75" hidden="false" customHeight="true" outlineLevel="0" collapsed="false">
      <c r="M600" s="47" t="s">
        <v>1337</v>
      </c>
      <c r="N600" s="47" t="s">
        <v>1338</v>
      </c>
      <c r="O600" s="47" t="n">
        <v>0.5</v>
      </c>
    </row>
    <row r="601" customFormat="false" ht="12.75" hidden="false" customHeight="true" outlineLevel="0" collapsed="false">
      <c r="M601" s="47" t="s">
        <v>1339</v>
      </c>
      <c r="N601" s="47" t="s">
        <v>1340</v>
      </c>
      <c r="O601" s="47" t="n">
        <v>20</v>
      </c>
    </row>
    <row r="602" customFormat="false" ht="12.75" hidden="false" customHeight="true" outlineLevel="0" collapsed="false">
      <c r="M602" s="47" t="s">
        <v>49</v>
      </c>
      <c r="N602" s="47" t="s">
        <v>50</v>
      </c>
      <c r="O602" s="47" t="n">
        <v>10</v>
      </c>
    </row>
    <row r="603" customFormat="false" ht="12.75" hidden="false" customHeight="true" outlineLevel="0" collapsed="false">
      <c r="M603" s="47" t="s">
        <v>1341</v>
      </c>
      <c r="N603" s="47" t="s">
        <v>1342</v>
      </c>
    </row>
    <row r="604" customFormat="false" ht="12.75" hidden="false" customHeight="true" outlineLevel="0" collapsed="false">
      <c r="M604" s="47" t="s">
        <v>1343</v>
      </c>
      <c r="N604" s="47" t="s">
        <v>1344</v>
      </c>
      <c r="O604" s="47" t="n">
        <v>0.5</v>
      </c>
    </row>
    <row r="605" customFormat="false" ht="12.75" hidden="false" customHeight="true" outlineLevel="0" collapsed="false">
      <c r="M605" s="47" t="s">
        <v>1345</v>
      </c>
      <c r="N605" s="47" t="s">
        <v>1346</v>
      </c>
      <c r="O605" s="47" t="n">
        <v>100</v>
      </c>
    </row>
    <row r="606" customFormat="false" ht="12.75" hidden="false" customHeight="true" outlineLevel="0" collapsed="false">
      <c r="M606" s="47" t="s">
        <v>1347</v>
      </c>
      <c r="N606" s="47" t="s">
        <v>1348</v>
      </c>
      <c r="O606" s="47" t="n">
        <v>500</v>
      </c>
    </row>
    <row r="607" customFormat="false" ht="12.75" hidden="false" customHeight="true" outlineLevel="0" collapsed="false">
      <c r="M607" s="47" t="s">
        <v>1349</v>
      </c>
      <c r="N607" s="47" t="s">
        <v>1350</v>
      </c>
      <c r="O607" s="47" t="n">
        <v>10</v>
      </c>
    </row>
    <row r="608" customFormat="false" ht="12.75" hidden="false" customHeight="true" outlineLevel="0" collapsed="false">
      <c r="M608" s="47" t="s">
        <v>1351</v>
      </c>
      <c r="N608" s="47" t="s">
        <v>1352</v>
      </c>
      <c r="O608" s="47" t="n">
        <v>0.02</v>
      </c>
    </row>
    <row r="609" customFormat="false" ht="12.75" hidden="false" customHeight="true" outlineLevel="0" collapsed="false">
      <c r="M609" s="47" t="s">
        <v>1353</v>
      </c>
      <c r="N609" s="47" t="s">
        <v>1354</v>
      </c>
      <c r="O609" s="47" t="n">
        <v>50</v>
      </c>
    </row>
    <row r="610" customFormat="false" ht="12.75" hidden="false" customHeight="true" outlineLevel="0" collapsed="false">
      <c r="M610" s="47" t="s">
        <v>1355</v>
      </c>
      <c r="N610" s="47" t="s">
        <v>1356</v>
      </c>
      <c r="O610" s="47" t="n">
        <v>2</v>
      </c>
    </row>
    <row r="611" customFormat="false" ht="12.75" hidden="false" customHeight="true" outlineLevel="0" collapsed="false">
      <c r="M611" s="47" t="s">
        <v>1357</v>
      </c>
      <c r="N611" s="47" t="s">
        <v>1358</v>
      </c>
      <c r="O611" s="47" t="n">
        <v>0.2</v>
      </c>
    </row>
    <row r="612" customFormat="false" ht="12.75" hidden="false" customHeight="true" outlineLevel="0" collapsed="false">
      <c r="M612" s="47" t="s">
        <v>1359</v>
      </c>
      <c r="N612" s="47" t="s">
        <v>128</v>
      </c>
      <c r="O612" s="47" t="n">
        <v>5</v>
      </c>
    </row>
    <row r="613" customFormat="false" ht="12.75" hidden="false" customHeight="true" outlineLevel="0" collapsed="false">
      <c r="M613" s="47" t="s">
        <v>1360</v>
      </c>
      <c r="N613" s="47" t="s">
        <v>1361</v>
      </c>
      <c r="O613" s="47" t="n">
        <v>5</v>
      </c>
    </row>
    <row r="614" customFormat="false" ht="12.75" hidden="false" customHeight="true" outlineLevel="0" collapsed="false">
      <c r="M614" s="47" t="s">
        <v>91</v>
      </c>
      <c r="N614" s="47" t="s">
        <v>92</v>
      </c>
      <c r="O614" s="47" t="n">
        <v>1</v>
      </c>
    </row>
    <row r="615" customFormat="false" ht="12.75" hidden="false" customHeight="true" outlineLevel="0" collapsed="false">
      <c r="M615" s="47" t="s">
        <v>1362</v>
      </c>
      <c r="N615" s="47" t="n">
        <v>2246493</v>
      </c>
      <c r="O615" s="47" t="n">
        <v>0.001</v>
      </c>
    </row>
    <row r="616" customFormat="false" ht="12.75" hidden="false" customHeight="true" outlineLevel="0" collapsed="false">
      <c r="M616" s="47" t="s">
        <v>1363</v>
      </c>
      <c r="N616" s="47" t="s">
        <v>1364</v>
      </c>
      <c r="O616" s="47" t="n">
        <v>10</v>
      </c>
    </row>
    <row r="617" customFormat="false" ht="12.75" hidden="false" customHeight="true" outlineLevel="0" collapsed="false">
      <c r="M617" s="47" t="s">
        <v>1365</v>
      </c>
      <c r="N617" s="47" t="s">
        <v>1366</v>
      </c>
    </row>
    <row r="618" customFormat="false" ht="12.75" hidden="false" customHeight="true" outlineLevel="0" collapsed="false">
      <c r="M618" s="47" t="s">
        <v>1367</v>
      </c>
      <c r="O618" s="47" t="n">
        <v>1</v>
      </c>
    </row>
    <row r="619" customFormat="false" ht="12.75" hidden="false" customHeight="true" outlineLevel="0" collapsed="false">
      <c r="M619" s="47" t="s">
        <v>1368</v>
      </c>
      <c r="O619" s="47" t="n">
        <v>0.01</v>
      </c>
    </row>
    <row r="620" customFormat="false" ht="12.75" hidden="false" customHeight="true" outlineLevel="0" collapsed="false">
      <c r="M620" s="47" t="s">
        <v>1369</v>
      </c>
      <c r="N620" s="47" t="s">
        <v>1370</v>
      </c>
      <c r="O620" s="47" t="n">
        <v>5</v>
      </c>
    </row>
    <row r="621" customFormat="false" ht="12.75" hidden="false" customHeight="true" outlineLevel="0" collapsed="false">
      <c r="M621" s="47" t="s">
        <v>1371</v>
      </c>
      <c r="N621" s="47" t="s">
        <v>1372</v>
      </c>
      <c r="O621" s="47" t="n">
        <v>5</v>
      </c>
    </row>
    <row r="622" customFormat="false" ht="12.75" hidden="false" customHeight="true" outlineLevel="0" collapsed="false">
      <c r="M622" s="47" t="s">
        <v>1373</v>
      </c>
      <c r="N622" s="47" t="s">
        <v>1374</v>
      </c>
      <c r="O622" s="47" t="n">
        <v>0.2</v>
      </c>
    </row>
    <row r="623" customFormat="false" ht="12.75" hidden="false" customHeight="true" outlineLevel="0" collapsed="false">
      <c r="M623" s="47" t="s">
        <v>1375</v>
      </c>
      <c r="N623" s="47" t="s">
        <v>1376</v>
      </c>
      <c r="O623" s="47" t="n">
        <v>0.05</v>
      </c>
    </row>
    <row r="624" customFormat="false" ht="12.75" hidden="false" customHeight="true" outlineLevel="0" collapsed="false">
      <c r="M624" s="47" t="s">
        <v>1377</v>
      </c>
      <c r="N624" s="47" t="s">
        <v>1378</v>
      </c>
      <c r="O624" s="47" t="n">
        <v>10</v>
      </c>
    </row>
    <row r="625" customFormat="false" ht="12.75" hidden="false" customHeight="true" outlineLevel="0" collapsed="false">
      <c r="M625" s="47" t="s">
        <v>1379</v>
      </c>
      <c r="N625" s="47" t="s">
        <v>1380</v>
      </c>
      <c r="O625" s="47" t="n">
        <v>50</v>
      </c>
    </row>
    <row r="626" customFormat="false" ht="12.75" hidden="false" customHeight="true" outlineLevel="0" collapsed="false">
      <c r="M626" s="47" t="s">
        <v>1381</v>
      </c>
      <c r="N626" s="47" t="s">
        <v>1382</v>
      </c>
      <c r="O626" s="47" t="n">
        <v>0.025</v>
      </c>
    </row>
    <row r="627" customFormat="false" ht="12.75" hidden="false" customHeight="true" outlineLevel="0" collapsed="false">
      <c r="M627" s="47" t="s">
        <v>1383</v>
      </c>
      <c r="N627" s="47" t="s">
        <v>1384</v>
      </c>
    </row>
    <row r="628" customFormat="false" ht="12.75" hidden="false" customHeight="true" outlineLevel="0" collapsed="false">
      <c r="M628" s="47" t="s">
        <v>1385</v>
      </c>
      <c r="N628" s="47" t="s">
        <v>1386</v>
      </c>
      <c r="O628" s="47" t="n">
        <v>5</v>
      </c>
    </row>
    <row r="629" customFormat="false" ht="12.75" hidden="false" customHeight="true" outlineLevel="0" collapsed="false">
      <c r="M629" s="47" t="s">
        <v>1387</v>
      </c>
      <c r="N629" s="47" t="s">
        <v>1388</v>
      </c>
      <c r="O629" s="47" t="n">
        <v>0.1</v>
      </c>
    </row>
    <row r="630" customFormat="false" ht="12.75" hidden="false" customHeight="true" outlineLevel="0" collapsed="false">
      <c r="M630" s="47" t="s">
        <v>1389</v>
      </c>
      <c r="O630" s="47" t="n">
        <v>0.01</v>
      </c>
    </row>
    <row r="631" customFormat="false" ht="12.75" hidden="false" customHeight="true" outlineLevel="0" collapsed="false">
      <c r="M631" s="47" t="s">
        <v>1390</v>
      </c>
      <c r="N631" s="47" t="s">
        <v>1391</v>
      </c>
      <c r="O631" s="47" t="n">
        <v>0.5</v>
      </c>
    </row>
    <row r="632" customFormat="false" ht="12.75" hidden="false" customHeight="true" outlineLevel="0" collapsed="false">
      <c r="M632" s="47" t="s">
        <v>1392</v>
      </c>
      <c r="N632" s="47" t="s">
        <v>1393</v>
      </c>
    </row>
    <row r="633" customFormat="false" ht="12.75" hidden="false" customHeight="true" outlineLevel="0" collapsed="false">
      <c r="M633" s="47" t="s">
        <v>1394</v>
      </c>
    </row>
    <row r="634" customFormat="false" ht="12.75" hidden="false" customHeight="true" outlineLevel="0" collapsed="false">
      <c r="M634" s="47" t="s">
        <v>1395</v>
      </c>
      <c r="N634" s="47" t="s">
        <v>1396</v>
      </c>
      <c r="O634" s="47" t="n">
        <v>5</v>
      </c>
    </row>
    <row r="635" customFormat="false" ht="12.75" hidden="false" customHeight="true" outlineLevel="0" collapsed="false">
      <c r="M635" s="47" t="s">
        <v>1397</v>
      </c>
      <c r="N635" s="47" t="s">
        <v>1398</v>
      </c>
      <c r="O635" s="47" t="n">
        <v>0.05</v>
      </c>
    </row>
    <row r="636" customFormat="false" ht="12.75" hidden="false" customHeight="true" outlineLevel="0" collapsed="false">
      <c r="M636" s="47" t="s">
        <v>1399</v>
      </c>
      <c r="N636" s="47" t="s">
        <v>1400</v>
      </c>
    </row>
    <row r="637" customFormat="false" ht="12.75" hidden="false" customHeight="true" outlineLevel="0" collapsed="false">
      <c r="M637" s="47" t="s">
        <v>1401</v>
      </c>
      <c r="N637" s="47" t="s">
        <v>1402</v>
      </c>
      <c r="O637" s="47" t="n">
        <v>5</v>
      </c>
    </row>
    <row r="638" customFormat="false" ht="12.75" hidden="false" customHeight="true" outlineLevel="0" collapsed="false">
      <c r="M638" s="47" t="s">
        <v>1403</v>
      </c>
      <c r="N638" s="47" t="s">
        <v>1404</v>
      </c>
      <c r="O638" s="47" t="n">
        <v>10</v>
      </c>
    </row>
    <row r="639" customFormat="false" ht="12.75" hidden="false" customHeight="true" outlineLevel="0" collapsed="false">
      <c r="M639" s="47" t="s">
        <v>1405</v>
      </c>
      <c r="O639" s="47" t="n">
        <v>10</v>
      </c>
    </row>
    <row r="640" customFormat="false" ht="12.75" hidden="false" customHeight="true" outlineLevel="0" collapsed="false">
      <c r="M640" s="47" t="s">
        <v>1406</v>
      </c>
      <c r="N640" s="47" t="s">
        <v>1407</v>
      </c>
      <c r="O640" s="47" t="n">
        <v>3</v>
      </c>
    </row>
    <row r="641" customFormat="false" ht="12.75" hidden="false" customHeight="true" outlineLevel="0" collapsed="false">
      <c r="M641" s="47" t="s">
        <v>1408</v>
      </c>
      <c r="N641" s="47" t="s">
        <v>1409</v>
      </c>
      <c r="O641" s="47" t="n">
        <v>100</v>
      </c>
    </row>
    <row r="642" customFormat="false" ht="12.75" hidden="false" customHeight="true" outlineLevel="0" collapsed="false">
      <c r="M642" s="47" t="s">
        <v>1410</v>
      </c>
      <c r="N642" s="47" t="s">
        <v>1411</v>
      </c>
      <c r="O642" s="47" t="n">
        <v>0.15</v>
      </c>
    </row>
    <row r="643" customFormat="false" ht="12.75" hidden="false" customHeight="true" outlineLevel="0" collapsed="false">
      <c r="M643" s="47" t="s">
        <v>35</v>
      </c>
      <c r="N643" s="47" t="s">
        <v>36</v>
      </c>
      <c r="O643" s="47" t="n">
        <v>10</v>
      </c>
    </row>
    <row r="644" customFormat="false" ht="12.75" hidden="false" customHeight="true" outlineLevel="0" collapsed="false">
      <c r="M644" s="47" t="s">
        <v>1412</v>
      </c>
      <c r="N644" s="47" t="s">
        <v>1413</v>
      </c>
      <c r="O644" s="47" t="n">
        <v>1</v>
      </c>
    </row>
    <row r="645" customFormat="false" ht="12.75" hidden="false" customHeight="true" outlineLevel="0" collapsed="false">
      <c r="M645" s="47" t="s">
        <v>1414</v>
      </c>
      <c r="N645" s="47" t="s">
        <v>1415</v>
      </c>
    </row>
    <row r="646" customFormat="false" ht="12.75" hidden="false" customHeight="true" outlineLevel="0" collapsed="false">
      <c r="M646" s="47" t="s">
        <v>1416</v>
      </c>
      <c r="N646" s="47" t="s">
        <v>1417</v>
      </c>
      <c r="O646" s="47" t="n">
        <v>10</v>
      </c>
    </row>
    <row r="647" customFormat="false" ht="12.75" hidden="false" customHeight="true" outlineLevel="0" collapsed="false">
      <c r="M647" s="47" t="s">
        <v>1418</v>
      </c>
      <c r="N647" s="47" t="s">
        <v>1419</v>
      </c>
      <c r="O647" s="47" t="n">
        <v>5</v>
      </c>
    </row>
    <row r="648" customFormat="false" ht="12.75" hidden="false" customHeight="true" outlineLevel="0" collapsed="false">
      <c r="M648" s="47" t="s">
        <v>1420</v>
      </c>
      <c r="N648" s="47" t="s">
        <v>1421</v>
      </c>
      <c r="O648" s="47" t="n">
        <v>0.1</v>
      </c>
    </row>
    <row r="649" customFormat="false" ht="12.75" hidden="false" customHeight="true" outlineLevel="0" collapsed="false">
      <c r="M649" s="47" t="s">
        <v>1422</v>
      </c>
      <c r="N649" s="47" t="s">
        <v>1423</v>
      </c>
      <c r="O649" s="47" t="n">
        <v>0.1</v>
      </c>
    </row>
    <row r="650" customFormat="false" ht="12.75" hidden="false" customHeight="true" outlineLevel="0" collapsed="false">
      <c r="M650" s="47" t="s">
        <v>1424</v>
      </c>
      <c r="N650" s="47" t="n">
        <v>2025884</v>
      </c>
    </row>
    <row r="651" customFormat="false" ht="12.75" hidden="false" customHeight="true" outlineLevel="0" collapsed="false">
      <c r="M651" s="47" t="s">
        <v>1425</v>
      </c>
      <c r="N651" s="47" t="s">
        <v>1426</v>
      </c>
      <c r="O651" s="47" t="n">
        <v>1</v>
      </c>
    </row>
    <row r="652" customFormat="false" ht="12.75" hidden="false" customHeight="true" outlineLevel="0" collapsed="false">
      <c r="M652" s="47" t="s">
        <v>1427</v>
      </c>
      <c r="N652" s="47" t="s">
        <v>1428</v>
      </c>
    </row>
    <row r="653" customFormat="false" ht="12.75" hidden="false" customHeight="true" outlineLevel="0" collapsed="false">
      <c r="M653" s="47" t="s">
        <v>1429</v>
      </c>
      <c r="N653" s="47" t="s">
        <v>1430</v>
      </c>
    </row>
    <row r="654" customFormat="false" ht="12.75" hidden="false" customHeight="true" outlineLevel="0" collapsed="false">
      <c r="M654" s="47" t="s">
        <v>1431</v>
      </c>
      <c r="N654" s="47" t="s">
        <v>1432</v>
      </c>
    </row>
    <row r="655" customFormat="false" ht="12.75" hidden="false" customHeight="true" outlineLevel="0" collapsed="false">
      <c r="M655" s="47" t="s">
        <v>1433</v>
      </c>
      <c r="N655" s="47" t="s">
        <v>90</v>
      </c>
      <c r="O655" s="47" t="n">
        <v>0.2</v>
      </c>
    </row>
    <row r="656" customFormat="false" ht="12.75" hidden="false" customHeight="true" outlineLevel="0" collapsed="false">
      <c r="M656" s="47" t="s">
        <v>1434</v>
      </c>
      <c r="N656" s="47" t="s">
        <v>1435</v>
      </c>
      <c r="O656" s="47" t="n">
        <v>5</v>
      </c>
    </row>
    <row r="657" customFormat="false" ht="12.75" hidden="false" customHeight="true" outlineLevel="0" collapsed="false">
      <c r="M657" s="47" t="s">
        <v>1436</v>
      </c>
      <c r="O657" s="47" t="n">
        <v>1</v>
      </c>
    </row>
    <row r="658" customFormat="false" ht="12.75" hidden="false" customHeight="true" outlineLevel="0" collapsed="false">
      <c r="M658" s="47" t="s">
        <v>1436</v>
      </c>
      <c r="O658" s="47" t="n">
        <v>5</v>
      </c>
    </row>
    <row r="659" customFormat="false" ht="12.75" hidden="false" customHeight="true" outlineLevel="0" collapsed="false">
      <c r="M659" s="47" t="s">
        <v>1437</v>
      </c>
      <c r="O659" s="47" t="n">
        <v>1</v>
      </c>
    </row>
    <row r="660" customFormat="false" ht="12.75" hidden="false" customHeight="true" outlineLevel="0" collapsed="false">
      <c r="M660" s="47" t="s">
        <v>1438</v>
      </c>
      <c r="N660" s="47" t="s">
        <v>1439</v>
      </c>
      <c r="O660" s="47" t="n">
        <v>10</v>
      </c>
    </row>
    <row r="661" customFormat="false" ht="12.75" hidden="false" customHeight="true" outlineLevel="0" collapsed="false">
      <c r="M661" s="47" t="s">
        <v>1440</v>
      </c>
      <c r="N661" s="47" t="s">
        <v>1441</v>
      </c>
      <c r="O661" s="47" t="n">
        <v>2</v>
      </c>
    </row>
    <row r="662" customFormat="false" ht="12.75" hidden="false" customHeight="true" outlineLevel="0" collapsed="false">
      <c r="M662" s="47" t="s">
        <v>1442</v>
      </c>
      <c r="N662" s="47" t="s">
        <v>1443</v>
      </c>
      <c r="O662" s="47" t="n">
        <v>0.1</v>
      </c>
    </row>
    <row r="663" customFormat="false" ht="12.75" hidden="false" customHeight="true" outlineLevel="0" collapsed="false">
      <c r="M663" s="47" t="s">
        <v>1444</v>
      </c>
      <c r="N663" s="47" t="s">
        <v>1445</v>
      </c>
      <c r="O663" s="47" t="n">
        <v>0.02</v>
      </c>
    </row>
    <row r="664" customFormat="false" ht="12.75" hidden="false" customHeight="true" outlineLevel="0" collapsed="false">
      <c r="M664" s="47" t="s">
        <v>1446</v>
      </c>
      <c r="N664" s="47" t="s">
        <v>1447</v>
      </c>
      <c r="O664" s="47" t="n">
        <v>1</v>
      </c>
    </row>
    <row r="665" customFormat="false" ht="12.75" hidden="false" customHeight="true" outlineLevel="0" collapsed="false">
      <c r="M665" s="47" t="s">
        <v>1448</v>
      </c>
      <c r="N665" s="47" t="s">
        <v>1449</v>
      </c>
      <c r="O665" s="47" t="n">
        <v>0.01</v>
      </c>
    </row>
    <row r="666" customFormat="false" ht="12.75" hidden="false" customHeight="true" outlineLevel="0" collapsed="false">
      <c r="M666" s="47" t="s">
        <v>1450</v>
      </c>
      <c r="N666" s="47" t="s">
        <v>1451</v>
      </c>
      <c r="O666" s="47" t="n">
        <v>10</v>
      </c>
    </row>
    <row r="667" customFormat="false" ht="12.75" hidden="false" customHeight="true" outlineLevel="0" collapsed="false">
      <c r="M667" s="47" t="s">
        <v>1452</v>
      </c>
      <c r="N667" s="47" t="s">
        <v>1453</v>
      </c>
    </row>
    <row r="668" customFormat="false" ht="12.75" hidden="false" customHeight="true" outlineLevel="0" collapsed="false">
      <c r="M668" s="47" t="s">
        <v>1454</v>
      </c>
      <c r="N668" s="47" t="s">
        <v>1455</v>
      </c>
      <c r="O668" s="47" t="n">
        <v>0.1</v>
      </c>
    </row>
    <row r="669" customFormat="false" ht="12.75" hidden="false" customHeight="true" outlineLevel="0" collapsed="false">
      <c r="M669" s="47" t="s">
        <v>1456</v>
      </c>
      <c r="N669" s="47" t="s">
        <v>1457</v>
      </c>
      <c r="O669" s="47" t="n">
        <v>100</v>
      </c>
    </row>
    <row r="670" customFormat="false" ht="12.75" hidden="false" customHeight="true" outlineLevel="0" collapsed="false">
      <c r="M670" s="47" t="s">
        <v>1458</v>
      </c>
      <c r="N670" s="47" t="s">
        <v>1459</v>
      </c>
      <c r="O670" s="47" t="n">
        <v>50</v>
      </c>
    </row>
    <row r="671" customFormat="false" ht="12.75" hidden="false" customHeight="true" outlineLevel="0" collapsed="false">
      <c r="M671" s="47" t="s">
        <v>1460</v>
      </c>
      <c r="N671" s="47" t="s">
        <v>1461</v>
      </c>
      <c r="O671" s="47" t="n">
        <v>1</v>
      </c>
    </row>
    <row r="672" customFormat="false" ht="12.75" hidden="false" customHeight="true" outlineLevel="0" collapsed="false">
      <c r="M672" s="47" t="s">
        <v>37</v>
      </c>
      <c r="N672" s="47" t="s">
        <v>38</v>
      </c>
      <c r="O672" s="47" t="n">
        <v>25</v>
      </c>
    </row>
    <row r="673" customFormat="false" ht="12.75" hidden="false" customHeight="true" outlineLevel="0" collapsed="false">
      <c r="M673" s="47" t="s">
        <v>1462</v>
      </c>
      <c r="N673" s="47" t="s">
        <v>1463</v>
      </c>
      <c r="O673" s="47" t="n">
        <v>2</v>
      </c>
    </row>
    <row r="674" customFormat="false" ht="12.75" hidden="false" customHeight="true" outlineLevel="0" collapsed="false">
      <c r="M674" s="47" t="s">
        <v>1464</v>
      </c>
      <c r="N674" s="47" t="s">
        <v>1465</v>
      </c>
      <c r="O674" s="47" t="n">
        <v>0.5</v>
      </c>
    </row>
    <row r="675" customFormat="false" ht="12.75" hidden="false" customHeight="true" outlineLevel="0" collapsed="false">
      <c r="M675" s="47" t="s">
        <v>1466</v>
      </c>
      <c r="N675" s="47" t="s">
        <v>1467</v>
      </c>
      <c r="O675" s="47" t="n">
        <v>0.1</v>
      </c>
    </row>
    <row r="676" customFormat="false" ht="12.75" hidden="false" customHeight="true" outlineLevel="0" collapsed="false">
      <c r="M676" s="47" t="s">
        <v>1468</v>
      </c>
      <c r="N676" s="47" t="s">
        <v>1469</v>
      </c>
      <c r="O676" s="47" t="n">
        <v>0.01</v>
      </c>
    </row>
    <row r="677" customFormat="false" ht="12.75" hidden="false" customHeight="true" outlineLevel="0" collapsed="false">
      <c r="M677" s="47" t="s">
        <v>1470</v>
      </c>
      <c r="N677" s="47" t="s">
        <v>1471</v>
      </c>
      <c r="O677" s="47" t="n">
        <v>2</v>
      </c>
    </row>
    <row r="678" customFormat="false" ht="12.75" hidden="false" customHeight="true" outlineLevel="0" collapsed="false">
      <c r="M678" s="47" t="s">
        <v>1472</v>
      </c>
      <c r="N678" s="47" t="s">
        <v>122</v>
      </c>
      <c r="O678" s="47" t="n">
        <v>50</v>
      </c>
    </row>
    <row r="679" customFormat="false" ht="12.75" hidden="false" customHeight="true" outlineLevel="0" collapsed="false">
      <c r="M679" s="47" t="s">
        <v>1473</v>
      </c>
      <c r="O679" s="47" t="n">
        <v>2</v>
      </c>
    </row>
    <row r="680" customFormat="false" ht="12.75" hidden="false" customHeight="true" outlineLevel="0" collapsed="false">
      <c r="M680" s="47" t="s">
        <v>1474</v>
      </c>
      <c r="N680" s="47" t="s">
        <v>1475</v>
      </c>
      <c r="O680" s="47" t="n">
        <v>2</v>
      </c>
    </row>
    <row r="681" customFormat="false" ht="12.75" hidden="false" customHeight="true" outlineLevel="0" collapsed="false">
      <c r="M681" s="47" t="s">
        <v>1476</v>
      </c>
      <c r="N681" s="47" t="s">
        <v>1477</v>
      </c>
      <c r="O681" s="47" t="n">
        <v>0.15</v>
      </c>
    </row>
    <row r="682" customFormat="false" ht="12.75" hidden="false" customHeight="true" outlineLevel="0" collapsed="false">
      <c r="M682" s="47" t="s">
        <v>1478</v>
      </c>
      <c r="N682" s="47" t="s">
        <v>1479</v>
      </c>
      <c r="O682" s="47" t="n">
        <v>0.5</v>
      </c>
    </row>
    <row r="683" customFormat="false" ht="12.75" hidden="false" customHeight="true" outlineLevel="0" collapsed="false">
      <c r="M683" s="47" t="s">
        <v>1480</v>
      </c>
      <c r="N683" s="47" t="s">
        <v>1481</v>
      </c>
      <c r="O683" s="47" t="n">
        <v>0.005</v>
      </c>
    </row>
    <row r="684" customFormat="false" ht="12.75" hidden="false" customHeight="true" outlineLevel="0" collapsed="false">
      <c r="M684" s="47" t="s">
        <v>1482</v>
      </c>
      <c r="N684" s="47" t="s">
        <v>1483</v>
      </c>
      <c r="O684" s="47" t="n">
        <v>1.5</v>
      </c>
    </row>
    <row r="685" customFormat="false" ht="12.75" hidden="false" customHeight="true" outlineLevel="0" collapsed="false">
      <c r="M685" s="47" t="s">
        <v>1484</v>
      </c>
      <c r="N685" s="47" t="s">
        <v>1485</v>
      </c>
    </row>
    <row r="686" customFormat="false" ht="12.75" hidden="false" customHeight="true" outlineLevel="0" collapsed="false">
      <c r="M686" s="47" t="s">
        <v>1486</v>
      </c>
      <c r="N686" s="47" t="s">
        <v>1487</v>
      </c>
      <c r="O686" s="47" t="n">
        <v>0.02</v>
      </c>
    </row>
    <row r="687" customFormat="false" ht="12.75" hidden="false" customHeight="true" outlineLevel="0" collapsed="false">
      <c r="M687" s="47" t="s">
        <v>1488</v>
      </c>
      <c r="N687" s="47" t="s">
        <v>1489</v>
      </c>
      <c r="O687" s="47" t="n">
        <v>0.2</v>
      </c>
    </row>
    <row r="688" customFormat="false" ht="12.75" hidden="false" customHeight="true" outlineLevel="0" collapsed="false">
      <c r="M688" s="47" t="s">
        <v>1490</v>
      </c>
      <c r="N688" s="47" t="s">
        <v>1491</v>
      </c>
      <c r="O688" s="47" t="n">
        <v>1</v>
      </c>
    </row>
    <row r="689" customFormat="false" ht="12.75" hidden="false" customHeight="true" outlineLevel="0" collapsed="false">
      <c r="M689" s="47" t="s">
        <v>1492</v>
      </c>
      <c r="N689" s="47" t="s">
        <v>1493</v>
      </c>
      <c r="O689" s="47" t="n">
        <v>0.1</v>
      </c>
    </row>
    <row r="690" customFormat="false" ht="12.75" hidden="false" customHeight="true" outlineLevel="0" collapsed="false">
      <c r="M690" s="47" t="s">
        <v>1494</v>
      </c>
      <c r="N690" s="47" t="s">
        <v>1495</v>
      </c>
      <c r="O690" s="47" t="n">
        <v>1</v>
      </c>
    </row>
    <row r="691" customFormat="false" ht="12.75" hidden="false" customHeight="true" outlineLevel="0" collapsed="false">
      <c r="M691" s="47" t="s">
        <v>1496</v>
      </c>
      <c r="N691" s="47" t="n">
        <v>2125597</v>
      </c>
    </row>
    <row r="692" customFormat="false" ht="12.75" hidden="false" customHeight="true" outlineLevel="0" collapsed="false">
      <c r="M692" s="47" t="s">
        <v>1497</v>
      </c>
      <c r="N692" s="47" t="s">
        <v>1498</v>
      </c>
      <c r="O692" s="47" t="n">
        <v>0.05</v>
      </c>
    </row>
    <row r="693" customFormat="false" ht="12.75" hidden="false" customHeight="true" outlineLevel="0" collapsed="false">
      <c r="M693" s="47" t="s">
        <v>1499</v>
      </c>
      <c r="N693" s="47" t="s">
        <v>1500</v>
      </c>
      <c r="O693" s="47" t="n">
        <v>2</v>
      </c>
    </row>
    <row r="694" customFormat="false" ht="12.75" hidden="false" customHeight="true" outlineLevel="0" collapsed="false">
      <c r="M694" s="47" t="s">
        <v>1499</v>
      </c>
      <c r="N694" s="47" t="s">
        <v>1500</v>
      </c>
      <c r="O694" s="47" t="n">
        <v>0.1</v>
      </c>
    </row>
    <row r="695" customFormat="false" ht="12.75" hidden="false" customHeight="true" outlineLevel="0" collapsed="false">
      <c r="M695" s="47" t="s">
        <v>1501</v>
      </c>
      <c r="N695" s="47" t="s">
        <v>1502</v>
      </c>
      <c r="O695" s="47" t="n">
        <v>0.5</v>
      </c>
    </row>
    <row r="696" customFormat="false" ht="12.75" hidden="false" customHeight="true" outlineLevel="0" collapsed="false">
      <c r="M696" s="47" t="s">
        <v>25</v>
      </c>
      <c r="N696" s="47" t="s">
        <v>26</v>
      </c>
      <c r="O696" s="47" t="n">
        <v>20</v>
      </c>
      <c r="P696" s="121" t="s">
        <v>1503</v>
      </c>
    </row>
    <row r="697" customFormat="false" ht="12.75" hidden="false" customHeight="true" outlineLevel="0" collapsed="false">
      <c r="M697" s="47" t="s">
        <v>1504</v>
      </c>
      <c r="N697" s="47" t="s">
        <v>1505</v>
      </c>
      <c r="O697" s="47" t="n">
        <v>0.001</v>
      </c>
    </row>
    <row r="698" customFormat="false" ht="12.75" hidden="false" customHeight="true" outlineLevel="0" collapsed="false">
      <c r="M698" s="47" t="s">
        <v>1506</v>
      </c>
      <c r="N698" s="47" t="s">
        <v>1507</v>
      </c>
      <c r="O698" s="47" t="n">
        <v>2</v>
      </c>
    </row>
    <row r="699" customFormat="false" ht="12.75" hidden="false" customHeight="true" outlineLevel="0" collapsed="false">
      <c r="M699" s="47" t="s">
        <v>1508</v>
      </c>
      <c r="N699" s="47" t="s">
        <v>1509</v>
      </c>
      <c r="O699" s="47" t="n">
        <v>2</v>
      </c>
    </row>
    <row r="700" customFormat="false" ht="12.75" hidden="false" customHeight="true" outlineLevel="0" collapsed="false">
      <c r="M700" s="47" t="s">
        <v>1510</v>
      </c>
      <c r="N700" s="47" t="s">
        <v>1511</v>
      </c>
      <c r="O700" s="47" t="n">
        <v>2</v>
      </c>
    </row>
    <row r="701" customFormat="false" ht="12.75" hidden="false" customHeight="true" outlineLevel="0" collapsed="false">
      <c r="M701" s="47" t="s">
        <v>1512</v>
      </c>
      <c r="N701" s="47" t="s">
        <v>1513</v>
      </c>
      <c r="O701" s="47" t="n">
        <v>5</v>
      </c>
    </row>
    <row r="702" customFormat="false" ht="12.75" hidden="false" customHeight="true" outlineLevel="0" collapsed="false">
      <c r="M702" s="47" t="s">
        <v>1514</v>
      </c>
      <c r="N702" s="47" t="s">
        <v>1515</v>
      </c>
      <c r="O702" s="47" t="n">
        <v>0.1</v>
      </c>
    </row>
    <row r="703" customFormat="false" ht="12.75" hidden="false" customHeight="true" outlineLevel="0" collapsed="false">
      <c r="M703" s="47" t="s">
        <v>1516</v>
      </c>
      <c r="N703" s="47" t="s">
        <v>1517</v>
      </c>
      <c r="O703" s="47" t="n">
        <v>0.5</v>
      </c>
    </row>
    <row r="704" customFormat="false" ht="12.75" hidden="false" customHeight="true" outlineLevel="0" collapsed="false">
      <c r="M704" s="47" t="s">
        <v>1518</v>
      </c>
      <c r="N704" s="47" t="s">
        <v>1519</v>
      </c>
    </row>
    <row r="705" customFormat="false" ht="12.75" hidden="false" customHeight="true" outlineLevel="0" collapsed="false">
      <c r="M705" s="47" t="s">
        <v>1520</v>
      </c>
      <c r="N705" s="47" t="s">
        <v>1521</v>
      </c>
      <c r="O705" s="47" t="n">
        <v>10</v>
      </c>
    </row>
    <row r="706" customFormat="false" ht="12.75" hidden="false" customHeight="true" outlineLevel="0" collapsed="false">
      <c r="M706" s="47" t="s">
        <v>65</v>
      </c>
      <c r="N706" s="47" t="s">
        <v>66</v>
      </c>
      <c r="O706" s="47" t="n">
        <v>10</v>
      </c>
    </row>
    <row r="707" customFormat="false" ht="12.75" hidden="false" customHeight="true" outlineLevel="0" collapsed="false">
      <c r="M707" s="47" t="s">
        <v>1522</v>
      </c>
      <c r="N707" s="47" t="s">
        <v>1523</v>
      </c>
    </row>
    <row r="708" customFormat="false" ht="12.75" hidden="false" customHeight="true" outlineLevel="0" collapsed="false">
      <c r="M708" s="47" t="s">
        <v>1524</v>
      </c>
      <c r="N708" s="47" t="s">
        <v>1525</v>
      </c>
      <c r="O708" s="47" t="n">
        <v>5</v>
      </c>
    </row>
    <row r="709" customFormat="false" ht="12.75" hidden="false" customHeight="true" outlineLevel="0" collapsed="false">
      <c r="M709" s="47" t="s">
        <v>1526</v>
      </c>
      <c r="N709" s="47" t="s">
        <v>1527</v>
      </c>
      <c r="O709" s="47" t="n">
        <v>0.005</v>
      </c>
    </row>
    <row r="710" customFormat="false" ht="12.75" hidden="false" customHeight="true" outlineLevel="0" collapsed="false">
      <c r="M710" s="47" t="s">
        <v>1528</v>
      </c>
      <c r="N710" s="47" t="s">
        <v>1529</v>
      </c>
      <c r="O710" s="47" t="n">
        <v>1</v>
      </c>
    </row>
    <row r="711" customFormat="false" ht="12.75" hidden="false" customHeight="true" outlineLevel="0" collapsed="false">
      <c r="M711" s="47" t="s">
        <v>1530</v>
      </c>
      <c r="N711" s="47" t="s">
        <v>1531</v>
      </c>
      <c r="O711" s="47" t="n">
        <v>1</v>
      </c>
    </row>
    <row r="712" customFormat="false" ht="12.75" hidden="false" customHeight="true" outlineLevel="0" collapsed="false">
      <c r="M712" s="47" t="s">
        <v>1532</v>
      </c>
      <c r="N712" s="47" t="s">
        <v>1533</v>
      </c>
      <c r="O712" s="47" t="n">
        <v>10</v>
      </c>
    </row>
    <row r="713" customFormat="false" ht="12.75" hidden="false" customHeight="true" outlineLevel="0" collapsed="false">
      <c r="M713" s="47" t="s">
        <v>1534</v>
      </c>
      <c r="N713" s="47" t="s">
        <v>1535</v>
      </c>
      <c r="O713" s="47" t="n">
        <v>0.05</v>
      </c>
    </row>
    <row r="714" customFormat="false" ht="12.75" hidden="false" customHeight="true" outlineLevel="0" collapsed="false">
      <c r="M714" s="47" t="s">
        <v>1536</v>
      </c>
      <c r="N714" s="47" t="s">
        <v>1537</v>
      </c>
      <c r="O714" s="47" t="n">
        <v>0.0005</v>
      </c>
    </row>
    <row r="715" customFormat="false" ht="12.75" hidden="false" customHeight="true" outlineLevel="0" collapsed="false">
      <c r="M715" s="47" t="s">
        <v>1538</v>
      </c>
      <c r="N715" s="47" t="s">
        <v>1539</v>
      </c>
      <c r="O715" s="47" t="n">
        <v>0.05</v>
      </c>
    </row>
    <row r="716" customFormat="false" ht="12.75" hidden="false" customHeight="true" outlineLevel="0" collapsed="false">
      <c r="M716" s="47" t="s">
        <v>1540</v>
      </c>
      <c r="N716" s="47" t="s">
        <v>1541</v>
      </c>
      <c r="O716" s="47" t="n">
        <v>0.5</v>
      </c>
    </row>
    <row r="717" customFormat="false" ht="12.75" hidden="false" customHeight="true" outlineLevel="0" collapsed="false">
      <c r="M717" s="47" t="s">
        <v>1542</v>
      </c>
      <c r="N717" s="47" t="s">
        <v>1543</v>
      </c>
      <c r="O717" s="47" t="n">
        <v>0.05</v>
      </c>
    </row>
    <row r="718" customFormat="false" ht="12.75" hidden="false" customHeight="true" outlineLevel="0" collapsed="false">
      <c r="M718" s="47" t="s">
        <v>1544</v>
      </c>
      <c r="N718" s="47" t="s">
        <v>1545</v>
      </c>
      <c r="O718" s="47" t="n">
        <v>5</v>
      </c>
    </row>
    <row r="719" customFormat="false" ht="12.75" hidden="false" customHeight="true" outlineLevel="0" collapsed="false">
      <c r="M719" s="47" t="s">
        <v>1546</v>
      </c>
      <c r="N719" s="47" t="s">
        <v>1547</v>
      </c>
      <c r="O719" s="47" t="n">
        <v>10</v>
      </c>
    </row>
    <row r="720" customFormat="false" ht="12.75" hidden="false" customHeight="true" outlineLevel="0" collapsed="false">
      <c r="M720" s="47" t="s">
        <v>1548</v>
      </c>
      <c r="N720" s="47" t="s">
        <v>1549</v>
      </c>
      <c r="O720" s="47" t="n">
        <v>2</v>
      </c>
    </row>
    <row r="721" customFormat="false" ht="12.75" hidden="false" customHeight="true" outlineLevel="0" collapsed="false">
      <c r="M721" s="47" t="s">
        <v>1550</v>
      </c>
      <c r="N721" s="47" t="s">
        <v>1551</v>
      </c>
      <c r="O721" s="47" t="n">
        <v>0.1</v>
      </c>
    </row>
    <row r="722" customFormat="false" ht="12.75" hidden="false" customHeight="true" outlineLevel="0" collapsed="false">
      <c r="M722" s="47" t="s">
        <v>1552</v>
      </c>
      <c r="N722" s="47" t="s">
        <v>1553</v>
      </c>
      <c r="O722" s="47" t="n">
        <v>0.02</v>
      </c>
    </row>
    <row r="723" customFormat="false" ht="12.75" hidden="false" customHeight="true" outlineLevel="0" collapsed="false">
      <c r="M723" s="47" t="s">
        <v>1554</v>
      </c>
      <c r="N723" s="47" t="s">
        <v>1555</v>
      </c>
      <c r="O723" s="47" t="n">
        <v>3</v>
      </c>
    </row>
    <row r="724" customFormat="false" ht="12.75" hidden="false" customHeight="true" outlineLevel="0" collapsed="false">
      <c r="M724" s="47" t="s">
        <v>1556</v>
      </c>
      <c r="N724" s="47" t="s">
        <v>1557</v>
      </c>
      <c r="O724" s="47" t="n">
        <v>3</v>
      </c>
    </row>
    <row r="725" customFormat="false" ht="12.75" hidden="false" customHeight="true" outlineLevel="0" collapsed="false">
      <c r="M725" s="47" t="s">
        <v>1558</v>
      </c>
      <c r="N725" s="47" t="s">
        <v>1559</v>
      </c>
      <c r="O725" s="47" t="n">
        <v>20</v>
      </c>
    </row>
    <row r="726" customFormat="false" ht="12.75" hidden="false" customHeight="true" outlineLevel="0" collapsed="false">
      <c r="M726" s="47" t="s">
        <v>1560</v>
      </c>
      <c r="N726" s="47" t="s">
        <v>1561</v>
      </c>
      <c r="O726" s="47" t="n">
        <v>0.2</v>
      </c>
    </row>
    <row r="727" customFormat="false" ht="12.75" hidden="false" customHeight="true" outlineLevel="0" collapsed="false">
      <c r="M727" s="47" t="s">
        <v>1562</v>
      </c>
      <c r="N727" s="47" t="s">
        <v>1563</v>
      </c>
      <c r="O727" s="47" t="n">
        <v>50</v>
      </c>
    </row>
    <row r="728" customFormat="false" ht="12.75" hidden="false" customHeight="true" outlineLevel="0" collapsed="false">
      <c r="M728" s="47" t="s">
        <v>1564</v>
      </c>
      <c r="N728" s="47" t="s">
        <v>1565</v>
      </c>
      <c r="O728" s="47" t="n">
        <v>0.05</v>
      </c>
    </row>
    <row r="729" customFormat="false" ht="12.75" hidden="false" customHeight="true" outlineLevel="0" collapsed="false">
      <c r="M729" s="47" t="s">
        <v>1566</v>
      </c>
      <c r="N729" s="47" t="s">
        <v>1567</v>
      </c>
      <c r="O729" s="47" t="n">
        <v>10</v>
      </c>
    </row>
    <row r="730" customFormat="false" ht="12.75" hidden="false" customHeight="true" outlineLevel="0" collapsed="false">
      <c r="M730" s="47" t="s">
        <v>1568</v>
      </c>
      <c r="N730" s="47" t="s">
        <v>1569</v>
      </c>
      <c r="O730" s="47" t="n">
        <v>0.5</v>
      </c>
    </row>
    <row r="731" customFormat="false" ht="12.75" hidden="false" customHeight="true" outlineLevel="0" collapsed="false">
      <c r="M731" s="47" t="s">
        <v>1570</v>
      </c>
      <c r="N731" s="47" t="s">
        <v>1571</v>
      </c>
      <c r="O731" s="47" t="n">
        <v>1</v>
      </c>
    </row>
    <row r="732" customFormat="false" ht="12.75" hidden="false" customHeight="true" outlineLevel="0" collapsed="false">
      <c r="M732" s="47" t="s">
        <v>1572</v>
      </c>
      <c r="N732" s="47" t="s">
        <v>1573</v>
      </c>
      <c r="O732" s="47" t="n">
        <v>0.1</v>
      </c>
    </row>
    <row r="733" customFormat="false" ht="12.75" hidden="false" customHeight="true" outlineLevel="0" collapsed="false">
      <c r="M733" s="47" t="s">
        <v>1574</v>
      </c>
      <c r="N733" s="47" t="s">
        <v>1575</v>
      </c>
      <c r="O733" s="47" t="n">
        <v>0.1</v>
      </c>
    </row>
    <row r="734" customFormat="false" ht="12.75" hidden="false" customHeight="true" outlineLevel="0" collapsed="false">
      <c r="M734" s="47" t="s">
        <v>1576</v>
      </c>
      <c r="N734" s="47" t="s">
        <v>1577</v>
      </c>
      <c r="O734" s="47" t="n">
        <v>1</v>
      </c>
    </row>
    <row r="735" customFormat="false" ht="12.75" hidden="false" customHeight="true" outlineLevel="0" collapsed="false">
      <c r="M735" s="47" t="s">
        <v>1578</v>
      </c>
      <c r="N735" s="47" t="s">
        <v>1579</v>
      </c>
      <c r="O735" s="47" t="n">
        <v>0.05</v>
      </c>
    </row>
    <row r="736" customFormat="false" ht="12.75" hidden="false" customHeight="true" outlineLevel="0" collapsed="false">
      <c r="M736" s="47" t="s">
        <v>1580</v>
      </c>
      <c r="N736" s="47" t="s">
        <v>1581</v>
      </c>
      <c r="O736" s="47" t="n">
        <v>5</v>
      </c>
    </row>
    <row r="737" customFormat="false" ht="12.75" hidden="false" customHeight="true" outlineLevel="0" collapsed="false">
      <c r="M737" s="47" t="s">
        <v>1582</v>
      </c>
      <c r="N737" s="47" t="s">
        <v>1583</v>
      </c>
      <c r="O737" s="47" t="n">
        <v>500</v>
      </c>
    </row>
    <row r="738" customFormat="false" ht="12.75" hidden="false" customHeight="true" outlineLevel="0" collapsed="false">
      <c r="M738" s="47" t="s">
        <v>1584</v>
      </c>
      <c r="N738" s="47" t="s">
        <v>1585</v>
      </c>
      <c r="O738" s="47" t="n">
        <v>10</v>
      </c>
    </row>
    <row r="739" customFormat="false" ht="12.75" hidden="false" customHeight="true" outlineLevel="0" collapsed="false">
      <c r="M739" s="47" t="s">
        <v>1586</v>
      </c>
      <c r="N739" s="47" t="s">
        <v>1587</v>
      </c>
      <c r="O739" s="47" t="n">
        <v>0.01</v>
      </c>
    </row>
    <row r="740" customFormat="false" ht="12.75" hidden="false" customHeight="true" outlineLevel="0" collapsed="false">
      <c r="M740" s="47" t="s">
        <v>1588</v>
      </c>
      <c r="O740" s="47" t="n">
        <v>0.5</v>
      </c>
    </row>
    <row r="741" customFormat="false" ht="12.75" hidden="false" customHeight="true" outlineLevel="0" collapsed="false">
      <c r="M741" s="47" t="s">
        <v>1589</v>
      </c>
      <c r="O741" s="47" t="n">
        <v>1</v>
      </c>
    </row>
    <row r="742" customFormat="false" ht="12.75" hidden="false" customHeight="true" outlineLevel="0" collapsed="false">
      <c r="M742" s="47" t="s">
        <v>1590</v>
      </c>
      <c r="N742" s="47" t="s">
        <v>1591</v>
      </c>
      <c r="O742" s="47" t="n">
        <v>20</v>
      </c>
    </row>
    <row r="743" customFormat="false" ht="12.75" hidden="false" customHeight="true" outlineLevel="0" collapsed="false">
      <c r="M743" s="47" t="s">
        <v>1592</v>
      </c>
      <c r="N743" s="47" t="s">
        <v>1593</v>
      </c>
      <c r="O743" s="47" t="n">
        <v>0.5</v>
      </c>
    </row>
    <row r="744" customFormat="false" ht="12.75" hidden="false" customHeight="true" outlineLevel="0" collapsed="false">
      <c r="M744" s="47" t="s">
        <v>1594</v>
      </c>
      <c r="N744" s="47" t="s">
        <v>1595</v>
      </c>
      <c r="O744" s="47" t="n">
        <v>1</v>
      </c>
    </row>
    <row r="745" customFormat="false" ht="12.75" hidden="false" customHeight="true" outlineLevel="0" collapsed="false">
      <c r="M745" s="47" t="s">
        <v>1596</v>
      </c>
      <c r="N745" s="47" t="s">
        <v>1597</v>
      </c>
      <c r="O745" s="47" t="n">
        <v>1</v>
      </c>
    </row>
    <row r="746" customFormat="false" ht="12.75" hidden="false" customHeight="true" outlineLevel="0" collapsed="false">
      <c r="M746" s="47" t="s">
        <v>1598</v>
      </c>
      <c r="N746" s="47" t="s">
        <v>1599</v>
      </c>
      <c r="O746" s="47" t="n">
        <v>2</v>
      </c>
    </row>
    <row r="747" customFormat="false" ht="12.75" hidden="false" customHeight="true" outlineLevel="0" collapsed="false">
      <c r="M747" s="47" t="s">
        <v>1600</v>
      </c>
      <c r="N747" s="47" t="s">
        <v>1601</v>
      </c>
      <c r="O747" s="47" t="n">
        <v>5</v>
      </c>
    </row>
    <row r="748" customFormat="false" ht="12.75" hidden="false" customHeight="true" outlineLevel="0" collapsed="false">
      <c r="M748" s="47" t="s">
        <v>1602</v>
      </c>
      <c r="N748" s="47" t="s">
        <v>1603</v>
      </c>
      <c r="O748" s="47" t="n">
        <v>0.1</v>
      </c>
    </row>
    <row r="749" customFormat="false" ht="12.75" hidden="false" customHeight="true" outlineLevel="0" collapsed="false">
      <c r="M749" s="47" t="s">
        <v>1604</v>
      </c>
      <c r="N749" s="47" t="s">
        <v>1605</v>
      </c>
      <c r="O749" s="47" t="n">
        <v>1</v>
      </c>
    </row>
  </sheetData>
  <mergeCells count="13">
    <mergeCell ref="A1:L1"/>
    <mergeCell ref="S1:U1"/>
    <mergeCell ref="V1:V2"/>
    <mergeCell ref="AD1:AH1"/>
    <mergeCell ref="AI1:AP1"/>
    <mergeCell ref="AI7:AI14"/>
    <mergeCell ref="AJ7:AJ14"/>
    <mergeCell ref="AK7:AK14"/>
    <mergeCell ref="AL7:AL14"/>
    <mergeCell ref="AM7:AM14"/>
    <mergeCell ref="AN7:AN14"/>
    <mergeCell ref="AO7:AO14"/>
    <mergeCell ref="AP7:AP14"/>
  </mergeCells>
  <dataValidations count="1">
    <dataValidation allowBlank="true" errorStyle="stop" operator="between" showDropDown="false" showErrorMessage="true" showInputMessage="true" sqref="AI7:AI14" type="list">
      <formula1>"Campana Simple,Campana con Pestaña,Cabina,Campana Elevada"</formula1>
      <formula2>0</formula2>
    </dataValidation>
  </dataValidations>
  <printOptions horizontalCentered="1"/>
  <pageMargins left="0.5" right="0.5" top="0.75" bottom="0.7" header="0.3" footer="0.3"/>
  <pageSetup paperSize="1" orientation="landscape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F26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19.5" hidden="false" customHeight="true" outlineLevel="0" collapsed="false">
      <c r="A1" s="53" t="s">
        <v>1606</v>
      </c>
      <c r="B1" s="53"/>
      <c r="C1" s="53"/>
      <c r="D1" s="53"/>
      <c r="E1" s="53"/>
      <c r="F1" s="53"/>
    </row>
    <row r="2" customFormat="false" ht="42" hidden="false" customHeight="true" outlineLevel="0" collapsed="false">
      <c r="A2" s="57" t="s">
        <v>3</v>
      </c>
      <c r="B2" s="57" t="s">
        <v>2</v>
      </c>
      <c r="C2" s="57" t="s">
        <v>1607</v>
      </c>
      <c r="D2" s="57" t="s">
        <v>1608</v>
      </c>
      <c r="E2" s="57" t="s">
        <v>1609</v>
      </c>
      <c r="F2" s="57" t="s">
        <v>1610</v>
      </c>
    </row>
    <row r="3" customFormat="false" ht="15" hidden="false" customHeight="false" outlineLevel="0" collapsed="false">
      <c r="A3" s="75" t="s">
        <v>308</v>
      </c>
      <c r="B3" s="75" t="s">
        <v>309</v>
      </c>
      <c r="C3" s="75" t="n">
        <v>100</v>
      </c>
      <c r="D3" s="75" t="n">
        <v>1200</v>
      </c>
      <c r="E3" s="77" t="n">
        <f aca="false">IF(OR(C3="",D3=""), "", D3/C3)</f>
        <v>12</v>
      </c>
      <c r="F3" s="122" t="n">
        <f aca="false">IF(E3="", "", E3/SUM(E$3:E$10))</f>
        <v>0.705882352941177</v>
      </c>
    </row>
    <row r="4" customFormat="false" ht="15" hidden="false" customHeight="false" outlineLevel="0" collapsed="false">
      <c r="A4" s="75" t="s">
        <v>311</v>
      </c>
      <c r="B4" s="75" t="s">
        <v>312</v>
      </c>
      <c r="C4" s="75" t="n">
        <v>50</v>
      </c>
      <c r="D4" s="75" t="n">
        <v>85</v>
      </c>
      <c r="E4" s="77" t="n">
        <f aca="false">IF(OR(C4="",D4=""), "", D4/C4)</f>
        <v>1.7</v>
      </c>
      <c r="F4" s="122" t="n">
        <f aca="false">IF(E4="", "", E4/SUM(E$3:E$10))</f>
        <v>0.1</v>
      </c>
    </row>
    <row r="5" customFormat="false" ht="15" hidden="false" customHeight="false" outlineLevel="0" collapsed="false">
      <c r="A5" s="75" t="s">
        <v>314</v>
      </c>
      <c r="B5" s="75" t="s">
        <v>315</v>
      </c>
      <c r="C5" s="75" t="n">
        <v>25</v>
      </c>
      <c r="D5" s="75" t="n">
        <v>30</v>
      </c>
      <c r="E5" s="77" t="n">
        <f aca="false">IF(OR(C5="",D5=""), "", D5/C5)</f>
        <v>1.2</v>
      </c>
      <c r="F5" s="122" t="n">
        <f aca="false">IF(E5="", "", E5/SUM(E$3:E$10))</f>
        <v>0.0705882352941177</v>
      </c>
    </row>
    <row r="6" customFormat="false" ht="15" hidden="false" customHeight="false" outlineLevel="0" collapsed="false">
      <c r="A6" s="75" t="s">
        <v>317</v>
      </c>
      <c r="B6" s="75" t="s">
        <v>318</v>
      </c>
      <c r="C6" s="75" t="n">
        <v>10</v>
      </c>
      <c r="D6" s="75" t="n">
        <v>6</v>
      </c>
      <c r="E6" s="77" t="n">
        <f aca="false">IF(OR(C6="",D6=""), "", D6/C6)</f>
        <v>0.6</v>
      </c>
      <c r="F6" s="122" t="n">
        <f aca="false">IF(E6="", "", E6/SUM(E$3:E$10))</f>
        <v>0.0352941176470588</v>
      </c>
    </row>
    <row r="7" customFormat="false" ht="15" hidden="false" customHeight="false" outlineLevel="0" collapsed="false">
      <c r="A7" s="75" t="s">
        <v>320</v>
      </c>
      <c r="B7" s="75" t="s">
        <v>321</v>
      </c>
      <c r="C7" s="75" t="n">
        <v>75</v>
      </c>
      <c r="D7" s="75" t="n">
        <v>40</v>
      </c>
      <c r="E7" s="77" t="n">
        <f aca="false">IF(OR(C7="",D7=""), "", D7/C7)</f>
        <v>0.533333333333333</v>
      </c>
      <c r="F7" s="122" t="n">
        <f aca="false">IF(E7="", "", E7/SUM(E$3:E$10))</f>
        <v>0.0313725490196078</v>
      </c>
    </row>
    <row r="8" customFormat="false" ht="15" hidden="false" customHeight="false" outlineLevel="0" collapsed="false">
      <c r="A8" s="75" t="s">
        <v>323</v>
      </c>
      <c r="B8" s="75" t="s">
        <v>324</v>
      </c>
      <c r="C8" s="75" t="n">
        <v>150</v>
      </c>
      <c r="D8" s="75" t="n">
        <v>70</v>
      </c>
      <c r="E8" s="77" t="n">
        <f aca="false">IF(OR(C8="",D8=""), "", D8/C8)</f>
        <v>0.466666666666667</v>
      </c>
      <c r="F8" s="122" t="n">
        <f aca="false">IF(E8="", "", E8/SUM(E$3:E$10))</f>
        <v>0.0274509803921569</v>
      </c>
    </row>
    <row r="9" customFormat="false" ht="15" hidden="false" customHeight="false" outlineLevel="0" collapsed="false">
      <c r="A9" s="75" t="s">
        <v>326</v>
      </c>
      <c r="B9" s="75" t="s">
        <v>327</v>
      </c>
      <c r="C9" s="75" t="n">
        <v>5</v>
      </c>
      <c r="D9" s="75" t="n">
        <v>1.5</v>
      </c>
      <c r="E9" s="77" t="n">
        <f aca="false">IF(OR(C9="",D9=""), "", D9/C9)</f>
        <v>0.3</v>
      </c>
      <c r="F9" s="122" t="n">
        <f aca="false">IF(E9="", "", E9/SUM(E$3:E$10))</f>
        <v>0.0176470588235294</v>
      </c>
    </row>
    <row r="10" customFormat="false" ht="15" hidden="false" customHeight="false" outlineLevel="0" collapsed="false">
      <c r="A10" s="75" t="s">
        <v>329</v>
      </c>
      <c r="B10" s="75" t="s">
        <v>330</v>
      </c>
      <c r="C10" s="75" t="n">
        <v>20</v>
      </c>
      <c r="D10" s="75" t="n">
        <v>4</v>
      </c>
      <c r="E10" s="77" t="n">
        <f aca="false">IF(OR(C10="",D10=""), "", D10/C10)</f>
        <v>0.2</v>
      </c>
      <c r="F10" s="122" t="n">
        <f aca="false">IF(E10="", "", E10/SUM(E$3:E$10))</f>
        <v>0.0117647058823529</v>
      </c>
    </row>
    <row r="12" customFormat="false" ht="15" hidden="false" customHeight="false" outlineLevel="0" collapsed="false">
      <c r="B12" s="123" t="s">
        <v>1611</v>
      </c>
      <c r="E12" s="77" t="n">
        <f aca="false">SUM(E3:E10)</f>
        <v>17</v>
      </c>
    </row>
    <row r="13" customFormat="false" ht="15" hidden="false" customHeight="false" outlineLevel="0" collapsed="false">
      <c r="B13" s="116" t="s">
        <v>1612</v>
      </c>
      <c r="E13" s="124" t="n">
        <f aca="false">E12*100</f>
        <v>1700</v>
      </c>
    </row>
    <row r="14" customFormat="false" ht="15" hidden="false" customHeight="false" outlineLevel="0" collapsed="false">
      <c r="B14" s="116" t="s">
        <v>1613</v>
      </c>
      <c r="E14" s="77" t="str">
        <f aca="false">IF(E12="", "", IF(E12&lt;0.5,"ACEPTABLE",IF(E12&lt;1,"PRECAUCIÓN",IF(E12&lt;2,"MODERADO",IF(E12&lt;4,"ALTO","EXTREMADAMENTE ALTO")))))</f>
        <v>EXTREMADAMENTE ALTO</v>
      </c>
    </row>
    <row r="15" customFormat="false" ht="15" hidden="false" customHeight="false" outlineLevel="0" collapsed="false">
      <c r="B15" s="116" t="s">
        <v>1614</v>
      </c>
      <c r="E15" s="77" t="str">
        <f aca="false">IF(E12="", "", IF(E12&lt;=1, "CUMPLE CRITERIO", "EXCEDE CRITERIO"))</f>
        <v>EXCEDE CRITERIO</v>
      </c>
    </row>
    <row r="18" customFormat="false" ht="29.85" hidden="false" customHeight="false" outlineLevel="0" collapsed="false">
      <c r="A18" s="57" t="s">
        <v>1615</v>
      </c>
      <c r="B18" s="57" t="s">
        <v>1616</v>
      </c>
      <c r="C18" s="57" t="s">
        <v>1617</v>
      </c>
    </row>
    <row r="19" customFormat="false" ht="15" hidden="false" customHeight="false" outlineLevel="0" collapsed="false">
      <c r="A19" s="116" t="s">
        <v>1618</v>
      </c>
      <c r="B19" s="116" t="s">
        <v>1619</v>
      </c>
      <c r="C19" s="116" t="s">
        <v>1620</v>
      </c>
    </row>
    <row r="20" customFormat="false" ht="15" hidden="false" customHeight="false" outlineLevel="0" collapsed="false">
      <c r="A20" s="116" t="s">
        <v>1621</v>
      </c>
      <c r="B20" s="116" t="s">
        <v>1622</v>
      </c>
      <c r="C20" s="116" t="s">
        <v>1623</v>
      </c>
    </row>
    <row r="21" customFormat="false" ht="15" hidden="false" customHeight="false" outlineLevel="0" collapsed="false">
      <c r="A21" s="116" t="s">
        <v>1624</v>
      </c>
      <c r="B21" s="116" t="s">
        <v>1625</v>
      </c>
      <c r="C21" s="116" t="s">
        <v>1626</v>
      </c>
    </row>
    <row r="22" customFormat="false" ht="15" hidden="false" customHeight="false" outlineLevel="0" collapsed="false">
      <c r="A22" s="116" t="s">
        <v>1627</v>
      </c>
      <c r="B22" s="116" t="s">
        <v>1628</v>
      </c>
      <c r="C22" s="116" t="s">
        <v>1629</v>
      </c>
    </row>
    <row r="23" customFormat="false" ht="15" hidden="false" customHeight="false" outlineLevel="0" collapsed="false">
      <c r="A23" s="116" t="s">
        <v>1630</v>
      </c>
      <c r="B23" s="116" t="s">
        <v>1631</v>
      </c>
      <c r="C23" s="116" t="s">
        <v>1632</v>
      </c>
    </row>
    <row r="26" customFormat="false" ht="60" hidden="false" customHeight="true" outlineLevel="0" collapsed="false">
      <c r="A26" s="125" t="s">
        <v>1633</v>
      </c>
      <c r="B26" s="125"/>
      <c r="C26" s="125"/>
      <c r="D26" s="125"/>
      <c r="E26" s="125"/>
      <c r="F26" s="125"/>
    </row>
  </sheetData>
  <mergeCells count="2">
    <mergeCell ref="A1:F1"/>
    <mergeCell ref="A26:F26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G23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9.5" hidden="false" customHeight="true" outlineLevel="0" collapsed="false">
      <c r="A1" s="53" t="s">
        <v>1634</v>
      </c>
      <c r="B1" s="53"/>
      <c r="C1" s="53"/>
      <c r="D1" s="53"/>
      <c r="E1" s="53"/>
      <c r="F1" s="53"/>
      <c r="G1" s="53"/>
    </row>
    <row r="2" customFormat="false" ht="42" hidden="false" customHeight="true" outlineLevel="0" collapsed="false">
      <c r="A2" s="57" t="s">
        <v>2</v>
      </c>
      <c r="B2" s="57" t="s">
        <v>1608</v>
      </c>
      <c r="C2" s="57" t="s">
        <v>1607</v>
      </c>
      <c r="D2" s="57" t="s">
        <v>1635</v>
      </c>
      <c r="E2" s="57" t="s">
        <v>1636</v>
      </c>
      <c r="F2" s="57" t="s">
        <v>1637</v>
      </c>
      <c r="G2" s="57" t="s">
        <v>1638</v>
      </c>
    </row>
    <row r="3" customFormat="false" ht="26.85" hidden="false" customHeight="false" outlineLevel="0" collapsed="false">
      <c r="A3" s="77" t="str">
        <f aca="false">IF('Monitoreo y Mezcla'!B3="", "", 'Monitoreo y Mezcla'!B3)</f>
        <v>Solvente A</v>
      </c>
      <c r="B3" s="77" t="n">
        <f aca="false">IF('Monitoreo y Mezcla'!D3="", "", 'Monitoreo y Mezcla'!D3)</f>
        <v>1200</v>
      </c>
      <c r="C3" s="77" t="n">
        <f aca="false">IF('Monitoreo y Mezcla'!C3="", "", 'Monitoreo y Mezcla'!C3)</f>
        <v>100</v>
      </c>
      <c r="D3" s="75" t="s">
        <v>1639</v>
      </c>
      <c r="E3" s="77" t="n">
        <f aca="false">IFERROR(_xlfn.IFS(D3="Media máscara con cartucho para vapores orgánicos",10,D3="Máscara completa con cartucho para vapores orgánicos",50,D3="Respirador purificador de aire motorizado (PAPR) - capucha/casco",25,D3="Respirador purificador de aire motorizado (PAPR) - máscara completa",1000,D3="Línea de aire (SAR), modo demanda, máscara completa",50,D3="Línea de aire (SAR), modo presión-demanda, máscara completa",1000,D3="Equipo autónomo (SCBA), modo presión-demanda",10000), "")</f>
        <v>10</v>
      </c>
      <c r="F3" s="78" t="n">
        <f aca="false">IF(OR(B3="",E3=""), "", B3/E3)</f>
        <v>120</v>
      </c>
      <c r="G3" s="77" t="str">
        <f aca="false">IF(OR(F3="",C3=""), "", IF(F3&lt;=C3, "ADECUADA", "INSUFICIENTE"))</f>
        <v>INSUFICIENTE</v>
      </c>
    </row>
    <row r="4" customFormat="false" ht="26.85" hidden="false" customHeight="false" outlineLevel="0" collapsed="false">
      <c r="A4" s="77" t="str">
        <f aca="false">IF('Monitoreo y Mezcla'!B4="", "", 'Monitoreo y Mezcla'!B4)</f>
        <v>Solvente B</v>
      </c>
      <c r="B4" s="77" t="n">
        <f aca="false">IF('Monitoreo y Mezcla'!D4="", "", 'Monitoreo y Mezcla'!D4)</f>
        <v>85</v>
      </c>
      <c r="C4" s="77" t="n">
        <f aca="false">IF('Monitoreo y Mezcla'!C4="", "", 'Monitoreo y Mezcla'!C4)</f>
        <v>50</v>
      </c>
      <c r="D4" s="75" t="s">
        <v>1639</v>
      </c>
      <c r="E4" s="77" t="n">
        <f aca="false">IFERROR(_xlfn.IFS(D4="Media máscara con cartucho para vapores orgánicos",10,D4="Máscara completa con cartucho para vapores orgánicos",50,D4="Respirador purificador de aire motorizado (PAPR) - capucha/casco",25,D4="Respirador purificador de aire motorizado (PAPR) - máscara completa",1000,D4="Línea de aire (SAR), modo demanda, máscara completa",50,D4="Línea de aire (SAR), modo presión-demanda, máscara completa",1000,D4="Equipo autónomo (SCBA), modo presión-demanda",10000), "")</f>
        <v>10</v>
      </c>
      <c r="F4" s="78" t="n">
        <f aca="false">IF(OR(B4="",E4=""), "", B4/E4)</f>
        <v>8.5</v>
      </c>
      <c r="G4" s="77" t="str">
        <f aca="false">IF(OR(F4="",C4=""), "", IF(F4&lt;=C4, "ADECUADA", "INSUFICIENTE"))</f>
        <v>ADECUADA</v>
      </c>
    </row>
    <row r="5" customFormat="false" ht="26.85" hidden="false" customHeight="false" outlineLevel="0" collapsed="false">
      <c r="A5" s="77" t="str">
        <f aca="false">IF('Monitoreo y Mezcla'!B5="", "", 'Monitoreo y Mezcla'!B5)</f>
        <v>Solvente C</v>
      </c>
      <c r="B5" s="77" t="n">
        <f aca="false">IF('Monitoreo y Mezcla'!D5="", "", 'Monitoreo y Mezcla'!D5)</f>
        <v>30</v>
      </c>
      <c r="C5" s="77" t="n">
        <f aca="false">IF('Monitoreo y Mezcla'!C5="", "", 'Monitoreo y Mezcla'!C5)</f>
        <v>25</v>
      </c>
      <c r="D5" s="75" t="s">
        <v>1639</v>
      </c>
      <c r="E5" s="77" t="n">
        <f aca="false">IFERROR(_xlfn.IFS(D5="Media máscara con cartucho para vapores orgánicos",10,D5="Máscara completa con cartucho para vapores orgánicos",50,D5="Respirador purificador de aire motorizado (PAPR) - capucha/casco",25,D5="Respirador purificador de aire motorizado (PAPR) - máscara completa",1000,D5="Línea de aire (SAR), modo demanda, máscara completa",50,D5="Línea de aire (SAR), modo presión-demanda, máscara completa",1000,D5="Equipo autónomo (SCBA), modo presión-demanda",10000), "")</f>
        <v>10</v>
      </c>
      <c r="F5" s="78" t="n">
        <f aca="false">IF(OR(B5="",E5=""), "", B5/E5)</f>
        <v>3</v>
      </c>
      <c r="G5" s="77" t="str">
        <f aca="false">IF(OR(F5="",C5=""), "", IF(F5&lt;=C5, "ADECUADA", "INSUFICIENTE"))</f>
        <v>ADECUADA</v>
      </c>
    </row>
    <row r="6" customFormat="false" ht="26.85" hidden="false" customHeight="false" outlineLevel="0" collapsed="false">
      <c r="A6" s="77" t="str">
        <f aca="false">IF('Monitoreo y Mezcla'!B6="", "", 'Monitoreo y Mezcla'!B6)</f>
        <v>Resina X</v>
      </c>
      <c r="B6" s="77" t="n">
        <f aca="false">IF('Monitoreo y Mezcla'!D6="", "", 'Monitoreo y Mezcla'!D6)</f>
        <v>6</v>
      </c>
      <c r="C6" s="77" t="n">
        <f aca="false">IF('Monitoreo y Mezcla'!C6="", "", 'Monitoreo y Mezcla'!C6)</f>
        <v>10</v>
      </c>
      <c r="D6" s="75" t="s">
        <v>1639</v>
      </c>
      <c r="E6" s="77" t="n">
        <f aca="false">IFERROR(_xlfn.IFS(D6="Media máscara con cartucho para vapores orgánicos",10,D6="Máscara completa con cartucho para vapores orgánicos",50,D6="Respirador purificador de aire motorizado (PAPR) - capucha/casco",25,D6="Respirador purificador de aire motorizado (PAPR) - máscara completa",1000,D6="Línea de aire (SAR), modo demanda, máscara completa",50,D6="Línea de aire (SAR), modo presión-demanda, máscara completa",1000,D6="Equipo autónomo (SCBA), modo presión-demanda",10000), "")</f>
        <v>10</v>
      </c>
      <c r="F6" s="78" t="n">
        <f aca="false">IF(OR(B6="",E6=""), "", B6/E6)</f>
        <v>0.6</v>
      </c>
      <c r="G6" s="77" t="str">
        <f aca="false">IF(OR(F6="",C6=""), "", IF(F6&lt;=C6, "ADECUADA", "INSUFICIENTE"))</f>
        <v>ADECUADA</v>
      </c>
    </row>
    <row r="7" customFormat="false" ht="26.85" hidden="false" customHeight="false" outlineLevel="0" collapsed="false">
      <c r="A7" s="77" t="str">
        <f aca="false">IF('Monitoreo y Mezcla'!B7="", "", 'Monitoreo y Mezcla'!B7)</f>
        <v>Aditivo Y</v>
      </c>
      <c r="B7" s="77" t="n">
        <f aca="false">IF('Monitoreo y Mezcla'!D7="", "", 'Monitoreo y Mezcla'!D7)</f>
        <v>40</v>
      </c>
      <c r="C7" s="77" t="n">
        <f aca="false">IF('Monitoreo y Mezcla'!C7="", "", 'Monitoreo y Mezcla'!C7)</f>
        <v>75</v>
      </c>
      <c r="D7" s="75" t="s">
        <v>1639</v>
      </c>
      <c r="E7" s="77" t="n">
        <f aca="false">IFERROR(_xlfn.IFS(D7="Media máscara con cartucho para vapores orgánicos",10,D7="Máscara completa con cartucho para vapores orgánicos",50,D7="Respirador purificador de aire motorizado (PAPR) - capucha/casco",25,D7="Respirador purificador de aire motorizado (PAPR) - máscara completa",1000,D7="Línea de aire (SAR), modo demanda, máscara completa",50,D7="Línea de aire (SAR), modo presión-demanda, máscara completa",1000,D7="Equipo autónomo (SCBA), modo presión-demanda",10000), "")</f>
        <v>10</v>
      </c>
      <c r="F7" s="78" t="n">
        <f aca="false">IF(OR(B7="",E7=""), "", B7/E7)</f>
        <v>4</v>
      </c>
      <c r="G7" s="77" t="str">
        <f aca="false">IF(OR(F7="",C7=""), "", IF(F7&lt;=C7, "ADECUADA", "INSUFICIENTE"))</f>
        <v>ADECUADA</v>
      </c>
    </row>
    <row r="8" customFormat="false" ht="26.85" hidden="false" customHeight="false" outlineLevel="0" collapsed="false">
      <c r="A8" s="77" t="str">
        <f aca="false">IF('Monitoreo y Mezcla'!B8="", "", 'Monitoreo y Mezcla'!B8)</f>
        <v>Estabilizante Z</v>
      </c>
      <c r="B8" s="77" t="n">
        <f aca="false">IF('Monitoreo y Mezcla'!D8="", "", 'Monitoreo y Mezcla'!D8)</f>
        <v>70</v>
      </c>
      <c r="C8" s="77" t="n">
        <f aca="false">IF('Monitoreo y Mezcla'!C8="", "", 'Monitoreo y Mezcla'!C8)</f>
        <v>150</v>
      </c>
      <c r="D8" s="75" t="s">
        <v>1639</v>
      </c>
      <c r="E8" s="77" t="n">
        <f aca="false">IFERROR(_xlfn.IFS(D8="Media máscara con cartucho para vapores orgánicos",10,D8="Máscara completa con cartucho para vapores orgánicos",50,D8="Respirador purificador de aire motorizado (PAPR) - capucha/casco",25,D8="Respirador purificador de aire motorizado (PAPR) - máscara completa",1000,D8="Línea de aire (SAR), modo demanda, máscara completa",50,D8="Línea de aire (SAR), modo presión-demanda, máscara completa",1000,D8="Equipo autónomo (SCBA), modo presión-demanda",10000), "")</f>
        <v>10</v>
      </c>
      <c r="F8" s="78" t="n">
        <f aca="false">IF(OR(B8="",E8=""), "", B8/E8)</f>
        <v>7</v>
      </c>
      <c r="G8" s="77" t="str">
        <f aca="false">IF(OR(F8="",C8=""), "", IF(F8&lt;=C8, "ADECUADA", "INSUFICIENTE"))</f>
        <v>ADECUADA</v>
      </c>
    </row>
    <row r="9" customFormat="false" ht="26.85" hidden="false" customHeight="false" outlineLevel="0" collapsed="false">
      <c r="A9" s="77" t="str">
        <f aca="false">IF('Monitoreo y Mezcla'!B9="", "", 'Monitoreo y Mezcla'!B9)</f>
        <v>Catalizador K</v>
      </c>
      <c r="B9" s="77" t="n">
        <f aca="false">IF('Monitoreo y Mezcla'!D9="", "", 'Monitoreo y Mezcla'!D9)</f>
        <v>1.5</v>
      </c>
      <c r="C9" s="77" t="n">
        <f aca="false">IF('Monitoreo y Mezcla'!C9="", "", 'Monitoreo y Mezcla'!C9)</f>
        <v>5</v>
      </c>
      <c r="D9" s="75" t="s">
        <v>1639</v>
      </c>
      <c r="E9" s="77" t="n">
        <f aca="false">IFERROR(_xlfn.IFS(D9="Media máscara con cartucho para vapores orgánicos",10,D9="Máscara completa con cartucho para vapores orgánicos",50,D9="Respirador purificador de aire motorizado (PAPR) - capucha/casco",25,D9="Respirador purificador de aire motorizado (PAPR) - máscara completa",1000,D9="Línea de aire (SAR), modo demanda, máscara completa",50,D9="Línea de aire (SAR), modo presión-demanda, máscara completa",1000,D9="Equipo autónomo (SCBA), modo presión-demanda",10000), "")</f>
        <v>10</v>
      </c>
      <c r="F9" s="78" t="n">
        <f aca="false">IF(OR(B9="",E9=""), "", B9/E9)</f>
        <v>0.15</v>
      </c>
      <c r="G9" s="77" t="str">
        <f aca="false">IF(OR(F9="",C9=""), "", IF(F9&lt;=C9, "ADECUADA", "INSUFICIENTE"))</f>
        <v>ADECUADA</v>
      </c>
    </row>
    <row r="10" customFormat="false" ht="26.85" hidden="false" customHeight="false" outlineLevel="0" collapsed="false">
      <c r="A10" s="77" t="str">
        <f aca="false">IF('Monitoreo y Mezcla'!B10="", "", 'Monitoreo y Mezcla'!B10)</f>
        <v>Impureza M</v>
      </c>
      <c r="B10" s="77" t="n">
        <f aca="false">IF('Monitoreo y Mezcla'!D10="", "", 'Monitoreo y Mezcla'!D10)</f>
        <v>4</v>
      </c>
      <c r="C10" s="77" t="n">
        <f aca="false">IF('Monitoreo y Mezcla'!C10="", "", 'Monitoreo y Mezcla'!C10)</f>
        <v>20</v>
      </c>
      <c r="D10" s="75" t="s">
        <v>1639</v>
      </c>
      <c r="E10" s="77" t="n">
        <f aca="false">IFERROR(_xlfn.IFS(D10="Media máscara con cartucho para vapores orgánicos",10,D10="Máscara completa con cartucho para vapores orgánicos",50,D10="Respirador purificador de aire motorizado (PAPR) - capucha/casco",25,D10="Respirador purificador de aire motorizado (PAPR) - máscara completa",1000,D10="Línea de aire (SAR), modo demanda, máscara completa",50,D10="Línea de aire (SAR), modo presión-demanda, máscara completa",1000,D10="Equipo autónomo (SCBA), modo presión-demanda",10000), "")</f>
        <v>10</v>
      </c>
      <c r="F10" s="78" t="n">
        <f aca="false">IF(OR(B10="",E10=""), "", B10/E10)</f>
        <v>0.4</v>
      </c>
      <c r="G10" s="77" t="str">
        <f aca="false">IF(OR(F10="",C10=""), "", IF(F10&lt;=C10, "ADECUADA", "INSUFICIENTE"))</f>
        <v>ADECUADA</v>
      </c>
    </row>
    <row r="13" customFormat="false" ht="15" hidden="false" customHeight="true" outlineLevel="0" collapsed="false">
      <c r="A13" s="126" t="s">
        <v>1635</v>
      </c>
      <c r="B13" s="126"/>
      <c r="C13" s="126"/>
      <c r="D13" s="57" t="s">
        <v>1636</v>
      </c>
    </row>
    <row r="14" customFormat="false" ht="27.75" hidden="false" customHeight="true" outlineLevel="0" collapsed="false">
      <c r="A14" s="127" t="s">
        <v>1639</v>
      </c>
      <c r="B14" s="127"/>
      <c r="C14" s="127"/>
      <c r="D14" s="116" t="n">
        <v>10</v>
      </c>
    </row>
    <row r="15" customFormat="false" ht="27.75" hidden="false" customHeight="true" outlineLevel="0" collapsed="false">
      <c r="A15" s="127" t="s">
        <v>1640</v>
      </c>
      <c r="B15" s="127"/>
      <c r="C15" s="127"/>
      <c r="D15" s="116" t="n">
        <v>50</v>
      </c>
    </row>
    <row r="16" customFormat="false" ht="27.75" hidden="false" customHeight="true" outlineLevel="0" collapsed="false">
      <c r="A16" s="127" t="s">
        <v>1641</v>
      </c>
      <c r="B16" s="127"/>
      <c r="C16" s="127"/>
      <c r="D16" s="116" t="n">
        <v>25</v>
      </c>
    </row>
    <row r="17" customFormat="false" ht="27.75" hidden="false" customHeight="true" outlineLevel="0" collapsed="false">
      <c r="A17" s="127" t="s">
        <v>1642</v>
      </c>
      <c r="B17" s="127"/>
      <c r="C17" s="127"/>
      <c r="D17" s="116" t="n">
        <v>1000</v>
      </c>
    </row>
    <row r="18" customFormat="false" ht="27.75" hidden="false" customHeight="true" outlineLevel="0" collapsed="false">
      <c r="A18" s="127" t="s">
        <v>1643</v>
      </c>
      <c r="B18" s="127"/>
      <c r="C18" s="127"/>
      <c r="D18" s="116" t="n">
        <v>50</v>
      </c>
    </row>
    <row r="19" customFormat="false" ht="27.75" hidden="false" customHeight="true" outlineLevel="0" collapsed="false">
      <c r="A19" s="127" t="s">
        <v>1644</v>
      </c>
      <c r="B19" s="127"/>
      <c r="C19" s="127"/>
      <c r="D19" s="116" t="n">
        <v>1000</v>
      </c>
    </row>
    <row r="20" customFormat="false" ht="27.75" hidden="false" customHeight="true" outlineLevel="0" collapsed="false">
      <c r="A20" s="127" t="s">
        <v>1645</v>
      </c>
      <c r="B20" s="127"/>
      <c r="C20" s="127"/>
      <c r="D20" s="116" t="n">
        <v>10000</v>
      </c>
    </row>
    <row r="23" customFormat="false" ht="60" hidden="false" customHeight="true" outlineLevel="0" collapsed="false">
      <c r="A23" s="125" t="s">
        <v>1646</v>
      </c>
      <c r="B23" s="125"/>
      <c r="C23" s="125"/>
      <c r="D23" s="125"/>
      <c r="E23" s="125"/>
      <c r="F23" s="125"/>
      <c r="G23" s="125"/>
    </row>
  </sheetData>
  <mergeCells count="10">
    <mergeCell ref="A1:G1"/>
    <mergeCell ref="A13:C13"/>
    <mergeCell ref="A14:C14"/>
    <mergeCell ref="A15:C15"/>
    <mergeCell ref="A16:C16"/>
    <mergeCell ref="A17:C17"/>
    <mergeCell ref="A18:C18"/>
    <mergeCell ref="A19:C19"/>
    <mergeCell ref="A20:C20"/>
    <mergeCell ref="A23:G23"/>
  </mergeCells>
  <dataValidations count="1">
    <dataValidation allowBlank="true" errorStyle="stop" operator="between" showDropDown="false" showErrorMessage="false" showInputMessage="false" sqref="D3:D10" type="list">
      <formula1>"Media máscara con cartucho para vapores orgánicos,Máscara completa con cartucho para vapores orgánicos,Respirador purificador de aire motorizado (PAPR) - capucha/casco,Respirador purificador de aire motorizado (PAPR) - máscara completa,Línea de aire (SAR)"</formula1>
      <formula2>0</formula2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10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9.5" hidden="false" customHeight="true" outlineLevel="0" collapsed="false">
      <c r="A1" s="53" t="s">
        <v>1647</v>
      </c>
      <c r="B1" s="53"/>
      <c r="C1" s="53"/>
    </row>
    <row r="2" customFormat="false" ht="24" hidden="false" customHeight="true" outlineLevel="0" collapsed="false">
      <c r="A2" s="57" t="s">
        <v>1648</v>
      </c>
      <c r="B2" s="57" t="s">
        <v>1649</v>
      </c>
      <c r="C2" s="57" t="s">
        <v>1650</v>
      </c>
    </row>
    <row r="3" customFormat="false" ht="43.5" hidden="false" customHeight="true" outlineLevel="0" collapsed="false">
      <c r="A3" s="128" t="s">
        <v>1651</v>
      </c>
      <c r="B3" s="128" t="s">
        <v>1652</v>
      </c>
      <c r="C3" s="128" t="s">
        <v>1653</v>
      </c>
    </row>
    <row r="4" customFormat="false" ht="43.5" hidden="false" customHeight="true" outlineLevel="0" collapsed="false">
      <c r="A4" s="128" t="s">
        <v>1654</v>
      </c>
      <c r="B4" s="128" t="s">
        <v>1655</v>
      </c>
      <c r="C4" s="128" t="s">
        <v>1656</v>
      </c>
    </row>
    <row r="5" customFormat="false" ht="43.5" hidden="false" customHeight="true" outlineLevel="0" collapsed="false">
      <c r="A5" s="128" t="s">
        <v>1657</v>
      </c>
      <c r="B5" s="128" t="s">
        <v>1658</v>
      </c>
      <c r="C5" s="128" t="s">
        <v>1659</v>
      </c>
    </row>
    <row r="6" customFormat="false" ht="43.5" hidden="false" customHeight="true" outlineLevel="0" collapsed="false">
      <c r="A6" s="128" t="s">
        <v>1660</v>
      </c>
      <c r="B6" s="128" t="s">
        <v>1661</v>
      </c>
      <c r="C6" s="128" t="s">
        <v>1662</v>
      </c>
    </row>
    <row r="7" customFormat="false" ht="43.5" hidden="false" customHeight="true" outlineLevel="0" collapsed="false">
      <c r="A7" s="128" t="s">
        <v>1663</v>
      </c>
      <c r="B7" s="128" t="s">
        <v>1664</v>
      </c>
      <c r="C7" s="128" t="s">
        <v>1665</v>
      </c>
    </row>
    <row r="8" customFormat="false" ht="43.5" hidden="false" customHeight="true" outlineLevel="0" collapsed="false">
      <c r="A8" s="128" t="s">
        <v>1666</v>
      </c>
      <c r="B8" s="128" t="s">
        <v>1667</v>
      </c>
      <c r="C8" s="128" t="s">
        <v>1668</v>
      </c>
    </row>
    <row r="9" customFormat="false" ht="43.5" hidden="false" customHeight="true" outlineLevel="0" collapsed="false">
      <c r="A9" s="128" t="s">
        <v>1669</v>
      </c>
      <c r="B9" s="128" t="s">
        <v>1670</v>
      </c>
      <c r="C9" s="128" t="s">
        <v>1671</v>
      </c>
    </row>
    <row r="10" customFormat="false" ht="43.5" hidden="false" customHeight="true" outlineLevel="0" collapsed="false">
      <c r="A10" s="128" t="s">
        <v>1672</v>
      </c>
      <c r="B10" s="128" t="s">
        <v>1673</v>
      </c>
      <c r="C10" s="128" t="s">
        <v>1674</v>
      </c>
    </row>
  </sheetData>
  <mergeCells count="1">
    <mergeCell ref="A1:C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12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1"/>
    <col collapsed="false" customWidth="true" hidden="false" outlineLevel="0" max="3" min="3" style="0" width="68"/>
  </cols>
  <sheetData>
    <row r="1" customFormat="false" ht="19.5" hidden="false" customHeight="true" outlineLevel="0" collapsed="false">
      <c r="A1" s="53" t="s">
        <v>1675</v>
      </c>
      <c r="B1" s="53"/>
      <c r="C1" s="53"/>
    </row>
    <row r="2" customFormat="false" ht="24" hidden="false" customHeight="true" outlineLevel="0" collapsed="false">
      <c r="A2" s="57" t="s">
        <v>1676</v>
      </c>
      <c r="B2" s="57" t="s">
        <v>1648</v>
      </c>
      <c r="C2" s="57" t="s">
        <v>1650</v>
      </c>
    </row>
    <row r="3" customFormat="false" ht="43.5" hidden="false" customHeight="true" outlineLevel="0" collapsed="false">
      <c r="A3" s="77" t="s">
        <v>1677</v>
      </c>
      <c r="B3" s="116" t="s">
        <v>1651</v>
      </c>
      <c r="C3" s="129" t="str">
        <f aca="false">IF('Monitoreo y Mezcla'!E12&gt;=4,'Biblioteca de Controles'!C3,"—")</f>
        <v>Evaluar sustitución del producto o de las sustancias de mayor Ratio de Riesgo por alternativas de menor volatilidad o toxicidad, o eliminar la operación si es técnicamente viable.</v>
      </c>
    </row>
    <row r="4" customFormat="false" ht="43.5" hidden="false" customHeight="true" outlineLevel="0" collapsed="false">
      <c r="A4" s="77" t="s">
        <v>1677</v>
      </c>
      <c r="B4" s="116" t="s">
        <v>1666</v>
      </c>
      <c r="C4" s="129" t="str">
        <f aca="false">IF(COUNTIF('Proteccion Respiratoria'!G3:G10,"INSUFICIENTE")&gt;0,'Biblioteca de Controles'!C8,"—")</f>
        <v>Seleccionar un respirador de mayor Factor de Protección Asignado (APF) para la sustancia marcada como insuficiente, según la tabla de referencia de la hoja "Proteccion Respiratoria".</v>
      </c>
    </row>
    <row r="5" customFormat="false" ht="43.5" hidden="false" customHeight="true" outlineLevel="0" collapsed="false">
      <c r="A5" s="77" t="s">
        <v>1678</v>
      </c>
      <c r="B5" s="116" t="s">
        <v>1654</v>
      </c>
      <c r="C5" s="129" t="str">
        <f aca="false">IF(COUNTIF(VaporRisk!V7:V14,"Banda 3: Encerramiento")+COUNTIF(VaporRisk!V7:V14,"Banda 3: Aislamiento / HEPA")&gt;0,'Biblioteca de Controles'!C4,"—")</f>
        <v>—</v>
      </c>
    </row>
    <row r="6" customFormat="false" ht="43.5" hidden="false" customHeight="true" outlineLevel="0" collapsed="false">
      <c r="A6" s="77" t="s">
        <v>1678</v>
      </c>
      <c r="B6" s="116" t="s">
        <v>1657</v>
      </c>
      <c r="C6" s="129" t="str">
        <f aca="false">IF(COUNTIF(VaporRisk!V7:V14,"Banda 2: Extracción Local (LEV)")&gt;0,'Biblioteca de Controles'!C5,"—")</f>
        <v>Instalar o verificar el sistema de extracción localizada dimensionado en la hoja "VaporRisk" (módulo LEV, columnas AI-AP) para el punto de emisión de mayor Ratio de Riesgo.</v>
      </c>
    </row>
    <row r="7" customFormat="false" ht="43.5" hidden="false" customHeight="true" outlineLevel="0" collapsed="false">
      <c r="A7" s="77" t="s">
        <v>1678</v>
      </c>
      <c r="B7" s="116" t="s">
        <v>1660</v>
      </c>
      <c r="C7" s="129" t="str">
        <f aca="false">IF(AND(COUNTIF(VaporRisk!V7:V14,"Banda 1: Dilución (ACH)")+COUNTIF(VaporRisk!V7:V14,"Banda 1: Ventilación General")&gt;0,COUNTIF(VaporRisk!V7:V14,"Banda 2: Extracción Local (LEV)")+COUNTIF(VaporRisk!V7:V14,"Banda 3: Encerramiento")+COUNTIF(VaporRisk!V7:V14,"Banda 3: Aislamiento / HEPA")=0),'Biblioteca de Controles'!C6,"—")</f>
        <v>—</v>
      </c>
    </row>
    <row r="8" customFormat="false" ht="43.5" hidden="false" customHeight="true" outlineLevel="0" collapsed="false">
      <c r="A8" s="77" t="s">
        <v>1679</v>
      </c>
      <c r="B8" s="116" t="s">
        <v>1663</v>
      </c>
      <c r="C8" s="129" t="str">
        <f aca="false">IF('Monitoreo y Mezcla'!E12&gt;=2,'Biblioteca de Controles'!C7,"—")</f>
        <v>Reducir el tiempo de exposición del personal en la tarea, rotar personal entre puestos, y restringir el acceso al área mientras se implementan los controles de ingeniería.</v>
      </c>
    </row>
    <row r="9" customFormat="false" ht="43.5" hidden="false" customHeight="true" outlineLevel="0" collapsed="false">
      <c r="A9" s="77" t="s">
        <v>1680</v>
      </c>
      <c r="B9" s="116" t="s">
        <v>1669</v>
      </c>
      <c r="C9" s="129" t="str">
        <f aca="false">IF(COUNTIF('Proteccion Respiratoria'!G3:G10,"ADECUADA")+COUNTIF('Proteccion Respiratoria'!G3:G10,"INSUFICIENTE")&gt;0,'Biblioteca de Controles'!C9,"—")</f>
        <v>Documentar el programa de protección respiratoria (selección, prueba de ajuste, capacitación, mantenimiento) conforme a la normatividad vigente.</v>
      </c>
    </row>
    <row r="10" customFormat="false" ht="43.5" hidden="false" customHeight="true" outlineLevel="0" collapsed="false">
      <c r="A10" s="77" t="s">
        <v>1680</v>
      </c>
      <c r="B10" s="116" t="s">
        <v>1672</v>
      </c>
      <c r="C10" s="129" t="str">
        <f aca="false">'Biblioteca de Controles'!C10</f>
        <v>Programar monitoreo ambiental periódico (personal y/o de área) y vigilancia médica ocupacional (espirometría y demás pruebas pertinentes según las sustancias involucradas).</v>
      </c>
    </row>
    <row r="12" customFormat="false" ht="49.5" hidden="false" customHeight="true" outlineLevel="0" collapsed="false">
      <c r="A12" s="125" t="s">
        <v>1681</v>
      </c>
      <c r="B12" s="125"/>
      <c r="C12" s="125"/>
    </row>
  </sheetData>
  <mergeCells count="2">
    <mergeCell ref="A1:C1"/>
    <mergeCell ref="A12:C1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2026-06-27T16:38:34Z</dcterms:created>
  <dc:description/>
  <dc:language>en-US</dc:language>
  <cp:lastModifiedBy>AK18574</cp:lastModifiedBy>
  <dcterms:modified xsi:type="dcterms:W3CDTF">2026-09-26T01:27:16Z</dcterms:modified>
  <cp:revision>0</cp:revision>
  <dc:subject/>
  <dc:title>VaporRisk V3 (Ejemplo) — SCHO</dc:title>
  <dc:creator>Álvaro Araque García — SCHO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